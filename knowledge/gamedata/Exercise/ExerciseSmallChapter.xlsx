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<sst xmlns="http://schemas.openxmlformats.org/spreadsheetml/2006/main" count="3519" uniqueCount="858">
  <si>
    <t>7</t>
  </si>
  <si>
    <t>1</t>
  </si>
  <si>
    <t>9999</t>
  </si>
  <si>
    <t>20</t>
  </si>
  <si>
    <t>id</t>
  </si>
  <si>
    <t>图片</t>
  </si>
  <si>
    <t>奖励</t>
  </si>
  <si>
    <t>消耗</t>
  </si>
  <si>
    <t>奖励首次</t>
  </si>
  <si>
    <t>归属哪条航线（最外围入口）</t>
  </si>
  <si>
    <t>归属第几个据点</t>
  </si>
  <si>
    <t>星级条件</t>
  </si>
  <si>
    <t>怪群</t>
  </si>
  <si>
    <t>战斗地图</t>
  </si>
  <si>
    <t>标题</t>
  </si>
  <si>
    <t>限制等级</t>
  </si>
  <si>
    <t>关卡说明</t>
  </si>
  <si>
    <t>image</t>
  </si>
  <si>
    <t>reward</t>
  </si>
  <si>
    <t>cost</t>
  </si>
  <si>
    <t>rewardFirst</t>
  </si>
  <si>
    <t>bigChapter</t>
  </si>
  <si>
    <t>midChapter</t>
  </si>
  <si>
    <t>starCondition</t>
  </si>
  <si>
    <t>title</t>
  </si>
  <si>
    <t>explain</t>
  </si>
  <si>
    <t>int</t>
  </si>
  <si>
    <t>string</t>
  </si>
  <si>
    <t>primary</t>
  </si>
  <si>
    <t>none</t>
  </si>
  <si>
    <t>enemyGroupId</t>
  </si>
  <si>
    <t>fightMapId</t>
  </si>
  <si>
    <t>limitPlayerLev</t>
  </si>
  <si>
    <t>zhounianqingdian_tenghu</t>
  </si>
  <si>
    <t>1001,555532,2</t>
  </si>
  <si>
    <t>2001,0,10</t>
  </si>
  <si>
    <t>1001,555532,10</t>
  </si>
  <si>
    <t>3011000</t>
  </si>
  <si>
    <t>第1-1关</t>
  </si>
  <si>
    <t>25</t>
  </si>
  <si>
    <t>3011001</t>
  </si>
  <si>
    <t>第1-2关</t>
  </si>
  <si>
    <t>3011002</t>
  </si>
  <si>
    <t>第1-3关</t>
  </si>
  <si>
    <t>3011003</t>
  </si>
  <si>
    <t>第1-4关</t>
  </si>
  <si>
    <t>3011004</t>
  </si>
  <si>
    <t>第1-5关</t>
  </si>
  <si>
    <t>1001,555532,3</t>
  </si>
  <si>
    <t>3011005</t>
  </si>
  <si>
    <t>第1-6关</t>
  </si>
  <si>
    <t>3011006</t>
  </si>
  <si>
    <t>第1-7关</t>
  </si>
  <si>
    <t>3011007</t>
  </si>
  <si>
    <t>第1-8关</t>
  </si>
  <si>
    <t>3011008</t>
  </si>
  <si>
    <t>第1-9关</t>
  </si>
  <si>
    <t>3011009</t>
  </si>
  <si>
    <t>第1-10关</t>
  </si>
  <si>
    <t>1001,555541,5</t>
  </si>
  <si>
    <t>第2-1关</t>
  </si>
  <si>
    <t>1001,555532,4</t>
  </si>
  <si>
    <t>1001,555532,20</t>
  </si>
  <si>
    <t>3011010</t>
  </si>
  <si>
    <t>第3-1关</t>
  </si>
  <si>
    <t>30</t>
  </si>
  <si>
    <t>3011011</t>
  </si>
  <si>
    <t>第3-2关</t>
  </si>
  <si>
    <t>3011012</t>
  </si>
  <si>
    <t>第3-3关</t>
  </si>
  <si>
    <t>3011013</t>
  </si>
  <si>
    <t>第3-4关</t>
  </si>
  <si>
    <t>3011014</t>
  </si>
  <si>
    <t>第3-5关</t>
  </si>
  <si>
    <t>3011015</t>
  </si>
  <si>
    <t>第3-6关</t>
  </si>
  <si>
    <t>35</t>
  </si>
  <si>
    <t>1001,555532,5</t>
  </si>
  <si>
    <t>3011016</t>
  </si>
  <si>
    <t>第3-7关</t>
  </si>
  <si>
    <t>3011017</t>
  </si>
  <si>
    <t>第3-8关</t>
  </si>
  <si>
    <t>3011018</t>
  </si>
  <si>
    <t>第3-9关</t>
  </si>
  <si>
    <t>3011019</t>
  </si>
  <si>
    <t>第3-10关</t>
  </si>
  <si>
    <t>1001,555533,2</t>
  </si>
  <si>
    <t>1001,555533,10</t>
  </si>
  <si>
    <t>第15-1关</t>
  </si>
  <si>
    <t>3011020</t>
  </si>
  <si>
    <t>第4-1关</t>
  </si>
  <si>
    <t>40</t>
  </si>
  <si>
    <t>3011021</t>
  </si>
  <si>
    <t>第4-2关</t>
  </si>
  <si>
    <t>3011022</t>
  </si>
  <si>
    <t>第4-3关</t>
  </si>
  <si>
    <t>1001,555533,3</t>
  </si>
  <si>
    <t>3011023</t>
  </si>
  <si>
    <t>第4-4关</t>
  </si>
  <si>
    <t>1001,555533,15</t>
  </si>
  <si>
    <t>3011024</t>
  </si>
  <si>
    <t>第4-5关</t>
  </si>
  <si>
    <t>3011025</t>
  </si>
  <si>
    <t>第4-6关</t>
  </si>
  <si>
    <t>3011026</t>
  </si>
  <si>
    <t>第4-7关</t>
  </si>
  <si>
    <t>1001,555533,4</t>
  </si>
  <si>
    <t>3011027</t>
  </si>
  <si>
    <t>第4-8关</t>
  </si>
  <si>
    <t>3011028</t>
  </si>
  <si>
    <t>第4-9关</t>
  </si>
  <si>
    <t>1001,555542,10</t>
  </si>
  <si>
    <t>3011029</t>
  </si>
  <si>
    <t>第4-10关</t>
  </si>
  <si>
    <t>1001,215001,10</t>
  </si>
  <si>
    <t>1001,215011,1</t>
  </si>
  <si>
    <t>第5-1关</t>
  </si>
  <si>
    <t>1001,555533,20</t>
  </si>
  <si>
    <t>3011030</t>
  </si>
  <si>
    <t>第6-1关</t>
  </si>
  <si>
    <t>45</t>
  </si>
  <si>
    <t>3011031</t>
  </si>
  <si>
    <t>第6-2关</t>
  </si>
  <si>
    <t>1001,555533,5</t>
  </si>
  <si>
    <t>3011032</t>
  </si>
  <si>
    <t>第6-3关</t>
  </si>
  <si>
    <t>3011033</t>
  </si>
  <si>
    <t>第6-4关</t>
  </si>
  <si>
    <t>3011034</t>
  </si>
  <si>
    <t>第6-5关</t>
  </si>
  <si>
    <t>1001,555534,2</t>
  </si>
  <si>
    <t>1001,555534,10</t>
  </si>
  <si>
    <t>3011035</t>
  </si>
  <si>
    <t>第6-6关</t>
  </si>
  <si>
    <t>50</t>
  </si>
  <si>
    <t>3011036</t>
  </si>
  <si>
    <t>第6-7关</t>
  </si>
  <si>
    <t>3011037</t>
  </si>
  <si>
    <t>第6-8关</t>
  </si>
  <si>
    <t>3011038</t>
  </si>
  <si>
    <t>第6-9关</t>
  </si>
  <si>
    <t>3011039</t>
  </si>
  <si>
    <t>第6-10关</t>
  </si>
  <si>
    <t>1001,555543,5</t>
  </si>
  <si>
    <t>第7-1关</t>
  </si>
  <si>
    <t>1001,555534,3</t>
  </si>
  <si>
    <t>1001,555534,15</t>
  </si>
  <si>
    <t>3011040</t>
  </si>
  <si>
    <t>第8-1关</t>
  </si>
  <si>
    <t>3011041</t>
  </si>
  <si>
    <t>第8-2关</t>
  </si>
  <si>
    <t>3011042</t>
  </si>
  <si>
    <t>第8-3关</t>
  </si>
  <si>
    <t>3011043</t>
  </si>
  <si>
    <t>第8-4关</t>
  </si>
  <si>
    <t>1001,555534,4</t>
  </si>
  <si>
    <t>3011044</t>
  </si>
  <si>
    <t>第8-5关</t>
  </si>
  <si>
    <t>1001,555534,20</t>
  </si>
  <si>
    <t>3011045</t>
  </si>
  <si>
    <t>第8-6关</t>
  </si>
  <si>
    <t>3011046</t>
  </si>
  <si>
    <t>第8-7关</t>
  </si>
  <si>
    <t>3011047</t>
  </si>
  <si>
    <t>第8-8关</t>
  </si>
  <si>
    <t>1001,555534,5</t>
  </si>
  <si>
    <t>3011048</t>
  </si>
  <si>
    <t>第8-9关</t>
  </si>
  <si>
    <t>3011049</t>
  </si>
  <si>
    <t>第8-10关</t>
  </si>
  <si>
    <t>第16-1关</t>
  </si>
  <si>
    <t>1001,555535,2</t>
  </si>
  <si>
    <t>1001,555535,10</t>
  </si>
  <si>
    <t>3011050</t>
  </si>
  <si>
    <t>第9-1关</t>
  </si>
  <si>
    <t>3011051</t>
  </si>
  <si>
    <t>第9-2关</t>
  </si>
  <si>
    <t>3011052</t>
  </si>
  <si>
    <t>第9-3关</t>
  </si>
  <si>
    <t>3011053</t>
  </si>
  <si>
    <t>第9-4关</t>
  </si>
  <si>
    <t>3011054</t>
  </si>
  <si>
    <t>第9-5关</t>
  </si>
  <si>
    <t>3011055</t>
  </si>
  <si>
    <t>第9-6关</t>
  </si>
  <si>
    <t>1001,555535,3</t>
  </si>
  <si>
    <t>3011056</t>
  </si>
  <si>
    <t>第9-7关</t>
  </si>
  <si>
    <t>3011057</t>
  </si>
  <si>
    <t>第9-8关</t>
  </si>
  <si>
    <t>3011058</t>
  </si>
  <si>
    <t>第9-9关</t>
  </si>
  <si>
    <t>3011059</t>
  </si>
  <si>
    <t>第9-10关</t>
  </si>
  <si>
    <t>1001,555544,10</t>
  </si>
  <si>
    <t>第10-1关</t>
  </si>
  <si>
    <t>3011060</t>
  </si>
  <si>
    <t>第11-1关</t>
  </si>
  <si>
    <t>3011061</t>
  </si>
  <si>
    <t>第11-2关</t>
  </si>
  <si>
    <t>3011062</t>
  </si>
  <si>
    <t>第11-3关</t>
  </si>
  <si>
    <t>3011063</t>
  </si>
  <si>
    <t>第11-4关</t>
  </si>
  <si>
    <t>1001,555535,4</t>
  </si>
  <si>
    <t>3011064</t>
  </si>
  <si>
    <t>第11-5关</t>
  </si>
  <si>
    <t>3011065</t>
  </si>
  <si>
    <t>第11-6关</t>
  </si>
  <si>
    <t>3011066</t>
  </si>
  <si>
    <t>第11-7关</t>
  </si>
  <si>
    <t>3011067</t>
  </si>
  <si>
    <t>第11-8关</t>
  </si>
  <si>
    <t>3011068</t>
  </si>
  <si>
    <t>第11-9关</t>
  </si>
  <si>
    <t>3011069</t>
  </si>
  <si>
    <t>第11-10关</t>
  </si>
  <si>
    <t>第12-1关</t>
  </si>
  <si>
    <t>1001,210121,5</t>
  </si>
  <si>
    <t>第13-1关</t>
  </si>
  <si>
    <t>3011070</t>
  </si>
  <si>
    <t>第14-1关</t>
  </si>
  <si>
    <t>3011071</t>
  </si>
  <si>
    <t>第14-2关</t>
  </si>
  <si>
    <t>3011072</t>
  </si>
  <si>
    <t>第14-3关</t>
  </si>
  <si>
    <t>1001,555535,5</t>
  </si>
  <si>
    <t>3011073</t>
  </si>
  <si>
    <t>第14-4关</t>
  </si>
  <si>
    <t>3011074</t>
  </si>
  <si>
    <t>第14-5关</t>
  </si>
  <si>
    <t>3011075</t>
  </si>
  <si>
    <t>第14-6关</t>
  </si>
  <si>
    <t>3011076</t>
  </si>
  <si>
    <t>第14-7关</t>
  </si>
  <si>
    <t>3011077</t>
  </si>
  <si>
    <t>第14-8关</t>
  </si>
  <si>
    <t>3011078</t>
  </si>
  <si>
    <t>第14-9关</t>
  </si>
  <si>
    <t>3011079</t>
  </si>
  <si>
    <t>第14-10关</t>
  </si>
  <si>
    <t>20101</t>
  </si>
  <si>
    <t>1001,555522,2</t>
  </si>
  <si>
    <t>1001,555522,10</t>
  </si>
  <si>
    <t>2</t>
  </si>
  <si>
    <t>3011080</t>
  </si>
  <si>
    <t>20102</t>
  </si>
  <si>
    <t>3011081</t>
  </si>
  <si>
    <t>20103</t>
  </si>
  <si>
    <t>3011082</t>
  </si>
  <si>
    <t>20104</t>
  </si>
  <si>
    <t>3011083</t>
  </si>
  <si>
    <t>20105</t>
  </si>
  <si>
    <t>3011084</t>
  </si>
  <si>
    <t>20106</t>
  </si>
  <si>
    <t>1001,555522,3</t>
  </si>
  <si>
    <t>3011085</t>
  </si>
  <si>
    <t>20107</t>
  </si>
  <si>
    <t>3011086</t>
  </si>
  <si>
    <t>20108</t>
  </si>
  <si>
    <t>3011087</t>
  </si>
  <si>
    <t>20109</t>
  </si>
  <si>
    <t>3011088</t>
  </si>
  <si>
    <t>20110</t>
  </si>
  <si>
    <t>3011089</t>
  </si>
  <si>
    <t>20201</t>
  </si>
  <si>
    <t>20301</t>
  </si>
  <si>
    <t>1001,555522,4</t>
  </si>
  <si>
    <t>1001,555522,20</t>
  </si>
  <si>
    <t>3011090</t>
  </si>
  <si>
    <t>20302</t>
  </si>
  <si>
    <t>3011091</t>
  </si>
  <si>
    <t>20303</t>
  </si>
  <si>
    <t>3011092</t>
  </si>
  <si>
    <t>20304</t>
  </si>
  <si>
    <t>3011093</t>
  </si>
  <si>
    <t>20305</t>
  </si>
  <si>
    <t>3011094</t>
  </si>
  <si>
    <t>20306</t>
  </si>
  <si>
    <t>3011095</t>
  </si>
  <si>
    <t>20307</t>
  </si>
  <si>
    <t>1001,555522,5</t>
  </si>
  <si>
    <t>3011096</t>
  </si>
  <si>
    <t>20308</t>
  </si>
  <si>
    <t>3011097</t>
  </si>
  <si>
    <t>20309</t>
  </si>
  <si>
    <t>3011098</t>
  </si>
  <si>
    <t>20310</t>
  </si>
  <si>
    <t>3011099</t>
  </si>
  <si>
    <t>21501</t>
  </si>
  <si>
    <t>1001,555523,2</t>
  </si>
  <si>
    <t>1001,555523,10</t>
  </si>
  <si>
    <t>20401</t>
  </si>
  <si>
    <t>3011100</t>
  </si>
  <si>
    <t>20402</t>
  </si>
  <si>
    <t>3011101</t>
  </si>
  <si>
    <t>20403</t>
  </si>
  <si>
    <t>3011102</t>
  </si>
  <si>
    <t>20404</t>
  </si>
  <si>
    <t>1001,555523,3</t>
  </si>
  <si>
    <t>3011103</t>
  </si>
  <si>
    <t>20405</t>
  </si>
  <si>
    <t>1001,555523,15</t>
  </si>
  <si>
    <t>3011104</t>
  </si>
  <si>
    <t>20406</t>
  </si>
  <si>
    <t>3011105</t>
  </si>
  <si>
    <t>20407</t>
  </si>
  <si>
    <t>3011106</t>
  </si>
  <si>
    <t>20408</t>
  </si>
  <si>
    <t>1001,555523,4</t>
  </si>
  <si>
    <t>3011107</t>
  </si>
  <si>
    <t>20409</t>
  </si>
  <si>
    <t>3011108</t>
  </si>
  <si>
    <t>20410</t>
  </si>
  <si>
    <t>3011109</t>
  </si>
  <si>
    <t>20501</t>
  </si>
  <si>
    <t>20601</t>
  </si>
  <si>
    <t>1001,555523,20</t>
  </si>
  <si>
    <t>3011110</t>
  </si>
  <si>
    <t>20602</t>
  </si>
  <si>
    <t>3011111</t>
  </si>
  <si>
    <t>20603</t>
  </si>
  <si>
    <t>1001,555523,5</t>
  </si>
  <si>
    <t>3011112</t>
  </si>
  <si>
    <t>20604</t>
  </si>
  <si>
    <t>3011113</t>
  </si>
  <si>
    <t>20605</t>
  </si>
  <si>
    <t>3011114</t>
  </si>
  <si>
    <t>20606</t>
  </si>
  <si>
    <t>1001,555524,2</t>
  </si>
  <si>
    <t>1001,555524,10</t>
  </si>
  <si>
    <t>3011115</t>
  </si>
  <si>
    <t>20607</t>
  </si>
  <si>
    <t>3011116</t>
  </si>
  <si>
    <t>20608</t>
  </si>
  <si>
    <t>3011117</t>
  </si>
  <si>
    <t>20609</t>
  </si>
  <si>
    <t>3011118</t>
  </si>
  <si>
    <t>20610</t>
  </si>
  <si>
    <t>3011119</t>
  </si>
  <si>
    <t>20701</t>
  </si>
  <si>
    <t>20801</t>
  </si>
  <si>
    <t>1001,555524,3</t>
  </si>
  <si>
    <t>1001,555524,15</t>
  </si>
  <si>
    <t>3011120</t>
  </si>
  <si>
    <t>20802</t>
  </si>
  <si>
    <t>3011121</t>
  </si>
  <si>
    <t>20803</t>
  </si>
  <si>
    <t>3011122</t>
  </si>
  <si>
    <t>20804</t>
  </si>
  <si>
    <t>3011123</t>
  </si>
  <si>
    <t>20805</t>
  </si>
  <si>
    <t>1001,555524,4</t>
  </si>
  <si>
    <t>3011124</t>
  </si>
  <si>
    <t>20806</t>
  </si>
  <si>
    <t>1001,555524,20</t>
  </si>
  <si>
    <t>3011125</t>
  </si>
  <si>
    <t>20807</t>
  </si>
  <si>
    <t>3011126</t>
  </si>
  <si>
    <t>20808</t>
  </si>
  <si>
    <t>3011127</t>
  </si>
  <si>
    <t>20809</t>
  </si>
  <si>
    <t>1001,555524,5</t>
  </si>
  <si>
    <t>3011128</t>
  </si>
  <si>
    <t>20810</t>
  </si>
  <si>
    <t>3011129</t>
  </si>
  <si>
    <t>21601</t>
  </si>
  <si>
    <t>20901</t>
  </si>
  <si>
    <t>1001,555525,2</t>
  </si>
  <si>
    <t>1001,555525,10</t>
  </si>
  <si>
    <t>3011130</t>
  </si>
  <si>
    <t>20902</t>
  </si>
  <si>
    <t>3011131</t>
  </si>
  <si>
    <t>20903</t>
  </si>
  <si>
    <t>3011132</t>
  </si>
  <si>
    <t>20904</t>
  </si>
  <si>
    <t>3011133</t>
  </si>
  <si>
    <t>20905</t>
  </si>
  <si>
    <t>3011134</t>
  </si>
  <si>
    <t>20906</t>
  </si>
  <si>
    <t>3011135</t>
  </si>
  <si>
    <t>20907</t>
  </si>
  <si>
    <t>1001,555525,3</t>
  </si>
  <si>
    <t>3011136</t>
  </si>
  <si>
    <t>20908</t>
  </si>
  <si>
    <t>3011137</t>
  </si>
  <si>
    <t>20909</t>
  </si>
  <si>
    <t>3011138</t>
  </si>
  <si>
    <t>20910</t>
  </si>
  <si>
    <t>3011139</t>
  </si>
  <si>
    <t>21001</t>
  </si>
  <si>
    <t>21101</t>
  </si>
  <si>
    <t>3011140</t>
  </si>
  <si>
    <t>21102</t>
  </si>
  <si>
    <t>3011141</t>
  </si>
  <si>
    <t>21103</t>
  </si>
  <si>
    <t>3011142</t>
  </si>
  <si>
    <t>21104</t>
  </si>
  <si>
    <t>3011143</t>
  </si>
  <si>
    <t>21105</t>
  </si>
  <si>
    <t>1001,555525,4</t>
  </si>
  <si>
    <t>3011144</t>
  </si>
  <si>
    <t>21106</t>
  </si>
  <si>
    <t>3011145</t>
  </si>
  <si>
    <t>21107</t>
  </si>
  <si>
    <t>3011146</t>
  </si>
  <si>
    <t>21108</t>
  </si>
  <si>
    <t>3011147</t>
  </si>
  <si>
    <t>21109</t>
  </si>
  <si>
    <t>3011148</t>
  </si>
  <si>
    <t>21110</t>
  </si>
  <si>
    <t>3011149</t>
  </si>
  <si>
    <t>21201</t>
  </si>
  <si>
    <t>21301</t>
  </si>
  <si>
    <t>21401</t>
  </si>
  <si>
    <t>3011150</t>
  </si>
  <si>
    <t>21402</t>
  </si>
  <si>
    <t>3011151</t>
  </si>
  <si>
    <t>21403</t>
  </si>
  <si>
    <t>3011152</t>
  </si>
  <si>
    <t>21404</t>
  </si>
  <si>
    <t>1001,555525,5</t>
  </si>
  <si>
    <t>3011153</t>
  </si>
  <si>
    <t>21405</t>
  </si>
  <si>
    <t>3011154</t>
  </si>
  <si>
    <t>21406</t>
  </si>
  <si>
    <t>3011155</t>
  </si>
  <si>
    <t>21407</t>
  </si>
  <si>
    <t>3011156</t>
  </si>
  <si>
    <t>21408</t>
  </si>
  <si>
    <t>3011157</t>
  </si>
  <si>
    <t>21409</t>
  </si>
  <si>
    <t>3011158</t>
  </si>
  <si>
    <t>21410</t>
  </si>
  <si>
    <t>3011159</t>
  </si>
  <si>
    <t>30101</t>
  </si>
  <si>
    <t>1001,555512,2</t>
  </si>
  <si>
    <t>1001,555512,10</t>
  </si>
  <si>
    <t>3</t>
  </si>
  <si>
    <t>3011160</t>
  </si>
  <si>
    <t>30102</t>
  </si>
  <si>
    <t>3011161</t>
  </si>
  <si>
    <t>30103</t>
  </si>
  <si>
    <t>3011162</t>
  </si>
  <si>
    <t>30104</t>
  </si>
  <si>
    <t>3011163</t>
  </si>
  <si>
    <t>30105</t>
  </si>
  <si>
    <t>3011164</t>
  </si>
  <si>
    <t>30106</t>
  </si>
  <si>
    <t>1001,555512,3</t>
  </si>
  <si>
    <t>3011165</t>
  </si>
  <si>
    <t>30107</t>
  </si>
  <si>
    <t>3011166</t>
  </si>
  <si>
    <t>30108</t>
  </si>
  <si>
    <t>3011167</t>
  </si>
  <si>
    <t>30109</t>
  </si>
  <si>
    <t>3011168</t>
  </si>
  <si>
    <t>30110</t>
  </si>
  <si>
    <t>3011169</t>
  </si>
  <si>
    <t>30201</t>
  </si>
  <si>
    <t>30301</t>
  </si>
  <si>
    <t>1001,555512,4</t>
  </si>
  <si>
    <t>1001,555512,20</t>
  </si>
  <si>
    <t>3011170</t>
  </si>
  <si>
    <t>30302</t>
  </si>
  <si>
    <t>3011171</t>
  </si>
  <si>
    <t>30303</t>
  </si>
  <si>
    <t>3011172</t>
  </si>
  <si>
    <t>30304</t>
  </si>
  <si>
    <t>3011173</t>
  </si>
  <si>
    <t>30305</t>
  </si>
  <si>
    <t>3011174</t>
  </si>
  <si>
    <t>30306</t>
  </si>
  <si>
    <t>3011175</t>
  </si>
  <si>
    <t>30307</t>
  </si>
  <si>
    <t>1001,555512,5</t>
  </si>
  <si>
    <t>3011176</t>
  </si>
  <si>
    <t>30308</t>
  </si>
  <si>
    <t>3011177</t>
  </si>
  <si>
    <t>30309</t>
  </si>
  <si>
    <t>3011178</t>
  </si>
  <si>
    <t>30310</t>
  </si>
  <si>
    <t>3011179</t>
  </si>
  <si>
    <t>31501</t>
  </si>
  <si>
    <t>1001,555513,2</t>
  </si>
  <si>
    <t>1001,555513,10</t>
  </si>
  <si>
    <t>30401</t>
  </si>
  <si>
    <t>3011180</t>
  </si>
  <si>
    <t>30402</t>
  </si>
  <si>
    <t>3011181</t>
  </si>
  <si>
    <t>30403</t>
  </si>
  <si>
    <t>3011182</t>
  </si>
  <si>
    <t>30404</t>
  </si>
  <si>
    <t>1001,555513,3</t>
  </si>
  <si>
    <t>3011183</t>
  </si>
  <si>
    <t>30405</t>
  </si>
  <si>
    <t>1001,555513,15</t>
  </si>
  <si>
    <t>3011184</t>
  </si>
  <si>
    <t>30406</t>
  </si>
  <si>
    <t>3011185</t>
  </si>
  <si>
    <t>30407</t>
  </si>
  <si>
    <t>3011186</t>
  </si>
  <si>
    <t>30408</t>
  </si>
  <si>
    <t>1001,555513,4</t>
  </si>
  <si>
    <t>3011187</t>
  </si>
  <si>
    <t>30409</t>
  </si>
  <si>
    <t>3011188</t>
  </si>
  <si>
    <t>30410</t>
  </si>
  <si>
    <t>3011189</t>
  </si>
  <si>
    <t>30501</t>
  </si>
  <si>
    <t>30601</t>
  </si>
  <si>
    <t>1001,555513,20</t>
  </si>
  <si>
    <t>3011190</t>
  </si>
  <si>
    <t>30602</t>
  </si>
  <si>
    <t>3011191</t>
  </si>
  <si>
    <t>30603</t>
  </si>
  <si>
    <t>1001,555513,5</t>
  </si>
  <si>
    <t>3011192</t>
  </si>
  <si>
    <t>30604</t>
  </si>
  <si>
    <t>3011193</t>
  </si>
  <si>
    <t>30605</t>
  </si>
  <si>
    <t>3011194</t>
  </si>
  <si>
    <t>30606</t>
  </si>
  <si>
    <t>1001,555514,2</t>
  </si>
  <si>
    <t>1001,555514,10</t>
  </si>
  <si>
    <t>3011195</t>
  </si>
  <si>
    <t>30607</t>
  </si>
  <si>
    <t>3011196</t>
  </si>
  <si>
    <t>30608</t>
  </si>
  <si>
    <t>3011197</t>
  </si>
  <si>
    <t>30609</t>
  </si>
  <si>
    <t>3011198</t>
  </si>
  <si>
    <t>30610</t>
  </si>
  <si>
    <t>3011199</t>
  </si>
  <si>
    <t>30701</t>
  </si>
  <si>
    <t>30801</t>
  </si>
  <si>
    <t>1001,555514,3</t>
  </si>
  <si>
    <t>1001,555514,15</t>
  </si>
  <si>
    <t>3011200</t>
  </si>
  <si>
    <t>30802</t>
  </si>
  <si>
    <t>3011201</t>
  </si>
  <si>
    <t>30803</t>
  </si>
  <si>
    <t>3011202</t>
  </si>
  <si>
    <t>30804</t>
  </si>
  <si>
    <t>3011203</t>
  </si>
  <si>
    <t>30805</t>
  </si>
  <si>
    <t>1001,555514,4</t>
  </si>
  <si>
    <t>3011204</t>
  </si>
  <si>
    <t>30806</t>
  </si>
  <si>
    <t>1001,555514,20</t>
  </si>
  <si>
    <t>3011205</t>
  </si>
  <si>
    <t>30807</t>
  </si>
  <si>
    <t>3011206</t>
  </si>
  <si>
    <t>30808</t>
  </si>
  <si>
    <t>3011207</t>
  </si>
  <si>
    <t>30809</t>
  </si>
  <si>
    <t>1001,555514,5</t>
  </si>
  <si>
    <t>3011208</t>
  </si>
  <si>
    <t>30810</t>
  </si>
  <si>
    <t>3011209</t>
  </si>
  <si>
    <t>31601</t>
  </si>
  <si>
    <t>30901</t>
  </si>
  <si>
    <t>1001,555515,2</t>
  </si>
  <si>
    <t>1001,555515,10</t>
  </si>
  <si>
    <t>3011210</t>
  </si>
  <si>
    <t>30902</t>
  </si>
  <si>
    <t>3011211</t>
  </si>
  <si>
    <t>30903</t>
  </si>
  <si>
    <t>3011212</t>
  </si>
  <si>
    <t>30904</t>
  </si>
  <si>
    <t>3011213</t>
  </si>
  <si>
    <t>30905</t>
  </si>
  <si>
    <t>3011214</t>
  </si>
  <si>
    <t>30906</t>
  </si>
  <si>
    <t>3011215</t>
  </si>
  <si>
    <t>30907</t>
  </si>
  <si>
    <t>1001,555515,3</t>
  </si>
  <si>
    <t>3011216</t>
  </si>
  <si>
    <t>30908</t>
  </si>
  <si>
    <t>3011217</t>
  </si>
  <si>
    <t>30909</t>
  </si>
  <si>
    <t>3011218</t>
  </si>
  <si>
    <t>30910</t>
  </si>
  <si>
    <t>3011219</t>
  </si>
  <si>
    <t>31001</t>
  </si>
  <si>
    <t>31101</t>
  </si>
  <si>
    <t>3011220</t>
  </si>
  <si>
    <t>31102</t>
  </si>
  <si>
    <t>3011221</t>
  </si>
  <si>
    <t>31103</t>
  </si>
  <si>
    <t>3011222</t>
  </si>
  <si>
    <t>31104</t>
  </si>
  <si>
    <t>3011223</t>
  </si>
  <si>
    <t>31105</t>
  </si>
  <si>
    <t>1001,555515,4</t>
  </si>
  <si>
    <t>3011224</t>
  </si>
  <si>
    <t>31106</t>
  </si>
  <si>
    <t>3011225</t>
  </si>
  <si>
    <t>31107</t>
  </si>
  <si>
    <t>3011226</t>
  </si>
  <si>
    <t>31108</t>
  </si>
  <si>
    <t>3011227</t>
  </si>
  <si>
    <t>31109</t>
  </si>
  <si>
    <t>3011228</t>
  </si>
  <si>
    <t>31110</t>
  </si>
  <si>
    <t>3011229</t>
  </si>
  <si>
    <t>31201</t>
  </si>
  <si>
    <t>31301</t>
  </si>
  <si>
    <t>31401</t>
  </si>
  <si>
    <t>3011230</t>
  </si>
  <si>
    <t>31402</t>
  </si>
  <si>
    <t>3011231</t>
  </si>
  <si>
    <t>31403</t>
  </si>
  <si>
    <t>3011232</t>
  </si>
  <si>
    <t>31404</t>
  </si>
  <si>
    <t>1001,555515,5</t>
  </si>
  <si>
    <t>3011233</t>
  </si>
  <si>
    <t>31405</t>
  </si>
  <si>
    <t>3011234</t>
  </si>
  <si>
    <t>31406</t>
  </si>
  <si>
    <t>3011235</t>
  </si>
  <si>
    <t>31407</t>
  </si>
  <si>
    <t>3011236</t>
  </si>
  <si>
    <t>31408</t>
  </si>
  <si>
    <t>3011237</t>
  </si>
  <si>
    <t>31409</t>
  </si>
  <si>
    <t>3011238</t>
  </si>
  <si>
    <t>31410</t>
  </si>
  <si>
    <t>3011239</t>
  </si>
  <si>
    <t>40101</t>
  </si>
  <si>
    <t>1001,555502,2</t>
  </si>
  <si>
    <t>1001,555502,10</t>
  </si>
  <si>
    <t>4</t>
  </si>
  <si>
    <t>3011240</t>
  </si>
  <si>
    <t>40102</t>
  </si>
  <si>
    <t>3011241</t>
  </si>
  <si>
    <t>40103</t>
  </si>
  <si>
    <t>3011242</t>
  </si>
  <si>
    <t>40104</t>
  </si>
  <si>
    <t>3011243</t>
  </si>
  <si>
    <t>40105</t>
  </si>
  <si>
    <t>3011244</t>
  </si>
  <si>
    <t>40106</t>
  </si>
  <si>
    <t>1001,555502,3</t>
  </si>
  <si>
    <t>3011245</t>
  </si>
  <si>
    <t>40107</t>
  </si>
  <si>
    <t>3011246</t>
  </si>
  <si>
    <t>40108</t>
  </si>
  <si>
    <t>3011247</t>
  </si>
  <si>
    <t>40109</t>
  </si>
  <si>
    <t>3011248</t>
  </si>
  <si>
    <t>40110</t>
  </si>
  <si>
    <t>3011249</t>
  </si>
  <si>
    <t>40201</t>
  </si>
  <si>
    <t>40301</t>
  </si>
  <si>
    <t>1001,555502,4</t>
  </si>
  <si>
    <t>1001,555502,20</t>
  </si>
  <si>
    <t>3011250</t>
  </si>
  <si>
    <t>40302</t>
  </si>
  <si>
    <t>3011251</t>
  </si>
  <si>
    <t>40303</t>
  </si>
  <si>
    <t>3011252</t>
  </si>
  <si>
    <t>40304</t>
  </si>
  <si>
    <t>3011253</t>
  </si>
  <si>
    <t>40305</t>
  </si>
  <si>
    <t>3011254</t>
  </si>
  <si>
    <t>40306</t>
  </si>
  <si>
    <t>3011255</t>
  </si>
  <si>
    <t>40307</t>
  </si>
  <si>
    <t>1001,555502,5</t>
  </si>
  <si>
    <t>3011256</t>
  </si>
  <si>
    <t>40308</t>
  </si>
  <si>
    <t>3011257</t>
  </si>
  <si>
    <t>40309</t>
  </si>
  <si>
    <t>3011258</t>
  </si>
  <si>
    <t>40310</t>
  </si>
  <si>
    <t>3011259</t>
  </si>
  <si>
    <t>41501</t>
  </si>
  <si>
    <t>1001,555503,2</t>
  </si>
  <si>
    <t>1001,555503,10</t>
  </si>
  <si>
    <t>40401</t>
  </si>
  <si>
    <t>3011260</t>
  </si>
  <si>
    <t>40402</t>
  </si>
  <si>
    <t>3011261</t>
  </si>
  <si>
    <t>40403</t>
  </si>
  <si>
    <t>3011262</t>
  </si>
  <si>
    <t>40404</t>
  </si>
  <si>
    <t>1001,555503,3</t>
  </si>
  <si>
    <t>3011263</t>
  </si>
  <si>
    <t>40405</t>
  </si>
  <si>
    <t>1001,555503,15</t>
  </si>
  <si>
    <t>3011264</t>
  </si>
  <si>
    <t>40406</t>
  </si>
  <si>
    <t>3011265</t>
  </si>
  <si>
    <t>40407</t>
  </si>
  <si>
    <t>3011266</t>
  </si>
  <si>
    <t>40408</t>
  </si>
  <si>
    <t>1001,555503,4</t>
  </si>
  <si>
    <t>3011267</t>
  </si>
  <si>
    <t>40409</t>
  </si>
  <si>
    <t>3011268</t>
  </si>
  <si>
    <t>40410</t>
  </si>
  <si>
    <t>3011269</t>
  </si>
  <si>
    <t>40501</t>
  </si>
  <si>
    <t>40601</t>
  </si>
  <si>
    <t>1001,555503,20</t>
  </si>
  <si>
    <t>3011270</t>
  </si>
  <si>
    <t>40602</t>
  </si>
  <si>
    <t>3011271</t>
  </si>
  <si>
    <t>40603</t>
  </si>
  <si>
    <t>1001,555503,5</t>
  </si>
  <si>
    <t>3011272</t>
  </si>
  <si>
    <t>40604</t>
  </si>
  <si>
    <t>3011273</t>
  </si>
  <si>
    <t>40605</t>
  </si>
  <si>
    <t>3011274</t>
  </si>
  <si>
    <t>40606</t>
  </si>
  <si>
    <t>1001,555504,2</t>
  </si>
  <si>
    <t>1001,555504,10</t>
  </si>
  <si>
    <t>3011275</t>
  </si>
  <si>
    <t>40607</t>
  </si>
  <si>
    <t>3011276</t>
  </si>
  <si>
    <t>40608</t>
  </si>
  <si>
    <t>3011277</t>
  </si>
  <si>
    <t>40609</t>
  </si>
  <si>
    <t>3011278</t>
  </si>
  <si>
    <t>40610</t>
  </si>
  <si>
    <t>3011279</t>
  </si>
  <si>
    <t>40701</t>
  </si>
  <si>
    <t>40801</t>
  </si>
  <si>
    <t>1001,555504,3</t>
  </si>
  <si>
    <t>1001,555504,15</t>
  </si>
  <si>
    <t>3011280</t>
  </si>
  <si>
    <t>40802</t>
  </si>
  <si>
    <t>3011281</t>
  </si>
  <si>
    <t>40803</t>
  </si>
  <si>
    <t>3011282</t>
  </si>
  <si>
    <t>40804</t>
  </si>
  <si>
    <t>3011283</t>
  </si>
  <si>
    <t>40805</t>
  </si>
  <si>
    <t>1001,555504,4</t>
  </si>
  <si>
    <t>3011284</t>
  </si>
  <si>
    <t>40806</t>
  </si>
  <si>
    <t>1001,555504,20</t>
  </si>
  <si>
    <t>3011285</t>
  </si>
  <si>
    <t>40807</t>
  </si>
  <si>
    <t>3011286</t>
  </si>
  <si>
    <t>40808</t>
  </si>
  <si>
    <t>3011287</t>
  </si>
  <si>
    <t>40809</t>
  </si>
  <si>
    <t>1001,555504,5</t>
  </si>
  <si>
    <t>3011288</t>
  </si>
  <si>
    <t>40810</t>
  </si>
  <si>
    <t>3011289</t>
  </si>
  <si>
    <t>41601</t>
  </si>
  <si>
    <t>40901</t>
  </si>
  <si>
    <t>1001,555505,2</t>
  </si>
  <si>
    <t>1001,555505,10</t>
  </si>
  <si>
    <t>3011290</t>
  </si>
  <si>
    <t>40902</t>
  </si>
  <si>
    <t>3011291</t>
  </si>
  <si>
    <t>40903</t>
  </si>
  <si>
    <t>3011292</t>
  </si>
  <si>
    <t>40904</t>
  </si>
  <si>
    <t>3011293</t>
  </si>
  <si>
    <t>40905</t>
  </si>
  <si>
    <t>3011294</t>
  </si>
  <si>
    <t>40906</t>
  </si>
  <si>
    <t>3011295</t>
  </si>
  <si>
    <t>40907</t>
  </si>
  <si>
    <t>1001,555505,3</t>
  </si>
  <si>
    <t>3011296</t>
  </si>
  <si>
    <t>40908</t>
  </si>
  <si>
    <t>3011297</t>
  </si>
  <si>
    <t>40909</t>
  </si>
  <si>
    <t>3011298</t>
  </si>
  <si>
    <t>40910</t>
  </si>
  <si>
    <t>3011299</t>
  </si>
  <si>
    <t>41001</t>
  </si>
  <si>
    <t>41101</t>
  </si>
  <si>
    <t>3011300</t>
  </si>
  <si>
    <t>41102</t>
  </si>
  <si>
    <t>3011301</t>
  </si>
  <si>
    <t>41103</t>
  </si>
  <si>
    <t>3011302</t>
  </si>
  <si>
    <t>41104</t>
  </si>
  <si>
    <t>3011303</t>
  </si>
  <si>
    <t>41105</t>
  </si>
  <si>
    <t>1001,555505,4</t>
  </si>
  <si>
    <t>3011304</t>
  </si>
  <si>
    <t>41106</t>
  </si>
  <si>
    <t>3011305</t>
  </si>
  <si>
    <t>41107</t>
  </si>
  <si>
    <t>3011306</t>
  </si>
  <si>
    <t>41108</t>
  </si>
  <si>
    <t>3011307</t>
  </si>
  <si>
    <t>41109</t>
  </si>
  <si>
    <t>3011308</t>
  </si>
  <si>
    <t>41110</t>
  </si>
  <si>
    <t>3011309</t>
  </si>
  <si>
    <t>41201</t>
  </si>
  <si>
    <t>41301</t>
  </si>
  <si>
    <t>41401</t>
  </si>
  <si>
    <t>3011310</t>
  </si>
  <si>
    <t>41402</t>
  </si>
  <si>
    <t>3011311</t>
  </si>
  <si>
    <t>41403</t>
  </si>
  <si>
    <t>3011312</t>
  </si>
  <si>
    <t>41404</t>
  </si>
  <si>
    <t>1001,555505,5</t>
  </si>
  <si>
    <t>3011313</t>
  </si>
  <si>
    <t>41405</t>
  </si>
  <si>
    <t>3011314</t>
  </si>
  <si>
    <t>41406</t>
  </si>
  <si>
    <t>3011315</t>
  </si>
  <si>
    <t>41407</t>
  </si>
  <si>
    <t>3011316</t>
  </si>
  <si>
    <t>41408</t>
  </si>
  <si>
    <t>3011317</t>
  </si>
  <si>
    <t>41409</t>
  </si>
  <si>
    <t>3011318</t>
  </si>
  <si>
    <t>41410</t>
  </si>
  <si>
    <t>3011319</t>
  </si>
  <si>
    <t>星级获得参考</t>
  </si>
  <si>
    <t>{0}回合内通关</t>
  </si>
  <si>
    <t>n几回合通关</t>
  </si>
  <si>
    <t>1,4</t>
  </si>
  <si>
    <t>剩余角色大于{0}人</t>
  </si>
  <si>
    <t>剩余角色大于n人</t>
  </si>
  <si>
    <t>2,1</t>
  </si>
  <si>
    <t>上阵{0}角色不少于{1}个</t>
  </si>
  <si>
    <t>上阵角色中的 男性/女性 角色不少于N个</t>
  </si>
  <si>
    <t>{0}角色上阵最少{1}个</t>
  </si>
  <si>
    <t>指定X类型卡牌上阵最少Y个</t>
  </si>
  <si>
    <t>46,type-count</t>
  </si>
  <si>
    <t>4回合</t>
  </si>
  <si>
    <t>3回合</t>
  </si>
  <si>
    <t>2回合</t>
  </si>
  <si>
    <t>允许死2个，6关开始死1个</t>
  </si>
  <si>
    <t>允许死1个</t>
  </si>
  <si>
    <t>不允许死</t>
  </si>
  <si>
    <t>前5对应系上1个，6关开始上2个</t>
  </si>
  <si>
    <t>对应系上2个</t>
  </si>
  <si>
    <t>前4对应系上2个，5关开始上3个</t>
  </si>
  <si>
    <t>对应系上3个</t>
  </si>
  <si>
    <t>1组关</t>
  </si>
  <si>
    <t>2组关</t>
  </si>
  <si>
    <t>3组关</t>
  </si>
  <si>
    <t>4组关</t>
  </si>
  <si>
    <t>5组关</t>
  </si>
  <si>
    <t>6组关</t>
  </si>
  <si>
    <t>7组关</t>
  </si>
  <si>
    <t>8组关</t>
  </si>
  <si>
    <t>1,4;2,3;46,3-1</t>
  </si>
  <si>
    <t>1,4;2,4;46,3-2</t>
  </si>
  <si>
    <t>1,3;2,4;46,3-2</t>
  </si>
  <si>
    <t>1,2;2,5;46,3-2</t>
  </si>
  <si>
    <t>1,2;2,5;46,3-3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</si>
</sst>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0" borderId="0">
      <alignment vertical="center"/>
    </xf>
    <xf numFmtId="0" fontId="3" fillId="1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2" borderId="0">
      <alignment vertical="center"/>
    </xf>
    <xf numFmtId="0" fontId="4" fillId="13" borderId="0">
      <alignment vertical="center"/>
    </xf>
    <xf numFmtId="43" fontId="0" fillId="0" borderId="0">
      <alignment vertical="center"/>
    </xf>
    <xf numFmtId="0" fontId="5" fillId="14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3">
      <alignment vertical="center"/>
    </xf>
    <xf numFmtId="0" fontId="5" fillId="16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17" borderId="0">
      <alignment vertical="center"/>
    </xf>
    <xf numFmtId="0" fontId="8" fillId="0" borderId="5">
      <alignment vertical="center"/>
    </xf>
    <xf numFmtId="0" fontId="5" fillId="18" borderId="0">
      <alignment vertical="center"/>
    </xf>
    <xf numFmtId="0" fontId="14" fillId="19" borderId="6">
      <alignment vertical="center"/>
    </xf>
    <xf numFmtId="0" fontId="15" fillId="19" borderId="2">
      <alignment vertical="center"/>
    </xf>
    <xf numFmtId="0" fontId="16" fillId="20" borderId="7">
      <alignment vertical="center"/>
    </xf>
    <xf numFmtId="0" fontId="2" fillId="21" borderId="0">
      <alignment vertical="center"/>
    </xf>
    <xf numFmtId="0" fontId="5" fillId="22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" fillId="25" borderId="0">
      <alignment vertical="center"/>
    </xf>
    <xf numFmtId="0" fontId="5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5" fillId="35" borderId="0">
      <alignment vertical="center"/>
    </xf>
    <xf numFmtId="0" fontId="2" fillId="36" borderId="0">
      <alignment vertical="center"/>
    </xf>
    <xf numFmtId="0" fontId="5" fillId="37" borderId="0">
      <alignment vertical="center"/>
    </xf>
    <xf numFmtId="0" fontId="5" fillId="38" borderId="0">
      <alignment vertical="center"/>
    </xf>
    <xf numFmtId="0" fontId="2" fillId="39" borderId="0">
      <alignment vertical="center"/>
    </xf>
    <xf numFmtId="0" fontId="5" fillId="40" borderId="0">
      <alignment vertical="center"/>
    </xf>
  </cellStyleXfs>
  <cellXfs count="41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Border="1" applyAlignment="1" applyProtection="1">
      <alignment vertical="center"/>
    </xf>
    <xf numFmtId="49" fontId="0" fillId="4" borderId="1" xfId="0" applyNumberFormat="1" applyFont="1" applyFill="1" applyBorder="1" applyAlignment="1" applyProtection="1"/>
    <xf numFmtId="49" fontId="0" fillId="5" borderId="1" xfId="0" applyNumberFormat="1" applyFont="1" applyFill="1" applyBorder="1" applyAlignment="1" applyProtection="1"/>
    <xf numFmtId="49" fontId="0" fillId="6" borderId="1" xfId="0" applyNumberFormat="1" applyFont="1" applyFill="1" applyBorder="1" applyAlignment="1" applyProtection="1"/>
    <xf numFmtId="49" fontId="0" fillId="3" borderId="1" xfId="0" applyNumberFormat="1" applyFont="1" applyFill="1" applyBorder="1" applyAlignment="1" applyProtection="1"/>
    <xf numFmtId="49" fontId="0" fillId="7" borderId="1" xfId="0" applyNumberFormat="1" applyFont="1" applyFill="1" applyBorder="1" applyAlignment="1" applyProtection="1"/>
    <xf numFmtId="49" fontId="0" fillId="8" borderId="1" xfId="0" applyNumberFormat="1" applyFont="1" applyFill="1" applyBorder="1" applyAlignment="1" applyProtection="1"/>
    <xf numFmtId="49" fontId="0" fillId="9" borderId="1" xfId="0" applyNumberFormat="1" applyFont="1" applyFill="1" applyBorder="1" applyAlignment="1" applyProtection="1"/>
    <xf numFmtId="49" fontId="0" fillId="8" borderId="1" xfId="0" applyNumberFormat="1" applyFont="1" applyFill="1" applyBorder="1" applyAlignment="1" applyProtection="1">
      <alignment vertical="center"/>
    </xf>
    <xf numFmtId="49" fontId="0" fillId="5" borderId="1" xfId="0" applyNumberFormat="1" applyFont="1" applyFill="1" applyBorder="1" applyAlignment="1" applyProtection="1">
      <alignment vertical="center"/>
    </xf>
    <xf numFmtId="49" fontId="0" fillId="7" borderId="1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49" fontId="0" fillId="6" borderId="1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49" fontId="0" fillId="9" borderId="1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horizontal="left" vertical="center"/>
    </xf>
    <xf numFmtId="49" fontId="0" fillId="3" borderId="1" xfId="0" applyNumberFormat="1" applyFont="1" applyFill="1" applyBorder="1" applyAlignment="1" applyProtection="1">
      <alignment vertical="center"/>
    </xf>
    <xf numFmtId="176" fontId="0" fillId="0" borderId="1" xfId="0" applyNumberFormat="1" applyFont="1" applyFill="1" applyBorder="1" applyAlignment="1" applyProtection="1">
      <alignment horizontal="left" vertical="center"/>
    </xf>
    <xf numFmtId="176" fontId="0" fillId="3" borderId="1" xfId="0" applyNumberFormat="1" applyFont="1" applyFill="1" applyBorder="1" applyAlignment="1" applyProtection="1">
      <alignment horizontal="left" vertical="center"/>
    </xf>
    <xf numFmtId="176" fontId="0" fillId="8" borderId="1" xfId="0" applyNumberFormat="1" applyFont="1" applyFill="1" applyBorder="1" applyAlignment="1" applyProtection="1">
      <alignment horizontal="left" vertical="center"/>
    </xf>
    <xf numFmtId="0" fontId="0" fillId="5" borderId="1" xfId="0" applyNumberFormat="1" applyFont="1" applyFill="1" applyBorder="1" applyAlignment="1" applyProtection="1">
      <alignment vertical="center"/>
    </xf>
    <xf numFmtId="176" fontId="0" fillId="0" borderId="0" xfId="0" applyNumberFormat="1" applyFont="1" applyFill="1" applyBorder="1" applyAlignment="1" applyProtection="1">
      <alignment horizontal="left" vertical="center"/>
    </xf>
    <xf numFmtId="176" fontId="0" fillId="5" borderId="1" xfId="0" applyNumberFormat="1" applyFont="1" applyFill="1" applyBorder="1" applyAlignment="1" applyProtection="1">
      <alignment horizontal="left" vertical="center"/>
    </xf>
    <xf numFmtId="176" fontId="0" fillId="7" borderId="1" xfId="0" applyNumberFormat="1" applyFont="1" applyFill="1" applyBorder="1" applyAlignment="1" applyProtection="1">
      <alignment horizontal="left" vertical="center"/>
    </xf>
    <xf numFmtId="0" fontId="0" fillId="6" borderId="1" xfId="0" applyNumberFormat="1" applyFont="1" applyFill="1" applyBorder="1" applyAlignment="1" applyProtection="1">
      <alignment vertical="center"/>
    </xf>
    <xf numFmtId="176" fontId="0" fillId="5" borderId="0" xfId="0" applyNumberFormat="1" applyFont="1" applyFill="1" applyBorder="1" applyAlignment="1" applyProtection="1">
      <alignment horizontal="left" vertical="center"/>
    </xf>
    <xf numFmtId="176" fontId="0" fillId="6" borderId="1" xfId="0" applyNumberFormat="1" applyFont="1" applyFill="1" applyBorder="1" applyAlignment="1" applyProtection="1">
      <alignment horizontal="left" vertical="center"/>
    </xf>
    <xf numFmtId="0" fontId="0" fillId="9" borderId="1" xfId="0" applyNumberFormat="1" applyFont="1" applyFill="1" applyBorder="1" applyAlignment="1" applyProtection="1">
      <alignment vertical="center"/>
    </xf>
    <xf numFmtId="176" fontId="0" fillId="6" borderId="0" xfId="0" applyNumberFormat="1" applyFont="1" applyFill="1" applyBorder="1" applyAlignment="1" applyProtection="1">
      <alignment horizontal="left" vertical="center"/>
    </xf>
    <xf numFmtId="176" fontId="0" fillId="9" borderId="1" xfId="0" applyNumberFormat="1" applyFont="1" applyFill="1" applyBorder="1" applyAlignment="1" applyProtection="1">
      <alignment horizontal="left" vertical="center"/>
    </xf>
    <xf numFmtId="176" fontId="0" fillId="9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8"/>
  <sheetViews>
    <sheetView tabSelected="1" topLeftCell="B1" workbookViewId="0">
      <selection activeCell="M4" sqref="M4:M5"/>
    </sheetView>
  </sheetViews>
  <sheetFormatPr defaultColWidth="9" defaultRowHeight="13.5"/>
  <cols>
    <col min="1" max="1" width="11.875" style="23" customWidth="1"/>
    <col min="2" max="2" width="25.5" style="23" customWidth="1"/>
    <col min="3" max="3" width="31.5" style="23" customWidth="1"/>
    <col min="4" max="4" width="14.625" style="23" customWidth="1"/>
    <col min="5" max="5" width="35.75" style="23" customWidth="1"/>
    <col min="6" max="6" width="23.875" style="23" customWidth="1"/>
    <col min="7" max="7" width="15.5" style="23" customWidth="1"/>
    <col min="8" max="8" width="16" style="24" customWidth="1"/>
    <col min="9" max="9" width="13.375" style="23" customWidth="1"/>
    <col min="10" max="10" width="11.5" style="23" customWidth="1"/>
    <col min="11" max="11" width="9" style="23"/>
    <col min="12" max="12" width="16" style="25" customWidth="1"/>
    <col min="13" max="16384" width="9" style="23"/>
  </cols>
  <sheetData>
    <row r="1" spans="1:12">
      <c r="A1" s="23" t="s">
        <v>0</v>
      </c>
      <c r="B1" s="23" t="s">
        <v>1</v>
      </c>
      <c r="C1" s="23" t="s">
        <v>2</v>
      </c>
      <c r="D1" s="23" t="s">
        <v>3</v>
      </c>
      <c r="L1" s="2"/>
    </row>
    <row r="2" spans="1:13">
      <c r="A2" s="23" t="s">
        <v>4</v>
      </c>
      <c r="B2" s="23" t="s">
        <v>5</v>
      </c>
      <c r="C2" s="23" t="s">
        <v>6</v>
      </c>
      <c r="D2" s="23" t="s">
        <v>7</v>
      </c>
      <c r="E2" s="23" t="s">
        <v>8</v>
      </c>
      <c r="F2" s="23" t="s">
        <v>9</v>
      </c>
      <c r="G2" s="23" t="s">
        <v>10</v>
      </c>
      <c r="H2" s="24" t="s">
        <v>11</v>
      </c>
      <c r="I2" s="23" t="s">
        <v>12</v>
      </c>
      <c r="J2" s="23" t="s">
        <v>13</v>
      </c>
      <c r="K2" s="23" t="s">
        <v>14</v>
      </c>
      <c r="L2" s="27" t="s">
        <v>15</v>
      </c>
      <c r="M2" s="23" t="s">
        <v>16</v>
      </c>
    </row>
    <row r="3" spans="1:13">
      <c r="A3" s="23" t="s">
        <v>4</v>
      </c>
      <c r="B3" s="23" t="s">
        <v>17</v>
      </c>
      <c r="C3" s="23" t="s">
        <v>18</v>
      </c>
      <c r="D3" s="23" t="s">
        <v>19</v>
      </c>
      <c r="E3" s="23" t="s">
        <v>20</v>
      </c>
      <c r="F3" s="23" t="s">
        <v>21</v>
      </c>
      <c r="G3" s="23" t="s">
        <v>22</v>
      </c>
      <c r="H3" s="24" t="s">
        <v>23</v>
      </c>
      <c r="K3" s="23" t="s">
        <v>24</v>
      </c>
      <c r="M3" s="23" t="s">
        <v>25</v>
      </c>
    </row>
    <row r="4" spans="1:13">
      <c r="A4" s="23" t="s">
        <v>26</v>
      </c>
      <c r="B4" s="23" t="s">
        <v>27</v>
      </c>
      <c r="C4" s="23" t="s">
        <v>27</v>
      </c>
      <c r="D4" s="23" t="s">
        <v>27</v>
      </c>
      <c r="E4" s="23" t="s">
        <v>27</v>
      </c>
      <c r="F4" s="23" t="s">
        <v>26</v>
      </c>
      <c r="G4" s="23" t="s">
        <v>26</v>
      </c>
      <c r="H4" s="24" t="s">
        <v>27</v>
      </c>
      <c r="K4" s="23" t="s">
        <v>27</v>
      </c>
      <c r="M4" s="23" t="s">
        <v>27</v>
      </c>
    </row>
    <row r="5" spans="1:13">
      <c r="A5" s="23" t="s">
        <v>28</v>
      </c>
      <c r="B5" s="23" t="s">
        <v>29</v>
      </c>
      <c r="C5" s="23" t="s">
        <v>29</v>
      </c>
      <c r="D5" s="23" t="s">
        <v>29</v>
      </c>
      <c r="E5" s="23" t="s">
        <v>29</v>
      </c>
      <c r="F5" s="23" t="s">
        <v>29</v>
      </c>
      <c r="G5" s="23" t="s">
        <v>29</v>
      </c>
      <c r="H5" s="24" t="s">
        <v>29</v>
      </c>
      <c r="K5" s="23" t="s">
        <v>29</v>
      </c>
      <c r="M5" s="23" t="s">
        <v>29</v>
      </c>
    </row>
    <row r="6" spans="1:12">
      <c r="A6" s="23" t="s">
        <v>4</v>
      </c>
      <c r="C6" s="23" t="s">
        <v>18</v>
      </c>
      <c r="D6" s="23" t="s">
        <v>19</v>
      </c>
      <c r="E6" s="23" t="s">
        <v>20</v>
      </c>
      <c r="F6" s="23" t="s">
        <v>21</v>
      </c>
      <c r="G6" s="23" t="s">
        <v>22</v>
      </c>
      <c r="H6" s="24" t="s">
        <v>23</v>
      </c>
      <c r="I6" s="23" t="s">
        <v>30</v>
      </c>
      <c r="J6" s="23" t="s">
        <v>31</v>
      </c>
      <c r="L6" s="27" t="s">
        <v>32</v>
      </c>
    </row>
    <row r="7" spans="1:12">
      <c r="A7" s="8">
        <v>10101</v>
      </c>
      <c r="B7" s="23" t="s">
        <v>33</v>
      </c>
      <c r="C7" s="8" t="s">
        <v>34</v>
      </c>
      <c r="D7" s="8" t="s">
        <v>35</v>
      </c>
      <c r="E7" s="8" t="s">
        <v>36</v>
      </c>
      <c r="F7" s="23">
        <v>1</v>
      </c>
      <c r="G7" s="23">
        <v>1</v>
      </c>
      <c r="H7" s="24" t="str">
        <f ca="1">VLOOKUP(A7,Sheet2!$R:$T,3,FALSE)</f>
        <v>1,4;2,3;46,3-1</v>
      </c>
      <c r="I7" s="23" t="s">
        <v>37</v>
      </c>
      <c r="J7" s="23" t="s">
        <v>1</v>
      </c>
      <c r="K7" s="23" t="s">
        <v>38</v>
      </c>
      <c r="L7" s="25" t="s">
        <v>39</v>
      </c>
    </row>
    <row r="8" spans="1:12">
      <c r="A8" s="8">
        <v>10102</v>
      </c>
      <c r="B8" s="23" t="s">
        <v>33</v>
      </c>
      <c r="C8" s="8" t="s">
        <v>34</v>
      </c>
      <c r="D8" s="8" t="s">
        <v>35</v>
      </c>
      <c r="E8" s="8" t="s">
        <v>36</v>
      </c>
      <c r="F8" s="23">
        <v>1</v>
      </c>
      <c r="G8" s="23">
        <v>1</v>
      </c>
      <c r="H8" s="24" t="str">
        <f ca="1">VLOOKUP(A8,Sheet2!$R:$T,3,FALSE)</f>
        <v>1,4;2,3;46,3-1</v>
      </c>
      <c r="I8" s="23" t="s">
        <v>40</v>
      </c>
      <c r="J8" s="23" t="s">
        <v>1</v>
      </c>
      <c r="K8" s="23" t="s">
        <v>41</v>
      </c>
      <c r="L8" s="25" t="s">
        <v>39</v>
      </c>
    </row>
    <row r="9" spans="1:12">
      <c r="A9" s="8">
        <v>10103</v>
      </c>
      <c r="B9" s="23" t="s">
        <v>33</v>
      </c>
      <c r="C9" s="8" t="s">
        <v>34</v>
      </c>
      <c r="D9" s="8" t="s">
        <v>35</v>
      </c>
      <c r="E9" s="8" t="s">
        <v>36</v>
      </c>
      <c r="F9" s="23">
        <v>1</v>
      </c>
      <c r="G9" s="23">
        <v>1</v>
      </c>
      <c r="H9" s="24" t="str">
        <f ca="1">VLOOKUP(A9,Sheet2!$R:$T,3,FALSE)</f>
        <v>1,4;2,3;46,3-1</v>
      </c>
      <c r="I9" s="23" t="s">
        <v>42</v>
      </c>
      <c r="J9" s="23" t="s">
        <v>1</v>
      </c>
      <c r="K9" s="23" t="s">
        <v>43</v>
      </c>
      <c r="L9" s="27">
        <v>25</v>
      </c>
    </row>
    <row r="10" spans="1:12">
      <c r="A10" s="8">
        <v>10104</v>
      </c>
      <c r="B10" s="23" t="s">
        <v>33</v>
      </c>
      <c r="C10" s="8" t="s">
        <v>34</v>
      </c>
      <c r="D10" s="8" t="s">
        <v>35</v>
      </c>
      <c r="E10" s="8" t="s">
        <v>36</v>
      </c>
      <c r="F10" s="23">
        <v>1</v>
      </c>
      <c r="G10" s="23">
        <v>1</v>
      </c>
      <c r="H10" s="24" t="str">
        <f ca="1">VLOOKUP(A10,Sheet2!$R:$T,3,FALSE)</f>
        <v>1,4;2,3;46,3-1</v>
      </c>
      <c r="I10" s="23" t="s">
        <v>44</v>
      </c>
      <c r="J10" s="23" t="s">
        <v>1</v>
      </c>
      <c r="K10" s="23" t="s">
        <v>45</v>
      </c>
      <c r="L10" s="25" t="s">
        <v>39</v>
      </c>
    </row>
    <row r="11" spans="1:12">
      <c r="A11" s="8">
        <v>10105</v>
      </c>
      <c r="B11" s="23" t="s">
        <v>33</v>
      </c>
      <c r="C11" s="8" t="s">
        <v>34</v>
      </c>
      <c r="D11" s="8" t="s">
        <v>35</v>
      </c>
      <c r="E11" s="8" t="s">
        <v>36</v>
      </c>
      <c r="F11" s="23">
        <v>1</v>
      </c>
      <c r="G11" s="23">
        <v>1</v>
      </c>
      <c r="H11" s="24" t="str">
        <f ca="1">VLOOKUP(A11,Sheet2!$R:$T,3,FALSE)</f>
        <v>1,4;2,3;46,3-1</v>
      </c>
      <c r="I11" s="23" t="s">
        <v>46</v>
      </c>
      <c r="J11" s="23" t="s">
        <v>1</v>
      </c>
      <c r="K11" s="23" t="s">
        <v>47</v>
      </c>
      <c r="L11" s="25" t="s">
        <v>39</v>
      </c>
    </row>
    <row r="12" spans="1:12">
      <c r="A12" s="8">
        <v>10106</v>
      </c>
      <c r="B12" s="23" t="s">
        <v>33</v>
      </c>
      <c r="C12" s="8" t="s">
        <v>48</v>
      </c>
      <c r="D12" s="8" t="s">
        <v>35</v>
      </c>
      <c r="E12" s="8" t="s">
        <v>36</v>
      </c>
      <c r="F12" s="23">
        <v>1</v>
      </c>
      <c r="G12" s="23">
        <v>1</v>
      </c>
      <c r="H12" s="24" t="str">
        <f ca="1">VLOOKUP(A12,Sheet2!$R:$T,3,FALSE)</f>
        <v>1,4;2,4;46,3-2</v>
      </c>
      <c r="I12" s="23" t="s">
        <v>49</v>
      </c>
      <c r="J12" s="23" t="s">
        <v>1</v>
      </c>
      <c r="K12" s="23" t="s">
        <v>50</v>
      </c>
      <c r="L12" s="25" t="s">
        <v>39</v>
      </c>
    </row>
    <row r="13" spans="1:12">
      <c r="A13" s="8">
        <v>10107</v>
      </c>
      <c r="B13" s="23" t="s">
        <v>33</v>
      </c>
      <c r="C13" s="8" t="s">
        <v>48</v>
      </c>
      <c r="D13" s="8" t="s">
        <v>35</v>
      </c>
      <c r="E13" s="8" t="s">
        <v>36</v>
      </c>
      <c r="F13" s="23">
        <v>1</v>
      </c>
      <c r="G13" s="23">
        <v>1</v>
      </c>
      <c r="H13" s="24" t="str">
        <f ca="1">VLOOKUP(A13,Sheet2!$R:$T,3,FALSE)</f>
        <v>1,4;2,4;46,3-2</v>
      </c>
      <c r="I13" s="23" t="s">
        <v>51</v>
      </c>
      <c r="J13" s="23" t="s">
        <v>1</v>
      </c>
      <c r="K13" s="23" t="s">
        <v>52</v>
      </c>
      <c r="L13" s="25" t="s">
        <v>39</v>
      </c>
    </row>
    <row r="14" spans="1:12">
      <c r="A14" s="8">
        <v>10108</v>
      </c>
      <c r="B14" s="23" t="s">
        <v>33</v>
      </c>
      <c r="C14" s="8" t="s">
        <v>48</v>
      </c>
      <c r="D14" s="8" t="s">
        <v>35</v>
      </c>
      <c r="E14" s="8" t="s">
        <v>36</v>
      </c>
      <c r="F14" s="23">
        <v>1</v>
      </c>
      <c r="G14" s="23">
        <v>1</v>
      </c>
      <c r="H14" s="24" t="str">
        <f ca="1">VLOOKUP(A14,Sheet2!$R:$T,3,FALSE)</f>
        <v>1,4;2,4;46,3-2</v>
      </c>
      <c r="I14" s="23" t="s">
        <v>53</v>
      </c>
      <c r="J14" s="23" t="s">
        <v>1</v>
      </c>
      <c r="K14" s="23" t="s">
        <v>54</v>
      </c>
      <c r="L14" s="25" t="s">
        <v>39</v>
      </c>
    </row>
    <row r="15" spans="1:12">
      <c r="A15" s="8">
        <v>10109</v>
      </c>
      <c r="B15" s="23" t="s">
        <v>33</v>
      </c>
      <c r="C15" s="8" t="s">
        <v>48</v>
      </c>
      <c r="D15" s="8" t="s">
        <v>35</v>
      </c>
      <c r="E15" s="8" t="s">
        <v>36</v>
      </c>
      <c r="F15" s="23">
        <v>1</v>
      </c>
      <c r="G15" s="23">
        <v>1</v>
      </c>
      <c r="H15" s="24" t="str">
        <f ca="1">VLOOKUP(A15,Sheet2!$R:$T,3,FALSE)</f>
        <v>1,4;2,4;46,3-2</v>
      </c>
      <c r="I15" s="23" t="s">
        <v>55</v>
      </c>
      <c r="J15" s="23" t="s">
        <v>1</v>
      </c>
      <c r="K15" s="23" t="s">
        <v>56</v>
      </c>
      <c r="L15" s="25" t="s">
        <v>39</v>
      </c>
    </row>
    <row r="16" spans="1:12">
      <c r="A16" s="8">
        <v>10110</v>
      </c>
      <c r="B16" s="23" t="s">
        <v>33</v>
      </c>
      <c r="C16" s="8" t="s">
        <v>48</v>
      </c>
      <c r="D16" s="8" t="s">
        <v>35</v>
      </c>
      <c r="E16" s="8" t="s">
        <v>36</v>
      </c>
      <c r="F16" s="23">
        <v>1</v>
      </c>
      <c r="G16" s="23">
        <v>1</v>
      </c>
      <c r="H16" s="24" t="str">
        <f ca="1">VLOOKUP(A16,Sheet2!$R:$T,3,FALSE)</f>
        <v>1,4;2,4;46,3-2</v>
      </c>
      <c r="I16" s="23" t="s">
        <v>57</v>
      </c>
      <c r="J16" s="23" t="s">
        <v>1</v>
      </c>
      <c r="K16" s="23" t="s">
        <v>58</v>
      </c>
      <c r="L16" s="25" t="s">
        <v>39</v>
      </c>
    </row>
    <row r="17" spans="1:12">
      <c r="A17" s="11">
        <v>10201</v>
      </c>
      <c r="B17" s="23" t="s">
        <v>33</v>
      </c>
      <c r="C17" s="8" t="s">
        <v>59</v>
      </c>
      <c r="D17" s="8"/>
      <c r="E17" s="8" t="s">
        <v>36</v>
      </c>
      <c r="F17" s="23">
        <v>1</v>
      </c>
      <c r="G17" s="26">
        <v>2</v>
      </c>
      <c r="K17" s="26" t="s">
        <v>60</v>
      </c>
      <c r="L17" s="28"/>
    </row>
    <row r="18" spans="1:12">
      <c r="A18" s="8">
        <v>10301</v>
      </c>
      <c r="B18" s="23" t="s">
        <v>33</v>
      </c>
      <c r="C18" s="8" t="s">
        <v>61</v>
      </c>
      <c r="D18" s="8" t="s">
        <v>35</v>
      </c>
      <c r="E18" s="8" t="s">
        <v>62</v>
      </c>
      <c r="F18" s="23">
        <v>1</v>
      </c>
      <c r="G18" s="23">
        <v>3</v>
      </c>
      <c r="H18" s="24" t="str">
        <f ca="1">VLOOKUP(A18,Sheet2!$R:$T,3,FALSE)</f>
        <v>1,4;2,4;46,3-2</v>
      </c>
      <c r="I18" s="23" t="s">
        <v>63</v>
      </c>
      <c r="J18" s="23" t="s">
        <v>1</v>
      </c>
      <c r="K18" s="23" t="s">
        <v>64</v>
      </c>
      <c r="L18" s="25" t="s">
        <v>65</v>
      </c>
    </row>
    <row r="19" spans="1:12">
      <c r="A19" s="8">
        <v>10302</v>
      </c>
      <c r="B19" s="23" t="s">
        <v>33</v>
      </c>
      <c r="C19" s="8" t="s">
        <v>61</v>
      </c>
      <c r="D19" s="8" t="s">
        <v>35</v>
      </c>
      <c r="E19" s="8" t="s">
        <v>62</v>
      </c>
      <c r="F19" s="23">
        <v>1</v>
      </c>
      <c r="G19" s="23">
        <v>3</v>
      </c>
      <c r="H19" s="24" t="str">
        <f ca="1">VLOOKUP(A19,Sheet2!$R:$T,3,FALSE)</f>
        <v>1,4;2,4;46,3-2</v>
      </c>
      <c r="I19" s="23" t="s">
        <v>66</v>
      </c>
      <c r="J19" s="23" t="s">
        <v>1</v>
      </c>
      <c r="K19" s="23" t="s">
        <v>67</v>
      </c>
      <c r="L19" s="25" t="s">
        <v>65</v>
      </c>
    </row>
    <row r="20" spans="1:12">
      <c r="A20" s="8">
        <v>10303</v>
      </c>
      <c r="B20" s="23" t="s">
        <v>33</v>
      </c>
      <c r="C20" s="8" t="s">
        <v>61</v>
      </c>
      <c r="D20" s="8" t="s">
        <v>35</v>
      </c>
      <c r="E20" s="8" t="s">
        <v>62</v>
      </c>
      <c r="F20" s="23">
        <v>1</v>
      </c>
      <c r="G20" s="23">
        <v>3</v>
      </c>
      <c r="H20" s="24" t="str">
        <f ca="1">VLOOKUP(A20,Sheet2!$R:$T,3,FALSE)</f>
        <v>1,4;2,4;46,3-2</v>
      </c>
      <c r="I20" s="23" t="s">
        <v>68</v>
      </c>
      <c r="J20" s="23" t="s">
        <v>1</v>
      </c>
      <c r="K20" s="23" t="s">
        <v>69</v>
      </c>
      <c r="L20" s="25" t="s">
        <v>65</v>
      </c>
    </row>
    <row r="21" spans="1:12">
      <c r="A21" s="8">
        <v>10304</v>
      </c>
      <c r="B21" s="23" t="s">
        <v>33</v>
      </c>
      <c r="C21" s="8" t="s">
        <v>61</v>
      </c>
      <c r="D21" s="8" t="s">
        <v>35</v>
      </c>
      <c r="E21" s="8" t="s">
        <v>62</v>
      </c>
      <c r="F21" s="23">
        <v>1</v>
      </c>
      <c r="G21" s="23">
        <v>3</v>
      </c>
      <c r="H21" s="24" t="str">
        <f ca="1">VLOOKUP(A21,Sheet2!$R:$T,3,FALSE)</f>
        <v>1,4;2,4;46,3-2</v>
      </c>
      <c r="I21" s="23" t="s">
        <v>70</v>
      </c>
      <c r="J21" s="23" t="s">
        <v>1</v>
      </c>
      <c r="K21" s="23" t="s">
        <v>71</v>
      </c>
      <c r="L21" s="25" t="s">
        <v>65</v>
      </c>
    </row>
    <row r="22" spans="1:12">
      <c r="A22" s="8">
        <v>10305</v>
      </c>
      <c r="B22" s="23" t="s">
        <v>33</v>
      </c>
      <c r="C22" s="8" t="s">
        <v>61</v>
      </c>
      <c r="D22" s="8" t="s">
        <v>35</v>
      </c>
      <c r="E22" s="8" t="s">
        <v>62</v>
      </c>
      <c r="F22" s="23">
        <v>1</v>
      </c>
      <c r="G22" s="23">
        <v>3</v>
      </c>
      <c r="H22" s="24" t="str">
        <f ca="1">VLOOKUP(A22,Sheet2!$R:$T,3,FALSE)</f>
        <v>1,4;2,4;46,3-2</v>
      </c>
      <c r="I22" s="23" t="s">
        <v>72</v>
      </c>
      <c r="J22" s="23" t="s">
        <v>1</v>
      </c>
      <c r="K22" s="23" t="s">
        <v>73</v>
      </c>
      <c r="L22" s="25" t="s">
        <v>65</v>
      </c>
    </row>
    <row r="23" spans="1:12">
      <c r="A23" s="8">
        <v>10306</v>
      </c>
      <c r="B23" s="23" t="s">
        <v>33</v>
      </c>
      <c r="C23" s="8" t="s">
        <v>61</v>
      </c>
      <c r="D23" s="8" t="s">
        <v>35</v>
      </c>
      <c r="E23" s="8" t="s">
        <v>62</v>
      </c>
      <c r="F23" s="23">
        <v>1</v>
      </c>
      <c r="G23" s="23">
        <v>3</v>
      </c>
      <c r="H23" s="24" t="str">
        <f ca="1">VLOOKUP(A23,Sheet2!$R:$T,3,FALSE)</f>
        <v>1,4;2,4;46,3-2</v>
      </c>
      <c r="I23" s="23" t="s">
        <v>74</v>
      </c>
      <c r="J23" s="23" t="s">
        <v>1</v>
      </c>
      <c r="K23" s="23" t="s">
        <v>75</v>
      </c>
      <c r="L23" s="25" t="s">
        <v>76</v>
      </c>
    </row>
    <row r="24" spans="1:12">
      <c r="A24" s="8">
        <v>10307</v>
      </c>
      <c r="B24" s="23" t="s">
        <v>33</v>
      </c>
      <c r="C24" s="8" t="s">
        <v>77</v>
      </c>
      <c r="D24" s="8" t="s">
        <v>35</v>
      </c>
      <c r="E24" s="8" t="s">
        <v>62</v>
      </c>
      <c r="F24" s="23">
        <v>1</v>
      </c>
      <c r="G24" s="23">
        <v>3</v>
      </c>
      <c r="H24" s="24" t="str">
        <f ca="1">VLOOKUP(A24,Sheet2!$R:$T,3,FALSE)</f>
        <v>1,4;2,4;46,3-2</v>
      </c>
      <c r="I24" s="23" t="s">
        <v>78</v>
      </c>
      <c r="J24" s="23" t="s">
        <v>1</v>
      </c>
      <c r="K24" s="23" t="s">
        <v>79</v>
      </c>
      <c r="L24" s="25" t="s">
        <v>76</v>
      </c>
    </row>
    <row r="25" spans="1:12">
      <c r="A25" s="8">
        <v>10308</v>
      </c>
      <c r="B25" s="23" t="s">
        <v>33</v>
      </c>
      <c r="C25" s="8" t="s">
        <v>77</v>
      </c>
      <c r="D25" s="8" t="s">
        <v>35</v>
      </c>
      <c r="E25" s="8" t="s">
        <v>62</v>
      </c>
      <c r="F25" s="23">
        <v>1</v>
      </c>
      <c r="G25" s="23">
        <v>3</v>
      </c>
      <c r="H25" s="24" t="str">
        <f ca="1">VLOOKUP(A25,Sheet2!$R:$T,3,FALSE)</f>
        <v>1,4;2,4;46,3-2</v>
      </c>
      <c r="I25" s="23" t="s">
        <v>80</v>
      </c>
      <c r="J25" s="23" t="s">
        <v>1</v>
      </c>
      <c r="K25" s="23" t="s">
        <v>81</v>
      </c>
      <c r="L25" s="25" t="s">
        <v>76</v>
      </c>
    </row>
    <row r="26" spans="1:12">
      <c r="A26" s="8">
        <v>10309</v>
      </c>
      <c r="B26" s="23" t="s">
        <v>33</v>
      </c>
      <c r="C26" s="8" t="s">
        <v>77</v>
      </c>
      <c r="D26" s="8" t="s">
        <v>35</v>
      </c>
      <c r="E26" s="8" t="s">
        <v>62</v>
      </c>
      <c r="F26" s="23">
        <v>1</v>
      </c>
      <c r="G26" s="23">
        <v>3</v>
      </c>
      <c r="H26" s="24" t="str">
        <f ca="1">VLOOKUP(A26,Sheet2!$R:$T,3,FALSE)</f>
        <v>1,4;2,4;46,3-2</v>
      </c>
      <c r="I26" s="23" t="s">
        <v>82</v>
      </c>
      <c r="J26" s="23" t="s">
        <v>1</v>
      </c>
      <c r="K26" s="23" t="s">
        <v>83</v>
      </c>
      <c r="L26" s="25" t="s">
        <v>76</v>
      </c>
    </row>
    <row r="27" spans="1:12">
      <c r="A27" s="8">
        <v>10310</v>
      </c>
      <c r="B27" s="23" t="s">
        <v>33</v>
      </c>
      <c r="C27" s="8" t="s">
        <v>77</v>
      </c>
      <c r="D27" s="8" t="s">
        <v>35</v>
      </c>
      <c r="E27" s="8" t="s">
        <v>62</v>
      </c>
      <c r="F27" s="23">
        <v>1</v>
      </c>
      <c r="G27" s="23">
        <v>3</v>
      </c>
      <c r="H27" s="24" t="str">
        <f ca="1">VLOOKUP(A27,Sheet2!$R:$T,3,FALSE)</f>
        <v>1,4;2,4;46,3-2</v>
      </c>
      <c r="I27" s="23" t="s">
        <v>84</v>
      </c>
      <c r="J27" s="23" t="s">
        <v>1</v>
      </c>
      <c r="K27" s="23" t="s">
        <v>85</v>
      </c>
      <c r="L27" s="25" t="s">
        <v>76</v>
      </c>
    </row>
    <row r="28" s="15" customFormat="1" spans="1:12">
      <c r="A28" s="13">
        <v>11501</v>
      </c>
      <c r="B28" s="15" t="s">
        <v>33</v>
      </c>
      <c r="C28" s="13" t="s">
        <v>86</v>
      </c>
      <c r="D28" s="13" t="s">
        <v>35</v>
      </c>
      <c r="E28" s="13" t="s">
        <v>87</v>
      </c>
      <c r="F28" s="15">
        <v>1</v>
      </c>
      <c r="G28" s="15">
        <v>15</v>
      </c>
      <c r="H28" s="24"/>
      <c r="K28" s="15" t="s">
        <v>88</v>
      </c>
      <c r="L28" s="29">
        <v>40</v>
      </c>
    </row>
    <row r="29" spans="1:12">
      <c r="A29" s="8">
        <v>10401</v>
      </c>
      <c r="B29" s="23" t="s">
        <v>33</v>
      </c>
      <c r="C29" s="8" t="s">
        <v>86</v>
      </c>
      <c r="D29" s="8" t="s">
        <v>35</v>
      </c>
      <c r="E29" s="8" t="s">
        <v>87</v>
      </c>
      <c r="F29" s="23">
        <v>1</v>
      </c>
      <c r="G29" s="23">
        <v>4</v>
      </c>
      <c r="H29" s="24" t="str">
        <f ca="1">VLOOKUP(A29,Sheet2!$R:$T,3,FALSE)</f>
        <v>1,3;2,4;46,3-2</v>
      </c>
      <c r="I29" s="23" t="s">
        <v>89</v>
      </c>
      <c r="J29" s="23" t="s">
        <v>1</v>
      </c>
      <c r="K29" s="23" t="s">
        <v>90</v>
      </c>
      <c r="L29" s="25" t="s">
        <v>91</v>
      </c>
    </row>
    <row r="30" spans="1:12">
      <c r="A30" s="8">
        <v>10402</v>
      </c>
      <c r="B30" s="23" t="s">
        <v>33</v>
      </c>
      <c r="C30" s="8" t="s">
        <v>86</v>
      </c>
      <c r="D30" s="8" t="s">
        <v>35</v>
      </c>
      <c r="E30" s="8" t="s">
        <v>87</v>
      </c>
      <c r="F30" s="23">
        <v>1</v>
      </c>
      <c r="G30" s="23">
        <v>4</v>
      </c>
      <c r="H30" s="24" t="str">
        <f ca="1">VLOOKUP(A30,Sheet2!$R:$T,3,FALSE)</f>
        <v>1,3;2,4;46,3-2</v>
      </c>
      <c r="I30" s="23" t="s">
        <v>92</v>
      </c>
      <c r="J30" s="23" t="s">
        <v>1</v>
      </c>
      <c r="K30" s="23" t="s">
        <v>93</v>
      </c>
      <c r="L30" s="25" t="s">
        <v>91</v>
      </c>
    </row>
    <row r="31" spans="1:12">
      <c r="A31" s="8">
        <v>10403</v>
      </c>
      <c r="B31" s="23" t="s">
        <v>33</v>
      </c>
      <c r="C31" s="8" t="s">
        <v>86</v>
      </c>
      <c r="D31" s="8" t="s">
        <v>35</v>
      </c>
      <c r="E31" s="8" t="s">
        <v>87</v>
      </c>
      <c r="F31" s="23">
        <v>1</v>
      </c>
      <c r="G31" s="23">
        <v>4</v>
      </c>
      <c r="H31" s="24" t="str">
        <f ca="1">VLOOKUP(A31,Sheet2!$R:$T,3,FALSE)</f>
        <v>1,3;2,4;46,3-2</v>
      </c>
      <c r="I31" s="23" t="s">
        <v>94</v>
      </c>
      <c r="J31" s="23" t="s">
        <v>1</v>
      </c>
      <c r="K31" s="23" t="s">
        <v>95</v>
      </c>
      <c r="L31" s="25" t="s">
        <v>91</v>
      </c>
    </row>
    <row r="32" spans="1:12">
      <c r="A32" s="8">
        <v>10404</v>
      </c>
      <c r="B32" s="23" t="s">
        <v>33</v>
      </c>
      <c r="C32" s="8" t="s">
        <v>96</v>
      </c>
      <c r="D32" s="8" t="s">
        <v>35</v>
      </c>
      <c r="E32" s="8" t="s">
        <v>87</v>
      </c>
      <c r="F32" s="23">
        <v>1</v>
      </c>
      <c r="G32" s="23">
        <v>4</v>
      </c>
      <c r="H32" s="24" t="str">
        <f ca="1">VLOOKUP(A32,Sheet2!$R:$T,3,FALSE)</f>
        <v>1,3;2,4;46,3-2</v>
      </c>
      <c r="I32" s="23" t="s">
        <v>97</v>
      </c>
      <c r="J32" s="23" t="s">
        <v>1</v>
      </c>
      <c r="K32" s="23" t="s">
        <v>98</v>
      </c>
      <c r="L32" s="25" t="s">
        <v>91</v>
      </c>
    </row>
    <row r="33" spans="1:12">
      <c r="A33" s="8">
        <v>10405</v>
      </c>
      <c r="B33" s="23" t="s">
        <v>33</v>
      </c>
      <c r="C33" s="8" t="s">
        <v>96</v>
      </c>
      <c r="D33" s="8" t="s">
        <v>35</v>
      </c>
      <c r="E33" s="8" t="s">
        <v>99</v>
      </c>
      <c r="F33" s="23">
        <v>1</v>
      </c>
      <c r="G33" s="23">
        <v>4</v>
      </c>
      <c r="H33" s="24" t="str">
        <f ca="1">VLOOKUP(A33,Sheet2!$R:$T,3,FALSE)</f>
        <v>1,3;2,4;46,3-2</v>
      </c>
      <c r="I33" s="23" t="s">
        <v>100</v>
      </c>
      <c r="J33" s="23" t="s">
        <v>1</v>
      </c>
      <c r="K33" s="23" t="s">
        <v>101</v>
      </c>
      <c r="L33" s="25" t="s">
        <v>91</v>
      </c>
    </row>
    <row r="34" spans="1:12">
      <c r="A34" s="8">
        <v>10406</v>
      </c>
      <c r="B34" s="23" t="s">
        <v>33</v>
      </c>
      <c r="C34" s="8" t="s">
        <v>96</v>
      </c>
      <c r="D34" s="8" t="s">
        <v>35</v>
      </c>
      <c r="E34" s="8" t="s">
        <v>99</v>
      </c>
      <c r="F34" s="23">
        <v>1</v>
      </c>
      <c r="G34" s="23">
        <v>4</v>
      </c>
      <c r="H34" s="24" t="str">
        <f ca="1">VLOOKUP(A34,Sheet2!$R:$T,3,FALSE)</f>
        <v>1,3;2,4;46,3-2</v>
      </c>
      <c r="I34" s="23" t="s">
        <v>102</v>
      </c>
      <c r="J34" s="23" t="s">
        <v>1</v>
      </c>
      <c r="K34" s="23" t="s">
        <v>103</v>
      </c>
      <c r="L34" s="25" t="s">
        <v>91</v>
      </c>
    </row>
    <row r="35" spans="1:12">
      <c r="A35" s="8">
        <v>10407</v>
      </c>
      <c r="B35" s="23" t="s">
        <v>33</v>
      </c>
      <c r="C35" s="8" t="s">
        <v>96</v>
      </c>
      <c r="D35" s="8" t="s">
        <v>35</v>
      </c>
      <c r="E35" s="8" t="s">
        <v>99</v>
      </c>
      <c r="F35" s="23">
        <v>1</v>
      </c>
      <c r="G35" s="23">
        <v>4</v>
      </c>
      <c r="H35" s="24" t="str">
        <f ca="1">VLOOKUP(A35,Sheet2!$R:$T,3,FALSE)</f>
        <v>1,3;2,4;46,3-2</v>
      </c>
      <c r="I35" s="23" t="s">
        <v>104</v>
      </c>
      <c r="J35" s="23" t="s">
        <v>1</v>
      </c>
      <c r="K35" s="23" t="s">
        <v>105</v>
      </c>
      <c r="L35" s="25" t="s">
        <v>91</v>
      </c>
    </row>
    <row r="36" spans="1:12">
      <c r="A36" s="8">
        <v>10408</v>
      </c>
      <c r="B36" s="23" t="s">
        <v>33</v>
      </c>
      <c r="C36" s="8" t="s">
        <v>106</v>
      </c>
      <c r="D36" s="8" t="s">
        <v>35</v>
      </c>
      <c r="E36" s="8" t="s">
        <v>99</v>
      </c>
      <c r="F36" s="23">
        <v>1</v>
      </c>
      <c r="G36" s="23">
        <v>4</v>
      </c>
      <c r="H36" s="24" t="str">
        <f ca="1">VLOOKUP(A36,Sheet2!$R:$T,3,FALSE)</f>
        <v>1,3;2,4;46,3-2</v>
      </c>
      <c r="I36" s="23" t="s">
        <v>107</v>
      </c>
      <c r="J36" s="23" t="s">
        <v>1</v>
      </c>
      <c r="K36" s="23" t="s">
        <v>108</v>
      </c>
      <c r="L36" s="25" t="s">
        <v>91</v>
      </c>
    </row>
    <row r="37" spans="1:12">
      <c r="A37" s="8">
        <v>10409</v>
      </c>
      <c r="B37" s="23" t="s">
        <v>33</v>
      </c>
      <c r="C37" s="8" t="s">
        <v>106</v>
      </c>
      <c r="D37" s="8" t="s">
        <v>35</v>
      </c>
      <c r="E37" s="8" t="s">
        <v>99</v>
      </c>
      <c r="F37" s="23">
        <v>1</v>
      </c>
      <c r="G37" s="23">
        <v>4</v>
      </c>
      <c r="H37" s="24" t="str">
        <f ca="1">VLOOKUP(A37,Sheet2!$R:$T,3,FALSE)</f>
        <v>1,3;2,4;46,3-2</v>
      </c>
      <c r="I37" s="23" t="s">
        <v>109</v>
      </c>
      <c r="J37" s="23" t="s">
        <v>1</v>
      </c>
      <c r="K37" s="23" t="s">
        <v>110</v>
      </c>
      <c r="L37" s="25" t="s">
        <v>91</v>
      </c>
    </row>
    <row r="38" spans="1:12">
      <c r="A38" s="8">
        <v>10410</v>
      </c>
      <c r="B38" s="23" t="s">
        <v>33</v>
      </c>
      <c r="C38" s="8" t="s">
        <v>111</v>
      </c>
      <c r="D38" s="8" t="s">
        <v>35</v>
      </c>
      <c r="E38" s="8" t="s">
        <v>87</v>
      </c>
      <c r="F38" s="23">
        <v>1</v>
      </c>
      <c r="G38" s="23">
        <v>4</v>
      </c>
      <c r="H38" s="24" t="str">
        <f ca="1">VLOOKUP(A38,Sheet2!$R:$T,3,FALSE)</f>
        <v>1,3;2,4;46,3-2</v>
      </c>
      <c r="I38" s="23" t="s">
        <v>112</v>
      </c>
      <c r="J38" s="23" t="s">
        <v>1</v>
      </c>
      <c r="K38" s="23" t="s">
        <v>113</v>
      </c>
      <c r="L38" s="25" t="s">
        <v>91</v>
      </c>
    </row>
    <row r="39" spans="1:12">
      <c r="A39" s="11">
        <v>10501</v>
      </c>
      <c r="B39" s="23" t="s">
        <v>33</v>
      </c>
      <c r="C39" s="8" t="s">
        <v>114</v>
      </c>
      <c r="D39" s="8"/>
      <c r="E39" s="8" t="s">
        <v>115</v>
      </c>
      <c r="F39" s="23">
        <v>1</v>
      </c>
      <c r="G39" s="26">
        <v>5</v>
      </c>
      <c r="K39" s="26" t="s">
        <v>116</v>
      </c>
      <c r="L39" s="28"/>
    </row>
    <row r="40" spans="1:12">
      <c r="A40" s="8">
        <v>10601</v>
      </c>
      <c r="B40" s="23" t="s">
        <v>33</v>
      </c>
      <c r="C40" s="8" t="s">
        <v>106</v>
      </c>
      <c r="D40" s="8" t="s">
        <v>35</v>
      </c>
      <c r="E40" s="8" t="s">
        <v>117</v>
      </c>
      <c r="F40" s="23">
        <v>1</v>
      </c>
      <c r="G40" s="23">
        <v>6</v>
      </c>
      <c r="H40" s="24" t="str">
        <f ca="1">VLOOKUP(A40,Sheet2!$R:$T,3,FALSE)</f>
        <v>1,3;2,4;46,3-2</v>
      </c>
      <c r="I40" s="23" t="s">
        <v>118</v>
      </c>
      <c r="J40" s="23" t="s">
        <v>1</v>
      </c>
      <c r="K40" s="23" t="s">
        <v>119</v>
      </c>
      <c r="L40" s="25" t="s">
        <v>120</v>
      </c>
    </row>
    <row r="41" spans="1:12">
      <c r="A41" s="8">
        <v>10602</v>
      </c>
      <c r="B41" s="23" t="s">
        <v>33</v>
      </c>
      <c r="C41" s="8" t="s">
        <v>106</v>
      </c>
      <c r="D41" s="8" t="s">
        <v>35</v>
      </c>
      <c r="E41" s="8" t="s">
        <v>117</v>
      </c>
      <c r="F41" s="23">
        <v>1</v>
      </c>
      <c r="G41" s="23">
        <v>6</v>
      </c>
      <c r="H41" s="24" t="str">
        <f ca="1">VLOOKUP(A41,Sheet2!$R:$T,3,FALSE)</f>
        <v>1,3;2,4;46,3-2</v>
      </c>
      <c r="I41" s="23" t="s">
        <v>121</v>
      </c>
      <c r="J41" s="23" t="s">
        <v>1</v>
      </c>
      <c r="K41" s="23" t="s">
        <v>122</v>
      </c>
      <c r="L41" s="25" t="s">
        <v>120</v>
      </c>
    </row>
    <row r="42" spans="1:12">
      <c r="A42" s="8">
        <v>10603</v>
      </c>
      <c r="B42" s="23" t="s">
        <v>33</v>
      </c>
      <c r="C42" s="8" t="s">
        <v>123</v>
      </c>
      <c r="D42" s="8" t="s">
        <v>35</v>
      </c>
      <c r="E42" s="8" t="s">
        <v>117</v>
      </c>
      <c r="F42" s="23">
        <v>1</v>
      </c>
      <c r="G42" s="23">
        <v>6</v>
      </c>
      <c r="H42" s="24" t="str">
        <f ca="1">VLOOKUP(A42,Sheet2!$R:$T,3,FALSE)</f>
        <v>1,3;2,4;46,3-2</v>
      </c>
      <c r="I42" s="23" t="s">
        <v>124</v>
      </c>
      <c r="J42" s="23" t="s">
        <v>1</v>
      </c>
      <c r="K42" s="23" t="s">
        <v>125</v>
      </c>
      <c r="L42" s="25" t="s">
        <v>120</v>
      </c>
    </row>
    <row r="43" spans="1:12">
      <c r="A43" s="8">
        <v>10604</v>
      </c>
      <c r="B43" s="23" t="s">
        <v>33</v>
      </c>
      <c r="C43" s="8" t="s">
        <v>123</v>
      </c>
      <c r="D43" s="8" t="s">
        <v>35</v>
      </c>
      <c r="E43" s="8" t="s">
        <v>117</v>
      </c>
      <c r="F43" s="23">
        <v>1</v>
      </c>
      <c r="G43" s="23">
        <v>6</v>
      </c>
      <c r="H43" s="24" t="str">
        <f ca="1">VLOOKUP(A43,Sheet2!$R:$T,3,FALSE)</f>
        <v>1,3;2,4;46,3-2</v>
      </c>
      <c r="I43" s="23" t="s">
        <v>126</v>
      </c>
      <c r="J43" s="23" t="s">
        <v>1</v>
      </c>
      <c r="K43" s="23" t="s">
        <v>127</v>
      </c>
      <c r="L43" s="25" t="s">
        <v>120</v>
      </c>
    </row>
    <row r="44" spans="1:12">
      <c r="A44" s="8">
        <v>10605</v>
      </c>
      <c r="B44" s="23" t="s">
        <v>33</v>
      </c>
      <c r="C44" s="8" t="s">
        <v>123</v>
      </c>
      <c r="D44" s="8" t="s">
        <v>35</v>
      </c>
      <c r="E44" s="8" t="s">
        <v>117</v>
      </c>
      <c r="F44" s="23">
        <v>1</v>
      </c>
      <c r="G44" s="23">
        <v>6</v>
      </c>
      <c r="H44" s="24" t="str">
        <f ca="1">VLOOKUP(A44,Sheet2!$R:$T,3,FALSE)</f>
        <v>1,3;2,4;46,3-2</v>
      </c>
      <c r="I44" s="23" t="s">
        <v>128</v>
      </c>
      <c r="J44" s="23" t="s">
        <v>1</v>
      </c>
      <c r="K44" s="23" t="s">
        <v>129</v>
      </c>
      <c r="L44" s="25" t="s">
        <v>120</v>
      </c>
    </row>
    <row r="45" spans="1:12">
      <c r="A45" s="8">
        <v>10606</v>
      </c>
      <c r="B45" s="23" t="s">
        <v>33</v>
      </c>
      <c r="C45" s="8" t="s">
        <v>130</v>
      </c>
      <c r="D45" s="8" t="s">
        <v>35</v>
      </c>
      <c r="E45" s="8" t="s">
        <v>131</v>
      </c>
      <c r="F45" s="23">
        <v>1</v>
      </c>
      <c r="G45" s="23">
        <v>6</v>
      </c>
      <c r="H45" s="24" t="str">
        <f ca="1">VLOOKUP(A45,Sheet2!$R:$T,3,FALSE)</f>
        <v>1,3;2,4;46,3-2</v>
      </c>
      <c r="I45" s="23" t="s">
        <v>132</v>
      </c>
      <c r="J45" s="23" t="s">
        <v>1</v>
      </c>
      <c r="K45" s="23" t="s">
        <v>133</v>
      </c>
      <c r="L45" s="25" t="s">
        <v>134</v>
      </c>
    </row>
    <row r="46" spans="1:12">
      <c r="A46" s="8">
        <v>10607</v>
      </c>
      <c r="B46" s="23" t="s">
        <v>33</v>
      </c>
      <c r="C46" s="8" t="s">
        <v>130</v>
      </c>
      <c r="D46" s="8" t="s">
        <v>35</v>
      </c>
      <c r="E46" s="8" t="s">
        <v>131</v>
      </c>
      <c r="F46" s="23">
        <v>1</v>
      </c>
      <c r="G46" s="23">
        <v>6</v>
      </c>
      <c r="H46" s="24" t="str">
        <f ca="1">VLOOKUP(A46,Sheet2!$R:$T,3,FALSE)</f>
        <v>1,3;2,4;46,3-2</v>
      </c>
      <c r="I46" s="23" t="s">
        <v>135</v>
      </c>
      <c r="J46" s="23" t="s">
        <v>1</v>
      </c>
      <c r="K46" s="23" t="s">
        <v>136</v>
      </c>
      <c r="L46" s="25" t="s">
        <v>134</v>
      </c>
    </row>
    <row r="47" spans="1:12">
      <c r="A47" s="8">
        <v>10608</v>
      </c>
      <c r="B47" s="23" t="s">
        <v>33</v>
      </c>
      <c r="C47" s="8" t="s">
        <v>130</v>
      </c>
      <c r="D47" s="8" t="s">
        <v>35</v>
      </c>
      <c r="E47" s="8" t="s">
        <v>131</v>
      </c>
      <c r="F47" s="23">
        <v>1</v>
      </c>
      <c r="G47" s="23">
        <v>6</v>
      </c>
      <c r="H47" s="24" t="str">
        <f ca="1">VLOOKUP(A47,Sheet2!$R:$T,3,FALSE)</f>
        <v>1,3;2,4;46,3-2</v>
      </c>
      <c r="I47" s="23" t="s">
        <v>137</v>
      </c>
      <c r="J47" s="23" t="s">
        <v>1</v>
      </c>
      <c r="K47" s="23" t="s">
        <v>138</v>
      </c>
      <c r="L47" s="25" t="s">
        <v>134</v>
      </c>
    </row>
    <row r="48" spans="1:12">
      <c r="A48" s="8">
        <v>10609</v>
      </c>
      <c r="B48" s="23" t="s">
        <v>33</v>
      </c>
      <c r="C48" s="8" t="s">
        <v>130</v>
      </c>
      <c r="D48" s="8" t="s">
        <v>35</v>
      </c>
      <c r="E48" s="8" t="s">
        <v>131</v>
      </c>
      <c r="F48" s="23">
        <v>1</v>
      </c>
      <c r="G48" s="23">
        <v>6</v>
      </c>
      <c r="H48" s="24" t="str">
        <f ca="1">VLOOKUP(A48,Sheet2!$R:$T,3,FALSE)</f>
        <v>1,3;2,4;46,3-2</v>
      </c>
      <c r="I48" s="23" t="s">
        <v>139</v>
      </c>
      <c r="J48" s="23" t="s">
        <v>1</v>
      </c>
      <c r="K48" s="23" t="s">
        <v>140</v>
      </c>
      <c r="L48" s="25" t="s">
        <v>134</v>
      </c>
    </row>
    <row r="49" spans="1:12">
      <c r="A49" s="8">
        <v>10610</v>
      </c>
      <c r="B49" s="23" t="s">
        <v>33</v>
      </c>
      <c r="C49" s="8" t="s">
        <v>130</v>
      </c>
      <c r="D49" s="8" t="s">
        <v>35</v>
      </c>
      <c r="E49" s="8" t="s">
        <v>131</v>
      </c>
      <c r="F49" s="23">
        <v>1</v>
      </c>
      <c r="G49" s="23">
        <v>6</v>
      </c>
      <c r="H49" s="24" t="str">
        <f ca="1">VLOOKUP(A49,Sheet2!$R:$T,3,FALSE)</f>
        <v>1,3;2,4;46,3-2</v>
      </c>
      <c r="I49" s="23" t="s">
        <v>141</v>
      </c>
      <c r="J49" s="23" t="s">
        <v>1</v>
      </c>
      <c r="K49" s="23" t="s">
        <v>142</v>
      </c>
      <c r="L49" s="25" t="s">
        <v>134</v>
      </c>
    </row>
    <row r="50" spans="1:12">
      <c r="A50" s="11">
        <v>10701</v>
      </c>
      <c r="B50" s="23" t="s">
        <v>33</v>
      </c>
      <c r="C50" s="8" t="s">
        <v>143</v>
      </c>
      <c r="D50" s="8"/>
      <c r="E50" s="8" t="s">
        <v>131</v>
      </c>
      <c r="F50" s="23">
        <v>1</v>
      </c>
      <c r="G50" s="26">
        <v>7</v>
      </c>
      <c r="K50" s="26" t="s">
        <v>144</v>
      </c>
      <c r="L50" s="28"/>
    </row>
    <row r="51" spans="1:12">
      <c r="A51" s="8">
        <v>10801</v>
      </c>
      <c r="B51" s="23" t="s">
        <v>33</v>
      </c>
      <c r="C51" s="8" t="s">
        <v>145</v>
      </c>
      <c r="D51" s="8" t="s">
        <v>35</v>
      </c>
      <c r="E51" s="8" t="s">
        <v>146</v>
      </c>
      <c r="F51" s="23">
        <v>1</v>
      </c>
      <c r="G51" s="23">
        <v>8</v>
      </c>
      <c r="H51" s="24" t="str">
        <f ca="1">VLOOKUP(A51,Sheet2!$R:$T,3,FALSE)</f>
        <v>1,2;2,5;46,3-2</v>
      </c>
      <c r="I51" s="23" t="s">
        <v>147</v>
      </c>
      <c r="J51" s="23" t="s">
        <v>1</v>
      </c>
      <c r="K51" s="23" t="s">
        <v>148</v>
      </c>
      <c r="L51" s="25" t="s">
        <v>134</v>
      </c>
    </row>
    <row r="52" spans="1:12">
      <c r="A52" s="8">
        <v>10802</v>
      </c>
      <c r="B52" s="23" t="s">
        <v>33</v>
      </c>
      <c r="C52" s="8" t="s">
        <v>145</v>
      </c>
      <c r="D52" s="8" t="s">
        <v>35</v>
      </c>
      <c r="E52" s="8" t="s">
        <v>146</v>
      </c>
      <c r="F52" s="23">
        <v>1</v>
      </c>
      <c r="G52" s="23">
        <v>8</v>
      </c>
      <c r="H52" s="24" t="str">
        <f ca="1">VLOOKUP(A52,Sheet2!$R:$T,3,FALSE)</f>
        <v>1,2;2,5;46,3-2</v>
      </c>
      <c r="I52" s="23" t="s">
        <v>149</v>
      </c>
      <c r="J52" s="23" t="s">
        <v>1</v>
      </c>
      <c r="K52" s="23" t="s">
        <v>150</v>
      </c>
      <c r="L52" s="25" t="s">
        <v>134</v>
      </c>
    </row>
    <row r="53" spans="1:12">
      <c r="A53" s="8">
        <v>10803</v>
      </c>
      <c r="B53" s="23" t="s">
        <v>33</v>
      </c>
      <c r="C53" s="8" t="s">
        <v>145</v>
      </c>
      <c r="D53" s="8" t="s">
        <v>35</v>
      </c>
      <c r="E53" s="8" t="s">
        <v>146</v>
      </c>
      <c r="F53" s="23">
        <v>1</v>
      </c>
      <c r="G53" s="23">
        <v>8</v>
      </c>
      <c r="H53" s="24" t="str">
        <f ca="1">VLOOKUP(A53,Sheet2!$R:$T,3,FALSE)</f>
        <v>1,2;2,5;46,3-2</v>
      </c>
      <c r="I53" s="23" t="s">
        <v>151</v>
      </c>
      <c r="J53" s="23" t="s">
        <v>1</v>
      </c>
      <c r="K53" s="23" t="s">
        <v>152</v>
      </c>
      <c r="L53" s="25" t="s">
        <v>134</v>
      </c>
    </row>
    <row r="54" spans="1:12">
      <c r="A54" s="8">
        <v>10804</v>
      </c>
      <c r="B54" s="23" t="s">
        <v>33</v>
      </c>
      <c r="C54" s="8" t="s">
        <v>145</v>
      </c>
      <c r="D54" s="8" t="s">
        <v>35</v>
      </c>
      <c r="E54" s="8" t="s">
        <v>146</v>
      </c>
      <c r="F54" s="23">
        <v>1</v>
      </c>
      <c r="G54" s="23">
        <v>8</v>
      </c>
      <c r="H54" s="24" t="str">
        <f ca="1">VLOOKUP(A54,Sheet2!$R:$T,3,FALSE)</f>
        <v>1,2;2,5;46,3-2</v>
      </c>
      <c r="I54" s="23" t="s">
        <v>153</v>
      </c>
      <c r="J54" s="23" t="s">
        <v>1</v>
      </c>
      <c r="K54" s="23" t="s">
        <v>154</v>
      </c>
      <c r="L54" s="25" t="s">
        <v>134</v>
      </c>
    </row>
    <row r="55" spans="1:12">
      <c r="A55" s="8">
        <v>10805</v>
      </c>
      <c r="B55" s="23" t="s">
        <v>33</v>
      </c>
      <c r="C55" s="8" t="s">
        <v>155</v>
      </c>
      <c r="D55" s="8" t="s">
        <v>35</v>
      </c>
      <c r="E55" s="8" t="s">
        <v>146</v>
      </c>
      <c r="F55" s="23">
        <v>1</v>
      </c>
      <c r="G55" s="23">
        <v>8</v>
      </c>
      <c r="H55" s="24" t="str">
        <f ca="1">VLOOKUP(A55,Sheet2!$R:$T,3,FALSE)</f>
        <v>1,2;2,5;46,3-3</v>
      </c>
      <c r="I55" s="23" t="s">
        <v>156</v>
      </c>
      <c r="J55" s="23" t="s">
        <v>1</v>
      </c>
      <c r="K55" s="23" t="s">
        <v>157</v>
      </c>
      <c r="L55" s="25" t="s">
        <v>134</v>
      </c>
    </row>
    <row r="56" spans="1:11">
      <c r="A56" s="8">
        <v>10806</v>
      </c>
      <c r="B56" s="23" t="s">
        <v>33</v>
      </c>
      <c r="C56" s="8" t="s">
        <v>155</v>
      </c>
      <c r="D56" s="8" t="s">
        <v>35</v>
      </c>
      <c r="E56" s="8" t="s">
        <v>158</v>
      </c>
      <c r="F56" s="23">
        <v>1</v>
      </c>
      <c r="G56" s="23">
        <v>8</v>
      </c>
      <c r="H56" s="24" t="str">
        <f ca="1">VLOOKUP(A56,Sheet2!$R:$T,3,FALSE)</f>
        <v>1,2;2,5;46,3-3</v>
      </c>
      <c r="I56" s="23" t="s">
        <v>159</v>
      </c>
      <c r="J56" s="23" t="s">
        <v>1</v>
      </c>
      <c r="K56" s="23" t="s">
        <v>160</v>
      </c>
    </row>
    <row r="57" spans="1:11">
      <c r="A57" s="8">
        <v>10807</v>
      </c>
      <c r="B57" s="23" t="s">
        <v>33</v>
      </c>
      <c r="C57" s="8" t="s">
        <v>155</v>
      </c>
      <c r="D57" s="8" t="s">
        <v>35</v>
      </c>
      <c r="E57" s="8" t="s">
        <v>158</v>
      </c>
      <c r="F57" s="23">
        <v>1</v>
      </c>
      <c r="G57" s="23">
        <v>8</v>
      </c>
      <c r="H57" s="24" t="str">
        <f ca="1">VLOOKUP(A57,Sheet2!$R:$T,3,FALSE)</f>
        <v>1,2;2,5;46,3-3</v>
      </c>
      <c r="I57" s="23" t="s">
        <v>161</v>
      </c>
      <c r="J57" s="23" t="s">
        <v>1</v>
      </c>
      <c r="K57" s="23" t="s">
        <v>162</v>
      </c>
    </row>
    <row r="58" spans="1:11">
      <c r="A58" s="8">
        <v>10808</v>
      </c>
      <c r="B58" s="23" t="s">
        <v>33</v>
      </c>
      <c r="C58" s="8" t="s">
        <v>155</v>
      </c>
      <c r="D58" s="8" t="s">
        <v>35</v>
      </c>
      <c r="E58" s="8" t="s">
        <v>158</v>
      </c>
      <c r="F58" s="23">
        <v>1</v>
      </c>
      <c r="G58" s="23">
        <v>8</v>
      </c>
      <c r="H58" s="24" t="str">
        <f ca="1">VLOOKUP(A58,Sheet2!$R:$T,3,FALSE)</f>
        <v>1,2;2,5;46,3-3</v>
      </c>
      <c r="I58" s="23" t="s">
        <v>163</v>
      </c>
      <c r="J58" s="23" t="s">
        <v>1</v>
      </c>
      <c r="K58" s="23" t="s">
        <v>164</v>
      </c>
    </row>
    <row r="59" spans="1:11">
      <c r="A59" s="8">
        <v>10809</v>
      </c>
      <c r="B59" s="23" t="s">
        <v>33</v>
      </c>
      <c r="C59" s="8" t="s">
        <v>165</v>
      </c>
      <c r="D59" s="8" t="s">
        <v>35</v>
      </c>
      <c r="E59" s="8" t="s">
        <v>158</v>
      </c>
      <c r="F59" s="23">
        <v>1</v>
      </c>
      <c r="G59" s="23">
        <v>8</v>
      </c>
      <c r="H59" s="24" t="str">
        <f ca="1">VLOOKUP(A59,Sheet2!$R:$T,3,FALSE)</f>
        <v>1,2;2,5;46,3-3</v>
      </c>
      <c r="I59" s="23" t="s">
        <v>166</v>
      </c>
      <c r="J59" s="23" t="s">
        <v>1</v>
      </c>
      <c r="K59" s="23" t="s">
        <v>167</v>
      </c>
    </row>
    <row r="60" spans="1:11">
      <c r="A60" s="8">
        <v>10810</v>
      </c>
      <c r="B60" s="23" t="s">
        <v>33</v>
      </c>
      <c r="C60" s="8" t="s">
        <v>165</v>
      </c>
      <c r="D60" s="8" t="s">
        <v>35</v>
      </c>
      <c r="E60" s="8" t="s">
        <v>158</v>
      </c>
      <c r="F60" s="23">
        <v>1</v>
      </c>
      <c r="G60" s="23">
        <v>8</v>
      </c>
      <c r="H60" s="24" t="str">
        <f ca="1">VLOOKUP(A60,Sheet2!$R:$T,3,FALSE)</f>
        <v>1,2;2,5;46,3-3</v>
      </c>
      <c r="I60" s="23" t="s">
        <v>168</v>
      </c>
      <c r="J60" s="23" t="s">
        <v>1</v>
      </c>
      <c r="K60" s="23" t="s">
        <v>169</v>
      </c>
    </row>
    <row r="61" s="15" customFormat="1" spans="1:12">
      <c r="A61" s="13">
        <v>11601</v>
      </c>
      <c r="B61" s="15" t="s">
        <v>33</v>
      </c>
      <c r="C61" s="13" t="s">
        <v>114</v>
      </c>
      <c r="D61" s="13"/>
      <c r="E61" s="13" t="s">
        <v>115</v>
      </c>
      <c r="F61" s="15">
        <v>1</v>
      </c>
      <c r="G61" s="15">
        <v>16</v>
      </c>
      <c r="H61" s="24"/>
      <c r="K61" s="15" t="s">
        <v>170</v>
      </c>
      <c r="L61" s="29"/>
    </row>
    <row r="62" spans="1:11">
      <c r="A62" s="8">
        <v>10901</v>
      </c>
      <c r="B62" s="23" t="s">
        <v>33</v>
      </c>
      <c r="C62" s="8" t="s">
        <v>171</v>
      </c>
      <c r="D62" s="8" t="s">
        <v>35</v>
      </c>
      <c r="E62" s="8" t="s">
        <v>172</v>
      </c>
      <c r="F62" s="23">
        <v>1</v>
      </c>
      <c r="G62" s="23">
        <v>9</v>
      </c>
      <c r="H62" s="24" t="str">
        <f ca="1">VLOOKUP(A62,Sheet2!$R:$T,3,FALSE)</f>
        <v>1,2;2,5;46,3-3</v>
      </c>
      <c r="I62" s="23" t="s">
        <v>173</v>
      </c>
      <c r="J62" s="23" t="s">
        <v>1</v>
      </c>
      <c r="K62" s="23" t="s">
        <v>174</v>
      </c>
    </row>
    <row r="63" spans="1:11">
      <c r="A63" s="8">
        <v>10902</v>
      </c>
      <c r="B63" s="23" t="s">
        <v>33</v>
      </c>
      <c r="C63" s="8" t="s">
        <v>171</v>
      </c>
      <c r="D63" s="8" t="s">
        <v>35</v>
      </c>
      <c r="E63" s="8" t="s">
        <v>172</v>
      </c>
      <c r="F63" s="23">
        <v>1</v>
      </c>
      <c r="G63" s="23">
        <v>9</v>
      </c>
      <c r="H63" s="24" t="str">
        <f ca="1">VLOOKUP(A63,Sheet2!$R:$T,3,FALSE)</f>
        <v>1,2;2,5;46,3-3</v>
      </c>
      <c r="I63" s="23" t="s">
        <v>175</v>
      </c>
      <c r="J63" s="23" t="s">
        <v>1</v>
      </c>
      <c r="K63" s="23" t="s">
        <v>176</v>
      </c>
    </row>
    <row r="64" spans="1:11">
      <c r="A64" s="8">
        <v>10903</v>
      </c>
      <c r="B64" s="23" t="s">
        <v>33</v>
      </c>
      <c r="C64" s="8" t="s">
        <v>171</v>
      </c>
      <c r="D64" s="8" t="s">
        <v>35</v>
      </c>
      <c r="E64" s="8" t="s">
        <v>172</v>
      </c>
      <c r="F64" s="23">
        <v>1</v>
      </c>
      <c r="G64" s="23">
        <v>9</v>
      </c>
      <c r="H64" s="24" t="str">
        <f ca="1">VLOOKUP(A64,Sheet2!$R:$T,3,FALSE)</f>
        <v>1,2;2,5;46,3-3</v>
      </c>
      <c r="I64" s="23" t="s">
        <v>177</v>
      </c>
      <c r="J64" s="23" t="s">
        <v>1</v>
      </c>
      <c r="K64" s="23" t="s">
        <v>178</v>
      </c>
    </row>
    <row r="65" spans="1:11">
      <c r="A65" s="8">
        <v>10904</v>
      </c>
      <c r="B65" s="23" t="s">
        <v>33</v>
      </c>
      <c r="C65" s="8" t="s">
        <v>171</v>
      </c>
      <c r="D65" s="8" t="s">
        <v>35</v>
      </c>
      <c r="E65" s="8" t="s">
        <v>172</v>
      </c>
      <c r="F65" s="23">
        <v>1</v>
      </c>
      <c r="G65" s="23">
        <v>9</v>
      </c>
      <c r="H65" s="24" t="str">
        <f ca="1">VLOOKUP(A65,Sheet2!$R:$T,3,FALSE)</f>
        <v>1,2;2,5;46,3-3</v>
      </c>
      <c r="I65" s="23" t="s">
        <v>179</v>
      </c>
      <c r="J65" s="23" t="s">
        <v>1</v>
      </c>
      <c r="K65" s="23" t="s">
        <v>180</v>
      </c>
    </row>
    <row r="66" spans="1:11">
      <c r="A66" s="8">
        <v>10905</v>
      </c>
      <c r="B66" s="23" t="s">
        <v>33</v>
      </c>
      <c r="C66" s="8" t="s">
        <v>171</v>
      </c>
      <c r="D66" s="8" t="s">
        <v>35</v>
      </c>
      <c r="E66" s="8" t="s">
        <v>172</v>
      </c>
      <c r="F66" s="23">
        <v>1</v>
      </c>
      <c r="G66" s="23">
        <v>9</v>
      </c>
      <c r="H66" s="24" t="str">
        <f ca="1">VLOOKUP(A66,Sheet2!$R:$T,3,FALSE)</f>
        <v>1,2;2,5;46,3-3</v>
      </c>
      <c r="I66" s="23" t="s">
        <v>181</v>
      </c>
      <c r="J66" s="23" t="s">
        <v>1</v>
      </c>
      <c r="K66" s="23" t="s">
        <v>182</v>
      </c>
    </row>
    <row r="67" spans="1:11">
      <c r="A67" s="8">
        <v>10906</v>
      </c>
      <c r="B67" s="23" t="s">
        <v>33</v>
      </c>
      <c r="C67" s="8" t="s">
        <v>171</v>
      </c>
      <c r="D67" s="8" t="s">
        <v>35</v>
      </c>
      <c r="E67" s="8" t="s">
        <v>172</v>
      </c>
      <c r="F67" s="23">
        <v>1</v>
      </c>
      <c r="G67" s="23">
        <v>9</v>
      </c>
      <c r="H67" s="24" t="str">
        <f ca="1">VLOOKUP(A67,Sheet2!$R:$T,3,FALSE)</f>
        <v>1,2;2,5;46,3-3</v>
      </c>
      <c r="I67" s="23" t="s">
        <v>183</v>
      </c>
      <c r="J67" s="23" t="s">
        <v>1</v>
      </c>
      <c r="K67" s="23" t="s">
        <v>184</v>
      </c>
    </row>
    <row r="68" spans="1:11">
      <c r="A68" s="8">
        <v>10907</v>
      </c>
      <c r="B68" s="23" t="s">
        <v>33</v>
      </c>
      <c r="C68" s="8" t="s">
        <v>185</v>
      </c>
      <c r="D68" s="8" t="s">
        <v>35</v>
      </c>
      <c r="E68" s="8" t="s">
        <v>172</v>
      </c>
      <c r="F68" s="23">
        <v>1</v>
      </c>
      <c r="G68" s="23">
        <v>9</v>
      </c>
      <c r="H68" s="24" t="str">
        <f ca="1">VLOOKUP(A68,Sheet2!$R:$T,3,FALSE)</f>
        <v>1,2;2,5;46,3-3</v>
      </c>
      <c r="I68" s="23" t="s">
        <v>186</v>
      </c>
      <c r="J68" s="23" t="s">
        <v>1</v>
      </c>
      <c r="K68" s="23" t="s">
        <v>187</v>
      </c>
    </row>
    <row r="69" spans="1:11">
      <c r="A69" s="8">
        <v>10908</v>
      </c>
      <c r="B69" s="23" t="s">
        <v>33</v>
      </c>
      <c r="C69" s="8" t="s">
        <v>185</v>
      </c>
      <c r="D69" s="8" t="s">
        <v>35</v>
      </c>
      <c r="E69" s="8" t="s">
        <v>172</v>
      </c>
      <c r="F69" s="23">
        <v>1</v>
      </c>
      <c r="G69" s="23">
        <v>9</v>
      </c>
      <c r="H69" s="24" t="str">
        <f ca="1">VLOOKUP(A69,Sheet2!$R:$T,3,FALSE)</f>
        <v>1,2;2,5;46,3-3</v>
      </c>
      <c r="I69" s="23" t="s">
        <v>188</v>
      </c>
      <c r="J69" s="23" t="s">
        <v>1</v>
      </c>
      <c r="K69" s="23" t="s">
        <v>189</v>
      </c>
    </row>
    <row r="70" spans="1:11">
      <c r="A70" s="8">
        <v>10909</v>
      </c>
      <c r="B70" s="23" t="s">
        <v>33</v>
      </c>
      <c r="C70" s="8" t="s">
        <v>185</v>
      </c>
      <c r="D70" s="8" t="s">
        <v>35</v>
      </c>
      <c r="E70" s="8" t="s">
        <v>172</v>
      </c>
      <c r="F70" s="23">
        <v>1</v>
      </c>
      <c r="G70" s="23">
        <v>9</v>
      </c>
      <c r="H70" s="24" t="str">
        <f ca="1">VLOOKUP(A70,Sheet2!$R:$T,3,FALSE)</f>
        <v>1,2;2,5;46,3-3</v>
      </c>
      <c r="I70" s="23" t="s">
        <v>190</v>
      </c>
      <c r="J70" s="23" t="s">
        <v>1</v>
      </c>
      <c r="K70" s="23" t="s">
        <v>191</v>
      </c>
    </row>
    <row r="71" spans="1:11">
      <c r="A71" s="8">
        <v>10910</v>
      </c>
      <c r="B71" s="23" t="s">
        <v>33</v>
      </c>
      <c r="C71" s="8" t="s">
        <v>185</v>
      </c>
      <c r="D71" s="8" t="s">
        <v>35</v>
      </c>
      <c r="E71" s="8" t="s">
        <v>172</v>
      </c>
      <c r="F71" s="23">
        <v>1</v>
      </c>
      <c r="G71" s="23">
        <v>9</v>
      </c>
      <c r="H71" s="24" t="str">
        <f ca="1">VLOOKUP(A71,Sheet2!$R:$T,3,FALSE)</f>
        <v>1,2;2,5;46,3-3</v>
      </c>
      <c r="I71" s="23" t="s">
        <v>192</v>
      </c>
      <c r="J71" s="23" t="s">
        <v>1</v>
      </c>
      <c r="K71" s="23" t="s">
        <v>193</v>
      </c>
    </row>
    <row r="72" spans="1:12">
      <c r="A72" s="11">
        <v>11001</v>
      </c>
      <c r="B72" s="23" t="s">
        <v>33</v>
      </c>
      <c r="C72" s="8" t="s">
        <v>194</v>
      </c>
      <c r="D72" s="8"/>
      <c r="E72" s="8" t="s">
        <v>172</v>
      </c>
      <c r="F72" s="23">
        <v>1</v>
      </c>
      <c r="G72" s="26">
        <v>10</v>
      </c>
      <c r="K72" s="26" t="s">
        <v>195</v>
      </c>
      <c r="L72" s="28"/>
    </row>
    <row r="73" spans="1:11">
      <c r="A73" s="8">
        <v>11101</v>
      </c>
      <c r="B73" s="23" t="s">
        <v>33</v>
      </c>
      <c r="C73" s="8" t="s">
        <v>185</v>
      </c>
      <c r="D73" s="8" t="s">
        <v>35</v>
      </c>
      <c r="E73" s="8" t="s">
        <v>172</v>
      </c>
      <c r="F73" s="23">
        <v>1</v>
      </c>
      <c r="G73" s="23">
        <v>11</v>
      </c>
      <c r="H73" s="24" t="str">
        <f ca="1">VLOOKUP(A73,Sheet2!$R:$T,3,FALSE)</f>
        <v>1,2;2,5;46,3-3</v>
      </c>
      <c r="I73" s="23" t="s">
        <v>196</v>
      </c>
      <c r="J73" s="23" t="s">
        <v>1</v>
      </c>
      <c r="K73" s="23" t="s">
        <v>197</v>
      </c>
    </row>
    <row r="74" spans="1:11">
      <c r="A74" s="8">
        <v>11102</v>
      </c>
      <c r="B74" s="23" t="s">
        <v>33</v>
      </c>
      <c r="C74" s="8" t="s">
        <v>185</v>
      </c>
      <c r="D74" s="8" t="s">
        <v>35</v>
      </c>
      <c r="E74" s="8" t="s">
        <v>172</v>
      </c>
      <c r="F74" s="23">
        <v>1</v>
      </c>
      <c r="G74" s="23">
        <v>11</v>
      </c>
      <c r="H74" s="24" t="str">
        <f ca="1">VLOOKUP(A74,Sheet2!$R:$T,3,FALSE)</f>
        <v>1,2;2,5;46,3-3</v>
      </c>
      <c r="I74" s="23" t="s">
        <v>198</v>
      </c>
      <c r="J74" s="23" t="s">
        <v>1</v>
      </c>
      <c r="K74" s="23" t="s">
        <v>199</v>
      </c>
    </row>
    <row r="75" spans="1:11">
      <c r="A75" s="8">
        <v>11103</v>
      </c>
      <c r="B75" s="23" t="s">
        <v>33</v>
      </c>
      <c r="C75" s="8" t="s">
        <v>185</v>
      </c>
      <c r="D75" s="8" t="s">
        <v>35</v>
      </c>
      <c r="E75" s="8" t="s">
        <v>172</v>
      </c>
      <c r="F75" s="23">
        <v>1</v>
      </c>
      <c r="G75" s="23">
        <v>11</v>
      </c>
      <c r="H75" s="24" t="str">
        <f ca="1">VLOOKUP(A75,Sheet2!$R:$T,3,FALSE)</f>
        <v>1,2;2,5;46,3-3</v>
      </c>
      <c r="I75" s="23" t="s">
        <v>200</v>
      </c>
      <c r="J75" s="23" t="s">
        <v>1</v>
      </c>
      <c r="K75" s="23" t="s">
        <v>201</v>
      </c>
    </row>
    <row r="76" spans="1:11">
      <c r="A76" s="8">
        <v>11104</v>
      </c>
      <c r="B76" s="23" t="s">
        <v>33</v>
      </c>
      <c r="C76" s="8" t="s">
        <v>185</v>
      </c>
      <c r="D76" s="8" t="s">
        <v>35</v>
      </c>
      <c r="E76" s="8" t="s">
        <v>172</v>
      </c>
      <c r="F76" s="23">
        <v>1</v>
      </c>
      <c r="G76" s="23">
        <v>11</v>
      </c>
      <c r="H76" s="24" t="str">
        <f ca="1">VLOOKUP(A76,Sheet2!$R:$T,3,FALSE)</f>
        <v>1,2;2,5;46,3-3</v>
      </c>
      <c r="I76" s="23" t="s">
        <v>202</v>
      </c>
      <c r="J76" s="23" t="s">
        <v>1</v>
      </c>
      <c r="K76" s="23" t="s">
        <v>203</v>
      </c>
    </row>
    <row r="77" spans="1:11">
      <c r="A77" s="8">
        <v>11105</v>
      </c>
      <c r="B77" s="23" t="s">
        <v>33</v>
      </c>
      <c r="C77" s="8" t="s">
        <v>204</v>
      </c>
      <c r="D77" s="8" t="s">
        <v>35</v>
      </c>
      <c r="E77" s="8" t="s">
        <v>172</v>
      </c>
      <c r="F77" s="23">
        <v>1</v>
      </c>
      <c r="G77" s="23">
        <v>11</v>
      </c>
      <c r="H77" s="24" t="str">
        <f ca="1">VLOOKUP(A77,Sheet2!$R:$T,3,FALSE)</f>
        <v>1,2;2,5;46,3-3</v>
      </c>
      <c r="I77" s="23" t="s">
        <v>205</v>
      </c>
      <c r="J77" s="23" t="s">
        <v>1</v>
      </c>
      <c r="K77" s="23" t="s">
        <v>206</v>
      </c>
    </row>
    <row r="78" spans="1:11">
      <c r="A78" s="8">
        <v>11106</v>
      </c>
      <c r="B78" s="23" t="s">
        <v>33</v>
      </c>
      <c r="C78" s="8" t="s">
        <v>204</v>
      </c>
      <c r="D78" s="8" t="s">
        <v>35</v>
      </c>
      <c r="E78" s="8" t="s">
        <v>172</v>
      </c>
      <c r="F78" s="23">
        <v>1</v>
      </c>
      <c r="G78" s="23">
        <v>11</v>
      </c>
      <c r="H78" s="24" t="str">
        <f ca="1">VLOOKUP(A78,Sheet2!$R:$T,3,FALSE)</f>
        <v>1,2;2,5;46,3-3</v>
      </c>
      <c r="I78" s="23" t="s">
        <v>207</v>
      </c>
      <c r="J78" s="23" t="s">
        <v>1</v>
      </c>
      <c r="K78" s="23" t="s">
        <v>208</v>
      </c>
    </row>
    <row r="79" spans="1:11">
      <c r="A79" s="8">
        <v>11107</v>
      </c>
      <c r="B79" s="23" t="s">
        <v>33</v>
      </c>
      <c r="C79" s="8" t="s">
        <v>204</v>
      </c>
      <c r="D79" s="8" t="s">
        <v>35</v>
      </c>
      <c r="E79" s="8" t="s">
        <v>172</v>
      </c>
      <c r="F79" s="23">
        <v>1</v>
      </c>
      <c r="G79" s="23">
        <v>11</v>
      </c>
      <c r="H79" s="24" t="str">
        <f ca="1">VLOOKUP(A79,Sheet2!$R:$T,3,FALSE)</f>
        <v>1,2;2,5;46,3-3</v>
      </c>
      <c r="I79" s="23" t="s">
        <v>209</v>
      </c>
      <c r="J79" s="23" t="s">
        <v>1</v>
      </c>
      <c r="K79" s="23" t="s">
        <v>210</v>
      </c>
    </row>
    <row r="80" spans="1:11">
      <c r="A80" s="8">
        <v>11108</v>
      </c>
      <c r="B80" s="23" t="s">
        <v>33</v>
      </c>
      <c r="C80" s="8" t="s">
        <v>204</v>
      </c>
      <c r="D80" s="8" t="s">
        <v>35</v>
      </c>
      <c r="E80" s="8" t="s">
        <v>172</v>
      </c>
      <c r="F80" s="23">
        <v>1</v>
      </c>
      <c r="G80" s="23">
        <v>11</v>
      </c>
      <c r="H80" s="24" t="str">
        <f ca="1">VLOOKUP(A80,Sheet2!$R:$T,3,FALSE)</f>
        <v>1,2;2,5;46,3-3</v>
      </c>
      <c r="I80" s="23" t="s">
        <v>211</v>
      </c>
      <c r="J80" s="23" t="s">
        <v>1</v>
      </c>
      <c r="K80" s="23" t="s">
        <v>212</v>
      </c>
    </row>
    <row r="81" spans="1:11">
      <c r="A81" s="8">
        <v>11109</v>
      </c>
      <c r="B81" s="23" t="s">
        <v>33</v>
      </c>
      <c r="C81" s="8" t="s">
        <v>204</v>
      </c>
      <c r="D81" s="8" t="s">
        <v>35</v>
      </c>
      <c r="E81" s="8" t="s">
        <v>172</v>
      </c>
      <c r="F81" s="23">
        <v>1</v>
      </c>
      <c r="G81" s="23">
        <v>11</v>
      </c>
      <c r="H81" s="24" t="str">
        <f ca="1">VLOOKUP(A81,Sheet2!$R:$T,3,FALSE)</f>
        <v>1,2;2,5;46,3-3</v>
      </c>
      <c r="I81" s="23" t="s">
        <v>213</v>
      </c>
      <c r="J81" s="23" t="s">
        <v>1</v>
      </c>
      <c r="K81" s="23" t="s">
        <v>214</v>
      </c>
    </row>
    <row r="82" spans="1:11">
      <c r="A82" s="8">
        <v>11110</v>
      </c>
      <c r="B82" s="23" t="s">
        <v>33</v>
      </c>
      <c r="C82" s="8" t="s">
        <v>204</v>
      </c>
      <c r="D82" s="8" t="s">
        <v>35</v>
      </c>
      <c r="E82" s="8" t="s">
        <v>172</v>
      </c>
      <c r="F82" s="23">
        <v>1</v>
      </c>
      <c r="G82" s="23">
        <v>11</v>
      </c>
      <c r="H82" s="24" t="str">
        <f ca="1">VLOOKUP(A82,Sheet2!$R:$T,3,FALSE)</f>
        <v>1,2;2,5;46,3-3</v>
      </c>
      <c r="I82" s="23" t="s">
        <v>215</v>
      </c>
      <c r="J82" s="23" t="s">
        <v>1</v>
      </c>
      <c r="K82" s="23" t="s">
        <v>216</v>
      </c>
    </row>
    <row r="83" spans="1:12">
      <c r="A83" s="11">
        <v>11201</v>
      </c>
      <c r="B83" s="23" t="s">
        <v>33</v>
      </c>
      <c r="C83" s="8" t="s">
        <v>194</v>
      </c>
      <c r="D83" s="8"/>
      <c r="E83" s="8" t="s">
        <v>172</v>
      </c>
      <c r="F83" s="23">
        <v>1</v>
      </c>
      <c r="G83" s="26">
        <v>12</v>
      </c>
      <c r="K83" s="26" t="s">
        <v>217</v>
      </c>
      <c r="L83" s="28"/>
    </row>
    <row r="84" spans="1:12">
      <c r="A84" s="11">
        <v>11301</v>
      </c>
      <c r="B84" s="23" t="s">
        <v>33</v>
      </c>
      <c r="C84" s="8" t="s">
        <v>218</v>
      </c>
      <c r="D84" s="8"/>
      <c r="E84" s="8" t="s">
        <v>114</v>
      </c>
      <c r="F84" s="23">
        <v>1</v>
      </c>
      <c r="G84" s="26">
        <v>13</v>
      </c>
      <c r="K84" s="26" t="s">
        <v>219</v>
      </c>
      <c r="L84" s="28"/>
    </row>
    <row r="85" spans="1:11">
      <c r="A85" s="8">
        <v>11401</v>
      </c>
      <c r="B85" s="23" t="s">
        <v>33</v>
      </c>
      <c r="C85" s="8" t="s">
        <v>204</v>
      </c>
      <c r="D85" s="8" t="s">
        <v>35</v>
      </c>
      <c r="E85" s="8" t="s">
        <v>172</v>
      </c>
      <c r="F85" s="23">
        <v>1</v>
      </c>
      <c r="G85" s="23">
        <v>14</v>
      </c>
      <c r="H85" s="24" t="str">
        <f ca="1">VLOOKUP(A85,Sheet2!$R:$T,3,FALSE)</f>
        <v>1,2;2,5;46,3-3</v>
      </c>
      <c r="I85" s="23" t="s">
        <v>220</v>
      </c>
      <c r="J85" s="23" t="s">
        <v>1</v>
      </c>
      <c r="K85" s="23" t="s">
        <v>221</v>
      </c>
    </row>
    <row r="86" spans="1:11">
      <c r="A86" s="8">
        <v>11402</v>
      </c>
      <c r="B86" s="23" t="s">
        <v>33</v>
      </c>
      <c r="C86" s="8" t="s">
        <v>204</v>
      </c>
      <c r="D86" s="8" t="s">
        <v>35</v>
      </c>
      <c r="E86" s="8" t="s">
        <v>172</v>
      </c>
      <c r="F86" s="23">
        <v>1</v>
      </c>
      <c r="G86" s="23">
        <v>14</v>
      </c>
      <c r="H86" s="24" t="str">
        <f ca="1">VLOOKUP(A86,Sheet2!$R:$T,3,FALSE)</f>
        <v>1,2;2,5;46,3-3</v>
      </c>
      <c r="I86" s="23" t="s">
        <v>222</v>
      </c>
      <c r="J86" s="23" t="s">
        <v>1</v>
      </c>
      <c r="K86" s="23" t="s">
        <v>223</v>
      </c>
    </row>
    <row r="87" spans="1:11">
      <c r="A87" s="8">
        <v>11403</v>
      </c>
      <c r="B87" s="23" t="s">
        <v>33</v>
      </c>
      <c r="C87" s="8" t="s">
        <v>204</v>
      </c>
      <c r="D87" s="8" t="s">
        <v>35</v>
      </c>
      <c r="E87" s="8" t="s">
        <v>172</v>
      </c>
      <c r="F87" s="23">
        <v>1</v>
      </c>
      <c r="G87" s="23">
        <v>14</v>
      </c>
      <c r="H87" s="24" t="str">
        <f ca="1">VLOOKUP(A87,Sheet2!$R:$T,3,FALSE)</f>
        <v>1,2;2,5;46,3-3</v>
      </c>
      <c r="I87" s="23" t="s">
        <v>224</v>
      </c>
      <c r="J87" s="23" t="s">
        <v>1</v>
      </c>
      <c r="K87" s="23" t="s">
        <v>225</v>
      </c>
    </row>
    <row r="88" customFormat="1" spans="1:12">
      <c r="A88" s="8">
        <v>11404</v>
      </c>
      <c r="B88" s="23" t="s">
        <v>33</v>
      </c>
      <c r="C88" s="8" t="s">
        <v>226</v>
      </c>
      <c r="D88" s="8" t="s">
        <v>35</v>
      </c>
      <c r="E88" s="8" t="s">
        <v>172</v>
      </c>
      <c r="F88" s="23">
        <v>1</v>
      </c>
      <c r="G88" s="23">
        <v>14</v>
      </c>
      <c r="H88" s="24" t="str">
        <f ca="1">VLOOKUP(A88,Sheet2!$R:$T,3,FALSE)</f>
        <v>1,2;2,5;46,3-3</v>
      </c>
      <c r="I88" s="23" t="s">
        <v>227</v>
      </c>
      <c r="J88" s="23" t="s">
        <v>1</v>
      </c>
      <c r="K88" s="23" t="s">
        <v>228</v>
      </c>
      <c r="L88" s="31"/>
    </row>
    <row r="89" customFormat="1" spans="1:12">
      <c r="A89" s="8">
        <v>11405</v>
      </c>
      <c r="B89" s="23" t="s">
        <v>33</v>
      </c>
      <c r="C89" s="8" t="s">
        <v>226</v>
      </c>
      <c r="D89" s="8" t="s">
        <v>35</v>
      </c>
      <c r="E89" s="8" t="s">
        <v>172</v>
      </c>
      <c r="F89" s="23">
        <v>1</v>
      </c>
      <c r="G89" s="23">
        <v>14</v>
      </c>
      <c r="H89" s="24" t="str">
        <f ca="1">VLOOKUP(A89,Sheet2!$R:$T,3,FALSE)</f>
        <v>1,2;2,5;46,3-3</v>
      </c>
      <c r="I89" s="23" t="s">
        <v>229</v>
      </c>
      <c r="J89" s="23" t="s">
        <v>1</v>
      </c>
      <c r="K89" s="23" t="s">
        <v>230</v>
      </c>
      <c r="L89" s="31"/>
    </row>
    <row r="90" customFormat="1" spans="1:12">
      <c r="A90" s="8">
        <v>11406</v>
      </c>
      <c r="B90" s="23" t="s">
        <v>33</v>
      </c>
      <c r="C90" s="8" t="s">
        <v>226</v>
      </c>
      <c r="D90" s="8" t="s">
        <v>35</v>
      </c>
      <c r="E90" s="8" t="s">
        <v>172</v>
      </c>
      <c r="F90" s="23">
        <v>1</v>
      </c>
      <c r="G90" s="23">
        <v>14</v>
      </c>
      <c r="H90" s="24" t="str">
        <f ca="1">VLOOKUP(A90,Sheet2!$R:$T,3,FALSE)</f>
        <v>1,2;2,5;46,3-3</v>
      </c>
      <c r="I90" s="23" t="s">
        <v>231</v>
      </c>
      <c r="J90" s="23" t="s">
        <v>1</v>
      </c>
      <c r="K90" s="23" t="s">
        <v>232</v>
      </c>
      <c r="L90" s="31"/>
    </row>
    <row r="91" customFormat="1" spans="1:12">
      <c r="A91" s="8">
        <v>11407</v>
      </c>
      <c r="B91" s="23" t="s">
        <v>33</v>
      </c>
      <c r="C91" s="8" t="s">
        <v>226</v>
      </c>
      <c r="D91" s="8" t="s">
        <v>35</v>
      </c>
      <c r="E91" s="8" t="s">
        <v>172</v>
      </c>
      <c r="F91" s="23">
        <v>1</v>
      </c>
      <c r="G91" s="23">
        <v>14</v>
      </c>
      <c r="H91" s="24" t="str">
        <f ca="1">VLOOKUP(A91,Sheet2!$R:$T,3,FALSE)</f>
        <v>1,2;2,5;46,3-3</v>
      </c>
      <c r="I91" s="23" t="s">
        <v>233</v>
      </c>
      <c r="J91" s="23" t="s">
        <v>1</v>
      </c>
      <c r="K91" s="23" t="s">
        <v>234</v>
      </c>
      <c r="L91" s="31"/>
    </row>
    <row r="92" customFormat="1" spans="1:12">
      <c r="A92" s="8">
        <v>11408</v>
      </c>
      <c r="B92" s="23" t="s">
        <v>33</v>
      </c>
      <c r="C92" s="8" t="s">
        <v>226</v>
      </c>
      <c r="D92" s="8" t="s">
        <v>35</v>
      </c>
      <c r="E92" s="8" t="s">
        <v>172</v>
      </c>
      <c r="F92" s="23">
        <v>1</v>
      </c>
      <c r="G92" s="23">
        <v>14</v>
      </c>
      <c r="H92" s="24" t="str">
        <f ca="1">VLOOKUP(A92,Sheet2!$R:$T,3,FALSE)</f>
        <v>1,2;2,5;46,3-3</v>
      </c>
      <c r="I92" s="23" t="s">
        <v>235</v>
      </c>
      <c r="J92" s="23" t="s">
        <v>1</v>
      </c>
      <c r="K92" s="23" t="s">
        <v>236</v>
      </c>
      <c r="L92" s="31"/>
    </row>
    <row r="93" customFormat="1" spans="1:12">
      <c r="A93" s="8">
        <v>11409</v>
      </c>
      <c r="B93" s="23" t="s">
        <v>33</v>
      </c>
      <c r="C93" s="8" t="s">
        <v>226</v>
      </c>
      <c r="D93" s="8" t="s">
        <v>35</v>
      </c>
      <c r="E93" s="8" t="s">
        <v>172</v>
      </c>
      <c r="F93" s="23">
        <v>1</v>
      </c>
      <c r="G93" s="23">
        <v>14</v>
      </c>
      <c r="H93" s="24" t="str">
        <f ca="1">VLOOKUP(A93,Sheet2!$R:$T,3,FALSE)</f>
        <v>1,2;2,5;46,3-3</v>
      </c>
      <c r="I93" s="23" t="s">
        <v>237</v>
      </c>
      <c r="J93" s="23" t="s">
        <v>1</v>
      </c>
      <c r="K93" s="23" t="s">
        <v>238</v>
      </c>
      <c r="L93" s="31"/>
    </row>
    <row r="94" customFormat="1" spans="1:12">
      <c r="A94" s="8">
        <v>11410</v>
      </c>
      <c r="B94" s="23" t="s">
        <v>33</v>
      </c>
      <c r="C94" s="8" t="s">
        <v>226</v>
      </c>
      <c r="D94" s="8" t="s">
        <v>35</v>
      </c>
      <c r="E94" s="8" t="s">
        <v>172</v>
      </c>
      <c r="F94" s="23">
        <v>1</v>
      </c>
      <c r="G94" s="23">
        <v>14</v>
      </c>
      <c r="H94" s="24" t="str">
        <f ca="1">VLOOKUP(A94,Sheet2!$R:$T,3,FALSE)</f>
        <v>1,2;2,5;46,3-3</v>
      </c>
      <c r="I94" s="23" t="s">
        <v>239</v>
      </c>
      <c r="J94" s="23" t="s">
        <v>1</v>
      </c>
      <c r="K94" s="23" t="s">
        <v>240</v>
      </c>
      <c r="L94" s="31"/>
    </row>
    <row r="95" s="16" customFormat="1" spans="1:12">
      <c r="A95" s="9" t="s">
        <v>241</v>
      </c>
      <c r="B95" s="23" t="s">
        <v>33</v>
      </c>
      <c r="C95" s="9" t="s">
        <v>242</v>
      </c>
      <c r="D95" s="9" t="s">
        <v>35</v>
      </c>
      <c r="E95" s="9" t="s">
        <v>243</v>
      </c>
      <c r="F95" s="16" t="s">
        <v>244</v>
      </c>
      <c r="G95" s="16">
        <v>1</v>
      </c>
      <c r="H95" s="30" t="str">
        <f ca="1">VLOOKUP(A95,Sheet2!$U:$W,3,FALSE)</f>
        <v>1,4;2,3;46,2-1</v>
      </c>
      <c r="I95" s="23" t="s">
        <v>245</v>
      </c>
      <c r="J95" s="16" t="s">
        <v>1</v>
      </c>
      <c r="K95" s="16" t="s">
        <v>38</v>
      </c>
      <c r="L95" s="32" t="s">
        <v>39</v>
      </c>
    </row>
    <row r="96" s="16" customFormat="1" spans="1:12">
      <c r="A96" s="9" t="s">
        <v>246</v>
      </c>
      <c r="B96" s="23" t="s">
        <v>33</v>
      </c>
      <c r="C96" s="9" t="s">
        <v>242</v>
      </c>
      <c r="D96" s="9" t="s">
        <v>35</v>
      </c>
      <c r="E96" s="9" t="s">
        <v>243</v>
      </c>
      <c r="F96" s="16" t="s">
        <v>244</v>
      </c>
      <c r="G96" s="16">
        <v>1</v>
      </c>
      <c r="H96" s="30" t="str">
        <f ca="1">VLOOKUP(A96,Sheet2!$U:$W,3,FALSE)</f>
        <v>1,4;2,3;46,2-1</v>
      </c>
      <c r="I96" s="23" t="s">
        <v>247</v>
      </c>
      <c r="J96" s="16" t="s">
        <v>1</v>
      </c>
      <c r="K96" s="16" t="s">
        <v>41</v>
      </c>
      <c r="L96" s="32" t="s">
        <v>39</v>
      </c>
    </row>
    <row r="97" s="16" customFormat="1" spans="1:12">
      <c r="A97" s="9" t="s">
        <v>248</v>
      </c>
      <c r="B97" s="23" t="s">
        <v>33</v>
      </c>
      <c r="C97" s="9" t="s">
        <v>242</v>
      </c>
      <c r="D97" s="9" t="s">
        <v>35</v>
      </c>
      <c r="E97" s="9" t="s">
        <v>243</v>
      </c>
      <c r="F97" s="16" t="s">
        <v>244</v>
      </c>
      <c r="G97" s="16">
        <v>1</v>
      </c>
      <c r="H97" s="30" t="str">
        <f ca="1">VLOOKUP(A97,Sheet2!$U:$W,3,FALSE)</f>
        <v>1,4;2,3;46,2-1</v>
      </c>
      <c r="I97" s="23" t="s">
        <v>249</v>
      </c>
      <c r="J97" s="16" t="s">
        <v>1</v>
      </c>
      <c r="K97" s="16" t="s">
        <v>43</v>
      </c>
      <c r="L97" s="32">
        <v>25</v>
      </c>
    </row>
    <row r="98" s="16" customFormat="1" spans="1:12">
      <c r="A98" s="9" t="s">
        <v>250</v>
      </c>
      <c r="B98" s="23" t="s">
        <v>33</v>
      </c>
      <c r="C98" s="9" t="s">
        <v>242</v>
      </c>
      <c r="D98" s="9" t="s">
        <v>35</v>
      </c>
      <c r="E98" s="9" t="s">
        <v>243</v>
      </c>
      <c r="F98" s="16" t="s">
        <v>244</v>
      </c>
      <c r="G98" s="16">
        <v>1</v>
      </c>
      <c r="H98" s="30" t="str">
        <f ca="1">VLOOKUP(A98,Sheet2!$U:$W,3,FALSE)</f>
        <v>1,4;2,3;46,2-1</v>
      </c>
      <c r="I98" s="23" t="s">
        <v>251</v>
      </c>
      <c r="J98" s="16" t="s">
        <v>1</v>
      </c>
      <c r="K98" s="16" t="s">
        <v>45</v>
      </c>
      <c r="L98" s="32" t="s">
        <v>39</v>
      </c>
    </row>
    <row r="99" s="16" customFormat="1" spans="1:12">
      <c r="A99" s="9" t="s">
        <v>252</v>
      </c>
      <c r="B99" s="23" t="s">
        <v>33</v>
      </c>
      <c r="C99" s="9" t="s">
        <v>242</v>
      </c>
      <c r="D99" s="9" t="s">
        <v>35</v>
      </c>
      <c r="E99" s="9" t="s">
        <v>243</v>
      </c>
      <c r="F99" s="16" t="s">
        <v>244</v>
      </c>
      <c r="G99" s="16">
        <v>1</v>
      </c>
      <c r="H99" s="30" t="str">
        <f ca="1">VLOOKUP(A99,Sheet2!$U:$W,3,FALSE)</f>
        <v>1,4;2,3;46,2-1</v>
      </c>
      <c r="I99" s="23" t="s">
        <v>253</v>
      </c>
      <c r="J99" s="16" t="s">
        <v>1</v>
      </c>
      <c r="K99" s="16" t="s">
        <v>47</v>
      </c>
      <c r="L99" s="32" t="s">
        <v>39</v>
      </c>
    </row>
    <row r="100" s="16" customFormat="1" spans="1:12">
      <c r="A100" s="9" t="s">
        <v>254</v>
      </c>
      <c r="B100" s="23" t="s">
        <v>33</v>
      </c>
      <c r="C100" s="9" t="s">
        <v>255</v>
      </c>
      <c r="D100" s="9" t="s">
        <v>35</v>
      </c>
      <c r="E100" s="9" t="s">
        <v>243</v>
      </c>
      <c r="F100" s="16" t="s">
        <v>244</v>
      </c>
      <c r="G100" s="16">
        <v>1</v>
      </c>
      <c r="H100" s="30" t="str">
        <f ca="1">VLOOKUP(A100,Sheet2!$U:$W,3,FALSE)</f>
        <v>1,4;2,4;46,2-2</v>
      </c>
      <c r="I100" s="23" t="s">
        <v>256</v>
      </c>
      <c r="J100" s="16" t="s">
        <v>1</v>
      </c>
      <c r="K100" s="16" t="s">
        <v>50</v>
      </c>
      <c r="L100" s="32" t="s">
        <v>39</v>
      </c>
    </row>
    <row r="101" s="16" customFormat="1" spans="1:12">
      <c r="A101" s="9" t="s">
        <v>257</v>
      </c>
      <c r="B101" s="23" t="s">
        <v>33</v>
      </c>
      <c r="C101" s="9" t="s">
        <v>255</v>
      </c>
      <c r="D101" s="9" t="s">
        <v>35</v>
      </c>
      <c r="E101" s="9" t="s">
        <v>243</v>
      </c>
      <c r="F101" s="16" t="s">
        <v>244</v>
      </c>
      <c r="G101" s="16">
        <v>1</v>
      </c>
      <c r="H101" s="30" t="str">
        <f ca="1">VLOOKUP(A101,Sheet2!$U:$W,3,FALSE)</f>
        <v>1,4;2,4;46,2-2</v>
      </c>
      <c r="I101" s="23" t="s">
        <v>258</v>
      </c>
      <c r="J101" s="16" t="s">
        <v>1</v>
      </c>
      <c r="K101" s="16" t="s">
        <v>52</v>
      </c>
      <c r="L101" s="32" t="s">
        <v>39</v>
      </c>
    </row>
    <row r="102" s="16" customFormat="1" spans="1:12">
      <c r="A102" s="9" t="s">
        <v>259</v>
      </c>
      <c r="B102" s="23" t="s">
        <v>33</v>
      </c>
      <c r="C102" s="9" t="s">
        <v>255</v>
      </c>
      <c r="D102" s="9" t="s">
        <v>35</v>
      </c>
      <c r="E102" s="9" t="s">
        <v>243</v>
      </c>
      <c r="F102" s="16" t="s">
        <v>244</v>
      </c>
      <c r="G102" s="16">
        <v>1</v>
      </c>
      <c r="H102" s="30" t="str">
        <f ca="1">VLOOKUP(A102,Sheet2!$U:$W,3,FALSE)</f>
        <v>1,4;2,4;46,2-2</v>
      </c>
      <c r="I102" s="23" t="s">
        <v>260</v>
      </c>
      <c r="J102" s="16" t="s">
        <v>1</v>
      </c>
      <c r="K102" s="16" t="s">
        <v>54</v>
      </c>
      <c r="L102" s="32" t="s">
        <v>39</v>
      </c>
    </row>
    <row r="103" s="16" customFormat="1" spans="1:12">
      <c r="A103" s="9" t="s">
        <v>261</v>
      </c>
      <c r="B103" s="23" t="s">
        <v>33</v>
      </c>
      <c r="C103" s="9" t="s">
        <v>255</v>
      </c>
      <c r="D103" s="9" t="s">
        <v>35</v>
      </c>
      <c r="E103" s="9" t="s">
        <v>243</v>
      </c>
      <c r="F103" s="16" t="s">
        <v>244</v>
      </c>
      <c r="G103" s="16">
        <v>1</v>
      </c>
      <c r="H103" s="30" t="str">
        <f ca="1">VLOOKUP(A103,Sheet2!$U:$W,3,FALSE)</f>
        <v>1,4;2,4;46,2-2</v>
      </c>
      <c r="I103" s="23" t="s">
        <v>262</v>
      </c>
      <c r="J103" s="16" t="s">
        <v>1</v>
      </c>
      <c r="K103" s="16" t="s">
        <v>56</v>
      </c>
      <c r="L103" s="32" t="s">
        <v>39</v>
      </c>
    </row>
    <row r="104" s="16" customFormat="1" spans="1:12">
      <c r="A104" s="9" t="s">
        <v>263</v>
      </c>
      <c r="B104" s="23" t="s">
        <v>33</v>
      </c>
      <c r="C104" s="9" t="s">
        <v>255</v>
      </c>
      <c r="D104" s="9" t="s">
        <v>35</v>
      </c>
      <c r="E104" s="9" t="s">
        <v>243</v>
      </c>
      <c r="F104" s="16" t="s">
        <v>244</v>
      </c>
      <c r="G104" s="16">
        <v>1</v>
      </c>
      <c r="H104" s="30" t="str">
        <f ca="1">VLOOKUP(A104,Sheet2!$U:$W,3,FALSE)</f>
        <v>1,4;2,4;46,2-2</v>
      </c>
      <c r="I104" s="23" t="s">
        <v>264</v>
      </c>
      <c r="J104" s="16" t="s">
        <v>1</v>
      </c>
      <c r="K104" s="16" t="s">
        <v>58</v>
      </c>
      <c r="L104" s="32" t="s">
        <v>39</v>
      </c>
    </row>
    <row r="105" s="17" customFormat="1" spans="1:12">
      <c r="A105" s="12" t="s">
        <v>265</v>
      </c>
      <c r="B105" s="17" t="s">
        <v>33</v>
      </c>
      <c r="C105" s="12" t="s">
        <v>59</v>
      </c>
      <c r="D105" s="12"/>
      <c r="E105" s="12" t="s">
        <v>243</v>
      </c>
      <c r="F105" s="17" t="s">
        <v>244</v>
      </c>
      <c r="G105" s="17">
        <v>2</v>
      </c>
      <c r="H105" s="30"/>
      <c r="K105" s="17" t="s">
        <v>60</v>
      </c>
      <c r="L105" s="33"/>
    </row>
    <row r="106" s="16" customFormat="1" spans="1:12">
      <c r="A106" s="9" t="s">
        <v>266</v>
      </c>
      <c r="B106" s="23" t="s">
        <v>33</v>
      </c>
      <c r="C106" s="9" t="s">
        <v>267</v>
      </c>
      <c r="D106" s="9" t="s">
        <v>35</v>
      </c>
      <c r="E106" s="9" t="s">
        <v>268</v>
      </c>
      <c r="F106" s="16" t="s">
        <v>244</v>
      </c>
      <c r="G106" s="16">
        <v>3</v>
      </c>
      <c r="H106" s="30" t="str">
        <f ca="1">VLOOKUP(A106,Sheet2!$U:$W,3,FALSE)</f>
        <v>1,4;2,4;46,2-2</v>
      </c>
      <c r="I106" s="16" t="s">
        <v>269</v>
      </c>
      <c r="J106" s="16" t="s">
        <v>1</v>
      </c>
      <c r="K106" s="16" t="s">
        <v>64</v>
      </c>
      <c r="L106" s="32" t="s">
        <v>65</v>
      </c>
    </row>
    <row r="107" s="16" customFormat="1" spans="1:12">
      <c r="A107" s="9" t="s">
        <v>270</v>
      </c>
      <c r="B107" s="23" t="s">
        <v>33</v>
      </c>
      <c r="C107" s="9" t="s">
        <v>267</v>
      </c>
      <c r="D107" s="9" t="s">
        <v>35</v>
      </c>
      <c r="E107" s="9" t="s">
        <v>268</v>
      </c>
      <c r="F107" s="16" t="s">
        <v>244</v>
      </c>
      <c r="G107" s="16">
        <v>3</v>
      </c>
      <c r="H107" s="30" t="str">
        <f ca="1">VLOOKUP(A107,Sheet2!$U:$W,3,FALSE)</f>
        <v>1,4;2,4;46,2-2</v>
      </c>
      <c r="I107" s="16" t="s">
        <v>271</v>
      </c>
      <c r="J107" s="16" t="s">
        <v>1</v>
      </c>
      <c r="K107" s="16" t="s">
        <v>67</v>
      </c>
      <c r="L107" s="32" t="s">
        <v>65</v>
      </c>
    </row>
    <row r="108" s="16" customFormat="1" spans="1:12">
      <c r="A108" s="9" t="s">
        <v>272</v>
      </c>
      <c r="B108" s="23" t="s">
        <v>33</v>
      </c>
      <c r="C108" s="9" t="s">
        <v>267</v>
      </c>
      <c r="D108" s="9" t="s">
        <v>35</v>
      </c>
      <c r="E108" s="9" t="s">
        <v>268</v>
      </c>
      <c r="F108" s="16" t="s">
        <v>244</v>
      </c>
      <c r="G108" s="16">
        <v>3</v>
      </c>
      <c r="H108" s="30" t="str">
        <f ca="1">VLOOKUP(A108,Sheet2!$U:$W,3,FALSE)</f>
        <v>1,4;2,4;46,2-2</v>
      </c>
      <c r="I108" s="16" t="s">
        <v>273</v>
      </c>
      <c r="J108" s="16" t="s">
        <v>1</v>
      </c>
      <c r="K108" s="16" t="s">
        <v>69</v>
      </c>
      <c r="L108" s="32" t="s">
        <v>65</v>
      </c>
    </row>
    <row r="109" s="16" customFormat="1" spans="1:12">
      <c r="A109" s="9" t="s">
        <v>274</v>
      </c>
      <c r="B109" s="23" t="s">
        <v>33</v>
      </c>
      <c r="C109" s="9" t="s">
        <v>267</v>
      </c>
      <c r="D109" s="9" t="s">
        <v>35</v>
      </c>
      <c r="E109" s="9" t="s">
        <v>268</v>
      </c>
      <c r="F109" s="16" t="s">
        <v>244</v>
      </c>
      <c r="G109" s="16">
        <v>3</v>
      </c>
      <c r="H109" s="30" t="str">
        <f ca="1">VLOOKUP(A109,Sheet2!$U:$W,3,FALSE)</f>
        <v>1,4;2,4;46,2-2</v>
      </c>
      <c r="I109" s="16" t="s">
        <v>275</v>
      </c>
      <c r="J109" s="16" t="s">
        <v>1</v>
      </c>
      <c r="K109" s="16" t="s">
        <v>71</v>
      </c>
      <c r="L109" s="32" t="s">
        <v>65</v>
      </c>
    </row>
    <row r="110" s="16" customFormat="1" spans="1:12">
      <c r="A110" s="9" t="s">
        <v>276</v>
      </c>
      <c r="B110" s="23" t="s">
        <v>33</v>
      </c>
      <c r="C110" s="9" t="s">
        <v>267</v>
      </c>
      <c r="D110" s="9" t="s">
        <v>35</v>
      </c>
      <c r="E110" s="9" t="s">
        <v>268</v>
      </c>
      <c r="F110" s="16" t="s">
        <v>244</v>
      </c>
      <c r="G110" s="16">
        <v>3</v>
      </c>
      <c r="H110" s="30" t="str">
        <f ca="1">VLOOKUP(A110,Sheet2!$U:$W,3,FALSE)</f>
        <v>1,4;2,4;46,2-2</v>
      </c>
      <c r="I110" s="16" t="s">
        <v>277</v>
      </c>
      <c r="J110" s="16" t="s">
        <v>1</v>
      </c>
      <c r="K110" s="16" t="s">
        <v>73</v>
      </c>
      <c r="L110" s="32" t="s">
        <v>65</v>
      </c>
    </row>
    <row r="111" s="16" customFormat="1" spans="1:12">
      <c r="A111" s="9" t="s">
        <v>278</v>
      </c>
      <c r="B111" s="23" t="s">
        <v>33</v>
      </c>
      <c r="C111" s="9" t="s">
        <v>267</v>
      </c>
      <c r="D111" s="9" t="s">
        <v>35</v>
      </c>
      <c r="E111" s="9" t="s">
        <v>268</v>
      </c>
      <c r="F111" s="16" t="s">
        <v>244</v>
      </c>
      <c r="G111" s="16">
        <v>3</v>
      </c>
      <c r="H111" s="30" t="str">
        <f ca="1">VLOOKUP(A111,Sheet2!$U:$W,3,FALSE)</f>
        <v>1,4;2,4;46,2-2</v>
      </c>
      <c r="I111" s="16" t="s">
        <v>279</v>
      </c>
      <c r="J111" s="16" t="s">
        <v>1</v>
      </c>
      <c r="K111" s="16" t="s">
        <v>75</v>
      </c>
      <c r="L111" s="32" t="s">
        <v>76</v>
      </c>
    </row>
    <row r="112" s="16" customFormat="1" spans="1:12">
      <c r="A112" s="9" t="s">
        <v>280</v>
      </c>
      <c r="B112" s="23" t="s">
        <v>33</v>
      </c>
      <c r="C112" s="9" t="s">
        <v>281</v>
      </c>
      <c r="D112" s="9" t="s">
        <v>35</v>
      </c>
      <c r="E112" s="9" t="s">
        <v>268</v>
      </c>
      <c r="F112" s="16" t="s">
        <v>244</v>
      </c>
      <c r="G112" s="16">
        <v>3</v>
      </c>
      <c r="H112" s="30" t="str">
        <f ca="1">VLOOKUP(A112,Sheet2!$U:$W,3,FALSE)</f>
        <v>1,4;2,4;46,2-2</v>
      </c>
      <c r="I112" s="16" t="s">
        <v>282</v>
      </c>
      <c r="J112" s="16" t="s">
        <v>1</v>
      </c>
      <c r="K112" s="16" t="s">
        <v>79</v>
      </c>
      <c r="L112" s="32" t="s">
        <v>76</v>
      </c>
    </row>
    <row r="113" s="16" customFormat="1" spans="1:12">
      <c r="A113" s="9" t="s">
        <v>283</v>
      </c>
      <c r="B113" s="23" t="s">
        <v>33</v>
      </c>
      <c r="C113" s="9" t="s">
        <v>281</v>
      </c>
      <c r="D113" s="9" t="s">
        <v>35</v>
      </c>
      <c r="E113" s="9" t="s">
        <v>268</v>
      </c>
      <c r="F113" s="16" t="s">
        <v>244</v>
      </c>
      <c r="G113" s="16">
        <v>3</v>
      </c>
      <c r="H113" s="30" t="str">
        <f ca="1">VLOOKUP(A113,Sheet2!$U:$W,3,FALSE)</f>
        <v>1,4;2,4;46,2-2</v>
      </c>
      <c r="I113" s="16" t="s">
        <v>284</v>
      </c>
      <c r="J113" s="16" t="s">
        <v>1</v>
      </c>
      <c r="K113" s="16" t="s">
        <v>81</v>
      </c>
      <c r="L113" s="32" t="s">
        <v>76</v>
      </c>
    </row>
    <row r="114" s="16" customFormat="1" spans="1:12">
      <c r="A114" s="9" t="s">
        <v>285</v>
      </c>
      <c r="B114" s="23" t="s">
        <v>33</v>
      </c>
      <c r="C114" s="9" t="s">
        <v>281</v>
      </c>
      <c r="D114" s="9" t="s">
        <v>35</v>
      </c>
      <c r="E114" s="9" t="s">
        <v>268</v>
      </c>
      <c r="F114" s="16" t="s">
        <v>244</v>
      </c>
      <c r="G114" s="16">
        <v>3</v>
      </c>
      <c r="H114" s="30" t="str">
        <f ca="1">VLOOKUP(A114,Sheet2!$U:$W,3,FALSE)</f>
        <v>1,4;2,4;46,2-2</v>
      </c>
      <c r="I114" s="16" t="s">
        <v>286</v>
      </c>
      <c r="J114" s="16" t="s">
        <v>1</v>
      </c>
      <c r="K114" s="16" t="s">
        <v>83</v>
      </c>
      <c r="L114" s="32" t="s">
        <v>76</v>
      </c>
    </row>
    <row r="115" s="16" customFormat="1" spans="1:12">
      <c r="A115" s="9" t="s">
        <v>287</v>
      </c>
      <c r="B115" s="23" t="s">
        <v>33</v>
      </c>
      <c r="C115" s="9" t="s">
        <v>281</v>
      </c>
      <c r="D115" s="9" t="s">
        <v>35</v>
      </c>
      <c r="E115" s="9" t="s">
        <v>268</v>
      </c>
      <c r="F115" s="16" t="s">
        <v>244</v>
      </c>
      <c r="G115" s="16">
        <v>3</v>
      </c>
      <c r="H115" s="30" t="str">
        <f ca="1">VLOOKUP(A115,Sheet2!$U:$W,3,FALSE)</f>
        <v>1,4;2,4;46,2-2</v>
      </c>
      <c r="I115" s="16" t="s">
        <v>288</v>
      </c>
      <c r="J115" s="16" t="s">
        <v>1</v>
      </c>
      <c r="K115" s="16" t="s">
        <v>85</v>
      </c>
      <c r="L115" s="32" t="s">
        <v>76</v>
      </c>
    </row>
    <row r="116" s="15" customFormat="1" spans="1:12">
      <c r="A116" s="13" t="s">
        <v>289</v>
      </c>
      <c r="B116" s="15" t="s">
        <v>33</v>
      </c>
      <c r="C116" s="13" t="s">
        <v>290</v>
      </c>
      <c r="D116" s="13" t="s">
        <v>35</v>
      </c>
      <c r="E116" s="13" t="s">
        <v>291</v>
      </c>
      <c r="F116" s="15" t="s">
        <v>244</v>
      </c>
      <c r="G116" s="15">
        <v>15</v>
      </c>
      <c r="H116" s="30"/>
      <c r="K116" s="15" t="s">
        <v>88</v>
      </c>
      <c r="L116" s="29">
        <v>40</v>
      </c>
    </row>
    <row r="117" s="16" customFormat="1" spans="1:12">
      <c r="A117" s="9" t="s">
        <v>292</v>
      </c>
      <c r="B117" s="23" t="s">
        <v>33</v>
      </c>
      <c r="C117" s="9" t="s">
        <v>290</v>
      </c>
      <c r="D117" s="9" t="s">
        <v>35</v>
      </c>
      <c r="E117" s="9" t="s">
        <v>291</v>
      </c>
      <c r="F117" s="16" t="s">
        <v>244</v>
      </c>
      <c r="G117" s="16">
        <v>4</v>
      </c>
      <c r="H117" s="30" t="str">
        <f ca="1">VLOOKUP(A117,Sheet2!$U:$W,3,FALSE)</f>
        <v>1,3;2,4;46,2-2</v>
      </c>
      <c r="I117" s="16" t="s">
        <v>293</v>
      </c>
      <c r="J117" s="16" t="s">
        <v>1</v>
      </c>
      <c r="K117" s="16" t="s">
        <v>90</v>
      </c>
      <c r="L117" s="32" t="s">
        <v>91</v>
      </c>
    </row>
    <row r="118" s="16" customFormat="1" spans="1:12">
      <c r="A118" s="9" t="s">
        <v>294</v>
      </c>
      <c r="B118" s="23" t="s">
        <v>33</v>
      </c>
      <c r="C118" s="9" t="s">
        <v>290</v>
      </c>
      <c r="D118" s="9" t="s">
        <v>35</v>
      </c>
      <c r="E118" s="9" t="s">
        <v>291</v>
      </c>
      <c r="F118" s="16" t="s">
        <v>244</v>
      </c>
      <c r="G118" s="16">
        <v>4</v>
      </c>
      <c r="H118" s="30" t="str">
        <f ca="1">VLOOKUP(A118,Sheet2!$U:$W,3,FALSE)</f>
        <v>1,3;2,4;46,2-2</v>
      </c>
      <c r="I118" s="16" t="s">
        <v>295</v>
      </c>
      <c r="J118" s="16" t="s">
        <v>1</v>
      </c>
      <c r="K118" s="16" t="s">
        <v>93</v>
      </c>
      <c r="L118" s="32" t="s">
        <v>91</v>
      </c>
    </row>
    <row r="119" s="16" customFormat="1" spans="1:12">
      <c r="A119" s="9" t="s">
        <v>296</v>
      </c>
      <c r="B119" s="23" t="s">
        <v>33</v>
      </c>
      <c r="C119" s="9" t="s">
        <v>290</v>
      </c>
      <c r="D119" s="9" t="s">
        <v>35</v>
      </c>
      <c r="E119" s="9" t="s">
        <v>291</v>
      </c>
      <c r="F119" s="16" t="s">
        <v>244</v>
      </c>
      <c r="G119" s="16">
        <v>4</v>
      </c>
      <c r="H119" s="30" t="str">
        <f ca="1">VLOOKUP(A119,Sheet2!$U:$W,3,FALSE)</f>
        <v>1,3;2,4;46,2-2</v>
      </c>
      <c r="I119" s="16" t="s">
        <v>297</v>
      </c>
      <c r="J119" s="16" t="s">
        <v>1</v>
      </c>
      <c r="K119" s="16" t="s">
        <v>95</v>
      </c>
      <c r="L119" s="32" t="s">
        <v>91</v>
      </c>
    </row>
    <row r="120" s="16" customFormat="1" spans="1:12">
      <c r="A120" s="9" t="s">
        <v>298</v>
      </c>
      <c r="B120" s="23" t="s">
        <v>33</v>
      </c>
      <c r="C120" s="9" t="s">
        <v>299</v>
      </c>
      <c r="D120" s="9" t="s">
        <v>35</v>
      </c>
      <c r="E120" s="9" t="s">
        <v>291</v>
      </c>
      <c r="F120" s="16" t="s">
        <v>244</v>
      </c>
      <c r="G120" s="16">
        <v>4</v>
      </c>
      <c r="H120" s="30" t="str">
        <f ca="1">VLOOKUP(A120,Sheet2!$U:$W,3,FALSE)</f>
        <v>1,3;2,4;46,2-2</v>
      </c>
      <c r="I120" s="16" t="s">
        <v>300</v>
      </c>
      <c r="J120" s="16" t="s">
        <v>1</v>
      </c>
      <c r="K120" s="16" t="s">
        <v>98</v>
      </c>
      <c r="L120" s="32" t="s">
        <v>91</v>
      </c>
    </row>
    <row r="121" s="16" customFormat="1" spans="1:12">
      <c r="A121" s="9" t="s">
        <v>301</v>
      </c>
      <c r="B121" s="23" t="s">
        <v>33</v>
      </c>
      <c r="C121" s="9" t="s">
        <v>299</v>
      </c>
      <c r="D121" s="9" t="s">
        <v>35</v>
      </c>
      <c r="E121" s="9" t="s">
        <v>302</v>
      </c>
      <c r="F121" s="16" t="s">
        <v>244</v>
      </c>
      <c r="G121" s="16">
        <v>4</v>
      </c>
      <c r="H121" s="30" t="str">
        <f ca="1">VLOOKUP(A121,Sheet2!$U:$W,3,FALSE)</f>
        <v>1,3;2,4;46,2-2</v>
      </c>
      <c r="I121" s="16" t="s">
        <v>303</v>
      </c>
      <c r="J121" s="16" t="s">
        <v>1</v>
      </c>
      <c r="K121" s="16" t="s">
        <v>101</v>
      </c>
      <c r="L121" s="32" t="s">
        <v>91</v>
      </c>
    </row>
    <row r="122" s="16" customFormat="1" spans="1:12">
      <c r="A122" s="9" t="s">
        <v>304</v>
      </c>
      <c r="B122" s="23" t="s">
        <v>33</v>
      </c>
      <c r="C122" s="9" t="s">
        <v>299</v>
      </c>
      <c r="D122" s="9" t="s">
        <v>35</v>
      </c>
      <c r="E122" s="9" t="s">
        <v>302</v>
      </c>
      <c r="F122" s="16" t="s">
        <v>244</v>
      </c>
      <c r="G122" s="16">
        <v>4</v>
      </c>
      <c r="H122" s="30" t="str">
        <f ca="1">VLOOKUP(A122,Sheet2!$U:$W,3,FALSE)</f>
        <v>1,3;2,4;46,2-2</v>
      </c>
      <c r="I122" s="16" t="s">
        <v>305</v>
      </c>
      <c r="J122" s="16" t="s">
        <v>1</v>
      </c>
      <c r="K122" s="16" t="s">
        <v>103</v>
      </c>
      <c r="L122" s="32" t="s">
        <v>91</v>
      </c>
    </row>
    <row r="123" s="16" customFormat="1" spans="1:12">
      <c r="A123" s="9" t="s">
        <v>306</v>
      </c>
      <c r="B123" s="23" t="s">
        <v>33</v>
      </c>
      <c r="C123" s="9" t="s">
        <v>299</v>
      </c>
      <c r="D123" s="9" t="s">
        <v>35</v>
      </c>
      <c r="E123" s="9" t="s">
        <v>302</v>
      </c>
      <c r="F123" s="16" t="s">
        <v>244</v>
      </c>
      <c r="G123" s="16">
        <v>4</v>
      </c>
      <c r="H123" s="30" t="str">
        <f ca="1">VLOOKUP(A123,Sheet2!$U:$W,3,FALSE)</f>
        <v>1,3;2,4;46,2-2</v>
      </c>
      <c r="I123" s="16" t="s">
        <v>307</v>
      </c>
      <c r="J123" s="16" t="s">
        <v>1</v>
      </c>
      <c r="K123" s="16" t="s">
        <v>105</v>
      </c>
      <c r="L123" s="32" t="s">
        <v>91</v>
      </c>
    </row>
    <row r="124" s="16" customFormat="1" spans="1:12">
      <c r="A124" s="9" t="s">
        <v>308</v>
      </c>
      <c r="B124" s="23" t="s">
        <v>33</v>
      </c>
      <c r="C124" s="9" t="s">
        <v>309</v>
      </c>
      <c r="D124" s="9" t="s">
        <v>35</v>
      </c>
      <c r="E124" s="9" t="s">
        <v>302</v>
      </c>
      <c r="F124" s="16" t="s">
        <v>244</v>
      </c>
      <c r="G124" s="16">
        <v>4</v>
      </c>
      <c r="H124" s="30" t="str">
        <f ca="1">VLOOKUP(A124,Sheet2!$U:$W,3,FALSE)</f>
        <v>1,3;2,4;46,2-2</v>
      </c>
      <c r="I124" s="16" t="s">
        <v>310</v>
      </c>
      <c r="J124" s="16" t="s">
        <v>1</v>
      </c>
      <c r="K124" s="16" t="s">
        <v>108</v>
      </c>
      <c r="L124" s="32" t="s">
        <v>91</v>
      </c>
    </row>
    <row r="125" s="16" customFormat="1" spans="1:12">
      <c r="A125" s="9" t="s">
        <v>311</v>
      </c>
      <c r="B125" s="23" t="s">
        <v>33</v>
      </c>
      <c r="C125" s="9" t="s">
        <v>309</v>
      </c>
      <c r="D125" s="9" t="s">
        <v>35</v>
      </c>
      <c r="E125" s="9" t="s">
        <v>302</v>
      </c>
      <c r="F125" s="16" t="s">
        <v>244</v>
      </c>
      <c r="G125" s="16">
        <v>4</v>
      </c>
      <c r="H125" s="30" t="str">
        <f ca="1">VLOOKUP(A125,Sheet2!$U:$W,3,FALSE)</f>
        <v>1,3;2,4;46,2-2</v>
      </c>
      <c r="I125" s="16" t="s">
        <v>312</v>
      </c>
      <c r="J125" s="16" t="s">
        <v>1</v>
      </c>
      <c r="K125" s="16" t="s">
        <v>110</v>
      </c>
      <c r="L125" s="32" t="s">
        <v>91</v>
      </c>
    </row>
    <row r="126" s="16" customFormat="1" spans="1:12">
      <c r="A126" s="9" t="s">
        <v>313</v>
      </c>
      <c r="B126" s="23" t="s">
        <v>33</v>
      </c>
      <c r="C126" s="9" t="s">
        <v>111</v>
      </c>
      <c r="D126" s="9" t="s">
        <v>35</v>
      </c>
      <c r="E126" s="9" t="s">
        <v>291</v>
      </c>
      <c r="F126" s="16" t="s">
        <v>244</v>
      </c>
      <c r="G126" s="16">
        <v>4</v>
      </c>
      <c r="H126" s="30" t="str">
        <f ca="1">VLOOKUP(A126,Sheet2!$U:$W,3,FALSE)</f>
        <v>1,3;2,4;46,2-2</v>
      </c>
      <c r="I126" s="16" t="s">
        <v>314</v>
      </c>
      <c r="J126" s="16" t="s">
        <v>1</v>
      </c>
      <c r="K126" s="16" t="s">
        <v>113</v>
      </c>
      <c r="L126" s="32"/>
    </row>
    <row r="127" s="17" customFormat="1" spans="1:12">
      <c r="A127" s="12" t="s">
        <v>315</v>
      </c>
      <c r="B127" s="17" t="s">
        <v>33</v>
      </c>
      <c r="C127" s="12" t="s">
        <v>114</v>
      </c>
      <c r="D127" s="12"/>
      <c r="E127" s="12" t="s">
        <v>115</v>
      </c>
      <c r="F127" s="17" t="s">
        <v>244</v>
      </c>
      <c r="G127" s="17">
        <v>5</v>
      </c>
      <c r="H127" s="30"/>
      <c r="K127" s="17" t="s">
        <v>116</v>
      </c>
      <c r="L127" s="33"/>
    </row>
    <row r="128" s="16" customFormat="1" spans="1:12">
      <c r="A128" s="9" t="s">
        <v>316</v>
      </c>
      <c r="B128" s="23" t="s">
        <v>33</v>
      </c>
      <c r="C128" s="9" t="s">
        <v>309</v>
      </c>
      <c r="D128" s="9" t="s">
        <v>35</v>
      </c>
      <c r="E128" s="9" t="s">
        <v>317</v>
      </c>
      <c r="F128" s="16" t="s">
        <v>244</v>
      </c>
      <c r="G128" s="16">
        <v>6</v>
      </c>
      <c r="H128" s="30" t="str">
        <f ca="1">VLOOKUP(A128,Sheet2!$U:$W,3,FALSE)</f>
        <v>1,3;2,4;46,2-2</v>
      </c>
      <c r="I128" s="16" t="s">
        <v>318</v>
      </c>
      <c r="J128" s="16" t="s">
        <v>1</v>
      </c>
      <c r="K128" s="16" t="s">
        <v>119</v>
      </c>
      <c r="L128" s="32" t="s">
        <v>120</v>
      </c>
    </row>
    <row r="129" s="16" customFormat="1" spans="1:12">
      <c r="A129" s="9" t="s">
        <v>319</v>
      </c>
      <c r="B129" s="23" t="s">
        <v>33</v>
      </c>
      <c r="C129" s="9" t="s">
        <v>309</v>
      </c>
      <c r="D129" s="9" t="s">
        <v>35</v>
      </c>
      <c r="E129" s="9" t="s">
        <v>317</v>
      </c>
      <c r="F129" s="16" t="s">
        <v>244</v>
      </c>
      <c r="G129" s="16">
        <v>6</v>
      </c>
      <c r="H129" s="30" t="str">
        <f ca="1">VLOOKUP(A129,Sheet2!$U:$W,3,FALSE)</f>
        <v>1,3;2,4;46,2-2</v>
      </c>
      <c r="I129" s="16" t="s">
        <v>320</v>
      </c>
      <c r="J129" s="16" t="s">
        <v>1</v>
      </c>
      <c r="K129" s="16" t="s">
        <v>122</v>
      </c>
      <c r="L129" s="32" t="s">
        <v>120</v>
      </c>
    </row>
    <row r="130" s="16" customFormat="1" spans="1:12">
      <c r="A130" s="9" t="s">
        <v>321</v>
      </c>
      <c r="B130" s="23" t="s">
        <v>33</v>
      </c>
      <c r="C130" s="9" t="s">
        <v>322</v>
      </c>
      <c r="D130" s="9" t="s">
        <v>35</v>
      </c>
      <c r="E130" s="9" t="s">
        <v>317</v>
      </c>
      <c r="F130" s="16" t="s">
        <v>244</v>
      </c>
      <c r="G130" s="16">
        <v>6</v>
      </c>
      <c r="H130" s="30" t="str">
        <f ca="1">VLOOKUP(A130,Sheet2!$U:$W,3,FALSE)</f>
        <v>1,3;2,4;46,2-2</v>
      </c>
      <c r="I130" s="16" t="s">
        <v>323</v>
      </c>
      <c r="J130" s="16" t="s">
        <v>1</v>
      </c>
      <c r="K130" s="16" t="s">
        <v>125</v>
      </c>
      <c r="L130" s="32" t="s">
        <v>120</v>
      </c>
    </row>
    <row r="131" s="16" customFormat="1" spans="1:12">
      <c r="A131" s="9" t="s">
        <v>324</v>
      </c>
      <c r="B131" s="23" t="s">
        <v>33</v>
      </c>
      <c r="C131" s="9" t="s">
        <v>322</v>
      </c>
      <c r="D131" s="9" t="s">
        <v>35</v>
      </c>
      <c r="E131" s="9" t="s">
        <v>317</v>
      </c>
      <c r="F131" s="16" t="s">
        <v>244</v>
      </c>
      <c r="G131" s="16">
        <v>6</v>
      </c>
      <c r="H131" s="30" t="str">
        <f ca="1">VLOOKUP(A131,Sheet2!$U:$W,3,FALSE)</f>
        <v>1,3;2,4;46,2-2</v>
      </c>
      <c r="I131" s="16" t="s">
        <v>325</v>
      </c>
      <c r="J131" s="16" t="s">
        <v>1</v>
      </c>
      <c r="K131" s="16" t="s">
        <v>127</v>
      </c>
      <c r="L131" s="32" t="s">
        <v>120</v>
      </c>
    </row>
    <row r="132" s="16" customFormat="1" spans="1:12">
      <c r="A132" s="9" t="s">
        <v>326</v>
      </c>
      <c r="B132" s="23" t="s">
        <v>33</v>
      </c>
      <c r="C132" s="9" t="s">
        <v>322</v>
      </c>
      <c r="D132" s="9" t="s">
        <v>35</v>
      </c>
      <c r="E132" s="9" t="s">
        <v>317</v>
      </c>
      <c r="F132" s="16" t="s">
        <v>244</v>
      </c>
      <c r="G132" s="16">
        <v>6</v>
      </c>
      <c r="H132" s="30" t="str">
        <f ca="1">VLOOKUP(A132,Sheet2!$U:$W,3,FALSE)</f>
        <v>1,3;2,4;46,2-2</v>
      </c>
      <c r="I132" s="16" t="s">
        <v>327</v>
      </c>
      <c r="J132" s="16" t="s">
        <v>1</v>
      </c>
      <c r="K132" s="16" t="s">
        <v>129</v>
      </c>
      <c r="L132" s="32" t="s">
        <v>120</v>
      </c>
    </row>
    <row r="133" s="16" customFormat="1" spans="1:12">
      <c r="A133" s="9" t="s">
        <v>328</v>
      </c>
      <c r="B133" s="23" t="s">
        <v>33</v>
      </c>
      <c r="C133" s="9" t="s">
        <v>329</v>
      </c>
      <c r="D133" s="9" t="s">
        <v>35</v>
      </c>
      <c r="E133" s="9" t="s">
        <v>330</v>
      </c>
      <c r="F133" s="16" t="s">
        <v>244</v>
      </c>
      <c r="G133" s="16">
        <v>6</v>
      </c>
      <c r="H133" s="30" t="str">
        <f ca="1">VLOOKUP(A133,Sheet2!$U:$W,3,FALSE)</f>
        <v>1,3;2,4;46,2-2</v>
      </c>
      <c r="I133" s="16" t="s">
        <v>331</v>
      </c>
      <c r="J133" s="16" t="s">
        <v>1</v>
      </c>
      <c r="K133" s="16" t="s">
        <v>133</v>
      </c>
      <c r="L133" s="32" t="s">
        <v>134</v>
      </c>
    </row>
    <row r="134" s="16" customFormat="1" spans="1:12">
      <c r="A134" s="9" t="s">
        <v>332</v>
      </c>
      <c r="B134" s="23" t="s">
        <v>33</v>
      </c>
      <c r="C134" s="9" t="s">
        <v>329</v>
      </c>
      <c r="D134" s="9" t="s">
        <v>35</v>
      </c>
      <c r="E134" s="9" t="s">
        <v>330</v>
      </c>
      <c r="F134" s="16" t="s">
        <v>244</v>
      </c>
      <c r="G134" s="16">
        <v>6</v>
      </c>
      <c r="H134" s="30" t="str">
        <f ca="1">VLOOKUP(A134,Sheet2!$U:$W,3,FALSE)</f>
        <v>1,3;2,4;46,2-2</v>
      </c>
      <c r="I134" s="16" t="s">
        <v>333</v>
      </c>
      <c r="J134" s="16" t="s">
        <v>1</v>
      </c>
      <c r="K134" s="16" t="s">
        <v>136</v>
      </c>
      <c r="L134" s="32" t="s">
        <v>134</v>
      </c>
    </row>
    <row r="135" s="16" customFormat="1" spans="1:12">
      <c r="A135" s="9" t="s">
        <v>334</v>
      </c>
      <c r="B135" s="23" t="s">
        <v>33</v>
      </c>
      <c r="C135" s="9" t="s">
        <v>329</v>
      </c>
      <c r="D135" s="9" t="s">
        <v>35</v>
      </c>
      <c r="E135" s="9" t="s">
        <v>330</v>
      </c>
      <c r="F135" s="16" t="s">
        <v>244</v>
      </c>
      <c r="G135" s="16">
        <v>6</v>
      </c>
      <c r="H135" s="30" t="str">
        <f ca="1">VLOOKUP(A135,Sheet2!$U:$W,3,FALSE)</f>
        <v>1,3;2,4;46,2-2</v>
      </c>
      <c r="I135" s="16" t="s">
        <v>335</v>
      </c>
      <c r="J135" s="16" t="s">
        <v>1</v>
      </c>
      <c r="K135" s="16" t="s">
        <v>138</v>
      </c>
      <c r="L135" s="32" t="s">
        <v>134</v>
      </c>
    </row>
    <row r="136" s="16" customFormat="1" spans="1:12">
      <c r="A136" s="9" t="s">
        <v>336</v>
      </c>
      <c r="B136" s="23" t="s">
        <v>33</v>
      </c>
      <c r="C136" s="9" t="s">
        <v>329</v>
      </c>
      <c r="D136" s="9" t="s">
        <v>35</v>
      </c>
      <c r="E136" s="9" t="s">
        <v>330</v>
      </c>
      <c r="F136" s="16" t="s">
        <v>244</v>
      </c>
      <c r="G136" s="16">
        <v>6</v>
      </c>
      <c r="H136" s="30" t="str">
        <f ca="1">VLOOKUP(A136,Sheet2!$U:$W,3,FALSE)</f>
        <v>1,3;2,4;46,2-2</v>
      </c>
      <c r="I136" s="16" t="s">
        <v>337</v>
      </c>
      <c r="J136" s="16" t="s">
        <v>1</v>
      </c>
      <c r="K136" s="16" t="s">
        <v>140</v>
      </c>
      <c r="L136" s="32" t="s">
        <v>134</v>
      </c>
    </row>
    <row r="137" s="16" customFormat="1" spans="1:12">
      <c r="A137" s="9" t="s">
        <v>338</v>
      </c>
      <c r="B137" s="23" t="s">
        <v>33</v>
      </c>
      <c r="C137" s="9" t="s">
        <v>329</v>
      </c>
      <c r="D137" s="9" t="s">
        <v>35</v>
      </c>
      <c r="E137" s="9" t="s">
        <v>330</v>
      </c>
      <c r="F137" s="16" t="s">
        <v>244</v>
      </c>
      <c r="G137" s="16">
        <v>6</v>
      </c>
      <c r="H137" s="30" t="str">
        <f ca="1">VLOOKUP(A137,Sheet2!$U:$W,3,FALSE)</f>
        <v>1,3;2,4;46,2-2</v>
      </c>
      <c r="I137" s="16" t="s">
        <v>339</v>
      </c>
      <c r="J137" s="16" t="s">
        <v>1</v>
      </c>
      <c r="K137" s="16" t="s">
        <v>142</v>
      </c>
      <c r="L137" s="32" t="s">
        <v>134</v>
      </c>
    </row>
    <row r="138" s="17" customFormat="1" spans="1:12">
      <c r="A138" s="12" t="s">
        <v>340</v>
      </c>
      <c r="B138" s="17" t="s">
        <v>33</v>
      </c>
      <c r="C138" s="12" t="s">
        <v>143</v>
      </c>
      <c r="D138" s="12"/>
      <c r="E138" s="12" t="s">
        <v>330</v>
      </c>
      <c r="F138" s="17" t="s">
        <v>244</v>
      </c>
      <c r="G138" s="17">
        <v>7</v>
      </c>
      <c r="H138" s="30"/>
      <c r="K138" s="17" t="s">
        <v>144</v>
      </c>
      <c r="L138" s="33"/>
    </row>
    <row r="139" s="16" customFormat="1" spans="1:12">
      <c r="A139" s="9" t="s">
        <v>341</v>
      </c>
      <c r="B139" s="23" t="s">
        <v>33</v>
      </c>
      <c r="C139" s="9" t="s">
        <v>342</v>
      </c>
      <c r="D139" s="9" t="s">
        <v>35</v>
      </c>
      <c r="E139" s="9" t="s">
        <v>343</v>
      </c>
      <c r="F139" s="16" t="s">
        <v>244</v>
      </c>
      <c r="G139" s="16">
        <v>8</v>
      </c>
      <c r="H139" s="30" t="str">
        <f ca="1">VLOOKUP(A139,Sheet2!$U:$W,3,FALSE)</f>
        <v>1,2;2,5;46,2-2</v>
      </c>
      <c r="I139" s="16" t="s">
        <v>344</v>
      </c>
      <c r="J139" s="16" t="s">
        <v>1</v>
      </c>
      <c r="K139" s="16" t="s">
        <v>148</v>
      </c>
      <c r="L139" s="32" t="s">
        <v>134</v>
      </c>
    </row>
    <row r="140" s="16" customFormat="1" spans="1:12">
      <c r="A140" s="9" t="s">
        <v>345</v>
      </c>
      <c r="B140" s="23" t="s">
        <v>33</v>
      </c>
      <c r="C140" s="9" t="s">
        <v>342</v>
      </c>
      <c r="D140" s="9" t="s">
        <v>35</v>
      </c>
      <c r="E140" s="9" t="s">
        <v>343</v>
      </c>
      <c r="F140" s="16" t="s">
        <v>244</v>
      </c>
      <c r="G140" s="16">
        <v>8</v>
      </c>
      <c r="H140" s="30" t="str">
        <f ca="1">VLOOKUP(A140,Sheet2!$U:$W,3,FALSE)</f>
        <v>1,2;2,5;46,2-2</v>
      </c>
      <c r="I140" s="16" t="s">
        <v>346</v>
      </c>
      <c r="J140" s="16" t="s">
        <v>1</v>
      </c>
      <c r="K140" s="16" t="s">
        <v>150</v>
      </c>
      <c r="L140" s="32" t="s">
        <v>134</v>
      </c>
    </row>
    <row r="141" s="16" customFormat="1" spans="1:12">
      <c r="A141" s="9" t="s">
        <v>347</v>
      </c>
      <c r="B141" s="23" t="s">
        <v>33</v>
      </c>
      <c r="C141" s="9" t="s">
        <v>342</v>
      </c>
      <c r="D141" s="9" t="s">
        <v>35</v>
      </c>
      <c r="E141" s="9" t="s">
        <v>343</v>
      </c>
      <c r="F141" s="16" t="s">
        <v>244</v>
      </c>
      <c r="G141" s="16">
        <v>8</v>
      </c>
      <c r="H141" s="30" t="str">
        <f ca="1">VLOOKUP(A141,Sheet2!$U:$W,3,FALSE)</f>
        <v>1,2;2,5;46,2-2</v>
      </c>
      <c r="I141" s="16" t="s">
        <v>348</v>
      </c>
      <c r="J141" s="16" t="s">
        <v>1</v>
      </c>
      <c r="K141" s="16" t="s">
        <v>152</v>
      </c>
      <c r="L141" s="32" t="s">
        <v>134</v>
      </c>
    </row>
    <row r="142" s="16" customFormat="1" spans="1:12">
      <c r="A142" s="9" t="s">
        <v>349</v>
      </c>
      <c r="B142" s="23" t="s">
        <v>33</v>
      </c>
      <c r="C142" s="9" t="s">
        <v>342</v>
      </c>
      <c r="D142" s="9" t="s">
        <v>35</v>
      </c>
      <c r="E142" s="9" t="s">
        <v>343</v>
      </c>
      <c r="F142" s="16" t="s">
        <v>244</v>
      </c>
      <c r="G142" s="16">
        <v>8</v>
      </c>
      <c r="H142" s="30" t="str">
        <f ca="1">VLOOKUP(A142,Sheet2!$U:$W,3,FALSE)</f>
        <v>1,2;2,5;46,2-2</v>
      </c>
      <c r="I142" s="16" t="s">
        <v>350</v>
      </c>
      <c r="J142" s="16" t="s">
        <v>1</v>
      </c>
      <c r="K142" s="16" t="s">
        <v>154</v>
      </c>
      <c r="L142" s="32" t="s">
        <v>134</v>
      </c>
    </row>
    <row r="143" s="16" customFormat="1" spans="1:12">
      <c r="A143" s="9" t="s">
        <v>351</v>
      </c>
      <c r="B143" s="23" t="s">
        <v>33</v>
      </c>
      <c r="C143" s="9" t="s">
        <v>352</v>
      </c>
      <c r="D143" s="9" t="s">
        <v>35</v>
      </c>
      <c r="E143" s="9" t="s">
        <v>343</v>
      </c>
      <c r="F143" s="16" t="s">
        <v>244</v>
      </c>
      <c r="G143" s="16">
        <v>8</v>
      </c>
      <c r="H143" s="30" t="str">
        <f ca="1">VLOOKUP(A143,Sheet2!$U:$W,3,FALSE)</f>
        <v>1,2;2,5;46,2-3</v>
      </c>
      <c r="I143" s="16" t="s">
        <v>353</v>
      </c>
      <c r="J143" s="16" t="s">
        <v>1</v>
      </c>
      <c r="K143" s="16" t="s">
        <v>157</v>
      </c>
      <c r="L143" s="32" t="s">
        <v>134</v>
      </c>
    </row>
    <row r="144" s="16" customFormat="1" spans="1:12">
      <c r="A144" s="9" t="s">
        <v>354</v>
      </c>
      <c r="B144" s="23" t="s">
        <v>33</v>
      </c>
      <c r="C144" s="9" t="s">
        <v>352</v>
      </c>
      <c r="D144" s="9" t="s">
        <v>35</v>
      </c>
      <c r="E144" s="9" t="s">
        <v>355</v>
      </c>
      <c r="F144" s="16" t="s">
        <v>244</v>
      </c>
      <c r="G144" s="16">
        <v>8</v>
      </c>
      <c r="H144" s="30" t="str">
        <f ca="1">VLOOKUP(A144,Sheet2!$U:$W,3,FALSE)</f>
        <v>1,2;2,5;46,2-3</v>
      </c>
      <c r="I144" s="16" t="s">
        <v>356</v>
      </c>
      <c r="J144" s="16" t="s">
        <v>1</v>
      </c>
      <c r="K144" s="16" t="s">
        <v>160</v>
      </c>
      <c r="L144" s="32"/>
    </row>
    <row r="145" s="16" customFormat="1" spans="1:12">
      <c r="A145" s="9" t="s">
        <v>357</v>
      </c>
      <c r="B145" s="23" t="s">
        <v>33</v>
      </c>
      <c r="C145" s="9" t="s">
        <v>352</v>
      </c>
      <c r="D145" s="9" t="s">
        <v>35</v>
      </c>
      <c r="E145" s="9" t="s">
        <v>355</v>
      </c>
      <c r="F145" s="16" t="s">
        <v>244</v>
      </c>
      <c r="G145" s="16">
        <v>8</v>
      </c>
      <c r="H145" s="30" t="str">
        <f ca="1">VLOOKUP(A145,Sheet2!$U:$W,3,FALSE)</f>
        <v>1,2;2,5;46,2-3</v>
      </c>
      <c r="I145" s="16" t="s">
        <v>358</v>
      </c>
      <c r="J145" s="16" t="s">
        <v>1</v>
      </c>
      <c r="K145" s="16" t="s">
        <v>162</v>
      </c>
      <c r="L145" s="32"/>
    </row>
    <row r="146" s="16" customFormat="1" spans="1:12">
      <c r="A146" s="9" t="s">
        <v>359</v>
      </c>
      <c r="B146" s="23" t="s">
        <v>33</v>
      </c>
      <c r="C146" s="9" t="s">
        <v>352</v>
      </c>
      <c r="D146" s="9" t="s">
        <v>35</v>
      </c>
      <c r="E146" s="9" t="s">
        <v>355</v>
      </c>
      <c r="F146" s="16" t="s">
        <v>244</v>
      </c>
      <c r="G146" s="16">
        <v>8</v>
      </c>
      <c r="H146" s="30" t="str">
        <f ca="1">VLOOKUP(A146,Sheet2!$U:$W,3,FALSE)</f>
        <v>1,2;2,5;46,2-3</v>
      </c>
      <c r="I146" s="16" t="s">
        <v>360</v>
      </c>
      <c r="J146" s="16" t="s">
        <v>1</v>
      </c>
      <c r="K146" s="16" t="s">
        <v>164</v>
      </c>
      <c r="L146" s="32"/>
    </row>
    <row r="147" s="16" customFormat="1" spans="1:12">
      <c r="A147" s="9" t="s">
        <v>361</v>
      </c>
      <c r="B147" s="23" t="s">
        <v>33</v>
      </c>
      <c r="C147" s="9" t="s">
        <v>362</v>
      </c>
      <c r="D147" s="9" t="s">
        <v>35</v>
      </c>
      <c r="E147" s="9" t="s">
        <v>355</v>
      </c>
      <c r="F147" s="16" t="s">
        <v>244</v>
      </c>
      <c r="G147" s="16">
        <v>8</v>
      </c>
      <c r="H147" s="30" t="str">
        <f ca="1">VLOOKUP(A147,Sheet2!$U:$W,3,FALSE)</f>
        <v>1,2;2,5;46,2-3</v>
      </c>
      <c r="I147" s="16" t="s">
        <v>363</v>
      </c>
      <c r="J147" s="16" t="s">
        <v>1</v>
      </c>
      <c r="K147" s="16" t="s">
        <v>167</v>
      </c>
      <c r="L147" s="32"/>
    </row>
    <row r="148" s="16" customFormat="1" spans="1:12">
      <c r="A148" s="9" t="s">
        <v>364</v>
      </c>
      <c r="B148" s="23" t="s">
        <v>33</v>
      </c>
      <c r="C148" s="9" t="s">
        <v>362</v>
      </c>
      <c r="D148" s="9" t="s">
        <v>35</v>
      </c>
      <c r="E148" s="9" t="s">
        <v>355</v>
      </c>
      <c r="F148" s="16" t="s">
        <v>244</v>
      </c>
      <c r="G148" s="16">
        <v>8</v>
      </c>
      <c r="H148" s="30" t="str">
        <f ca="1">VLOOKUP(A148,Sheet2!$U:$W,3,FALSE)</f>
        <v>1,2;2,5;46,2-3</v>
      </c>
      <c r="I148" s="16" t="s">
        <v>365</v>
      </c>
      <c r="J148" s="16" t="s">
        <v>1</v>
      </c>
      <c r="K148" s="16" t="s">
        <v>169</v>
      </c>
      <c r="L148" s="32"/>
    </row>
    <row r="149" s="15" customFormat="1" spans="1:12">
      <c r="A149" s="13" t="s">
        <v>366</v>
      </c>
      <c r="B149" s="15" t="s">
        <v>33</v>
      </c>
      <c r="C149" s="13" t="s">
        <v>114</v>
      </c>
      <c r="D149" s="13"/>
      <c r="E149" s="13" t="s">
        <v>115</v>
      </c>
      <c r="F149" s="15" t="s">
        <v>244</v>
      </c>
      <c r="G149" s="15">
        <v>16</v>
      </c>
      <c r="H149" s="30"/>
      <c r="K149" s="15" t="s">
        <v>170</v>
      </c>
      <c r="L149" s="29"/>
    </row>
    <row r="150" s="16" customFormat="1" spans="1:12">
      <c r="A150" s="9" t="s">
        <v>367</v>
      </c>
      <c r="B150" s="23" t="s">
        <v>33</v>
      </c>
      <c r="C150" s="9" t="s">
        <v>368</v>
      </c>
      <c r="D150" s="9" t="s">
        <v>35</v>
      </c>
      <c r="E150" s="9" t="s">
        <v>369</v>
      </c>
      <c r="F150" s="16" t="s">
        <v>244</v>
      </c>
      <c r="G150" s="16">
        <v>9</v>
      </c>
      <c r="H150" s="30" t="str">
        <f ca="1">VLOOKUP(A150,Sheet2!$U:$W,3,FALSE)</f>
        <v>1,2;2,5;46,2-3</v>
      </c>
      <c r="I150" s="16" t="s">
        <v>370</v>
      </c>
      <c r="J150" s="16" t="s">
        <v>1</v>
      </c>
      <c r="K150" s="16" t="s">
        <v>174</v>
      </c>
      <c r="L150" s="32"/>
    </row>
    <row r="151" s="16" customFormat="1" spans="1:12">
      <c r="A151" s="9" t="s">
        <v>371</v>
      </c>
      <c r="B151" s="23" t="s">
        <v>33</v>
      </c>
      <c r="C151" s="9" t="s">
        <v>368</v>
      </c>
      <c r="D151" s="9" t="s">
        <v>35</v>
      </c>
      <c r="E151" s="9" t="s">
        <v>369</v>
      </c>
      <c r="F151" s="16" t="s">
        <v>244</v>
      </c>
      <c r="G151" s="16">
        <v>9</v>
      </c>
      <c r="H151" s="30" t="str">
        <f ca="1">VLOOKUP(A151,Sheet2!$U:$W,3,FALSE)</f>
        <v>1,2;2,5;46,2-3</v>
      </c>
      <c r="I151" s="16" t="s">
        <v>372</v>
      </c>
      <c r="J151" s="16" t="s">
        <v>1</v>
      </c>
      <c r="K151" s="16" t="s">
        <v>176</v>
      </c>
      <c r="L151" s="32"/>
    </row>
    <row r="152" s="16" customFormat="1" spans="1:12">
      <c r="A152" s="9" t="s">
        <v>373</v>
      </c>
      <c r="B152" s="23" t="s">
        <v>33</v>
      </c>
      <c r="C152" s="9" t="s">
        <v>368</v>
      </c>
      <c r="D152" s="9" t="s">
        <v>35</v>
      </c>
      <c r="E152" s="9" t="s">
        <v>369</v>
      </c>
      <c r="F152" s="16" t="s">
        <v>244</v>
      </c>
      <c r="G152" s="16">
        <v>9</v>
      </c>
      <c r="H152" s="30" t="str">
        <f ca="1">VLOOKUP(A152,Sheet2!$U:$W,3,FALSE)</f>
        <v>1,2;2,5;46,2-3</v>
      </c>
      <c r="I152" s="16" t="s">
        <v>374</v>
      </c>
      <c r="J152" s="16" t="s">
        <v>1</v>
      </c>
      <c r="K152" s="16" t="s">
        <v>178</v>
      </c>
      <c r="L152" s="32"/>
    </row>
    <row r="153" s="16" customFormat="1" spans="1:12">
      <c r="A153" s="9" t="s">
        <v>375</v>
      </c>
      <c r="B153" s="23" t="s">
        <v>33</v>
      </c>
      <c r="C153" s="9" t="s">
        <v>368</v>
      </c>
      <c r="D153" s="9" t="s">
        <v>35</v>
      </c>
      <c r="E153" s="9" t="s">
        <v>369</v>
      </c>
      <c r="F153" s="16" t="s">
        <v>244</v>
      </c>
      <c r="G153" s="16">
        <v>9</v>
      </c>
      <c r="H153" s="30" t="str">
        <f ca="1">VLOOKUP(A153,Sheet2!$U:$W,3,FALSE)</f>
        <v>1,2;2,5;46,2-3</v>
      </c>
      <c r="I153" s="16" t="s">
        <v>376</v>
      </c>
      <c r="J153" s="16" t="s">
        <v>1</v>
      </c>
      <c r="K153" s="16" t="s">
        <v>180</v>
      </c>
      <c r="L153" s="32"/>
    </row>
    <row r="154" s="16" customFormat="1" spans="1:12">
      <c r="A154" s="9" t="s">
        <v>377</v>
      </c>
      <c r="B154" s="23" t="s">
        <v>33</v>
      </c>
      <c r="C154" s="9" t="s">
        <v>368</v>
      </c>
      <c r="D154" s="9" t="s">
        <v>35</v>
      </c>
      <c r="E154" s="9" t="s">
        <v>369</v>
      </c>
      <c r="F154" s="16" t="s">
        <v>244</v>
      </c>
      <c r="G154" s="16">
        <v>9</v>
      </c>
      <c r="H154" s="30" t="str">
        <f ca="1">VLOOKUP(A154,Sheet2!$U:$W,3,FALSE)</f>
        <v>1,2;2,5;46,2-3</v>
      </c>
      <c r="I154" s="16" t="s">
        <v>378</v>
      </c>
      <c r="J154" s="16" t="s">
        <v>1</v>
      </c>
      <c r="K154" s="16" t="s">
        <v>182</v>
      </c>
      <c r="L154" s="32"/>
    </row>
    <row r="155" s="16" customFormat="1" spans="1:12">
      <c r="A155" s="9" t="s">
        <v>379</v>
      </c>
      <c r="B155" s="23" t="s">
        <v>33</v>
      </c>
      <c r="C155" s="9" t="s">
        <v>368</v>
      </c>
      <c r="D155" s="9" t="s">
        <v>35</v>
      </c>
      <c r="E155" s="9" t="s">
        <v>369</v>
      </c>
      <c r="F155" s="16" t="s">
        <v>244</v>
      </c>
      <c r="G155" s="16">
        <v>9</v>
      </c>
      <c r="H155" s="30" t="str">
        <f ca="1">VLOOKUP(A155,Sheet2!$U:$W,3,FALSE)</f>
        <v>1,2;2,5;46,2-3</v>
      </c>
      <c r="I155" s="16" t="s">
        <v>380</v>
      </c>
      <c r="J155" s="16" t="s">
        <v>1</v>
      </c>
      <c r="K155" s="16" t="s">
        <v>184</v>
      </c>
      <c r="L155" s="32"/>
    </row>
    <row r="156" s="16" customFormat="1" spans="1:12">
      <c r="A156" s="9" t="s">
        <v>381</v>
      </c>
      <c r="B156" s="23" t="s">
        <v>33</v>
      </c>
      <c r="C156" s="9" t="s">
        <v>382</v>
      </c>
      <c r="D156" s="9" t="s">
        <v>35</v>
      </c>
      <c r="E156" s="9" t="s">
        <v>369</v>
      </c>
      <c r="F156" s="16" t="s">
        <v>244</v>
      </c>
      <c r="G156" s="16">
        <v>9</v>
      </c>
      <c r="H156" s="30" t="str">
        <f ca="1">VLOOKUP(A156,Sheet2!$U:$W,3,FALSE)</f>
        <v>1,2;2,5;46,2-3</v>
      </c>
      <c r="I156" s="16" t="s">
        <v>383</v>
      </c>
      <c r="J156" s="16" t="s">
        <v>1</v>
      </c>
      <c r="K156" s="16" t="s">
        <v>187</v>
      </c>
      <c r="L156" s="32"/>
    </row>
    <row r="157" s="16" customFormat="1" spans="1:12">
      <c r="A157" s="9" t="s">
        <v>384</v>
      </c>
      <c r="B157" s="23" t="s">
        <v>33</v>
      </c>
      <c r="C157" s="9" t="s">
        <v>382</v>
      </c>
      <c r="D157" s="9" t="s">
        <v>35</v>
      </c>
      <c r="E157" s="9" t="s">
        <v>369</v>
      </c>
      <c r="F157" s="16" t="s">
        <v>244</v>
      </c>
      <c r="G157" s="16">
        <v>9</v>
      </c>
      <c r="H157" s="30" t="str">
        <f ca="1">VLOOKUP(A157,Sheet2!$U:$W,3,FALSE)</f>
        <v>1,2;2,5;46,2-3</v>
      </c>
      <c r="I157" s="16" t="s">
        <v>385</v>
      </c>
      <c r="J157" s="16" t="s">
        <v>1</v>
      </c>
      <c r="K157" s="16" t="s">
        <v>189</v>
      </c>
      <c r="L157" s="32"/>
    </row>
    <row r="158" s="16" customFormat="1" spans="1:12">
      <c r="A158" s="9" t="s">
        <v>386</v>
      </c>
      <c r="B158" s="23" t="s">
        <v>33</v>
      </c>
      <c r="C158" s="9" t="s">
        <v>382</v>
      </c>
      <c r="D158" s="9" t="s">
        <v>35</v>
      </c>
      <c r="E158" s="9" t="s">
        <v>369</v>
      </c>
      <c r="F158" s="16" t="s">
        <v>244</v>
      </c>
      <c r="G158" s="16">
        <v>9</v>
      </c>
      <c r="H158" s="30" t="str">
        <f ca="1">VLOOKUP(A158,Sheet2!$U:$W,3,FALSE)</f>
        <v>1,2;2,5;46,2-3</v>
      </c>
      <c r="I158" s="16" t="s">
        <v>387</v>
      </c>
      <c r="J158" s="16" t="s">
        <v>1</v>
      </c>
      <c r="K158" s="16" t="s">
        <v>191</v>
      </c>
      <c r="L158" s="32"/>
    </row>
    <row r="159" s="16" customFormat="1" spans="1:12">
      <c r="A159" s="9" t="s">
        <v>388</v>
      </c>
      <c r="B159" s="23" t="s">
        <v>33</v>
      </c>
      <c r="C159" s="9" t="s">
        <v>382</v>
      </c>
      <c r="D159" s="9" t="s">
        <v>35</v>
      </c>
      <c r="E159" s="9" t="s">
        <v>369</v>
      </c>
      <c r="F159" s="16" t="s">
        <v>244</v>
      </c>
      <c r="G159" s="16">
        <v>9</v>
      </c>
      <c r="H159" s="30" t="str">
        <f ca="1">VLOOKUP(A159,Sheet2!$U:$W,3,FALSE)</f>
        <v>1,2;2,5;46,2-3</v>
      </c>
      <c r="I159" s="16" t="s">
        <v>389</v>
      </c>
      <c r="J159" s="16" t="s">
        <v>1</v>
      </c>
      <c r="K159" s="16" t="s">
        <v>193</v>
      </c>
      <c r="L159" s="32"/>
    </row>
    <row r="160" s="17" customFormat="1" spans="1:12">
      <c r="A160" s="12" t="s">
        <v>390</v>
      </c>
      <c r="B160" s="17" t="s">
        <v>33</v>
      </c>
      <c r="C160" s="12" t="s">
        <v>194</v>
      </c>
      <c r="D160" s="12"/>
      <c r="E160" s="12" t="s">
        <v>369</v>
      </c>
      <c r="F160" s="17" t="s">
        <v>244</v>
      </c>
      <c r="G160" s="17">
        <v>10</v>
      </c>
      <c r="H160" s="30"/>
      <c r="K160" s="17" t="s">
        <v>195</v>
      </c>
      <c r="L160" s="33"/>
    </row>
    <row r="161" s="16" customFormat="1" spans="1:12">
      <c r="A161" s="9" t="s">
        <v>391</v>
      </c>
      <c r="B161" s="23" t="s">
        <v>33</v>
      </c>
      <c r="C161" s="9" t="s">
        <v>382</v>
      </c>
      <c r="D161" s="9" t="s">
        <v>35</v>
      </c>
      <c r="E161" s="9" t="s">
        <v>369</v>
      </c>
      <c r="F161" s="16" t="s">
        <v>244</v>
      </c>
      <c r="G161" s="16">
        <v>11</v>
      </c>
      <c r="H161" s="30" t="str">
        <f ca="1">VLOOKUP(A161,Sheet2!$U:$W,3,FALSE)</f>
        <v>1,2;2,5;46,2-3</v>
      </c>
      <c r="I161" s="16" t="s">
        <v>392</v>
      </c>
      <c r="J161" s="16" t="s">
        <v>1</v>
      </c>
      <c r="K161" s="16" t="s">
        <v>197</v>
      </c>
      <c r="L161" s="32"/>
    </row>
    <row r="162" s="16" customFormat="1" spans="1:12">
      <c r="A162" s="9" t="s">
        <v>393</v>
      </c>
      <c r="B162" s="23" t="s">
        <v>33</v>
      </c>
      <c r="C162" s="9" t="s">
        <v>382</v>
      </c>
      <c r="D162" s="9" t="s">
        <v>35</v>
      </c>
      <c r="E162" s="9" t="s">
        <v>369</v>
      </c>
      <c r="F162" s="16" t="s">
        <v>244</v>
      </c>
      <c r="G162" s="16">
        <v>11</v>
      </c>
      <c r="H162" s="30" t="str">
        <f ca="1">VLOOKUP(A162,Sheet2!$U:$W,3,FALSE)</f>
        <v>1,2;2,5;46,2-3</v>
      </c>
      <c r="I162" s="16" t="s">
        <v>394</v>
      </c>
      <c r="J162" s="16" t="s">
        <v>1</v>
      </c>
      <c r="K162" s="16" t="s">
        <v>199</v>
      </c>
      <c r="L162" s="32"/>
    </row>
    <row r="163" s="16" customFormat="1" spans="1:12">
      <c r="A163" s="9" t="s">
        <v>395</v>
      </c>
      <c r="B163" s="23" t="s">
        <v>33</v>
      </c>
      <c r="C163" s="9" t="s">
        <v>382</v>
      </c>
      <c r="D163" s="9" t="s">
        <v>35</v>
      </c>
      <c r="E163" s="9" t="s">
        <v>369</v>
      </c>
      <c r="F163" s="16" t="s">
        <v>244</v>
      </c>
      <c r="G163" s="16">
        <v>11</v>
      </c>
      <c r="H163" s="30" t="str">
        <f ca="1">VLOOKUP(A163,Sheet2!$U:$W,3,FALSE)</f>
        <v>1,2;2,5;46,2-3</v>
      </c>
      <c r="I163" s="16" t="s">
        <v>396</v>
      </c>
      <c r="J163" s="16" t="s">
        <v>1</v>
      </c>
      <c r="K163" s="16" t="s">
        <v>201</v>
      </c>
      <c r="L163" s="32"/>
    </row>
    <row r="164" s="16" customFormat="1" spans="1:12">
      <c r="A164" s="9" t="s">
        <v>397</v>
      </c>
      <c r="B164" s="23" t="s">
        <v>33</v>
      </c>
      <c r="C164" s="9" t="s">
        <v>382</v>
      </c>
      <c r="D164" s="9" t="s">
        <v>35</v>
      </c>
      <c r="E164" s="9" t="s">
        <v>369</v>
      </c>
      <c r="F164" s="16" t="s">
        <v>244</v>
      </c>
      <c r="G164" s="16">
        <v>11</v>
      </c>
      <c r="H164" s="30" t="str">
        <f ca="1">VLOOKUP(A164,Sheet2!$U:$W,3,FALSE)</f>
        <v>1,2;2,5;46,2-3</v>
      </c>
      <c r="I164" s="16" t="s">
        <v>398</v>
      </c>
      <c r="J164" s="16" t="s">
        <v>1</v>
      </c>
      <c r="K164" s="16" t="s">
        <v>203</v>
      </c>
      <c r="L164" s="32"/>
    </row>
    <row r="165" s="16" customFormat="1" spans="1:12">
      <c r="A165" s="9" t="s">
        <v>399</v>
      </c>
      <c r="B165" s="23" t="s">
        <v>33</v>
      </c>
      <c r="C165" s="9" t="s">
        <v>400</v>
      </c>
      <c r="D165" s="9" t="s">
        <v>35</v>
      </c>
      <c r="E165" s="9" t="s">
        <v>369</v>
      </c>
      <c r="F165" s="16" t="s">
        <v>244</v>
      </c>
      <c r="G165" s="16">
        <v>11</v>
      </c>
      <c r="H165" s="30" t="str">
        <f ca="1">VLOOKUP(A165,Sheet2!$U:$W,3,FALSE)</f>
        <v>1,2;2,5;46,2-3</v>
      </c>
      <c r="I165" s="16" t="s">
        <v>401</v>
      </c>
      <c r="J165" s="16" t="s">
        <v>1</v>
      </c>
      <c r="K165" s="16" t="s">
        <v>206</v>
      </c>
      <c r="L165" s="32"/>
    </row>
    <row r="166" s="16" customFormat="1" spans="1:12">
      <c r="A166" s="9" t="s">
        <v>402</v>
      </c>
      <c r="B166" s="23" t="s">
        <v>33</v>
      </c>
      <c r="C166" s="9" t="s">
        <v>400</v>
      </c>
      <c r="D166" s="9" t="s">
        <v>35</v>
      </c>
      <c r="E166" s="9" t="s">
        <v>369</v>
      </c>
      <c r="F166" s="16" t="s">
        <v>244</v>
      </c>
      <c r="G166" s="16">
        <v>11</v>
      </c>
      <c r="H166" s="30" t="str">
        <f ca="1">VLOOKUP(A166,Sheet2!$U:$W,3,FALSE)</f>
        <v>1,2;2,5;46,2-3</v>
      </c>
      <c r="I166" s="16" t="s">
        <v>403</v>
      </c>
      <c r="J166" s="16" t="s">
        <v>1</v>
      </c>
      <c r="K166" s="16" t="s">
        <v>208</v>
      </c>
      <c r="L166" s="32"/>
    </row>
    <row r="167" s="16" customFormat="1" spans="1:12">
      <c r="A167" s="9" t="s">
        <v>404</v>
      </c>
      <c r="B167" s="23" t="s">
        <v>33</v>
      </c>
      <c r="C167" s="9" t="s">
        <v>400</v>
      </c>
      <c r="D167" s="9" t="s">
        <v>35</v>
      </c>
      <c r="E167" s="9" t="s">
        <v>369</v>
      </c>
      <c r="F167" s="16" t="s">
        <v>244</v>
      </c>
      <c r="G167" s="16">
        <v>11</v>
      </c>
      <c r="H167" s="30" t="str">
        <f ca="1">VLOOKUP(A167,Sheet2!$U:$W,3,FALSE)</f>
        <v>1,2;2,5;46,2-3</v>
      </c>
      <c r="I167" s="16" t="s">
        <v>405</v>
      </c>
      <c r="J167" s="16" t="s">
        <v>1</v>
      </c>
      <c r="K167" s="16" t="s">
        <v>210</v>
      </c>
      <c r="L167" s="32"/>
    </row>
    <row r="168" s="16" customFormat="1" spans="1:12">
      <c r="A168" s="9" t="s">
        <v>406</v>
      </c>
      <c r="B168" s="23" t="s">
        <v>33</v>
      </c>
      <c r="C168" s="9" t="s">
        <v>400</v>
      </c>
      <c r="D168" s="9" t="s">
        <v>35</v>
      </c>
      <c r="E168" s="9" t="s">
        <v>369</v>
      </c>
      <c r="F168" s="16" t="s">
        <v>244</v>
      </c>
      <c r="G168" s="16">
        <v>11</v>
      </c>
      <c r="H168" s="30" t="str">
        <f ca="1">VLOOKUP(A168,Sheet2!$U:$W,3,FALSE)</f>
        <v>1,2;2,5;46,2-3</v>
      </c>
      <c r="I168" s="16" t="s">
        <v>407</v>
      </c>
      <c r="J168" s="16" t="s">
        <v>1</v>
      </c>
      <c r="K168" s="16" t="s">
        <v>212</v>
      </c>
      <c r="L168" s="32"/>
    </row>
    <row r="169" s="16" customFormat="1" spans="1:12">
      <c r="A169" s="9" t="s">
        <v>408</v>
      </c>
      <c r="B169" s="23" t="s">
        <v>33</v>
      </c>
      <c r="C169" s="9" t="s">
        <v>400</v>
      </c>
      <c r="D169" s="9" t="s">
        <v>35</v>
      </c>
      <c r="E169" s="9" t="s">
        <v>369</v>
      </c>
      <c r="F169" s="16" t="s">
        <v>244</v>
      </c>
      <c r="G169" s="16">
        <v>11</v>
      </c>
      <c r="H169" s="30" t="str">
        <f ca="1">VLOOKUP(A169,Sheet2!$U:$W,3,FALSE)</f>
        <v>1,2;2,5;46,2-3</v>
      </c>
      <c r="I169" s="16" t="s">
        <v>409</v>
      </c>
      <c r="J169" s="16" t="s">
        <v>1</v>
      </c>
      <c r="K169" s="16" t="s">
        <v>214</v>
      </c>
      <c r="L169" s="32"/>
    </row>
    <row r="170" s="16" customFormat="1" spans="1:12">
      <c r="A170" s="9" t="s">
        <v>410</v>
      </c>
      <c r="B170" s="23" t="s">
        <v>33</v>
      </c>
      <c r="C170" s="9" t="s">
        <v>400</v>
      </c>
      <c r="D170" s="9" t="s">
        <v>35</v>
      </c>
      <c r="E170" s="9" t="s">
        <v>369</v>
      </c>
      <c r="F170" s="16" t="s">
        <v>244</v>
      </c>
      <c r="G170" s="16">
        <v>11</v>
      </c>
      <c r="H170" s="30" t="str">
        <f ca="1">VLOOKUP(A170,Sheet2!$U:$W,3,FALSE)</f>
        <v>1,2;2,5;46,2-3</v>
      </c>
      <c r="I170" s="16" t="s">
        <v>411</v>
      </c>
      <c r="J170" s="16" t="s">
        <v>1</v>
      </c>
      <c r="K170" s="16" t="s">
        <v>216</v>
      </c>
      <c r="L170" s="32"/>
    </row>
    <row r="171" s="17" customFormat="1" spans="1:12">
      <c r="A171" s="12" t="s">
        <v>412</v>
      </c>
      <c r="B171" s="17" t="s">
        <v>33</v>
      </c>
      <c r="C171" s="12" t="s">
        <v>194</v>
      </c>
      <c r="D171" s="12"/>
      <c r="E171" s="12" t="s">
        <v>369</v>
      </c>
      <c r="F171" s="17" t="s">
        <v>244</v>
      </c>
      <c r="G171" s="17">
        <v>12</v>
      </c>
      <c r="H171" s="30"/>
      <c r="K171" s="17" t="s">
        <v>217</v>
      </c>
      <c r="L171" s="33"/>
    </row>
    <row r="172" s="17" customFormat="1" spans="1:12">
      <c r="A172" s="12" t="s">
        <v>413</v>
      </c>
      <c r="B172" s="17" t="s">
        <v>33</v>
      </c>
      <c r="C172" s="12" t="s">
        <v>218</v>
      </c>
      <c r="D172" s="12"/>
      <c r="E172" s="12" t="s">
        <v>114</v>
      </c>
      <c r="F172" s="17" t="s">
        <v>244</v>
      </c>
      <c r="G172" s="17">
        <v>13</v>
      </c>
      <c r="H172" s="30"/>
      <c r="K172" s="17" t="s">
        <v>219</v>
      </c>
      <c r="L172" s="33"/>
    </row>
    <row r="173" s="16" customFormat="1" spans="1:12">
      <c r="A173" s="9" t="s">
        <v>414</v>
      </c>
      <c r="B173" s="23" t="s">
        <v>33</v>
      </c>
      <c r="C173" s="9" t="s">
        <v>400</v>
      </c>
      <c r="D173" s="9" t="s">
        <v>35</v>
      </c>
      <c r="E173" s="9" t="s">
        <v>369</v>
      </c>
      <c r="F173" s="16" t="s">
        <v>244</v>
      </c>
      <c r="G173" s="16">
        <v>14</v>
      </c>
      <c r="H173" s="30" t="str">
        <f ca="1">VLOOKUP(A173,Sheet2!$U:$W,3,FALSE)</f>
        <v>1,2;2,5;46,2-3</v>
      </c>
      <c r="I173" s="16" t="s">
        <v>415</v>
      </c>
      <c r="J173" s="16" t="s">
        <v>1</v>
      </c>
      <c r="K173" s="16" t="s">
        <v>221</v>
      </c>
      <c r="L173" s="32"/>
    </row>
    <row r="174" s="16" customFormat="1" spans="1:12">
      <c r="A174" s="9" t="s">
        <v>416</v>
      </c>
      <c r="B174" s="23" t="s">
        <v>33</v>
      </c>
      <c r="C174" s="9" t="s">
        <v>400</v>
      </c>
      <c r="D174" s="9" t="s">
        <v>35</v>
      </c>
      <c r="E174" s="9" t="s">
        <v>369</v>
      </c>
      <c r="F174" s="16" t="s">
        <v>244</v>
      </c>
      <c r="G174" s="16">
        <v>14</v>
      </c>
      <c r="H174" s="30" t="str">
        <f ca="1">VLOOKUP(A174,Sheet2!$U:$W,3,FALSE)</f>
        <v>1,2;2,5;46,2-3</v>
      </c>
      <c r="I174" s="16" t="s">
        <v>417</v>
      </c>
      <c r="J174" s="16" t="s">
        <v>1</v>
      </c>
      <c r="K174" s="16" t="s">
        <v>223</v>
      </c>
      <c r="L174" s="32"/>
    </row>
    <row r="175" s="16" customFormat="1" spans="1:12">
      <c r="A175" s="9" t="s">
        <v>418</v>
      </c>
      <c r="B175" s="23" t="s">
        <v>33</v>
      </c>
      <c r="C175" s="9" t="s">
        <v>400</v>
      </c>
      <c r="D175" s="9" t="s">
        <v>35</v>
      </c>
      <c r="E175" s="9" t="s">
        <v>369</v>
      </c>
      <c r="F175" s="16" t="s">
        <v>244</v>
      </c>
      <c r="G175" s="16">
        <v>14</v>
      </c>
      <c r="H175" s="30" t="str">
        <f ca="1">VLOOKUP(A175,Sheet2!$U:$W,3,FALSE)</f>
        <v>1,2;2,5;46,2-3</v>
      </c>
      <c r="I175" s="16" t="s">
        <v>419</v>
      </c>
      <c r="J175" s="16" t="s">
        <v>1</v>
      </c>
      <c r="K175" s="16" t="s">
        <v>225</v>
      </c>
      <c r="L175" s="32"/>
    </row>
    <row r="176" s="18" customFormat="1" spans="1:12">
      <c r="A176" s="9" t="s">
        <v>420</v>
      </c>
      <c r="B176" s="23" t="s">
        <v>33</v>
      </c>
      <c r="C176" s="9" t="s">
        <v>421</v>
      </c>
      <c r="D176" s="9" t="s">
        <v>35</v>
      </c>
      <c r="E176" s="9" t="s">
        <v>369</v>
      </c>
      <c r="F176" s="16" t="s">
        <v>244</v>
      </c>
      <c r="G176" s="16">
        <v>14</v>
      </c>
      <c r="H176" s="30" t="str">
        <f ca="1">VLOOKUP(A176,Sheet2!$U:$W,3,FALSE)</f>
        <v>1,2;2,5;46,2-3</v>
      </c>
      <c r="I176" s="16" t="s">
        <v>422</v>
      </c>
      <c r="J176" s="16" t="s">
        <v>1</v>
      </c>
      <c r="K176" s="16" t="s">
        <v>228</v>
      </c>
      <c r="L176" s="35"/>
    </row>
    <row r="177" s="18" customFormat="1" spans="1:12">
      <c r="A177" s="9" t="s">
        <v>423</v>
      </c>
      <c r="B177" s="23" t="s">
        <v>33</v>
      </c>
      <c r="C177" s="9" t="s">
        <v>421</v>
      </c>
      <c r="D177" s="9" t="s">
        <v>35</v>
      </c>
      <c r="E177" s="9" t="s">
        <v>369</v>
      </c>
      <c r="F177" s="16" t="s">
        <v>244</v>
      </c>
      <c r="G177" s="16">
        <v>14</v>
      </c>
      <c r="H177" s="30" t="str">
        <f ca="1">VLOOKUP(A177,Sheet2!$U:$W,3,FALSE)</f>
        <v>1,2;2,5;46,2-3</v>
      </c>
      <c r="I177" s="16" t="s">
        <v>424</v>
      </c>
      <c r="J177" s="16" t="s">
        <v>1</v>
      </c>
      <c r="K177" s="16" t="s">
        <v>230</v>
      </c>
      <c r="L177" s="35"/>
    </row>
    <row r="178" s="18" customFormat="1" spans="1:12">
      <c r="A178" s="9" t="s">
        <v>425</v>
      </c>
      <c r="B178" s="23" t="s">
        <v>33</v>
      </c>
      <c r="C178" s="9" t="s">
        <v>421</v>
      </c>
      <c r="D178" s="9" t="s">
        <v>35</v>
      </c>
      <c r="E178" s="9" t="s">
        <v>369</v>
      </c>
      <c r="F178" s="16" t="s">
        <v>244</v>
      </c>
      <c r="G178" s="16">
        <v>14</v>
      </c>
      <c r="H178" s="30" t="str">
        <f ca="1">VLOOKUP(A178,Sheet2!$U:$W,3,FALSE)</f>
        <v>1,2;2,5;46,2-3</v>
      </c>
      <c r="I178" s="16" t="s">
        <v>426</v>
      </c>
      <c r="J178" s="16" t="s">
        <v>1</v>
      </c>
      <c r="K178" s="16" t="s">
        <v>232</v>
      </c>
      <c r="L178" s="35"/>
    </row>
    <row r="179" s="18" customFormat="1" spans="1:12">
      <c r="A179" s="9" t="s">
        <v>427</v>
      </c>
      <c r="B179" s="23" t="s">
        <v>33</v>
      </c>
      <c r="C179" s="9" t="s">
        <v>421</v>
      </c>
      <c r="D179" s="9" t="s">
        <v>35</v>
      </c>
      <c r="E179" s="9" t="s">
        <v>369</v>
      </c>
      <c r="F179" s="16" t="s">
        <v>244</v>
      </c>
      <c r="G179" s="16">
        <v>14</v>
      </c>
      <c r="H179" s="30" t="str">
        <f ca="1">VLOOKUP(A179,Sheet2!$U:$W,3,FALSE)</f>
        <v>1,2;2,5;46,2-3</v>
      </c>
      <c r="I179" s="16" t="s">
        <v>428</v>
      </c>
      <c r="J179" s="16" t="s">
        <v>1</v>
      </c>
      <c r="K179" s="16" t="s">
        <v>234</v>
      </c>
      <c r="L179" s="35"/>
    </row>
    <row r="180" s="18" customFormat="1" spans="1:12">
      <c r="A180" s="9" t="s">
        <v>429</v>
      </c>
      <c r="B180" s="23" t="s">
        <v>33</v>
      </c>
      <c r="C180" s="9" t="s">
        <v>421</v>
      </c>
      <c r="D180" s="9" t="s">
        <v>35</v>
      </c>
      <c r="E180" s="9" t="s">
        <v>369</v>
      </c>
      <c r="F180" s="16" t="s">
        <v>244</v>
      </c>
      <c r="G180" s="16">
        <v>14</v>
      </c>
      <c r="H180" s="30" t="str">
        <f ca="1">VLOOKUP(A180,Sheet2!$U:$W,3,FALSE)</f>
        <v>1,2;2,5;46,2-3</v>
      </c>
      <c r="I180" s="16" t="s">
        <v>430</v>
      </c>
      <c r="J180" s="16" t="s">
        <v>1</v>
      </c>
      <c r="K180" s="16" t="s">
        <v>236</v>
      </c>
      <c r="L180" s="35"/>
    </row>
    <row r="181" s="18" customFormat="1" spans="1:12">
      <c r="A181" s="9" t="s">
        <v>431</v>
      </c>
      <c r="B181" s="23" t="s">
        <v>33</v>
      </c>
      <c r="C181" s="9" t="s">
        <v>421</v>
      </c>
      <c r="D181" s="9" t="s">
        <v>35</v>
      </c>
      <c r="E181" s="9" t="s">
        <v>369</v>
      </c>
      <c r="F181" s="16" t="s">
        <v>244</v>
      </c>
      <c r="G181" s="16">
        <v>14</v>
      </c>
      <c r="H181" s="30" t="str">
        <f ca="1">VLOOKUP(A181,Sheet2!$U:$W,3,FALSE)</f>
        <v>1,2;2,5;46,2-3</v>
      </c>
      <c r="I181" s="16" t="s">
        <v>432</v>
      </c>
      <c r="J181" s="16" t="s">
        <v>1</v>
      </c>
      <c r="K181" s="16" t="s">
        <v>238</v>
      </c>
      <c r="L181" s="35"/>
    </row>
    <row r="182" s="18" customFormat="1" spans="1:12">
      <c r="A182" s="9" t="s">
        <v>433</v>
      </c>
      <c r="B182" s="23" t="s">
        <v>33</v>
      </c>
      <c r="C182" s="9" t="s">
        <v>421</v>
      </c>
      <c r="D182" s="9" t="s">
        <v>35</v>
      </c>
      <c r="E182" s="9" t="s">
        <v>369</v>
      </c>
      <c r="F182" s="16" t="s">
        <v>244</v>
      </c>
      <c r="G182" s="16">
        <v>14</v>
      </c>
      <c r="H182" s="30" t="str">
        <f ca="1">VLOOKUP(A182,Sheet2!$U:$W,3,FALSE)</f>
        <v>1,2;2,5;46,2-3</v>
      </c>
      <c r="I182" s="16" t="s">
        <v>434</v>
      </c>
      <c r="J182" s="16" t="s">
        <v>1</v>
      </c>
      <c r="K182" s="16" t="s">
        <v>240</v>
      </c>
      <c r="L182" s="35"/>
    </row>
    <row r="183" s="19" customFormat="1" spans="1:12">
      <c r="A183" s="10" t="s">
        <v>435</v>
      </c>
      <c r="B183" s="23" t="s">
        <v>33</v>
      </c>
      <c r="C183" s="10" t="s">
        <v>436</v>
      </c>
      <c r="D183" s="10" t="s">
        <v>35</v>
      </c>
      <c r="E183" s="10" t="s">
        <v>437</v>
      </c>
      <c r="F183" s="19" t="s">
        <v>438</v>
      </c>
      <c r="G183" s="19">
        <v>1</v>
      </c>
      <c r="H183" s="34" t="str">
        <f ca="1">VLOOKUP(A183,Sheet2!$X:$Z,3,FALSE)</f>
        <v>1,4;2,3;46,1-1</v>
      </c>
      <c r="I183" s="16" t="s">
        <v>439</v>
      </c>
      <c r="J183" s="19" t="s">
        <v>1</v>
      </c>
      <c r="K183" s="19" t="s">
        <v>38</v>
      </c>
      <c r="L183" s="36" t="s">
        <v>39</v>
      </c>
    </row>
    <row r="184" s="19" customFormat="1" spans="1:12">
      <c r="A184" s="10" t="s">
        <v>440</v>
      </c>
      <c r="B184" s="23" t="s">
        <v>33</v>
      </c>
      <c r="C184" s="10" t="s">
        <v>436</v>
      </c>
      <c r="D184" s="10" t="s">
        <v>35</v>
      </c>
      <c r="E184" s="10" t="s">
        <v>437</v>
      </c>
      <c r="F184" s="19" t="s">
        <v>438</v>
      </c>
      <c r="G184" s="19">
        <v>1</v>
      </c>
      <c r="H184" s="34" t="str">
        <f ca="1">VLOOKUP(A184,Sheet2!$X:$Z,3,FALSE)</f>
        <v>1,4;2,3;46,1-1</v>
      </c>
      <c r="I184" s="16" t="s">
        <v>441</v>
      </c>
      <c r="J184" s="19" t="s">
        <v>1</v>
      </c>
      <c r="K184" s="19" t="s">
        <v>41</v>
      </c>
      <c r="L184" s="36" t="s">
        <v>39</v>
      </c>
    </row>
    <row r="185" s="19" customFormat="1" spans="1:12">
      <c r="A185" s="10" t="s">
        <v>442</v>
      </c>
      <c r="B185" s="23" t="s">
        <v>33</v>
      </c>
      <c r="C185" s="10" t="s">
        <v>436</v>
      </c>
      <c r="D185" s="10" t="s">
        <v>35</v>
      </c>
      <c r="E185" s="10" t="s">
        <v>437</v>
      </c>
      <c r="F185" s="19" t="s">
        <v>438</v>
      </c>
      <c r="G185" s="19">
        <v>1</v>
      </c>
      <c r="H185" s="34" t="str">
        <f ca="1">VLOOKUP(A185,Sheet2!$X:$Z,3,FALSE)</f>
        <v>1,4;2,3;46,1-1</v>
      </c>
      <c r="I185" s="16" t="s">
        <v>443</v>
      </c>
      <c r="J185" s="19" t="s">
        <v>1</v>
      </c>
      <c r="K185" s="19" t="s">
        <v>43</v>
      </c>
      <c r="L185" s="36">
        <v>25</v>
      </c>
    </row>
    <row r="186" s="19" customFormat="1" spans="1:12">
      <c r="A186" s="10" t="s">
        <v>444</v>
      </c>
      <c r="B186" s="23" t="s">
        <v>33</v>
      </c>
      <c r="C186" s="10" t="s">
        <v>436</v>
      </c>
      <c r="D186" s="10" t="s">
        <v>35</v>
      </c>
      <c r="E186" s="10" t="s">
        <v>437</v>
      </c>
      <c r="F186" s="19" t="s">
        <v>438</v>
      </c>
      <c r="G186" s="19">
        <v>1</v>
      </c>
      <c r="H186" s="34" t="str">
        <f ca="1">VLOOKUP(A186,Sheet2!$X:$Z,3,FALSE)</f>
        <v>1,4;2,3;46,1-1</v>
      </c>
      <c r="I186" s="16" t="s">
        <v>445</v>
      </c>
      <c r="J186" s="19" t="s">
        <v>1</v>
      </c>
      <c r="K186" s="19" t="s">
        <v>45</v>
      </c>
      <c r="L186" s="36" t="s">
        <v>39</v>
      </c>
    </row>
    <row r="187" s="19" customFormat="1" spans="1:12">
      <c r="A187" s="10" t="s">
        <v>446</v>
      </c>
      <c r="B187" s="23" t="s">
        <v>33</v>
      </c>
      <c r="C187" s="10" t="s">
        <v>436</v>
      </c>
      <c r="D187" s="10" t="s">
        <v>35</v>
      </c>
      <c r="E187" s="10" t="s">
        <v>437</v>
      </c>
      <c r="F187" s="19" t="s">
        <v>438</v>
      </c>
      <c r="G187" s="19">
        <v>1</v>
      </c>
      <c r="H187" s="34" t="str">
        <f ca="1">VLOOKUP(A187,Sheet2!$X:$Z,3,FALSE)</f>
        <v>1,4;2,3;46,1-1</v>
      </c>
      <c r="I187" s="16" t="s">
        <v>447</v>
      </c>
      <c r="J187" s="19" t="s">
        <v>1</v>
      </c>
      <c r="K187" s="19" t="s">
        <v>47</v>
      </c>
      <c r="L187" s="36" t="s">
        <v>39</v>
      </c>
    </row>
    <row r="188" s="19" customFormat="1" spans="1:12">
      <c r="A188" s="10" t="s">
        <v>448</v>
      </c>
      <c r="B188" s="23" t="s">
        <v>33</v>
      </c>
      <c r="C188" s="10" t="s">
        <v>449</v>
      </c>
      <c r="D188" s="10" t="s">
        <v>35</v>
      </c>
      <c r="E188" s="10" t="s">
        <v>437</v>
      </c>
      <c r="F188" s="19" t="s">
        <v>438</v>
      </c>
      <c r="G188" s="19">
        <v>1</v>
      </c>
      <c r="H188" s="34" t="str">
        <f ca="1">VLOOKUP(A188,Sheet2!$X:$Z,3,FALSE)</f>
        <v>1,4;2,4;46,1-2</v>
      </c>
      <c r="I188" s="16" t="s">
        <v>450</v>
      </c>
      <c r="J188" s="19" t="s">
        <v>1</v>
      </c>
      <c r="K188" s="19" t="s">
        <v>50</v>
      </c>
      <c r="L188" s="36" t="s">
        <v>39</v>
      </c>
    </row>
    <row r="189" s="19" customFormat="1" spans="1:12">
      <c r="A189" s="10" t="s">
        <v>451</v>
      </c>
      <c r="B189" s="23" t="s">
        <v>33</v>
      </c>
      <c r="C189" s="10" t="s">
        <v>449</v>
      </c>
      <c r="D189" s="10" t="s">
        <v>35</v>
      </c>
      <c r="E189" s="10" t="s">
        <v>437</v>
      </c>
      <c r="F189" s="19" t="s">
        <v>438</v>
      </c>
      <c r="G189" s="19">
        <v>1</v>
      </c>
      <c r="H189" s="34" t="str">
        <f ca="1">VLOOKUP(A189,Sheet2!$X:$Z,3,FALSE)</f>
        <v>1,4;2,4;46,1-2</v>
      </c>
      <c r="I189" s="16" t="s">
        <v>452</v>
      </c>
      <c r="J189" s="19" t="s">
        <v>1</v>
      </c>
      <c r="K189" s="19" t="s">
        <v>52</v>
      </c>
      <c r="L189" s="36" t="s">
        <v>39</v>
      </c>
    </row>
    <row r="190" s="19" customFormat="1" spans="1:12">
      <c r="A190" s="10" t="s">
        <v>453</v>
      </c>
      <c r="B190" s="23" t="s">
        <v>33</v>
      </c>
      <c r="C190" s="10" t="s">
        <v>449</v>
      </c>
      <c r="D190" s="10" t="s">
        <v>35</v>
      </c>
      <c r="E190" s="10" t="s">
        <v>437</v>
      </c>
      <c r="F190" s="19" t="s">
        <v>438</v>
      </c>
      <c r="G190" s="19">
        <v>1</v>
      </c>
      <c r="H190" s="34" t="str">
        <f ca="1">VLOOKUP(A190,Sheet2!$X:$Z,3,FALSE)</f>
        <v>1,4;2,4;46,1-2</v>
      </c>
      <c r="I190" s="16" t="s">
        <v>454</v>
      </c>
      <c r="J190" s="19" t="s">
        <v>1</v>
      </c>
      <c r="K190" s="19" t="s">
        <v>54</v>
      </c>
      <c r="L190" s="36" t="s">
        <v>39</v>
      </c>
    </row>
    <row r="191" s="19" customFormat="1" spans="1:12">
      <c r="A191" s="10" t="s">
        <v>455</v>
      </c>
      <c r="B191" s="23" t="s">
        <v>33</v>
      </c>
      <c r="C191" s="10" t="s">
        <v>449</v>
      </c>
      <c r="D191" s="10" t="s">
        <v>35</v>
      </c>
      <c r="E191" s="10" t="s">
        <v>437</v>
      </c>
      <c r="F191" s="19" t="s">
        <v>438</v>
      </c>
      <c r="G191" s="19">
        <v>1</v>
      </c>
      <c r="H191" s="34" t="str">
        <f ca="1">VLOOKUP(A191,Sheet2!$X:$Z,3,FALSE)</f>
        <v>1,4;2,4;46,1-2</v>
      </c>
      <c r="I191" s="16" t="s">
        <v>456</v>
      </c>
      <c r="J191" s="19" t="s">
        <v>1</v>
      </c>
      <c r="K191" s="19" t="s">
        <v>56</v>
      </c>
      <c r="L191" s="36" t="s">
        <v>39</v>
      </c>
    </row>
    <row r="192" s="19" customFormat="1" spans="1:12">
      <c r="A192" s="10" t="s">
        <v>457</v>
      </c>
      <c r="B192" s="23" t="s">
        <v>33</v>
      </c>
      <c r="C192" s="10" t="s">
        <v>449</v>
      </c>
      <c r="D192" s="10" t="s">
        <v>35</v>
      </c>
      <c r="E192" s="10" t="s">
        <v>437</v>
      </c>
      <c r="F192" s="19" t="s">
        <v>438</v>
      </c>
      <c r="G192" s="19">
        <v>1</v>
      </c>
      <c r="H192" s="34" t="str">
        <f ca="1">VLOOKUP(A192,Sheet2!$X:$Z,3,FALSE)</f>
        <v>1,4;2,4;46,1-2</v>
      </c>
      <c r="I192" s="16" t="s">
        <v>458</v>
      </c>
      <c r="J192" s="19" t="s">
        <v>1</v>
      </c>
      <c r="K192" s="19" t="s">
        <v>58</v>
      </c>
      <c r="L192" s="36" t="s">
        <v>39</v>
      </c>
    </row>
    <row r="193" s="17" customFormat="1" spans="1:12">
      <c r="A193" s="12" t="s">
        <v>459</v>
      </c>
      <c r="B193" s="17" t="s">
        <v>33</v>
      </c>
      <c r="C193" s="12" t="s">
        <v>59</v>
      </c>
      <c r="D193" s="12"/>
      <c r="E193" s="12" t="s">
        <v>437</v>
      </c>
      <c r="F193" s="17" t="s">
        <v>438</v>
      </c>
      <c r="G193" s="17">
        <v>2</v>
      </c>
      <c r="H193" s="34"/>
      <c r="K193" s="17" t="s">
        <v>60</v>
      </c>
      <c r="L193" s="33"/>
    </row>
    <row r="194" s="19" customFormat="1" spans="1:12">
      <c r="A194" s="10" t="s">
        <v>460</v>
      </c>
      <c r="B194" s="23" t="s">
        <v>33</v>
      </c>
      <c r="C194" s="10" t="s">
        <v>461</v>
      </c>
      <c r="D194" s="10" t="s">
        <v>35</v>
      </c>
      <c r="E194" s="10" t="s">
        <v>462</v>
      </c>
      <c r="F194" s="19" t="s">
        <v>438</v>
      </c>
      <c r="G194" s="19">
        <v>3</v>
      </c>
      <c r="H194" s="34" t="str">
        <f ca="1">VLOOKUP(A194,Sheet2!$X:$Z,3,FALSE)</f>
        <v>1,4;2,4;46,1-2</v>
      </c>
      <c r="I194" s="19" t="s">
        <v>463</v>
      </c>
      <c r="J194" s="19" t="s">
        <v>1</v>
      </c>
      <c r="K194" s="19" t="s">
        <v>64</v>
      </c>
      <c r="L194" s="36" t="s">
        <v>65</v>
      </c>
    </row>
    <row r="195" s="19" customFormat="1" spans="1:12">
      <c r="A195" s="10" t="s">
        <v>464</v>
      </c>
      <c r="B195" s="23" t="s">
        <v>33</v>
      </c>
      <c r="C195" s="10" t="s">
        <v>461</v>
      </c>
      <c r="D195" s="10" t="s">
        <v>35</v>
      </c>
      <c r="E195" s="10" t="s">
        <v>462</v>
      </c>
      <c r="F195" s="19" t="s">
        <v>438</v>
      </c>
      <c r="G195" s="19">
        <v>3</v>
      </c>
      <c r="H195" s="34" t="str">
        <f ca="1">VLOOKUP(A195,Sheet2!$X:$Z,3,FALSE)</f>
        <v>1,4;2,4;46,1-2</v>
      </c>
      <c r="I195" s="19" t="s">
        <v>465</v>
      </c>
      <c r="J195" s="19" t="s">
        <v>1</v>
      </c>
      <c r="K195" s="19" t="s">
        <v>67</v>
      </c>
      <c r="L195" s="36" t="s">
        <v>65</v>
      </c>
    </row>
    <row r="196" s="19" customFormat="1" spans="1:12">
      <c r="A196" s="10" t="s">
        <v>466</v>
      </c>
      <c r="B196" s="23" t="s">
        <v>33</v>
      </c>
      <c r="C196" s="10" t="s">
        <v>461</v>
      </c>
      <c r="D196" s="10" t="s">
        <v>35</v>
      </c>
      <c r="E196" s="10" t="s">
        <v>462</v>
      </c>
      <c r="F196" s="19" t="s">
        <v>438</v>
      </c>
      <c r="G196" s="19">
        <v>3</v>
      </c>
      <c r="H196" s="34" t="str">
        <f ca="1">VLOOKUP(A196,Sheet2!$X:$Z,3,FALSE)</f>
        <v>1,4;2,4;46,1-2</v>
      </c>
      <c r="I196" s="19" t="s">
        <v>467</v>
      </c>
      <c r="J196" s="19" t="s">
        <v>1</v>
      </c>
      <c r="K196" s="19" t="s">
        <v>69</v>
      </c>
      <c r="L196" s="36" t="s">
        <v>65</v>
      </c>
    </row>
    <row r="197" s="19" customFormat="1" spans="1:12">
      <c r="A197" s="10" t="s">
        <v>468</v>
      </c>
      <c r="B197" s="23" t="s">
        <v>33</v>
      </c>
      <c r="C197" s="10" t="s">
        <v>461</v>
      </c>
      <c r="D197" s="10" t="s">
        <v>35</v>
      </c>
      <c r="E197" s="10" t="s">
        <v>462</v>
      </c>
      <c r="F197" s="19" t="s">
        <v>438</v>
      </c>
      <c r="G197" s="19">
        <v>3</v>
      </c>
      <c r="H197" s="34" t="str">
        <f ca="1">VLOOKUP(A197,Sheet2!$X:$Z,3,FALSE)</f>
        <v>1,4;2,4;46,1-2</v>
      </c>
      <c r="I197" s="19" t="s">
        <v>469</v>
      </c>
      <c r="J197" s="19" t="s">
        <v>1</v>
      </c>
      <c r="K197" s="19" t="s">
        <v>71</v>
      </c>
      <c r="L197" s="36" t="s">
        <v>65</v>
      </c>
    </row>
    <row r="198" s="19" customFormat="1" spans="1:12">
      <c r="A198" s="10" t="s">
        <v>470</v>
      </c>
      <c r="B198" s="23" t="s">
        <v>33</v>
      </c>
      <c r="C198" s="10" t="s">
        <v>461</v>
      </c>
      <c r="D198" s="10" t="s">
        <v>35</v>
      </c>
      <c r="E198" s="10" t="s">
        <v>462</v>
      </c>
      <c r="F198" s="19" t="s">
        <v>438</v>
      </c>
      <c r="G198" s="19">
        <v>3</v>
      </c>
      <c r="H198" s="34" t="str">
        <f ca="1">VLOOKUP(A198,Sheet2!$X:$Z,3,FALSE)</f>
        <v>1,4;2,4;46,1-2</v>
      </c>
      <c r="I198" s="19" t="s">
        <v>471</v>
      </c>
      <c r="J198" s="19" t="s">
        <v>1</v>
      </c>
      <c r="K198" s="19" t="s">
        <v>73</v>
      </c>
      <c r="L198" s="36" t="s">
        <v>65</v>
      </c>
    </row>
    <row r="199" s="19" customFormat="1" spans="1:12">
      <c r="A199" s="10" t="s">
        <v>472</v>
      </c>
      <c r="B199" s="23" t="s">
        <v>33</v>
      </c>
      <c r="C199" s="10" t="s">
        <v>461</v>
      </c>
      <c r="D199" s="10" t="s">
        <v>35</v>
      </c>
      <c r="E199" s="10" t="s">
        <v>462</v>
      </c>
      <c r="F199" s="19" t="s">
        <v>438</v>
      </c>
      <c r="G199" s="19">
        <v>3</v>
      </c>
      <c r="H199" s="34" t="str">
        <f ca="1">VLOOKUP(A199,Sheet2!$X:$Z,3,FALSE)</f>
        <v>1,4;2,4;46,1-2</v>
      </c>
      <c r="I199" s="19" t="s">
        <v>473</v>
      </c>
      <c r="J199" s="19" t="s">
        <v>1</v>
      </c>
      <c r="K199" s="19" t="s">
        <v>75</v>
      </c>
      <c r="L199" s="36" t="s">
        <v>76</v>
      </c>
    </row>
    <row r="200" s="19" customFormat="1" spans="1:12">
      <c r="A200" s="10" t="s">
        <v>474</v>
      </c>
      <c r="B200" s="23" t="s">
        <v>33</v>
      </c>
      <c r="C200" s="10" t="s">
        <v>475</v>
      </c>
      <c r="D200" s="10" t="s">
        <v>35</v>
      </c>
      <c r="E200" s="10" t="s">
        <v>462</v>
      </c>
      <c r="F200" s="19" t="s">
        <v>438</v>
      </c>
      <c r="G200" s="19">
        <v>3</v>
      </c>
      <c r="H200" s="34" t="str">
        <f ca="1">VLOOKUP(A200,Sheet2!$X:$Z,3,FALSE)</f>
        <v>1,4;2,4;46,1-2</v>
      </c>
      <c r="I200" s="19" t="s">
        <v>476</v>
      </c>
      <c r="J200" s="19" t="s">
        <v>1</v>
      </c>
      <c r="K200" s="19" t="s">
        <v>79</v>
      </c>
      <c r="L200" s="36" t="s">
        <v>76</v>
      </c>
    </row>
    <row r="201" s="19" customFormat="1" spans="1:12">
      <c r="A201" s="10" t="s">
        <v>477</v>
      </c>
      <c r="B201" s="23" t="s">
        <v>33</v>
      </c>
      <c r="C201" s="10" t="s">
        <v>475</v>
      </c>
      <c r="D201" s="10" t="s">
        <v>35</v>
      </c>
      <c r="E201" s="10" t="s">
        <v>462</v>
      </c>
      <c r="F201" s="19" t="s">
        <v>438</v>
      </c>
      <c r="G201" s="19">
        <v>3</v>
      </c>
      <c r="H201" s="34" t="str">
        <f ca="1">VLOOKUP(A201,Sheet2!$X:$Z,3,FALSE)</f>
        <v>1,4;2,4;46,1-2</v>
      </c>
      <c r="I201" s="19" t="s">
        <v>478</v>
      </c>
      <c r="J201" s="19" t="s">
        <v>1</v>
      </c>
      <c r="K201" s="19" t="s">
        <v>81</v>
      </c>
      <c r="L201" s="36" t="s">
        <v>76</v>
      </c>
    </row>
    <row r="202" s="19" customFormat="1" spans="1:12">
      <c r="A202" s="10" t="s">
        <v>479</v>
      </c>
      <c r="B202" s="23" t="s">
        <v>33</v>
      </c>
      <c r="C202" s="10" t="s">
        <v>475</v>
      </c>
      <c r="D202" s="10" t="s">
        <v>35</v>
      </c>
      <c r="E202" s="10" t="s">
        <v>462</v>
      </c>
      <c r="F202" s="19" t="s">
        <v>438</v>
      </c>
      <c r="G202" s="19">
        <v>3</v>
      </c>
      <c r="H202" s="34" t="str">
        <f ca="1">VLOOKUP(A202,Sheet2!$X:$Z,3,FALSE)</f>
        <v>1,4;2,4;46,1-2</v>
      </c>
      <c r="I202" s="19" t="s">
        <v>480</v>
      </c>
      <c r="J202" s="19" t="s">
        <v>1</v>
      </c>
      <c r="K202" s="19" t="s">
        <v>83</v>
      </c>
      <c r="L202" s="36" t="s">
        <v>76</v>
      </c>
    </row>
    <row r="203" s="19" customFormat="1" spans="1:12">
      <c r="A203" s="10" t="s">
        <v>481</v>
      </c>
      <c r="B203" s="23" t="s">
        <v>33</v>
      </c>
      <c r="C203" s="10" t="s">
        <v>475</v>
      </c>
      <c r="D203" s="10" t="s">
        <v>35</v>
      </c>
      <c r="E203" s="10" t="s">
        <v>462</v>
      </c>
      <c r="F203" s="19" t="s">
        <v>438</v>
      </c>
      <c r="G203" s="19">
        <v>3</v>
      </c>
      <c r="H203" s="34" t="str">
        <f ca="1">VLOOKUP(A203,Sheet2!$X:$Z,3,FALSE)</f>
        <v>1,4;2,4;46,1-2</v>
      </c>
      <c r="I203" s="19" t="s">
        <v>482</v>
      </c>
      <c r="J203" s="19" t="s">
        <v>1</v>
      </c>
      <c r="K203" s="19" t="s">
        <v>85</v>
      </c>
      <c r="L203" s="36" t="s">
        <v>76</v>
      </c>
    </row>
    <row r="204" s="15" customFormat="1" spans="1:12">
      <c r="A204" s="13" t="s">
        <v>483</v>
      </c>
      <c r="B204" s="15" t="s">
        <v>33</v>
      </c>
      <c r="C204" s="13" t="s">
        <v>484</v>
      </c>
      <c r="D204" s="13" t="s">
        <v>35</v>
      </c>
      <c r="E204" s="13" t="s">
        <v>485</v>
      </c>
      <c r="F204" s="15" t="s">
        <v>438</v>
      </c>
      <c r="G204" s="15">
        <v>15</v>
      </c>
      <c r="H204" s="34"/>
      <c r="K204" s="15" t="s">
        <v>88</v>
      </c>
      <c r="L204" s="29">
        <v>40</v>
      </c>
    </row>
    <row r="205" s="19" customFormat="1" spans="1:12">
      <c r="A205" s="10" t="s">
        <v>486</v>
      </c>
      <c r="B205" s="23" t="s">
        <v>33</v>
      </c>
      <c r="C205" s="10" t="s">
        <v>484</v>
      </c>
      <c r="D205" s="10" t="s">
        <v>35</v>
      </c>
      <c r="E205" s="10" t="s">
        <v>485</v>
      </c>
      <c r="F205" s="19" t="s">
        <v>438</v>
      </c>
      <c r="G205" s="19">
        <v>4</v>
      </c>
      <c r="H205" s="34" t="str">
        <f ca="1">VLOOKUP(A205,Sheet2!$X:$Z,3,FALSE)</f>
        <v>1,3;2,4;46,1-2</v>
      </c>
      <c r="I205" s="19" t="s">
        <v>487</v>
      </c>
      <c r="J205" s="19" t="s">
        <v>1</v>
      </c>
      <c r="K205" s="19" t="s">
        <v>90</v>
      </c>
      <c r="L205" s="36" t="s">
        <v>91</v>
      </c>
    </row>
    <row r="206" s="19" customFormat="1" spans="1:12">
      <c r="A206" s="10" t="s">
        <v>488</v>
      </c>
      <c r="B206" s="23" t="s">
        <v>33</v>
      </c>
      <c r="C206" s="10" t="s">
        <v>484</v>
      </c>
      <c r="D206" s="10" t="s">
        <v>35</v>
      </c>
      <c r="E206" s="10" t="s">
        <v>485</v>
      </c>
      <c r="F206" s="19" t="s">
        <v>438</v>
      </c>
      <c r="G206" s="19">
        <v>4</v>
      </c>
      <c r="H206" s="34" t="str">
        <f ca="1">VLOOKUP(A206,Sheet2!$X:$Z,3,FALSE)</f>
        <v>1,3;2,4;46,1-2</v>
      </c>
      <c r="I206" s="19" t="s">
        <v>489</v>
      </c>
      <c r="J206" s="19" t="s">
        <v>1</v>
      </c>
      <c r="K206" s="19" t="s">
        <v>93</v>
      </c>
      <c r="L206" s="36" t="s">
        <v>91</v>
      </c>
    </row>
    <row r="207" s="19" customFormat="1" spans="1:12">
      <c r="A207" s="10" t="s">
        <v>490</v>
      </c>
      <c r="B207" s="23" t="s">
        <v>33</v>
      </c>
      <c r="C207" s="10" t="s">
        <v>484</v>
      </c>
      <c r="D207" s="10" t="s">
        <v>35</v>
      </c>
      <c r="E207" s="10" t="s">
        <v>485</v>
      </c>
      <c r="F207" s="19" t="s">
        <v>438</v>
      </c>
      <c r="G207" s="19">
        <v>4</v>
      </c>
      <c r="H207" s="34" t="str">
        <f ca="1">VLOOKUP(A207,Sheet2!$X:$Z,3,FALSE)</f>
        <v>1,3;2,4;46,1-2</v>
      </c>
      <c r="I207" s="19" t="s">
        <v>491</v>
      </c>
      <c r="J207" s="19" t="s">
        <v>1</v>
      </c>
      <c r="K207" s="19" t="s">
        <v>95</v>
      </c>
      <c r="L207" s="36" t="s">
        <v>91</v>
      </c>
    </row>
    <row r="208" s="19" customFormat="1" spans="1:12">
      <c r="A208" s="10" t="s">
        <v>492</v>
      </c>
      <c r="B208" s="23" t="s">
        <v>33</v>
      </c>
      <c r="C208" s="10" t="s">
        <v>493</v>
      </c>
      <c r="D208" s="10" t="s">
        <v>35</v>
      </c>
      <c r="E208" s="10" t="s">
        <v>485</v>
      </c>
      <c r="F208" s="19" t="s">
        <v>438</v>
      </c>
      <c r="G208" s="19">
        <v>4</v>
      </c>
      <c r="H208" s="34" t="str">
        <f ca="1">VLOOKUP(A208,Sheet2!$X:$Z,3,FALSE)</f>
        <v>1,3;2,4;46,1-2</v>
      </c>
      <c r="I208" s="19" t="s">
        <v>494</v>
      </c>
      <c r="J208" s="19" t="s">
        <v>1</v>
      </c>
      <c r="K208" s="19" t="s">
        <v>98</v>
      </c>
      <c r="L208" s="36" t="s">
        <v>91</v>
      </c>
    </row>
    <row r="209" s="19" customFormat="1" spans="1:12">
      <c r="A209" s="10" t="s">
        <v>495</v>
      </c>
      <c r="B209" s="23" t="s">
        <v>33</v>
      </c>
      <c r="C209" s="10" t="s">
        <v>493</v>
      </c>
      <c r="D209" s="10" t="s">
        <v>35</v>
      </c>
      <c r="E209" s="10" t="s">
        <v>496</v>
      </c>
      <c r="F209" s="19" t="s">
        <v>438</v>
      </c>
      <c r="G209" s="19">
        <v>4</v>
      </c>
      <c r="H209" s="34" t="str">
        <f ca="1">VLOOKUP(A209,Sheet2!$X:$Z,3,FALSE)</f>
        <v>1,3;2,4;46,1-2</v>
      </c>
      <c r="I209" s="19" t="s">
        <v>497</v>
      </c>
      <c r="J209" s="19" t="s">
        <v>1</v>
      </c>
      <c r="K209" s="19" t="s">
        <v>101</v>
      </c>
      <c r="L209" s="36" t="s">
        <v>91</v>
      </c>
    </row>
    <row r="210" s="19" customFormat="1" spans="1:12">
      <c r="A210" s="10" t="s">
        <v>498</v>
      </c>
      <c r="B210" s="23" t="s">
        <v>33</v>
      </c>
      <c r="C210" s="10" t="s">
        <v>493</v>
      </c>
      <c r="D210" s="10" t="s">
        <v>35</v>
      </c>
      <c r="E210" s="10" t="s">
        <v>496</v>
      </c>
      <c r="F210" s="19" t="s">
        <v>438</v>
      </c>
      <c r="G210" s="19">
        <v>4</v>
      </c>
      <c r="H210" s="34" t="str">
        <f ca="1">VLOOKUP(A210,Sheet2!$X:$Z,3,FALSE)</f>
        <v>1,3;2,4;46,1-2</v>
      </c>
      <c r="I210" s="19" t="s">
        <v>499</v>
      </c>
      <c r="J210" s="19" t="s">
        <v>1</v>
      </c>
      <c r="K210" s="19" t="s">
        <v>103</v>
      </c>
      <c r="L210" s="36" t="s">
        <v>91</v>
      </c>
    </row>
    <row r="211" s="19" customFormat="1" spans="1:12">
      <c r="A211" s="10" t="s">
        <v>500</v>
      </c>
      <c r="B211" s="23" t="s">
        <v>33</v>
      </c>
      <c r="C211" s="10" t="s">
        <v>493</v>
      </c>
      <c r="D211" s="10" t="s">
        <v>35</v>
      </c>
      <c r="E211" s="10" t="s">
        <v>496</v>
      </c>
      <c r="F211" s="19" t="s">
        <v>438</v>
      </c>
      <c r="G211" s="19">
        <v>4</v>
      </c>
      <c r="H211" s="34" t="str">
        <f ca="1">VLOOKUP(A211,Sheet2!$X:$Z,3,FALSE)</f>
        <v>1,3;2,4;46,1-2</v>
      </c>
      <c r="I211" s="19" t="s">
        <v>501</v>
      </c>
      <c r="J211" s="19" t="s">
        <v>1</v>
      </c>
      <c r="K211" s="19" t="s">
        <v>105</v>
      </c>
      <c r="L211" s="36" t="s">
        <v>91</v>
      </c>
    </row>
    <row r="212" s="19" customFormat="1" spans="1:12">
      <c r="A212" s="10" t="s">
        <v>502</v>
      </c>
      <c r="B212" s="23" t="s">
        <v>33</v>
      </c>
      <c r="C212" s="10" t="s">
        <v>503</v>
      </c>
      <c r="D212" s="10" t="s">
        <v>35</v>
      </c>
      <c r="E212" s="10" t="s">
        <v>496</v>
      </c>
      <c r="F212" s="19" t="s">
        <v>438</v>
      </c>
      <c r="G212" s="19">
        <v>4</v>
      </c>
      <c r="H212" s="34" t="str">
        <f ca="1">VLOOKUP(A212,Sheet2!$X:$Z,3,FALSE)</f>
        <v>1,3;2,4;46,1-2</v>
      </c>
      <c r="I212" s="19" t="s">
        <v>504</v>
      </c>
      <c r="J212" s="19" t="s">
        <v>1</v>
      </c>
      <c r="K212" s="19" t="s">
        <v>108</v>
      </c>
      <c r="L212" s="36" t="s">
        <v>91</v>
      </c>
    </row>
    <row r="213" s="19" customFormat="1" spans="1:12">
      <c r="A213" s="10" t="s">
        <v>505</v>
      </c>
      <c r="B213" s="23" t="s">
        <v>33</v>
      </c>
      <c r="C213" s="10" t="s">
        <v>503</v>
      </c>
      <c r="D213" s="10" t="s">
        <v>35</v>
      </c>
      <c r="E213" s="10" t="s">
        <v>496</v>
      </c>
      <c r="F213" s="19" t="s">
        <v>438</v>
      </c>
      <c r="G213" s="19">
        <v>4</v>
      </c>
      <c r="H213" s="34" t="str">
        <f ca="1">VLOOKUP(A213,Sheet2!$X:$Z,3,FALSE)</f>
        <v>1,3;2,4;46,1-2</v>
      </c>
      <c r="I213" s="19" t="s">
        <v>506</v>
      </c>
      <c r="J213" s="19" t="s">
        <v>1</v>
      </c>
      <c r="K213" s="19" t="s">
        <v>110</v>
      </c>
      <c r="L213" s="36" t="s">
        <v>91</v>
      </c>
    </row>
    <row r="214" s="19" customFormat="1" spans="1:12">
      <c r="A214" s="10" t="s">
        <v>507</v>
      </c>
      <c r="B214" s="23" t="s">
        <v>33</v>
      </c>
      <c r="C214" s="10" t="s">
        <v>111</v>
      </c>
      <c r="D214" s="10" t="s">
        <v>35</v>
      </c>
      <c r="E214" s="10" t="s">
        <v>485</v>
      </c>
      <c r="F214" s="19" t="s">
        <v>438</v>
      </c>
      <c r="G214" s="19">
        <v>4</v>
      </c>
      <c r="H214" s="34" t="str">
        <f ca="1">VLOOKUP(A214,Sheet2!$X:$Z,3,FALSE)</f>
        <v>1,3;2,4;46,1-2</v>
      </c>
      <c r="I214" s="19" t="s">
        <v>508</v>
      </c>
      <c r="J214" s="19" t="s">
        <v>1</v>
      </c>
      <c r="K214" s="19" t="s">
        <v>113</v>
      </c>
      <c r="L214" s="36"/>
    </row>
    <row r="215" s="17" customFormat="1" spans="1:12">
      <c r="A215" s="12" t="s">
        <v>509</v>
      </c>
      <c r="B215" s="17" t="s">
        <v>33</v>
      </c>
      <c r="C215" s="12" t="s">
        <v>114</v>
      </c>
      <c r="D215" s="12"/>
      <c r="E215" s="12" t="s">
        <v>115</v>
      </c>
      <c r="F215" s="17" t="s">
        <v>438</v>
      </c>
      <c r="G215" s="17">
        <v>5</v>
      </c>
      <c r="H215" s="34"/>
      <c r="K215" s="17" t="s">
        <v>116</v>
      </c>
      <c r="L215" s="33"/>
    </row>
    <row r="216" s="19" customFormat="1" spans="1:12">
      <c r="A216" s="10" t="s">
        <v>510</v>
      </c>
      <c r="B216" s="23" t="s">
        <v>33</v>
      </c>
      <c r="C216" s="10" t="s">
        <v>503</v>
      </c>
      <c r="D216" s="10" t="s">
        <v>35</v>
      </c>
      <c r="E216" s="10" t="s">
        <v>511</v>
      </c>
      <c r="F216" s="19" t="s">
        <v>438</v>
      </c>
      <c r="G216" s="19">
        <v>6</v>
      </c>
      <c r="H216" s="34" t="str">
        <f ca="1">VLOOKUP(A216,Sheet2!$X:$Z,3,FALSE)</f>
        <v>1,3;2,4;46,1-2</v>
      </c>
      <c r="I216" s="19" t="s">
        <v>512</v>
      </c>
      <c r="J216" s="19" t="s">
        <v>1</v>
      </c>
      <c r="K216" s="19" t="s">
        <v>119</v>
      </c>
      <c r="L216" s="36" t="s">
        <v>120</v>
      </c>
    </row>
    <row r="217" s="19" customFormat="1" spans="1:12">
      <c r="A217" s="10" t="s">
        <v>513</v>
      </c>
      <c r="B217" s="23" t="s">
        <v>33</v>
      </c>
      <c r="C217" s="10" t="s">
        <v>503</v>
      </c>
      <c r="D217" s="10" t="s">
        <v>35</v>
      </c>
      <c r="E217" s="10" t="s">
        <v>511</v>
      </c>
      <c r="F217" s="19" t="s">
        <v>438</v>
      </c>
      <c r="G217" s="19">
        <v>6</v>
      </c>
      <c r="H217" s="34" t="str">
        <f ca="1">VLOOKUP(A217,Sheet2!$X:$Z,3,FALSE)</f>
        <v>1,3;2,4;46,1-2</v>
      </c>
      <c r="I217" s="19" t="s">
        <v>514</v>
      </c>
      <c r="J217" s="19" t="s">
        <v>1</v>
      </c>
      <c r="K217" s="19" t="s">
        <v>122</v>
      </c>
      <c r="L217" s="36" t="s">
        <v>120</v>
      </c>
    </row>
    <row r="218" s="19" customFormat="1" spans="1:12">
      <c r="A218" s="10" t="s">
        <v>515</v>
      </c>
      <c r="B218" s="23" t="s">
        <v>33</v>
      </c>
      <c r="C218" s="10" t="s">
        <v>516</v>
      </c>
      <c r="D218" s="10" t="s">
        <v>35</v>
      </c>
      <c r="E218" s="10" t="s">
        <v>511</v>
      </c>
      <c r="F218" s="19" t="s">
        <v>438</v>
      </c>
      <c r="G218" s="19">
        <v>6</v>
      </c>
      <c r="H218" s="34" t="str">
        <f ca="1">VLOOKUP(A218,Sheet2!$X:$Z,3,FALSE)</f>
        <v>1,3;2,4;46,1-2</v>
      </c>
      <c r="I218" s="19" t="s">
        <v>517</v>
      </c>
      <c r="J218" s="19" t="s">
        <v>1</v>
      </c>
      <c r="K218" s="19" t="s">
        <v>125</v>
      </c>
      <c r="L218" s="36" t="s">
        <v>120</v>
      </c>
    </row>
    <row r="219" s="19" customFormat="1" spans="1:12">
      <c r="A219" s="10" t="s">
        <v>518</v>
      </c>
      <c r="B219" s="23" t="s">
        <v>33</v>
      </c>
      <c r="C219" s="10" t="s">
        <v>516</v>
      </c>
      <c r="D219" s="10" t="s">
        <v>35</v>
      </c>
      <c r="E219" s="10" t="s">
        <v>511</v>
      </c>
      <c r="F219" s="19" t="s">
        <v>438</v>
      </c>
      <c r="G219" s="19">
        <v>6</v>
      </c>
      <c r="H219" s="34" t="str">
        <f ca="1">VLOOKUP(A219,Sheet2!$X:$Z,3,FALSE)</f>
        <v>1,3;2,4;46,1-2</v>
      </c>
      <c r="I219" s="19" t="s">
        <v>519</v>
      </c>
      <c r="J219" s="19" t="s">
        <v>1</v>
      </c>
      <c r="K219" s="19" t="s">
        <v>127</v>
      </c>
      <c r="L219" s="36" t="s">
        <v>120</v>
      </c>
    </row>
    <row r="220" s="19" customFormat="1" spans="1:12">
      <c r="A220" s="10" t="s">
        <v>520</v>
      </c>
      <c r="B220" s="23" t="s">
        <v>33</v>
      </c>
      <c r="C220" s="10" t="s">
        <v>516</v>
      </c>
      <c r="D220" s="10" t="s">
        <v>35</v>
      </c>
      <c r="E220" s="10" t="s">
        <v>511</v>
      </c>
      <c r="F220" s="19" t="s">
        <v>438</v>
      </c>
      <c r="G220" s="19">
        <v>6</v>
      </c>
      <c r="H220" s="34" t="str">
        <f ca="1">VLOOKUP(A220,Sheet2!$X:$Z,3,FALSE)</f>
        <v>1,3;2,4;46,1-2</v>
      </c>
      <c r="I220" s="19" t="s">
        <v>521</v>
      </c>
      <c r="J220" s="19" t="s">
        <v>1</v>
      </c>
      <c r="K220" s="19" t="s">
        <v>129</v>
      </c>
      <c r="L220" s="36" t="s">
        <v>120</v>
      </c>
    </row>
    <row r="221" s="19" customFormat="1" spans="1:12">
      <c r="A221" s="10" t="s">
        <v>522</v>
      </c>
      <c r="B221" s="23" t="s">
        <v>33</v>
      </c>
      <c r="C221" s="10" t="s">
        <v>523</v>
      </c>
      <c r="D221" s="10" t="s">
        <v>35</v>
      </c>
      <c r="E221" s="10" t="s">
        <v>524</v>
      </c>
      <c r="F221" s="19" t="s">
        <v>438</v>
      </c>
      <c r="G221" s="19">
        <v>6</v>
      </c>
      <c r="H221" s="34" t="str">
        <f ca="1">VLOOKUP(A221,Sheet2!$X:$Z,3,FALSE)</f>
        <v>1,3;2,4;46,1-2</v>
      </c>
      <c r="I221" s="19" t="s">
        <v>525</v>
      </c>
      <c r="J221" s="19" t="s">
        <v>1</v>
      </c>
      <c r="K221" s="19" t="s">
        <v>133</v>
      </c>
      <c r="L221" s="36" t="s">
        <v>134</v>
      </c>
    </row>
    <row r="222" s="19" customFormat="1" spans="1:12">
      <c r="A222" s="10" t="s">
        <v>526</v>
      </c>
      <c r="B222" s="23" t="s">
        <v>33</v>
      </c>
      <c r="C222" s="10" t="s">
        <v>523</v>
      </c>
      <c r="D222" s="10" t="s">
        <v>35</v>
      </c>
      <c r="E222" s="10" t="s">
        <v>524</v>
      </c>
      <c r="F222" s="19" t="s">
        <v>438</v>
      </c>
      <c r="G222" s="19">
        <v>6</v>
      </c>
      <c r="H222" s="34" t="str">
        <f ca="1">VLOOKUP(A222,Sheet2!$X:$Z,3,FALSE)</f>
        <v>1,3;2,4;46,1-2</v>
      </c>
      <c r="I222" s="19" t="s">
        <v>527</v>
      </c>
      <c r="J222" s="19" t="s">
        <v>1</v>
      </c>
      <c r="K222" s="19" t="s">
        <v>136</v>
      </c>
      <c r="L222" s="36" t="s">
        <v>134</v>
      </c>
    </row>
    <row r="223" s="19" customFormat="1" spans="1:12">
      <c r="A223" s="10" t="s">
        <v>528</v>
      </c>
      <c r="B223" s="23" t="s">
        <v>33</v>
      </c>
      <c r="C223" s="10" t="s">
        <v>523</v>
      </c>
      <c r="D223" s="10" t="s">
        <v>35</v>
      </c>
      <c r="E223" s="10" t="s">
        <v>524</v>
      </c>
      <c r="F223" s="19" t="s">
        <v>438</v>
      </c>
      <c r="G223" s="19">
        <v>6</v>
      </c>
      <c r="H223" s="34" t="str">
        <f ca="1">VLOOKUP(A223,Sheet2!$X:$Z,3,FALSE)</f>
        <v>1,3;2,4;46,1-2</v>
      </c>
      <c r="I223" s="19" t="s">
        <v>529</v>
      </c>
      <c r="J223" s="19" t="s">
        <v>1</v>
      </c>
      <c r="K223" s="19" t="s">
        <v>138</v>
      </c>
      <c r="L223" s="36" t="s">
        <v>134</v>
      </c>
    </row>
    <row r="224" s="19" customFormat="1" spans="1:12">
      <c r="A224" s="10" t="s">
        <v>530</v>
      </c>
      <c r="B224" s="23" t="s">
        <v>33</v>
      </c>
      <c r="C224" s="10" t="s">
        <v>523</v>
      </c>
      <c r="D224" s="10" t="s">
        <v>35</v>
      </c>
      <c r="E224" s="10" t="s">
        <v>524</v>
      </c>
      <c r="F224" s="19" t="s">
        <v>438</v>
      </c>
      <c r="G224" s="19">
        <v>6</v>
      </c>
      <c r="H224" s="34" t="str">
        <f ca="1">VLOOKUP(A224,Sheet2!$X:$Z,3,FALSE)</f>
        <v>1,3;2,4;46,1-2</v>
      </c>
      <c r="I224" s="19" t="s">
        <v>531</v>
      </c>
      <c r="J224" s="19" t="s">
        <v>1</v>
      </c>
      <c r="K224" s="19" t="s">
        <v>140</v>
      </c>
      <c r="L224" s="36" t="s">
        <v>134</v>
      </c>
    </row>
    <row r="225" s="19" customFormat="1" spans="1:12">
      <c r="A225" s="10" t="s">
        <v>532</v>
      </c>
      <c r="B225" s="23" t="s">
        <v>33</v>
      </c>
      <c r="C225" s="10" t="s">
        <v>523</v>
      </c>
      <c r="D225" s="10" t="s">
        <v>35</v>
      </c>
      <c r="E225" s="10" t="s">
        <v>524</v>
      </c>
      <c r="F225" s="19" t="s">
        <v>438</v>
      </c>
      <c r="G225" s="19">
        <v>6</v>
      </c>
      <c r="H225" s="34" t="str">
        <f ca="1">VLOOKUP(A225,Sheet2!$X:$Z,3,FALSE)</f>
        <v>1,3;2,4;46,1-2</v>
      </c>
      <c r="I225" s="19" t="s">
        <v>533</v>
      </c>
      <c r="J225" s="19" t="s">
        <v>1</v>
      </c>
      <c r="K225" s="19" t="s">
        <v>142</v>
      </c>
      <c r="L225" s="36" t="s">
        <v>134</v>
      </c>
    </row>
    <row r="226" s="17" customFormat="1" spans="1:12">
      <c r="A226" s="12" t="s">
        <v>534</v>
      </c>
      <c r="B226" s="17" t="s">
        <v>33</v>
      </c>
      <c r="C226" s="12" t="s">
        <v>143</v>
      </c>
      <c r="D226" s="12"/>
      <c r="E226" s="12" t="s">
        <v>524</v>
      </c>
      <c r="F226" s="17" t="s">
        <v>438</v>
      </c>
      <c r="G226" s="17">
        <v>7</v>
      </c>
      <c r="H226" s="34"/>
      <c r="K226" s="17" t="s">
        <v>144</v>
      </c>
      <c r="L226" s="33"/>
    </row>
    <row r="227" s="19" customFormat="1" spans="1:12">
      <c r="A227" s="10" t="s">
        <v>535</v>
      </c>
      <c r="B227" s="23" t="s">
        <v>33</v>
      </c>
      <c r="C227" s="10" t="s">
        <v>536</v>
      </c>
      <c r="D227" s="10" t="s">
        <v>35</v>
      </c>
      <c r="E227" s="10" t="s">
        <v>537</v>
      </c>
      <c r="F227" s="19" t="s">
        <v>438</v>
      </c>
      <c r="G227" s="19">
        <v>8</v>
      </c>
      <c r="H227" s="34" t="str">
        <f ca="1">VLOOKUP(A227,Sheet2!$X:$Z,3,FALSE)</f>
        <v>1,2;2,5;46,1-2</v>
      </c>
      <c r="I227" s="19" t="s">
        <v>538</v>
      </c>
      <c r="J227" s="19" t="s">
        <v>1</v>
      </c>
      <c r="K227" s="19" t="s">
        <v>148</v>
      </c>
      <c r="L227" s="36" t="s">
        <v>134</v>
      </c>
    </row>
    <row r="228" s="19" customFormat="1" spans="1:12">
      <c r="A228" s="10" t="s">
        <v>539</v>
      </c>
      <c r="B228" s="23" t="s">
        <v>33</v>
      </c>
      <c r="C228" s="10" t="s">
        <v>536</v>
      </c>
      <c r="D228" s="10" t="s">
        <v>35</v>
      </c>
      <c r="E228" s="10" t="s">
        <v>537</v>
      </c>
      <c r="F228" s="19" t="s">
        <v>438</v>
      </c>
      <c r="G228" s="19">
        <v>8</v>
      </c>
      <c r="H228" s="34" t="str">
        <f ca="1">VLOOKUP(A228,Sheet2!$X:$Z,3,FALSE)</f>
        <v>1,2;2,5;46,1-2</v>
      </c>
      <c r="I228" s="19" t="s">
        <v>540</v>
      </c>
      <c r="J228" s="19" t="s">
        <v>1</v>
      </c>
      <c r="K228" s="19" t="s">
        <v>150</v>
      </c>
      <c r="L228" s="36" t="s">
        <v>134</v>
      </c>
    </row>
    <row r="229" s="19" customFormat="1" spans="1:12">
      <c r="A229" s="10" t="s">
        <v>541</v>
      </c>
      <c r="B229" s="23" t="s">
        <v>33</v>
      </c>
      <c r="C229" s="10" t="s">
        <v>536</v>
      </c>
      <c r="D229" s="10" t="s">
        <v>35</v>
      </c>
      <c r="E229" s="10" t="s">
        <v>537</v>
      </c>
      <c r="F229" s="19" t="s">
        <v>438</v>
      </c>
      <c r="G229" s="19">
        <v>8</v>
      </c>
      <c r="H229" s="34" t="str">
        <f ca="1">VLOOKUP(A229,Sheet2!$X:$Z,3,FALSE)</f>
        <v>1,2;2,5;46,1-2</v>
      </c>
      <c r="I229" s="19" t="s">
        <v>542</v>
      </c>
      <c r="J229" s="19" t="s">
        <v>1</v>
      </c>
      <c r="K229" s="19" t="s">
        <v>152</v>
      </c>
      <c r="L229" s="36" t="s">
        <v>134</v>
      </c>
    </row>
    <row r="230" s="19" customFormat="1" spans="1:12">
      <c r="A230" s="10" t="s">
        <v>543</v>
      </c>
      <c r="B230" s="23" t="s">
        <v>33</v>
      </c>
      <c r="C230" s="10" t="s">
        <v>536</v>
      </c>
      <c r="D230" s="10" t="s">
        <v>35</v>
      </c>
      <c r="E230" s="10" t="s">
        <v>537</v>
      </c>
      <c r="F230" s="19" t="s">
        <v>438</v>
      </c>
      <c r="G230" s="19">
        <v>8</v>
      </c>
      <c r="H230" s="34" t="str">
        <f ca="1">VLOOKUP(A230,Sheet2!$X:$Z,3,FALSE)</f>
        <v>1,2;2,5;46,1-2</v>
      </c>
      <c r="I230" s="19" t="s">
        <v>544</v>
      </c>
      <c r="J230" s="19" t="s">
        <v>1</v>
      </c>
      <c r="K230" s="19" t="s">
        <v>154</v>
      </c>
      <c r="L230" s="36" t="s">
        <v>134</v>
      </c>
    </row>
    <row r="231" s="19" customFormat="1" spans="1:12">
      <c r="A231" s="10" t="s">
        <v>545</v>
      </c>
      <c r="B231" s="23" t="s">
        <v>33</v>
      </c>
      <c r="C231" s="10" t="s">
        <v>546</v>
      </c>
      <c r="D231" s="10" t="s">
        <v>35</v>
      </c>
      <c r="E231" s="10" t="s">
        <v>537</v>
      </c>
      <c r="F231" s="19" t="s">
        <v>438</v>
      </c>
      <c r="G231" s="19">
        <v>8</v>
      </c>
      <c r="H231" s="34" t="str">
        <f ca="1">VLOOKUP(A231,Sheet2!$X:$Z,3,FALSE)</f>
        <v>1,2;2,5;46,1-3</v>
      </c>
      <c r="I231" s="19" t="s">
        <v>547</v>
      </c>
      <c r="J231" s="19" t="s">
        <v>1</v>
      </c>
      <c r="K231" s="19" t="s">
        <v>157</v>
      </c>
      <c r="L231" s="36" t="s">
        <v>134</v>
      </c>
    </row>
    <row r="232" s="19" customFormat="1" spans="1:12">
      <c r="A232" s="10" t="s">
        <v>548</v>
      </c>
      <c r="B232" s="23" t="s">
        <v>33</v>
      </c>
      <c r="C232" s="10" t="s">
        <v>546</v>
      </c>
      <c r="D232" s="10" t="s">
        <v>35</v>
      </c>
      <c r="E232" s="10" t="s">
        <v>549</v>
      </c>
      <c r="F232" s="19" t="s">
        <v>438</v>
      </c>
      <c r="G232" s="19">
        <v>8</v>
      </c>
      <c r="H232" s="34" t="str">
        <f ca="1">VLOOKUP(A232,Sheet2!$X:$Z,3,FALSE)</f>
        <v>1,2;2,5;46,1-3</v>
      </c>
      <c r="I232" s="19" t="s">
        <v>550</v>
      </c>
      <c r="J232" s="19" t="s">
        <v>1</v>
      </c>
      <c r="K232" s="19" t="s">
        <v>160</v>
      </c>
      <c r="L232" s="36"/>
    </row>
    <row r="233" s="19" customFormat="1" spans="1:12">
      <c r="A233" s="10" t="s">
        <v>551</v>
      </c>
      <c r="B233" s="23" t="s">
        <v>33</v>
      </c>
      <c r="C233" s="10" t="s">
        <v>546</v>
      </c>
      <c r="D233" s="10" t="s">
        <v>35</v>
      </c>
      <c r="E233" s="10" t="s">
        <v>549</v>
      </c>
      <c r="F233" s="19" t="s">
        <v>438</v>
      </c>
      <c r="G233" s="19">
        <v>8</v>
      </c>
      <c r="H233" s="34" t="str">
        <f ca="1">VLOOKUP(A233,Sheet2!$X:$Z,3,FALSE)</f>
        <v>1,2;2,5;46,1-3</v>
      </c>
      <c r="I233" s="19" t="s">
        <v>552</v>
      </c>
      <c r="J233" s="19" t="s">
        <v>1</v>
      </c>
      <c r="K233" s="19" t="s">
        <v>162</v>
      </c>
      <c r="L233" s="36"/>
    </row>
    <row r="234" s="19" customFormat="1" spans="1:12">
      <c r="A234" s="10" t="s">
        <v>553</v>
      </c>
      <c r="B234" s="23" t="s">
        <v>33</v>
      </c>
      <c r="C234" s="10" t="s">
        <v>546</v>
      </c>
      <c r="D234" s="10" t="s">
        <v>35</v>
      </c>
      <c r="E234" s="10" t="s">
        <v>549</v>
      </c>
      <c r="F234" s="19" t="s">
        <v>438</v>
      </c>
      <c r="G234" s="19">
        <v>8</v>
      </c>
      <c r="H234" s="34" t="str">
        <f ca="1">VLOOKUP(A234,Sheet2!$X:$Z,3,FALSE)</f>
        <v>1,2;2,5;46,1-3</v>
      </c>
      <c r="I234" s="19" t="s">
        <v>554</v>
      </c>
      <c r="J234" s="19" t="s">
        <v>1</v>
      </c>
      <c r="K234" s="19" t="s">
        <v>164</v>
      </c>
      <c r="L234" s="36"/>
    </row>
    <row r="235" s="19" customFormat="1" spans="1:12">
      <c r="A235" s="10" t="s">
        <v>555</v>
      </c>
      <c r="B235" s="23" t="s">
        <v>33</v>
      </c>
      <c r="C235" s="10" t="s">
        <v>556</v>
      </c>
      <c r="D235" s="10" t="s">
        <v>35</v>
      </c>
      <c r="E235" s="10" t="s">
        <v>549</v>
      </c>
      <c r="F235" s="19" t="s">
        <v>438</v>
      </c>
      <c r="G235" s="19">
        <v>8</v>
      </c>
      <c r="H235" s="34" t="str">
        <f ca="1">VLOOKUP(A235,Sheet2!$X:$Z,3,FALSE)</f>
        <v>1,2;2,5;46,1-3</v>
      </c>
      <c r="I235" s="19" t="s">
        <v>557</v>
      </c>
      <c r="J235" s="19" t="s">
        <v>1</v>
      </c>
      <c r="K235" s="19" t="s">
        <v>167</v>
      </c>
      <c r="L235" s="36"/>
    </row>
    <row r="236" s="19" customFormat="1" spans="1:12">
      <c r="A236" s="10" t="s">
        <v>558</v>
      </c>
      <c r="B236" s="23" t="s">
        <v>33</v>
      </c>
      <c r="C236" s="10" t="s">
        <v>556</v>
      </c>
      <c r="D236" s="10" t="s">
        <v>35</v>
      </c>
      <c r="E236" s="10" t="s">
        <v>549</v>
      </c>
      <c r="F236" s="19" t="s">
        <v>438</v>
      </c>
      <c r="G236" s="19">
        <v>8</v>
      </c>
      <c r="H236" s="34" t="str">
        <f ca="1">VLOOKUP(A236,Sheet2!$X:$Z,3,FALSE)</f>
        <v>1,2;2,5;46,1-3</v>
      </c>
      <c r="I236" s="19" t="s">
        <v>559</v>
      </c>
      <c r="J236" s="19" t="s">
        <v>1</v>
      </c>
      <c r="K236" s="19" t="s">
        <v>169</v>
      </c>
      <c r="L236" s="36"/>
    </row>
    <row r="237" s="15" customFormat="1" spans="1:12">
      <c r="A237" s="13" t="s">
        <v>560</v>
      </c>
      <c r="B237" s="15" t="s">
        <v>33</v>
      </c>
      <c r="C237" s="13" t="s">
        <v>114</v>
      </c>
      <c r="D237" s="13"/>
      <c r="E237" s="13" t="s">
        <v>115</v>
      </c>
      <c r="F237" s="15" t="s">
        <v>438</v>
      </c>
      <c r="G237" s="15">
        <v>16</v>
      </c>
      <c r="H237" s="34"/>
      <c r="J237" s="15" t="s">
        <v>1</v>
      </c>
      <c r="K237" s="15" t="s">
        <v>170</v>
      </c>
      <c r="L237" s="29"/>
    </row>
    <row r="238" s="19" customFormat="1" spans="1:12">
      <c r="A238" s="10" t="s">
        <v>561</v>
      </c>
      <c r="B238" s="23" t="s">
        <v>33</v>
      </c>
      <c r="C238" s="10" t="s">
        <v>562</v>
      </c>
      <c r="D238" s="10" t="s">
        <v>35</v>
      </c>
      <c r="E238" s="10" t="s">
        <v>563</v>
      </c>
      <c r="F238" s="19" t="s">
        <v>438</v>
      </c>
      <c r="G238" s="19">
        <v>9</v>
      </c>
      <c r="H238" s="34" t="str">
        <f ca="1">VLOOKUP(A238,Sheet2!$X:$Z,3,FALSE)</f>
        <v>1,2;2,5;46,1-3</v>
      </c>
      <c r="I238" s="19" t="s">
        <v>564</v>
      </c>
      <c r="J238" s="19" t="s">
        <v>1</v>
      </c>
      <c r="K238" s="19" t="s">
        <v>174</v>
      </c>
      <c r="L238" s="36"/>
    </row>
    <row r="239" s="19" customFormat="1" spans="1:12">
      <c r="A239" s="10" t="s">
        <v>565</v>
      </c>
      <c r="B239" s="23" t="s">
        <v>33</v>
      </c>
      <c r="C239" s="10" t="s">
        <v>562</v>
      </c>
      <c r="D239" s="10" t="s">
        <v>35</v>
      </c>
      <c r="E239" s="10" t="s">
        <v>563</v>
      </c>
      <c r="F239" s="19" t="s">
        <v>438</v>
      </c>
      <c r="G239" s="19">
        <v>9</v>
      </c>
      <c r="H239" s="34" t="str">
        <f ca="1">VLOOKUP(A239,Sheet2!$X:$Z,3,FALSE)</f>
        <v>1,2;2,5;46,1-3</v>
      </c>
      <c r="I239" s="19" t="s">
        <v>566</v>
      </c>
      <c r="J239" s="19" t="s">
        <v>1</v>
      </c>
      <c r="K239" s="19" t="s">
        <v>176</v>
      </c>
      <c r="L239" s="36"/>
    </row>
    <row r="240" s="19" customFormat="1" spans="1:12">
      <c r="A240" s="10" t="s">
        <v>567</v>
      </c>
      <c r="B240" s="23" t="s">
        <v>33</v>
      </c>
      <c r="C240" s="10" t="s">
        <v>562</v>
      </c>
      <c r="D240" s="10" t="s">
        <v>35</v>
      </c>
      <c r="E240" s="10" t="s">
        <v>563</v>
      </c>
      <c r="F240" s="19" t="s">
        <v>438</v>
      </c>
      <c r="G240" s="19">
        <v>9</v>
      </c>
      <c r="H240" s="34" t="str">
        <f ca="1">VLOOKUP(A240,Sheet2!$X:$Z,3,FALSE)</f>
        <v>1,2;2,5;46,1-3</v>
      </c>
      <c r="I240" s="19" t="s">
        <v>568</v>
      </c>
      <c r="J240" s="19" t="s">
        <v>1</v>
      </c>
      <c r="K240" s="19" t="s">
        <v>178</v>
      </c>
      <c r="L240" s="36"/>
    </row>
    <row r="241" s="19" customFormat="1" spans="1:12">
      <c r="A241" s="10" t="s">
        <v>569</v>
      </c>
      <c r="B241" s="23" t="s">
        <v>33</v>
      </c>
      <c r="C241" s="10" t="s">
        <v>562</v>
      </c>
      <c r="D241" s="10" t="s">
        <v>35</v>
      </c>
      <c r="E241" s="10" t="s">
        <v>563</v>
      </c>
      <c r="F241" s="19" t="s">
        <v>438</v>
      </c>
      <c r="G241" s="19">
        <v>9</v>
      </c>
      <c r="H241" s="34" t="str">
        <f ca="1">VLOOKUP(A241,Sheet2!$X:$Z,3,FALSE)</f>
        <v>1,2;2,5;46,1-3</v>
      </c>
      <c r="I241" s="19" t="s">
        <v>570</v>
      </c>
      <c r="J241" s="19" t="s">
        <v>1</v>
      </c>
      <c r="K241" s="19" t="s">
        <v>180</v>
      </c>
      <c r="L241" s="36"/>
    </row>
    <row r="242" s="19" customFormat="1" spans="1:12">
      <c r="A242" s="10" t="s">
        <v>571</v>
      </c>
      <c r="B242" s="23" t="s">
        <v>33</v>
      </c>
      <c r="C242" s="10" t="s">
        <v>562</v>
      </c>
      <c r="D242" s="10" t="s">
        <v>35</v>
      </c>
      <c r="E242" s="10" t="s">
        <v>563</v>
      </c>
      <c r="F242" s="19" t="s">
        <v>438</v>
      </c>
      <c r="G242" s="19">
        <v>9</v>
      </c>
      <c r="H242" s="34" t="str">
        <f ca="1">VLOOKUP(A242,Sheet2!$X:$Z,3,FALSE)</f>
        <v>1,2;2,5;46,1-3</v>
      </c>
      <c r="I242" s="19" t="s">
        <v>572</v>
      </c>
      <c r="J242" s="19" t="s">
        <v>1</v>
      </c>
      <c r="K242" s="19" t="s">
        <v>182</v>
      </c>
      <c r="L242" s="36"/>
    </row>
    <row r="243" s="19" customFormat="1" spans="1:12">
      <c r="A243" s="10" t="s">
        <v>573</v>
      </c>
      <c r="B243" s="23" t="s">
        <v>33</v>
      </c>
      <c r="C243" s="10" t="s">
        <v>562</v>
      </c>
      <c r="D243" s="10" t="s">
        <v>35</v>
      </c>
      <c r="E243" s="10" t="s">
        <v>563</v>
      </c>
      <c r="F243" s="19" t="s">
        <v>438</v>
      </c>
      <c r="G243" s="19">
        <v>9</v>
      </c>
      <c r="H243" s="34" t="str">
        <f ca="1">VLOOKUP(A243,Sheet2!$X:$Z,3,FALSE)</f>
        <v>1,2;2,5;46,1-3</v>
      </c>
      <c r="I243" s="19" t="s">
        <v>574</v>
      </c>
      <c r="J243" s="19" t="s">
        <v>1</v>
      </c>
      <c r="K243" s="19" t="s">
        <v>184</v>
      </c>
      <c r="L243" s="36"/>
    </row>
    <row r="244" s="19" customFormat="1" spans="1:12">
      <c r="A244" s="10" t="s">
        <v>575</v>
      </c>
      <c r="B244" s="23" t="s">
        <v>33</v>
      </c>
      <c r="C244" s="10" t="s">
        <v>576</v>
      </c>
      <c r="D244" s="10" t="s">
        <v>35</v>
      </c>
      <c r="E244" s="10" t="s">
        <v>563</v>
      </c>
      <c r="F244" s="19" t="s">
        <v>438</v>
      </c>
      <c r="G244" s="19">
        <v>9</v>
      </c>
      <c r="H244" s="34" t="str">
        <f ca="1">VLOOKUP(A244,Sheet2!$X:$Z,3,FALSE)</f>
        <v>1,2;2,5;46,1-3</v>
      </c>
      <c r="I244" s="19" t="s">
        <v>577</v>
      </c>
      <c r="J244" s="19" t="s">
        <v>1</v>
      </c>
      <c r="K244" s="19" t="s">
        <v>187</v>
      </c>
      <c r="L244" s="36"/>
    </row>
    <row r="245" s="19" customFormat="1" spans="1:12">
      <c r="A245" s="10" t="s">
        <v>578</v>
      </c>
      <c r="B245" s="23" t="s">
        <v>33</v>
      </c>
      <c r="C245" s="10" t="s">
        <v>576</v>
      </c>
      <c r="D245" s="10" t="s">
        <v>35</v>
      </c>
      <c r="E245" s="10" t="s">
        <v>563</v>
      </c>
      <c r="F245" s="19" t="s">
        <v>438</v>
      </c>
      <c r="G245" s="19">
        <v>9</v>
      </c>
      <c r="H245" s="34" t="str">
        <f ca="1">VLOOKUP(A245,Sheet2!$X:$Z,3,FALSE)</f>
        <v>1,2;2,5;46,1-3</v>
      </c>
      <c r="I245" s="19" t="s">
        <v>579</v>
      </c>
      <c r="J245" s="19" t="s">
        <v>1</v>
      </c>
      <c r="K245" s="19" t="s">
        <v>189</v>
      </c>
      <c r="L245" s="36"/>
    </row>
    <row r="246" s="19" customFormat="1" spans="1:12">
      <c r="A246" s="10" t="s">
        <v>580</v>
      </c>
      <c r="B246" s="23" t="s">
        <v>33</v>
      </c>
      <c r="C246" s="10" t="s">
        <v>576</v>
      </c>
      <c r="D246" s="10" t="s">
        <v>35</v>
      </c>
      <c r="E246" s="10" t="s">
        <v>563</v>
      </c>
      <c r="F246" s="19" t="s">
        <v>438</v>
      </c>
      <c r="G246" s="19">
        <v>9</v>
      </c>
      <c r="H246" s="34" t="str">
        <f ca="1">VLOOKUP(A246,Sheet2!$X:$Z,3,FALSE)</f>
        <v>1,2;2,5;46,1-3</v>
      </c>
      <c r="I246" s="19" t="s">
        <v>581</v>
      </c>
      <c r="J246" s="19" t="s">
        <v>1</v>
      </c>
      <c r="K246" s="19" t="s">
        <v>191</v>
      </c>
      <c r="L246" s="36"/>
    </row>
    <row r="247" s="19" customFormat="1" spans="1:12">
      <c r="A247" s="10" t="s">
        <v>582</v>
      </c>
      <c r="B247" s="23" t="s">
        <v>33</v>
      </c>
      <c r="C247" s="10" t="s">
        <v>576</v>
      </c>
      <c r="D247" s="10" t="s">
        <v>35</v>
      </c>
      <c r="E247" s="10" t="s">
        <v>563</v>
      </c>
      <c r="F247" s="19" t="s">
        <v>438</v>
      </c>
      <c r="G247" s="19">
        <v>9</v>
      </c>
      <c r="H247" s="34" t="str">
        <f ca="1">VLOOKUP(A247,Sheet2!$X:$Z,3,FALSE)</f>
        <v>1,2;2,5;46,1-3</v>
      </c>
      <c r="I247" s="19" t="s">
        <v>583</v>
      </c>
      <c r="J247" s="19" t="s">
        <v>1</v>
      </c>
      <c r="K247" s="19" t="s">
        <v>193</v>
      </c>
      <c r="L247" s="36"/>
    </row>
    <row r="248" s="17" customFormat="1" spans="1:12">
      <c r="A248" s="12" t="s">
        <v>584</v>
      </c>
      <c r="B248" s="17" t="s">
        <v>33</v>
      </c>
      <c r="C248" s="12" t="s">
        <v>194</v>
      </c>
      <c r="D248" s="12"/>
      <c r="E248" s="12" t="s">
        <v>563</v>
      </c>
      <c r="F248" s="17" t="s">
        <v>438</v>
      </c>
      <c r="G248" s="17">
        <v>10</v>
      </c>
      <c r="H248" s="34"/>
      <c r="K248" s="17" t="s">
        <v>195</v>
      </c>
      <c r="L248" s="33"/>
    </row>
    <row r="249" s="19" customFormat="1" spans="1:12">
      <c r="A249" s="10" t="s">
        <v>585</v>
      </c>
      <c r="B249" s="23" t="s">
        <v>33</v>
      </c>
      <c r="C249" s="10" t="s">
        <v>576</v>
      </c>
      <c r="D249" s="10" t="s">
        <v>35</v>
      </c>
      <c r="E249" s="10" t="s">
        <v>563</v>
      </c>
      <c r="F249" s="19" t="s">
        <v>438</v>
      </c>
      <c r="G249" s="19">
        <v>11</v>
      </c>
      <c r="H249" s="34" t="str">
        <f ca="1">VLOOKUP(A249,Sheet2!$X:$Z,3,FALSE)</f>
        <v>1,2;2,5;46,1-3</v>
      </c>
      <c r="I249" s="19" t="s">
        <v>586</v>
      </c>
      <c r="J249" s="19" t="s">
        <v>1</v>
      </c>
      <c r="K249" s="19" t="s">
        <v>197</v>
      </c>
      <c r="L249" s="36"/>
    </row>
    <row r="250" s="19" customFormat="1" spans="1:12">
      <c r="A250" s="10" t="s">
        <v>587</v>
      </c>
      <c r="B250" s="23" t="s">
        <v>33</v>
      </c>
      <c r="C250" s="10" t="s">
        <v>576</v>
      </c>
      <c r="D250" s="10" t="s">
        <v>35</v>
      </c>
      <c r="E250" s="10" t="s">
        <v>563</v>
      </c>
      <c r="F250" s="19" t="s">
        <v>438</v>
      </c>
      <c r="G250" s="19">
        <v>11</v>
      </c>
      <c r="H250" s="34" t="str">
        <f ca="1">VLOOKUP(A250,Sheet2!$X:$Z,3,FALSE)</f>
        <v>1,2;2,5;46,1-3</v>
      </c>
      <c r="I250" s="19" t="s">
        <v>588</v>
      </c>
      <c r="J250" s="19" t="s">
        <v>1</v>
      </c>
      <c r="K250" s="19" t="s">
        <v>199</v>
      </c>
      <c r="L250" s="36"/>
    </row>
    <row r="251" s="19" customFormat="1" spans="1:12">
      <c r="A251" s="10" t="s">
        <v>589</v>
      </c>
      <c r="B251" s="23" t="s">
        <v>33</v>
      </c>
      <c r="C251" s="10" t="s">
        <v>576</v>
      </c>
      <c r="D251" s="10" t="s">
        <v>35</v>
      </c>
      <c r="E251" s="10" t="s">
        <v>563</v>
      </c>
      <c r="F251" s="19" t="s">
        <v>438</v>
      </c>
      <c r="G251" s="19">
        <v>11</v>
      </c>
      <c r="H251" s="34" t="str">
        <f ca="1">VLOOKUP(A251,Sheet2!$X:$Z,3,FALSE)</f>
        <v>1,2;2,5;46,1-3</v>
      </c>
      <c r="I251" s="19" t="s">
        <v>590</v>
      </c>
      <c r="J251" s="19" t="s">
        <v>1</v>
      </c>
      <c r="K251" s="19" t="s">
        <v>201</v>
      </c>
      <c r="L251" s="36"/>
    </row>
    <row r="252" s="19" customFormat="1" spans="1:12">
      <c r="A252" s="10" t="s">
        <v>591</v>
      </c>
      <c r="B252" s="23" t="s">
        <v>33</v>
      </c>
      <c r="C252" s="10" t="s">
        <v>576</v>
      </c>
      <c r="D252" s="10" t="s">
        <v>35</v>
      </c>
      <c r="E252" s="10" t="s">
        <v>563</v>
      </c>
      <c r="F252" s="19" t="s">
        <v>438</v>
      </c>
      <c r="G252" s="19">
        <v>11</v>
      </c>
      <c r="H252" s="34" t="str">
        <f ca="1">VLOOKUP(A252,Sheet2!$X:$Z,3,FALSE)</f>
        <v>1,2;2,5;46,1-3</v>
      </c>
      <c r="I252" s="19" t="s">
        <v>592</v>
      </c>
      <c r="J252" s="19" t="s">
        <v>1</v>
      </c>
      <c r="K252" s="19" t="s">
        <v>203</v>
      </c>
      <c r="L252" s="36"/>
    </row>
    <row r="253" s="19" customFormat="1" spans="1:12">
      <c r="A253" s="10" t="s">
        <v>593</v>
      </c>
      <c r="B253" s="23" t="s">
        <v>33</v>
      </c>
      <c r="C253" s="10" t="s">
        <v>594</v>
      </c>
      <c r="D253" s="10" t="s">
        <v>35</v>
      </c>
      <c r="E253" s="10" t="s">
        <v>563</v>
      </c>
      <c r="F253" s="19" t="s">
        <v>438</v>
      </c>
      <c r="G253" s="19">
        <v>11</v>
      </c>
      <c r="H253" s="34" t="str">
        <f ca="1">VLOOKUP(A253,Sheet2!$X:$Z,3,FALSE)</f>
        <v>1,2;2,5;46,1-3</v>
      </c>
      <c r="I253" s="19" t="s">
        <v>595</v>
      </c>
      <c r="J253" s="19" t="s">
        <v>1</v>
      </c>
      <c r="K253" s="19" t="s">
        <v>206</v>
      </c>
      <c r="L253" s="36"/>
    </row>
    <row r="254" s="19" customFormat="1" spans="1:12">
      <c r="A254" s="10" t="s">
        <v>596</v>
      </c>
      <c r="B254" s="23" t="s">
        <v>33</v>
      </c>
      <c r="C254" s="10" t="s">
        <v>594</v>
      </c>
      <c r="D254" s="10" t="s">
        <v>35</v>
      </c>
      <c r="E254" s="10" t="s">
        <v>563</v>
      </c>
      <c r="F254" s="19" t="s">
        <v>438</v>
      </c>
      <c r="G254" s="19">
        <v>11</v>
      </c>
      <c r="H254" s="34" t="str">
        <f ca="1">VLOOKUP(A254,Sheet2!$X:$Z,3,FALSE)</f>
        <v>1,2;2,5;46,1-3</v>
      </c>
      <c r="I254" s="19" t="s">
        <v>597</v>
      </c>
      <c r="J254" s="19" t="s">
        <v>1</v>
      </c>
      <c r="K254" s="19" t="s">
        <v>208</v>
      </c>
      <c r="L254" s="36"/>
    </row>
    <row r="255" s="19" customFormat="1" spans="1:12">
      <c r="A255" s="10" t="s">
        <v>598</v>
      </c>
      <c r="B255" s="23" t="s">
        <v>33</v>
      </c>
      <c r="C255" s="10" t="s">
        <v>594</v>
      </c>
      <c r="D255" s="10" t="s">
        <v>35</v>
      </c>
      <c r="E255" s="10" t="s">
        <v>563</v>
      </c>
      <c r="F255" s="19" t="s">
        <v>438</v>
      </c>
      <c r="G255" s="19">
        <v>11</v>
      </c>
      <c r="H255" s="34" t="str">
        <f ca="1">VLOOKUP(A255,Sheet2!$X:$Z,3,FALSE)</f>
        <v>1,2;2,5;46,1-3</v>
      </c>
      <c r="I255" s="19" t="s">
        <v>599</v>
      </c>
      <c r="J255" s="19" t="s">
        <v>1</v>
      </c>
      <c r="K255" s="19" t="s">
        <v>210</v>
      </c>
      <c r="L255" s="36"/>
    </row>
    <row r="256" s="19" customFormat="1" spans="1:12">
      <c r="A256" s="10" t="s">
        <v>600</v>
      </c>
      <c r="B256" s="23" t="s">
        <v>33</v>
      </c>
      <c r="C256" s="10" t="s">
        <v>594</v>
      </c>
      <c r="D256" s="10" t="s">
        <v>35</v>
      </c>
      <c r="E256" s="10" t="s">
        <v>563</v>
      </c>
      <c r="F256" s="19" t="s">
        <v>438</v>
      </c>
      <c r="G256" s="19">
        <v>11</v>
      </c>
      <c r="H256" s="34" t="str">
        <f ca="1">VLOOKUP(A256,Sheet2!$X:$Z,3,FALSE)</f>
        <v>1,2;2,5;46,1-3</v>
      </c>
      <c r="I256" s="19" t="s">
        <v>601</v>
      </c>
      <c r="J256" s="19" t="s">
        <v>1</v>
      </c>
      <c r="K256" s="19" t="s">
        <v>212</v>
      </c>
      <c r="L256" s="36"/>
    </row>
    <row r="257" s="19" customFormat="1" spans="1:12">
      <c r="A257" s="10" t="s">
        <v>602</v>
      </c>
      <c r="B257" s="23" t="s">
        <v>33</v>
      </c>
      <c r="C257" s="10" t="s">
        <v>594</v>
      </c>
      <c r="D257" s="10" t="s">
        <v>35</v>
      </c>
      <c r="E257" s="10" t="s">
        <v>563</v>
      </c>
      <c r="F257" s="19" t="s">
        <v>438</v>
      </c>
      <c r="G257" s="19">
        <v>11</v>
      </c>
      <c r="H257" s="34" t="str">
        <f ca="1">VLOOKUP(A257,Sheet2!$X:$Z,3,FALSE)</f>
        <v>1,2;2,5;46,1-3</v>
      </c>
      <c r="I257" s="19" t="s">
        <v>603</v>
      </c>
      <c r="J257" s="19" t="s">
        <v>1</v>
      </c>
      <c r="K257" s="19" t="s">
        <v>214</v>
      </c>
      <c r="L257" s="36"/>
    </row>
    <row r="258" s="19" customFormat="1" spans="1:12">
      <c r="A258" s="10" t="s">
        <v>604</v>
      </c>
      <c r="B258" s="23" t="s">
        <v>33</v>
      </c>
      <c r="C258" s="10" t="s">
        <v>594</v>
      </c>
      <c r="D258" s="10" t="s">
        <v>35</v>
      </c>
      <c r="E258" s="10" t="s">
        <v>563</v>
      </c>
      <c r="F258" s="19" t="s">
        <v>438</v>
      </c>
      <c r="G258" s="19">
        <v>11</v>
      </c>
      <c r="H258" s="34" t="str">
        <f ca="1">VLOOKUP(A258,Sheet2!$X:$Z,3,FALSE)</f>
        <v>1,2;2,5;46,1-3</v>
      </c>
      <c r="I258" s="19" t="s">
        <v>605</v>
      </c>
      <c r="J258" s="19" t="s">
        <v>1</v>
      </c>
      <c r="K258" s="19" t="s">
        <v>216</v>
      </c>
      <c r="L258" s="36"/>
    </row>
    <row r="259" s="17" customFormat="1" spans="1:12">
      <c r="A259" s="12" t="s">
        <v>606</v>
      </c>
      <c r="B259" s="17" t="s">
        <v>33</v>
      </c>
      <c r="C259" s="12" t="s">
        <v>194</v>
      </c>
      <c r="D259" s="12"/>
      <c r="E259" s="12" t="s">
        <v>563</v>
      </c>
      <c r="F259" s="17" t="s">
        <v>438</v>
      </c>
      <c r="G259" s="17">
        <v>12</v>
      </c>
      <c r="H259" s="34"/>
      <c r="K259" s="17" t="s">
        <v>217</v>
      </c>
      <c r="L259" s="33"/>
    </row>
    <row r="260" s="17" customFormat="1" spans="1:12">
      <c r="A260" s="12" t="s">
        <v>607</v>
      </c>
      <c r="B260" s="17" t="s">
        <v>33</v>
      </c>
      <c r="C260" s="12" t="s">
        <v>218</v>
      </c>
      <c r="D260" s="12"/>
      <c r="E260" s="12" t="s">
        <v>114</v>
      </c>
      <c r="F260" s="17" t="s">
        <v>438</v>
      </c>
      <c r="G260" s="17">
        <v>13</v>
      </c>
      <c r="H260" s="34"/>
      <c r="K260" s="17" t="s">
        <v>219</v>
      </c>
      <c r="L260" s="33"/>
    </row>
    <row r="261" s="19" customFormat="1" spans="1:12">
      <c r="A261" s="10" t="s">
        <v>608</v>
      </c>
      <c r="B261" s="23" t="s">
        <v>33</v>
      </c>
      <c r="C261" s="10" t="s">
        <v>594</v>
      </c>
      <c r="D261" s="10" t="s">
        <v>35</v>
      </c>
      <c r="E261" s="10" t="s">
        <v>563</v>
      </c>
      <c r="F261" s="19" t="s">
        <v>438</v>
      </c>
      <c r="G261" s="19">
        <v>14</v>
      </c>
      <c r="H261" s="34" t="str">
        <f ca="1">VLOOKUP(A261,Sheet2!$X:$Z,3,FALSE)</f>
        <v>1,2;2,5;46,1-3</v>
      </c>
      <c r="I261" s="19" t="s">
        <v>609</v>
      </c>
      <c r="J261" s="19" t="s">
        <v>1</v>
      </c>
      <c r="K261" s="19" t="s">
        <v>221</v>
      </c>
      <c r="L261" s="36"/>
    </row>
    <row r="262" s="19" customFormat="1" spans="1:12">
      <c r="A262" s="10" t="s">
        <v>610</v>
      </c>
      <c r="B262" s="23" t="s">
        <v>33</v>
      </c>
      <c r="C262" s="10" t="s">
        <v>594</v>
      </c>
      <c r="D262" s="10" t="s">
        <v>35</v>
      </c>
      <c r="E262" s="10" t="s">
        <v>563</v>
      </c>
      <c r="F262" s="19" t="s">
        <v>438</v>
      </c>
      <c r="G262" s="19">
        <v>14</v>
      </c>
      <c r="H262" s="34" t="str">
        <f ca="1">VLOOKUP(A262,Sheet2!$X:$Z,3,FALSE)</f>
        <v>1,2;2,5;46,1-3</v>
      </c>
      <c r="I262" s="19" t="s">
        <v>611</v>
      </c>
      <c r="J262" s="19" t="s">
        <v>1</v>
      </c>
      <c r="K262" s="19" t="s">
        <v>223</v>
      </c>
      <c r="L262" s="36"/>
    </row>
    <row r="263" s="19" customFormat="1" spans="1:12">
      <c r="A263" s="10" t="s">
        <v>612</v>
      </c>
      <c r="B263" s="23" t="s">
        <v>33</v>
      </c>
      <c r="C263" s="10" t="s">
        <v>594</v>
      </c>
      <c r="D263" s="10" t="s">
        <v>35</v>
      </c>
      <c r="E263" s="10" t="s">
        <v>563</v>
      </c>
      <c r="F263" s="19" t="s">
        <v>438</v>
      </c>
      <c r="G263" s="19">
        <v>14</v>
      </c>
      <c r="H263" s="34" t="str">
        <f ca="1">VLOOKUP(A263,Sheet2!$X:$Z,3,FALSE)</f>
        <v>1,2;2,5;46,1-3</v>
      </c>
      <c r="I263" s="19" t="s">
        <v>613</v>
      </c>
      <c r="J263" s="19" t="s">
        <v>1</v>
      </c>
      <c r="K263" s="19" t="s">
        <v>225</v>
      </c>
      <c r="L263" s="36"/>
    </row>
    <row r="264" s="20" customFormat="1" spans="1:12">
      <c r="A264" s="10" t="s">
        <v>614</v>
      </c>
      <c r="B264" s="23" t="s">
        <v>33</v>
      </c>
      <c r="C264" s="10" t="s">
        <v>615</v>
      </c>
      <c r="D264" s="10" t="s">
        <v>35</v>
      </c>
      <c r="E264" s="10" t="s">
        <v>563</v>
      </c>
      <c r="F264" s="19" t="s">
        <v>438</v>
      </c>
      <c r="G264" s="19">
        <v>14</v>
      </c>
      <c r="H264" s="34" t="str">
        <f ca="1">VLOOKUP(A264,Sheet2!$X:$Z,3,FALSE)</f>
        <v>1,2;2,5;46,1-3</v>
      </c>
      <c r="I264" s="19" t="s">
        <v>616</v>
      </c>
      <c r="J264" s="19" t="s">
        <v>1</v>
      </c>
      <c r="K264" s="19" t="s">
        <v>228</v>
      </c>
      <c r="L264" s="38"/>
    </row>
    <row r="265" s="20" customFormat="1" spans="1:12">
      <c r="A265" s="10" t="s">
        <v>617</v>
      </c>
      <c r="B265" s="23" t="s">
        <v>33</v>
      </c>
      <c r="C265" s="10" t="s">
        <v>615</v>
      </c>
      <c r="D265" s="10" t="s">
        <v>35</v>
      </c>
      <c r="E265" s="10" t="s">
        <v>563</v>
      </c>
      <c r="F265" s="19" t="s">
        <v>438</v>
      </c>
      <c r="G265" s="19">
        <v>14</v>
      </c>
      <c r="H265" s="34" t="str">
        <f ca="1">VLOOKUP(A265,Sheet2!$X:$Z,3,FALSE)</f>
        <v>1,2;2,5;46,1-3</v>
      </c>
      <c r="I265" s="19" t="s">
        <v>618</v>
      </c>
      <c r="J265" s="19" t="s">
        <v>1</v>
      </c>
      <c r="K265" s="19" t="s">
        <v>230</v>
      </c>
      <c r="L265" s="38"/>
    </row>
    <row r="266" s="20" customFormat="1" spans="1:12">
      <c r="A266" s="10" t="s">
        <v>619</v>
      </c>
      <c r="B266" s="23" t="s">
        <v>33</v>
      </c>
      <c r="C266" s="10" t="s">
        <v>615</v>
      </c>
      <c r="D266" s="10" t="s">
        <v>35</v>
      </c>
      <c r="E266" s="10" t="s">
        <v>563</v>
      </c>
      <c r="F266" s="19" t="s">
        <v>438</v>
      </c>
      <c r="G266" s="19">
        <v>14</v>
      </c>
      <c r="H266" s="34" t="str">
        <f ca="1">VLOOKUP(A266,Sheet2!$X:$Z,3,FALSE)</f>
        <v>1,2;2,5;46,1-3</v>
      </c>
      <c r="I266" s="19" t="s">
        <v>620</v>
      </c>
      <c r="J266" s="19" t="s">
        <v>1</v>
      </c>
      <c r="K266" s="19" t="s">
        <v>232</v>
      </c>
      <c r="L266" s="38"/>
    </row>
    <row r="267" s="20" customFormat="1" spans="1:12">
      <c r="A267" s="10" t="s">
        <v>621</v>
      </c>
      <c r="B267" s="23" t="s">
        <v>33</v>
      </c>
      <c r="C267" s="10" t="s">
        <v>615</v>
      </c>
      <c r="D267" s="10" t="s">
        <v>35</v>
      </c>
      <c r="E267" s="10" t="s">
        <v>563</v>
      </c>
      <c r="F267" s="19" t="s">
        <v>438</v>
      </c>
      <c r="G267" s="19">
        <v>14</v>
      </c>
      <c r="H267" s="34" t="str">
        <f ca="1">VLOOKUP(A267,Sheet2!$X:$Z,3,FALSE)</f>
        <v>1,2;2,5;46,1-3</v>
      </c>
      <c r="I267" s="19" t="s">
        <v>622</v>
      </c>
      <c r="J267" s="19" t="s">
        <v>1</v>
      </c>
      <c r="K267" s="19" t="s">
        <v>234</v>
      </c>
      <c r="L267" s="38"/>
    </row>
    <row r="268" s="20" customFormat="1" spans="1:12">
      <c r="A268" s="10" t="s">
        <v>623</v>
      </c>
      <c r="B268" s="23" t="s">
        <v>33</v>
      </c>
      <c r="C268" s="10" t="s">
        <v>615</v>
      </c>
      <c r="D268" s="10" t="s">
        <v>35</v>
      </c>
      <c r="E268" s="10" t="s">
        <v>563</v>
      </c>
      <c r="F268" s="19" t="s">
        <v>438</v>
      </c>
      <c r="G268" s="19">
        <v>14</v>
      </c>
      <c r="H268" s="34" t="str">
        <f ca="1">VLOOKUP(A268,Sheet2!$X:$Z,3,FALSE)</f>
        <v>1,2;2,5;46,1-3</v>
      </c>
      <c r="I268" s="19" t="s">
        <v>624</v>
      </c>
      <c r="J268" s="19" t="s">
        <v>1</v>
      </c>
      <c r="K268" s="19" t="s">
        <v>236</v>
      </c>
      <c r="L268" s="38"/>
    </row>
    <row r="269" s="20" customFormat="1" spans="1:12">
      <c r="A269" s="10" t="s">
        <v>625</v>
      </c>
      <c r="B269" s="23" t="s">
        <v>33</v>
      </c>
      <c r="C269" s="10" t="s">
        <v>615</v>
      </c>
      <c r="D269" s="10" t="s">
        <v>35</v>
      </c>
      <c r="E269" s="10" t="s">
        <v>563</v>
      </c>
      <c r="F269" s="19" t="s">
        <v>438</v>
      </c>
      <c r="G269" s="19">
        <v>14</v>
      </c>
      <c r="H269" s="34" t="str">
        <f ca="1">VLOOKUP(A269,Sheet2!$X:$Z,3,FALSE)</f>
        <v>1,2;2,5;46,1-3</v>
      </c>
      <c r="I269" s="19" t="s">
        <v>626</v>
      </c>
      <c r="J269" s="19" t="s">
        <v>1</v>
      </c>
      <c r="K269" s="19" t="s">
        <v>238</v>
      </c>
      <c r="L269" s="38"/>
    </row>
    <row r="270" s="20" customFormat="1" spans="1:12">
      <c r="A270" s="10" t="s">
        <v>627</v>
      </c>
      <c r="B270" s="23" t="s">
        <v>33</v>
      </c>
      <c r="C270" s="10" t="s">
        <v>615</v>
      </c>
      <c r="D270" s="10" t="s">
        <v>35</v>
      </c>
      <c r="E270" s="10" t="s">
        <v>563</v>
      </c>
      <c r="F270" s="19" t="s">
        <v>438</v>
      </c>
      <c r="G270" s="19">
        <v>14</v>
      </c>
      <c r="H270" s="34" t="str">
        <f ca="1">VLOOKUP(A270,Sheet2!$X:$Z,3,FALSE)</f>
        <v>1,2;2,5;46,1-3</v>
      </c>
      <c r="I270" s="19" t="s">
        <v>628</v>
      </c>
      <c r="J270" s="19" t="s">
        <v>1</v>
      </c>
      <c r="K270" s="19" t="s">
        <v>240</v>
      </c>
      <c r="L270" s="38"/>
    </row>
    <row r="271" s="21" customFormat="1" spans="1:12">
      <c r="A271" s="14" t="s">
        <v>629</v>
      </c>
      <c r="B271" s="23" t="s">
        <v>33</v>
      </c>
      <c r="C271" s="14" t="s">
        <v>630</v>
      </c>
      <c r="D271" s="14" t="s">
        <v>35</v>
      </c>
      <c r="E271" s="14" t="s">
        <v>631</v>
      </c>
      <c r="F271" s="21" t="s">
        <v>632</v>
      </c>
      <c r="G271" s="21">
        <v>1</v>
      </c>
      <c r="H271" s="37" t="str">
        <f ca="1">VLOOKUP(A271,Sheet2!$AA:$AC,3,FALSE)</f>
        <v>1,4;2,3;46,0-1</v>
      </c>
      <c r="I271" s="19" t="s">
        <v>633</v>
      </c>
      <c r="J271" s="21" t="s">
        <v>1</v>
      </c>
      <c r="K271" s="21" t="s">
        <v>38</v>
      </c>
      <c r="L271" s="39" t="s">
        <v>39</v>
      </c>
    </row>
    <row r="272" s="21" customFormat="1" spans="1:12">
      <c r="A272" s="14" t="s">
        <v>634</v>
      </c>
      <c r="B272" s="23" t="s">
        <v>33</v>
      </c>
      <c r="C272" s="14" t="s">
        <v>630</v>
      </c>
      <c r="D272" s="14" t="s">
        <v>35</v>
      </c>
      <c r="E272" s="14" t="s">
        <v>631</v>
      </c>
      <c r="F272" s="21" t="s">
        <v>632</v>
      </c>
      <c r="G272" s="21">
        <v>1</v>
      </c>
      <c r="H272" s="37" t="str">
        <f ca="1">VLOOKUP(A272,Sheet2!$AA:$AC,3,FALSE)</f>
        <v>1,4;2,3;46,0-1</v>
      </c>
      <c r="I272" s="19" t="s">
        <v>635</v>
      </c>
      <c r="J272" s="21" t="s">
        <v>1</v>
      </c>
      <c r="K272" s="21" t="s">
        <v>41</v>
      </c>
      <c r="L272" s="39" t="s">
        <v>39</v>
      </c>
    </row>
    <row r="273" s="21" customFormat="1" spans="1:12">
      <c r="A273" s="14" t="s">
        <v>636</v>
      </c>
      <c r="B273" s="23" t="s">
        <v>33</v>
      </c>
      <c r="C273" s="14" t="s">
        <v>630</v>
      </c>
      <c r="D273" s="14" t="s">
        <v>35</v>
      </c>
      <c r="E273" s="14" t="s">
        <v>631</v>
      </c>
      <c r="F273" s="21" t="s">
        <v>632</v>
      </c>
      <c r="G273" s="21">
        <v>1</v>
      </c>
      <c r="H273" s="37" t="str">
        <f ca="1">VLOOKUP(A273,Sheet2!$AA:$AC,3,FALSE)</f>
        <v>1,4;2,3;46,0-1</v>
      </c>
      <c r="I273" s="19" t="s">
        <v>637</v>
      </c>
      <c r="J273" s="21" t="s">
        <v>1</v>
      </c>
      <c r="K273" s="21" t="s">
        <v>43</v>
      </c>
      <c r="L273" s="39">
        <v>25</v>
      </c>
    </row>
    <row r="274" s="21" customFormat="1" spans="1:12">
      <c r="A274" s="14" t="s">
        <v>638</v>
      </c>
      <c r="B274" s="23" t="s">
        <v>33</v>
      </c>
      <c r="C274" s="14" t="s">
        <v>630</v>
      </c>
      <c r="D274" s="14" t="s">
        <v>35</v>
      </c>
      <c r="E274" s="14" t="s">
        <v>631</v>
      </c>
      <c r="F274" s="21" t="s">
        <v>632</v>
      </c>
      <c r="G274" s="21">
        <v>1</v>
      </c>
      <c r="H274" s="37" t="str">
        <f ca="1">VLOOKUP(A274,Sheet2!$AA:$AC,3,FALSE)</f>
        <v>1,4;2,3;46,0-1</v>
      </c>
      <c r="I274" s="19" t="s">
        <v>639</v>
      </c>
      <c r="J274" s="21" t="s">
        <v>1</v>
      </c>
      <c r="K274" s="21" t="s">
        <v>45</v>
      </c>
      <c r="L274" s="39" t="s">
        <v>39</v>
      </c>
    </row>
    <row r="275" s="21" customFormat="1" spans="1:12">
      <c r="A275" s="14" t="s">
        <v>640</v>
      </c>
      <c r="B275" s="23" t="s">
        <v>33</v>
      </c>
      <c r="C275" s="14" t="s">
        <v>630</v>
      </c>
      <c r="D275" s="14" t="s">
        <v>35</v>
      </c>
      <c r="E275" s="14" t="s">
        <v>631</v>
      </c>
      <c r="F275" s="21" t="s">
        <v>632</v>
      </c>
      <c r="G275" s="21">
        <v>1</v>
      </c>
      <c r="H275" s="37" t="str">
        <f ca="1">VLOOKUP(A275,Sheet2!$AA:$AC,3,FALSE)</f>
        <v>1,4;2,3;46,0-1</v>
      </c>
      <c r="I275" s="19" t="s">
        <v>641</v>
      </c>
      <c r="J275" s="21" t="s">
        <v>1</v>
      </c>
      <c r="K275" s="21" t="s">
        <v>47</v>
      </c>
      <c r="L275" s="39" t="s">
        <v>39</v>
      </c>
    </row>
    <row r="276" s="21" customFormat="1" spans="1:12">
      <c r="A276" s="14" t="s">
        <v>642</v>
      </c>
      <c r="B276" s="23" t="s">
        <v>33</v>
      </c>
      <c r="C276" s="14" t="s">
        <v>643</v>
      </c>
      <c r="D276" s="14" t="s">
        <v>35</v>
      </c>
      <c r="E276" s="14" t="s">
        <v>631</v>
      </c>
      <c r="F276" s="21" t="s">
        <v>632</v>
      </c>
      <c r="G276" s="21">
        <v>1</v>
      </c>
      <c r="H276" s="37" t="str">
        <f ca="1">VLOOKUP(A276,Sheet2!$AA:$AC,3,FALSE)</f>
        <v>1,4;2,4;46,0-2</v>
      </c>
      <c r="I276" s="19" t="s">
        <v>644</v>
      </c>
      <c r="J276" s="21" t="s">
        <v>1</v>
      </c>
      <c r="K276" s="21" t="s">
        <v>50</v>
      </c>
      <c r="L276" s="39" t="s">
        <v>39</v>
      </c>
    </row>
    <row r="277" s="21" customFormat="1" spans="1:12">
      <c r="A277" s="14" t="s">
        <v>645</v>
      </c>
      <c r="B277" s="23" t="s">
        <v>33</v>
      </c>
      <c r="C277" s="14" t="s">
        <v>643</v>
      </c>
      <c r="D277" s="14" t="s">
        <v>35</v>
      </c>
      <c r="E277" s="14" t="s">
        <v>631</v>
      </c>
      <c r="F277" s="21" t="s">
        <v>632</v>
      </c>
      <c r="G277" s="21">
        <v>1</v>
      </c>
      <c r="H277" s="37" t="str">
        <f ca="1">VLOOKUP(A277,Sheet2!$AA:$AC,3,FALSE)</f>
        <v>1,4;2,4;46,0-2</v>
      </c>
      <c r="I277" s="19" t="s">
        <v>646</v>
      </c>
      <c r="J277" s="21" t="s">
        <v>1</v>
      </c>
      <c r="K277" s="21" t="s">
        <v>52</v>
      </c>
      <c r="L277" s="39" t="s">
        <v>39</v>
      </c>
    </row>
    <row r="278" s="21" customFormat="1" spans="1:12">
      <c r="A278" s="14" t="s">
        <v>647</v>
      </c>
      <c r="B278" s="23" t="s">
        <v>33</v>
      </c>
      <c r="C278" s="14" t="s">
        <v>643</v>
      </c>
      <c r="D278" s="14" t="s">
        <v>35</v>
      </c>
      <c r="E278" s="14" t="s">
        <v>631</v>
      </c>
      <c r="F278" s="21" t="s">
        <v>632</v>
      </c>
      <c r="G278" s="21">
        <v>1</v>
      </c>
      <c r="H278" s="37" t="str">
        <f ca="1">VLOOKUP(A278,Sheet2!$AA:$AC,3,FALSE)</f>
        <v>1,4;2,4;46,0-2</v>
      </c>
      <c r="I278" s="19" t="s">
        <v>648</v>
      </c>
      <c r="J278" s="21" t="s">
        <v>1</v>
      </c>
      <c r="K278" s="21" t="s">
        <v>54</v>
      </c>
      <c r="L278" s="39" t="s">
        <v>39</v>
      </c>
    </row>
    <row r="279" s="21" customFormat="1" spans="1:12">
      <c r="A279" s="14" t="s">
        <v>649</v>
      </c>
      <c r="B279" s="23" t="s">
        <v>33</v>
      </c>
      <c r="C279" s="14" t="s">
        <v>643</v>
      </c>
      <c r="D279" s="14" t="s">
        <v>35</v>
      </c>
      <c r="E279" s="14" t="s">
        <v>631</v>
      </c>
      <c r="F279" s="21" t="s">
        <v>632</v>
      </c>
      <c r="G279" s="21">
        <v>1</v>
      </c>
      <c r="H279" s="37" t="str">
        <f ca="1">VLOOKUP(A279,Sheet2!$AA:$AC,3,FALSE)</f>
        <v>1,4;2,4;46,0-2</v>
      </c>
      <c r="I279" s="19" t="s">
        <v>650</v>
      </c>
      <c r="J279" s="21" t="s">
        <v>1</v>
      </c>
      <c r="K279" s="21" t="s">
        <v>56</v>
      </c>
      <c r="L279" s="39" t="s">
        <v>39</v>
      </c>
    </row>
    <row r="280" s="21" customFormat="1" spans="1:12">
      <c r="A280" s="14" t="s">
        <v>651</v>
      </c>
      <c r="B280" s="23" t="s">
        <v>33</v>
      </c>
      <c r="C280" s="14" t="s">
        <v>643</v>
      </c>
      <c r="D280" s="14" t="s">
        <v>35</v>
      </c>
      <c r="E280" s="14" t="s">
        <v>631</v>
      </c>
      <c r="F280" s="21" t="s">
        <v>632</v>
      </c>
      <c r="G280" s="21">
        <v>1</v>
      </c>
      <c r="H280" s="37" t="str">
        <f ca="1">VLOOKUP(A280,Sheet2!$AA:$AC,3,FALSE)</f>
        <v>1,4;2,4;46,0-2</v>
      </c>
      <c r="I280" s="19" t="s">
        <v>652</v>
      </c>
      <c r="J280" s="21" t="s">
        <v>1</v>
      </c>
      <c r="K280" s="21" t="s">
        <v>58</v>
      </c>
      <c r="L280" s="39" t="s">
        <v>39</v>
      </c>
    </row>
    <row r="281" s="17" customFormat="1" spans="1:12">
      <c r="A281" s="12" t="s">
        <v>653</v>
      </c>
      <c r="B281" s="17" t="s">
        <v>33</v>
      </c>
      <c r="C281" s="12" t="s">
        <v>59</v>
      </c>
      <c r="D281" s="12"/>
      <c r="E281" s="12" t="s">
        <v>631</v>
      </c>
      <c r="F281" s="17" t="s">
        <v>632</v>
      </c>
      <c r="G281" s="17">
        <v>2</v>
      </c>
      <c r="H281" s="37"/>
      <c r="K281" s="17" t="s">
        <v>60</v>
      </c>
      <c r="L281" s="33"/>
    </row>
    <row r="282" s="21" customFormat="1" spans="1:12">
      <c r="A282" s="14" t="s">
        <v>654</v>
      </c>
      <c r="B282" s="23" t="s">
        <v>33</v>
      </c>
      <c r="C282" s="14" t="s">
        <v>655</v>
      </c>
      <c r="D282" s="14" t="s">
        <v>35</v>
      </c>
      <c r="E282" s="14" t="s">
        <v>656</v>
      </c>
      <c r="F282" s="21" t="s">
        <v>632</v>
      </c>
      <c r="G282" s="21">
        <v>3</v>
      </c>
      <c r="H282" s="37" t="str">
        <f ca="1">VLOOKUP(A282,Sheet2!$AA:$AC,3,FALSE)</f>
        <v>1,4;2,4;46,0-2</v>
      </c>
      <c r="I282" s="21" t="s">
        <v>657</v>
      </c>
      <c r="J282" s="21" t="s">
        <v>1</v>
      </c>
      <c r="K282" s="21" t="s">
        <v>64</v>
      </c>
      <c r="L282" s="39" t="s">
        <v>65</v>
      </c>
    </row>
    <row r="283" s="21" customFormat="1" spans="1:12">
      <c r="A283" s="14" t="s">
        <v>658</v>
      </c>
      <c r="B283" s="23" t="s">
        <v>33</v>
      </c>
      <c r="C283" s="14" t="s">
        <v>655</v>
      </c>
      <c r="D283" s="14" t="s">
        <v>35</v>
      </c>
      <c r="E283" s="14" t="s">
        <v>656</v>
      </c>
      <c r="F283" s="21" t="s">
        <v>632</v>
      </c>
      <c r="G283" s="21">
        <v>3</v>
      </c>
      <c r="H283" s="37" t="str">
        <f ca="1">VLOOKUP(A283,Sheet2!$AA:$AC,3,FALSE)</f>
        <v>1,4;2,4;46,0-2</v>
      </c>
      <c r="I283" s="21" t="s">
        <v>659</v>
      </c>
      <c r="J283" s="21" t="s">
        <v>1</v>
      </c>
      <c r="K283" s="21" t="s">
        <v>67</v>
      </c>
      <c r="L283" s="39" t="s">
        <v>65</v>
      </c>
    </row>
    <row r="284" s="21" customFormat="1" spans="1:12">
      <c r="A284" s="14" t="s">
        <v>660</v>
      </c>
      <c r="B284" s="23" t="s">
        <v>33</v>
      </c>
      <c r="C284" s="14" t="s">
        <v>655</v>
      </c>
      <c r="D284" s="14" t="s">
        <v>35</v>
      </c>
      <c r="E284" s="14" t="s">
        <v>656</v>
      </c>
      <c r="F284" s="21" t="s">
        <v>632</v>
      </c>
      <c r="G284" s="21">
        <v>3</v>
      </c>
      <c r="H284" s="37" t="str">
        <f ca="1">VLOOKUP(A284,Sheet2!$AA:$AC,3,FALSE)</f>
        <v>1,4;2,4;46,0-2</v>
      </c>
      <c r="I284" s="21" t="s">
        <v>661</v>
      </c>
      <c r="J284" s="21" t="s">
        <v>1</v>
      </c>
      <c r="K284" s="21" t="s">
        <v>69</v>
      </c>
      <c r="L284" s="39" t="s">
        <v>65</v>
      </c>
    </row>
    <row r="285" s="21" customFormat="1" spans="1:12">
      <c r="A285" s="14" t="s">
        <v>662</v>
      </c>
      <c r="B285" s="23" t="s">
        <v>33</v>
      </c>
      <c r="C285" s="14" t="s">
        <v>655</v>
      </c>
      <c r="D285" s="14" t="s">
        <v>35</v>
      </c>
      <c r="E285" s="14" t="s">
        <v>656</v>
      </c>
      <c r="F285" s="21" t="s">
        <v>632</v>
      </c>
      <c r="G285" s="21">
        <v>3</v>
      </c>
      <c r="H285" s="37" t="str">
        <f ca="1">VLOOKUP(A285,Sheet2!$AA:$AC,3,FALSE)</f>
        <v>1,4;2,4;46,0-2</v>
      </c>
      <c r="I285" s="21" t="s">
        <v>663</v>
      </c>
      <c r="J285" s="21" t="s">
        <v>1</v>
      </c>
      <c r="K285" s="21" t="s">
        <v>71</v>
      </c>
      <c r="L285" s="39" t="s">
        <v>65</v>
      </c>
    </row>
    <row r="286" s="21" customFormat="1" spans="1:12">
      <c r="A286" s="14" t="s">
        <v>664</v>
      </c>
      <c r="B286" s="23" t="s">
        <v>33</v>
      </c>
      <c r="C286" s="14" t="s">
        <v>655</v>
      </c>
      <c r="D286" s="14" t="s">
        <v>35</v>
      </c>
      <c r="E286" s="14" t="s">
        <v>656</v>
      </c>
      <c r="F286" s="21" t="s">
        <v>632</v>
      </c>
      <c r="G286" s="21">
        <v>3</v>
      </c>
      <c r="H286" s="37" t="str">
        <f ca="1">VLOOKUP(A286,Sheet2!$AA:$AC,3,FALSE)</f>
        <v>1,4;2,4;46,0-2</v>
      </c>
      <c r="I286" s="21" t="s">
        <v>665</v>
      </c>
      <c r="J286" s="21" t="s">
        <v>1</v>
      </c>
      <c r="K286" s="21" t="s">
        <v>73</v>
      </c>
      <c r="L286" s="39" t="s">
        <v>65</v>
      </c>
    </row>
    <row r="287" s="21" customFormat="1" spans="1:12">
      <c r="A287" s="14" t="s">
        <v>666</v>
      </c>
      <c r="B287" s="23" t="s">
        <v>33</v>
      </c>
      <c r="C287" s="14" t="s">
        <v>655</v>
      </c>
      <c r="D287" s="14" t="s">
        <v>35</v>
      </c>
      <c r="E287" s="14" t="s">
        <v>656</v>
      </c>
      <c r="F287" s="21" t="s">
        <v>632</v>
      </c>
      <c r="G287" s="21">
        <v>3</v>
      </c>
      <c r="H287" s="37" t="str">
        <f ca="1">VLOOKUP(A287,Sheet2!$AA:$AC,3,FALSE)</f>
        <v>1,4;2,4;46,0-2</v>
      </c>
      <c r="I287" s="21" t="s">
        <v>667</v>
      </c>
      <c r="J287" s="21" t="s">
        <v>1</v>
      </c>
      <c r="K287" s="21" t="s">
        <v>75</v>
      </c>
      <c r="L287" s="39" t="s">
        <v>76</v>
      </c>
    </row>
    <row r="288" s="21" customFormat="1" spans="1:12">
      <c r="A288" s="14" t="s">
        <v>668</v>
      </c>
      <c r="B288" s="23" t="s">
        <v>33</v>
      </c>
      <c r="C288" s="14" t="s">
        <v>669</v>
      </c>
      <c r="D288" s="14" t="s">
        <v>35</v>
      </c>
      <c r="E288" s="14" t="s">
        <v>656</v>
      </c>
      <c r="F288" s="21" t="s">
        <v>632</v>
      </c>
      <c r="G288" s="21">
        <v>3</v>
      </c>
      <c r="H288" s="37" t="str">
        <f ca="1">VLOOKUP(A288,Sheet2!$AA:$AC,3,FALSE)</f>
        <v>1,4;2,4;46,0-2</v>
      </c>
      <c r="I288" s="21" t="s">
        <v>670</v>
      </c>
      <c r="J288" s="21" t="s">
        <v>1</v>
      </c>
      <c r="K288" s="21" t="s">
        <v>79</v>
      </c>
      <c r="L288" s="39" t="s">
        <v>76</v>
      </c>
    </row>
    <row r="289" s="21" customFormat="1" spans="1:12">
      <c r="A289" s="14" t="s">
        <v>671</v>
      </c>
      <c r="B289" s="23" t="s">
        <v>33</v>
      </c>
      <c r="C289" s="14" t="s">
        <v>669</v>
      </c>
      <c r="D289" s="14" t="s">
        <v>35</v>
      </c>
      <c r="E289" s="14" t="s">
        <v>656</v>
      </c>
      <c r="F289" s="21" t="s">
        <v>632</v>
      </c>
      <c r="G289" s="21">
        <v>3</v>
      </c>
      <c r="H289" s="37" t="str">
        <f ca="1">VLOOKUP(A289,Sheet2!$AA:$AC,3,FALSE)</f>
        <v>1,4;2,4;46,0-2</v>
      </c>
      <c r="I289" s="21" t="s">
        <v>672</v>
      </c>
      <c r="J289" s="21" t="s">
        <v>1</v>
      </c>
      <c r="K289" s="21" t="s">
        <v>81</v>
      </c>
      <c r="L289" s="39" t="s">
        <v>76</v>
      </c>
    </row>
    <row r="290" s="21" customFormat="1" spans="1:12">
      <c r="A290" s="14" t="s">
        <v>673</v>
      </c>
      <c r="B290" s="23" t="s">
        <v>33</v>
      </c>
      <c r="C290" s="14" t="s">
        <v>669</v>
      </c>
      <c r="D290" s="14" t="s">
        <v>35</v>
      </c>
      <c r="E290" s="14" t="s">
        <v>656</v>
      </c>
      <c r="F290" s="21" t="s">
        <v>632</v>
      </c>
      <c r="G290" s="21">
        <v>3</v>
      </c>
      <c r="H290" s="37" t="str">
        <f ca="1">VLOOKUP(A290,Sheet2!$AA:$AC,3,FALSE)</f>
        <v>1,4;2,4;46,0-2</v>
      </c>
      <c r="I290" s="21" t="s">
        <v>674</v>
      </c>
      <c r="J290" s="21" t="s">
        <v>1</v>
      </c>
      <c r="K290" s="21" t="s">
        <v>83</v>
      </c>
      <c r="L290" s="39" t="s">
        <v>76</v>
      </c>
    </row>
    <row r="291" s="21" customFormat="1" spans="1:12">
      <c r="A291" s="14" t="s">
        <v>675</v>
      </c>
      <c r="B291" s="23" t="s">
        <v>33</v>
      </c>
      <c r="C291" s="14" t="s">
        <v>669</v>
      </c>
      <c r="D291" s="14" t="s">
        <v>35</v>
      </c>
      <c r="E291" s="14" t="s">
        <v>656</v>
      </c>
      <c r="F291" s="21" t="s">
        <v>632</v>
      </c>
      <c r="G291" s="21">
        <v>3</v>
      </c>
      <c r="H291" s="37" t="str">
        <f ca="1">VLOOKUP(A291,Sheet2!$AA:$AC,3,FALSE)</f>
        <v>1,4;2,4;46,0-2</v>
      </c>
      <c r="I291" s="21" t="s">
        <v>676</v>
      </c>
      <c r="J291" s="21" t="s">
        <v>1</v>
      </c>
      <c r="K291" s="21" t="s">
        <v>85</v>
      </c>
      <c r="L291" s="39" t="s">
        <v>76</v>
      </c>
    </row>
    <row r="292" s="15" customFormat="1" spans="1:12">
      <c r="A292" s="13" t="s">
        <v>677</v>
      </c>
      <c r="B292" s="15" t="s">
        <v>33</v>
      </c>
      <c r="C292" s="13" t="s">
        <v>678</v>
      </c>
      <c r="D292" s="13" t="s">
        <v>35</v>
      </c>
      <c r="E292" s="13" t="s">
        <v>679</v>
      </c>
      <c r="F292" s="15" t="s">
        <v>632</v>
      </c>
      <c r="G292" s="15">
        <v>15</v>
      </c>
      <c r="H292" s="37"/>
      <c r="K292" s="15" t="s">
        <v>88</v>
      </c>
      <c r="L292" s="29">
        <v>40</v>
      </c>
    </row>
    <row r="293" s="21" customFormat="1" spans="1:12">
      <c r="A293" s="14" t="s">
        <v>680</v>
      </c>
      <c r="B293" s="23" t="s">
        <v>33</v>
      </c>
      <c r="C293" s="14" t="s">
        <v>678</v>
      </c>
      <c r="D293" s="14" t="s">
        <v>35</v>
      </c>
      <c r="E293" s="14" t="s">
        <v>679</v>
      </c>
      <c r="F293" s="21" t="s">
        <v>632</v>
      </c>
      <c r="G293" s="21">
        <v>4</v>
      </c>
      <c r="H293" s="37" t="str">
        <f ca="1">VLOOKUP(A293,Sheet2!$AA:$AC,3,FALSE)</f>
        <v>1,3;2,4;46,0-2</v>
      </c>
      <c r="I293" s="21" t="s">
        <v>681</v>
      </c>
      <c r="J293" s="21" t="s">
        <v>1</v>
      </c>
      <c r="K293" s="21" t="s">
        <v>90</v>
      </c>
      <c r="L293" s="39" t="s">
        <v>91</v>
      </c>
    </row>
    <row r="294" s="21" customFormat="1" spans="1:12">
      <c r="A294" s="14" t="s">
        <v>682</v>
      </c>
      <c r="B294" s="23" t="s">
        <v>33</v>
      </c>
      <c r="C294" s="14" t="s">
        <v>678</v>
      </c>
      <c r="D294" s="14" t="s">
        <v>35</v>
      </c>
      <c r="E294" s="14" t="s">
        <v>679</v>
      </c>
      <c r="F294" s="21" t="s">
        <v>632</v>
      </c>
      <c r="G294" s="21">
        <v>4</v>
      </c>
      <c r="H294" s="37" t="str">
        <f ca="1">VLOOKUP(A294,Sheet2!$AA:$AC,3,FALSE)</f>
        <v>1,3;2,4;46,0-2</v>
      </c>
      <c r="I294" s="21" t="s">
        <v>683</v>
      </c>
      <c r="J294" s="21" t="s">
        <v>1</v>
      </c>
      <c r="K294" s="21" t="s">
        <v>93</v>
      </c>
      <c r="L294" s="39" t="s">
        <v>91</v>
      </c>
    </row>
    <row r="295" s="21" customFormat="1" spans="1:12">
      <c r="A295" s="14" t="s">
        <v>684</v>
      </c>
      <c r="B295" s="23" t="s">
        <v>33</v>
      </c>
      <c r="C295" s="14" t="s">
        <v>678</v>
      </c>
      <c r="D295" s="14" t="s">
        <v>35</v>
      </c>
      <c r="E295" s="14" t="s">
        <v>679</v>
      </c>
      <c r="F295" s="21" t="s">
        <v>632</v>
      </c>
      <c r="G295" s="21">
        <v>4</v>
      </c>
      <c r="H295" s="37" t="str">
        <f ca="1">VLOOKUP(A295,Sheet2!$AA:$AC,3,FALSE)</f>
        <v>1,3;2,4;46,0-2</v>
      </c>
      <c r="I295" s="21" t="s">
        <v>685</v>
      </c>
      <c r="J295" s="21" t="s">
        <v>1</v>
      </c>
      <c r="K295" s="21" t="s">
        <v>95</v>
      </c>
      <c r="L295" s="39" t="s">
        <v>91</v>
      </c>
    </row>
    <row r="296" s="21" customFormat="1" spans="1:12">
      <c r="A296" s="14" t="s">
        <v>686</v>
      </c>
      <c r="B296" s="23" t="s">
        <v>33</v>
      </c>
      <c r="C296" s="14" t="s">
        <v>687</v>
      </c>
      <c r="D296" s="14" t="s">
        <v>35</v>
      </c>
      <c r="E296" s="14" t="s">
        <v>679</v>
      </c>
      <c r="F296" s="21" t="s">
        <v>632</v>
      </c>
      <c r="G296" s="21">
        <v>4</v>
      </c>
      <c r="H296" s="37" t="str">
        <f ca="1">VLOOKUP(A296,Sheet2!$AA:$AC,3,FALSE)</f>
        <v>1,3;2,4;46,0-2</v>
      </c>
      <c r="I296" s="21" t="s">
        <v>688</v>
      </c>
      <c r="J296" s="21" t="s">
        <v>1</v>
      </c>
      <c r="K296" s="21" t="s">
        <v>98</v>
      </c>
      <c r="L296" s="39" t="s">
        <v>91</v>
      </c>
    </row>
    <row r="297" s="21" customFormat="1" spans="1:12">
      <c r="A297" s="14" t="s">
        <v>689</v>
      </c>
      <c r="B297" s="23" t="s">
        <v>33</v>
      </c>
      <c r="C297" s="14" t="s">
        <v>687</v>
      </c>
      <c r="D297" s="14" t="s">
        <v>35</v>
      </c>
      <c r="E297" s="14" t="s">
        <v>690</v>
      </c>
      <c r="F297" s="21" t="s">
        <v>632</v>
      </c>
      <c r="G297" s="21">
        <v>4</v>
      </c>
      <c r="H297" s="37" t="str">
        <f ca="1">VLOOKUP(A297,Sheet2!$AA:$AC,3,FALSE)</f>
        <v>1,3;2,4;46,0-2</v>
      </c>
      <c r="I297" s="21" t="s">
        <v>691</v>
      </c>
      <c r="J297" s="21" t="s">
        <v>1</v>
      </c>
      <c r="K297" s="21" t="s">
        <v>101</v>
      </c>
      <c r="L297" s="39" t="s">
        <v>91</v>
      </c>
    </row>
    <row r="298" s="21" customFormat="1" spans="1:12">
      <c r="A298" s="14" t="s">
        <v>692</v>
      </c>
      <c r="B298" s="23" t="s">
        <v>33</v>
      </c>
      <c r="C298" s="14" t="s">
        <v>687</v>
      </c>
      <c r="D298" s="14" t="s">
        <v>35</v>
      </c>
      <c r="E298" s="14" t="s">
        <v>690</v>
      </c>
      <c r="F298" s="21" t="s">
        <v>632</v>
      </c>
      <c r="G298" s="21">
        <v>4</v>
      </c>
      <c r="H298" s="37" t="str">
        <f ca="1">VLOOKUP(A298,Sheet2!$AA:$AC,3,FALSE)</f>
        <v>1,3;2,4;46,0-2</v>
      </c>
      <c r="I298" s="21" t="s">
        <v>693</v>
      </c>
      <c r="J298" s="21" t="s">
        <v>1</v>
      </c>
      <c r="K298" s="21" t="s">
        <v>103</v>
      </c>
      <c r="L298" s="39" t="s">
        <v>91</v>
      </c>
    </row>
    <row r="299" s="21" customFormat="1" spans="1:12">
      <c r="A299" s="14" t="s">
        <v>694</v>
      </c>
      <c r="B299" s="23" t="s">
        <v>33</v>
      </c>
      <c r="C299" s="14" t="s">
        <v>687</v>
      </c>
      <c r="D299" s="14" t="s">
        <v>35</v>
      </c>
      <c r="E299" s="14" t="s">
        <v>690</v>
      </c>
      <c r="F299" s="21" t="s">
        <v>632</v>
      </c>
      <c r="G299" s="21">
        <v>4</v>
      </c>
      <c r="H299" s="37" t="str">
        <f ca="1">VLOOKUP(A299,Sheet2!$AA:$AC,3,FALSE)</f>
        <v>1,3;2,4;46,0-2</v>
      </c>
      <c r="I299" s="21" t="s">
        <v>695</v>
      </c>
      <c r="J299" s="21" t="s">
        <v>1</v>
      </c>
      <c r="K299" s="21" t="s">
        <v>105</v>
      </c>
      <c r="L299" s="39" t="s">
        <v>91</v>
      </c>
    </row>
    <row r="300" s="21" customFormat="1" spans="1:12">
      <c r="A300" s="14" t="s">
        <v>696</v>
      </c>
      <c r="B300" s="23" t="s">
        <v>33</v>
      </c>
      <c r="C300" s="14" t="s">
        <v>697</v>
      </c>
      <c r="D300" s="14" t="s">
        <v>35</v>
      </c>
      <c r="E300" s="14" t="s">
        <v>690</v>
      </c>
      <c r="F300" s="21" t="s">
        <v>632</v>
      </c>
      <c r="G300" s="21">
        <v>4</v>
      </c>
      <c r="H300" s="37" t="str">
        <f ca="1">VLOOKUP(A300,Sheet2!$AA:$AC,3,FALSE)</f>
        <v>1,3;2,4;46,0-2</v>
      </c>
      <c r="I300" s="21" t="s">
        <v>698</v>
      </c>
      <c r="J300" s="21" t="s">
        <v>1</v>
      </c>
      <c r="K300" s="21" t="s">
        <v>108</v>
      </c>
      <c r="L300" s="39" t="s">
        <v>91</v>
      </c>
    </row>
    <row r="301" s="21" customFormat="1" spans="1:12">
      <c r="A301" s="14" t="s">
        <v>699</v>
      </c>
      <c r="B301" s="23" t="s">
        <v>33</v>
      </c>
      <c r="C301" s="14" t="s">
        <v>697</v>
      </c>
      <c r="D301" s="14" t="s">
        <v>35</v>
      </c>
      <c r="E301" s="14" t="s">
        <v>690</v>
      </c>
      <c r="F301" s="21" t="s">
        <v>632</v>
      </c>
      <c r="G301" s="21">
        <v>4</v>
      </c>
      <c r="H301" s="37" t="str">
        <f ca="1">VLOOKUP(A301,Sheet2!$AA:$AC,3,FALSE)</f>
        <v>1,3;2,4;46,0-2</v>
      </c>
      <c r="I301" s="21" t="s">
        <v>700</v>
      </c>
      <c r="J301" s="21" t="s">
        <v>1</v>
      </c>
      <c r="K301" s="21" t="s">
        <v>110</v>
      </c>
      <c r="L301" s="39" t="s">
        <v>91</v>
      </c>
    </row>
    <row r="302" s="21" customFormat="1" spans="1:12">
      <c r="A302" s="14" t="s">
        <v>701</v>
      </c>
      <c r="B302" s="23" t="s">
        <v>33</v>
      </c>
      <c r="C302" s="14" t="s">
        <v>111</v>
      </c>
      <c r="D302" s="14" t="s">
        <v>35</v>
      </c>
      <c r="E302" s="14" t="s">
        <v>679</v>
      </c>
      <c r="F302" s="21" t="s">
        <v>632</v>
      </c>
      <c r="G302" s="21">
        <v>4</v>
      </c>
      <c r="H302" s="37" t="str">
        <f ca="1">VLOOKUP(A302,Sheet2!$AA:$AC,3,FALSE)</f>
        <v>1,3;2,4;46,0-2</v>
      </c>
      <c r="I302" s="21" t="s">
        <v>702</v>
      </c>
      <c r="J302" s="21" t="s">
        <v>1</v>
      </c>
      <c r="K302" s="21" t="s">
        <v>113</v>
      </c>
      <c r="L302" s="39"/>
    </row>
    <row r="303" s="17" customFormat="1" spans="1:12">
      <c r="A303" s="12" t="s">
        <v>703</v>
      </c>
      <c r="B303" s="17" t="s">
        <v>33</v>
      </c>
      <c r="C303" s="12" t="s">
        <v>114</v>
      </c>
      <c r="D303" s="12"/>
      <c r="E303" s="12" t="s">
        <v>115</v>
      </c>
      <c r="F303" s="17" t="s">
        <v>632</v>
      </c>
      <c r="G303" s="17">
        <v>5</v>
      </c>
      <c r="H303" s="37"/>
      <c r="K303" s="17" t="s">
        <v>116</v>
      </c>
      <c r="L303" s="33"/>
    </row>
    <row r="304" s="21" customFormat="1" spans="1:12">
      <c r="A304" s="14" t="s">
        <v>704</v>
      </c>
      <c r="B304" s="23" t="s">
        <v>33</v>
      </c>
      <c r="C304" s="14" t="s">
        <v>697</v>
      </c>
      <c r="D304" s="14" t="s">
        <v>35</v>
      </c>
      <c r="E304" s="14" t="s">
        <v>705</v>
      </c>
      <c r="F304" s="21" t="s">
        <v>632</v>
      </c>
      <c r="G304" s="21">
        <v>6</v>
      </c>
      <c r="H304" s="37" t="str">
        <f ca="1">VLOOKUP(A304,Sheet2!$AA:$AC,3,FALSE)</f>
        <v>1,3;2,4;46,0-2</v>
      </c>
      <c r="I304" s="21" t="s">
        <v>706</v>
      </c>
      <c r="J304" s="21" t="s">
        <v>1</v>
      </c>
      <c r="K304" s="21" t="s">
        <v>119</v>
      </c>
      <c r="L304" s="39" t="s">
        <v>120</v>
      </c>
    </row>
    <row r="305" s="21" customFormat="1" spans="1:12">
      <c r="A305" s="14" t="s">
        <v>707</v>
      </c>
      <c r="B305" s="23" t="s">
        <v>33</v>
      </c>
      <c r="C305" s="14" t="s">
        <v>697</v>
      </c>
      <c r="D305" s="14" t="s">
        <v>35</v>
      </c>
      <c r="E305" s="14" t="s">
        <v>705</v>
      </c>
      <c r="F305" s="21" t="s">
        <v>632</v>
      </c>
      <c r="G305" s="21">
        <v>6</v>
      </c>
      <c r="H305" s="37" t="str">
        <f ca="1">VLOOKUP(A305,Sheet2!$AA:$AC,3,FALSE)</f>
        <v>1,3;2,4;46,0-2</v>
      </c>
      <c r="I305" s="21" t="s">
        <v>708</v>
      </c>
      <c r="J305" s="21" t="s">
        <v>1</v>
      </c>
      <c r="K305" s="21" t="s">
        <v>122</v>
      </c>
      <c r="L305" s="39" t="s">
        <v>120</v>
      </c>
    </row>
    <row r="306" s="21" customFormat="1" spans="1:12">
      <c r="A306" s="14" t="s">
        <v>709</v>
      </c>
      <c r="B306" s="23" t="s">
        <v>33</v>
      </c>
      <c r="C306" s="14" t="s">
        <v>710</v>
      </c>
      <c r="D306" s="14" t="s">
        <v>35</v>
      </c>
      <c r="E306" s="14" t="s">
        <v>705</v>
      </c>
      <c r="F306" s="21" t="s">
        <v>632</v>
      </c>
      <c r="G306" s="21">
        <v>6</v>
      </c>
      <c r="H306" s="37" t="str">
        <f ca="1">VLOOKUP(A306,Sheet2!$AA:$AC,3,FALSE)</f>
        <v>1,3;2,4;46,0-2</v>
      </c>
      <c r="I306" s="21" t="s">
        <v>711</v>
      </c>
      <c r="J306" s="21" t="s">
        <v>1</v>
      </c>
      <c r="K306" s="21" t="s">
        <v>125</v>
      </c>
      <c r="L306" s="39" t="s">
        <v>120</v>
      </c>
    </row>
    <row r="307" s="21" customFormat="1" spans="1:12">
      <c r="A307" s="14" t="s">
        <v>712</v>
      </c>
      <c r="B307" s="23" t="s">
        <v>33</v>
      </c>
      <c r="C307" s="14" t="s">
        <v>710</v>
      </c>
      <c r="D307" s="14" t="s">
        <v>35</v>
      </c>
      <c r="E307" s="14" t="s">
        <v>705</v>
      </c>
      <c r="F307" s="21" t="s">
        <v>632</v>
      </c>
      <c r="G307" s="21">
        <v>6</v>
      </c>
      <c r="H307" s="37" t="str">
        <f ca="1">VLOOKUP(A307,Sheet2!$AA:$AC,3,FALSE)</f>
        <v>1,3;2,4;46,0-2</v>
      </c>
      <c r="I307" s="21" t="s">
        <v>713</v>
      </c>
      <c r="J307" s="21" t="s">
        <v>1</v>
      </c>
      <c r="K307" s="21" t="s">
        <v>127</v>
      </c>
      <c r="L307" s="39" t="s">
        <v>120</v>
      </c>
    </row>
    <row r="308" s="21" customFormat="1" spans="1:12">
      <c r="A308" s="14" t="s">
        <v>714</v>
      </c>
      <c r="B308" s="23" t="s">
        <v>33</v>
      </c>
      <c r="C308" s="14" t="s">
        <v>710</v>
      </c>
      <c r="D308" s="14" t="s">
        <v>35</v>
      </c>
      <c r="E308" s="14" t="s">
        <v>705</v>
      </c>
      <c r="F308" s="21" t="s">
        <v>632</v>
      </c>
      <c r="G308" s="21">
        <v>6</v>
      </c>
      <c r="H308" s="37" t="str">
        <f ca="1">VLOOKUP(A308,Sheet2!$AA:$AC,3,FALSE)</f>
        <v>1,3;2,4;46,0-2</v>
      </c>
      <c r="I308" s="21" t="s">
        <v>715</v>
      </c>
      <c r="J308" s="21" t="s">
        <v>1</v>
      </c>
      <c r="K308" s="21" t="s">
        <v>129</v>
      </c>
      <c r="L308" s="39" t="s">
        <v>120</v>
      </c>
    </row>
    <row r="309" s="21" customFormat="1" spans="1:12">
      <c r="A309" s="14" t="s">
        <v>716</v>
      </c>
      <c r="B309" s="23" t="s">
        <v>33</v>
      </c>
      <c r="C309" s="14" t="s">
        <v>717</v>
      </c>
      <c r="D309" s="14" t="s">
        <v>35</v>
      </c>
      <c r="E309" s="14" t="s">
        <v>718</v>
      </c>
      <c r="F309" s="21" t="s">
        <v>632</v>
      </c>
      <c r="G309" s="21">
        <v>6</v>
      </c>
      <c r="H309" s="37" t="str">
        <f ca="1">VLOOKUP(A309,Sheet2!$AA:$AC,3,FALSE)</f>
        <v>1,3;2,4;46,0-2</v>
      </c>
      <c r="I309" s="21" t="s">
        <v>719</v>
      </c>
      <c r="J309" s="21" t="s">
        <v>1</v>
      </c>
      <c r="K309" s="21" t="s">
        <v>133</v>
      </c>
      <c r="L309" s="39" t="s">
        <v>134</v>
      </c>
    </row>
    <row r="310" s="21" customFormat="1" spans="1:12">
      <c r="A310" s="14" t="s">
        <v>720</v>
      </c>
      <c r="B310" s="23" t="s">
        <v>33</v>
      </c>
      <c r="C310" s="14" t="s">
        <v>717</v>
      </c>
      <c r="D310" s="14" t="s">
        <v>35</v>
      </c>
      <c r="E310" s="14" t="s">
        <v>718</v>
      </c>
      <c r="F310" s="21" t="s">
        <v>632</v>
      </c>
      <c r="G310" s="21">
        <v>6</v>
      </c>
      <c r="H310" s="37" t="str">
        <f ca="1">VLOOKUP(A310,Sheet2!$AA:$AC,3,FALSE)</f>
        <v>1,3;2,4;46,0-2</v>
      </c>
      <c r="I310" s="21" t="s">
        <v>721</v>
      </c>
      <c r="J310" s="21" t="s">
        <v>1</v>
      </c>
      <c r="K310" s="21" t="s">
        <v>136</v>
      </c>
      <c r="L310" s="39" t="s">
        <v>134</v>
      </c>
    </row>
    <row r="311" s="21" customFormat="1" spans="1:12">
      <c r="A311" s="14" t="s">
        <v>722</v>
      </c>
      <c r="B311" s="23" t="s">
        <v>33</v>
      </c>
      <c r="C311" s="14" t="s">
        <v>717</v>
      </c>
      <c r="D311" s="14" t="s">
        <v>35</v>
      </c>
      <c r="E311" s="14" t="s">
        <v>718</v>
      </c>
      <c r="F311" s="21" t="s">
        <v>632</v>
      </c>
      <c r="G311" s="21">
        <v>6</v>
      </c>
      <c r="H311" s="37" t="str">
        <f ca="1">VLOOKUP(A311,Sheet2!$AA:$AC,3,FALSE)</f>
        <v>1,3;2,4;46,0-2</v>
      </c>
      <c r="I311" s="21" t="s">
        <v>723</v>
      </c>
      <c r="J311" s="21" t="s">
        <v>1</v>
      </c>
      <c r="K311" s="21" t="s">
        <v>138</v>
      </c>
      <c r="L311" s="39" t="s">
        <v>134</v>
      </c>
    </row>
    <row r="312" s="21" customFormat="1" spans="1:12">
      <c r="A312" s="14" t="s">
        <v>724</v>
      </c>
      <c r="B312" s="23" t="s">
        <v>33</v>
      </c>
      <c r="C312" s="14" t="s">
        <v>717</v>
      </c>
      <c r="D312" s="14" t="s">
        <v>35</v>
      </c>
      <c r="E312" s="14" t="s">
        <v>718</v>
      </c>
      <c r="F312" s="21" t="s">
        <v>632</v>
      </c>
      <c r="G312" s="21">
        <v>6</v>
      </c>
      <c r="H312" s="37" t="str">
        <f ca="1">VLOOKUP(A312,Sheet2!$AA:$AC,3,FALSE)</f>
        <v>1,3;2,4;46,0-2</v>
      </c>
      <c r="I312" s="21" t="s">
        <v>725</v>
      </c>
      <c r="J312" s="21" t="s">
        <v>1</v>
      </c>
      <c r="K312" s="21" t="s">
        <v>140</v>
      </c>
      <c r="L312" s="39" t="s">
        <v>134</v>
      </c>
    </row>
    <row r="313" s="21" customFormat="1" spans="1:12">
      <c r="A313" s="14" t="s">
        <v>726</v>
      </c>
      <c r="B313" s="23" t="s">
        <v>33</v>
      </c>
      <c r="C313" s="14" t="s">
        <v>717</v>
      </c>
      <c r="D313" s="14" t="s">
        <v>35</v>
      </c>
      <c r="E313" s="14" t="s">
        <v>718</v>
      </c>
      <c r="F313" s="21" t="s">
        <v>632</v>
      </c>
      <c r="G313" s="21">
        <v>6</v>
      </c>
      <c r="H313" s="37" t="str">
        <f ca="1">VLOOKUP(A313,Sheet2!$AA:$AC,3,FALSE)</f>
        <v>1,3;2,4;46,0-2</v>
      </c>
      <c r="I313" s="21" t="s">
        <v>727</v>
      </c>
      <c r="J313" s="21" t="s">
        <v>1</v>
      </c>
      <c r="K313" s="21" t="s">
        <v>142</v>
      </c>
      <c r="L313" s="39" t="s">
        <v>134</v>
      </c>
    </row>
    <row r="314" s="17" customFormat="1" spans="1:12">
      <c r="A314" s="12" t="s">
        <v>728</v>
      </c>
      <c r="B314" s="17" t="s">
        <v>33</v>
      </c>
      <c r="C314" s="12" t="s">
        <v>143</v>
      </c>
      <c r="D314" s="12"/>
      <c r="E314" s="12" t="s">
        <v>718</v>
      </c>
      <c r="F314" s="17" t="s">
        <v>632</v>
      </c>
      <c r="G314" s="17">
        <v>7</v>
      </c>
      <c r="H314" s="37"/>
      <c r="K314" s="17" t="s">
        <v>144</v>
      </c>
      <c r="L314" s="33"/>
    </row>
    <row r="315" s="21" customFormat="1" spans="1:12">
      <c r="A315" s="14" t="s">
        <v>729</v>
      </c>
      <c r="B315" s="23" t="s">
        <v>33</v>
      </c>
      <c r="C315" s="14" t="s">
        <v>730</v>
      </c>
      <c r="D315" s="14" t="s">
        <v>35</v>
      </c>
      <c r="E315" s="14" t="s">
        <v>731</v>
      </c>
      <c r="F315" s="21" t="s">
        <v>632</v>
      </c>
      <c r="G315" s="21">
        <v>8</v>
      </c>
      <c r="H315" s="37" t="str">
        <f ca="1">VLOOKUP(A315,Sheet2!$AA:$AC,3,FALSE)</f>
        <v>1,2;2,5;46,0-2</v>
      </c>
      <c r="I315" s="21" t="s">
        <v>732</v>
      </c>
      <c r="J315" s="21" t="s">
        <v>1</v>
      </c>
      <c r="K315" s="21" t="s">
        <v>148</v>
      </c>
      <c r="L315" s="39" t="s">
        <v>134</v>
      </c>
    </row>
    <row r="316" s="21" customFormat="1" spans="1:12">
      <c r="A316" s="14" t="s">
        <v>733</v>
      </c>
      <c r="B316" s="23" t="s">
        <v>33</v>
      </c>
      <c r="C316" s="14" t="s">
        <v>730</v>
      </c>
      <c r="D316" s="14" t="s">
        <v>35</v>
      </c>
      <c r="E316" s="14" t="s">
        <v>731</v>
      </c>
      <c r="F316" s="21" t="s">
        <v>632</v>
      </c>
      <c r="G316" s="21">
        <v>8</v>
      </c>
      <c r="H316" s="37" t="str">
        <f ca="1">VLOOKUP(A316,Sheet2!$AA:$AC,3,FALSE)</f>
        <v>1,2;2,5;46,0-2</v>
      </c>
      <c r="I316" s="21" t="s">
        <v>734</v>
      </c>
      <c r="J316" s="21" t="s">
        <v>1</v>
      </c>
      <c r="K316" s="21" t="s">
        <v>150</v>
      </c>
      <c r="L316" s="39" t="s">
        <v>134</v>
      </c>
    </row>
    <row r="317" s="21" customFormat="1" spans="1:12">
      <c r="A317" s="14" t="s">
        <v>735</v>
      </c>
      <c r="B317" s="23" t="s">
        <v>33</v>
      </c>
      <c r="C317" s="14" t="s">
        <v>730</v>
      </c>
      <c r="D317" s="14" t="s">
        <v>35</v>
      </c>
      <c r="E317" s="14" t="s">
        <v>731</v>
      </c>
      <c r="F317" s="21" t="s">
        <v>632</v>
      </c>
      <c r="G317" s="21">
        <v>8</v>
      </c>
      <c r="H317" s="37" t="str">
        <f ca="1">VLOOKUP(A317,Sheet2!$AA:$AC,3,FALSE)</f>
        <v>1,2;2,5;46,0-2</v>
      </c>
      <c r="I317" s="21" t="s">
        <v>736</v>
      </c>
      <c r="J317" s="21" t="s">
        <v>1</v>
      </c>
      <c r="K317" s="21" t="s">
        <v>152</v>
      </c>
      <c r="L317" s="39" t="s">
        <v>134</v>
      </c>
    </row>
    <row r="318" s="21" customFormat="1" spans="1:12">
      <c r="A318" s="14" t="s">
        <v>737</v>
      </c>
      <c r="B318" s="23" t="s">
        <v>33</v>
      </c>
      <c r="C318" s="14" t="s">
        <v>730</v>
      </c>
      <c r="D318" s="14" t="s">
        <v>35</v>
      </c>
      <c r="E318" s="14" t="s">
        <v>731</v>
      </c>
      <c r="F318" s="21" t="s">
        <v>632</v>
      </c>
      <c r="G318" s="21">
        <v>8</v>
      </c>
      <c r="H318" s="37" t="str">
        <f ca="1">VLOOKUP(A318,Sheet2!$AA:$AC,3,FALSE)</f>
        <v>1,2;2,5;46,0-2</v>
      </c>
      <c r="I318" s="21" t="s">
        <v>738</v>
      </c>
      <c r="J318" s="21" t="s">
        <v>1</v>
      </c>
      <c r="K318" s="21" t="s">
        <v>154</v>
      </c>
      <c r="L318" s="39" t="s">
        <v>134</v>
      </c>
    </row>
    <row r="319" s="21" customFormat="1" spans="1:12">
      <c r="A319" s="14" t="s">
        <v>739</v>
      </c>
      <c r="B319" s="23" t="s">
        <v>33</v>
      </c>
      <c r="C319" s="14" t="s">
        <v>740</v>
      </c>
      <c r="D319" s="14" t="s">
        <v>35</v>
      </c>
      <c r="E319" s="14" t="s">
        <v>731</v>
      </c>
      <c r="F319" s="21" t="s">
        <v>632</v>
      </c>
      <c r="G319" s="21">
        <v>8</v>
      </c>
      <c r="H319" s="37" t="str">
        <f ca="1">VLOOKUP(A319,Sheet2!$AA:$AC,3,FALSE)</f>
        <v>1,2;2,5;46,0-3</v>
      </c>
      <c r="I319" s="21" t="s">
        <v>741</v>
      </c>
      <c r="J319" s="21" t="s">
        <v>1</v>
      </c>
      <c r="K319" s="21" t="s">
        <v>157</v>
      </c>
      <c r="L319" s="39" t="s">
        <v>134</v>
      </c>
    </row>
    <row r="320" s="21" customFormat="1" spans="1:12">
      <c r="A320" s="14" t="s">
        <v>742</v>
      </c>
      <c r="B320" s="23" t="s">
        <v>33</v>
      </c>
      <c r="C320" s="14" t="s">
        <v>740</v>
      </c>
      <c r="D320" s="14" t="s">
        <v>35</v>
      </c>
      <c r="E320" s="14" t="s">
        <v>743</v>
      </c>
      <c r="F320" s="21" t="s">
        <v>632</v>
      </c>
      <c r="G320" s="21">
        <v>8</v>
      </c>
      <c r="H320" s="37" t="str">
        <f ca="1">VLOOKUP(A320,Sheet2!$AA:$AC,3,FALSE)</f>
        <v>1,2;2,5;46,0-3</v>
      </c>
      <c r="I320" s="21" t="s">
        <v>744</v>
      </c>
      <c r="J320" s="21" t="s">
        <v>1</v>
      </c>
      <c r="K320" s="21" t="s">
        <v>160</v>
      </c>
      <c r="L320" s="39"/>
    </row>
    <row r="321" s="21" customFormat="1" spans="1:12">
      <c r="A321" s="14" t="s">
        <v>745</v>
      </c>
      <c r="B321" s="23" t="s">
        <v>33</v>
      </c>
      <c r="C321" s="14" t="s">
        <v>740</v>
      </c>
      <c r="D321" s="14" t="s">
        <v>35</v>
      </c>
      <c r="E321" s="14" t="s">
        <v>743</v>
      </c>
      <c r="F321" s="21" t="s">
        <v>632</v>
      </c>
      <c r="G321" s="21">
        <v>8</v>
      </c>
      <c r="H321" s="37" t="str">
        <f ca="1">VLOOKUP(A321,Sheet2!$AA:$AC,3,FALSE)</f>
        <v>1,2;2,5;46,0-3</v>
      </c>
      <c r="I321" s="21" t="s">
        <v>746</v>
      </c>
      <c r="J321" s="21" t="s">
        <v>1</v>
      </c>
      <c r="K321" s="21" t="s">
        <v>162</v>
      </c>
      <c r="L321" s="39"/>
    </row>
    <row r="322" s="21" customFormat="1" spans="1:12">
      <c r="A322" s="14" t="s">
        <v>747</v>
      </c>
      <c r="B322" s="23" t="s">
        <v>33</v>
      </c>
      <c r="C322" s="14" t="s">
        <v>740</v>
      </c>
      <c r="D322" s="14" t="s">
        <v>35</v>
      </c>
      <c r="E322" s="14" t="s">
        <v>743</v>
      </c>
      <c r="F322" s="21" t="s">
        <v>632</v>
      </c>
      <c r="G322" s="21">
        <v>8</v>
      </c>
      <c r="H322" s="37" t="str">
        <f ca="1">VLOOKUP(A322,Sheet2!$AA:$AC,3,FALSE)</f>
        <v>1,2;2,5;46,0-3</v>
      </c>
      <c r="I322" s="21" t="s">
        <v>748</v>
      </c>
      <c r="J322" s="21" t="s">
        <v>1</v>
      </c>
      <c r="K322" s="21" t="s">
        <v>164</v>
      </c>
      <c r="L322" s="39"/>
    </row>
    <row r="323" s="21" customFormat="1" spans="1:12">
      <c r="A323" s="14" t="s">
        <v>749</v>
      </c>
      <c r="B323" s="23" t="s">
        <v>33</v>
      </c>
      <c r="C323" s="14" t="s">
        <v>750</v>
      </c>
      <c r="D323" s="14" t="s">
        <v>35</v>
      </c>
      <c r="E323" s="14" t="s">
        <v>743</v>
      </c>
      <c r="F323" s="21" t="s">
        <v>632</v>
      </c>
      <c r="G323" s="21">
        <v>8</v>
      </c>
      <c r="H323" s="37" t="str">
        <f ca="1">VLOOKUP(A323,Sheet2!$AA:$AC,3,FALSE)</f>
        <v>1,2;2,5;46,0-3</v>
      </c>
      <c r="I323" s="21" t="s">
        <v>751</v>
      </c>
      <c r="J323" s="21" t="s">
        <v>1</v>
      </c>
      <c r="K323" s="21" t="s">
        <v>167</v>
      </c>
      <c r="L323" s="39"/>
    </row>
    <row r="324" s="21" customFormat="1" spans="1:12">
      <c r="A324" s="14" t="s">
        <v>752</v>
      </c>
      <c r="B324" s="23" t="s">
        <v>33</v>
      </c>
      <c r="C324" s="14" t="s">
        <v>750</v>
      </c>
      <c r="D324" s="14" t="s">
        <v>35</v>
      </c>
      <c r="E324" s="14" t="s">
        <v>743</v>
      </c>
      <c r="F324" s="21" t="s">
        <v>632</v>
      </c>
      <c r="G324" s="21">
        <v>8</v>
      </c>
      <c r="H324" s="37" t="str">
        <f ca="1">VLOOKUP(A324,Sheet2!$AA:$AC,3,FALSE)</f>
        <v>1,2;2,5;46,0-3</v>
      </c>
      <c r="I324" s="21" t="s">
        <v>753</v>
      </c>
      <c r="J324" s="21" t="s">
        <v>1</v>
      </c>
      <c r="K324" s="21" t="s">
        <v>169</v>
      </c>
      <c r="L324" s="39"/>
    </row>
    <row r="325" s="15" customFormat="1" spans="1:12">
      <c r="A325" s="13" t="s">
        <v>754</v>
      </c>
      <c r="B325" s="15" t="s">
        <v>33</v>
      </c>
      <c r="C325" s="13" t="s">
        <v>114</v>
      </c>
      <c r="D325" s="13"/>
      <c r="E325" s="13" t="s">
        <v>115</v>
      </c>
      <c r="F325" s="15" t="s">
        <v>632</v>
      </c>
      <c r="G325" s="15">
        <v>16</v>
      </c>
      <c r="H325" s="37"/>
      <c r="K325" s="15" t="s">
        <v>170</v>
      </c>
      <c r="L325" s="29"/>
    </row>
    <row r="326" s="21" customFormat="1" spans="1:12">
      <c r="A326" s="14" t="s">
        <v>755</v>
      </c>
      <c r="B326" s="23" t="s">
        <v>33</v>
      </c>
      <c r="C326" s="14" t="s">
        <v>756</v>
      </c>
      <c r="D326" s="14" t="s">
        <v>35</v>
      </c>
      <c r="E326" s="14" t="s">
        <v>757</v>
      </c>
      <c r="F326" s="21" t="s">
        <v>632</v>
      </c>
      <c r="G326" s="21">
        <v>9</v>
      </c>
      <c r="H326" s="37" t="str">
        <f ca="1">VLOOKUP(A326,Sheet2!$AA:$AC,3,FALSE)</f>
        <v>1,2;2,5;46,0-3</v>
      </c>
      <c r="I326" s="21" t="s">
        <v>758</v>
      </c>
      <c r="J326" s="21" t="s">
        <v>1</v>
      </c>
      <c r="K326" s="21" t="s">
        <v>174</v>
      </c>
      <c r="L326" s="39"/>
    </row>
    <row r="327" s="21" customFormat="1" spans="1:12">
      <c r="A327" s="14" t="s">
        <v>759</v>
      </c>
      <c r="B327" s="23" t="s">
        <v>33</v>
      </c>
      <c r="C327" s="14" t="s">
        <v>756</v>
      </c>
      <c r="D327" s="14" t="s">
        <v>35</v>
      </c>
      <c r="E327" s="14" t="s">
        <v>757</v>
      </c>
      <c r="F327" s="21" t="s">
        <v>632</v>
      </c>
      <c r="G327" s="21">
        <v>9</v>
      </c>
      <c r="H327" s="37" t="str">
        <f ca="1">VLOOKUP(A327,Sheet2!$AA:$AC,3,FALSE)</f>
        <v>1,2;2,5;46,0-3</v>
      </c>
      <c r="I327" s="21" t="s">
        <v>760</v>
      </c>
      <c r="J327" s="21" t="s">
        <v>1</v>
      </c>
      <c r="K327" s="21" t="s">
        <v>176</v>
      </c>
      <c r="L327" s="39"/>
    </row>
    <row r="328" s="21" customFormat="1" spans="1:12">
      <c r="A328" s="14" t="s">
        <v>761</v>
      </c>
      <c r="B328" s="23" t="s">
        <v>33</v>
      </c>
      <c r="C328" s="14" t="s">
        <v>756</v>
      </c>
      <c r="D328" s="14" t="s">
        <v>35</v>
      </c>
      <c r="E328" s="14" t="s">
        <v>757</v>
      </c>
      <c r="F328" s="21" t="s">
        <v>632</v>
      </c>
      <c r="G328" s="21">
        <v>9</v>
      </c>
      <c r="H328" s="37" t="str">
        <f ca="1">VLOOKUP(A328,Sheet2!$AA:$AC,3,FALSE)</f>
        <v>1,2;2,5;46,0-3</v>
      </c>
      <c r="I328" s="21" t="s">
        <v>762</v>
      </c>
      <c r="J328" s="21" t="s">
        <v>1</v>
      </c>
      <c r="K328" s="21" t="s">
        <v>178</v>
      </c>
      <c r="L328" s="39"/>
    </row>
    <row r="329" s="21" customFormat="1" spans="1:12">
      <c r="A329" s="14" t="s">
        <v>763</v>
      </c>
      <c r="B329" s="23" t="s">
        <v>33</v>
      </c>
      <c r="C329" s="14" t="s">
        <v>756</v>
      </c>
      <c r="D329" s="14" t="s">
        <v>35</v>
      </c>
      <c r="E329" s="14" t="s">
        <v>757</v>
      </c>
      <c r="F329" s="21" t="s">
        <v>632</v>
      </c>
      <c r="G329" s="21">
        <v>9</v>
      </c>
      <c r="H329" s="37" t="str">
        <f ca="1">VLOOKUP(A329,Sheet2!$AA:$AC,3,FALSE)</f>
        <v>1,2;2,5;46,0-3</v>
      </c>
      <c r="I329" s="21" t="s">
        <v>764</v>
      </c>
      <c r="J329" s="21" t="s">
        <v>1</v>
      </c>
      <c r="K329" s="21" t="s">
        <v>180</v>
      </c>
      <c r="L329" s="39"/>
    </row>
    <row r="330" s="21" customFormat="1" spans="1:12">
      <c r="A330" s="14" t="s">
        <v>765</v>
      </c>
      <c r="B330" s="23" t="s">
        <v>33</v>
      </c>
      <c r="C330" s="14" t="s">
        <v>756</v>
      </c>
      <c r="D330" s="14" t="s">
        <v>35</v>
      </c>
      <c r="E330" s="14" t="s">
        <v>757</v>
      </c>
      <c r="F330" s="21" t="s">
        <v>632</v>
      </c>
      <c r="G330" s="21">
        <v>9</v>
      </c>
      <c r="H330" s="37" t="str">
        <f ca="1">VLOOKUP(A330,Sheet2!$AA:$AC,3,FALSE)</f>
        <v>1,2;2,5;46,0-3</v>
      </c>
      <c r="I330" s="21" t="s">
        <v>766</v>
      </c>
      <c r="J330" s="21" t="s">
        <v>1</v>
      </c>
      <c r="K330" s="21" t="s">
        <v>182</v>
      </c>
      <c r="L330" s="39"/>
    </row>
    <row r="331" s="21" customFormat="1" spans="1:12">
      <c r="A331" s="14" t="s">
        <v>767</v>
      </c>
      <c r="B331" s="23" t="s">
        <v>33</v>
      </c>
      <c r="C331" s="14" t="s">
        <v>756</v>
      </c>
      <c r="D331" s="14" t="s">
        <v>35</v>
      </c>
      <c r="E331" s="14" t="s">
        <v>757</v>
      </c>
      <c r="F331" s="21" t="s">
        <v>632</v>
      </c>
      <c r="G331" s="21">
        <v>9</v>
      </c>
      <c r="H331" s="37" t="str">
        <f ca="1">VLOOKUP(A331,Sheet2!$AA:$AC,3,FALSE)</f>
        <v>1,2;2,5;46,0-3</v>
      </c>
      <c r="I331" s="21" t="s">
        <v>768</v>
      </c>
      <c r="J331" s="21" t="s">
        <v>1</v>
      </c>
      <c r="K331" s="21" t="s">
        <v>184</v>
      </c>
      <c r="L331" s="39"/>
    </row>
    <row r="332" s="21" customFormat="1" spans="1:12">
      <c r="A332" s="14" t="s">
        <v>769</v>
      </c>
      <c r="B332" s="23" t="s">
        <v>33</v>
      </c>
      <c r="C332" s="14" t="s">
        <v>770</v>
      </c>
      <c r="D332" s="14" t="s">
        <v>35</v>
      </c>
      <c r="E332" s="14" t="s">
        <v>757</v>
      </c>
      <c r="F332" s="21" t="s">
        <v>632</v>
      </c>
      <c r="G332" s="21">
        <v>9</v>
      </c>
      <c r="H332" s="37" t="str">
        <f ca="1">VLOOKUP(A332,Sheet2!$AA:$AC,3,FALSE)</f>
        <v>1,2;2,5;46,0-3</v>
      </c>
      <c r="I332" s="21" t="s">
        <v>771</v>
      </c>
      <c r="J332" s="21" t="s">
        <v>1</v>
      </c>
      <c r="K332" s="21" t="s">
        <v>187</v>
      </c>
      <c r="L332" s="39"/>
    </row>
    <row r="333" s="21" customFormat="1" spans="1:12">
      <c r="A333" s="14" t="s">
        <v>772</v>
      </c>
      <c r="B333" s="23" t="s">
        <v>33</v>
      </c>
      <c r="C333" s="14" t="s">
        <v>770</v>
      </c>
      <c r="D333" s="14" t="s">
        <v>35</v>
      </c>
      <c r="E333" s="14" t="s">
        <v>757</v>
      </c>
      <c r="F333" s="21" t="s">
        <v>632</v>
      </c>
      <c r="G333" s="21">
        <v>9</v>
      </c>
      <c r="H333" s="37" t="str">
        <f ca="1">VLOOKUP(A333,Sheet2!$AA:$AC,3,FALSE)</f>
        <v>1,2;2,5;46,0-3</v>
      </c>
      <c r="I333" s="21" t="s">
        <v>773</v>
      </c>
      <c r="J333" s="21" t="s">
        <v>1</v>
      </c>
      <c r="K333" s="21" t="s">
        <v>189</v>
      </c>
      <c r="L333" s="39"/>
    </row>
    <row r="334" s="21" customFormat="1" spans="1:12">
      <c r="A334" s="14" t="s">
        <v>774</v>
      </c>
      <c r="B334" s="23" t="s">
        <v>33</v>
      </c>
      <c r="C334" s="14" t="s">
        <v>770</v>
      </c>
      <c r="D334" s="14" t="s">
        <v>35</v>
      </c>
      <c r="E334" s="14" t="s">
        <v>757</v>
      </c>
      <c r="F334" s="21" t="s">
        <v>632</v>
      </c>
      <c r="G334" s="21">
        <v>9</v>
      </c>
      <c r="H334" s="37" t="str">
        <f ca="1">VLOOKUP(A334,Sheet2!$AA:$AC,3,FALSE)</f>
        <v>1,2;2,5;46,0-3</v>
      </c>
      <c r="I334" s="21" t="s">
        <v>775</v>
      </c>
      <c r="J334" s="21" t="s">
        <v>1</v>
      </c>
      <c r="K334" s="21" t="s">
        <v>191</v>
      </c>
      <c r="L334" s="39"/>
    </row>
    <row r="335" s="21" customFormat="1" spans="1:12">
      <c r="A335" s="14" t="s">
        <v>776</v>
      </c>
      <c r="B335" s="23" t="s">
        <v>33</v>
      </c>
      <c r="C335" s="14" t="s">
        <v>770</v>
      </c>
      <c r="D335" s="14" t="s">
        <v>35</v>
      </c>
      <c r="E335" s="14" t="s">
        <v>757</v>
      </c>
      <c r="F335" s="21" t="s">
        <v>632</v>
      </c>
      <c r="G335" s="21">
        <v>9</v>
      </c>
      <c r="H335" s="37" t="str">
        <f ca="1">VLOOKUP(A335,Sheet2!$AA:$AC,3,FALSE)</f>
        <v>1,2;2,5;46,0-3</v>
      </c>
      <c r="I335" s="21" t="s">
        <v>777</v>
      </c>
      <c r="J335" s="21" t="s">
        <v>1</v>
      </c>
      <c r="K335" s="21" t="s">
        <v>193</v>
      </c>
      <c r="L335" s="39"/>
    </row>
    <row r="336" s="17" customFormat="1" spans="1:12">
      <c r="A336" s="12" t="s">
        <v>778</v>
      </c>
      <c r="B336" s="17" t="s">
        <v>33</v>
      </c>
      <c r="C336" s="12" t="s">
        <v>194</v>
      </c>
      <c r="D336" s="12"/>
      <c r="E336" s="12" t="s">
        <v>757</v>
      </c>
      <c r="F336" s="17" t="s">
        <v>632</v>
      </c>
      <c r="G336" s="17">
        <v>10</v>
      </c>
      <c r="H336" s="37"/>
      <c r="K336" s="17" t="s">
        <v>195</v>
      </c>
      <c r="L336" s="33"/>
    </row>
    <row r="337" s="21" customFormat="1" spans="1:12">
      <c r="A337" s="14" t="s">
        <v>779</v>
      </c>
      <c r="B337" s="23" t="s">
        <v>33</v>
      </c>
      <c r="C337" s="14" t="s">
        <v>770</v>
      </c>
      <c r="D337" s="14" t="s">
        <v>35</v>
      </c>
      <c r="E337" s="14" t="s">
        <v>757</v>
      </c>
      <c r="F337" s="21" t="s">
        <v>632</v>
      </c>
      <c r="G337" s="21">
        <v>11</v>
      </c>
      <c r="H337" s="37" t="str">
        <f ca="1">VLOOKUP(A337,Sheet2!$AA:$AC,3,FALSE)</f>
        <v>1,2;2,5;46,0-3</v>
      </c>
      <c r="I337" s="21" t="s">
        <v>780</v>
      </c>
      <c r="J337" s="21" t="s">
        <v>1</v>
      </c>
      <c r="K337" s="21" t="s">
        <v>197</v>
      </c>
      <c r="L337" s="39"/>
    </row>
    <row r="338" s="21" customFormat="1" spans="1:12">
      <c r="A338" s="14" t="s">
        <v>781</v>
      </c>
      <c r="B338" s="23" t="s">
        <v>33</v>
      </c>
      <c r="C338" s="14" t="s">
        <v>770</v>
      </c>
      <c r="D338" s="14" t="s">
        <v>35</v>
      </c>
      <c r="E338" s="14" t="s">
        <v>757</v>
      </c>
      <c r="F338" s="21" t="s">
        <v>632</v>
      </c>
      <c r="G338" s="21">
        <v>11</v>
      </c>
      <c r="H338" s="37" t="str">
        <f ca="1">VLOOKUP(A338,Sheet2!$AA:$AC,3,FALSE)</f>
        <v>1,2;2,5;46,0-3</v>
      </c>
      <c r="I338" s="21" t="s">
        <v>782</v>
      </c>
      <c r="J338" s="21" t="s">
        <v>1</v>
      </c>
      <c r="K338" s="21" t="s">
        <v>199</v>
      </c>
      <c r="L338" s="39"/>
    </row>
    <row r="339" s="21" customFormat="1" spans="1:12">
      <c r="A339" s="14" t="s">
        <v>783</v>
      </c>
      <c r="B339" s="23" t="s">
        <v>33</v>
      </c>
      <c r="C339" s="14" t="s">
        <v>770</v>
      </c>
      <c r="D339" s="14" t="s">
        <v>35</v>
      </c>
      <c r="E339" s="14" t="s">
        <v>757</v>
      </c>
      <c r="F339" s="21" t="s">
        <v>632</v>
      </c>
      <c r="G339" s="21">
        <v>11</v>
      </c>
      <c r="H339" s="37" t="str">
        <f ca="1">VLOOKUP(A339,Sheet2!$AA:$AC,3,FALSE)</f>
        <v>1,2;2,5;46,0-3</v>
      </c>
      <c r="I339" s="21" t="s">
        <v>784</v>
      </c>
      <c r="J339" s="21" t="s">
        <v>1</v>
      </c>
      <c r="K339" s="21" t="s">
        <v>201</v>
      </c>
      <c r="L339" s="39"/>
    </row>
    <row r="340" s="21" customFormat="1" spans="1:12">
      <c r="A340" s="14" t="s">
        <v>785</v>
      </c>
      <c r="B340" s="23" t="s">
        <v>33</v>
      </c>
      <c r="C340" s="14" t="s">
        <v>770</v>
      </c>
      <c r="D340" s="14" t="s">
        <v>35</v>
      </c>
      <c r="E340" s="14" t="s">
        <v>757</v>
      </c>
      <c r="F340" s="21" t="s">
        <v>632</v>
      </c>
      <c r="G340" s="21">
        <v>11</v>
      </c>
      <c r="H340" s="37" t="str">
        <f ca="1">VLOOKUP(A340,Sheet2!$AA:$AC,3,FALSE)</f>
        <v>1,2;2,5;46,0-3</v>
      </c>
      <c r="I340" s="21" t="s">
        <v>786</v>
      </c>
      <c r="J340" s="21" t="s">
        <v>1</v>
      </c>
      <c r="K340" s="21" t="s">
        <v>203</v>
      </c>
      <c r="L340" s="39"/>
    </row>
    <row r="341" s="21" customFormat="1" spans="1:12">
      <c r="A341" s="14" t="s">
        <v>787</v>
      </c>
      <c r="B341" s="23" t="s">
        <v>33</v>
      </c>
      <c r="C341" s="14" t="s">
        <v>788</v>
      </c>
      <c r="D341" s="14" t="s">
        <v>35</v>
      </c>
      <c r="E341" s="14" t="s">
        <v>757</v>
      </c>
      <c r="F341" s="21" t="s">
        <v>632</v>
      </c>
      <c r="G341" s="21">
        <v>11</v>
      </c>
      <c r="H341" s="37" t="str">
        <f ca="1">VLOOKUP(A341,Sheet2!$AA:$AC,3,FALSE)</f>
        <v>1,2;2,5;46,0-3</v>
      </c>
      <c r="I341" s="21" t="s">
        <v>789</v>
      </c>
      <c r="J341" s="21" t="s">
        <v>1</v>
      </c>
      <c r="K341" s="21" t="s">
        <v>206</v>
      </c>
      <c r="L341" s="39"/>
    </row>
    <row r="342" s="21" customFormat="1" spans="1:12">
      <c r="A342" s="14" t="s">
        <v>790</v>
      </c>
      <c r="B342" s="23" t="s">
        <v>33</v>
      </c>
      <c r="C342" s="14" t="s">
        <v>788</v>
      </c>
      <c r="D342" s="14" t="s">
        <v>35</v>
      </c>
      <c r="E342" s="14" t="s">
        <v>757</v>
      </c>
      <c r="F342" s="21" t="s">
        <v>632</v>
      </c>
      <c r="G342" s="21">
        <v>11</v>
      </c>
      <c r="H342" s="37" t="str">
        <f ca="1">VLOOKUP(A342,Sheet2!$AA:$AC,3,FALSE)</f>
        <v>1,2;2,5;46,0-3</v>
      </c>
      <c r="I342" s="21" t="s">
        <v>791</v>
      </c>
      <c r="J342" s="21" t="s">
        <v>1</v>
      </c>
      <c r="K342" s="21" t="s">
        <v>208</v>
      </c>
      <c r="L342" s="39"/>
    </row>
    <row r="343" s="21" customFormat="1" spans="1:12">
      <c r="A343" s="14" t="s">
        <v>792</v>
      </c>
      <c r="B343" s="23" t="s">
        <v>33</v>
      </c>
      <c r="C343" s="14" t="s">
        <v>788</v>
      </c>
      <c r="D343" s="14" t="s">
        <v>35</v>
      </c>
      <c r="E343" s="14" t="s">
        <v>757</v>
      </c>
      <c r="F343" s="21" t="s">
        <v>632</v>
      </c>
      <c r="G343" s="21">
        <v>11</v>
      </c>
      <c r="H343" s="37" t="str">
        <f ca="1">VLOOKUP(A343,Sheet2!$AA:$AC,3,FALSE)</f>
        <v>1,2;2,5;46,0-3</v>
      </c>
      <c r="I343" s="21" t="s">
        <v>793</v>
      </c>
      <c r="J343" s="21" t="s">
        <v>1</v>
      </c>
      <c r="K343" s="21" t="s">
        <v>210</v>
      </c>
      <c r="L343" s="39"/>
    </row>
    <row r="344" s="21" customFormat="1" spans="1:12">
      <c r="A344" s="14" t="s">
        <v>794</v>
      </c>
      <c r="B344" s="23" t="s">
        <v>33</v>
      </c>
      <c r="C344" s="14" t="s">
        <v>788</v>
      </c>
      <c r="D344" s="14" t="s">
        <v>35</v>
      </c>
      <c r="E344" s="14" t="s">
        <v>757</v>
      </c>
      <c r="F344" s="21" t="s">
        <v>632</v>
      </c>
      <c r="G344" s="21">
        <v>11</v>
      </c>
      <c r="H344" s="37" t="str">
        <f ca="1">VLOOKUP(A344,Sheet2!$AA:$AC,3,FALSE)</f>
        <v>1,2;2,5;46,0-3</v>
      </c>
      <c r="I344" s="21" t="s">
        <v>795</v>
      </c>
      <c r="J344" s="21" t="s">
        <v>1</v>
      </c>
      <c r="K344" s="21" t="s">
        <v>212</v>
      </c>
      <c r="L344" s="39"/>
    </row>
    <row r="345" s="21" customFormat="1" spans="1:12">
      <c r="A345" s="14" t="s">
        <v>796</v>
      </c>
      <c r="B345" s="23" t="s">
        <v>33</v>
      </c>
      <c r="C345" s="14" t="s">
        <v>788</v>
      </c>
      <c r="D345" s="14" t="s">
        <v>35</v>
      </c>
      <c r="E345" s="14" t="s">
        <v>757</v>
      </c>
      <c r="F345" s="21" t="s">
        <v>632</v>
      </c>
      <c r="G345" s="21">
        <v>11</v>
      </c>
      <c r="H345" s="37" t="str">
        <f ca="1">VLOOKUP(A345,Sheet2!$AA:$AC,3,FALSE)</f>
        <v>1,2;2,5;46,0-3</v>
      </c>
      <c r="I345" s="21" t="s">
        <v>797</v>
      </c>
      <c r="J345" s="21" t="s">
        <v>1</v>
      </c>
      <c r="K345" s="21" t="s">
        <v>214</v>
      </c>
      <c r="L345" s="39"/>
    </row>
    <row r="346" s="21" customFormat="1" spans="1:12">
      <c r="A346" s="14" t="s">
        <v>798</v>
      </c>
      <c r="B346" s="23" t="s">
        <v>33</v>
      </c>
      <c r="C346" s="14" t="s">
        <v>788</v>
      </c>
      <c r="D346" s="14" t="s">
        <v>35</v>
      </c>
      <c r="E346" s="14" t="s">
        <v>757</v>
      </c>
      <c r="F346" s="21" t="s">
        <v>632</v>
      </c>
      <c r="G346" s="21">
        <v>11</v>
      </c>
      <c r="H346" s="37" t="str">
        <f ca="1">VLOOKUP(A346,Sheet2!$AA:$AC,3,FALSE)</f>
        <v>1,2;2,5;46,0-3</v>
      </c>
      <c r="I346" s="21" t="s">
        <v>799</v>
      </c>
      <c r="J346" s="21" t="s">
        <v>1</v>
      </c>
      <c r="K346" s="21" t="s">
        <v>216</v>
      </c>
      <c r="L346" s="39"/>
    </row>
    <row r="347" s="17" customFormat="1" spans="1:12">
      <c r="A347" s="12" t="s">
        <v>800</v>
      </c>
      <c r="B347" s="17" t="s">
        <v>33</v>
      </c>
      <c r="C347" s="12" t="s">
        <v>194</v>
      </c>
      <c r="D347" s="12"/>
      <c r="E347" s="12" t="s">
        <v>757</v>
      </c>
      <c r="F347" s="17" t="s">
        <v>632</v>
      </c>
      <c r="G347" s="17">
        <v>12</v>
      </c>
      <c r="H347" s="37"/>
      <c r="K347" s="17" t="s">
        <v>217</v>
      </c>
      <c r="L347" s="33"/>
    </row>
    <row r="348" s="17" customFormat="1" spans="1:12">
      <c r="A348" s="12" t="s">
        <v>801</v>
      </c>
      <c r="B348" s="17" t="s">
        <v>33</v>
      </c>
      <c r="C348" s="12" t="s">
        <v>218</v>
      </c>
      <c r="D348" s="12"/>
      <c r="E348" s="12" t="s">
        <v>114</v>
      </c>
      <c r="F348" s="17" t="s">
        <v>632</v>
      </c>
      <c r="G348" s="17">
        <v>13</v>
      </c>
      <c r="H348" s="37"/>
      <c r="K348" s="17" t="s">
        <v>219</v>
      </c>
      <c r="L348" s="33"/>
    </row>
    <row r="349" s="21" customFormat="1" spans="1:12">
      <c r="A349" s="14" t="s">
        <v>802</v>
      </c>
      <c r="B349" s="23" t="s">
        <v>33</v>
      </c>
      <c r="C349" s="14" t="s">
        <v>788</v>
      </c>
      <c r="D349" s="14" t="s">
        <v>35</v>
      </c>
      <c r="E349" s="14" t="s">
        <v>757</v>
      </c>
      <c r="F349" s="21" t="s">
        <v>632</v>
      </c>
      <c r="G349" s="21">
        <v>14</v>
      </c>
      <c r="H349" s="37" t="str">
        <f ca="1">VLOOKUP(A349,Sheet2!$AA:$AC,3,FALSE)</f>
        <v>1,2;2,5;46,0-3</v>
      </c>
      <c r="I349" s="21" t="s">
        <v>803</v>
      </c>
      <c r="J349" s="21" t="s">
        <v>1</v>
      </c>
      <c r="K349" s="21" t="s">
        <v>221</v>
      </c>
      <c r="L349" s="39"/>
    </row>
    <row r="350" s="21" customFormat="1" spans="1:12">
      <c r="A350" s="14" t="s">
        <v>804</v>
      </c>
      <c r="B350" s="23" t="s">
        <v>33</v>
      </c>
      <c r="C350" s="14" t="s">
        <v>788</v>
      </c>
      <c r="D350" s="14" t="s">
        <v>35</v>
      </c>
      <c r="E350" s="14" t="s">
        <v>757</v>
      </c>
      <c r="F350" s="21" t="s">
        <v>632</v>
      </c>
      <c r="G350" s="21">
        <v>14</v>
      </c>
      <c r="H350" s="37" t="str">
        <f ca="1">VLOOKUP(A350,Sheet2!$AA:$AC,3,FALSE)</f>
        <v>1,2;2,5;46,0-3</v>
      </c>
      <c r="I350" s="21" t="s">
        <v>805</v>
      </c>
      <c r="J350" s="21" t="s">
        <v>1</v>
      </c>
      <c r="K350" s="21" t="s">
        <v>223</v>
      </c>
      <c r="L350" s="39"/>
    </row>
    <row r="351" s="21" customFormat="1" spans="1:12">
      <c r="A351" s="14" t="s">
        <v>806</v>
      </c>
      <c r="B351" s="23" t="s">
        <v>33</v>
      </c>
      <c r="C351" s="14" t="s">
        <v>788</v>
      </c>
      <c r="D351" s="14" t="s">
        <v>35</v>
      </c>
      <c r="E351" s="14" t="s">
        <v>757</v>
      </c>
      <c r="F351" s="21" t="s">
        <v>632</v>
      </c>
      <c r="G351" s="21">
        <v>14</v>
      </c>
      <c r="H351" s="37" t="str">
        <f ca="1">VLOOKUP(A351,Sheet2!$AA:$AC,3,FALSE)</f>
        <v>1,2;2,5;46,0-3</v>
      </c>
      <c r="I351" s="21" t="s">
        <v>807</v>
      </c>
      <c r="J351" s="21" t="s">
        <v>1</v>
      </c>
      <c r="K351" s="21" t="s">
        <v>225</v>
      </c>
      <c r="L351" s="39"/>
    </row>
    <row r="352" s="22" customFormat="1" spans="1:12">
      <c r="A352" s="14" t="s">
        <v>808</v>
      </c>
      <c r="B352" s="23" t="s">
        <v>33</v>
      </c>
      <c r="C352" s="14" t="s">
        <v>809</v>
      </c>
      <c r="D352" s="14" t="s">
        <v>35</v>
      </c>
      <c r="E352" s="14" t="s">
        <v>757</v>
      </c>
      <c r="F352" s="21" t="s">
        <v>632</v>
      </c>
      <c r="G352" s="21">
        <v>14</v>
      </c>
      <c r="H352" s="37" t="str">
        <f ca="1">VLOOKUP(A352,Sheet2!$AA:$AC,3,FALSE)</f>
        <v>1,2;2,5;46,0-3</v>
      </c>
      <c r="I352" s="21" t="s">
        <v>810</v>
      </c>
      <c r="J352" s="21" t="s">
        <v>1</v>
      </c>
      <c r="K352" s="21" t="s">
        <v>228</v>
      </c>
      <c r="L352" s="40"/>
    </row>
    <row r="353" s="22" customFormat="1" spans="1:12">
      <c r="A353" s="14" t="s">
        <v>811</v>
      </c>
      <c r="B353" s="23" t="s">
        <v>33</v>
      </c>
      <c r="C353" s="14" t="s">
        <v>809</v>
      </c>
      <c r="D353" s="14" t="s">
        <v>35</v>
      </c>
      <c r="E353" s="14" t="s">
        <v>757</v>
      </c>
      <c r="F353" s="21" t="s">
        <v>632</v>
      </c>
      <c r="G353" s="21">
        <v>14</v>
      </c>
      <c r="H353" s="37" t="str">
        <f ca="1">VLOOKUP(A353,Sheet2!$AA:$AC,3,FALSE)</f>
        <v>1,2;2,5;46,0-3</v>
      </c>
      <c r="I353" s="21" t="s">
        <v>812</v>
      </c>
      <c r="J353" s="21" t="s">
        <v>1</v>
      </c>
      <c r="K353" s="21" t="s">
        <v>230</v>
      </c>
      <c r="L353" s="40"/>
    </row>
    <row r="354" s="22" customFormat="1" spans="1:12">
      <c r="A354" s="14" t="s">
        <v>813</v>
      </c>
      <c r="B354" s="23" t="s">
        <v>33</v>
      </c>
      <c r="C354" s="14" t="s">
        <v>809</v>
      </c>
      <c r="D354" s="14" t="s">
        <v>35</v>
      </c>
      <c r="E354" s="14" t="s">
        <v>757</v>
      </c>
      <c r="F354" s="21" t="s">
        <v>632</v>
      </c>
      <c r="G354" s="21">
        <v>14</v>
      </c>
      <c r="H354" s="37" t="str">
        <f ca="1">VLOOKUP(A354,Sheet2!$AA:$AC,3,FALSE)</f>
        <v>1,2;2,5;46,0-3</v>
      </c>
      <c r="I354" s="21" t="s">
        <v>814</v>
      </c>
      <c r="J354" s="21" t="s">
        <v>1</v>
      </c>
      <c r="K354" s="21" t="s">
        <v>232</v>
      </c>
      <c r="L354" s="40"/>
    </row>
    <row r="355" s="22" customFormat="1" spans="1:12">
      <c r="A355" s="14" t="s">
        <v>815</v>
      </c>
      <c r="B355" s="23" t="s">
        <v>33</v>
      </c>
      <c r="C355" s="14" t="s">
        <v>809</v>
      </c>
      <c r="D355" s="14" t="s">
        <v>35</v>
      </c>
      <c r="E355" s="14" t="s">
        <v>757</v>
      </c>
      <c r="F355" s="21" t="s">
        <v>632</v>
      </c>
      <c r="G355" s="21">
        <v>14</v>
      </c>
      <c r="H355" s="37" t="str">
        <f ca="1">VLOOKUP(A355,Sheet2!$AA:$AC,3,FALSE)</f>
        <v>1,2;2,5;46,0-3</v>
      </c>
      <c r="I355" s="21" t="s">
        <v>816</v>
      </c>
      <c r="J355" s="21" t="s">
        <v>1</v>
      </c>
      <c r="K355" s="21" t="s">
        <v>234</v>
      </c>
      <c r="L355" s="40"/>
    </row>
    <row r="356" s="22" customFormat="1" spans="1:12">
      <c r="A356" s="14" t="s">
        <v>817</v>
      </c>
      <c r="B356" s="23" t="s">
        <v>33</v>
      </c>
      <c r="C356" s="14" t="s">
        <v>809</v>
      </c>
      <c r="D356" s="14" t="s">
        <v>35</v>
      </c>
      <c r="E356" s="14" t="s">
        <v>757</v>
      </c>
      <c r="F356" s="21" t="s">
        <v>632</v>
      </c>
      <c r="G356" s="21">
        <v>14</v>
      </c>
      <c r="H356" s="37" t="str">
        <f ca="1">VLOOKUP(A356,Sheet2!$AA:$AC,3,FALSE)</f>
        <v>1,2;2,5;46,0-3</v>
      </c>
      <c r="I356" s="21" t="s">
        <v>818</v>
      </c>
      <c r="J356" s="21" t="s">
        <v>1</v>
      </c>
      <c r="K356" s="21" t="s">
        <v>236</v>
      </c>
      <c r="L356" s="40"/>
    </row>
    <row r="357" s="22" customFormat="1" spans="1:12">
      <c r="A357" s="14" t="s">
        <v>819</v>
      </c>
      <c r="B357" s="23" t="s">
        <v>33</v>
      </c>
      <c r="C357" s="14" t="s">
        <v>809</v>
      </c>
      <c r="D357" s="14" t="s">
        <v>35</v>
      </c>
      <c r="E357" s="14" t="s">
        <v>757</v>
      </c>
      <c r="F357" s="21" t="s">
        <v>632</v>
      </c>
      <c r="G357" s="21">
        <v>14</v>
      </c>
      <c r="H357" s="37" t="str">
        <f ca="1">VLOOKUP(A357,Sheet2!$AA:$AC,3,FALSE)</f>
        <v>1,2;2,5;46,0-3</v>
      </c>
      <c r="I357" s="21" t="s">
        <v>820</v>
      </c>
      <c r="J357" s="21" t="s">
        <v>1</v>
      </c>
      <c r="K357" s="21" t="s">
        <v>238</v>
      </c>
      <c r="L357" s="40"/>
    </row>
    <row r="358" s="22" customFormat="1" spans="1:12">
      <c r="A358" s="14" t="s">
        <v>821</v>
      </c>
      <c r="B358" s="23" t="s">
        <v>33</v>
      </c>
      <c r="C358" s="14" t="s">
        <v>809</v>
      </c>
      <c r="D358" s="14" t="s">
        <v>35</v>
      </c>
      <c r="E358" s="14" t="s">
        <v>757</v>
      </c>
      <c r="F358" s="21" t="s">
        <v>632</v>
      </c>
      <c r="G358" s="21">
        <v>14</v>
      </c>
      <c r="H358" s="37" t="str">
        <f ca="1">VLOOKUP(A358,Sheet2!$AA:$AC,3,FALSE)</f>
        <v>1,2;2,5;46,0-3</v>
      </c>
      <c r="I358" s="21" t="s">
        <v>822</v>
      </c>
      <c r="J358" s="21" t="s">
        <v>1</v>
      </c>
      <c r="K358" s="21" t="s">
        <v>240</v>
      </c>
      <c r="L358" s="40"/>
    </row>
  </sheetData>
  <conditionalFormatting sqref="A7:A28">
    <cfRule type="duplicateValues" dxfId="0" priority="212"/>
  </conditionalFormatting>
  <conditionalFormatting sqref="A29:A94">
    <cfRule type="duplicateValues" dxfId="0" priority="196"/>
  </conditionalFormatting>
  <conditionalFormatting sqref="A95:A116">
    <cfRule type="duplicateValues" dxfId="0" priority="18"/>
  </conditionalFormatting>
  <conditionalFormatting sqref="A117:A182">
    <cfRule type="duplicateValues" dxfId="0" priority="17"/>
  </conditionalFormatting>
  <conditionalFormatting sqref="A183:A204">
    <cfRule type="duplicateValues" dxfId="0" priority="12"/>
  </conditionalFormatting>
  <conditionalFormatting sqref="A205:A270">
    <cfRule type="duplicateValues" dxfId="0" priority="11"/>
  </conditionalFormatting>
  <conditionalFormatting sqref="A271:A292">
    <cfRule type="duplicateValues" dxfId="0" priority="6"/>
  </conditionalFormatting>
  <conditionalFormatting sqref="A293:A358">
    <cfRule type="duplicateValues" dxfId="0" priority="5"/>
  </conditionalFormatting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99"/>
  <sheetViews>
    <sheetView workbookViewId="0">
      <selection activeCell="I29" sqref="I29"/>
    </sheetView>
  </sheetViews>
  <sheetFormatPr defaultColWidth="9" defaultRowHeight="13.5"/>
  <cols>
    <col min="2" max="2" width="6.125" customWidth="1"/>
    <col min="3" max="3" width="27.125" customWidth="1"/>
    <col min="4" max="4" width="6.125" customWidth="1"/>
    <col min="5" max="5" width="15.125" customWidth="1"/>
    <col min="6" max="6" width="6.125" customWidth="1"/>
    <col min="7" max="7" width="16" customWidth="1"/>
    <col min="8" max="8" width="6.125" customWidth="1"/>
    <col min="9" max="9" width="16" customWidth="1"/>
    <col min="10" max="10" width="6.125" customWidth="1"/>
    <col min="11" max="11" width="16" customWidth="1"/>
    <col min="12" max="12" width="6.125" customWidth="1"/>
    <col min="13" max="13" width="16" customWidth="1"/>
    <col min="14" max="14" width="6.125" customWidth="1"/>
    <col min="15" max="15" width="16" customWidth="1"/>
    <col min="16" max="16" width="6.125" customWidth="1"/>
    <col min="17" max="18" width="16" customWidth="1"/>
    <col min="20" max="21" width="16" customWidth="1"/>
    <col min="23" max="24" width="14.75" customWidth="1"/>
    <col min="26" max="27" width="16" customWidth="1"/>
    <col min="29" max="29" width="16" customWidth="1"/>
  </cols>
  <sheetData>
    <row r="2" spans="2:2">
      <c r="B2" t="s">
        <v>823</v>
      </c>
    </row>
    <row r="3" spans="2:5">
      <c r="B3" s="1">
        <v>1</v>
      </c>
      <c r="C3" s="2" t="s">
        <v>824</v>
      </c>
      <c r="D3" s="3" t="s">
        <v>825</v>
      </c>
      <c r="E3" s="3" t="s">
        <v>826</v>
      </c>
    </row>
    <row r="4" spans="2:5">
      <c r="B4" s="1">
        <v>2</v>
      </c>
      <c r="C4" s="2" t="s">
        <v>827</v>
      </c>
      <c r="D4" s="3" t="s">
        <v>828</v>
      </c>
      <c r="E4" s="3" t="s">
        <v>829</v>
      </c>
    </row>
    <row r="5" spans="2:5">
      <c r="B5" s="4">
        <v>22</v>
      </c>
      <c r="C5" s="4" t="s">
        <v>830</v>
      </c>
      <c r="D5" s="4" t="s">
        <v>831</v>
      </c>
      <c r="E5" s="5"/>
    </row>
    <row r="6" spans="2:5">
      <c r="B6">
        <v>46</v>
      </c>
      <c r="C6" s="1" t="s">
        <v>832</v>
      </c>
      <c r="D6" s="1" t="s">
        <v>833</v>
      </c>
      <c r="E6" s="1" t="s">
        <v>834</v>
      </c>
    </row>
    <row r="8" spans="3:17">
      <c r="C8" t="s">
        <v>835</v>
      </c>
      <c r="E8" t="s">
        <v>835</v>
      </c>
      <c r="G8" s="6" t="s">
        <v>836</v>
      </c>
      <c r="I8" t="s">
        <v>836</v>
      </c>
      <c r="K8" s="6" t="s">
        <v>837</v>
      </c>
      <c r="M8" t="s">
        <v>837</v>
      </c>
      <c r="O8" t="s">
        <v>837</v>
      </c>
      <c r="Q8" t="s">
        <v>837</v>
      </c>
    </row>
    <row r="9" spans="3:17">
      <c r="C9" s="6" t="s">
        <v>838</v>
      </c>
      <c r="E9" t="s">
        <v>839</v>
      </c>
      <c r="G9" t="s">
        <v>839</v>
      </c>
      <c r="I9" t="s">
        <v>839</v>
      </c>
      <c r="K9" s="6" t="s">
        <v>840</v>
      </c>
      <c r="M9" t="s">
        <v>840</v>
      </c>
      <c r="O9" t="s">
        <v>840</v>
      </c>
      <c r="Q9" t="s">
        <v>840</v>
      </c>
    </row>
    <row r="10" spans="3:17">
      <c r="C10" s="6" t="s">
        <v>841</v>
      </c>
      <c r="E10" t="s">
        <v>842</v>
      </c>
      <c r="G10" t="s">
        <v>842</v>
      </c>
      <c r="I10" t="s">
        <v>842</v>
      </c>
      <c r="K10" s="6" t="s">
        <v>843</v>
      </c>
      <c r="M10" t="s">
        <v>844</v>
      </c>
      <c r="O10" t="s">
        <v>844</v>
      </c>
      <c r="Q10" t="s">
        <v>844</v>
      </c>
    </row>
    <row r="11" spans="3:17">
      <c r="C11" t="s">
        <v>845</v>
      </c>
      <c r="E11" s="7" t="s">
        <v>846</v>
      </c>
      <c r="G11" s="7" t="s">
        <v>847</v>
      </c>
      <c r="I11" t="s">
        <v>848</v>
      </c>
      <c r="K11" t="s">
        <v>849</v>
      </c>
      <c r="M11" t="s">
        <v>850</v>
      </c>
      <c r="O11" t="s">
        <v>851</v>
      </c>
      <c r="Q11" t="s">
        <v>852</v>
      </c>
    </row>
    <row r="12" spans="2:29">
      <c r="B12">
        <v>1</v>
      </c>
      <c r="C12" t="s">
        <v>853</v>
      </c>
      <c r="D12">
        <v>1</v>
      </c>
      <c r="E12" t="s">
        <v>854</v>
      </c>
      <c r="F12">
        <v>1</v>
      </c>
      <c r="G12" s="6" t="s">
        <v>855</v>
      </c>
      <c r="H12">
        <v>1</v>
      </c>
      <c r="I12" t="s">
        <v>855</v>
      </c>
      <c r="J12">
        <v>1</v>
      </c>
      <c r="K12" s="6" t="s">
        <v>856</v>
      </c>
      <c r="L12">
        <v>1</v>
      </c>
      <c r="M12" t="s">
        <v>857</v>
      </c>
      <c r="N12">
        <v>1</v>
      </c>
      <c r="O12" t="s">
        <v>857</v>
      </c>
      <c r="P12">
        <v>1</v>
      </c>
      <c r="Q12" t="s">
        <v>857</v>
      </c>
      <c r="R12" s="8">
        <v>10101</v>
      </c>
      <c r="S12">
        <f>B12</f>
        <v>1</v>
      </c>
      <c r="T12" t="str">
        <f>C12</f>
        <v>1,4;2,3;46,3-1</v>
      </c>
      <c r="U12" s="9" t="s">
        <v>241</v>
      </c>
      <c r="V12">
        <f>B24</f>
        <v>1</v>
      </c>
      <c r="W12" t="str">
        <f>C24</f>
        <v>1,4;2,3;46,2-1</v>
      </c>
      <c r="X12" s="10" t="s">
        <v>435</v>
      </c>
      <c r="Y12">
        <f ca="1">OFFSET(B36,(ROW($1:$1)-1)*10,0)</f>
        <v>1</v>
      </c>
      <c r="Z12" t="str">
        <f ca="1">OFFSET(C36,(ROW($1:$1)-1)*10,0)</f>
        <v>1,4;2,3;46,1-1</v>
      </c>
      <c r="AA12" s="14" t="s">
        <v>629</v>
      </c>
      <c r="AB12">
        <f ca="1">OFFSET(B48,(ROW($1:$1)-1)*10,0)</f>
        <v>1</v>
      </c>
      <c r="AC12" t="str">
        <f ca="1">OFFSET(C48,(ROW($1:$1)-1)*10,0)</f>
        <v>1,4;2,3;46,0-1</v>
      </c>
    </row>
    <row r="13" spans="2:29">
      <c r="B13">
        <v>2</v>
      </c>
      <c r="C13" t="s">
        <v>853</v>
      </c>
      <c r="D13">
        <v>2</v>
      </c>
      <c r="E13" t="s">
        <v>854</v>
      </c>
      <c r="F13">
        <v>2</v>
      </c>
      <c r="G13" t="s">
        <v>855</v>
      </c>
      <c r="H13">
        <v>2</v>
      </c>
      <c r="I13" t="s">
        <v>855</v>
      </c>
      <c r="J13">
        <v>2</v>
      </c>
      <c r="K13" t="s">
        <v>856</v>
      </c>
      <c r="L13">
        <v>2</v>
      </c>
      <c r="M13" t="s">
        <v>857</v>
      </c>
      <c r="N13">
        <v>2</v>
      </c>
      <c r="O13" t="s">
        <v>857</v>
      </c>
      <c r="P13">
        <v>2</v>
      </c>
      <c r="Q13" t="s">
        <v>857</v>
      </c>
      <c r="R13" s="8">
        <v>10102</v>
      </c>
      <c r="S13">
        <f t="shared" ref="S13:S21" si="0">B13</f>
        <v>2</v>
      </c>
      <c r="T13" t="str">
        <f t="shared" ref="T13:T21" si="1">C13</f>
        <v>1,4;2,3;46,3-1</v>
      </c>
      <c r="U13" s="9" t="s">
        <v>246</v>
      </c>
      <c r="V13">
        <f t="shared" ref="V13:V21" si="2">B25</f>
        <v>2</v>
      </c>
      <c r="W13" t="str">
        <f t="shared" ref="W13:W21" si="3">C25</f>
        <v>1,4;2,3;46,2-1</v>
      </c>
      <c r="X13" s="10" t="s">
        <v>440</v>
      </c>
      <c r="Y13">
        <f ca="1">OFFSET(B37,(ROW($1:$1)-1)*10,0)</f>
        <v>2</v>
      </c>
      <c r="Z13" t="str">
        <f ca="1">OFFSET(C37,(ROW($1:$1)-1)*10,0)</f>
        <v>1,4;2,3;46,1-1</v>
      </c>
      <c r="AA13" s="14" t="s">
        <v>634</v>
      </c>
      <c r="AB13">
        <f ca="1">OFFSET(B49,(ROW($1:$1)-1)*10,0)</f>
        <v>2</v>
      </c>
      <c r="AC13" t="str">
        <f ca="1">OFFSET(C49,(ROW($1:$1)-1)*10,0)</f>
        <v>1,4;2,3;46,0-1</v>
      </c>
    </row>
    <row r="14" spans="2:29">
      <c r="B14">
        <v>3</v>
      </c>
      <c r="C14" t="s">
        <v>853</v>
      </c>
      <c r="D14">
        <v>3</v>
      </c>
      <c r="E14" t="s">
        <v>854</v>
      </c>
      <c r="F14">
        <v>3</v>
      </c>
      <c r="G14" t="s">
        <v>855</v>
      </c>
      <c r="H14">
        <v>3</v>
      </c>
      <c r="I14" t="s">
        <v>855</v>
      </c>
      <c r="J14">
        <v>3</v>
      </c>
      <c r="K14" t="s">
        <v>856</v>
      </c>
      <c r="L14">
        <v>3</v>
      </c>
      <c r="M14" t="s">
        <v>857</v>
      </c>
      <c r="N14">
        <v>3</v>
      </c>
      <c r="O14" t="s">
        <v>857</v>
      </c>
      <c r="P14">
        <v>3</v>
      </c>
      <c r="Q14" t="s">
        <v>857</v>
      </c>
      <c r="R14" s="8">
        <v>10103</v>
      </c>
      <c r="S14">
        <f t="shared" si="0"/>
        <v>3</v>
      </c>
      <c r="T14" t="str">
        <f t="shared" si="1"/>
        <v>1,4;2,3;46,3-1</v>
      </c>
      <c r="U14" s="9" t="s">
        <v>248</v>
      </c>
      <c r="V14">
        <f t="shared" si="2"/>
        <v>3</v>
      </c>
      <c r="W14" t="str">
        <f t="shared" si="3"/>
        <v>1,4;2,3;46,2-1</v>
      </c>
      <c r="X14" s="10" t="s">
        <v>442</v>
      </c>
      <c r="Y14">
        <f ca="1">OFFSET(B38,(ROW($1:$1)-1)*10,0)</f>
        <v>3</v>
      </c>
      <c r="Z14" t="str">
        <f ca="1">OFFSET(C38,(ROW($1:$1)-1)*10,0)</f>
        <v>1,4;2,3;46,1-1</v>
      </c>
      <c r="AA14" s="14" t="s">
        <v>636</v>
      </c>
      <c r="AB14">
        <f ca="1">OFFSET(B50,(ROW($1:$1)-1)*10,0)</f>
        <v>3</v>
      </c>
      <c r="AC14" t="str">
        <f ca="1">OFFSET(C50,(ROW($1:$1)-1)*10,0)</f>
        <v>1,4;2,3;46,0-1</v>
      </c>
    </row>
    <row r="15" spans="2:29">
      <c r="B15">
        <v>4</v>
      </c>
      <c r="C15" t="s">
        <v>853</v>
      </c>
      <c r="D15">
        <v>4</v>
      </c>
      <c r="E15" t="s">
        <v>854</v>
      </c>
      <c r="F15">
        <v>4</v>
      </c>
      <c r="G15" t="s">
        <v>855</v>
      </c>
      <c r="H15">
        <v>4</v>
      </c>
      <c r="I15" t="s">
        <v>855</v>
      </c>
      <c r="J15">
        <v>4</v>
      </c>
      <c r="K15" t="s">
        <v>856</v>
      </c>
      <c r="L15">
        <v>4</v>
      </c>
      <c r="M15" t="s">
        <v>857</v>
      </c>
      <c r="N15">
        <v>4</v>
      </c>
      <c r="O15" t="s">
        <v>857</v>
      </c>
      <c r="P15">
        <v>4</v>
      </c>
      <c r="Q15" t="s">
        <v>857</v>
      </c>
      <c r="R15" s="8">
        <v>10104</v>
      </c>
      <c r="S15">
        <f t="shared" si="0"/>
        <v>4</v>
      </c>
      <c r="T15" t="str">
        <f t="shared" si="1"/>
        <v>1,4;2,3;46,3-1</v>
      </c>
      <c r="U15" s="9" t="s">
        <v>250</v>
      </c>
      <c r="V15">
        <f t="shared" si="2"/>
        <v>4</v>
      </c>
      <c r="W15" t="str">
        <f t="shared" si="3"/>
        <v>1,4;2,3;46,2-1</v>
      </c>
      <c r="X15" s="10" t="s">
        <v>444</v>
      </c>
      <c r="Y15">
        <f ca="1">OFFSET(B39,(ROW($1:$1)-1)*10,0)</f>
        <v>4</v>
      </c>
      <c r="Z15" t="str">
        <f ca="1">OFFSET(C39,(ROW($1:$1)-1)*10,0)</f>
        <v>1,4;2,3;46,1-1</v>
      </c>
      <c r="AA15" s="14" t="s">
        <v>638</v>
      </c>
      <c r="AB15">
        <f ca="1">OFFSET(B51,(ROW($1:$1)-1)*10,0)</f>
        <v>4</v>
      </c>
      <c r="AC15" t="str">
        <f ca="1">OFFSET(C51,(ROW($1:$1)-1)*10,0)</f>
        <v>1,4;2,3;46,0-1</v>
      </c>
    </row>
    <row r="16" spans="2:29">
      <c r="B16">
        <v>5</v>
      </c>
      <c r="C16" t="s">
        <v>853</v>
      </c>
      <c r="D16">
        <v>5</v>
      </c>
      <c r="E16" t="s">
        <v>854</v>
      </c>
      <c r="F16">
        <v>5</v>
      </c>
      <c r="G16" t="s">
        <v>855</v>
      </c>
      <c r="H16">
        <v>5</v>
      </c>
      <c r="I16" t="s">
        <v>855</v>
      </c>
      <c r="J16">
        <v>5</v>
      </c>
      <c r="K16" s="6" t="s">
        <v>857</v>
      </c>
      <c r="L16">
        <v>5</v>
      </c>
      <c r="M16" t="s">
        <v>857</v>
      </c>
      <c r="N16">
        <v>5</v>
      </c>
      <c r="O16" t="s">
        <v>857</v>
      </c>
      <c r="P16">
        <v>5</v>
      </c>
      <c r="Q16" t="s">
        <v>857</v>
      </c>
      <c r="R16" s="8">
        <v>10105</v>
      </c>
      <c r="S16">
        <f t="shared" si="0"/>
        <v>5</v>
      </c>
      <c r="T16" t="str">
        <f t="shared" si="1"/>
        <v>1,4;2,3;46,3-1</v>
      </c>
      <c r="U16" s="9" t="s">
        <v>252</v>
      </c>
      <c r="V16">
        <f t="shared" si="2"/>
        <v>5</v>
      </c>
      <c r="W16" t="str">
        <f t="shared" si="3"/>
        <v>1,4;2,3;46,2-1</v>
      </c>
      <c r="X16" s="10" t="s">
        <v>446</v>
      </c>
      <c r="Y16">
        <f ca="1">OFFSET(B40,(ROW($1:$1)-1)*10,0)</f>
        <v>5</v>
      </c>
      <c r="Z16" t="str">
        <f ca="1">OFFSET(C40,(ROW($1:$1)-1)*10,0)</f>
        <v>1,4;2,3;46,1-1</v>
      </c>
      <c r="AA16" s="14" t="s">
        <v>640</v>
      </c>
      <c r="AB16">
        <f ca="1">OFFSET(B52,(ROW($1:$1)-1)*10,0)</f>
        <v>5</v>
      </c>
      <c r="AC16" t="str">
        <f ca="1">OFFSET(C52,(ROW($1:$1)-1)*10,0)</f>
        <v>1,4;2,3;46,0-1</v>
      </c>
    </row>
    <row r="17" spans="2:29">
      <c r="B17">
        <v>6</v>
      </c>
      <c r="C17" s="6" t="s">
        <v>854</v>
      </c>
      <c r="D17">
        <v>6</v>
      </c>
      <c r="E17" t="s">
        <v>854</v>
      </c>
      <c r="F17">
        <v>6</v>
      </c>
      <c r="G17" t="s">
        <v>855</v>
      </c>
      <c r="H17">
        <v>6</v>
      </c>
      <c r="I17" t="s">
        <v>855</v>
      </c>
      <c r="J17">
        <v>6</v>
      </c>
      <c r="K17" t="s">
        <v>857</v>
      </c>
      <c r="L17">
        <v>6</v>
      </c>
      <c r="M17" t="s">
        <v>857</v>
      </c>
      <c r="N17">
        <v>6</v>
      </c>
      <c r="O17" t="s">
        <v>857</v>
      </c>
      <c r="P17">
        <v>6</v>
      </c>
      <c r="Q17" t="s">
        <v>857</v>
      </c>
      <c r="R17" s="8">
        <v>10106</v>
      </c>
      <c r="S17">
        <f t="shared" si="0"/>
        <v>6</v>
      </c>
      <c r="T17" t="str">
        <f t="shared" si="1"/>
        <v>1,4;2,4;46,3-2</v>
      </c>
      <c r="U17" s="9" t="s">
        <v>254</v>
      </c>
      <c r="V17">
        <f t="shared" si="2"/>
        <v>6</v>
      </c>
      <c r="W17" t="str">
        <f t="shared" si="3"/>
        <v>1,4;2,4;46,2-2</v>
      </c>
      <c r="X17" s="10" t="s">
        <v>448</v>
      </c>
      <c r="Y17">
        <f ca="1">OFFSET(B41,(ROW($1:$1)-1)*10,0)</f>
        <v>6</v>
      </c>
      <c r="Z17" t="str">
        <f ca="1">OFFSET(C41,(ROW($1:$1)-1)*10,0)</f>
        <v>1,4;2,4;46,1-2</v>
      </c>
      <c r="AA17" s="14" t="s">
        <v>642</v>
      </c>
      <c r="AB17">
        <f ca="1">OFFSET(B53,(ROW($1:$1)-1)*10,0)</f>
        <v>6</v>
      </c>
      <c r="AC17" t="str">
        <f ca="1">OFFSET(C53,(ROW($1:$1)-1)*10,0)</f>
        <v>1,4;2,4;46,0-2</v>
      </c>
    </row>
    <row r="18" spans="2:29">
      <c r="B18">
        <v>7</v>
      </c>
      <c r="C18" t="s">
        <v>854</v>
      </c>
      <c r="D18">
        <v>7</v>
      </c>
      <c r="E18" t="s">
        <v>854</v>
      </c>
      <c r="F18">
        <v>7</v>
      </c>
      <c r="G18" t="s">
        <v>855</v>
      </c>
      <c r="H18">
        <v>7</v>
      </c>
      <c r="I18" t="s">
        <v>855</v>
      </c>
      <c r="J18">
        <v>7</v>
      </c>
      <c r="K18" t="s">
        <v>857</v>
      </c>
      <c r="L18">
        <v>7</v>
      </c>
      <c r="M18" t="s">
        <v>857</v>
      </c>
      <c r="N18">
        <v>7</v>
      </c>
      <c r="O18" t="s">
        <v>857</v>
      </c>
      <c r="P18">
        <v>7</v>
      </c>
      <c r="Q18" t="s">
        <v>857</v>
      </c>
      <c r="R18" s="8">
        <v>10107</v>
      </c>
      <c r="S18">
        <f t="shared" si="0"/>
        <v>7</v>
      </c>
      <c r="T18" t="str">
        <f t="shared" si="1"/>
        <v>1,4;2,4;46,3-2</v>
      </c>
      <c r="U18" s="9" t="s">
        <v>257</v>
      </c>
      <c r="V18">
        <f t="shared" si="2"/>
        <v>7</v>
      </c>
      <c r="W18" t="str">
        <f t="shared" si="3"/>
        <v>1,4;2,4;46,2-2</v>
      </c>
      <c r="X18" s="10" t="s">
        <v>451</v>
      </c>
      <c r="Y18">
        <f ca="1">OFFSET(B42,(ROW($1:$1)-1)*10,0)</f>
        <v>7</v>
      </c>
      <c r="Z18" t="str">
        <f ca="1">OFFSET(C42,(ROW($1:$1)-1)*10,0)</f>
        <v>1,4;2,4;46,1-2</v>
      </c>
      <c r="AA18" s="14" t="s">
        <v>645</v>
      </c>
      <c r="AB18">
        <f ca="1">OFFSET(B54,(ROW($1:$1)-1)*10,0)</f>
        <v>7</v>
      </c>
      <c r="AC18" t="str">
        <f ca="1">OFFSET(C54,(ROW($1:$1)-1)*10,0)</f>
        <v>1,4;2,4;46,0-2</v>
      </c>
    </row>
    <row r="19" spans="2:29">
      <c r="B19">
        <v>8</v>
      </c>
      <c r="C19" t="s">
        <v>854</v>
      </c>
      <c r="D19">
        <v>8</v>
      </c>
      <c r="E19" t="s">
        <v>854</v>
      </c>
      <c r="F19">
        <v>8</v>
      </c>
      <c r="G19" t="s">
        <v>855</v>
      </c>
      <c r="H19">
        <v>8</v>
      </c>
      <c r="I19" t="s">
        <v>855</v>
      </c>
      <c r="J19">
        <v>8</v>
      </c>
      <c r="K19" t="s">
        <v>857</v>
      </c>
      <c r="L19">
        <v>8</v>
      </c>
      <c r="M19" t="s">
        <v>857</v>
      </c>
      <c r="N19">
        <v>8</v>
      </c>
      <c r="O19" t="s">
        <v>857</v>
      </c>
      <c r="P19">
        <v>8</v>
      </c>
      <c r="Q19" t="s">
        <v>857</v>
      </c>
      <c r="R19" s="8">
        <v>10108</v>
      </c>
      <c r="S19">
        <f t="shared" si="0"/>
        <v>8</v>
      </c>
      <c r="T19" t="str">
        <f t="shared" si="1"/>
        <v>1,4;2,4;46,3-2</v>
      </c>
      <c r="U19" s="9" t="s">
        <v>259</v>
      </c>
      <c r="V19">
        <f t="shared" si="2"/>
        <v>8</v>
      </c>
      <c r="W19" t="str">
        <f t="shared" si="3"/>
        <v>1,4;2,4;46,2-2</v>
      </c>
      <c r="X19" s="10" t="s">
        <v>453</v>
      </c>
      <c r="Y19">
        <f ca="1">OFFSET(B43,(ROW($1:$1)-1)*10,0)</f>
        <v>8</v>
      </c>
      <c r="Z19" t="str">
        <f ca="1">OFFSET(C43,(ROW($1:$1)-1)*10,0)</f>
        <v>1,4;2,4;46,1-2</v>
      </c>
      <c r="AA19" s="14" t="s">
        <v>647</v>
      </c>
      <c r="AB19">
        <f ca="1">OFFSET(B55,(ROW($1:$1)-1)*10,0)</f>
        <v>8</v>
      </c>
      <c r="AC19" t="str">
        <f ca="1">OFFSET(C55,(ROW($1:$1)-1)*10,0)</f>
        <v>1,4;2,4;46,0-2</v>
      </c>
    </row>
    <row r="20" spans="2:29">
      <c r="B20">
        <v>9</v>
      </c>
      <c r="C20" t="s">
        <v>854</v>
      </c>
      <c r="D20">
        <v>9</v>
      </c>
      <c r="E20" t="s">
        <v>854</v>
      </c>
      <c r="F20">
        <v>9</v>
      </c>
      <c r="G20" t="s">
        <v>855</v>
      </c>
      <c r="H20">
        <v>9</v>
      </c>
      <c r="I20" t="s">
        <v>855</v>
      </c>
      <c r="J20">
        <v>9</v>
      </c>
      <c r="K20" t="s">
        <v>857</v>
      </c>
      <c r="L20">
        <v>9</v>
      </c>
      <c r="M20" t="s">
        <v>857</v>
      </c>
      <c r="N20">
        <v>9</v>
      </c>
      <c r="O20" t="s">
        <v>857</v>
      </c>
      <c r="P20">
        <v>9</v>
      </c>
      <c r="Q20" t="s">
        <v>857</v>
      </c>
      <c r="R20" s="8">
        <v>10109</v>
      </c>
      <c r="S20">
        <f t="shared" si="0"/>
        <v>9</v>
      </c>
      <c r="T20" t="str">
        <f t="shared" si="1"/>
        <v>1,4;2,4;46,3-2</v>
      </c>
      <c r="U20" s="9" t="s">
        <v>261</v>
      </c>
      <c r="V20">
        <f t="shared" si="2"/>
        <v>9</v>
      </c>
      <c r="W20" t="str">
        <f t="shared" si="3"/>
        <v>1,4;2,4;46,2-2</v>
      </c>
      <c r="X20" s="10" t="s">
        <v>455</v>
      </c>
      <c r="Y20">
        <f ca="1">OFFSET(B44,(ROW($1:$1)-1)*10,0)</f>
        <v>9</v>
      </c>
      <c r="Z20" t="str">
        <f ca="1">OFFSET(C44,(ROW($1:$1)-1)*10,0)</f>
        <v>1,4;2,4;46,1-2</v>
      </c>
      <c r="AA20" s="14" t="s">
        <v>649</v>
      </c>
      <c r="AB20">
        <f ca="1">OFFSET(B56,(ROW($1:$1)-1)*10,0)</f>
        <v>9</v>
      </c>
      <c r="AC20" t="str">
        <f ca="1">OFFSET(C56,(ROW($1:$1)-1)*10,0)</f>
        <v>1,4;2,4;46,0-2</v>
      </c>
    </row>
    <row r="21" spans="2:29">
      <c r="B21">
        <v>10</v>
      </c>
      <c r="C21" t="s">
        <v>854</v>
      </c>
      <c r="D21">
        <v>10</v>
      </c>
      <c r="E21" t="s">
        <v>854</v>
      </c>
      <c r="F21">
        <v>10</v>
      </c>
      <c r="G21" t="s">
        <v>855</v>
      </c>
      <c r="H21">
        <v>10</v>
      </c>
      <c r="I21" t="s">
        <v>855</v>
      </c>
      <c r="J21">
        <v>10</v>
      </c>
      <c r="K21" t="s">
        <v>857</v>
      </c>
      <c r="L21">
        <v>10</v>
      </c>
      <c r="M21" t="s">
        <v>857</v>
      </c>
      <c r="N21">
        <v>10</v>
      </c>
      <c r="O21" t="s">
        <v>857</v>
      </c>
      <c r="P21">
        <v>10</v>
      </c>
      <c r="Q21" t="s">
        <v>857</v>
      </c>
      <c r="R21" s="8">
        <v>10110</v>
      </c>
      <c r="S21">
        <f t="shared" si="0"/>
        <v>10</v>
      </c>
      <c r="T21" t="str">
        <f t="shared" si="1"/>
        <v>1,4;2,4;46,3-2</v>
      </c>
      <c r="U21" s="9" t="s">
        <v>263</v>
      </c>
      <c r="V21">
        <f t="shared" si="2"/>
        <v>10</v>
      </c>
      <c r="W21" t="str">
        <f t="shared" si="3"/>
        <v>1,4;2,4;46,2-2</v>
      </c>
      <c r="X21" s="10" t="s">
        <v>457</v>
      </c>
      <c r="Y21">
        <f ca="1">OFFSET(B45,(ROW($1:$1)-1)*10,0)</f>
        <v>10</v>
      </c>
      <c r="Z21" t="str">
        <f ca="1">OFFSET(C45,(ROW($1:$1)-1)*10,0)</f>
        <v>1,4;2,4;46,1-2</v>
      </c>
      <c r="AA21" s="14" t="s">
        <v>651</v>
      </c>
      <c r="AB21">
        <f ca="1">OFFSET(B57,(ROW($1:$1)-1)*10,0)</f>
        <v>10</v>
      </c>
      <c r="AC21" t="str">
        <f ca="1">OFFSET(C57,(ROW($1:$1)-1)*10,0)</f>
        <v>1,4;2,4;46,0-2</v>
      </c>
    </row>
    <row r="22" spans="18:27">
      <c r="R22" s="11">
        <v>10201</v>
      </c>
      <c r="U22" s="12" t="s">
        <v>265</v>
      </c>
      <c r="X22" s="12" t="s">
        <v>459</v>
      </c>
      <c r="AA22" s="12" t="s">
        <v>653</v>
      </c>
    </row>
    <row r="23" spans="18:29">
      <c r="R23" s="8">
        <v>10301</v>
      </c>
      <c r="S23">
        <f ca="1">OFFSET(D12,(ROW($1:$1)-1)*10,0)</f>
        <v>1</v>
      </c>
      <c r="T23" t="str">
        <f ca="1">OFFSET(E12,(ROW($1:$1)-1)*10,0)</f>
        <v>1,4;2,4;46,3-2</v>
      </c>
      <c r="U23" s="9" t="s">
        <v>266</v>
      </c>
      <c r="V23">
        <f ca="1">OFFSET(D24,(ROW($1:$1)-1)*10,0)</f>
        <v>1</v>
      </c>
      <c r="W23" t="str">
        <f ca="1">OFFSET(E24,(ROW($1:$1)-1)*10,0)</f>
        <v>1,4;2,4;46,2-2</v>
      </c>
      <c r="X23" s="10" t="s">
        <v>460</v>
      </c>
      <c r="Y23">
        <f ca="1">OFFSET(D36,(ROW($1:$1)-1)*10,0)</f>
        <v>1</v>
      </c>
      <c r="Z23" t="str">
        <f ca="1">OFFSET(E36,(ROW($1:$1)-1)*10,0)</f>
        <v>1,4;2,4;46,1-2</v>
      </c>
      <c r="AA23" s="14" t="s">
        <v>654</v>
      </c>
      <c r="AB23">
        <f ca="1">OFFSET(D48,(ROW($1:$1)-1)*10,0)</f>
        <v>1</v>
      </c>
      <c r="AC23" t="str">
        <f ca="1">OFFSET(E48,(ROW($1:$1)-1)*10,0)</f>
        <v>1,4;2,4;46,0-2</v>
      </c>
    </row>
    <row r="24" spans="2:29">
      <c r="B24">
        <f>B12</f>
        <v>1</v>
      </c>
      <c r="C24" t="str">
        <f>REPLACE(C12,12,1,"2")</f>
        <v>1,4;2,3;46,2-1</v>
      </c>
      <c r="D24">
        <f>D12</f>
        <v>1</v>
      </c>
      <c r="E24" t="str">
        <f t="shared" ref="D24:Q24" si="4">REPLACE(E12,12,1,"2")</f>
        <v>1,4;2,4;46,2-2</v>
      </c>
      <c r="F24">
        <f>F12</f>
        <v>1</v>
      </c>
      <c r="G24" t="str">
        <f t="shared" si="4"/>
        <v>1,3;2,4;46,2-2</v>
      </c>
      <c r="H24">
        <f>H12</f>
        <v>1</v>
      </c>
      <c r="I24" t="str">
        <f t="shared" si="4"/>
        <v>1,3;2,4;46,2-2</v>
      </c>
      <c r="J24">
        <f>J12</f>
        <v>1</v>
      </c>
      <c r="K24" t="str">
        <f t="shared" si="4"/>
        <v>1,2;2,5;46,2-2</v>
      </c>
      <c r="L24">
        <f>L12</f>
        <v>1</v>
      </c>
      <c r="M24" t="str">
        <f t="shared" si="4"/>
        <v>1,2;2,5;46,2-3</v>
      </c>
      <c r="N24">
        <f>N12</f>
        <v>1</v>
      </c>
      <c r="O24" t="str">
        <f t="shared" si="4"/>
        <v>1,2;2,5;46,2-3</v>
      </c>
      <c r="P24">
        <f>P12</f>
        <v>1</v>
      </c>
      <c r="Q24" t="str">
        <f t="shared" si="4"/>
        <v>1,2;2,5;46,2-3</v>
      </c>
      <c r="R24" s="8">
        <v>10302</v>
      </c>
      <c r="S24">
        <f ca="1">OFFSET(D13,(ROW($1:$1)-1)*10,0)</f>
        <v>2</v>
      </c>
      <c r="T24" t="str">
        <f ca="1" t="shared" ref="T24:T32" si="5">OFFSET(E13,(ROW($1:$1)-1)*10,0)</f>
        <v>1,4;2,4;46,3-2</v>
      </c>
      <c r="U24" s="9" t="s">
        <v>270</v>
      </c>
      <c r="V24">
        <f ca="1">OFFSET(D25,(ROW($1:$1)-1)*10,0)</f>
        <v>2</v>
      </c>
      <c r="W24" t="str">
        <f ca="1">OFFSET(E25,(ROW($1:$1)-1)*10,0)</f>
        <v>1,4;2,4;46,2-2</v>
      </c>
      <c r="X24" s="10" t="s">
        <v>464</v>
      </c>
      <c r="Y24">
        <f ca="1">OFFSET(D37,(ROW($1:$1)-1)*10,0)</f>
        <v>2</v>
      </c>
      <c r="Z24" t="str">
        <f ca="1">OFFSET(E37,(ROW($1:$1)-1)*10,0)</f>
        <v>1,4;2,4;46,1-2</v>
      </c>
      <c r="AA24" s="14" t="s">
        <v>658</v>
      </c>
      <c r="AB24">
        <f ca="1">OFFSET(D49,(ROW($1:$1)-1)*10,0)</f>
        <v>2</v>
      </c>
      <c r="AC24" t="str">
        <f ca="1">OFFSET(E49,(ROW($1:$1)-1)*10,0)</f>
        <v>1,4;2,4;46,0-2</v>
      </c>
    </row>
    <row r="25" spans="2:29">
      <c r="B25">
        <f t="shared" ref="B25:B40" si="6">B13</f>
        <v>2</v>
      </c>
      <c r="C25" t="str">
        <f t="shared" ref="C25:C33" si="7">REPLACE(C13,12,1,"2")</f>
        <v>1,4;2,3;46,2-1</v>
      </c>
      <c r="D25">
        <f t="shared" ref="D25:D33" si="8">D13</f>
        <v>2</v>
      </c>
      <c r="E25" t="str">
        <f t="shared" ref="E25:E33" si="9">REPLACE(E13,12,1,"2")</f>
        <v>1,4;2,4;46,2-2</v>
      </c>
      <c r="F25">
        <f t="shared" ref="F25:F33" si="10">F13</f>
        <v>2</v>
      </c>
      <c r="G25" t="str">
        <f t="shared" ref="G25:G33" si="11">REPLACE(G13,12,1,"2")</f>
        <v>1,3;2,4;46,2-2</v>
      </c>
      <c r="H25">
        <f t="shared" ref="H25:H33" si="12">H13</f>
        <v>2</v>
      </c>
      <c r="I25" t="str">
        <f t="shared" ref="I25:I33" si="13">REPLACE(I13,12,1,"2")</f>
        <v>1,3;2,4;46,2-2</v>
      </c>
      <c r="J25">
        <f t="shared" ref="J25:J33" si="14">J13</f>
        <v>2</v>
      </c>
      <c r="K25" t="str">
        <f t="shared" ref="K25:K33" si="15">REPLACE(K13,12,1,"2")</f>
        <v>1,2;2,5;46,2-2</v>
      </c>
      <c r="L25">
        <f t="shared" ref="L25:L33" si="16">L13</f>
        <v>2</v>
      </c>
      <c r="M25" t="str">
        <f t="shared" ref="M25:M33" si="17">REPLACE(M13,12,1,"2")</f>
        <v>1,2;2,5;46,2-3</v>
      </c>
      <c r="N25">
        <f t="shared" ref="N25:N33" si="18">N13</f>
        <v>2</v>
      </c>
      <c r="O25" t="str">
        <f t="shared" ref="O25:O33" si="19">REPLACE(O13,12,1,"2")</f>
        <v>1,2;2,5;46,2-3</v>
      </c>
      <c r="P25">
        <f t="shared" ref="P25:P33" si="20">P13</f>
        <v>2</v>
      </c>
      <c r="Q25" t="str">
        <f t="shared" ref="Q25:Q33" si="21">REPLACE(Q13,12,1,"2")</f>
        <v>1,2;2,5;46,2-3</v>
      </c>
      <c r="R25" s="8">
        <v>10303</v>
      </c>
      <c r="S25">
        <f ca="1">OFFSET(D14,(ROW($1:$1)-1)*10,0)</f>
        <v>3</v>
      </c>
      <c r="T25" t="str">
        <f ca="1" t="shared" si="5"/>
        <v>1,4;2,4;46,3-2</v>
      </c>
      <c r="U25" s="9" t="s">
        <v>272</v>
      </c>
      <c r="V25">
        <f ca="1">OFFSET(D26,(ROW($1:$1)-1)*10,0)</f>
        <v>3</v>
      </c>
      <c r="W25" t="str">
        <f ca="1">OFFSET(E26,(ROW($1:$1)-1)*10,0)</f>
        <v>1,4;2,4;46,2-2</v>
      </c>
      <c r="X25" s="10" t="s">
        <v>466</v>
      </c>
      <c r="Y25">
        <f ca="1">OFFSET(D38,(ROW($1:$1)-1)*10,0)</f>
        <v>3</v>
      </c>
      <c r="Z25" t="str">
        <f ca="1">OFFSET(E38,(ROW($1:$1)-1)*10,0)</f>
        <v>1,4;2,4;46,1-2</v>
      </c>
      <c r="AA25" s="14" t="s">
        <v>660</v>
      </c>
      <c r="AB25">
        <f ca="1">OFFSET(D50,(ROW($1:$1)-1)*10,0)</f>
        <v>3</v>
      </c>
      <c r="AC25" t="str">
        <f ca="1">OFFSET(E50,(ROW($1:$1)-1)*10,0)</f>
        <v>1,4;2,4;46,0-2</v>
      </c>
    </row>
    <row r="26" spans="2:29">
      <c r="B26">
        <f t="shared" si="6"/>
        <v>3</v>
      </c>
      <c r="C26" t="str">
        <f t="shared" si="7"/>
        <v>1,4;2,3;46,2-1</v>
      </c>
      <c r="D26">
        <f t="shared" si="8"/>
        <v>3</v>
      </c>
      <c r="E26" t="str">
        <f t="shared" si="9"/>
        <v>1,4;2,4;46,2-2</v>
      </c>
      <c r="F26">
        <f t="shared" si="10"/>
        <v>3</v>
      </c>
      <c r="G26" t="str">
        <f t="shared" si="11"/>
        <v>1,3;2,4;46,2-2</v>
      </c>
      <c r="H26">
        <f t="shared" si="12"/>
        <v>3</v>
      </c>
      <c r="I26" t="str">
        <f t="shared" si="13"/>
        <v>1,3;2,4;46,2-2</v>
      </c>
      <c r="J26">
        <f t="shared" si="14"/>
        <v>3</v>
      </c>
      <c r="K26" t="str">
        <f t="shared" si="15"/>
        <v>1,2;2,5;46,2-2</v>
      </c>
      <c r="L26">
        <f t="shared" si="16"/>
        <v>3</v>
      </c>
      <c r="M26" t="str">
        <f t="shared" si="17"/>
        <v>1,2;2,5;46,2-3</v>
      </c>
      <c r="N26">
        <f t="shared" si="18"/>
        <v>3</v>
      </c>
      <c r="O26" t="str">
        <f t="shared" si="19"/>
        <v>1,2;2,5;46,2-3</v>
      </c>
      <c r="P26">
        <f t="shared" si="20"/>
        <v>3</v>
      </c>
      <c r="Q26" t="str">
        <f t="shared" si="21"/>
        <v>1,2;2,5;46,2-3</v>
      </c>
      <c r="R26" s="8">
        <v>10304</v>
      </c>
      <c r="S26">
        <f ca="1">OFFSET(D15,(ROW($1:$1)-1)*10,0)</f>
        <v>4</v>
      </c>
      <c r="T26" t="str">
        <f ca="1" t="shared" si="5"/>
        <v>1,4;2,4;46,3-2</v>
      </c>
      <c r="U26" s="9" t="s">
        <v>274</v>
      </c>
      <c r="V26">
        <f ca="1">OFFSET(D27,(ROW($1:$1)-1)*10,0)</f>
        <v>4</v>
      </c>
      <c r="W26" t="str">
        <f ca="1">OFFSET(E27,(ROW($1:$1)-1)*10,0)</f>
        <v>1,4;2,4;46,2-2</v>
      </c>
      <c r="X26" s="10" t="s">
        <v>468</v>
      </c>
      <c r="Y26">
        <f ca="1">OFFSET(D39,(ROW($1:$1)-1)*10,0)</f>
        <v>4</v>
      </c>
      <c r="Z26" t="str">
        <f ca="1">OFFSET(E39,(ROW($1:$1)-1)*10,0)</f>
        <v>1,4;2,4;46,1-2</v>
      </c>
      <c r="AA26" s="14" t="s">
        <v>662</v>
      </c>
      <c r="AB26">
        <f ca="1">OFFSET(D51,(ROW($1:$1)-1)*10,0)</f>
        <v>4</v>
      </c>
      <c r="AC26" t="str">
        <f ca="1">OFFSET(E51,(ROW($1:$1)-1)*10,0)</f>
        <v>1,4;2,4;46,0-2</v>
      </c>
    </row>
    <row r="27" spans="2:29">
      <c r="B27">
        <f t="shared" si="6"/>
        <v>4</v>
      </c>
      <c r="C27" t="str">
        <f t="shared" si="7"/>
        <v>1,4;2,3;46,2-1</v>
      </c>
      <c r="D27">
        <f t="shared" si="8"/>
        <v>4</v>
      </c>
      <c r="E27" t="str">
        <f t="shared" si="9"/>
        <v>1,4;2,4;46,2-2</v>
      </c>
      <c r="F27">
        <f t="shared" si="10"/>
        <v>4</v>
      </c>
      <c r="G27" t="str">
        <f t="shared" si="11"/>
        <v>1,3;2,4;46,2-2</v>
      </c>
      <c r="H27">
        <f t="shared" si="12"/>
        <v>4</v>
      </c>
      <c r="I27" t="str">
        <f t="shared" si="13"/>
        <v>1,3;2,4;46,2-2</v>
      </c>
      <c r="J27">
        <f t="shared" si="14"/>
        <v>4</v>
      </c>
      <c r="K27" t="str">
        <f t="shared" si="15"/>
        <v>1,2;2,5;46,2-2</v>
      </c>
      <c r="L27">
        <f t="shared" si="16"/>
        <v>4</v>
      </c>
      <c r="M27" t="str">
        <f t="shared" si="17"/>
        <v>1,2;2,5;46,2-3</v>
      </c>
      <c r="N27">
        <f t="shared" si="18"/>
        <v>4</v>
      </c>
      <c r="O27" t="str">
        <f t="shared" si="19"/>
        <v>1,2;2,5;46,2-3</v>
      </c>
      <c r="P27">
        <f t="shared" si="20"/>
        <v>4</v>
      </c>
      <c r="Q27" t="str">
        <f t="shared" si="21"/>
        <v>1,2;2,5;46,2-3</v>
      </c>
      <c r="R27" s="8">
        <v>10305</v>
      </c>
      <c r="S27">
        <f ca="1">OFFSET(D16,(ROW($1:$1)-1)*10,0)</f>
        <v>5</v>
      </c>
      <c r="T27" t="str">
        <f ca="1" t="shared" si="5"/>
        <v>1,4;2,4;46,3-2</v>
      </c>
      <c r="U27" s="9" t="s">
        <v>276</v>
      </c>
      <c r="V27">
        <f ca="1">OFFSET(D28,(ROW($1:$1)-1)*10,0)</f>
        <v>5</v>
      </c>
      <c r="W27" t="str">
        <f ca="1">OFFSET(E28,(ROW($1:$1)-1)*10,0)</f>
        <v>1,4;2,4;46,2-2</v>
      </c>
      <c r="X27" s="10" t="s">
        <v>470</v>
      </c>
      <c r="Y27">
        <f ca="1">OFFSET(D40,(ROW($1:$1)-1)*10,0)</f>
        <v>5</v>
      </c>
      <c r="Z27" t="str">
        <f ca="1">OFFSET(E40,(ROW($1:$1)-1)*10,0)</f>
        <v>1,4;2,4;46,1-2</v>
      </c>
      <c r="AA27" s="14" t="s">
        <v>664</v>
      </c>
      <c r="AB27">
        <f ca="1">OFFSET(D52,(ROW($1:$1)-1)*10,0)</f>
        <v>5</v>
      </c>
      <c r="AC27" t="str">
        <f ca="1">OFFSET(E52,(ROW($1:$1)-1)*10,0)</f>
        <v>1,4;2,4;46,0-2</v>
      </c>
    </row>
    <row r="28" spans="2:29">
      <c r="B28">
        <f t="shared" si="6"/>
        <v>5</v>
      </c>
      <c r="C28" t="str">
        <f t="shared" si="7"/>
        <v>1,4;2,3;46,2-1</v>
      </c>
      <c r="D28">
        <f t="shared" si="8"/>
        <v>5</v>
      </c>
      <c r="E28" t="str">
        <f t="shared" si="9"/>
        <v>1,4;2,4;46,2-2</v>
      </c>
      <c r="F28">
        <f t="shared" si="10"/>
        <v>5</v>
      </c>
      <c r="G28" t="str">
        <f t="shared" si="11"/>
        <v>1,3;2,4;46,2-2</v>
      </c>
      <c r="H28">
        <f t="shared" si="12"/>
        <v>5</v>
      </c>
      <c r="I28" t="str">
        <f t="shared" si="13"/>
        <v>1,3;2,4;46,2-2</v>
      </c>
      <c r="J28">
        <f t="shared" si="14"/>
        <v>5</v>
      </c>
      <c r="K28" t="str">
        <f t="shared" si="15"/>
        <v>1,2;2,5;46,2-3</v>
      </c>
      <c r="L28">
        <f t="shared" si="16"/>
        <v>5</v>
      </c>
      <c r="M28" t="str">
        <f t="shared" si="17"/>
        <v>1,2;2,5;46,2-3</v>
      </c>
      <c r="N28">
        <f t="shared" si="18"/>
        <v>5</v>
      </c>
      <c r="O28" t="str">
        <f t="shared" si="19"/>
        <v>1,2;2,5;46,2-3</v>
      </c>
      <c r="P28">
        <f t="shared" si="20"/>
        <v>5</v>
      </c>
      <c r="Q28" t="str">
        <f t="shared" si="21"/>
        <v>1,2;2,5;46,2-3</v>
      </c>
      <c r="R28" s="8">
        <v>10306</v>
      </c>
      <c r="S28">
        <f ca="1">OFFSET(D17,(ROW($1:$1)-1)*10,0)</f>
        <v>6</v>
      </c>
      <c r="T28" t="str">
        <f ca="1" t="shared" si="5"/>
        <v>1,4;2,4;46,3-2</v>
      </c>
      <c r="U28" s="9" t="s">
        <v>278</v>
      </c>
      <c r="V28">
        <f ca="1">OFFSET(D29,(ROW($1:$1)-1)*10,0)</f>
        <v>6</v>
      </c>
      <c r="W28" t="str">
        <f ca="1">OFFSET(E29,(ROW($1:$1)-1)*10,0)</f>
        <v>1,4;2,4;46,2-2</v>
      </c>
      <c r="X28" s="10" t="s">
        <v>472</v>
      </c>
      <c r="Y28">
        <f ca="1">OFFSET(D41,(ROW($1:$1)-1)*10,0)</f>
        <v>6</v>
      </c>
      <c r="Z28" t="str">
        <f ca="1">OFFSET(E41,(ROW($1:$1)-1)*10,0)</f>
        <v>1,4;2,4;46,1-2</v>
      </c>
      <c r="AA28" s="14" t="s">
        <v>666</v>
      </c>
      <c r="AB28">
        <f ca="1">OFFSET(D53,(ROW($1:$1)-1)*10,0)</f>
        <v>6</v>
      </c>
      <c r="AC28" t="str">
        <f ca="1">OFFSET(E53,(ROW($1:$1)-1)*10,0)</f>
        <v>1,4;2,4;46,0-2</v>
      </c>
    </row>
    <row r="29" spans="2:29">
      <c r="B29">
        <f t="shared" si="6"/>
        <v>6</v>
      </c>
      <c r="C29" t="str">
        <f t="shared" si="7"/>
        <v>1,4;2,4;46,2-2</v>
      </c>
      <c r="D29">
        <f t="shared" si="8"/>
        <v>6</v>
      </c>
      <c r="E29" t="str">
        <f t="shared" si="9"/>
        <v>1,4;2,4;46,2-2</v>
      </c>
      <c r="F29">
        <f t="shared" si="10"/>
        <v>6</v>
      </c>
      <c r="G29" t="str">
        <f t="shared" si="11"/>
        <v>1,3;2,4;46,2-2</v>
      </c>
      <c r="H29">
        <f t="shared" si="12"/>
        <v>6</v>
      </c>
      <c r="I29" t="str">
        <f t="shared" si="13"/>
        <v>1,3;2,4;46,2-2</v>
      </c>
      <c r="J29">
        <f t="shared" si="14"/>
        <v>6</v>
      </c>
      <c r="K29" t="str">
        <f t="shared" si="15"/>
        <v>1,2;2,5;46,2-3</v>
      </c>
      <c r="L29">
        <f t="shared" si="16"/>
        <v>6</v>
      </c>
      <c r="M29" t="str">
        <f t="shared" si="17"/>
        <v>1,2;2,5;46,2-3</v>
      </c>
      <c r="N29">
        <f t="shared" si="18"/>
        <v>6</v>
      </c>
      <c r="O29" t="str">
        <f t="shared" si="19"/>
        <v>1,2;2,5;46,2-3</v>
      </c>
      <c r="P29">
        <f t="shared" si="20"/>
        <v>6</v>
      </c>
      <c r="Q29" t="str">
        <f t="shared" si="21"/>
        <v>1,2;2,5;46,2-3</v>
      </c>
      <c r="R29" s="8">
        <v>10307</v>
      </c>
      <c r="S29">
        <f ca="1">OFFSET(D18,(ROW($1:$1)-1)*10,0)</f>
        <v>7</v>
      </c>
      <c r="T29" t="str">
        <f ca="1" t="shared" si="5"/>
        <v>1,4;2,4;46,3-2</v>
      </c>
      <c r="U29" s="9" t="s">
        <v>280</v>
      </c>
      <c r="V29">
        <f ca="1">OFFSET(D30,(ROW($1:$1)-1)*10,0)</f>
        <v>7</v>
      </c>
      <c r="W29" t="str">
        <f ca="1">OFFSET(E30,(ROW($1:$1)-1)*10,0)</f>
        <v>1,4;2,4;46,2-2</v>
      </c>
      <c r="X29" s="10" t="s">
        <v>474</v>
      </c>
      <c r="Y29">
        <f ca="1">OFFSET(D42,(ROW($1:$1)-1)*10,0)</f>
        <v>7</v>
      </c>
      <c r="Z29" t="str">
        <f ca="1">OFFSET(E42,(ROW($1:$1)-1)*10,0)</f>
        <v>1,4;2,4;46,1-2</v>
      </c>
      <c r="AA29" s="14" t="s">
        <v>668</v>
      </c>
      <c r="AB29">
        <f ca="1">OFFSET(D54,(ROW($1:$1)-1)*10,0)</f>
        <v>7</v>
      </c>
      <c r="AC29" t="str">
        <f ca="1">OFFSET(E54,(ROW($1:$1)-1)*10,0)</f>
        <v>1,4;2,4;46,0-2</v>
      </c>
    </row>
    <row r="30" spans="2:29">
      <c r="B30">
        <f t="shared" si="6"/>
        <v>7</v>
      </c>
      <c r="C30" t="str">
        <f t="shared" si="7"/>
        <v>1,4;2,4;46,2-2</v>
      </c>
      <c r="D30">
        <f t="shared" si="8"/>
        <v>7</v>
      </c>
      <c r="E30" t="str">
        <f t="shared" si="9"/>
        <v>1,4;2,4;46,2-2</v>
      </c>
      <c r="F30">
        <f t="shared" si="10"/>
        <v>7</v>
      </c>
      <c r="G30" t="str">
        <f t="shared" si="11"/>
        <v>1,3;2,4;46,2-2</v>
      </c>
      <c r="H30">
        <f t="shared" si="12"/>
        <v>7</v>
      </c>
      <c r="I30" t="str">
        <f t="shared" si="13"/>
        <v>1,3;2,4;46,2-2</v>
      </c>
      <c r="J30">
        <f t="shared" si="14"/>
        <v>7</v>
      </c>
      <c r="K30" t="str">
        <f t="shared" si="15"/>
        <v>1,2;2,5;46,2-3</v>
      </c>
      <c r="L30">
        <f t="shared" si="16"/>
        <v>7</v>
      </c>
      <c r="M30" t="str">
        <f t="shared" si="17"/>
        <v>1,2;2,5;46,2-3</v>
      </c>
      <c r="N30">
        <f t="shared" si="18"/>
        <v>7</v>
      </c>
      <c r="O30" t="str">
        <f t="shared" si="19"/>
        <v>1,2;2,5;46,2-3</v>
      </c>
      <c r="P30">
        <f t="shared" si="20"/>
        <v>7</v>
      </c>
      <c r="Q30" t="str">
        <f t="shared" si="21"/>
        <v>1,2;2,5;46,2-3</v>
      </c>
      <c r="R30" s="8">
        <v>10308</v>
      </c>
      <c r="S30">
        <f ca="1">OFFSET(D19,(ROW($1:$1)-1)*10,0)</f>
        <v>8</v>
      </c>
      <c r="T30" t="str">
        <f ca="1" t="shared" si="5"/>
        <v>1,4;2,4;46,3-2</v>
      </c>
      <c r="U30" s="9" t="s">
        <v>283</v>
      </c>
      <c r="V30">
        <f ca="1">OFFSET(D31,(ROW($1:$1)-1)*10,0)</f>
        <v>8</v>
      </c>
      <c r="W30" t="str">
        <f ca="1">OFFSET(E31,(ROW($1:$1)-1)*10,0)</f>
        <v>1,4;2,4;46,2-2</v>
      </c>
      <c r="X30" s="10" t="s">
        <v>477</v>
      </c>
      <c r="Y30">
        <f ca="1">OFFSET(D43,(ROW($1:$1)-1)*10,0)</f>
        <v>8</v>
      </c>
      <c r="Z30" t="str">
        <f ca="1">OFFSET(E43,(ROW($1:$1)-1)*10,0)</f>
        <v>1,4;2,4;46,1-2</v>
      </c>
      <c r="AA30" s="14" t="s">
        <v>671</v>
      </c>
      <c r="AB30">
        <f ca="1">OFFSET(D55,(ROW($1:$1)-1)*10,0)</f>
        <v>8</v>
      </c>
      <c r="AC30" t="str">
        <f ca="1">OFFSET(E55,(ROW($1:$1)-1)*10,0)</f>
        <v>1,4;2,4;46,0-2</v>
      </c>
    </row>
    <row r="31" spans="2:29">
      <c r="B31">
        <f t="shared" si="6"/>
        <v>8</v>
      </c>
      <c r="C31" t="str">
        <f t="shared" si="7"/>
        <v>1,4;2,4;46,2-2</v>
      </c>
      <c r="D31">
        <f t="shared" si="8"/>
        <v>8</v>
      </c>
      <c r="E31" t="str">
        <f t="shared" si="9"/>
        <v>1,4;2,4;46,2-2</v>
      </c>
      <c r="F31">
        <f t="shared" si="10"/>
        <v>8</v>
      </c>
      <c r="G31" t="str">
        <f t="shared" si="11"/>
        <v>1,3;2,4;46,2-2</v>
      </c>
      <c r="H31">
        <f t="shared" si="12"/>
        <v>8</v>
      </c>
      <c r="I31" t="str">
        <f t="shared" si="13"/>
        <v>1,3;2,4;46,2-2</v>
      </c>
      <c r="J31">
        <f t="shared" si="14"/>
        <v>8</v>
      </c>
      <c r="K31" t="str">
        <f t="shared" si="15"/>
        <v>1,2;2,5;46,2-3</v>
      </c>
      <c r="L31">
        <f t="shared" si="16"/>
        <v>8</v>
      </c>
      <c r="M31" t="str">
        <f t="shared" si="17"/>
        <v>1,2;2,5;46,2-3</v>
      </c>
      <c r="N31">
        <f t="shared" si="18"/>
        <v>8</v>
      </c>
      <c r="O31" t="str">
        <f t="shared" si="19"/>
        <v>1,2;2,5;46,2-3</v>
      </c>
      <c r="P31">
        <f t="shared" si="20"/>
        <v>8</v>
      </c>
      <c r="Q31" t="str">
        <f t="shared" si="21"/>
        <v>1,2;2,5;46,2-3</v>
      </c>
      <c r="R31" s="8">
        <v>10309</v>
      </c>
      <c r="S31">
        <f ca="1">OFFSET(D20,(ROW($1:$1)-1)*10,0)</f>
        <v>9</v>
      </c>
      <c r="T31" t="str">
        <f ca="1" t="shared" si="5"/>
        <v>1,4;2,4;46,3-2</v>
      </c>
      <c r="U31" s="9" t="s">
        <v>285</v>
      </c>
      <c r="V31">
        <f ca="1">OFFSET(D32,(ROW($1:$1)-1)*10,0)</f>
        <v>9</v>
      </c>
      <c r="W31" t="str">
        <f ca="1">OFFSET(E32,(ROW($1:$1)-1)*10,0)</f>
        <v>1,4;2,4;46,2-2</v>
      </c>
      <c r="X31" s="10" t="s">
        <v>479</v>
      </c>
      <c r="Y31">
        <f ca="1">OFFSET(D44,(ROW($1:$1)-1)*10,0)</f>
        <v>9</v>
      </c>
      <c r="Z31" t="str">
        <f ca="1">OFFSET(E44,(ROW($1:$1)-1)*10,0)</f>
        <v>1,4;2,4;46,1-2</v>
      </c>
      <c r="AA31" s="14" t="s">
        <v>673</v>
      </c>
      <c r="AB31">
        <f ca="1">OFFSET(D56,(ROW($1:$1)-1)*10,0)</f>
        <v>9</v>
      </c>
      <c r="AC31" t="str">
        <f ca="1">OFFSET(E56,(ROW($1:$1)-1)*10,0)</f>
        <v>1,4;2,4;46,0-2</v>
      </c>
    </row>
    <row r="32" spans="2:29">
      <c r="B32">
        <f t="shared" si="6"/>
        <v>9</v>
      </c>
      <c r="C32" t="str">
        <f t="shared" si="7"/>
        <v>1,4;2,4;46,2-2</v>
      </c>
      <c r="D32">
        <f t="shared" si="8"/>
        <v>9</v>
      </c>
      <c r="E32" t="str">
        <f t="shared" si="9"/>
        <v>1,4;2,4;46,2-2</v>
      </c>
      <c r="F32">
        <f t="shared" si="10"/>
        <v>9</v>
      </c>
      <c r="G32" t="str">
        <f t="shared" si="11"/>
        <v>1,3;2,4;46,2-2</v>
      </c>
      <c r="H32">
        <f t="shared" si="12"/>
        <v>9</v>
      </c>
      <c r="I32" t="str">
        <f t="shared" si="13"/>
        <v>1,3;2,4;46,2-2</v>
      </c>
      <c r="J32">
        <f t="shared" si="14"/>
        <v>9</v>
      </c>
      <c r="K32" t="str">
        <f t="shared" si="15"/>
        <v>1,2;2,5;46,2-3</v>
      </c>
      <c r="L32">
        <f t="shared" si="16"/>
        <v>9</v>
      </c>
      <c r="M32" t="str">
        <f t="shared" si="17"/>
        <v>1,2;2,5;46,2-3</v>
      </c>
      <c r="N32">
        <f t="shared" si="18"/>
        <v>9</v>
      </c>
      <c r="O32" t="str">
        <f t="shared" si="19"/>
        <v>1,2;2,5;46,2-3</v>
      </c>
      <c r="P32">
        <f t="shared" si="20"/>
        <v>9</v>
      </c>
      <c r="Q32" t="str">
        <f t="shared" si="21"/>
        <v>1,2;2,5;46,2-3</v>
      </c>
      <c r="R32" s="8">
        <v>10310</v>
      </c>
      <c r="S32">
        <f ca="1">OFFSET(D21,(ROW($1:$1)-1)*10,0)</f>
        <v>10</v>
      </c>
      <c r="T32" t="str">
        <f ca="1" t="shared" si="5"/>
        <v>1,4;2,4;46,3-2</v>
      </c>
      <c r="U32" s="9" t="s">
        <v>287</v>
      </c>
      <c r="V32">
        <f ca="1">OFFSET(D33,(ROW($1:$1)-1)*10,0)</f>
        <v>10</v>
      </c>
      <c r="W32" t="str">
        <f ca="1">OFFSET(E33,(ROW($1:$1)-1)*10,0)</f>
        <v>1,4;2,4;46,2-2</v>
      </c>
      <c r="X32" s="10" t="s">
        <v>481</v>
      </c>
      <c r="Y32">
        <f ca="1">OFFSET(D45,(ROW($1:$1)-1)*10,0)</f>
        <v>10</v>
      </c>
      <c r="Z32" t="str">
        <f ca="1">OFFSET(E45,(ROW($1:$1)-1)*10,0)</f>
        <v>1,4;2,4;46,1-2</v>
      </c>
      <c r="AA32" s="14" t="s">
        <v>675</v>
      </c>
      <c r="AB32">
        <f ca="1">OFFSET(D57,(ROW($1:$1)-1)*10,0)</f>
        <v>10</v>
      </c>
      <c r="AC32" t="str">
        <f ca="1">OFFSET(E57,(ROW($1:$1)-1)*10,0)</f>
        <v>1,4;2,4;46,0-2</v>
      </c>
    </row>
    <row r="33" spans="2:27">
      <c r="B33">
        <f t="shared" si="6"/>
        <v>10</v>
      </c>
      <c r="C33" t="str">
        <f t="shared" si="7"/>
        <v>1,4;2,4;46,2-2</v>
      </c>
      <c r="D33">
        <f t="shared" si="8"/>
        <v>10</v>
      </c>
      <c r="E33" t="str">
        <f t="shared" si="9"/>
        <v>1,4;2,4;46,2-2</v>
      </c>
      <c r="F33">
        <f t="shared" si="10"/>
        <v>10</v>
      </c>
      <c r="G33" t="str">
        <f t="shared" si="11"/>
        <v>1,3;2,4;46,2-2</v>
      </c>
      <c r="H33">
        <f t="shared" si="12"/>
        <v>10</v>
      </c>
      <c r="I33" t="str">
        <f t="shared" si="13"/>
        <v>1,3;2,4;46,2-2</v>
      </c>
      <c r="J33">
        <f t="shared" si="14"/>
        <v>10</v>
      </c>
      <c r="K33" t="str">
        <f t="shared" si="15"/>
        <v>1,2;2,5;46,2-3</v>
      </c>
      <c r="L33">
        <f t="shared" si="16"/>
        <v>10</v>
      </c>
      <c r="M33" t="str">
        <f t="shared" si="17"/>
        <v>1,2;2,5;46,2-3</v>
      </c>
      <c r="N33">
        <f t="shared" si="18"/>
        <v>10</v>
      </c>
      <c r="O33" t="str">
        <f t="shared" si="19"/>
        <v>1,2;2,5;46,2-3</v>
      </c>
      <c r="P33">
        <f t="shared" si="20"/>
        <v>10</v>
      </c>
      <c r="Q33" t="str">
        <f t="shared" si="21"/>
        <v>1,2;2,5;46,2-3</v>
      </c>
      <c r="R33" s="13">
        <v>11501</v>
      </c>
      <c r="U33" s="13" t="s">
        <v>289</v>
      </c>
      <c r="X33" s="13" t="s">
        <v>483</v>
      </c>
      <c r="AA33" s="13" t="s">
        <v>677</v>
      </c>
    </row>
    <row r="34" spans="18:29">
      <c r="R34" s="8">
        <v>10401</v>
      </c>
      <c r="S34">
        <f ca="1">OFFSET(F12,(ROW($1:$1)-1)*10,0)</f>
        <v>1</v>
      </c>
      <c r="T34" t="str">
        <f ca="1">OFFSET(G12,(ROW($1:$1)-1)*10,0)</f>
        <v>1,3;2,4;46,3-2</v>
      </c>
      <c r="U34" s="9" t="s">
        <v>292</v>
      </c>
      <c r="V34">
        <f ca="1">OFFSET(F24,(ROW($1:$1)-1)*10,0)</f>
        <v>1</v>
      </c>
      <c r="W34" t="str">
        <f ca="1">OFFSET(G24,(ROW($1:$1)-1)*10,0)</f>
        <v>1,3;2,4;46,2-2</v>
      </c>
      <c r="X34" s="10" t="s">
        <v>486</v>
      </c>
      <c r="Y34">
        <f ca="1">OFFSET(F36,(ROW($1:$1)-1)*10,0)</f>
        <v>1</v>
      </c>
      <c r="Z34" t="str">
        <f ca="1">OFFSET(G36,(ROW($1:$1)-1)*10,0)</f>
        <v>1,3;2,4;46,1-2</v>
      </c>
      <c r="AA34" s="14" t="s">
        <v>680</v>
      </c>
      <c r="AB34">
        <f ca="1">OFFSET(F48,(ROW($1:$1)-1)*10,0)</f>
        <v>1</v>
      </c>
      <c r="AC34" t="str">
        <f ca="1">OFFSET(G48,(ROW($1:$1)-1)*10,0)</f>
        <v>1,3;2,4;46,0-2</v>
      </c>
    </row>
    <row r="35" spans="18:29">
      <c r="R35" s="8">
        <v>10402</v>
      </c>
      <c r="S35">
        <f ca="1" t="shared" ref="S35:S44" si="22">OFFSET(F13,(ROW($1:$1)-1)*10,0)</f>
        <v>2</v>
      </c>
      <c r="T35" t="str">
        <f ca="1" t="shared" ref="T35:T43" si="23">OFFSET(G13,(ROW($1:$1)-1)*10,0)</f>
        <v>1,3;2,4;46,3-2</v>
      </c>
      <c r="U35" s="9" t="s">
        <v>294</v>
      </c>
      <c r="V35">
        <f ca="1">OFFSET(F25,(ROW($1:$1)-1)*10,0)</f>
        <v>2</v>
      </c>
      <c r="W35" t="str">
        <f ca="1">OFFSET(G25,(ROW($1:$1)-1)*10,0)</f>
        <v>1,3;2,4;46,2-2</v>
      </c>
      <c r="X35" s="10" t="s">
        <v>488</v>
      </c>
      <c r="Y35">
        <f ca="1">OFFSET(F37,(ROW($1:$1)-1)*10,0)</f>
        <v>2</v>
      </c>
      <c r="Z35" t="str">
        <f ca="1">OFFSET(G37,(ROW($1:$1)-1)*10,0)</f>
        <v>1,3;2,4;46,1-2</v>
      </c>
      <c r="AA35" s="14" t="s">
        <v>682</v>
      </c>
      <c r="AB35">
        <f ca="1" t="shared" ref="AB35:AB52" si="24">OFFSET(F49,(ROW($1:$1)-1)*10,0)</f>
        <v>2</v>
      </c>
      <c r="AC35" t="str">
        <f ca="1" t="shared" ref="AC35:AC52" si="25">OFFSET(G49,(ROW($1:$1)-1)*10,0)</f>
        <v>1,3;2,4;46,0-2</v>
      </c>
    </row>
    <row r="36" spans="2:29">
      <c r="B36">
        <f>B24</f>
        <v>1</v>
      </c>
      <c r="C36" t="str">
        <f>REPLACE(C12,12,1,"1")</f>
        <v>1,4;2,3;46,1-1</v>
      </c>
      <c r="D36">
        <f t="shared" ref="D36:D45" si="26">D12</f>
        <v>1</v>
      </c>
      <c r="E36" t="str">
        <f t="shared" ref="D36:Q36" si="27">REPLACE(E12,12,1,"1")</f>
        <v>1,4;2,4;46,1-2</v>
      </c>
      <c r="F36">
        <f t="shared" ref="F36:F45" si="28">F12</f>
        <v>1</v>
      </c>
      <c r="G36" t="str">
        <f t="shared" si="27"/>
        <v>1,3;2,4;46,1-2</v>
      </c>
      <c r="H36">
        <f t="shared" ref="H36:H45" si="29">H12</f>
        <v>1</v>
      </c>
      <c r="I36" t="str">
        <f t="shared" si="27"/>
        <v>1,3;2,4;46,1-2</v>
      </c>
      <c r="J36">
        <f t="shared" ref="J36:J45" si="30">J12</f>
        <v>1</v>
      </c>
      <c r="K36" t="str">
        <f t="shared" si="27"/>
        <v>1,2;2,5;46,1-2</v>
      </c>
      <c r="L36">
        <f t="shared" ref="L36:L45" si="31">L12</f>
        <v>1</v>
      </c>
      <c r="M36" t="str">
        <f t="shared" si="27"/>
        <v>1,2;2,5;46,1-3</v>
      </c>
      <c r="N36">
        <f t="shared" ref="N36:N45" si="32">N12</f>
        <v>1</v>
      </c>
      <c r="O36" t="str">
        <f t="shared" si="27"/>
        <v>1,2;2,5;46,1-3</v>
      </c>
      <c r="P36">
        <f t="shared" ref="P36:P45" si="33">P12</f>
        <v>1</v>
      </c>
      <c r="Q36" t="str">
        <f t="shared" si="27"/>
        <v>1,2;2,5;46,1-3</v>
      </c>
      <c r="R36" s="8">
        <v>10403</v>
      </c>
      <c r="S36">
        <f ca="1" t="shared" si="22"/>
        <v>3</v>
      </c>
      <c r="T36" t="str">
        <f ca="1" t="shared" si="23"/>
        <v>1,3;2,4;46,3-2</v>
      </c>
      <c r="U36" s="9" t="s">
        <v>296</v>
      </c>
      <c r="V36">
        <f ca="1">OFFSET(F26,(ROW($1:$1)-1)*10,0)</f>
        <v>3</v>
      </c>
      <c r="W36" t="str">
        <f ca="1">OFFSET(G26,(ROW($1:$1)-1)*10,0)</f>
        <v>1,3;2,4;46,2-2</v>
      </c>
      <c r="X36" s="10" t="s">
        <v>490</v>
      </c>
      <c r="Y36">
        <f ca="1">OFFSET(F38,(ROW($1:$1)-1)*10,0)</f>
        <v>3</v>
      </c>
      <c r="Z36" t="str">
        <f ca="1">OFFSET(G38,(ROW($1:$1)-1)*10,0)</f>
        <v>1,3;2,4;46,1-2</v>
      </c>
      <c r="AA36" s="14" t="s">
        <v>684</v>
      </c>
      <c r="AB36">
        <f ca="1" t="shared" si="24"/>
        <v>3</v>
      </c>
      <c r="AC36" t="str">
        <f ca="1" t="shared" si="25"/>
        <v>1,3;2,4;46,0-2</v>
      </c>
    </row>
    <row r="37" spans="2:29">
      <c r="B37">
        <f>B25</f>
        <v>2</v>
      </c>
      <c r="C37" t="str">
        <f t="shared" ref="C37:C45" si="34">REPLACE(C13,12,1,"1")</f>
        <v>1,4;2,3;46,1-1</v>
      </c>
      <c r="D37">
        <f t="shared" si="26"/>
        <v>2</v>
      </c>
      <c r="E37" t="str">
        <f t="shared" ref="E37:E45" si="35">REPLACE(E13,12,1,"1")</f>
        <v>1,4;2,4;46,1-2</v>
      </c>
      <c r="F37">
        <f t="shared" si="28"/>
        <v>2</v>
      </c>
      <c r="G37" t="str">
        <f t="shared" ref="G37:G45" si="36">REPLACE(G13,12,1,"1")</f>
        <v>1,3;2,4;46,1-2</v>
      </c>
      <c r="H37">
        <f t="shared" si="29"/>
        <v>2</v>
      </c>
      <c r="I37" t="str">
        <f t="shared" ref="I37:I45" si="37">REPLACE(I13,12,1,"1")</f>
        <v>1,3;2,4;46,1-2</v>
      </c>
      <c r="J37">
        <f t="shared" si="30"/>
        <v>2</v>
      </c>
      <c r="K37" t="str">
        <f t="shared" ref="K37:K45" si="38">REPLACE(K13,12,1,"1")</f>
        <v>1,2;2,5;46,1-2</v>
      </c>
      <c r="L37">
        <f t="shared" si="31"/>
        <v>2</v>
      </c>
      <c r="M37" t="str">
        <f t="shared" ref="M37:M45" si="39">REPLACE(M13,12,1,"1")</f>
        <v>1,2;2,5;46,1-3</v>
      </c>
      <c r="N37">
        <f t="shared" si="32"/>
        <v>2</v>
      </c>
      <c r="O37" t="str">
        <f t="shared" ref="O37:O45" si="40">REPLACE(O13,12,1,"1")</f>
        <v>1,2;2,5;46,1-3</v>
      </c>
      <c r="P37">
        <f t="shared" si="33"/>
        <v>2</v>
      </c>
      <c r="Q37" t="str">
        <f t="shared" ref="Q37:Q45" si="41">REPLACE(Q13,12,1,"1")</f>
        <v>1,2;2,5;46,1-3</v>
      </c>
      <c r="R37" s="8">
        <v>10404</v>
      </c>
      <c r="S37">
        <f ca="1" t="shared" si="22"/>
        <v>4</v>
      </c>
      <c r="T37" t="str">
        <f ca="1" t="shared" si="23"/>
        <v>1,3;2,4;46,3-2</v>
      </c>
      <c r="U37" s="9" t="s">
        <v>298</v>
      </c>
      <c r="V37">
        <f ca="1">OFFSET(F27,(ROW($1:$1)-1)*10,0)</f>
        <v>4</v>
      </c>
      <c r="W37" t="str">
        <f ca="1">OFFSET(G27,(ROW($1:$1)-1)*10,0)</f>
        <v>1,3;2,4;46,2-2</v>
      </c>
      <c r="X37" s="10" t="s">
        <v>492</v>
      </c>
      <c r="Y37">
        <f ca="1">OFFSET(F39,(ROW($1:$1)-1)*10,0)</f>
        <v>4</v>
      </c>
      <c r="Z37" t="str">
        <f ca="1">OFFSET(G39,(ROW($1:$1)-1)*10,0)</f>
        <v>1,3;2,4;46,1-2</v>
      </c>
      <c r="AA37" s="14" t="s">
        <v>686</v>
      </c>
      <c r="AB37">
        <f ca="1" t="shared" si="24"/>
        <v>4</v>
      </c>
      <c r="AC37" t="str">
        <f ca="1" t="shared" si="25"/>
        <v>1,3;2,4;46,0-2</v>
      </c>
    </row>
    <row r="38" spans="2:29">
      <c r="B38">
        <f>B26</f>
        <v>3</v>
      </c>
      <c r="C38" t="str">
        <f t="shared" si="34"/>
        <v>1,4;2,3;46,1-1</v>
      </c>
      <c r="D38">
        <f t="shared" si="26"/>
        <v>3</v>
      </c>
      <c r="E38" t="str">
        <f t="shared" si="35"/>
        <v>1,4;2,4;46,1-2</v>
      </c>
      <c r="F38">
        <f t="shared" si="28"/>
        <v>3</v>
      </c>
      <c r="G38" t="str">
        <f t="shared" si="36"/>
        <v>1,3;2,4;46,1-2</v>
      </c>
      <c r="H38">
        <f t="shared" si="29"/>
        <v>3</v>
      </c>
      <c r="I38" t="str">
        <f t="shared" si="37"/>
        <v>1,3;2,4;46,1-2</v>
      </c>
      <c r="J38">
        <f t="shared" si="30"/>
        <v>3</v>
      </c>
      <c r="K38" t="str">
        <f t="shared" si="38"/>
        <v>1,2;2,5;46,1-2</v>
      </c>
      <c r="L38">
        <f t="shared" si="31"/>
        <v>3</v>
      </c>
      <c r="M38" t="str">
        <f t="shared" si="39"/>
        <v>1,2;2,5;46,1-3</v>
      </c>
      <c r="N38">
        <f t="shared" si="32"/>
        <v>3</v>
      </c>
      <c r="O38" t="str">
        <f t="shared" si="40"/>
        <v>1,2;2,5;46,1-3</v>
      </c>
      <c r="P38">
        <f t="shared" si="33"/>
        <v>3</v>
      </c>
      <c r="Q38" t="str">
        <f t="shared" si="41"/>
        <v>1,2;2,5;46,1-3</v>
      </c>
      <c r="R38" s="8">
        <v>10405</v>
      </c>
      <c r="S38">
        <f ca="1" t="shared" si="22"/>
        <v>5</v>
      </c>
      <c r="T38" t="str">
        <f ca="1" t="shared" si="23"/>
        <v>1,3;2,4;46,3-2</v>
      </c>
      <c r="U38" s="9" t="s">
        <v>301</v>
      </c>
      <c r="V38">
        <f ca="1">OFFSET(F28,(ROW($1:$1)-1)*10,0)</f>
        <v>5</v>
      </c>
      <c r="W38" t="str">
        <f ca="1">OFFSET(G28,(ROW($1:$1)-1)*10,0)</f>
        <v>1,3;2,4;46,2-2</v>
      </c>
      <c r="X38" s="10" t="s">
        <v>495</v>
      </c>
      <c r="Y38">
        <f ca="1">OFFSET(F40,(ROW($1:$1)-1)*10,0)</f>
        <v>5</v>
      </c>
      <c r="Z38" t="str">
        <f ca="1">OFFSET(G40,(ROW($1:$1)-1)*10,0)</f>
        <v>1,3;2,4;46,1-2</v>
      </c>
      <c r="AA38" s="14" t="s">
        <v>689</v>
      </c>
      <c r="AB38">
        <f ca="1" t="shared" si="24"/>
        <v>5</v>
      </c>
      <c r="AC38" t="str">
        <f ca="1" t="shared" si="25"/>
        <v>1,3;2,4;46,0-2</v>
      </c>
    </row>
    <row r="39" spans="2:29">
      <c r="B39">
        <f>B27</f>
        <v>4</v>
      </c>
      <c r="C39" t="str">
        <f t="shared" si="34"/>
        <v>1,4;2,3;46,1-1</v>
      </c>
      <c r="D39">
        <f t="shared" si="26"/>
        <v>4</v>
      </c>
      <c r="E39" t="str">
        <f t="shared" si="35"/>
        <v>1,4;2,4;46,1-2</v>
      </c>
      <c r="F39">
        <f t="shared" si="28"/>
        <v>4</v>
      </c>
      <c r="G39" t="str">
        <f t="shared" si="36"/>
        <v>1,3;2,4;46,1-2</v>
      </c>
      <c r="H39">
        <f t="shared" si="29"/>
        <v>4</v>
      </c>
      <c r="I39" t="str">
        <f t="shared" si="37"/>
        <v>1,3;2,4;46,1-2</v>
      </c>
      <c r="J39">
        <f t="shared" si="30"/>
        <v>4</v>
      </c>
      <c r="K39" t="str">
        <f t="shared" si="38"/>
        <v>1,2;2,5;46,1-2</v>
      </c>
      <c r="L39">
        <f t="shared" si="31"/>
        <v>4</v>
      </c>
      <c r="M39" t="str">
        <f t="shared" si="39"/>
        <v>1,2;2,5;46,1-3</v>
      </c>
      <c r="N39">
        <f t="shared" si="32"/>
        <v>4</v>
      </c>
      <c r="O39" t="str">
        <f t="shared" si="40"/>
        <v>1,2;2,5;46,1-3</v>
      </c>
      <c r="P39">
        <f t="shared" si="33"/>
        <v>4</v>
      </c>
      <c r="Q39" t="str">
        <f t="shared" si="41"/>
        <v>1,2;2,5;46,1-3</v>
      </c>
      <c r="R39" s="8">
        <v>10406</v>
      </c>
      <c r="S39">
        <f ca="1" t="shared" si="22"/>
        <v>6</v>
      </c>
      <c r="T39" t="str">
        <f ca="1" t="shared" si="23"/>
        <v>1,3;2,4;46,3-2</v>
      </c>
      <c r="U39" s="9" t="s">
        <v>304</v>
      </c>
      <c r="V39">
        <f ca="1">OFFSET(F29,(ROW($1:$1)-1)*10,0)</f>
        <v>6</v>
      </c>
      <c r="W39" t="str">
        <f ca="1">OFFSET(G29,(ROW($1:$1)-1)*10,0)</f>
        <v>1,3;2,4;46,2-2</v>
      </c>
      <c r="X39" s="10" t="s">
        <v>498</v>
      </c>
      <c r="Y39">
        <f ca="1">OFFSET(F41,(ROW($1:$1)-1)*10,0)</f>
        <v>6</v>
      </c>
      <c r="Z39" t="str">
        <f ca="1">OFFSET(G41,(ROW($1:$1)-1)*10,0)</f>
        <v>1,3;2,4;46,1-2</v>
      </c>
      <c r="AA39" s="14" t="s">
        <v>692</v>
      </c>
      <c r="AB39">
        <f ca="1" t="shared" si="24"/>
        <v>6</v>
      </c>
      <c r="AC39" t="str">
        <f ca="1" t="shared" si="25"/>
        <v>1,3;2,4;46,0-2</v>
      </c>
    </row>
    <row r="40" spans="2:29">
      <c r="B40">
        <f>B28</f>
        <v>5</v>
      </c>
      <c r="C40" t="str">
        <f t="shared" si="34"/>
        <v>1,4;2,3;46,1-1</v>
      </c>
      <c r="D40">
        <f t="shared" si="26"/>
        <v>5</v>
      </c>
      <c r="E40" t="str">
        <f t="shared" si="35"/>
        <v>1,4;2,4;46,1-2</v>
      </c>
      <c r="F40">
        <f t="shared" si="28"/>
        <v>5</v>
      </c>
      <c r="G40" t="str">
        <f t="shared" si="36"/>
        <v>1,3;2,4;46,1-2</v>
      </c>
      <c r="H40">
        <f t="shared" si="29"/>
        <v>5</v>
      </c>
      <c r="I40" t="str">
        <f t="shared" si="37"/>
        <v>1,3;2,4;46,1-2</v>
      </c>
      <c r="J40">
        <f t="shared" si="30"/>
        <v>5</v>
      </c>
      <c r="K40" t="str">
        <f t="shared" si="38"/>
        <v>1,2;2,5;46,1-3</v>
      </c>
      <c r="L40">
        <f t="shared" si="31"/>
        <v>5</v>
      </c>
      <c r="M40" t="str">
        <f t="shared" si="39"/>
        <v>1,2;2,5;46,1-3</v>
      </c>
      <c r="N40">
        <f t="shared" si="32"/>
        <v>5</v>
      </c>
      <c r="O40" t="str">
        <f t="shared" si="40"/>
        <v>1,2;2,5;46,1-3</v>
      </c>
      <c r="P40">
        <f t="shared" si="33"/>
        <v>5</v>
      </c>
      <c r="Q40" t="str">
        <f t="shared" si="41"/>
        <v>1,2;2,5;46,1-3</v>
      </c>
      <c r="R40" s="8">
        <v>10407</v>
      </c>
      <c r="S40">
        <f ca="1" t="shared" si="22"/>
        <v>7</v>
      </c>
      <c r="T40" t="str">
        <f ca="1" t="shared" si="23"/>
        <v>1,3;2,4;46,3-2</v>
      </c>
      <c r="U40" s="9" t="s">
        <v>306</v>
      </c>
      <c r="V40">
        <f ca="1">OFFSET(F30,(ROW($1:$1)-1)*10,0)</f>
        <v>7</v>
      </c>
      <c r="W40" t="str">
        <f ca="1">OFFSET(G30,(ROW($1:$1)-1)*10,0)</f>
        <v>1,3;2,4;46,2-2</v>
      </c>
      <c r="X40" s="10" t="s">
        <v>500</v>
      </c>
      <c r="Y40">
        <f ca="1">OFFSET(F42,(ROW($1:$1)-1)*10,0)</f>
        <v>7</v>
      </c>
      <c r="Z40" t="str">
        <f ca="1">OFFSET(G42,(ROW($1:$1)-1)*10,0)</f>
        <v>1,3;2,4;46,1-2</v>
      </c>
      <c r="AA40" s="14" t="s">
        <v>694</v>
      </c>
      <c r="AB40">
        <f ca="1" t="shared" si="24"/>
        <v>7</v>
      </c>
      <c r="AC40" t="str">
        <f ca="1" t="shared" si="25"/>
        <v>1,3;2,4;46,0-2</v>
      </c>
    </row>
    <row r="41" spans="2:29">
      <c r="B41">
        <f t="shared" ref="B41:B57" si="42">B29</f>
        <v>6</v>
      </c>
      <c r="C41" t="str">
        <f t="shared" si="34"/>
        <v>1,4;2,4;46,1-2</v>
      </c>
      <c r="D41">
        <f t="shared" si="26"/>
        <v>6</v>
      </c>
      <c r="E41" t="str">
        <f t="shared" si="35"/>
        <v>1,4;2,4;46,1-2</v>
      </c>
      <c r="F41">
        <f t="shared" si="28"/>
        <v>6</v>
      </c>
      <c r="G41" t="str">
        <f t="shared" si="36"/>
        <v>1,3;2,4;46,1-2</v>
      </c>
      <c r="H41">
        <f t="shared" si="29"/>
        <v>6</v>
      </c>
      <c r="I41" t="str">
        <f t="shared" si="37"/>
        <v>1,3;2,4;46,1-2</v>
      </c>
      <c r="J41">
        <f t="shared" si="30"/>
        <v>6</v>
      </c>
      <c r="K41" t="str">
        <f t="shared" si="38"/>
        <v>1,2;2,5;46,1-3</v>
      </c>
      <c r="L41">
        <f t="shared" si="31"/>
        <v>6</v>
      </c>
      <c r="M41" t="str">
        <f t="shared" si="39"/>
        <v>1,2;2,5;46,1-3</v>
      </c>
      <c r="N41">
        <f t="shared" si="32"/>
        <v>6</v>
      </c>
      <c r="O41" t="str">
        <f t="shared" si="40"/>
        <v>1,2;2,5;46,1-3</v>
      </c>
      <c r="P41">
        <f t="shared" si="33"/>
        <v>6</v>
      </c>
      <c r="Q41" t="str">
        <f t="shared" si="41"/>
        <v>1,2;2,5;46,1-3</v>
      </c>
      <c r="R41" s="8">
        <v>10408</v>
      </c>
      <c r="S41">
        <f ca="1" t="shared" si="22"/>
        <v>8</v>
      </c>
      <c r="T41" t="str">
        <f ca="1" t="shared" si="23"/>
        <v>1,3;2,4;46,3-2</v>
      </c>
      <c r="U41" s="9" t="s">
        <v>308</v>
      </c>
      <c r="V41">
        <f ca="1">OFFSET(F31,(ROW($1:$1)-1)*10,0)</f>
        <v>8</v>
      </c>
      <c r="W41" t="str">
        <f ca="1">OFFSET(G31,(ROW($1:$1)-1)*10,0)</f>
        <v>1,3;2,4;46,2-2</v>
      </c>
      <c r="X41" s="10" t="s">
        <v>502</v>
      </c>
      <c r="Y41">
        <f ca="1">OFFSET(F43,(ROW($1:$1)-1)*10,0)</f>
        <v>8</v>
      </c>
      <c r="Z41" t="str">
        <f ca="1">OFFSET(G43,(ROW($1:$1)-1)*10,0)</f>
        <v>1,3;2,4;46,1-2</v>
      </c>
      <c r="AA41" s="14" t="s">
        <v>696</v>
      </c>
      <c r="AB41">
        <f ca="1" t="shared" si="24"/>
        <v>8</v>
      </c>
      <c r="AC41" t="str">
        <f ca="1" t="shared" si="25"/>
        <v>1,3;2,4;46,0-2</v>
      </c>
    </row>
    <row r="42" spans="2:29">
      <c r="B42">
        <f t="shared" si="42"/>
        <v>7</v>
      </c>
      <c r="C42" t="str">
        <f t="shared" si="34"/>
        <v>1,4;2,4;46,1-2</v>
      </c>
      <c r="D42">
        <f t="shared" si="26"/>
        <v>7</v>
      </c>
      <c r="E42" t="str">
        <f t="shared" si="35"/>
        <v>1,4;2,4;46,1-2</v>
      </c>
      <c r="F42">
        <f t="shared" si="28"/>
        <v>7</v>
      </c>
      <c r="G42" t="str">
        <f t="shared" si="36"/>
        <v>1,3;2,4;46,1-2</v>
      </c>
      <c r="H42">
        <f t="shared" si="29"/>
        <v>7</v>
      </c>
      <c r="I42" t="str">
        <f t="shared" si="37"/>
        <v>1,3;2,4;46,1-2</v>
      </c>
      <c r="J42">
        <f t="shared" si="30"/>
        <v>7</v>
      </c>
      <c r="K42" t="str">
        <f t="shared" si="38"/>
        <v>1,2;2,5;46,1-3</v>
      </c>
      <c r="L42">
        <f t="shared" si="31"/>
        <v>7</v>
      </c>
      <c r="M42" t="str">
        <f t="shared" si="39"/>
        <v>1,2;2,5;46,1-3</v>
      </c>
      <c r="N42">
        <f t="shared" si="32"/>
        <v>7</v>
      </c>
      <c r="O42" t="str">
        <f t="shared" si="40"/>
        <v>1,2;2,5;46,1-3</v>
      </c>
      <c r="P42">
        <f t="shared" si="33"/>
        <v>7</v>
      </c>
      <c r="Q42" t="str">
        <f t="shared" si="41"/>
        <v>1,2;2,5;46,1-3</v>
      </c>
      <c r="R42" s="8">
        <v>10409</v>
      </c>
      <c r="S42">
        <f ca="1" t="shared" si="22"/>
        <v>9</v>
      </c>
      <c r="T42" t="str">
        <f ca="1" t="shared" si="23"/>
        <v>1,3;2,4;46,3-2</v>
      </c>
      <c r="U42" s="9" t="s">
        <v>311</v>
      </c>
      <c r="V42">
        <f ca="1">OFFSET(F32,(ROW($1:$1)-1)*10,0)</f>
        <v>9</v>
      </c>
      <c r="W42" t="str">
        <f ca="1">OFFSET(G32,(ROW($1:$1)-1)*10,0)</f>
        <v>1,3;2,4;46,2-2</v>
      </c>
      <c r="X42" s="10" t="s">
        <v>505</v>
      </c>
      <c r="Y42">
        <f ca="1">OFFSET(F44,(ROW($1:$1)-1)*10,0)</f>
        <v>9</v>
      </c>
      <c r="Z42" t="str">
        <f ca="1">OFFSET(G44,(ROW($1:$1)-1)*10,0)</f>
        <v>1,3;2,4;46,1-2</v>
      </c>
      <c r="AA42" s="14" t="s">
        <v>699</v>
      </c>
      <c r="AB42">
        <f ca="1" t="shared" si="24"/>
        <v>9</v>
      </c>
      <c r="AC42" t="str">
        <f ca="1" t="shared" si="25"/>
        <v>1,3;2,4;46,0-2</v>
      </c>
    </row>
    <row r="43" spans="2:29">
      <c r="B43">
        <f t="shared" si="42"/>
        <v>8</v>
      </c>
      <c r="C43" t="str">
        <f t="shared" si="34"/>
        <v>1,4;2,4;46,1-2</v>
      </c>
      <c r="D43">
        <f t="shared" si="26"/>
        <v>8</v>
      </c>
      <c r="E43" t="str">
        <f t="shared" si="35"/>
        <v>1,4;2,4;46,1-2</v>
      </c>
      <c r="F43">
        <f t="shared" si="28"/>
        <v>8</v>
      </c>
      <c r="G43" t="str">
        <f t="shared" si="36"/>
        <v>1,3;2,4;46,1-2</v>
      </c>
      <c r="H43">
        <f t="shared" si="29"/>
        <v>8</v>
      </c>
      <c r="I43" t="str">
        <f t="shared" si="37"/>
        <v>1,3;2,4;46,1-2</v>
      </c>
      <c r="J43">
        <f t="shared" si="30"/>
        <v>8</v>
      </c>
      <c r="K43" t="str">
        <f t="shared" si="38"/>
        <v>1,2;2,5;46,1-3</v>
      </c>
      <c r="L43">
        <f t="shared" si="31"/>
        <v>8</v>
      </c>
      <c r="M43" t="str">
        <f t="shared" si="39"/>
        <v>1,2;2,5;46,1-3</v>
      </c>
      <c r="N43">
        <f t="shared" si="32"/>
        <v>8</v>
      </c>
      <c r="O43" t="str">
        <f t="shared" si="40"/>
        <v>1,2;2,5;46,1-3</v>
      </c>
      <c r="P43">
        <f t="shared" si="33"/>
        <v>8</v>
      </c>
      <c r="Q43" t="str">
        <f t="shared" si="41"/>
        <v>1,2;2,5;46,1-3</v>
      </c>
      <c r="R43" s="8">
        <v>10410</v>
      </c>
      <c r="S43">
        <f ca="1" t="shared" si="22"/>
        <v>10</v>
      </c>
      <c r="T43" t="str">
        <f ca="1" t="shared" si="23"/>
        <v>1,3;2,4;46,3-2</v>
      </c>
      <c r="U43" s="9" t="s">
        <v>313</v>
      </c>
      <c r="V43">
        <f ca="1">OFFSET(F33,(ROW($1:$1)-1)*10,0)</f>
        <v>10</v>
      </c>
      <c r="W43" t="str">
        <f ca="1">OFFSET(G33,(ROW($1:$1)-1)*10,0)</f>
        <v>1,3;2,4;46,2-2</v>
      </c>
      <c r="X43" s="10" t="s">
        <v>507</v>
      </c>
      <c r="Y43">
        <f ca="1">OFFSET(F45,(ROW($1:$1)-1)*10,0)</f>
        <v>10</v>
      </c>
      <c r="Z43" t="str">
        <f ca="1">OFFSET(G45,(ROW($1:$1)-1)*10,0)</f>
        <v>1,3;2,4;46,1-2</v>
      </c>
      <c r="AA43" s="14" t="s">
        <v>701</v>
      </c>
      <c r="AB43">
        <f ca="1" t="shared" si="24"/>
        <v>10</v>
      </c>
      <c r="AC43" t="str">
        <f ca="1" t="shared" si="25"/>
        <v>1,3;2,4;46,0-2</v>
      </c>
    </row>
    <row r="44" spans="2:27">
      <c r="B44">
        <f t="shared" si="42"/>
        <v>9</v>
      </c>
      <c r="C44" t="str">
        <f t="shared" si="34"/>
        <v>1,4;2,4;46,1-2</v>
      </c>
      <c r="D44">
        <f t="shared" si="26"/>
        <v>9</v>
      </c>
      <c r="E44" t="str">
        <f t="shared" si="35"/>
        <v>1,4;2,4;46,1-2</v>
      </c>
      <c r="F44">
        <f t="shared" si="28"/>
        <v>9</v>
      </c>
      <c r="G44" t="str">
        <f t="shared" si="36"/>
        <v>1,3;2,4;46,1-2</v>
      </c>
      <c r="H44">
        <f t="shared" si="29"/>
        <v>9</v>
      </c>
      <c r="I44" t="str">
        <f t="shared" si="37"/>
        <v>1,3;2,4;46,1-2</v>
      </c>
      <c r="J44">
        <f t="shared" si="30"/>
        <v>9</v>
      </c>
      <c r="K44" t="str">
        <f t="shared" si="38"/>
        <v>1,2;2,5;46,1-3</v>
      </c>
      <c r="L44">
        <f t="shared" si="31"/>
        <v>9</v>
      </c>
      <c r="M44" t="str">
        <f t="shared" si="39"/>
        <v>1,2;2,5;46,1-3</v>
      </c>
      <c r="N44">
        <f t="shared" si="32"/>
        <v>9</v>
      </c>
      <c r="O44" t="str">
        <f t="shared" si="40"/>
        <v>1,2;2,5;46,1-3</v>
      </c>
      <c r="P44">
        <f t="shared" si="33"/>
        <v>9</v>
      </c>
      <c r="Q44" t="str">
        <f t="shared" si="41"/>
        <v>1,2;2,5;46,1-3</v>
      </c>
      <c r="R44" s="11">
        <v>10501</v>
      </c>
      <c r="U44" s="12" t="s">
        <v>315</v>
      </c>
      <c r="X44" s="12" t="s">
        <v>509</v>
      </c>
      <c r="AA44" s="12" t="s">
        <v>703</v>
      </c>
    </row>
    <row r="45" spans="2:29">
      <c r="B45">
        <f t="shared" si="42"/>
        <v>10</v>
      </c>
      <c r="C45" t="str">
        <f t="shared" si="34"/>
        <v>1,4;2,4;46,1-2</v>
      </c>
      <c r="D45">
        <f t="shared" si="26"/>
        <v>10</v>
      </c>
      <c r="E45" t="str">
        <f t="shared" si="35"/>
        <v>1,4;2,4;46,1-2</v>
      </c>
      <c r="F45">
        <f t="shared" si="28"/>
        <v>10</v>
      </c>
      <c r="G45" t="str">
        <f t="shared" si="36"/>
        <v>1,3;2,4;46,1-2</v>
      </c>
      <c r="H45">
        <f t="shared" si="29"/>
        <v>10</v>
      </c>
      <c r="I45" t="str">
        <f t="shared" si="37"/>
        <v>1,3;2,4;46,1-2</v>
      </c>
      <c r="J45">
        <f t="shared" si="30"/>
        <v>10</v>
      </c>
      <c r="K45" t="str">
        <f t="shared" si="38"/>
        <v>1,2;2,5;46,1-3</v>
      </c>
      <c r="L45">
        <f t="shared" si="31"/>
        <v>10</v>
      </c>
      <c r="M45" t="str">
        <f t="shared" si="39"/>
        <v>1,2;2,5;46,1-3</v>
      </c>
      <c r="N45">
        <f t="shared" si="32"/>
        <v>10</v>
      </c>
      <c r="O45" t="str">
        <f t="shared" si="40"/>
        <v>1,2;2,5;46,1-3</v>
      </c>
      <c r="P45">
        <f t="shared" si="33"/>
        <v>10</v>
      </c>
      <c r="Q45" t="str">
        <f t="shared" si="41"/>
        <v>1,2;2,5;46,1-3</v>
      </c>
      <c r="R45" s="8">
        <v>10601</v>
      </c>
      <c r="S45">
        <f ca="1">OFFSET(H12,(ROW($1:$1)-1)*10,0)</f>
        <v>1</v>
      </c>
      <c r="T45" t="str">
        <f ca="1">OFFSET(I12,(ROW($1:$1)-1)*10,0)</f>
        <v>1,3;2,4;46,3-2</v>
      </c>
      <c r="U45" s="9" t="s">
        <v>316</v>
      </c>
      <c r="V45">
        <f ca="1">OFFSET(H24,(ROW($1:$1)-1)*10,0)</f>
        <v>1</v>
      </c>
      <c r="W45" t="str">
        <f ca="1">OFFSET(I24,(ROW($1:$1)-1)*10,0)</f>
        <v>1,3;2,4;46,2-2</v>
      </c>
      <c r="X45" s="10" t="s">
        <v>510</v>
      </c>
      <c r="Y45">
        <f ca="1">OFFSET(H36,(ROW($1:$1)-1)*10,0)</f>
        <v>1</v>
      </c>
      <c r="Z45" t="str">
        <f ca="1">OFFSET(I36,(ROW($1:$1)-1)*10,0)</f>
        <v>1,3;2,4;46,1-2</v>
      </c>
      <c r="AA45" s="14" t="s">
        <v>704</v>
      </c>
      <c r="AB45">
        <f ca="1">OFFSET(H48,(ROW($1:$1)-1)*10,0)</f>
        <v>1</v>
      </c>
      <c r="AC45" t="str">
        <f ca="1">OFFSET(I48,(ROW($1:$1)-1)*10,0)</f>
        <v>1,3;2,4;46,0-2</v>
      </c>
    </row>
    <row r="46" spans="18:29">
      <c r="R46" s="8">
        <v>10602</v>
      </c>
      <c r="S46">
        <f ca="1">OFFSET(H13,(ROW($1:$1)-1)*10,0)</f>
        <v>2</v>
      </c>
      <c r="T46" t="str">
        <f ca="1" t="shared" ref="T46:T54" si="43">OFFSET(I13,(ROW($1:$1)-1)*10,0)</f>
        <v>1,3;2,4;46,3-2</v>
      </c>
      <c r="U46" s="9" t="s">
        <v>319</v>
      </c>
      <c r="V46">
        <f ca="1">OFFSET(H25,(ROW($1:$1)-1)*10,0)</f>
        <v>2</v>
      </c>
      <c r="W46" t="str">
        <f ca="1">OFFSET(I25,(ROW($1:$1)-1)*10,0)</f>
        <v>1,3;2,4;46,2-2</v>
      </c>
      <c r="X46" s="10" t="s">
        <v>513</v>
      </c>
      <c r="Y46">
        <f ca="1">OFFSET(H37,(ROW($1:$1)-1)*10,0)</f>
        <v>2</v>
      </c>
      <c r="Z46" t="str">
        <f ca="1">OFFSET(I37,(ROW($1:$1)-1)*10,0)</f>
        <v>1,3;2,4;46,1-2</v>
      </c>
      <c r="AA46" s="14" t="s">
        <v>707</v>
      </c>
      <c r="AB46">
        <f ca="1" t="shared" ref="AB46:AB53" si="44">OFFSET(H49,(ROW($1:$1)-1)*10,0)</f>
        <v>2</v>
      </c>
      <c r="AC46" t="str">
        <f ca="1" t="shared" ref="AC46:AC53" si="45">OFFSET(I49,(ROW($1:$1)-1)*10,0)</f>
        <v>1,3;2,4;46,0-2</v>
      </c>
    </row>
    <row r="47" spans="18:29">
      <c r="R47" s="8">
        <v>10603</v>
      </c>
      <c r="S47">
        <f ca="1">OFFSET(H14,(ROW($1:$1)-1)*10,0)</f>
        <v>3</v>
      </c>
      <c r="T47" t="str">
        <f ca="1" t="shared" si="43"/>
        <v>1,3;2,4;46,3-2</v>
      </c>
      <c r="U47" s="9" t="s">
        <v>321</v>
      </c>
      <c r="V47">
        <f ca="1">OFFSET(H26,(ROW($1:$1)-1)*10,0)</f>
        <v>3</v>
      </c>
      <c r="W47" t="str">
        <f ca="1">OFFSET(I26,(ROW($1:$1)-1)*10,0)</f>
        <v>1,3;2,4;46,2-2</v>
      </c>
      <c r="X47" s="10" t="s">
        <v>515</v>
      </c>
      <c r="Y47">
        <f ca="1">OFFSET(H38,(ROW($1:$1)-1)*10,0)</f>
        <v>3</v>
      </c>
      <c r="Z47" t="str">
        <f ca="1">OFFSET(I38,(ROW($1:$1)-1)*10,0)</f>
        <v>1,3;2,4;46,1-2</v>
      </c>
      <c r="AA47" s="14" t="s">
        <v>709</v>
      </c>
      <c r="AB47">
        <f ca="1" t="shared" si="44"/>
        <v>3</v>
      </c>
      <c r="AC47" t="str">
        <f ca="1" t="shared" si="45"/>
        <v>1,3;2,4;46,0-2</v>
      </c>
    </row>
    <row r="48" spans="2:29">
      <c r="B48">
        <f t="shared" si="42"/>
        <v>1</v>
      </c>
      <c r="C48" t="str">
        <f>REPLACE(C12,12,1,"0")</f>
        <v>1,4;2,3;46,0-1</v>
      </c>
      <c r="D48">
        <f t="shared" ref="D37:D57" si="46">D24</f>
        <v>1</v>
      </c>
      <c r="E48" t="str">
        <f t="shared" ref="D48:Q48" si="47">REPLACE(E12,12,1,"0")</f>
        <v>1,4;2,4;46,0-2</v>
      </c>
      <c r="F48">
        <f t="shared" ref="F37:F57" si="48">F24</f>
        <v>1</v>
      </c>
      <c r="G48" t="str">
        <f t="shared" si="47"/>
        <v>1,3;2,4;46,0-2</v>
      </c>
      <c r="H48">
        <f t="shared" ref="H37:H57" si="49">H24</f>
        <v>1</v>
      </c>
      <c r="I48" t="str">
        <f t="shared" si="47"/>
        <v>1,3;2,4;46,0-2</v>
      </c>
      <c r="J48">
        <f t="shared" ref="J37:J57" si="50">J24</f>
        <v>1</v>
      </c>
      <c r="K48" t="str">
        <f t="shared" si="47"/>
        <v>1,2;2,5;46,0-2</v>
      </c>
      <c r="L48">
        <f t="shared" ref="L37:L57" si="51">L24</f>
        <v>1</v>
      </c>
      <c r="M48" t="str">
        <f t="shared" si="47"/>
        <v>1,2;2,5;46,0-3</v>
      </c>
      <c r="N48">
        <f t="shared" ref="N37:N57" si="52">N24</f>
        <v>1</v>
      </c>
      <c r="O48" t="str">
        <f t="shared" si="47"/>
        <v>1,2;2,5;46,0-3</v>
      </c>
      <c r="P48">
        <f t="shared" ref="P37:P57" si="53">P24</f>
        <v>1</v>
      </c>
      <c r="Q48" t="str">
        <f t="shared" si="47"/>
        <v>1,2;2,5;46,0-3</v>
      </c>
      <c r="R48" s="8">
        <v>10604</v>
      </c>
      <c r="S48">
        <f ca="1">OFFSET(H15,(ROW($1:$1)-1)*10,0)</f>
        <v>4</v>
      </c>
      <c r="T48" t="str">
        <f ca="1" t="shared" si="43"/>
        <v>1,3;2,4;46,3-2</v>
      </c>
      <c r="U48" s="9" t="s">
        <v>324</v>
      </c>
      <c r="V48">
        <f ca="1">OFFSET(H27,(ROW($1:$1)-1)*10,0)</f>
        <v>4</v>
      </c>
      <c r="W48" t="str">
        <f ca="1">OFFSET(I27,(ROW($1:$1)-1)*10,0)</f>
        <v>1,3;2,4;46,2-2</v>
      </c>
      <c r="X48" s="10" t="s">
        <v>518</v>
      </c>
      <c r="Y48">
        <f ca="1">OFFSET(H39,(ROW($1:$1)-1)*10,0)</f>
        <v>4</v>
      </c>
      <c r="Z48" t="str">
        <f ca="1">OFFSET(I39,(ROW($1:$1)-1)*10,0)</f>
        <v>1,3;2,4;46,1-2</v>
      </c>
      <c r="AA48" s="14" t="s">
        <v>712</v>
      </c>
      <c r="AB48">
        <f ca="1" t="shared" si="44"/>
        <v>4</v>
      </c>
      <c r="AC48" t="str">
        <f ca="1" t="shared" si="45"/>
        <v>1,3;2,4;46,0-2</v>
      </c>
    </row>
    <row r="49" spans="2:29">
      <c r="B49">
        <f t="shared" si="42"/>
        <v>2</v>
      </c>
      <c r="C49" t="str">
        <f t="shared" ref="C49:C57" si="54">REPLACE(C13,12,1,"0")</f>
        <v>1,4;2,3;46,0-1</v>
      </c>
      <c r="D49">
        <f t="shared" si="46"/>
        <v>2</v>
      </c>
      <c r="E49" t="str">
        <f t="shared" ref="E49:E57" si="55">REPLACE(E13,12,1,"0")</f>
        <v>1,4;2,4;46,0-2</v>
      </c>
      <c r="F49">
        <f t="shared" si="48"/>
        <v>2</v>
      </c>
      <c r="G49" t="str">
        <f t="shared" ref="G49:G57" si="56">REPLACE(G13,12,1,"0")</f>
        <v>1,3;2,4;46,0-2</v>
      </c>
      <c r="H49">
        <f t="shared" si="49"/>
        <v>2</v>
      </c>
      <c r="I49" t="str">
        <f t="shared" ref="I49:I57" si="57">REPLACE(I13,12,1,"0")</f>
        <v>1,3;2,4;46,0-2</v>
      </c>
      <c r="J49">
        <f t="shared" si="50"/>
        <v>2</v>
      </c>
      <c r="K49" t="str">
        <f t="shared" ref="K49:K57" si="58">REPLACE(K13,12,1,"0")</f>
        <v>1,2;2,5;46,0-2</v>
      </c>
      <c r="L49">
        <f t="shared" si="51"/>
        <v>2</v>
      </c>
      <c r="M49" t="str">
        <f t="shared" ref="M49:M57" si="59">REPLACE(M13,12,1,"0")</f>
        <v>1,2;2,5;46,0-3</v>
      </c>
      <c r="N49">
        <f t="shared" si="52"/>
        <v>2</v>
      </c>
      <c r="O49" t="str">
        <f t="shared" ref="O49:O57" si="60">REPLACE(O13,12,1,"0")</f>
        <v>1,2;2,5;46,0-3</v>
      </c>
      <c r="P49">
        <f t="shared" si="53"/>
        <v>2</v>
      </c>
      <c r="Q49" t="str">
        <f t="shared" ref="Q49:Q57" si="61">REPLACE(Q13,12,1,"0")</f>
        <v>1,2;2,5;46,0-3</v>
      </c>
      <c r="R49" s="8">
        <v>10605</v>
      </c>
      <c r="S49">
        <f ca="1">OFFSET(H16,(ROW($1:$1)-1)*10,0)</f>
        <v>5</v>
      </c>
      <c r="T49" t="str">
        <f ca="1" t="shared" si="43"/>
        <v>1,3;2,4;46,3-2</v>
      </c>
      <c r="U49" s="9" t="s">
        <v>326</v>
      </c>
      <c r="V49">
        <f ca="1">OFFSET(H28,(ROW($1:$1)-1)*10,0)</f>
        <v>5</v>
      </c>
      <c r="W49" t="str">
        <f ca="1">OFFSET(I28,(ROW($1:$1)-1)*10,0)</f>
        <v>1,3;2,4;46,2-2</v>
      </c>
      <c r="X49" s="10" t="s">
        <v>520</v>
      </c>
      <c r="Y49">
        <f ca="1">OFFSET(H40,(ROW($1:$1)-1)*10,0)</f>
        <v>5</v>
      </c>
      <c r="Z49" t="str">
        <f ca="1">OFFSET(I40,(ROW($1:$1)-1)*10,0)</f>
        <v>1,3;2,4;46,1-2</v>
      </c>
      <c r="AA49" s="14" t="s">
        <v>714</v>
      </c>
      <c r="AB49">
        <f ca="1" t="shared" si="44"/>
        <v>5</v>
      </c>
      <c r="AC49" t="str">
        <f ca="1" t="shared" si="45"/>
        <v>1,3;2,4;46,0-2</v>
      </c>
    </row>
    <row r="50" spans="2:29">
      <c r="B50">
        <f t="shared" si="42"/>
        <v>3</v>
      </c>
      <c r="C50" t="str">
        <f t="shared" si="54"/>
        <v>1,4;2,3;46,0-1</v>
      </c>
      <c r="D50">
        <f t="shared" si="46"/>
        <v>3</v>
      </c>
      <c r="E50" t="str">
        <f t="shared" si="55"/>
        <v>1,4;2,4;46,0-2</v>
      </c>
      <c r="F50">
        <f t="shared" si="48"/>
        <v>3</v>
      </c>
      <c r="G50" t="str">
        <f t="shared" si="56"/>
        <v>1,3;2,4;46,0-2</v>
      </c>
      <c r="H50">
        <f t="shared" si="49"/>
        <v>3</v>
      </c>
      <c r="I50" t="str">
        <f t="shared" si="57"/>
        <v>1,3;2,4;46,0-2</v>
      </c>
      <c r="J50">
        <f t="shared" si="50"/>
        <v>3</v>
      </c>
      <c r="K50" t="str">
        <f t="shared" si="58"/>
        <v>1,2;2,5;46,0-2</v>
      </c>
      <c r="L50">
        <f t="shared" si="51"/>
        <v>3</v>
      </c>
      <c r="M50" t="str">
        <f t="shared" si="59"/>
        <v>1,2;2,5;46,0-3</v>
      </c>
      <c r="N50">
        <f t="shared" si="52"/>
        <v>3</v>
      </c>
      <c r="O50" t="str">
        <f t="shared" si="60"/>
        <v>1,2;2,5;46,0-3</v>
      </c>
      <c r="P50">
        <f t="shared" si="53"/>
        <v>3</v>
      </c>
      <c r="Q50" t="str">
        <f t="shared" si="61"/>
        <v>1,2;2,5;46,0-3</v>
      </c>
      <c r="R50" s="8">
        <v>10606</v>
      </c>
      <c r="S50">
        <f ca="1">OFFSET(H17,(ROW($1:$1)-1)*10,0)</f>
        <v>6</v>
      </c>
      <c r="T50" t="str">
        <f ca="1" t="shared" si="43"/>
        <v>1,3;2,4;46,3-2</v>
      </c>
      <c r="U50" s="9" t="s">
        <v>328</v>
      </c>
      <c r="V50">
        <f ca="1">OFFSET(H29,(ROW($1:$1)-1)*10,0)</f>
        <v>6</v>
      </c>
      <c r="W50" t="str">
        <f ca="1">OFFSET(I29,(ROW($1:$1)-1)*10,0)</f>
        <v>1,3;2,4;46,2-2</v>
      </c>
      <c r="X50" s="10" t="s">
        <v>522</v>
      </c>
      <c r="Y50">
        <f ca="1">OFFSET(H41,(ROW($1:$1)-1)*10,0)</f>
        <v>6</v>
      </c>
      <c r="Z50" t="str">
        <f ca="1">OFFSET(I41,(ROW($1:$1)-1)*10,0)</f>
        <v>1,3;2,4;46,1-2</v>
      </c>
      <c r="AA50" s="14" t="s">
        <v>716</v>
      </c>
      <c r="AB50">
        <f ca="1" t="shared" si="44"/>
        <v>6</v>
      </c>
      <c r="AC50" t="str">
        <f ca="1" t="shared" si="45"/>
        <v>1,3;2,4;46,0-2</v>
      </c>
    </row>
    <row r="51" spans="2:29">
      <c r="B51">
        <f t="shared" si="42"/>
        <v>4</v>
      </c>
      <c r="C51" t="str">
        <f t="shared" si="54"/>
        <v>1,4;2,3;46,0-1</v>
      </c>
      <c r="D51">
        <f t="shared" si="46"/>
        <v>4</v>
      </c>
      <c r="E51" t="str">
        <f t="shared" si="55"/>
        <v>1,4;2,4;46,0-2</v>
      </c>
      <c r="F51">
        <f t="shared" si="48"/>
        <v>4</v>
      </c>
      <c r="G51" t="str">
        <f t="shared" si="56"/>
        <v>1,3;2,4;46,0-2</v>
      </c>
      <c r="H51">
        <f t="shared" si="49"/>
        <v>4</v>
      </c>
      <c r="I51" t="str">
        <f t="shared" si="57"/>
        <v>1,3;2,4;46,0-2</v>
      </c>
      <c r="J51">
        <f t="shared" si="50"/>
        <v>4</v>
      </c>
      <c r="K51" t="str">
        <f t="shared" si="58"/>
        <v>1,2;2,5;46,0-2</v>
      </c>
      <c r="L51">
        <f t="shared" si="51"/>
        <v>4</v>
      </c>
      <c r="M51" t="str">
        <f t="shared" si="59"/>
        <v>1,2;2,5;46,0-3</v>
      </c>
      <c r="N51">
        <f t="shared" si="52"/>
        <v>4</v>
      </c>
      <c r="O51" t="str">
        <f t="shared" si="60"/>
        <v>1,2;2,5;46,0-3</v>
      </c>
      <c r="P51">
        <f t="shared" si="53"/>
        <v>4</v>
      </c>
      <c r="Q51" t="str">
        <f t="shared" si="61"/>
        <v>1,2;2,5;46,0-3</v>
      </c>
      <c r="R51" s="8">
        <v>10607</v>
      </c>
      <c r="S51">
        <f ca="1">OFFSET(H18,(ROW($1:$1)-1)*10,0)</f>
        <v>7</v>
      </c>
      <c r="T51" t="str">
        <f ca="1" t="shared" si="43"/>
        <v>1,3;2,4;46,3-2</v>
      </c>
      <c r="U51" s="9" t="s">
        <v>332</v>
      </c>
      <c r="V51">
        <f ca="1">OFFSET(H30,(ROW($1:$1)-1)*10,0)</f>
        <v>7</v>
      </c>
      <c r="W51" t="str">
        <f ca="1">OFFSET(I30,(ROW($1:$1)-1)*10,0)</f>
        <v>1,3;2,4;46,2-2</v>
      </c>
      <c r="X51" s="10" t="s">
        <v>526</v>
      </c>
      <c r="Y51">
        <f ca="1">OFFSET(H42,(ROW($1:$1)-1)*10,0)</f>
        <v>7</v>
      </c>
      <c r="Z51" t="str">
        <f ca="1">OFFSET(I42,(ROW($1:$1)-1)*10,0)</f>
        <v>1,3;2,4;46,1-2</v>
      </c>
      <c r="AA51" s="14" t="s">
        <v>720</v>
      </c>
      <c r="AB51">
        <f ca="1" t="shared" si="44"/>
        <v>7</v>
      </c>
      <c r="AC51" t="str">
        <f ca="1" t="shared" si="45"/>
        <v>1,3;2,4;46,0-2</v>
      </c>
    </row>
    <row r="52" spans="2:29">
      <c r="B52">
        <f t="shared" si="42"/>
        <v>5</v>
      </c>
      <c r="C52" t="str">
        <f t="shared" si="54"/>
        <v>1,4;2,3;46,0-1</v>
      </c>
      <c r="D52">
        <f t="shared" si="46"/>
        <v>5</v>
      </c>
      <c r="E52" t="str">
        <f t="shared" si="55"/>
        <v>1,4;2,4;46,0-2</v>
      </c>
      <c r="F52">
        <f t="shared" si="48"/>
        <v>5</v>
      </c>
      <c r="G52" t="str">
        <f t="shared" si="56"/>
        <v>1,3;2,4;46,0-2</v>
      </c>
      <c r="H52">
        <f t="shared" si="49"/>
        <v>5</v>
      </c>
      <c r="I52" t="str">
        <f t="shared" si="57"/>
        <v>1,3;2,4;46,0-2</v>
      </c>
      <c r="J52">
        <f t="shared" si="50"/>
        <v>5</v>
      </c>
      <c r="K52" t="str">
        <f t="shared" si="58"/>
        <v>1,2;2,5;46,0-3</v>
      </c>
      <c r="L52">
        <f t="shared" si="51"/>
        <v>5</v>
      </c>
      <c r="M52" t="str">
        <f t="shared" si="59"/>
        <v>1,2;2,5;46,0-3</v>
      </c>
      <c r="N52">
        <f t="shared" si="52"/>
        <v>5</v>
      </c>
      <c r="O52" t="str">
        <f t="shared" si="60"/>
        <v>1,2;2,5;46,0-3</v>
      </c>
      <c r="P52">
        <f t="shared" si="53"/>
        <v>5</v>
      </c>
      <c r="Q52" t="str">
        <f t="shared" si="61"/>
        <v>1,2;2,5;46,0-3</v>
      </c>
      <c r="R52" s="8">
        <v>10608</v>
      </c>
      <c r="S52">
        <f ca="1">OFFSET(H19,(ROW($1:$1)-1)*10,0)</f>
        <v>8</v>
      </c>
      <c r="T52" t="str">
        <f ca="1" t="shared" si="43"/>
        <v>1,3;2,4;46,3-2</v>
      </c>
      <c r="U52" s="9" t="s">
        <v>334</v>
      </c>
      <c r="V52">
        <f ca="1">OFFSET(H31,(ROW($1:$1)-1)*10,0)</f>
        <v>8</v>
      </c>
      <c r="W52" t="str">
        <f ca="1">OFFSET(I31,(ROW($1:$1)-1)*10,0)</f>
        <v>1,3;2,4;46,2-2</v>
      </c>
      <c r="X52" s="10" t="s">
        <v>528</v>
      </c>
      <c r="Y52">
        <f ca="1">OFFSET(H43,(ROW($1:$1)-1)*10,0)</f>
        <v>8</v>
      </c>
      <c r="Z52" t="str">
        <f ca="1">OFFSET(I43,(ROW($1:$1)-1)*10,0)</f>
        <v>1,3;2,4;46,1-2</v>
      </c>
      <c r="AA52" s="14" t="s">
        <v>722</v>
      </c>
      <c r="AB52">
        <f ca="1" t="shared" si="44"/>
        <v>8</v>
      </c>
      <c r="AC52" t="str">
        <f ca="1" t="shared" si="45"/>
        <v>1,3;2,4;46,0-2</v>
      </c>
    </row>
    <row r="53" spans="2:29">
      <c r="B53">
        <f t="shared" si="42"/>
        <v>6</v>
      </c>
      <c r="C53" t="str">
        <f t="shared" si="54"/>
        <v>1,4;2,4;46,0-2</v>
      </c>
      <c r="D53">
        <f t="shared" si="46"/>
        <v>6</v>
      </c>
      <c r="E53" t="str">
        <f t="shared" si="55"/>
        <v>1,4;2,4;46,0-2</v>
      </c>
      <c r="F53">
        <f t="shared" si="48"/>
        <v>6</v>
      </c>
      <c r="G53" t="str">
        <f t="shared" si="56"/>
        <v>1,3;2,4;46,0-2</v>
      </c>
      <c r="H53">
        <f t="shared" si="49"/>
        <v>6</v>
      </c>
      <c r="I53" t="str">
        <f t="shared" si="57"/>
        <v>1,3;2,4;46,0-2</v>
      </c>
      <c r="J53">
        <f t="shared" si="50"/>
        <v>6</v>
      </c>
      <c r="K53" t="str">
        <f t="shared" si="58"/>
        <v>1,2;2,5;46,0-3</v>
      </c>
      <c r="L53">
        <f t="shared" si="51"/>
        <v>6</v>
      </c>
      <c r="M53" t="str">
        <f t="shared" si="59"/>
        <v>1,2;2,5;46,0-3</v>
      </c>
      <c r="N53">
        <f t="shared" si="52"/>
        <v>6</v>
      </c>
      <c r="O53" t="str">
        <f t="shared" si="60"/>
        <v>1,2;2,5;46,0-3</v>
      </c>
      <c r="P53">
        <f t="shared" si="53"/>
        <v>6</v>
      </c>
      <c r="Q53" t="str">
        <f t="shared" si="61"/>
        <v>1,2;2,5;46,0-3</v>
      </c>
      <c r="R53" s="8">
        <v>10609</v>
      </c>
      <c r="S53">
        <f ca="1">OFFSET(H20,(ROW($1:$1)-1)*10,0)</f>
        <v>9</v>
      </c>
      <c r="T53" t="str">
        <f ca="1" t="shared" si="43"/>
        <v>1,3;2,4;46,3-2</v>
      </c>
      <c r="U53" s="9" t="s">
        <v>336</v>
      </c>
      <c r="V53">
        <f ca="1">OFFSET(H32,(ROW($1:$1)-1)*10,0)</f>
        <v>9</v>
      </c>
      <c r="W53" t="str">
        <f ca="1">OFFSET(I32,(ROW($1:$1)-1)*10,0)</f>
        <v>1,3;2,4;46,2-2</v>
      </c>
      <c r="X53" s="10" t="s">
        <v>530</v>
      </c>
      <c r="Y53">
        <f ca="1">OFFSET(H44,(ROW($1:$1)-1)*10,0)</f>
        <v>9</v>
      </c>
      <c r="Z53" t="str">
        <f ca="1">OFFSET(I44,(ROW($1:$1)-1)*10,0)</f>
        <v>1,3;2,4;46,1-2</v>
      </c>
      <c r="AA53" s="14" t="s">
        <v>724</v>
      </c>
      <c r="AB53">
        <f ca="1" t="shared" si="44"/>
        <v>9</v>
      </c>
      <c r="AC53" t="str">
        <f ca="1" t="shared" si="45"/>
        <v>1,3;2,4;46,0-2</v>
      </c>
    </row>
    <row r="54" spans="2:29">
      <c r="B54">
        <f t="shared" si="42"/>
        <v>7</v>
      </c>
      <c r="C54" t="str">
        <f t="shared" si="54"/>
        <v>1,4;2,4;46,0-2</v>
      </c>
      <c r="D54">
        <f t="shared" si="46"/>
        <v>7</v>
      </c>
      <c r="E54" t="str">
        <f t="shared" si="55"/>
        <v>1,4;2,4;46,0-2</v>
      </c>
      <c r="F54">
        <f t="shared" si="48"/>
        <v>7</v>
      </c>
      <c r="G54" t="str">
        <f t="shared" si="56"/>
        <v>1,3;2,4;46,0-2</v>
      </c>
      <c r="H54">
        <f t="shared" si="49"/>
        <v>7</v>
      </c>
      <c r="I54" t="str">
        <f t="shared" si="57"/>
        <v>1,3;2,4;46,0-2</v>
      </c>
      <c r="J54">
        <f t="shared" si="50"/>
        <v>7</v>
      </c>
      <c r="K54" t="str">
        <f t="shared" si="58"/>
        <v>1,2;2,5;46,0-3</v>
      </c>
      <c r="L54">
        <f t="shared" si="51"/>
        <v>7</v>
      </c>
      <c r="M54" t="str">
        <f t="shared" si="59"/>
        <v>1,2;2,5;46,0-3</v>
      </c>
      <c r="N54">
        <f t="shared" si="52"/>
        <v>7</v>
      </c>
      <c r="O54" t="str">
        <f t="shared" si="60"/>
        <v>1,2;2,5;46,0-3</v>
      </c>
      <c r="P54">
        <f t="shared" si="53"/>
        <v>7</v>
      </c>
      <c r="Q54" t="str">
        <f t="shared" si="61"/>
        <v>1,2;2,5;46,0-3</v>
      </c>
      <c r="R54" s="8">
        <v>10610</v>
      </c>
      <c r="S54">
        <f ca="1">OFFSET(H21,(ROW($1:$1)-1)*10,0)</f>
        <v>10</v>
      </c>
      <c r="T54" t="str">
        <f ca="1" t="shared" si="43"/>
        <v>1,3;2,4;46,3-2</v>
      </c>
      <c r="U54" s="9" t="s">
        <v>338</v>
      </c>
      <c r="V54">
        <f ca="1">OFFSET(H33,(ROW($1:$1)-1)*10,0)</f>
        <v>10</v>
      </c>
      <c r="W54" t="str">
        <f ca="1">OFFSET(I33,(ROW($1:$1)-1)*10,0)</f>
        <v>1,3;2,4;46,2-2</v>
      </c>
      <c r="X54" s="10" t="s">
        <v>532</v>
      </c>
      <c r="Y54">
        <f ca="1">OFFSET(H45,(ROW($1:$1)-1)*10,0)</f>
        <v>10</v>
      </c>
      <c r="Z54" t="str">
        <f ca="1">OFFSET(I45,(ROW($1:$1)-1)*10,0)</f>
        <v>1,3;2,4;46,1-2</v>
      </c>
      <c r="AA54" s="14" t="s">
        <v>726</v>
      </c>
      <c r="AB54">
        <f ca="1">OFFSET(H57,(ROW($1:$1)-1)*10,0)</f>
        <v>10</v>
      </c>
      <c r="AC54" t="str">
        <f ca="1">OFFSET(I57,(ROW($1:$1)-1)*10,0)</f>
        <v>1,3;2,4;46,0-2</v>
      </c>
    </row>
    <row r="55" spans="2:27">
      <c r="B55">
        <f t="shared" si="42"/>
        <v>8</v>
      </c>
      <c r="C55" t="str">
        <f t="shared" si="54"/>
        <v>1,4;2,4;46,0-2</v>
      </c>
      <c r="D55">
        <f t="shared" si="46"/>
        <v>8</v>
      </c>
      <c r="E55" t="str">
        <f t="shared" si="55"/>
        <v>1,4;2,4;46,0-2</v>
      </c>
      <c r="F55">
        <f t="shared" si="48"/>
        <v>8</v>
      </c>
      <c r="G55" t="str">
        <f t="shared" si="56"/>
        <v>1,3;2,4;46,0-2</v>
      </c>
      <c r="H55">
        <f t="shared" si="49"/>
        <v>8</v>
      </c>
      <c r="I55" t="str">
        <f t="shared" si="57"/>
        <v>1,3;2,4;46,0-2</v>
      </c>
      <c r="J55">
        <f t="shared" si="50"/>
        <v>8</v>
      </c>
      <c r="K55" t="str">
        <f t="shared" si="58"/>
        <v>1,2;2,5;46,0-3</v>
      </c>
      <c r="L55">
        <f t="shared" si="51"/>
        <v>8</v>
      </c>
      <c r="M55" t="str">
        <f t="shared" si="59"/>
        <v>1,2;2,5;46,0-3</v>
      </c>
      <c r="N55">
        <f t="shared" si="52"/>
        <v>8</v>
      </c>
      <c r="O55" t="str">
        <f t="shared" si="60"/>
        <v>1,2;2,5;46,0-3</v>
      </c>
      <c r="P55">
        <f t="shared" si="53"/>
        <v>8</v>
      </c>
      <c r="Q55" t="str">
        <f t="shared" si="61"/>
        <v>1,2;2,5;46,0-3</v>
      </c>
      <c r="R55" s="11">
        <v>10701</v>
      </c>
      <c r="U55" s="12" t="s">
        <v>340</v>
      </c>
      <c r="X55" s="12" t="s">
        <v>534</v>
      </c>
      <c r="AA55" s="12" t="s">
        <v>728</v>
      </c>
    </row>
    <row r="56" spans="2:29">
      <c r="B56">
        <f t="shared" si="42"/>
        <v>9</v>
      </c>
      <c r="C56" t="str">
        <f t="shared" si="54"/>
        <v>1,4;2,4;46,0-2</v>
      </c>
      <c r="D56">
        <f t="shared" si="46"/>
        <v>9</v>
      </c>
      <c r="E56" t="str">
        <f t="shared" si="55"/>
        <v>1,4;2,4;46,0-2</v>
      </c>
      <c r="F56">
        <f t="shared" si="48"/>
        <v>9</v>
      </c>
      <c r="G56" t="str">
        <f t="shared" si="56"/>
        <v>1,3;2,4;46,0-2</v>
      </c>
      <c r="H56">
        <f t="shared" si="49"/>
        <v>9</v>
      </c>
      <c r="I56" t="str">
        <f t="shared" si="57"/>
        <v>1,3;2,4;46,0-2</v>
      </c>
      <c r="J56">
        <f t="shared" si="50"/>
        <v>9</v>
      </c>
      <c r="K56" t="str">
        <f t="shared" si="58"/>
        <v>1,2;2,5;46,0-3</v>
      </c>
      <c r="L56">
        <f t="shared" si="51"/>
        <v>9</v>
      </c>
      <c r="M56" t="str">
        <f t="shared" si="59"/>
        <v>1,2;2,5;46,0-3</v>
      </c>
      <c r="N56">
        <f t="shared" si="52"/>
        <v>9</v>
      </c>
      <c r="O56" t="str">
        <f t="shared" si="60"/>
        <v>1,2;2,5;46,0-3</v>
      </c>
      <c r="P56">
        <f t="shared" si="53"/>
        <v>9</v>
      </c>
      <c r="Q56" t="str">
        <f t="shared" si="61"/>
        <v>1,2;2,5;46,0-3</v>
      </c>
      <c r="R56" s="8">
        <v>10801</v>
      </c>
      <c r="S56">
        <f ca="1">OFFSET(J12,(ROW($1:$1)-1)*10,0)</f>
        <v>1</v>
      </c>
      <c r="T56" t="str">
        <f ca="1">OFFSET(K12,(ROW($1:$1)-1)*10,0)</f>
        <v>1,2;2,5;46,3-2</v>
      </c>
      <c r="U56" s="9" t="s">
        <v>341</v>
      </c>
      <c r="V56">
        <f ca="1">OFFSET(J24,(ROW($1:$1)-1)*10,0)</f>
        <v>1</v>
      </c>
      <c r="W56" t="str">
        <f ca="1">OFFSET(K24,(ROW($1:$1)-1)*10,0)</f>
        <v>1,2;2,5;46,2-2</v>
      </c>
      <c r="X56" s="10" t="s">
        <v>535</v>
      </c>
      <c r="Y56">
        <f ca="1">OFFSET(J36,(ROW($1:$1)-1)*10,0)</f>
        <v>1</v>
      </c>
      <c r="Z56" t="str">
        <f ca="1">OFFSET(K36,(ROW($1:$1)-1)*10,0)</f>
        <v>1,2;2,5;46,1-2</v>
      </c>
      <c r="AA56" s="14" t="s">
        <v>729</v>
      </c>
      <c r="AB56">
        <f ca="1">OFFSET(J48,(ROW($1:$1)-1)*10,0)</f>
        <v>1</v>
      </c>
      <c r="AC56" t="str">
        <f ca="1">OFFSET(K48,(ROW($1:$1)-1)*10,0)</f>
        <v>1,2;2,5;46,0-2</v>
      </c>
    </row>
    <row r="57" spans="2:29">
      <c r="B57">
        <f t="shared" si="42"/>
        <v>10</v>
      </c>
      <c r="C57" t="str">
        <f t="shared" si="54"/>
        <v>1,4;2,4;46,0-2</v>
      </c>
      <c r="D57">
        <f t="shared" si="46"/>
        <v>10</v>
      </c>
      <c r="E57" t="str">
        <f t="shared" si="55"/>
        <v>1,4;2,4;46,0-2</v>
      </c>
      <c r="F57">
        <f t="shared" si="48"/>
        <v>10</v>
      </c>
      <c r="G57" t="str">
        <f t="shared" si="56"/>
        <v>1,3;2,4;46,0-2</v>
      </c>
      <c r="H57">
        <f t="shared" si="49"/>
        <v>10</v>
      </c>
      <c r="I57" t="str">
        <f t="shared" si="57"/>
        <v>1,3;2,4;46,0-2</v>
      </c>
      <c r="J57">
        <f t="shared" si="50"/>
        <v>10</v>
      </c>
      <c r="K57" t="str">
        <f t="shared" si="58"/>
        <v>1,2;2,5;46,0-3</v>
      </c>
      <c r="L57">
        <f t="shared" si="51"/>
        <v>10</v>
      </c>
      <c r="M57" t="str">
        <f t="shared" si="59"/>
        <v>1,2;2,5;46,0-3</v>
      </c>
      <c r="N57">
        <f t="shared" si="52"/>
        <v>10</v>
      </c>
      <c r="O57" t="str">
        <f t="shared" si="60"/>
        <v>1,2;2,5;46,0-3</v>
      </c>
      <c r="P57">
        <f t="shared" si="53"/>
        <v>10</v>
      </c>
      <c r="Q57" t="str">
        <f t="shared" si="61"/>
        <v>1,2;2,5;46,0-3</v>
      </c>
      <c r="R57" s="8">
        <v>10802</v>
      </c>
      <c r="S57">
        <f ca="1" t="shared" ref="S57:S65" si="62">OFFSET(J13,(ROW($1:$1)-1)*10,0)</f>
        <v>2</v>
      </c>
      <c r="T57" t="str">
        <f ca="1" t="shared" ref="T57:T65" si="63">OFFSET(K13,(ROW($1:$1)-1)*10,0)</f>
        <v>1,2;2,5;46,3-2</v>
      </c>
      <c r="U57" s="9" t="s">
        <v>345</v>
      </c>
      <c r="V57">
        <f ca="1">OFFSET(J25,(ROW($1:$1)-1)*10,0)</f>
        <v>2</v>
      </c>
      <c r="W57" t="str">
        <f ca="1">OFFSET(K25,(ROW($1:$1)-1)*10,0)</f>
        <v>1,2;2,5;46,2-2</v>
      </c>
      <c r="X57" s="10" t="s">
        <v>539</v>
      </c>
      <c r="Y57">
        <f ca="1">OFFSET(J37,(ROW($1:$1)-1)*10,0)</f>
        <v>2</v>
      </c>
      <c r="Z57" t="str">
        <f ca="1">OFFSET(K37,(ROW($1:$1)-1)*10,0)</f>
        <v>1,2;2,5;46,1-2</v>
      </c>
      <c r="AA57" s="14" t="s">
        <v>733</v>
      </c>
      <c r="AB57">
        <f ca="1">OFFSET(J49,(ROW($1:$1)-1)*10,0)</f>
        <v>2</v>
      </c>
      <c r="AC57" t="str">
        <f ca="1">OFFSET(K49,(ROW($1:$1)-1)*10,0)</f>
        <v>1,2;2,5;46,0-2</v>
      </c>
    </row>
    <row r="58" spans="18:29">
      <c r="R58" s="8">
        <v>10803</v>
      </c>
      <c r="S58">
        <f ca="1" t="shared" si="62"/>
        <v>3</v>
      </c>
      <c r="T58" t="str">
        <f ca="1" t="shared" si="63"/>
        <v>1,2;2,5;46,3-2</v>
      </c>
      <c r="U58" s="9" t="s">
        <v>347</v>
      </c>
      <c r="V58">
        <f ca="1">OFFSET(J26,(ROW($1:$1)-1)*10,0)</f>
        <v>3</v>
      </c>
      <c r="W58" t="str">
        <f ca="1">OFFSET(K26,(ROW($1:$1)-1)*10,0)</f>
        <v>1,2;2,5;46,2-2</v>
      </c>
      <c r="X58" s="10" t="s">
        <v>541</v>
      </c>
      <c r="Y58">
        <f ca="1">OFFSET(J38,(ROW($1:$1)-1)*10,0)</f>
        <v>3</v>
      </c>
      <c r="Z58" t="str">
        <f ca="1">OFFSET(K38,(ROW($1:$1)-1)*10,0)</f>
        <v>1,2;2,5;46,1-2</v>
      </c>
      <c r="AA58" s="14" t="s">
        <v>735</v>
      </c>
      <c r="AB58">
        <f ca="1">OFFSET(J50,(ROW($1:$1)-1)*10,0)</f>
        <v>3</v>
      </c>
      <c r="AC58" t="str">
        <f ca="1">OFFSET(K50,(ROW($1:$1)-1)*10,0)</f>
        <v>1,2;2,5;46,0-2</v>
      </c>
    </row>
    <row r="59" spans="18:29">
      <c r="R59" s="8">
        <v>10804</v>
      </c>
      <c r="S59">
        <f ca="1" t="shared" si="62"/>
        <v>4</v>
      </c>
      <c r="T59" t="str">
        <f ca="1" t="shared" si="63"/>
        <v>1,2;2,5;46,3-2</v>
      </c>
      <c r="U59" s="9" t="s">
        <v>349</v>
      </c>
      <c r="V59">
        <f ca="1">OFFSET(J27,(ROW($1:$1)-1)*10,0)</f>
        <v>4</v>
      </c>
      <c r="W59" t="str">
        <f ca="1">OFFSET(K27,(ROW($1:$1)-1)*10,0)</f>
        <v>1,2;2,5;46,2-2</v>
      </c>
      <c r="X59" s="10" t="s">
        <v>543</v>
      </c>
      <c r="Y59">
        <f ca="1">OFFSET(J39,(ROW($1:$1)-1)*10,0)</f>
        <v>4</v>
      </c>
      <c r="Z59" t="str">
        <f ca="1">OFFSET(K39,(ROW($1:$1)-1)*10,0)</f>
        <v>1,2;2,5;46,1-2</v>
      </c>
      <c r="AA59" s="14" t="s">
        <v>737</v>
      </c>
      <c r="AB59">
        <f ca="1">OFFSET(J51,(ROW($1:$1)-1)*10,0)</f>
        <v>4</v>
      </c>
      <c r="AC59" t="str">
        <f ca="1">OFFSET(K51,(ROW($1:$1)-1)*10,0)</f>
        <v>1,2;2,5;46,0-2</v>
      </c>
    </row>
    <row r="60" spans="18:29">
      <c r="R60" s="8">
        <v>10805</v>
      </c>
      <c r="S60">
        <f ca="1" t="shared" si="62"/>
        <v>5</v>
      </c>
      <c r="T60" t="str">
        <f ca="1" t="shared" si="63"/>
        <v>1,2;2,5;46,3-3</v>
      </c>
      <c r="U60" s="9" t="s">
        <v>351</v>
      </c>
      <c r="V60">
        <f ca="1">OFFSET(J28,(ROW($1:$1)-1)*10,0)</f>
        <v>5</v>
      </c>
      <c r="W60" t="str">
        <f ca="1">OFFSET(K28,(ROW($1:$1)-1)*10,0)</f>
        <v>1,2;2,5;46,2-3</v>
      </c>
      <c r="X60" s="10" t="s">
        <v>545</v>
      </c>
      <c r="Y60">
        <f ca="1">OFFSET(J40,(ROW($1:$1)-1)*10,0)</f>
        <v>5</v>
      </c>
      <c r="Z60" t="str">
        <f ca="1">OFFSET(K40,(ROW($1:$1)-1)*10,0)</f>
        <v>1,2;2,5;46,1-3</v>
      </c>
      <c r="AA60" s="14" t="s">
        <v>739</v>
      </c>
      <c r="AB60">
        <f ca="1">OFFSET(J52,(ROW($1:$1)-1)*10,0)</f>
        <v>5</v>
      </c>
      <c r="AC60" t="str">
        <f ca="1">OFFSET(K52,(ROW($1:$1)-1)*10,0)</f>
        <v>1,2;2,5;46,0-3</v>
      </c>
    </row>
    <row r="61" spans="18:29">
      <c r="R61" s="8">
        <v>10806</v>
      </c>
      <c r="S61">
        <f ca="1" t="shared" si="62"/>
        <v>6</v>
      </c>
      <c r="T61" t="str">
        <f ca="1" t="shared" si="63"/>
        <v>1,2;2,5;46,3-3</v>
      </c>
      <c r="U61" s="9" t="s">
        <v>354</v>
      </c>
      <c r="V61">
        <f ca="1">OFFSET(J29,(ROW($1:$1)-1)*10,0)</f>
        <v>6</v>
      </c>
      <c r="W61" t="str">
        <f ca="1">OFFSET(K29,(ROW($1:$1)-1)*10,0)</f>
        <v>1,2;2,5;46,2-3</v>
      </c>
      <c r="X61" s="10" t="s">
        <v>548</v>
      </c>
      <c r="Y61">
        <f ca="1">OFFSET(J41,(ROW($1:$1)-1)*10,0)</f>
        <v>6</v>
      </c>
      <c r="Z61" t="str">
        <f ca="1">OFFSET(K41,(ROW($1:$1)-1)*10,0)</f>
        <v>1,2;2,5;46,1-3</v>
      </c>
      <c r="AA61" s="14" t="s">
        <v>742</v>
      </c>
      <c r="AB61">
        <f ca="1">OFFSET(J53,(ROW($1:$1)-1)*10,0)</f>
        <v>6</v>
      </c>
      <c r="AC61" t="str">
        <f ca="1">OFFSET(K53,(ROW($1:$1)-1)*10,0)</f>
        <v>1,2;2,5;46,0-3</v>
      </c>
    </row>
    <row r="62" spans="18:29">
      <c r="R62" s="8">
        <v>10807</v>
      </c>
      <c r="S62">
        <f ca="1" t="shared" si="62"/>
        <v>7</v>
      </c>
      <c r="T62" t="str">
        <f ca="1" t="shared" si="63"/>
        <v>1,2;2,5;46,3-3</v>
      </c>
      <c r="U62" s="9" t="s">
        <v>357</v>
      </c>
      <c r="V62">
        <f ca="1">OFFSET(J30,(ROW($1:$1)-1)*10,0)</f>
        <v>7</v>
      </c>
      <c r="W62" t="str">
        <f ca="1">OFFSET(K30,(ROW($1:$1)-1)*10,0)</f>
        <v>1,2;2,5;46,2-3</v>
      </c>
      <c r="X62" s="10" t="s">
        <v>551</v>
      </c>
      <c r="Y62">
        <f ca="1">OFFSET(J42,(ROW($1:$1)-1)*10,0)</f>
        <v>7</v>
      </c>
      <c r="Z62" t="str">
        <f ca="1">OFFSET(K42,(ROW($1:$1)-1)*10,0)</f>
        <v>1,2;2,5;46,1-3</v>
      </c>
      <c r="AA62" s="14" t="s">
        <v>745</v>
      </c>
      <c r="AB62">
        <f ca="1">OFFSET(J54,(ROW($1:$1)-1)*10,0)</f>
        <v>7</v>
      </c>
      <c r="AC62" t="str">
        <f ca="1">OFFSET(K54,(ROW($1:$1)-1)*10,0)</f>
        <v>1,2;2,5;46,0-3</v>
      </c>
    </row>
    <row r="63" spans="18:29">
      <c r="R63" s="8">
        <v>10808</v>
      </c>
      <c r="S63">
        <f ca="1" t="shared" si="62"/>
        <v>8</v>
      </c>
      <c r="T63" t="str">
        <f ca="1" t="shared" si="63"/>
        <v>1,2;2,5;46,3-3</v>
      </c>
      <c r="U63" s="9" t="s">
        <v>359</v>
      </c>
      <c r="V63">
        <f ca="1">OFFSET(J31,(ROW($1:$1)-1)*10,0)</f>
        <v>8</v>
      </c>
      <c r="W63" t="str">
        <f ca="1">OFFSET(K31,(ROW($1:$1)-1)*10,0)</f>
        <v>1,2;2,5;46,2-3</v>
      </c>
      <c r="X63" s="10" t="s">
        <v>553</v>
      </c>
      <c r="Y63">
        <f ca="1">OFFSET(J43,(ROW($1:$1)-1)*10,0)</f>
        <v>8</v>
      </c>
      <c r="Z63" t="str">
        <f ca="1">OFFSET(K43,(ROW($1:$1)-1)*10,0)</f>
        <v>1,2;2,5;46,1-3</v>
      </c>
      <c r="AA63" s="14" t="s">
        <v>747</v>
      </c>
      <c r="AB63">
        <f ca="1">OFFSET(J55,(ROW($1:$1)-1)*10,0)</f>
        <v>8</v>
      </c>
      <c r="AC63" t="str">
        <f ca="1">OFFSET(K55,(ROW($1:$1)-1)*10,0)</f>
        <v>1,2;2,5;46,0-3</v>
      </c>
    </row>
    <row r="64" spans="18:29">
      <c r="R64" s="8">
        <v>10809</v>
      </c>
      <c r="S64">
        <f ca="1" t="shared" si="62"/>
        <v>9</v>
      </c>
      <c r="T64" t="str">
        <f ca="1" t="shared" si="63"/>
        <v>1,2;2,5;46,3-3</v>
      </c>
      <c r="U64" s="9" t="s">
        <v>361</v>
      </c>
      <c r="V64">
        <f ca="1">OFFSET(J32,(ROW($1:$1)-1)*10,0)</f>
        <v>9</v>
      </c>
      <c r="W64" t="str">
        <f ca="1">OFFSET(K32,(ROW($1:$1)-1)*10,0)</f>
        <v>1,2;2,5;46,2-3</v>
      </c>
      <c r="X64" s="10" t="s">
        <v>555</v>
      </c>
      <c r="Y64">
        <f ca="1">OFFSET(J44,(ROW($1:$1)-1)*10,0)</f>
        <v>9</v>
      </c>
      <c r="Z64" t="str">
        <f ca="1">OFFSET(K44,(ROW($1:$1)-1)*10,0)</f>
        <v>1,2;2,5;46,1-3</v>
      </c>
      <c r="AA64" s="14" t="s">
        <v>749</v>
      </c>
      <c r="AB64">
        <f ca="1">OFFSET(J56,(ROW($1:$1)-1)*10,0)</f>
        <v>9</v>
      </c>
      <c r="AC64" t="str">
        <f ca="1">OFFSET(K56,(ROW($1:$1)-1)*10,0)</f>
        <v>1,2;2,5;46,0-3</v>
      </c>
    </row>
    <row r="65" spans="18:29">
      <c r="R65" s="8">
        <v>10810</v>
      </c>
      <c r="S65">
        <f ca="1" t="shared" si="62"/>
        <v>10</v>
      </c>
      <c r="T65" t="str">
        <f ca="1" t="shared" si="63"/>
        <v>1,2;2,5;46,3-3</v>
      </c>
      <c r="U65" s="9" t="s">
        <v>364</v>
      </c>
      <c r="V65">
        <f ca="1">OFFSET(J33,(ROW($1:$1)-1)*10,0)</f>
        <v>10</v>
      </c>
      <c r="W65" t="str">
        <f ca="1">OFFSET(K33,(ROW($1:$1)-1)*10,0)</f>
        <v>1,2;2,5;46,2-3</v>
      </c>
      <c r="X65" s="10" t="s">
        <v>558</v>
      </c>
      <c r="Y65">
        <f ca="1">OFFSET(J45,(ROW($1:$1)-1)*10,0)</f>
        <v>10</v>
      </c>
      <c r="Z65" t="str">
        <f ca="1">OFFSET(K45,(ROW($1:$1)-1)*10,0)</f>
        <v>1,2;2,5;46,1-3</v>
      </c>
      <c r="AA65" s="14" t="s">
        <v>752</v>
      </c>
      <c r="AB65">
        <f ca="1">OFFSET(J57,(ROW($1:$1)-1)*10,0)</f>
        <v>10</v>
      </c>
      <c r="AC65" t="str">
        <f ca="1">OFFSET(K57,(ROW($1:$1)-1)*10,0)</f>
        <v>1,2;2,5;46,0-3</v>
      </c>
    </row>
    <row r="66" spans="18:27">
      <c r="R66" s="13">
        <v>11601</v>
      </c>
      <c r="U66" s="13" t="s">
        <v>366</v>
      </c>
      <c r="X66" s="13" t="s">
        <v>560</v>
      </c>
      <c r="AA66" s="13" t="s">
        <v>754</v>
      </c>
    </row>
    <row r="67" spans="18:29">
      <c r="R67" s="8">
        <v>10901</v>
      </c>
      <c r="S67">
        <f ca="1">OFFSET(L12,(ROW($1:$1)-1)*10,0)</f>
        <v>1</v>
      </c>
      <c r="T67" t="str">
        <f ca="1">OFFSET(M12,(ROW($1:$1)-1)*10,0)</f>
        <v>1,2;2,5;46,3-3</v>
      </c>
      <c r="U67" s="9" t="s">
        <v>367</v>
      </c>
      <c r="V67">
        <f ca="1">OFFSET(L24,(ROW($1:$1)-1)*10,0)</f>
        <v>1</v>
      </c>
      <c r="W67" t="str">
        <f ca="1">OFFSET(M24,(ROW($1:$1)-1)*10,0)</f>
        <v>1,2;2,5;46,2-3</v>
      </c>
      <c r="X67" s="10" t="s">
        <v>561</v>
      </c>
      <c r="Y67">
        <f ca="1">OFFSET(L36,(ROW($1:$1)-1)*10,0)</f>
        <v>1</v>
      </c>
      <c r="Z67" t="str">
        <f ca="1">OFFSET(M36,(ROW($1:$1)-1)*10,0)</f>
        <v>1,2;2,5;46,1-3</v>
      </c>
      <c r="AA67" s="14" t="s">
        <v>755</v>
      </c>
      <c r="AB67">
        <f ca="1">OFFSET(L48,(ROW($1:$1)-1)*10,0)</f>
        <v>1</v>
      </c>
      <c r="AC67" t="str">
        <f ca="1">OFFSET(M48,(ROW($1:$1)-1)*10,0)</f>
        <v>1,2;2,5;46,0-3</v>
      </c>
    </row>
    <row r="68" spans="18:29">
      <c r="R68" s="8">
        <v>10902</v>
      </c>
      <c r="S68">
        <f ca="1">OFFSET(L13,(ROW($1:$1)-1)*10,0)</f>
        <v>2</v>
      </c>
      <c r="T68" t="str">
        <f ca="1" t="shared" ref="T68:T76" si="64">OFFSET(M13,(ROW($1:$1)-1)*10,0)</f>
        <v>1,2;2,5;46,3-3</v>
      </c>
      <c r="U68" s="9" t="s">
        <v>371</v>
      </c>
      <c r="V68">
        <f ca="1">OFFSET(L25,(ROW($1:$1)-1)*10,0)</f>
        <v>2</v>
      </c>
      <c r="W68" t="str">
        <f ca="1">OFFSET(M25,(ROW($1:$1)-1)*10,0)</f>
        <v>1,2;2,5;46,2-3</v>
      </c>
      <c r="X68" s="10" t="s">
        <v>565</v>
      </c>
      <c r="Y68">
        <f ca="1">OFFSET(L37,(ROW($1:$1)-1)*10,0)</f>
        <v>2</v>
      </c>
      <c r="Z68" t="str">
        <f ca="1">OFFSET(M37,(ROW($1:$1)-1)*10,0)</f>
        <v>1,2;2,5;46,1-3</v>
      </c>
      <c r="AA68" s="14" t="s">
        <v>759</v>
      </c>
      <c r="AB68">
        <f ca="1">OFFSET(L49,(ROW($1:$1)-1)*10,0)</f>
        <v>2</v>
      </c>
      <c r="AC68" t="str">
        <f ca="1">OFFSET(M49,(ROW($1:$1)-1)*10,0)</f>
        <v>1,2;2,5;46,0-3</v>
      </c>
    </row>
    <row r="69" spans="18:29">
      <c r="R69" s="8">
        <v>10903</v>
      </c>
      <c r="S69">
        <f ca="1">OFFSET(L14,(ROW($1:$1)-1)*10,0)</f>
        <v>3</v>
      </c>
      <c r="T69" t="str">
        <f ca="1" t="shared" si="64"/>
        <v>1,2;2,5;46,3-3</v>
      </c>
      <c r="U69" s="9" t="s">
        <v>373</v>
      </c>
      <c r="V69">
        <f ca="1">OFFSET(L26,(ROW($1:$1)-1)*10,0)</f>
        <v>3</v>
      </c>
      <c r="W69" t="str">
        <f ca="1">OFFSET(M26,(ROW($1:$1)-1)*10,0)</f>
        <v>1,2;2,5;46,2-3</v>
      </c>
      <c r="X69" s="10" t="s">
        <v>567</v>
      </c>
      <c r="Y69">
        <f ca="1">OFFSET(L38,(ROW($1:$1)-1)*10,0)</f>
        <v>3</v>
      </c>
      <c r="Z69" t="str">
        <f ca="1">OFFSET(M38,(ROW($1:$1)-1)*10,0)</f>
        <v>1,2;2,5;46,1-3</v>
      </c>
      <c r="AA69" s="14" t="s">
        <v>761</v>
      </c>
      <c r="AB69">
        <f ca="1">OFFSET(L50,(ROW($1:$1)-1)*10,0)</f>
        <v>3</v>
      </c>
      <c r="AC69" t="str">
        <f ca="1">OFFSET(M50,(ROW($1:$1)-1)*10,0)</f>
        <v>1,2;2,5;46,0-3</v>
      </c>
    </row>
    <row r="70" spans="18:29">
      <c r="R70" s="8">
        <v>10904</v>
      </c>
      <c r="S70">
        <f ca="1">OFFSET(L15,(ROW($1:$1)-1)*10,0)</f>
        <v>4</v>
      </c>
      <c r="T70" t="str">
        <f ca="1" t="shared" si="64"/>
        <v>1,2;2,5;46,3-3</v>
      </c>
      <c r="U70" s="9" t="s">
        <v>375</v>
      </c>
      <c r="V70">
        <f ca="1">OFFSET(L27,(ROW($1:$1)-1)*10,0)</f>
        <v>4</v>
      </c>
      <c r="W70" t="str">
        <f ca="1">OFFSET(M27,(ROW($1:$1)-1)*10,0)</f>
        <v>1,2;2,5;46,2-3</v>
      </c>
      <c r="X70" s="10" t="s">
        <v>569</v>
      </c>
      <c r="Y70">
        <f ca="1">OFFSET(L39,(ROW($1:$1)-1)*10,0)</f>
        <v>4</v>
      </c>
      <c r="Z70" t="str">
        <f ca="1">OFFSET(M39,(ROW($1:$1)-1)*10,0)</f>
        <v>1,2;2,5;46,1-3</v>
      </c>
      <c r="AA70" s="14" t="s">
        <v>763</v>
      </c>
      <c r="AB70">
        <f ca="1">OFFSET(L51,(ROW($1:$1)-1)*10,0)</f>
        <v>4</v>
      </c>
      <c r="AC70" t="str">
        <f ca="1">OFFSET(M51,(ROW($1:$1)-1)*10,0)</f>
        <v>1,2;2,5;46,0-3</v>
      </c>
    </row>
    <row r="71" spans="18:29">
      <c r="R71" s="8">
        <v>10905</v>
      </c>
      <c r="S71">
        <f ca="1">OFFSET(L16,(ROW($1:$1)-1)*10,0)</f>
        <v>5</v>
      </c>
      <c r="T71" t="str">
        <f ca="1" t="shared" si="64"/>
        <v>1,2;2,5;46,3-3</v>
      </c>
      <c r="U71" s="9" t="s">
        <v>377</v>
      </c>
      <c r="V71">
        <f ca="1">OFFSET(L28,(ROW($1:$1)-1)*10,0)</f>
        <v>5</v>
      </c>
      <c r="W71" t="str">
        <f ca="1">OFFSET(M28,(ROW($1:$1)-1)*10,0)</f>
        <v>1,2;2,5;46,2-3</v>
      </c>
      <c r="X71" s="10" t="s">
        <v>571</v>
      </c>
      <c r="Y71">
        <f ca="1">OFFSET(L40,(ROW($1:$1)-1)*10,0)</f>
        <v>5</v>
      </c>
      <c r="Z71" t="str">
        <f ca="1">OFFSET(M40,(ROW($1:$1)-1)*10,0)</f>
        <v>1,2;2,5;46,1-3</v>
      </c>
      <c r="AA71" s="14" t="s">
        <v>765</v>
      </c>
      <c r="AB71">
        <f ca="1">OFFSET(L52,(ROW($1:$1)-1)*10,0)</f>
        <v>5</v>
      </c>
      <c r="AC71" t="str">
        <f ca="1">OFFSET(M52,(ROW($1:$1)-1)*10,0)</f>
        <v>1,2;2,5;46,0-3</v>
      </c>
    </row>
    <row r="72" spans="18:29">
      <c r="R72" s="8">
        <v>10906</v>
      </c>
      <c r="S72">
        <f ca="1">OFFSET(L17,(ROW($1:$1)-1)*10,0)</f>
        <v>6</v>
      </c>
      <c r="T72" t="str">
        <f ca="1" t="shared" si="64"/>
        <v>1,2;2,5;46,3-3</v>
      </c>
      <c r="U72" s="9" t="s">
        <v>379</v>
      </c>
      <c r="V72">
        <f ca="1">OFFSET(L29,(ROW($1:$1)-1)*10,0)</f>
        <v>6</v>
      </c>
      <c r="W72" t="str">
        <f ca="1">OFFSET(M29,(ROW($1:$1)-1)*10,0)</f>
        <v>1,2;2,5;46,2-3</v>
      </c>
      <c r="X72" s="10" t="s">
        <v>573</v>
      </c>
      <c r="Y72">
        <f ca="1">OFFSET(L41,(ROW($1:$1)-1)*10,0)</f>
        <v>6</v>
      </c>
      <c r="Z72" t="str">
        <f ca="1">OFFSET(M41,(ROW($1:$1)-1)*10,0)</f>
        <v>1,2;2,5;46,1-3</v>
      </c>
      <c r="AA72" s="14" t="s">
        <v>767</v>
      </c>
      <c r="AB72">
        <f ca="1">OFFSET(L53,(ROW($1:$1)-1)*10,0)</f>
        <v>6</v>
      </c>
      <c r="AC72" t="str">
        <f ca="1">OFFSET(M53,(ROW($1:$1)-1)*10,0)</f>
        <v>1,2;2,5;46,0-3</v>
      </c>
    </row>
    <row r="73" spans="18:29">
      <c r="R73" s="8">
        <v>10907</v>
      </c>
      <c r="S73">
        <f ca="1">OFFSET(L18,(ROW($1:$1)-1)*10,0)</f>
        <v>7</v>
      </c>
      <c r="T73" t="str">
        <f ca="1" t="shared" si="64"/>
        <v>1,2;2,5;46,3-3</v>
      </c>
      <c r="U73" s="9" t="s">
        <v>381</v>
      </c>
      <c r="V73">
        <f ca="1">OFFSET(L30,(ROW($1:$1)-1)*10,0)</f>
        <v>7</v>
      </c>
      <c r="W73" t="str">
        <f ca="1">OFFSET(M30,(ROW($1:$1)-1)*10,0)</f>
        <v>1,2;2,5;46,2-3</v>
      </c>
      <c r="X73" s="10" t="s">
        <v>575</v>
      </c>
      <c r="Y73">
        <f ca="1">OFFSET(L42,(ROW($1:$1)-1)*10,0)</f>
        <v>7</v>
      </c>
      <c r="Z73" t="str">
        <f ca="1">OFFSET(M42,(ROW($1:$1)-1)*10,0)</f>
        <v>1,2;2,5;46,1-3</v>
      </c>
      <c r="AA73" s="14" t="s">
        <v>769</v>
      </c>
      <c r="AB73">
        <f ca="1">OFFSET(L54,(ROW($1:$1)-1)*10,0)</f>
        <v>7</v>
      </c>
      <c r="AC73" t="str">
        <f ca="1">OFFSET(M54,(ROW($1:$1)-1)*10,0)</f>
        <v>1,2;2,5;46,0-3</v>
      </c>
    </row>
    <row r="74" spans="18:29">
      <c r="R74" s="8">
        <v>10908</v>
      </c>
      <c r="S74">
        <f ca="1">OFFSET(L19,(ROW($1:$1)-1)*10,0)</f>
        <v>8</v>
      </c>
      <c r="T74" t="str">
        <f ca="1" t="shared" si="64"/>
        <v>1,2;2,5;46,3-3</v>
      </c>
      <c r="U74" s="9" t="s">
        <v>384</v>
      </c>
      <c r="V74">
        <f ca="1">OFFSET(L31,(ROW($1:$1)-1)*10,0)</f>
        <v>8</v>
      </c>
      <c r="W74" t="str">
        <f ca="1">OFFSET(M31,(ROW($1:$1)-1)*10,0)</f>
        <v>1,2;2,5;46,2-3</v>
      </c>
      <c r="X74" s="10" t="s">
        <v>578</v>
      </c>
      <c r="Y74">
        <f ca="1">OFFSET(L43,(ROW($1:$1)-1)*10,0)</f>
        <v>8</v>
      </c>
      <c r="Z74" t="str">
        <f ca="1">OFFSET(M43,(ROW($1:$1)-1)*10,0)</f>
        <v>1,2;2,5;46,1-3</v>
      </c>
      <c r="AA74" s="14" t="s">
        <v>772</v>
      </c>
      <c r="AB74">
        <f ca="1">OFFSET(L55,(ROW($1:$1)-1)*10,0)</f>
        <v>8</v>
      </c>
      <c r="AC74" t="str">
        <f ca="1">OFFSET(M55,(ROW($1:$1)-1)*10,0)</f>
        <v>1,2;2,5;46,0-3</v>
      </c>
    </row>
    <row r="75" spans="18:29">
      <c r="R75" s="8">
        <v>10909</v>
      </c>
      <c r="S75">
        <f ca="1">OFFSET(L20,(ROW($1:$1)-1)*10,0)</f>
        <v>9</v>
      </c>
      <c r="T75" t="str">
        <f ca="1" t="shared" si="64"/>
        <v>1,2;2,5;46,3-3</v>
      </c>
      <c r="U75" s="9" t="s">
        <v>386</v>
      </c>
      <c r="V75">
        <f ca="1">OFFSET(L32,(ROW($1:$1)-1)*10,0)</f>
        <v>9</v>
      </c>
      <c r="W75" t="str">
        <f ca="1">OFFSET(M32,(ROW($1:$1)-1)*10,0)</f>
        <v>1,2;2,5;46,2-3</v>
      </c>
      <c r="X75" s="10" t="s">
        <v>580</v>
      </c>
      <c r="Y75">
        <f ca="1">OFFSET(L44,(ROW($1:$1)-1)*10,0)</f>
        <v>9</v>
      </c>
      <c r="Z75" t="str">
        <f ca="1">OFFSET(M44,(ROW($1:$1)-1)*10,0)</f>
        <v>1,2;2,5;46,1-3</v>
      </c>
      <c r="AA75" s="14" t="s">
        <v>774</v>
      </c>
      <c r="AB75">
        <f ca="1">OFFSET(L56,(ROW($1:$1)-1)*10,0)</f>
        <v>9</v>
      </c>
      <c r="AC75" t="str">
        <f ca="1">OFFSET(M56,(ROW($1:$1)-1)*10,0)</f>
        <v>1,2;2,5;46,0-3</v>
      </c>
    </row>
    <row r="76" spans="18:29">
      <c r="R76" s="8">
        <v>10910</v>
      </c>
      <c r="S76">
        <f ca="1">OFFSET(L21,(ROW($1:$1)-1)*10,0)</f>
        <v>10</v>
      </c>
      <c r="T76" t="str">
        <f ca="1">OFFSET(M21,(ROW($1:$1)-1)*10,0)</f>
        <v>1,2;2,5;46,3-3</v>
      </c>
      <c r="U76" s="9" t="s">
        <v>388</v>
      </c>
      <c r="V76">
        <f ca="1">OFFSET(L33,(ROW($1:$1)-1)*10,0)</f>
        <v>10</v>
      </c>
      <c r="W76" t="str">
        <f ca="1">OFFSET(M33,(ROW($1:$1)-1)*10,0)</f>
        <v>1,2;2,5;46,2-3</v>
      </c>
      <c r="X76" s="10" t="s">
        <v>582</v>
      </c>
      <c r="Y76">
        <f ca="1">OFFSET(L45,(ROW($1:$1)-1)*10,0)</f>
        <v>10</v>
      </c>
      <c r="Z76" t="str">
        <f ca="1">OFFSET(M45,(ROW($1:$1)-1)*10,0)</f>
        <v>1,2;2,5;46,1-3</v>
      </c>
      <c r="AA76" s="14" t="s">
        <v>776</v>
      </c>
      <c r="AB76">
        <f ca="1">OFFSET(L57,(ROW($1:$1)-1)*10,0)</f>
        <v>10</v>
      </c>
      <c r="AC76" t="str">
        <f ca="1">OFFSET(M57,(ROW($1:$1)-1)*10,0)</f>
        <v>1,2;2,5;46,0-3</v>
      </c>
    </row>
    <row r="77" spans="18:27">
      <c r="R77" s="11">
        <v>11001</v>
      </c>
      <c r="U77" s="12" t="s">
        <v>390</v>
      </c>
      <c r="X77" s="12" t="s">
        <v>584</v>
      </c>
      <c r="AA77" s="12" t="s">
        <v>778</v>
      </c>
    </row>
    <row r="78" spans="18:29">
      <c r="R78" s="8">
        <v>11101</v>
      </c>
      <c r="S78">
        <f ca="1">OFFSET(N12,(ROW($1:$1)-1)*10,0)</f>
        <v>1</v>
      </c>
      <c r="T78" t="str">
        <f ca="1">OFFSET(O12,(ROW($1:$1)-1)*10,0)</f>
        <v>1,2;2,5;46,3-3</v>
      </c>
      <c r="U78" s="9" t="s">
        <v>391</v>
      </c>
      <c r="V78">
        <f ca="1">OFFSET(N24,(ROW($1:$1)-1)*10,0)</f>
        <v>1</v>
      </c>
      <c r="W78" t="str">
        <f ca="1">OFFSET(O24,(ROW($1:$1)-1)*10,0)</f>
        <v>1,2;2,5;46,2-3</v>
      </c>
      <c r="X78" s="10" t="s">
        <v>585</v>
      </c>
      <c r="Y78">
        <f ca="1">OFFSET(N36,(ROW($1:$1)-1)*10,0)</f>
        <v>1</v>
      </c>
      <c r="Z78" t="str">
        <f ca="1">OFFSET(O36,(ROW($1:$1)-1)*10,0)</f>
        <v>1,2;2,5;46,1-3</v>
      </c>
      <c r="AA78" s="14" t="s">
        <v>779</v>
      </c>
      <c r="AB78">
        <f ca="1">OFFSET(N48,(ROW($1:$1)-1)*10,0)</f>
        <v>1</v>
      </c>
      <c r="AC78" t="str">
        <f ca="1">OFFSET(O48,(ROW($1:$1)-1)*10,0)</f>
        <v>1,2;2,5;46,0-3</v>
      </c>
    </row>
    <row r="79" spans="18:29">
      <c r="R79" s="8">
        <v>11102</v>
      </c>
      <c r="S79">
        <f ca="1" t="shared" ref="S79:S96" si="65">OFFSET(N13,(ROW($1:$1)-1)*10,0)</f>
        <v>2</v>
      </c>
      <c r="T79" t="str">
        <f ca="1" t="shared" ref="T79:T87" si="66">OFFSET(O13,(ROW($1:$1)-1)*10,0)</f>
        <v>1,2;2,5;46,3-3</v>
      </c>
      <c r="U79" s="9" t="s">
        <v>393</v>
      </c>
      <c r="V79">
        <f ca="1">OFFSET(N25,(ROW($1:$1)-1)*10,0)</f>
        <v>2</v>
      </c>
      <c r="W79" t="str">
        <f ca="1">OFFSET(O25,(ROW($1:$1)-1)*10,0)</f>
        <v>1,2;2,5;46,2-3</v>
      </c>
      <c r="X79" s="10" t="s">
        <v>587</v>
      </c>
      <c r="Y79">
        <f ca="1">OFFSET(N37,(ROW($1:$1)-1)*10,0)</f>
        <v>2</v>
      </c>
      <c r="Z79" t="str">
        <f ca="1">OFFSET(O37,(ROW($1:$1)-1)*10,0)</f>
        <v>1,2;2,5;46,1-3</v>
      </c>
      <c r="AA79" s="14" t="s">
        <v>781</v>
      </c>
      <c r="AB79">
        <f ca="1">OFFSET(N49,(ROW($1:$1)-1)*10,0)</f>
        <v>2</v>
      </c>
      <c r="AC79" t="str">
        <f ca="1">OFFSET(O49,(ROW($1:$1)-1)*10,0)</f>
        <v>1,2;2,5;46,0-3</v>
      </c>
    </row>
    <row r="80" spans="18:29">
      <c r="R80" s="8">
        <v>11103</v>
      </c>
      <c r="S80">
        <f ca="1" t="shared" si="65"/>
        <v>3</v>
      </c>
      <c r="T80" t="str">
        <f ca="1" t="shared" si="66"/>
        <v>1,2;2,5;46,3-3</v>
      </c>
      <c r="U80" s="9" t="s">
        <v>395</v>
      </c>
      <c r="V80">
        <f ca="1">OFFSET(N26,(ROW($1:$1)-1)*10,0)</f>
        <v>3</v>
      </c>
      <c r="W80" t="str">
        <f ca="1">OFFSET(O26,(ROW($1:$1)-1)*10,0)</f>
        <v>1,2;2,5;46,2-3</v>
      </c>
      <c r="X80" s="10" t="s">
        <v>589</v>
      </c>
      <c r="Y80">
        <f ca="1">OFFSET(N38,(ROW($1:$1)-1)*10,0)</f>
        <v>3</v>
      </c>
      <c r="Z80" t="str">
        <f ca="1">OFFSET(O38,(ROW($1:$1)-1)*10,0)</f>
        <v>1,2;2,5;46,1-3</v>
      </c>
      <c r="AA80" s="14" t="s">
        <v>783</v>
      </c>
      <c r="AB80">
        <f ca="1">OFFSET(N50,(ROW($1:$1)-1)*10,0)</f>
        <v>3</v>
      </c>
      <c r="AC80" t="str">
        <f ca="1">OFFSET(O50,(ROW($1:$1)-1)*10,0)</f>
        <v>1,2;2,5;46,0-3</v>
      </c>
    </row>
    <row r="81" spans="18:29">
      <c r="R81" s="8">
        <v>11104</v>
      </c>
      <c r="S81">
        <f ca="1" t="shared" si="65"/>
        <v>4</v>
      </c>
      <c r="T81" t="str">
        <f ca="1" t="shared" si="66"/>
        <v>1,2;2,5;46,3-3</v>
      </c>
      <c r="U81" s="9" t="s">
        <v>397</v>
      </c>
      <c r="V81">
        <f ca="1">OFFSET(N27,(ROW($1:$1)-1)*10,0)</f>
        <v>4</v>
      </c>
      <c r="W81" t="str">
        <f ca="1">OFFSET(O27,(ROW($1:$1)-1)*10,0)</f>
        <v>1,2;2,5;46,2-3</v>
      </c>
      <c r="X81" s="10" t="s">
        <v>591</v>
      </c>
      <c r="Y81">
        <f ca="1">OFFSET(N39,(ROW($1:$1)-1)*10,0)</f>
        <v>4</v>
      </c>
      <c r="Z81" t="str">
        <f ca="1">OFFSET(O39,(ROW($1:$1)-1)*10,0)</f>
        <v>1,2;2,5;46,1-3</v>
      </c>
      <c r="AA81" s="14" t="s">
        <v>785</v>
      </c>
      <c r="AB81">
        <f ca="1">OFFSET(N51,(ROW($1:$1)-1)*10,0)</f>
        <v>4</v>
      </c>
      <c r="AC81" t="str">
        <f ca="1">OFFSET(O51,(ROW($1:$1)-1)*10,0)</f>
        <v>1,2;2,5;46,0-3</v>
      </c>
    </row>
    <row r="82" spans="18:29">
      <c r="R82" s="8">
        <v>11105</v>
      </c>
      <c r="S82">
        <f ca="1" t="shared" si="65"/>
        <v>5</v>
      </c>
      <c r="T82" t="str">
        <f ca="1" t="shared" si="66"/>
        <v>1,2;2,5;46,3-3</v>
      </c>
      <c r="U82" s="9" t="s">
        <v>399</v>
      </c>
      <c r="V82">
        <f ca="1">OFFSET(N28,(ROW($1:$1)-1)*10,0)</f>
        <v>5</v>
      </c>
      <c r="W82" t="str">
        <f ca="1">OFFSET(O28,(ROW($1:$1)-1)*10,0)</f>
        <v>1,2;2,5;46,2-3</v>
      </c>
      <c r="X82" s="10" t="s">
        <v>593</v>
      </c>
      <c r="Y82">
        <f ca="1">OFFSET(N40,(ROW($1:$1)-1)*10,0)</f>
        <v>5</v>
      </c>
      <c r="Z82" t="str">
        <f ca="1">OFFSET(O40,(ROW($1:$1)-1)*10,0)</f>
        <v>1,2;2,5;46,1-3</v>
      </c>
      <c r="AA82" s="14" t="s">
        <v>787</v>
      </c>
      <c r="AB82">
        <f ca="1">OFFSET(N52,(ROW($1:$1)-1)*10,0)</f>
        <v>5</v>
      </c>
      <c r="AC82" t="str">
        <f ca="1">OFFSET(O52,(ROW($1:$1)-1)*10,0)</f>
        <v>1,2;2,5;46,0-3</v>
      </c>
    </row>
    <row r="83" spans="18:29">
      <c r="R83" s="8">
        <v>11106</v>
      </c>
      <c r="S83">
        <f ca="1" t="shared" si="65"/>
        <v>6</v>
      </c>
      <c r="T83" t="str">
        <f ca="1" t="shared" si="66"/>
        <v>1,2;2,5;46,3-3</v>
      </c>
      <c r="U83" s="9" t="s">
        <v>402</v>
      </c>
      <c r="V83">
        <f ca="1">OFFSET(N29,(ROW($1:$1)-1)*10,0)</f>
        <v>6</v>
      </c>
      <c r="W83" t="str">
        <f ca="1">OFFSET(O29,(ROW($1:$1)-1)*10,0)</f>
        <v>1,2;2,5;46,2-3</v>
      </c>
      <c r="X83" s="10" t="s">
        <v>596</v>
      </c>
      <c r="Y83">
        <f ca="1">OFFSET(N41,(ROW($1:$1)-1)*10,0)</f>
        <v>6</v>
      </c>
      <c r="Z83" t="str">
        <f ca="1">OFFSET(O41,(ROW($1:$1)-1)*10,0)</f>
        <v>1,2;2,5;46,1-3</v>
      </c>
      <c r="AA83" s="14" t="s">
        <v>790</v>
      </c>
      <c r="AB83">
        <f ca="1">OFFSET(N53,(ROW($1:$1)-1)*10,0)</f>
        <v>6</v>
      </c>
      <c r="AC83" t="str">
        <f ca="1">OFFSET(O53,(ROW($1:$1)-1)*10,0)</f>
        <v>1,2;2,5;46,0-3</v>
      </c>
    </row>
    <row r="84" spans="18:29">
      <c r="R84" s="8">
        <v>11107</v>
      </c>
      <c r="S84">
        <f ca="1" t="shared" si="65"/>
        <v>7</v>
      </c>
      <c r="T84" t="str">
        <f ca="1" t="shared" si="66"/>
        <v>1,2;2,5;46,3-3</v>
      </c>
      <c r="U84" s="9" t="s">
        <v>404</v>
      </c>
      <c r="V84">
        <f ca="1">OFFSET(N30,(ROW($1:$1)-1)*10,0)</f>
        <v>7</v>
      </c>
      <c r="W84" t="str">
        <f ca="1">OFFSET(O30,(ROW($1:$1)-1)*10,0)</f>
        <v>1,2;2,5;46,2-3</v>
      </c>
      <c r="X84" s="10" t="s">
        <v>598</v>
      </c>
      <c r="Y84">
        <f ca="1">OFFSET(N42,(ROW($1:$1)-1)*10,0)</f>
        <v>7</v>
      </c>
      <c r="Z84" t="str">
        <f ca="1">OFFSET(O42,(ROW($1:$1)-1)*10,0)</f>
        <v>1,2;2,5;46,1-3</v>
      </c>
      <c r="AA84" s="14" t="s">
        <v>792</v>
      </c>
      <c r="AB84">
        <f ca="1">OFFSET(N54,(ROW($1:$1)-1)*10,0)</f>
        <v>7</v>
      </c>
      <c r="AC84" t="str">
        <f ca="1">OFFSET(O54,(ROW($1:$1)-1)*10,0)</f>
        <v>1,2;2,5;46,0-3</v>
      </c>
    </row>
    <row r="85" spans="18:29">
      <c r="R85" s="8">
        <v>11108</v>
      </c>
      <c r="S85">
        <f ca="1" t="shared" si="65"/>
        <v>8</v>
      </c>
      <c r="T85" t="str">
        <f ca="1" t="shared" si="66"/>
        <v>1,2;2,5;46,3-3</v>
      </c>
      <c r="U85" s="9" t="s">
        <v>406</v>
      </c>
      <c r="V85">
        <f ca="1">OFFSET(N31,(ROW($1:$1)-1)*10,0)</f>
        <v>8</v>
      </c>
      <c r="W85" t="str">
        <f ca="1">OFFSET(O31,(ROW($1:$1)-1)*10,0)</f>
        <v>1,2;2,5;46,2-3</v>
      </c>
      <c r="X85" s="10" t="s">
        <v>600</v>
      </c>
      <c r="Y85">
        <f ca="1">OFFSET(N43,(ROW($1:$1)-1)*10,0)</f>
        <v>8</v>
      </c>
      <c r="Z85" t="str">
        <f ca="1">OFFSET(O43,(ROW($1:$1)-1)*10,0)</f>
        <v>1,2;2,5;46,1-3</v>
      </c>
      <c r="AA85" s="14" t="s">
        <v>794</v>
      </c>
      <c r="AB85">
        <f ca="1">OFFSET(N55,(ROW($1:$1)-1)*10,0)</f>
        <v>8</v>
      </c>
      <c r="AC85" t="str">
        <f ca="1">OFFSET(O55,(ROW($1:$1)-1)*10,0)</f>
        <v>1,2;2,5;46,0-3</v>
      </c>
    </row>
    <row r="86" spans="18:29">
      <c r="R86" s="8">
        <v>11109</v>
      </c>
      <c r="S86">
        <f ca="1" t="shared" si="65"/>
        <v>9</v>
      </c>
      <c r="T86" t="str">
        <f ca="1" t="shared" si="66"/>
        <v>1,2;2,5;46,3-3</v>
      </c>
      <c r="U86" s="9" t="s">
        <v>408</v>
      </c>
      <c r="V86">
        <f ca="1">OFFSET(N32,(ROW($1:$1)-1)*10,0)</f>
        <v>9</v>
      </c>
      <c r="W86" t="str">
        <f ca="1">OFFSET(O32,(ROW($1:$1)-1)*10,0)</f>
        <v>1,2;2,5;46,2-3</v>
      </c>
      <c r="X86" s="10" t="s">
        <v>602</v>
      </c>
      <c r="Y86">
        <f ca="1">OFFSET(N44,(ROW($1:$1)-1)*10,0)</f>
        <v>9</v>
      </c>
      <c r="Z86" t="str">
        <f ca="1">OFFSET(O44,(ROW($1:$1)-1)*10,0)</f>
        <v>1,2;2,5;46,1-3</v>
      </c>
      <c r="AA86" s="14" t="s">
        <v>796</v>
      </c>
      <c r="AB86">
        <f ca="1">OFFSET(N56,(ROW($1:$1)-1)*10,0)</f>
        <v>9</v>
      </c>
      <c r="AC86" t="str">
        <f ca="1">OFFSET(O56,(ROW($1:$1)-1)*10,0)</f>
        <v>1,2;2,5;46,0-3</v>
      </c>
    </row>
    <row r="87" spans="18:29">
      <c r="R87" s="8">
        <v>11110</v>
      </c>
      <c r="S87">
        <f ca="1" t="shared" si="65"/>
        <v>10</v>
      </c>
      <c r="T87" t="str">
        <f ca="1" t="shared" si="66"/>
        <v>1,2;2,5;46,3-3</v>
      </c>
      <c r="U87" s="9" t="s">
        <v>410</v>
      </c>
      <c r="V87">
        <f ca="1">OFFSET(N33,(ROW($1:$1)-1)*10,0)</f>
        <v>10</v>
      </c>
      <c r="W87" t="str">
        <f ca="1">OFFSET(O33,(ROW($1:$1)-1)*10,0)</f>
        <v>1,2;2,5;46,2-3</v>
      </c>
      <c r="X87" s="10" t="s">
        <v>604</v>
      </c>
      <c r="Y87">
        <f ca="1">OFFSET(N45,(ROW($1:$1)-1)*10,0)</f>
        <v>10</v>
      </c>
      <c r="Z87" t="str">
        <f ca="1">OFFSET(O45,(ROW($1:$1)-1)*10,0)</f>
        <v>1,2;2,5;46,1-3</v>
      </c>
      <c r="AA87" s="14" t="s">
        <v>798</v>
      </c>
      <c r="AB87">
        <f ca="1">OFFSET(N57,(ROW($1:$1)-1)*10,0)</f>
        <v>10</v>
      </c>
      <c r="AC87" t="str">
        <f ca="1">OFFSET(O57,(ROW($1:$1)-1)*10,0)</f>
        <v>1,2;2,5;46,0-3</v>
      </c>
    </row>
    <row r="88" spans="18:27">
      <c r="R88" s="11">
        <v>11201</v>
      </c>
      <c r="U88" s="12" t="s">
        <v>412</v>
      </c>
      <c r="X88" s="12" t="s">
        <v>606</v>
      </c>
      <c r="AA88" s="12" t="s">
        <v>800</v>
      </c>
    </row>
    <row r="89" spans="18:27">
      <c r="R89" s="11">
        <v>11301</v>
      </c>
      <c r="U89" s="12" t="s">
        <v>413</v>
      </c>
      <c r="X89" s="12" t="s">
        <v>607</v>
      </c>
      <c r="AA89" s="12" t="s">
        <v>801</v>
      </c>
    </row>
    <row r="90" spans="18:29">
      <c r="R90" s="8">
        <v>11401</v>
      </c>
      <c r="S90">
        <f ca="1">OFFSET(P12,(ROW($1:$1)-1)*10,0)</f>
        <v>1</v>
      </c>
      <c r="T90" t="str">
        <f ca="1">OFFSET(Q12,(ROW($1:$1)-1)*10,0)</f>
        <v>1,2;2,5;46,3-3</v>
      </c>
      <c r="U90" s="9" t="s">
        <v>414</v>
      </c>
      <c r="V90">
        <f ca="1">OFFSET(P24,(ROW($1:$1)-1)*10,0)</f>
        <v>1</v>
      </c>
      <c r="W90" t="str">
        <f ca="1">OFFSET(Q24,(ROW($1:$1)-1)*10,0)</f>
        <v>1,2;2,5;46,2-3</v>
      </c>
      <c r="X90" s="10" t="s">
        <v>608</v>
      </c>
      <c r="Y90">
        <f ca="1">OFFSET(P36,(ROW($1:$1)-1)*10,0)</f>
        <v>1</v>
      </c>
      <c r="Z90" t="str">
        <f ca="1">OFFSET(Q36,(ROW($1:$1)-1)*10,0)</f>
        <v>1,2;2,5;46,1-3</v>
      </c>
      <c r="AA90" s="14" t="s">
        <v>802</v>
      </c>
      <c r="AB90">
        <f ca="1">OFFSET(P48,(ROW($1:$1)-1)*10,0)</f>
        <v>1</v>
      </c>
      <c r="AC90" t="str">
        <f ca="1">OFFSET(Q48,(ROW($1:$1)-1)*10,0)</f>
        <v>1,2;2,5;46,0-3</v>
      </c>
    </row>
    <row r="91" spans="18:29">
      <c r="R91" s="8">
        <v>11402</v>
      </c>
      <c r="S91">
        <f ca="1" t="shared" ref="S91:S105" si="67">OFFSET(P13,(ROW($1:$1)-1)*10,0)</f>
        <v>2</v>
      </c>
      <c r="T91" t="str">
        <f ca="1" t="shared" ref="T91:T99" si="68">OFFSET(Q13,(ROW($1:$1)-1)*10,0)</f>
        <v>1,2;2,5;46,3-3</v>
      </c>
      <c r="U91" s="9" t="s">
        <v>416</v>
      </c>
      <c r="V91">
        <f ca="1" t="shared" ref="V91:V99" si="69">OFFSET(P25,(ROW($1:$1)-1)*10,0)</f>
        <v>2</v>
      </c>
      <c r="W91" t="str">
        <f ca="1" t="shared" ref="W91:W99" si="70">OFFSET(Q25,(ROW($1:$1)-1)*10,0)</f>
        <v>1,2;2,5;46,2-3</v>
      </c>
      <c r="X91" s="10" t="s">
        <v>610</v>
      </c>
      <c r="Y91">
        <f ca="1" t="shared" ref="Y91:Y99" si="71">OFFSET(P37,(ROW($1:$1)-1)*10,0)</f>
        <v>2</v>
      </c>
      <c r="Z91" t="str">
        <f ca="1" t="shared" ref="Z91:Z99" si="72">OFFSET(Q37,(ROW($1:$1)-1)*10,0)</f>
        <v>1,2;2,5;46,1-3</v>
      </c>
      <c r="AA91" s="14" t="s">
        <v>804</v>
      </c>
      <c r="AB91">
        <f ca="1" t="shared" ref="AB91:AB99" si="73">OFFSET(P49,(ROW($1:$1)-1)*10,0)</f>
        <v>2</v>
      </c>
      <c r="AC91" t="str">
        <f ca="1" t="shared" ref="AC91:AC99" si="74">OFFSET(Q49,(ROW($1:$1)-1)*10,0)</f>
        <v>1,2;2,5;46,0-3</v>
      </c>
    </row>
    <row r="92" spans="18:29">
      <c r="R92" s="8">
        <v>11403</v>
      </c>
      <c r="S92">
        <f ca="1" t="shared" si="67"/>
        <v>3</v>
      </c>
      <c r="T92" t="str">
        <f ca="1" t="shared" si="68"/>
        <v>1,2;2,5;46,3-3</v>
      </c>
      <c r="U92" s="9" t="s">
        <v>418</v>
      </c>
      <c r="V92">
        <f ca="1" t="shared" si="69"/>
        <v>3</v>
      </c>
      <c r="W92" t="str">
        <f ca="1" t="shared" si="70"/>
        <v>1,2;2,5;46,2-3</v>
      </c>
      <c r="X92" s="10" t="s">
        <v>612</v>
      </c>
      <c r="Y92">
        <f ca="1" t="shared" si="71"/>
        <v>3</v>
      </c>
      <c r="Z92" t="str">
        <f ca="1" t="shared" si="72"/>
        <v>1,2;2,5;46,1-3</v>
      </c>
      <c r="AA92" s="14" t="s">
        <v>806</v>
      </c>
      <c r="AB92">
        <f ca="1" t="shared" si="73"/>
        <v>3</v>
      </c>
      <c r="AC92" t="str">
        <f ca="1" t="shared" si="74"/>
        <v>1,2;2,5;46,0-3</v>
      </c>
    </row>
    <row r="93" spans="18:29">
      <c r="R93" s="8">
        <v>11404</v>
      </c>
      <c r="S93">
        <f ca="1" t="shared" si="67"/>
        <v>4</v>
      </c>
      <c r="T93" t="str">
        <f ca="1" t="shared" si="68"/>
        <v>1,2;2,5;46,3-3</v>
      </c>
      <c r="U93" s="9" t="s">
        <v>420</v>
      </c>
      <c r="V93">
        <f ca="1" t="shared" si="69"/>
        <v>4</v>
      </c>
      <c r="W93" t="str">
        <f ca="1" t="shared" si="70"/>
        <v>1,2;2,5;46,2-3</v>
      </c>
      <c r="X93" s="10" t="s">
        <v>614</v>
      </c>
      <c r="Y93">
        <f ca="1" t="shared" si="71"/>
        <v>4</v>
      </c>
      <c r="Z93" t="str">
        <f ca="1" t="shared" si="72"/>
        <v>1,2;2,5;46,1-3</v>
      </c>
      <c r="AA93" s="14" t="s">
        <v>808</v>
      </c>
      <c r="AB93">
        <f ca="1" t="shared" si="73"/>
        <v>4</v>
      </c>
      <c r="AC93" t="str">
        <f ca="1" t="shared" si="74"/>
        <v>1,2;2,5;46,0-3</v>
      </c>
    </row>
    <row r="94" spans="18:29">
      <c r="R94" s="8">
        <v>11405</v>
      </c>
      <c r="S94">
        <f ca="1" t="shared" si="67"/>
        <v>5</v>
      </c>
      <c r="T94" t="str">
        <f ca="1" t="shared" si="68"/>
        <v>1,2;2,5;46,3-3</v>
      </c>
      <c r="U94" s="9" t="s">
        <v>423</v>
      </c>
      <c r="V94">
        <f ca="1" t="shared" si="69"/>
        <v>5</v>
      </c>
      <c r="W94" t="str">
        <f ca="1" t="shared" si="70"/>
        <v>1,2;2,5;46,2-3</v>
      </c>
      <c r="X94" s="10" t="s">
        <v>617</v>
      </c>
      <c r="Y94">
        <f ca="1" t="shared" si="71"/>
        <v>5</v>
      </c>
      <c r="Z94" t="str">
        <f ca="1" t="shared" si="72"/>
        <v>1,2;2,5;46,1-3</v>
      </c>
      <c r="AA94" s="14" t="s">
        <v>811</v>
      </c>
      <c r="AB94">
        <f ca="1" t="shared" si="73"/>
        <v>5</v>
      </c>
      <c r="AC94" t="str">
        <f ca="1" t="shared" si="74"/>
        <v>1,2;2,5;46,0-3</v>
      </c>
    </row>
    <row r="95" spans="18:29">
      <c r="R95" s="8">
        <v>11406</v>
      </c>
      <c r="S95">
        <f ca="1" t="shared" si="67"/>
        <v>6</v>
      </c>
      <c r="T95" t="str">
        <f ca="1" t="shared" si="68"/>
        <v>1,2;2,5;46,3-3</v>
      </c>
      <c r="U95" s="9" t="s">
        <v>425</v>
      </c>
      <c r="V95">
        <f ca="1" t="shared" si="69"/>
        <v>6</v>
      </c>
      <c r="W95" t="str">
        <f ca="1" t="shared" si="70"/>
        <v>1,2;2,5;46,2-3</v>
      </c>
      <c r="X95" s="10" t="s">
        <v>619</v>
      </c>
      <c r="Y95">
        <f ca="1" t="shared" si="71"/>
        <v>6</v>
      </c>
      <c r="Z95" t="str">
        <f ca="1" t="shared" si="72"/>
        <v>1,2;2,5;46,1-3</v>
      </c>
      <c r="AA95" s="14" t="s">
        <v>813</v>
      </c>
      <c r="AB95">
        <f ca="1" t="shared" si="73"/>
        <v>6</v>
      </c>
      <c r="AC95" t="str">
        <f ca="1" t="shared" si="74"/>
        <v>1,2;2,5;46,0-3</v>
      </c>
    </row>
    <row r="96" spans="18:29">
      <c r="R96" s="8">
        <v>11407</v>
      </c>
      <c r="S96">
        <f ca="1" t="shared" si="67"/>
        <v>7</v>
      </c>
      <c r="T96" t="str">
        <f ca="1" t="shared" si="68"/>
        <v>1,2;2,5;46,3-3</v>
      </c>
      <c r="U96" s="9" t="s">
        <v>427</v>
      </c>
      <c r="V96">
        <f ca="1" t="shared" si="69"/>
        <v>7</v>
      </c>
      <c r="W96" t="str">
        <f ca="1" t="shared" si="70"/>
        <v>1,2;2,5;46,2-3</v>
      </c>
      <c r="X96" s="10" t="s">
        <v>621</v>
      </c>
      <c r="Y96">
        <f ca="1" t="shared" si="71"/>
        <v>7</v>
      </c>
      <c r="Z96" t="str">
        <f ca="1" t="shared" si="72"/>
        <v>1,2;2,5;46,1-3</v>
      </c>
      <c r="AA96" s="14" t="s">
        <v>815</v>
      </c>
      <c r="AB96">
        <f ca="1" t="shared" si="73"/>
        <v>7</v>
      </c>
      <c r="AC96" t="str">
        <f ca="1" t="shared" si="74"/>
        <v>1,2;2,5;46,0-3</v>
      </c>
    </row>
    <row r="97" spans="18:29">
      <c r="R97" s="8">
        <v>11408</v>
      </c>
      <c r="S97">
        <f ca="1" t="shared" si="67"/>
        <v>8</v>
      </c>
      <c r="T97" t="str">
        <f ca="1" t="shared" si="68"/>
        <v>1,2;2,5;46,3-3</v>
      </c>
      <c r="U97" s="9" t="s">
        <v>429</v>
      </c>
      <c r="V97">
        <f ca="1" t="shared" si="69"/>
        <v>8</v>
      </c>
      <c r="W97" t="str">
        <f ca="1" t="shared" si="70"/>
        <v>1,2;2,5;46,2-3</v>
      </c>
      <c r="X97" s="10" t="s">
        <v>623</v>
      </c>
      <c r="Y97">
        <f ca="1" t="shared" si="71"/>
        <v>8</v>
      </c>
      <c r="Z97" t="str">
        <f ca="1" t="shared" si="72"/>
        <v>1,2;2,5;46,1-3</v>
      </c>
      <c r="AA97" s="14" t="s">
        <v>817</v>
      </c>
      <c r="AB97">
        <f ca="1" t="shared" si="73"/>
        <v>8</v>
      </c>
      <c r="AC97" t="str">
        <f ca="1" t="shared" si="74"/>
        <v>1,2;2,5;46,0-3</v>
      </c>
    </row>
    <row r="98" spans="18:29">
      <c r="R98" s="8">
        <v>11409</v>
      </c>
      <c r="S98">
        <f ca="1" t="shared" si="67"/>
        <v>9</v>
      </c>
      <c r="T98" t="str">
        <f ca="1" t="shared" si="68"/>
        <v>1,2;2,5;46,3-3</v>
      </c>
      <c r="U98" s="9" t="s">
        <v>431</v>
      </c>
      <c r="V98">
        <f ca="1" t="shared" si="69"/>
        <v>9</v>
      </c>
      <c r="W98" t="str">
        <f ca="1" t="shared" si="70"/>
        <v>1,2;2,5;46,2-3</v>
      </c>
      <c r="X98" s="10" t="s">
        <v>625</v>
      </c>
      <c r="Y98">
        <f ca="1" t="shared" si="71"/>
        <v>9</v>
      </c>
      <c r="Z98" t="str">
        <f ca="1" t="shared" si="72"/>
        <v>1,2;2,5;46,1-3</v>
      </c>
      <c r="AA98" s="14" t="s">
        <v>819</v>
      </c>
      <c r="AB98">
        <f ca="1" t="shared" si="73"/>
        <v>9</v>
      </c>
      <c r="AC98" t="str">
        <f ca="1" t="shared" si="74"/>
        <v>1,2;2,5;46,0-3</v>
      </c>
    </row>
    <row r="99" spans="18:29">
      <c r="R99" s="8">
        <v>11410</v>
      </c>
      <c r="S99">
        <f ca="1" t="shared" si="67"/>
        <v>10</v>
      </c>
      <c r="T99" t="str">
        <f ca="1" t="shared" si="68"/>
        <v>1,2;2,5;46,3-3</v>
      </c>
      <c r="U99" s="9" t="s">
        <v>433</v>
      </c>
      <c r="V99">
        <f ca="1" t="shared" si="69"/>
        <v>10</v>
      </c>
      <c r="W99" t="str">
        <f ca="1" t="shared" si="70"/>
        <v>1,2;2,5;46,2-3</v>
      </c>
      <c r="X99" s="10" t="s">
        <v>627</v>
      </c>
      <c r="Y99">
        <f ca="1" t="shared" si="71"/>
        <v>10</v>
      </c>
      <c r="Z99" t="str">
        <f ca="1" t="shared" si="72"/>
        <v>1,2;2,5;46,1-3</v>
      </c>
      <c r="AA99" s="14" t="s">
        <v>821</v>
      </c>
      <c r="AB99">
        <f ca="1" t="shared" si="73"/>
        <v>10</v>
      </c>
      <c r="AC99" t="str">
        <f ca="1" t="shared" si="74"/>
        <v>1,2;2,5;46,0-3</v>
      </c>
    </row>
  </sheetData>
  <conditionalFormatting sqref="C3:C4">
    <cfRule type="duplicateValues" dxfId="0" priority="12"/>
    <cfRule type="duplicateValues" dxfId="0" priority="11"/>
  </conditionalFormatting>
  <conditionalFormatting sqref="R12:R33">
    <cfRule type="duplicateValues" dxfId="0" priority="8"/>
  </conditionalFormatting>
  <conditionalFormatting sqref="R34:R99">
    <cfRule type="duplicateValues" dxfId="0" priority="7"/>
  </conditionalFormatting>
  <conditionalFormatting sqref="U12:U33">
    <cfRule type="duplicateValues" dxfId="0" priority="6"/>
  </conditionalFormatting>
  <conditionalFormatting sqref="U34:U99">
    <cfRule type="duplicateValues" dxfId="0" priority="5"/>
  </conditionalFormatting>
  <conditionalFormatting sqref="X12:X33">
    <cfRule type="duplicateValues" dxfId="0" priority="4"/>
  </conditionalFormatting>
  <conditionalFormatting sqref="X34:X99">
    <cfRule type="duplicateValues" dxfId="0" priority="3"/>
  </conditionalFormatting>
  <conditionalFormatting sqref="AA12:AA33">
    <cfRule type="duplicateValues" dxfId="0" priority="2"/>
  </conditionalFormatting>
  <conditionalFormatting sqref="AA34:AA9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2019-08-24T07:32:00Z</dcterms:created>
  <dcterms:modified xsi:type="dcterms:W3CDTF">2023-12-19T09:06:14Z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82583EA30F614A1EA3CC4F7E5AF7B9F7</vt:lpwstr>
  </property>
  <property fmtid="{D5CDD505-2E9C-101B-9397-08002B2CF9AE}" pid="4" name="KSOReadingLayout">
    <vt:bool>true</vt:bool>
  </property>
</Properties>
</file>