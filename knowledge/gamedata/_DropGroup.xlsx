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91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sz val="10"/>
            <rFont val="宋体"/>
            <charset val="134"/>
          </rPr>
          <t xml:space="preserve">PC:
  1： 简单规则，从m个道具里随机n个出来，可重复
  2： 嵌套规则，嵌套简单规则，从m个道具组id里随机n个，再走简单规则的掉落（只允许嵌套简单规则的，不允许嵌套复杂规则）
</t>
        </r>
      </text>
    </comment>
    <comment ref="F2" authorId="0">
      <text>
        <r>
          <rPr>
            <sz val="10"/>
            <rFont val="宋体"/>
            <charset val="134"/>
          </rPr>
          <t xml:space="preserve">PC:
字符串拼接规则为：
类型为1：
itemType,itemId,num,weight;
itemType,itemId,num,weight;
itemType,itemId,num,weight
类型为2：
dropId,weight;dropId,weight;dropId,weight
</t>
        </r>
      </text>
    </comment>
    <comment ref="G2" authorId="0">
      <text>
        <r>
          <rPr>
            <sz val="10"/>
            <rFont val="宋体"/>
            <charset val="134"/>
          </rPr>
          <t>PC:
策划专用</t>
        </r>
      </text>
    </comment>
  </commentList>
</comments>
</file>

<file path=xl/sharedStrings.xml><?xml version="1.0" encoding="utf-8"?>
<sst xmlns="http://schemas.openxmlformats.org/spreadsheetml/2006/main" count="5699" uniqueCount="3957">
  <si>
    <t>掉落组ID</t>
  </si>
  <si>
    <t>掉落组类型</t>
  </si>
  <si>
    <t>随机次数</t>
  </si>
  <si>
    <t>是否是绑定道具</t>
  </si>
  <si>
    <t>最大随机数量</t>
  </si>
  <si>
    <t>参数</t>
  </si>
  <si>
    <t>描述</t>
  </si>
  <si>
    <t>EmptyKey-H2</t>
  </si>
  <si>
    <t>EmptyKey-I2</t>
  </si>
  <si>
    <t/>
  </si>
  <si>
    <t>groupId</t>
  </si>
  <si>
    <t>dropType</t>
  </si>
  <si>
    <t>times</t>
  </si>
  <si>
    <t>bind</t>
  </si>
  <si>
    <t>maxNum</t>
  </si>
  <si>
    <t>param</t>
  </si>
  <si>
    <t>1</t>
  </si>
  <si>
    <t>2,33;3,33;4,33</t>
  </si>
  <si>
    <t>秘传周一1</t>
  </si>
  <si>
    <t>1001,212007,2,1</t>
  </si>
  <si>
    <t>1001,213007,1,1</t>
  </si>
  <si>
    <t>1001,214007,1,40;1001,214007,0,60</t>
  </si>
  <si>
    <t>2,33;6,33;7,33;8,33</t>
  </si>
  <si>
    <t>秘传周一2</t>
  </si>
  <si>
    <t>1001,213007,1,50;1001,213007,2,50</t>
  </si>
  <si>
    <t>1001,214007,1,60;1001,214007,0,40</t>
  </si>
  <si>
    <t>1001,215007,1,10;1001,214007,0,90</t>
  </si>
  <si>
    <t>10,33;11,33;12,33;17,33</t>
  </si>
  <si>
    <t>秘传周一3</t>
  </si>
  <si>
    <t>1001,214007,1,80;1001,214007,0,20</t>
  </si>
  <si>
    <t>1001,215007,1,18;1001,214007,0,82</t>
  </si>
  <si>
    <t>14,33;15,33;16,33;18,33</t>
  </si>
  <si>
    <t>秘传周一4</t>
  </si>
  <si>
    <t>1001,214007,1,100</t>
  </si>
  <si>
    <t>1001,215007,1,30;1001,214007,0,70</t>
  </si>
  <si>
    <t>1001,212007,1,50;1001,212007,2,50</t>
  </si>
  <si>
    <t>秘传周二1</t>
  </si>
  <si>
    <t>1001,212007,1,50</t>
  </si>
  <si>
    <t>1001,212007,1,70;1001,213007,1,30</t>
  </si>
  <si>
    <t>22,33;23,33;24,33</t>
  </si>
  <si>
    <t>秘传周二2</t>
  </si>
  <si>
    <t>1001,212007,1,42;1001,213007,1,38;1001,214007,1,15;1001,215007,1,5</t>
  </si>
  <si>
    <t>26,33;27,33;28,33</t>
  </si>
  <si>
    <t>秘传周二3</t>
  </si>
  <si>
    <t>1001,212007,1,35;1001,213007,1,32;1001,214007,1,25;1001,215007,1,8</t>
  </si>
  <si>
    <t>30,33;31,33;32,33</t>
  </si>
  <si>
    <t>秘传周二4</t>
  </si>
  <si>
    <t>1001,212007,1,22;1001,213007,1,30;1001,214007,1,38;1001,215007,1,10</t>
  </si>
  <si>
    <t>34,33;35,33;36,33</t>
  </si>
  <si>
    <t>秘传周三1</t>
  </si>
  <si>
    <t>38,33;39,33;40,33</t>
  </si>
  <si>
    <t>秘传周三2</t>
  </si>
  <si>
    <t>42,33;43,33;44,33</t>
  </si>
  <si>
    <t>秘传周三3</t>
  </si>
  <si>
    <t>46,33;47,33;48,33</t>
  </si>
  <si>
    <t>秘传周三4</t>
  </si>
  <si>
    <t>50,33;51,33;52,33</t>
  </si>
  <si>
    <t>秘传周四1</t>
  </si>
  <si>
    <t>54,33;55,33;56,33</t>
  </si>
  <si>
    <t>秘传周四2</t>
  </si>
  <si>
    <t>58,33;59,33;60,33</t>
  </si>
  <si>
    <t>秘传周四3</t>
  </si>
  <si>
    <t>62,33;63,33;64,33</t>
  </si>
  <si>
    <t>秘传周四4</t>
  </si>
  <si>
    <t>66,33;67,33;68,33</t>
  </si>
  <si>
    <t>秘传周五1</t>
  </si>
  <si>
    <t>70,33;71,33;72,33</t>
  </si>
  <si>
    <t>秘传周五2</t>
  </si>
  <si>
    <t>74,33;75,33;76,33</t>
  </si>
  <si>
    <t>秘传周五3</t>
  </si>
  <si>
    <t>78,33;79,33;80,33</t>
  </si>
  <si>
    <t>秘传周五4</t>
  </si>
  <si>
    <t>82,33;83,33;84,33</t>
  </si>
  <si>
    <t>秘传周六1</t>
  </si>
  <si>
    <t>86,33;87,33;88,33</t>
  </si>
  <si>
    <t>秘传周六2</t>
  </si>
  <si>
    <t>90,33;91,33;92,33</t>
  </si>
  <si>
    <t>秘传周六3</t>
  </si>
  <si>
    <t>94,33;95,33;96,33</t>
  </si>
  <si>
    <t>秘传周六4</t>
  </si>
  <si>
    <t>98,33;99,33;100,33</t>
  </si>
  <si>
    <t>秘传周日1</t>
  </si>
  <si>
    <t>1001,212007,1,7;1001,213007,1,3;</t>
  </si>
  <si>
    <t>102,33;103,33;104,33</t>
  </si>
  <si>
    <t>秘传周日2</t>
  </si>
  <si>
    <t>1001,212007,1,42;1001,213007,1,38;1001,214007,1,15;1001,215007,1,5;</t>
  </si>
  <si>
    <t>106,33;107,33;108,33</t>
  </si>
  <si>
    <t>秘传周日3</t>
  </si>
  <si>
    <t>1001,212007,1,35;1001,213007,1,32;1001,214007,1,25;1001,215007,1,8;</t>
  </si>
  <si>
    <t>110,33;111,33;112,33</t>
  </si>
  <si>
    <t>秘传周日4</t>
  </si>
  <si>
    <t>1001,212007,1,22;1001,213007,1,30;1001,214007,1,38;1001,215007,1,10;</t>
  </si>
  <si>
    <t>1001,212009,1,70;1001,213009,1,30</t>
  </si>
  <si>
    <t>突破材料周一1</t>
  </si>
  <si>
    <t>1001,213009,1,70;1001,214009,1,30</t>
  </si>
  <si>
    <t>突破材料周一2</t>
  </si>
  <si>
    <t>1001,214009,1,70;1001,215009,1,30</t>
  </si>
  <si>
    <t>突破材料周一3</t>
  </si>
  <si>
    <t>1001,212111,1,70;1001,213111,1,30</t>
  </si>
  <si>
    <t>突破材料周二1</t>
  </si>
  <si>
    <t>1001,213111,1,70;1001,214111,1,30</t>
  </si>
  <si>
    <t>突破材料周二2</t>
  </si>
  <si>
    <t>1001,214111,1,70;1001,215111,1,30</t>
  </si>
  <si>
    <t>突破材料周二3</t>
  </si>
  <si>
    <t>1001,212112,1,70;1001,213112,1,30</t>
  </si>
  <si>
    <t>突破材料周三1</t>
  </si>
  <si>
    <t>1001,213112,1,70;1001,214112,1,30</t>
  </si>
  <si>
    <t>突破材料周三2</t>
  </si>
  <si>
    <t>1001,214112,1,70;1001,215112,1,30</t>
  </si>
  <si>
    <t>突破材料周三3</t>
  </si>
  <si>
    <t>1001,212113,1,70;1001,213113,1,30</t>
  </si>
  <si>
    <t>突破材料周四1</t>
  </si>
  <si>
    <t>1001,213113,1,70;1001,214113,1,30</t>
  </si>
  <si>
    <t>突破材料周四2</t>
  </si>
  <si>
    <t>1001,214113,1,70;1001,215113,1,30</t>
  </si>
  <si>
    <t>突破材料周四3</t>
  </si>
  <si>
    <t>1001,212114,1,70;1001,213114,1,30</t>
  </si>
  <si>
    <t>突破材料周五1</t>
  </si>
  <si>
    <t>1001,213114,1,70;1001,214114,1,30</t>
  </si>
  <si>
    <t>突破材料周五2</t>
  </si>
  <si>
    <t>1001,214114,1,70;1001,215114,1,30</t>
  </si>
  <si>
    <t>突破材料周五3</t>
  </si>
  <si>
    <t>1001,700003,2,100</t>
  </si>
  <si>
    <t>金块副本</t>
  </si>
  <si>
    <t>1001,700004,1,100</t>
  </si>
  <si>
    <t>1001,700004,2,100</t>
  </si>
  <si>
    <t>1001,700004,3,100</t>
  </si>
  <si>
    <t>1001,700005,1,100</t>
  </si>
  <si>
    <t>1001,700005,2,100</t>
  </si>
  <si>
    <t>1001,700005,3,100</t>
  </si>
  <si>
    <t>1001,700005,4,100</t>
  </si>
  <si>
    <t>1001,700006,2,100</t>
  </si>
  <si>
    <t>1001,700006,3,100</t>
  </si>
  <si>
    <t>1001,700006,6,100</t>
  </si>
  <si>
    <t>1001,700006,0,100</t>
  </si>
  <si>
    <t>1001,213001,1,60;1001,213001,0,40</t>
  </si>
  <si>
    <t>经验副本</t>
  </si>
  <si>
    <t>143,146</t>
  </si>
  <si>
    <t>1001,213001,1,75;1001,213001,0,25</t>
  </si>
  <si>
    <t>1001,214001,1,50;1001,214001,0,50</t>
  </si>
  <si>
    <t>1001,215001,1,40;1001,215001,0,60</t>
  </si>
  <si>
    <t>144,147</t>
  </si>
  <si>
    <t>1001,215001,1,20;1001,215001,0,80</t>
  </si>
  <si>
    <t>144,148</t>
  </si>
  <si>
    <t>1001,215001,1,50;1001,215001,0,50</t>
  </si>
  <si>
    <t>1001,215001,1,75;1001,215001,0,25</t>
  </si>
  <si>
    <t>145,149,151</t>
  </si>
  <si>
    <t>145,150,152,154</t>
  </si>
  <si>
    <t>145,150,153,155</t>
  </si>
  <si>
    <t>1001,212001,9,45;1001,213001,6,40;1001,214001,1,10;1001,215001,1,5</t>
  </si>
  <si>
    <t>1001,212009,1,1;1001,212111,1,1;1001,212112,1,1;1001,212113,1,1;1001,212114,1,1</t>
  </si>
  <si>
    <t>2.0突破周末掉落</t>
  </si>
  <si>
    <t>1001,213009,1,1;1001,213111,1,1;1001,213112,1,1;1001,213113,1,1;1001,213114,1,1</t>
  </si>
  <si>
    <t>372,1;373,1</t>
  </si>
  <si>
    <t>1001,214009,1,1;1001,214111,1,1;1001,214112,1,1;1001,214113,1,1;1001,214114,1,1</t>
  </si>
  <si>
    <t>375,8;376,2</t>
  </si>
  <si>
    <t>1001,215009,1,1;1001,215111,1,1;1001,215112,1,1;1001,215113,1,1;1001,215114,1,1</t>
  </si>
  <si>
    <t>381,6;382,4</t>
  </si>
  <si>
    <t>1001,215021,2,2;1001,215021,3,4;1001,215021,4,4</t>
  </si>
  <si>
    <t>1001,211021,0,2;1001,211021,1,8</t>
  </si>
  <si>
    <t>周二训练副本60</t>
  </si>
  <si>
    <t>1001,212021,0,2;1001,212021,1,8</t>
  </si>
  <si>
    <t>1001,213021,2,1;1001,213021,3,5;1001,213021,4,4</t>
  </si>
  <si>
    <t>1001,214021,4,3;1001,214021,5,4;1001,214021,6,3</t>
  </si>
  <si>
    <t>1001,215021,6,5;1001,215021,7,4;1001,215021,8,1</t>
  </si>
  <si>
    <t>390,33;391,33;392,33</t>
  </si>
  <si>
    <t>周四训练副本30</t>
  </si>
  <si>
    <t>1001,211021,4,1;1001,211021,5,2;1001,211021,6,1</t>
  </si>
  <si>
    <t>1001,212021,2,2;1001,212021,3,5;1001,212021,4,3</t>
  </si>
  <si>
    <t>1001,213021,1,4;1001,213021,2,6</t>
  </si>
  <si>
    <t>394,25;395,25;396,25;397,25</t>
  </si>
  <si>
    <t>周四训练副本40</t>
  </si>
  <si>
    <t>1001,211021,3,1;1001,211021,4,1</t>
  </si>
  <si>
    <t>1001,212021,4,2;1001,212021,5,5;1001,212021,6,3</t>
  </si>
  <si>
    <t>1001,213021,2,2;1001,213021,3,5;1001,213021,4,3</t>
  </si>
  <si>
    <t>1001,214021,2,6;1001,214021,3,4</t>
  </si>
  <si>
    <t>399,20;400,20;401,20;402,20;403,20</t>
  </si>
  <si>
    <t>周四训练副本50</t>
  </si>
  <si>
    <t>1001,211021,1,1</t>
  </si>
  <si>
    <t>1001,212021,1,3;1001,212021,2,4;1001,212021,3,3</t>
  </si>
  <si>
    <t>1001,213021,4,1;1001,213021,5,2;1001,213021,6,1</t>
  </si>
  <si>
    <t>1001,214021,2,2;1001,214021,3,4;1001,214021,4,4</t>
  </si>
  <si>
    <t>周四训练副本60</t>
  </si>
  <si>
    <t>410,33;411,33;412,33</t>
  </si>
  <si>
    <t>周六训练副本30</t>
  </si>
  <si>
    <t>414,25;415,25;416,25;417,25</t>
  </si>
  <si>
    <t>周六训练副本40</t>
  </si>
  <si>
    <t>419,20;420,20;421,20;422,20;423,20</t>
  </si>
  <si>
    <t>周六训练副本50</t>
  </si>
  <si>
    <t>周六训练副本60</t>
  </si>
  <si>
    <t>1001,214009,2,50;1001,214009,3,50</t>
  </si>
  <si>
    <t>CBT2突破周一20</t>
  </si>
  <si>
    <t>1001,215009,1,80;1001,215009,2,20</t>
  </si>
  <si>
    <t>CBT2突破周一30</t>
  </si>
  <si>
    <t>1001,215009,1,60;1001,215009,2,40</t>
  </si>
  <si>
    <t>CBT2突破周一40</t>
  </si>
  <si>
    <t>1001,214112,2,50;1001,214112,3,50</t>
  </si>
  <si>
    <t>CBT2突破周一50</t>
  </si>
  <si>
    <t>1001,215112,1,80;1001,215112,2,20</t>
  </si>
  <si>
    <t>CBT2突破周二20</t>
  </si>
  <si>
    <t>1001,215112,1,60;1001,215112,2,40</t>
  </si>
  <si>
    <t>CBT2突破周二30</t>
  </si>
  <si>
    <t>1001,214113,2,50;1001,214113,3,50</t>
  </si>
  <si>
    <t>CBT2突破周二40</t>
  </si>
  <si>
    <t>1001,215113,1,80;1001,215113,2,20</t>
  </si>
  <si>
    <t>CBT2突破周二50</t>
  </si>
  <si>
    <t>1001,215113,1,60;1001,215113,2,40</t>
  </si>
  <si>
    <t>CBT2突破周三20</t>
  </si>
  <si>
    <t>1001,214114,2,50;1001,214114,3,50</t>
  </si>
  <si>
    <t>CBT2突破周三30</t>
  </si>
  <si>
    <t>1001,215114,1,80;1001,215114,2,20</t>
  </si>
  <si>
    <t>CBT2突破周三40</t>
  </si>
  <si>
    <t>1001,215114,1,60;1001,215114,2,40</t>
  </si>
  <si>
    <t>CBT2突破周三50</t>
  </si>
  <si>
    <t>1001,214111,2,50;1001,214111,3,50</t>
  </si>
  <si>
    <t>CBT2突破周四20</t>
  </si>
  <si>
    <t>1001,215111,1,80;1001,215111,2,20</t>
  </si>
  <si>
    <t>CBT2突破周四30</t>
  </si>
  <si>
    <t>1001,215111,1,60;1001,215111,2,40</t>
  </si>
  <si>
    <t>CBT2突破周四40</t>
  </si>
  <si>
    <t>1001,511006,1,5;1001,511006,2,10;1001,511006,3,5;1001,512006,1,20;1001,512006,2,40;1001,512006,3,20</t>
  </si>
  <si>
    <t>船坞材料分解</t>
  </si>
  <si>
    <t>1001,512006,1,5;1001,512006,2,10;1001,512006,3,5;1001,513006,1,20;1001,513006,2,40;1001,513006,3,20</t>
  </si>
  <si>
    <t>1001,513006,1,5;1001,513006,2,10;1001,513006,3,5;1001,514006,1,20;1001,514006,2,40;1001,514006,3,20</t>
  </si>
  <si>
    <t>1001,514006,1,5;1001,514006,2,10;1001,514006,3,5;1001,515006,1,20;1001,515006,2,40;1001,515006,3,20</t>
  </si>
  <si>
    <t>1001,511009,1,50;1001,511009,2,30;1001,511009,3,20</t>
  </si>
  <si>
    <t>白色雪松木</t>
  </si>
  <si>
    <t>1001,511018,1,80;1001,511018,2,15;1001,511018,3,5</t>
  </si>
  <si>
    <t>白色杉木</t>
  </si>
  <si>
    <t>1001,512009,1,50;1001,512009,2,30;1001,512009,3,20</t>
  </si>
  <si>
    <t>绿色雪松木</t>
  </si>
  <si>
    <t>1001,512018,1,80;1001,512018,2,15;1001,512018,3,5</t>
  </si>
  <si>
    <t>绿色杉木</t>
  </si>
  <si>
    <t>1001,513009,1,50;1001,513009,2,30;1001,513009,3,20</t>
  </si>
  <si>
    <t>蓝色雪松木</t>
  </si>
  <si>
    <t>1001,513018,1,80;1001,513018,2,15;1001,513018,3,5</t>
  </si>
  <si>
    <t>蓝色杉木</t>
  </si>
  <si>
    <t>1001,514009,1,50;1001,514009,2,30;1001,514009,3,20</t>
  </si>
  <si>
    <t>紫色雪松木</t>
  </si>
  <si>
    <t>1001,514018,1,80;1001,514018,2,15;1001,514018,3,5</t>
  </si>
  <si>
    <t>紫色杉木</t>
  </si>
  <si>
    <t>1001,515009,1,50;1001,515009,2,40;1001,515009,3,10</t>
  </si>
  <si>
    <t>金色雪松木</t>
  </si>
  <si>
    <t>1001,515018,1,90;1001,515018,2,10;</t>
  </si>
  <si>
    <t>金色杉木</t>
  </si>
  <si>
    <t>1001,511001,0,100;</t>
  </si>
  <si>
    <t>457,14;459,56;467,30;</t>
  </si>
  <si>
    <t>458,2;460,8;467,90;</t>
  </si>
  <si>
    <t>459,21;461,49;467,30;</t>
  </si>
  <si>
    <t>460,3;462,7;467,90;</t>
  </si>
  <si>
    <t>461,28;463,42;467,30;</t>
  </si>
  <si>
    <t>462,4;464,6;467,90;</t>
  </si>
  <si>
    <t>463,35;465,35;467,30</t>
  </si>
  <si>
    <t>464,5;466,5;467,90</t>
  </si>
  <si>
    <t>1001,212009,1,20;1001,213009,1,30;1001,214009,1,35;1001,215009,1,15</t>
  </si>
  <si>
    <t>突破周一80</t>
  </si>
  <si>
    <t>1001,212112,1,20;1001,213112,1,30;1001,214112,1,35;1001,215112,1,15</t>
  </si>
  <si>
    <t>突破周二80</t>
  </si>
  <si>
    <t>1001,212113,1,20;1001,213113,1,30;1001,214113,1,35;1001,215113,1,15</t>
  </si>
  <si>
    <t>突破周三80</t>
  </si>
  <si>
    <t>1001,212114,1,20;1001,213114,1,30;1001,214114,1,35;1001,215114,1,15</t>
  </si>
  <si>
    <t>突破周四80</t>
  </si>
  <si>
    <t>1001,212111,1,20;1001,213111,1,30;1001,214111,1,35;1001,215111,1,15</t>
  </si>
  <si>
    <t>突破周五80</t>
  </si>
  <si>
    <t>1001,212009,1,20;1001,213009,1,30;1001,214009,1,35;1001,215009,1,15;1001,212112,1,20;1001,213112,1,30;1001,214112,1,35;1001,215112,1,15;1001,212113,1,20;1001,213113,1,30;1001,214113,1,35;1001,215113,1,15;1001,212114,1,20;1001,213114,1,30;1001,214114,1,35;1001,215114,1,15;1001,212111,1,20;1001,213111,1,30;1001,214111,1,35;1001,215111,1,15</t>
  </si>
  <si>
    <t>突破周末80</t>
  </si>
  <si>
    <t>1001,213021,2,40;1001,213021,3,40;1001,213021,4,20</t>
  </si>
  <si>
    <t>3级训练</t>
  </si>
  <si>
    <t>1001,214021,4,30;1001,214021,5,40;1001,214021,6,30</t>
  </si>
  <si>
    <t>4级训练</t>
  </si>
  <si>
    <t>1001,215021,6,40;1001,215021,7,50;1001,215021,8,10</t>
  </si>
  <si>
    <t>5级训练</t>
  </si>
  <si>
    <t>1001,216021,2,50;1001,216021,1,50</t>
  </si>
  <si>
    <t>6级训练</t>
  </si>
  <si>
    <t>1001,217021,1,50;1001,216021,0,50</t>
  </si>
  <si>
    <t>7级训练</t>
  </si>
  <si>
    <t>10060,90;10061,10</t>
  </si>
  <si>
    <t>10级普通</t>
  </si>
  <si>
    <t>10062,90;10063,10</t>
  </si>
  <si>
    <t>20级普通</t>
  </si>
  <si>
    <t>10064,90;10065,10</t>
  </si>
  <si>
    <t>30级普通</t>
  </si>
  <si>
    <t>10060,60;10061,40</t>
  </si>
  <si>
    <t>10级困难</t>
  </si>
  <si>
    <t>10062,60;10063,40</t>
  </si>
  <si>
    <t>20级困难</t>
  </si>
  <si>
    <t>10064,60;10065,40</t>
  </si>
  <si>
    <t>30级困难</t>
  </si>
  <si>
    <t>1001,212001,1,60;1001,212001,0,40</t>
  </si>
  <si>
    <t>绿色狗粮</t>
  </si>
  <si>
    <t>1001,212001,1,53;1001,213001,1,5;1001,213001,0,42</t>
  </si>
  <si>
    <t>蓝色狗粮</t>
  </si>
  <si>
    <t>5,0,500,100</t>
  </si>
  <si>
    <t>5,0,1000,100</t>
  </si>
  <si>
    <t>3,0,60,100</t>
  </si>
  <si>
    <t>3,0,120,100</t>
  </si>
  <si>
    <t>3,0,180,100</t>
  </si>
  <si>
    <t>3,0,240,100</t>
  </si>
  <si>
    <t>3,0,300,100</t>
  </si>
  <si>
    <t>5,0,50,100</t>
  </si>
  <si>
    <t>5,0,60,100</t>
  </si>
  <si>
    <t>5,0,15,100</t>
  </si>
  <si>
    <t>野外小怪掉落</t>
  </si>
  <si>
    <t>5,0,400,100</t>
  </si>
  <si>
    <t>1001,214011,1,1;1001,214011,0,99</t>
  </si>
  <si>
    <t>10053,95;10054,5</t>
  </si>
  <si>
    <t>野外宝石掉落</t>
  </si>
  <si>
    <t>1001,1100101,1,1;1001,1100201,1,1;1001,1100301,1,1;1001,1100401,1,1;1001,1100501,1,1;1001,1100601,1,1;1001,1100701,1,1;1001,1100801,1,1;1001,1100901,1,1</t>
  </si>
  <si>
    <t>10056,2;10057,98</t>
  </si>
  <si>
    <t>1001,1101001,1,1;1001,1101101,1,1;1001,1101201,1,1;1001,1101301,1,1;1001,1101401,1,1;1001,1101701,1,1</t>
  </si>
  <si>
    <t>1001,240011,2,100</t>
  </si>
  <si>
    <t>宝箱怪掉落</t>
  </si>
  <si>
    <t>1001,240012,2,100</t>
  </si>
  <si>
    <t>1001,1100101,0,100</t>
  </si>
  <si>
    <t>1200,60001,1,100;1200,60002,1,100;1200,60003,1,100;1200,60004,1,100</t>
  </si>
  <si>
    <t>1级装备简单</t>
  </si>
  <si>
    <t>1级装备苦难</t>
  </si>
  <si>
    <t>1200,60005,1,100;1200,60006,1,100;1200,60007,1,100;1200,60008,1,100</t>
  </si>
  <si>
    <t>10级装备简单</t>
  </si>
  <si>
    <t>10级装备困难</t>
  </si>
  <si>
    <t>1200,60009,1,100;1200,60010,1,100;1200,60011,1,100;1200,60012,1,100</t>
  </si>
  <si>
    <t>20级装备简单</t>
  </si>
  <si>
    <t>20级装备困难</t>
  </si>
  <si>
    <t>1200,60013,1,100;1200,60014,1,100;1200,60015,1,100;1200,60016,1,100</t>
  </si>
  <si>
    <t>30级装备简单</t>
  </si>
  <si>
    <t>30级装备困难</t>
  </si>
  <si>
    <t>5,0,100,100</t>
  </si>
  <si>
    <t>会刷副本金块</t>
  </si>
  <si>
    <t>5,0,120,100</t>
  </si>
  <si>
    <t>5,0,140,100</t>
  </si>
  <si>
    <t>5,0,160,100</t>
  </si>
  <si>
    <t>5,0,180,100</t>
  </si>
  <si>
    <t>5,0,200,100</t>
  </si>
  <si>
    <t>5,0,220,100</t>
  </si>
  <si>
    <t>5,0,240,100</t>
  </si>
  <si>
    <t>5,0,260,100</t>
  </si>
  <si>
    <t>5,0,280,100</t>
  </si>
  <si>
    <t>10062,50;10104,50</t>
  </si>
  <si>
    <t>装备10（1-2）</t>
  </si>
  <si>
    <t>10063,50;10104,50</t>
  </si>
  <si>
    <t>10064,50;10104,50</t>
  </si>
  <si>
    <t>装备20（1-2）</t>
  </si>
  <si>
    <t>10065,50;10104,50</t>
  </si>
  <si>
    <t>10066,50;10104,50</t>
  </si>
  <si>
    <t>装备30（1-2）</t>
  </si>
  <si>
    <t>10067,50;10104,50</t>
  </si>
  <si>
    <t>1001,212002,1,50;1001,212002,2,40;1001,212002,3,30;1001,212002,4,20;1001,212002,5,10</t>
  </si>
  <si>
    <t>精炼石简单</t>
  </si>
  <si>
    <t>1001,212002,3,30;1001,212002,4,20;1001,212002,5,10</t>
  </si>
  <si>
    <t>精炼石困难</t>
  </si>
  <si>
    <t>1001,212001,1,40;1001,212001,2,30;1001,212001,3,20</t>
  </si>
  <si>
    <t>狗粮简单</t>
  </si>
  <si>
    <t>1001,212001,2,30;1001,212001,3,20</t>
  </si>
  <si>
    <t>狗粮困难</t>
  </si>
  <si>
    <t>5,0,320,100</t>
  </si>
  <si>
    <t>5,0,360,100</t>
  </si>
  <si>
    <t>5,0,440,100</t>
  </si>
  <si>
    <t>5,0,480,100</t>
  </si>
  <si>
    <t>5,0,520,100</t>
  </si>
  <si>
    <t>5,0,560,100</t>
  </si>
  <si>
    <t>1001,212004,1,5;1001,212004,0,995</t>
  </si>
  <si>
    <t>野外打孔石</t>
  </si>
  <si>
    <t>10062,16;10103,984</t>
  </si>
  <si>
    <t>野外10级装备</t>
  </si>
  <si>
    <t>10064,16;10103,984</t>
  </si>
  <si>
    <t>野外20级装备</t>
  </si>
  <si>
    <t>1001,212001,0,100</t>
  </si>
  <si>
    <t>yewai</t>
  </si>
  <si>
    <t>空掉落</t>
  </si>
  <si>
    <t>航海日志</t>
  </si>
  <si>
    <t>5,0,150,100</t>
  </si>
  <si>
    <t>1001,250045,1,100</t>
  </si>
  <si>
    <t>橘子镇野外礼包掉落</t>
  </si>
  <si>
    <t>10110,9;10111,1;10112,20;10113,30;10114,10;10115,10;10116,20</t>
  </si>
  <si>
    <t>1001,1101001,1,9;1001,1101101,1,9;1001,1101201,1,9;1001,1101301,1,9;1001,1101401,1,9;1001,1101501,1,9;1001,1101601,1,9;1001,1101701,1,9;1001,1102001,1,9;1001,1102101,1,9;1001,1101002,1,9;1001,1101102,1,9;1001,1101202,1,9;1001,1101302,1,9;1001,1101402,1,9;1001,1101502,1,9;1001,1101602,1,9;1001,1101702,1,9;1001,1102002,1,9;1001,1102102,1,9;1001,1101003,1,9;1001,1101103,1,9;1001,1101203,1,9;1001,1101303,1,9;1001,1101403,1,9;1001,1101503,1,9;1001,1101603,1,9;1001,1101703,1,9;1001,1102003,1,9;1001,1102103,1,9</t>
  </si>
  <si>
    <t>1001,1100101,1,1;1001,1100201,1,1;1001,1100301,1,1;1001,1100401,1,1;1001,1100501,1,1;1001,1100601,1,1;1001,1100701,1,1;1001,1100801,1,1;1001,1100901,1,1;1001,1101801,1,1;1001,1101901,1,1;1001,1100102,1,1;1001,1100202,1,1;1001,1100302,1,1;1001,1100402,1,1;1001,1100502,1,1;1001,1100602,1,1;1001,1100702,1,1;1001,1100802,1,1;1001,1100902,1,1;1001,1101802,1,1;1001,1101902,1,1;1001,1100103,1,1;1001,1100203,1,1;1001,1100303,1,1;1001,1100403,1,1;1001,1100503,1,1;1001,1100603,1,1;1001,1100703,1,1;1001,1100803,1,1;1001,1100903,1,1;1001,1101803,1,1;1001,1101903,1,1;</t>
  </si>
  <si>
    <t>1200,60005,1,1;1200,60006,1,1;1200,60007,1,1;1200,60008,1,1</t>
  </si>
  <si>
    <t>5,0,3300,1;5,0,3400,1;5,0,3500,1;5,0,3600,1;5,0,3700,1;5,0,3800,1;5,0,3900,1;5,0,4000,1;5,0,4100,1;5,0,4200,1;5,0,4300,1;5,0,4400,1;5,0,4400,1;5,0,4500,1;5,0,4600,1;5,0,4700,1;5,0,4800,1;5,0,4900,1;5,0,5000,1</t>
  </si>
  <si>
    <t>1001,451001,1,1;1001,451007,1,1</t>
  </si>
  <si>
    <t>1001,214011,1,1</t>
  </si>
  <si>
    <t>1001,212001,1,1</t>
  </si>
  <si>
    <t>阿龙公园野外礼包</t>
  </si>
  <si>
    <t>10119,9;10120,1;10121,20;10122,30;10123,10;10124,10;10125,20</t>
  </si>
  <si>
    <t>1200,60009,1,1;1200,60010,1,1;1200,60011,1,1;1200,60012,1,1</t>
  </si>
  <si>
    <t>1001,452001,1,1;1001,452004,1,1</t>
  </si>
  <si>
    <t>1001,213001,1,1</t>
  </si>
  <si>
    <t>10210,75;10211,25</t>
  </si>
  <si>
    <t>黑市20武器</t>
  </si>
  <si>
    <t>10212,75;10213,25</t>
  </si>
  <si>
    <t>黑市20防具</t>
  </si>
  <si>
    <t>10214,75;10215,25</t>
  </si>
  <si>
    <t>黑市20戒指</t>
  </si>
  <si>
    <t>10216,75;10217,25</t>
  </si>
  <si>
    <t>黑市20项链</t>
  </si>
  <si>
    <t>10218,80;10219,20</t>
  </si>
  <si>
    <t>黑市40武器</t>
  </si>
  <si>
    <t>10220,80;10221,20</t>
  </si>
  <si>
    <t>黑市40防具</t>
  </si>
  <si>
    <t>10222,80;10223,20</t>
  </si>
  <si>
    <t>黑市40戒指</t>
  </si>
  <si>
    <t>10224,80;10225,20</t>
  </si>
  <si>
    <t>黑市40项链</t>
  </si>
  <si>
    <t>10135,75;10136,25;10137,0</t>
  </si>
  <si>
    <t>黑市60武器</t>
  </si>
  <si>
    <t>1200,560025,1,73;1200,561025,1,73;1200,562025,1,73;1200,460025,1,27;1200,461025,1,27;1200,462025,1,27;</t>
  </si>
  <si>
    <t>1200,10101,1,64;1200,10201,1,64;1200,10301,1,64;1200,20101,1,6;1200,20201,1,6;1200,20301,1,6;1200,20401,1,6;1200,20501,1,6;1200,20601,1,6;1200,20701,1,6;1200,20801,1,6;</t>
  </si>
  <si>
    <t>10139,75;10140,25;10141,0</t>
  </si>
  <si>
    <t>黑市60防具</t>
  </si>
  <si>
    <t>1200,560026,1,73;1200,561026,1,73;1200,562026,1,73;1200,460026,1,27;1200,461026,1,27;1200,462026,1,27;</t>
  </si>
  <si>
    <t>1200,10102,1,64;1200,10202,1,64;1200,10302,1,64;1200,20102,1,6;1200,20202,1,6;1200,20302,1,6;1200,20402,1,6;1200,20502,1,6;1200,20602,1,6;1200,20702,1,6;1200,20802,1,6;</t>
  </si>
  <si>
    <t>10143,75;10144,25;10145,0</t>
  </si>
  <si>
    <t>黑市60戒指</t>
  </si>
  <si>
    <t>1200,560027,1,73;1200,561027,1,73;1200,562027,1,73;1200,460027,1,27;1200,461027,1,27;1200,462027,1,27;</t>
  </si>
  <si>
    <t>1200,10103,1,64;1200,10203,1,64;1200,10303,1,64;1200,20103,1,6;1200,20203,1,6;1200,20303,1,6;1200,20403,1,6;1200,20503,1,6;1200,20603,1,6;1200,20703,1,6;1200,20803,1,6;</t>
  </si>
  <si>
    <t>10147,75;10148,25;10149,0</t>
  </si>
  <si>
    <t>黑市60项链</t>
  </si>
  <si>
    <t>1200,560028,1,73;1200,561028,1,73;1200,562028,1,73;1200,460028,1,27;1200,461028,1,27;1200,462028,1,27;</t>
  </si>
  <si>
    <t>1200,10104,1,64;1200,10204,1,64;1200,10304,1,64;1200,20104,1,6;1200,20204,1,6;1200,20304,1,6;1200,20404,1,6;1200,20504,1,6;1200,20604,1,6;1200,20704,1,6;1200,20804,1,6;</t>
  </si>
  <si>
    <t>10157,1;10150,1;10230,1;10231,1</t>
  </si>
  <si>
    <t>15级野外礼包</t>
  </si>
  <si>
    <t>10158,1;10150,1;10230,1;10231,1</t>
  </si>
  <si>
    <t>25级野外礼包</t>
  </si>
  <si>
    <t>10159,1;10150,1;10230,1;10231,1</t>
  </si>
  <si>
    <t>30级野外礼包</t>
  </si>
  <si>
    <t>10160,1;10150,1;10230,1;10231,1</t>
  </si>
  <si>
    <t>40级野外礼包</t>
  </si>
  <si>
    <t>10161,1;10150,1;10230,1;10231,1</t>
  </si>
  <si>
    <t>50级野外礼包</t>
  </si>
  <si>
    <t>10162,1;10150,1;10230,1;10231,1</t>
  </si>
  <si>
    <t>60级野外礼包</t>
  </si>
  <si>
    <t>1001,212001,1,40;1001,212001,0,60;</t>
  </si>
  <si>
    <t>1001,212001,1,60;1001,212001,0,40;</t>
  </si>
  <si>
    <t>1001,212001,1,100</t>
  </si>
  <si>
    <t>1001,212001,1,80;1001,212001,2,20;</t>
  </si>
  <si>
    <t>1001,212001,1,60;1001,212001,2,40;</t>
  </si>
  <si>
    <t>1001,212001,1,40;1001,212001,2,60;</t>
  </si>
  <si>
    <t>10165,1;10166,1;10167,1;</t>
  </si>
  <si>
    <t>20英雄套装随机武器</t>
  </si>
  <si>
    <t>10168,1;10169,1;10170,1;10171,1;10172,1;</t>
  </si>
  <si>
    <t>40英雄套装随机武器</t>
  </si>
  <si>
    <t>1200,410211,1,1;1200,410212,1,1;1200,410213,1,1;1200,410214,1,1;</t>
  </si>
  <si>
    <t>1200,410215,1,1;1200,410216,1,1;1200,410217,1,1;1200,410218,1,1;</t>
  </si>
  <si>
    <t>1200,410219,1,1;1200,410220,1,1;1200,410221,1,1;1200,410222,1,1;</t>
  </si>
  <si>
    <t>1200,410411,1,1;1200,410412,1,1;1200,410413,1,1;1200,410414,1,1;</t>
  </si>
  <si>
    <t>1200,410511,1,1;1200,410512,1,1;1200,410513,1,1;1200,410514,1,1;</t>
  </si>
  <si>
    <t>1200,410515,1,1;1200,410516,1,1;1200,410517,1,1;1200,410518,1,1;</t>
  </si>
  <si>
    <t>1200,410519,1,1;1200,410520,1,1;1200,410521,1,1;1200,410522,1,1;</t>
  </si>
  <si>
    <t>1200,410523,1,1;1200,410524,1,1;1200,410525,1,1;1200,410526,1,1;</t>
  </si>
  <si>
    <t>1200,410411,1,1;1200,410412,1,1;1200,410413,1,1;1200,410414,1,1;1200,410511,1,1;1200,410512,1,1;1200,410513,1,1;1200,410514,1,1;1200,410515,1,1;1200,410516,1,1;1200,410517,1,1;1200,410518,1,1;1200,410519,1,1;1200,410520,1,1;1200,410521,1,1;1200,410522,1,1;1200,410523,1,1;1200,410524,1,1;1200,410525,1,1;1200,410526,1,1;</t>
  </si>
  <si>
    <t>英雄套装宝箱（40）</t>
  </si>
  <si>
    <t>10179,9;10173,1</t>
  </si>
  <si>
    <t>英雄装备宝箱（40）</t>
  </si>
  <si>
    <t>10180,81;10179,9;10181,9;10173,1;</t>
  </si>
  <si>
    <t>随机装备宝箱（40）</t>
  </si>
  <si>
    <t>1200,20101,1,1;1200,20102,1,1;1200,20103,1,1;1200,20104,1,1;1200,20201,1,1;1200,20202,1,1;1200,20203,1,1;1200,20204,1,1;1200,20301,1,1;1200,20302,1,1;1200,20303,1,1;1200,20304,1,1;1200,20401,1,1;1200,20402,1,1;1200,20403,1,1;1200,20404,1,1;1200,20501,1,1;1200,20502,1,1;1200,20503,1,1;1200,20504,1,1;1200,20601,1,1;1200,20602,1,1;1200,20603,1,1;1200,20604,1,1;1200,20701,1,1;1200,20702,1,1;1200,20703,1,1;1200,20704,1,1;1200,20801,1,1;1200,20802,1,1;1200,20803,1,1;1200,20804,1,1;</t>
  </si>
  <si>
    <t>英雄套装宝箱（60）</t>
  </si>
  <si>
    <t>10182,9;10176,1;</t>
  </si>
  <si>
    <t>英雄装备宝箱（60）</t>
  </si>
  <si>
    <t>10183,81;10182,9;10184,9;10176,1;</t>
  </si>
  <si>
    <t>随机装备宝箱（60）</t>
  </si>
  <si>
    <t>1200,460017,1,45;1200,460018,1,45;1200,460019,1,45;1200,460020,1,45;</t>
  </si>
  <si>
    <t>40随机英雄</t>
  </si>
  <si>
    <t>1200,60017,1,45;1200,60018,1,45;1200,60019,1,45;1200,60020,1,45;</t>
  </si>
  <si>
    <t>40随机普通</t>
  </si>
  <si>
    <t>1200,40411,1,1;1200,40412,1,1;1200,40413,1,1;1200,40414,1,1;1200,40511,1,1;1200,40512,1,1;1200,40513,1,1;1200,40514,1,1;1200,40415,1,1;1200,40416,1,1;1200,40417,1,1;1200,40418,1,1;1200,40419,1,1;1200,40420,1,1;1200,40421,1,1;1200,40422,1,1;1200,40423,1,1;1200,40424,1,1;1200,40425,1,1;1200,40426,1,1;</t>
  </si>
  <si>
    <t>40随机普通套装</t>
  </si>
  <si>
    <t>1200,460025,1,1;1200,460026,1,1;1200,460027,1,1;1200,460028,1,1;1200,461025,1,1;1200,461026,1,1;1200,461027,1,1;1200,461028,1,1;1200,462025,1,1;1200,462026,1,1;1200,462027,1,1;1200,462028,1,1;</t>
  </si>
  <si>
    <t>60随机英雄</t>
  </si>
  <si>
    <t>1200,60025,1,1;1200,60026,1,1;1200,60027,1,1;1200,60028,1,1;1200,61025,1,1;1200,61026,1,1;1200,61027,1,1;1200,61028,1,1;1200,62025,1,1;1200,62026,1,1;1200,62027,1,1;1200,62028,1,1;</t>
  </si>
  <si>
    <t>60随机普通</t>
  </si>
  <si>
    <t>1200,10101,1,1;1200,10102,1,1;1200,10103,1,1;1200,10104,1,1;1200,10201,1,1;1200,10202,1,1;1200,10203,1,1;1200,10204,1,1;1200,10301,1,1;1200,10302,1,1;1200,10303,1,1;1200,10304,1,1;</t>
  </si>
  <si>
    <t>60随机普通套装</t>
  </si>
  <si>
    <t>15级野外礼包掉落</t>
  </si>
  <si>
    <t>1001,250046,1,100</t>
  </si>
  <si>
    <t>25级野外礼包掉落</t>
  </si>
  <si>
    <t>1001,250060,1,100</t>
  </si>
  <si>
    <t>30级野外礼包掉落</t>
  </si>
  <si>
    <t>1001,250061,1,100</t>
  </si>
  <si>
    <t>40级野外礼包掉落</t>
  </si>
  <si>
    <t>1001,250062,1,100</t>
  </si>
  <si>
    <t>50级野外礼包掉落</t>
  </si>
  <si>
    <t>1001,250063,1,100</t>
  </si>
  <si>
    <t>60级野外礼包掉落</t>
  </si>
  <si>
    <t>1100,112001,1,1;1100,112002,1,1;1100,112003,1,1;1100,112004,1,1;1100,112005,1,1;1100,112008,1,1;1100,112009,1,1;1100,112006,1,1;1100,112010,1,1;1100,112011,1,1;1100,112012,1,1;1100,112013,1,1;1100,112014,1,1;1100,112015,1,1;1100,112016,1,1;1100,112017,1,1;</t>
  </si>
  <si>
    <t>SR</t>
  </si>
  <si>
    <t>1100,113001,1,1;1100,113002,1,1;1100,113003,1,1;1100,113004,1,1;1100,113006,1,1;1100,113007,1,1;1100,113008,1,1;1100,113009,1,1;1100,113010,1,1;</t>
  </si>
  <si>
    <t>SSR</t>
  </si>
  <si>
    <t>1200,460021,1,1;1200,460022,1,1;1200,460023,1,1;1200,460024,1,1;1200,461021,1,1;1200,461022,1,1;1200,461023,1,1;1200,461024,1,1;1200,462021,1,1;1200,462022,1,1;1200,462023,1,1;1200,462024,1,1;</t>
  </si>
  <si>
    <t>随机英雄装备散件宝箱（50）</t>
  </si>
  <si>
    <t>1200,60013,1,90;1200,460013,1,10</t>
  </si>
  <si>
    <t>黑市30武器</t>
  </si>
  <si>
    <t>1200,60014,1,90;1200,460014,1,10</t>
  </si>
  <si>
    <t>黑市30防具</t>
  </si>
  <si>
    <t>1200,60015,1,90;1200,460015,1,10</t>
  </si>
  <si>
    <t>黑市30戒指</t>
  </si>
  <si>
    <t>1200,60016,1,90;1200,460016,1,10</t>
  </si>
  <si>
    <t>黑市30项链</t>
  </si>
  <si>
    <t>1200,60021,1,90;1200,61021,1,90;1200,62021,1,90;1200,460021,1,10;1200,461021,1,10;1200,462021,1,10</t>
  </si>
  <si>
    <t>黑市50武器</t>
  </si>
  <si>
    <t>1200,60022,1,90;1200,61022,1,90;1200,62022,1,90;1200,460022,1,10;1200,461022,1,10;1200,462022,1,10</t>
  </si>
  <si>
    <t>黑市50防具</t>
  </si>
  <si>
    <t>1200,60023,1,90;1200,61023,1,90;1200,62023,1,90;1200,460023,1,90;1200,461023,1,90;1200,462023,1,90</t>
  </si>
  <si>
    <t>黑市50戒指</t>
  </si>
  <si>
    <t>1200,60024,1,90;1200,61024,1,90;1200,62024,1,90;1200,460024,1,10;1200,461024,1,10;1200,462024,1,10</t>
  </si>
  <si>
    <t>黑市50项链</t>
  </si>
  <si>
    <t>1200,460017,1,80;1200,410411,1,4;1200,410511,1,4;1200,410515,1,4;1200,410519,1,4;1200,410523,1,4</t>
  </si>
  <si>
    <t>黑市40英雄武器</t>
  </si>
  <si>
    <t>1200,460018,1,80;1200,410412,1,4;1200,410512,1,4;1200,410516,1,4;1200,410520,1,4;1200,410524,1,4</t>
  </si>
  <si>
    <t>黑市40英雄防具</t>
  </si>
  <si>
    <t>1200,460019,1,80;1200,410413,1,4;1200,410513,1,4;1200,410517,1,4;1200,410521,1,4;1200,410525,1,4</t>
  </si>
  <si>
    <t>黑市40英雄戒指</t>
  </si>
  <si>
    <t>1200,460020,1,80;1200,410414,1,4;1200,410514,1,4;1200,410518,1,4;1200,410522,1,4;1200,410526,1,4</t>
  </si>
  <si>
    <t>黑市40英雄项链</t>
  </si>
  <si>
    <t>1200,460025,1,64;1200,461025,1,64;1200,462025,1,64;1200,20101,1,6;1200,20201,1,6;1200,20301,1,6;1200,20401,1,6;1200,20501,1,6;1200,20601,1,6;1200,20701,1,6;1200,20801,1,6;</t>
  </si>
  <si>
    <t>黑市60英雄武器</t>
  </si>
  <si>
    <t>1200,460026,1,64;1200,461026,1,64;1200,462026,1,64;1200,20102,1,6;1200,20202,1,6;1200,20302,1,6;1200,20402,1,6;1200,20502,1,6;1200,20602,1,6;1200,20702,1,6;1200,20802,1,6;</t>
  </si>
  <si>
    <t>黑市60英雄防具</t>
  </si>
  <si>
    <t>1200,460027,1,64;1200,461027,1,64;1200,462027,1,64;1200,20103,1,6;1200,20203,1,6;1200,20303,1,6;1200,20403,1,6;1200,20503,1,6;1200,20603,1,6;1200,20703,1,6;1200,20803,1,6;</t>
  </si>
  <si>
    <t>1200,460028,1,64;1200,461028,1,64;1200,462028,1,64;1200,20104,1,6;1200,20204,1,6;1200,20304,1,6;1200,20404,1,6;1200,20504,1,6;1200,20604,1,6;1200,20704,1,6;1200,20804,1,6;</t>
  </si>
  <si>
    <t>黑市60英雄项链</t>
  </si>
  <si>
    <t>1200,560009,1,2;1200,460009,1,1;</t>
  </si>
  <si>
    <t>1200,540211,1,6;1200,540215,1,6;1200,540219,1,6;1200,410211,1,4;1200,410215,1,4;1200,410219,1,4;</t>
  </si>
  <si>
    <t>1200,560010,1,2;1200,460010,1,1;</t>
  </si>
  <si>
    <t>1200,540212,1,6;1200,540216,1,6;1200,540220,1,6;1200,410212,1,4;1200,410216,1,4;1200,410220,1,4;</t>
  </si>
  <si>
    <t>1200,560011,1,2;1200,460011,1,1;</t>
  </si>
  <si>
    <t>1200,540213,1,6;1200,540217,1,6;1200,540221,1,6;1200,410213,1,4;1200,410217,1,4;1200,410221,1,4;</t>
  </si>
  <si>
    <t>1200,560012,1,2;1200,460012,1,1;</t>
  </si>
  <si>
    <t>1200,540214,1,6;1200,540218,1,6;1200,540222,1,6;1200,410214,1,4;1200,410218,1,4;1200,410222,1,4;</t>
  </si>
  <si>
    <t>1200,560017,1,7;1200,460017,1,7;</t>
  </si>
  <si>
    <t>1200,540411,1,7;1200,540511,1,7;1200,540415,1,7;1200,540419,1,7;1200,540423,1,7;1200,410411,1,3;1200,410511,1,3;1200,410515,1,3;1200,410519,1,3;1200,410523,1,3;</t>
  </si>
  <si>
    <t>1200,560018,1,7;1200,460018,1,7;</t>
  </si>
  <si>
    <t>1200,540412,1,7;1200,540512,1,7;1200,540416,1,7;1200,540420,1,7;1200,540424,1,7;1200,410412,1,3;1200,410512,1,3;1200,410516,1,3;1200,410520,1,3;1200,410524,1,3;</t>
  </si>
  <si>
    <t>1200,560019,1,7;1200,460019,1,7;</t>
  </si>
  <si>
    <t>1200,540413,1,7;1200,540513,1,7;1200,540417,1,7;1200,540421,1,7;1200,540425,1,7;1200,410413,1,3;1200,410513,1,3;1200,410517,1,3;1200,410521,1,3;1200,410525,1,3;</t>
  </si>
  <si>
    <t>1200,560020,1,7;1200,460020,1,7;</t>
  </si>
  <si>
    <t>1200,540414,1,7;1200,540514,1,7;1200,540418,1,7;1200,540422,1,7;1200,540426,1,7;1200,410414,1,3;1200,410514,1,3;1200,410518,1,3;1200,410522,1,3;1200,410526,1,3;</t>
  </si>
  <si>
    <t>10227,1;10228,1;10229,1;</t>
  </si>
  <si>
    <t>60普通套装</t>
  </si>
  <si>
    <t>1200,10101,1,1;1200,10102,1,1;1200,10103,1,1;1200,10104,1,1;</t>
  </si>
  <si>
    <t>1200,10201,1,1;1200,10202,1,1;1200,10203,1,1;1200,10204,1,1;</t>
  </si>
  <si>
    <t>1200,10301,1,1;1200,10302,1,1;1200,10303,1,1;1200,10304,1,1;</t>
  </si>
  <si>
    <t>1001,1100101,1,28;1001,1100201,1,28;1001,1100301,1,28;1001,1100401,1,28;1001,1100501,1,28;1001,1100601,1,28;1001,1100701,1,28;1001,1100801,1,28;1001,1100901,1,28;1001,1101001,1,28;1001,1101101,1,28;1001,1101201,1,28;1001,1101301,1,28;1001,1101401,1,28;1001,1101501,1,28;1001,1101601,1,28;1001,1101701,1,28;1001,1101801,1,28;1001,1101901,1,28;1001,1102001,1,28;1001,1102101,1,28;1001,1100101,0,9400</t>
  </si>
  <si>
    <t>野外1级宝石掉落组</t>
  </si>
  <si>
    <t>1001,1100102,1,33;1001,1100202,1,33;1001,1100302,1,33;1001,1100402,1,33;1001,1100502,1,33;1001,1100602,1,33;1001,1100702,1,33;1001,1100802,1,33;1001,1100902,1,33;1001,1101002,1,33;1001,1101102,1,33;1001,1101202,1,33;1001,1101302,1,33;1001,1101402,1,33;1001,1101502,1,33;1001,1101602,1,33;1001,1101702,1,33;1001,1101802,1,33;1001,1101902,1,33;1001,1102002,1,33;1001,1102102,1,33;1001,1100101,0,9300</t>
  </si>
  <si>
    <t>野外2级宝石掉落组</t>
  </si>
  <si>
    <t>1001,1100101,1,1;1001,1100201,1,1;1001,1100301,1,1;1001,1100401,1,1;1001,1100501,1,1;1001,1100601,1,1;1001,1100701,1,1;1001,1100801,1,1;1001,1100901,1,1;1001,1101001,1,1;1001,1101101,1,1;1001,1101201,1,1;1001,1101301,1,1;1001,1101401,1,1;1001,1101501,1,1;1001,1101601,1,1;1001,1101701,1,1;1001,1101801,1,1;1001,1101901,1,1;1001,1102001,1,1;1001,1102101,1,1</t>
  </si>
  <si>
    <t>野外1级宝石掉落</t>
  </si>
  <si>
    <t>1001,1100102,1,1;1001,1100202,1,1;1001,1100302,1,1;1001,1100402,1,1;1001,1100502,1,1;1001,1100602,1,1;1001,1100702,1,1;1001,1100802,1,1;1001,1100902,1,1;1001,1101002,1,1;1001,1101102,1,1;1001,1101202,1,1;1001,1101302,1,1;1001,1101402,1,1;1001,1101502,1,1;1001,1101602,1,1;1001,1101702,1,1;1001,1101802,1,1;1001,1101902,1,1;1001,1102002,1,1;1001,1102102,1,1</t>
  </si>
  <si>
    <t>野外2级宝石掉落</t>
  </si>
  <si>
    <t>1001,1100101,0,1</t>
  </si>
  <si>
    <t>野外不掉落组</t>
  </si>
  <si>
    <t>10236,90;10237,10;</t>
  </si>
  <si>
    <t>活动60英雄装备</t>
  </si>
  <si>
    <t>1200,460025,1,1;1200,461025,1,1;1200,462025,1,1;1200,460026,1,1;1200,461026,1,1;1200,462026,1,1;1200,460027,1,1;1200,461027,1,1;1200,462027,1,1;1200,460028,1,1;1200,461028,1,1;1200,462028,1,1;</t>
  </si>
  <si>
    <t>1200,20101,1,240;1200,20201,1,180;1200,20301,1,1;1200,20401,1,180;1200,20501,1,120;1200,20601,1,240;1200,20701,1,20;1200,20801,1,20;1200,20102,1,240;1200,20202,1,180;1200,20302,1,1;1200,20402,1,180;1200,20502,1,120;1200,20602,1,240;1200,20702,1,20;1200,20802,1,20;1200,20103,1,240;1200,20203,1,180;1200,20303,1,1;1200,20403,1,180;1200,20503,1,120;1200,20603,1,240;1200,20703,1,20;1200,20803,1,20;1200,20104,1,240;1200,20204,1,180;1200,20304,1,1;1200,20404,1,180;1200,20504,1,120;1200,20604,1,240;1200,20704,1,20;1200,20804,1,20;</t>
  </si>
  <si>
    <t>1200,2800101,1,5;1200,2800301,1,5;1200,2800401,1,5;1200,2800201,1,15;1200,2800501,1,15;1200,2800601,1,15;1200,2800701,1,5;1200,2800801,1,15;1200,2800901,1,15;1200,2801001,1,15;1200,2801101,1,5;1200,2801201,1,15;1200,828101,1,120;1200,828105,1,120;1200,828109,1,120</t>
  </si>
  <si>
    <t>黑市80蓝钻武器</t>
  </si>
  <si>
    <t>1200,2800102,1,5;1200,2800202,1,15;1200,2800302,1,5;1200,2800402,1,5;1200,2800502,1,15;1200,2800602,1,15;1200,2800702,1,5;1200,2800802,1,15;1200,2800902,1,15;1200,2801002,1,15;1200,2801102,1,5;1200,2801202,1,15;1200,828102,1,120;1200,828106,1,120;1200,828110,1,120</t>
  </si>
  <si>
    <t>黑市80蓝钻防具</t>
  </si>
  <si>
    <t>1200,2800103,1,5;1200,2800203,1,15;1200,2800303,1,5;1200,2800403,1,5;1200,2800503,1,15;1200,2800603,1,15;1200,2800703,1,5;1200,2800803,1,15;1200,2800903,1,15;1200,2801003,1,15;1200,2801103,1,5;1200,2801203,1,15;1200,828103,1,120;1200,828107,1,120;1200,828111,1,120</t>
  </si>
  <si>
    <t>黑市80蓝钻戒指</t>
  </si>
  <si>
    <t>1200,2800104,1,5;1200,2800204,1,15;1200,2800304,1,5;1200,2800404,1,5;1200,2800504,1,15;1200,2800604,1,15;1200,2800704,1,5;1200,2800804,1,15;1200,2800904,1,15;1200,2801004,1,15;1200,2801104,1,5;1200,2801204,1,15;1200,828104,1,120;1200,828108,1,120;1200,828112,1,120</t>
  </si>
  <si>
    <t>黑市80蓝钻项链</t>
  </si>
  <si>
    <t>10245,96;10246,4</t>
  </si>
  <si>
    <t>黑市80金块武器</t>
  </si>
  <si>
    <t>1200,818101,1,120;1200,818105,1,120;1200,818109,1,120</t>
  </si>
  <si>
    <t>1200,2801101,1,50;1200,2800301,1,50;1200,2800401,1,50;1200,2800801,1,250;1200,2800901,1,250;1200,2801001,1,250;1200,2801201,1,250;1200,2800101,1,120;1200,2800701,1,120;1200,2800201,1,200;1200,2800501,1,200;1200,2800601,1,200;</t>
  </si>
  <si>
    <t>黑市80金块武器套装</t>
  </si>
  <si>
    <t>10248,96;10249,4</t>
  </si>
  <si>
    <t>黑市80金块防具</t>
  </si>
  <si>
    <t>1200,818102,1,120;1200,818106,1,120;1200,818110,1,120</t>
  </si>
  <si>
    <t>1200,2801102,1,50;1200,2800302,1,50;1200,2800402,1,50;1200,2800802,1,250;1200,2800902,1,250;1200,2801002,1,250;1200,2801202,1,250;1200,2800102,1,120;1200,2800702,1,120;1200,2800202,1,200;1200,2800502,1,200;1200,2800602,1,200;</t>
  </si>
  <si>
    <t>黑市80金块防具套装</t>
  </si>
  <si>
    <t>10251,96;10252,4</t>
  </si>
  <si>
    <t>黑市80金块戒指</t>
  </si>
  <si>
    <t>1200,818103,1,120;1200,818107,1,120;1200,818111,1,120</t>
  </si>
  <si>
    <t>1200,2801103,1,50;1200,2800303,1,50;1200,2800403,1,50;1200,2800803,1,250;1200,2800903,1,250;1200,2801003,1,250;1200,2801203,1,250;1200,2800103,1,120;1200,2800703,1,120;1200,2800203,1,200;1200,2800503,1,200;1200,2800603,1,200;</t>
  </si>
  <si>
    <t>黑市80金块戒指套装</t>
  </si>
  <si>
    <t>10254,96;10255,4</t>
  </si>
  <si>
    <t>黑市80金块项链</t>
  </si>
  <si>
    <t>1200,818104,1,120;1200,818108,1,120;1200,818112,1,120</t>
  </si>
  <si>
    <t>1200,2801104,1,50;1200,2800304,1,50;1200,2800404,1,50;1200,2800804,1,250;1200,2800904,1,250;1200,2801004,1,250;1200,2801204,1,250;1200,2800104,1,120;1200,2800704,1,120;1200,2800204,1,200;1200,2800504,1,200;1200,2800604,1,200;</t>
  </si>
  <si>
    <t>黑市80金块项链套装</t>
  </si>
  <si>
    <t>1200,20401,1,10;1200,20402,1,10;1200,20403,1,10;1200,20404,1,10</t>
  </si>
  <si>
    <t>黄金套装宝箱</t>
  </si>
  <si>
    <t>80级野怪掉落</t>
  </si>
  <si>
    <t>1001,213001,1,35;1001,213001,0,65</t>
  </si>
  <si>
    <t>1001,250108,1,100</t>
  </si>
  <si>
    <t>80级野怪礼包掉落</t>
  </si>
  <si>
    <t>1001,210021,1,10;1001,210021,1,10;1001,210021,1,10</t>
  </si>
  <si>
    <t>10级训练宝箱</t>
  </si>
  <si>
    <t>10262,80;10263,20</t>
  </si>
  <si>
    <t>80蓝钻武器roll组</t>
  </si>
  <si>
    <t>1200,828101,1,1;1200,828105,1,1;1200,828109,1,1</t>
  </si>
  <si>
    <t>80蓝钻武器英雄散件随机组</t>
  </si>
  <si>
    <t>80蓝钻武器英雄套装随机组</t>
  </si>
  <si>
    <t>10265,80;10266,20</t>
  </si>
  <si>
    <t>80蓝钻防具roll组</t>
  </si>
  <si>
    <t>1200,828102,1,1;1200,828106,1,1;1200,828110,1,1</t>
  </si>
  <si>
    <t>80蓝钻防具英雄散件随机组</t>
  </si>
  <si>
    <t>80蓝钻防具英雄套装随机组</t>
  </si>
  <si>
    <t>10268,80;10269,20</t>
  </si>
  <si>
    <t>80蓝钻戒指roll组</t>
  </si>
  <si>
    <t>1200,828103,1,1;1200,828107,1,1;1200,828111,1,1</t>
  </si>
  <si>
    <t>80蓝钻戒指英雄散件随机组</t>
  </si>
  <si>
    <t>80蓝钻戒指英雄套装随机组</t>
  </si>
  <si>
    <t>10271,80;10272,20</t>
  </si>
  <si>
    <t>80蓝钻项链roll组</t>
  </si>
  <si>
    <t>1200,828104,1,1;1200,828108,1,1;1200,828112,1,1</t>
  </si>
  <si>
    <t>80蓝钻项链英雄散件随机组</t>
  </si>
  <si>
    <t>80蓝钻项链英雄套装随机组</t>
  </si>
  <si>
    <t>10150,1;10257,1;10258,1;10230,1;10231,1</t>
  </si>
  <si>
    <t>80级野怪宝石掉落</t>
  </si>
  <si>
    <t>1001,213001,1,20;1001,213001,0,80</t>
  </si>
  <si>
    <t>85级野怪掉落</t>
  </si>
  <si>
    <t>1001,213001,1,10;1001,213001,0,90</t>
  </si>
  <si>
    <t>10150,1;10257,1;10274,1;10275,1;10230,1;10231,1</t>
  </si>
  <si>
    <t>85级野怪礼包掉落</t>
  </si>
  <si>
    <t>1001,215001,1,40;3,0,100,30;1001,213004,1,25;1001,800002,1,5</t>
  </si>
  <si>
    <t>红包掉落</t>
  </si>
  <si>
    <t>1001,712001,1,20;1001,215001,1,10;1001,215001,1,10;1001,215001,1,10;1001,452201,1,25;5,0,5000,25</t>
  </si>
  <si>
    <t>福字掉落</t>
  </si>
  <si>
    <t>1200,2800701,1,25;1200,2800702,1,25;1200,2800703,1,25;1200,2800704,1,25;</t>
  </si>
  <si>
    <t>1001,215001,1,200;1001,214005,1,50;1001,712001,1,200;1001,215001,1,50;1001,215001,1,50;1001,215001,1,50;1001,452201,1,150;5,0,5000,200;</t>
  </si>
  <si>
    <t>情人节玫瑰</t>
  </si>
  <si>
    <t>1001,215001,1,200;1001,214005,1,50;1001,712001,1,200;1001,215001,1,50;1001,215001,1,50;1001,215001,1,100;1001,452201,1,150;5,0,5000,200;</t>
  </si>
  <si>
    <t>康乃馨</t>
  </si>
  <si>
    <t>柳条</t>
  </si>
  <si>
    <t>1001,712001,1,150;1001,215001,1,100;1001,215001,1,100;1001,215001,1,100;1001,452201,1,250;5,0,5000,300;</t>
  </si>
  <si>
    <t>新版庆典礼盒</t>
  </si>
  <si>
    <t>1001,214001,1,200;1001,215001,1,100;1001,215001,1,100;1001,215001,1,100;3,0,50,100;1001,452201,1,200;5,0,5000,200</t>
  </si>
  <si>
    <t>1001,491001,1,1;1001,491002,1,1;1001,491003,1,1;1001,491004,1,1;1001,491005,1,1;1001,491006,1,1;1001,491007,1,1;1001,491008,1,1;</t>
  </si>
  <si>
    <t>属性药丸盒</t>
  </si>
  <si>
    <t>1001,492009,1,1;1001,492010,1,1;1001,492011,1,1;1001,492012,1,1;1001,492013,1,1;1001,492014,1,1;1001,492015,1,1;1001,492016,1,1;</t>
  </si>
  <si>
    <t>抗性药剂盒</t>
  </si>
  <si>
    <t>资源找回突破绿</t>
  </si>
  <si>
    <t>资源找回突破蓝</t>
  </si>
  <si>
    <t>资源找回突破紫</t>
  </si>
  <si>
    <t>资源找回突破橙</t>
  </si>
  <si>
    <t>10292,133;10293,57;10294,10</t>
  </si>
  <si>
    <t>资源找回40级装备</t>
  </si>
  <si>
    <t>1200,60017,1,1;1200,60018,1,1;1200,60019,1,1;1200,60020,1,1;</t>
  </si>
  <si>
    <t>1200,40411,1,1;1200,40412,1,1;1200,40413,1,1;1200,40414,1,1;1200,40415,1,1;1200,40416,1,1;1200,40417,1,1;1200,40418,1,1;</t>
  </si>
  <si>
    <t>1200,410519,1,1;1200,410520,1,1;1200,410521,1,1;1200,410522,1,1;1200,410523,1,1;1200,410524,1,1;1200,410525,1,1;1200,410526,1,1;</t>
  </si>
  <si>
    <t>资源找回40级英雄套装</t>
  </si>
  <si>
    <t>10296,50;10297,50;</t>
  </si>
  <si>
    <t>资源找回50级装备</t>
  </si>
  <si>
    <t>1200,60021,1,1;1200,60022,1,1;1200,60023,1,1;1200,60024,1,1;1200,61021,1,1;1200,61022,1,1;1200,61023,1,1;1200,61024,1,1;1200,62021,1,1;1200,62022,1,1;1200,62023,1,1;1200,62024,1,1;</t>
  </si>
  <si>
    <t>10297,133;10299,57;10300,10</t>
  </si>
  <si>
    <t>资源找回60级装备</t>
  </si>
  <si>
    <t>1200,20101,1,1;1200,20102,1,1;1200,20103,1,1;1200,20104,1,1;1200,20201,1,1;1200,20202,1,1;1200,20203,1,1;1200,20204,1,1;1200,20401,1,1;1200,20402,1,1;1200,20403,1,1;1200,20404,1,1;1200,20501,1,1;1200,20502,1,1;1200,20503,1,1;1200,20504,1,1;1200,20601,1,1;1200,20602,1,1;1200,20603,1,1;1200,20604,1,1;1200,20701,1,1;1200,20702,1,1;1200,20703,1,1;1200,20704,1,1;1200,20801,1,1;1200,20802,1,1;1200,20803,1,1;1200,20804,1,1;</t>
  </si>
  <si>
    <t>资源找回60级英雄装备</t>
  </si>
  <si>
    <t>10302,171;10303,19;10304,10</t>
  </si>
  <si>
    <t>资源找回80级装备</t>
  </si>
  <si>
    <t>1200,838101,1,1;1200,838102,1,1;1200,838103,1,1;1200,838104,1,1;1200,838105,1,1;1200,838106,1,1;1200,838107,1,1;1200,838108,1,1;1200,838109,1,1;1200,838110,1,1;1200,838111,1,1;1200,838112,1,1;</t>
  </si>
  <si>
    <t>1200,828101,1,1;1200,828102,1,1;1200,828103,1,1;1200,828104,1,1;1200,828105,1,1;1200,828106,1,1;1200,828107,1,1;1200,828108,1,1;1200,828109,1,1;1200,828110,1,1;1200,828111,1,1;1200,828112,1,1;</t>
  </si>
  <si>
    <t>1200,2800201,1,1;1200,2800202,1,1;1200,2800203,1,1;1200,2800204,1,1;1200,2800501,1,1;1200,2800502,1,1;1200,2800503,1,1;1200,2800504,1,1;1200,2800601,1,1;1200,2800602,1,1;1200,2800603,1,1;1200,2800604,1,1;1200,2800901,1,1;1200,2800902,1,1;1200,2800903,1,1;1200,2800904,1,1;1200,2801201,1,1;1200,2801202,1,1;1200,2801203,1,1;1200,2801204,1,1;</t>
  </si>
  <si>
    <t>资源找回80级英雄套装</t>
  </si>
  <si>
    <t>1001,511134,10,96;1001,511135,1,4</t>
  </si>
  <si>
    <t>装备兑换</t>
  </si>
  <si>
    <t>夏日礼盒</t>
  </si>
  <si>
    <t>10308,5;10309,24;10310,96</t>
  </si>
  <si>
    <t>黑市100金块武器</t>
  </si>
  <si>
    <t>1200,3001001,1,75;1200,3001601,1,75;1200,3000901,1,150;1200,3000401,1,150;1200,3001301,1,150;1200,3000801,1,575;1200,3000101,1,575;1200,3001501,1,75;1200,3001401,1,575;1200,3001101,1,350;1200,3000501,1,350;1200,3001201,1,350</t>
  </si>
  <si>
    <t>1200,8100013,1,10;1200,8100017,1,10;1200,8100021,1,10;</t>
  </si>
  <si>
    <t>1200,8100025,1,10;1200,8100029,1,10;1200,8100033,1,10;</t>
  </si>
  <si>
    <t>10312,5;10313,24;10314,96</t>
  </si>
  <si>
    <t>黑市100金块防具</t>
  </si>
  <si>
    <t>1200,3001002,1,75;1200,3001602,1,75;1200,3000902,1,150;1200,3000402,1,150;1200,3001302,1,150;1200,3000802,1,575;1200,3000102,1,575;1200,3001502,1,75;1200,3001402,1,575;1200,3001102,1,350;1200,3000502,1,350;1200,3001202,1,350</t>
  </si>
  <si>
    <t>1200,8100014,1,10;1200,8100018,1,10;1200,8100022,1,10;</t>
  </si>
  <si>
    <t>1200,8100026,1,10;1200,8100030,1,10;1200,8100034,1,10;</t>
  </si>
  <si>
    <t>10316,5;10317,24;10318,96</t>
  </si>
  <si>
    <t>黑市100金块戒指</t>
  </si>
  <si>
    <t>1200,3001003,1,75;1200,3001603,1,75;1200,3000903,1,150;1200,3000403,1,150;1200,3001303,1,150;1200,3000803,1,575;1200,3000103,1,575;1200,3001503,1,75;1200,3001403,1,575;1200,3001103,1,350;1200,3000503,1,350;1200,3001203,1,350</t>
  </si>
  <si>
    <t>1200,8100015,1,10;1200,8100019,1,10;1200,8100023,1,10;</t>
  </si>
  <si>
    <t>1200,8100027,1,10;1200,8100031,1,10;1200,8100035,1,10;</t>
  </si>
  <si>
    <t>10320,5;10321,24;10322,96</t>
  </si>
  <si>
    <t>黑市100金块项链</t>
  </si>
  <si>
    <t>1200,3001004,1,75;1200,3001604,1,75;1200,3000904,1,150;1200,3000404,1,150;1200,3001304,1,150;1200,3000804,1,575;1200,3000104,1,575;1200,3001504,1,75;1200,3001404,1,575;1200,3001104,1,350;1200,3000504,1,350;1200,3001204,1,350</t>
  </si>
  <si>
    <t>1200,8100016,1,10;1200,8100020,1,10;1200,8100024,1,10;</t>
  </si>
  <si>
    <t>1200,8100028,1,10;1200,8100032,1,10;1200,8100036,1,10;</t>
  </si>
  <si>
    <t>10308,20;10309,80</t>
  </si>
  <si>
    <t>黑市100蓝钻武器</t>
  </si>
  <si>
    <t>10312,20;10313,80</t>
  </si>
  <si>
    <t>黑市100蓝钻防具</t>
  </si>
  <si>
    <t>10316,20;10317,80</t>
  </si>
  <si>
    <t>黑市100蓝钻戒指</t>
  </si>
  <si>
    <t>10320,20;10321,80</t>
  </si>
  <si>
    <t>黑市100蓝钻项链</t>
  </si>
  <si>
    <t>1001,511234,1,15;1001,215005,5,80;1001,215011,2,80;1001,214003,5,80;1001,215007,3,140;1001,216001,5,125;1001,214002,5,140;1001,214004,1,130;1001,214014,1,130;</t>
  </si>
  <si>
    <t>玫瑰花束</t>
  </si>
  <si>
    <t>1001,1100107,1,1;1001,1100207,1,1;1001,1100307,1,1;1001,1100407,1,1;1001,1100507,1,1;1001,1100607,1,1;1001,1100707,1,1;1001,1100807,1,1;1001,1100907,1,1;1001,1101807,1,1;1001,1101907,1,1;1001,1102207,1,1;1001,1102307,1,1;1001,1102407,1,1</t>
  </si>
  <si>
    <t>10327,920;10328,80</t>
  </si>
  <si>
    <t>1001,215001,1,180;1001,212014,1,100;1001,213002,1,180;1001,215001,1,100;1001,215001,1,100;1001,215001,1,100;1001,452201,1,180;1001,214003,1,30;1001,720001,1,30</t>
  </si>
  <si>
    <t>玫瑰花</t>
  </si>
  <si>
    <t>10206,1;10207,1;10208,1;10209,1</t>
  </si>
  <si>
    <t>60随机黑市箱子</t>
  </si>
  <si>
    <t>10262,2;10263,8;10265,2;10266,8;10268,2;10269,8;10271,2;10272,8</t>
  </si>
  <si>
    <t>80随机黑市箱子</t>
  </si>
  <si>
    <t>10308,20;10309,80;10312,20;10313,80;10316,20;10317,80;10320,20;10321,80</t>
  </si>
  <si>
    <t>100随机黑市箱子</t>
  </si>
  <si>
    <t>10202,1;10203,1;10204,1;10205,1</t>
  </si>
  <si>
    <t>40随机黑市箱子</t>
  </si>
  <si>
    <t>10336,75;10337,75;10338,150;10339,150;10340,150;10341,575;10342,575;10343,75;10344,575;10345,350;10346,350;10347,350</t>
  </si>
  <si>
    <t>100级英雄套装宝箱</t>
  </si>
  <si>
    <t>1200,3001001,1,10;1200,3001002,1,10;1200,3001003,1,10;1200,3001004,1,10</t>
  </si>
  <si>
    <t>100级英雄套装</t>
  </si>
  <si>
    <t>1200,3001601,1,10;1200,3001602,1,10;1200,3001603,1,10;1200,3001604,1,10</t>
  </si>
  <si>
    <t>1200,3000901,1,10;1200,3000902,1,10;1200,3000903,1,10;1200,3000904,1,10</t>
  </si>
  <si>
    <t>1200,3000401,1,10;1200,3000402,1,10;1200,3000403,1,10;1200,3000404,1,10</t>
  </si>
  <si>
    <t>1200,3001301,1,10;1200,3001302,1,10;1200,3001303,1,10;1200,3001304,1,10</t>
  </si>
  <si>
    <t>1200,3000801,1,10;1200,3000802,1,10;1200,3000803,1,10;1200,3000804,1,10</t>
  </si>
  <si>
    <t>1200,3000101,1,10;1200,3000102,1,10;1200,3000103,1,10;1200,3000104,1,10</t>
  </si>
  <si>
    <t>1200,3001501,1,10;1200,3001502,1,10;1200,3001503,1,10;1200,3001504,1,10</t>
  </si>
  <si>
    <t>1200,3001401,1,10;1200,3001402,1,10;1200,3001403,1,10;1200,3001404,1,10</t>
  </si>
  <si>
    <t>1200,3001101,1,10;1200,3001102,1,10;1200,3001103,1,10;1200,3001104,1,10</t>
  </si>
  <si>
    <t>1200,3000501,1,10;1200,3000502,1,10;1200,3000503,1,10;1200,3000504,1,10</t>
  </si>
  <si>
    <t>1200,3001201,1,10;1200,3001202,1,10;1200,3001203,1,10;1200,3001204,1,10</t>
  </si>
  <si>
    <t>1200,3001901,1,10;1200,3001902,1,10;1200,3001903,1,10;1200,3001904,1,10</t>
  </si>
  <si>
    <t>复仇套随机箱子</t>
  </si>
  <si>
    <t>1200,3002301,1,10;1200,3002302,1,10;1200,3002303,1,10;1200,3002304,1,10</t>
  </si>
  <si>
    <t>统帅套随机箱子</t>
  </si>
  <si>
    <t>1001,216002,5,20;3,0,50,35;1001,800002,1,20;1001,720001,1,20;1001,214003,2,150;1001,216001,5,170;1001,800007,2,130;1001,800004,1,130;5,0,100000,155;1001,452201,5,164;1001,215011,1,6</t>
  </si>
  <si>
    <t>拼图宝袋</t>
  </si>
  <si>
    <t>1001,218021,1,10;1001,218021,1,10;1001,218021,1,10</t>
  </si>
  <si>
    <t>8级训练宝箱</t>
  </si>
  <si>
    <t>5,0,300000,100</t>
  </si>
  <si>
    <t>悬赏世界BOSS最后一击金块</t>
  </si>
  <si>
    <t>15007,50;15008,50</t>
  </si>
  <si>
    <t>悬赏世界BOSS最后一击宝石</t>
  </si>
  <si>
    <t>5,0,500000,100</t>
  </si>
  <si>
    <t>15007,30;15008,40;15009,30</t>
  </si>
  <si>
    <t>5,0,1000000,100</t>
  </si>
  <si>
    <t>15008,30;15009,50;15010,20</t>
  </si>
  <si>
    <t>1001,1100104,1,1;1001,1100204,1,1;1001,1100304,1,1;1001,1100404,1,1;1001,1100504,1,1;1001,1100604,1,1;1001,1100704,1,1;1001,1100804,1,1;1001,1100904,1,1;1001,1101004,1,1;1001,1101104,1,1;1001,1101204,1,1;1001,1101304,1,1;1001,1101404,1,1;1001,1101504,1,1;1001,1101604,1,1;1001,1101704,1,1;1001,1101804,1,1;1001,1101904,1,1;1001,1102004,1,1;1001,1102104,1,1;</t>
  </si>
  <si>
    <t>悬赏世界BOSS最后一击4级宝石</t>
  </si>
  <si>
    <t>1001,1100105,1,1;1001,1100205,1,1;1001,1100305,1,1;1001,1100405,1,1;1001,1100505,1,1;1001,1100605,1,1;1001,1100705,1,1;1001,1100805,1,1;1001,1100905,1,1;1001,1101005,1,1;1001,1101105,1,1;1001,1101205,1,1;1001,1101305,1,1;1001,1101405,1,1;1001,1101505,1,1;1001,1101605,1,1;1001,1101705,1,1;1001,1101805,1,1;1001,1101905,1,1;1001,1102005,1,1;1001,1102105,1,1</t>
  </si>
  <si>
    <t>悬赏世界BOSS最后一击5级宝石</t>
  </si>
  <si>
    <t>1001,1100106,1,3;1001,1100206,1,3;1001,1100306,1,3;1001,1100406,1,3;1001,1100506,1,3;1001,1100606,1,3;1001,1100706,1,3;1001,1100806,1,3;1001,1100906,1,3;1001,1101006,1,3;1001,1101106,1,3;1001,1101206,1,3;1001,1101306,1,3;1001,1101406,1,3;1001,1101506,1,3;1001,1101606,1,3;1001,1101706,1,3;1001,1101806,1,3;1001,1101906,1,3;1001,1102006,1,3;1001,1102106,1,3</t>
  </si>
  <si>
    <t>悬赏世界BOSS最后一击6级宝石</t>
  </si>
  <si>
    <t>1001,1100107,1,3;1001,1100207,1,3;1001,1100307,1,3;1001,1100407,1,3;1001,1100507,1,3;1001,1100607,1,3;1001,1100707,1,3;1001,1100807,1,3;1001,1100907,1,3;1001,1101007,1,3;1001,1101107,1,3;1001,1101207,1,3;1001,1101307,1,3;1001,1101407,1,3;1001,1101507,1,3;1001,1101607,1,3;1001,1101707,1,3;1001,1101807,1,3;1001,1101907,1,3;1001,1102007,1,3;1001,1102107,1,3</t>
  </si>
  <si>
    <t>悬赏世界BOSS最后一击7级宝石</t>
  </si>
  <si>
    <t>1001,1100101,1,1;1001,1100201,1,1;1001,1100301,1,1;1001,1100401,1,1;1001,1100501,1,1;1001,1100601,1,1;1001,1100701,1,1;1001,1100801,1,1;1001,1100901,1,1;1001,1101001,1,1;1001,1101101,1,1;1001,1101201,1,1;1001,1101301,1,1;1001,1101401,1,1;1001,1101501,1,1;1001,1101601,1,1;1001,1101701,1,1;1001,1101801,1,1;1001,1101901,1,1;1001,1102001,1,1;1001,1102101,1,1;</t>
  </si>
  <si>
    <t>悬赏世界BOSS最后一击1级宝石</t>
  </si>
  <si>
    <t>1001,1100102,1,1;1001,1100202,1,1;1001,1100302,1,1;1001,1100402,1,1;1001,1100502,1,1;1001,1100602,1,1;1001,1100702,1,1;1001,1100802,1,1;1001,1100902,1,1;1001,1101002,1,1;1001,1101102,1,1;1001,1101202,1,1;1001,1101302,1,1;1001,1101402,1,1;1001,1101502,1,1;1001,1101602,1,1;1001,1101702,1,1;1001,1101802,1,1;1001,1101902,1,1;1001,1102002,1,1;1001,1102102,1,1;</t>
  </si>
  <si>
    <t>悬赏世界BOSS最后一击2级宝石</t>
  </si>
  <si>
    <t>1001,1100103,1,1;1001,1100203,1,1;1001,1100303,1,1;1001,1100403,1,1;1001,1100503,1,1;1001,1100603,1,1;1001,1100703,1,1;1001,1100803,1,1;1001,1100903,1,1;1001,1101003,1,1;1001,1101103,1,1;1001,1101203,1,1;1001,1101303,1,1;1001,1101403,1,1;1001,1101503,1,1;1001,1101603,1,1;1001,1101703,1,1;1001,1101803,1,1;1001,1101903,1,1;1001,1102003,1,1;1001,1102103,1,1;</t>
  </si>
  <si>
    <t>悬赏世界BOSS最后一击3级宝石</t>
  </si>
  <si>
    <t>5,0,400000,100</t>
  </si>
  <si>
    <t>悬赏世界BOSS排名</t>
  </si>
  <si>
    <t>5,0,250000,100</t>
  </si>
  <si>
    <t>5,0,200000,100</t>
  </si>
  <si>
    <t>5,0,150000,100</t>
  </si>
  <si>
    <t>5,0,120000,100</t>
  </si>
  <si>
    <t>5,0,100000,100</t>
  </si>
  <si>
    <t>5,0,90000,100</t>
  </si>
  <si>
    <t>5,0,80000,100</t>
  </si>
  <si>
    <t>5,0,70000,100</t>
  </si>
  <si>
    <t>5,0,50000,100</t>
  </si>
  <si>
    <t>5,0,35000,100</t>
  </si>
  <si>
    <t>5,0,25000,100</t>
  </si>
  <si>
    <t>15007,100</t>
  </si>
  <si>
    <t>悬赏世界BOSS排名4级宝石</t>
  </si>
  <si>
    <t>15013,100</t>
  </si>
  <si>
    <t>悬赏世界BOSS排名3级宝石</t>
  </si>
  <si>
    <t>15012,50;15013,50</t>
  </si>
  <si>
    <t>悬赏世界BOSS排名2、3级宝石</t>
  </si>
  <si>
    <t>15012,100</t>
  </si>
  <si>
    <t>悬赏世界BOSS排名2级宝石</t>
  </si>
  <si>
    <t>15011,100</t>
  </si>
  <si>
    <t>悬赏世界BOSS排名1级宝石</t>
  </si>
  <si>
    <t>15011,50;15012,50</t>
  </si>
  <si>
    <t>1001,212004,7,100</t>
  </si>
  <si>
    <t>悬赏世界BOSS排名打孔石</t>
  </si>
  <si>
    <t>1001,212004,5,100</t>
  </si>
  <si>
    <t>1001,212004,4,100</t>
  </si>
  <si>
    <t>5,0,450000,100</t>
  </si>
  <si>
    <t>5,0,350000,100</t>
  </si>
  <si>
    <t>5,0,220000,100</t>
  </si>
  <si>
    <t>5,0,180000,100</t>
  </si>
  <si>
    <t>5,0,60000,100</t>
  </si>
  <si>
    <t>5,0,40000,100</t>
  </si>
  <si>
    <t>5,0,20000,100</t>
  </si>
  <si>
    <t>15008,100</t>
  </si>
  <si>
    <t>15007,50;15013,50</t>
  </si>
  <si>
    <t>15011,30;15012,70</t>
  </si>
  <si>
    <t>5,0,360000,100</t>
  </si>
  <si>
    <t>5,0,290000,100</t>
  </si>
  <si>
    <t>5,0,140000,100</t>
  </si>
  <si>
    <t>5,0,110000,100</t>
  </si>
  <si>
    <t>5,0,45000,100</t>
  </si>
  <si>
    <t>5,0,30000,100</t>
  </si>
  <si>
    <t>15012,40;15013,60</t>
  </si>
  <si>
    <t>1001,212004,3,100</t>
  </si>
  <si>
    <t>1001,212004,2,100</t>
  </si>
  <si>
    <t>1001,212004,1,100</t>
  </si>
  <si>
    <t>5,0,12000,100</t>
  </si>
  <si>
    <t>5,0,8000,100</t>
  </si>
  <si>
    <t>5,0,5000,100</t>
  </si>
  <si>
    <t>5,0,15000,100</t>
  </si>
  <si>
    <t>5,0,10000,100</t>
  </si>
  <si>
    <t>5,0,18000,100</t>
  </si>
  <si>
    <t>1001,213004,4,100</t>
  </si>
  <si>
    <t>悬赏世界打孔石</t>
  </si>
  <si>
    <t>1001,213004,3,100</t>
  </si>
  <si>
    <t>1001,213004,2,100</t>
  </si>
  <si>
    <t>1001,213004,1,100</t>
  </si>
  <si>
    <t>1001,214003,5,100</t>
  </si>
  <si>
    <t>悬赏世界英雄之石</t>
  </si>
  <si>
    <t>1001,214003,4,100</t>
  </si>
  <si>
    <t>1001,214003,3,100</t>
  </si>
  <si>
    <t>1001,214003,2,100</t>
  </si>
  <si>
    <t>1001,214003,1,100</t>
  </si>
  <si>
    <t>1801,0,10,10;1802,0,100,10</t>
  </si>
  <si>
    <t>1、100%获得1801,0,10;1802,0,100</t>
  </si>
  <si>
    <t>1802,0,6,88;1801,0,1,12</t>
  </si>
  <si>
    <t>2、88%获得1802,0,6   12%获得1801,0,1</t>
  </si>
  <si>
    <t>1801,0,10,10;1802,0,150,10</t>
  </si>
  <si>
    <t>3、100%获得1801,0,10;1802,0,150</t>
  </si>
  <si>
    <t>1802,0,9,87;1801,0,1,13</t>
  </si>
  <si>
    <t>4、87%获得1802,0,9   13%获得1801,0,1</t>
  </si>
  <si>
    <t>1801,0,15,10;1802,0,200,10</t>
  </si>
  <si>
    <t>5、100%获得1801,0,15;1802,0,200</t>
  </si>
  <si>
    <t>1802,0,12,85;1801,0,1,15</t>
  </si>
  <si>
    <t>6、85%获得1802,0,12   15%获得1801,0,1</t>
  </si>
  <si>
    <t>1802,0,20,100</t>
  </si>
  <si>
    <t>20个周年庆银币</t>
  </si>
  <si>
    <t>3,0,666,30;1001,216002,5,80;3,0,50,145;1001,213014,2,103;1001,216001,5,170;1001,214003,1,140;1001,215002,1,140;1001,800004,1,142;1001,1100106,1,3;1001,1100206,1,3;1001,1100306,1,2;1001,1100406,1,2;1001,1100506,1,2;1001,1100606,1,2;1001,1100706,1,2;1001,1100806,1,2;1001,1100906,1,2;1001,1101006,1,2;1001,1101106,1,2;1001,1101206,1,2;1001,1101306,1,2;1001,1101406,1,2;1001,1101506,1,2;1001,1101606,1,2;1001,1101706,1,2;1001,1101806,1,2;1001,1101906,1,2;1001,1102006,1,2;1001,1102106,1,2;1001,1102206,1,2;1001,1102306,1,2;1001,1102406,1,2</t>
  </si>
  <si>
    <t>1001,216011,1,140;3,0,50,160;1001,214003,1,160;1001,216001,3,210;1001,215007,1,230;1001,800002,1,100</t>
  </si>
  <si>
    <t>感恩彩蛋</t>
  </si>
  <si>
    <t>1001,215001,1,200;1001,214005,1,50;1001,712001,1,200;1001,215001,1,50;1001,215001,1,50;1001,215001,1,100;1001,452201,1,150;5,0,5000,200</t>
  </si>
  <si>
    <t>感恩火鸡</t>
  </si>
  <si>
    <t>1001,720001,1,140;3,0,50,160;1001,214003,1,160;1001,216001,3,210;1001,215007,1,230;1001,800002,1,100</t>
  </si>
  <si>
    <t>迎春礼盒</t>
  </si>
  <si>
    <t>迎春气球</t>
  </si>
  <si>
    <t>1001,215011,1,80;3,0,88,160;1001,218004,1,120;1001,216001,3,270;1001,215007,1,250;1001,800002,1,120</t>
  </si>
  <si>
    <t>新春玫瑰花</t>
  </si>
  <si>
    <t>3,0,66,160;1001,720001,1,140;1001,214003,1,160;1001,216001,3,210;1001,215007,1,230;1001,800002,1,100</t>
  </si>
  <si>
    <t>2021春节福字</t>
  </si>
  <si>
    <t>5,0,5000,100;1001,215001,1,200;1001,214005,1,50;1001,712001,1,200;1001,215001,1,50;1001,215001,1,50;1001,215001,1,100;1001,452201,1,150</t>
  </si>
  <si>
    <t>2021春节鞭炮</t>
  </si>
  <si>
    <t>1001,215011,1,80;3,0,66,160;1001,218004,1,120;1001,216001,3,270;1001,215007,1,250;1001,800002,1,120</t>
  </si>
  <si>
    <t>白玫瑰花</t>
  </si>
  <si>
    <t>1001,212007,1,400;1001,213007,1,300;1001,214007,1,200;1001,215007,1,100</t>
  </si>
  <si>
    <t>秘传书礼包</t>
  </si>
  <si>
    <t>15011,400;15012,300;15013,250;15007,150;15008,100</t>
  </si>
  <si>
    <t>组队BOSS宝石</t>
  </si>
  <si>
    <t>1001,215001,5,200;3,0,10,100;1001,712001,1,100;1001,215001,1,100;1001,215001,1,100;1001,215001,1,100;1001,452201,1,200;5,0,20000,100</t>
  </si>
  <si>
    <t>1001,720001,1,150;3,0,66,150;1001,214003,1,180;1001,216001,5,200;1001,216002,1,200;1001,800002,1,120</t>
  </si>
  <si>
    <t>爱之心</t>
  </si>
  <si>
    <t>3,0,188,30;3,0,66,145;1001,214003,1,140;1001,216001,5,170;1001,216002,5,80;1001,800004,1,142;1001,213014,2,103;1001,215002,1,140;1001,511200,1,50</t>
  </si>
  <si>
    <t>玩具熊</t>
  </si>
  <si>
    <t>粽子礼箱</t>
  </si>
  <si>
    <t>1001,720001,1,150;3,0,30,150;1001,214003,1,180;1001,216001,5,200;1001,216002,1,200;1001,800002,1,120</t>
  </si>
  <si>
    <t>粽子篮</t>
  </si>
  <si>
    <t>1001,215001,5,200;3,0,10,100;1001,712001,1,100;1001,215001,1,100;1001,215001,1,100;1001,215001,1,100;1001,452201,1,200;5,1,20000,100</t>
  </si>
  <si>
    <t>端午节粽子</t>
  </si>
  <si>
    <t>15143,1;15144,1</t>
  </si>
  <si>
    <t>通行证宝箱</t>
  </si>
  <si>
    <t>1001,1100103,1,7;1001,1100203,1,7;1001,1100303,1,7;1001,1100403,1,7;1001,1100503,1,7;1001,1100603,1,7;1001,1100703,1,7;1001,1100803,1,7;1001,1100903,1,7;1001,1101003,1,7;1001,1101103,1,7;1001,1101203,1,7;1001,1101303,1,7;1001,1101403,1,7;1001,1101503,1,7;1001,1101603,1,7;1001,1101703,1,7;1001,1101803,1,7;1001,1101903,1,7;1001,1102003,1,7;1001,1102103,1,7;1001,720001,1,70;1001,215011,1,42;1001,215002,3,84;1001,214003,3,140;1001,216002,1,70;1001,800004,1,70;3,0,20,119;</t>
  </si>
  <si>
    <t>5,0,5000,13;1001,452201,2,10;1001,214002,1,10;1001,213021,3,4;1001,213021,3,4;1001,213021,3,4;1001,212001,3,20;1001,212014,2,10;1001,215013,1,10;1001,213002,2,15;</t>
  </si>
  <si>
    <t>1001,212002,3,60;1001,213002,1,35;1001,213002,2,5</t>
  </si>
  <si>
    <t>32级回刷困难精炼石</t>
  </si>
  <si>
    <t>1001,212002,3,60;1001,213002,1,30;1001,213002,2,10</t>
  </si>
  <si>
    <t>35级回刷困难精炼石</t>
  </si>
  <si>
    <t>1001,212002,3,60;1001,213002,1,25;1001,213002,2,15</t>
  </si>
  <si>
    <t>38级回刷困难精炼石</t>
  </si>
  <si>
    <t>1001,212002,3,60;1001,213002,1,30;1001,214002,1,10</t>
  </si>
  <si>
    <t>40级回刷困难精炼石</t>
  </si>
  <si>
    <t>1001,212002,3,40;1001,213002,1,46;1001,214002,1,14</t>
  </si>
  <si>
    <t>45级回刷困难精炼石</t>
  </si>
  <si>
    <t>48级回刷困难精炼石</t>
  </si>
  <si>
    <t>1001,212002,3,30;1001,213002,1,52;1001,214002,1,18</t>
  </si>
  <si>
    <t>52级回刷困难精炼石</t>
  </si>
  <si>
    <t>1001,213002,1,65;1001,213002,2,20;1001,214002,1,15</t>
  </si>
  <si>
    <t>55级回刷困难精炼石</t>
  </si>
  <si>
    <t>58级回刷困难精炼石</t>
  </si>
  <si>
    <t>1001,213002,1,50;1001,213002,2,20;1001,214002,1,20;1001,214002,2,10</t>
  </si>
  <si>
    <t>60级回刷困难精炼石</t>
  </si>
  <si>
    <t>1200,560017,1,324;</t>
  </si>
  <si>
    <t>40级武器</t>
  </si>
  <si>
    <t>1200,560018,1,324;</t>
  </si>
  <si>
    <t>40级防具</t>
  </si>
  <si>
    <t>1200,560019,1,324;</t>
  </si>
  <si>
    <t>40级戒指</t>
  </si>
  <si>
    <t>1200,560020,1,324;</t>
  </si>
  <si>
    <t>40级项链</t>
  </si>
  <si>
    <t>1200,560025,1,81;</t>
  </si>
  <si>
    <t>60级武器</t>
  </si>
  <si>
    <t>1200,560026,1,81;</t>
  </si>
  <si>
    <t>60级防具</t>
  </si>
  <si>
    <t>1200,560027,1,81;</t>
  </si>
  <si>
    <t>60级戒指</t>
  </si>
  <si>
    <t>1200,560028,1,81;</t>
  </si>
  <si>
    <t>60级项链</t>
  </si>
  <si>
    <t>回刷简单金块</t>
  </si>
  <si>
    <t>5,0,300,100</t>
  </si>
  <si>
    <t>5,0,340,100</t>
  </si>
  <si>
    <t>5,0,380,100</t>
  </si>
  <si>
    <t>5,0,420,100</t>
  </si>
  <si>
    <t>5,0,460,100</t>
  </si>
  <si>
    <t>5,0,540,100</t>
  </si>
  <si>
    <t>5,0,580,100</t>
  </si>
  <si>
    <t>5,0,600,100</t>
  </si>
  <si>
    <t>5,0,620,100</t>
  </si>
  <si>
    <t>5,0,640,100</t>
  </si>
  <si>
    <t>5,0,660,100</t>
  </si>
  <si>
    <t>5,0,680,100</t>
  </si>
  <si>
    <t>5,0,700,100</t>
  </si>
  <si>
    <t>5,0,720,100</t>
  </si>
  <si>
    <t>5,0,740,100</t>
  </si>
  <si>
    <t>5,0,760,100</t>
  </si>
  <si>
    <t>5,0,780,100</t>
  </si>
  <si>
    <t>5,0,800,100</t>
  </si>
  <si>
    <t>5,0,820,100</t>
  </si>
  <si>
    <t>5,0,840,100</t>
  </si>
  <si>
    <t>5,0,860,100</t>
  </si>
  <si>
    <t>5,0,880,100</t>
  </si>
  <si>
    <t>5,0,900,100</t>
  </si>
  <si>
    <t>5,0,920,100</t>
  </si>
  <si>
    <t>5,0,940,100</t>
  </si>
  <si>
    <t>5,0,960,100</t>
  </si>
  <si>
    <t>5,0,980,100</t>
  </si>
  <si>
    <t>5,0,1020,100</t>
  </si>
  <si>
    <t>5,0,1040,100</t>
  </si>
  <si>
    <t>5,0,1060,100</t>
  </si>
  <si>
    <t>5,0,1080,100</t>
  </si>
  <si>
    <t>5,0,1100,100</t>
  </si>
  <si>
    <t>5,0,1120,100</t>
  </si>
  <si>
    <t>5,0,1140,100</t>
  </si>
  <si>
    <t>5,0,1160,100</t>
  </si>
  <si>
    <t>5,0,1180,100</t>
  </si>
  <si>
    <t>5,0,1200,100</t>
  </si>
  <si>
    <t>5,0,1220,100</t>
  </si>
  <si>
    <t>5,0,1240,100</t>
  </si>
  <si>
    <t>5,0,1260,100</t>
  </si>
  <si>
    <t>5,0,1280,100</t>
  </si>
  <si>
    <t>5,0,1300,100</t>
  </si>
  <si>
    <t>5,0,1320,100</t>
  </si>
  <si>
    <t>5,0,1340,100</t>
  </si>
  <si>
    <t>5,0,1360,100</t>
  </si>
  <si>
    <t>5,0,1380,100</t>
  </si>
  <si>
    <t>5,0,1400,100</t>
  </si>
  <si>
    <t>回刷65章金块</t>
  </si>
  <si>
    <t>回刷困难金块</t>
  </si>
  <si>
    <t>5,0,1440,100</t>
  </si>
  <si>
    <t>5,0,1480,100</t>
  </si>
  <si>
    <t>5,0,1520,100</t>
  </si>
  <si>
    <t>5,0,1560,100</t>
  </si>
  <si>
    <t>5,0,1600,100</t>
  </si>
  <si>
    <t>5,0,1640,100</t>
  </si>
  <si>
    <t>5,0,1680,100</t>
  </si>
  <si>
    <t>5,0,1720,100</t>
  </si>
  <si>
    <t>5,0,1760,100</t>
  </si>
  <si>
    <t>5,0,1800,100</t>
  </si>
  <si>
    <t>5,0,1840,100</t>
  </si>
  <si>
    <t>5,0,1880,100</t>
  </si>
  <si>
    <t>5,0,1920,100</t>
  </si>
  <si>
    <t>5,0,1960,100</t>
  </si>
  <si>
    <t>5,0,2000,100</t>
  </si>
  <si>
    <t>5,0,2040,100</t>
  </si>
  <si>
    <t>5,0,2080,100</t>
  </si>
  <si>
    <t>5,0,2120,100</t>
  </si>
  <si>
    <t>5,0,2160,100</t>
  </si>
  <si>
    <t>5,0,2200,100</t>
  </si>
  <si>
    <t>5,0,2240,101</t>
  </si>
  <si>
    <t>5,0,2280,101</t>
  </si>
  <si>
    <t>5,0,2320,101</t>
  </si>
  <si>
    <t>5,0,2360,101</t>
  </si>
  <si>
    <t>5,0,2400,101</t>
  </si>
  <si>
    <t>5,0,2440,100</t>
  </si>
  <si>
    <t>5,0,2480,100</t>
  </si>
  <si>
    <t>5,0,2520,100</t>
  </si>
  <si>
    <t>5,0,2560,100</t>
  </si>
  <si>
    <t>5,0,2580,100</t>
  </si>
  <si>
    <t>5,0,2600,100</t>
  </si>
  <si>
    <t>5,0,2620,100</t>
  </si>
  <si>
    <t>5,0,2640,100</t>
  </si>
  <si>
    <t>5,0,2660,100</t>
  </si>
  <si>
    <t>5,0,2680,100</t>
  </si>
  <si>
    <t>1200,560009,1,1;</t>
  </si>
  <si>
    <t>20级武器</t>
  </si>
  <si>
    <t>1200,560010,1,1;</t>
  </si>
  <si>
    <t>20级防具</t>
  </si>
  <si>
    <t>1200,560011,1,1;</t>
  </si>
  <si>
    <t>20级戒指</t>
  </si>
  <si>
    <t>1200,560012,1,1;</t>
  </si>
  <si>
    <t>20级项链</t>
  </si>
  <si>
    <t>1001,212002,2,75;1001,212002,3,25</t>
  </si>
  <si>
    <t>25级精炼石</t>
  </si>
  <si>
    <t>1200,40215,1,30;1200,40215,0,70</t>
  </si>
  <si>
    <t>20级战斗套装武器</t>
  </si>
  <si>
    <t>1200,460009,1,63;1200,460009,0,37</t>
  </si>
  <si>
    <t>20级英雄武器</t>
  </si>
  <si>
    <t>1200,40216,1,30;1200,40215,0,70</t>
  </si>
  <si>
    <t>20级战斗套装防具</t>
  </si>
  <si>
    <t>1200,460010,1,63;1200,460009,0,37</t>
  </si>
  <si>
    <t>20级英雄防具</t>
  </si>
  <si>
    <t>1200,40217,1,30;1200,40215,0,70</t>
  </si>
  <si>
    <t>20级战斗套装戒指</t>
  </si>
  <si>
    <t>1200,460011,1,63;1200,460009,0,37</t>
  </si>
  <si>
    <t>20级英雄戒指</t>
  </si>
  <si>
    <t>1001,212002,2,30;1001,212002,3,60;1001,213002,1,10</t>
  </si>
  <si>
    <t>28级精炼石</t>
  </si>
  <si>
    <t>1200,40218,1,30;1200,40215,0,70</t>
  </si>
  <si>
    <t>20级战斗套装项链</t>
  </si>
  <si>
    <t>20级英雄项链</t>
  </si>
  <si>
    <t>1200,560013,1,1;</t>
  </si>
  <si>
    <t>30级武器</t>
  </si>
  <si>
    <t>1200,460015,1,63;1200,460015,0,37</t>
  </si>
  <si>
    <t>30级英雄戒指</t>
  </si>
  <si>
    <t>1200,560014,1,1;</t>
  </si>
  <si>
    <t>30级防具</t>
  </si>
  <si>
    <t>1200,460016,1,63;1200,460016,0,37</t>
  </si>
  <si>
    <t>30级英雄项链</t>
  </si>
  <si>
    <t>1200,560015,1,1;</t>
  </si>
  <si>
    <t>30级戒指</t>
  </si>
  <si>
    <t>1200,460013,1,63;1200,460013,0,37</t>
  </si>
  <si>
    <t>30级英雄武器</t>
  </si>
  <si>
    <t>1200,560016,1,1;</t>
  </si>
  <si>
    <t>30级项链</t>
  </si>
  <si>
    <t>1200,460014,1,63;1200,460014,0,37</t>
  </si>
  <si>
    <t>30级英雄防具</t>
  </si>
  <si>
    <t>1200,40413,1,30;1200,40413,0,70</t>
  </si>
  <si>
    <t>40级水手套装戒指</t>
  </si>
  <si>
    <t>1200,40414,1,30;1200,40414,0,70</t>
  </si>
  <si>
    <t>40级水手套装项链</t>
  </si>
  <si>
    <t>40级精炼石</t>
  </si>
  <si>
    <t>1200,460017,1,63;1200,460017,0,37</t>
  </si>
  <si>
    <t>40级英雄武器</t>
  </si>
  <si>
    <t>1200,40417,1,30;1200,40417,0,70</t>
  </si>
  <si>
    <t>40级绅士套装戒指</t>
  </si>
  <si>
    <t>1200,40418,1,30;1200,40417,0,70</t>
  </si>
  <si>
    <t>40级绅士套装项链</t>
  </si>
  <si>
    <t>1200,460018,1,63;1200,460018,0,37</t>
  </si>
  <si>
    <t>40级英雄防具</t>
  </si>
  <si>
    <t>45级精炼石</t>
  </si>
  <si>
    <t>1200,40411,1,30;1200,40411,0,70</t>
  </si>
  <si>
    <t>40级水手套装武器</t>
  </si>
  <si>
    <t>1200,40412,1,30;1200,40412,0,70</t>
  </si>
  <si>
    <t>40级水手套装防具</t>
  </si>
  <si>
    <t>1200,460019,1,63;1200,460019,0,37</t>
  </si>
  <si>
    <t>40级英雄戒指</t>
  </si>
  <si>
    <t>1200,40415,1,30;1200,40415,0,70</t>
  </si>
  <si>
    <t>40级绅士套装武器</t>
  </si>
  <si>
    <t>1200,40416,1,30;1200,40416,0,70</t>
  </si>
  <si>
    <t>40级绅士套装防具</t>
  </si>
  <si>
    <t>1200,460020,1,63;1200,460020,0,37</t>
  </si>
  <si>
    <t>40级英雄项链</t>
  </si>
  <si>
    <t>1200,560024,1,1;</t>
  </si>
  <si>
    <t>50级项链</t>
  </si>
  <si>
    <t>1200,460023,1,21;1200,461023,1,21;1200,462023,1,21;1200,462023,0,37</t>
  </si>
  <si>
    <t>50级英雄戒指</t>
  </si>
  <si>
    <t>1200,560023,1,1;</t>
  </si>
  <si>
    <t>50级戒指</t>
  </si>
  <si>
    <t>1200,460024,1,21;1200,461024,1,21;1200,462024,1,21;1200,462024,0,37</t>
  </si>
  <si>
    <t>50级英雄项链</t>
  </si>
  <si>
    <t>52级精炼石</t>
  </si>
  <si>
    <t>1200,560021,1,1;</t>
  </si>
  <si>
    <t>50级武器</t>
  </si>
  <si>
    <t>1200,460022,1,21;1200,461022,1,21;1200,462022,1,21;1200,462022,0,37</t>
  </si>
  <si>
    <t>50级英雄防具</t>
  </si>
  <si>
    <t>54级精炼石</t>
  </si>
  <si>
    <t>1200,560022,1,1;</t>
  </si>
  <si>
    <t>50级防具</t>
  </si>
  <si>
    <t>1200,460021,1,21;1200,461021,1,21;1200,462021,1,21;1200,462021,0,37</t>
  </si>
  <si>
    <t>50级英雄武器</t>
  </si>
  <si>
    <t>1200,560025,1,1;</t>
  </si>
  <si>
    <t>1200,460025,1,63;1200,460025,0,37</t>
  </si>
  <si>
    <t>60级英雄武器</t>
  </si>
  <si>
    <t>1200,560026,1,1;</t>
  </si>
  <si>
    <t>1200,460026,1,63;1200,460026,0,37</t>
  </si>
  <si>
    <t>60级英雄防具</t>
  </si>
  <si>
    <t>1200,560027,1,1;</t>
  </si>
  <si>
    <t>1200,460027,1,63;1200,460027,0,37</t>
  </si>
  <si>
    <t>60级英雄戒指</t>
  </si>
  <si>
    <t>1200,560028,1,1;</t>
  </si>
  <si>
    <t>1200,460028,1,63;1200,460028,0,37</t>
  </si>
  <si>
    <t>60级英雄项链</t>
  </si>
  <si>
    <t>1200,10101,1,30;1200,10101,0,70</t>
  </si>
  <si>
    <t>60级航行者套装武器</t>
  </si>
  <si>
    <t>1200,10102,1,30;1200,10102,0,70</t>
  </si>
  <si>
    <t>60级航行者套装防具</t>
  </si>
  <si>
    <t>1200,10203,1,30;1200,10203,0,70</t>
  </si>
  <si>
    <t>60级角斗士套装戒指</t>
  </si>
  <si>
    <t>1200,10204,1,30;1200,10204,0,70</t>
  </si>
  <si>
    <t>60级角斗士套装项链</t>
  </si>
  <si>
    <t>1200,10201,1,30;1200,10201,0,70</t>
  </si>
  <si>
    <t>60级角斗士套装武器</t>
  </si>
  <si>
    <t>1200,10202,1,30;1200,10202,0,70</t>
  </si>
  <si>
    <t>60级角斗士套装防具</t>
  </si>
  <si>
    <t>1200,10103,1,30;1200,10103,0,70</t>
  </si>
  <si>
    <t>60级航行者套装戒指</t>
  </si>
  <si>
    <t>1200,10104,1,30;1200,10104,0,70</t>
  </si>
  <si>
    <t>60级航行者套装项链</t>
  </si>
  <si>
    <t>1200,838101,1,100</t>
  </si>
  <si>
    <t>80级攻击武器</t>
  </si>
  <si>
    <t>1200,838102,1,100</t>
  </si>
  <si>
    <t>80级攻击防具</t>
  </si>
  <si>
    <t>1200,838103,1,100</t>
  </si>
  <si>
    <t>80级攻击戒指</t>
  </si>
  <si>
    <t>1200,838104,1,100</t>
  </si>
  <si>
    <t>80级攻击项链</t>
  </si>
  <si>
    <t>1200,838105,1,100</t>
  </si>
  <si>
    <t>80级防御武器</t>
  </si>
  <si>
    <t>1200,838106,1,100</t>
  </si>
  <si>
    <t>80级防御防具</t>
  </si>
  <si>
    <t>1200,838107,1,100</t>
  </si>
  <si>
    <t>80级防御戒指</t>
  </si>
  <si>
    <t>1200,838108,1,100</t>
  </si>
  <si>
    <t>80级防御项链</t>
  </si>
  <si>
    <t>1200,838109,1,100</t>
  </si>
  <si>
    <t>80级标准武器</t>
  </si>
  <si>
    <t>1200,838110,1,100</t>
  </si>
  <si>
    <t>80级标准防具</t>
  </si>
  <si>
    <t>1200,838111,1,100</t>
  </si>
  <si>
    <t>80级标准戒指</t>
  </si>
  <si>
    <t>1200,838112,1,100</t>
  </si>
  <si>
    <t>80级标准项链</t>
  </si>
  <si>
    <t>1200,828101,1,63;1200,828101,0,37</t>
  </si>
  <si>
    <t>80级攻击英雄武器</t>
  </si>
  <si>
    <t>1200,828102,1,63;1200,828102,0,37</t>
  </si>
  <si>
    <t>80级攻击英雄防具</t>
  </si>
  <si>
    <t>1200,828103,1,63;1200,828103,0,37</t>
  </si>
  <si>
    <t>80级攻击英雄戒指</t>
  </si>
  <si>
    <t>1200,828104,1,63;1200,828104,0,37</t>
  </si>
  <si>
    <t>80级攻击英雄项链</t>
  </si>
  <si>
    <t>1200,828105,1,63;1200,828105,0,37</t>
  </si>
  <si>
    <t>80级防御英雄武器</t>
  </si>
  <si>
    <t>1200,828106,1,63;1200,828106,0,37</t>
  </si>
  <si>
    <t>80级防御英雄防具</t>
  </si>
  <si>
    <t>1200,828107,1,63;1200,828107,0,37</t>
  </si>
  <si>
    <t>80级防御英雄戒指</t>
  </si>
  <si>
    <t>1200,828108,1,63;1200,828108,0,37</t>
  </si>
  <si>
    <t>80级防御英雄项链</t>
  </si>
  <si>
    <t>1200,828109,1,63;1200,828109,0,37</t>
  </si>
  <si>
    <t>80级标准英雄武器</t>
  </si>
  <si>
    <t>1200,828110,1,63;1200,828110,0,37</t>
  </si>
  <si>
    <t>80级标准英雄防具</t>
  </si>
  <si>
    <t>1200,828111,1,63;1200,828111,0,37</t>
  </si>
  <si>
    <t>80级标准英雄戒指</t>
  </si>
  <si>
    <t>1200,828112,1,63;1200,828112,0,37</t>
  </si>
  <si>
    <t>80级标准英雄项链</t>
  </si>
  <si>
    <t>28092,300;28093,200</t>
  </si>
  <si>
    <t>80至臻豪华英雄终极无敌大宝箱</t>
  </si>
  <si>
    <t>1200,2800101,1,10;1200,2800102,1,10;1200,2800103,1,10;1200,2800104,1,10;1200,2800701,1,10;1200,2800702,1,10;1200,2800704,1,10;1200,2800703,1,10;</t>
  </si>
  <si>
    <t>80至臻无敌B套组</t>
  </si>
  <si>
    <t>1200,2800301,1,10;1200,2800302,1,10;1200,2800303,1,10;1200,2800304,1,10;1200,2800401,1,10;1200,2800402,1,10;1200,2800403,1,10;1200,2800404,1,10;1200,2801101,1,10;1200,2801102,1,10;1200,2801103,1,10;1200,2801104,1,10;</t>
  </si>
  <si>
    <t>80至臻无敌A套组</t>
  </si>
  <si>
    <t>28095,50;28096,120;28097,250;28098,200</t>
  </si>
  <si>
    <t>80心悦好礼</t>
  </si>
  <si>
    <t>1200,2800301,1,50;1200,2800302,1,50;1200,2800303,1,50;1200,2800304,1,50;1200,2800401,1,50;1200,2800402,1,50;1200,2800403,1,50;1200,2800404,1,50;1200,2801101,1,50;1200,2801102,1,50;1200,2801103,1,50;1200,2801104,1,50;</t>
  </si>
  <si>
    <t>超级A套组</t>
  </si>
  <si>
    <t>超级B套</t>
  </si>
  <si>
    <t>1200,2800801,1,50;1200,2800802,1,50;1200,2800803,1,50;1200,2800804,1,50;1200,2800901,1,50;1200,2800902,1,50;1200,2800903,1,50;1200,2800904,1,50;1200,2801001,1,50;1200,2801002,1,50;1200,2801003,1,50;1200,2801004,1,50;1200,2801201,1,50;1200,2801202,1,50;1200,2801204,1,50;1200,2801203,1,50;</t>
  </si>
  <si>
    <t>超级C套</t>
  </si>
  <si>
    <t>1200,2800201,1,50;1200,2800202,1,50;1200,2800203,1,50;1200,2800204,1,50;1200,2800501,1,50;1200,2800502,1,50;1200,2800503,1,50;1200,2800504,1,50;1200,2800601,1,50;1200,2800602,1,50;1200,2800603,1,50;1200,2800604,1,50;</t>
  </si>
  <si>
    <t>超级D套</t>
  </si>
  <si>
    <t>10262,80;10263,20;10265,80;10266,20;10268,80;10269,20;10271,80;10272,20</t>
  </si>
  <si>
    <t>超级黑市</t>
  </si>
  <si>
    <t>1200,8100001,1,100</t>
  </si>
  <si>
    <t>斗士细剑</t>
  </si>
  <si>
    <t>1200,8100002,1,100</t>
  </si>
  <si>
    <t>金冠</t>
  </si>
  <si>
    <t>1200,8100003,1,100</t>
  </si>
  <si>
    <t>光绿戒指</t>
  </si>
  <si>
    <t>1200,8100004,1,100</t>
  </si>
  <si>
    <t>红珍宝项链</t>
  </si>
  <si>
    <t>1200,8100005,1,100</t>
  </si>
  <si>
    <t>战锤</t>
  </si>
  <si>
    <t>1200,8100006,1,100</t>
  </si>
  <si>
    <t>卫兵尖盔</t>
  </si>
  <si>
    <t>1200,8100007,1,100</t>
  </si>
  <si>
    <t>蓝水晶戒指</t>
  </si>
  <si>
    <t>1200,8100008,1,100</t>
  </si>
  <si>
    <t>珠花项链</t>
  </si>
  <si>
    <t>1200,8100009,1,100</t>
  </si>
  <si>
    <t>战斗枪</t>
  </si>
  <si>
    <t>1200,8100010,1,100</t>
  </si>
  <si>
    <t>车长帽</t>
  </si>
  <si>
    <t>1200,8100011,1,100</t>
  </si>
  <si>
    <t>红翡戒指</t>
  </si>
  <si>
    <t>1200,8100012,1,100</t>
  </si>
  <si>
    <t>金珠之链</t>
  </si>
  <si>
    <t>1200,8100013,1,63;1200,8100013,0,37</t>
  </si>
  <si>
    <t>英雄·斗士细剑</t>
  </si>
  <si>
    <t>1200,8100014,1,63;1200,8100014,0,37</t>
  </si>
  <si>
    <t>英雄·金冠</t>
  </si>
  <si>
    <t>1200,8100015,1,63;1200,8100015,0,37</t>
  </si>
  <si>
    <t>英雄·光绿戒指</t>
  </si>
  <si>
    <t>1200,8100016,1,63;1200,8100016,0,37</t>
  </si>
  <si>
    <t>英雄·红珍宝项链</t>
  </si>
  <si>
    <t>1200,8100017,1,63;1200,8100017,0,37</t>
  </si>
  <si>
    <t>英雄·战锤</t>
  </si>
  <si>
    <t>1200,8100018,1,63;1200,8100018,0,37</t>
  </si>
  <si>
    <t>英雄·卫兵尖盔</t>
  </si>
  <si>
    <t>1200,8100019,1,63;1200,8100019,0,37</t>
  </si>
  <si>
    <t>英雄·蓝水晶戒指</t>
  </si>
  <si>
    <t>1200,8100020,1,63;1200,8100020,0,37</t>
  </si>
  <si>
    <t>英雄·珠花项链</t>
  </si>
  <si>
    <t>1200,8100021,1,63;1200,8100021,0,37</t>
  </si>
  <si>
    <t>英雄·战斗枪</t>
  </si>
  <si>
    <t>1200,8100022,1,63;1200,8100022,0,37</t>
  </si>
  <si>
    <t>英雄·车长帽</t>
  </si>
  <si>
    <t>1200,8100023,1,63;1200,8100023,0,37</t>
  </si>
  <si>
    <t>英雄·红翡戒指</t>
  </si>
  <si>
    <t>1200,8100024,1,63;1200,8100024,0,37</t>
  </si>
  <si>
    <t>英雄·金珠之链</t>
  </si>
  <si>
    <t>1200,40419,1,30;1200,40419,0,70</t>
  </si>
  <si>
    <t>40级军官套装武器</t>
  </si>
  <si>
    <t>1200,40420,1,30;1200,40419,0,70</t>
  </si>
  <si>
    <t>40级军官套装防具</t>
  </si>
  <si>
    <t>1200,40425,1,30;1200,40423,0,70</t>
  </si>
  <si>
    <t>40级海盗套装戒指</t>
  </si>
  <si>
    <t>1200,40426,1,30;1200,40423,0,70</t>
  </si>
  <si>
    <t>40级海盗套装项链</t>
  </si>
  <si>
    <t>1200,40421,1,30;1200,40419,0,70</t>
  </si>
  <si>
    <t>40级军官套装戒指</t>
  </si>
  <si>
    <t>1200,40422,1,30;1200,40419,0,70</t>
  </si>
  <si>
    <t>40级军官套装项链</t>
  </si>
  <si>
    <t>1200,40423,1,30;1200,40423,0,70</t>
  </si>
  <si>
    <t>40级海盗套装武器</t>
  </si>
  <si>
    <t>1200,40424,1,30;1200,40423,0,70</t>
  </si>
  <si>
    <t>40级海盗套装防具</t>
  </si>
  <si>
    <t>1200,410525,1,10;1200,410525,0,90</t>
  </si>
  <si>
    <t>40级海盗英雄套装戒指</t>
  </si>
  <si>
    <t>1200,410521,1,10;1200,410521,0,90</t>
  </si>
  <si>
    <t>40级军官英雄套装戒指</t>
  </si>
  <si>
    <t>1200,410526,1,10;1200,410526,0,90</t>
  </si>
  <si>
    <t>40级海盗英雄套装项链</t>
  </si>
  <si>
    <t>1200,410522,1,10;1200,410522,0,90</t>
  </si>
  <si>
    <t>40级军官英雄套装项链</t>
  </si>
  <si>
    <t>1200,410523,1,10;1200,410523,0,90</t>
  </si>
  <si>
    <t>40级海盗英雄套装武器</t>
  </si>
  <si>
    <t>1200,410519,1,10;1200,410519,0,90</t>
  </si>
  <si>
    <t>40级军官英雄套装武器</t>
  </si>
  <si>
    <t>1200,410524,1,10;1200,410524,0,90</t>
  </si>
  <si>
    <t>40级海盗英雄套装防具</t>
  </si>
  <si>
    <t>1200,410520,1,10;1200,410520,0,90</t>
  </si>
  <si>
    <t>40级军官英雄套装防具</t>
  </si>
  <si>
    <t>1200,20203,1,10;1200,20203,0,90</t>
  </si>
  <si>
    <t>60级皇家禁卫套装戒指</t>
  </si>
  <si>
    <t>1200,20204,1,10;1200,20204,0,90</t>
  </si>
  <si>
    <t>60级皇家禁卫套装项链</t>
  </si>
  <si>
    <t>1200,20201,1,10;1200,20201,0,90</t>
  </si>
  <si>
    <t>60级皇家禁卫套装武器</t>
  </si>
  <si>
    <t>1200,20202,1,10;1200,20202,0,90</t>
  </si>
  <si>
    <t>60级皇家禁卫套装防具</t>
  </si>
  <si>
    <t>1200,20103,1,10;1200,20103,0,90</t>
  </si>
  <si>
    <t>60级大力士套装戒指</t>
  </si>
  <si>
    <t>1200,20104,1,10;1200,20104,0,90</t>
  </si>
  <si>
    <t>60级大力士套装项链</t>
  </si>
  <si>
    <t>1200,20603,1,10;1200,20303,0,90</t>
  </si>
  <si>
    <t>60级商贾套装戒指</t>
  </si>
  <si>
    <t>1200,20604,1,10;1200,20304,0,90</t>
  </si>
  <si>
    <t>60级商贾套装项链</t>
  </si>
  <si>
    <t>1200,20101,1,10;1200,20101,0,90</t>
  </si>
  <si>
    <t>60级大力士套装武器</t>
  </si>
  <si>
    <t>1200,20102,1,10;1200,20102,0,90</t>
  </si>
  <si>
    <t>60级大力士套装防具</t>
  </si>
  <si>
    <t>1200,20601,1,10;1200,20301,0,90</t>
  </si>
  <si>
    <t>60级商贾套装武器</t>
  </si>
  <si>
    <t>1200,20602,1,10;1200,20302,0,90</t>
  </si>
  <si>
    <t>60级商贾套装防具</t>
  </si>
  <si>
    <t>1200,20403,1,10;1200,20403,0,90</t>
  </si>
  <si>
    <t>60级黄金套装戒指</t>
  </si>
  <si>
    <t>1200,20404,1,10;1200,20403,0,90</t>
  </si>
  <si>
    <t>60级黄金套装项链</t>
  </si>
  <si>
    <t>1200,20503,1,10;1200,20503,0,90</t>
  </si>
  <si>
    <t>60级公爵套装戒指</t>
  </si>
  <si>
    <t>1200,20504,1,10;1200,20504,0,90</t>
  </si>
  <si>
    <t>60级公爵套装项链</t>
  </si>
  <si>
    <t>1200,20401,1,10;1200,20401,0,90</t>
  </si>
  <si>
    <t>60级黄金套装武器</t>
  </si>
  <si>
    <t>1200,20402,1,10;1200,20402,0,90</t>
  </si>
  <si>
    <t>60级黄金套装防具</t>
  </si>
  <si>
    <t>1200,20501,1,10;1200,20501,0,90</t>
  </si>
  <si>
    <t>60级公爵套装武器</t>
  </si>
  <si>
    <t>1200,20502,1,10;1200,20502,0,90</t>
  </si>
  <si>
    <t>60级公爵套装防具</t>
  </si>
  <si>
    <t>1200,20701,1,10;1200,20401,0,90</t>
  </si>
  <si>
    <t>60级霸者套装武器</t>
  </si>
  <si>
    <t>1200,20702,1,10;1200,20402,0,90</t>
  </si>
  <si>
    <t>60级霸者套装防具</t>
  </si>
  <si>
    <t>1200,20803,1,10;1200,20401,0,90</t>
  </si>
  <si>
    <t>60级赤炎套装戒指</t>
  </si>
  <si>
    <t>1200,20804,1,10;1200,20402,0,90</t>
  </si>
  <si>
    <t>60级赤炎套装项链</t>
  </si>
  <si>
    <t>1200,20703,1,10;1200,20401,0,90</t>
  </si>
  <si>
    <t>60级霸者套装戒指</t>
  </si>
  <si>
    <t>1200,20704,1,10;1200,20402,0,90</t>
  </si>
  <si>
    <t>60级霸者套装项链</t>
  </si>
  <si>
    <t>1200,20801,1,10;1200,20401,0,90</t>
  </si>
  <si>
    <t>60级赤炎套装武器</t>
  </si>
  <si>
    <t>1200,20802,1,10;1200,20402,0,90</t>
  </si>
  <si>
    <t>60级赤炎套装防具</t>
  </si>
  <si>
    <t>1200,2800901,1,7;1200,2800901,0,93</t>
  </si>
  <si>
    <t>80级勇士武器</t>
  </si>
  <si>
    <t>1200,2800902,1,7;1200,2800902,0,93</t>
  </si>
  <si>
    <t>80级勇士防具</t>
  </si>
  <si>
    <t>1200,2800903,1,7;1200,2800903,0,93</t>
  </si>
  <si>
    <t>80级勇士戒指</t>
  </si>
  <si>
    <t>1200,2800904,1,7;1200,2800904,0,93</t>
  </si>
  <si>
    <t>80级勇士项链</t>
  </si>
  <si>
    <t>1200,2800501,1,10;1200,2800501,0,90</t>
  </si>
  <si>
    <t>80级龙鳞武器</t>
  </si>
  <si>
    <t>1200,2800502,1,10;1200,2800502,0,90</t>
  </si>
  <si>
    <t>80级龙鳞防具</t>
  </si>
  <si>
    <t>1200,2800503,1,10;1200,2800503,0,90</t>
  </si>
  <si>
    <t>80级龙鳞戒指</t>
  </si>
  <si>
    <t>1200,2800504,1,10;1200,2800504,0,90</t>
  </si>
  <si>
    <t>80级龙鳞项链</t>
  </si>
  <si>
    <t>1200,2800601,1,10;1200,2800601,0,90</t>
  </si>
  <si>
    <t>80级骑士武器</t>
  </si>
  <si>
    <t>1200,2800602,1,10;1200,2800602,0,90</t>
  </si>
  <si>
    <t>80级骑士防具</t>
  </si>
  <si>
    <t>1200,2800603,1,10;1200,2800603,0,90</t>
  </si>
  <si>
    <t>80级骑士戒指</t>
  </si>
  <si>
    <t>1200,2800604,1,10;1200,2800604,0,90</t>
  </si>
  <si>
    <t>80级骑士项链</t>
  </si>
  <si>
    <t>1200,2800201,1,10;1200,2800201,0,90</t>
  </si>
  <si>
    <t>80级学者武器</t>
  </si>
  <si>
    <t>1200,2800202,1,10;1200,2800202,0,90</t>
  </si>
  <si>
    <t>80级学者防具</t>
  </si>
  <si>
    <t>1200,2800203,1,10;1200,2800203,0,90</t>
  </si>
  <si>
    <t>80级学者戒指</t>
  </si>
  <si>
    <t>1200,2800204,1,10;1200,2800204,0,90</t>
  </si>
  <si>
    <t>80级学者项链</t>
  </si>
  <si>
    <t>1200,2801201,1,7;1200,2801201,0,93</t>
  </si>
  <si>
    <t>80级繁星武器</t>
  </si>
  <si>
    <t>1200,2801202,1,7;1200,2801202,0,93</t>
  </si>
  <si>
    <t>80级繁星防具</t>
  </si>
  <si>
    <t>1200,2801203,1,7;1200,2801203,0,93</t>
  </si>
  <si>
    <t>80级繁星戒指</t>
  </si>
  <si>
    <t>1200,2801204,1,7;1200,2801204,0,93</t>
  </si>
  <si>
    <t>80级繁星项链</t>
  </si>
  <si>
    <t>1200,3000501,1,10;1200,3000801,0,90</t>
  </si>
  <si>
    <t>100级绅士武器</t>
  </si>
  <si>
    <t>1200,3000502,1,10;1200,3000801,0,90</t>
  </si>
  <si>
    <t>100级绅士防具</t>
  </si>
  <si>
    <t>1200,3000503,1,10;1200,3000801,0,90</t>
  </si>
  <si>
    <t>100级绅士戒指</t>
  </si>
  <si>
    <t>1200,3000504,1,10;1200,3000801,0,90</t>
  </si>
  <si>
    <t>100级绅士项链</t>
  </si>
  <si>
    <t>1200,3001201,1,10;1200,3001201,0,90</t>
  </si>
  <si>
    <t>100级勇气剑</t>
  </si>
  <si>
    <t>1200,3001202,1,10;1200,3001201,0,90</t>
  </si>
  <si>
    <t>100级勇气服</t>
  </si>
  <si>
    <t>1200,3001203,1,10;1200,3001201,0,90</t>
  </si>
  <si>
    <t>100级勇气戒指</t>
  </si>
  <si>
    <t>1200,3001204,1,10;1200,3001201,0,90</t>
  </si>
  <si>
    <t>100级勇气项链</t>
  </si>
  <si>
    <t>1200,3001101,1,10;1200,3001101,0,90</t>
  </si>
  <si>
    <t>100级起航剑</t>
  </si>
  <si>
    <t>1200,3001102,1,10;1200,3001101,0,90</t>
  </si>
  <si>
    <t>100级起航服</t>
  </si>
  <si>
    <t>1200,3001103,1,10;1200,3001101,0,90</t>
  </si>
  <si>
    <t>100级起航戒指</t>
  </si>
  <si>
    <t>1200,3001104,1,10;1200,3001101,0,90</t>
  </si>
  <si>
    <t>100级起航项链</t>
  </si>
  <si>
    <t>1200,3002901,1,10;1200,3002901,0,90</t>
  </si>
  <si>
    <t>100级冲击长矛</t>
  </si>
  <si>
    <t>1200,3002902,1,10;1200,3002901,0,90</t>
  </si>
  <si>
    <t>100级冲击长衣</t>
  </si>
  <si>
    <t>1200,3002903,1,10;1200,3002901,0,90</t>
  </si>
  <si>
    <t>100级冲击戒指</t>
  </si>
  <si>
    <t>1200,3002904,1,10;1200,3002901,0,90</t>
  </si>
  <si>
    <t>100级冲击项链</t>
  </si>
  <si>
    <t>1200,410411,1,10;1200,410411,0,90</t>
  </si>
  <si>
    <t>40级英雄水手套装武器</t>
  </si>
  <si>
    <t>1200,410412,1,10;1200,410411,0,90</t>
  </si>
  <si>
    <t>40级英雄水手套装防具</t>
  </si>
  <si>
    <t>1200,410413,1,10;1200,410411,0,90</t>
  </si>
  <si>
    <t>40级英雄水手套装戒指</t>
  </si>
  <si>
    <t>1200,410414,1,10;1200,410411,0,90</t>
  </si>
  <si>
    <t>40级英雄水手套装项链</t>
  </si>
  <si>
    <t>1200,40511,1,10;1200,410411,0,90</t>
  </si>
  <si>
    <t>40级主厨武器</t>
  </si>
  <si>
    <t>1200,40512,1,10;1200,410411,0,90</t>
  </si>
  <si>
    <t>40级主厨防具</t>
  </si>
  <si>
    <t>1200,40513,1,10;1200,410411,0,90</t>
  </si>
  <si>
    <t>40级主厨戒指</t>
  </si>
  <si>
    <t>1200,40514,1,10;1200,410411,0,90</t>
  </si>
  <si>
    <t>40级主厨项链</t>
  </si>
  <si>
    <t>1200,3002903,1,10;1200,3002903,0,90</t>
  </si>
  <si>
    <t>1200,3002904,1,10;1200,3002904,0,90</t>
  </si>
  <si>
    <t>1200,8100005,5,100</t>
  </si>
  <si>
    <t>1200,8100006,5,100</t>
  </si>
  <si>
    <t>1200,3001203,1,99;1200,3001201,1,1</t>
  </si>
  <si>
    <t>1200,3001204,1,99;1200,3001201,1,1</t>
  </si>
  <si>
    <t>1100,111001,1,10;1100,111002,1,10;1100,111003,1,10;1100,111004,1,10;1100,111005,1,10;1100,111006,1,10;1100,111007,1,10;1100,111008,1,10</t>
  </si>
  <si>
    <t>item开启</t>
  </si>
  <si>
    <t>1001,620001,1,10;1001,620002,1,10;1001,620003,1,10;1001,620004,1,10;1001,620005,1,10;1001,620008,1,10;1001,620010,1,10;1001,620011,1,10;1001,620012,1,10;1001,620013,1,10;1001,620014,1,10;1001,620015,1,10;1001,620017,1,10</t>
  </si>
  <si>
    <t>1001,211021,1,33;1001,211021,1,33;1001,211021,1,34</t>
  </si>
  <si>
    <t>1001,212021,1,33;1001,212021,1,33;1001,212021,1,34</t>
  </si>
  <si>
    <t>1001,213021,1,33;1001,213021,1,33;1001,213021,1,34</t>
  </si>
  <si>
    <t>1001,214021,1,33;1001,214021,1,33;1001,214021,1,34</t>
  </si>
  <si>
    <t>1001,215021,1,33;1001,215021,1,33;1001,215021,1,34</t>
  </si>
  <si>
    <t>1001,216021,1,33;1001,216021,1,33;1001,216021,1,34</t>
  </si>
  <si>
    <t>1001,217021,1,33;1001,217021,1,33;1001,217021,1,34</t>
  </si>
  <si>
    <t>1001,218021,1,33;1001,218021,1,33;1001,218021,1,34</t>
  </si>
  <si>
    <t>1001,219021,1,33;1001,219021,1,33;1001,219021,1,34</t>
  </si>
  <si>
    <t>1200,10201,1,25;1200,10202,1,25;1200,10203,1,25;1200,10204,1,25</t>
  </si>
  <si>
    <t>1200,10101,1,25;1200,10102,1,25;1200,10103,1,25;1200,10104,1,25</t>
  </si>
  <si>
    <t>1200,10301,1,25;1200,10302,1,25;1200,10303,1,25;1200,10304,1,25</t>
  </si>
  <si>
    <t>1200,10401,1,25;1200,10402,1,25;1200,10403,1,25;1200,10404,1,25</t>
  </si>
  <si>
    <t>1200,60001,1,25;1200,60002,1,25;1200,60003,1,25;1200,60004,1,25</t>
  </si>
  <si>
    <t>1200,60005,1,25;1200,60006,1,25;1200,60007,1,25;1200,60008,1,25</t>
  </si>
  <si>
    <t>1200,60009,1,25;1200,60010,1,25;1200,60011,1,25;1200,60012,1,25</t>
  </si>
  <si>
    <t>1200,60013,1,25;1200,60014,1,25;1200,60015,1,25;1200,60016,1,25</t>
  </si>
  <si>
    <t>1200,60017,1,25;1200,60018,1,25;1200,60019,1,25;1200,60020,1,25</t>
  </si>
  <si>
    <t>1200,60021,1,25;1200,60022,1,25;1200,60023,1,25;1200,60024,1,25</t>
  </si>
  <si>
    <t>1200,60025,1,25;1200,60026,1,25;1200,60027,1,25;1200,60028,1,25</t>
  </si>
  <si>
    <t>30061,56;30062,280;30063,280;30064,136;30065,32;30066,16;30150,14;30151,70;30152,70;30153,34;30154,8;30155,4;</t>
  </si>
  <si>
    <t>1001,1100101,1,60;1001,1100201,1,60;1001,1100301,1,60;1001,1100401,1,60;1001,1100501,1,60;1001,1100601,1,60;1001,1100701,1,60;1001,1100801,1,60;1001,1100901,1,60;1001,1100102,1,30;1001,1100202,1,30;1001,1100302,1,30;1001,1100402,1,30;1001,1100502,1,30;1001,1100602,1,30;1001,1100702,1,30;1001,1100802,1,30;1001,1100902,1,30;1001,1100103,1,5;1001,1100203,1,5;1001,1100303,1,5;1001,1100403,1,5;1001,1100503,1,5;1001,1100603,1,5;1001,1100703,1,5;1001,1100803,1,5;1001,1100903,1,5;1001,1100104,1,3;1001,1100204,1,3;1001,1100304,1,3;1001,1100404,1,3;1001,1100504,1,3;1001,1100604,1,3;1001,1100704,1,3;1001,1100804,1,3;1001,1100904,1,3;1001,1100105,1,2;1001,1100205,1,2;1001,1100305,1,2;1001,1100405,1,2;1001,1100505,1,2;1001,1100605,1,2;1001,1100705,1,2;1001,1100805,1,2;1001,1100905,1,2</t>
  </si>
  <si>
    <t>1001,1100101,1,10;1001,1100201,1,10;1001,1100301,1,10;1001,1100401,1,10;1001,1100501,1,10;1001,1100601,1,10;1001,1100701,1,10;1001,1100801,1,10;1001,1100901,1,10</t>
  </si>
  <si>
    <t>1001,212007,1,5;1001,213007,1,22;1001,214007,1,43;1001,215007,1,30;1001,212007,1,5;1001,213007,1,22;1001,214007,1,43;1001,215007,1,30;1001,212007,1,5;1001,213007,1,22;1001,214007,1,43;1001,215007,1,30;1001,212007,1,5;1001,213007,1,22;1001,214007,1,43;1001,215007,1,30;</t>
  </si>
  <si>
    <t>1001,212009,1,60;1001,212111,1,60;1001,212112,1,60;1001,212113,1,60;1001,212114,1,60;1001,213009,1,30;1001,213111,1,30;1001,213112,1,30;1001,213113,1,30;1001,213114,1,30;1001,214009,1,7;1001,214111,1,7;1001,214112,1,7;1001,214113,1,7;1001,214114,1,7;1001,215009,1,3;1001,215111,1,3;1001,215112,1,3;1001,215113,1,3;1001,215114,1,3</t>
  </si>
  <si>
    <t>1001,212004,1,85;1001,213004,1,10;1001,214004,1,4;1001,215004,1,1</t>
  </si>
  <si>
    <t>1001,212002,1,65;1001,213002,1,20;1001,214002,1,10;1001,215002,1,3;1001,214003,1,2</t>
  </si>
  <si>
    <t>30044,1944;30045,8056</t>
  </si>
  <si>
    <t>初级血战宝箱</t>
  </si>
  <si>
    <t>1001,214005,1,5;1001,212007,1,20;1001,213007,1,15;1001,214007,1,10;1001,212001,1,10;1001,212001,2,10;1001,212001,3,10;1001,213001,1,10;1001,213001,2,10</t>
  </si>
  <si>
    <t>5,0,10000,10;5,0,11000,10;5,0,12000,10;5,0,13000,10;5,0,14000,10;5,0,15000,10;5,0,16000,10;5,0,17000,10;5,0,17000,10;5,0,18000,10;5,0,19000,10;5,0,20000,10</t>
  </si>
  <si>
    <t>30047,2450;30048,7550</t>
  </si>
  <si>
    <t>中级血战宝箱</t>
  </si>
  <si>
    <t>1001,215005,1,48;1001,214005,1,48;1001,212007,1,143;1001,213007,1,190;1001,214007,1,95;1001,212001,2,143;1001,212001,3,143;1001,213001,1,47;1001,213001,2,47;1001,213001,3,47;1001,213001,4,47</t>
  </si>
  <si>
    <t>5,0,15000,10;5,0,16000,10;5,0,17000,10;5,0,17000,10;5,0,18000,10;5,0,19000,10;5,0,20000,10;5,0,22000,10;5,0,23000,10;5,0,24000,10;5,0,25000,10</t>
  </si>
  <si>
    <t>30050,2139;30051,7861</t>
  </si>
  <si>
    <t>高级血战宝箱</t>
  </si>
  <si>
    <t>1001,215005,1,454;1001,212007,1,1363;1001,213007,1,1363;1001,214007,1,1363;1001,212001,2,1363;1001,212001,3,1363;1001,213001,1,682;1001,213001,2,682;1001,213001,3,682;1001,213001,4,682</t>
  </si>
  <si>
    <t>5,0,10000,10;5,0,11000,10;5,0,12000,10;5,0,13000,10;5,0,14000,10;5,0,15000,10</t>
  </si>
  <si>
    <t>1200,60011,1,100</t>
  </si>
  <si>
    <t>1200,60012,1,100</t>
  </si>
  <si>
    <t>1200,60010,1,100</t>
  </si>
  <si>
    <t>1200,60009,1,100</t>
  </si>
  <si>
    <t>血战巴洛克</t>
  </si>
  <si>
    <t>血战空岛</t>
  </si>
  <si>
    <t>5,0,3000,100</t>
  </si>
  <si>
    <t>血战司法岛</t>
  </si>
  <si>
    <t>1200,460009,1,25;1200,460010,1,25;1200,460011,1,25;1200,460012,1,25</t>
  </si>
  <si>
    <t>20级未鉴定英雄装备箱</t>
  </si>
  <si>
    <t>1200,460013,1,25;1200,460014,1,25;1200,460015,1,25;1200,460016,1,25</t>
  </si>
  <si>
    <t>30级未鉴定英雄装备箱</t>
  </si>
  <si>
    <t>3037宝石</t>
  </si>
  <si>
    <t>1001,1100103,1,1;1001,1100203,1,1;1001,1100303,1,1;1001,1100403,1,1;1001,1100503,1,1;1001,1100603,1,1;1001,1100703,1,1;1001,1100803,1,1;1001,1100903,1,1;1001,1101803,1,1;1001,1101903,1,1;</t>
  </si>
  <si>
    <t>1001,1100104,1,1;1001,1100204,1,1;1001,1100304,1,1;1001,1100404,1,1;1001,1100504,1,1;1001,1100604,1,1;1001,1100704,1,1;1001,1100804,1,1;1001,1100904,1,1;1001,1101804,1,1;1001,1101904,1,1;</t>
  </si>
  <si>
    <t>1001,1100105,1,1;1001,1100205,1,1;1001,1100305,1,1;1001,1100405,1,1;1001,1100505,1,1;1001,1100605,1,1;1001,1100705,1,1;1001,1100805,1,1;1001,1100905,1,1;1001,1101805,1,1;1001,1101905,1,1;</t>
  </si>
  <si>
    <t>1001,1100106,1,1;1001,1100206,1,1;1001,1100306,1,1;1001,1100406,1,1;1001,1100506,1,1;1001,1100606,1,1;1001,1100706,1,1;1001,1100806,1,1;1001,1100906,1,1;1001,1101806,1,1;1001,1101906,1,1;</t>
  </si>
  <si>
    <t>1001,1100107,1,1;1001,1100207,1,1;1001,1100307,1,1;1001,1100407,1,1;1001,1100507,1,1;1001,1100607,1,1;1001,1100707,1,1;1001,1100807,1,1;1001,1100907,1,1;1001,1101807,1,1;1001,1101907,1,1;</t>
  </si>
  <si>
    <t>30068,10;30069,10;30070,10;30071,10;30072,10;30073,10;30074,10;30075,10</t>
  </si>
  <si>
    <t>英雄套装宝箱</t>
  </si>
  <si>
    <t>1200,20101,1,10;1200,20102,1,10;1200,20103,1,10;1200,20104,1,10</t>
  </si>
  <si>
    <t>英雄套装</t>
  </si>
  <si>
    <t>1200,20201,1,10;1200,20202,1,10;1200,20203,1,10;1200,20204,1,10</t>
  </si>
  <si>
    <t>1200,20301,1,10;1200,20302,1,10;1200,20303,1,10;1200,20304,1,10</t>
  </si>
  <si>
    <t>1200,20501,1,10;1200,20502,1,10;1200,20503,1,10;1200,20504,1,10</t>
  </si>
  <si>
    <t>1200,20601,1,10;1200,20602,1,10;1200,20603,1,10;1200,20604,1,10</t>
  </si>
  <si>
    <t>1200,20701,1,10;1200,20702,1,10;1200,20703,1,10;1200,20704,1,10</t>
  </si>
  <si>
    <t>1200,20801,1,10;1200,20802,1,10;1200,20803,1,10;1200,20804,1,10</t>
  </si>
  <si>
    <t>30077,10;30078,10;30079,10;30080,10;30081,10;30082,10;30083,10;30084,10</t>
  </si>
  <si>
    <t>60英雄装备</t>
  </si>
  <si>
    <t>英雄装备</t>
  </si>
  <si>
    <t>1200,460017,1,10;1200,410411,1,10;1200,410511,1,10</t>
  </si>
  <si>
    <t>40英雄武器</t>
  </si>
  <si>
    <t>1200,460018,1,10;1200,410412,1,10;1200,410512,1,10</t>
  </si>
  <si>
    <t>40英雄防具</t>
  </si>
  <si>
    <t>1200,460019,1,10;1200,410413,1,10;1200,410513,1,10</t>
  </si>
  <si>
    <t>40英雄戒指</t>
  </si>
  <si>
    <t>1200,460020,1,10;1200,410414,1,10;1200,410514,1,10</t>
  </si>
  <si>
    <t>40英雄项链</t>
  </si>
  <si>
    <t>1200,460025,1,10;1200,461025,1,10;1200,462025,1,10;1200,20101,1,100;1200,20201,1,100;1200,20301,1,100;1200,20401,1,100;1200,20501,1,100;1200,20601,1,100;1200,20701,1,100;1200,20801,1,100</t>
  </si>
  <si>
    <t>60英雄武器</t>
  </si>
  <si>
    <t>1200,460026,1,10;1200,461026,1,10;1200,462026,1,10;1200,20102,1,100;1200,20202,1,100;1200,20302,1,100;1200,20402,1,100;1200,20502,1,100;1200,20602,1,100;1200,20702,1,100;1200,20802,1,100</t>
  </si>
  <si>
    <t>60英雄防具</t>
  </si>
  <si>
    <t>1200,460027,1,10;1200,461027,1,10;1200,462027,1,10;1200,20103,1,100;1200,20203,1,100;1200,20303,1,100;1200,20403,1,100;1200,20503,1,100;1200,20603,1,100;1200,20703,1,100;1200,20803,1,100</t>
  </si>
  <si>
    <t>60英雄戒指</t>
  </si>
  <si>
    <t>1200,460028,1,10;1200,461028,1,10;1200,462028,1,10;1200,20104,1,100;1200,20204,1,100;1200,20304,1,100;1200,20404,1,100;1200,20504,1,100;1200,20604,1,100;1200,20704,1,100;1200,20804,1,100</t>
  </si>
  <si>
    <t>60英雄项链</t>
  </si>
  <si>
    <t>每日任务奖励袋子</t>
  </si>
  <si>
    <t>30096,50;30097,50</t>
  </si>
  <si>
    <t>讨伐任务袋子</t>
  </si>
  <si>
    <t>1001,213001,2,100</t>
  </si>
  <si>
    <t>队长奖励袋子</t>
  </si>
  <si>
    <t>1200,60005,1,5;1200,60006,1,5;1200,60007,1,5;1200,60008,1,5;1200,60009,1,3;1200,60010,1,3;1200,60011,1,3;1200,60012,1,3;1200,60013,1,2;1200,60014,1,2;1200,60015,1,2;1200,60016,1,2;1200,60016,0,60</t>
  </si>
  <si>
    <t>讨伐任务袋子装备</t>
  </si>
  <si>
    <t>5,0,10000,50;1001,213001,3,30;1001,214011,1,20</t>
  </si>
  <si>
    <t>讨伐任务袋子道具</t>
  </si>
  <si>
    <t>1001,1100101,1,44;1001,1100201,1,44;1001,1100301,1,44;1001,1100401,1,44;1001,1100501,1,44;1001,1100601,1,44;1001,1100701,1,44;1001,1100801,1,44;1001,1100901,1,44;1001,1101001,1,44;1001,1101101,1,44;1001,1101201,1,44;1001,1101301,1,44;1001,1101401,1,44;1001,1101501,1,44;1001,1101601,1,44;1001,1101701,1,44;1001,1101801,1,44;1001,1101901,1,44;1001,712001,1,2500;1001,215011,1,417;1001,215001,2,1563;1001,215001,1,938;1001,212001,4,1875;1001,213001,1,1875</t>
  </si>
  <si>
    <t>日常讨伐任务小礼包1</t>
  </si>
  <si>
    <t>1001,1100101,1,44;1001,1100201,1,44;1001,1100301,1,44;1001,1100401,1,44;1001,1100501,1,44;1001,1100601,1,44;1001,1100701,1,44;1001,1100801,1,44;1001,1100901,1,44;1001,1101001,1,44;1001,1101101,1,44;1001,1101201,1,44;1001,1101301,1,44;1001,1101401,1,44;1001,1101501,1,44;1001,1101601,1,44;1001,1101701,1,44;1001,1101801,1,44;1001,1101901,1,44;1001,712001,1,2500;1001,215011,1,417;1001,215001,1,1563;1001,215001,1,938;1001,213001,1,1125;1001,214001,4,2625</t>
  </si>
  <si>
    <t>日常讨伐任务小礼包20</t>
  </si>
  <si>
    <t>1001,1100102,1,22;1001,1100202,1,22;1001,1100302,1,22;1001,1100402,1,22;1001,1100502,1,22;1001,1100602,1,22;1001,1100702,1,22;1001,1100802,1,22;1001,1100902,1,22;1001,1101002,1,22;1001,1101102,1,22;1001,1101202,1,22;1001,1101302,1,22;1001,1101402,1,22;1001,1101502,1,22;1001,1101602,1,22;1001,1101702,1,22;1001,1101802,1,22;1001,1101902,1,22;1001,1100101,1,22;1001,1100201,1,22;1001,1100301,1,22;1001,1100401,1,22;1001,1100501,1,22;1001,1100601,1,22;1001,1100701,1,22;1001,1100801,1,22;1001,1100901,1,22;1001,1101001,1,22;1001,1101101,1,22;1001,1101201,1,22;1001,1101301,1,22;1001,1101401,1,22;1001,1101501,1,22;1001,1101601,1,22;1001,1101701,1,22;1001,1101801,1,22;1001,1101901,1,22;1001,712001,1,2500;1001,215011,1,417;1001,215001,1,1563;1001,215001,1,938;1001,213001,4,1125;1001,214001,2,2625</t>
  </si>
  <si>
    <t>日常讨伐任务小礼包40</t>
  </si>
  <si>
    <t>1200,60009,1,10;1200,60010,1,10;1200,60011,1,10;1200,60012,1,10;</t>
  </si>
  <si>
    <t>讨伐奖励装备</t>
  </si>
  <si>
    <t>1200,60017,1,10;1200,60018,1,10;1200,60019,1,10;1200,60020,1,10;</t>
  </si>
  <si>
    <t>1200,60025,1,10;1200,60026,1,10;1200,60027,1,10;1200,60028,1,10;1200,61025,1,10;1200,61026,1,10;1200,61027,1,10;1200,61028,1,10;1200,62025,1,10;1200,62026,1,10;1200,62027,1,10;1200,62028,1,10</t>
  </si>
  <si>
    <t>1001,1100102,1,44;1001,1100202,1,44;1001,1100302,1,44;1001,1100402,1,44;1001,1100502,1,44;1001,1100602,1,44;1001,1100702,1,44;1001,1100802,1,44;1001,1100902,1,44;1001,1101002,1,44;1001,1101102,1,44;1001,1101202,1,44;1001,1101302,1,44;1001,1101402,1,44;1001,1101502,1,44;1001,1101602,1,44;1001,1101702,1,44;1001,1101802,1,44;1001,1101902,1,44;1001,712001,1,2500;1001,215011,1,417;1001,215001,1,1563;1001,215001,1,938;1001,214001,1,3750</t>
  </si>
  <si>
    <t>日常讨伐任务小礼包60</t>
  </si>
  <si>
    <t>1001,250030,1,10;1001,250030,2,10;1001,250030,3,10;</t>
  </si>
  <si>
    <t>礼包个数</t>
  </si>
  <si>
    <t>1001,250031,1,10;1001,250031,2,10;1001,250031,3,10;</t>
  </si>
  <si>
    <t>1001,250032,1,10;1001,250032,2,10;1001,250032,3,10;</t>
  </si>
  <si>
    <t>1001,250033,1,10;1001,250033,2,10;1001,250033,3,10;</t>
  </si>
  <si>
    <t>1001,212007,1,30;1001,213007,1,30;1001,214007,1,40</t>
  </si>
  <si>
    <t>血战阿拉巴斯坦技能书</t>
  </si>
  <si>
    <t>1001,212007,1,45;1001,213007,1,35;1001,214007,1,20</t>
  </si>
  <si>
    <t>1001,1101001,1,3;1001,1101101,1,3;1001,1101201,1,3;1001,1101301,1,3;1001,1101401,1,3;1001,1101501,1,3;1001,1101601,1,3;1001,1101701,1,3;1001,1102001,1,3;1001,1102101,1,3;1001,1101002,1,1;1001,1101102,1,1;1001,1101202,1,1;1001,1101302,1,1;1001,1101402,1,1;1001,1101502,1,1;1001,1101602,1,1;1001,1101702,1,1;1001,1102002,1,1;1001,1102102,1,1</t>
  </si>
  <si>
    <t>血战阿拉巴斯坦宝石</t>
  </si>
  <si>
    <t>1001,1101001,1,7;1001,1101101,1,7;1001,1101201,1,7;1001,1101301,1,7;1001,1101401,1,7;1001,1101501,1,7;1001,1101601,1,7;1001,1101701,1,7;1001,1102001,1,7;1001,1102101,1,7;1001,1101002,1,3;1001,1101102,1,3;1001,1101202,1,3;1001,1101302,1,3;1001,1101402,1,3;1001,1101502,1,3;1001,1101602,1,3;1001,1101702,1,3;1001,1102002,1,3;1001,1102102,1,3</t>
  </si>
  <si>
    <t>1001,214005,1,20;1001,214005,0,80</t>
  </si>
  <si>
    <t>血战阿拉巴斯坦</t>
  </si>
  <si>
    <t>1001,214005,1,30;1001,214005,0,70</t>
  </si>
  <si>
    <t>1001,214005,1,50;1001,214005,0,50</t>
  </si>
  <si>
    <t>1001,212007,1,10;1001,213007,1,20;1001,214007,1,30;1001,215007,1,40;</t>
  </si>
  <si>
    <t>血战空岛技能书</t>
  </si>
  <si>
    <t>1001,212007,1,20;1001,212007,1,20;1001,212007,1,20;1001,212007,1,20;1001,213007,1,30;1001,213007,1,30;1001,213007,1,30;1001,213007,1,30;1001,214007,1,50;1001,214007,1,50;1001,214007,1,50;1001,214007,1,50</t>
  </si>
  <si>
    <t>1001,212007,1,10;1001,212007,1,10;1001,212007,1,10;1001,212007,1,10;1001,213007,1,25;1001,213007,1,25;1001,213007,1,25;1001,213007,1,25;1001,214007,1,50;1001,214007,1,50;1001,214007,1,50;1001,214007,1,50;1001,215007,1,15;1001,215007,1,15;1001,215007,1,15;1001,215007,1,15</t>
  </si>
  <si>
    <t>1001,214005,1,60;1001,214005,0,40</t>
  </si>
  <si>
    <t>1001,1101001,1,6;1001,1101101,1,6;1001,1101201,1,6;1001,1101301,1,6;1001,1101401,1,6;1001,1101501,1,6;1001,1101601,1,6;1001,1101701,1,6;1001,1102001,1,6;1001,1102101,1,6;1001,1101002,1,3;1001,1101102,1,3;1001,1101202,1,3;1001,1101302,1,3;1001,1101402,1,3;1001,1101502,1,3;1001,1101602,1,3;1001,1101702,1,3;1001,1102002,1,3;1001,1102102,1,3;1001,1101003,1,1;1001,1101103,1,1;1001,1101203,1,1;1001,1101303,1,1;1001,1101403,1,1;1001,1101503,1,1;1001,1101603,1,1;1001,1101703,1,1;1001,1102003,1,1;1001,1102103,1,1</t>
  </si>
  <si>
    <t>血战空岛宝石</t>
  </si>
  <si>
    <t>1001,1101001,1,45;1001,1101101,1,45;1001,1101201,1,45;1001,1101301,1,45;1001,1101401,1,45;1001,1101501,1,45;1001,1101601,1,45;1001,1101701,1,45;1001,1102001,1,45;1001,1102101,1,45;1001,1101002,1,35;1001,1101102,1,35;1001,1101202,1,35;1001,1101302,1,35;1001,1101402,1,35;1001,1101502,1,35;1001,1101602,1,35;1001,1101702,1,35;1001,1102002,1,35;1001,1102102,1,35;1001,1101003,1,25;1001,1101103,1,25;1001,1101203,1,25;1001,1101303,1,25;1001,1101403,1,25;1001,1101503,1,25;1001,1101603,1,25;1001,1101703,1,25;1001,1102003,1,25;1001,1102103,1,25</t>
  </si>
  <si>
    <t>1001,1101001,1,2;1001,1101101,1,2;1001,1101201,1,2;1001,1101301,1,2;1001,1101401,1,2;1001,1101501,1,2;1001,1101601,1,2;1001,1101701,1,2;1001,1102001,1,2;1001,1102101,1,2;1001,1101002,1,4;1001,1101102,1,4;1001,1101202,1,4;1001,1101302,1,4;1001,1101402,1,4;1001,1101502,1,4;1001,1101602,1,4;1001,1101702,1,4;1001,1102002,1,4;1001,1102102,1,4;1001,1101003,1,4;1001,1101103,1,4;1001,1101203,1,4;1001,1101303,1,4;1001,1101403,1,4;1001,1101503,1,4;1001,1101603,1,4;1001,1101703,1,4;1001,1102003,1,4;1001,1102103,1,4</t>
  </si>
  <si>
    <t>1001,214005,1,80;1001,214005,0,20</t>
  </si>
  <si>
    <t>1001,214005,1,100</t>
  </si>
  <si>
    <t>1001,215005,1,30;1001,215005,1,70</t>
  </si>
  <si>
    <t>1001,213007,1,10;1001,214007,1,20;1001,215007,1,70</t>
  </si>
  <si>
    <t>血战司法岛技能书</t>
  </si>
  <si>
    <t>1001,212007,1,10;1001,212007,1,10;1001,212007,1,10;1001,212007,1,10;1001,213007,1,25;1001,213007,1,25;1001,213007,1,25;1001,213007,1,25;1001,214007,1,35;1001,214007,1,35;1001,214007,1,35;1001,214007,1,35;1001,215007,1,30;1001,215007,1,30;1001,215007,1,30;1001,215007,1,30</t>
  </si>
  <si>
    <t>1001,212007,1,10;1001,212007,1,10;1001,212007,1,10;1001,212007,1,10;1001,213007,1,20;1001,213007,1,20;1001,213007,1,20;1001,213007,1,20;1001,214007,1,30;1001,214007,1,30;1001,214007,1,30;1001,214007,1,30;1001,215007,1,40;1001,215007,1,40;1001,215007,1,40;1001,215007,1,40</t>
  </si>
  <si>
    <t>1001,212007,1,5;1001,212007,1,5;1001,212007,1,5;1001,212007,1,5;1001,213007,1,15;1001,213007,1,15;1001,213007,1,15;1001,213007,1,15;1001,214007,1,30;1001,214007,1,30;1001,214007,1,30;1001,214007,1,30;1001,215007,1,50;1001,215007,1,50;1001,215007,1,50;1001,215007,1,50</t>
  </si>
  <si>
    <t>1001,214005,1,65;1001,214005,0,35</t>
  </si>
  <si>
    <t>1001,215005,1,40;1001,215005,1,60</t>
  </si>
  <si>
    <t>1001,1101001,1,35;1001,1101101,1,35;1001,1101201,1,35;1001,1101301,1,35;1001,1101401,1,35;1001,1101501,1,35;1001,1101601,1,35;1001,1101701,1,35;1001,1102001,1,35;1001,1102101,1,35;1001,1101002,1,35;1001,1101102,1,35;1001,1101202,1,35;1001,1101302,1,35;1001,1101402,1,35;1001,1101502,1,35;1001,1101602,1,35;1001,1101702,1,35;1001,1102002,1,35;1001,1102102,1,35;1001,1101003,1,30;1001,1101103,1,30;1001,1101203,1,30;1001,1101303,1,30;1001,1101403,1,30;1001,1101503,1,30;1001,1101603,1,30;1001,1101703,1,30;1001,1102003,1,30;1001,1102103,1,30</t>
  </si>
  <si>
    <t>血战司法岛宝石</t>
  </si>
  <si>
    <t>1001,1101001,1,30;1001,1101101,1,30;1001,1101201,1,30;1001,1101301,1,30;1001,1101401,1,30;1001,1101501,1,30;1001,1101601,1,30;1001,1101701,1,30;1001,1102001,1,30;1001,1102101,1,30;1001,1101002,1,30;1001,1101102,1,30;1001,1101202,1,30;1001,1101302,1,30;1001,1101402,1,30;1001,1101502,1,30;1001,1101602,1,30;1001,1101702,1,30;1001,1102002,1,30;1001,1102102,1,30;1001,1101003,1,40;1001,1101103,1,40;1001,1101203,1,40;1001,1101303,1,40;1001,1101403,1,40;1001,1101503,1,40;1001,1101603,1,40;1001,1101703,1,40;1001,1102003,1,40;1001,1102103,1,40</t>
  </si>
  <si>
    <t>1001,215005,1,60;1001,215005,1,40</t>
  </si>
  <si>
    <t>1001,1101001,1,20;1001,1101101,1,20;1001,1101201,1,20;1001,1101301,1,20;1001,1101401,1,20;1001,1101501,1,20;1001,1101601,1,20;1001,1101701,1,20;1001,1102001,1,20;1001,1102101,1,20;1001,1101002,1,30;1001,1101102,1,30;1001,1101202,1,30;1001,1101302,1,30;1001,1101402,1,30;1001,1101502,1,30;1001,1101602,1,30;1001,1101702,1,30;1001,1102002,1,30;1001,1102102,1,30;1001,1101003,1,50;1001,1101103,1,50;1001,1101203,1,50;1001,1101303,1,50;1001,1101403,1,50;1001,1101503,1,50;1001,1101603,1,50;1001,1101703,1,50;1001,1102003,1,50;1001,1102103,1,50</t>
  </si>
  <si>
    <t>1001,1101001,1,10;1001,1101101,1,10;1001,1101201,1,10;1001,1101301,1,10;1001,1101401,1,10;1001,1101501,1,10;1001,1101601,1,10;1001,1101701,1,10;1001,1102001,1,10;1001,1102101,1,10;1001,1101002,1,20;1001,1101102,1,20;1001,1101202,1,20;1001,1101302,1,20;1001,1101402,1,20;1001,1101502,1,20;1001,1101602,1,20;1001,1101702,1,20;1001,1102002,1,20;1001,1102102,1,20;1001,1101003,1,70;1001,1101103,1,70;1001,1101203,1,70;1001,1101303,1,70;1001,1101403,1,70;1001,1101503,1,70;1001,1101603,1,70;1001,1101703,1,70;1001,1102003,1,70;1001,1102103,1,70</t>
  </si>
  <si>
    <t>1001,215005,1,100</t>
  </si>
  <si>
    <t>1001,1101002,1,1;1001,1101102,1,1;1001,1101202,1,1;1001,1101302,1,1;1001,1101402,1,1;1001,1101502,1,1;1001,1101602,1,1;1001,1101702,1,1;1001,1102002,1,1;1001,1102102,1,1;</t>
  </si>
  <si>
    <t>1001,1101003,1,1;1001,1101103,1,1;1001,1101203,1,1;1001,1101303,1,1;1001,1101403,1,1;1001,1101503,1,1;1001,1101603,1,1;1001,1101703,1,1;1001,1102003,1,1;1001,1102103,1,1;</t>
  </si>
  <si>
    <t>1001,1101004,1,1;1001,1101104,1,1;1001,1101204,1,1;1001,1101304,1,1;1001,1101404,1,1;1001,1101504,1,1;1001,1101604,1,1;1001,1101704,1,1;1001,1102004,1,1;1001,1102104,1,1;</t>
  </si>
  <si>
    <t>1001,1101005,1,1;1001,1101105,1,1;1001,1101205,1,1;1001,1101305,1,1;1001,1101405,1,1;1001,1101505,1,1;1001,1101605,1,1;1001,1101705,1,1;1001,1102005,1,1;1001,1102105,1,1;</t>
  </si>
  <si>
    <t>1001,1101006,1,1;1001,1101106,1,1;1001,1101206,1,1;1001,1101306,1,1;1001,1101406,1,1;1001,1101506,1,1;1001,1101606,1,1;1001,1101706,1,1;1001,1102006,1,1;1001,1102106,1,1;</t>
  </si>
  <si>
    <t>1001,1101007,1,1;1001,1101107,1,1;1001,1101207,1,1;1001,1101307,1,1;1001,1101407,1,1;1001,1101507,1,1;1001,1101607,1,1;1001,1101707,1,1;1001,1102007,1,1;1001,1102107,1,1;</t>
  </si>
  <si>
    <t>血战阿拉巴斯坦金块</t>
  </si>
  <si>
    <t>5,0,2800,100</t>
  </si>
  <si>
    <t>5,0,6500,100</t>
  </si>
  <si>
    <t>5,0,7000,100</t>
  </si>
  <si>
    <t>1001,712004,1,50;1001,712004,0,50</t>
  </si>
  <si>
    <t>血战阿拉巴斯坦突破副本次数</t>
  </si>
  <si>
    <t>1001,712004,1,70;1001,712004,0,30</t>
  </si>
  <si>
    <t>1001,712004,1,80;1001,712004,0,20</t>
  </si>
  <si>
    <t>1001,712004,1,100</t>
  </si>
  <si>
    <t>1001,212111,1,100</t>
  </si>
  <si>
    <t>5,0,1500,100</t>
  </si>
  <si>
    <t>5,0,2400,100</t>
  </si>
  <si>
    <t>高级突破材料箱</t>
  </si>
  <si>
    <t>1001,211021,1,10;1001,212021,1,9;1001,213021,1,8;1001,214021,1,7;1001,215021,1,6;1001,216021,1,5;1001,217021,1,4;1001,218021,1,3;1001,219021,1,2;1001,210021,1,1;</t>
  </si>
  <si>
    <t>力量训练道具箱</t>
  </si>
  <si>
    <t>防御训练道具箱</t>
  </si>
  <si>
    <t>生命训练道具箱</t>
  </si>
  <si>
    <t>血战司法岛金块</t>
  </si>
  <si>
    <t>5,0,2100,100</t>
  </si>
  <si>
    <t>5,0,3200,100</t>
  </si>
  <si>
    <t>5,0,2700,100</t>
  </si>
  <si>
    <t>5,0,3600,100</t>
  </si>
  <si>
    <t>1001,215007,1,100</t>
  </si>
  <si>
    <t>血战司法岛秘传书</t>
  </si>
  <si>
    <t>1001,215007,2,100</t>
  </si>
  <si>
    <t>血战2级宝石</t>
  </si>
  <si>
    <t>血战3级宝石</t>
  </si>
  <si>
    <t>血战4级宝石</t>
  </si>
  <si>
    <t>血战5级宝石</t>
  </si>
  <si>
    <t>血战6级宝石</t>
  </si>
  <si>
    <t>血战空掉落</t>
  </si>
  <si>
    <t>30222,70;30226,30;</t>
  </si>
  <si>
    <t>30223,40;30226,60;</t>
  </si>
  <si>
    <t>30224,15;30226,85;</t>
  </si>
  <si>
    <t>30222,100;</t>
  </si>
  <si>
    <t>血战1级宝石</t>
  </si>
  <si>
    <t>30232,50;30226,50</t>
  </si>
  <si>
    <t>血战阿拉斯坦宝石</t>
  </si>
  <si>
    <t>30233,20;30226,80</t>
  </si>
  <si>
    <t>30232,70;30226,30</t>
  </si>
  <si>
    <t>30233,30;30226,70</t>
  </si>
  <si>
    <t>30233,50;30226,50</t>
  </si>
  <si>
    <t>30234,30;30226,70</t>
  </si>
  <si>
    <t>30231,50;30232,30;30233,20</t>
  </si>
  <si>
    <t>血战宝石</t>
  </si>
  <si>
    <t>30226,70</t>
  </si>
  <si>
    <t>1001,214003,1,50;1001,214003,0,50</t>
  </si>
  <si>
    <t>血战空岛英雄之石</t>
  </si>
  <si>
    <t>血战司法岛英雄之石</t>
  </si>
  <si>
    <t>1001,452201,2,100</t>
  </si>
  <si>
    <t>血战跳过券</t>
  </si>
  <si>
    <t>3,0,50,100</t>
  </si>
  <si>
    <t>血战蓝钻</t>
  </si>
  <si>
    <t>3,0,100,100</t>
  </si>
  <si>
    <t>3,0,150,100</t>
  </si>
  <si>
    <t>1200,838101,1,10;1200,838102,1,10;1200,838103,1,10;1200,838104,1,10;1200,838105,1,10;1200,838106,1,10;1200,838107,1,10;1200,838108,1,10;1200,838109,1,10;1200,838110,1,10;1200,838111,1,10;1200,838112,1,10;</t>
  </si>
  <si>
    <t>80级讨伐</t>
  </si>
  <si>
    <t>1001,250107,1,10;1001,250107,2,10;1001,250107,3,10;</t>
  </si>
  <si>
    <t>礼包个数80</t>
  </si>
  <si>
    <t>1001,1100102,1,44;1001,1100202,1,44;1001,1100302,1,44;1001,1100402,1,44;1001,1100502,1,44;1001,1100602,1,44;1001,1100702,1,44;1001,1100802,1,44;1001,1100902,1,44;1001,1101002,1,44;1001,1101102,1,44;1001,1101202,1,44;1001,1101302,1,44;1001,1101402,1,44;1001,1101502,1,44;1001,1101602,1,44;1001,1101702,1,44;1001,1101802,1,44;1001,1101902,1,44;1001,712001,1,2500;1001,215011,1,417;1001,215001,2,1563;1001,712017,1,938;1001,214001,3,3750</t>
  </si>
  <si>
    <t>日常讨伐任务小礼包80</t>
  </si>
  <si>
    <t>讨伐80级*2</t>
  </si>
  <si>
    <t>血战恐怖之船金块</t>
  </si>
  <si>
    <t>5,0,4000,100</t>
  </si>
  <si>
    <t>5,0,3300,100</t>
  </si>
  <si>
    <t>5,0,4400,100</t>
  </si>
  <si>
    <t>3,0,200,100</t>
  </si>
  <si>
    <t>血战恐怖之船蓝钻</t>
  </si>
  <si>
    <t>血战恐怖之船秘传书</t>
  </si>
  <si>
    <t>30231,10;30232,20;30233,30;30234,40</t>
  </si>
  <si>
    <t>血战恐怖之船宝石</t>
  </si>
  <si>
    <t>1001,1100102,1,44;1001,1100202,1,44;1001,1100302,1,44;1001,1100402,1,44;1001,1100502,1,44;1001,1100602,1,44;1001,1100702,1,44;1001,1100802,1,44;1001,1100902,1,44;1001,1101002,1,44;1001,1101102,1,44;1001,1101202,1,44;1001,1101302,1,44;1001,1101402,1,44;1001,1101502,1,44;1001,1101602,1,44;1001,1101702,1,44;1001,1101802,1,44;1001,1101902,1,44;1001,712001,1,2500;1001,215011,1,417;1001,215001,2,1563;1001,712017,1,938;1001,214001,4,3750</t>
  </si>
  <si>
    <t>日常讨伐任务小礼包85</t>
  </si>
  <si>
    <t>1001,250122,1,1;1001,250122,2,1;1001,250122,3,1;</t>
  </si>
  <si>
    <t>1001,250125,1,100</t>
  </si>
  <si>
    <t>30278,56;30279,280;30280,280;30281,136;30282,32;30283,16;30284,14;30285,70;30286,70;30287,34;30288,8;30289,4;</t>
  </si>
  <si>
    <t>1001,1100102,1,1;1001,1100202,1,1;1001,1100302,1,1;1001,1100402,1,1;1001,1100502,1,1;1001,1100602,1,1;1001,1100702,1,1;1001,1100802,1,1;1001,1100902,1,1;1001,1101802,1,1;1001,1101902,1,1;1001,1102202,1,1;1001,1102302,1,1;1001,1102402,1,1;</t>
  </si>
  <si>
    <t>30277宝石</t>
  </si>
  <si>
    <t>1001,1100103,1,1;1001,1100203,1,1;1001,1100303,1,1;1001,1100403,1,1;1001,1100503,1,1;1001,1100603,1,1;1001,1100703,1,1;1001,1100803,1,1;1001,1100903,1,1;1001,1101803,1,1;1001,1101903,1,1;1001,1102203,1,1;1001,1102303,1,1;1001,1102403,1,1;</t>
  </si>
  <si>
    <t>1001,1100104,1,1;1001,1100204,1,1;1001,1100304,1,1;1001,1100404,1,1;1001,1100504,1,1;1001,1100604,1,1;1001,1100704,1,1;1001,1100804,1,1;1001,1100904,1,1;1001,1101804,1,1;1001,1101904,1,1;1001,1102204,1,1;1001,1102304,1,1;1001,1102404,1,1;</t>
  </si>
  <si>
    <t>1001,1100105,1,1;1001,1100205,1,1;1001,1100305,1,1;1001,1100405,1,1;1001,1100505,1,1;1001,1100605,1,1;1001,1100705,1,1;1001,1100805,1,1;1001,1100905,1,1;1001,1101805,1,1;1001,1101905,1,1;1001,1102205,1,1;1001,1102305,1,1;1001,1102405,1,1;</t>
  </si>
  <si>
    <t>1001,1100106,1,1;1001,1100206,1,1;1001,1100306,1,1;1001,1100406,1,1;1001,1100506,1,1;1001,1100606,1,1;1001,1100706,1,1;1001,1100806,1,1;1001,1100906,1,1;1001,1101806,1,1;1001,1101906,1,1;1001,1102206,1,1;1001,1102306,1,1;1001,1102406,1,1;</t>
  </si>
  <si>
    <t>1001,1100107,1,1;1001,1100207,1,1;1001,1100307,1,1;1001,1100407,1,1;1001,1100507,1,1;1001,1100607,1,1;1001,1100707,1,1;1001,1100807,1,1;1001,1100907,1,1;1001,1101807,1,1;1001,1101907,1,1;1001,1102207,1,1;1001,1102307,1,1;1001,1102407,1,1;</t>
  </si>
  <si>
    <t>30291,56;30292,280;30293,280;30294,136;30295,32;30296,16;</t>
  </si>
  <si>
    <t>1001,1102202,1,1;1001,1102302,1,1;1001,1102402,1,1;</t>
  </si>
  <si>
    <t>30290宝石</t>
  </si>
  <si>
    <t>1001,1102203,1,1;1001,1102303,1,1;1001,1102403,1,1;</t>
  </si>
  <si>
    <t>1001,1102204,1,1;1001,1102304,1,1;1001,1102404,1,1;</t>
  </si>
  <si>
    <t>1001,1102205,1,1;1001,1102305,1,1;1001,1102405,1,1;</t>
  </si>
  <si>
    <t>1001,1102206,1,1;1001,1102306,1,1;1001,1102406,1,1;</t>
  </si>
  <si>
    <t>1001,1102207,1,1;1001,1102307,1,1;1001,1102407,1,1;</t>
  </si>
  <si>
    <t>1801,0,1,20;1802,0,1,80</t>
  </si>
  <si>
    <t>1001,1100107,1,10;1001,1100207,1,10;1001,1100307,1,10;1001,1100407,1,10;1001,1101007,1,10;1001,1102207,1,10;1001,1102307,1,10;1001,1102407,1,10</t>
  </si>
  <si>
    <t>高级宝石袋</t>
  </si>
  <si>
    <t>血战因佩尔监狱</t>
  </si>
  <si>
    <t>5,0,4800,100</t>
  </si>
  <si>
    <t>5,0,3900,100</t>
  </si>
  <si>
    <t>5,0,5200,100</t>
  </si>
  <si>
    <t>5,0,4200,100</t>
  </si>
  <si>
    <t>5,0,5600,100</t>
  </si>
  <si>
    <t>3,0,250,100</t>
  </si>
  <si>
    <t>血战因佩尔监狱蓝钻</t>
  </si>
  <si>
    <t>1001,214003,1,50;1001,214003,2,50</t>
  </si>
  <si>
    <t>血战因佩尔监狱英雄之石</t>
  </si>
  <si>
    <t>1001,215007,1,25;1001,215007,2,75</t>
  </si>
  <si>
    <t>血战因佩尔监狱技能书</t>
  </si>
  <si>
    <t>30232,10;30233,20;30234,70</t>
  </si>
  <si>
    <t>血战因佩尔监狱宝石</t>
  </si>
  <si>
    <t>1200,3000101,1,100</t>
  </si>
  <si>
    <t>英雄·提督长鞭</t>
  </si>
  <si>
    <t>1200,3000102,1,100</t>
  </si>
  <si>
    <t>英雄·提督长袍</t>
  </si>
  <si>
    <t>1200,3000103,1,100</t>
  </si>
  <si>
    <t>英雄·提督戒指</t>
  </si>
  <si>
    <t>1200,3000104,1,100</t>
  </si>
  <si>
    <t>英雄·提督项链</t>
  </si>
  <si>
    <t>1200,2800401,1,100</t>
  </si>
  <si>
    <t>英雄·警卫长枪</t>
  </si>
  <si>
    <t>1200,2800402,1,100</t>
  </si>
  <si>
    <t>英雄·警卫制服</t>
  </si>
  <si>
    <t>1200,2800403,1,100</t>
  </si>
  <si>
    <t>英雄·警卫戒指</t>
  </si>
  <si>
    <t>1200,2800404,1,100</t>
  </si>
  <si>
    <t>英雄·警卫项链</t>
  </si>
  <si>
    <t>感恩节雪花掉落道具</t>
  </si>
  <si>
    <t>1001,1100101,1,1;1001,1100201,1,1;1001,1100301,1,1;1001,1100401,1,1;1001,1100501,1,1;1001,1100601,1,1;1001,1100701,1,1;1001,1100801,1,1;1001,1100901,1,1;1001,1101001,1,1;1001,1101101,1,1;1001,1101201,1,1;1001,1101301,1,1;1001,1101401,1,1;1001,1101501,1,1;1001,1101601,1,1;1001,1101701,1,1;1001,1101801,1,1;1001,1101901,1,1;1001,1102001,1,1;1001,1102101,1,1;1001,1102201,1,1;1001,1102301,1,1;1001,1102401,1,1</t>
  </si>
  <si>
    <t>1级宝石随机</t>
  </si>
  <si>
    <t>1001,1100102,1,1;1001,1100202,1,1;1001,1100302,1,1;1001,1100402,1,1;1001,1100502,1,1;1001,1100602,1,1;1001,1100702,1,1;1001,1100802,1,1;1001,1100902,1,1;1001,1101002,1,1;1001,1101102,1,1;1001,1101202,1,1;1001,1101302,1,1;1001,1101402,1,1;1001,1101502,1,1;1001,1101602,1,1;1001,1101702,1,1;1001,1101802,1,1;1001,1101902,1,1;1001,1102002,1,1;1001,1102102,1,1;1001,1102202,1,1;1001,1102302,1,1;1001,1102402,1,1</t>
  </si>
  <si>
    <t>2级宝石随机</t>
  </si>
  <si>
    <t>1001,1100103,1,1;1001,1100203,1,1;1001,1100303,1,1;1001,1100403,1,1;1001,1100503,1,1;1001,1100603,1,1;1001,1100703,1,1;1001,1100803,1,1;1001,1100903,1,1;1001,1101003,1,1;1001,1101103,1,1;1001,1101203,1,1;1001,1101303,1,1;1001,1101403,1,1;1001,1101503,1,1;1001,1101603,1,1;1001,1101703,1,1;1001,1101803,1,1;1001,1101903,1,1;1001,1102003,1,1;1001,1102103,1,1;1001,1102203,1,1;1001,1102303,1,1;1001,1102403,1,1</t>
  </si>
  <si>
    <t>3级宝石随机</t>
  </si>
  <si>
    <t>1001,1100104,1,1;1001,1100204,1,1;1001,1100304,1,1;1001,1100404,1,1;1001,1100504,1,1;1001,1100604,1,1;1001,1100704,1,1;1001,1100804,1,1;1001,1100904,1,1;1001,1101004,1,1;1001,1101104,1,1;1001,1101204,1,1;1001,1101304,1,1;1001,1101404,1,1;1001,1101504,1,1;1001,1101604,1,1;1001,1101704,1,1;1001,1101804,1,1;1001,1101904,1,1;1001,1102004,1,1;1001,1102104,1,1;1001,1102204,1,1;1001,1102304,1,1;1001,1102404,1,1</t>
  </si>
  <si>
    <t>4级宝石随机</t>
  </si>
  <si>
    <t>1001,1100105,1,1;1001,1100205,1,1;1001,1100305,1,1;1001,1100405,1,1;1001,1100505,1,1;1001,1100605,1,1;1001,1100705,1,1;1001,1100805,1,1;1001,1100905,1,1;1001,1101005,1,1;1001,1101105,1,1;1001,1101205,1,1;1001,1101305,1,1;1001,1101405,1,1;1001,1101505,1,1;1001,1101605,1,1;1001,1101705,1,1;1001,1101805,1,1;1001,1101905,1,1;1001,1102005,1,1;1001,1102105,1,1;1001,1102205,1,1;1001,1102305,1,1;1001,1102405,1,1</t>
  </si>
  <si>
    <t>5级宝石随机</t>
  </si>
  <si>
    <t>1001,1100106,1,1;1001,1100206,1,1;1001,1100306,1,1;1001,1100406,1,1;1001,1100506,1,1;1001,1100606,1,1;1001,1100706,1,1;1001,1100806,1,1;1001,1100906,1,1;1001,1101006,1,1;1001,1101106,1,1;1001,1101206,1,1;1001,1101306,1,1;1001,1101406,1,1;1001,1101506,1,1;1001,1101606,1,1;1001,1101706,1,1;1001,1101806,1,1;1001,1101906,1,1;1001,1102006,1,1;1001,1102106,1,1;1001,1102206,1,1;1001,1102306,1,1;1001,1102406,1,1</t>
  </si>
  <si>
    <t>6级宝石随机</t>
  </si>
  <si>
    <t>1001,1100107,1,1;1001,1100207,1,1;1001,1100307,1,1;1001,1100407,1,1;1001,1100507,1,1;1001,1100607,1,1;1001,1100707,1,1;1001,1100807,1,1;1001,1100907,1,1;1001,1101007,1,1;1001,1101107,1,1;1001,1101207,1,1;1001,1101307,1,1;1001,1101407,1,1;1001,1101507,1,1;1001,1101607,1,1;1001,1101707,1,1;1001,1101807,1,1;1001,1101907,1,1;1001,1102007,1,1;1001,1102107,1,1;1001,1102207,1,1;1001,1102307,1,1;1001,1102407,1,1</t>
  </si>
  <si>
    <t>7级宝石随机</t>
  </si>
  <si>
    <t>1001,1100108,1,1;1001,1100208,1,1;1001,1100308,1,1;1001,1100408,1,1;1001,1100508,1,1;1001,1100608,1,1;1001,1100708,1,1;1001,1100808,1,1;1001,1100908,1,1;1001,1101008,1,1;1001,1101108,1,1;1001,1101208,1,1;1001,1101308,1,1;1001,1101408,1,1;1001,1101508,1,1;1001,1101608,1,1;1001,1101708,1,1;1001,1101808,1,1;1001,1101908,1,1;1001,1102008,1,1;1001,1102108,1,1;1001,1102208,1,1;1001,1102308,1,1;1001,1102408,1,1</t>
  </si>
  <si>
    <t>8级宝石随机</t>
  </si>
  <si>
    <t>1001,1100109,1,1;1001,1100209,1,1;1001,1100309,1,1;1001,1100409,1,1;1001,1100509,1,1;1001,1100609,1,1;1001,1100709,1,1;1001,1100809,1,1;1001,1100909,1,1;1001,1101009,1,1;1001,1101109,1,1;1001,1101209,1,1;1001,1101309,1,1;1001,1101409,1,1;1001,1101509,1,1;1001,1101609,1,1;1001,1101709,1,1;1001,1101809,1,1;1001,1101909,1,1;1001,1102009,1,1;1001,1102109,1,1;1001,1102209,1,1;1001,1102309,1,1;1001,1102409,1,1</t>
  </si>
  <si>
    <t>9级宝石随机</t>
  </si>
  <si>
    <t>1001,1100110,1,1;1001,1100210,1,1;1001,1100310,1,1;1001,1100410,1,1;1001,1100510,1,1;1001,1100610,1,1;1001,1100710,1,1;1001,1100810,1,1;1001,1100910,1,1;1001,1101010,1,1;1001,1101110,1,1;1001,1101210,1,1;1001,1101310,1,1;1001,1101410,1,1;1001,1101510,1,1;1001,1101610,1,1;1001,1101710,1,1;1001,1101810,1,1;1001,1101910,1,1;1001,1102010,1,1;1001,1102110,1,1;1001,1102210,1,1;1001,1102310,1,1;1001,1102410,1,1</t>
  </si>
  <si>
    <t>10级宝石随机</t>
  </si>
  <si>
    <t>5,0,4500,100</t>
  </si>
  <si>
    <t>血战顶上决战金块</t>
  </si>
  <si>
    <t>5,0,6000,100</t>
  </si>
  <si>
    <t>5,0,6400,100</t>
  </si>
  <si>
    <t>5,0,5100,100</t>
  </si>
  <si>
    <t>5,0,6800,100</t>
  </si>
  <si>
    <t>5,0,5400,100</t>
  </si>
  <si>
    <t>5,0,7200,100</t>
  </si>
  <si>
    <t>血战顶上决战蓝钻</t>
  </si>
  <si>
    <t>1001,214003,1,25;1001,214003,2,75</t>
  </si>
  <si>
    <t>血战顶上决战英雄之石</t>
  </si>
  <si>
    <t>1001,215007,1,50;1001,215007,2,50</t>
  </si>
  <si>
    <t>血战顶上决战技能书</t>
  </si>
  <si>
    <t>30233,10;30234,80;30235,10</t>
  </si>
  <si>
    <t>血战顶上决战宝石</t>
  </si>
  <si>
    <t>1001,250154,1,1;1001,250154,2,1;1001,250154,3,1</t>
  </si>
  <si>
    <t>100级单人任务每轮</t>
  </si>
  <si>
    <t>1200,8100001,1,100;1200,8100002,1,100;1200,8100003,1,100;1200,8100004,1,100;1200,8100005,1,100;1200,8100006,1,100;1200,8100007,1,100;1200,8100008,1,100;1200,8100009,1,100;1200,8100010,1,100;1200,8100011,1,100;1200,8100012,1,100;</t>
  </si>
  <si>
    <t>100级讨伐装备</t>
  </si>
  <si>
    <t>30343,1;30344,1;30345,1;10230,1;10231,1</t>
  </si>
  <si>
    <t>100级挂机礼包</t>
  </si>
  <si>
    <t>5,0,200,100;1001,212001,1,100</t>
  </si>
  <si>
    <t>1001,213001,1,40;1001,213001,1,60</t>
  </si>
  <si>
    <t>1001,214001,1,35;1001,214001,1,965</t>
  </si>
  <si>
    <t>1001,1100102,1,44;1001,1100202,1,44;1001,1100302,1,44;1001,1100402,1,44;1001,1100502,1,44;1001,1100602,1,44;1001,1100702,1,44;1001,1100802,1,44;1001,1100902,1,44;1001,1101002,1,44;1001,1101102,1,44;1001,1101202,1,44;1001,1101302,1,44;1001,1101402,1,44;1001,1101502,1,44;1001,1101602,1,44;1001,1101702,1,44;1001,1101802,1,44;1001,1101902,1,44;1001,712001,1,2500;1001,215011,1,500;1001,215001,2,1563;1001,712017,1,938;1001,214001,3,5000</t>
  </si>
  <si>
    <t>日常讨伐任务小礼包100级</t>
  </si>
  <si>
    <t>1001,250155,1,100</t>
  </si>
  <si>
    <t>100级野怪礼包掉落</t>
  </si>
  <si>
    <t>1001,250153,1,1;1001,250153,2,1;1001,250153,3,1;</t>
  </si>
  <si>
    <t>日常任务小礼包100级</t>
  </si>
  <si>
    <t>30319,20;30320,35;30321,35;30322,10</t>
  </si>
  <si>
    <t>精美宝石袋</t>
  </si>
  <si>
    <t>30354,47;30355,3;30356,50;</t>
  </si>
  <si>
    <t>4级宝石箱（公会拍卖）</t>
  </si>
  <si>
    <t>30357,43;30358,2;30359,55;</t>
  </si>
  <si>
    <t>5级宝石箱（公会拍卖）</t>
  </si>
  <si>
    <t>30360,38;30361,2;30362,60;</t>
  </si>
  <si>
    <t>6级宝石箱（公会拍卖）</t>
  </si>
  <si>
    <t>1001,214003,10,50;1001,214003,20,30;1001,214003,30,20</t>
  </si>
  <si>
    <t>英雄之石箱（公会拍卖）</t>
  </si>
  <si>
    <t>1001,1100104,1,1;1001,1100204,1,1;1001,1100304,1,1;1001,1100504,1,1;1001,1100604,1,1;1001,1100704,1,1;1001,1100804,1,1;1001,1100904,1,1;1001,1101004,1,1</t>
  </si>
  <si>
    <t>1001,1100404,1,1;</t>
  </si>
  <si>
    <t>1001,1101104,1,1;1001,1101204,1,1;1001,1101304,1,1;1001,1101404,1,1;1001,1101504,1,1;1001,1101604,1,1;1001,1101704,1,1;1001,1101804,1,1;1001,1101904,1,1;1001,1102004,1,1;1001,1102104,1,1</t>
  </si>
  <si>
    <t>1001,1100105,1,1;1001,1100205,1,1;1001,1100305,1,1;1001,1100505,1,1;1001,1100605,1,1;1001,1100705,1,1;1001,1100805,1,1;1001,1100905,1,1;1001,1101005,1,1</t>
  </si>
  <si>
    <t>1001,1100405,1,1;</t>
  </si>
  <si>
    <t>1001,1101105,1,1;1001,1101205,1,1;1001,1101305,1,1;1001,1101405,1,1;1001,1101505,1,1;1001,1101605,1,1;1001,1101705,1,1;1001,1101805,1,1;1001,1101905,1,1;1001,1102005,1,1;1001,1102105,1,1</t>
  </si>
  <si>
    <t>1001,1100106,1,1;1001,1100206,1,1;1001,1100306,1,1;1001,1100506,1,1;1001,1100606,1,1;1001,1100706,1,1;1001,1100806,1,1;1001,1100906,1,1;1001,1101006,1,1</t>
  </si>
  <si>
    <t>1001,1100406,1,1;</t>
  </si>
  <si>
    <t>1001,1101106,1,1;1001,1101206,1,1;1001,1101306,1,1;1001,1101406,1,1;1001,1101506,1,1;1001,1101606,1,1;1001,1101706,1,1;1001,1101806,1,1;1001,1101906,1,1;1001,1102006,1,1;1001,1102106,1,1</t>
  </si>
  <si>
    <t>30364,320;30365,240;30366,120;30367,50;30368,20;30369,100;30370,60;30371,30;30372,10;30373,30;30374,15;30375,5;</t>
  </si>
  <si>
    <t>华彩宝石袋</t>
  </si>
  <si>
    <t>华彩宝石袋——高级宝石4级</t>
  </si>
  <si>
    <t>华彩宝石袋——高级宝石5级</t>
  </si>
  <si>
    <t>华彩宝石袋——高级宝石6级</t>
  </si>
  <si>
    <t>华彩宝石袋——高级宝石7级</t>
  </si>
  <si>
    <t>1001,1100108,1,1;1001,1100208,1,1;1001,1100308,1,1;1001,1100408,1,1;1001,1100508,1,1;1001,1100608,1,1;1001,1100708,1,1;1001,1100808,1,1;1001,1100908,1,1;1001,1101808,1,1;1001,1101908,1,1;1001,1102208,1,1;1001,1102308,1,1;1001,1102408,1,1;</t>
  </si>
  <si>
    <t>华彩宝石袋——高级宝石8级</t>
  </si>
  <si>
    <t>华彩宝石袋——低级宝石5级</t>
  </si>
  <si>
    <t>华彩宝石袋——低级宝石6级</t>
  </si>
  <si>
    <t>华彩宝石袋——低级宝石7级</t>
  </si>
  <si>
    <t>1001,1101008,1,1;1001,1101108,1,1;1001,1101208,1,1;1001,1101308,1,1;1001,1101408,1,1;1001,1101508,1,1;1001,1101608,1,1;1001,1101708,1,1;1001,1102008,1,1;1001,1102108,1,1;</t>
  </si>
  <si>
    <t>华彩宝石袋——低级宝石8级</t>
  </si>
  <si>
    <t>1001,1010105,1,1;1001,1010205,1,1;1001,1010305,1,1;1001,1010405,1,1;1001,1010505,1,1;1001,1010605,1,1;</t>
  </si>
  <si>
    <t>华彩宝石袋——七彩宝石5级</t>
  </si>
  <si>
    <t>1001,1010106,1,1;1001,1010206,1,1;1001,1010306,1,1;1001,1010406,1,1;1001,1010506,1,1;1001,1010606,1,1;</t>
  </si>
  <si>
    <t>华彩宝石袋——七彩宝石6级</t>
  </si>
  <si>
    <t>1001,1010107,1,1;1001,1010207,1,1;1001,1010307,1,1;1001,1010407,1,1;1001,1010507,1,1;1001,1010607,1,1;</t>
  </si>
  <si>
    <t>华彩宝石袋——七彩宝石7级</t>
  </si>
  <si>
    <t>30377,15;30378,20;30379,14;30380,8;30381,5;30382,3;30383,20;30384,11;30385,4;</t>
  </si>
  <si>
    <t>七彩原石袋</t>
  </si>
  <si>
    <t>1010,0,5,1</t>
  </si>
  <si>
    <t>1010,0,10,1</t>
  </si>
  <si>
    <t>1010,0,15,1</t>
  </si>
  <si>
    <t>1010,0,20,1</t>
  </si>
  <si>
    <t>1010,0,25,1</t>
  </si>
  <si>
    <t>1010,0,30,1</t>
  </si>
  <si>
    <t>1001,212013,1,50;1001,213013,1,50</t>
  </si>
  <si>
    <t>R卡亲密度道具掉落</t>
  </si>
  <si>
    <t>1001,212013,1,60;1001,213013,1,40</t>
  </si>
  <si>
    <t>1001,212013,1,50;1001,213013,1,40;1001,214013,1,10;</t>
  </si>
  <si>
    <t>1001,212013,1,40;1001,213013,1,45;1001,214013,1,15;</t>
  </si>
  <si>
    <t>1001,212013,1,40;1001,213013,1,40;1001,214013,1,20;</t>
  </si>
  <si>
    <t>1001,212013,1,30;1001,213013,1,45;1001,214013,1,25;</t>
  </si>
  <si>
    <t>1001,212013,1,25;1001,213013,1,45;1001,214013,1,25;1001,215013,1,5</t>
  </si>
  <si>
    <t>1001,212013,1,20;1001,213013,1,40;1001,214013,1,30;1001,215013,1,10</t>
  </si>
  <si>
    <t>1001,212013,1,20;1001,213013,1,35;1001,214013,1,30;1001,215013,1,15</t>
  </si>
  <si>
    <t>1001,212013,1,50;1001,213013,1,35;1001,214013,1,15;</t>
  </si>
  <si>
    <t>SR卡亲密度道具掉落</t>
  </si>
  <si>
    <t>1001,212013,1,35;1001,213013,1,40;1001,214013,1,25;</t>
  </si>
  <si>
    <t>1001,212013,1,35;1001,213013,1,45;1001,214013,1,20;</t>
  </si>
  <si>
    <t>1001,212013,1,30;1001,213013,1,50;1001,214013,1,20;</t>
  </si>
  <si>
    <t>1001,212013,1,30;1001,213013,1,45;1001,214013,1,20;1001,215013,1,5</t>
  </si>
  <si>
    <t>1001,212013,1,25;1001,213013,1,40;1001,214013,1,30;1001,215013,1,5</t>
  </si>
  <si>
    <t>1001,212013,1,20;1001,213013,1,30;1001,214013,1,30;1001,215013,1,20</t>
  </si>
  <si>
    <t>SSR卡亲密度道具掉落</t>
  </si>
  <si>
    <t>1001,212013,1,30;1001,213013,1,30;1001,214013,1,30;1001,215013,1,10</t>
  </si>
  <si>
    <t>1001,212013,1,30;1001,213013,1,40;1001,214013,1,25;1001,215013,1,5</t>
  </si>
  <si>
    <t>1001,212013,1,25;1001,213013,1,40;1001,214013,1,25;1001,215013,1,10</t>
  </si>
  <si>
    <t>1001,212013,1,25;1001,213013,1,40;1001,214013,1,20;1001,215013,1,15</t>
  </si>
  <si>
    <t>1001,212013,1,25;1001,213013,1,30;1001,214013,1,30;1001,215013,1,15</t>
  </si>
  <si>
    <t>1001,212013,1,15;1001,213013,1,30;1001,214013,1,35;1001,215013,1,20</t>
  </si>
  <si>
    <t>1001,212013,1,15;1001,213013,1,30;1001,214013,1,30;1001,215013,1,25</t>
  </si>
  <si>
    <t>1001,212013,1,10;1001,213013,1,30;1001,214013,1,30;1001,215013,1,30</t>
  </si>
  <si>
    <t>1001,212001,2,60;1001,213001,1,60;1001,212007,1,32;1001,213007,1,20;1001,212002,1,40;1001,212002,2,28;1001,212013,2,40;1001,213013,1,40;1001,1100101,1,3;1001,1100201,1,3;1001,1100301,1,3;1001,1100401,1,3;1001,1100501,1,3;1001,1100601,1,3;1001,1100701,1,3;1001,1100801,1,3;1001,1100901,1,3;1001,1101001,1,3;1001,1101101,1,3;1001,1101201,1,3;1001,1101301,1,3;1001,1101401,1,3;1001,1101501,1,3;1001,1101601,1,3;1001,1101701,1,3;1001,1101801,1,3;1001,1101901,1,3;1001,1102001,1,3;1001,1102101,1,3;1001,1100102,1,1;1001,1100202,1,1;1001,1100302,1,1;1001,1100402,1,1;1001,1100502,1,1;1001,1100602,1,1;1001,1100702,1,1;1001,1100802,1,1;1001,1100902,1,1;1001,1101002,1,1;1001,1101102,1,1;1001,1101202,1,1;1001,1101302,1,1;1001,1101402,1,1;1001,1101502,1,1;1001,1101602,1,1;1001,1101702,1,1;1001,1101802,1,1;1001,1101902,1,1;1001,1102002,1,1;1001,1102102,1,1;</t>
  </si>
  <si>
    <t>竞技场胜利道具</t>
  </si>
  <si>
    <t>1001,212001,2,60;</t>
  </si>
  <si>
    <t>1001,213001,1,60;</t>
  </si>
  <si>
    <t>1001,212007,1,32;</t>
  </si>
  <si>
    <t>1001,213007,1,20;</t>
  </si>
  <si>
    <t>1001,212002,1,40;</t>
  </si>
  <si>
    <t>1001,212002,2,28;</t>
  </si>
  <si>
    <t>1001,212013,2,40;</t>
  </si>
  <si>
    <t>1001,213013,1,40;</t>
  </si>
  <si>
    <t>1001,1100101,1,3;1001,1100201,1,3;1001,1100301,1,3;1001,1100401,1,3;1001,1100501,1,3;1001,1100601,1,3;1001,1100701,1,3;1001,1100801,1,3;1001,1100901,1,3;1001,1101001,1,3;1001,1101101,1,3;1001,1101201,1,3;1001,1101301,1,3;1001,1101401,1,3;1001,1101501,1,3;1001,1101601,1,3;1001,1101701,1,3;1001,1101801,1,3;1001,1101901,1,3;1001,1102001,1,3;1001,1102101,1,3;</t>
  </si>
  <si>
    <t>1001,214011,1,5;1001,215011,1,2;1001,214005,1,5;1001,215007,1,3;1001,214003,1,5;1001,452201,1,20;1001,213002,1,15;1001,214002,1,10;1001,214001,1,20;1001,215001,1,3;1001,214013,1,12;</t>
  </si>
  <si>
    <t>33014,50;33028,50</t>
  </si>
  <si>
    <t>1001,712001,1,150;1001,215001,1,100;1001,215001,1,100;1001,215001,1,100;5,0,5000,300;1001,452201,1,250</t>
  </si>
  <si>
    <t>中秋礼盒</t>
  </si>
  <si>
    <t>33032,50;33033,50</t>
  </si>
  <si>
    <t>制药金色分解——根&amp;&amp;茎</t>
  </si>
  <si>
    <t>1001,411001,1,60;1001,411001,2,30;1001,411001,3,10;</t>
  </si>
  <si>
    <t>制药金色分解——根</t>
  </si>
  <si>
    <t>1001,411002,1,60;1001,411002,2,30;1001,411002,3,10;</t>
  </si>
  <si>
    <t>制药金色分解——茎</t>
  </si>
  <si>
    <t>33035,1;33036,1;33037,1</t>
  </si>
  <si>
    <t>制药金色分解——果&amp;&amp;叶&amp;&amp;花</t>
  </si>
  <si>
    <t>1001,415005,1,50;1001,415005,2,25;1001,415005,3,25;1001,414005,1,50;1001,414005,2,25;1001,414005,3,25;1001,414005,0,200;</t>
  </si>
  <si>
    <t>制药金色分解——果</t>
  </si>
  <si>
    <t>1001,415003,1,50;1001,415003,2,25;1001,415003,3,25;1001,414003,1,50;1001,414003,2,25;1001,414003,3,25;1001,414005,0,200;</t>
  </si>
  <si>
    <t>制药金色分解——叶</t>
  </si>
  <si>
    <t>1001,415004,1,50;1001,415004,2,25;1001,415004,3,25;1001,414004,1,50;1001,414004,2,25;1001,414004,3,25;1001,414005,0,200;</t>
  </si>
  <si>
    <t>制药金色分解——花</t>
  </si>
  <si>
    <t>1001,411009,1,7;1001,411009,2,3;1001,414004,0,190</t>
  </si>
  <si>
    <t>制药金色分解——彩虹草药</t>
  </si>
  <si>
    <t>1001,417001,1,3;1001,414004,0,97</t>
  </si>
  <si>
    <t>制药金色分解——奇异果实</t>
  </si>
  <si>
    <t>33041,50;33042,50</t>
  </si>
  <si>
    <t>制药虚幻分解——根&amp;&amp;茎</t>
  </si>
  <si>
    <t>1001,411001,1,12;1001,411001,2,6;1001,411001,3,2;1001,416001,1,18;1001,416001,2,9;1001,416001,3,3;</t>
  </si>
  <si>
    <t>制药虚幻分解——根</t>
  </si>
  <si>
    <t>1001,411002,1,12;1001,411002,2,6;1001,411002,3,2;1001,416002,1,18;1001,416002,2,9;1001,416002,3,3;</t>
  </si>
  <si>
    <t>制药虚幻分解——茎</t>
  </si>
  <si>
    <t>33044,1;33045,1;33046,1</t>
  </si>
  <si>
    <t>制药虚幻分解——果&amp;&amp;叶&amp;&amp;花</t>
  </si>
  <si>
    <t>1001,416005,1,6;1001,416005,2,3;1001,416005,3,3;1001,415005,1,4;1001,415005,2,2;1001,415005,3,2;1001,414005,0,20;</t>
  </si>
  <si>
    <t>制药虚幻分解——果</t>
  </si>
  <si>
    <t>1001,416003,1,6;1001,416003,2,3;1001,416003,3,3;1001,415003,1,4;1001,415003,2,2;1001,415003,3,2;1001,414003,0,20;</t>
  </si>
  <si>
    <t>制药虚幻分解——叶</t>
  </si>
  <si>
    <t>1001,416004,1,6;1001,416004,2,3;1001,416004,3,3;1001,415004,1,4;1001,415004,2,2;1001,415004,3,2;1001,414004,0,20;</t>
  </si>
  <si>
    <t>制药虚幻分解——花</t>
  </si>
  <si>
    <t>1001,411009,1,7;1001,411009,2,3;1001,414004,0,115</t>
  </si>
  <si>
    <t>制药虚幻分解——彩虹草药</t>
  </si>
  <si>
    <t>1001,416006,1,1;1001,414004,0,19</t>
  </si>
  <si>
    <t>制药虚幻分解——草药精华</t>
  </si>
  <si>
    <t>1001,417001,1,7;1001,417001,2,3;1001,414004,0,190</t>
  </si>
  <si>
    <t>制药虚幻分解——奇异果实</t>
  </si>
  <si>
    <t>1200,3001901,1,100</t>
  </si>
  <si>
    <t>英雄·复仇镰刀</t>
  </si>
  <si>
    <t>1200,3001902,1,100</t>
  </si>
  <si>
    <t>英雄·复仇战服</t>
  </si>
  <si>
    <t>1200,3001903,1,100</t>
  </si>
  <si>
    <t>英雄·复仇戒指</t>
  </si>
  <si>
    <t>1200,3001904,1,100</t>
  </si>
  <si>
    <t>英雄·复仇项链</t>
  </si>
  <si>
    <t>1200,3002301,1,100</t>
  </si>
  <si>
    <t>英雄·统帅长剑</t>
  </si>
  <si>
    <t>1200,3002302,1,100</t>
  </si>
  <si>
    <t>英雄·统帅之服</t>
  </si>
  <si>
    <t>1200,3002303,1,100</t>
  </si>
  <si>
    <t>英雄·统帅戒指</t>
  </si>
  <si>
    <t>1200,3002304,1,100</t>
  </si>
  <si>
    <t>英雄·统帅项链</t>
  </si>
  <si>
    <t>1200,3000901,1,100</t>
  </si>
  <si>
    <t>游侠武器LV100</t>
  </si>
  <si>
    <t>1200,3000902,1,100</t>
  </si>
  <si>
    <t>游侠衣服LV100</t>
  </si>
  <si>
    <t>1200,3000903,1,100</t>
  </si>
  <si>
    <t>游侠戒指LV100</t>
  </si>
  <si>
    <t>1200,3000904,1,100</t>
  </si>
  <si>
    <t>游侠项链LV100</t>
  </si>
  <si>
    <t>1200,2800301,1,100</t>
  </si>
  <si>
    <t>卫兵武器LV80</t>
  </si>
  <si>
    <t>1200,2800302,1,100</t>
  </si>
  <si>
    <t>卫兵衣服LV80</t>
  </si>
  <si>
    <t>1200,2800303,1,100</t>
  </si>
  <si>
    <t>卫兵戒指LV80</t>
  </si>
  <si>
    <t>1200,2800304,1,100</t>
  </si>
  <si>
    <t>卫兵项链LV80</t>
  </si>
  <si>
    <t>1200,3003201,1,100</t>
  </si>
  <si>
    <t>英雄·暴走长刃</t>
  </si>
  <si>
    <t>1200,3003202,1,100</t>
  </si>
  <si>
    <t>英雄·暴走披风</t>
  </si>
  <si>
    <t>1200,3003203,1,100</t>
  </si>
  <si>
    <t>英雄·暴走戒指</t>
  </si>
  <si>
    <t>1200,3003204,1,100</t>
  </si>
  <si>
    <t>英雄·暴走项链</t>
  </si>
  <si>
    <t>1200,2801101,1,100</t>
  </si>
  <si>
    <t>英雄·决心配剑</t>
  </si>
  <si>
    <t>1200,2801102,1,100</t>
  </si>
  <si>
    <t>英雄·决心侍衣</t>
  </si>
  <si>
    <t>1200,2801103,1,100</t>
  </si>
  <si>
    <t>英雄·决心戒指</t>
  </si>
  <si>
    <t>1200,2801104,1,100</t>
  </si>
  <si>
    <t>英雄·决心项链</t>
  </si>
  <si>
    <t>1200,3000201,1,100</t>
  </si>
  <si>
    <t>1200,3000202,1,100</t>
  </si>
  <si>
    <t>1200,3000203,1,100</t>
  </si>
  <si>
    <t>1200,3000204,1,100</t>
  </si>
  <si>
    <t>1001,212002,0,50;1001,212002,0,50</t>
  </si>
  <si>
    <t>装备分解</t>
  </si>
  <si>
    <t>1001,212002,1,5;1001,213002,0,95</t>
  </si>
  <si>
    <t>1001,212002,1,10;1001,213002,0,90</t>
  </si>
  <si>
    <t>1001,212002,1,15;1001,214002,0,85</t>
  </si>
  <si>
    <t>1001,212002,1,25;1001,214002,0,75</t>
  </si>
  <si>
    <t>1001,215002,1,50;1001,215002,2,50</t>
  </si>
  <si>
    <t>1001,212002,1,30;1001,212002,0,70</t>
  </si>
  <si>
    <t>1001,214003,1,10;1001,214003,0,90</t>
  </si>
  <si>
    <t>装备分解英雄之石</t>
  </si>
  <si>
    <t>1001,212002,1,20;1001,214002,0,80</t>
  </si>
  <si>
    <t>1001,212002,1,30;1001,214002,0,70</t>
  </si>
  <si>
    <t>1001,212002,1,35;1001,212002,0,65</t>
  </si>
  <si>
    <t>1001,214005,2,10;1001,214005,3,10;1001,214005,4,10;1001,214005,5,10;1001,610001,3,10;1001,610001,4,10;1001,610001,5,10</t>
  </si>
  <si>
    <t>1001,214005,2,10;1001,214005,3,10;1001,214005,4,10;1001,214005,5,10;1001,610002,3,10;1001,610002,4,10;1001,610002,5,10</t>
  </si>
  <si>
    <t>1001,214005,2,10;1001,214005,3,10;1001,214005,4,10;1001,214005,5,10;1001,610003,3,10;1001,610003,4,10;1001,610003,5,10</t>
  </si>
  <si>
    <t>1001,214005,2,10;1001,214005,3,10;1001,214005,4,10;1001,214005,5,10;1001,610004,3,10;1001,610004,4,10;1001,610004,5,10</t>
  </si>
  <si>
    <t>1001,214005,2,10;1001,214005,3,10;1001,214005,4,10;1001,214005,5,10;1001,610005,3,10;1001,610005,4,10;1001,610005,5,10</t>
  </si>
  <si>
    <t>1001,214005,2,10;1001,214005,3,10;1001,214005,4,10;1001,214005,5,10;1001,610006,3,10;1001,610006,4,10;1001,610006,5,10</t>
  </si>
  <si>
    <t>1001,214005,2,10;1001,214005,3,10;1001,214005,4,10;1001,214005,5,10;1001,610007,3,10;1001,610007,4,10;1001,610007,5,10</t>
  </si>
  <si>
    <t>1001,214005,2,10;1001,214005,3,10;1001,214005,4,10;1001,214005,5,10;1001,610008,3,10;1001,610008,4,10;1001,610008,5,10</t>
  </si>
  <si>
    <t>1001,214005,2,10;1001,214005,3,10;1001,214005,4,10;1001,214005,5,10;1001,610009,3,10;1001,610009,4,10;1001,610009,5,10</t>
  </si>
  <si>
    <t>1001,214005,2,10;1001,214005,3,10;1001,214005,4,10;1001,214005,5,10;1001,610010,3,10;1001,610010,4,10;1001,610010,5,10</t>
  </si>
  <si>
    <t>1001,214005,2,10;1001,214005,3,10;1001,214005,4,10;1001,214005,5,10;1001,610011,3,10;1001,610011,4,10;1001,610011,5,10</t>
  </si>
  <si>
    <t>1001,214005,2,10;1001,214005,3,10;1001,214005,4,10;1001,214005,5,10;1001,610012,3,10;1001,610012,4,10;1001,610012,5,10</t>
  </si>
  <si>
    <t>1001,214005,2,10;1001,214005,3,10;1001,214005,4,10;1001,214005,5,10;1001,610013,3,10;1001,610013,4,10;1001,610013,5,10</t>
  </si>
  <si>
    <t>1001,214005,2,10;1001,214005,3,10;1001,214005,4,10;1001,214005,5,10;1001,610014,3,10;1001,610014,4,10;1001,610014,5,10</t>
  </si>
  <si>
    <t>1001,214005,2,10;1001,214005,3,10;1001,214005,4,10;1001,214005,5,10;1001,610015,3,10;1001,610015,4,10;1001,610015,5,10</t>
  </si>
  <si>
    <t>1001,214005,2,10;1001,214005,3,10;1001,214005,4,10;1001,214005,5,10;1001,610018,3,10;1001,610018,4,10;1001,610018,5,10</t>
  </si>
  <si>
    <t>1001,214005,4,10;1001,214005,5,10;1001,214005,6,10;1001,214005,7,10;1001,620001,4,10;1001,620001,5,10;1001,620001,6,10;1001,620001,7,10</t>
  </si>
  <si>
    <t>1001,214005,4,10;1001,214005,5,10;1001,214005,6,10;1001,214005,7,10;1001,620002,4,10;1001,620002,5,10;1001,620002,6,10;1001,620002,7,10</t>
  </si>
  <si>
    <t>1001,214005,4,10;1001,214005,5,10;1001,214005,6,10;1001,214005,7,10;1001,620003,4,10;1001,620003,5,10;1001,620003,6,10;1001,620003,7,10</t>
  </si>
  <si>
    <t>1001,214005,4,10;1001,214005,5,10;1001,214005,6,10;1001,214005,7,10;1001,620004,4,10;1001,620004,5,10;1001,620004,6,10;1001,620004,7,10</t>
  </si>
  <si>
    <t>1001,214005,4,10;1001,214005,5,10;1001,214005,6,10;1001,214005,7,10;1001,620005,4,10;1001,620005,5,10;1001,620005,6,10;1001,620005,7,10</t>
  </si>
  <si>
    <t>1001,214005,4,10;1001,214005,5,10;1001,214005,6,10;1001,214005,7,10;1001,620006,4,10;1001,620006,5,10;1001,620006,6,10;1001,620006,7,10</t>
  </si>
  <si>
    <t>1001,214005,4,10;1001,214005,5,10;1001,214005,6,10;1001,214005,7,10;1001,620007,4,10;1001,620007,5,10;1001,620007,6,10;1001,620007,7,10</t>
  </si>
  <si>
    <t>1001,214005,4,10;1001,214005,5,10;1001,214005,6,10;1001,214005,7,10;1001,620008,4,10;1001,620008,5,10;1001,620008,6,10;1001,620008,7,10</t>
  </si>
  <si>
    <t>1001,214005,4,10;1001,214005,5,10;1001,214005,6,10;1001,214005,7,10;1001,620009,4,10;1001,620009,5,10;1001,620009,6,10;1001,620009,7,10</t>
  </si>
  <si>
    <t>1001,214005,4,10;1001,214005,5,10;1001,214005,6,10;1001,214005,7,10;1001,620010,4,10;1001,620010,5,10;1001,620010,6,10;1001,620010,7,10</t>
  </si>
  <si>
    <t>1001,214005,4,10;1001,214005,5,10;1001,214005,6,10;1001,214005,7,10;1001,620011,4,10;1001,620011,5,10;1001,620011,6,10;1001,620011,7,10</t>
  </si>
  <si>
    <t>1001,214005,4,10;1001,214005,5,10;1001,214005,6,10;1001,214005,7,10;1001,620012,4,10;1001,620012,5,10;1001,620012,6,10;1001,620012,7,10</t>
  </si>
  <si>
    <t>1001,214005,4,10;1001,214005,5,10;1001,214005,6,10;1001,214005,7,10;1001,620013,4,10;1001,620013,5,10;1001,620013,6,10;1001,620013,7,10</t>
  </si>
  <si>
    <t>1001,214005,4,10;1001,214005,5,10;1001,214005,6,10;1001,214005,7,10;1001,620014,4,10;1001,620014,5,10;1001,620014,6,10;1001,620014,7,10</t>
  </si>
  <si>
    <t>1001,214005,4,10;1001,214005,5,10;1001,214005,6,10;1001,214005,7,10;1001,620015,4,10;1001,620015,5,10;1001,620015,6,10;1001,620015,7,10</t>
  </si>
  <si>
    <t>1001,214005,4,10;1001,214005,5,10;1001,214005,6,10;1001,214005,7,10;1001,620017,4,10;1001,620017,5,10;1001,620017,6,10;1001,620017,7,10</t>
  </si>
  <si>
    <t>1001,214005,4,10;1001,214005,5,10;1001,214005,6,10;1001,214005,7,10;1001,620019,4,10;1001,620019,5,10;1001,620019,6,10;1001,620019,7,10</t>
  </si>
  <si>
    <t>1001,214005,4,10;1001,214005,5,10;1001,214005,6,10;1001,214005,7,10;1001,620020,4,10;1001,620020,5,10;1001,620020,6,10;1001,620020,7,10</t>
  </si>
  <si>
    <t>1001,214005,4,10;1001,214005,5,10;1001,214005,6,10;1001,214005,7,10;1001,620021,4,10;1001,620021,5,10;1001,620021,6,10;1001,620021,7,10</t>
  </si>
  <si>
    <t>1001,214005,4,10;1001,214005,5,10;1001,214005,6,10;1001,214005,7,10;1001,620022,4,10;1001,620022,5,10;1001,620022,6,10;1001,620022,7,10</t>
  </si>
  <si>
    <t>1001,214005,4,10;1001,214005,5,10;1001,214005,6,10;1001,214005,7,10;1001,620023,4,10;1001,620023,5,10;1001,620023,6,10;1001,620023,7,10</t>
  </si>
  <si>
    <t>1001,214005,4,10;1001,214005,5,10;1001,214005,6,10;1001,214005,7,10;1001,620024,4,10;1001,620024,5,10;1001,620024,6,10;1001,620024,7,10</t>
  </si>
  <si>
    <t>1001,214005,4,10;1001,214005,5,10;1001,214005,6,10;1001,214005,7,10;1001,620025,4,10;1001,620025,5,10;1001,620025,6,10;1001,620025,7,10</t>
  </si>
  <si>
    <t>1001,214005,4,10;1001,214005,5,10;1001,214005,6,10;1001,214005,7,10;1001,620026,4,10;1001,620026,5,10;1001,620026,6,10;1001,620026,7,10</t>
  </si>
  <si>
    <t>1001,215005,1,10;1001,215005,2,10;1001,215005,3,10;1001,630001,1,10;1001,630001,2,10;1001,630001,3,10</t>
  </si>
  <si>
    <t>1001,215005,1,10;1001,215005,2,10;1001,215005,3,10;1001,630002,1,10;1001,630002,2,10;1001,630002,3,10</t>
  </si>
  <si>
    <t>1001,215005,1,10;1001,215005,2,10;1001,215005,3,10;1001,630003,1,10;1001,630003,2,10;1001,630003,3,10</t>
  </si>
  <si>
    <t>1001,215005,1,10;1001,215005,2,10;1001,215005,3,10;1001,630004,1,10;1001,630004,2,10;1001,630004,3,10</t>
  </si>
  <si>
    <t>1001,215005,1,10;1001,215005,2,10;1001,215005,3,10;1001,630005,1,10;1001,630005,2,10;1001,630005,3,10</t>
  </si>
  <si>
    <t>1001,215005,1,10;1001,215005,2,10;1001,215005,3,10;1001,630006,1,10;1001,630006,2,10;1001,630006,3,10</t>
  </si>
  <si>
    <t>1001,215005,1,10;1001,215005,2,10;1001,215005,3,10;1001,630007,1,10;1001,630007,2,10;1001,630007,3,10</t>
  </si>
  <si>
    <t>1001,215005,1,10;1001,215005,2,10;1001,215005,3,10;1001,630008,1,10;1001,630008,2,10;1001,630008,3,10</t>
  </si>
  <si>
    <t>1001,215005,1,10;1001,215005,2,10;1001,215005,3,10;1001,630009,1,10;1001,630009,2,10;1001,630009,3,10</t>
  </si>
  <si>
    <t>1001,215005,1,10;1001,215005,2,10;1001,215005,3,10;1001,630010,1,10;1001,630010,2,10;1001,630010,3,10</t>
  </si>
  <si>
    <t>1001,215005,0,30;1001,215005,1,35;1001,215005,2,35</t>
  </si>
  <si>
    <t>50002,1;50003,1;50004,1;50005,1;50006,1;50007,1;50008,1</t>
  </si>
  <si>
    <t>远征D|r</t>
  </si>
  <si>
    <t>1001,212001,6,100</t>
  </si>
  <si>
    <t>1001,212002,5,100</t>
  </si>
  <si>
    <t>1001,212009,1,1;1001,212111,1,1;1001,212112,1,1;1001,212113,1,1;1001,212114,1,1;</t>
  </si>
  <si>
    <t>1001,212007,1,1;1001,212007,1,1;1001,212007,1,1;1001,212007,1,1;</t>
  </si>
  <si>
    <t>1001,211021,1,1;1001,211021,1,1;1001,211021,1,1;1001,212021,1,1;1001,212021,1,1;1001,212021,1,1;</t>
  </si>
  <si>
    <t>1001,1101001,1,1;1001,1101101,1,1;1001,1101201,1,1;1001,1101301,1,1;1001,1101401,1,1;1001,1101501,1,1;1001,1101601,1,1;1001,1101701,1,1;1001,1102001,1,1;1001,1102101,1,1;1001,1101002,1,1;1001,1101102,1,1;1001,1101202,1,1;1001,1101302,1,1;1001,1101402,1,1;1001,1101502,1,1;1001,1101602,1,1;1001,1101702,1,1;1001,1102002,1,1;1001,1102102,1,1;</t>
  </si>
  <si>
    <t>50010,1;50011,1;50012,1;50013,1;50014,1,;50015,1;50016,1</t>
  </si>
  <si>
    <t>远征C|r</t>
  </si>
  <si>
    <t>1001,212002,6,100</t>
  </si>
  <si>
    <t>50018,1;50019,1;50020,1;50021,1;50022,1</t>
  </si>
  <si>
    <t>远征C|sr</t>
  </si>
  <si>
    <t>1001,213001,4,100</t>
  </si>
  <si>
    <t>1001,213002,4,100</t>
  </si>
  <si>
    <t>1001,213007,1,1;1001,213007,1,1;1001,213007,1,1;1001,213007,1,1;</t>
  </si>
  <si>
    <t>50024,1;50025,1;50026,1;50027,1;50028,1;50029,1;50030,1;50031,1;50032,1</t>
  </si>
  <si>
    <t>远征B|r</t>
  </si>
  <si>
    <t>1001,212002,7,100</t>
  </si>
  <si>
    <t>50034,1;50035,1;50036,1;50037,1;50038,1;50039,1;50040,1</t>
  </si>
  <si>
    <t>远征B|sr</t>
  </si>
  <si>
    <t>1001,214001,2,100</t>
  </si>
  <si>
    <t>1001,213021,1,1;1001,213021,1,1;1001,213021,1,1;1001,214021,1,1;1001,214021,1,1;1001,214021,1,1;</t>
  </si>
  <si>
    <t>1001,1101003,1,1;1001,1101103,1,1;1001,1101203,1,1;1001,1101303,1,1;1001,1101403,1,1;1001,1101503,1,1;1001,1101603,1,1;1001,1101703,1,1;1001,1102003,1,1;1001,1102103,1,1;1001,1101004,1,1;1001,1101104,1,1;1001,1101204,1,1;1001,1101304,1,1;1001,1101404,1,1;1001,1101504,1,1;1001,1101604,1,1;1001,1101704,1,1;1001,1102004,1,1;1001,1102104,1,1;</t>
  </si>
  <si>
    <t>1001,1100101,1,1;1001,1100201,1,1;1001,1100301,1,1;1001,1100401,1,1;1001,1100501,1,1;1001,1100601,1,1;1001,1100701,1,1;1001,1100801,1,1;1001,1100901,1,1;1001,1101801,1,1;1001,1101901,1,1</t>
  </si>
  <si>
    <t>50042,1;50043,1;50044,1</t>
  </si>
  <si>
    <t>远征B|ssr</t>
  </si>
  <si>
    <t>1001,214002,3,100</t>
  </si>
  <si>
    <t>1001,214007,1,1;1001,214007,1,1;1001,214007,1,1;1001,214007,1,1;</t>
  </si>
  <si>
    <t>50046,1;50047,1;50048,1;50049,1;50050,1;50051,1;50052,1;50053,1;50054,1</t>
  </si>
  <si>
    <t>远征A|r</t>
  </si>
  <si>
    <t>50056,1;50057,1;50058,1;50059,1;50060,1;50061,1;50062,1</t>
  </si>
  <si>
    <t>远征A|sr</t>
  </si>
  <si>
    <t>1001,215001,7,100</t>
  </si>
  <si>
    <t>1001,215002,2,100</t>
  </si>
  <si>
    <t>1001,215021,1,1;1001,215021,1,1;1001,215021,1,1;1001,216021,1,1;1001,216021,1,1;1001,216021,1,1;</t>
  </si>
  <si>
    <t>50064,1;50065,1;50066,1</t>
  </si>
  <si>
    <t>远征A|ssr</t>
  </si>
  <si>
    <t>1001,1100103,1,1;1001,1100203,1,1;1001,1100303,1,1;1001,1100403,1,1;1001,1100503,1,1;1001,1100603,1,1;1001,1100703,1,1;1001,1100803,1,1;1001,1100903,1,1;1001,1101803,1,1;1001,1101903,1,1;1001,1100104,1,1;1001,1100204,1,1;1001,1100304,1,1;1001,1100404,1,1;1001,1100504,1,1;1001,1100604,1,1;1001,1100704,1,1;1001,1100804,1,1;1001,1100904,1,1;1001,1101804,1,1;1001,1101904,1,1</t>
  </si>
  <si>
    <t>1001,215011,1,100</t>
  </si>
  <si>
    <t>50068,1;50069,1;50070,1;50071,1;50072,1;50073,1;50074,1;50075,1;50076,1;50077,1;50078,1;50079,1;50080,1;50081,1;50082,1</t>
  </si>
  <si>
    <t>远征S|r</t>
  </si>
  <si>
    <t>1001,213001,6,100</t>
  </si>
  <si>
    <t>1001,214001,4,100</t>
  </si>
  <si>
    <t>1001,213002,5,100</t>
  </si>
  <si>
    <t>1001,1100101,1,1;1001,1100201,1,1;1001,1100301,1,1;1001,1100401,1,1;1001,1100501,1,1;1001,1100601,1,1;1001,1100701,1,1;1001,1100801,1,1;1001,1100901,1,1;1001,1101801,1,1;1001,1101901,1,1;1001,1100102,1,1;1001,1100202,1,1;1001,1100302,1,1;1001,1100402,1,1;1001,1100502,1,1;1001,1100602,1,1;1001,1100702,1,1;1001,1100802,1,1;1001,1100902,1,1;1001,1101802,1,1;1001,1101902,1,1</t>
  </si>
  <si>
    <t>1001,214011,1,100</t>
  </si>
  <si>
    <t>50084,1;50085,1;50086,1;50087,1;50088,1;50089,1;50101,1;50120,1</t>
  </si>
  <si>
    <t>远征S|sr</t>
  </si>
  <si>
    <t>1001,216001,3,100</t>
  </si>
  <si>
    <t>1001,215002,4,100</t>
  </si>
  <si>
    <t>1001,215007,1,1;1001,215007,1,1;1001,215007,1,1;1001,215007,1,1;</t>
  </si>
  <si>
    <t>50091,1;50092,1</t>
  </si>
  <si>
    <t>远征S|ssr</t>
  </si>
  <si>
    <t>1001,1100107,1,1;1001,1100207,1,1;1001,1100307,1,1;1001,1100407,1,1;1001,1101007,1,1;1001,1100106,1,1;1001,1100206,1,1;1001,1100306,1,1;1001,1100406,1,1;1001,1101006,1,1;1001,1100105,1,1;1001,1100205,1,1;1001,1100305,1,1;1001,1100405,1,1;1001,1101005,1,1;</t>
  </si>
  <si>
    <t>周年庆宝石礼包</t>
  </si>
  <si>
    <t>3,0,50,400;1001,214003,1,150;1001,216001,1,200;1001,215007,1,200;1001,800002,1,50</t>
  </si>
  <si>
    <t>大气球</t>
  </si>
  <si>
    <t>小气球</t>
  </si>
  <si>
    <t>1001,1100105,1,1;1001,1100205,1,1;1001,1100305,1,1;1001,1100405,1,1;1001,1101005,1,1;1001,1100106,1,1;1001,1100206,1,1;1001,1100306,1,1;1001,1100406,1,1;1001,1101006,1,1;1001,1100107,1,1;1001,1100207,1,1;1001,1100307,1,1;1001,1100407,1,1;1001,1101007,1,1;</t>
  </si>
  <si>
    <t>镝少的宝石袋</t>
  </si>
  <si>
    <t>1001,1100104,1,1;1001,1100204,1,1;1001,1100304,1,1;1001,1100404,1,1;1001,1100504,1,1;1001,1100604,1,1;1001,1100704,1,1;1001,1100804,1,1;1001,1100904,1,1;1001,1101004,1,1;1001,1101104,1,1;1001,1101204,1,1;1001,1101304,1,1;1001,1101404,1,1;1001,1101504,1,1;1001,1101604,1,1;1001,1101704,1,1;1001,1101804,1,1;1001,1101904,1,1;1001,1102004,1,1;1001,1102104,1,1;1001,1102204,1,1;1001,1102304,1,1;1001,1102404,1,1;</t>
  </si>
  <si>
    <t>4级宝石袋</t>
  </si>
  <si>
    <t>1001,1100105,1,1;1001,1100205,1,1;1001,1100305,1,1;1001,1100405,1,1;1001,1100505,1,1;1001,1100605,1,1;1001,1100705,1,1;1001,1100805,1,1;1001,1100905,1,1;1001,1101005,1,1;1001,1101105,1,1;1001,1101205,1,1;1001,1101305,1,1;1001,1101405,1,1;1001,1101505,1,1;1001,1101605,1,1;1001,1101705,1,1;1001,1101805,1,1;1001,1101905,1,1;1001,1102005,1,1;1001,1102105,1,1;1001,1102205,1,1;1001,1102305,1,1;1001,1102405,1,1;</t>
  </si>
  <si>
    <t>5级宝石袋</t>
  </si>
  <si>
    <t>1001,211021,1,1;1001,211021,1,1;1001,211021,1,1;</t>
  </si>
  <si>
    <t>随机训练书1级</t>
  </si>
  <si>
    <t>1001,212021,1,1;1001,212021,1,1;1001,212021,1,1;</t>
  </si>
  <si>
    <t>随机训练书2级</t>
  </si>
  <si>
    <t>50103,45;50104,15;50105,10;50106,15;50107,15</t>
  </si>
  <si>
    <t>远征S|ssr-6</t>
  </si>
  <si>
    <t>1001,720001,2,100</t>
  </si>
  <si>
    <t>1001,210021,1,1;1001,210021,1,1;1001,210021,1,1;</t>
  </si>
  <si>
    <t>1001,216001,8,100</t>
  </si>
  <si>
    <t>50103,35;50104,15;50105,20;50106,15;50107,15</t>
  </si>
  <si>
    <t>远征S|ssr-9</t>
  </si>
  <si>
    <t>50103,30;50104,20;50105,20;50106,15;50107,15</t>
  </si>
  <si>
    <t>远征S|ssr-12</t>
  </si>
  <si>
    <t>50103,25;50104,25;50105,10;50106,20;50107,20</t>
  </si>
  <si>
    <t>远征S|ssr-15</t>
  </si>
  <si>
    <t>50116,30;50117,20;50118,30;50119,20</t>
  </si>
  <si>
    <t>远征A|ssr-6</t>
  </si>
  <si>
    <t>50116,30;50117,20;50118,25;50119,25</t>
  </si>
  <si>
    <t>远征A|ssr-9</t>
  </si>
  <si>
    <t>50116,35;50117,20;50118,20;50119,25</t>
  </si>
  <si>
    <t>远征A|ssr-12</t>
  </si>
  <si>
    <t>50116,35;50117,25;50118,15;50119,25</t>
  </si>
  <si>
    <t>远征A|ssr-15</t>
  </si>
  <si>
    <t>50116,30;50117,30;50118,15;50119,25</t>
  </si>
  <si>
    <t>远征A|ssr-18</t>
  </si>
  <si>
    <t>1001,216001,2,100</t>
  </si>
  <si>
    <t>1001,219021,1,33;1001,219021,1,33;1001,219021,1,33</t>
  </si>
  <si>
    <t>远征A|ss</t>
  </si>
  <si>
    <t>1001,1100301,1,1;1001,1100101,1,1;1001,1100201,1,1;1001,1101901,1,1;1001,1100501,1,1;1001,1101501,1,1;1001,1101601,1,1;1001,1101701,1,1;1001,1101301,1,1;1001,1102001,1,1;</t>
  </si>
  <si>
    <t>1级攻击</t>
  </si>
  <si>
    <t>1001,1100302,1,1;1001,1100102,1,1;1001,1100202,1,1;1001,1101902,1,1;1001,1100502,1,1;1001,1101502,1,1;1001,1101602,1,1;1001,1101702,1,1;1001,1101302,1,1;1001,1102002,1,1;</t>
  </si>
  <si>
    <t>2级攻击</t>
  </si>
  <si>
    <t>1001,1100303,1,1;1001,1100103,1,1;1001,1100203,1,1;1001,1101903,1,1;1001,1100503,1,1;1001,1101503,1,1;1001,1101603,1,1;1001,1101703,1,1;1001,1101303,1,1;1001,1102003,1,1;</t>
  </si>
  <si>
    <t>3级攻击</t>
  </si>
  <si>
    <t>1001,1100304,1,1;1001,1100104,1,1;1001,1100204,1,1;1001,1101904,1,1;1001,1100504,1,1;1001,1101504,1,1;1001,1101604,1,1;1001,1101704,1,1;1001,1101304,1,1;1001,1102004,1,1;</t>
  </si>
  <si>
    <t>4级攻击</t>
  </si>
  <si>
    <t>1001,1100305,1,1;1001,1100105,1,1;1001,1100205,1,1;1001,1101905,1,1;1001,1100505,1,1;1001,1101505,1,1;1001,1101605,1,1;1001,1101705,1,1;1001,1101305,1,1;1001,1102005,1,1;</t>
  </si>
  <si>
    <t>5级攻击</t>
  </si>
  <si>
    <t>1001,1100306,1,1;1001,1100106,1,1;1001,1100206,1,1;1001,1101906,1,1;1001,1100506,1,1;1001,1101506,1,1;1001,1101606,1,1;1001,1101706,1,1;1001,1101306,1,1;1001,1102006,1,1;</t>
  </si>
  <si>
    <t>6级攻击</t>
  </si>
  <si>
    <t>1001,1100307,1,1;1001,1100107,1,1;1001,1100207,1,1;1001,1101907,1,1;1001,1100507,1,1;1001,1101507,1,1;1001,1101607,1,1;1001,1101707,1,1;1001,1101307,1,1;1001,1102007,1,1;</t>
  </si>
  <si>
    <t>7级攻击</t>
  </si>
  <si>
    <t>1001,1100301,1,1;1001,1100101,1,1;1001,1100201,1,1;1001,1101801,1,1;1001,1100601,1,1;1001,1102401,1,1;1001,1100801,1,1;1001,1101401,1,1;1001,1101201,1,1;1001,1101101,1,1;</t>
  </si>
  <si>
    <t>1级防御</t>
  </si>
  <si>
    <t>1001,1100302,1,1;1001,1100102,1,1;1001,1100202,1,1;1001,1101802,1,1;1001,1100602,1,1;1001,1102402,1,1;1001,1100802,1,1;1001,1101402,1,1;1001,1101202,1,1;1001,1101102,1,1;</t>
  </si>
  <si>
    <t>2级防御</t>
  </si>
  <si>
    <t>1001,1100303,1,1;1001,1100103,1,1;1001,1100203,1,1;1001,1101803,1,1;1001,1100603,1,1;1001,1102403,1,1;1001,1100803,1,1;1001,1101403,1,1;1001,1101203,1,1;1001,1101103,1,1;</t>
  </si>
  <si>
    <t>3级防御</t>
  </si>
  <si>
    <t>1001,1100304,1,1;1001,1100104,1,1;1001,1100204,1,1;1001,1101804,1,1;1001,1100604,1,1;1001,1102404,1,1;1001,1100804,1,1;1001,1101404,1,1;1001,1101204,1,1;1001,1101104,1,1;</t>
  </si>
  <si>
    <t>4级防御</t>
  </si>
  <si>
    <t>1001,1100305,1,1;1001,1100105,1,1;1001,1100205,1,1;1001,1101805,1,1;1001,1100605,1,1;1001,1102405,1,1;1001,1100805,1,1;1001,1101405,1,1;1001,1101205,1,1;1001,1101105,1,1;</t>
  </si>
  <si>
    <t>5级防御</t>
  </si>
  <si>
    <t>1001,1100306,1,1;1001,1100106,1,1;1001,1100206,1,1;1001,1101806,1,1;1001,1100606,1,1;1001,1102406,1,1;1001,1100806,1,1;1001,1101406,1,1;1001,1101206,1,1;1001,1101106,1,1;</t>
  </si>
  <si>
    <t>6级防御</t>
  </si>
  <si>
    <t>1001,1100307,1,1;1001,1100107,1,1;1001,1100207,1,1;1001,1101807,1,1;1001,1100607,1,1;1001,1102407,1,1;1001,1100807,1,1;1001,1101407,1,1;1001,1101207,1,1;1001,1101107,1,1;</t>
  </si>
  <si>
    <t>7级防御</t>
  </si>
  <si>
    <t>1001,1100301,1,1;1001,1100101,1,1;1001,1100201,1,1;1001,1100401,1,1;1001,1100701,1,1;1001,1100901,1,1;1001,1101001,1,1;1001,1102201,1,1;1001,1102401,1,1;1001,1102101,1,1;</t>
  </si>
  <si>
    <t>1级特殊</t>
  </si>
  <si>
    <t>1001,1100302,1,1;1001,1100102,1,1;1001,1100202,1,1;1001,1100402,1,1;1001,1100702,1,1;1001,1100902,1,1;1001,1101002,1,1;1001,1102202,1,1;1001,1102402,1,1;1001,1102102,1,1;</t>
  </si>
  <si>
    <t>2级特殊</t>
  </si>
  <si>
    <t>1001,1100303,1,1;1001,1100103,1,1;1001,1100203,1,1;1001,1100403,1,1;1001,1100703,1,1;1001,1100903,1,1;1001,1101003,1,1;1001,1102203,1,1;1001,1102403,1,1;1001,1102103,1,1;</t>
  </si>
  <si>
    <t>3级特殊</t>
  </si>
  <si>
    <t>1001,1100304,1,1;1001,1100104,1,1;1001,1100204,1,1;1001,1100404,1,1;1001,1100704,1,1;1001,1100904,1,1;1001,1101004,1,1;1001,1102204,1,1;1001,1102404,1,1;1001,1102104,1,1;</t>
  </si>
  <si>
    <t>4级特殊</t>
  </si>
  <si>
    <t>1001,1100305,1,1;1001,1100105,1,1;1001,1100205,1,1;1001,1100405,1,1;1001,1100705,1,1;1001,1100905,1,1;1001,1101005,1,1;1001,1102205,1,1;1001,1102405,1,1;1001,1102105,1,1;</t>
  </si>
  <si>
    <t>5级特殊</t>
  </si>
  <si>
    <t>1001,1100306,1,1;1001,1100106,1,1;1001,1100206,1,1;1001,1100406,1,1;1001,1100706,1,1;1001,1100906,1,1;1001,1101006,1,1;1001,1102206,1,1;1001,1102406,1,1;1001,1102106,1,1;</t>
  </si>
  <si>
    <t>6级特殊</t>
  </si>
  <si>
    <t>1001,1100307,1,1;1001,1100107,1,1;1001,1100207,1,1;1001,1100407,1,1;1001,1100707,1,1;1001,1100907,1,1;1001,1101007,1,1;1001,1102207,1,1;1001,1102407,1,1;1001,1102107,1,1;</t>
  </si>
  <si>
    <t>7级特殊</t>
  </si>
  <si>
    <t>50121,25;50122,30;50123,30;50124,15;50125,0</t>
  </si>
  <si>
    <t>初级攻击宝石袋子</t>
  </si>
  <si>
    <t>50128,25;50129,30;50130,30;50131,15;50132,0</t>
  </si>
  <si>
    <t>初级防御宝石袋子</t>
  </si>
  <si>
    <t>50135,25;50136,30;50137,30;50138,15;50139,0</t>
  </si>
  <si>
    <t>初级特殊宝石袋子</t>
  </si>
  <si>
    <t>50121,0;50122,25;50123,30;50124,30;50125,15</t>
  </si>
  <si>
    <t>中级攻击宝石袋子</t>
  </si>
  <si>
    <t>50128,0;50129,25;50130,30;50131,30;50132,15</t>
  </si>
  <si>
    <t>中级防御宝石袋子</t>
  </si>
  <si>
    <t>50135,0;50136,25;50137,30;50138,30;50139,15</t>
  </si>
  <si>
    <t>中级特殊宝石袋子</t>
  </si>
  <si>
    <t>50123,30;50124,40;50125,24;50126,5;50127,1</t>
  </si>
  <si>
    <t>高级攻击宝石袋子</t>
  </si>
  <si>
    <t>50130,30;50131,40;50132,24;50133,5;50134,1</t>
  </si>
  <si>
    <t>高级防御宝石袋子</t>
  </si>
  <si>
    <t>50137,30;50138,40;50139,24;50140,5;50141,1</t>
  </si>
  <si>
    <t>高级特殊宝石袋子</t>
  </si>
  <si>
    <t>30318,3;30319,3;30320,3</t>
  </si>
  <si>
    <t>1-3级宝石</t>
  </si>
  <si>
    <t>20210331风筝</t>
  </si>
  <si>
    <t>1001,720001,1,80;3,0,66,160;1001,218004,1,120;1001,216001,3,270;1001,215007,1,250;1001,800002,1,120</t>
  </si>
  <si>
    <t>20210331小丑</t>
  </si>
  <si>
    <t>3,0,188,30;3,0,66,145;1001,511225,1,50;1001,216002,5,80;1001,213014,2,103;1001,216001,5,170;1001,215002,1,140;1001,214003,1,140;1001,800004,1,142</t>
  </si>
  <si>
    <t>20210422遮阳伞</t>
  </si>
  <si>
    <t>3,0,66,160;1001,218004,1,120;1001,720001,1,80;1001,216001,3,270;1001,215007,1,250;1001,800002,1,120</t>
  </si>
  <si>
    <t>20210513清凉冰块</t>
  </si>
  <si>
    <t>3,0,30,150;1001,720001,1,150;1001,214003,1,180;1001,216001,5,200;1001,216002,1,200;1001,800002,1,120</t>
  </si>
  <si>
    <t>20210708清凉冰块</t>
  </si>
  <si>
    <t>20210708遮阳伞</t>
  </si>
  <si>
    <t>3,0,666,30;1001,511226,1,50;1001,216002,5,80;3,0,50,145;1001,213014,2,103;1001,216001,5,170;1001,214003,1,140;1001,215002,1,140;1001,800004,1,142</t>
  </si>
  <si>
    <t>20210708折扇</t>
  </si>
  <si>
    <t>3,0,188,30;1001,511200,1,50;1001,216002,5,80;3,0,66,145;1001,213014,2,103;1001,216001,5,170;1001,214003,1,140;1001,215002,1,140;1001,800004,1,142</t>
  </si>
  <si>
    <t>20210729遮阳伞</t>
  </si>
  <si>
    <t>3,0,188,30;3,0,66,145;1001,511200,1,50;1001,216002,5,80;1001,213014,2,103;1001,216001,5,170;1001,214003,1,140;1001,215002,1,140;1001,800004,1,142</t>
  </si>
  <si>
    <t>20210902红气球</t>
  </si>
  <si>
    <t>202109016庆典礼盒</t>
  </si>
  <si>
    <t>20210902庆典气球</t>
  </si>
  <si>
    <t>20210902幸运礼袋</t>
  </si>
  <si>
    <t>20211007遮阳伞</t>
  </si>
  <si>
    <t>20211021玩具熊</t>
  </si>
  <si>
    <t>1001,1100102,1,3;1001,1100202,1,3;1001,1100302,1,3;1001,1100402,1,3;1001,1100502,1,3;1001,1100602,1,3;1001,1100702,1,3;1001,1100802,1,3;1001,1100902,1,3;1001,1101002,1,3;1001,1101102,1,3;1001,1101202,1,3;1001,1101302,1,3;1001,1101402,1,3;1001,1101502,1,3;1001,1101602,1,3;1001,1101702,1,3;1001,1101802,1,3;1001,1101902,1,3;1001,1102002,1,3;1001,1102102,1,3;1001,1102202,1,3;1001,1102302,1,3;1001,1102402,1,1;1001,1100103,1,2;1001,1100203,1,2;1001,1100303,1,2;1001,1100403,1,2;1001,1100503,1,2;1001,1100603,1,2;1001,1100703,1,2;1001,1100803,1,2;1001,1100903,1,2;1001,1101003,1,2;1001,1101103,1,2;1001,1101203,1,2;1001,1101303,1,2;1001,1101403,1,2;1001,1101503,1,2;1001,1101603,1,2;1001,1101703,1,2;1001,1101803,1,2;1001,1101903,1,2;1001,1102003,1,2;1001,1102103,1,2;1001,1102203,1,2;1001,1102303,1,2;1001,1102403,1,1</t>
  </si>
  <si>
    <t>血战2.3宝石袋</t>
  </si>
  <si>
    <t>3,0,100,30;3,0,30,100;1001,511225,1,30;1001,216002,5,80;1001,213014,2,145;1001,216001,5,170;1001,214003,1,165;1001,215002,1,140;1001,800004,1,140</t>
  </si>
  <si>
    <t>2022.3.16惊喜礼盒</t>
  </si>
  <si>
    <t>1001,225001,1,15;1001,225002,1,15;1001,800002,1,15;1001,214004,1,20;3,0,150,35</t>
  </si>
  <si>
    <t>悬赏宝箱开启</t>
  </si>
  <si>
    <t>5,0,10000,40;5,0,30000,30;5,0,50000,20;5,0,100000,10;</t>
  </si>
  <si>
    <t>悬赏金块</t>
  </si>
  <si>
    <t>1001,452201,2,50;1001,452201,4,40;1001,452201,6,10;</t>
  </si>
  <si>
    <t>悬赏跳过券</t>
  </si>
  <si>
    <t>1001,452202,1,100</t>
  </si>
  <si>
    <t>悬赏宝箱</t>
  </si>
  <si>
    <t>贸易1级宝石</t>
  </si>
  <si>
    <t>贸易2级宝石</t>
  </si>
  <si>
    <t>贸易3级宝石</t>
  </si>
  <si>
    <t>贸易4级宝石</t>
  </si>
  <si>
    <t>贸易5级宝石</t>
  </si>
  <si>
    <t>贸易6级宝石</t>
  </si>
  <si>
    <t>1001,212001,5,1;</t>
  </si>
  <si>
    <t>贸易等级1-绿-航程4</t>
  </si>
  <si>
    <t>1001,211021,1,1;1001,212021,1,1;1001,211021,1,1;1001,212021,1,1;1001,211021,1,1;1001,212021,1,1;</t>
  </si>
  <si>
    <t>1001,212002,1,1;</t>
  </si>
  <si>
    <t>1001,212007,1,1;</t>
  </si>
  <si>
    <t>52001,1;52002,1;52007,2;52008,2;52009,2;52010,2;</t>
  </si>
  <si>
    <t>1001,213001,5,1;</t>
  </si>
  <si>
    <t>贸易等级1-蓝-航程6</t>
  </si>
  <si>
    <t>1001,213021,1,1;1001,213021,1,1;1001,213021,1,1;</t>
  </si>
  <si>
    <t>1001,524001,2,1;</t>
  </si>
  <si>
    <t>52002,1;52012,1;52013,1;52014,1</t>
  </si>
  <si>
    <t>贸易等级1-紫-航程8</t>
  </si>
  <si>
    <t>1001,214001,1,1;</t>
  </si>
  <si>
    <t>52003,1;52016,1;52017,1;</t>
  </si>
  <si>
    <t>1001,215001,3,1;</t>
  </si>
  <si>
    <t>贸易等级1-金-航程10</t>
  </si>
  <si>
    <t>52019,1;52020,1;</t>
  </si>
  <si>
    <t>1001,212001,10,1;</t>
  </si>
  <si>
    <t>贸易等级2-绿-航程4</t>
  </si>
  <si>
    <t>1001,212021,1,1;1001,212021,1,1;1001,212021,1,1;1001,213021,1,1;1001,213021,1,1;1001,213021,1,1;</t>
  </si>
  <si>
    <t>1001,212002,2,1;</t>
  </si>
  <si>
    <t>1001,212013,2,1;</t>
  </si>
  <si>
    <t>52001,1;52002,1;52003,1;52022,3;52023,3;52024,3;52025,3;</t>
  </si>
  <si>
    <t>贸易等级2-蓝-航程6</t>
  </si>
  <si>
    <t>52002,1;52003,1;52027,2;52028,2;52029,2;</t>
  </si>
  <si>
    <t>1001,213001,1,1;</t>
  </si>
  <si>
    <t>贸易等级2-紫-航程8</t>
  </si>
  <si>
    <t>1001,214001,7,1;</t>
  </si>
  <si>
    <t>52031,1;52032,1;52003,1;</t>
  </si>
  <si>
    <t>1001,215001,4,1;</t>
  </si>
  <si>
    <t>贸易等级2-金-航程10</t>
  </si>
  <si>
    <t>52034,1;52035,1;</t>
  </si>
  <si>
    <t>1001,1100101,1,1;1001,1100201,1,1;1001,1100301,1,1;1001,1100401,1,1;1001,1100501,1,1;1001,1100601,1,1;1001,1100701,1,1;1001,1100801,1,1;1001,1100901,1,1;1001,1101001,1,1;1001,1101101,1,1;1001,1101201,1,1;1001,1101301,1,1;1001,1101401,1,1;1001,1101501,1,1;1001,1101601,1,1;1001,1101701,1,1;1001,1101801,1,1;1001,1101901,1,1;1001,1102001,1,1;1001,1102101,1,1;1001,1100102,1,1;1001,1100202,1,1;1001,1100302,1,1;1001,1100402,1,1;1001,1100502,1,1;1001,1100602,1,1;1001,1100702,1,1;1001,1100802,1,1;1001,1100902,1,1;1001,1101002,1,1;1001,1101102,1,1;1001,1101202,1,1;1001,1101302,1,1;1001,1101402,1,1;1001,1101502,1,1;1001,1101602,1,1;1001,1101702,1,1;1001,1101802,1,1;1001,1101902,1,1;1001,1102002,1,1;1001,1102102,1,1;</t>
  </si>
  <si>
    <t>贸易等级3-绿-航程4</t>
  </si>
  <si>
    <t>1001,213001,6,1;</t>
  </si>
  <si>
    <t>1001,212013,3,1;</t>
  </si>
  <si>
    <t>52037,1;52038,1;52039,1;52040,1;52041,1;</t>
  </si>
  <si>
    <t>1001,214001,6,1;</t>
  </si>
  <si>
    <t>贸易等级3-蓝-航程6</t>
  </si>
  <si>
    <t>1001,213013,2,1;</t>
  </si>
  <si>
    <t>52002,1;52003,1;52043,2;52044,2;52045,2</t>
  </si>
  <si>
    <t>1001,214013,2,1;</t>
  </si>
  <si>
    <t>贸易等级3-紫-航程8</t>
  </si>
  <si>
    <t>1001,214001,8,1;</t>
  </si>
  <si>
    <t>1001,212007,2,1;</t>
  </si>
  <si>
    <t>52047,1;52048,1;52049,1;52003,1;</t>
  </si>
  <si>
    <t>贸易等级3-金-航程10</t>
  </si>
  <si>
    <t>1001,214021,1,1;1001,214021,1,1;1001,214021,1,1;</t>
  </si>
  <si>
    <t>1001,215013,1,1;</t>
  </si>
  <si>
    <t>1001,213002,2,1;</t>
  </si>
  <si>
    <t>52051,1;52052,1;52053,1;52054,1;</t>
  </si>
  <si>
    <t>1001,1100101,1,1;1001,1100201,1,1;1001,1100301,1,1;1001,1100401,1,1;1001,1100501,1,1;1001,1100601,1,1;1001,1100701,1,1;1001,1100801,1,1;1001,1100901,1,1;1001,1101001,1,1;1001,1101101,1,1;1001,1101201,1,1;1001,1101301,1,1;1001,1101401,1,1;1001,1101501,1,1;1001,1101601,1,1;1001,1101701,1,1;1001,1101801,1,1;1001,1101901,1,1;1001,1102001,1,1;1001,1102101,1,1;1001,1100102,1,1;1001,1100202,1,1;1001,1100302,1,1;1001,1100402,1,1;1001,1100502,1,1;1001,1100602,1,1;1001,1100702,1,1;1001,1100802,1,1;1001,1100902,1,1;1001,1101002,1,1;1001,1101102,1,1;1001,1101202,1,1;1001,1101302,1,1;1001,1101402,1,1;1001,1101502,1,1;1001,1101602,1,1;1001,1101702,1,1;1001,1101802,1,1;1001,1101902,1,1;1001,1102002,1,1;1001,1102102,1,1;1001,1100103,1,1;1001,1100203,1,1;1001,1100303,1,1;1001,1100403,1,1;1001,1100503,1,1;1001,1100603,1,1;1001,1100703,1,1;1001,1100803,1,1;1001,1100903,1,1;1001,1101003,1,1;1001,1101103,1,1;1001,1101203,1,1;1001,1101303,1,1;1001,1101403,1,1;1001,1101503,1,1;1001,1101603,1,1;1001,1101703,1,1;1001,1101803,1,1;1001,1101903,1,1;1001,1102003,1,1;1001,1102103,1,1;</t>
  </si>
  <si>
    <t>贸易等级4-绿-航程4</t>
  </si>
  <si>
    <t>1001,214001,4,1;</t>
  </si>
  <si>
    <t>1001,212002,3,1;</t>
  </si>
  <si>
    <t>52056,1;52057,1;52058,1;52059,1;52060,1;</t>
  </si>
  <si>
    <t>1001,1100102,1,1;1001,1100202,1,1;1001,1100302,1,1;1001,1100402,1,1;1001,1100502,1,1;1001,1100602,1,1;1001,1100702,1,1;1001,1100802,1,1;1001,1100902,1,1;1001,1101002,1,1;1001,1101102,1,1;1001,1101202,1,1;1001,1101302,1,1;1001,1101402,1,1;1001,1101502,1,1;1001,1101602,1,1;1001,1101702,1,1;1001,1101802,1,1;1001,1101902,1,1;1001,1102002,1,1;1001,1102102,1,1;1001,1100103,1,1;1001,1100203,1,1;1001,1100303,1,1;1001,1100403,1,1;1001,1100503,1,1;1001,1100603,1,1;1001,1100703,1,1;1001,1100803,1,1;1001,1100903,1,1;1001,1101003,1,1;1001,1101103,1,1;1001,1101203,1,1;1001,1101303,1,1;1001,1101403,1,1;1001,1101503,1,1;1001,1101603,1,1;1001,1101703,1,1;1001,1101803,1,1;1001,1101903,1,1;1001,1102003,1,1;1001,1102103,1,1;</t>
  </si>
  <si>
    <t>贸易等级4-蓝-航程6</t>
  </si>
  <si>
    <t>1001,213013,3,1;</t>
  </si>
  <si>
    <t>52062,1;52063,1;52064,1;52065,1;</t>
  </si>
  <si>
    <t>1001,214013,3,1;</t>
  </si>
  <si>
    <t>贸易等级4-紫-航程8</t>
  </si>
  <si>
    <t>1001,213007,1,1;</t>
  </si>
  <si>
    <t>52067,1;52068,1;52069,1;52070,1;</t>
  </si>
  <si>
    <t>1001,215001,5,1;</t>
  </si>
  <si>
    <t>贸易等级4-金-航程10</t>
  </si>
  <si>
    <t>1001,215013,2,1;</t>
  </si>
  <si>
    <t>1001,212001,1,20;</t>
  </si>
  <si>
    <t>贸易绿</t>
  </si>
  <si>
    <t>1001,212002,1,20;</t>
  </si>
  <si>
    <t>1001,212007,1,15;</t>
  </si>
  <si>
    <t>1001,212013,1,15;</t>
  </si>
  <si>
    <t>1001,211021,1,5;1001,211021,1,5;1001,211021,1,5;</t>
  </si>
  <si>
    <t>1001,212009,1,3;1001,212111,1,3;1001,212112,1,3;1001,212113,1,3;1001,212114,1,3;</t>
  </si>
  <si>
    <t>52076,20;52077,20;52078,15;52079,15;52080,15;52081,15</t>
  </si>
  <si>
    <t>1001,213001,1,20;</t>
  </si>
  <si>
    <t>贸易蓝</t>
  </si>
  <si>
    <t>1001,213002,1,20;</t>
  </si>
  <si>
    <t>1001,213007,1,15;</t>
  </si>
  <si>
    <t>1001,213013,1,15;</t>
  </si>
  <si>
    <t>1001,212021,1,5;1001,212021,1,5;1001,212021,1,5;</t>
  </si>
  <si>
    <t>1001,213009,1,3;1001,213111,1,3;1001,213112,1,3;1001,213113,1,3;1001,213114,1,3;</t>
  </si>
  <si>
    <t>52076,10;52077,10;52078,10;52079,15;52080,15;52081,10;52083,5;52084,5;52085,5;52086,5;52087,5;52088,5;</t>
  </si>
  <si>
    <t>贸易紫</t>
  </si>
  <si>
    <t>1001,214013,1,15;</t>
  </si>
  <si>
    <t>1001,213021,1,5;1001,213021,1,5;1001,213021,1,5;</t>
  </si>
  <si>
    <t>52090,30;52091,10;52092,5;52093,40;52094,10;52095,5</t>
  </si>
  <si>
    <t>贸易橙</t>
  </si>
  <si>
    <t>1001,214002,1,1;</t>
  </si>
  <si>
    <t>1001,214007,1,1;</t>
  </si>
  <si>
    <t>52090,16;52091,10;52092,8;52093,16;52094,10;52095,8;52097,10;52098,5;52099,5;52100,12;</t>
  </si>
  <si>
    <t>1001,212001,1,50;1001,213001,2,50</t>
  </si>
  <si>
    <t>贸易普通订单</t>
  </si>
  <si>
    <t>1001,213001,2,50;1001,214001,1,50</t>
  </si>
  <si>
    <t>1001,214001,2,50;1001,215001,1,50</t>
  </si>
  <si>
    <t>1001,1100105,1,1;1001,1100205,1,1;1001,1100305,1,1;1001,1100405,1,1;1001,1100505,1,1;1001,1100605,1,1;1001,1100705,1,1;1001,1100805,1,1;1001,1100905,1,1;1001,1101005,1,1;1001,1101805,1,1;1001,1101905,1,1</t>
  </si>
  <si>
    <t>贸易神秘奖励</t>
  </si>
  <si>
    <t>1001,1100106,1,1;1001,1100206,1,1;1001,1100306,1,1;1001,1100406,1,1;1001,1100506,1,1;1001,1100606,1,1;1001,1100706,1,1;1001,1100806,1,1;1001,1100906,1,1;1001,1101006,1,1;1001,1101806,1,1;1001,1101906,1,1</t>
  </si>
  <si>
    <t>狩猎者套装</t>
  </si>
  <si>
    <t>1200,2800301,1,1;1200,2800302,1,1;1200,2800303,1,1;1200,2800304,1,1</t>
  </si>
  <si>
    <t>卫兵套装</t>
  </si>
  <si>
    <t>1200,2800401,1,1;1200,2800402,1,1;1200,2800403,1,1;1200,2800404,1,1</t>
  </si>
  <si>
    <t>警卫套装</t>
  </si>
  <si>
    <t>1200,2800701,1,1;1200,2800702,1,1;1200,2800703,1,1;1200,2800704,1,1</t>
  </si>
  <si>
    <t>决斗者套装</t>
  </si>
  <si>
    <t>60002,70;60003,30</t>
  </si>
  <si>
    <t>单人任务01A</t>
  </si>
  <si>
    <t>1001,212001,1,10;1001,212001,2,10;1001,212001,3,10;1001,212001,4,10;1001,212001,5,10;</t>
  </si>
  <si>
    <t>1001,213001,1,10;1001,213001,2,10;1001,213001,3,10;</t>
  </si>
  <si>
    <t>1001,213001,1,50;1001,213001,2,50</t>
  </si>
  <si>
    <t>单人任务01B</t>
  </si>
  <si>
    <t>60006,70;60007,30</t>
  </si>
  <si>
    <t>单人任务02A</t>
  </si>
  <si>
    <t>1001,212001,5,10;1001,212001,6,10;1001,212001,7,10;1001,212001,8,10;1001,212001,9,10;1001,212001,10,10;</t>
  </si>
  <si>
    <t>1001,213001,3,10;1001,213001,4,10;1001,213001,5,10;</t>
  </si>
  <si>
    <t>单人任务02B</t>
  </si>
  <si>
    <t>60010,70;60011,30</t>
  </si>
  <si>
    <t>单人任务03A</t>
  </si>
  <si>
    <t>1001,213001,1,10;1001,213001,2,10;1001,213001,3,10;1001,213001,4,10;1001,213001,5,10;</t>
  </si>
  <si>
    <t>1001,214001,1,10;1001,214001,2,10;1001,214001,3,10;</t>
  </si>
  <si>
    <t>单人任务03B</t>
  </si>
  <si>
    <t>60014,70;60015,30</t>
  </si>
  <si>
    <t>单人任务04A</t>
  </si>
  <si>
    <t>1001,213001,5,10;1001,213001,6,10;1001,213001,7,10;1001,213001,8,10;1001,213001,9,10;1001,213001,10,10;</t>
  </si>
  <si>
    <t>1001,214001,3,10;1001,214001,4,10;1001,214001,5,10;</t>
  </si>
  <si>
    <t>1001,215001,1,100</t>
  </si>
  <si>
    <t>单人任务04B</t>
  </si>
  <si>
    <t>60018,70;60019,30</t>
  </si>
  <si>
    <t>讨伐轮次奖励01A</t>
  </si>
  <si>
    <t>1200,460009,1,100;1200,460010,1,100;1200,460011,1,100;1200,460012,1,100;</t>
  </si>
  <si>
    <t>讨伐轮次奖励01B</t>
  </si>
  <si>
    <t>60022,70;60023,30</t>
  </si>
  <si>
    <t>讨伐轮次奖励02A</t>
  </si>
  <si>
    <t>讨伐轮次奖励02B</t>
  </si>
  <si>
    <t>60026,70;60027,30</t>
  </si>
  <si>
    <t>讨伐轮次奖励03A</t>
  </si>
  <si>
    <t>1001,214001,1,10;1001,214001,2,10;1001,214001,3,10;1001,214001,4,10;1001,214001,5,10;</t>
  </si>
  <si>
    <t>1001,215001,1,10;1001,215001,2,10;1001,215001,3,10</t>
  </si>
  <si>
    <t>1200,460017,1,10;1200,460018,1,10;1200,460019,1,10;1200,460020,1,10;</t>
  </si>
  <si>
    <t>讨伐轮次奖励03B</t>
  </si>
  <si>
    <t>60030,70;60031,30</t>
  </si>
  <si>
    <t>讨伐轮次奖励04A</t>
  </si>
  <si>
    <t>1001,214001,5,10;1001,214001,6,10;1001,214001,7,10;1001,214001,8,10;1001,214001,9,10;1001,214001,10,10;</t>
  </si>
  <si>
    <t>1001,215001,3,10;1001,215001,4,10;1001,215001,5,10;</t>
  </si>
  <si>
    <t>1200,460025,1,10;1200,460026,1,10;1200,460027,1,10;1200,460028,1,10;1200,461025,1,10;1200,461026,1,10;1200,461027,1,10;1200,461028,1,10;1200,462025,1,10;1200,462026,1,10;1200,462027,1,10;1200,462028,1,10</t>
  </si>
  <si>
    <t>讨伐轮次奖励04B</t>
  </si>
  <si>
    <t>讨伐每轮奖励20装备*2</t>
  </si>
  <si>
    <t>1200,60013,1,10;1200,60014,1,10;1200,60015,1,10;1200,60016,1,10;1200,60017,1,10;1200,60018,1,10;1200,60019,1,10;1200,60020,1,10;</t>
  </si>
  <si>
    <t>讨伐每轮奖励30、40装备*2</t>
  </si>
  <si>
    <t>1200,60017,1,10;1200,60018,1,10;1200,60019,1,10;1200,60020,1,10;1200,60021,1,10;1200,60022,1,10;1200,60023,1,10;1200,60024,1,10;1200,61021,1,10;1200,61022,1,10;1200,61023,1,10;1200,61024,1,10;1200,62021,1,10;1200,62022,1,10;1200,62023,1,10;1200,62024,1,10;</t>
  </si>
  <si>
    <t>讨伐每轮奖励40、50装备*2</t>
  </si>
  <si>
    <t>1200,60025,1,10;1200,60026,1,10;1200,60027,1,10;1200,60028,1,10;1200,61025,1,10;1200,61026,1,10;1200,61027,1,10;1200,61028,1,10;1200,62025,1,10;1200,62026,1,10;1200,62027,1,10;1200,62028,1,10;</t>
  </si>
  <si>
    <t>讨伐每轮奖励60装备*2</t>
  </si>
  <si>
    <t>1200,60025,1,10;1200,60026,1,10;1200,60027,1,10;1200,60028,1,10;1200,61025,1,10;1200,61026,1,10;1200,61027,1,10;1200,61028,1,10;1200,62025,1,10;1200,62026,1,10;1200,62027,1,10;1200,62028,1,10;1200,60021,1,10;1200,60022,1,10;1200,60023,1,10;1200,60024,1,10;1200,61021,1,10;1200,61022,1,10;1200,61023,1,10;1200,61024,1,10;1200,62021,1,10;1200,62022,1,10;1200,62023,1,10;1200,62024,1,10;</t>
  </si>
  <si>
    <t>讨伐每轮奖励50、60装备*2</t>
  </si>
  <si>
    <t>1200,60013,1,10;1200,60014,1,10;1200,60015,1,10;1200,60016,1,10;</t>
  </si>
  <si>
    <t>讨伐每轮奖励30装备*2</t>
  </si>
  <si>
    <t>1001,240022,1,80;1001,240022,0,20</t>
  </si>
  <si>
    <t>黄帽子海盗的鞋子</t>
  </si>
  <si>
    <t>1001,240023,1,80;1001,240023,0,20</t>
  </si>
  <si>
    <t>黄帽子海盗的帽子</t>
  </si>
  <si>
    <t>1001,240024,1,80;1001,240024,0,20</t>
  </si>
  <si>
    <t>光头海盗的裤子</t>
  </si>
  <si>
    <t>1001,240025,1,80;1001,240025,0,20</t>
  </si>
  <si>
    <t>光头海盗的上衣</t>
  </si>
  <si>
    <t>1001,240026,1,80;1001,240026,0,20</t>
  </si>
  <si>
    <t>被偷走的武器</t>
  </si>
  <si>
    <t>1001,240027,1,80;1001,240027,0,20</t>
  </si>
  <si>
    <t>被偷走的蔬菜</t>
  </si>
  <si>
    <t>1001,240028,1,80;1001,240028,0,20</t>
  </si>
  <si>
    <t>刺豚鱼人的武器</t>
  </si>
  <si>
    <t>1001,240029,1,80;1001,240029,0,20</t>
  </si>
  <si>
    <t>胖鱼人的衣服</t>
  </si>
  <si>
    <t>1001,240030,1,80;1001,240030,0,20</t>
  </si>
  <si>
    <t>阔嘴鱼人的财宝</t>
  </si>
  <si>
    <t>1001,240031,1,80;1001,240031,0,20</t>
  </si>
  <si>
    <t>无名探险家的记录指针</t>
  </si>
  <si>
    <t>1001,240032,1,80;1001,240032,0,20</t>
  </si>
  <si>
    <t>无名探险家的衣服</t>
  </si>
  <si>
    <t>1001,240033,1,80;1001,240033,0,20</t>
  </si>
  <si>
    <t>小胡子海盗的裤子</t>
  </si>
  <si>
    <t>1001,240034,1,80;1001,240034,0,20</t>
  </si>
  <si>
    <t>小胡子海盗的上衣</t>
  </si>
  <si>
    <t>1001,240035,1,80;1001,240035,0,20</t>
  </si>
  <si>
    <t>慌张海盗的食物</t>
  </si>
  <si>
    <t>1001,240036,1,80;1001,240036,0,20</t>
  </si>
  <si>
    <t>慌张海盗的衣服</t>
  </si>
  <si>
    <t>1001,240037,1,80;1001,240037,0,20</t>
  </si>
  <si>
    <t>慌张海盗的裤子</t>
  </si>
  <si>
    <t>1001,240038,1,80;1001,240038,0,20</t>
  </si>
  <si>
    <t>慌张海盗的鞋</t>
  </si>
  <si>
    <t>1001,240039,1,80;1001,240039,0,20</t>
  </si>
  <si>
    <t>慌张海盗的武器</t>
  </si>
  <si>
    <t>1001,240040,1,80;1001,240040,0,20</t>
  </si>
  <si>
    <t>戏剧头海盗的武器</t>
  </si>
  <si>
    <t>1001,240041,1,80;1001,240041,0,20</t>
  </si>
  <si>
    <t>落难海盗的衣服</t>
  </si>
  <si>
    <t>1001,240042,1,80;1001,240042,0,20</t>
  </si>
  <si>
    <t>落难海盗的裤子</t>
  </si>
  <si>
    <t>1001,240043,1,80;1001,240043,0,20</t>
  </si>
  <si>
    <t>落难海盗的武器</t>
  </si>
  <si>
    <t>1001,240044,1,80;1001,240044,0,20</t>
  </si>
  <si>
    <t>落难海盗的鞋子</t>
  </si>
  <si>
    <t>1001,240045,1,80;1001,240045,0,20</t>
  </si>
  <si>
    <t>1001,240046,1,80;1001,240046,0,20</t>
  </si>
  <si>
    <t>1001,240076,1,80;1001,240076,0,20</t>
  </si>
  <si>
    <t>被夺走的衣服</t>
  </si>
  <si>
    <t>1001,240077,1,80;1001,240077,0,20</t>
  </si>
  <si>
    <t>被夺走的武器</t>
  </si>
  <si>
    <t>1001,240085,1,80;1001,240085,0,20</t>
  </si>
  <si>
    <t>精装航海日志</t>
  </si>
  <si>
    <t>1001,240086,1,80;1001,240086,0,20</t>
  </si>
  <si>
    <t>1001,240087,1,25;1001,240087,0,75</t>
  </si>
  <si>
    <t>藏宝图</t>
  </si>
  <si>
    <t>1001,240088,1,80;1001,240088,0,20</t>
  </si>
  <si>
    <t>藏宝图的碎片</t>
  </si>
  <si>
    <t>1001,240093,1,80;1001,240093,1,20</t>
  </si>
  <si>
    <t>反叛军的物资</t>
  </si>
  <si>
    <t>1001,240094,1,80;1001,240094,1,20</t>
  </si>
  <si>
    <t>鼓鼓的麻袋</t>
  </si>
  <si>
    <t>1001,240095,1,80;1001,240095,1,20</t>
  </si>
  <si>
    <t>海军士兵的衣物</t>
  </si>
  <si>
    <t>1001,240099,1,80;1001,240099,1,20</t>
  </si>
  <si>
    <t>装满财宝的箱子</t>
  </si>
  <si>
    <t>1001,240100,1,80;1001,240100,1,20</t>
  </si>
  <si>
    <t>商人的货物</t>
  </si>
  <si>
    <t>1001,240107,1,80;1001,240107,1,20</t>
  </si>
  <si>
    <t>稀有种子</t>
  </si>
  <si>
    <t>1001,240108,1,80;1001,240108,1,20</t>
  </si>
  <si>
    <t>斩击贝</t>
  </si>
  <si>
    <t>1001,240109,1,80;1001,240109,1,20</t>
  </si>
  <si>
    <t>被抢走的商品</t>
  </si>
  <si>
    <t>1001,511218,1,80;1001,511218,1,20</t>
  </si>
  <si>
    <t>被抢走的点心</t>
  </si>
  <si>
    <t>1001,511214,1,80;1001,511214,1,20</t>
  </si>
  <si>
    <t>珍珠</t>
  </si>
  <si>
    <t>1001,511215,1,80;1001,511215,1,20</t>
  </si>
  <si>
    <t>辟邪珊瑚</t>
  </si>
  <si>
    <t>1001,511216,1,80;1001,511216,1,20</t>
  </si>
  <si>
    <t>被抢走的木桶</t>
  </si>
  <si>
    <t>1001,511217,1,80;1001,511217,1,20</t>
  </si>
  <si>
    <t>宝物笔记</t>
  </si>
  <si>
    <t>1001,511391,1,80;1001,511391,1,20</t>
  </si>
  <si>
    <t>被夺走的剑</t>
  </si>
  <si>
    <t>1001,511392,1,80;1001,511392,1,20</t>
  </si>
  <si>
    <t>消失的食材</t>
  </si>
  <si>
    <t>1001,511393,1,80;1001,511393,1,20</t>
  </si>
  <si>
    <t>1001,511394,1,80;1001,511394,1,20</t>
  </si>
  <si>
    <t>警察的枪</t>
  </si>
  <si>
    <t>1001,511395,1,80;1001,511395,1,20</t>
  </si>
  <si>
    <t>被偷的钱包</t>
  </si>
  <si>
    <t>1001,617030,1,80;1001,617030,1,20</t>
  </si>
  <si>
    <t>贵重的香料</t>
  </si>
  <si>
    <t>1001,617031,1,80;1001,617031,1,20</t>
  </si>
  <si>
    <t>饼干招牌</t>
  </si>
  <si>
    <t>1001,617032,1,80;1001,617032,1,20</t>
  </si>
  <si>
    <t>指令书</t>
  </si>
  <si>
    <t>1001,617033,1,80;1001,617033,1,20</t>
  </si>
  <si>
    <t>有魔力的菜刀</t>
  </si>
  <si>
    <t>1001,617034,1,80;1001,617034,1,20</t>
  </si>
  <si>
    <t>歌手的钱包</t>
  </si>
  <si>
    <t>1001,720017,1,80;1001,720017,1,20</t>
  </si>
  <si>
    <t>竹笼</t>
  </si>
  <si>
    <t>1001,720018,1,80;1001,720018,1,20</t>
  </si>
  <si>
    <t>大铃铛</t>
  </si>
  <si>
    <t>1001,720019,1,80;1001,720019,1,20</t>
  </si>
  <si>
    <t>巨大石磨</t>
  </si>
  <si>
    <t>1001,720020,1,80;1001,720020,1,20</t>
  </si>
  <si>
    <t>相扑刺绣围裙</t>
  </si>
  <si>
    <t>1001,720021,1,80;1001,720021,1,20</t>
  </si>
  <si>
    <t>账簿</t>
  </si>
  <si>
    <t>1001,214005,2,50;1001,214005,3,50;1001,214005,4,50;1001,214005,5,50</t>
  </si>
  <si>
    <t>单人世界BOSS紫色战魂（R卡）</t>
  </si>
  <si>
    <t>1001,610001,3,50</t>
  </si>
  <si>
    <t>可比</t>
  </si>
  <si>
    <t>1001,610002,3,50</t>
  </si>
  <si>
    <t>摩根</t>
  </si>
  <si>
    <t>1001,610003,3,50</t>
  </si>
  <si>
    <t>卡巴奇</t>
  </si>
  <si>
    <t>1001,610004,3,50</t>
  </si>
  <si>
    <t>克洛</t>
  </si>
  <si>
    <t>1001,610005,3,50</t>
  </si>
  <si>
    <t>强高</t>
  </si>
  <si>
    <t>1001,610006,3,50</t>
  </si>
  <si>
    <t>克里克</t>
  </si>
  <si>
    <t>1001,610007,3,50</t>
  </si>
  <si>
    <t>阿金</t>
  </si>
  <si>
    <t>1001,610008,3,50</t>
  </si>
  <si>
    <t>帕鲁</t>
  </si>
  <si>
    <t>1001,610009,3,50</t>
  </si>
  <si>
    <t>阿龙</t>
  </si>
  <si>
    <t>1001,610010,3,50</t>
  </si>
  <si>
    <t>阿八</t>
  </si>
  <si>
    <t>1001,610011,3,50</t>
  </si>
  <si>
    <t>薇薇</t>
  </si>
  <si>
    <t>1001,610012,3,50</t>
  </si>
  <si>
    <t>Mr.5</t>
  </si>
  <si>
    <t>1001,610013,3,50</t>
  </si>
  <si>
    <t>瓦尔波</t>
  </si>
  <si>
    <t>1001,610014,3,50</t>
  </si>
  <si>
    <t>Mr.4</t>
  </si>
  <si>
    <t>1001,610015,3,50</t>
  </si>
  <si>
    <t>Miss.黄金周</t>
  </si>
  <si>
    <t>1001,610018,3,50</t>
  </si>
  <si>
    <t>约撒</t>
  </si>
  <si>
    <t>1001,214005,4,50;1001,214005,5,50;1001,214005,6,50;1001,214005,7,50</t>
  </si>
  <si>
    <t>单人世界BOSS紫色战魂（SR卡）</t>
  </si>
  <si>
    <t>1001,215005,1,50;1001,215005,2,50</t>
  </si>
  <si>
    <t>单人世界BOSS黄金战魂（SR卡）</t>
  </si>
  <si>
    <t>1001,620001,2,50</t>
  </si>
  <si>
    <t>路飞</t>
  </si>
  <si>
    <t>1001,620002,2,50</t>
  </si>
  <si>
    <t>佐罗</t>
  </si>
  <si>
    <t>1001,620003,2,50</t>
  </si>
  <si>
    <t>奈美</t>
  </si>
  <si>
    <t>1001,620004,2,50</t>
  </si>
  <si>
    <t>撒谎布</t>
  </si>
  <si>
    <t>1001,620005,2,50</t>
  </si>
  <si>
    <t>山智</t>
  </si>
  <si>
    <t>1001,620006,2,50</t>
  </si>
  <si>
    <t>乔巴</t>
  </si>
  <si>
    <t>1001,620008,2,50</t>
  </si>
  <si>
    <t>弗兰奇</t>
  </si>
  <si>
    <t>1001,620010,2,50</t>
  </si>
  <si>
    <t>巴基</t>
  </si>
  <si>
    <t>1001,620011,2,50</t>
  </si>
  <si>
    <t>斯摩格</t>
  </si>
  <si>
    <t>1001,620012,2,50</t>
  </si>
  <si>
    <t>塔西琪</t>
  </si>
  <si>
    <t>1001,620013,2,50</t>
  </si>
  <si>
    <t>Mr.1</t>
  </si>
  <si>
    <t>1001,620014,2,50</t>
  </si>
  <si>
    <t>Mr.2</t>
  </si>
  <si>
    <t>1001,620015,2,50</t>
  </si>
  <si>
    <t>Mr.3</t>
  </si>
  <si>
    <t>1001,620016,2,50</t>
  </si>
  <si>
    <t>Miss.双手指</t>
  </si>
  <si>
    <t>1001,215005,1,50;1001,215005,2,50;1001,215005,3,50</t>
  </si>
  <si>
    <t>单人世界BOSS黄金战魂（SSR卡）</t>
  </si>
  <si>
    <t>1001,630001,1,50</t>
  </si>
  <si>
    <t>沙·鳄鱼</t>
  </si>
  <si>
    <t>1001,630003,1,50</t>
  </si>
  <si>
    <t>青雉</t>
  </si>
  <si>
    <t>1001,630010,1,50</t>
  </si>
  <si>
    <t>米霍克</t>
  </si>
  <si>
    <t>1001,630002,1,50</t>
  </si>
  <si>
    <t>艾尼路</t>
  </si>
  <si>
    <t>1001,630004,1,50</t>
  </si>
  <si>
    <t>戈普</t>
  </si>
  <si>
    <t>1001,630006,1,50</t>
  </si>
  <si>
    <t>大熊</t>
  </si>
  <si>
    <t>1001,630008,1,50</t>
  </si>
  <si>
    <t>艾斯</t>
  </si>
  <si>
    <t>R卡金币</t>
  </si>
  <si>
    <t>SR卡金币</t>
  </si>
  <si>
    <t>SSR卡金币</t>
  </si>
  <si>
    <t>1001,215001,5,100</t>
  </si>
  <si>
    <t>金狗粮</t>
  </si>
  <si>
    <t>1001,214001,5,100</t>
  </si>
  <si>
    <t>紫</t>
  </si>
  <si>
    <t>1001,213001,5,100</t>
  </si>
  <si>
    <t>1001,212001,5,100</t>
  </si>
  <si>
    <t>1001,620017,2,50</t>
  </si>
  <si>
    <t>贝拉米</t>
  </si>
  <si>
    <t>1001,620009,2,50</t>
  </si>
  <si>
    <t>布鲁克</t>
  </si>
  <si>
    <t>1001,630007,1,50</t>
  </si>
  <si>
    <t>黄猿</t>
  </si>
  <si>
    <t>1001,630009,1,50</t>
  </si>
  <si>
    <t>赤犬</t>
  </si>
  <si>
    <t>1001,630011,1,50</t>
  </si>
  <si>
    <t>路奇</t>
  </si>
  <si>
    <t>1001,620019,2,50</t>
  </si>
  <si>
    <t>杰布拉（狼人）</t>
  </si>
  <si>
    <t>1001,620020,2,50</t>
  </si>
  <si>
    <t>佳妮法</t>
  </si>
  <si>
    <t>1001,620021,2,50</t>
  </si>
  <si>
    <t>单人世界BOSS卡古</t>
  </si>
  <si>
    <t>1001,620007,2,50</t>
  </si>
  <si>
    <t>罗宾</t>
  </si>
  <si>
    <t>90059,20;90060,35;90061,10;90062,13;90068,15;90075,7</t>
  </si>
  <si>
    <t>公会海战随机</t>
  </si>
  <si>
    <t>1001,620001,30,40;1001,620002,30,40;1001,620003,30,40;1001,620004,30,40;1001,620005,30,40;1001,620006,30,40;1001,620008,30,40;1001,620009,30,40;1001,620010,30,35;1001,620011,30,35;1001,620012,30,35;1001,620013,30,35;1001,620014,30,35;1001,620015,30,35;1001,620017,30,60;1001,620019,30,60;1001,620020,30,60;1001,620021,30,60;1001,620016,30,60;1001,620007,30,50;1001,620025,30,60;1001,620024,30,60;</t>
  </si>
  <si>
    <t>海战SR碎片群组</t>
  </si>
  <si>
    <t>1001,1100104,1,30;1001,1100204,1,40;1001,1100304,1,40;1001,1100404,1,6;1001,1100504,1,40;1001,1100604,1,40;1001,1100704,1,40;1001,1100804,1,40;1001,1100904,1,40;1001,1101004,1,40;1001,1101804,1,40;1001,1101904,1,40;1001,1102004,1,40;1001,1102104,1,40;1001,1100105,1,20;1001,1100205,1,20;1001,1100305,1,20;1001,1100405,1,3;1001,1100505,1,30;1001,1100605,1,30;1001,1100705,1,30;1001,1100805,1,30;1001,1100905,1,30;1001,1101005,1,30;1001,1101805,1,20;1001,1101905,1,20;1001,1102005,1,20;1001,1102105,1,20;1001,1100106,1,10;1001,1100206,1,10;1001,1100306,1,10;1001,1100406,1,1;1001,1100506,1,15;1001,1100606,1,15;1001,1100706,1,15;1001,1100806,1,15;1001,1100906,1,15;1001,1101006,1,15;1001,1101806,1,10;1001,1101906,1,10;1001,1102006,1,10;1001,1102106,1,10;</t>
  </si>
  <si>
    <t>海战宝石群组</t>
  </si>
  <si>
    <t>1001,214008,2,950;1001,214008,3,50</t>
  </si>
  <si>
    <t>海战技能重置书群组</t>
  </si>
  <si>
    <t>1200,20601,1,55;1200,20602,1,55;1200,20603,1,55;1200,20604,1,55;1200,20501,1,50;1200,20502,1,50;1200,20503,1,50;1200,20504,1,50;1200,20101,1,40;1200,20102,1,40;1200,20103,1,40;1200,20104,1,40;1200,20401,1,40;1200,20402,1,40;1200,20403,1,40;1200,20404,1,40;1200,20701,1,30;1200,20702,1,30;1200,20703,1,30;1200,20704,1,30;1200,20801,1,15;1200,20802,1,15;1200,20803,1,15;1200,20804,1,15;1200,20201,1,15;1200,20202,1,15;1200,20203,1,15;1200,20204,1,15;1200,20301,1,5;1200,20302,1,5;1200,20303,1,5;1200,20304,1,5;</t>
  </si>
  <si>
    <t>海战60英雄套装群组</t>
  </si>
  <si>
    <t>1001,620026,2,50</t>
  </si>
  <si>
    <t>龙马</t>
  </si>
  <si>
    <t>1001,620024,2,50</t>
  </si>
  <si>
    <t>豪格巴克</t>
  </si>
  <si>
    <t>1001,620025,2,50</t>
  </si>
  <si>
    <t>佩罗娜</t>
  </si>
  <si>
    <t>1001,620023,2,50</t>
  </si>
  <si>
    <t>阿布萨罗姆</t>
  </si>
  <si>
    <t>1001,630005,1,50</t>
  </si>
  <si>
    <t>莫利亚</t>
  </si>
  <si>
    <t>1200,2800401,1,8;1200,2800402,1,8;1200,2800403,1,8;1200,2800404,1,8;1200,2800101,1,10;1200,2800102,1,10;1200,2800103,1,12;1200,2800104,1,12;1200,2800701,1,12;1200,2800702,1,12;1200,2800703,1,12;1200,2800704,1,12;1200,2800801,1,25;1200,2800802,1,25;1200,2800803,1,25;1200,2800804,1,25;1200,2800901,1,25;1200,2800902,1,25;1200,2800903,1,25;1200,2800904,1,25;1200,2801001,1,25;1200,2801002,1,25;1200,2801003,1,25;1200,2801004,1,25;1200,2801201,1,30;1200,2801202,1,30;1200,2801203,1,30;1200,2801204,1,30;1200,2800201,1,38;1200,2800202,1,38;1200,2800203,1,38;1200,2800204,1,38;1200,2800501,1,38;1200,2800502,1,38;1200,2800503,1,38;1200,2800504,1,38;1200,2800601,1,38;1200,2800602,1,38;1200,2800603,1,38;1200,2800604,1,38;</t>
  </si>
  <si>
    <t>海战80英雄套装群组</t>
  </si>
  <si>
    <t>1200,2801203,1,1;1200,2801204,1,1</t>
  </si>
  <si>
    <t>85声望-繁星戒指，繁星项链</t>
  </si>
  <si>
    <t>1001,630012,1,100</t>
  </si>
  <si>
    <t>甚平</t>
  </si>
  <si>
    <t>1001,630014,1,100</t>
  </si>
  <si>
    <t>罗</t>
  </si>
  <si>
    <t>1001,630005,1,100</t>
  </si>
  <si>
    <t>1001,630015,1,100</t>
  </si>
  <si>
    <t>基德</t>
  </si>
  <si>
    <t>1001,620028,1,100</t>
  </si>
  <si>
    <t>1200,3000401,1,5;1200,3000402,1,5;1200,3000403,1,5;1200,3000404,1,5;1200,3000801,1,20;1200,3000802,1,20;1200,3000803,1,20;1200,3000804,1,20;1200,3000101,1,20;1200,3000102,1,20;1200,3000103,1,20;1200,3000104,1,20;1200,3001401,1,20;1200,3001402,1,20;1200,3001403,1,20;1200,3001404,1,20;1200,3001101,1,60;1200,3001102,1,60;1200,3001103,1,60;1200,3001104,1,60;1200,3000501,1,60;1200,3000502,1,60;1200,3000503,1,60;1200,3000504,1,60;1200,3001201,1,65;1200,3001202,1,65;1200,3001203,1,65;1200,3001204,1,65;</t>
  </si>
  <si>
    <t>海战100英雄套装群组</t>
  </si>
  <si>
    <t>1200,3000101,1,1;1200,3000104,1,1</t>
  </si>
  <si>
    <t>100声望-提督武器，提督项链</t>
  </si>
  <si>
    <t>90078,15;90079,20;90080,25;90081,30;90082,10</t>
  </si>
  <si>
    <t>海战新掉落</t>
  </si>
  <si>
    <t>1001,630012,3,100;1001,630016,3,100;1001,630015,3,100;1001,630005,3,100;1001,630014,3,100</t>
  </si>
  <si>
    <t>海战新掉落——SSR碎片</t>
  </si>
  <si>
    <t>1001,1100105,1,20;1001,1100205,1,20;1001,1100305,1,20;1001,1100405,1,3;1001,1100505,1,30;1001,1100605,1,30;1001,1100705,1,30;1001,1100805,1,30;1001,1100905,1,30;1001,1101005,1,30;1001,1101805,1,20;1001,1101905,1,20;1001,1102005,1,20;1001,1102105,1,20;1001,1100106,1,10;1001,1100206,1,10;1001,1100306,1,10;1001,1100406,1,1;1001,1100506,1,15;1001,1100606,1,15;1001,1100706,1,15;1001,1100806,1,15;1001,1100906,1,15;1001,1101006,1,15;1001,1101806,1,10;1001,1101906,1,10;1001,1102006,1,10;1001,1102106,1,10;</t>
  </si>
  <si>
    <t>海战新掉落——5、6级宝石，新掉落宝箱用</t>
  </si>
  <si>
    <t>1001,511380,1,100</t>
  </si>
  <si>
    <t>海战新掉落——80级套装箱</t>
  </si>
  <si>
    <t>1001,511381,1,100</t>
  </si>
  <si>
    <t>海战新掉落——100级套装箱</t>
  </si>
  <si>
    <t>1001,216002,2,100</t>
  </si>
  <si>
    <t>海战新掉落——重铸石</t>
  </si>
  <si>
    <t>90084,100;90085,100;90086,150;90087,150;90088,250;90089,250</t>
  </si>
  <si>
    <t>1200,2800401,1,1;1200,2800402,1,1;1200,2800403,1,1;1200,2800404,1,1;</t>
  </si>
  <si>
    <t>警卫</t>
  </si>
  <si>
    <t>1200,2800701,1,1;1200,2800702,1,1;1200,2800703,1,1;1200,2800704,1,1;</t>
  </si>
  <si>
    <t>决斗者</t>
  </si>
  <si>
    <t>1200,2800901,1,1;1200,2800902,1,1;1200,2800903,1,1;1200,2800904,1,1;</t>
  </si>
  <si>
    <t>勇士</t>
  </si>
  <si>
    <t>1200,2801001,1,1;1200,2801002,1,1;1200,2801003,1,1;1200,2801004,1,1;</t>
  </si>
  <si>
    <t>斩击者</t>
  </si>
  <si>
    <t>1200,2800801,1,1;1200,2800802,1,1;1200,2800803,1,1;1200,2800804,1,1;</t>
  </si>
  <si>
    <t>首领</t>
  </si>
  <si>
    <t>1200,2801201,1,1;1200,2801202,1,1;1200,2801203,1,1;1200,2801204,1,1;</t>
  </si>
  <si>
    <t>繁星</t>
  </si>
  <si>
    <t>90091,60;90092,120;90093,60;90094,200;90095,200;90096,180;90097,180;</t>
  </si>
  <si>
    <t>1200,3000301,1,1;1200,3000302,1,1;1200,3000303,1,1;1200,3000304,1,1;</t>
  </si>
  <si>
    <t>处刑</t>
  </si>
  <si>
    <t>1200,3001601,1,1;1200,3001602,1,1;1200,3001603,1,1;1200,3001604,1,1;</t>
  </si>
  <si>
    <t>大主教</t>
  </si>
  <si>
    <t>1200,3001001,1,1;1200,3001002,1,1;1200,3001003,1,1;1200,3001004,1,1;</t>
  </si>
  <si>
    <t>领主</t>
  </si>
  <si>
    <t>1200,3000801,1,1;1200,3000802,1,1;1200,3000803,1,1;1200,3000804,1,1;</t>
  </si>
  <si>
    <t>指挥</t>
  </si>
  <si>
    <t>1200,3000101,1,1;1200,3000102,1,1;1200,3000103,1,1;1200,3000104,1,1;</t>
  </si>
  <si>
    <t>提督</t>
  </si>
  <si>
    <t>1200,3000901,1,1;1200,3000902,1,1;1200,3000903,1,1;1200,3000904,1,1;</t>
  </si>
  <si>
    <t>游侠</t>
  </si>
  <si>
    <t>1200,3000401,1,1;1200,3000402,1,1;1200,3000403,1,1;1200,3000404,1,1;</t>
  </si>
  <si>
    <t>堡垒</t>
  </si>
  <si>
    <t>1200,3000102,1,1;1200,3000103,1,1</t>
  </si>
  <si>
    <t>100声望-提督防具，提督戒指</t>
  </si>
  <si>
    <t>1001,630052,1,50</t>
  </si>
  <si>
    <t>新世界鲁兹</t>
  </si>
  <si>
    <t>1200,2801301,1,15;1200,2801302,1,15;1200,2801303,1,15;1200,2801304,1,15;1200,2801101,1,15;1200,2801102,1,15;1200,2801103,1,15;1200,2801104,1,15;1200,2801001,1,35;1200,2801002,1,35;1200,2801003,1,35;1200,2801004,1,35;1200,2800901,1,35;1200,2800902,1,35;1200,2800903,1,35;1200,2800904,1,35</t>
  </si>
  <si>
    <t>海战新奖励80级装备箱</t>
  </si>
  <si>
    <t>1200,3002201,1,30;1200,3002202,1,30;1200,3002203,1,30;1200,3002204,1,30;1200,3002601,1,30;1200,3002602,1,30;1200,3002603,1,30;1200,3002604,1,30;1200,3002701,1,30;1200,3002702,1,30;1200,3002703,1,30;1200,3002704,1,30;1200,3002801,1,5;1200,3002802,1,5;1200,3002803,1,5;1200,3002804,1,5;1200,3003201,1,5;1200,3003202,1,5;1200,3003203,1,5;1200,3003204,1,5</t>
  </si>
  <si>
    <t>海战新奖励100级装备箱</t>
  </si>
  <si>
    <t>1001,470015,1,100;1001,470015,10,100;1001,470015,20,100</t>
  </si>
  <si>
    <t>鲅鱼</t>
  </si>
  <si>
    <t>1001,470016,1,100;1001,470016,10,100;1001,470016,20,100</t>
  </si>
  <si>
    <t>鲈鱼</t>
  </si>
  <si>
    <t>1001,470017,1,100;1001,470017,10,100;1001,470017,20,100</t>
  </si>
  <si>
    <t>金枪鱼</t>
  </si>
  <si>
    <t>1001,470015,100,100;1001,470016,100,100;1001,470017,200,100</t>
  </si>
  <si>
    <t>海鱼大礼包</t>
  </si>
  <si>
    <t>5,0,1000,450;5,0,2000,300;5,0,5000,100;1001,212001,2,50;1001,212001,1,100</t>
  </si>
  <si>
    <t>低保箱</t>
  </si>
  <si>
    <t>5,0,1000,450;5,0,2000,200;5,0,5000,100;1001,212001,2,50;1001,212001,1,100;1902,0,6,100</t>
  </si>
  <si>
    <t>失败补偿箱</t>
  </si>
  <si>
    <t>1001,511027,1,90;1001,511027,2,10</t>
  </si>
  <si>
    <t>打捞绿色</t>
  </si>
  <si>
    <t>1001,511027,1,70;1001,512027,1,30</t>
  </si>
  <si>
    <t>打捞蓝色</t>
  </si>
  <si>
    <t>1001,512027,1,65;1001,512027,3,20;1001,513027,1,15;</t>
  </si>
  <si>
    <t>打捞紫色</t>
  </si>
  <si>
    <t>1001,513027,2,40;1001,513027,3,20;1001,514027,1,40;1001,515030,1,1</t>
  </si>
  <si>
    <t>打捞橙色</t>
  </si>
  <si>
    <t>1001,513027,2,65;1001,514027,2,25;1001,515027,3,10</t>
  </si>
  <si>
    <t>打捞金色</t>
  </si>
  <si>
    <t>1001,511029,1,90;1001,511029,2,10</t>
  </si>
  <si>
    <t>下潜绿色</t>
  </si>
  <si>
    <t>1001,511029,1,70;1001,512029,1,30</t>
  </si>
  <si>
    <t>下潜蓝色</t>
  </si>
  <si>
    <t>1001,512029,1,65;1001,512029,3,20;1001,513029,1,15;</t>
  </si>
  <si>
    <t>下潜紫色</t>
  </si>
  <si>
    <t>1001,513029,2,40;1001,513029,3,20;1001,514029,1,40;1001,515030,1,1</t>
  </si>
  <si>
    <t>下潜橙色</t>
  </si>
  <si>
    <t>1001,513029,2,65;1001,514029,2,25;1001,515029,3,10</t>
  </si>
  <si>
    <t>下潜金色</t>
  </si>
  <si>
    <t>1001,511028,1,90;1001,511028,2,10</t>
  </si>
  <si>
    <t>救援绿色</t>
  </si>
  <si>
    <t>1001,511028,1,70;1001,512028,1,30</t>
  </si>
  <si>
    <t>救援蓝色</t>
  </si>
  <si>
    <t>1001,512028,1,65;1001,512028,3,20;1001,513028,1,15;</t>
  </si>
  <si>
    <t>救援紫色</t>
  </si>
  <si>
    <t>1001,513028,2,40;1001,513028,3,20;1001,514028,1,40;1001,515030,1,1</t>
  </si>
  <si>
    <t>救援橙色</t>
  </si>
  <si>
    <t>1001,513028,2,65;1001,514028,2,25;1001,515028,3,10</t>
  </si>
  <si>
    <t>救援金色</t>
  </si>
  <si>
    <t>1001,470015,2,80;1001,470015,6,20</t>
  </si>
  <si>
    <t>捕鱼绿色</t>
  </si>
  <si>
    <t>1001,470015,4,80;1001,470015,6,15;1001,470016,1,5</t>
  </si>
  <si>
    <t>捕鱼蓝色</t>
  </si>
  <si>
    <t>1001,470015,10,63;1001,470016,2,27;1001,470016,4,10</t>
  </si>
  <si>
    <t>捕鱼紫色</t>
  </si>
  <si>
    <t>1001,470016,10,106;1001,470017,2,74;1001,470017,1,20;1001,515030,1,1</t>
  </si>
  <si>
    <t>捕鱼橙色</t>
  </si>
  <si>
    <t>1001,470016,20,50;1001,470017,3,30;1001,470017,6,20</t>
  </si>
  <si>
    <t>捕鱼金色</t>
  </si>
  <si>
    <t>1001,511027,1,33;1001,511028,1,33;1001,511029,1,33</t>
  </si>
  <si>
    <t>绿色大航海材料集合</t>
  </si>
  <si>
    <t>1001,512027,1,33;1001,512028,1,33;1001,512029,1,33</t>
  </si>
  <si>
    <t>蓝色大航海材料集合</t>
  </si>
  <si>
    <t>1001,513027,1,33;1001,513028,1,33;1001,513029,1,33</t>
  </si>
  <si>
    <t>紫色大航海材料集合</t>
  </si>
  <si>
    <t>1001,514027,1,33;1001,514028,1,33;1001,514029,1,33</t>
  </si>
  <si>
    <t>橙色大航海材料集合</t>
  </si>
  <si>
    <t>1001,515027,1,33;1001,515028,1,33;1001,515029,1,33</t>
  </si>
  <si>
    <t>金色大航海材料集合</t>
  </si>
  <si>
    <t>100122,75;100123,20;100124,5</t>
  </si>
  <si>
    <t>鱼获兑换1</t>
  </si>
  <si>
    <t>100122,30;100123,50;100124,15;100125,5</t>
  </si>
  <si>
    <t>鱼获兑换2</t>
  </si>
  <si>
    <t>100122,20;100123,25;100124,30;100125,15;100126,10</t>
  </si>
  <si>
    <t>鱼获兑换3</t>
  </si>
  <si>
    <t>100102,18;100100,82</t>
  </si>
  <si>
    <t>打捞绿色组</t>
  </si>
  <si>
    <t>100103,12;100100,88</t>
  </si>
  <si>
    <t>打捞蓝色组</t>
  </si>
  <si>
    <t>100104,8;100100,92</t>
  </si>
  <si>
    <t>打捞紫色组</t>
  </si>
  <si>
    <t>100105,4;100100,96</t>
  </si>
  <si>
    <t>打捞橙色组</t>
  </si>
  <si>
    <t>100107,18;100100,82</t>
  </si>
  <si>
    <t>下潜绿色组</t>
  </si>
  <si>
    <t>100108,12;100100,88</t>
  </si>
  <si>
    <t>下潜蓝色组</t>
  </si>
  <si>
    <t>100109,8;100100,92</t>
  </si>
  <si>
    <t>下潜紫色组</t>
  </si>
  <si>
    <t>100110,4;100100,96</t>
  </si>
  <si>
    <t>下潜橙色组</t>
  </si>
  <si>
    <t>100112,18;100100,82</t>
  </si>
  <si>
    <t>救援绿色组</t>
  </si>
  <si>
    <t>100113,12;100100,88</t>
  </si>
  <si>
    <t>救援蓝色组</t>
  </si>
  <si>
    <t>100114,8;100100,92</t>
  </si>
  <si>
    <t>救援紫色组</t>
  </si>
  <si>
    <t>100115,4;100100,96</t>
  </si>
  <si>
    <t>救援橙色组</t>
  </si>
  <si>
    <t>100117,18;100100,82</t>
  </si>
  <si>
    <t>捕鱼绿色组</t>
  </si>
  <si>
    <t>100118,12;100100,88</t>
  </si>
  <si>
    <t>捕鱼蓝色组</t>
  </si>
  <si>
    <t>100119,8;100100,92</t>
  </si>
  <si>
    <t>捕鱼紫色组</t>
  </si>
  <si>
    <t>100120,4;100100,96</t>
  </si>
  <si>
    <t>捕鱼橙色组</t>
  </si>
  <si>
    <t>100102,36;100100,64</t>
  </si>
  <si>
    <t>打捞绿色组50</t>
  </si>
  <si>
    <t>100102,54;100100,46</t>
  </si>
  <si>
    <t>打捞绿色组100</t>
  </si>
  <si>
    <t>100102,72;100100,18</t>
  </si>
  <si>
    <t>打捞绿色组150</t>
  </si>
  <si>
    <t>100102,90;100100,10</t>
  </si>
  <si>
    <t>打捞绿色组200</t>
  </si>
  <si>
    <t>100102,100;100100,0</t>
  </si>
  <si>
    <t>打捞绿色组250</t>
  </si>
  <si>
    <t>打捞绿色组300</t>
  </si>
  <si>
    <t>打捞绿色组350</t>
  </si>
  <si>
    <t>打捞绿色组400</t>
  </si>
  <si>
    <t>打捞蓝色组150</t>
  </si>
  <si>
    <t>100103,24;100100,76</t>
  </si>
  <si>
    <t>打捞蓝色组200</t>
  </si>
  <si>
    <t>100103,36;100100,64</t>
  </si>
  <si>
    <t>打捞蓝色组250</t>
  </si>
  <si>
    <t>100103,48;100100,52</t>
  </si>
  <si>
    <t>打捞蓝色组300</t>
  </si>
  <si>
    <t>100103,60;100100,40</t>
  </si>
  <si>
    <t>打捞蓝色组350</t>
  </si>
  <si>
    <t>100103,72;100100,28</t>
  </si>
  <si>
    <t>打捞蓝色组400</t>
  </si>
  <si>
    <t>100103,84;100100,16</t>
  </si>
  <si>
    <t>打捞蓝色组450</t>
  </si>
  <si>
    <t>100103,96;100100,4</t>
  </si>
  <si>
    <t>打捞蓝色组500</t>
  </si>
  <si>
    <t>100103,100;100100,0</t>
  </si>
  <si>
    <t>打捞蓝色组550</t>
  </si>
  <si>
    <t>打捞紫色组500</t>
  </si>
  <si>
    <t>100104,16;100100,84</t>
  </si>
  <si>
    <t>打捞紫色组550</t>
  </si>
  <si>
    <t>100104,24;100100,76</t>
  </si>
  <si>
    <t>打捞紫色组600</t>
  </si>
  <si>
    <t>100104,32;100100,68</t>
  </si>
  <si>
    <t>打捞紫色组650</t>
  </si>
  <si>
    <t>100104,40;100100,60</t>
  </si>
  <si>
    <t>打捞紫色组700</t>
  </si>
  <si>
    <t>100104,48;100100,52</t>
  </si>
  <si>
    <t>打捞紫色组750</t>
  </si>
  <si>
    <t>100104,56;100100,44</t>
  </si>
  <si>
    <t>打捞紫色组800</t>
  </si>
  <si>
    <t>100104,64;100100,36</t>
  </si>
  <si>
    <t>打捞紫色组850</t>
  </si>
  <si>
    <t>100104,72;100100,18</t>
  </si>
  <si>
    <t>打捞紫色组900</t>
  </si>
  <si>
    <t>100104,80;100100,20</t>
  </si>
  <si>
    <t>打捞紫色组950</t>
  </si>
  <si>
    <t>100104,88;100100,12</t>
  </si>
  <si>
    <t>打捞紫色组1000</t>
  </si>
  <si>
    <t>100104,96;100100,4</t>
  </si>
  <si>
    <t>打捞紫色组1050</t>
  </si>
  <si>
    <t>100104,100;100100,0</t>
  </si>
  <si>
    <t>打捞紫色组1100</t>
  </si>
  <si>
    <t>打捞橙色组700</t>
  </si>
  <si>
    <t>100105,8;100100,92</t>
  </si>
  <si>
    <t>打捞橙色组750</t>
  </si>
  <si>
    <t>100105,12;100100,88</t>
  </si>
  <si>
    <t>打捞橙色组800</t>
  </si>
  <si>
    <t>100105,16;100100,84</t>
  </si>
  <si>
    <t>打捞橙色组850</t>
  </si>
  <si>
    <t>100105,20;100100,80</t>
  </si>
  <si>
    <t>打捞橙色组900</t>
  </si>
  <si>
    <t>100105,24;100100,76</t>
  </si>
  <si>
    <t>打捞橙色组950</t>
  </si>
  <si>
    <t>100105,28;100100,72</t>
  </si>
  <si>
    <t>打捞橙色组1000</t>
  </si>
  <si>
    <t>100105,32;100100,68</t>
  </si>
  <si>
    <t>打捞橙色组1050</t>
  </si>
  <si>
    <t>100105,36;100100,64</t>
  </si>
  <si>
    <t>打捞橙色组1100</t>
  </si>
  <si>
    <t>100105,40;100100,60</t>
  </si>
  <si>
    <t>打捞橙色组1150</t>
  </si>
  <si>
    <t>100105,44;100100,56</t>
  </si>
  <si>
    <t>打捞橙色组1200</t>
  </si>
  <si>
    <t>100105,48;100100,52</t>
  </si>
  <si>
    <t>打捞橙色组1250</t>
  </si>
  <si>
    <t>100105,52;100100,48</t>
  </si>
  <si>
    <t>打捞橙色组1300</t>
  </si>
  <si>
    <t>100105,56;100100,44</t>
  </si>
  <si>
    <t>打捞橙色组1350</t>
  </si>
  <si>
    <t>100105,60;100100,40</t>
  </si>
  <si>
    <t>打捞橙色组1400</t>
  </si>
  <si>
    <t>100105,64;100100,36</t>
  </si>
  <si>
    <t>打捞橙色组1450</t>
  </si>
  <si>
    <t>100105,68;100100,32</t>
  </si>
  <si>
    <t>打捞橙色组1500</t>
  </si>
  <si>
    <t>100105,72;100100,28</t>
  </si>
  <si>
    <t>打捞橙色组1550</t>
  </si>
  <si>
    <t>100105,76;100100,24</t>
  </si>
  <si>
    <t>打捞橙色组1600</t>
  </si>
  <si>
    <t>100105,80;100100,20</t>
  </si>
  <si>
    <t>打捞橙色组1650</t>
  </si>
  <si>
    <t>100105,84;100100,16</t>
  </si>
  <si>
    <t>打捞橙色组1700</t>
  </si>
  <si>
    <t>100105,88;100100,12</t>
  </si>
  <si>
    <t>打捞橙色组1750</t>
  </si>
  <si>
    <t>100105,92;100100,8</t>
  </si>
  <si>
    <t>打捞橙色组1800</t>
  </si>
  <si>
    <t>100105,96;100100,4</t>
  </si>
  <si>
    <t>打捞橙色组1850</t>
  </si>
  <si>
    <t>100105,100;100100,0</t>
  </si>
  <si>
    <t>打捞橙色组1900</t>
  </si>
  <si>
    <t>100107,36;100100,64</t>
  </si>
  <si>
    <t>下潜绿色组50</t>
  </si>
  <si>
    <t>100107,54;100100,46</t>
  </si>
  <si>
    <t>下潜绿色组100</t>
  </si>
  <si>
    <t>100107,72;100100,18</t>
  </si>
  <si>
    <t>下潜绿色组150</t>
  </si>
  <si>
    <t>100107,90;100100,10</t>
  </si>
  <si>
    <t>下潜绿色组200</t>
  </si>
  <si>
    <t>100107,100;100100,0</t>
  </si>
  <si>
    <t>下潜绿色组250</t>
  </si>
  <si>
    <t>下潜绿色组300</t>
  </si>
  <si>
    <t>下潜绿色组350</t>
  </si>
  <si>
    <t>下潜绿色组400</t>
  </si>
  <si>
    <t>下潜蓝色组150</t>
  </si>
  <si>
    <t>100108,24;100100,76</t>
  </si>
  <si>
    <t>下潜蓝色组200</t>
  </si>
  <si>
    <t>100108,36;100100,64</t>
  </si>
  <si>
    <t>下潜蓝色组250</t>
  </si>
  <si>
    <t>100108,48;100100,52</t>
  </si>
  <si>
    <t>下潜蓝色组300</t>
  </si>
  <si>
    <t>100108,60;100100,40</t>
  </si>
  <si>
    <t>下潜蓝色组350</t>
  </si>
  <si>
    <t>100108,72;100100,28</t>
  </si>
  <si>
    <t>下潜蓝色组400</t>
  </si>
  <si>
    <t>100108,84;100100,16</t>
  </si>
  <si>
    <t>下潜蓝色组450</t>
  </si>
  <si>
    <t>100108,96;100100,4</t>
  </si>
  <si>
    <t>下潜蓝色组500</t>
  </si>
  <si>
    <t>100108,100;100100,0</t>
  </si>
  <si>
    <t>下潜蓝色组550</t>
  </si>
  <si>
    <t>下潜紫色组500</t>
  </si>
  <si>
    <t>100109,16;100100,84</t>
  </si>
  <si>
    <t>下潜紫色组550</t>
  </si>
  <si>
    <t>100109,24;100100,76</t>
  </si>
  <si>
    <t>下潜紫色组600</t>
  </si>
  <si>
    <t>100109,32;100100,68</t>
  </si>
  <si>
    <t>下潜紫色组650</t>
  </si>
  <si>
    <t>100109,40;100100,60</t>
  </si>
  <si>
    <t>下潜紫色组700</t>
  </si>
  <si>
    <t>100109,48;100100,52</t>
  </si>
  <si>
    <t>下潜紫色组750</t>
  </si>
  <si>
    <t>100109,56;100100,44</t>
  </si>
  <si>
    <t>下潜紫色组800</t>
  </si>
  <si>
    <t>100109,64;100100,36</t>
  </si>
  <si>
    <t>下潜紫色组850</t>
  </si>
  <si>
    <t>100109,72;100100,18</t>
  </si>
  <si>
    <t>下潜紫色组900</t>
  </si>
  <si>
    <t>100109,80;100100,20</t>
  </si>
  <si>
    <t>下潜紫色组950</t>
  </si>
  <si>
    <t>100109,88;100100,12</t>
  </si>
  <si>
    <t>下潜紫色组1000</t>
  </si>
  <si>
    <t>100109,96;100100,4</t>
  </si>
  <si>
    <t>下潜紫色组1050</t>
  </si>
  <si>
    <t>100109,100;100100,0</t>
  </si>
  <si>
    <t>下潜紫色组1100</t>
  </si>
  <si>
    <t>下潜橙色组700</t>
  </si>
  <si>
    <t>100110,8;100100,92</t>
  </si>
  <si>
    <t>下潜橙色组750</t>
  </si>
  <si>
    <t>100110,12;100100,88</t>
  </si>
  <si>
    <t>下潜橙色组800</t>
  </si>
  <si>
    <t>100110,16;100100,84</t>
  </si>
  <si>
    <t>下潜橙色组850</t>
  </si>
  <si>
    <t>100110,20;100100,80</t>
  </si>
  <si>
    <t>下潜橙色组900</t>
  </si>
  <si>
    <t>100110,24;100100,76</t>
  </si>
  <si>
    <t>下潜橙色组950</t>
  </si>
  <si>
    <t>100110,28;100100,72</t>
  </si>
  <si>
    <t>下潜橙色组1000</t>
  </si>
  <si>
    <t>100110,32;100100,68</t>
  </si>
  <si>
    <t>下潜橙色组1050</t>
  </si>
  <si>
    <t>100110,36;100100,64</t>
  </si>
  <si>
    <t>下潜橙色组1100</t>
  </si>
  <si>
    <t>100110,40;100100,60</t>
  </si>
  <si>
    <t>下潜橙色组1150</t>
  </si>
  <si>
    <t>100110,44;100100,56</t>
  </si>
  <si>
    <t>下潜橙色组1200</t>
  </si>
  <si>
    <t>100110,48;100100,52</t>
  </si>
  <si>
    <t>下潜橙色组1250</t>
  </si>
  <si>
    <t>100110,52;100100,48</t>
  </si>
  <si>
    <t>下潜橙色组1300</t>
  </si>
  <si>
    <t>100110,56;100100,44</t>
  </si>
  <si>
    <t>下潜橙色组1350</t>
  </si>
  <si>
    <t>100110,60;100100,40</t>
  </si>
  <si>
    <t>下潜橙色组1400</t>
  </si>
  <si>
    <t>100110,64;100100,36</t>
  </si>
  <si>
    <t>下潜橙色组1450</t>
  </si>
  <si>
    <t>100110,68;100100,32</t>
  </si>
  <si>
    <t>下潜橙色组1500</t>
  </si>
  <si>
    <t>100110,72;100100,28</t>
  </si>
  <si>
    <t>下潜橙色组1550</t>
  </si>
  <si>
    <t>100110,76;100100,24</t>
  </si>
  <si>
    <t>下潜橙色组1600</t>
  </si>
  <si>
    <t>100110,80;100100,20</t>
  </si>
  <si>
    <t>下潜橙色组1650</t>
  </si>
  <si>
    <t>100110,84;100100,16</t>
  </si>
  <si>
    <t>下潜橙色组1700</t>
  </si>
  <si>
    <t>100110,88;100100,12</t>
  </si>
  <si>
    <t>下潜橙色组1750</t>
  </si>
  <si>
    <t>100110,92;100100,8</t>
  </si>
  <si>
    <t>下潜橙色组1800</t>
  </si>
  <si>
    <t>100110,96;100100,4</t>
  </si>
  <si>
    <t>下潜橙色组1850</t>
  </si>
  <si>
    <t>100110,100;100100,0</t>
  </si>
  <si>
    <t>下潜橙色组1900</t>
  </si>
  <si>
    <t>100112,36;100100,64</t>
  </si>
  <si>
    <t>救援绿色组50</t>
  </si>
  <si>
    <t>100112,54;100100,46</t>
  </si>
  <si>
    <t>救援绿色组100</t>
  </si>
  <si>
    <t>100112,72;100100,18</t>
  </si>
  <si>
    <t>救援绿色组150</t>
  </si>
  <si>
    <t>100112,90;100100,10</t>
  </si>
  <si>
    <t>救援绿色组200</t>
  </si>
  <si>
    <t>100112,100;100100,0</t>
  </si>
  <si>
    <t>救援绿色组250</t>
  </si>
  <si>
    <t>救援绿色组300</t>
  </si>
  <si>
    <t>救援绿色组350</t>
  </si>
  <si>
    <t>救援绿色组400</t>
  </si>
  <si>
    <t>救援蓝色组150</t>
  </si>
  <si>
    <t>100113,24;100100,76</t>
  </si>
  <si>
    <t>救援蓝色组200</t>
  </si>
  <si>
    <t>100113,36;100100,64</t>
  </si>
  <si>
    <t>救援蓝色组250</t>
  </si>
  <si>
    <t>100113,48;100100,52</t>
  </si>
  <si>
    <t>救援蓝色组300</t>
  </si>
  <si>
    <t>100113,60;100100,40</t>
  </si>
  <si>
    <t>救援蓝色组350</t>
  </si>
  <si>
    <t>100113,72;100100,28</t>
  </si>
  <si>
    <t>救援蓝色组400</t>
  </si>
  <si>
    <t>100113,84;100100,16</t>
  </si>
  <si>
    <t>救援蓝色组450</t>
  </si>
  <si>
    <t>100113,96;100100,4</t>
  </si>
  <si>
    <t>救援蓝色组500</t>
  </si>
  <si>
    <t>100113,100;100100,0</t>
  </si>
  <si>
    <t>救援蓝色组550</t>
  </si>
  <si>
    <t>救援紫色组500</t>
  </si>
  <si>
    <t>100114,16;100100,84</t>
  </si>
  <si>
    <t>救援紫色组550</t>
  </si>
  <si>
    <t>100114,24;100100,76</t>
  </si>
  <si>
    <t>救援紫色组600</t>
  </si>
  <si>
    <t>100114,32;100100,68</t>
  </si>
  <si>
    <t>救援紫色组650</t>
  </si>
  <si>
    <t>100114,40;100100,60</t>
  </si>
  <si>
    <t>救援紫色组700</t>
  </si>
  <si>
    <t>100114,48;100100,52</t>
  </si>
  <si>
    <t>救援紫色组750</t>
  </si>
  <si>
    <t>100114,56;100100,44</t>
  </si>
  <si>
    <t>救援紫色组800</t>
  </si>
  <si>
    <t>100114,64;100100,36</t>
  </si>
  <si>
    <t>救援紫色组850</t>
  </si>
  <si>
    <t>100114,72;100100,18</t>
  </si>
  <si>
    <t>救援紫色组900</t>
  </si>
  <si>
    <t>100114,80;100100,20</t>
  </si>
  <si>
    <t>救援紫色组950</t>
  </si>
  <si>
    <t>100114,88;100100,12</t>
  </si>
  <si>
    <t>救援紫色组1000</t>
  </si>
  <si>
    <t>100114,96;100100,4</t>
  </si>
  <si>
    <t>救援紫色组1050</t>
  </si>
  <si>
    <t>100114,100;100100,0</t>
  </si>
  <si>
    <t>救援紫色组1100</t>
  </si>
  <si>
    <t>救援橙色组700</t>
  </si>
  <si>
    <t>100115,8;100100,92</t>
  </si>
  <si>
    <t>救援橙色组750</t>
  </si>
  <si>
    <t>100115,12;100100,88</t>
  </si>
  <si>
    <t>救援橙色组800</t>
  </si>
  <si>
    <t>100115,16;100100,84</t>
  </si>
  <si>
    <t>救援橙色组850</t>
  </si>
  <si>
    <t>100115,20;100100,80</t>
  </si>
  <si>
    <t>救援橙色组900</t>
  </si>
  <si>
    <t>100115,24;100100,76</t>
  </si>
  <si>
    <t>救援橙色组950</t>
  </si>
  <si>
    <t>100115,28;100100,72</t>
  </si>
  <si>
    <t>救援橙色组1000</t>
  </si>
  <si>
    <t>100115,32;100100,68</t>
  </si>
  <si>
    <t>救援橙色组1050</t>
  </si>
  <si>
    <t>100115,36;100100,64</t>
  </si>
  <si>
    <t>救援橙色组1100</t>
  </si>
  <si>
    <t>100115,40;100100,60</t>
  </si>
  <si>
    <t>救援橙色组1150</t>
  </si>
  <si>
    <t>100115,44;100100,56</t>
  </si>
  <si>
    <t>救援橙色组1200</t>
  </si>
  <si>
    <t>100115,48;100100,52</t>
  </si>
  <si>
    <t>救援橙色组1250</t>
  </si>
  <si>
    <t>100115,52;100100,48</t>
  </si>
  <si>
    <t>救援橙色组1300</t>
  </si>
  <si>
    <t>100115,56;100100,44</t>
  </si>
  <si>
    <t>救援橙色组1350</t>
  </si>
  <si>
    <t>100115,60;100100,40</t>
  </si>
  <si>
    <t>救援橙色组1400</t>
  </si>
  <si>
    <t>100115,64;100100,36</t>
  </si>
  <si>
    <t>救援橙色组1450</t>
  </si>
  <si>
    <t>100115,68;100100,32</t>
  </si>
  <si>
    <t>救援橙色组1500</t>
  </si>
  <si>
    <t>100115,72;100100,28</t>
  </si>
  <si>
    <t>救援橙色组1550</t>
  </si>
  <si>
    <t>100115,76;100100,24</t>
  </si>
  <si>
    <t>救援橙色组1600</t>
  </si>
  <si>
    <t>100115,80;100100,20</t>
  </si>
  <si>
    <t>救援橙色组1650</t>
  </si>
  <si>
    <t>100115,84;100100,16</t>
  </si>
  <si>
    <t>救援橙色组1700</t>
  </si>
  <si>
    <t>100115,88;100100,12</t>
  </si>
  <si>
    <t>救援橙色组1750</t>
  </si>
  <si>
    <t>100115,92;100100,8</t>
  </si>
  <si>
    <t>救援橙色组1800</t>
  </si>
  <si>
    <t>100115,96;100100,4</t>
  </si>
  <si>
    <t>救援橙色组1850</t>
  </si>
  <si>
    <t>100115,100;100100,0</t>
  </si>
  <si>
    <t>救援橙色组1900</t>
  </si>
  <si>
    <t>100117,36;100100,64</t>
  </si>
  <si>
    <t>捕鱼绿色组50</t>
  </si>
  <si>
    <t>100117,54;100100,46</t>
  </si>
  <si>
    <t>捕鱼绿色组100</t>
  </si>
  <si>
    <t>100117,72;100100,18</t>
  </si>
  <si>
    <t>捕鱼绿色组150</t>
  </si>
  <si>
    <t>100117,90;100100,10</t>
  </si>
  <si>
    <t>捕鱼绿色组200</t>
  </si>
  <si>
    <t>100117,100;100100,0</t>
  </si>
  <si>
    <t>捕鱼绿色组250</t>
  </si>
  <si>
    <t>捕鱼绿色组300</t>
  </si>
  <si>
    <t>捕鱼绿色组350</t>
  </si>
  <si>
    <t>捕鱼绿色组400</t>
  </si>
  <si>
    <t>捕鱼蓝色组150</t>
  </si>
  <si>
    <t>100118,24;100100,76</t>
  </si>
  <si>
    <t>捕鱼蓝色组200</t>
  </si>
  <si>
    <t>100118,36;100100,64</t>
  </si>
  <si>
    <t>捕鱼蓝色组250</t>
  </si>
  <si>
    <t>100118,48;100100,52</t>
  </si>
  <si>
    <t>捕鱼蓝色组300</t>
  </si>
  <si>
    <t>100118,60;100100,40</t>
  </si>
  <si>
    <t>捕鱼蓝色组350</t>
  </si>
  <si>
    <t>100118,72;100100,28</t>
  </si>
  <si>
    <t>捕鱼蓝色组400</t>
  </si>
  <si>
    <t>100118,84;100100,16</t>
  </si>
  <si>
    <t>捕鱼蓝色组450</t>
  </si>
  <si>
    <t>100118,96;100100,4</t>
  </si>
  <si>
    <t>捕鱼蓝色组500</t>
  </si>
  <si>
    <t>100118,100;100100,0</t>
  </si>
  <si>
    <t>捕鱼蓝色组550</t>
  </si>
  <si>
    <t>捕鱼紫色组500</t>
  </si>
  <si>
    <t>100119,16;100100,84</t>
  </si>
  <si>
    <t>捕鱼紫色组550</t>
  </si>
  <si>
    <t>100119,24;100100,76</t>
  </si>
  <si>
    <t>捕鱼紫色组600</t>
  </si>
  <si>
    <t>100119,32;100100,68</t>
  </si>
  <si>
    <t>捕鱼紫色组650</t>
  </si>
  <si>
    <t>100119,40;100100,60</t>
  </si>
  <si>
    <t>捕鱼紫色组700</t>
  </si>
  <si>
    <t>100119,48;100100,52</t>
  </si>
  <si>
    <t>捕鱼紫色组750</t>
  </si>
  <si>
    <t>100119,56;100100,44</t>
  </si>
  <si>
    <t>捕鱼紫色组800</t>
  </si>
  <si>
    <t>100119,64;100100,36</t>
  </si>
  <si>
    <t>捕鱼紫色组850</t>
  </si>
  <si>
    <t>100119,72;100100,18</t>
  </si>
  <si>
    <t>捕鱼紫色组900</t>
  </si>
  <si>
    <t>100119,80;100100,20</t>
  </si>
  <si>
    <t>捕鱼紫色组950</t>
  </si>
  <si>
    <t>100119,88;100100,12</t>
  </si>
  <si>
    <t>捕鱼紫色组1000</t>
  </si>
  <si>
    <t>100119,96;100100,4</t>
  </si>
  <si>
    <t>捕鱼紫色组1050</t>
  </si>
  <si>
    <t>100119,100;100100,0</t>
  </si>
  <si>
    <t>捕鱼紫色组1100</t>
  </si>
  <si>
    <t>捕鱼橙色组700</t>
  </si>
  <si>
    <t>100120,8;100100,92</t>
  </si>
  <si>
    <t>捕鱼橙色组750</t>
  </si>
  <si>
    <t>100120,12;100100,88</t>
  </si>
  <si>
    <t>捕鱼橙色组800</t>
  </si>
  <si>
    <t>100120,16;100100,84</t>
  </si>
  <si>
    <t>捕鱼橙色组850</t>
  </si>
  <si>
    <t>100120,20;100100,80</t>
  </si>
  <si>
    <t>捕鱼橙色组900</t>
  </si>
  <si>
    <t>100120,24;100100,76</t>
  </si>
  <si>
    <t>捕鱼橙色组950</t>
  </si>
  <si>
    <t>100120,28;100100,72</t>
  </si>
  <si>
    <t>捕鱼橙色组1000</t>
  </si>
  <si>
    <t>100120,32;100100,68</t>
  </si>
  <si>
    <t>捕鱼橙色组1050</t>
  </si>
  <si>
    <t>100120,36;100100,64</t>
  </si>
  <si>
    <t>捕鱼橙色组1100</t>
  </si>
  <si>
    <t>100120,40;100100,60</t>
  </si>
  <si>
    <t>捕鱼橙色组1150</t>
  </si>
  <si>
    <t>100120,44;100100,56</t>
  </si>
  <si>
    <t>捕鱼橙色组1200</t>
  </si>
  <si>
    <t>100120,48;100100,52</t>
  </si>
  <si>
    <t>捕鱼橙色组1250</t>
  </si>
  <si>
    <t>100120,52;100100,48</t>
  </si>
  <si>
    <t>捕鱼橙色组1300</t>
  </si>
  <si>
    <t>100120,56;100100,44</t>
  </si>
  <si>
    <t>捕鱼橙色组1350</t>
  </si>
  <si>
    <t>100120,60;100100,40</t>
  </si>
  <si>
    <t>捕鱼橙色组1400</t>
  </si>
  <si>
    <t>100120,64;100100,36</t>
  </si>
  <si>
    <t>捕鱼橙色组1450</t>
  </si>
  <si>
    <t>100120,68;100100,32</t>
  </si>
  <si>
    <t>捕鱼橙色组1500</t>
  </si>
  <si>
    <t>100120,72;100100,28</t>
  </si>
  <si>
    <t>捕鱼橙色组1550</t>
  </si>
  <si>
    <t>100120,76;100100,24</t>
  </si>
  <si>
    <t>捕鱼橙色组1600</t>
  </si>
  <si>
    <t>100120,80;100100,20</t>
  </si>
  <si>
    <t>捕鱼橙色组1650</t>
  </si>
  <si>
    <t>100120,84;100100,16</t>
  </si>
  <si>
    <t>捕鱼橙色组1700</t>
  </si>
  <si>
    <t>100120,88;100100,12</t>
  </si>
  <si>
    <t>捕鱼橙色组1750</t>
  </si>
  <si>
    <t>100120,92;100100,8</t>
  </si>
  <si>
    <t>捕鱼橙色组1800</t>
  </si>
  <si>
    <t>100120,96;100100,4</t>
  </si>
  <si>
    <t>捕鱼橙色组1850</t>
  </si>
  <si>
    <t>100120,100;100100,0</t>
  </si>
  <si>
    <t>捕鱼橙色组1900</t>
  </si>
  <si>
    <t>1902,0,2,100</t>
  </si>
  <si>
    <t>大航海币2个</t>
  </si>
  <si>
    <t>1902,0,3,100</t>
  </si>
  <si>
    <t>大航海币3个</t>
  </si>
  <si>
    <t>1902,0,5,100</t>
  </si>
  <si>
    <t>大航海币5个</t>
  </si>
  <si>
    <t>1902,0,8,99;1904,0,1,1</t>
  </si>
  <si>
    <t>大航海币8个</t>
  </si>
  <si>
    <t>1001,511027,999,100;1001,511028,999,100;1001,511029,999,100;1001,512027,999,100;1001,512028,999,100;1001,512029,999,100;1001,513027,999,100;1001,513028,999,100;1001,513029,999,100;1001,514027,999,100;1001,514028,999,100;1001,514029,999,100;1001,515027,999,100;1001,515028,999,100;1001,515029,999,100</t>
  </si>
  <si>
    <t>战船改造大礼包</t>
  </si>
  <si>
    <t>勇武套</t>
  </si>
  <si>
    <t>游侠套</t>
  </si>
  <si>
    <t>堡垒套</t>
  </si>
  <si>
    <t>指挥套</t>
  </si>
  <si>
    <t>提督套</t>
  </si>
  <si>
    <t>夜幕套</t>
  </si>
  <si>
    <t>糖果套</t>
  </si>
  <si>
    <t>起航套</t>
  </si>
  <si>
    <t>绅士套</t>
  </si>
  <si>
    <t>勇气套</t>
  </si>
  <si>
    <t>1200,3000701,1,10;1200,3000702,1,10;1200,3000703,1,10;1200,3000704,1,10</t>
  </si>
  <si>
    <t>佣兵套</t>
  </si>
  <si>
    <t>1200,2800301,1,10;1200,2800302,1,10;1200,2800303,1,10;1200,2800304,1,10</t>
  </si>
  <si>
    <t>卫兵套</t>
  </si>
  <si>
    <t>1200,2800401,1,10;1200,2800402,1,10;1200,2800403,1,10;1200,2800404,1,10</t>
  </si>
  <si>
    <t>警卫套</t>
  </si>
  <si>
    <t>1200,2801101,1,10;1200,2801102,1,10;1200,2801103,1,10;1200,2801104,1,10</t>
  </si>
  <si>
    <t>决心套</t>
  </si>
  <si>
    <t>1200,2800101,1,10;1200,2800102,1,10;1200,2800103,1,10;1200,2800104,1,10</t>
  </si>
  <si>
    <t>红骨套</t>
  </si>
  <si>
    <t>1200,2800701,1,10;1200,2800702,1,10;1200,2800703,1,10;1200,2800704,1,10</t>
  </si>
  <si>
    <t>决斗者套</t>
  </si>
  <si>
    <t>1200,2800801,1,10;1200,2800802,1,10;1200,2800803,1,10;1200,2800804,1,10</t>
  </si>
  <si>
    <t>凋零套</t>
  </si>
  <si>
    <t>1200,2800901,1,10;1200,2800902,1,10;1200,2800903,1,10;1200,2800904,1,10</t>
  </si>
  <si>
    <t>勇士套</t>
  </si>
  <si>
    <t>1200,2801001,1,10;1200,2801002,1,10;1200,2801003,1,10;1200,2801004,1,10</t>
  </si>
  <si>
    <t>斩击者套</t>
  </si>
  <si>
    <t>1200,2801201,1,10;1200,2801202,1,10;1200,2801203,1,10;1200,2801204,1,10</t>
  </si>
  <si>
    <t>繁星套</t>
  </si>
  <si>
    <t>1200,2800201,1,10;1200,2800202,1,10;1200,2800203,1,10;1200,2800204,1,10</t>
  </si>
  <si>
    <t>学者套</t>
  </si>
  <si>
    <t>1200,2800501,1,10;1200,2800502,1,10;1200,2800503,1,10;1200,2800504,1,10</t>
  </si>
  <si>
    <t>龙鳞套</t>
  </si>
  <si>
    <t>1200,2800601,1,10;1200,2800602,1,10;1200,2800603,1,10;1200,2800604,1,10</t>
  </si>
  <si>
    <t>骑士套</t>
  </si>
  <si>
    <t>狂野套</t>
  </si>
  <si>
    <t>狩猎者</t>
  </si>
  <si>
    <t>皇家守卫</t>
  </si>
  <si>
    <t>黄金套</t>
  </si>
  <si>
    <t>公爵套</t>
  </si>
  <si>
    <t>赤炎套</t>
  </si>
  <si>
    <t>统治套</t>
  </si>
  <si>
    <t>商贾套</t>
  </si>
  <si>
    <t>1200,40411,1,10;1200,40412,1,10;1200,40413,1,10;1200,40414,1,10</t>
  </si>
  <si>
    <t>厨师套</t>
  </si>
  <si>
    <t>1200,40511,1,10;1200,40512,1,10;1200,40513,1,10;1200,40514,1,10</t>
  </si>
  <si>
    <t>水手套</t>
  </si>
  <si>
    <t>1200,40415,1,10;1200,40416,1,10;1200,40417,1,10;1200,40418,1,10</t>
  </si>
  <si>
    <t>暗杀套</t>
  </si>
  <si>
    <t>1200,40423,1,10;1200,40424,1,10;1200,40425,1,10;1200,40426,1,10</t>
  </si>
  <si>
    <t>军官套</t>
  </si>
  <si>
    <t>1200,40419,1,10;1200,40420,1,10;1200,40421,1,10;1200,40422,1,10</t>
  </si>
  <si>
    <t>海盗套</t>
  </si>
  <si>
    <t>1200,3000301,1,10;1200,3000302,1,10;1200,3000303,1,10;1200,3000304,1,10</t>
  </si>
  <si>
    <t>处刑套</t>
  </si>
  <si>
    <t>领主套</t>
  </si>
  <si>
    <t>1200,3000201,1,10;1200,3000202,1,10;1200,3000203,1,10;1200,3000204,1,10</t>
  </si>
  <si>
    <t>暴徒套</t>
  </si>
  <si>
    <t>1200,3001701,1,10;1200,3001702,1,10;1200,3001703,1,10;1200,3001704,1,10</t>
  </si>
  <si>
    <t>毁灭套</t>
  </si>
  <si>
    <t>1200,3001801,1,10;1200,3001802,1,10;1200,3001803,1,10;1200,3001804,1,10</t>
  </si>
  <si>
    <t>凯旋套</t>
  </si>
  <si>
    <t>34000,40;34001,60;34002,60;34004,100;34005,100;34006,100;34007,110;34008,110;34009,110;34010,110</t>
  </si>
  <si>
    <t>100级别套装箱</t>
  </si>
  <si>
    <t>34011,60;34012,60;34013,60;34014,60;34015,60;34016,100;34017,100;34018,100;34019,100;34020,100;34021,100;34022,100</t>
  </si>
  <si>
    <t>80级别套装箱</t>
  </si>
  <si>
    <t>34023,60;34024,60;34025,60;34026,60;34027,190;34028,190;34029,190;34030,190</t>
  </si>
  <si>
    <t>60级别套装箱</t>
  </si>
  <si>
    <t>34031,125;34032,125;34033,250;34034,250;34035,250</t>
  </si>
  <si>
    <t>40级别套装箱</t>
  </si>
  <si>
    <t>34036,70;34037,100;34038,70;34039,100;34040,70;34041,70</t>
  </si>
  <si>
    <t>豪华套装随机箱</t>
  </si>
  <si>
    <t>1001,1100101,1,1;1001,1100201,1,1;1001,1100301,1,1;1001,1100401,1,1;1001,1100501,1,1;1001,1100601,1,1;1001,1100701,1,1;1001,1100801,1,1;1001,1100901,1,1;1001,1101001,1,1;1001,1101101,1,1;1001,1101201,1,1;1001,1101301,1,1;1001,1101401,1,1;1001,1101501,1,1;1001,1101601,1,1;1001,1101701,1,1;1001,1101801,1,1;1001,1101901,1,1;1001,1102001,1,1;1001,1102101,1,1;1001,1102201,1,1;1001,1102301,1,1;1001,1102401,1,1;</t>
  </si>
  <si>
    <t>家园1级宝石</t>
  </si>
  <si>
    <t>1001,1100102,1,1;1001,1100202,1,1;1001,1100302,1,1;1001,1100402,1,1;1001,1100502,1,1;1001,1100602,1,1;1001,1100702,1,1;1001,1100802,1,1;1001,1100902,1,1;1001,1101002,1,1;1001,1101102,1,1;1001,1101202,1,1;1001,1101302,1,1;1001,1101402,1,1;1001,1101502,1,1;1001,1101602,1,1;1001,1101702,1,1;1001,1101802,1,1;1001,1101902,1,1;1001,1102002,1,1;1001,1102102,1,1;1001,1102202,1,1;1001,1102302,1,1;1001,1102402,1,1;</t>
  </si>
  <si>
    <t>家园2级宝石</t>
  </si>
  <si>
    <t>1001,1100103,1,1;1001,1100203,1,1;1001,1100303,1,1;1001,1100403,1,1;1001,1100503,1,1;1001,1100603,1,1;1001,1100703,1,1;1001,1100803,1,1;1001,1100903,1,1;1001,1101003,1,1;1001,1101103,1,1;1001,1101203,1,1;1001,1101303,1,1;1001,1101403,1,1;1001,1101503,1,1;1001,1101603,1,1;1001,1101703,1,1;1001,1101803,1,1;1001,1101903,1,1;1001,1102003,1,1;1001,1102103,1,1;1001,1102203,1,1;1001,1102303,1,1;1001,1102403,1,1;</t>
  </si>
  <si>
    <t>家园3级宝石</t>
  </si>
  <si>
    <t>家园4级宝石</t>
  </si>
  <si>
    <t>家园5级宝石</t>
  </si>
  <si>
    <t>1001,1100106,1,1;1001,1100206,1,1;1001,1100306,1,1;1001,1100406,1,1;1001,1100506,1,1;1001,1100606,1,1;1001,1100706,1,1;1001,1100806,1,1;1001,1100906,1,1;1001,1101006,1,1;1001,1101106,1,1;1001,1101206,1,1;1001,1101306,1,1;1001,1101406,1,1;1001,1101506,1,1;1001,1101606,1,1;1001,1101706,1,1;1001,1101806,1,1;1001,1101906,1,1;1001,1102006,1,1;1001,1102106,1,1;1001,1102206,1,1;1001,1102306,1,1;1001,1102406,1,1;</t>
  </si>
  <si>
    <t>家园6级宝石</t>
  </si>
  <si>
    <t>1001,1100107,1,1;1001,1100207,1,1;1001,1100307,1,1;1001,1100407,1,1;1001,1100507,1,1;1001,1100607,1,1;1001,1100707,1,1;1001,1100807,1,1;1001,1100907,1,1;1001,1101007,1,1;1001,1101107,1,1;1001,1101207,1,1;1001,1101307,1,1;1001,1101407,1,1;1001,1101507,1,1;1001,1101607,1,1;1001,1101707,1,1;1001,1101807,1,1;1001,1101907,1,1;1001,1102007,1,1;1001,1102107,1,1;1001,1102207,1,1;1001,1102307,1,1;1001,1102407,1,1;</t>
  </si>
  <si>
    <t>家园7级宝石</t>
  </si>
  <si>
    <t>80000,25;80001,30;80002,30;80003,15</t>
  </si>
  <si>
    <t>家园小宝石袋</t>
  </si>
  <si>
    <t>80001,25;80002,30;80003,30;80004,15</t>
  </si>
  <si>
    <t>家园中宝石袋</t>
  </si>
  <si>
    <t>80002,30;80003,40;80004,24;80005,5;80006,1</t>
  </si>
  <si>
    <t>家园大宝石袋</t>
  </si>
  <si>
    <t>1001,212002,1,50;1001,213002,1,40;1001,214002,1,10</t>
  </si>
  <si>
    <t>家园小精炼石</t>
  </si>
  <si>
    <t>1001,212002,1,28;1001,213002,1,30;1001,214002,1,42</t>
  </si>
  <si>
    <t>家园中精炼石</t>
  </si>
  <si>
    <t>1001,212002,1,20;1001,213002,1,30;1001,214002,1,40;1001,215002,1,10</t>
  </si>
  <si>
    <t>家园大精炼石</t>
  </si>
  <si>
    <t>1001,212001,1,20;1001,213001,1,40;1001,214001,1,30;1001,215001,1,10</t>
  </si>
  <si>
    <t>家园小经验</t>
  </si>
  <si>
    <t>1001,213001,1,40;1001,214001,1,30;1001,215001,1,25;1001,216001,1,5</t>
  </si>
  <si>
    <t>家园中经验</t>
  </si>
  <si>
    <t>1001,213001,1,25;1001,214001,1,30;1001,215001,1,30;1001,216001,1,15</t>
  </si>
  <si>
    <t>家园大经验</t>
  </si>
  <si>
    <t>1001,211021,1,1;1001,211021,1,1;1001,211021,1,1</t>
  </si>
  <si>
    <t>家园1级训练书</t>
  </si>
  <si>
    <t>1001,212021,1,1;1001,212021,1,1;1001,212021,1,1</t>
  </si>
  <si>
    <t>家园2级训练书</t>
  </si>
  <si>
    <t>1001,213021,1,1;1001,213021,1,1;1001,213021,1,1</t>
  </si>
  <si>
    <t>家园3级训练书</t>
  </si>
  <si>
    <t>1001,214021,1,1;1001,214021,1,1;1001,214021,1,1</t>
  </si>
  <si>
    <t>家园4级训练书</t>
  </si>
  <si>
    <t>1001,215021,1,1;1001,215021,1,1;1001,215021,1,1</t>
  </si>
  <si>
    <t>家园5级训练书</t>
  </si>
  <si>
    <t>1001,216021,1,1;1001,216021,1,1;1001,216021,1,1</t>
  </si>
  <si>
    <t>家园6级训练书</t>
  </si>
  <si>
    <t>1001,217021,1,1;1001,217021,1,1;1001,217021,1,1</t>
  </si>
  <si>
    <t>家园7级训练书</t>
  </si>
  <si>
    <t>1001,218021,1,1;1001,218021,1,1;1001,218021,1,1</t>
  </si>
  <si>
    <t>家园8级训练书</t>
  </si>
  <si>
    <t>80016,20;80017,20;80018,30;80019,20;80020,10;</t>
  </si>
  <si>
    <t>家园小训练书</t>
  </si>
  <si>
    <t>80016,5;80017,10;80018,20;80019,25;80020,20;80021,15;80022,5</t>
  </si>
  <si>
    <t>家园中训练书</t>
  </si>
  <si>
    <t>80017,5;80018,10;80019,15;80020,25;80021,25;80022,15;80023,5</t>
  </si>
  <si>
    <t>家园大训练书</t>
  </si>
  <si>
    <t>1001,212002,1,55;1001,213002,1,35;1001,214002,1,10</t>
  </si>
  <si>
    <t>普通强化石袋</t>
  </si>
  <si>
    <t>1001,212002,1,30;1001,213002,1,40;1001,214002,1,25</t>
  </si>
  <si>
    <t>优质强化石袋</t>
  </si>
  <si>
    <t>高级强化石袋</t>
  </si>
  <si>
    <t>1001,212002,1,23;1001,213002,1,30;1001,214002,1,42;1001,215002,1,5</t>
  </si>
  <si>
    <t>贵重强化石袋</t>
  </si>
  <si>
    <t>1001,212002,1,18;1001,213002,1,30;1001,214002,1,42;1001,215002,1,10</t>
  </si>
  <si>
    <t>稀有强化石袋</t>
  </si>
  <si>
    <t>1001,212001,1,16;1001,213001,1,42;1001,214001,1,32;1001,215001,1,10</t>
  </si>
  <si>
    <t>普通经验书箱</t>
  </si>
  <si>
    <t>1001,213001,1,40;1001,214001,1,35;1001,215001,1,25</t>
  </si>
  <si>
    <t>优质经验书箱</t>
  </si>
  <si>
    <t>1001,213001,1,25;1001,214001,1,38;1001,215001,1,35;1001,216001,1,2</t>
  </si>
  <si>
    <t>高级经验书箱</t>
  </si>
  <si>
    <t>1001,213001,1,23;1001,214001,1,35;1001,215001,1,35;1001,216001,1,7</t>
  </si>
  <si>
    <t>贵重经验书箱</t>
  </si>
  <si>
    <t>1001,213001,1,15;1001,214001,1,30;1001,215001,1,45;1001,216001,1,10</t>
  </si>
  <si>
    <t>稀有经验书箱</t>
  </si>
  <si>
    <t>1001,219021,1,1;1001,219021,1,1;1001,219021,1,1</t>
  </si>
  <si>
    <t>家园9级训练书</t>
  </si>
  <si>
    <t>80016,20;80017,22;80018,32;80019,20;80020,6;</t>
  </si>
  <si>
    <t>普通训练书箱</t>
  </si>
  <si>
    <t>80016,10;80017,20;80018,23;80019,23;80020,15;80021,9</t>
  </si>
  <si>
    <t>优质训练书箱</t>
  </si>
  <si>
    <t>80017,15;80018,20;80019,25;80020,20;80021,15;80022,5</t>
  </si>
  <si>
    <t>高级训练书箱</t>
  </si>
  <si>
    <t>80017,5;80018,20;80019,25;80020,20;80021,15;80022,10;80023,5</t>
  </si>
  <si>
    <t>贵重训练书箱</t>
  </si>
  <si>
    <t>80017,2;80018,15;80019,20;80020,20;80021,15;80022,10;80023,10;80037,5</t>
  </si>
  <si>
    <t>稀有训练书箱</t>
  </si>
  <si>
    <t>1001,214017,50,100</t>
  </si>
  <si>
    <t>荣耀之石胜利</t>
  </si>
  <si>
    <t>1001,214017,30,100</t>
  </si>
  <si>
    <t>荣耀之石失败</t>
  </si>
  <si>
    <t>1001,215008,0,40;1001,215008,1,40;1001,215008,2,20</t>
  </si>
  <si>
    <t>荣耀之证</t>
  </si>
  <si>
    <t>1001,511530,1,200;1001,511531,2,100;1001,216001,5,160;1001,215007,1,160;1001,452201,5,120;3,0,10,140;5,0,50000,120</t>
  </si>
  <si>
    <t>祝福宝箱奖励/好友现场宝箱</t>
  </si>
  <si>
    <t>80048,1;80049,1</t>
  </si>
  <si>
    <t>祈愿0人掉落宝箱</t>
  </si>
  <si>
    <t>3,0,10,100;1001,800007,1,150;1001,214003,1,150;1001,214014,1,120;1001,213014,1,150;5,0,50000,150;1001,452201,5,180</t>
  </si>
  <si>
    <t>祈愿低等掉落组(0人)</t>
  </si>
  <si>
    <t>1001,511530,1,1</t>
  </si>
  <si>
    <t>祈愿0人必给福牌</t>
  </si>
  <si>
    <t>80051,1;80052,1</t>
  </si>
  <si>
    <t>祈愿1人掉落宝箱</t>
  </si>
  <si>
    <t>祈愿低等掉落组(1人)</t>
  </si>
  <si>
    <t>1001,511530,3,1</t>
  </si>
  <si>
    <t>祈愿1人必给福牌</t>
  </si>
  <si>
    <t>80054,1;80055,1</t>
  </si>
  <si>
    <t>祈愿3人掉落宝箱</t>
  </si>
  <si>
    <t>1001,216002,1,50;1001,225002,1,120;3,0,30,130;1001,800007,1,180;1001,214003,2,180;1001,214014,1,170;1001,213014,1,170</t>
  </si>
  <si>
    <t>祈愿高等掉落组(3人)</t>
  </si>
  <si>
    <t>1001,511530,5,1</t>
  </si>
  <si>
    <t>祈愿3人必给福牌</t>
  </si>
  <si>
    <t>80057,1;80058,1</t>
  </si>
  <si>
    <t>祈愿5人掉落宝箱</t>
  </si>
  <si>
    <t>祈愿高等掉落组(5人)</t>
  </si>
  <si>
    <t>1001,511530,7,1</t>
  </si>
  <si>
    <t>祈愿5人必给福牌</t>
  </si>
  <si>
    <t>1001,712001,1,130;1001,215001,1,140;1001,215001,1,140;1001,215001,1,140;5,0,50000,150;1001,215001,5,150;1001,214007,1,150</t>
  </si>
  <si>
    <t>补发邮件宝箱</t>
  </si>
  <si>
    <t>1927,0,200,1</t>
  </si>
  <si>
    <t>匹配平局海战币</t>
  </si>
  <si>
    <t>1927,0,300,1</t>
  </si>
  <si>
    <t>匹配胜利海战币</t>
  </si>
  <si>
    <t>1927,0,350,1</t>
  </si>
  <si>
    <t>匹配大胜海战币</t>
  </si>
  <si>
    <t>1927,0,150,1</t>
  </si>
  <si>
    <t>匹配失败海战币</t>
  </si>
  <si>
    <t>1927,0,60,1</t>
  </si>
  <si>
    <t>宣战平局海战币</t>
  </si>
  <si>
    <t>1927,0,90,1</t>
  </si>
  <si>
    <t>宣战胜利海战币</t>
  </si>
  <si>
    <t>1927,0,105,1</t>
  </si>
  <si>
    <t>宣战大胜海战币</t>
  </si>
  <si>
    <t>1927,0,45,1</t>
  </si>
  <si>
    <t>宣战失败海战币</t>
  </si>
  <si>
    <t>1927,0,160,1</t>
  </si>
  <si>
    <t>托管匹配平局海战币</t>
  </si>
  <si>
    <t>1927,0,240,1</t>
  </si>
  <si>
    <t>托管匹配胜利海战币</t>
  </si>
  <si>
    <t>1927,0,280,1</t>
  </si>
  <si>
    <t>托管匹配大胜海战币</t>
  </si>
  <si>
    <t>1927,0,120,1</t>
  </si>
  <si>
    <t>托管匹配失败海战币</t>
  </si>
  <si>
    <t>1927,0,48,1</t>
  </si>
  <si>
    <t>托管宣战平局海战币</t>
  </si>
  <si>
    <t>1927,0,72,1</t>
  </si>
  <si>
    <t>托管宣战胜利海战币</t>
  </si>
  <si>
    <t>1927,0,84,1</t>
  </si>
  <si>
    <t>托管宣战大胜海战币</t>
  </si>
  <si>
    <t>1927,0,36,1</t>
  </si>
  <si>
    <t>托管宣战失败海战币</t>
  </si>
  <si>
    <t>1001,213001,1,12;1001,212007,1,15;1001,212002,1,15;1001,212001,1,15;1001,212014,1,15;1001,452201,1,15;5,0,500,18</t>
  </si>
  <si>
    <t>平静海挂机物品掉落</t>
  </si>
  <si>
    <t>1001,216002,1,1;1001,213007,1,17;1001,213002,1,16;1001,213001,1,16;1001,452201,1,15;1001,213014,1,10;1001,214003,1,3;5,0,800,20</t>
  </si>
  <si>
    <t>风暴海挂机物品掉落</t>
  </si>
  <si>
    <t>1001,720001,1,1;1001,216002,1,1;1001,215007,1,11;1001,214007,1,12;1001,214014,1,15;1001,215001,2,18;1001,452201,1,13;1001,214003,1,9;5,0,1000,20</t>
  </si>
  <si>
    <t>冰川海挂机物品掉落</t>
  </si>
  <si>
    <t>1001,212001,3,100</t>
  </si>
  <si>
    <t>平静之海</t>
  </si>
  <si>
    <t>1001,212001,8,100</t>
  </si>
  <si>
    <t>1001,213001,3,100</t>
  </si>
  <si>
    <t>风暴海域</t>
  </si>
  <si>
    <t>1001,213001,8,100</t>
  </si>
  <si>
    <t>1001,214001,3,100</t>
  </si>
  <si>
    <t>冰川海域</t>
  </si>
  <si>
    <t>1001,214001,8,100</t>
  </si>
  <si>
    <t>3,0,20,1;1001,452201,2,1;1001,214001,5,1</t>
  </si>
  <si>
    <t>一次性奖励——平静</t>
  </si>
  <si>
    <t>3,0,20,1;1001,452201,2,1;1001,214001,10,1</t>
  </si>
  <si>
    <t>3,0,20,1;1001,452201,2,1;1001,214001,20,1</t>
  </si>
  <si>
    <t>3,0,30,1;1001,452201,3,1;1001,215001,5,1</t>
  </si>
  <si>
    <t>一次性奖励——风暴</t>
  </si>
  <si>
    <t>3,0,30,1;1001,452201,3,1;1001,215001,10,1</t>
  </si>
  <si>
    <t>3,0,30,1;1001,452201,3,1;1001,215001,15,1</t>
  </si>
  <si>
    <t>3,0,50,1;1001,452201,3,1;1001,216001,5,1</t>
  </si>
  <si>
    <t>一次性奖励——冰川</t>
  </si>
  <si>
    <t>3,0,50,1;1001,452201,3,1;1001,216001,10,1</t>
  </si>
  <si>
    <t>1904,0,1,5;1904,0,0,131</t>
  </si>
  <si>
    <t>稀有币</t>
  </si>
  <si>
    <t>1001,212001,2,100</t>
  </si>
  <si>
    <t>1001,212001,4,100</t>
  </si>
  <si>
    <t>5,0,1000,1</t>
  </si>
  <si>
    <t>金块</t>
  </si>
  <si>
    <t>5,0,1600,1</t>
  </si>
  <si>
    <t>5,0,2500,1</t>
  </si>
  <si>
    <t>5,0,3500,1</t>
  </si>
  <si>
    <t>5,0,5000,1</t>
  </si>
  <si>
    <t>5,0,6000,1</t>
  </si>
  <si>
    <t>5,0,8000,1</t>
  </si>
  <si>
    <t>5,0,10000,1</t>
  </si>
  <si>
    <t>5,0,12500,1</t>
  </si>
  <si>
    <t>5,0,16000,1</t>
  </si>
  <si>
    <t>5,0,18000,1</t>
  </si>
  <si>
    <t>5,0,21000,1</t>
  </si>
  <si>
    <t>5,0,25000,1</t>
  </si>
  <si>
    <t>5,0,30000,1</t>
  </si>
  <si>
    <t>5,0,35000,1</t>
  </si>
  <si>
    <t>1808,0,6,1</t>
  </si>
  <si>
    <t>首通周年庆1-BUFF</t>
  </si>
  <si>
    <t>1808,0,20,1</t>
  </si>
  <si>
    <t>首通周年庆1-小怪</t>
  </si>
  <si>
    <t>1808,0,60,1;1807,0,30,1</t>
  </si>
  <si>
    <t>首通周年庆1-BOSS</t>
  </si>
  <si>
    <t>1808,0,9,1</t>
  </si>
  <si>
    <t>首通周年庆2-BUFF</t>
  </si>
  <si>
    <t>1808,0,30,1</t>
  </si>
  <si>
    <t>首通周年庆2-小怪</t>
  </si>
  <si>
    <t>1808,0,90,1;1807,0,45,1</t>
  </si>
  <si>
    <t>首通周年庆2-BOSS</t>
  </si>
  <si>
    <t>1808,0,12,1</t>
  </si>
  <si>
    <t>首通周年庆3-BUFF</t>
  </si>
  <si>
    <t>1808,0,40,1</t>
  </si>
  <si>
    <t>首通周年庆3-小怪</t>
  </si>
  <si>
    <t>1808,0,120,1;1807,0,60,1</t>
  </si>
  <si>
    <t>首通周年庆3-BOSS</t>
  </si>
  <si>
    <t>回刷周年庆1-小怪</t>
  </si>
  <si>
    <t>100208,1;100209,1</t>
  </si>
  <si>
    <t>回刷周年庆1-BOSS（嵌套）</t>
  </si>
  <si>
    <t>回刷周年庆2-小怪</t>
  </si>
  <si>
    <t>100210,1;100211,1</t>
  </si>
  <si>
    <t>回刷周年庆2-BOSS（嵌套）</t>
  </si>
  <si>
    <t>回刷周年庆3-小怪</t>
  </si>
  <si>
    <t>100212,1;100213,1</t>
  </si>
  <si>
    <t>回刷周年庆3-BOSS（嵌套）</t>
  </si>
  <si>
    <t>1808,0,7,25;1808,0,8,50;1808,0,9,25</t>
  </si>
  <si>
    <t>回刷周年庆BOSS银币</t>
  </si>
  <si>
    <t>1807,0,1,90;1807,0,0,10</t>
  </si>
  <si>
    <t>回刷周年庆BOSS金币</t>
  </si>
  <si>
    <t>1808,0,12,25;1808,0,13,75</t>
  </si>
  <si>
    <t>1807,0,1,1</t>
  </si>
  <si>
    <t>1808,0,17,30;1808,0,18,40;1808,0,19,30</t>
  </si>
  <si>
    <t>1807,0,1,4;1807,0,2,1</t>
  </si>
  <si>
    <t>100220,1;100226,1;100227,1;100228,1</t>
  </si>
  <si>
    <t>公会商船1级订单固定奖励</t>
  </si>
  <si>
    <t>100221,1;100226,1;100227,1;100229,1</t>
  </si>
  <si>
    <t>公会商船2级订单固定奖励</t>
  </si>
  <si>
    <t>100222,1;100226,1;100227,1;100230,1</t>
  </si>
  <si>
    <t>公会商船3级订单固定奖励</t>
  </si>
  <si>
    <t>100223,1;100226,1;100227,1;100231,1</t>
  </si>
  <si>
    <t>公会商船4级订单固定奖励</t>
  </si>
  <si>
    <t>100224,1;100226,1;100227,1;100232,1</t>
  </si>
  <si>
    <t>公会商船5级订单固定奖励</t>
  </si>
  <si>
    <t>100225,1;100226,1;100227,1;100233,1</t>
  </si>
  <si>
    <t>公会商船6级订单固定奖励</t>
  </si>
  <si>
    <t>1001,211006,1,250;1001,215007,2,300;1001,215001,1,150;1001,800007,1,125;1001,213014,1,125;1001,213004,1,50</t>
  </si>
  <si>
    <t>公会商船1级订单随机池</t>
  </si>
  <si>
    <t>1001,211006,1,200;1001,215007,2,250;1001,215001,1,125;1001,800007,1,75;1001,213014,1,75;1001,213004,1,100;1001,511223,1,75;1001,214008,1,100</t>
  </si>
  <si>
    <t>公会商船2级订单随机池</t>
  </si>
  <si>
    <t>1001,211006,1,125;1001,215007,2,200;1001,215001,1,100;1001,800007,1,50;1001,213014,1,50;1001,213004,1,125;1001,214008,1,100;1001,216002,2,75;1001,511177,1,75;1001,720001,1,50;1001,514032,1,50</t>
  </si>
  <si>
    <t>公会商船3级订单随机池</t>
  </si>
  <si>
    <t>1001,211006,1,100;1001,215007,2,50;1001,215001,1,75;1001,800007,1,75;1001,213004,1,125;1001,214008,1,75;1001,216002,2,125;1001,511177,1,125;1001,720001,1,75;1001,514032,1,75;1001,215011,1,20;1001,215005,1,30;1001,800002,1,50</t>
  </si>
  <si>
    <t>公会商船4级订单随机池</t>
  </si>
  <si>
    <t>1001,211006,1,75;1001,215001,1,50;1001,213004,1,125;1001,214008,1,50;1001,216002,2,150;1001,511177,1,125;1001,720001,1,125;1001,514032,1,100;1001,215011,1,50;1001,215005,1,75;1001,800002,1,75</t>
  </si>
  <si>
    <t>公会商船5级订单随机池</t>
  </si>
  <si>
    <t>1001,211006,1,25;1001,215001,1,25;1001,213004,1,75;1001,216002,2,150;1001,511177,1,100;1001,720001,1,125;1001,514032,1,100;1001,215011,1,100;1001,215005,1,125;1001,800002,1,100;1001,218004,2,75</t>
  </si>
  <si>
    <t>公会商船6级订单随机池</t>
  </si>
  <si>
    <t>1001,452201,2,1</t>
  </si>
  <si>
    <t>公会商船固定快速跳过奖励</t>
  </si>
  <si>
    <t>公会商船固定2级宝石奖励</t>
  </si>
  <si>
    <t>公会商船1级订单固定金块</t>
  </si>
  <si>
    <t>公会商船2级订单固定金块</t>
  </si>
  <si>
    <t>5,0,15000,1</t>
  </si>
  <si>
    <t>公会商船3级订单固定金块</t>
  </si>
  <si>
    <t>5,0,20000,1</t>
  </si>
  <si>
    <t>公会商船4级订单固定金块</t>
  </si>
  <si>
    <t>公会商船5级订单固定金块</t>
  </si>
  <si>
    <t>公会商船6级订单固定金块</t>
  </si>
  <si>
    <t>3,0,188,60;1001,216002,3,70;1001,215005,1,80;1001,215005,2,50;3,0,66,110;1001,213014,2,110;1001,216001,5,130;1001,214003,2,140;1001,215002,2,140;1001,800004,1,110</t>
  </si>
  <si>
    <t>回刷周年庆战利品</t>
  </si>
  <si>
    <t>1001,511581,1,100</t>
  </si>
  <si>
    <t>首通周年庆1-boss</t>
  </si>
  <si>
    <t>1001,511582,1,100</t>
  </si>
  <si>
    <t>回刷周年庆1-boss</t>
  </si>
  <si>
    <t>1001,511583,1,100</t>
  </si>
  <si>
    <t>首通周年庆2-boss</t>
  </si>
  <si>
    <t>1001,511584,1,100</t>
  </si>
  <si>
    <t>回刷周年庆2-boss</t>
  </si>
  <si>
    <t>1001,511585,1,100</t>
  </si>
  <si>
    <t>首通周年庆3-boss</t>
  </si>
  <si>
    <t>1001,511586,1,100</t>
  </si>
  <si>
    <t>回刷周年庆3-boss</t>
  </si>
  <si>
    <t>100243,1;100242,1</t>
  </si>
  <si>
    <t>激斗赛日常礼包</t>
  </si>
  <si>
    <t>1001,215011,1,10;1001,216002,1,25;1001,214004,1,35;1001,218004,1,20;1001,216001,2,50;1001,214003,3,60</t>
  </si>
  <si>
    <t>激斗赛日常礼包掉落组1</t>
  </si>
  <si>
    <t>5,0,50000,1;1001,214007,1,1;1001,215007,1,1;1001,215001,2,1;1001,452201,2,1;1001,215001,1,1;1001,215001,1,1;1001,215001,1,1;1001,214011,1,1</t>
  </si>
  <si>
    <t>激斗赛日常礼包掉落组2</t>
  </si>
  <si>
    <t>1001,215001,5,200;3,0,10,100;1001,712001,1,100;1001,214007,1,150;1001,214003,1,100;1001,491111,1,100;1001,452201,1,200;5,0,20000,100</t>
  </si>
  <si>
    <t>2022.3.28清明掉落组1</t>
  </si>
  <si>
    <t>1001,210121,1,150;3,0,30,150;1001,214003,1,180;1001,216001,5,200;1001,216002,1,200;1001,800002,1,120</t>
  </si>
  <si>
    <t>2022.3.28清明掉落组2</t>
  </si>
  <si>
    <t>3,0,100,30;1001,511225,1,30;1001,216002,5,80;3,0,30,100;1001,213014,2,145;1001,216001,5,170;1001,214003,1,165;1001,215002,1,140;1001,800004,1,140</t>
  </si>
  <si>
    <t>2022.5劳动节掉落组</t>
  </si>
  <si>
    <t>2022.6端午节掉落组</t>
  </si>
  <si>
    <t>1001,215005,20,200;1001,215005,21,300;1001,215005,22,300;1001,215005,23,90;1001,215005,24,45;1001,215005,25,30;1001,215005,30,20;1001,215005,40,10;1001,215005,50,5;</t>
  </si>
  <si>
    <t>1001,215011,2,100;1001,215011,3,400;1001,215011,4,300;1001,215011,5,90;1001,215011,6,45;1001,215011,7,30;1001,215011,8,20;1001,215011,9,10;1001,215011,10,5;</t>
  </si>
  <si>
    <t>3,0,200,30;1001,511378,1,30;1001,215011,1,30;1001,216002,2,100;3,0,88,100;1001,213014,2,120;1001,216001,5,150;1001,214003,1,160;1001,215002,1,140;1001,800004,1,140</t>
  </si>
  <si>
    <t>五周年庆典礼盒</t>
  </si>
  <si>
    <t>1001,215011,3,50;1,0,200,110;1,0,500,70;1001,215011,2,50;1001,215011,1,90;3,0,200,110;3,0,500,70;1001,216001,10,150;1001,215007,5,130;1001,215005,3,70;5,0,500000,100</t>
  </si>
  <si>
    <t>龙年惊喜宝箱</t>
  </si>
  <si>
    <t>觉醒副本固定产出</t>
  </si>
  <si>
    <t>220001,30;220004,50;220005,20</t>
  </si>
  <si>
    <t>觉醒副本固定产出(套）</t>
  </si>
  <si>
    <t>1001,615005,1,100</t>
  </si>
  <si>
    <t>路飞碎片大礼包</t>
  </si>
  <si>
    <t>1001,615006,1,100</t>
  </si>
  <si>
    <t>艾斯碎片大礼包</t>
  </si>
  <si>
    <t>1001,615007,1,100</t>
  </si>
  <si>
    <t>艾尼路碎片大礼包</t>
  </si>
  <si>
    <t>1200,3000301,1,1;1200,3000302,1,1;1200,3000303,1,1;1200,3000304,1,1</t>
  </si>
  <si>
    <t>1001,615008,1,100</t>
  </si>
  <si>
    <t>1001,615009,1,100</t>
  </si>
  <si>
    <t>沙·鳄鱼碎片大礼包</t>
  </si>
  <si>
    <t>1001,615010,1,100</t>
  </si>
  <si>
    <t>新世界鲁兹碎片大礼包</t>
  </si>
  <si>
    <t>1001,615011,1,100</t>
  </si>
  <si>
    <t>夏洛特玲玲碎片大礼包</t>
  </si>
  <si>
    <t>230002,1;230003,1;230004,1</t>
  </si>
  <si>
    <t>1001,218004,2,5;1001,218004,1,20;1001,216002,1,40;3,0,30,35</t>
  </si>
  <si>
    <t>1001,215001,6,30;1001,215001,5,40;1001,215001,4,30</t>
  </si>
  <si>
    <t>5,0,50000,30;5,0,30000,40;5,0,20000,30</t>
  </si>
  <si>
    <t>1001,615012,1,100</t>
  </si>
  <si>
    <t>卡塔库栗碎片大礼包</t>
  </si>
  <si>
    <t>1001,615013,1,100</t>
  </si>
  <si>
    <t>1001,615014,1,100</t>
  </si>
  <si>
    <t>1001,615015,1,100</t>
  </si>
  <si>
    <t>1001,212004,9,100</t>
  </si>
  <si>
    <t>1001,212004,8,100</t>
  </si>
  <si>
    <t>1001,212004,6,100</t>
  </si>
  <si>
    <t>90096,10;34000,10;90095,10;34006,10;34010,10;90093,10</t>
  </si>
  <si>
    <t>1001,615016,1,100</t>
  </si>
  <si>
    <t>奶昔碎片大礼包</t>
  </si>
  <si>
    <t>1001,615017,1,100</t>
  </si>
  <si>
    <t>苏打饼碎片大礼包</t>
  </si>
  <si>
    <t>1001,619319,1,1;1,0,99,15;1001,215011,2,12;1001,221011,2,12;1001,720001,3,15;1001,215007,10,15;1001,215001,20,15;1001,514032,5,15</t>
  </si>
  <si>
    <t>白色情人节宝箱</t>
  </si>
  <si>
    <t>520宝箱</t>
  </si>
  <si>
    <t>3,0,200,30;1001,511226,1,30;1001,215011,1,30;1001,216002,5,80;3,0,88,100;1001,213014,2,145;1001,216001,5,170;1001,214003,1,165;1001,215002,1,140;1001,800004,1,140;</t>
  </si>
  <si>
    <t>520气球</t>
  </si>
  <si>
    <t>1001,630041,50,5;1001,619341,1,350;1001,215011,1,350;1001,221011,1,350;1,0,200,350;3,0,200,500;3,0,310,350;1001,216001,5,750;1,0,61,500;1001,215007,5,750;5,0,610000,750</t>
  </si>
  <si>
    <t>凯撒惊喜宝箱</t>
  </si>
  <si>
    <t>1200,160101,1,10;1200,160102,1,10;1200,160103,1,10;1200,160104,1,10;1200,160601,1,10;1200,160602,1,10;1200,160603,1,10;1200,160604,1,10;1200,160401,1,10;1200,160402,1,10;1200,160403,1,10;1200,160404,1,10;1200,160301,1,10;1200,160302,1,10;1200,160303,1,10;1200,160304,1,10;1200,160701,1,10;1200,160702,1,10;1200,160703,1,10;1200,160704,1,10</t>
  </si>
  <si>
    <t>巅峰擂台装备宝箱</t>
  </si>
  <si>
    <t>1001,615018,1,100</t>
  </si>
  <si>
    <t>布玲碎片大礼包</t>
  </si>
  <si>
    <t>1,0,100,40;1001,215011,2,10;1001,215011,1,20;3,0,88,40;3,0,200,30;1001,216001,10,35;1001,215007,5,35;1001,215005,3,25;5,0,500000,30</t>
  </si>
  <si>
    <t>粽叶飘香宝箱</t>
  </si>
  <si>
    <t>3,0,200,30;1001,511226,1,30;1001,215011,1,30;1001,216002,5,80;3,0,88,100;1001,213014,2,150;1001,216001,5,170;1001,214003,1,170;1001,215002,1,140;1001,800004,1,140</t>
  </si>
  <si>
    <t>云朵宝箱</t>
  </si>
  <si>
    <t>1001,215011,3,50;1,0,200,110;1,0,500,70;1001,215011,2,50;1001,215011,1,90;3,0,200,110;3,0,500,70;1001,216001,10,150;1001,215005,3,70;5,0,500000,100</t>
  </si>
  <si>
    <t>预热活动宝箱</t>
  </si>
  <si>
    <t>1001,215011,3,330;1001,215011,5,200;1001,215011,8,100;1001,511587,1,3;1001,511549,1,1;1001,619360,5,206;1001,619360,8,110;1001,619360,20,50</t>
  </si>
  <si>
    <t>额外惊喜好礼</t>
  </si>
  <si>
    <t>1001,221011,10,100;1001,221011,11,250;1001,221011,12,300;1001,221011,13,200;1001,221011,14,100;1001,221011,15,48;1001,619370,1,2</t>
  </si>
  <si>
    <t>UR招募宝箱</t>
  </si>
  <si>
    <t>1001,216002,40,450;1001,216002,45,350;1001,216002,50,198;1001,619370,1,2</t>
  </si>
  <si>
    <t>符文重铸石宝箱</t>
  </si>
  <si>
    <t>1001,215015,10,100;1001,215015,11,250;1001,215015,12,300;1001,215015,13,200;1001,215015,14,100;1001,215015,15,48;1001,619370,1,2</t>
  </si>
  <si>
    <t>铸造券宝箱</t>
  </si>
  <si>
    <t>1001,720002,40,450;1001,720002,45,350;1001,720002,50,198;1001,619370,1,2</t>
  </si>
  <si>
    <t>炼魂石宝箱</t>
  </si>
  <si>
    <t>1001,511549,1,600;1001,511588,1,398;1001,619370,1,2</t>
  </si>
  <si>
    <t>七彩宝石宝箱</t>
  </si>
  <si>
    <t>1,0,6,55;1,0,18,25;1,0,30,15;1,0,66,5</t>
  </si>
  <si>
    <t>周年庆铜宝箱</t>
  </si>
  <si>
    <t>1,0,88,60;1,0,188,30;1,0,388,20;1,0,688,10</t>
  </si>
  <si>
    <t>周年庆银宝箱</t>
  </si>
  <si>
    <t>1001,511028,2,800;1001,511028,3,250</t>
  </si>
  <si>
    <t>普通皮革</t>
  </si>
  <si>
    <t>1001,512028,2,800;1001,512028,3,280</t>
  </si>
  <si>
    <t>优质皮革</t>
  </si>
  <si>
    <t>1001,513028,2,800;1001,513028,3,300</t>
  </si>
  <si>
    <t>稀有皮革</t>
  </si>
  <si>
    <t>1001,514028,3,800;1001,514028,4,210</t>
  </si>
  <si>
    <t>贵重皮革</t>
  </si>
  <si>
    <t>1001,511029,2,800;1001,511029,3,150</t>
  </si>
  <si>
    <t>普通珊瑚</t>
  </si>
  <si>
    <t>1001,512029,2,800;1001,512029,3,340</t>
  </si>
  <si>
    <t>优质珊瑚</t>
  </si>
  <si>
    <t>1001,513029,3,800;1001,513029,4,240</t>
  </si>
  <si>
    <t>稀有珊瑚</t>
  </si>
  <si>
    <t>1001,514029,2,800;1001,514029,3,260</t>
  </si>
  <si>
    <t>贵重珊瑚</t>
  </si>
  <si>
    <t>1001,511027,2,800;1001,511027,3,150</t>
  </si>
  <si>
    <t>普通海兽兽骨</t>
  </si>
  <si>
    <t>1001,512027,2,800;1001,512027,3,450</t>
  </si>
  <si>
    <t>优质海兽兽骨</t>
  </si>
  <si>
    <t>1001,513027,2,800;1001,513027,3,230</t>
  </si>
  <si>
    <t>稀有海兽兽骨</t>
  </si>
  <si>
    <t>1001,514027,3,800;1001,514027,4,170</t>
  </si>
  <si>
    <t>贵重海兽兽骨</t>
  </si>
  <si>
    <t>1001,515030,0,800;1001,515030,1,200</t>
  </si>
  <si>
    <t>豪华珍奇矿石</t>
  </si>
  <si>
    <t>300001,660;300005,660;300009,660</t>
  </si>
  <si>
    <t>组合掉落普通</t>
  </si>
  <si>
    <t>300002,340;300006,340;300010,340;300013,340</t>
  </si>
  <si>
    <t>组合掉落优质</t>
  </si>
  <si>
    <t>300003,660;300007,660;300011,660;300013,660</t>
  </si>
  <si>
    <t>组合掉落稀有</t>
  </si>
  <si>
    <t>300004,660;300008,660;300012,660;300013,660</t>
  </si>
  <si>
    <t>组合掉落贵重</t>
  </si>
  <si>
    <t>300001,660;300005,660;300009,660;300002,340;300006,340;300010,340;300013,340</t>
  </si>
  <si>
    <t>组合掉落初级海域</t>
  </si>
  <si>
    <t>初级（普通、优质）</t>
  </si>
  <si>
    <t>300002,340;300006,340;300010,340;300013,340;300003,660;300007,660;300011,660;300013,660</t>
  </si>
  <si>
    <t>组合掉落中级海域</t>
  </si>
  <si>
    <t>中级（优质、稀有）</t>
  </si>
  <si>
    <t>300003,340;300007,340;300011,340;300013,340;300004,660;300008,660;300012,660;300013,660</t>
  </si>
  <si>
    <t>组合掉落高级海域</t>
  </si>
  <si>
    <t>高级（稀有、贵重）</t>
  </si>
  <si>
    <t>组合掉落特级海域</t>
  </si>
  <si>
    <t>特级（贵重）</t>
  </si>
  <si>
    <t>1001,930001,2,300;1001,930001,3,300;1001,930001,4,300</t>
  </si>
  <si>
    <t>建筑升级材料、洗炼材料掉落</t>
  </si>
  <si>
    <t>指挥部石料</t>
  </si>
  <si>
    <t>1001,930002,3,300;1001,930002,5,300;1001,930002,7,300</t>
  </si>
  <si>
    <t>港务局石料</t>
  </si>
  <si>
    <t>1001,930003,3,300;1001,930003,5,300;1001,930003,7,300</t>
  </si>
  <si>
    <t>码头方木</t>
  </si>
  <si>
    <t>1001,930004,3,300;1001,930004,5,300;1001,930004,7,300</t>
  </si>
  <si>
    <t>灯塔石料</t>
  </si>
  <si>
    <t>1001,930005,3,300;1001,930005,5,300;1001,930005,7,300</t>
  </si>
  <si>
    <t>岸防炮铁料</t>
  </si>
  <si>
    <t>1001,930006,15,300;1001,930006,25,300;1001,930006,30,300</t>
  </si>
  <si>
    <t>战斗策略图纸</t>
  </si>
  <si>
    <t>1001,930007,15,300;1001,930007,25,300;1001,930007,30,300</t>
  </si>
  <si>
    <t>海战策略图纸</t>
  </si>
  <si>
    <t>300040,1;300041,1;300042,1;300043,1;300044,1;300045,1;300046,1</t>
  </si>
  <si>
    <t>建筑升级材料、洗炼材料组合掉落</t>
  </si>
  <si>
    <t>300030,1;300050,1</t>
  </si>
  <si>
    <t>战船材料和建筑材料组合掉落</t>
  </si>
  <si>
    <t>300031,1;300050,1</t>
  </si>
  <si>
    <t>300032,1;300050,1</t>
  </si>
  <si>
    <t>300033,1;300050,1</t>
  </si>
  <si>
    <t>1,0,2024,550;1001,619422,1,150;1001,619421,1,150;1001,619419,1,150</t>
  </si>
  <si>
    <t>周年庆金宝箱</t>
  </si>
  <si>
    <t>3,0,200,35;1001,511226,1,35;1001,215011,1,35;1001,216002,5,94;3,0,88,118;1001,213014,2,171;1001,216001,5,200;1001,214003,1,194;1001,215002,1,165;1001,800004,1,165;</t>
  </si>
  <si>
    <t>周年庆酒杯</t>
  </si>
  <si>
    <t>1001,619360,10,75;1001,619360,11,200;1001,619360,12,250;1001,619360,13,250;1001,619360,14,150;1001,619360,15,75;1001,713112,1,5</t>
  </si>
  <si>
    <t>时装兑换币宝箱</t>
  </si>
  <si>
    <t>1001,619442,10,75;1001,619442,11,200;1001,619442,12,250;1001,619442,13,250;1001,619442,14,150;1001,619442,15,75;1001,931016,1,5</t>
  </si>
  <si>
    <t>称号兑换币宝箱</t>
  </si>
  <si>
    <t>1001,619360,10,75;1001,619360,11,200;1001,619360,12,250;1001,619360,13,250;1001,619360,14,150;1001,619360,15,75;1001,619450,1,5</t>
  </si>
  <si>
    <t>万圣节时装兑换币宝箱</t>
  </si>
  <si>
    <t>1001,615019,1,100</t>
  </si>
  <si>
    <t>烬觉醒碎片大礼包</t>
  </si>
  <si>
    <t>1200,3002101,1,100</t>
  </si>
  <si>
    <t>英雄·审判手杖</t>
  </si>
  <si>
    <t>1200,3002102,1,100</t>
  </si>
  <si>
    <t>英雄·审判铠甲</t>
  </si>
  <si>
    <t>1200,3002103,1,100</t>
  </si>
  <si>
    <t>英雄·审判戒指</t>
  </si>
  <si>
    <t>1200,3002104,1,100</t>
  </si>
  <si>
    <t>英雄·审判项链</t>
  </si>
  <si>
    <t>1200,3002001,1,100</t>
  </si>
  <si>
    <t>英雄·流浪手杖</t>
  </si>
  <si>
    <t>1200,3002002,1,100</t>
  </si>
  <si>
    <t>英雄·流浪铠甲</t>
  </si>
  <si>
    <t>1200,3002003,1,100</t>
  </si>
  <si>
    <t>英雄·流浪戒指</t>
  </si>
  <si>
    <t>1200,3002004,1,100</t>
  </si>
  <si>
    <t>英雄·流浪项链</t>
  </si>
  <si>
    <t>1001,619360,10,75;1001,619360,11,200;1001,619360,12,250;1001,619360,13,250;1001,619360,14,150;1001,619360,15,75;1001,713114,1,5</t>
  </si>
  <si>
    <t>烬·惊喜时装礼包</t>
  </si>
  <si>
    <t>1,0,12,100;1,0,22,100;1,0,32,100;1,0,42,100;1,0,52,100</t>
  </si>
  <si>
    <t>双12银宝箱</t>
  </si>
  <si>
    <t>1001,615020,1,100</t>
  </si>
  <si>
    <t>青年雷利觉醒碎片大礼包</t>
  </si>
  <si>
    <t>1001,619360,10,75;1001,619360,11,200;1001,619360,12,250;1001,619360,13,250;1001,619360,14,150;1001,619360,15,75;1001,619498,1,5</t>
  </si>
  <si>
    <t>圣诞时装兑换币宝箱</t>
  </si>
  <si>
    <t>1,0,100,100;1001,215011,2,100;3,0,88,100;3,0,200,100;1001,216001,10,100;1001,215007,5,100;1001,215005,3,100;5,0,500000,100</t>
  </si>
  <si>
    <t>幸运圣诞帽掉落</t>
  </si>
  <si>
    <t>1,0,20,500;1,0,25,250;1,0,66,150;1,0,88,99;1,0,2025,1</t>
  </si>
  <si>
    <t>春节庆典礼包（绿）掉落</t>
  </si>
  <si>
    <t>3,0,200,30;1001,511378,1,30;1001,215011,1,30;1001,216002,5,80;3,0,88,100;1001,213014,2,145;1001,216001,5,170;1001,214003,1,165;1001,215002,1,140;1001,800004,1,140</t>
  </si>
  <si>
    <t>鞭炮掉落</t>
  </si>
  <si>
    <t>1,0,188,3190;1,0,288,5000;1,0,588,1500;1,0,888,200;1,0,1588,100;1,0,2025,10</t>
  </si>
  <si>
    <t>春节庆典礼包（蓝）掉落</t>
  </si>
  <si>
    <t>1,0,100,2000;1001,215011,2,200;1001,215011,1,300;3,0,88,1000;3,0,200,1000;1001,216001,10,2000;1001,215007,5,1000;1001,215005,3,1500;5,0,500000,1000</t>
  </si>
  <si>
    <t>元宵佳节宝箱</t>
  </si>
  <si>
    <t>1001,619319,1,1;1,0,99,1000;1001,215011,2,1000;1001,221011,2,1000;1001,720001,3,1000;1001,215007,10,2000;1001,215001,20,2000;1001,514032,5,2000</t>
  </si>
  <si>
    <t>情人节宝箱</t>
  </si>
  <si>
    <t>1001,615021,1,100</t>
  </si>
  <si>
    <t>杰克觉醒碎片大礼包</t>
  </si>
  <si>
    <t>1941,0,5,10;1701,0,200,10</t>
  </si>
  <si>
    <t>海岛礼盒</t>
  </si>
  <si>
    <t xml:space="preserve">1001,122001,200,30;1001,511226,1,30;1001,215011,1,30;1001,216002,5,80;1001,122001,88,100;1001,213014,2,145;1001,216001,5,170;1001,214003,1,165;1001,215002,1,140;1001,800004,1,140
</t>
  </si>
  <si>
    <t>六周年惊喜宝箱</t>
  </si>
  <si>
    <t>1001,615022,1,100</t>
  </si>
  <si>
    <t>昆因觉醒碎片大礼包</t>
  </si>
  <si>
    <t>1,0,66,40;1,0,88,40;1001,215011,2,40;1001,221011,2,40;1001,720001,3,200;1001,215007,10,40;1001,215001,10,200;1001,216002,3,200;1001,514032,5,200</t>
  </si>
  <si>
    <t>劳动节宝箱</t>
  </si>
  <si>
    <t>1001,615023,1,100</t>
  </si>
  <si>
    <t>新世界库赞觉醒碎片大礼包</t>
  </si>
  <si>
    <t>1,0,66,1000;1,0,88,1000;3,0,200,1000;1001,215005,10,1000;1001,215011,1,1000;1001,221011,1,1000;1001,215015,1,1000;5,0,88888,1000</t>
  </si>
  <si>
    <t>一筐粽叶</t>
  </si>
  <si>
    <t>1001,615024,1,100</t>
  </si>
  <si>
    <t>新世界御田觉醒碎片大礼包</t>
  </si>
  <si>
    <t>1001,615025,1,100</t>
  </si>
  <si>
    <t>新世界卡普碎片大礼包</t>
  </si>
  <si>
    <t>1,0,7,4999;1,0,27,2500;1,0,57,1500;1,0,77,1000;1,0,777,1</t>
  </si>
  <si>
    <t>7周年庆典铜宝箱</t>
  </si>
  <si>
    <t>七夕宝箱</t>
  </si>
  <si>
    <t>1,0,77,4999;1,0,177,2500;1,0,477,1500;1,0,777,1000;1,0,7777,1</t>
  </si>
  <si>
    <t>7周年庆典银宝箱</t>
  </si>
  <si>
    <t>1001,619360,10,75;1001,619360,11,200;1001,619360,12,250;1001,619360,13,250;1001,619360,14,150;1001,619360,15,75;1001,713128,1,5</t>
  </si>
  <si>
    <t>1,0,88,100;1001,215011,1,100;1001,221011,1,100;1001,215007,5,140;1001,216001,10,140;1001,214002,10,140;1001,214003,5,140;1001,216002,5,140</t>
  </si>
  <si>
    <t>中秋惊喜宝箱</t>
  </si>
  <si>
    <t>1001,615027,1,100</t>
  </si>
  <si>
    <t>阿菊觉醒碎片大礼包</t>
  </si>
  <si>
    <t>1001,619360,10,75;1001,619360,11,200;1001,619360,12,250;1001,619360,13,250;1001,619360,14,150;1001,619360,15,75;1001,619577,1,5</t>
  </si>
  <si>
    <t>1,0,33,170;1,0,66,110;1001,215011,1,110;1001,216001,5,170;1001,720001,2,170;1001,216002,2,170;1001,514032,3,170;1001,619577,1,1</t>
  </si>
  <si>
    <t>珍藏称号箱</t>
  </si>
  <si>
    <t>1001,619442,30,5000;20012,0,300,5000</t>
  </si>
  <si>
    <t>狂欢惊喜任选箱</t>
  </si>
  <si>
    <t>1,0,88,50;1001,215011,1,50;1001,221011,1,50;1001,215007,5,150;1001,216001,10,150;1001,215002,10,150;1001,214003,5,150;1001,216002,5,150;1001,514032,5,150</t>
  </si>
  <si>
    <t>狂欢预热好礼</t>
  </si>
  <si>
    <t>3,0,200,30;1001,511226,1,30;1001,215011,1,30;1001,216002,5,80;3,0,88,100;1001,213014,2,145;1001,216001,5,170;1001,214003,1,165;1001,215002,1,140;1001,800004,1,140</t>
  </si>
  <si>
    <t>感恩节彩蛋</t>
  </si>
  <si>
    <t>感恩节宝箱</t>
  </si>
  <si>
    <t>1001,216002,5,200;1001,214014,1,100;1001,800002,2,100;1001,210121,5,100;1001,215005,3,100;1001,215015,1,200;1001,215011,1,100;1001,514032,5,200;3,0,500,100;5,0,500000,100</t>
  </si>
  <si>
    <t>双12狂欢宝箱</t>
  </si>
  <si>
    <t>1001,615028,1,100</t>
  </si>
  <si>
    <t>锦卫门觉醒碎片大礼包</t>
  </si>
  <si>
    <t>圣诞玩偶</t>
  </si>
  <si>
    <t>1,0,66,100;1,0,88,100;3,0,200,100;1001,215005,10,25;1001,215011,1,50;1001,221011,1,50;1001,215015,1,50;5,0,88888,100</t>
  </si>
  <si>
    <t>圣诞节宝箱</t>
  </si>
  <si>
    <t>5,0,10000,31000;1,0,15,31000;3,0,50,31000;1001,215005,1,5000;20012,0,15,2000;1001,619613,1,1</t>
  </si>
  <si>
    <t>圣诞节秘藏宝箱</t>
  </si>
  <si>
    <t>1001,215011,1,100;3,0,10,120;3,0,20,100;5,0,5000,120;5,0,10000,120;5,0,20000,120;1001,216001,1,120;1001,215007,1,100;1001,619548,1,100</t>
  </si>
  <si>
    <t>随机道具箱</t>
  </si>
  <si>
    <t>1,0,20,500;1,0,26,250;1,0,66,150;1,0,88,99;1,0,2026,1</t>
  </si>
  <si>
    <t>春节惊喜铜宝箱</t>
  </si>
  <si>
    <t>1001,511226,1,10;1001,215011,1,20;20012,0,88,20;1001,617047,1,60;1,0,50,100;1001,216002,5,150;1001,214002,5,150;1001,215007,2,150;5,0,50000,200;3,0,66,150</t>
  </si>
  <si>
    <t>战利品宝箱</t>
  </si>
  <si>
    <t>1,0,188,3190;1,0,288,5000;1,0,588,1500;1,0,888,200;1,0,1588,100;1,0,2026,10</t>
  </si>
  <si>
    <t>春节庆典银宝箱</t>
  </si>
  <si>
    <t>60034,70;60035,30</t>
  </si>
  <si>
    <t>讨伐每次奖励01A</t>
  </si>
  <si>
    <t>1001,250041,1,10</t>
  </si>
  <si>
    <t>讨伐每次奖励01B</t>
  </si>
  <si>
    <t>60038,70;60039,30</t>
  </si>
  <si>
    <t>讨伐每次奖励02A</t>
  </si>
  <si>
    <t>讨伐每次奖励02B</t>
  </si>
  <si>
    <t>60042,70;60043,30</t>
  </si>
  <si>
    <t>讨伐每次奖励03A</t>
  </si>
  <si>
    <t>1001,250042,1,100</t>
  </si>
  <si>
    <t>讨伐每次奖励03B</t>
  </si>
  <si>
    <t>60046,70;60047,30</t>
  </si>
  <si>
    <t>讨伐每次奖励04A</t>
  </si>
  <si>
    <t>1001,250044,1,100</t>
  </si>
  <si>
    <t>1001,215001,3,10;1001,215001,4,10;1001,215001,5,10</t>
  </si>
  <si>
    <t>讨伐每次奖励04B</t>
  </si>
  <si>
    <t>基数</t>
  </si>
  <si>
    <t>层数</t>
  </si>
  <si>
    <t>金沙数量</t>
  </si>
  <si>
    <t>一袋金沙数量</t>
  </si>
  <si>
    <t>一箱金沙数量</t>
  </si>
  <si>
    <t>价格</t>
  </si>
  <si>
    <t>显示图标个数</t>
  </si>
  <si>
    <t>1001,700003,3,80;1001,700004,1,20</t>
  </si>
  <si>
    <t>金块副本1</t>
  </si>
  <si>
    <t>1001,700003,1,65;1001,700004,1,35</t>
  </si>
  <si>
    <t>金块副本2</t>
  </si>
  <si>
    <t>1001,700003,1,73;1001,700004,1,27</t>
  </si>
  <si>
    <t>金块副本3</t>
  </si>
  <si>
    <t>1001,700003,1,75;1001,700004,1,25</t>
  </si>
  <si>
    <t>金块副本4</t>
  </si>
  <si>
    <t>1001,700003,1,77;1001,700004,1,21;1001,700005,1,2</t>
  </si>
  <si>
    <t>金块副本5</t>
  </si>
  <si>
    <t>1001,700003,1,72;1001,700004,1,26;1001,700005,1,2</t>
  </si>
  <si>
    <t>金块副本6</t>
  </si>
  <si>
    <t>1001,700003,1,65;1001,700004,1,27;1001,700005,1,8</t>
  </si>
  <si>
    <t>金块副本7</t>
  </si>
  <si>
    <t>1001,700003,1,60;1001,700004,1,30;1001,700005,1,10</t>
  </si>
  <si>
    <t>金块副本8</t>
  </si>
  <si>
    <t>1001,700003,1,55;1001,700004,1,33;1001,700005,1,12</t>
  </si>
  <si>
    <t>金块副本9</t>
  </si>
  <si>
    <t>1001,700003,1,50;1001,700004,1,30;1001,700005,1,15;1001,700006,1,5</t>
  </si>
  <si>
    <t>金块副本10</t>
  </si>
  <si>
    <t>金沙概率</t>
  </si>
  <si>
    <t>期望价格</t>
  </si>
  <si>
    <t>既定价格</t>
  </si>
  <si>
    <t>保底价格</t>
  </si>
  <si>
    <t>需求价格</t>
  </si>
  <si>
    <t>1001,700003,1,50;1001,700004,1,50</t>
  </si>
  <si>
    <t>1001,700003,1,31;1001,700004,1,59;1001,700005,1,10</t>
  </si>
  <si>
    <t>1001,700003,1,30;1001,700004,1,40;1001,700005,1,30</t>
  </si>
  <si>
    <t>1001,700003,1,10;1001,700004,1,40;1001,700005,1,40;1001,700006,1,10</t>
  </si>
  <si>
    <t>1001,700003,1,21;1001,700004,1,18;1001,700005,1,51;1001,700006,1,10</t>
  </si>
  <si>
    <t>1001,700003,1,25;1001,700004,1,19;1001,700005,1,36;1001,700006,1,20</t>
  </si>
  <si>
    <t>1001,700003,1,10;1001,700004,1,30;1001,700005,1,30;1001,700006,1,30</t>
  </si>
  <si>
    <t>1001,700005,1,32;1001,700006,1,68</t>
  </si>
  <si>
    <t>掉落组</t>
  </si>
  <si>
    <t>碎片</t>
  </si>
  <si>
    <t>阿拉巴斯坦</t>
  </si>
  <si>
    <t>NO.3</t>
  </si>
  <si>
    <t>初级技能书</t>
  </si>
  <si>
    <t>中级技能书</t>
  </si>
  <si>
    <t>高级技能书</t>
  </si>
  <si>
    <t>突破副本次数</t>
  </si>
  <si>
    <t>1001,214005,3;1001,610001,3</t>
  </si>
  <si>
    <t>克比碎片</t>
  </si>
  <si>
    <t>1001,214005,2;1001,610002,3</t>
  </si>
  <si>
    <t>斧手蒙卡碎片</t>
  </si>
  <si>
    <t>1001,214005,2;1001,610003,3</t>
  </si>
  <si>
    <t>卡巴奇碎片</t>
  </si>
  <si>
    <t>NO.6</t>
  </si>
  <si>
    <t>紫色战魂</t>
  </si>
  <si>
    <t>1001,214005,2;1001,610004,3</t>
  </si>
  <si>
    <t>克洛碎片</t>
  </si>
  <si>
    <t>1001,214005,2;1001,610005,3</t>
  </si>
  <si>
    <t>强高碎片</t>
  </si>
  <si>
    <t>1001,214005,2;1001,610006,3</t>
  </si>
  <si>
    <t>克里克碎片</t>
  </si>
  <si>
    <t>空岛</t>
  </si>
  <si>
    <t>1级低级宝石</t>
  </si>
  <si>
    <t>2级低级宝石</t>
  </si>
  <si>
    <t>3级低级宝石</t>
  </si>
  <si>
    <t>1001,214005,2;1001,610007,3</t>
  </si>
  <si>
    <t>阿金碎片</t>
  </si>
  <si>
    <t>1001,214005,2;1001,610008,3</t>
  </si>
  <si>
    <t>帕鲁碎片</t>
  </si>
  <si>
    <t>1001,214005,2;1001,610009,3</t>
  </si>
  <si>
    <t>阿龙碎片</t>
  </si>
  <si>
    <t>1001,214005,2;1001,610010,3</t>
  </si>
  <si>
    <t>阿八碎片</t>
  </si>
  <si>
    <t>1001,214005,2;1001,610011,3</t>
  </si>
  <si>
    <t>薇薇碎片</t>
  </si>
  <si>
    <t>1001,214005,2;1001,610012,3</t>
  </si>
  <si>
    <t>Mr.5碎片</t>
  </si>
  <si>
    <t>NO.9</t>
  </si>
  <si>
    <t>1001,214005,2;1001,610013,3</t>
  </si>
  <si>
    <t>瓦尔波碎片</t>
  </si>
  <si>
    <t>1001,214005,2;1001,610014,3</t>
  </si>
  <si>
    <t>Mr.4碎片</t>
  </si>
  <si>
    <t>1001,214005,2;1001,610015,3</t>
  </si>
  <si>
    <t>Miss.黄金周碎片</t>
  </si>
  <si>
    <t>1001,214005,2;1001,610018,3</t>
  </si>
  <si>
    <t>约撒碎片</t>
  </si>
  <si>
    <t>1001,214005,4;1001,620001,4</t>
  </si>
  <si>
    <t>路飞碎片</t>
  </si>
  <si>
    <t>1001,214005,4;1001,620002,4</t>
  </si>
  <si>
    <t>佐罗碎片</t>
  </si>
  <si>
    <t>1001,214005,4;1001,620003,4</t>
  </si>
  <si>
    <t>奈美碎片</t>
  </si>
  <si>
    <t>1001,214005,4;1001,620004,4</t>
  </si>
  <si>
    <t>撒谎布碎片</t>
  </si>
  <si>
    <t>1001,214005,4;1001,620005,4</t>
  </si>
  <si>
    <t>山智碎片</t>
  </si>
  <si>
    <t>1001,214005,4;1001,620006,4</t>
  </si>
  <si>
    <t>乔巴碎片</t>
  </si>
  <si>
    <t>1001,214005,4;1001,620007,4</t>
  </si>
  <si>
    <t>罗宾碎片</t>
  </si>
  <si>
    <t>1001,214005,4;1001,620008,4</t>
  </si>
  <si>
    <t>弗兰奇碎片</t>
  </si>
  <si>
    <t>1001,214005,4;1001,620009,4</t>
  </si>
  <si>
    <t>布鲁克碎片</t>
  </si>
  <si>
    <t>1001,214005,4;1001,620010,4</t>
  </si>
  <si>
    <t>巴基碎片</t>
  </si>
  <si>
    <t>1001,214005,4;1001,620011,4</t>
  </si>
  <si>
    <t>斯摩格碎片</t>
  </si>
  <si>
    <t>1001,214005,4;1001,620012,4</t>
  </si>
  <si>
    <t>塔西琪碎片</t>
  </si>
  <si>
    <t>1001,214005,4;1001,620013,4</t>
  </si>
  <si>
    <t>Mr.1碎片</t>
  </si>
  <si>
    <t>1001,214005,4;1001,620014,4</t>
  </si>
  <si>
    <t>Mr.2碎片</t>
  </si>
  <si>
    <t>1001,214005,4;1001,620015,4</t>
  </si>
  <si>
    <t>Mr.3碎片</t>
  </si>
  <si>
    <t>1001,214005,4;1001,620016,4</t>
  </si>
  <si>
    <t>Miss.双手指碎片</t>
  </si>
  <si>
    <t>1001,214005,4;1001,620017,4</t>
  </si>
  <si>
    <t>贝拉米碎片</t>
  </si>
  <si>
    <t>1001,214005,4;1001,620018,4</t>
  </si>
  <si>
    <t>瓦帕碎片</t>
  </si>
  <si>
    <t>1001,214005,4;1001,620019,4</t>
  </si>
  <si>
    <t>杰布拉碎片</t>
  </si>
  <si>
    <t>1001,214005,4;1001,620020,4</t>
  </si>
  <si>
    <t>佳妮法碎片</t>
  </si>
  <si>
    <t>1001,214005,4;1001,620021,4</t>
  </si>
  <si>
    <t>卡古碎片</t>
  </si>
  <si>
    <t>1001,214005,4;1001,620022,4</t>
  </si>
  <si>
    <t>罗布路奇碎片</t>
  </si>
  <si>
    <t>1001,214005,4;1001,620023,4</t>
  </si>
  <si>
    <t>阿布萨罗姆碎片</t>
  </si>
  <si>
    <t>1001,214005,4;1001,620024,4</t>
  </si>
  <si>
    <t>豪格巴克碎片</t>
  </si>
  <si>
    <t>1001,214005,4;1001,620025,4</t>
  </si>
  <si>
    <t>佩罗娜碎片</t>
  </si>
  <si>
    <t>1001,214005,4;1001,620026,4</t>
  </si>
  <si>
    <t>龙马碎片</t>
  </si>
  <si>
    <t>1001,215005,1;1001,630001,4</t>
  </si>
  <si>
    <t>克洛克达尔碎片</t>
  </si>
  <si>
    <t>1001,215005,1;1001,630002,4</t>
  </si>
  <si>
    <t>艾尼路碎片</t>
  </si>
  <si>
    <t>1001,215005,1;1001,630003,4</t>
  </si>
  <si>
    <t>青雉碎片</t>
  </si>
  <si>
    <t>1001,215005,1;1001,630004,4</t>
  </si>
  <si>
    <t>蒙奇·D·戈普碎片</t>
  </si>
  <si>
    <t>1001,215005,1;1001,630005,4</t>
  </si>
  <si>
    <t>月光·莫利亚碎片</t>
  </si>
  <si>
    <t>1001,215005,1;1001,630006,4</t>
  </si>
  <si>
    <t>大熊碎片</t>
  </si>
  <si>
    <t>1001,215005,1;1001,630007,4</t>
  </si>
  <si>
    <t>波尔萨利诺碎片</t>
  </si>
  <si>
    <t>1001,215005,1;1001,630008,4</t>
  </si>
  <si>
    <t>波特夹斯·D·艾斯碎片</t>
  </si>
  <si>
    <t>1001,215005,1;1001,630009,4</t>
  </si>
  <si>
    <t>萨卡斯基碎片</t>
  </si>
  <si>
    <t>1001,215005,1;1001,630010,4</t>
  </si>
  <si>
    <t>杰拉基尔·米霍克碎片</t>
  </si>
  <si>
    <t>堡垒金枪</t>
  </si>
  <si>
    <t>堡垒金铠</t>
  </si>
  <si>
    <t>堡垒戒指</t>
  </si>
  <si>
    <t>堡垒项链</t>
  </si>
  <si>
    <t>指挥长剑</t>
  </si>
  <si>
    <t>指挥制服</t>
  </si>
  <si>
    <t>指挥戒指</t>
  </si>
  <si>
    <t>指挥项链</t>
  </si>
  <si>
    <t>提督长鞭</t>
  </si>
  <si>
    <t>提督长袍</t>
  </si>
  <si>
    <t>提督戒指</t>
  </si>
  <si>
    <t>提督项链</t>
  </si>
  <si>
    <t>糖果权杖</t>
  </si>
  <si>
    <t>糖果之衣</t>
  </si>
  <si>
    <t>糖果之戒</t>
  </si>
  <si>
    <t>糖果之链</t>
  </si>
  <si>
    <t>起航剑</t>
  </si>
  <si>
    <t>起航服</t>
  </si>
  <si>
    <t>起航戒指</t>
  </si>
  <si>
    <t>起航项链</t>
  </si>
  <si>
    <t>绅士长杖</t>
  </si>
  <si>
    <t>绅士礼服</t>
  </si>
  <si>
    <t>绅士戒指</t>
  </si>
  <si>
    <t>绅士项链</t>
  </si>
  <si>
    <t>勇气剑</t>
  </si>
  <si>
    <t>勇气服</t>
  </si>
  <si>
    <t>勇气戒指</t>
  </si>
  <si>
    <t>勇气项链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</si>
</sst>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3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FFAA8"/>
        <bgColor indexed="64"/>
      </patternFill>
    </fill>
    <fill>
      <patternFill patternType="solid">
        <fgColor rgb="FF6DD6F7"/>
        <bgColor indexed="64"/>
      </patternFill>
    </fill>
    <fill>
      <patternFill patternType="solid">
        <fgColor rgb="FFFCA2EB"/>
        <bgColor indexed="64"/>
      </patternFill>
    </fill>
    <fill>
      <patternFill patternType="solid">
        <fgColor rgb="FFF5F177"/>
        <bgColor indexed="64"/>
      </patternFill>
    </fill>
    <fill>
      <patternFill patternType="solid">
        <fgColor rgb="FFE69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799584948271126"/>
        <bgColor indexed="64"/>
      </patternFill>
    </fill>
    <fill>
      <patternFill patternType="solid">
        <fgColor theme="9" tint="0.79958494827112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5" tint="0.399578844569231"/>
        <bgColor indexed="64"/>
      </patternFill>
    </fill>
    <fill>
      <patternFill patternType="solid">
        <fgColor rgb="FFFDCCDC"/>
        <bgColor indexed="64"/>
      </patternFill>
    </fill>
    <fill>
      <patternFill patternType="solid">
        <fgColor rgb="FF91EBE0"/>
        <bgColor indexed="64"/>
      </patternFill>
    </fill>
    <fill>
      <patternFill patternType="solid">
        <fgColor rgb="FFEEB8FD"/>
        <bgColor indexed="64"/>
      </patternFill>
    </fill>
    <fill>
      <patternFill patternType="solid">
        <fgColor rgb="FF92F092"/>
        <bgColor indexed="64"/>
      </patternFill>
    </fill>
    <fill>
      <patternFill patternType="solid">
        <fgColor theme="1" tint="0.149601733451338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6D57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7" borderId="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18" fillId="0" borderId="5">
      <alignment vertical="center"/>
    </xf>
    <xf numFmtId="0" fontId="18" fillId="0" borderId="0">
      <alignment vertical="center"/>
    </xf>
    <xf numFmtId="0" fontId="19" fillId="38" borderId="6">
      <alignment vertical="center"/>
    </xf>
    <xf numFmtId="0" fontId="20" fillId="39" borderId="7">
      <alignment vertical="center"/>
    </xf>
    <xf numFmtId="0" fontId="21" fillId="39" borderId="6">
      <alignment vertical="center"/>
    </xf>
    <xf numFmtId="0" fontId="22" fillId="40" borderId="8">
      <alignment vertical="center"/>
    </xf>
    <xf numFmtId="0" fontId="23" fillId="0" borderId="9">
      <alignment vertical="center"/>
    </xf>
    <xf numFmtId="0" fontId="24" fillId="0" borderId="10">
      <alignment vertical="center"/>
    </xf>
    <xf numFmtId="0" fontId="25" fillId="41" borderId="0">
      <alignment vertical="center"/>
    </xf>
    <xf numFmtId="0" fontId="26" fillId="42" borderId="0">
      <alignment vertical="center"/>
    </xf>
    <xf numFmtId="0" fontId="27" fillId="43" borderId="0">
      <alignment vertical="center"/>
    </xf>
    <xf numFmtId="0" fontId="28" fillId="23" borderId="0">
      <alignment vertical="center"/>
    </xf>
    <xf numFmtId="0" fontId="29" fillId="44" borderId="0">
      <alignment vertical="center"/>
    </xf>
    <xf numFmtId="0" fontId="29" fillId="21" borderId="0">
      <alignment vertical="center"/>
    </xf>
    <xf numFmtId="0" fontId="28" fillId="45" borderId="0">
      <alignment vertical="center"/>
    </xf>
    <xf numFmtId="0" fontId="28" fillId="13" borderId="0">
      <alignment vertical="center"/>
    </xf>
    <xf numFmtId="0" fontId="29" fillId="46" borderId="0">
      <alignment vertical="center"/>
    </xf>
    <xf numFmtId="0" fontId="29" fillId="2" borderId="0">
      <alignment vertical="center"/>
    </xf>
    <xf numFmtId="0" fontId="28" fillId="47" borderId="0">
      <alignment vertical="center"/>
    </xf>
    <xf numFmtId="0" fontId="28" fillId="48" borderId="0">
      <alignment vertical="center"/>
    </xf>
    <xf numFmtId="0" fontId="29" fillId="49" borderId="0">
      <alignment vertical="center"/>
    </xf>
    <xf numFmtId="0" fontId="29" fillId="33" borderId="0">
      <alignment vertical="center"/>
    </xf>
    <xf numFmtId="0" fontId="28" fillId="50" borderId="0">
      <alignment vertical="center"/>
    </xf>
    <xf numFmtId="0" fontId="28" fillId="51" borderId="0">
      <alignment vertical="center"/>
    </xf>
    <xf numFmtId="0" fontId="29" fillId="52" borderId="0">
      <alignment vertical="center"/>
    </xf>
    <xf numFmtId="0" fontId="29" fillId="3" borderId="0">
      <alignment vertical="center"/>
    </xf>
    <xf numFmtId="0" fontId="28" fillId="53" borderId="0">
      <alignment vertical="center"/>
    </xf>
    <xf numFmtId="0" fontId="28" fillId="54" borderId="0">
      <alignment vertical="center"/>
    </xf>
    <xf numFmtId="0" fontId="29" fillId="55" borderId="0">
      <alignment vertical="center"/>
    </xf>
    <xf numFmtId="0" fontId="29" fillId="20" borderId="0">
      <alignment vertical="center"/>
    </xf>
    <xf numFmtId="0" fontId="28" fillId="56" borderId="0">
      <alignment vertical="center"/>
    </xf>
    <xf numFmtId="0" fontId="28" fillId="57" borderId="0">
      <alignment vertical="center"/>
    </xf>
    <xf numFmtId="0" fontId="29" fillId="58" borderId="0">
      <alignment vertical="center"/>
    </xf>
    <xf numFmtId="0" fontId="29" fillId="59" borderId="0">
      <alignment vertical="center"/>
    </xf>
    <xf numFmtId="0" fontId="28" fillId="60" borderId="0">
      <alignment vertical="center"/>
    </xf>
    <xf numFmtId="0" fontId="0" fillId="0" borderId="0">
      <alignment vertical="center"/>
    </xf>
    <xf numFmtId="0" fontId="1" fillId="0" borderId="0">
      <alignment vertical="center"/>
    </xf>
  </cellStyleXfs>
  <cellXfs count="106">
    <xf numFmtId="0" fontId="0" fillId="0" borderId="0" xfId="0"/>
    <xf numFmtId="0" fontId="1" fillId="2" borderId="0" xfId="50" applyFill="1" applyAlignment="1">
      <alignment horizontal="left" vertical="center"/>
    </xf>
    <xf numFmtId="0" fontId="1" fillId="3" borderId="0" xfId="50" applyFill="1" applyAlignment="1">
      <alignment horizontal="left" vertical="center"/>
    </xf>
    <xf numFmtId="0" fontId="0" fillId="0" borderId="0" xfId="0" applyAlignment="1">
      <alignment horizontal="left"/>
    </xf>
    <xf numFmtId="0" fontId="1" fillId="4" borderId="0" xfId="50" applyFill="1" applyAlignment="1">
      <alignment horizontal="center" vertical="center"/>
    </xf>
    <xf numFmtId="0" fontId="1" fillId="3" borderId="0" xfId="50" applyFill="1" applyAlignment="1">
      <alignment horizontal="center" vertical="center"/>
    </xf>
    <xf numFmtId="0" fontId="1" fillId="2" borderId="0" xfId="5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0" xfId="0" applyFill="1"/>
    <xf numFmtId="0" fontId="0" fillId="0" borderId="0" xfId="0" applyAlignment="1">
      <alignment horizontal="right"/>
    </xf>
    <xf numFmtId="0" fontId="1" fillId="0" borderId="0" xfId="50" applyAlignment="1"/>
    <xf numFmtId="10" fontId="0" fillId="9" borderId="0" xfId="0" applyNumberFormat="1" applyFill="1"/>
    <xf numFmtId="0" fontId="0" fillId="9" borderId="0" xfId="0" applyFill="1"/>
    <xf numFmtId="9" fontId="0" fillId="5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9" fontId="0" fillId="0" borderId="0" xfId="3" applyAlignment="1"/>
    <xf numFmtId="0" fontId="0" fillId="10" borderId="0" xfId="0" applyFill="1" applyAlignment="1">
      <alignment vertical="center"/>
    </xf>
    <xf numFmtId="0" fontId="0" fillId="11" borderId="1" xfId="0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9" fontId="0" fillId="0" borderId="0" xfId="0" applyNumberFormat="1"/>
    <xf numFmtId="0" fontId="3" fillId="0" borderId="0" xfId="0" applyFont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2" borderId="0" xfId="0" applyFill="1"/>
    <xf numFmtId="0" fontId="0" fillId="19" borderId="0" xfId="0" applyFill="1"/>
    <xf numFmtId="0" fontId="0" fillId="20" borderId="0" xfId="0" applyFill="1"/>
    <xf numFmtId="0" fontId="0" fillId="4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4" fillId="0" borderId="0" xfId="0" applyFont="1"/>
    <xf numFmtId="0" fontId="2" fillId="0" borderId="0" xfId="0" applyFont="1"/>
    <xf numFmtId="0" fontId="0" fillId="24" borderId="0" xfId="0" applyFill="1"/>
    <xf numFmtId="0" fontId="5" fillId="0" borderId="0" xfId="0" applyFont="1"/>
    <xf numFmtId="0" fontId="6" fillId="0" borderId="0" xfId="0" applyFont="1"/>
    <xf numFmtId="0" fontId="0" fillId="5" borderId="0" xfId="0" applyFill="1" applyAlignment="1">
      <alignment vertical="center"/>
    </xf>
    <xf numFmtId="0" fontId="6" fillId="5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3" fontId="0" fillId="0" borderId="0" xfId="0" applyNumberFormat="1"/>
    <xf numFmtId="49" fontId="0" fillId="0" borderId="0" xfId="0" applyNumberFormat="1"/>
    <xf numFmtId="3" fontId="0" fillId="0" borderId="0" xfId="0" applyNumberFormat="1" applyAlignment="1">
      <alignment vertical="center"/>
    </xf>
    <xf numFmtId="0" fontId="0" fillId="6" borderId="0" xfId="0" applyFill="1"/>
    <xf numFmtId="0" fontId="0" fillId="25" borderId="0" xfId="0" applyFill="1"/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20" borderId="0" xfId="0" applyFill="1" applyAlignment="1">
      <alignment vertical="center"/>
    </xf>
    <xf numFmtId="0" fontId="0" fillId="26" borderId="0" xfId="0" applyFill="1"/>
    <xf numFmtId="0" fontId="1" fillId="0" borderId="0" xfId="50" applyAlignment="1">
      <alignment vertical="center"/>
    </xf>
    <xf numFmtId="0" fontId="0" fillId="22" borderId="0" xfId="0" applyFill="1" applyAlignment="1">
      <alignment vertical="center"/>
    </xf>
    <xf numFmtId="3" fontId="0" fillId="22" borderId="0" xfId="0" applyNumberFormat="1" applyFill="1" applyAlignment="1">
      <alignment vertical="center"/>
    </xf>
    <xf numFmtId="0" fontId="0" fillId="7" borderId="0" xfId="0" applyFill="1"/>
    <xf numFmtId="0" fontId="0" fillId="27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0" borderId="0" xfId="50" applyAlignment="1">
      <alignment horizontal="left" vertical="center"/>
    </xf>
    <xf numFmtId="0" fontId="1" fillId="28" borderId="0" xfId="50" applyFill="1" applyAlignment="1">
      <alignment vertical="center"/>
    </xf>
    <xf numFmtId="49" fontId="0" fillId="0" borderId="0" xfId="0" applyNumberFormat="1" applyAlignment="1">
      <alignment horizontal="left"/>
    </xf>
    <xf numFmtId="0" fontId="0" fillId="29" borderId="0" xfId="0" applyFill="1"/>
    <xf numFmtId="0" fontId="0" fillId="29" borderId="0" xfId="0" applyFill="1" applyAlignment="1">
      <alignment vertical="center"/>
    </xf>
    <xf numFmtId="0" fontId="1" fillId="29" borderId="0" xfId="50" applyFill="1" applyAlignment="1">
      <alignment vertical="center"/>
    </xf>
    <xf numFmtId="0" fontId="0" fillId="0" borderId="0" xfId="0" applyAlignment="1">
      <alignment horizontal="left" vertical="center"/>
    </xf>
    <xf numFmtId="0" fontId="0" fillId="21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7" fillId="30" borderId="0" xfId="0" applyFont="1" applyFill="1" applyAlignment="1">
      <alignment vertical="center"/>
    </xf>
    <xf numFmtId="0" fontId="1" fillId="2" borderId="0" xfId="50" applyFill="1" applyAlignment="1">
      <alignment vertical="center"/>
    </xf>
    <xf numFmtId="0" fontId="7" fillId="12" borderId="0" xfId="0" applyFont="1" applyFill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50" applyFont="1" applyAlignment="1"/>
    <xf numFmtId="0" fontId="2" fillId="22" borderId="0" xfId="0" applyFont="1" applyFill="1"/>
    <xf numFmtId="0" fontId="9" fillId="22" borderId="0" xfId="50" applyFont="1" applyFill="1" applyAlignment="1"/>
    <xf numFmtId="0" fontId="10" fillId="0" borderId="0" xfId="0" applyFont="1"/>
    <xf numFmtId="0" fontId="4" fillId="0" borderId="0" xfId="0" applyFont="1" applyAlignment="1">
      <alignment vertical="center"/>
    </xf>
    <xf numFmtId="0" fontId="1" fillId="0" borderId="0" xfId="50" applyAlignment="1">
      <alignment horizontal="center" vertical="center"/>
    </xf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10" borderId="0" xfId="0" applyFill="1"/>
    <xf numFmtId="0" fontId="4" fillId="22" borderId="0" xfId="0" applyFont="1" applyFill="1"/>
    <xf numFmtId="0" fontId="8" fillId="0" borderId="0" xfId="0" applyFont="1" applyAlignment="1">
      <alignment horizontal="center" vertical="center"/>
    </xf>
    <xf numFmtId="0" fontId="0" fillId="20" borderId="0" xfId="0" applyFill="1" applyAlignment="1">
      <alignment horizontal="left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0" xfId="0" applyFont="1" applyAlignment="1">
      <alignment horizontal="left"/>
    </xf>
    <xf numFmtId="0" fontId="0" fillId="36" borderId="0" xfId="0" applyFill="1" applyAlignment="1">
      <alignment vertical="center"/>
    </xf>
    <xf numFmtId="0" fontId="0" fillId="0" borderId="0" xfId="0" applyAlignment="1">
      <alignment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常规 106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2792"/>
  <sheetViews>
    <sheetView tabSelected="1" workbookViewId="0">
      <pane ySplit="6" topLeftCell="A2752" activePane="bottomLeft" state="frozen"/>
      <selection/>
      <selection pane="bottomLeft" activeCell="F2789" sqref="F2789"/>
    </sheetView>
  </sheetViews>
  <sheetFormatPr defaultColWidth="9" defaultRowHeight="14.25" customHeight="1"/>
  <cols>
    <col min="1" max="1" width="12.625" customWidth="1"/>
    <col min="2" max="2" width="17.375" customWidth="1"/>
    <col min="3" max="5" width="14" customWidth="1"/>
    <col min="6" max="6" width="53.8916666666667" customWidth="1"/>
    <col min="7" max="7" width="27.7583333333333" customWidth="1"/>
    <col min="8" max="8" width="18" customWidth="1"/>
    <col min="9" max="9" width="17.375" customWidth="1"/>
  </cols>
  <sheetData>
    <row r="1" ht="14" customHeight="1" spans="1:9">
      <c r="A1">
        <v>7</v>
      </c>
      <c r="B1">
        <v>1</v>
      </c>
      <c r="C1">
        <v>9999</v>
      </c>
      <c r="D1">
        <v>6</v>
      </c>
    </row>
    <row r="2" ht="14" customHeight="1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ht="14" customHeight="1" spans="1:9">
      <c r="A3" s="50" t="s">
        <v>9</v>
      </c>
      <c r="B3" s="50"/>
      <c r="G3" s="50"/>
    </row>
    <row r="4" ht="14" customHeight="1"/>
    <row r="5" ht="14" customHeight="1"/>
    <row r="6" s="31" customFormat="1" ht="14" customHeight="1" spans="1:9">
      <c r="A6" s="31" t="s">
        <v>10</v>
      </c>
      <c r="B6" s="31" t="s">
        <v>11</v>
      </c>
      <c r="C6" s="31" t="s">
        <v>12</v>
      </c>
      <c r="D6" s="31" t="s">
        <v>13</v>
      </c>
      <c r="E6" s="31" t="s">
        <v>14</v>
      </c>
      <c r="F6" s="31" t="s">
        <v>15</v>
      </c>
    </row>
    <row r="7" ht="14" customHeight="1" spans="1:9">
      <c r="A7" s="15" t="s">
        <v>16</v>
      </c>
      <c r="B7" s="51">
        <v>2</v>
      </c>
      <c r="C7" s="15">
        <v>3</v>
      </c>
      <c r="D7" s="15">
        <v>0</v>
      </c>
      <c r="E7" s="15">
        <v>1</v>
      </c>
      <c r="F7" s="51" t="s">
        <v>17</v>
      </c>
      <c r="G7" s="15" t="s">
        <v>18</v>
      </c>
      <c r="I7" s="7"/>
    </row>
    <row r="8" ht="14" customHeight="1" spans="1:9">
      <c r="A8" s="15">
        <v>2</v>
      </c>
      <c r="B8" s="51">
        <v>1</v>
      </c>
      <c r="C8" s="15">
        <v>1</v>
      </c>
      <c r="D8" s="15">
        <v>0</v>
      </c>
      <c r="E8" s="15">
        <v>100</v>
      </c>
      <c r="F8" s="51" t="s">
        <v>19</v>
      </c>
      <c r="G8" s="15" t="s">
        <v>18</v>
      </c>
      <c r="I8" s="7"/>
    </row>
    <row r="9" ht="14" customHeight="1" spans="1:9">
      <c r="A9" s="15">
        <v>3</v>
      </c>
      <c r="B9" s="51">
        <v>1</v>
      </c>
      <c r="C9" s="15">
        <v>1</v>
      </c>
      <c r="D9" s="15">
        <v>0</v>
      </c>
      <c r="E9" s="15">
        <v>100</v>
      </c>
      <c r="F9" s="51" t="s">
        <v>20</v>
      </c>
      <c r="G9" s="15" t="s">
        <v>18</v>
      </c>
      <c r="I9" s="7"/>
    </row>
    <row r="10" ht="14" customHeight="1" spans="1:9">
      <c r="A10" s="15">
        <v>4</v>
      </c>
      <c r="B10" s="51">
        <v>1</v>
      </c>
      <c r="C10" s="15">
        <v>1</v>
      </c>
      <c r="D10" s="15">
        <v>0</v>
      </c>
      <c r="E10" s="15">
        <v>100</v>
      </c>
      <c r="F10" s="51" t="s">
        <v>21</v>
      </c>
      <c r="G10" s="15" t="s">
        <v>18</v>
      </c>
      <c r="I10" s="7"/>
    </row>
    <row r="11" ht="14" customHeight="1" spans="1:9">
      <c r="A11" s="15">
        <v>5</v>
      </c>
      <c r="B11" s="51">
        <v>2</v>
      </c>
      <c r="C11" s="15">
        <v>4</v>
      </c>
      <c r="D11" s="15">
        <v>0</v>
      </c>
      <c r="E11" s="15">
        <v>1</v>
      </c>
      <c r="F11" s="51" t="s">
        <v>22</v>
      </c>
      <c r="G11" s="15" t="s">
        <v>23</v>
      </c>
      <c r="I11" s="7"/>
    </row>
    <row r="12" ht="14" customHeight="1" spans="1:9">
      <c r="A12" s="15">
        <v>6</v>
      </c>
      <c r="B12" s="51">
        <v>1</v>
      </c>
      <c r="C12" s="15">
        <v>1</v>
      </c>
      <c r="D12" s="15">
        <v>0</v>
      </c>
      <c r="E12" s="15">
        <v>100</v>
      </c>
      <c r="F12" s="51" t="s">
        <v>24</v>
      </c>
      <c r="G12" s="15" t="s">
        <v>23</v>
      </c>
      <c r="H12" s="7"/>
      <c r="I12" s="7"/>
    </row>
    <row r="13" ht="14" customHeight="1" spans="1:9">
      <c r="A13" s="15">
        <v>7</v>
      </c>
      <c r="B13" s="51">
        <v>1</v>
      </c>
      <c r="C13" s="15">
        <v>1</v>
      </c>
      <c r="D13" s="15">
        <v>0</v>
      </c>
      <c r="E13" s="15">
        <v>100</v>
      </c>
      <c r="F13" s="51" t="s">
        <v>25</v>
      </c>
      <c r="G13" s="15" t="s">
        <v>23</v>
      </c>
      <c r="H13" s="7"/>
      <c r="I13" s="7"/>
    </row>
    <row r="14" ht="14" customHeight="1" spans="1:9">
      <c r="A14" s="15">
        <v>8</v>
      </c>
      <c r="B14" s="51">
        <v>1</v>
      </c>
      <c r="C14" s="15">
        <v>1</v>
      </c>
      <c r="D14" s="15">
        <v>0</v>
      </c>
      <c r="E14" s="15">
        <v>100</v>
      </c>
      <c r="F14" s="51" t="s">
        <v>26</v>
      </c>
      <c r="G14" s="15" t="s">
        <v>23</v>
      </c>
      <c r="I14" s="7"/>
    </row>
    <row r="15" ht="14" customHeight="1" spans="1:9">
      <c r="A15" s="15">
        <v>9</v>
      </c>
      <c r="B15" s="51">
        <v>2</v>
      </c>
      <c r="C15" s="15">
        <v>4</v>
      </c>
      <c r="D15" s="15">
        <v>0</v>
      </c>
      <c r="E15" s="15">
        <v>1</v>
      </c>
      <c r="F15" s="51" t="s">
        <v>27</v>
      </c>
      <c r="G15" s="15" t="s">
        <v>28</v>
      </c>
      <c r="I15" s="7"/>
    </row>
    <row r="16" ht="14" customHeight="1" spans="1:9">
      <c r="A16" s="15">
        <v>10</v>
      </c>
      <c r="B16" s="15">
        <v>1</v>
      </c>
      <c r="C16" s="15">
        <v>1</v>
      </c>
      <c r="D16" s="15">
        <v>0</v>
      </c>
      <c r="E16" s="15">
        <v>100</v>
      </c>
      <c r="F16" s="51" t="s">
        <v>24</v>
      </c>
      <c r="G16" s="15" t="s">
        <v>28</v>
      </c>
    </row>
    <row r="17" ht="14" customHeight="1" spans="1:7">
      <c r="A17" s="51">
        <v>11</v>
      </c>
      <c r="B17" s="51">
        <v>1</v>
      </c>
      <c r="C17" s="15">
        <v>1</v>
      </c>
      <c r="D17" s="51">
        <v>0</v>
      </c>
      <c r="E17" s="51">
        <v>100</v>
      </c>
      <c r="F17" s="51" t="s">
        <v>29</v>
      </c>
      <c r="G17" s="51" t="s">
        <v>28</v>
      </c>
    </row>
    <row r="18" ht="14" customHeight="1" spans="1:7">
      <c r="A18" s="51">
        <v>12</v>
      </c>
      <c r="B18" s="51">
        <v>1</v>
      </c>
      <c r="C18" s="15">
        <v>1</v>
      </c>
      <c r="D18" s="51">
        <v>0</v>
      </c>
      <c r="E18" s="51">
        <v>100</v>
      </c>
      <c r="F18" s="51" t="s">
        <v>30</v>
      </c>
      <c r="G18" s="51" t="s">
        <v>28</v>
      </c>
    </row>
    <row r="19" ht="14" customHeight="1" spans="1:7">
      <c r="A19" s="51">
        <v>13</v>
      </c>
      <c r="B19" s="51">
        <v>2</v>
      </c>
      <c r="C19" s="15">
        <v>4</v>
      </c>
      <c r="D19" s="15">
        <v>0</v>
      </c>
      <c r="E19" s="15">
        <v>1</v>
      </c>
      <c r="F19" s="52" t="s">
        <v>31</v>
      </c>
      <c r="G19" s="15" t="s">
        <v>32</v>
      </c>
    </row>
    <row r="20" ht="14" customHeight="1" spans="1:7">
      <c r="A20" s="51">
        <v>14</v>
      </c>
      <c r="B20" s="15">
        <v>1</v>
      </c>
      <c r="C20" s="15">
        <v>1</v>
      </c>
      <c r="D20" s="15">
        <v>0</v>
      </c>
      <c r="E20" s="15">
        <v>100</v>
      </c>
      <c r="F20" s="51" t="s">
        <v>24</v>
      </c>
      <c r="G20" s="15" t="s">
        <v>32</v>
      </c>
    </row>
    <row r="21" ht="14" customHeight="1" spans="1:7">
      <c r="A21" s="51">
        <v>15</v>
      </c>
      <c r="B21" s="51">
        <v>1</v>
      </c>
      <c r="C21" s="15">
        <v>1</v>
      </c>
      <c r="D21" s="51">
        <v>0</v>
      </c>
      <c r="E21" s="51">
        <v>100</v>
      </c>
      <c r="F21" s="51" t="s">
        <v>33</v>
      </c>
      <c r="G21" s="51" t="s">
        <v>32</v>
      </c>
    </row>
    <row r="22" ht="14" customHeight="1" spans="1:7">
      <c r="A22" s="51">
        <v>16</v>
      </c>
      <c r="B22" s="51">
        <v>1</v>
      </c>
      <c r="C22" s="15">
        <v>1</v>
      </c>
      <c r="D22" s="51">
        <v>0</v>
      </c>
      <c r="E22" s="51">
        <v>100</v>
      </c>
      <c r="F22" s="51" t="s">
        <v>34</v>
      </c>
      <c r="G22" s="51" t="s">
        <v>32</v>
      </c>
    </row>
    <row r="23" ht="14" customHeight="1" spans="1:7">
      <c r="A23" s="51">
        <v>17</v>
      </c>
      <c r="B23" s="51">
        <v>1</v>
      </c>
      <c r="C23" s="15">
        <v>1</v>
      </c>
      <c r="D23" s="15">
        <v>0</v>
      </c>
      <c r="E23" s="15">
        <v>100</v>
      </c>
      <c r="F23" s="51" t="s">
        <v>35</v>
      </c>
      <c r="G23" s="15" t="s">
        <v>36</v>
      </c>
    </row>
    <row r="24" ht="14" customHeight="1" spans="1:7">
      <c r="A24" s="51">
        <v>18</v>
      </c>
      <c r="B24" s="51">
        <v>1</v>
      </c>
      <c r="C24" s="15">
        <v>7</v>
      </c>
      <c r="D24" s="15">
        <v>0</v>
      </c>
      <c r="E24" s="15">
        <v>100</v>
      </c>
      <c r="F24" s="51" t="s">
        <v>37</v>
      </c>
      <c r="G24" s="15" t="s">
        <v>36</v>
      </c>
    </row>
    <row r="25" ht="14" customHeight="1" spans="1:7">
      <c r="A25" s="51">
        <v>19</v>
      </c>
      <c r="B25" s="51">
        <v>1</v>
      </c>
      <c r="C25" s="15">
        <v>8</v>
      </c>
      <c r="D25" s="15">
        <v>0</v>
      </c>
      <c r="E25" s="15">
        <v>100</v>
      </c>
      <c r="F25" s="51" t="s">
        <v>38</v>
      </c>
      <c r="G25" s="15" t="s">
        <v>36</v>
      </c>
    </row>
    <row r="26" ht="14" customHeight="1" spans="1:7">
      <c r="A26" s="51">
        <v>20</v>
      </c>
      <c r="B26" s="51">
        <v>1</v>
      </c>
      <c r="C26" s="15">
        <v>9</v>
      </c>
      <c r="D26" s="15">
        <v>0</v>
      </c>
      <c r="E26" s="15">
        <v>100</v>
      </c>
      <c r="F26" s="51" t="s">
        <v>38</v>
      </c>
      <c r="G26" s="15" t="s">
        <v>36</v>
      </c>
    </row>
    <row r="27" ht="14" customHeight="1" spans="1:7">
      <c r="A27" s="51">
        <v>21</v>
      </c>
      <c r="B27" s="51">
        <v>2</v>
      </c>
      <c r="C27" s="15">
        <v>1</v>
      </c>
      <c r="D27" s="15">
        <v>0</v>
      </c>
      <c r="E27" s="15">
        <v>100</v>
      </c>
      <c r="F27" s="51" t="s">
        <v>39</v>
      </c>
      <c r="G27" s="15" t="s">
        <v>40</v>
      </c>
    </row>
    <row r="28" ht="14" customHeight="1" spans="1:7">
      <c r="A28" s="51">
        <v>22</v>
      </c>
      <c r="B28" s="51">
        <v>1</v>
      </c>
      <c r="C28" s="15">
        <v>7</v>
      </c>
      <c r="D28" s="15">
        <v>0</v>
      </c>
      <c r="E28" s="15">
        <v>100</v>
      </c>
      <c r="F28" s="51" t="s">
        <v>41</v>
      </c>
      <c r="G28" s="15" t="s">
        <v>40</v>
      </c>
    </row>
    <row r="29" ht="14" customHeight="1" spans="1:7">
      <c r="A29" s="51">
        <v>23</v>
      </c>
      <c r="B29" s="51">
        <v>1</v>
      </c>
      <c r="C29" s="15">
        <v>8</v>
      </c>
      <c r="D29" s="15">
        <v>0</v>
      </c>
      <c r="E29" s="15">
        <v>100</v>
      </c>
      <c r="F29" s="51" t="s">
        <v>41</v>
      </c>
      <c r="G29" s="15" t="s">
        <v>40</v>
      </c>
    </row>
    <row r="30" ht="14" customHeight="1" spans="1:7">
      <c r="A30" s="51">
        <v>24</v>
      </c>
      <c r="B30" s="51">
        <v>1</v>
      </c>
      <c r="C30" s="15">
        <v>9</v>
      </c>
      <c r="D30" s="15">
        <v>0</v>
      </c>
      <c r="E30" s="15">
        <v>100</v>
      </c>
      <c r="F30" s="51" t="s">
        <v>41</v>
      </c>
      <c r="G30" s="15" t="s">
        <v>40</v>
      </c>
    </row>
    <row r="31" ht="14" customHeight="1" spans="1:7">
      <c r="A31" s="51">
        <v>25</v>
      </c>
      <c r="B31" s="51">
        <v>2</v>
      </c>
      <c r="C31" s="15">
        <v>1</v>
      </c>
      <c r="D31" s="15">
        <v>0</v>
      </c>
      <c r="E31" s="15">
        <v>100</v>
      </c>
      <c r="F31" s="51" t="s">
        <v>42</v>
      </c>
      <c r="G31" s="15" t="s">
        <v>43</v>
      </c>
    </row>
    <row r="32" ht="14" customHeight="1" spans="1:7">
      <c r="A32" s="51">
        <v>26</v>
      </c>
      <c r="B32" s="15">
        <v>1</v>
      </c>
      <c r="C32" s="15">
        <v>7</v>
      </c>
      <c r="D32" s="15">
        <v>0</v>
      </c>
      <c r="E32" s="15">
        <v>100</v>
      </c>
      <c r="F32" s="51" t="s">
        <v>44</v>
      </c>
      <c r="G32" s="15" t="s">
        <v>43</v>
      </c>
    </row>
    <row r="33" ht="14" customHeight="1" spans="1:7">
      <c r="A33" s="51">
        <v>27</v>
      </c>
      <c r="B33" s="51">
        <v>1</v>
      </c>
      <c r="C33" s="15">
        <v>8</v>
      </c>
      <c r="D33" s="51">
        <v>0</v>
      </c>
      <c r="E33" s="51">
        <v>100</v>
      </c>
      <c r="F33" s="51" t="s">
        <v>44</v>
      </c>
      <c r="G33" s="51" t="s">
        <v>43</v>
      </c>
    </row>
    <row r="34" ht="14" customHeight="1" spans="1:7">
      <c r="A34" s="51">
        <v>28</v>
      </c>
      <c r="B34" s="51">
        <v>1</v>
      </c>
      <c r="C34" s="15">
        <v>9</v>
      </c>
      <c r="D34" s="51">
        <v>0</v>
      </c>
      <c r="E34" s="51">
        <v>100</v>
      </c>
      <c r="F34" s="51" t="s">
        <v>44</v>
      </c>
      <c r="G34" s="51" t="s">
        <v>43</v>
      </c>
    </row>
    <row r="35" ht="14" customHeight="1" spans="1:7">
      <c r="A35" s="51">
        <v>29</v>
      </c>
      <c r="B35" s="51">
        <v>2</v>
      </c>
      <c r="C35" s="15">
        <v>1</v>
      </c>
      <c r="D35" s="15">
        <v>0</v>
      </c>
      <c r="E35" s="15">
        <v>100</v>
      </c>
      <c r="F35" s="51" t="s">
        <v>45</v>
      </c>
      <c r="G35" s="15" t="s">
        <v>46</v>
      </c>
    </row>
    <row r="36" ht="14" customHeight="1" spans="1:7">
      <c r="A36" s="51">
        <v>30</v>
      </c>
      <c r="B36" s="15">
        <v>1</v>
      </c>
      <c r="C36" s="15">
        <v>7</v>
      </c>
      <c r="D36" s="15">
        <v>0</v>
      </c>
      <c r="E36" s="15">
        <v>100</v>
      </c>
      <c r="F36" s="51" t="s">
        <v>47</v>
      </c>
      <c r="G36" s="15" t="s">
        <v>46</v>
      </c>
    </row>
    <row r="37" ht="14" customHeight="1" spans="1:7">
      <c r="A37" s="51">
        <v>31</v>
      </c>
      <c r="B37" s="51">
        <v>1</v>
      </c>
      <c r="C37" s="15">
        <v>8</v>
      </c>
      <c r="D37" s="51">
        <v>0</v>
      </c>
      <c r="E37" s="51">
        <v>100</v>
      </c>
      <c r="F37" s="51" t="s">
        <v>47</v>
      </c>
      <c r="G37" s="51" t="s">
        <v>46</v>
      </c>
    </row>
    <row r="38" ht="14" customHeight="1" spans="1:7">
      <c r="A38" s="51">
        <v>32</v>
      </c>
      <c r="B38" s="51">
        <v>1</v>
      </c>
      <c r="C38" s="15">
        <v>9</v>
      </c>
      <c r="D38" s="51">
        <v>0</v>
      </c>
      <c r="E38" s="51">
        <v>100</v>
      </c>
      <c r="F38" s="51" t="s">
        <v>47</v>
      </c>
      <c r="G38" s="51" t="s">
        <v>46</v>
      </c>
    </row>
    <row r="39" ht="14" customHeight="1" spans="1:7">
      <c r="A39" s="51">
        <v>33</v>
      </c>
      <c r="B39" s="51">
        <v>2</v>
      </c>
      <c r="C39" s="15">
        <v>1</v>
      </c>
      <c r="D39" s="15">
        <v>0</v>
      </c>
      <c r="E39" s="15">
        <v>100</v>
      </c>
      <c r="F39" s="51" t="s">
        <v>48</v>
      </c>
      <c r="G39" s="15" t="s">
        <v>49</v>
      </c>
    </row>
    <row r="40" ht="14" customHeight="1" spans="1:7">
      <c r="A40" s="51">
        <v>34</v>
      </c>
      <c r="B40" s="51">
        <v>1</v>
      </c>
      <c r="C40" s="15">
        <v>7</v>
      </c>
      <c r="D40" s="15">
        <v>0</v>
      </c>
      <c r="E40" s="15">
        <v>100</v>
      </c>
      <c r="F40" s="51" t="s">
        <v>38</v>
      </c>
      <c r="G40" s="15" t="s">
        <v>49</v>
      </c>
    </row>
    <row r="41" ht="14" customHeight="1" spans="1:7">
      <c r="A41" s="51">
        <v>35</v>
      </c>
      <c r="B41" s="51">
        <v>1</v>
      </c>
      <c r="C41" s="15">
        <v>8</v>
      </c>
      <c r="D41" s="15">
        <v>0</v>
      </c>
      <c r="E41" s="15">
        <v>100</v>
      </c>
      <c r="F41" s="51" t="s">
        <v>38</v>
      </c>
      <c r="G41" s="15" t="s">
        <v>49</v>
      </c>
    </row>
    <row r="42" ht="14" customHeight="1" spans="1:7">
      <c r="A42" s="51">
        <v>36</v>
      </c>
      <c r="B42" s="51">
        <v>1</v>
      </c>
      <c r="C42" s="15">
        <v>9</v>
      </c>
      <c r="D42" s="15">
        <v>0</v>
      </c>
      <c r="E42" s="15">
        <v>100</v>
      </c>
      <c r="F42" s="51" t="s">
        <v>38</v>
      </c>
      <c r="G42" s="15" t="s">
        <v>49</v>
      </c>
    </row>
    <row r="43" ht="14" customHeight="1" spans="1:7">
      <c r="A43" s="51">
        <v>37</v>
      </c>
      <c r="B43" s="51">
        <v>2</v>
      </c>
      <c r="C43" s="15">
        <v>1</v>
      </c>
      <c r="D43" s="15">
        <v>0</v>
      </c>
      <c r="E43" s="15">
        <v>100</v>
      </c>
      <c r="F43" s="51" t="s">
        <v>50</v>
      </c>
      <c r="G43" s="15" t="s">
        <v>51</v>
      </c>
    </row>
    <row r="44" ht="14" customHeight="1" spans="1:7">
      <c r="A44" s="51">
        <v>38</v>
      </c>
      <c r="B44" s="51">
        <v>1</v>
      </c>
      <c r="C44" s="15">
        <v>7</v>
      </c>
      <c r="D44" s="15">
        <v>0</v>
      </c>
      <c r="E44" s="15">
        <v>100</v>
      </c>
      <c r="F44" s="51" t="s">
        <v>41</v>
      </c>
      <c r="G44" s="15" t="s">
        <v>51</v>
      </c>
    </row>
    <row r="45" ht="14" customHeight="1" spans="1:7">
      <c r="A45" s="51">
        <v>39</v>
      </c>
      <c r="B45" s="51">
        <v>1</v>
      </c>
      <c r="C45" s="15">
        <v>8</v>
      </c>
      <c r="D45" s="15">
        <v>0</v>
      </c>
      <c r="E45" s="15">
        <v>100</v>
      </c>
      <c r="F45" s="51" t="s">
        <v>41</v>
      </c>
      <c r="G45" s="15" t="s">
        <v>51</v>
      </c>
    </row>
    <row r="46" ht="14" customHeight="1" spans="1:7">
      <c r="A46" s="51">
        <v>40</v>
      </c>
      <c r="B46" s="51">
        <v>1</v>
      </c>
      <c r="C46" s="15">
        <v>9</v>
      </c>
      <c r="D46" s="15">
        <v>0</v>
      </c>
      <c r="E46" s="15">
        <v>100</v>
      </c>
      <c r="F46" s="51" t="s">
        <v>41</v>
      </c>
      <c r="G46" s="15" t="s">
        <v>51</v>
      </c>
    </row>
    <row r="47" ht="14" customHeight="1" spans="1:7">
      <c r="A47" s="51">
        <v>41</v>
      </c>
      <c r="B47" s="51">
        <v>2</v>
      </c>
      <c r="C47" s="15">
        <v>1</v>
      </c>
      <c r="D47" s="15">
        <v>0</v>
      </c>
      <c r="E47" s="15">
        <v>100</v>
      </c>
      <c r="F47" s="51" t="s">
        <v>52</v>
      </c>
      <c r="G47" s="15" t="s">
        <v>53</v>
      </c>
    </row>
    <row r="48" ht="14" customHeight="1" spans="1:7">
      <c r="A48" s="51">
        <v>42</v>
      </c>
      <c r="B48" s="15">
        <v>1</v>
      </c>
      <c r="C48" s="15">
        <v>7</v>
      </c>
      <c r="D48" s="15">
        <v>0</v>
      </c>
      <c r="E48" s="15">
        <v>100</v>
      </c>
      <c r="F48" s="51" t="s">
        <v>44</v>
      </c>
      <c r="G48" s="15" t="s">
        <v>53</v>
      </c>
    </row>
    <row r="49" ht="14" customHeight="1" spans="1:7">
      <c r="A49" s="51">
        <v>43</v>
      </c>
      <c r="B49" s="51">
        <v>1</v>
      </c>
      <c r="C49" s="15">
        <v>8</v>
      </c>
      <c r="D49" s="51">
        <v>0</v>
      </c>
      <c r="E49" s="51">
        <v>100</v>
      </c>
      <c r="F49" s="51" t="s">
        <v>44</v>
      </c>
      <c r="G49" s="51" t="s">
        <v>53</v>
      </c>
    </row>
    <row r="50" ht="14" customHeight="1" spans="1:7">
      <c r="A50" s="51">
        <v>44</v>
      </c>
      <c r="B50" s="51">
        <v>1</v>
      </c>
      <c r="C50" s="15">
        <v>9</v>
      </c>
      <c r="D50" s="51">
        <v>0</v>
      </c>
      <c r="E50" s="51">
        <v>100</v>
      </c>
      <c r="F50" s="51" t="s">
        <v>44</v>
      </c>
      <c r="G50" s="51" t="s">
        <v>53</v>
      </c>
    </row>
    <row r="51" ht="14" customHeight="1" spans="1:7">
      <c r="A51" s="51">
        <v>45</v>
      </c>
      <c r="B51" s="51">
        <v>2</v>
      </c>
      <c r="C51" s="15">
        <v>1</v>
      </c>
      <c r="D51" s="15">
        <v>0</v>
      </c>
      <c r="E51" s="15">
        <v>100</v>
      </c>
      <c r="F51" s="51" t="s">
        <v>54</v>
      </c>
      <c r="G51" s="15" t="s">
        <v>55</v>
      </c>
    </row>
    <row r="52" ht="14" customHeight="1" spans="1:7">
      <c r="A52" s="51">
        <v>46</v>
      </c>
      <c r="B52" s="15">
        <v>1</v>
      </c>
      <c r="C52" s="15">
        <v>7</v>
      </c>
      <c r="D52" s="15">
        <v>0</v>
      </c>
      <c r="E52" s="15">
        <v>100</v>
      </c>
      <c r="F52" s="51" t="s">
        <v>47</v>
      </c>
      <c r="G52" s="15" t="s">
        <v>55</v>
      </c>
    </row>
    <row r="53" ht="14" customHeight="1" spans="1:7">
      <c r="A53" s="51">
        <v>47</v>
      </c>
      <c r="B53" s="51">
        <v>1</v>
      </c>
      <c r="C53" s="15">
        <v>8</v>
      </c>
      <c r="D53" s="51">
        <v>0</v>
      </c>
      <c r="E53" s="51">
        <v>100</v>
      </c>
      <c r="F53" s="51" t="s">
        <v>47</v>
      </c>
      <c r="G53" s="51" t="s">
        <v>55</v>
      </c>
    </row>
    <row r="54" ht="14" customHeight="1" spans="1:7">
      <c r="A54" s="51">
        <v>48</v>
      </c>
      <c r="B54" s="51">
        <v>1</v>
      </c>
      <c r="C54" s="15">
        <v>9</v>
      </c>
      <c r="D54" s="51">
        <v>0</v>
      </c>
      <c r="E54" s="51">
        <v>100</v>
      </c>
      <c r="F54" s="51" t="s">
        <v>47</v>
      </c>
      <c r="G54" s="51" t="s">
        <v>55</v>
      </c>
    </row>
    <row r="55" ht="14" customHeight="1" spans="1:7">
      <c r="A55" s="51">
        <v>49</v>
      </c>
      <c r="B55" s="51">
        <v>2</v>
      </c>
      <c r="C55" s="15">
        <v>1</v>
      </c>
      <c r="D55" s="15">
        <v>0</v>
      </c>
      <c r="E55" s="15">
        <v>100</v>
      </c>
      <c r="F55" s="51" t="s">
        <v>56</v>
      </c>
      <c r="G55" s="15" t="s">
        <v>57</v>
      </c>
    </row>
    <row r="56" ht="14" customHeight="1" spans="1:7">
      <c r="A56" s="51">
        <v>50</v>
      </c>
      <c r="B56" s="51">
        <v>1</v>
      </c>
      <c r="C56" s="15">
        <v>7</v>
      </c>
      <c r="D56" s="15">
        <v>0</v>
      </c>
      <c r="E56" s="15">
        <v>100</v>
      </c>
      <c r="F56" s="51" t="s">
        <v>38</v>
      </c>
      <c r="G56" s="15" t="s">
        <v>57</v>
      </c>
    </row>
    <row r="57" ht="14" customHeight="1" spans="1:7">
      <c r="A57" s="51">
        <v>51</v>
      </c>
      <c r="B57" s="51">
        <v>1</v>
      </c>
      <c r="C57" s="15">
        <v>8</v>
      </c>
      <c r="D57" s="15">
        <v>0</v>
      </c>
      <c r="E57" s="15">
        <v>100</v>
      </c>
      <c r="F57" s="51" t="s">
        <v>38</v>
      </c>
      <c r="G57" s="15" t="s">
        <v>57</v>
      </c>
    </row>
    <row r="58" ht="14" customHeight="1" spans="1:7">
      <c r="A58" s="51">
        <v>52</v>
      </c>
      <c r="B58" s="51">
        <v>1</v>
      </c>
      <c r="C58" s="15">
        <v>9</v>
      </c>
      <c r="D58" s="15">
        <v>0</v>
      </c>
      <c r="E58" s="15">
        <v>100</v>
      </c>
      <c r="F58" s="51" t="s">
        <v>38</v>
      </c>
      <c r="G58" s="15" t="s">
        <v>57</v>
      </c>
    </row>
    <row r="59" ht="14" customHeight="1" spans="1:7">
      <c r="A59" s="51">
        <v>53</v>
      </c>
      <c r="B59" s="51">
        <v>2</v>
      </c>
      <c r="C59" s="15">
        <v>1</v>
      </c>
      <c r="D59" s="15">
        <v>0</v>
      </c>
      <c r="E59" s="15">
        <v>100</v>
      </c>
      <c r="F59" s="51" t="s">
        <v>58</v>
      </c>
      <c r="G59" s="15" t="s">
        <v>59</v>
      </c>
    </row>
    <row r="60" ht="14" customHeight="1" spans="1:7">
      <c r="A60" s="51">
        <v>54</v>
      </c>
      <c r="B60" s="51">
        <v>1</v>
      </c>
      <c r="C60" s="15">
        <v>7</v>
      </c>
      <c r="D60" s="15">
        <v>0</v>
      </c>
      <c r="E60" s="15">
        <v>100</v>
      </c>
      <c r="F60" s="51" t="s">
        <v>41</v>
      </c>
      <c r="G60" s="15" t="s">
        <v>59</v>
      </c>
    </row>
    <row r="61" ht="14" customHeight="1" spans="1:7">
      <c r="A61" s="51">
        <v>55</v>
      </c>
      <c r="B61" s="51">
        <v>1</v>
      </c>
      <c r="C61" s="15">
        <v>8</v>
      </c>
      <c r="D61" s="15">
        <v>0</v>
      </c>
      <c r="E61" s="15">
        <v>100</v>
      </c>
      <c r="F61" s="51" t="s">
        <v>41</v>
      </c>
      <c r="G61" s="15" t="s">
        <v>59</v>
      </c>
    </row>
    <row r="62" ht="14" customHeight="1" spans="1:7">
      <c r="A62" s="51">
        <v>56</v>
      </c>
      <c r="B62" s="51">
        <v>1</v>
      </c>
      <c r="C62" s="15">
        <v>9</v>
      </c>
      <c r="D62" s="15">
        <v>0</v>
      </c>
      <c r="E62" s="15">
        <v>100</v>
      </c>
      <c r="F62" s="51" t="s">
        <v>41</v>
      </c>
      <c r="G62" s="15" t="s">
        <v>59</v>
      </c>
    </row>
    <row r="63" ht="14" customHeight="1" spans="1:7">
      <c r="A63" s="51">
        <v>57</v>
      </c>
      <c r="B63" s="51">
        <v>2</v>
      </c>
      <c r="C63" s="15">
        <v>1</v>
      </c>
      <c r="D63" s="15">
        <v>0</v>
      </c>
      <c r="E63" s="15">
        <v>100</v>
      </c>
      <c r="F63" s="51" t="s">
        <v>60</v>
      </c>
      <c r="G63" s="15" t="s">
        <v>61</v>
      </c>
    </row>
    <row r="64" ht="14" customHeight="1" spans="1:7">
      <c r="A64" s="51">
        <v>58</v>
      </c>
      <c r="B64" s="15">
        <v>1</v>
      </c>
      <c r="C64" s="15">
        <v>7</v>
      </c>
      <c r="D64" s="15">
        <v>0</v>
      </c>
      <c r="E64" s="15">
        <v>100</v>
      </c>
      <c r="F64" s="51" t="s">
        <v>44</v>
      </c>
      <c r="G64" s="15" t="s">
        <v>61</v>
      </c>
    </row>
    <row r="65" ht="14" customHeight="1" spans="1:7">
      <c r="A65" s="51">
        <v>59</v>
      </c>
      <c r="B65" s="51">
        <v>1</v>
      </c>
      <c r="C65" s="15">
        <v>8</v>
      </c>
      <c r="D65" s="51">
        <v>0</v>
      </c>
      <c r="E65" s="51">
        <v>100</v>
      </c>
      <c r="F65" s="51" t="s">
        <v>44</v>
      </c>
      <c r="G65" s="51" t="s">
        <v>61</v>
      </c>
    </row>
    <row r="66" ht="14" customHeight="1" spans="1:7">
      <c r="A66" s="51">
        <v>60</v>
      </c>
      <c r="B66" s="51">
        <v>1</v>
      </c>
      <c r="C66" s="15">
        <v>9</v>
      </c>
      <c r="D66" s="51">
        <v>0</v>
      </c>
      <c r="E66" s="51">
        <v>100</v>
      </c>
      <c r="F66" s="51" t="s">
        <v>44</v>
      </c>
      <c r="G66" s="51" t="s">
        <v>61</v>
      </c>
    </row>
    <row r="67" ht="14" customHeight="1" spans="1:7">
      <c r="A67" s="51">
        <v>61</v>
      </c>
      <c r="B67" s="51">
        <v>2</v>
      </c>
      <c r="C67" s="15">
        <v>1</v>
      </c>
      <c r="D67" s="15">
        <v>0</v>
      </c>
      <c r="E67" s="15">
        <v>100</v>
      </c>
      <c r="F67" s="51" t="s">
        <v>62</v>
      </c>
      <c r="G67" s="15" t="s">
        <v>63</v>
      </c>
    </row>
    <row r="68" ht="14" customHeight="1" spans="1:7">
      <c r="A68" s="51">
        <v>62</v>
      </c>
      <c r="B68" s="15">
        <v>1</v>
      </c>
      <c r="C68" s="15">
        <v>7</v>
      </c>
      <c r="D68" s="15">
        <v>0</v>
      </c>
      <c r="E68" s="15">
        <v>100</v>
      </c>
      <c r="F68" s="51" t="s">
        <v>47</v>
      </c>
      <c r="G68" s="15" t="s">
        <v>63</v>
      </c>
    </row>
    <row r="69" ht="14" customHeight="1" spans="1:7">
      <c r="A69" s="51">
        <v>63</v>
      </c>
      <c r="B69" s="51">
        <v>1</v>
      </c>
      <c r="C69" s="15">
        <v>8</v>
      </c>
      <c r="D69" s="51">
        <v>0</v>
      </c>
      <c r="E69" s="51">
        <v>100</v>
      </c>
      <c r="F69" s="51" t="s">
        <v>47</v>
      </c>
      <c r="G69" s="51" t="s">
        <v>63</v>
      </c>
    </row>
    <row r="70" ht="14" customHeight="1" spans="1:7">
      <c r="A70" s="51">
        <v>64</v>
      </c>
      <c r="B70" s="51">
        <v>1</v>
      </c>
      <c r="C70" s="15">
        <v>9</v>
      </c>
      <c r="D70" s="51">
        <v>0</v>
      </c>
      <c r="E70" s="51">
        <v>100</v>
      </c>
      <c r="F70" s="51" t="s">
        <v>47</v>
      </c>
      <c r="G70" s="51" t="s">
        <v>63</v>
      </c>
    </row>
    <row r="71" ht="14" customHeight="1" spans="1:7">
      <c r="A71" s="51">
        <v>65</v>
      </c>
      <c r="B71" s="51">
        <v>2</v>
      </c>
      <c r="C71" s="15">
        <v>1</v>
      </c>
      <c r="D71" s="15">
        <v>0</v>
      </c>
      <c r="E71" s="15">
        <v>100</v>
      </c>
      <c r="F71" s="51" t="s">
        <v>64</v>
      </c>
      <c r="G71" s="15" t="s">
        <v>65</v>
      </c>
    </row>
    <row r="72" ht="14" customHeight="1" spans="1:7">
      <c r="A72" s="51">
        <v>66</v>
      </c>
      <c r="B72" s="51">
        <v>1</v>
      </c>
      <c r="C72" s="15">
        <v>7</v>
      </c>
      <c r="D72" s="15">
        <v>0</v>
      </c>
      <c r="E72" s="15">
        <v>100</v>
      </c>
      <c r="F72" s="51" t="s">
        <v>38</v>
      </c>
      <c r="G72" s="15" t="s">
        <v>65</v>
      </c>
    </row>
    <row r="73" ht="14" customHeight="1" spans="1:7">
      <c r="A73" s="51">
        <v>67</v>
      </c>
      <c r="B73" s="51">
        <v>1</v>
      </c>
      <c r="C73" s="15">
        <v>8</v>
      </c>
      <c r="D73" s="15">
        <v>0</v>
      </c>
      <c r="E73" s="15">
        <v>100</v>
      </c>
      <c r="F73" s="51" t="s">
        <v>38</v>
      </c>
      <c r="G73" s="15" t="s">
        <v>65</v>
      </c>
    </row>
    <row r="74" ht="14" customHeight="1" spans="1:7">
      <c r="A74" s="51">
        <v>68</v>
      </c>
      <c r="B74" s="51">
        <v>1</v>
      </c>
      <c r="C74" s="15">
        <v>9</v>
      </c>
      <c r="D74" s="15">
        <v>0</v>
      </c>
      <c r="E74" s="15">
        <v>100</v>
      </c>
      <c r="F74" s="51" t="s">
        <v>38</v>
      </c>
      <c r="G74" s="15" t="s">
        <v>65</v>
      </c>
    </row>
    <row r="75" ht="14" customHeight="1" spans="1:7">
      <c r="A75" s="51">
        <v>69</v>
      </c>
      <c r="B75" s="51">
        <v>2</v>
      </c>
      <c r="C75" s="15">
        <v>1</v>
      </c>
      <c r="D75" s="15">
        <v>0</v>
      </c>
      <c r="E75" s="15">
        <v>100</v>
      </c>
      <c r="F75" s="51" t="s">
        <v>66</v>
      </c>
      <c r="G75" s="15" t="s">
        <v>67</v>
      </c>
    </row>
    <row r="76" ht="14" customHeight="1" spans="1:7">
      <c r="A76" s="51">
        <v>70</v>
      </c>
      <c r="B76" s="51">
        <v>1</v>
      </c>
      <c r="C76" s="15">
        <v>7</v>
      </c>
      <c r="D76" s="15">
        <v>0</v>
      </c>
      <c r="E76" s="15">
        <v>100</v>
      </c>
      <c r="F76" s="51" t="s">
        <v>41</v>
      </c>
      <c r="G76" s="15" t="s">
        <v>67</v>
      </c>
    </row>
    <row r="77" ht="14" customHeight="1" spans="1:7">
      <c r="A77" s="51">
        <v>71</v>
      </c>
      <c r="B77" s="51">
        <v>1</v>
      </c>
      <c r="C77" s="15">
        <v>8</v>
      </c>
      <c r="D77" s="15">
        <v>0</v>
      </c>
      <c r="E77" s="15">
        <v>100</v>
      </c>
      <c r="F77" s="51" t="s">
        <v>41</v>
      </c>
      <c r="G77" s="15" t="s">
        <v>67</v>
      </c>
    </row>
    <row r="78" ht="14" customHeight="1" spans="1:7">
      <c r="A78" s="51">
        <v>72</v>
      </c>
      <c r="B78" s="51">
        <v>1</v>
      </c>
      <c r="C78" s="15">
        <v>9</v>
      </c>
      <c r="D78" s="15">
        <v>0</v>
      </c>
      <c r="E78" s="15">
        <v>100</v>
      </c>
      <c r="F78" s="51" t="s">
        <v>41</v>
      </c>
      <c r="G78" s="15" t="s">
        <v>67</v>
      </c>
    </row>
    <row r="79" ht="14" customHeight="1" spans="1:7">
      <c r="A79" s="51">
        <v>73</v>
      </c>
      <c r="B79" s="51">
        <v>2</v>
      </c>
      <c r="C79" s="15">
        <v>1</v>
      </c>
      <c r="D79" s="15">
        <v>0</v>
      </c>
      <c r="E79" s="15">
        <v>100</v>
      </c>
      <c r="F79" s="51" t="s">
        <v>68</v>
      </c>
      <c r="G79" s="15" t="s">
        <v>69</v>
      </c>
    </row>
    <row r="80" ht="14" customHeight="1" spans="1:7">
      <c r="A80" s="51">
        <v>74</v>
      </c>
      <c r="B80" s="15">
        <v>1</v>
      </c>
      <c r="C80" s="15">
        <v>7</v>
      </c>
      <c r="D80" s="15">
        <v>0</v>
      </c>
      <c r="E80" s="15">
        <v>100</v>
      </c>
      <c r="F80" s="51" t="s">
        <v>44</v>
      </c>
      <c r="G80" s="15" t="s">
        <v>69</v>
      </c>
    </row>
    <row r="81" ht="14" customHeight="1" spans="1:7">
      <c r="A81" s="51">
        <v>75</v>
      </c>
      <c r="B81" s="51">
        <v>1</v>
      </c>
      <c r="C81" s="15">
        <v>8</v>
      </c>
      <c r="D81" s="51">
        <v>0</v>
      </c>
      <c r="E81" s="51">
        <v>100</v>
      </c>
      <c r="F81" s="51" t="s">
        <v>44</v>
      </c>
      <c r="G81" s="51" t="s">
        <v>69</v>
      </c>
    </row>
    <row r="82" ht="14" customHeight="1" spans="1:7">
      <c r="A82" s="51">
        <v>76</v>
      </c>
      <c r="B82" s="51">
        <v>1</v>
      </c>
      <c r="C82" s="15">
        <v>9</v>
      </c>
      <c r="D82" s="51">
        <v>0</v>
      </c>
      <c r="E82" s="51">
        <v>100</v>
      </c>
      <c r="F82" s="51" t="s">
        <v>44</v>
      </c>
      <c r="G82" s="51" t="s">
        <v>69</v>
      </c>
    </row>
    <row r="83" ht="14" customHeight="1" spans="1:7">
      <c r="A83" s="51">
        <v>77</v>
      </c>
      <c r="B83" s="51">
        <v>2</v>
      </c>
      <c r="C83" s="15">
        <v>1</v>
      </c>
      <c r="D83" s="15">
        <v>0</v>
      </c>
      <c r="E83" s="15">
        <v>100</v>
      </c>
      <c r="F83" s="51" t="s">
        <v>70</v>
      </c>
      <c r="G83" s="15" t="s">
        <v>71</v>
      </c>
    </row>
    <row r="84" ht="14" customHeight="1" spans="1:7">
      <c r="A84" s="51">
        <v>78</v>
      </c>
      <c r="B84" s="15">
        <v>1</v>
      </c>
      <c r="C84" s="15">
        <v>7</v>
      </c>
      <c r="D84" s="15">
        <v>0</v>
      </c>
      <c r="E84" s="15">
        <v>100</v>
      </c>
      <c r="F84" s="51" t="s">
        <v>47</v>
      </c>
      <c r="G84" s="15" t="s">
        <v>71</v>
      </c>
    </row>
    <row r="85" ht="14" customHeight="1" spans="1:7">
      <c r="A85" s="51">
        <v>79</v>
      </c>
      <c r="B85" s="51">
        <v>1</v>
      </c>
      <c r="C85" s="15">
        <v>8</v>
      </c>
      <c r="D85" s="51">
        <v>0</v>
      </c>
      <c r="E85" s="51">
        <v>100</v>
      </c>
      <c r="F85" s="51" t="s">
        <v>47</v>
      </c>
      <c r="G85" s="51" t="s">
        <v>71</v>
      </c>
    </row>
    <row r="86" ht="14" customHeight="1" spans="1:7">
      <c r="A86" s="51">
        <v>80</v>
      </c>
      <c r="B86" s="51">
        <v>1</v>
      </c>
      <c r="C86" s="15">
        <v>9</v>
      </c>
      <c r="D86" s="51">
        <v>0</v>
      </c>
      <c r="E86" s="51">
        <v>100</v>
      </c>
      <c r="F86" s="51" t="s">
        <v>47</v>
      </c>
      <c r="G86" s="51" t="s">
        <v>71</v>
      </c>
    </row>
    <row r="87" ht="14" customHeight="1" spans="1:7">
      <c r="A87" s="51">
        <v>81</v>
      </c>
      <c r="B87" s="51">
        <v>2</v>
      </c>
      <c r="C87" s="15">
        <v>1</v>
      </c>
      <c r="D87" s="15">
        <v>0</v>
      </c>
      <c r="E87" s="15">
        <v>100</v>
      </c>
      <c r="F87" s="51" t="s">
        <v>72</v>
      </c>
      <c r="G87" s="15" t="s">
        <v>73</v>
      </c>
    </row>
    <row r="88" ht="14" customHeight="1" spans="1:7">
      <c r="A88" s="51">
        <v>82</v>
      </c>
      <c r="B88" s="51">
        <v>1</v>
      </c>
      <c r="C88" s="15">
        <v>7</v>
      </c>
      <c r="D88" s="15">
        <v>0</v>
      </c>
      <c r="E88" s="15">
        <v>100</v>
      </c>
      <c r="F88" s="51" t="s">
        <v>38</v>
      </c>
      <c r="G88" s="15" t="s">
        <v>73</v>
      </c>
    </row>
    <row r="89" ht="14" customHeight="1" spans="1:7">
      <c r="A89" s="51">
        <v>83</v>
      </c>
      <c r="B89" s="51">
        <v>1</v>
      </c>
      <c r="C89" s="15">
        <v>8</v>
      </c>
      <c r="D89" s="15">
        <v>0</v>
      </c>
      <c r="E89" s="15">
        <v>100</v>
      </c>
      <c r="F89" s="51" t="s">
        <v>38</v>
      </c>
      <c r="G89" s="15" t="s">
        <v>73</v>
      </c>
    </row>
    <row r="90" ht="14" customHeight="1" spans="1:7">
      <c r="A90" s="51">
        <v>84</v>
      </c>
      <c r="B90" s="51">
        <v>1</v>
      </c>
      <c r="C90" s="15">
        <v>9</v>
      </c>
      <c r="D90" s="15">
        <v>0</v>
      </c>
      <c r="E90" s="15">
        <v>100</v>
      </c>
      <c r="F90" s="51" t="s">
        <v>38</v>
      </c>
      <c r="G90" s="15" t="s">
        <v>73</v>
      </c>
    </row>
    <row r="91" ht="14" customHeight="1" spans="1:7">
      <c r="A91" s="51">
        <v>85</v>
      </c>
      <c r="B91" s="51">
        <v>2</v>
      </c>
      <c r="C91" s="15">
        <v>1</v>
      </c>
      <c r="D91" s="15">
        <v>0</v>
      </c>
      <c r="E91" s="15">
        <v>100</v>
      </c>
      <c r="F91" s="51" t="s">
        <v>74</v>
      </c>
      <c r="G91" s="15" t="s">
        <v>75</v>
      </c>
    </row>
    <row r="92" ht="14" customHeight="1" spans="1:7">
      <c r="A92" s="51">
        <v>86</v>
      </c>
      <c r="B92" s="51">
        <v>1</v>
      </c>
      <c r="C92" s="15">
        <v>7</v>
      </c>
      <c r="D92" s="15">
        <v>0</v>
      </c>
      <c r="E92" s="15">
        <v>100</v>
      </c>
      <c r="F92" s="51" t="s">
        <v>41</v>
      </c>
      <c r="G92" s="15" t="s">
        <v>75</v>
      </c>
    </row>
    <row r="93" ht="14" customHeight="1" spans="1:7">
      <c r="A93" s="51">
        <v>87</v>
      </c>
      <c r="B93" s="51">
        <v>1</v>
      </c>
      <c r="C93" s="15">
        <v>8</v>
      </c>
      <c r="D93" s="15">
        <v>0</v>
      </c>
      <c r="E93" s="15">
        <v>100</v>
      </c>
      <c r="F93" s="51" t="s">
        <v>41</v>
      </c>
      <c r="G93" s="15" t="s">
        <v>75</v>
      </c>
    </row>
    <row r="94" ht="14" customHeight="1" spans="1:7">
      <c r="A94" s="51">
        <v>88</v>
      </c>
      <c r="B94" s="51">
        <v>1</v>
      </c>
      <c r="C94" s="15">
        <v>9</v>
      </c>
      <c r="D94" s="15">
        <v>0</v>
      </c>
      <c r="E94" s="15">
        <v>100</v>
      </c>
      <c r="F94" s="51" t="s">
        <v>41</v>
      </c>
      <c r="G94" s="15" t="s">
        <v>75</v>
      </c>
    </row>
    <row r="95" ht="14" customHeight="1" spans="1:7">
      <c r="A95" s="51">
        <v>89</v>
      </c>
      <c r="B95" s="51">
        <v>2</v>
      </c>
      <c r="C95" s="15">
        <v>1</v>
      </c>
      <c r="D95" s="15">
        <v>0</v>
      </c>
      <c r="E95" s="15">
        <v>100</v>
      </c>
      <c r="F95" s="51" t="s">
        <v>76</v>
      </c>
      <c r="G95" s="15" t="s">
        <v>77</v>
      </c>
    </row>
    <row r="96" ht="14" customHeight="1" spans="1:7">
      <c r="A96" s="51">
        <v>90</v>
      </c>
      <c r="B96" s="15">
        <v>1</v>
      </c>
      <c r="C96" s="15">
        <v>7</v>
      </c>
      <c r="D96" s="15">
        <v>0</v>
      </c>
      <c r="E96" s="15">
        <v>100</v>
      </c>
      <c r="F96" s="51" t="s">
        <v>44</v>
      </c>
      <c r="G96" s="15" t="s">
        <v>77</v>
      </c>
    </row>
    <row r="97" ht="14" customHeight="1" spans="1:7">
      <c r="A97" s="51">
        <v>91</v>
      </c>
      <c r="B97" s="51">
        <v>1</v>
      </c>
      <c r="C97" s="15">
        <v>8</v>
      </c>
      <c r="D97" s="51">
        <v>0</v>
      </c>
      <c r="E97" s="51">
        <v>100</v>
      </c>
      <c r="F97" s="51" t="s">
        <v>44</v>
      </c>
      <c r="G97" s="51" t="s">
        <v>77</v>
      </c>
    </row>
    <row r="98" ht="14" customHeight="1" spans="1:7">
      <c r="A98" s="51">
        <v>92</v>
      </c>
      <c r="B98" s="51">
        <v>1</v>
      </c>
      <c r="C98" s="15">
        <v>9</v>
      </c>
      <c r="D98" s="51">
        <v>0</v>
      </c>
      <c r="E98" s="51">
        <v>100</v>
      </c>
      <c r="F98" s="51" t="s">
        <v>44</v>
      </c>
      <c r="G98" s="51" t="s">
        <v>77</v>
      </c>
    </row>
    <row r="99" ht="14" customHeight="1" spans="1:7">
      <c r="A99" s="51">
        <v>93</v>
      </c>
      <c r="B99" s="51">
        <v>2</v>
      </c>
      <c r="C99" s="15">
        <v>1</v>
      </c>
      <c r="D99" s="15">
        <v>0</v>
      </c>
      <c r="E99" s="15">
        <v>100</v>
      </c>
      <c r="F99" s="51" t="s">
        <v>78</v>
      </c>
      <c r="G99" s="15" t="s">
        <v>79</v>
      </c>
    </row>
    <row r="100" ht="14" customHeight="1" spans="1:7">
      <c r="A100" s="51">
        <v>94</v>
      </c>
      <c r="B100" s="15">
        <v>1</v>
      </c>
      <c r="C100" s="15">
        <v>7</v>
      </c>
      <c r="D100" s="15">
        <v>0</v>
      </c>
      <c r="E100" s="15">
        <v>100</v>
      </c>
      <c r="F100" s="51" t="s">
        <v>47</v>
      </c>
      <c r="G100" s="15" t="s">
        <v>79</v>
      </c>
    </row>
    <row r="101" ht="14" customHeight="1" spans="1:7">
      <c r="A101" s="51">
        <v>95</v>
      </c>
      <c r="B101" s="51">
        <v>1</v>
      </c>
      <c r="C101" s="15">
        <v>8</v>
      </c>
      <c r="D101" s="51">
        <v>0</v>
      </c>
      <c r="E101" s="51">
        <v>100</v>
      </c>
      <c r="F101" s="51" t="s">
        <v>47</v>
      </c>
      <c r="G101" s="51" t="s">
        <v>79</v>
      </c>
    </row>
    <row r="102" ht="14" customHeight="1" spans="1:7">
      <c r="A102" s="51">
        <v>96</v>
      </c>
      <c r="B102" s="51">
        <v>1</v>
      </c>
      <c r="C102" s="15">
        <v>9</v>
      </c>
      <c r="D102" s="51">
        <v>0</v>
      </c>
      <c r="E102" s="51">
        <v>100</v>
      </c>
      <c r="F102" s="51" t="s">
        <v>47</v>
      </c>
      <c r="G102" s="51" t="s">
        <v>79</v>
      </c>
    </row>
    <row r="103" ht="14" customHeight="1" spans="1:7">
      <c r="A103" s="51">
        <v>97</v>
      </c>
      <c r="B103" s="51">
        <v>2</v>
      </c>
      <c r="C103" s="15">
        <v>1</v>
      </c>
      <c r="D103" s="15">
        <v>0</v>
      </c>
      <c r="E103" s="15">
        <v>100</v>
      </c>
      <c r="F103" s="51" t="s">
        <v>80</v>
      </c>
      <c r="G103" s="15" t="s">
        <v>81</v>
      </c>
    </row>
    <row r="104" ht="14" customHeight="1" spans="1:7">
      <c r="A104" s="51">
        <v>98</v>
      </c>
      <c r="B104" s="15">
        <v>1</v>
      </c>
      <c r="C104" s="15">
        <v>7</v>
      </c>
      <c r="D104" s="15">
        <v>0</v>
      </c>
      <c r="E104" s="15">
        <v>100</v>
      </c>
      <c r="F104" s="51" t="s">
        <v>82</v>
      </c>
      <c r="G104" s="15" t="s">
        <v>81</v>
      </c>
    </row>
    <row r="105" ht="14" customHeight="1" spans="1:7">
      <c r="A105" s="51">
        <v>99</v>
      </c>
      <c r="B105" s="51">
        <v>1</v>
      </c>
      <c r="C105" s="15">
        <v>8</v>
      </c>
      <c r="D105" s="51">
        <v>0</v>
      </c>
      <c r="E105" s="51">
        <v>100</v>
      </c>
      <c r="F105" s="51" t="s">
        <v>82</v>
      </c>
      <c r="G105" s="15" t="s">
        <v>81</v>
      </c>
    </row>
    <row r="106" ht="14" customHeight="1" spans="1:7">
      <c r="A106" s="51">
        <v>100</v>
      </c>
      <c r="B106" s="51">
        <v>1</v>
      </c>
      <c r="C106" s="15">
        <v>9</v>
      </c>
      <c r="D106" s="51">
        <v>0</v>
      </c>
      <c r="E106" s="51">
        <v>100</v>
      </c>
      <c r="F106" s="51" t="s">
        <v>82</v>
      </c>
      <c r="G106" s="15" t="s">
        <v>81</v>
      </c>
    </row>
    <row r="107" ht="14" customHeight="1" spans="1:7">
      <c r="A107" s="51">
        <v>101</v>
      </c>
      <c r="B107" s="51">
        <v>2</v>
      </c>
      <c r="C107" s="15">
        <v>1</v>
      </c>
      <c r="D107" s="15">
        <v>0</v>
      </c>
      <c r="E107" s="15">
        <v>100</v>
      </c>
      <c r="F107" s="51" t="s">
        <v>83</v>
      </c>
      <c r="G107" s="15" t="s">
        <v>84</v>
      </c>
    </row>
    <row r="108" ht="14" customHeight="1" spans="1:7">
      <c r="A108" s="51">
        <v>102</v>
      </c>
      <c r="B108" s="15">
        <v>1</v>
      </c>
      <c r="C108" s="15">
        <v>7</v>
      </c>
      <c r="D108" s="15">
        <v>0</v>
      </c>
      <c r="E108" s="15">
        <v>100</v>
      </c>
      <c r="F108" s="51" t="s">
        <v>85</v>
      </c>
      <c r="G108" s="15" t="s">
        <v>84</v>
      </c>
    </row>
    <row r="109" ht="14" customHeight="1" spans="1:7">
      <c r="A109" s="51">
        <v>103</v>
      </c>
      <c r="B109" s="51">
        <v>1</v>
      </c>
      <c r="C109" s="15">
        <v>8</v>
      </c>
      <c r="D109" s="51">
        <v>0</v>
      </c>
      <c r="E109" s="51">
        <v>100</v>
      </c>
      <c r="F109" s="51" t="s">
        <v>85</v>
      </c>
      <c r="G109" s="15" t="s">
        <v>84</v>
      </c>
    </row>
    <row r="110" ht="14" customHeight="1" spans="1:7">
      <c r="A110" s="51">
        <v>104</v>
      </c>
      <c r="B110" s="51">
        <v>1</v>
      </c>
      <c r="C110" s="15">
        <v>9</v>
      </c>
      <c r="D110" s="51">
        <v>0</v>
      </c>
      <c r="E110" s="51">
        <v>100</v>
      </c>
      <c r="F110" s="51" t="s">
        <v>85</v>
      </c>
      <c r="G110" s="15" t="s">
        <v>84</v>
      </c>
    </row>
    <row r="111" ht="14" customHeight="1" spans="1:7">
      <c r="A111" s="51">
        <v>105</v>
      </c>
      <c r="B111" s="51">
        <v>2</v>
      </c>
      <c r="C111" s="15">
        <v>1</v>
      </c>
      <c r="D111" s="15">
        <v>0</v>
      </c>
      <c r="E111" s="15">
        <v>100</v>
      </c>
      <c r="F111" s="51" t="s">
        <v>86</v>
      </c>
      <c r="G111" s="15" t="s">
        <v>87</v>
      </c>
    </row>
    <row r="112" ht="14" customHeight="1" spans="1:7">
      <c r="A112" s="51">
        <v>106</v>
      </c>
      <c r="B112" s="15">
        <v>1</v>
      </c>
      <c r="C112" s="15">
        <v>7</v>
      </c>
      <c r="D112" s="15">
        <v>0</v>
      </c>
      <c r="E112" s="15">
        <v>100</v>
      </c>
      <c r="F112" s="51" t="s">
        <v>88</v>
      </c>
      <c r="G112" s="15" t="s">
        <v>87</v>
      </c>
    </row>
    <row r="113" ht="14" customHeight="1" spans="1:8">
      <c r="A113" s="51">
        <v>107</v>
      </c>
      <c r="B113" s="51">
        <v>1</v>
      </c>
      <c r="C113" s="15">
        <v>8</v>
      </c>
      <c r="D113" s="51">
        <v>0</v>
      </c>
      <c r="E113" s="51">
        <v>100</v>
      </c>
      <c r="F113" s="51" t="s">
        <v>88</v>
      </c>
      <c r="G113" s="51" t="s">
        <v>87</v>
      </c>
    </row>
    <row r="114" ht="14" customHeight="1" spans="1:8">
      <c r="A114" s="51">
        <v>108</v>
      </c>
      <c r="B114" s="51">
        <v>1</v>
      </c>
      <c r="C114" s="15">
        <v>9</v>
      </c>
      <c r="D114" s="51">
        <v>0</v>
      </c>
      <c r="E114" s="51">
        <v>100</v>
      </c>
      <c r="F114" s="51" t="s">
        <v>88</v>
      </c>
      <c r="G114" s="51" t="s">
        <v>87</v>
      </c>
    </row>
    <row r="115" ht="14" customHeight="1" spans="1:8">
      <c r="A115" s="51">
        <v>109</v>
      </c>
      <c r="B115" s="51">
        <v>2</v>
      </c>
      <c r="C115" s="15">
        <v>1</v>
      </c>
      <c r="D115" s="15">
        <v>0</v>
      </c>
      <c r="E115" s="15">
        <v>100</v>
      </c>
      <c r="F115" s="51" t="s">
        <v>89</v>
      </c>
      <c r="G115" s="15" t="s">
        <v>90</v>
      </c>
    </row>
    <row r="116" ht="14" customHeight="1" spans="1:8">
      <c r="A116" s="51">
        <v>110</v>
      </c>
      <c r="B116" s="15">
        <v>1</v>
      </c>
      <c r="C116" s="15">
        <v>7</v>
      </c>
      <c r="D116" s="15">
        <v>0</v>
      </c>
      <c r="E116" s="15">
        <v>100</v>
      </c>
      <c r="F116" s="51" t="s">
        <v>91</v>
      </c>
      <c r="G116" s="15" t="s">
        <v>90</v>
      </c>
    </row>
    <row r="117" ht="14" customHeight="1" spans="1:8">
      <c r="A117" s="51">
        <v>111</v>
      </c>
      <c r="B117" s="51">
        <v>1</v>
      </c>
      <c r="C117" s="15">
        <v>8</v>
      </c>
      <c r="D117" s="51">
        <v>0</v>
      </c>
      <c r="E117" s="51">
        <v>100</v>
      </c>
      <c r="F117" s="51" t="s">
        <v>91</v>
      </c>
      <c r="G117" s="51" t="s">
        <v>90</v>
      </c>
    </row>
    <row r="118" ht="14" customHeight="1" spans="1:8">
      <c r="A118" s="51">
        <v>112</v>
      </c>
      <c r="B118" s="51">
        <v>1</v>
      </c>
      <c r="C118" s="15">
        <v>9</v>
      </c>
      <c r="D118" s="51">
        <v>0</v>
      </c>
      <c r="E118" s="51">
        <v>100</v>
      </c>
      <c r="F118" s="51" t="s">
        <v>91</v>
      </c>
      <c r="G118" s="51" t="s">
        <v>90</v>
      </c>
    </row>
    <row r="119" ht="14" customHeight="1" spans="1:8">
      <c r="A119" s="7">
        <v>113</v>
      </c>
      <c r="B119" s="7">
        <v>1</v>
      </c>
      <c r="C119">
        <v>1</v>
      </c>
      <c r="D119" s="15">
        <v>0</v>
      </c>
      <c r="E119" s="15">
        <v>100</v>
      </c>
      <c r="F119" s="7" t="s">
        <v>92</v>
      </c>
      <c r="G119" t="s">
        <v>93</v>
      </c>
    </row>
    <row r="120" ht="14" customHeight="1" spans="1:8">
      <c r="A120" s="7">
        <v>114</v>
      </c>
      <c r="B120" s="7">
        <v>1</v>
      </c>
      <c r="C120">
        <v>1</v>
      </c>
      <c r="D120" s="15">
        <v>0</v>
      </c>
      <c r="E120" s="15">
        <v>100</v>
      </c>
      <c r="F120" s="7" t="s">
        <v>94</v>
      </c>
      <c r="G120" t="s">
        <v>95</v>
      </c>
    </row>
    <row r="121" ht="14" customHeight="1" spans="1:8">
      <c r="A121" s="7">
        <v>115</v>
      </c>
      <c r="B121" s="7">
        <v>1</v>
      </c>
      <c r="C121">
        <v>1</v>
      </c>
      <c r="D121" s="15">
        <v>0</v>
      </c>
      <c r="E121" s="15">
        <v>100</v>
      </c>
      <c r="F121" s="7" t="s">
        <v>96</v>
      </c>
      <c r="G121" t="s">
        <v>97</v>
      </c>
    </row>
    <row r="122" ht="14" customHeight="1" spans="1:8">
      <c r="A122" s="7">
        <v>116</v>
      </c>
      <c r="B122" s="7">
        <v>1</v>
      </c>
      <c r="C122">
        <v>1</v>
      </c>
      <c r="D122" s="15">
        <v>0</v>
      </c>
      <c r="E122" s="15">
        <v>100</v>
      </c>
      <c r="F122" s="7" t="s">
        <v>98</v>
      </c>
      <c r="G122" t="s">
        <v>99</v>
      </c>
      <c r="H122" s="7"/>
    </row>
    <row r="123" ht="14" customHeight="1" spans="1:8">
      <c r="A123" s="7">
        <v>117</v>
      </c>
      <c r="B123" s="7">
        <v>1</v>
      </c>
      <c r="C123">
        <v>1</v>
      </c>
      <c r="D123" s="15">
        <v>0</v>
      </c>
      <c r="E123" s="15">
        <v>100</v>
      </c>
      <c r="F123" s="7" t="s">
        <v>100</v>
      </c>
      <c r="G123" t="s">
        <v>101</v>
      </c>
      <c r="H123" s="53"/>
    </row>
    <row r="124" ht="14" customHeight="1" spans="1:8">
      <c r="A124" s="7">
        <v>118</v>
      </c>
      <c r="B124" s="7">
        <v>1</v>
      </c>
      <c r="C124">
        <v>1</v>
      </c>
      <c r="D124" s="15">
        <v>0</v>
      </c>
      <c r="E124" s="15">
        <v>100</v>
      </c>
      <c r="F124" s="7" t="s">
        <v>102</v>
      </c>
      <c r="G124" t="s">
        <v>103</v>
      </c>
      <c r="H124" s="53"/>
    </row>
    <row r="125" ht="14" customHeight="1" spans="1:8">
      <c r="A125" s="7">
        <v>119</v>
      </c>
      <c r="B125" s="7">
        <v>1</v>
      </c>
      <c r="C125">
        <v>1</v>
      </c>
      <c r="D125" s="15">
        <v>0</v>
      </c>
      <c r="E125" s="15">
        <v>100</v>
      </c>
      <c r="F125" s="7" t="s">
        <v>104</v>
      </c>
      <c r="G125" t="s">
        <v>105</v>
      </c>
    </row>
    <row r="126" ht="14" customHeight="1" spans="1:8">
      <c r="A126" s="7">
        <v>120</v>
      </c>
      <c r="B126" s="7">
        <v>1</v>
      </c>
      <c r="C126">
        <v>1</v>
      </c>
      <c r="D126" s="15">
        <v>0</v>
      </c>
      <c r="E126" s="15">
        <v>100</v>
      </c>
      <c r="F126" s="7" t="s">
        <v>106</v>
      </c>
      <c r="G126" t="s">
        <v>107</v>
      </c>
    </row>
    <row r="127" ht="14" customHeight="1" spans="1:8">
      <c r="A127" s="7">
        <v>121</v>
      </c>
      <c r="B127" s="7">
        <v>1</v>
      </c>
      <c r="C127">
        <v>1</v>
      </c>
      <c r="D127" s="15">
        <v>0</v>
      </c>
      <c r="E127" s="15">
        <v>100</v>
      </c>
      <c r="F127" s="7" t="s">
        <v>108</v>
      </c>
      <c r="G127" t="s">
        <v>109</v>
      </c>
    </row>
    <row r="128" ht="14" customHeight="1" spans="1:8">
      <c r="A128" s="7">
        <v>122</v>
      </c>
      <c r="B128" s="7">
        <v>1</v>
      </c>
      <c r="C128">
        <v>1</v>
      </c>
      <c r="D128" s="15">
        <v>0</v>
      </c>
      <c r="E128" s="15">
        <v>100</v>
      </c>
      <c r="F128" s="7" t="s">
        <v>110</v>
      </c>
      <c r="G128" t="s">
        <v>111</v>
      </c>
    </row>
    <row r="129" ht="14" customHeight="1" spans="1:7">
      <c r="A129" s="7">
        <v>123</v>
      </c>
      <c r="B129" s="7">
        <v>1</v>
      </c>
      <c r="C129">
        <v>1</v>
      </c>
      <c r="D129" s="15">
        <v>0</v>
      </c>
      <c r="E129" s="15">
        <v>100</v>
      </c>
      <c r="F129" s="7" t="s">
        <v>112</v>
      </c>
      <c r="G129" t="s">
        <v>113</v>
      </c>
    </row>
    <row r="130" ht="14" customHeight="1" spans="1:7">
      <c r="A130" s="7">
        <v>124</v>
      </c>
      <c r="B130" s="7">
        <v>1</v>
      </c>
      <c r="C130">
        <v>1</v>
      </c>
      <c r="D130" s="15">
        <v>0</v>
      </c>
      <c r="E130" s="15">
        <v>100</v>
      </c>
      <c r="F130" s="7" t="s">
        <v>114</v>
      </c>
      <c r="G130" t="s">
        <v>115</v>
      </c>
    </row>
    <row r="131" ht="14" customHeight="1" spans="1:7">
      <c r="A131" s="7">
        <v>125</v>
      </c>
      <c r="B131" s="7">
        <v>1</v>
      </c>
      <c r="C131">
        <v>1</v>
      </c>
      <c r="D131" s="15">
        <v>0</v>
      </c>
      <c r="E131" s="15">
        <v>100</v>
      </c>
      <c r="F131" s="7" t="s">
        <v>116</v>
      </c>
      <c r="G131" t="s">
        <v>117</v>
      </c>
    </row>
    <row r="132" ht="14" customHeight="1" spans="1:7">
      <c r="A132" s="7">
        <v>126</v>
      </c>
      <c r="B132" s="7">
        <v>1</v>
      </c>
      <c r="C132">
        <v>1</v>
      </c>
      <c r="D132" s="15">
        <v>0</v>
      </c>
      <c r="E132" s="15">
        <v>100</v>
      </c>
      <c r="F132" s="7" t="s">
        <v>118</v>
      </c>
      <c r="G132" t="s">
        <v>119</v>
      </c>
    </row>
    <row r="133" ht="14" customHeight="1" spans="1:7">
      <c r="A133" s="7">
        <v>127</v>
      </c>
      <c r="B133" s="7">
        <v>1</v>
      </c>
      <c r="C133">
        <v>1</v>
      </c>
      <c r="D133" s="15">
        <v>0</v>
      </c>
      <c r="E133" s="15">
        <v>100</v>
      </c>
      <c r="F133" s="7" t="s">
        <v>120</v>
      </c>
      <c r="G133" t="s">
        <v>121</v>
      </c>
    </row>
    <row r="134" ht="14" customHeight="1" spans="1:7">
      <c r="A134" s="7">
        <v>128</v>
      </c>
      <c r="B134" s="7">
        <v>1</v>
      </c>
      <c r="C134" s="7">
        <v>1</v>
      </c>
      <c r="D134" s="15">
        <v>0</v>
      </c>
      <c r="E134" s="15">
        <v>100</v>
      </c>
      <c r="F134" s="54" t="s">
        <v>122</v>
      </c>
      <c r="G134" t="s">
        <v>123</v>
      </c>
    </row>
    <row r="135" ht="14" customHeight="1" spans="1:7">
      <c r="A135" s="7">
        <v>129</v>
      </c>
      <c r="B135" s="7">
        <v>1</v>
      </c>
      <c r="C135" s="7">
        <v>1</v>
      </c>
      <c r="D135" s="15">
        <v>0</v>
      </c>
      <c r="E135" s="15">
        <v>100</v>
      </c>
      <c r="F135" s="54" t="s">
        <v>124</v>
      </c>
      <c r="G135" t="s">
        <v>123</v>
      </c>
    </row>
    <row r="136" ht="14" customHeight="1" spans="1:7">
      <c r="A136" s="7">
        <v>130</v>
      </c>
      <c r="B136" s="7">
        <v>1</v>
      </c>
      <c r="C136" s="7">
        <v>1</v>
      </c>
      <c r="D136" s="15">
        <v>0</v>
      </c>
      <c r="E136" s="15">
        <v>100</v>
      </c>
      <c r="F136" s="54" t="s">
        <v>125</v>
      </c>
      <c r="G136" t="s">
        <v>123</v>
      </c>
    </row>
    <row r="137" ht="14" customHeight="1" spans="1:7">
      <c r="A137" s="7">
        <v>131</v>
      </c>
      <c r="B137" s="7">
        <v>1</v>
      </c>
      <c r="C137" s="7">
        <v>1</v>
      </c>
      <c r="D137" s="15">
        <v>0</v>
      </c>
      <c r="E137" s="15">
        <v>100</v>
      </c>
      <c r="F137" s="54" t="s">
        <v>126</v>
      </c>
      <c r="G137" t="s">
        <v>123</v>
      </c>
    </row>
    <row r="138" ht="14" customHeight="1" spans="1:7">
      <c r="A138" s="7">
        <v>132</v>
      </c>
      <c r="B138" s="7">
        <v>1</v>
      </c>
      <c r="C138" s="7">
        <v>1</v>
      </c>
      <c r="D138" s="15">
        <v>0</v>
      </c>
      <c r="E138" s="15">
        <v>100</v>
      </c>
      <c r="F138" s="54" t="s">
        <v>127</v>
      </c>
      <c r="G138" t="s">
        <v>123</v>
      </c>
    </row>
    <row r="139" ht="14" customHeight="1" spans="1:7">
      <c r="A139" s="7">
        <v>133</v>
      </c>
      <c r="B139" s="7">
        <v>1</v>
      </c>
      <c r="C139" s="7">
        <v>1</v>
      </c>
      <c r="D139" s="15">
        <v>0</v>
      </c>
      <c r="E139" s="15">
        <v>100</v>
      </c>
      <c r="F139" s="54" t="s">
        <v>128</v>
      </c>
      <c r="G139" t="s">
        <v>123</v>
      </c>
    </row>
    <row r="140" ht="14" customHeight="1" spans="1:7">
      <c r="A140" s="7">
        <v>134</v>
      </c>
      <c r="B140" s="7">
        <v>1</v>
      </c>
      <c r="C140" s="7">
        <v>1</v>
      </c>
      <c r="D140" s="15">
        <v>0</v>
      </c>
      <c r="E140" s="15">
        <v>100</v>
      </c>
      <c r="F140" s="54" t="s">
        <v>129</v>
      </c>
      <c r="G140" t="s">
        <v>123</v>
      </c>
    </row>
    <row r="141" ht="14" customHeight="1" spans="1:7">
      <c r="A141" s="7">
        <v>135</v>
      </c>
      <c r="B141" s="7">
        <v>1</v>
      </c>
      <c r="C141" s="7">
        <v>1</v>
      </c>
      <c r="D141" s="15">
        <v>0</v>
      </c>
      <c r="E141" s="15">
        <v>100</v>
      </c>
      <c r="F141" s="54" t="s">
        <v>130</v>
      </c>
      <c r="G141" t="s">
        <v>123</v>
      </c>
    </row>
    <row r="142" ht="14" customHeight="1" spans="1:7">
      <c r="A142" s="7">
        <v>136</v>
      </c>
      <c r="B142" s="7">
        <v>1</v>
      </c>
      <c r="C142" s="7">
        <v>1</v>
      </c>
      <c r="D142" s="15">
        <v>0</v>
      </c>
      <c r="E142" s="15">
        <v>100</v>
      </c>
      <c r="F142" s="54" t="s">
        <v>131</v>
      </c>
      <c r="G142" t="s">
        <v>123</v>
      </c>
    </row>
    <row r="143" ht="14" customHeight="1" spans="1:7">
      <c r="A143" s="7">
        <v>137</v>
      </c>
      <c r="B143" s="7">
        <v>1</v>
      </c>
      <c r="C143" s="7">
        <v>1</v>
      </c>
      <c r="D143" s="15">
        <v>0</v>
      </c>
      <c r="E143" s="15">
        <v>100</v>
      </c>
      <c r="F143" s="54" t="s">
        <v>132</v>
      </c>
      <c r="G143" t="s">
        <v>123</v>
      </c>
    </row>
    <row r="144" ht="14" customHeight="1" spans="1:7">
      <c r="A144" s="7">
        <v>138</v>
      </c>
      <c r="B144" s="7">
        <v>1</v>
      </c>
      <c r="C144" s="7">
        <v>1</v>
      </c>
      <c r="D144" s="15">
        <v>0</v>
      </c>
      <c r="E144" s="15">
        <v>100</v>
      </c>
      <c r="F144" s="54" t="s">
        <v>133</v>
      </c>
      <c r="G144" t="s">
        <v>123</v>
      </c>
    </row>
    <row r="145" ht="14" customHeight="1" spans="1:9">
      <c r="A145" s="7">
        <v>139</v>
      </c>
      <c r="B145" s="7">
        <v>1</v>
      </c>
      <c r="C145" s="7">
        <v>1</v>
      </c>
      <c r="D145" s="15">
        <v>0</v>
      </c>
      <c r="E145" s="15">
        <v>100</v>
      </c>
      <c r="F145" s="54" t="s">
        <v>134</v>
      </c>
      <c r="G145" t="s">
        <v>123</v>
      </c>
    </row>
    <row r="146" ht="14" customHeight="1" spans="1:9">
      <c r="A146" s="7">
        <v>140</v>
      </c>
      <c r="B146" s="7">
        <v>1</v>
      </c>
      <c r="C146" s="7">
        <v>1</v>
      </c>
      <c r="D146" s="15">
        <v>0</v>
      </c>
      <c r="E146" s="15">
        <v>100</v>
      </c>
      <c r="F146" s="54" t="s">
        <v>134</v>
      </c>
      <c r="G146" t="s">
        <v>123</v>
      </c>
    </row>
    <row r="147" ht="14" customHeight="1" spans="1:9">
      <c r="A147" s="7">
        <v>141</v>
      </c>
      <c r="B147" s="7">
        <v>1</v>
      </c>
      <c r="C147" s="7">
        <v>1</v>
      </c>
      <c r="D147" s="15">
        <v>0</v>
      </c>
      <c r="E147" s="15">
        <v>100</v>
      </c>
      <c r="F147" s="54" t="s">
        <v>134</v>
      </c>
      <c r="G147" t="s">
        <v>123</v>
      </c>
    </row>
    <row r="148" ht="14" customHeight="1" spans="1:9">
      <c r="A148" s="7">
        <v>142</v>
      </c>
      <c r="B148" s="7">
        <v>1</v>
      </c>
      <c r="C148" s="7">
        <v>1</v>
      </c>
      <c r="D148" s="15">
        <v>0</v>
      </c>
      <c r="E148" s="15">
        <v>100</v>
      </c>
      <c r="F148" s="54" t="s">
        <v>134</v>
      </c>
      <c r="G148" t="s">
        <v>123</v>
      </c>
    </row>
    <row r="149" ht="14" customHeight="1" spans="1:9">
      <c r="A149" s="7">
        <v>143</v>
      </c>
      <c r="B149" s="7">
        <v>1</v>
      </c>
      <c r="C149">
        <v>3</v>
      </c>
      <c r="D149" s="15">
        <v>0</v>
      </c>
      <c r="E149" s="15">
        <v>100</v>
      </c>
      <c r="F149" t="s">
        <v>135</v>
      </c>
      <c r="G149" t="s">
        <v>136</v>
      </c>
      <c r="H149" s="7"/>
      <c r="I149" s="55" t="s">
        <v>137</v>
      </c>
    </row>
    <row r="150" ht="14" customHeight="1" spans="1:9">
      <c r="A150" s="7">
        <v>144</v>
      </c>
      <c r="B150" s="7">
        <v>1</v>
      </c>
      <c r="C150">
        <v>4</v>
      </c>
      <c r="D150" s="15">
        <v>0</v>
      </c>
      <c r="E150" s="15">
        <v>100</v>
      </c>
      <c r="F150" t="s">
        <v>138</v>
      </c>
      <c r="G150" t="s">
        <v>136</v>
      </c>
      <c r="H150" s="7"/>
      <c r="I150" s="55" t="s">
        <v>137</v>
      </c>
    </row>
    <row r="151" ht="14" customHeight="1" spans="1:9">
      <c r="A151" s="7">
        <v>145</v>
      </c>
      <c r="B151" s="7">
        <v>1</v>
      </c>
      <c r="C151">
        <v>1</v>
      </c>
      <c r="D151" s="15">
        <v>0</v>
      </c>
      <c r="E151" s="15">
        <v>100</v>
      </c>
      <c r="F151" t="s">
        <v>139</v>
      </c>
      <c r="G151" t="s">
        <v>136</v>
      </c>
      <c r="H151" s="7"/>
      <c r="I151" s="55" t="s">
        <v>137</v>
      </c>
    </row>
    <row r="152" ht="14" customHeight="1" spans="1:9">
      <c r="A152" s="7">
        <v>146</v>
      </c>
      <c r="B152" s="7">
        <v>1</v>
      </c>
      <c r="C152">
        <v>1</v>
      </c>
      <c r="D152" s="15">
        <v>0</v>
      </c>
      <c r="E152" s="15">
        <v>100</v>
      </c>
      <c r="F152" t="s">
        <v>140</v>
      </c>
      <c r="G152" t="s">
        <v>136</v>
      </c>
      <c r="H152" s="7"/>
      <c r="I152" s="55" t="s">
        <v>141</v>
      </c>
    </row>
    <row r="153" ht="14" customHeight="1" spans="1:9">
      <c r="A153" s="7">
        <v>147</v>
      </c>
      <c r="B153" s="7">
        <v>1</v>
      </c>
      <c r="C153">
        <v>1</v>
      </c>
      <c r="D153" s="15">
        <v>0</v>
      </c>
      <c r="E153" s="15">
        <v>100</v>
      </c>
      <c r="F153" t="s">
        <v>142</v>
      </c>
      <c r="G153" t="s">
        <v>136</v>
      </c>
      <c r="H153" s="7"/>
      <c r="I153" s="55" t="s">
        <v>143</v>
      </c>
    </row>
    <row r="154" ht="14" customHeight="1" spans="1:9">
      <c r="A154" s="7">
        <v>148</v>
      </c>
      <c r="B154" s="7">
        <v>1</v>
      </c>
      <c r="C154">
        <v>1</v>
      </c>
      <c r="D154" s="15">
        <v>0</v>
      </c>
      <c r="E154" s="15">
        <v>100</v>
      </c>
      <c r="F154" t="s">
        <v>144</v>
      </c>
      <c r="G154" t="s">
        <v>136</v>
      </c>
      <c r="H154" s="7"/>
      <c r="I154" s="55" t="s">
        <v>143</v>
      </c>
    </row>
    <row r="155" ht="14" customHeight="1" spans="1:9">
      <c r="A155" s="7">
        <v>149</v>
      </c>
      <c r="B155" s="7">
        <v>1</v>
      </c>
      <c r="C155">
        <v>2</v>
      </c>
      <c r="D155" s="15">
        <v>0</v>
      </c>
      <c r="E155" s="15">
        <v>100</v>
      </c>
      <c r="F155" t="s">
        <v>145</v>
      </c>
      <c r="G155" t="s">
        <v>136</v>
      </c>
      <c r="H155" s="7"/>
      <c r="I155" s="55" t="s">
        <v>146</v>
      </c>
    </row>
    <row r="156" ht="14" customHeight="1" spans="1:9">
      <c r="A156" s="7">
        <v>150</v>
      </c>
      <c r="B156" s="7">
        <v>1</v>
      </c>
      <c r="C156">
        <v>1</v>
      </c>
      <c r="D156" s="15">
        <v>0</v>
      </c>
      <c r="E156" s="15">
        <v>100</v>
      </c>
      <c r="F156" t="s">
        <v>144</v>
      </c>
      <c r="H156" s="7"/>
      <c r="I156" s="55" t="s">
        <v>146</v>
      </c>
    </row>
    <row r="157" ht="14" customHeight="1" spans="1:9">
      <c r="A157" s="7">
        <v>151</v>
      </c>
      <c r="B157" s="7">
        <v>1</v>
      </c>
      <c r="C157">
        <v>1</v>
      </c>
      <c r="D157" s="15">
        <v>0</v>
      </c>
      <c r="E157" s="15">
        <v>100</v>
      </c>
      <c r="F157" t="s">
        <v>144</v>
      </c>
      <c r="H157" s="7"/>
      <c r="I157" s="55" t="s">
        <v>147</v>
      </c>
    </row>
    <row r="158" ht="14" customHeight="1" spans="1:9">
      <c r="A158" s="7">
        <v>152</v>
      </c>
      <c r="B158" s="7">
        <v>1</v>
      </c>
      <c r="C158">
        <v>1</v>
      </c>
      <c r="D158" s="15">
        <v>0</v>
      </c>
      <c r="E158" s="15">
        <v>100</v>
      </c>
      <c r="F158" t="s">
        <v>144</v>
      </c>
      <c r="H158" s="7"/>
      <c r="I158" s="55" t="s">
        <v>148</v>
      </c>
    </row>
    <row r="159" ht="14" customHeight="1" spans="1:9">
      <c r="A159" s="7">
        <v>153</v>
      </c>
      <c r="B159" s="7">
        <v>1</v>
      </c>
      <c r="C159">
        <v>1</v>
      </c>
      <c r="D159" s="15">
        <v>0</v>
      </c>
      <c r="E159" s="15">
        <v>100</v>
      </c>
      <c r="F159" t="s">
        <v>144</v>
      </c>
      <c r="H159" s="7"/>
      <c r="I159" s="55"/>
    </row>
    <row r="160" ht="14" customHeight="1" spans="1:9">
      <c r="A160" s="7">
        <v>154</v>
      </c>
      <c r="B160" s="7">
        <v>1</v>
      </c>
      <c r="C160">
        <v>1</v>
      </c>
      <c r="D160" s="15">
        <v>0</v>
      </c>
      <c r="E160" s="15">
        <v>100</v>
      </c>
      <c r="F160" t="s">
        <v>144</v>
      </c>
      <c r="H160" s="7"/>
      <c r="I160" s="55"/>
    </row>
    <row r="161" ht="14" customHeight="1" spans="1:9">
      <c r="A161" s="7">
        <v>155</v>
      </c>
      <c r="B161" s="7">
        <v>1</v>
      </c>
      <c r="C161">
        <v>1</v>
      </c>
      <c r="D161" s="15">
        <v>0</v>
      </c>
      <c r="E161" s="15">
        <v>100</v>
      </c>
      <c r="F161" t="s">
        <v>144</v>
      </c>
      <c r="H161" s="7"/>
      <c r="I161" s="55"/>
    </row>
    <row r="162" ht="14" customHeight="1" spans="1:9">
      <c r="A162" s="7">
        <v>156</v>
      </c>
      <c r="B162" s="7">
        <v>1</v>
      </c>
      <c r="C162">
        <v>1</v>
      </c>
      <c r="D162" s="15">
        <v>0</v>
      </c>
      <c r="E162" s="15">
        <v>100</v>
      </c>
      <c r="F162" t="s">
        <v>149</v>
      </c>
    </row>
    <row r="163" s="32" customFormat="1" ht="14" customHeight="1" spans="1:9">
      <c r="A163" s="32">
        <v>369</v>
      </c>
      <c r="B163" s="32">
        <v>1</v>
      </c>
      <c r="C163" s="32">
        <v>1</v>
      </c>
      <c r="D163" s="32">
        <v>0</v>
      </c>
      <c r="E163" s="15">
        <v>100</v>
      </c>
      <c r="F163" s="7" t="s">
        <v>150</v>
      </c>
      <c r="G163" s="32" t="s">
        <v>151</v>
      </c>
    </row>
    <row r="164" s="32" customFormat="1" ht="14" customHeight="1" spans="1:9">
      <c r="A164" s="32">
        <v>370</v>
      </c>
      <c r="B164" s="32">
        <v>1</v>
      </c>
      <c r="C164" s="32">
        <v>2</v>
      </c>
      <c r="D164" s="32">
        <v>0</v>
      </c>
      <c r="E164" s="15">
        <v>100</v>
      </c>
      <c r="F164" s="7" t="s">
        <v>152</v>
      </c>
      <c r="G164" s="32" t="s">
        <v>151</v>
      </c>
    </row>
    <row r="165" s="32" customFormat="1" ht="14" customHeight="1" spans="1:9">
      <c r="A165" s="32">
        <v>371</v>
      </c>
      <c r="B165" s="32">
        <v>2</v>
      </c>
      <c r="C165" s="32">
        <v>1</v>
      </c>
      <c r="D165" s="32">
        <v>0</v>
      </c>
      <c r="E165" s="15">
        <v>100</v>
      </c>
      <c r="F165" s="7" t="s">
        <v>153</v>
      </c>
      <c r="G165" s="32" t="s">
        <v>151</v>
      </c>
    </row>
    <row r="166" s="32" customFormat="1" ht="14" customHeight="1" spans="1:9">
      <c r="A166" s="32">
        <v>372</v>
      </c>
      <c r="B166" s="32">
        <v>1</v>
      </c>
      <c r="C166" s="32">
        <v>2</v>
      </c>
      <c r="D166" s="32">
        <v>0</v>
      </c>
      <c r="E166" s="15">
        <v>100</v>
      </c>
      <c r="F166" s="7" t="s">
        <v>154</v>
      </c>
      <c r="G166" s="32" t="s">
        <v>151</v>
      </c>
    </row>
    <row r="167" s="33" customFormat="1" ht="14" customHeight="1" spans="1:9">
      <c r="A167" s="33">
        <v>373</v>
      </c>
      <c r="B167" s="33">
        <v>1</v>
      </c>
      <c r="C167" s="33">
        <v>3</v>
      </c>
      <c r="D167" s="33">
        <v>0</v>
      </c>
      <c r="E167" s="15">
        <v>100</v>
      </c>
      <c r="F167" s="7" t="s">
        <v>154</v>
      </c>
      <c r="G167" s="33" t="s">
        <v>151</v>
      </c>
    </row>
    <row r="168" s="33" customFormat="1" ht="14" customHeight="1" spans="1:9">
      <c r="A168" s="33">
        <v>374</v>
      </c>
      <c r="B168" s="33">
        <v>2</v>
      </c>
      <c r="C168" s="33">
        <v>1</v>
      </c>
      <c r="D168" s="33">
        <v>0</v>
      </c>
      <c r="E168" s="15">
        <v>100</v>
      </c>
      <c r="F168" s="7" t="s">
        <v>155</v>
      </c>
      <c r="G168" s="33" t="s">
        <v>151</v>
      </c>
    </row>
    <row r="169" s="33" customFormat="1" ht="14" customHeight="1" spans="1:9">
      <c r="A169" s="33">
        <v>375</v>
      </c>
      <c r="B169" s="33">
        <v>1</v>
      </c>
      <c r="C169" s="33">
        <v>1</v>
      </c>
      <c r="D169" s="33">
        <v>0</v>
      </c>
      <c r="E169" s="15">
        <v>100</v>
      </c>
      <c r="F169" s="7" t="s">
        <v>156</v>
      </c>
      <c r="G169" s="33" t="s">
        <v>151</v>
      </c>
    </row>
    <row r="170" s="33" customFormat="1" ht="14" customHeight="1" spans="1:9">
      <c r="A170" s="33">
        <v>376</v>
      </c>
      <c r="B170" s="33">
        <v>1</v>
      </c>
      <c r="C170" s="33">
        <v>2</v>
      </c>
      <c r="D170" s="33">
        <v>0</v>
      </c>
      <c r="E170" s="15">
        <v>100</v>
      </c>
      <c r="F170" s="7" t="s">
        <v>156</v>
      </c>
      <c r="G170" s="33" t="s">
        <v>151</v>
      </c>
    </row>
    <row r="171" s="33" customFormat="1" ht="14" customHeight="1" spans="1:9">
      <c r="A171" s="33">
        <v>377</v>
      </c>
      <c r="B171" s="33">
        <v>1</v>
      </c>
      <c r="C171" s="33">
        <v>1</v>
      </c>
      <c r="D171" s="33">
        <v>0</v>
      </c>
      <c r="E171" s="15">
        <v>100</v>
      </c>
      <c r="F171" s="7" t="s">
        <v>150</v>
      </c>
      <c r="G171" s="33" t="s">
        <v>151</v>
      </c>
    </row>
    <row r="172" s="34" customFormat="1" ht="14" customHeight="1" spans="1:9">
      <c r="A172" s="34">
        <v>378</v>
      </c>
      <c r="B172" s="34">
        <v>1</v>
      </c>
      <c r="C172" s="34">
        <v>1</v>
      </c>
      <c r="D172" s="34">
        <v>0</v>
      </c>
      <c r="E172" s="15">
        <v>100</v>
      </c>
      <c r="F172" s="7" t="s">
        <v>152</v>
      </c>
      <c r="G172" s="34" t="s">
        <v>151</v>
      </c>
    </row>
    <row r="173" s="34" customFormat="1" ht="14" customHeight="1" spans="1:9">
      <c r="A173" s="34">
        <v>379</v>
      </c>
      <c r="B173" s="34">
        <v>1</v>
      </c>
      <c r="C173" s="34">
        <v>3</v>
      </c>
      <c r="D173" s="34">
        <v>0</v>
      </c>
      <c r="E173" s="15">
        <v>100</v>
      </c>
      <c r="F173" s="7" t="s">
        <v>154</v>
      </c>
      <c r="G173" s="34" t="s">
        <v>151</v>
      </c>
    </row>
    <row r="174" s="34" customFormat="1" ht="14" customHeight="1" spans="1:9">
      <c r="A174" s="34">
        <v>380</v>
      </c>
      <c r="B174" s="34">
        <v>2</v>
      </c>
      <c r="C174" s="34">
        <v>1</v>
      </c>
      <c r="D174" s="34">
        <v>0</v>
      </c>
      <c r="E174" s="15">
        <v>100</v>
      </c>
      <c r="F174" s="34" t="s">
        <v>157</v>
      </c>
      <c r="G174" s="34" t="s">
        <v>151</v>
      </c>
    </row>
    <row r="175" s="34" customFormat="1" ht="14" customHeight="1" spans="1:9">
      <c r="A175" s="34">
        <v>381</v>
      </c>
      <c r="B175" s="34">
        <v>1</v>
      </c>
      <c r="C175" s="34">
        <v>1</v>
      </c>
      <c r="D175" s="34">
        <v>0</v>
      </c>
      <c r="E175" s="34">
        <v>1</v>
      </c>
      <c r="F175" s="7" t="s">
        <v>156</v>
      </c>
      <c r="G175" s="34" t="s">
        <v>151</v>
      </c>
    </row>
    <row r="176" s="34" customFormat="1" ht="14" customHeight="1" spans="1:9">
      <c r="A176" s="34">
        <v>382</v>
      </c>
      <c r="B176" s="34">
        <v>1</v>
      </c>
      <c r="C176" s="34">
        <v>2</v>
      </c>
      <c r="D176" s="34">
        <v>0</v>
      </c>
      <c r="E176" s="34">
        <v>1</v>
      </c>
      <c r="F176" s="7" t="s">
        <v>156</v>
      </c>
      <c r="G176" s="34" t="s">
        <v>151</v>
      </c>
    </row>
    <row r="177" s="34" customFormat="1" ht="14" customHeight="1" spans="1:8">
      <c r="A177" s="34">
        <v>383</v>
      </c>
      <c r="B177" s="34">
        <v>1</v>
      </c>
      <c r="C177" s="34">
        <v>1</v>
      </c>
      <c r="D177" s="34">
        <v>0</v>
      </c>
      <c r="E177" s="34">
        <v>1</v>
      </c>
      <c r="F177" s="34" t="s">
        <v>158</v>
      </c>
    </row>
    <row r="178" s="35" customFormat="1" ht="14" customHeight="1" spans="1:8">
      <c r="A178" s="35">
        <v>384</v>
      </c>
      <c r="B178" s="35">
        <v>1</v>
      </c>
      <c r="C178" s="35">
        <v>1</v>
      </c>
      <c r="D178" s="35">
        <v>0</v>
      </c>
      <c r="E178" s="35">
        <v>1</v>
      </c>
      <c r="F178" s="35" t="s">
        <v>159</v>
      </c>
      <c r="G178" s="35" t="s">
        <v>160</v>
      </c>
    </row>
    <row r="179" s="35" customFormat="1" ht="14" customHeight="1" spans="1:8">
      <c r="A179" s="35">
        <v>385</v>
      </c>
      <c r="B179" s="35">
        <v>1</v>
      </c>
      <c r="C179" s="35">
        <v>1</v>
      </c>
      <c r="D179" s="35">
        <v>0</v>
      </c>
      <c r="E179" s="35">
        <v>1</v>
      </c>
      <c r="F179" s="35" t="s">
        <v>161</v>
      </c>
    </row>
    <row r="180" s="35" customFormat="1" ht="14" customHeight="1" spans="1:8">
      <c r="A180" s="35">
        <v>386</v>
      </c>
      <c r="B180" s="35">
        <v>1</v>
      </c>
      <c r="C180" s="35">
        <v>1</v>
      </c>
      <c r="D180" s="35">
        <v>0</v>
      </c>
      <c r="E180" s="35">
        <v>1</v>
      </c>
      <c r="F180" s="35" t="s">
        <v>162</v>
      </c>
    </row>
    <row r="181" s="35" customFormat="1" ht="14" customHeight="1" spans="1:8">
      <c r="A181" s="35">
        <v>387</v>
      </c>
      <c r="B181" s="35">
        <v>1</v>
      </c>
      <c r="C181" s="35">
        <v>1</v>
      </c>
      <c r="D181" s="35">
        <v>0</v>
      </c>
      <c r="E181" s="35">
        <v>1</v>
      </c>
      <c r="F181" s="35" t="s">
        <v>163</v>
      </c>
    </row>
    <row r="182" s="35" customFormat="1" ht="14" customHeight="1" spans="1:8">
      <c r="A182" s="35">
        <v>388</v>
      </c>
      <c r="B182" s="35">
        <v>1</v>
      </c>
      <c r="C182" s="35">
        <v>1</v>
      </c>
      <c r="D182" s="35">
        <v>0</v>
      </c>
      <c r="E182" s="35">
        <v>1</v>
      </c>
      <c r="F182" s="35" t="s">
        <v>164</v>
      </c>
    </row>
    <row r="183" ht="14" customHeight="1" spans="1:8">
      <c r="A183">
        <v>389</v>
      </c>
      <c r="B183">
        <v>2</v>
      </c>
      <c r="C183">
        <v>3</v>
      </c>
      <c r="D183">
        <v>0</v>
      </c>
      <c r="E183">
        <v>1</v>
      </c>
      <c r="F183" t="s">
        <v>165</v>
      </c>
      <c r="G183" t="s">
        <v>166</v>
      </c>
      <c r="H183" s="32"/>
    </row>
    <row r="184" ht="14" customHeight="1" spans="1:8">
      <c r="A184">
        <v>390</v>
      </c>
      <c r="B184">
        <v>1</v>
      </c>
      <c r="C184">
        <v>1</v>
      </c>
      <c r="D184">
        <v>0</v>
      </c>
      <c r="E184">
        <v>1</v>
      </c>
      <c r="F184" t="s">
        <v>167</v>
      </c>
      <c r="H184" s="32"/>
    </row>
    <row r="185" ht="14" customHeight="1" spans="1:8">
      <c r="A185">
        <v>391</v>
      </c>
      <c r="B185">
        <v>1</v>
      </c>
      <c r="C185">
        <v>1</v>
      </c>
      <c r="D185">
        <v>0</v>
      </c>
      <c r="E185">
        <v>1</v>
      </c>
      <c r="F185" t="s">
        <v>168</v>
      </c>
      <c r="H185" s="32"/>
    </row>
    <row r="186" ht="14" customHeight="1" spans="1:8">
      <c r="A186">
        <v>392</v>
      </c>
      <c r="B186">
        <v>1</v>
      </c>
      <c r="C186">
        <v>1</v>
      </c>
      <c r="D186">
        <v>0</v>
      </c>
      <c r="E186">
        <v>1</v>
      </c>
      <c r="F186" t="s">
        <v>169</v>
      </c>
      <c r="H186" s="32"/>
    </row>
    <row r="187" ht="14" customHeight="1" spans="1:8">
      <c r="A187">
        <v>393</v>
      </c>
      <c r="B187">
        <v>2</v>
      </c>
      <c r="C187">
        <v>4</v>
      </c>
      <c r="D187">
        <v>0</v>
      </c>
      <c r="E187">
        <v>1</v>
      </c>
      <c r="F187" t="s">
        <v>170</v>
      </c>
      <c r="G187" t="s">
        <v>171</v>
      </c>
      <c r="H187" s="33"/>
    </row>
    <row r="188" ht="14" customHeight="1" spans="1:8">
      <c r="A188">
        <v>394</v>
      </c>
      <c r="B188">
        <v>1</v>
      </c>
      <c r="C188">
        <v>1</v>
      </c>
      <c r="D188">
        <v>0</v>
      </c>
      <c r="E188">
        <v>1</v>
      </c>
      <c r="F188" t="s">
        <v>172</v>
      </c>
      <c r="H188" s="33"/>
    </row>
    <row r="189" ht="14" customHeight="1" spans="1:8">
      <c r="A189">
        <v>395</v>
      </c>
      <c r="B189">
        <v>1</v>
      </c>
      <c r="C189">
        <v>1</v>
      </c>
      <c r="D189">
        <v>0</v>
      </c>
      <c r="E189">
        <v>1</v>
      </c>
      <c r="F189" t="s">
        <v>173</v>
      </c>
      <c r="H189" s="33"/>
    </row>
    <row r="190" ht="14" customHeight="1" spans="1:8">
      <c r="A190">
        <v>396</v>
      </c>
      <c r="B190">
        <v>1</v>
      </c>
      <c r="C190">
        <v>1</v>
      </c>
      <c r="D190">
        <v>0</v>
      </c>
      <c r="E190">
        <v>1</v>
      </c>
      <c r="F190" t="s">
        <v>174</v>
      </c>
      <c r="H190" s="33"/>
    </row>
    <row r="191" ht="14" customHeight="1" spans="1:8">
      <c r="A191">
        <v>397</v>
      </c>
      <c r="B191">
        <v>1</v>
      </c>
      <c r="C191">
        <v>1</v>
      </c>
      <c r="D191">
        <v>0</v>
      </c>
      <c r="E191">
        <v>1</v>
      </c>
      <c r="F191" t="s">
        <v>175</v>
      </c>
      <c r="H191" s="33"/>
    </row>
    <row r="192" ht="14" customHeight="1" spans="1:8">
      <c r="A192">
        <v>398</v>
      </c>
      <c r="B192">
        <v>2</v>
      </c>
      <c r="C192">
        <v>5</v>
      </c>
      <c r="D192">
        <v>0</v>
      </c>
      <c r="E192">
        <v>1</v>
      </c>
      <c r="F192" t="s">
        <v>176</v>
      </c>
      <c r="G192" t="s">
        <v>177</v>
      </c>
      <c r="H192" s="34"/>
    </row>
    <row r="193" ht="14" customHeight="1" spans="1:8">
      <c r="A193">
        <v>399</v>
      </c>
      <c r="B193">
        <v>1</v>
      </c>
      <c r="C193">
        <v>1</v>
      </c>
      <c r="D193">
        <v>0</v>
      </c>
      <c r="E193">
        <v>1</v>
      </c>
      <c r="F193" t="s">
        <v>178</v>
      </c>
      <c r="H193" s="34"/>
    </row>
    <row r="194" ht="14" customHeight="1" spans="1:8">
      <c r="A194">
        <v>400</v>
      </c>
      <c r="B194">
        <v>1</v>
      </c>
      <c r="C194">
        <v>1</v>
      </c>
      <c r="D194">
        <v>0</v>
      </c>
      <c r="E194">
        <v>1</v>
      </c>
      <c r="F194" t="s">
        <v>179</v>
      </c>
      <c r="H194" s="34"/>
    </row>
    <row r="195" ht="14" customHeight="1" spans="1:8">
      <c r="A195">
        <v>401</v>
      </c>
      <c r="B195">
        <v>1</v>
      </c>
      <c r="C195">
        <v>1</v>
      </c>
      <c r="D195">
        <v>0</v>
      </c>
      <c r="E195">
        <v>1</v>
      </c>
      <c r="F195" t="s">
        <v>180</v>
      </c>
      <c r="H195" s="34"/>
    </row>
    <row r="196" ht="14" customHeight="1" spans="1:8">
      <c r="A196">
        <v>402</v>
      </c>
      <c r="B196">
        <v>1</v>
      </c>
      <c r="C196">
        <v>1</v>
      </c>
      <c r="D196">
        <v>0</v>
      </c>
      <c r="E196">
        <v>1</v>
      </c>
      <c r="F196" t="s">
        <v>181</v>
      </c>
      <c r="H196" s="34"/>
    </row>
    <row r="197" ht="14" customHeight="1" spans="1:8">
      <c r="A197">
        <v>403</v>
      </c>
      <c r="B197">
        <v>1</v>
      </c>
      <c r="C197">
        <v>1</v>
      </c>
      <c r="D197">
        <v>0</v>
      </c>
      <c r="E197">
        <v>1</v>
      </c>
      <c r="F197" t="s">
        <v>158</v>
      </c>
      <c r="H197" s="34"/>
    </row>
    <row r="198" ht="14" customHeight="1" spans="1:8">
      <c r="A198">
        <v>404</v>
      </c>
      <c r="B198">
        <v>1</v>
      </c>
      <c r="C198">
        <v>1</v>
      </c>
      <c r="D198">
        <v>0</v>
      </c>
      <c r="E198">
        <v>1</v>
      </c>
      <c r="F198" t="s">
        <v>159</v>
      </c>
      <c r="G198" t="s">
        <v>182</v>
      </c>
      <c r="H198" s="35"/>
    </row>
    <row r="199" ht="14" customHeight="1" spans="1:8">
      <c r="A199">
        <v>405</v>
      </c>
      <c r="B199">
        <v>1</v>
      </c>
      <c r="C199">
        <v>1</v>
      </c>
      <c r="D199">
        <v>0</v>
      </c>
      <c r="E199">
        <v>1</v>
      </c>
      <c r="F199" t="s">
        <v>161</v>
      </c>
      <c r="H199" s="35"/>
    </row>
    <row r="200" ht="14" customHeight="1" spans="1:8">
      <c r="A200">
        <v>406</v>
      </c>
      <c r="B200">
        <v>1</v>
      </c>
      <c r="C200">
        <v>1</v>
      </c>
      <c r="D200">
        <v>0</v>
      </c>
      <c r="E200">
        <v>1</v>
      </c>
      <c r="F200" t="s">
        <v>162</v>
      </c>
      <c r="H200" s="35"/>
    </row>
    <row r="201" ht="14" customHeight="1" spans="1:8">
      <c r="A201">
        <v>407</v>
      </c>
      <c r="B201">
        <v>1</v>
      </c>
      <c r="C201">
        <v>1</v>
      </c>
      <c r="D201">
        <v>0</v>
      </c>
      <c r="E201">
        <v>1</v>
      </c>
      <c r="F201" t="s">
        <v>163</v>
      </c>
      <c r="H201" s="35"/>
    </row>
    <row r="202" ht="14" customHeight="1" spans="1:8">
      <c r="A202">
        <v>408</v>
      </c>
      <c r="B202">
        <v>1</v>
      </c>
      <c r="C202">
        <v>1</v>
      </c>
      <c r="D202">
        <v>0</v>
      </c>
      <c r="E202">
        <v>1</v>
      </c>
      <c r="F202" t="s">
        <v>164</v>
      </c>
      <c r="H202" s="35"/>
    </row>
    <row r="203" ht="14" customHeight="1" spans="1:8">
      <c r="A203">
        <v>409</v>
      </c>
      <c r="B203">
        <v>2</v>
      </c>
      <c r="C203">
        <v>3</v>
      </c>
      <c r="D203">
        <v>0</v>
      </c>
      <c r="E203">
        <v>1</v>
      </c>
      <c r="F203" t="s">
        <v>183</v>
      </c>
      <c r="G203" t="s">
        <v>184</v>
      </c>
    </row>
    <row r="204" ht="14" customHeight="1" spans="1:8">
      <c r="A204">
        <v>410</v>
      </c>
      <c r="B204">
        <v>1</v>
      </c>
      <c r="C204">
        <v>1</v>
      </c>
      <c r="D204">
        <v>0</v>
      </c>
      <c r="E204">
        <v>1</v>
      </c>
      <c r="F204" t="s">
        <v>167</v>
      </c>
    </row>
    <row r="205" ht="14" customHeight="1" spans="1:8">
      <c r="A205">
        <v>411</v>
      </c>
      <c r="B205">
        <v>1</v>
      </c>
      <c r="C205">
        <v>1</v>
      </c>
      <c r="D205">
        <v>0</v>
      </c>
      <c r="E205">
        <v>1</v>
      </c>
      <c r="F205" t="s">
        <v>168</v>
      </c>
    </row>
    <row r="206" ht="14" customHeight="1" spans="1:8">
      <c r="A206">
        <v>412</v>
      </c>
      <c r="B206">
        <v>1</v>
      </c>
      <c r="C206">
        <v>1</v>
      </c>
      <c r="D206">
        <v>0</v>
      </c>
      <c r="E206">
        <v>1</v>
      </c>
      <c r="F206" t="s">
        <v>169</v>
      </c>
    </row>
    <row r="207" ht="14" customHeight="1" spans="1:8">
      <c r="A207">
        <v>413</v>
      </c>
      <c r="B207">
        <v>2</v>
      </c>
      <c r="C207">
        <v>4</v>
      </c>
      <c r="D207">
        <v>0</v>
      </c>
      <c r="E207">
        <v>1</v>
      </c>
      <c r="F207" t="s">
        <v>185</v>
      </c>
      <c r="G207" t="s">
        <v>186</v>
      </c>
    </row>
    <row r="208" ht="14" customHeight="1" spans="1:8">
      <c r="A208">
        <v>414</v>
      </c>
      <c r="B208">
        <v>1</v>
      </c>
      <c r="C208">
        <v>1</v>
      </c>
      <c r="D208">
        <v>0</v>
      </c>
      <c r="E208">
        <v>1</v>
      </c>
      <c r="F208" t="s">
        <v>172</v>
      </c>
    </row>
    <row r="209" ht="14" customHeight="1" spans="1:9">
      <c r="A209">
        <v>415</v>
      </c>
      <c r="B209">
        <v>1</v>
      </c>
      <c r="C209">
        <v>1</v>
      </c>
      <c r="D209">
        <v>0</v>
      </c>
      <c r="E209">
        <v>1</v>
      </c>
      <c r="F209" t="s">
        <v>173</v>
      </c>
    </row>
    <row r="210" ht="14" customHeight="1" spans="1:9">
      <c r="A210">
        <v>416</v>
      </c>
      <c r="B210">
        <v>1</v>
      </c>
      <c r="C210">
        <v>1</v>
      </c>
      <c r="D210">
        <v>0</v>
      </c>
      <c r="E210">
        <v>1</v>
      </c>
      <c r="F210" t="s">
        <v>174</v>
      </c>
    </row>
    <row r="211" ht="14" customHeight="1" spans="1:9">
      <c r="A211">
        <v>417</v>
      </c>
      <c r="B211">
        <v>1</v>
      </c>
      <c r="C211">
        <v>1</v>
      </c>
      <c r="D211">
        <v>0</v>
      </c>
      <c r="E211">
        <v>1</v>
      </c>
      <c r="F211" t="s">
        <v>175</v>
      </c>
    </row>
    <row r="212" ht="14" customHeight="1" spans="1:9">
      <c r="A212">
        <v>418</v>
      </c>
      <c r="B212">
        <v>2</v>
      </c>
      <c r="C212">
        <v>5</v>
      </c>
      <c r="D212">
        <v>0</v>
      </c>
      <c r="E212">
        <v>1</v>
      </c>
      <c r="F212" t="s">
        <v>187</v>
      </c>
      <c r="G212" t="s">
        <v>188</v>
      </c>
    </row>
    <row r="213" ht="14" customHeight="1" spans="1:9">
      <c r="A213">
        <v>419</v>
      </c>
      <c r="B213">
        <v>1</v>
      </c>
      <c r="C213">
        <v>1</v>
      </c>
      <c r="D213">
        <v>0</v>
      </c>
      <c r="E213">
        <v>1</v>
      </c>
      <c r="F213" t="s">
        <v>178</v>
      </c>
    </row>
    <row r="214" ht="14" customHeight="1" spans="1:9">
      <c r="A214">
        <v>420</v>
      </c>
      <c r="B214">
        <v>1</v>
      </c>
      <c r="C214">
        <v>1</v>
      </c>
      <c r="D214">
        <v>0</v>
      </c>
      <c r="E214">
        <v>1</v>
      </c>
      <c r="F214" t="s">
        <v>179</v>
      </c>
    </row>
    <row r="215" ht="14" customHeight="1" spans="1:9">
      <c r="A215">
        <v>421</v>
      </c>
      <c r="B215">
        <v>1</v>
      </c>
      <c r="C215">
        <v>1</v>
      </c>
      <c r="D215">
        <v>0</v>
      </c>
      <c r="E215">
        <v>1</v>
      </c>
      <c r="F215" t="s">
        <v>180</v>
      </c>
    </row>
    <row r="216" ht="14" customHeight="1" spans="1:9">
      <c r="A216">
        <v>422</v>
      </c>
      <c r="B216">
        <v>1</v>
      </c>
      <c r="C216">
        <v>1</v>
      </c>
      <c r="D216">
        <v>0</v>
      </c>
      <c r="E216">
        <v>1</v>
      </c>
      <c r="F216" t="s">
        <v>181</v>
      </c>
    </row>
    <row r="217" ht="14" customHeight="1" spans="1:9">
      <c r="A217">
        <v>423</v>
      </c>
      <c r="B217">
        <v>1</v>
      </c>
      <c r="C217">
        <v>1</v>
      </c>
      <c r="D217">
        <v>0</v>
      </c>
      <c r="E217">
        <v>1</v>
      </c>
      <c r="F217" t="s">
        <v>158</v>
      </c>
    </row>
    <row r="218" ht="14" customHeight="1" spans="1:9">
      <c r="A218">
        <v>424</v>
      </c>
      <c r="B218">
        <v>1</v>
      </c>
      <c r="C218">
        <v>1</v>
      </c>
      <c r="D218">
        <v>0</v>
      </c>
      <c r="E218">
        <v>1</v>
      </c>
      <c r="F218" t="s">
        <v>159</v>
      </c>
      <c r="G218" t="s">
        <v>189</v>
      </c>
    </row>
    <row r="219" ht="14" customHeight="1" spans="1:9">
      <c r="A219">
        <v>425</v>
      </c>
      <c r="B219">
        <v>1</v>
      </c>
      <c r="C219">
        <v>1</v>
      </c>
      <c r="D219">
        <v>0</v>
      </c>
      <c r="E219">
        <v>1</v>
      </c>
      <c r="F219" t="s">
        <v>161</v>
      </c>
    </row>
    <row r="220" ht="14" customHeight="1" spans="1:9">
      <c r="A220">
        <v>426</v>
      </c>
      <c r="B220">
        <v>1</v>
      </c>
      <c r="C220">
        <v>1</v>
      </c>
      <c r="D220">
        <v>0</v>
      </c>
      <c r="E220">
        <v>1</v>
      </c>
      <c r="F220" t="s">
        <v>162</v>
      </c>
    </row>
    <row r="221" ht="14" customHeight="1" spans="1:9">
      <c r="A221">
        <v>427</v>
      </c>
      <c r="B221">
        <v>1</v>
      </c>
      <c r="C221">
        <v>1</v>
      </c>
      <c r="D221">
        <v>0</v>
      </c>
      <c r="E221">
        <v>1</v>
      </c>
      <c r="F221" t="s">
        <v>163</v>
      </c>
    </row>
    <row r="222" ht="14" customHeight="1" spans="1:9">
      <c r="A222">
        <v>428</v>
      </c>
      <c r="B222">
        <v>1</v>
      </c>
      <c r="C222">
        <v>1</v>
      </c>
      <c r="D222">
        <v>0</v>
      </c>
      <c r="E222">
        <v>1</v>
      </c>
      <c r="F222" t="s">
        <v>164</v>
      </c>
    </row>
    <row r="223" ht="14" customHeight="1" spans="1:9">
      <c r="A223" s="7">
        <v>429</v>
      </c>
      <c r="B223" s="7">
        <v>1</v>
      </c>
      <c r="C223">
        <v>1</v>
      </c>
      <c r="D223" s="7">
        <v>0</v>
      </c>
      <c r="E223">
        <v>1</v>
      </c>
      <c r="F223" s="7" t="s">
        <v>190</v>
      </c>
      <c r="G223" s="7" t="s">
        <v>191</v>
      </c>
      <c r="H223" s="7"/>
      <c r="I223" s="7"/>
    </row>
    <row r="224" ht="14" customHeight="1" spans="1:9">
      <c r="A224" s="7">
        <v>430</v>
      </c>
      <c r="B224" s="7">
        <v>1</v>
      </c>
      <c r="C224">
        <v>1</v>
      </c>
      <c r="D224" s="7">
        <v>0</v>
      </c>
      <c r="E224">
        <v>1</v>
      </c>
      <c r="F224" s="7" t="s">
        <v>192</v>
      </c>
      <c r="G224" s="7" t="s">
        <v>193</v>
      </c>
      <c r="H224" s="7"/>
      <c r="I224" s="7"/>
    </row>
    <row r="225" ht="14" customHeight="1" spans="1:9">
      <c r="A225" s="7">
        <v>431</v>
      </c>
      <c r="B225" s="7">
        <v>1</v>
      </c>
      <c r="C225">
        <v>1</v>
      </c>
      <c r="D225" s="7">
        <v>0</v>
      </c>
      <c r="E225">
        <v>1</v>
      </c>
      <c r="F225" s="7" t="s">
        <v>194</v>
      </c>
      <c r="G225" s="7" t="s">
        <v>195</v>
      </c>
      <c r="H225" s="7"/>
      <c r="I225" s="7"/>
    </row>
    <row r="226" ht="14" customHeight="1" spans="1:9">
      <c r="A226" s="7">
        <v>432</v>
      </c>
      <c r="B226" s="7">
        <v>1</v>
      </c>
      <c r="C226">
        <v>1</v>
      </c>
      <c r="D226" s="7">
        <v>0</v>
      </c>
      <c r="E226">
        <v>1</v>
      </c>
      <c r="F226" s="7" t="s">
        <v>196</v>
      </c>
      <c r="G226" s="7" t="s">
        <v>197</v>
      </c>
      <c r="H226" s="7"/>
      <c r="I226" s="7"/>
    </row>
    <row r="227" ht="14" customHeight="1" spans="1:9">
      <c r="A227" s="7">
        <v>433</v>
      </c>
      <c r="B227" s="7">
        <v>1</v>
      </c>
      <c r="C227">
        <v>1</v>
      </c>
      <c r="D227" s="7">
        <v>0</v>
      </c>
      <c r="E227">
        <v>1</v>
      </c>
      <c r="F227" s="7" t="s">
        <v>198</v>
      </c>
      <c r="G227" s="7" t="s">
        <v>199</v>
      </c>
      <c r="H227" s="7"/>
      <c r="I227" s="7"/>
    </row>
    <row r="228" ht="14" customHeight="1" spans="1:9">
      <c r="A228" s="7">
        <v>434</v>
      </c>
      <c r="B228" s="7">
        <v>1</v>
      </c>
      <c r="C228">
        <v>1</v>
      </c>
      <c r="D228" s="7">
        <v>0</v>
      </c>
      <c r="E228">
        <v>1</v>
      </c>
      <c r="F228" s="7" t="s">
        <v>200</v>
      </c>
      <c r="G228" s="7" t="s">
        <v>201</v>
      </c>
      <c r="H228" s="7"/>
      <c r="I228" s="7"/>
    </row>
    <row r="229" ht="14" customHeight="1" spans="1:9">
      <c r="A229" s="7">
        <v>435</v>
      </c>
      <c r="B229" s="7">
        <v>1</v>
      </c>
      <c r="C229">
        <v>1</v>
      </c>
      <c r="D229" s="7">
        <v>0</v>
      </c>
      <c r="E229">
        <v>1</v>
      </c>
      <c r="F229" s="7" t="s">
        <v>202</v>
      </c>
      <c r="G229" s="7" t="s">
        <v>203</v>
      </c>
      <c r="H229" s="7"/>
      <c r="I229" s="7"/>
    </row>
    <row r="230" ht="14" customHeight="1" spans="1:9">
      <c r="A230" s="7">
        <v>436</v>
      </c>
      <c r="B230" s="7">
        <v>1</v>
      </c>
      <c r="C230">
        <v>1</v>
      </c>
      <c r="D230" s="7">
        <v>0</v>
      </c>
      <c r="E230">
        <v>1</v>
      </c>
      <c r="F230" s="7" t="s">
        <v>204</v>
      </c>
      <c r="G230" s="7" t="s">
        <v>205</v>
      </c>
      <c r="H230" s="7"/>
      <c r="I230" s="7"/>
    </row>
    <row r="231" ht="14" customHeight="1" spans="1:9">
      <c r="A231" s="7">
        <v>437</v>
      </c>
      <c r="B231" s="7">
        <v>1</v>
      </c>
      <c r="C231">
        <v>1</v>
      </c>
      <c r="D231" s="7">
        <v>0</v>
      </c>
      <c r="E231">
        <v>1</v>
      </c>
      <c r="F231" s="7" t="s">
        <v>206</v>
      </c>
      <c r="G231" s="7" t="s">
        <v>207</v>
      </c>
      <c r="H231" s="7"/>
      <c r="I231" s="7"/>
    </row>
    <row r="232" ht="14" customHeight="1" spans="1:9">
      <c r="A232" s="7">
        <v>438</v>
      </c>
      <c r="B232" s="7">
        <v>1</v>
      </c>
      <c r="C232">
        <v>1</v>
      </c>
      <c r="D232" s="7">
        <v>0</v>
      </c>
      <c r="E232">
        <v>1</v>
      </c>
      <c r="F232" s="7" t="s">
        <v>208</v>
      </c>
      <c r="G232" s="7" t="s">
        <v>209</v>
      </c>
      <c r="H232" s="7"/>
      <c r="I232" s="7"/>
    </row>
    <row r="233" ht="14" customHeight="1" spans="1:9">
      <c r="A233" s="7">
        <v>439</v>
      </c>
      <c r="B233" s="7">
        <v>1</v>
      </c>
      <c r="C233">
        <v>1</v>
      </c>
      <c r="D233" s="7">
        <v>0</v>
      </c>
      <c r="E233">
        <v>1</v>
      </c>
      <c r="F233" s="7" t="s">
        <v>210</v>
      </c>
      <c r="G233" s="7" t="s">
        <v>211</v>
      </c>
      <c r="H233" s="7"/>
      <c r="I233" s="7"/>
    </row>
    <row r="234" ht="14" customHeight="1" spans="1:9">
      <c r="A234" s="7">
        <v>440</v>
      </c>
      <c r="B234" s="7">
        <v>1</v>
      </c>
      <c r="C234">
        <v>1</v>
      </c>
      <c r="D234" s="7">
        <v>0</v>
      </c>
      <c r="E234">
        <v>1</v>
      </c>
      <c r="F234" s="7" t="s">
        <v>212</v>
      </c>
      <c r="G234" s="7" t="s">
        <v>213</v>
      </c>
      <c r="H234" s="7"/>
      <c r="I234" s="7"/>
    </row>
    <row r="235" ht="14" customHeight="1" spans="1:9">
      <c r="A235" s="7">
        <v>441</v>
      </c>
      <c r="B235" s="7">
        <v>1</v>
      </c>
      <c r="C235">
        <v>1</v>
      </c>
      <c r="D235" s="7">
        <v>0</v>
      </c>
      <c r="E235">
        <v>1</v>
      </c>
      <c r="F235" s="7" t="s">
        <v>214</v>
      </c>
      <c r="G235" s="7" t="s">
        <v>215</v>
      </c>
      <c r="H235" s="7"/>
      <c r="I235" s="7"/>
    </row>
    <row r="236" ht="14" customHeight="1" spans="1:9">
      <c r="A236" s="7">
        <v>442</v>
      </c>
      <c r="B236" s="7">
        <v>1</v>
      </c>
      <c r="C236">
        <v>1</v>
      </c>
      <c r="D236" s="7">
        <v>0</v>
      </c>
      <c r="E236">
        <v>1</v>
      </c>
      <c r="F236" s="7" t="s">
        <v>216</v>
      </c>
      <c r="G236" s="7" t="s">
        <v>217</v>
      </c>
      <c r="H236" s="7"/>
      <c r="I236" s="7"/>
    </row>
    <row r="237" ht="14" customHeight="1" spans="1:9">
      <c r="A237" s="7">
        <v>443</v>
      </c>
      <c r="B237" s="7">
        <v>1</v>
      </c>
      <c r="C237">
        <v>1</v>
      </c>
      <c r="D237" s="7">
        <v>0</v>
      </c>
      <c r="E237">
        <v>1</v>
      </c>
      <c r="F237" s="7" t="s">
        <v>218</v>
      </c>
      <c r="G237" s="7" t="s">
        <v>219</v>
      </c>
      <c r="H237" s="7"/>
      <c r="I237" s="7"/>
    </row>
    <row r="238" ht="14" customHeight="1" spans="1:9">
      <c r="A238" s="7">
        <v>444</v>
      </c>
      <c r="B238" s="7">
        <v>1</v>
      </c>
      <c r="C238" s="7">
        <v>2</v>
      </c>
      <c r="D238" s="7">
        <v>0</v>
      </c>
      <c r="E238" s="7">
        <v>8</v>
      </c>
      <c r="F238" s="7" t="s">
        <v>150</v>
      </c>
      <c r="G238" s="7" t="s">
        <v>151</v>
      </c>
      <c r="H238" s="7"/>
      <c r="I238" s="7"/>
    </row>
    <row r="239" ht="14" customHeight="1" spans="1:9">
      <c r="A239" s="7">
        <v>445</v>
      </c>
      <c r="B239" s="7">
        <v>1</v>
      </c>
      <c r="C239" s="7">
        <v>2</v>
      </c>
      <c r="D239" s="7">
        <v>0</v>
      </c>
      <c r="E239" s="7">
        <v>8</v>
      </c>
      <c r="F239" s="7" t="s">
        <v>152</v>
      </c>
      <c r="G239" s="7" t="s">
        <v>151</v>
      </c>
      <c r="H239" s="7"/>
      <c r="I239" s="7"/>
    </row>
    <row r="240" ht="14" customHeight="1" spans="1:9">
      <c r="A240" s="7">
        <v>446</v>
      </c>
      <c r="B240" s="7">
        <v>1</v>
      </c>
      <c r="C240" s="7">
        <v>1</v>
      </c>
      <c r="D240" s="7">
        <v>0</v>
      </c>
      <c r="E240" s="7">
        <v>8</v>
      </c>
      <c r="F240" s="7" t="s">
        <v>154</v>
      </c>
      <c r="G240" s="7" t="s">
        <v>151</v>
      </c>
      <c r="H240" s="7"/>
      <c r="I240" s="7"/>
    </row>
    <row r="241" ht="14" customHeight="1" spans="1:9">
      <c r="A241" s="7">
        <v>447</v>
      </c>
      <c r="B241" s="7">
        <v>1</v>
      </c>
      <c r="C241" s="7">
        <v>2</v>
      </c>
      <c r="D241" s="7">
        <v>0</v>
      </c>
      <c r="E241" s="7">
        <v>8</v>
      </c>
      <c r="F241" s="7" t="s">
        <v>150</v>
      </c>
      <c r="G241" s="7" t="s">
        <v>151</v>
      </c>
      <c r="H241" s="7"/>
      <c r="I241" s="7"/>
    </row>
    <row r="242" ht="14" customHeight="1" spans="1:9">
      <c r="A242" s="7">
        <v>448</v>
      </c>
      <c r="B242" s="7">
        <v>1</v>
      </c>
      <c r="C242" s="7">
        <v>3</v>
      </c>
      <c r="D242" s="7">
        <v>0</v>
      </c>
      <c r="E242" s="7">
        <v>8</v>
      </c>
      <c r="F242" s="7" t="s">
        <v>152</v>
      </c>
      <c r="G242" s="7" t="s">
        <v>151</v>
      </c>
      <c r="H242" s="7"/>
      <c r="I242" s="7"/>
    </row>
    <row r="243" ht="14" customHeight="1" spans="1:9">
      <c r="A243" s="7">
        <v>449</v>
      </c>
      <c r="B243" s="7">
        <v>1</v>
      </c>
      <c r="C243" s="7">
        <v>2</v>
      </c>
      <c r="D243" s="7">
        <v>0</v>
      </c>
      <c r="E243" s="7">
        <v>8</v>
      </c>
      <c r="F243" s="7" t="s">
        <v>154</v>
      </c>
      <c r="G243" s="7" t="s">
        <v>151</v>
      </c>
      <c r="H243" s="7"/>
      <c r="I243" s="7"/>
    </row>
    <row r="244" ht="14" customHeight="1" spans="1:9">
      <c r="A244" s="7">
        <v>450</v>
      </c>
      <c r="B244" s="7">
        <v>1</v>
      </c>
      <c r="C244" s="7">
        <v>1</v>
      </c>
      <c r="D244" s="7">
        <v>0</v>
      </c>
      <c r="E244" s="7">
        <v>8</v>
      </c>
      <c r="F244" s="7" t="s">
        <v>156</v>
      </c>
      <c r="G244" s="7" t="s">
        <v>151</v>
      </c>
      <c r="H244" s="7"/>
      <c r="I244" s="7"/>
    </row>
    <row r="245" ht="14" customHeight="1" spans="1:9">
      <c r="A245" s="7">
        <v>451</v>
      </c>
      <c r="B245" s="7">
        <v>1</v>
      </c>
      <c r="C245" s="7">
        <v>8</v>
      </c>
      <c r="D245" s="7">
        <v>0</v>
      </c>
      <c r="E245" s="7">
        <v>8</v>
      </c>
      <c r="F245" s="7" t="s">
        <v>156</v>
      </c>
      <c r="G245" s="7"/>
      <c r="H245" s="7"/>
      <c r="I245" s="7"/>
    </row>
    <row r="246" ht="14" customHeight="1" spans="1:9">
      <c r="A246" s="7">
        <v>452</v>
      </c>
      <c r="B246" s="7">
        <v>1</v>
      </c>
      <c r="C246" s="7">
        <v>8</v>
      </c>
      <c r="D246" s="7">
        <v>0</v>
      </c>
      <c r="E246" s="7">
        <v>8</v>
      </c>
      <c r="F246" s="7" t="s">
        <v>156</v>
      </c>
      <c r="G246" s="7"/>
      <c r="H246" s="7"/>
      <c r="I246" s="7"/>
    </row>
    <row r="247" ht="14" customHeight="1" spans="1:9">
      <c r="A247" s="7">
        <v>453</v>
      </c>
      <c r="B247" s="7">
        <v>1</v>
      </c>
      <c r="C247" s="7">
        <v>1</v>
      </c>
      <c r="D247" s="7">
        <v>0</v>
      </c>
      <c r="E247" s="7">
        <v>1</v>
      </c>
      <c r="F247" s="7" t="s">
        <v>220</v>
      </c>
      <c r="G247" s="7" t="s">
        <v>221</v>
      </c>
      <c r="H247" s="7"/>
      <c r="I247" s="7"/>
    </row>
    <row r="248" ht="14" customHeight="1" spans="1:9">
      <c r="A248" s="7">
        <v>454</v>
      </c>
      <c r="B248" s="7">
        <v>1</v>
      </c>
      <c r="C248" s="7">
        <v>1</v>
      </c>
      <c r="D248" s="7">
        <v>0</v>
      </c>
      <c r="E248" s="7">
        <v>1</v>
      </c>
      <c r="F248" s="7" t="s">
        <v>222</v>
      </c>
      <c r="G248" s="7" t="s">
        <v>221</v>
      </c>
      <c r="H248" s="7"/>
      <c r="I248" s="7"/>
    </row>
    <row r="249" ht="14" customHeight="1" spans="1:9">
      <c r="A249" s="7">
        <v>455</v>
      </c>
      <c r="B249" s="7">
        <v>1</v>
      </c>
      <c r="C249" s="7">
        <v>1</v>
      </c>
      <c r="D249" s="7">
        <v>0</v>
      </c>
      <c r="E249" s="7">
        <v>1</v>
      </c>
      <c r="F249" s="7" t="s">
        <v>223</v>
      </c>
      <c r="G249" s="7" t="s">
        <v>221</v>
      </c>
      <c r="H249" s="7"/>
      <c r="I249" s="7"/>
    </row>
    <row r="250" ht="14" customHeight="1" spans="1:9">
      <c r="A250" s="7">
        <v>456</v>
      </c>
      <c r="B250" s="7">
        <v>1</v>
      </c>
      <c r="C250" s="7">
        <v>1</v>
      </c>
      <c r="D250" s="7">
        <v>0</v>
      </c>
      <c r="E250" s="7">
        <v>1</v>
      </c>
      <c r="F250" s="7" t="s">
        <v>224</v>
      </c>
      <c r="G250" s="7" t="s">
        <v>221</v>
      </c>
      <c r="H250" s="7"/>
      <c r="I250" s="7"/>
    </row>
    <row r="251" ht="14" customHeight="1" spans="1:9">
      <c r="A251" s="7">
        <v>457</v>
      </c>
      <c r="B251" s="7">
        <v>1</v>
      </c>
      <c r="C251" s="7">
        <v>1</v>
      </c>
      <c r="D251" s="7">
        <v>0</v>
      </c>
      <c r="E251" s="7">
        <v>1</v>
      </c>
      <c r="F251" s="56" t="s">
        <v>225</v>
      </c>
      <c r="G251" s="7" t="s">
        <v>226</v>
      </c>
      <c r="H251" s="7"/>
      <c r="I251" s="7"/>
    </row>
    <row r="252" ht="14" customHeight="1" spans="1:9">
      <c r="A252" s="7">
        <v>458</v>
      </c>
      <c r="B252" s="7">
        <v>1</v>
      </c>
      <c r="C252" s="7">
        <v>1</v>
      </c>
      <c r="D252" s="7">
        <v>0</v>
      </c>
      <c r="E252" s="7">
        <v>1</v>
      </c>
      <c r="F252" s="56" t="s">
        <v>227</v>
      </c>
      <c r="G252" s="7" t="s">
        <v>228</v>
      </c>
      <c r="H252" s="7"/>
      <c r="I252" s="7"/>
    </row>
    <row r="253" ht="14" customHeight="1" spans="1:9">
      <c r="A253" s="7">
        <v>459</v>
      </c>
      <c r="B253" s="7">
        <v>1</v>
      </c>
      <c r="C253" s="7">
        <v>1</v>
      </c>
      <c r="D253" s="7">
        <v>0</v>
      </c>
      <c r="E253" s="7">
        <v>1</v>
      </c>
      <c r="F253" s="56" t="s">
        <v>229</v>
      </c>
      <c r="G253" s="7" t="s">
        <v>230</v>
      </c>
      <c r="H253" s="7"/>
      <c r="I253" s="7"/>
    </row>
    <row r="254" ht="14" customHeight="1" spans="1:9">
      <c r="A254" s="7">
        <v>460</v>
      </c>
      <c r="B254" s="7">
        <v>1</v>
      </c>
      <c r="C254" s="7">
        <v>1</v>
      </c>
      <c r="D254" s="7">
        <v>0</v>
      </c>
      <c r="E254" s="7">
        <v>1</v>
      </c>
      <c r="F254" s="56" t="s">
        <v>231</v>
      </c>
      <c r="G254" s="7" t="s">
        <v>232</v>
      </c>
      <c r="H254" s="7"/>
      <c r="I254" s="7"/>
    </row>
    <row r="255" ht="14" customHeight="1" spans="1:9">
      <c r="A255" s="7">
        <v>461</v>
      </c>
      <c r="B255" s="7">
        <v>1</v>
      </c>
      <c r="C255" s="7">
        <v>1</v>
      </c>
      <c r="D255" s="7">
        <v>0</v>
      </c>
      <c r="E255" s="7">
        <v>1</v>
      </c>
      <c r="F255" s="56" t="s">
        <v>233</v>
      </c>
      <c r="G255" s="7" t="s">
        <v>234</v>
      </c>
      <c r="H255" s="7"/>
      <c r="I255" s="7"/>
    </row>
    <row r="256" ht="14" customHeight="1" spans="1:9">
      <c r="A256" s="7">
        <v>462</v>
      </c>
      <c r="B256" s="7">
        <v>1</v>
      </c>
      <c r="C256" s="7">
        <v>1</v>
      </c>
      <c r="D256" s="7">
        <v>0</v>
      </c>
      <c r="E256" s="7">
        <v>1</v>
      </c>
      <c r="F256" s="56" t="s">
        <v>235</v>
      </c>
      <c r="G256" s="7" t="s">
        <v>236</v>
      </c>
      <c r="H256" s="7"/>
      <c r="I256" s="7"/>
    </row>
    <row r="257" ht="14" customHeight="1" spans="1:9">
      <c r="A257" s="7">
        <v>463</v>
      </c>
      <c r="B257" s="7">
        <v>1</v>
      </c>
      <c r="C257" s="7">
        <v>1</v>
      </c>
      <c r="D257" s="7">
        <v>0</v>
      </c>
      <c r="E257" s="7">
        <v>1</v>
      </c>
      <c r="F257" s="56" t="s">
        <v>237</v>
      </c>
      <c r="G257" s="7" t="s">
        <v>238</v>
      </c>
      <c r="H257" s="7"/>
      <c r="I257" s="7"/>
    </row>
    <row r="258" ht="14" customHeight="1" spans="1:9">
      <c r="A258" s="7">
        <v>464</v>
      </c>
      <c r="B258" s="7">
        <v>1</v>
      </c>
      <c r="C258" s="7">
        <v>1</v>
      </c>
      <c r="D258" s="7">
        <v>0</v>
      </c>
      <c r="E258" s="7">
        <v>1</v>
      </c>
      <c r="F258" s="56" t="s">
        <v>239</v>
      </c>
      <c r="G258" s="7" t="s">
        <v>240</v>
      </c>
      <c r="H258" s="7"/>
      <c r="I258" s="7"/>
    </row>
    <row r="259" ht="14" customHeight="1" spans="1:9">
      <c r="A259" s="7">
        <v>465</v>
      </c>
      <c r="B259" s="7">
        <v>1</v>
      </c>
      <c r="C259" s="7">
        <v>1</v>
      </c>
      <c r="D259" s="7">
        <v>0</v>
      </c>
      <c r="E259" s="7">
        <v>1</v>
      </c>
      <c r="F259" s="56" t="s">
        <v>241</v>
      </c>
      <c r="G259" s="7" t="s">
        <v>242</v>
      </c>
      <c r="H259" s="7"/>
      <c r="I259" s="7"/>
    </row>
    <row r="260" ht="14" customHeight="1" spans="1:9">
      <c r="A260" s="7">
        <v>466</v>
      </c>
      <c r="B260" s="7">
        <v>1</v>
      </c>
      <c r="C260" s="7">
        <v>1</v>
      </c>
      <c r="D260" s="7">
        <v>0</v>
      </c>
      <c r="E260" s="7">
        <v>1</v>
      </c>
      <c r="F260" s="56" t="s">
        <v>243</v>
      </c>
      <c r="G260" s="7" t="s">
        <v>244</v>
      </c>
      <c r="H260" s="7"/>
      <c r="I260" s="7"/>
    </row>
    <row r="261" ht="14" customHeight="1" spans="1:9">
      <c r="A261" s="7">
        <v>467</v>
      </c>
      <c r="B261" s="7">
        <v>1</v>
      </c>
      <c r="C261" s="7">
        <v>1</v>
      </c>
      <c r="D261" s="7">
        <v>0</v>
      </c>
      <c r="E261" s="7">
        <v>1</v>
      </c>
      <c r="F261" s="56" t="s">
        <v>245</v>
      </c>
      <c r="G261" s="7"/>
      <c r="H261" s="7"/>
      <c r="I261" s="7"/>
    </row>
    <row r="262" ht="14" customHeight="1" spans="1:9">
      <c r="A262" s="7">
        <v>468</v>
      </c>
      <c r="B262" s="7">
        <v>2</v>
      </c>
      <c r="C262" s="7">
        <v>1</v>
      </c>
      <c r="D262" s="7">
        <v>0</v>
      </c>
      <c r="E262" s="7">
        <v>1</v>
      </c>
      <c r="F262" s="56" t="s">
        <v>246</v>
      </c>
      <c r="G262" s="7" t="s">
        <v>221</v>
      </c>
      <c r="H262" s="7"/>
      <c r="I262" s="7"/>
    </row>
    <row r="263" ht="14" customHeight="1" spans="1:9">
      <c r="A263" s="7">
        <v>469</v>
      </c>
      <c r="B263" s="7">
        <v>2</v>
      </c>
      <c r="C263" s="7">
        <v>1</v>
      </c>
      <c r="D263" s="7">
        <v>0</v>
      </c>
      <c r="E263" s="7">
        <v>1</v>
      </c>
      <c r="F263" s="56" t="s">
        <v>247</v>
      </c>
      <c r="G263" s="7" t="s">
        <v>221</v>
      </c>
      <c r="H263" s="7"/>
      <c r="I263" s="7"/>
    </row>
    <row r="264" ht="14" customHeight="1" spans="1:9">
      <c r="A264" s="7">
        <v>470</v>
      </c>
      <c r="B264" s="7">
        <v>2</v>
      </c>
      <c r="C264" s="7">
        <v>1</v>
      </c>
      <c r="D264" s="7">
        <v>0</v>
      </c>
      <c r="E264" s="7">
        <v>1</v>
      </c>
      <c r="F264" s="56" t="s">
        <v>248</v>
      </c>
      <c r="G264" s="7" t="s">
        <v>221</v>
      </c>
      <c r="H264" s="7"/>
      <c r="I264" s="7"/>
    </row>
    <row r="265" ht="14" customHeight="1" spans="1:9">
      <c r="A265" s="7">
        <v>471</v>
      </c>
      <c r="B265" s="7">
        <v>2</v>
      </c>
      <c r="C265" s="7">
        <v>1</v>
      </c>
      <c r="D265" s="7">
        <v>0</v>
      </c>
      <c r="E265" s="7">
        <v>1</v>
      </c>
      <c r="F265" s="56" t="s">
        <v>249</v>
      </c>
      <c r="G265" s="7" t="s">
        <v>221</v>
      </c>
      <c r="H265" s="7"/>
      <c r="I265" s="7"/>
    </row>
    <row r="266" ht="14" customHeight="1" spans="1:9">
      <c r="A266" s="7">
        <v>472</v>
      </c>
      <c r="B266" s="7">
        <v>2</v>
      </c>
      <c r="C266" s="7">
        <v>1</v>
      </c>
      <c r="D266" s="7">
        <v>0</v>
      </c>
      <c r="E266" s="7">
        <v>1</v>
      </c>
      <c r="F266" s="56" t="s">
        <v>250</v>
      </c>
      <c r="G266" s="7" t="s">
        <v>221</v>
      </c>
      <c r="H266" s="7"/>
      <c r="I266" s="7"/>
    </row>
    <row r="267" ht="14" customHeight="1" spans="1:9">
      <c r="A267" s="7">
        <v>473</v>
      </c>
      <c r="B267" s="7">
        <v>2</v>
      </c>
      <c r="C267" s="7">
        <v>1</v>
      </c>
      <c r="D267" s="7">
        <v>0</v>
      </c>
      <c r="E267" s="7">
        <v>1</v>
      </c>
      <c r="F267" s="56" t="s">
        <v>251</v>
      </c>
      <c r="G267" s="7" t="s">
        <v>221</v>
      </c>
      <c r="H267" s="7"/>
      <c r="I267" s="7"/>
    </row>
    <row r="268" ht="14" customHeight="1" spans="1:9">
      <c r="A268" s="7">
        <v>474</v>
      </c>
      <c r="B268" s="7">
        <v>2</v>
      </c>
      <c r="C268" s="7">
        <v>1</v>
      </c>
      <c r="D268" s="7">
        <v>0</v>
      </c>
      <c r="E268" s="7">
        <v>1</v>
      </c>
      <c r="F268" s="56" t="s">
        <v>252</v>
      </c>
      <c r="G268" s="7" t="s">
        <v>221</v>
      </c>
      <c r="H268" s="7"/>
      <c r="I268" s="7"/>
    </row>
    <row r="269" ht="14" customHeight="1" spans="1:9">
      <c r="A269" s="7">
        <v>475</v>
      </c>
      <c r="B269" s="7">
        <v>2</v>
      </c>
      <c r="C269" s="7">
        <v>1</v>
      </c>
      <c r="D269" s="7">
        <v>0</v>
      </c>
      <c r="E269" s="7">
        <v>1</v>
      </c>
      <c r="F269" s="7" t="s">
        <v>253</v>
      </c>
      <c r="G269" s="7" t="s">
        <v>221</v>
      </c>
      <c r="H269" s="7"/>
      <c r="I269" s="7"/>
    </row>
    <row r="270" ht="14" customHeight="1" spans="1:9">
      <c r="A270" s="7">
        <v>476</v>
      </c>
      <c r="B270" s="7">
        <v>1</v>
      </c>
      <c r="C270" s="7">
        <v>8</v>
      </c>
      <c r="D270" s="7">
        <v>0</v>
      </c>
      <c r="E270" s="7">
        <v>8</v>
      </c>
      <c r="F270" s="7" t="s">
        <v>254</v>
      </c>
      <c r="G270" s="7" t="s">
        <v>255</v>
      </c>
      <c r="H270" s="7"/>
      <c r="I270" s="7"/>
    </row>
    <row r="271" ht="14" customHeight="1" spans="1:9">
      <c r="A271" s="7">
        <v>477</v>
      </c>
      <c r="B271" s="7">
        <v>1</v>
      </c>
      <c r="C271" s="7">
        <v>8</v>
      </c>
      <c r="D271" s="7">
        <v>0</v>
      </c>
      <c r="E271" s="7">
        <v>8</v>
      </c>
      <c r="F271" s="7" t="s">
        <v>256</v>
      </c>
      <c r="G271" s="7" t="s">
        <v>257</v>
      </c>
      <c r="H271" s="7"/>
      <c r="I271" s="7"/>
    </row>
    <row r="272" ht="14" customHeight="1" spans="1:9">
      <c r="A272" s="7">
        <v>478</v>
      </c>
      <c r="B272" s="7">
        <v>1</v>
      </c>
      <c r="C272" s="7">
        <v>8</v>
      </c>
      <c r="D272" s="7">
        <v>0</v>
      </c>
      <c r="E272" s="7">
        <v>8</v>
      </c>
      <c r="F272" s="7" t="s">
        <v>258</v>
      </c>
      <c r="G272" s="7" t="s">
        <v>259</v>
      </c>
      <c r="H272" s="7"/>
      <c r="I272" s="7"/>
    </row>
    <row r="273" ht="14" customHeight="1" spans="1:9">
      <c r="A273" s="7">
        <v>479</v>
      </c>
      <c r="B273" s="7">
        <v>1</v>
      </c>
      <c r="C273" s="7">
        <v>8</v>
      </c>
      <c r="D273" s="7">
        <v>0</v>
      </c>
      <c r="E273" s="7">
        <v>8</v>
      </c>
      <c r="F273" s="7" t="s">
        <v>260</v>
      </c>
      <c r="G273" s="7" t="s">
        <v>261</v>
      </c>
      <c r="H273" s="7"/>
      <c r="I273" s="7"/>
    </row>
    <row r="274" ht="14" customHeight="1" spans="1:9">
      <c r="A274" s="7">
        <v>480</v>
      </c>
      <c r="B274" s="7">
        <v>1</v>
      </c>
      <c r="C274" s="7">
        <v>8</v>
      </c>
      <c r="D274" s="7">
        <v>0</v>
      </c>
      <c r="E274" s="7">
        <v>8</v>
      </c>
      <c r="F274" s="7" t="s">
        <v>262</v>
      </c>
      <c r="G274" s="7" t="s">
        <v>263</v>
      </c>
      <c r="H274" s="7"/>
      <c r="I274" s="7"/>
    </row>
    <row r="275" ht="14" customHeight="1" spans="1:9">
      <c r="A275" s="7">
        <v>481</v>
      </c>
      <c r="B275" s="7">
        <v>1</v>
      </c>
      <c r="C275" s="7">
        <v>8</v>
      </c>
      <c r="D275" s="7">
        <v>0</v>
      </c>
      <c r="E275" s="7">
        <v>8</v>
      </c>
      <c r="F275" s="7" t="s">
        <v>264</v>
      </c>
      <c r="G275" s="7" t="s">
        <v>265</v>
      </c>
      <c r="H275" s="7"/>
      <c r="I275" s="7"/>
    </row>
    <row r="276" ht="14" customHeight="1" spans="1:9">
      <c r="A276" s="7">
        <v>482</v>
      </c>
      <c r="B276" s="7">
        <v>1</v>
      </c>
      <c r="C276" s="7">
        <v>1</v>
      </c>
      <c r="D276" s="7">
        <v>1</v>
      </c>
      <c r="E276" s="7">
        <v>1</v>
      </c>
      <c r="F276" s="7" t="s">
        <v>266</v>
      </c>
      <c r="G276" s="7" t="s">
        <v>267</v>
      </c>
      <c r="H276" s="7"/>
      <c r="I276" s="7"/>
    </row>
    <row r="277" ht="14" customHeight="1" spans="1:9">
      <c r="A277" s="7">
        <v>483</v>
      </c>
      <c r="B277" s="7">
        <v>1</v>
      </c>
      <c r="C277" s="7">
        <v>1</v>
      </c>
      <c r="D277" s="7">
        <v>1</v>
      </c>
      <c r="E277" s="7">
        <v>1</v>
      </c>
      <c r="F277" s="7" t="s">
        <v>268</v>
      </c>
      <c r="G277" s="7" t="s">
        <v>269</v>
      </c>
      <c r="H277" s="7"/>
      <c r="I277" s="7"/>
    </row>
    <row r="278" ht="14" customHeight="1" spans="1:9">
      <c r="A278" s="7">
        <v>484</v>
      </c>
      <c r="B278" s="7">
        <v>1</v>
      </c>
      <c r="C278" s="7">
        <v>1</v>
      </c>
      <c r="D278" s="7">
        <v>1</v>
      </c>
      <c r="E278" s="7">
        <v>1</v>
      </c>
      <c r="F278" s="7" t="s">
        <v>270</v>
      </c>
      <c r="G278" s="7" t="s">
        <v>271</v>
      </c>
      <c r="H278" s="7"/>
      <c r="I278" s="7"/>
    </row>
    <row r="279" ht="14" customHeight="1" spans="1:9">
      <c r="A279" s="7">
        <v>485</v>
      </c>
      <c r="B279" s="7">
        <v>1</v>
      </c>
      <c r="C279" s="7">
        <v>1</v>
      </c>
      <c r="D279" s="7">
        <v>1</v>
      </c>
      <c r="E279" s="7">
        <v>1</v>
      </c>
      <c r="F279" s="7" t="s">
        <v>272</v>
      </c>
      <c r="G279" s="7" t="s">
        <v>273</v>
      </c>
      <c r="H279" s="7"/>
      <c r="I279" s="7"/>
    </row>
    <row r="280" ht="14" customHeight="1" spans="1:9">
      <c r="A280" s="7">
        <v>486</v>
      </c>
      <c r="B280" s="7">
        <v>1</v>
      </c>
      <c r="C280" s="7">
        <v>1</v>
      </c>
      <c r="D280" s="7">
        <v>1</v>
      </c>
      <c r="E280" s="7">
        <v>1</v>
      </c>
      <c r="F280" s="7" t="s">
        <v>274</v>
      </c>
      <c r="G280" s="7" t="s">
        <v>275</v>
      </c>
      <c r="H280" s="7"/>
      <c r="I280" s="7"/>
    </row>
    <row r="281" ht="14" customHeight="1" spans="1:9">
      <c r="A281" s="7">
        <v>487</v>
      </c>
      <c r="B281" s="7">
        <v>1</v>
      </c>
      <c r="C281" s="7">
        <v>1</v>
      </c>
      <c r="D281" s="7">
        <v>1</v>
      </c>
      <c r="E281" s="7">
        <v>1</v>
      </c>
      <c r="F281" s="7" t="s">
        <v>266</v>
      </c>
      <c r="G281" s="7" t="s">
        <v>267</v>
      </c>
      <c r="H281" s="7"/>
      <c r="I281" s="7"/>
    </row>
    <row r="282" ht="14" customHeight="1" spans="1:9">
      <c r="A282" s="7">
        <v>488</v>
      </c>
      <c r="B282" s="7">
        <v>1</v>
      </c>
      <c r="C282" s="7">
        <v>1</v>
      </c>
      <c r="D282" s="7">
        <v>1</v>
      </c>
      <c r="E282" s="7">
        <v>1</v>
      </c>
      <c r="F282" s="7" t="s">
        <v>268</v>
      </c>
      <c r="G282" s="7" t="s">
        <v>269</v>
      </c>
      <c r="H282" s="7"/>
      <c r="I282" s="7"/>
    </row>
    <row r="283" ht="14" customHeight="1" spans="1:9">
      <c r="A283" s="7">
        <v>489</v>
      </c>
      <c r="B283" s="7">
        <v>1</v>
      </c>
      <c r="C283" s="7">
        <v>1</v>
      </c>
      <c r="D283" s="7">
        <v>1</v>
      </c>
      <c r="E283" s="7">
        <v>1</v>
      </c>
      <c r="F283" s="7" t="s">
        <v>270</v>
      </c>
      <c r="G283" s="7" t="s">
        <v>271</v>
      </c>
      <c r="H283" s="7"/>
      <c r="I283" s="7"/>
    </row>
    <row r="284" ht="14" customHeight="1" spans="1:9">
      <c r="A284" s="7">
        <v>490</v>
      </c>
      <c r="B284" s="7">
        <v>1</v>
      </c>
      <c r="C284" s="7">
        <v>1</v>
      </c>
      <c r="D284" s="7">
        <v>1</v>
      </c>
      <c r="E284" s="7">
        <v>1</v>
      </c>
      <c r="F284" s="7" t="s">
        <v>272</v>
      </c>
      <c r="G284" s="7" t="s">
        <v>273</v>
      </c>
      <c r="H284" s="7"/>
      <c r="I284" s="7"/>
    </row>
    <row r="285" ht="14" customHeight="1" spans="1:9">
      <c r="A285" s="7">
        <v>491</v>
      </c>
      <c r="B285" s="7">
        <v>1</v>
      </c>
      <c r="C285" s="7">
        <v>1</v>
      </c>
      <c r="D285" s="7">
        <v>1</v>
      </c>
      <c r="E285" s="7">
        <v>1</v>
      </c>
      <c r="F285" s="7" t="s">
        <v>274</v>
      </c>
      <c r="G285" s="7" t="s">
        <v>275</v>
      </c>
      <c r="H285" s="7"/>
      <c r="I285" s="7"/>
    </row>
    <row r="286" ht="14" customHeight="1" spans="1:9">
      <c r="A286" s="7">
        <v>492</v>
      </c>
      <c r="B286" s="7">
        <v>1</v>
      </c>
      <c r="C286" s="7">
        <v>1</v>
      </c>
      <c r="D286" s="7">
        <v>1</v>
      </c>
      <c r="E286" s="7">
        <v>1</v>
      </c>
      <c r="F286" s="7" t="s">
        <v>266</v>
      </c>
      <c r="G286" s="7" t="s">
        <v>267</v>
      </c>
      <c r="H286" s="7"/>
      <c r="I286" s="7"/>
    </row>
    <row r="287" ht="14" customHeight="1" spans="1:9">
      <c r="A287" s="7">
        <v>493</v>
      </c>
      <c r="B287" s="7">
        <v>1</v>
      </c>
      <c r="C287" s="7">
        <v>1</v>
      </c>
      <c r="D287" s="7">
        <v>1</v>
      </c>
      <c r="E287" s="7">
        <v>1</v>
      </c>
      <c r="F287" s="7" t="s">
        <v>268</v>
      </c>
      <c r="G287" s="7" t="s">
        <v>269</v>
      </c>
      <c r="H287" s="7"/>
      <c r="I287" s="7"/>
    </row>
    <row r="288" ht="14" customHeight="1" spans="1:9">
      <c r="A288" s="7">
        <v>494</v>
      </c>
      <c r="B288" s="7">
        <v>1</v>
      </c>
      <c r="C288" s="7">
        <v>1</v>
      </c>
      <c r="D288" s="7">
        <v>1</v>
      </c>
      <c r="E288" s="7">
        <v>1</v>
      </c>
      <c r="F288" s="7" t="s">
        <v>270</v>
      </c>
      <c r="G288" s="7" t="s">
        <v>271</v>
      </c>
      <c r="H288" s="7"/>
      <c r="I288" s="7"/>
    </row>
    <row r="289" ht="14" customHeight="1" spans="1:9">
      <c r="A289" s="7">
        <v>495</v>
      </c>
      <c r="B289" s="7">
        <v>1</v>
      </c>
      <c r="C289" s="7">
        <v>1</v>
      </c>
      <c r="D289" s="7">
        <v>1</v>
      </c>
      <c r="E289" s="7">
        <v>1</v>
      </c>
      <c r="F289" s="7" t="s">
        <v>272</v>
      </c>
      <c r="G289" s="7" t="s">
        <v>273</v>
      </c>
      <c r="H289" s="7"/>
      <c r="I289" s="7"/>
    </row>
    <row r="290" ht="14" customHeight="1" spans="1:9">
      <c r="A290" s="7">
        <v>496</v>
      </c>
      <c r="B290" s="7">
        <v>1</v>
      </c>
      <c r="C290" s="7">
        <v>1</v>
      </c>
      <c r="D290" s="7">
        <v>1</v>
      </c>
      <c r="E290" s="7">
        <v>1</v>
      </c>
      <c r="F290" s="7" t="s">
        <v>274</v>
      </c>
      <c r="G290" s="7" t="s">
        <v>275</v>
      </c>
      <c r="H290" s="7"/>
      <c r="I290" s="7"/>
    </row>
    <row r="291" ht="14" customHeight="1" spans="1:9">
      <c r="A291">
        <v>10031</v>
      </c>
      <c r="B291" s="7">
        <v>2</v>
      </c>
      <c r="C291">
        <v>1</v>
      </c>
      <c r="D291" s="15">
        <v>0</v>
      </c>
      <c r="E291" s="15">
        <v>100</v>
      </c>
      <c r="F291" s="55" t="s">
        <v>276</v>
      </c>
      <c r="G291" t="s">
        <v>277</v>
      </c>
      <c r="H291" s="17"/>
      <c r="I291" s="7"/>
    </row>
    <row r="292" ht="14" customHeight="1" spans="1:9">
      <c r="A292">
        <v>10032</v>
      </c>
      <c r="B292" s="7">
        <v>2</v>
      </c>
      <c r="C292">
        <v>1</v>
      </c>
      <c r="D292" s="15">
        <v>0</v>
      </c>
      <c r="E292" s="15">
        <v>100</v>
      </c>
      <c r="F292" s="55" t="s">
        <v>278</v>
      </c>
      <c r="G292" t="s">
        <v>279</v>
      </c>
      <c r="H292" s="17"/>
      <c r="I292" s="7"/>
    </row>
    <row r="293" ht="14" customHeight="1" spans="1:9">
      <c r="A293">
        <v>10033</v>
      </c>
      <c r="B293" s="7">
        <v>2</v>
      </c>
      <c r="C293">
        <v>1</v>
      </c>
      <c r="D293" s="15">
        <v>0</v>
      </c>
      <c r="E293" s="15">
        <v>100</v>
      </c>
      <c r="F293" s="55" t="s">
        <v>280</v>
      </c>
      <c r="G293" t="s">
        <v>281</v>
      </c>
    </row>
    <row r="294" ht="14" customHeight="1" spans="1:9">
      <c r="A294">
        <v>10034</v>
      </c>
      <c r="B294" s="7">
        <v>2</v>
      </c>
      <c r="C294">
        <v>1</v>
      </c>
      <c r="D294" s="15">
        <v>0</v>
      </c>
      <c r="E294" s="15">
        <v>100</v>
      </c>
      <c r="F294" s="55" t="s">
        <v>282</v>
      </c>
      <c r="G294" t="s">
        <v>283</v>
      </c>
      <c r="H294" s="7"/>
    </row>
    <row r="295" ht="14" customHeight="1" spans="1:9">
      <c r="A295">
        <v>10035</v>
      </c>
      <c r="B295" s="7">
        <v>2</v>
      </c>
      <c r="C295">
        <v>1</v>
      </c>
      <c r="D295" s="15">
        <v>0</v>
      </c>
      <c r="E295" s="15">
        <v>100</v>
      </c>
      <c r="F295" s="55" t="s">
        <v>284</v>
      </c>
      <c r="G295" t="s">
        <v>285</v>
      </c>
      <c r="H295" s="7"/>
    </row>
    <row r="296" ht="14" customHeight="1" spans="1:9">
      <c r="A296">
        <v>10036</v>
      </c>
      <c r="B296" s="7">
        <v>2</v>
      </c>
      <c r="C296">
        <v>1</v>
      </c>
      <c r="D296" s="15">
        <v>0</v>
      </c>
      <c r="E296" s="15">
        <v>100</v>
      </c>
      <c r="F296" s="55" t="s">
        <v>286</v>
      </c>
      <c r="G296" t="s">
        <v>287</v>
      </c>
      <c r="H296" s="7"/>
    </row>
    <row r="297" ht="14" customHeight="1" spans="1:9">
      <c r="A297">
        <v>10037</v>
      </c>
      <c r="B297">
        <v>1</v>
      </c>
      <c r="C297">
        <v>1</v>
      </c>
      <c r="D297" s="15">
        <v>0</v>
      </c>
      <c r="E297" s="15">
        <v>100</v>
      </c>
      <c r="F297" s="55" t="s">
        <v>288</v>
      </c>
      <c r="G297" t="s">
        <v>289</v>
      </c>
      <c r="H297" s="7"/>
    </row>
    <row r="298" ht="14" customHeight="1" spans="1:9">
      <c r="A298">
        <v>10038</v>
      </c>
      <c r="B298">
        <v>1</v>
      </c>
      <c r="C298">
        <v>1</v>
      </c>
      <c r="D298" s="15">
        <v>0</v>
      </c>
      <c r="E298" s="15">
        <v>100</v>
      </c>
      <c r="F298" s="55" t="s">
        <v>290</v>
      </c>
      <c r="G298" t="s">
        <v>291</v>
      </c>
      <c r="H298" s="7"/>
    </row>
    <row r="299" ht="14" customHeight="1" spans="1:9">
      <c r="A299">
        <v>10039</v>
      </c>
      <c r="B299">
        <v>1</v>
      </c>
      <c r="C299">
        <v>1</v>
      </c>
      <c r="D299" s="15">
        <v>0</v>
      </c>
      <c r="E299" s="15">
        <v>100</v>
      </c>
      <c r="F299" s="54" t="s">
        <v>292</v>
      </c>
      <c r="H299" s="7"/>
    </row>
    <row r="300" ht="14" customHeight="1" spans="1:9">
      <c r="A300">
        <v>10040</v>
      </c>
      <c r="B300">
        <v>1</v>
      </c>
      <c r="C300">
        <v>1</v>
      </c>
      <c r="D300" s="15">
        <v>0</v>
      </c>
      <c r="E300" s="15">
        <v>100</v>
      </c>
      <c r="F300" s="54" t="s">
        <v>293</v>
      </c>
    </row>
    <row r="301" ht="14" customHeight="1" spans="1:9">
      <c r="A301">
        <v>10041</v>
      </c>
      <c r="B301">
        <v>1</v>
      </c>
      <c r="C301">
        <v>1</v>
      </c>
      <c r="D301" s="15">
        <v>0</v>
      </c>
      <c r="E301" s="15">
        <v>100</v>
      </c>
      <c r="F301" s="55" t="s">
        <v>294</v>
      </c>
    </row>
    <row r="302" ht="14" customHeight="1" spans="1:9">
      <c r="A302">
        <v>10042</v>
      </c>
      <c r="B302">
        <v>1</v>
      </c>
      <c r="C302">
        <v>1</v>
      </c>
      <c r="D302" s="15">
        <v>0</v>
      </c>
      <c r="E302" s="15">
        <v>100</v>
      </c>
      <c r="F302" s="55" t="s">
        <v>295</v>
      </c>
    </row>
    <row r="303" ht="14" customHeight="1" spans="1:9">
      <c r="A303">
        <v>10043</v>
      </c>
      <c r="B303">
        <v>1</v>
      </c>
      <c r="C303">
        <v>1</v>
      </c>
      <c r="D303" s="15">
        <v>0</v>
      </c>
      <c r="E303" s="15">
        <v>100</v>
      </c>
      <c r="F303" s="55" t="s">
        <v>296</v>
      </c>
    </row>
    <row r="304" ht="14" customHeight="1" spans="1:9">
      <c r="A304">
        <v>10044</v>
      </c>
      <c r="B304">
        <v>1</v>
      </c>
      <c r="C304">
        <v>1</v>
      </c>
      <c r="D304" s="15">
        <v>0</v>
      </c>
      <c r="E304" s="15">
        <v>100</v>
      </c>
      <c r="F304" s="55" t="s">
        <v>297</v>
      </c>
    </row>
    <row r="305" ht="14" customHeight="1" spans="1:7">
      <c r="A305">
        <v>10045</v>
      </c>
      <c r="B305">
        <v>1</v>
      </c>
      <c r="C305">
        <v>1</v>
      </c>
      <c r="D305" s="15">
        <v>0</v>
      </c>
      <c r="E305" s="15">
        <v>100</v>
      </c>
      <c r="F305" s="55" t="s">
        <v>298</v>
      </c>
    </row>
    <row r="306" ht="14" customHeight="1" spans="1:7">
      <c r="A306">
        <v>10046</v>
      </c>
      <c r="B306">
        <v>1</v>
      </c>
      <c r="C306">
        <v>1</v>
      </c>
      <c r="D306" s="15">
        <v>0</v>
      </c>
      <c r="E306" s="15">
        <v>100</v>
      </c>
      <c r="F306" s="55" t="s">
        <v>299</v>
      </c>
    </row>
    <row r="307" ht="14" customHeight="1" spans="1:7">
      <c r="A307">
        <v>10047</v>
      </c>
      <c r="B307">
        <v>1</v>
      </c>
      <c r="C307">
        <v>1</v>
      </c>
      <c r="D307" s="15">
        <v>0</v>
      </c>
      <c r="E307" s="15">
        <v>100</v>
      </c>
      <c r="F307" s="55" t="s">
        <v>300</v>
      </c>
    </row>
    <row r="308" ht="14" customHeight="1" spans="1:7">
      <c r="A308">
        <v>10048</v>
      </c>
      <c r="B308">
        <v>1</v>
      </c>
      <c r="C308">
        <v>1</v>
      </c>
      <c r="D308" s="15">
        <v>0</v>
      </c>
      <c r="E308" s="15">
        <v>100</v>
      </c>
      <c r="F308" s="55" t="s">
        <v>301</v>
      </c>
      <c r="G308" t="s">
        <v>302</v>
      </c>
    </row>
    <row r="309" ht="14" customHeight="1" spans="1:7">
      <c r="A309">
        <v>10049</v>
      </c>
      <c r="B309">
        <v>1</v>
      </c>
      <c r="C309">
        <v>1</v>
      </c>
      <c r="D309" s="15">
        <v>0</v>
      </c>
      <c r="E309" s="15">
        <v>100</v>
      </c>
      <c r="F309" s="55" t="s">
        <v>301</v>
      </c>
      <c r="G309" t="s">
        <v>302</v>
      </c>
    </row>
    <row r="310" ht="14" customHeight="1" spans="1:7">
      <c r="A310">
        <v>10050</v>
      </c>
      <c r="B310">
        <v>1</v>
      </c>
      <c r="C310">
        <v>1</v>
      </c>
      <c r="D310" s="15">
        <v>0</v>
      </c>
      <c r="E310" s="15">
        <v>100</v>
      </c>
      <c r="F310" s="55" t="s">
        <v>303</v>
      </c>
    </row>
    <row r="311" ht="14" customHeight="1" spans="1:7">
      <c r="A311">
        <v>10051</v>
      </c>
      <c r="B311">
        <v>1</v>
      </c>
      <c r="C311">
        <v>1</v>
      </c>
      <c r="D311" s="15">
        <v>1</v>
      </c>
      <c r="E311" s="15">
        <v>100</v>
      </c>
      <c r="F311" t="s">
        <v>304</v>
      </c>
    </row>
    <row r="312" ht="14" customHeight="1" spans="1:7">
      <c r="A312">
        <v>10052</v>
      </c>
      <c r="B312">
        <v>2</v>
      </c>
      <c r="C312">
        <v>1</v>
      </c>
      <c r="D312" s="15">
        <v>0</v>
      </c>
      <c r="E312" s="15">
        <v>100</v>
      </c>
      <c r="F312" t="s">
        <v>305</v>
      </c>
      <c r="G312" s="10" t="s">
        <v>306</v>
      </c>
    </row>
    <row r="313" ht="14" customHeight="1" spans="1:7">
      <c r="A313">
        <v>10054</v>
      </c>
      <c r="B313">
        <v>1</v>
      </c>
      <c r="C313">
        <v>1</v>
      </c>
      <c r="D313" s="15">
        <v>0</v>
      </c>
      <c r="E313" s="15">
        <v>100</v>
      </c>
      <c r="F313" t="s">
        <v>307</v>
      </c>
    </row>
    <row r="314" ht="14" customHeight="1" spans="1:7">
      <c r="A314">
        <v>10055</v>
      </c>
      <c r="B314">
        <v>2</v>
      </c>
      <c r="C314">
        <v>1</v>
      </c>
      <c r="D314" s="15">
        <v>0</v>
      </c>
      <c r="E314" s="15">
        <v>100</v>
      </c>
      <c r="F314" t="s">
        <v>308</v>
      </c>
      <c r="G314" s="10" t="s">
        <v>306</v>
      </c>
    </row>
    <row r="315" ht="14" customHeight="1" spans="1:7">
      <c r="A315">
        <v>10056</v>
      </c>
      <c r="B315">
        <v>1</v>
      </c>
      <c r="C315">
        <v>1</v>
      </c>
      <c r="D315" s="15">
        <v>0</v>
      </c>
      <c r="E315" s="15">
        <v>100</v>
      </c>
      <c r="F315" t="s">
        <v>309</v>
      </c>
    </row>
    <row r="316" ht="14" customHeight="1" spans="1:7">
      <c r="A316">
        <v>10058</v>
      </c>
      <c r="B316">
        <v>1</v>
      </c>
      <c r="C316">
        <v>1</v>
      </c>
      <c r="D316" s="15">
        <v>0</v>
      </c>
      <c r="E316" s="15">
        <v>100</v>
      </c>
      <c r="F316" s="17" t="s">
        <v>310</v>
      </c>
      <c r="G316" t="s">
        <v>311</v>
      </c>
    </row>
    <row r="317" ht="14" customHeight="1" spans="1:7">
      <c r="A317">
        <v>10059</v>
      </c>
      <c r="B317">
        <v>1</v>
      </c>
      <c r="C317">
        <v>1</v>
      </c>
      <c r="D317" s="15">
        <v>0</v>
      </c>
      <c r="E317" s="15">
        <v>100</v>
      </c>
      <c r="F317" s="17" t="s">
        <v>312</v>
      </c>
    </row>
    <row r="318" ht="14" customHeight="1" spans="1:7">
      <c r="A318">
        <v>10053</v>
      </c>
      <c r="B318">
        <v>1</v>
      </c>
      <c r="C318">
        <v>1</v>
      </c>
      <c r="D318" s="15">
        <v>0</v>
      </c>
      <c r="E318" s="15">
        <v>100</v>
      </c>
      <c r="F318" t="s">
        <v>313</v>
      </c>
    </row>
    <row r="319" ht="14" customHeight="1" spans="1:7">
      <c r="A319">
        <v>10057</v>
      </c>
      <c r="B319">
        <v>1</v>
      </c>
      <c r="C319">
        <v>1</v>
      </c>
      <c r="D319" s="15">
        <v>0</v>
      </c>
      <c r="E319" s="15">
        <v>100</v>
      </c>
      <c r="F319" t="s">
        <v>313</v>
      </c>
    </row>
    <row r="320" ht="14" customHeight="1" spans="1:7">
      <c r="A320">
        <v>10060</v>
      </c>
      <c r="B320">
        <v>1</v>
      </c>
      <c r="C320">
        <v>1</v>
      </c>
      <c r="D320" s="15">
        <v>0</v>
      </c>
      <c r="E320" s="15">
        <v>100</v>
      </c>
      <c r="F320" s="7" t="s">
        <v>314</v>
      </c>
      <c r="G320" t="s">
        <v>315</v>
      </c>
    </row>
    <row r="321" ht="14" customHeight="1" spans="1:8">
      <c r="A321">
        <v>10061</v>
      </c>
      <c r="B321">
        <v>1</v>
      </c>
      <c r="C321">
        <v>1</v>
      </c>
      <c r="D321" s="15">
        <v>0</v>
      </c>
      <c r="E321" s="15">
        <v>100</v>
      </c>
      <c r="F321" s="7" t="s">
        <v>314</v>
      </c>
      <c r="G321" t="s">
        <v>316</v>
      </c>
    </row>
    <row r="322" ht="14" customHeight="1" spans="1:8">
      <c r="A322">
        <v>10062</v>
      </c>
      <c r="B322">
        <v>1</v>
      </c>
      <c r="C322">
        <v>1</v>
      </c>
      <c r="D322" s="15">
        <v>0</v>
      </c>
      <c r="E322" s="15">
        <v>100</v>
      </c>
      <c r="F322" s="7" t="s">
        <v>317</v>
      </c>
      <c r="G322" t="s">
        <v>318</v>
      </c>
    </row>
    <row r="323" ht="14" customHeight="1" spans="1:8">
      <c r="A323">
        <v>10063</v>
      </c>
      <c r="B323">
        <v>1</v>
      </c>
      <c r="C323">
        <v>1</v>
      </c>
      <c r="D323" s="15">
        <v>0</v>
      </c>
      <c r="E323" s="15">
        <v>100</v>
      </c>
      <c r="F323" s="7" t="s">
        <v>317</v>
      </c>
      <c r="G323" t="s">
        <v>319</v>
      </c>
      <c r="H323" s="7"/>
    </row>
    <row r="324" ht="14" customHeight="1" spans="1:8">
      <c r="A324">
        <v>10064</v>
      </c>
      <c r="B324">
        <v>1</v>
      </c>
      <c r="C324">
        <v>1</v>
      </c>
      <c r="D324" s="15">
        <v>0</v>
      </c>
      <c r="E324" s="15">
        <v>100</v>
      </c>
      <c r="F324" s="7" t="s">
        <v>320</v>
      </c>
      <c r="G324" t="s">
        <v>321</v>
      </c>
      <c r="H324" s="7"/>
    </row>
    <row r="325" ht="14" customHeight="1" spans="1:8">
      <c r="A325">
        <v>10065</v>
      </c>
      <c r="B325">
        <v>1</v>
      </c>
      <c r="C325">
        <v>1</v>
      </c>
      <c r="D325" s="15">
        <v>0</v>
      </c>
      <c r="E325" s="15">
        <v>100</v>
      </c>
      <c r="F325" s="7" t="s">
        <v>320</v>
      </c>
      <c r="G325" t="s">
        <v>322</v>
      </c>
      <c r="H325" s="7"/>
    </row>
    <row r="326" ht="14" customHeight="1" spans="1:8">
      <c r="A326">
        <v>10066</v>
      </c>
      <c r="B326">
        <v>1</v>
      </c>
      <c r="C326">
        <v>1</v>
      </c>
      <c r="D326" s="15">
        <v>0</v>
      </c>
      <c r="E326" s="15">
        <v>100</v>
      </c>
      <c r="F326" s="7" t="s">
        <v>323</v>
      </c>
      <c r="G326" t="s">
        <v>324</v>
      </c>
      <c r="H326" s="7"/>
    </row>
    <row r="327" ht="14" customHeight="1" spans="1:8">
      <c r="A327">
        <v>10067</v>
      </c>
      <c r="B327">
        <v>1</v>
      </c>
      <c r="C327">
        <v>1</v>
      </c>
      <c r="D327" s="15">
        <v>0</v>
      </c>
      <c r="E327" s="15">
        <v>100</v>
      </c>
      <c r="F327" s="7" t="s">
        <v>323</v>
      </c>
      <c r="G327" t="s">
        <v>325</v>
      </c>
      <c r="H327" s="7"/>
    </row>
    <row r="328" ht="14" customHeight="1" spans="1:8">
      <c r="A328" s="57">
        <v>10068</v>
      </c>
      <c r="B328">
        <v>1</v>
      </c>
      <c r="C328">
        <v>1</v>
      </c>
      <c r="D328" s="15">
        <v>0</v>
      </c>
      <c r="E328" s="15">
        <v>100</v>
      </c>
      <c r="F328" s="7" t="s">
        <v>326</v>
      </c>
      <c r="G328" t="s">
        <v>327</v>
      </c>
    </row>
    <row r="329" ht="14" customHeight="1" spans="1:8">
      <c r="A329" s="57">
        <v>10069</v>
      </c>
      <c r="B329">
        <v>1</v>
      </c>
      <c r="C329">
        <v>1</v>
      </c>
      <c r="D329" s="15">
        <v>0</v>
      </c>
      <c r="E329" s="15">
        <v>100</v>
      </c>
      <c r="F329" s="7" t="s">
        <v>328</v>
      </c>
      <c r="G329" t="s">
        <v>327</v>
      </c>
    </row>
    <row r="330" ht="14" customHeight="1" spans="1:8">
      <c r="A330" s="57">
        <v>10070</v>
      </c>
      <c r="B330">
        <v>1</v>
      </c>
      <c r="C330">
        <v>1</v>
      </c>
      <c r="D330" s="15">
        <v>0</v>
      </c>
      <c r="E330" s="15">
        <v>100</v>
      </c>
      <c r="F330" s="7" t="s">
        <v>329</v>
      </c>
      <c r="G330" t="s">
        <v>327</v>
      </c>
    </row>
    <row r="331" ht="14" customHeight="1" spans="1:8">
      <c r="A331" s="57">
        <v>10071</v>
      </c>
      <c r="B331">
        <v>1</v>
      </c>
      <c r="C331">
        <v>1</v>
      </c>
      <c r="D331" s="15">
        <v>0</v>
      </c>
      <c r="E331" s="15">
        <v>100</v>
      </c>
      <c r="F331" s="7" t="s">
        <v>330</v>
      </c>
      <c r="G331" t="s">
        <v>327</v>
      </c>
    </row>
    <row r="332" ht="14" customHeight="1" spans="1:8">
      <c r="A332" s="57">
        <v>10072</v>
      </c>
      <c r="B332">
        <v>1</v>
      </c>
      <c r="C332">
        <v>1</v>
      </c>
      <c r="D332" s="15">
        <v>0</v>
      </c>
      <c r="E332" s="15">
        <v>100</v>
      </c>
      <c r="F332" s="7" t="s">
        <v>331</v>
      </c>
      <c r="G332" t="s">
        <v>327</v>
      </c>
    </row>
    <row r="333" ht="14" customHeight="1" spans="1:8">
      <c r="A333" s="57">
        <v>10073</v>
      </c>
      <c r="B333">
        <v>1</v>
      </c>
      <c r="C333">
        <v>1</v>
      </c>
      <c r="D333" s="15">
        <v>0</v>
      </c>
      <c r="E333" s="15">
        <v>100</v>
      </c>
      <c r="F333" s="7" t="s">
        <v>332</v>
      </c>
      <c r="G333" t="s">
        <v>327</v>
      </c>
    </row>
    <row r="334" ht="14" customHeight="1" spans="1:8">
      <c r="A334" s="57">
        <v>10074</v>
      </c>
      <c r="B334">
        <v>1</v>
      </c>
      <c r="C334">
        <v>1</v>
      </c>
      <c r="D334" s="15">
        <v>0</v>
      </c>
      <c r="E334" s="15">
        <v>100</v>
      </c>
      <c r="F334" s="7" t="s">
        <v>333</v>
      </c>
      <c r="G334" t="s">
        <v>327</v>
      </c>
    </row>
    <row r="335" ht="14" customHeight="1" spans="1:8">
      <c r="A335" s="57">
        <v>10075</v>
      </c>
      <c r="B335">
        <v>1</v>
      </c>
      <c r="C335">
        <v>1</v>
      </c>
      <c r="D335" s="15">
        <v>0</v>
      </c>
      <c r="E335" s="15">
        <v>100</v>
      </c>
      <c r="F335" s="7" t="s">
        <v>334</v>
      </c>
      <c r="G335" t="s">
        <v>327</v>
      </c>
    </row>
    <row r="336" ht="14" customHeight="1" spans="1:8">
      <c r="A336" s="57">
        <v>10076</v>
      </c>
      <c r="B336">
        <v>1</v>
      </c>
      <c r="C336">
        <v>1</v>
      </c>
      <c r="D336" s="15">
        <v>0</v>
      </c>
      <c r="E336" s="15">
        <v>100</v>
      </c>
      <c r="F336" s="7" t="s">
        <v>335</v>
      </c>
      <c r="G336" t="s">
        <v>327</v>
      </c>
    </row>
    <row r="337" ht="14" customHeight="1" spans="1:7">
      <c r="A337" s="57">
        <v>10077</v>
      </c>
      <c r="B337">
        <v>1</v>
      </c>
      <c r="C337">
        <v>1</v>
      </c>
      <c r="D337" s="15">
        <v>0</v>
      </c>
      <c r="E337" s="15">
        <v>100</v>
      </c>
      <c r="F337" s="7" t="s">
        <v>336</v>
      </c>
      <c r="G337" t="s">
        <v>327</v>
      </c>
    </row>
    <row r="338" ht="14" customHeight="1" spans="1:7">
      <c r="A338" s="57">
        <v>10078</v>
      </c>
      <c r="B338">
        <v>2</v>
      </c>
      <c r="C338">
        <v>1</v>
      </c>
      <c r="D338" s="15">
        <v>0</v>
      </c>
      <c r="E338" s="15">
        <v>100</v>
      </c>
      <c r="F338" s="7" t="s">
        <v>337</v>
      </c>
      <c r="G338" t="s">
        <v>338</v>
      </c>
    </row>
    <row r="339" ht="14" customHeight="1" spans="1:7">
      <c r="A339" s="57">
        <v>10079</v>
      </c>
      <c r="B339">
        <v>2</v>
      </c>
      <c r="C339">
        <v>1</v>
      </c>
      <c r="D339" s="15">
        <v>0</v>
      </c>
      <c r="E339" s="15">
        <v>100</v>
      </c>
      <c r="F339" s="7" t="s">
        <v>339</v>
      </c>
      <c r="G339" t="s">
        <v>338</v>
      </c>
    </row>
    <row r="340" ht="14" customHeight="1" spans="1:7">
      <c r="A340" s="57">
        <v>10080</v>
      </c>
      <c r="B340">
        <v>2</v>
      </c>
      <c r="C340">
        <v>1</v>
      </c>
      <c r="D340" s="15">
        <v>0</v>
      </c>
      <c r="E340" s="15">
        <v>100</v>
      </c>
      <c r="F340" s="7" t="s">
        <v>340</v>
      </c>
      <c r="G340" t="s">
        <v>341</v>
      </c>
    </row>
    <row r="341" ht="14" customHeight="1" spans="1:7">
      <c r="A341" s="57">
        <v>10081</v>
      </c>
      <c r="B341">
        <v>2</v>
      </c>
      <c r="C341">
        <v>1</v>
      </c>
      <c r="D341" s="15">
        <v>0</v>
      </c>
      <c r="E341" s="15">
        <v>100</v>
      </c>
      <c r="F341" s="7" t="s">
        <v>342</v>
      </c>
      <c r="G341" t="s">
        <v>341</v>
      </c>
    </row>
    <row r="342" ht="14" customHeight="1" spans="1:7">
      <c r="A342" s="57">
        <v>10082</v>
      </c>
      <c r="B342">
        <v>2</v>
      </c>
      <c r="C342">
        <v>1</v>
      </c>
      <c r="D342" s="15">
        <v>0</v>
      </c>
      <c r="E342" s="15">
        <v>100</v>
      </c>
      <c r="F342" s="7" t="s">
        <v>343</v>
      </c>
      <c r="G342" t="s">
        <v>344</v>
      </c>
    </row>
    <row r="343" ht="14" customHeight="1" spans="1:7">
      <c r="A343" s="57">
        <v>10083</v>
      </c>
      <c r="B343">
        <v>2</v>
      </c>
      <c r="C343">
        <v>1</v>
      </c>
      <c r="D343" s="15">
        <v>0</v>
      </c>
      <c r="E343" s="15">
        <v>100</v>
      </c>
      <c r="F343" s="7" t="s">
        <v>345</v>
      </c>
      <c r="G343" t="s">
        <v>344</v>
      </c>
    </row>
    <row r="344" ht="14" customHeight="1" spans="1:7">
      <c r="A344" s="57">
        <v>10084</v>
      </c>
      <c r="B344">
        <v>1</v>
      </c>
      <c r="C344">
        <v>1</v>
      </c>
      <c r="D344" s="15">
        <v>0</v>
      </c>
      <c r="E344" s="15">
        <v>100</v>
      </c>
      <c r="F344" s="7" t="s">
        <v>346</v>
      </c>
      <c r="G344" t="s">
        <v>347</v>
      </c>
    </row>
    <row r="345" ht="14" customHeight="1" spans="1:7">
      <c r="A345" s="57">
        <v>10085</v>
      </c>
      <c r="B345">
        <v>1</v>
      </c>
      <c r="C345">
        <v>1</v>
      </c>
      <c r="D345" s="15">
        <v>0</v>
      </c>
      <c r="E345" s="15">
        <v>100</v>
      </c>
      <c r="F345" s="7" t="s">
        <v>348</v>
      </c>
      <c r="G345" t="s">
        <v>349</v>
      </c>
    </row>
    <row r="346" ht="14" customHeight="1" spans="1:7">
      <c r="A346" s="57">
        <v>10086</v>
      </c>
      <c r="B346">
        <v>1</v>
      </c>
      <c r="C346">
        <v>1</v>
      </c>
      <c r="D346" s="15">
        <v>0</v>
      </c>
      <c r="E346" s="15">
        <v>100</v>
      </c>
      <c r="F346" s="7" t="s">
        <v>350</v>
      </c>
      <c r="G346" t="s">
        <v>351</v>
      </c>
    </row>
    <row r="347" ht="14" customHeight="1" spans="1:7">
      <c r="A347" s="57">
        <v>10087</v>
      </c>
      <c r="B347">
        <v>1</v>
      </c>
      <c r="C347">
        <v>1</v>
      </c>
      <c r="D347" s="15">
        <v>0</v>
      </c>
      <c r="E347" s="15">
        <v>100</v>
      </c>
      <c r="F347" s="7" t="s">
        <v>352</v>
      </c>
      <c r="G347" t="s">
        <v>353</v>
      </c>
    </row>
    <row r="348" ht="14" customHeight="1" spans="1:7">
      <c r="A348" s="57">
        <v>10088</v>
      </c>
      <c r="B348">
        <v>1</v>
      </c>
      <c r="C348">
        <v>1</v>
      </c>
      <c r="D348" s="15">
        <v>0</v>
      </c>
      <c r="E348" s="15">
        <v>100</v>
      </c>
      <c r="F348" s="7" t="s">
        <v>332</v>
      </c>
      <c r="G348" t="s">
        <v>327</v>
      </c>
    </row>
    <row r="349" ht="14" customHeight="1" spans="1:7">
      <c r="A349" s="57">
        <v>10089</v>
      </c>
      <c r="B349">
        <v>1</v>
      </c>
      <c r="C349">
        <v>1</v>
      </c>
      <c r="D349" s="15">
        <v>0</v>
      </c>
      <c r="E349" s="15">
        <v>100</v>
      </c>
      <c r="F349" s="7" t="s">
        <v>334</v>
      </c>
      <c r="G349" t="s">
        <v>327</v>
      </c>
    </row>
    <row r="350" ht="14" customHeight="1" spans="1:7">
      <c r="A350" s="57">
        <v>10090</v>
      </c>
      <c r="B350">
        <v>1</v>
      </c>
      <c r="C350">
        <v>1</v>
      </c>
      <c r="D350" s="15">
        <v>0</v>
      </c>
      <c r="E350" s="15">
        <v>100</v>
      </c>
      <c r="F350" s="7" t="s">
        <v>336</v>
      </c>
      <c r="G350" t="s">
        <v>327</v>
      </c>
    </row>
    <row r="351" ht="14" customHeight="1" spans="1:7">
      <c r="A351" s="57">
        <v>10091</v>
      </c>
      <c r="B351">
        <v>1</v>
      </c>
      <c r="C351">
        <v>1</v>
      </c>
      <c r="D351" s="15">
        <v>0</v>
      </c>
      <c r="E351" s="15">
        <v>100</v>
      </c>
      <c r="F351" s="7" t="s">
        <v>354</v>
      </c>
      <c r="G351" t="s">
        <v>327</v>
      </c>
    </row>
    <row r="352" ht="14" customHeight="1" spans="1:7">
      <c r="A352" s="57">
        <v>10092</v>
      </c>
      <c r="B352">
        <v>1</v>
      </c>
      <c r="C352">
        <v>1</v>
      </c>
      <c r="D352" s="15">
        <v>0</v>
      </c>
      <c r="E352" s="15">
        <v>100</v>
      </c>
      <c r="F352" s="7" t="s">
        <v>355</v>
      </c>
      <c r="G352" t="s">
        <v>327</v>
      </c>
    </row>
    <row r="353" ht="14" customHeight="1" spans="1:7">
      <c r="A353" s="57">
        <v>10093</v>
      </c>
      <c r="B353">
        <v>1</v>
      </c>
      <c r="C353">
        <v>1</v>
      </c>
      <c r="D353" s="15">
        <v>0</v>
      </c>
      <c r="E353" s="15">
        <v>100</v>
      </c>
      <c r="F353" s="7" t="s">
        <v>303</v>
      </c>
      <c r="G353" t="s">
        <v>327</v>
      </c>
    </row>
    <row r="354" ht="14" customHeight="1" spans="1:7">
      <c r="A354" s="57">
        <v>10094</v>
      </c>
      <c r="B354">
        <v>1</v>
      </c>
      <c r="C354">
        <v>1</v>
      </c>
      <c r="D354" s="15">
        <v>0</v>
      </c>
      <c r="E354" s="15">
        <v>100</v>
      </c>
      <c r="F354" s="7" t="s">
        <v>356</v>
      </c>
      <c r="G354" t="s">
        <v>327</v>
      </c>
    </row>
    <row r="355" ht="14" customHeight="1" spans="1:7">
      <c r="A355" s="57">
        <v>10095</v>
      </c>
      <c r="B355">
        <v>1</v>
      </c>
      <c r="C355">
        <v>1</v>
      </c>
      <c r="D355" s="15">
        <v>0</v>
      </c>
      <c r="E355" s="15">
        <v>100</v>
      </c>
      <c r="F355" s="7" t="s">
        <v>357</v>
      </c>
      <c r="G355" t="s">
        <v>327</v>
      </c>
    </row>
    <row r="356" ht="14" customHeight="1" spans="1:7">
      <c r="A356" s="57">
        <v>10096</v>
      </c>
      <c r="B356">
        <v>1</v>
      </c>
      <c r="C356">
        <v>1</v>
      </c>
      <c r="D356" s="15">
        <v>0</v>
      </c>
      <c r="E356" s="15">
        <v>100</v>
      </c>
      <c r="F356" s="7" t="s">
        <v>358</v>
      </c>
      <c r="G356" t="s">
        <v>327</v>
      </c>
    </row>
    <row r="357" ht="14" customHeight="1" spans="1:7">
      <c r="A357" s="57">
        <v>10097</v>
      </c>
      <c r="B357">
        <v>1</v>
      </c>
      <c r="C357">
        <v>1</v>
      </c>
      <c r="D357" s="15">
        <v>0</v>
      </c>
      <c r="E357" s="15">
        <v>100</v>
      </c>
      <c r="F357" s="7" t="s">
        <v>359</v>
      </c>
      <c r="G357" t="s">
        <v>327</v>
      </c>
    </row>
    <row r="358" ht="14" customHeight="1" spans="1:7">
      <c r="A358">
        <v>10100</v>
      </c>
      <c r="B358">
        <v>1</v>
      </c>
      <c r="C358">
        <v>1</v>
      </c>
      <c r="D358" s="15">
        <v>0</v>
      </c>
      <c r="E358" s="15">
        <v>100</v>
      </c>
      <c r="F358" s="7" t="s">
        <v>360</v>
      </c>
      <c r="G358" t="s">
        <v>361</v>
      </c>
    </row>
    <row r="359" ht="14" customHeight="1" spans="1:7">
      <c r="A359">
        <v>10101</v>
      </c>
      <c r="B359">
        <v>2</v>
      </c>
      <c r="C359">
        <v>1</v>
      </c>
      <c r="D359" s="15">
        <v>0</v>
      </c>
      <c r="E359" s="15">
        <v>100</v>
      </c>
      <c r="F359" s="50" t="s">
        <v>362</v>
      </c>
      <c r="G359" t="s">
        <v>363</v>
      </c>
    </row>
    <row r="360" ht="14" customHeight="1" spans="1:7">
      <c r="A360">
        <v>10102</v>
      </c>
      <c r="B360">
        <v>2</v>
      </c>
      <c r="C360">
        <v>1</v>
      </c>
      <c r="D360" s="15">
        <v>0</v>
      </c>
      <c r="E360" s="15">
        <v>100</v>
      </c>
      <c r="F360" t="s">
        <v>364</v>
      </c>
      <c r="G360" t="s">
        <v>365</v>
      </c>
    </row>
    <row r="361" ht="14" customHeight="1" spans="1:7">
      <c r="A361">
        <v>10103</v>
      </c>
      <c r="B361">
        <v>1</v>
      </c>
      <c r="C361">
        <v>1</v>
      </c>
      <c r="D361" s="15">
        <v>0</v>
      </c>
      <c r="E361" s="15">
        <v>100</v>
      </c>
      <c r="F361" t="s">
        <v>366</v>
      </c>
      <c r="G361" t="s">
        <v>367</v>
      </c>
    </row>
    <row r="362" ht="14" customHeight="1" spans="1:7">
      <c r="A362">
        <v>10104</v>
      </c>
      <c r="B362">
        <v>1</v>
      </c>
      <c r="C362">
        <v>1</v>
      </c>
      <c r="D362" s="15">
        <v>0</v>
      </c>
      <c r="E362" s="15">
        <v>100</v>
      </c>
      <c r="F362" t="s">
        <v>366</v>
      </c>
      <c r="G362" t="s">
        <v>368</v>
      </c>
    </row>
    <row r="363" ht="14" customHeight="1" spans="1:7">
      <c r="A363">
        <v>10105</v>
      </c>
      <c r="B363">
        <v>1</v>
      </c>
      <c r="C363">
        <v>1</v>
      </c>
      <c r="D363" s="15">
        <v>0</v>
      </c>
      <c r="E363" s="15">
        <v>100</v>
      </c>
      <c r="F363" t="s">
        <v>326</v>
      </c>
      <c r="G363" t="s">
        <v>369</v>
      </c>
    </row>
    <row r="364" ht="14" customHeight="1" spans="1:7">
      <c r="A364">
        <v>10106</v>
      </c>
      <c r="B364">
        <v>1</v>
      </c>
      <c r="C364">
        <v>1</v>
      </c>
      <c r="D364" s="15">
        <v>0</v>
      </c>
      <c r="E364" s="15">
        <v>100</v>
      </c>
      <c r="F364" t="s">
        <v>370</v>
      </c>
      <c r="G364" t="s">
        <v>369</v>
      </c>
    </row>
    <row r="365" ht="14" customHeight="1" spans="1:7">
      <c r="A365">
        <v>10107</v>
      </c>
      <c r="B365">
        <v>1</v>
      </c>
      <c r="C365">
        <v>1</v>
      </c>
      <c r="D365" s="15">
        <v>0</v>
      </c>
      <c r="E365" s="15">
        <v>100</v>
      </c>
      <c r="F365" t="s">
        <v>332</v>
      </c>
      <c r="G365" t="s">
        <v>369</v>
      </c>
    </row>
    <row r="366" ht="14" customHeight="1" spans="1:7">
      <c r="A366">
        <v>10108</v>
      </c>
      <c r="B366">
        <v>1</v>
      </c>
      <c r="C366">
        <v>1</v>
      </c>
      <c r="D366" s="15">
        <v>0</v>
      </c>
      <c r="E366" s="15">
        <v>100</v>
      </c>
      <c r="F366" t="s">
        <v>371</v>
      </c>
      <c r="G366" t="s">
        <v>372</v>
      </c>
    </row>
    <row r="367" ht="14" customHeight="1" spans="1:7">
      <c r="A367">
        <v>10109</v>
      </c>
      <c r="B367">
        <v>2</v>
      </c>
      <c r="C367">
        <v>1</v>
      </c>
      <c r="D367" s="15">
        <v>0</v>
      </c>
      <c r="E367" s="15">
        <v>100</v>
      </c>
      <c r="F367" t="s">
        <v>373</v>
      </c>
    </row>
    <row r="368" ht="14" customHeight="1" spans="1:7">
      <c r="A368">
        <v>10110</v>
      </c>
      <c r="B368">
        <v>1</v>
      </c>
      <c r="C368">
        <v>1</v>
      </c>
      <c r="D368" s="15">
        <v>0</v>
      </c>
      <c r="E368" s="15">
        <v>100</v>
      </c>
      <c r="F368" t="s">
        <v>374</v>
      </c>
    </row>
    <row r="369" ht="14" customHeight="1" spans="1:7">
      <c r="A369">
        <v>10111</v>
      </c>
      <c r="B369">
        <v>1</v>
      </c>
      <c r="C369">
        <v>1</v>
      </c>
      <c r="D369" s="15">
        <v>0</v>
      </c>
      <c r="E369" s="15">
        <v>100</v>
      </c>
      <c r="F369" t="s">
        <v>375</v>
      </c>
    </row>
    <row r="370" ht="14" customHeight="1" spans="1:7">
      <c r="A370">
        <v>10112</v>
      </c>
      <c r="B370">
        <v>1</v>
      </c>
      <c r="C370">
        <v>1</v>
      </c>
      <c r="D370" s="15">
        <v>0</v>
      </c>
      <c r="E370" s="15">
        <v>100</v>
      </c>
      <c r="F370" t="s">
        <v>376</v>
      </c>
    </row>
    <row r="371" ht="14" customHeight="1" spans="1:7">
      <c r="A371">
        <v>10113</v>
      </c>
      <c r="B371">
        <v>1</v>
      </c>
      <c r="C371">
        <v>1</v>
      </c>
      <c r="D371" s="15">
        <v>0</v>
      </c>
      <c r="E371" s="15">
        <v>100</v>
      </c>
      <c r="F371" t="s">
        <v>377</v>
      </c>
    </row>
    <row r="372" ht="14" customHeight="1" spans="1:7">
      <c r="A372">
        <v>10114</v>
      </c>
      <c r="B372">
        <v>1</v>
      </c>
      <c r="C372">
        <v>1</v>
      </c>
      <c r="D372" s="15">
        <v>0</v>
      </c>
      <c r="E372" s="15">
        <v>100</v>
      </c>
      <c r="F372" t="s">
        <v>378</v>
      </c>
    </row>
    <row r="373" ht="14" customHeight="1" spans="1:7">
      <c r="A373">
        <v>10115</v>
      </c>
      <c r="B373">
        <v>1</v>
      </c>
      <c r="C373">
        <v>1</v>
      </c>
      <c r="D373" s="15">
        <v>1</v>
      </c>
      <c r="E373" s="15">
        <v>100</v>
      </c>
      <c r="F373" t="s">
        <v>379</v>
      </c>
    </row>
    <row r="374" ht="14" customHeight="1" spans="1:7">
      <c r="A374">
        <v>10116</v>
      </c>
      <c r="B374">
        <v>1</v>
      </c>
      <c r="C374">
        <v>1</v>
      </c>
      <c r="D374" s="15">
        <v>0</v>
      </c>
      <c r="E374" s="15">
        <v>100</v>
      </c>
      <c r="F374" t="s">
        <v>380</v>
      </c>
    </row>
    <row r="375" ht="14" customHeight="1" spans="1:7">
      <c r="A375">
        <v>10117</v>
      </c>
      <c r="B375">
        <v>1</v>
      </c>
      <c r="C375">
        <v>1</v>
      </c>
      <c r="D375" s="15">
        <v>0</v>
      </c>
      <c r="E375" s="15">
        <v>100</v>
      </c>
      <c r="F375" t="s">
        <v>371</v>
      </c>
      <c r="G375" t="s">
        <v>381</v>
      </c>
    </row>
    <row r="376" ht="14" customHeight="1" spans="1:7">
      <c r="A376">
        <v>10118</v>
      </c>
      <c r="B376">
        <v>2</v>
      </c>
      <c r="C376">
        <v>1</v>
      </c>
      <c r="D376" s="15">
        <v>0</v>
      </c>
      <c r="E376" s="15">
        <v>100</v>
      </c>
      <c r="F376" t="s">
        <v>382</v>
      </c>
    </row>
    <row r="377" ht="14" customHeight="1" spans="1:7">
      <c r="A377">
        <v>10119</v>
      </c>
      <c r="B377">
        <v>1</v>
      </c>
      <c r="C377">
        <v>1</v>
      </c>
      <c r="D377" s="15">
        <v>0</v>
      </c>
      <c r="E377" s="15">
        <v>100</v>
      </c>
      <c r="F377" t="s">
        <v>374</v>
      </c>
    </row>
    <row r="378" ht="14" customHeight="1" spans="1:7">
      <c r="A378">
        <v>10120</v>
      </c>
      <c r="B378">
        <v>1</v>
      </c>
      <c r="C378">
        <v>1</v>
      </c>
      <c r="D378" s="15">
        <v>0</v>
      </c>
      <c r="E378" s="15">
        <v>100</v>
      </c>
      <c r="F378" t="s">
        <v>375</v>
      </c>
    </row>
    <row r="379" ht="14" customHeight="1" spans="1:7">
      <c r="A379">
        <v>10121</v>
      </c>
      <c r="B379">
        <v>1</v>
      </c>
      <c r="C379">
        <v>1</v>
      </c>
      <c r="D379" s="15">
        <v>0</v>
      </c>
      <c r="E379" s="15">
        <v>100</v>
      </c>
      <c r="F379" t="s">
        <v>383</v>
      </c>
    </row>
    <row r="380" ht="14" customHeight="1" spans="1:7">
      <c r="A380">
        <v>10122</v>
      </c>
      <c r="B380">
        <v>1</v>
      </c>
      <c r="C380">
        <v>1</v>
      </c>
      <c r="D380" s="15">
        <v>0</v>
      </c>
      <c r="E380" s="15">
        <v>100</v>
      </c>
      <c r="F380" t="s">
        <v>377</v>
      </c>
    </row>
    <row r="381" ht="14" customHeight="1" spans="1:7">
      <c r="A381">
        <v>10123</v>
      </c>
      <c r="B381">
        <v>1</v>
      </c>
      <c r="C381">
        <v>1</v>
      </c>
      <c r="D381" s="15">
        <v>0</v>
      </c>
      <c r="E381" s="15">
        <v>100</v>
      </c>
      <c r="F381" t="s">
        <v>384</v>
      </c>
    </row>
    <row r="382" ht="14" customHeight="1" spans="1:7">
      <c r="A382">
        <v>10124</v>
      </c>
      <c r="B382">
        <v>1</v>
      </c>
      <c r="C382">
        <v>1</v>
      </c>
      <c r="D382" s="15">
        <v>1</v>
      </c>
      <c r="E382" s="15">
        <v>100</v>
      </c>
      <c r="F382" t="s">
        <v>379</v>
      </c>
    </row>
    <row r="383" ht="14" customHeight="1" spans="1:7">
      <c r="A383">
        <v>10125</v>
      </c>
      <c r="B383">
        <v>1</v>
      </c>
      <c r="C383">
        <v>1</v>
      </c>
      <c r="D383" s="15">
        <v>0</v>
      </c>
      <c r="E383" s="15">
        <v>100</v>
      </c>
      <c r="F383" t="s">
        <v>385</v>
      </c>
    </row>
    <row r="384" ht="14" customHeight="1" spans="1:7">
      <c r="A384">
        <v>10126</v>
      </c>
      <c r="B384">
        <v>2</v>
      </c>
      <c r="C384">
        <v>1</v>
      </c>
      <c r="D384" s="15">
        <v>1</v>
      </c>
      <c r="E384" s="15">
        <v>100</v>
      </c>
      <c r="F384" t="s">
        <v>386</v>
      </c>
      <c r="G384" s="7" t="s">
        <v>387</v>
      </c>
    </row>
    <row r="385" ht="14" customHeight="1" spans="1:7">
      <c r="A385">
        <v>10127</v>
      </c>
      <c r="B385">
        <v>2</v>
      </c>
      <c r="C385">
        <v>1</v>
      </c>
      <c r="D385" s="15">
        <v>1</v>
      </c>
      <c r="E385" s="15">
        <v>100</v>
      </c>
      <c r="F385" t="s">
        <v>388</v>
      </c>
      <c r="G385" s="7" t="s">
        <v>389</v>
      </c>
    </row>
    <row r="386" ht="14" customHeight="1" spans="1:7">
      <c r="A386">
        <v>10128</v>
      </c>
      <c r="B386">
        <v>2</v>
      </c>
      <c r="C386">
        <v>1</v>
      </c>
      <c r="D386" s="15">
        <v>1</v>
      </c>
      <c r="E386" s="15">
        <v>100</v>
      </c>
      <c r="F386" t="s">
        <v>390</v>
      </c>
      <c r="G386" s="7" t="s">
        <v>391</v>
      </c>
    </row>
    <row r="387" ht="14" customHeight="1" spans="1:7">
      <c r="A387">
        <v>10129</v>
      </c>
      <c r="B387">
        <v>2</v>
      </c>
      <c r="C387">
        <v>1</v>
      </c>
      <c r="D387" s="15">
        <v>1</v>
      </c>
      <c r="E387" s="15">
        <v>100</v>
      </c>
      <c r="F387" t="s">
        <v>392</v>
      </c>
      <c r="G387" s="7" t="s">
        <v>393</v>
      </c>
    </row>
    <row r="388" ht="14" customHeight="1" spans="1:7">
      <c r="A388">
        <v>10130</v>
      </c>
      <c r="B388">
        <v>2</v>
      </c>
      <c r="C388">
        <v>1</v>
      </c>
      <c r="D388" s="15">
        <v>1</v>
      </c>
      <c r="E388" s="15">
        <v>100</v>
      </c>
      <c r="F388" t="s">
        <v>394</v>
      </c>
      <c r="G388" s="7" t="s">
        <v>395</v>
      </c>
    </row>
    <row r="389" ht="14" customHeight="1" spans="1:7">
      <c r="A389">
        <v>10131</v>
      </c>
      <c r="B389">
        <v>2</v>
      </c>
      <c r="C389">
        <v>1</v>
      </c>
      <c r="D389" s="15">
        <v>1</v>
      </c>
      <c r="E389" s="15">
        <v>100</v>
      </c>
      <c r="F389" t="s">
        <v>396</v>
      </c>
      <c r="G389" s="7" t="s">
        <v>397</v>
      </c>
    </row>
    <row r="390" ht="14" customHeight="1" spans="1:7">
      <c r="A390">
        <v>10132</v>
      </c>
      <c r="B390">
        <v>2</v>
      </c>
      <c r="C390">
        <v>1</v>
      </c>
      <c r="D390" s="15">
        <v>1</v>
      </c>
      <c r="E390" s="15">
        <v>100</v>
      </c>
      <c r="F390" t="s">
        <v>398</v>
      </c>
      <c r="G390" s="7" t="s">
        <v>399</v>
      </c>
    </row>
    <row r="391" ht="14" customHeight="1" spans="1:7">
      <c r="A391">
        <v>10133</v>
      </c>
      <c r="B391">
        <v>2</v>
      </c>
      <c r="C391">
        <v>1</v>
      </c>
      <c r="D391" s="15">
        <v>1</v>
      </c>
      <c r="E391" s="15">
        <v>100</v>
      </c>
      <c r="F391" t="s">
        <v>400</v>
      </c>
      <c r="G391" s="7" t="s">
        <v>401</v>
      </c>
    </row>
    <row r="392" ht="14" customHeight="1" spans="1:7">
      <c r="A392">
        <v>10134</v>
      </c>
      <c r="B392">
        <v>2</v>
      </c>
      <c r="C392">
        <v>1</v>
      </c>
      <c r="D392" s="15">
        <v>1</v>
      </c>
      <c r="E392" s="15">
        <v>100</v>
      </c>
      <c r="F392" t="s">
        <v>402</v>
      </c>
      <c r="G392" s="7" t="s">
        <v>403</v>
      </c>
    </row>
    <row r="393" ht="14" customHeight="1" spans="1:7">
      <c r="A393">
        <v>10135</v>
      </c>
      <c r="B393">
        <v>1</v>
      </c>
      <c r="C393">
        <v>1</v>
      </c>
      <c r="D393" s="15">
        <v>1</v>
      </c>
      <c r="E393" s="15">
        <v>100</v>
      </c>
      <c r="F393" t="s">
        <v>404</v>
      </c>
      <c r="G393" s="7" t="s">
        <v>403</v>
      </c>
    </row>
    <row r="394" ht="14" customHeight="1" spans="1:7">
      <c r="A394">
        <v>10136</v>
      </c>
      <c r="B394">
        <v>1</v>
      </c>
      <c r="C394">
        <v>1</v>
      </c>
      <c r="D394" s="15">
        <v>1</v>
      </c>
      <c r="E394" s="15">
        <v>100</v>
      </c>
      <c r="F394" t="s">
        <v>405</v>
      </c>
      <c r="G394" s="7" t="s">
        <v>403</v>
      </c>
    </row>
    <row r="395" ht="14" customHeight="1" spans="1:7">
      <c r="A395">
        <v>10137</v>
      </c>
      <c r="B395">
        <v>1</v>
      </c>
      <c r="C395">
        <v>1</v>
      </c>
      <c r="D395" s="15">
        <v>1</v>
      </c>
      <c r="E395" s="15">
        <v>100</v>
      </c>
      <c r="F395" t="s">
        <v>366</v>
      </c>
      <c r="G395" s="7" t="s">
        <v>403</v>
      </c>
    </row>
    <row r="396" ht="14" customHeight="1" spans="1:7">
      <c r="A396">
        <v>10138</v>
      </c>
      <c r="B396">
        <v>2</v>
      </c>
      <c r="C396">
        <v>1</v>
      </c>
      <c r="D396" s="15">
        <v>1</v>
      </c>
      <c r="E396" s="15">
        <v>100</v>
      </c>
      <c r="F396" t="s">
        <v>406</v>
      </c>
      <c r="G396" s="7" t="s">
        <v>407</v>
      </c>
    </row>
    <row r="397" ht="14" customHeight="1" spans="1:7">
      <c r="A397">
        <v>10139</v>
      </c>
      <c r="B397">
        <v>1</v>
      </c>
      <c r="C397">
        <v>1</v>
      </c>
      <c r="D397" s="15">
        <v>1</v>
      </c>
      <c r="E397" s="15">
        <v>100</v>
      </c>
      <c r="F397" t="s">
        <v>408</v>
      </c>
      <c r="G397" s="7" t="s">
        <v>407</v>
      </c>
    </row>
    <row r="398" ht="14" customHeight="1" spans="1:7">
      <c r="A398">
        <v>10140</v>
      </c>
      <c r="B398">
        <v>1</v>
      </c>
      <c r="C398">
        <v>1</v>
      </c>
      <c r="D398" s="15">
        <v>1</v>
      </c>
      <c r="E398" s="15">
        <v>100</v>
      </c>
      <c r="F398" t="s">
        <v>409</v>
      </c>
      <c r="G398" s="7" t="s">
        <v>407</v>
      </c>
    </row>
    <row r="399" ht="14" customHeight="1" spans="1:7">
      <c r="A399">
        <v>10141</v>
      </c>
      <c r="B399">
        <v>1</v>
      </c>
      <c r="C399">
        <v>1</v>
      </c>
      <c r="D399" s="15">
        <v>1</v>
      </c>
      <c r="E399" s="15">
        <v>100</v>
      </c>
      <c r="F399" t="s">
        <v>366</v>
      </c>
      <c r="G399" s="7" t="s">
        <v>407</v>
      </c>
    </row>
    <row r="400" ht="14" customHeight="1" spans="1:7">
      <c r="A400">
        <v>10142</v>
      </c>
      <c r="B400">
        <v>2</v>
      </c>
      <c r="C400">
        <v>1</v>
      </c>
      <c r="D400" s="15">
        <v>1</v>
      </c>
      <c r="E400" s="15">
        <v>100</v>
      </c>
      <c r="F400" t="s">
        <v>410</v>
      </c>
      <c r="G400" s="7" t="s">
        <v>411</v>
      </c>
    </row>
    <row r="401" ht="14" customHeight="1" spans="1:7">
      <c r="A401">
        <v>10143</v>
      </c>
      <c r="B401">
        <v>1</v>
      </c>
      <c r="C401">
        <v>1</v>
      </c>
      <c r="D401" s="15">
        <v>1</v>
      </c>
      <c r="E401" s="15">
        <v>100</v>
      </c>
      <c r="F401" t="s">
        <v>412</v>
      </c>
      <c r="G401" s="7" t="s">
        <v>411</v>
      </c>
    </row>
    <row r="402" ht="14" customHeight="1" spans="1:7">
      <c r="A402">
        <v>10144</v>
      </c>
      <c r="B402">
        <v>1</v>
      </c>
      <c r="C402">
        <v>1</v>
      </c>
      <c r="D402" s="15">
        <v>1</v>
      </c>
      <c r="E402" s="15">
        <v>100</v>
      </c>
      <c r="F402" t="s">
        <v>413</v>
      </c>
      <c r="G402" s="7" t="s">
        <v>411</v>
      </c>
    </row>
    <row r="403" ht="14" customHeight="1" spans="1:7">
      <c r="A403">
        <v>10145</v>
      </c>
      <c r="B403">
        <v>1</v>
      </c>
      <c r="C403">
        <v>1</v>
      </c>
      <c r="D403" s="15">
        <v>1</v>
      </c>
      <c r="E403" s="15">
        <v>100</v>
      </c>
      <c r="F403" t="s">
        <v>366</v>
      </c>
      <c r="G403" s="7" t="s">
        <v>411</v>
      </c>
    </row>
    <row r="404" ht="14" customHeight="1" spans="1:7">
      <c r="A404">
        <v>10146</v>
      </c>
      <c r="B404">
        <v>2</v>
      </c>
      <c r="C404">
        <v>1</v>
      </c>
      <c r="D404" s="15">
        <v>1</v>
      </c>
      <c r="E404" s="15">
        <v>100</v>
      </c>
      <c r="F404" t="s">
        <v>414</v>
      </c>
      <c r="G404" s="7" t="s">
        <v>415</v>
      </c>
    </row>
    <row r="405" ht="14" customHeight="1" spans="1:7">
      <c r="A405">
        <v>10147</v>
      </c>
      <c r="B405">
        <v>1</v>
      </c>
      <c r="C405">
        <v>1</v>
      </c>
      <c r="D405" s="15">
        <v>1</v>
      </c>
      <c r="E405" s="15">
        <v>100</v>
      </c>
      <c r="F405" t="s">
        <v>416</v>
      </c>
      <c r="G405" s="7" t="s">
        <v>415</v>
      </c>
    </row>
    <row r="406" ht="14" customHeight="1" spans="1:7">
      <c r="A406">
        <v>10148</v>
      </c>
      <c r="B406">
        <v>1</v>
      </c>
      <c r="C406">
        <v>1</v>
      </c>
      <c r="D406" s="15">
        <v>1</v>
      </c>
      <c r="E406" s="15">
        <v>100</v>
      </c>
      <c r="F406" t="s">
        <v>417</v>
      </c>
      <c r="G406" s="7" t="s">
        <v>415</v>
      </c>
    </row>
    <row r="407" ht="14" customHeight="1" spans="1:7">
      <c r="A407">
        <v>10149</v>
      </c>
      <c r="B407">
        <v>1</v>
      </c>
      <c r="C407">
        <v>1</v>
      </c>
      <c r="D407" s="15">
        <v>1</v>
      </c>
      <c r="E407" s="15">
        <v>100</v>
      </c>
      <c r="F407" t="s">
        <v>366</v>
      </c>
      <c r="G407" s="7" t="s">
        <v>415</v>
      </c>
    </row>
    <row r="408" ht="14" customHeight="1" spans="1:7">
      <c r="A408">
        <v>10150</v>
      </c>
      <c r="B408">
        <v>1</v>
      </c>
      <c r="C408">
        <v>1</v>
      </c>
      <c r="D408" s="15">
        <v>1</v>
      </c>
      <c r="E408" s="15">
        <v>100</v>
      </c>
      <c r="F408" t="s">
        <v>332</v>
      </c>
      <c r="G408" s="7"/>
    </row>
    <row r="409" ht="14" customHeight="1" spans="1:7">
      <c r="A409">
        <v>10151</v>
      </c>
      <c r="B409">
        <v>2</v>
      </c>
      <c r="C409">
        <v>4</v>
      </c>
      <c r="D409" s="15">
        <v>1</v>
      </c>
      <c r="E409" s="15">
        <v>1</v>
      </c>
      <c r="F409" t="s">
        <v>418</v>
      </c>
      <c r="G409" s="7" t="s">
        <v>419</v>
      </c>
    </row>
    <row r="410" ht="14" customHeight="1" spans="1:7">
      <c r="A410">
        <v>10152</v>
      </c>
      <c r="B410">
        <v>2</v>
      </c>
      <c r="C410">
        <v>4</v>
      </c>
      <c r="D410" s="15">
        <v>1</v>
      </c>
      <c r="E410" s="15">
        <v>1</v>
      </c>
      <c r="F410" t="s">
        <v>420</v>
      </c>
      <c r="G410" s="7" t="s">
        <v>421</v>
      </c>
    </row>
    <row r="411" ht="14" customHeight="1" spans="1:7">
      <c r="A411">
        <v>10153</v>
      </c>
      <c r="B411">
        <v>2</v>
      </c>
      <c r="C411">
        <v>4</v>
      </c>
      <c r="D411" s="15">
        <v>1</v>
      </c>
      <c r="E411" s="15">
        <v>1</v>
      </c>
      <c r="F411" t="s">
        <v>422</v>
      </c>
      <c r="G411" s="7" t="s">
        <v>423</v>
      </c>
    </row>
    <row r="412" ht="14" customHeight="1" spans="1:7">
      <c r="A412">
        <v>10154</v>
      </c>
      <c r="B412">
        <v>2</v>
      </c>
      <c r="C412">
        <v>4</v>
      </c>
      <c r="D412" s="15">
        <v>1</v>
      </c>
      <c r="E412" s="15">
        <v>1</v>
      </c>
      <c r="F412" t="s">
        <v>424</v>
      </c>
      <c r="G412" s="7" t="s">
        <v>425</v>
      </c>
    </row>
    <row r="413" ht="14" customHeight="1" spans="1:7">
      <c r="A413">
        <v>10155</v>
      </c>
      <c r="B413">
        <v>2</v>
      </c>
      <c r="C413">
        <v>4</v>
      </c>
      <c r="D413" s="15">
        <v>1</v>
      </c>
      <c r="E413" s="15">
        <v>1</v>
      </c>
      <c r="F413" t="s">
        <v>426</v>
      </c>
      <c r="G413" s="7" t="s">
        <v>427</v>
      </c>
    </row>
    <row r="414" ht="14" customHeight="1" spans="1:7">
      <c r="A414">
        <v>10156</v>
      </c>
      <c r="B414">
        <v>2</v>
      </c>
      <c r="C414">
        <v>4</v>
      </c>
      <c r="D414" s="15">
        <v>1</v>
      </c>
      <c r="E414" s="15">
        <v>1</v>
      </c>
      <c r="F414" t="s">
        <v>428</v>
      </c>
      <c r="G414" s="7" t="s">
        <v>429</v>
      </c>
    </row>
    <row r="415" ht="14" customHeight="1" spans="1:7">
      <c r="A415">
        <v>10157</v>
      </c>
      <c r="B415">
        <v>1</v>
      </c>
      <c r="C415">
        <v>1</v>
      </c>
      <c r="D415" s="15">
        <v>1</v>
      </c>
      <c r="E415" s="15">
        <v>100</v>
      </c>
      <c r="F415" t="s">
        <v>430</v>
      </c>
      <c r="G415" s="7"/>
    </row>
    <row r="416" ht="14" customHeight="1" spans="1:7">
      <c r="A416">
        <v>10158</v>
      </c>
      <c r="B416">
        <v>1</v>
      </c>
      <c r="C416">
        <v>1</v>
      </c>
      <c r="D416" s="15">
        <v>1</v>
      </c>
      <c r="E416" s="15">
        <v>100</v>
      </c>
      <c r="F416" t="s">
        <v>431</v>
      </c>
      <c r="G416" s="7"/>
    </row>
    <row r="417" ht="14" customHeight="1" spans="1:7">
      <c r="A417">
        <v>10159</v>
      </c>
      <c r="B417">
        <v>1</v>
      </c>
      <c r="C417">
        <v>1</v>
      </c>
      <c r="D417" s="15">
        <v>1</v>
      </c>
      <c r="E417" s="15">
        <v>100</v>
      </c>
      <c r="F417" t="s">
        <v>432</v>
      </c>
      <c r="G417" s="7"/>
    </row>
    <row r="418" ht="14" customHeight="1" spans="1:7">
      <c r="A418">
        <v>10160</v>
      </c>
      <c r="B418">
        <v>1</v>
      </c>
      <c r="C418">
        <v>1</v>
      </c>
      <c r="D418" s="15">
        <v>1</v>
      </c>
      <c r="E418" s="15">
        <v>100</v>
      </c>
      <c r="F418" t="s">
        <v>433</v>
      </c>
      <c r="G418" s="7"/>
    </row>
    <row r="419" ht="14" customHeight="1" spans="1:7">
      <c r="A419">
        <v>10161</v>
      </c>
      <c r="B419">
        <v>1</v>
      </c>
      <c r="C419">
        <v>1</v>
      </c>
      <c r="D419" s="15">
        <v>1</v>
      </c>
      <c r="E419" s="15">
        <v>100</v>
      </c>
      <c r="F419" t="s">
        <v>434</v>
      </c>
      <c r="G419" s="7"/>
    </row>
    <row r="420" ht="14" customHeight="1" spans="1:7">
      <c r="A420">
        <v>10162</v>
      </c>
      <c r="B420">
        <v>1</v>
      </c>
      <c r="C420">
        <v>1</v>
      </c>
      <c r="D420" s="15">
        <v>1</v>
      </c>
      <c r="E420" s="15">
        <v>100</v>
      </c>
      <c r="F420" t="s">
        <v>435</v>
      </c>
      <c r="G420" s="7"/>
    </row>
    <row r="421" ht="14" customHeight="1" spans="1:7">
      <c r="A421">
        <v>10163</v>
      </c>
      <c r="B421">
        <v>2</v>
      </c>
      <c r="C421">
        <v>1</v>
      </c>
      <c r="D421" s="15">
        <v>1</v>
      </c>
      <c r="E421" s="15">
        <v>100</v>
      </c>
      <c r="F421" t="s">
        <v>436</v>
      </c>
      <c r="G421" s="7" t="s">
        <v>437</v>
      </c>
    </row>
    <row r="422" ht="14" customHeight="1" spans="1:7">
      <c r="A422">
        <v>10164</v>
      </c>
      <c r="B422">
        <v>2</v>
      </c>
      <c r="C422">
        <v>1</v>
      </c>
      <c r="D422" s="15">
        <v>1</v>
      </c>
      <c r="E422" s="15">
        <v>100</v>
      </c>
      <c r="F422" t="s">
        <v>438</v>
      </c>
      <c r="G422" s="7" t="s">
        <v>439</v>
      </c>
    </row>
    <row r="423" ht="14" customHeight="1" spans="1:7">
      <c r="A423">
        <v>10165</v>
      </c>
      <c r="B423">
        <v>1</v>
      </c>
      <c r="C423">
        <v>4</v>
      </c>
      <c r="D423" s="15">
        <v>1</v>
      </c>
      <c r="E423" s="15">
        <v>1</v>
      </c>
      <c r="F423" t="s">
        <v>440</v>
      </c>
      <c r="G423" s="7"/>
    </row>
    <row r="424" ht="14" customHeight="1" spans="1:7">
      <c r="A424">
        <v>10166</v>
      </c>
      <c r="B424">
        <v>1</v>
      </c>
      <c r="C424">
        <v>4</v>
      </c>
      <c r="D424" s="15">
        <v>1</v>
      </c>
      <c r="E424" s="15">
        <v>1</v>
      </c>
      <c r="F424" t="s">
        <v>441</v>
      </c>
      <c r="G424" s="7"/>
    </row>
    <row r="425" ht="14" customHeight="1" spans="1:7">
      <c r="A425">
        <v>10167</v>
      </c>
      <c r="B425">
        <v>1</v>
      </c>
      <c r="C425">
        <v>4</v>
      </c>
      <c r="D425" s="15">
        <v>1</v>
      </c>
      <c r="E425" s="15">
        <v>1</v>
      </c>
      <c r="F425" t="s">
        <v>442</v>
      </c>
      <c r="G425" s="7"/>
    </row>
    <row r="426" ht="14" customHeight="1" spans="1:7">
      <c r="A426">
        <v>10168</v>
      </c>
      <c r="B426">
        <v>1</v>
      </c>
      <c r="C426">
        <v>4</v>
      </c>
      <c r="D426" s="15">
        <v>1</v>
      </c>
      <c r="E426" s="15">
        <v>1</v>
      </c>
      <c r="F426" t="s">
        <v>443</v>
      </c>
      <c r="G426" s="7"/>
    </row>
    <row r="427" ht="14" customHeight="1" spans="1:7">
      <c r="A427">
        <v>10169</v>
      </c>
      <c r="B427">
        <v>1</v>
      </c>
      <c r="C427">
        <v>4</v>
      </c>
      <c r="D427" s="15">
        <v>1</v>
      </c>
      <c r="E427" s="15">
        <v>1</v>
      </c>
      <c r="F427" t="s">
        <v>444</v>
      </c>
      <c r="G427" s="7"/>
    </row>
    <row r="428" ht="14" customHeight="1" spans="1:7">
      <c r="A428">
        <v>10170</v>
      </c>
      <c r="B428">
        <v>1</v>
      </c>
      <c r="C428">
        <v>4</v>
      </c>
      <c r="D428" s="15">
        <v>1</v>
      </c>
      <c r="E428" s="15">
        <v>1</v>
      </c>
      <c r="F428" t="s">
        <v>445</v>
      </c>
      <c r="G428" s="7"/>
    </row>
    <row r="429" ht="14" customHeight="1" spans="1:7">
      <c r="A429">
        <v>10171</v>
      </c>
      <c r="B429">
        <v>1</v>
      </c>
      <c r="C429">
        <v>4</v>
      </c>
      <c r="D429" s="15">
        <v>1</v>
      </c>
      <c r="E429" s="15">
        <v>1</v>
      </c>
      <c r="F429" t="s">
        <v>446</v>
      </c>
      <c r="G429" s="7"/>
    </row>
    <row r="430" ht="14" customHeight="1" spans="1:7">
      <c r="A430">
        <v>10172</v>
      </c>
      <c r="B430">
        <v>1</v>
      </c>
      <c r="C430">
        <v>4</v>
      </c>
      <c r="D430" s="15">
        <v>1</v>
      </c>
      <c r="E430" s="15">
        <v>1</v>
      </c>
      <c r="F430" t="s">
        <v>447</v>
      </c>
      <c r="G430" s="7"/>
    </row>
    <row r="431" ht="14" customHeight="1" spans="1:7">
      <c r="A431">
        <v>10173</v>
      </c>
      <c r="B431">
        <v>1</v>
      </c>
      <c r="C431">
        <v>1</v>
      </c>
      <c r="D431" s="15">
        <v>1</v>
      </c>
      <c r="E431" s="15">
        <v>1</v>
      </c>
      <c r="F431" t="s">
        <v>448</v>
      </c>
      <c r="G431" s="7" t="s">
        <v>449</v>
      </c>
    </row>
    <row r="432" ht="14" customHeight="1" spans="1:7">
      <c r="A432">
        <v>10174</v>
      </c>
      <c r="B432">
        <v>2</v>
      </c>
      <c r="C432">
        <v>1</v>
      </c>
      <c r="D432" s="15">
        <v>1</v>
      </c>
      <c r="E432" s="15">
        <v>1</v>
      </c>
      <c r="F432" t="s">
        <v>450</v>
      </c>
      <c r="G432" s="7" t="s">
        <v>451</v>
      </c>
    </row>
    <row r="433" ht="14" customHeight="1" spans="1:7">
      <c r="A433">
        <v>10175</v>
      </c>
      <c r="B433">
        <v>2</v>
      </c>
      <c r="C433">
        <v>1</v>
      </c>
      <c r="D433" s="15">
        <v>1</v>
      </c>
      <c r="E433" s="15">
        <v>1</v>
      </c>
      <c r="F433" t="s">
        <v>452</v>
      </c>
      <c r="G433" s="7" t="s">
        <v>453</v>
      </c>
    </row>
    <row r="434" ht="14" customHeight="1" spans="1:7">
      <c r="A434">
        <v>10176</v>
      </c>
      <c r="B434">
        <v>1</v>
      </c>
      <c r="C434">
        <v>1</v>
      </c>
      <c r="D434" s="15">
        <v>1</v>
      </c>
      <c r="E434" s="15">
        <v>1</v>
      </c>
      <c r="F434" t="s">
        <v>454</v>
      </c>
      <c r="G434" s="7" t="s">
        <v>455</v>
      </c>
    </row>
    <row r="435" ht="14" customHeight="1" spans="1:7">
      <c r="A435">
        <v>10177</v>
      </c>
      <c r="B435">
        <v>2</v>
      </c>
      <c r="C435">
        <v>1</v>
      </c>
      <c r="D435" s="15">
        <v>1</v>
      </c>
      <c r="E435" s="15">
        <v>1</v>
      </c>
      <c r="F435" t="s">
        <v>456</v>
      </c>
      <c r="G435" s="7" t="s">
        <v>457</v>
      </c>
    </row>
    <row r="436" ht="14" customHeight="1" spans="1:7">
      <c r="A436">
        <v>10178</v>
      </c>
      <c r="B436">
        <v>2</v>
      </c>
      <c r="C436">
        <v>1</v>
      </c>
      <c r="D436" s="15">
        <v>1</v>
      </c>
      <c r="E436" s="15">
        <v>1</v>
      </c>
      <c r="F436" t="s">
        <v>458</v>
      </c>
      <c r="G436" s="7" t="s">
        <v>459</v>
      </c>
    </row>
    <row r="437" ht="14" customHeight="1" spans="1:7">
      <c r="A437">
        <v>10179</v>
      </c>
      <c r="B437">
        <v>1</v>
      </c>
      <c r="C437">
        <v>1</v>
      </c>
      <c r="D437" s="15">
        <v>1</v>
      </c>
      <c r="E437" s="15">
        <v>1</v>
      </c>
      <c r="F437" t="s">
        <v>460</v>
      </c>
      <c r="G437" s="7" t="s">
        <v>461</v>
      </c>
    </row>
    <row r="438" ht="14" customHeight="1" spans="1:7">
      <c r="A438">
        <v>10180</v>
      </c>
      <c r="B438">
        <v>1</v>
      </c>
      <c r="C438">
        <v>1</v>
      </c>
      <c r="D438" s="15">
        <v>1</v>
      </c>
      <c r="E438" s="15">
        <v>1</v>
      </c>
      <c r="F438" t="s">
        <v>462</v>
      </c>
      <c r="G438" s="7" t="s">
        <v>463</v>
      </c>
    </row>
    <row r="439" ht="14" customHeight="1" spans="1:7">
      <c r="A439">
        <v>10181</v>
      </c>
      <c r="B439">
        <v>1</v>
      </c>
      <c r="C439">
        <v>1</v>
      </c>
      <c r="D439" s="15">
        <v>1</v>
      </c>
      <c r="E439" s="15">
        <v>1</v>
      </c>
      <c r="F439" t="s">
        <v>464</v>
      </c>
      <c r="G439" s="7" t="s">
        <v>465</v>
      </c>
    </row>
    <row r="440" ht="14" customHeight="1" spans="1:7">
      <c r="A440">
        <v>10182</v>
      </c>
      <c r="B440">
        <v>1</v>
      </c>
      <c r="C440">
        <v>1</v>
      </c>
      <c r="D440" s="15">
        <v>1</v>
      </c>
      <c r="E440" s="15">
        <v>1</v>
      </c>
      <c r="F440" t="s">
        <v>466</v>
      </c>
      <c r="G440" s="7" t="s">
        <v>467</v>
      </c>
    </row>
    <row r="441" ht="14" customHeight="1" spans="1:7">
      <c r="A441">
        <v>10183</v>
      </c>
      <c r="B441">
        <v>1</v>
      </c>
      <c r="C441">
        <v>1</v>
      </c>
      <c r="D441" s="15">
        <v>1</v>
      </c>
      <c r="E441" s="15">
        <v>1</v>
      </c>
      <c r="F441" t="s">
        <v>468</v>
      </c>
      <c r="G441" s="7" t="s">
        <v>469</v>
      </c>
    </row>
    <row r="442" ht="14" customHeight="1" spans="1:7">
      <c r="A442">
        <v>10184</v>
      </c>
      <c r="B442">
        <v>1</v>
      </c>
      <c r="C442">
        <v>1</v>
      </c>
      <c r="D442" s="15">
        <v>1</v>
      </c>
      <c r="E442" s="15">
        <v>1</v>
      </c>
      <c r="F442" t="s">
        <v>470</v>
      </c>
      <c r="G442" s="7" t="s">
        <v>471</v>
      </c>
    </row>
    <row r="443" ht="14" customHeight="1" spans="1:7">
      <c r="A443">
        <v>10185</v>
      </c>
      <c r="B443">
        <v>1</v>
      </c>
      <c r="C443">
        <v>1</v>
      </c>
      <c r="D443" s="15">
        <v>1</v>
      </c>
      <c r="E443" s="15">
        <v>1</v>
      </c>
      <c r="F443" s="7" t="s">
        <v>371</v>
      </c>
      <c r="G443" s="7" t="s">
        <v>472</v>
      </c>
    </row>
    <row r="444" ht="14" customHeight="1" spans="1:7">
      <c r="A444">
        <v>10186</v>
      </c>
      <c r="B444">
        <v>1</v>
      </c>
      <c r="C444">
        <v>1</v>
      </c>
      <c r="D444" s="15">
        <v>1</v>
      </c>
      <c r="E444" s="15">
        <v>1</v>
      </c>
      <c r="F444" s="7" t="s">
        <v>473</v>
      </c>
      <c r="G444" s="7" t="s">
        <v>474</v>
      </c>
    </row>
    <row r="445" ht="14" customHeight="1" spans="1:7">
      <c r="A445">
        <v>10187</v>
      </c>
      <c r="B445">
        <v>1</v>
      </c>
      <c r="C445">
        <v>1</v>
      </c>
      <c r="D445" s="15">
        <v>1</v>
      </c>
      <c r="E445" s="15">
        <v>1</v>
      </c>
      <c r="F445" s="7" t="s">
        <v>475</v>
      </c>
      <c r="G445" s="7" t="s">
        <v>476</v>
      </c>
    </row>
    <row r="446" ht="14" customHeight="1" spans="1:7">
      <c r="A446">
        <v>10188</v>
      </c>
      <c r="B446">
        <v>1</v>
      </c>
      <c r="C446">
        <v>1</v>
      </c>
      <c r="D446" s="15">
        <v>1</v>
      </c>
      <c r="E446" s="15">
        <v>1</v>
      </c>
      <c r="F446" s="7" t="s">
        <v>477</v>
      </c>
      <c r="G446" s="7" t="s">
        <v>478</v>
      </c>
    </row>
    <row r="447" ht="14" customHeight="1" spans="1:7">
      <c r="A447">
        <v>10189</v>
      </c>
      <c r="B447">
        <v>1</v>
      </c>
      <c r="C447">
        <v>1</v>
      </c>
      <c r="D447" s="15">
        <v>1</v>
      </c>
      <c r="E447" s="15">
        <v>1</v>
      </c>
      <c r="F447" s="7" t="s">
        <v>479</v>
      </c>
      <c r="G447" s="7" t="s">
        <v>480</v>
      </c>
    </row>
    <row r="448" ht="14" customHeight="1" spans="1:7">
      <c r="A448">
        <v>10190</v>
      </c>
      <c r="B448">
        <v>1</v>
      </c>
      <c r="C448">
        <v>1</v>
      </c>
      <c r="D448" s="15">
        <v>1</v>
      </c>
      <c r="E448" s="15">
        <v>1</v>
      </c>
      <c r="F448" s="7" t="s">
        <v>481</v>
      </c>
      <c r="G448" s="7" t="s">
        <v>482</v>
      </c>
    </row>
    <row r="449" ht="14" customHeight="1" spans="1:7">
      <c r="A449">
        <v>10191</v>
      </c>
      <c r="B449">
        <v>1</v>
      </c>
      <c r="C449">
        <v>1</v>
      </c>
      <c r="D449" s="15">
        <v>1</v>
      </c>
      <c r="E449" s="15">
        <v>1</v>
      </c>
      <c r="F449" s="7" t="s">
        <v>483</v>
      </c>
      <c r="G449" s="7" t="s">
        <v>484</v>
      </c>
    </row>
    <row r="450" ht="14" customHeight="1" spans="1:7">
      <c r="A450">
        <v>10192</v>
      </c>
      <c r="B450">
        <v>1</v>
      </c>
      <c r="C450">
        <v>1</v>
      </c>
      <c r="D450" s="15">
        <v>1</v>
      </c>
      <c r="E450" s="15">
        <v>1</v>
      </c>
      <c r="F450" s="7" t="s">
        <v>485</v>
      </c>
      <c r="G450" s="7" t="s">
        <v>486</v>
      </c>
    </row>
    <row r="451" ht="14" customHeight="1" spans="1:7">
      <c r="A451" s="58">
        <v>10193</v>
      </c>
      <c r="B451">
        <v>1</v>
      </c>
      <c r="C451">
        <v>1</v>
      </c>
      <c r="D451" s="15">
        <v>1</v>
      </c>
      <c r="E451" s="15">
        <v>1</v>
      </c>
      <c r="F451" s="7" t="s">
        <v>487</v>
      </c>
      <c r="G451" s="7" t="s">
        <v>488</v>
      </c>
    </row>
    <row r="452" ht="14" customHeight="1" spans="1:7">
      <c r="A452">
        <v>10194</v>
      </c>
      <c r="B452">
        <v>1</v>
      </c>
      <c r="C452">
        <v>1</v>
      </c>
      <c r="D452" s="15">
        <v>1</v>
      </c>
      <c r="E452" s="15">
        <v>1</v>
      </c>
      <c r="F452" s="7" t="s">
        <v>489</v>
      </c>
      <c r="G452" s="7" t="s">
        <v>490</v>
      </c>
    </row>
    <row r="453" ht="14" customHeight="1" spans="1:7">
      <c r="A453">
        <v>10195</v>
      </c>
      <c r="B453">
        <v>1</v>
      </c>
      <c r="C453">
        <v>1</v>
      </c>
      <c r="D453" s="15">
        <v>1</v>
      </c>
      <c r="E453" s="15">
        <v>1</v>
      </c>
      <c r="F453" s="7" t="s">
        <v>491</v>
      </c>
      <c r="G453" s="7" t="s">
        <v>492</v>
      </c>
    </row>
    <row r="454" ht="14" customHeight="1" spans="1:7">
      <c r="A454">
        <v>10196</v>
      </c>
      <c r="B454">
        <v>1</v>
      </c>
      <c r="C454">
        <v>1</v>
      </c>
      <c r="D454" s="15">
        <v>1</v>
      </c>
      <c r="E454" s="15">
        <v>1</v>
      </c>
      <c r="F454" s="7" t="s">
        <v>493</v>
      </c>
      <c r="G454" s="7" t="s">
        <v>494</v>
      </c>
    </row>
    <row r="455" ht="14" customHeight="1" spans="1:7">
      <c r="A455">
        <v>10197</v>
      </c>
      <c r="B455">
        <v>1</v>
      </c>
      <c r="C455">
        <v>1</v>
      </c>
      <c r="D455" s="15">
        <v>1</v>
      </c>
      <c r="E455" s="15">
        <v>1</v>
      </c>
      <c r="F455" s="7" t="s">
        <v>495</v>
      </c>
      <c r="G455" s="7" t="s">
        <v>496</v>
      </c>
    </row>
    <row r="456" ht="14" customHeight="1" spans="1:7">
      <c r="A456">
        <v>10198</v>
      </c>
      <c r="B456">
        <v>1</v>
      </c>
      <c r="C456">
        <v>1</v>
      </c>
      <c r="D456" s="15">
        <v>1</v>
      </c>
      <c r="E456" s="15">
        <v>1</v>
      </c>
      <c r="F456" s="7" t="s">
        <v>497</v>
      </c>
      <c r="G456" s="7" t="s">
        <v>498</v>
      </c>
    </row>
    <row r="457" ht="14" customHeight="1" spans="1:7">
      <c r="A457">
        <v>10199</v>
      </c>
      <c r="B457">
        <v>1</v>
      </c>
      <c r="C457">
        <v>1</v>
      </c>
      <c r="D457" s="15">
        <v>1</v>
      </c>
      <c r="E457" s="15">
        <v>1</v>
      </c>
      <c r="F457" s="7" t="s">
        <v>499</v>
      </c>
      <c r="G457" s="7" t="s">
        <v>500</v>
      </c>
    </row>
    <row r="458" ht="14" customHeight="1" spans="1:7">
      <c r="A458">
        <v>10200</v>
      </c>
      <c r="B458">
        <v>1</v>
      </c>
      <c r="C458">
        <v>1</v>
      </c>
      <c r="D458" s="15">
        <v>1</v>
      </c>
      <c r="E458" s="15">
        <v>1</v>
      </c>
      <c r="F458" s="7" t="s">
        <v>501</v>
      </c>
      <c r="G458" s="7" t="s">
        <v>502</v>
      </c>
    </row>
    <row r="459" ht="14" customHeight="1" spans="1:7">
      <c r="A459">
        <v>10201</v>
      </c>
      <c r="B459">
        <v>1</v>
      </c>
      <c r="C459">
        <v>1</v>
      </c>
      <c r="D459" s="15">
        <v>1</v>
      </c>
      <c r="E459" s="15">
        <v>1</v>
      </c>
      <c r="F459" s="7" t="s">
        <v>503</v>
      </c>
      <c r="G459" s="7" t="s">
        <v>504</v>
      </c>
    </row>
    <row r="460" ht="14" customHeight="1" spans="1:7">
      <c r="A460">
        <v>10202</v>
      </c>
      <c r="B460">
        <v>1</v>
      </c>
      <c r="C460">
        <v>1</v>
      </c>
      <c r="D460" s="15">
        <v>1</v>
      </c>
      <c r="E460" s="15">
        <v>1</v>
      </c>
      <c r="F460" s="7" t="s">
        <v>505</v>
      </c>
      <c r="G460" s="7" t="s">
        <v>506</v>
      </c>
    </row>
    <row r="461" ht="14" customHeight="1" spans="1:7">
      <c r="A461">
        <v>10203</v>
      </c>
      <c r="B461">
        <v>1</v>
      </c>
      <c r="C461">
        <v>1</v>
      </c>
      <c r="D461" s="15">
        <v>1</v>
      </c>
      <c r="E461" s="15">
        <v>1</v>
      </c>
      <c r="F461" s="7" t="s">
        <v>507</v>
      </c>
      <c r="G461" s="7" t="s">
        <v>508</v>
      </c>
    </row>
    <row r="462" ht="14" customHeight="1" spans="1:7">
      <c r="A462">
        <v>10204</v>
      </c>
      <c r="B462">
        <v>1</v>
      </c>
      <c r="C462">
        <v>1</v>
      </c>
      <c r="D462" s="15">
        <v>1</v>
      </c>
      <c r="E462" s="15">
        <v>1</v>
      </c>
      <c r="F462" s="7" t="s">
        <v>509</v>
      </c>
      <c r="G462" s="7" t="s">
        <v>510</v>
      </c>
    </row>
    <row r="463" ht="14" customHeight="1" spans="1:7">
      <c r="A463">
        <v>10205</v>
      </c>
      <c r="B463">
        <v>1</v>
      </c>
      <c r="C463">
        <v>1</v>
      </c>
      <c r="D463" s="15">
        <v>1</v>
      </c>
      <c r="E463" s="15">
        <v>1</v>
      </c>
      <c r="F463" s="7" t="s">
        <v>511</v>
      </c>
      <c r="G463" s="7" t="s">
        <v>512</v>
      </c>
    </row>
    <row r="464" ht="14" customHeight="1" spans="1:7">
      <c r="A464">
        <v>10206</v>
      </c>
      <c r="B464">
        <v>1</v>
      </c>
      <c r="C464">
        <v>1</v>
      </c>
      <c r="D464" s="15">
        <v>1</v>
      </c>
      <c r="E464" s="15">
        <v>1</v>
      </c>
      <c r="F464" s="7" t="s">
        <v>513</v>
      </c>
      <c r="G464" s="7" t="s">
        <v>514</v>
      </c>
    </row>
    <row r="465" ht="14" customHeight="1" spans="1:7">
      <c r="A465">
        <v>10207</v>
      </c>
      <c r="B465">
        <v>1</v>
      </c>
      <c r="C465">
        <v>1</v>
      </c>
      <c r="D465" s="15">
        <v>1</v>
      </c>
      <c r="E465" s="15">
        <v>1</v>
      </c>
      <c r="F465" s="7" t="s">
        <v>515</v>
      </c>
      <c r="G465" s="7" t="s">
        <v>516</v>
      </c>
    </row>
    <row r="466" ht="14" customHeight="1" spans="1:7">
      <c r="A466">
        <v>10208</v>
      </c>
      <c r="B466">
        <v>1</v>
      </c>
      <c r="C466">
        <v>1</v>
      </c>
      <c r="D466" s="15">
        <v>1</v>
      </c>
      <c r="E466" s="15">
        <v>1</v>
      </c>
      <c r="F466" s="7" t="s">
        <v>517</v>
      </c>
      <c r="G466" s="7" t="s">
        <v>516</v>
      </c>
    </row>
    <row r="467" ht="14" customHeight="1" spans="1:7">
      <c r="A467">
        <v>10209</v>
      </c>
      <c r="B467">
        <v>1</v>
      </c>
      <c r="C467">
        <v>1</v>
      </c>
      <c r="D467" s="15">
        <v>1</v>
      </c>
      <c r="E467" s="15">
        <v>1</v>
      </c>
      <c r="F467" s="7" t="s">
        <v>518</v>
      </c>
      <c r="G467" s="7" t="s">
        <v>519</v>
      </c>
    </row>
    <row r="468" ht="14" customHeight="1" spans="1:7">
      <c r="A468">
        <v>10210</v>
      </c>
      <c r="B468">
        <v>1</v>
      </c>
      <c r="C468">
        <v>1</v>
      </c>
      <c r="D468" s="15">
        <v>1</v>
      </c>
      <c r="E468" s="15">
        <v>1</v>
      </c>
      <c r="F468" s="7" t="s">
        <v>520</v>
      </c>
      <c r="G468" s="7" t="s">
        <v>387</v>
      </c>
    </row>
    <row r="469" ht="14" customHeight="1" spans="1:7">
      <c r="A469">
        <v>10211</v>
      </c>
      <c r="B469">
        <v>1</v>
      </c>
      <c r="C469">
        <v>1</v>
      </c>
      <c r="D469" s="15">
        <v>1</v>
      </c>
      <c r="E469" s="15">
        <v>1</v>
      </c>
      <c r="F469" s="7" t="s">
        <v>521</v>
      </c>
      <c r="G469" s="7" t="s">
        <v>387</v>
      </c>
    </row>
    <row r="470" ht="14" customHeight="1" spans="1:7">
      <c r="A470">
        <v>10212</v>
      </c>
      <c r="B470">
        <v>1</v>
      </c>
      <c r="C470">
        <v>1</v>
      </c>
      <c r="D470" s="15">
        <v>1</v>
      </c>
      <c r="E470" s="15">
        <v>1</v>
      </c>
      <c r="F470" s="7" t="s">
        <v>522</v>
      </c>
      <c r="G470" s="7" t="s">
        <v>389</v>
      </c>
    </row>
    <row r="471" ht="14" customHeight="1" spans="1:7">
      <c r="A471">
        <v>10213</v>
      </c>
      <c r="B471">
        <v>1</v>
      </c>
      <c r="C471">
        <v>1</v>
      </c>
      <c r="D471" s="15">
        <v>1</v>
      </c>
      <c r="E471" s="15">
        <v>1</v>
      </c>
      <c r="F471" s="7" t="s">
        <v>523</v>
      </c>
      <c r="G471" s="7" t="s">
        <v>389</v>
      </c>
    </row>
    <row r="472" ht="14" customHeight="1" spans="1:7">
      <c r="A472">
        <v>10214</v>
      </c>
      <c r="B472">
        <v>1</v>
      </c>
      <c r="C472">
        <v>1</v>
      </c>
      <c r="D472" s="15">
        <v>1</v>
      </c>
      <c r="E472" s="15">
        <v>1</v>
      </c>
      <c r="F472" s="7" t="s">
        <v>524</v>
      </c>
      <c r="G472" s="7" t="s">
        <v>391</v>
      </c>
    </row>
    <row r="473" ht="14" customHeight="1" spans="1:7">
      <c r="A473">
        <v>10215</v>
      </c>
      <c r="B473">
        <v>1</v>
      </c>
      <c r="C473">
        <v>1</v>
      </c>
      <c r="D473" s="15">
        <v>1</v>
      </c>
      <c r="E473" s="15">
        <v>1</v>
      </c>
      <c r="F473" s="7" t="s">
        <v>525</v>
      </c>
      <c r="G473" s="7" t="s">
        <v>391</v>
      </c>
    </row>
    <row r="474" ht="14" customHeight="1" spans="1:7">
      <c r="A474">
        <v>10216</v>
      </c>
      <c r="B474">
        <v>1</v>
      </c>
      <c r="C474">
        <v>1</v>
      </c>
      <c r="D474" s="15">
        <v>1</v>
      </c>
      <c r="E474" s="15">
        <v>1</v>
      </c>
      <c r="F474" s="7" t="s">
        <v>526</v>
      </c>
      <c r="G474" s="7" t="s">
        <v>393</v>
      </c>
    </row>
    <row r="475" ht="14" customHeight="1" spans="1:7">
      <c r="A475">
        <v>10217</v>
      </c>
      <c r="B475">
        <v>1</v>
      </c>
      <c r="C475">
        <v>1</v>
      </c>
      <c r="D475" s="15">
        <v>1</v>
      </c>
      <c r="E475" s="15">
        <v>1</v>
      </c>
      <c r="F475" s="7" t="s">
        <v>527</v>
      </c>
      <c r="G475" s="7" t="s">
        <v>393</v>
      </c>
    </row>
    <row r="476" ht="14" customHeight="1" spans="1:7">
      <c r="A476">
        <v>10218</v>
      </c>
      <c r="B476">
        <v>1</v>
      </c>
      <c r="C476">
        <v>1</v>
      </c>
      <c r="D476" s="15">
        <v>1</v>
      </c>
      <c r="E476" s="15">
        <v>1</v>
      </c>
      <c r="F476" s="7" t="s">
        <v>528</v>
      </c>
      <c r="G476" s="7" t="s">
        <v>395</v>
      </c>
    </row>
    <row r="477" ht="14" customHeight="1" spans="1:7">
      <c r="A477">
        <v>10219</v>
      </c>
      <c r="B477">
        <v>1</v>
      </c>
      <c r="C477">
        <v>1</v>
      </c>
      <c r="D477" s="15">
        <v>1</v>
      </c>
      <c r="E477" s="15">
        <v>1</v>
      </c>
      <c r="F477" s="7" t="s">
        <v>529</v>
      </c>
      <c r="G477" s="7" t="s">
        <v>395</v>
      </c>
    </row>
    <row r="478" ht="14" customHeight="1" spans="1:7">
      <c r="A478">
        <v>10220</v>
      </c>
      <c r="B478">
        <v>1</v>
      </c>
      <c r="C478">
        <v>1</v>
      </c>
      <c r="D478" s="15">
        <v>1</v>
      </c>
      <c r="E478" s="15">
        <v>1</v>
      </c>
      <c r="F478" s="7" t="s">
        <v>530</v>
      </c>
      <c r="G478" s="7" t="s">
        <v>397</v>
      </c>
    </row>
    <row r="479" ht="14" customHeight="1" spans="1:7">
      <c r="A479">
        <v>10221</v>
      </c>
      <c r="B479">
        <v>1</v>
      </c>
      <c r="C479">
        <v>1</v>
      </c>
      <c r="D479" s="15">
        <v>1</v>
      </c>
      <c r="E479" s="15">
        <v>1</v>
      </c>
      <c r="F479" s="7" t="s">
        <v>531</v>
      </c>
      <c r="G479" s="7" t="s">
        <v>397</v>
      </c>
    </row>
    <row r="480" ht="14" customHeight="1" spans="1:7">
      <c r="A480">
        <v>10222</v>
      </c>
      <c r="B480">
        <v>1</v>
      </c>
      <c r="C480">
        <v>1</v>
      </c>
      <c r="D480" s="15">
        <v>1</v>
      </c>
      <c r="E480" s="15">
        <v>1</v>
      </c>
      <c r="F480" s="7" t="s">
        <v>532</v>
      </c>
      <c r="G480" s="7" t="s">
        <v>399</v>
      </c>
    </row>
    <row r="481" ht="14" customHeight="1" spans="1:7">
      <c r="A481">
        <v>10223</v>
      </c>
      <c r="B481">
        <v>1</v>
      </c>
      <c r="C481">
        <v>1</v>
      </c>
      <c r="D481" s="15">
        <v>1</v>
      </c>
      <c r="E481" s="15">
        <v>1</v>
      </c>
      <c r="F481" s="7" t="s">
        <v>533</v>
      </c>
      <c r="G481" s="7" t="s">
        <v>399</v>
      </c>
    </row>
    <row r="482" ht="14" customHeight="1" spans="1:7">
      <c r="A482">
        <v>10224</v>
      </c>
      <c r="B482">
        <v>1</v>
      </c>
      <c r="C482">
        <v>1</v>
      </c>
      <c r="D482" s="15">
        <v>1</v>
      </c>
      <c r="E482" s="15">
        <v>1</v>
      </c>
      <c r="F482" s="7" t="s">
        <v>534</v>
      </c>
      <c r="G482" s="7" t="s">
        <v>401</v>
      </c>
    </row>
    <row r="483" ht="14" customHeight="1" spans="1:7">
      <c r="A483">
        <v>10225</v>
      </c>
      <c r="B483">
        <v>1</v>
      </c>
      <c r="C483">
        <v>1</v>
      </c>
      <c r="D483" s="15">
        <v>1</v>
      </c>
      <c r="E483" s="15">
        <v>1</v>
      </c>
      <c r="F483" s="7" t="s">
        <v>535</v>
      </c>
      <c r="G483" s="7" t="s">
        <v>401</v>
      </c>
    </row>
    <row r="484" ht="14" customHeight="1" spans="1:7">
      <c r="A484">
        <v>10226</v>
      </c>
      <c r="B484">
        <v>2</v>
      </c>
      <c r="C484">
        <v>1</v>
      </c>
      <c r="D484" s="15">
        <v>1</v>
      </c>
      <c r="E484" s="15">
        <v>1</v>
      </c>
      <c r="F484" s="7" t="s">
        <v>536</v>
      </c>
      <c r="G484" s="7" t="s">
        <v>537</v>
      </c>
    </row>
    <row r="485" ht="14" customHeight="1" spans="1:7">
      <c r="A485">
        <v>10227</v>
      </c>
      <c r="B485">
        <v>1</v>
      </c>
      <c r="C485">
        <v>4</v>
      </c>
      <c r="D485" s="15">
        <v>1</v>
      </c>
      <c r="E485" s="15">
        <v>1</v>
      </c>
      <c r="F485" s="7" t="s">
        <v>538</v>
      </c>
      <c r="G485" s="7" t="s">
        <v>537</v>
      </c>
    </row>
    <row r="486" ht="14" customHeight="1" spans="1:7">
      <c r="A486">
        <v>10228</v>
      </c>
      <c r="B486">
        <v>1</v>
      </c>
      <c r="C486">
        <v>4</v>
      </c>
      <c r="D486" s="15">
        <v>1</v>
      </c>
      <c r="E486" s="15">
        <v>1</v>
      </c>
      <c r="F486" s="7" t="s">
        <v>539</v>
      </c>
      <c r="G486" s="7" t="s">
        <v>537</v>
      </c>
    </row>
    <row r="487" ht="14" customHeight="1" spans="1:7">
      <c r="A487">
        <v>10229</v>
      </c>
      <c r="B487">
        <v>1</v>
      </c>
      <c r="C487">
        <v>4</v>
      </c>
      <c r="D487" s="15">
        <v>1</v>
      </c>
      <c r="E487" s="15">
        <v>1</v>
      </c>
      <c r="F487" s="7" t="s">
        <v>540</v>
      </c>
      <c r="G487" s="7" t="s">
        <v>537</v>
      </c>
    </row>
    <row r="488" ht="14" customHeight="1" spans="1:7">
      <c r="A488">
        <v>10230</v>
      </c>
      <c r="B488">
        <v>1</v>
      </c>
      <c r="C488">
        <v>1</v>
      </c>
      <c r="D488" s="15">
        <v>0</v>
      </c>
      <c r="E488" s="15">
        <v>1</v>
      </c>
      <c r="F488" t="s">
        <v>541</v>
      </c>
      <c r="G488" s="7" t="s">
        <v>542</v>
      </c>
    </row>
    <row r="489" ht="14" customHeight="1" spans="1:7">
      <c r="A489">
        <v>10231</v>
      </c>
      <c r="B489">
        <v>1</v>
      </c>
      <c r="C489">
        <v>1</v>
      </c>
      <c r="D489" s="15">
        <v>0</v>
      </c>
      <c r="E489" s="15">
        <v>1</v>
      </c>
      <c r="F489" t="s">
        <v>543</v>
      </c>
      <c r="G489" s="7" t="s">
        <v>544</v>
      </c>
    </row>
    <row r="490" ht="14" customHeight="1" spans="1:7">
      <c r="A490">
        <v>10232</v>
      </c>
      <c r="B490">
        <v>1</v>
      </c>
      <c r="C490">
        <v>1</v>
      </c>
      <c r="D490" s="15">
        <v>0</v>
      </c>
      <c r="E490" s="15">
        <v>1</v>
      </c>
      <c r="F490" s="7" t="s">
        <v>545</v>
      </c>
      <c r="G490" s="7" t="s">
        <v>546</v>
      </c>
    </row>
    <row r="491" ht="14" customHeight="1" spans="1:7">
      <c r="A491">
        <v>10233</v>
      </c>
      <c r="B491">
        <v>1</v>
      </c>
      <c r="C491">
        <v>1</v>
      </c>
      <c r="D491" s="15">
        <v>0</v>
      </c>
      <c r="E491" s="15">
        <v>1</v>
      </c>
      <c r="F491" s="7" t="s">
        <v>547</v>
      </c>
      <c r="G491" s="7" t="s">
        <v>548</v>
      </c>
    </row>
    <row r="492" ht="14" customHeight="1" spans="1:7">
      <c r="A492">
        <v>10234</v>
      </c>
      <c r="B492">
        <v>1</v>
      </c>
      <c r="C492">
        <v>1</v>
      </c>
      <c r="D492" s="15">
        <v>0</v>
      </c>
      <c r="E492" s="15">
        <v>1</v>
      </c>
      <c r="F492" s="7" t="s">
        <v>549</v>
      </c>
      <c r="G492" s="7" t="s">
        <v>550</v>
      </c>
    </row>
    <row r="493" ht="14" customHeight="1" spans="1:7">
      <c r="A493">
        <v>10235</v>
      </c>
      <c r="B493">
        <v>2</v>
      </c>
      <c r="C493">
        <v>1</v>
      </c>
      <c r="D493" s="15">
        <v>1</v>
      </c>
      <c r="E493" s="15">
        <v>1</v>
      </c>
      <c r="F493" s="7" t="s">
        <v>551</v>
      </c>
      <c r="G493" s="7" t="s">
        <v>552</v>
      </c>
    </row>
    <row r="494" ht="14" customHeight="1" spans="1:7">
      <c r="A494">
        <v>10236</v>
      </c>
      <c r="B494">
        <v>1</v>
      </c>
      <c r="C494">
        <v>1</v>
      </c>
      <c r="D494" s="15">
        <v>1</v>
      </c>
      <c r="E494" s="15">
        <v>1</v>
      </c>
      <c r="F494" s="7" t="s">
        <v>553</v>
      </c>
      <c r="G494" s="7" t="s">
        <v>552</v>
      </c>
    </row>
    <row r="495" ht="14" customHeight="1" spans="1:7">
      <c r="A495">
        <v>10237</v>
      </c>
      <c r="B495">
        <v>1</v>
      </c>
      <c r="C495">
        <v>1</v>
      </c>
      <c r="D495" s="15">
        <v>1</v>
      </c>
      <c r="E495" s="15">
        <v>1</v>
      </c>
      <c r="F495" s="7" t="s">
        <v>554</v>
      </c>
      <c r="G495" s="7" t="s">
        <v>552</v>
      </c>
    </row>
    <row r="496" ht="14" customHeight="1" spans="1:7">
      <c r="A496">
        <v>10238</v>
      </c>
      <c r="B496">
        <v>1</v>
      </c>
      <c r="C496">
        <v>1</v>
      </c>
      <c r="D496" s="15">
        <v>0</v>
      </c>
      <c r="E496" s="15">
        <v>1</v>
      </c>
      <c r="F496" s="7" t="s">
        <v>554</v>
      </c>
      <c r="G496" s="7" t="s">
        <v>552</v>
      </c>
    </row>
    <row r="497" ht="14" customHeight="1" spans="1:7">
      <c r="A497">
        <v>10239</v>
      </c>
      <c r="B497">
        <v>1</v>
      </c>
      <c r="C497">
        <v>1</v>
      </c>
      <c r="D497" s="15">
        <v>1</v>
      </c>
      <c r="E497" s="15">
        <v>1</v>
      </c>
      <c r="F497" s="7" t="s">
        <v>554</v>
      </c>
      <c r="G497" s="7" t="s">
        <v>552</v>
      </c>
    </row>
    <row r="498" s="36" customFormat="1" ht="14" customHeight="1" spans="1:7">
      <c r="A498" s="36">
        <v>10240</v>
      </c>
      <c r="B498" s="36">
        <v>1</v>
      </c>
      <c r="C498" s="36">
        <v>1</v>
      </c>
      <c r="D498" s="36">
        <v>1</v>
      </c>
      <c r="E498" s="36">
        <v>1</v>
      </c>
      <c r="F498" s="59" t="s">
        <v>555</v>
      </c>
      <c r="G498" s="59" t="s">
        <v>556</v>
      </c>
    </row>
    <row r="499" s="36" customFormat="1" ht="14" customHeight="1" spans="1:7">
      <c r="A499" s="36">
        <v>10241</v>
      </c>
      <c r="B499" s="36">
        <v>1</v>
      </c>
      <c r="C499" s="36">
        <v>1</v>
      </c>
      <c r="D499" s="36">
        <v>1</v>
      </c>
      <c r="E499" s="36">
        <v>1</v>
      </c>
      <c r="F499" s="59" t="s">
        <v>557</v>
      </c>
      <c r="G499" s="59" t="s">
        <v>558</v>
      </c>
    </row>
    <row r="500" s="36" customFormat="1" ht="14" customHeight="1" spans="1:7">
      <c r="A500" s="36">
        <v>10242</v>
      </c>
      <c r="B500" s="36">
        <v>1</v>
      </c>
      <c r="C500" s="36">
        <v>1</v>
      </c>
      <c r="D500" s="36">
        <v>1</v>
      </c>
      <c r="E500" s="36">
        <v>1</v>
      </c>
      <c r="F500" s="59" t="s">
        <v>559</v>
      </c>
      <c r="G500" s="59" t="s">
        <v>560</v>
      </c>
    </row>
    <row r="501" s="36" customFormat="1" ht="14" customHeight="1" spans="1:7">
      <c r="A501" s="36">
        <v>10243</v>
      </c>
      <c r="B501" s="36">
        <v>1</v>
      </c>
      <c r="C501" s="36">
        <v>1</v>
      </c>
      <c r="D501" s="36">
        <v>1</v>
      </c>
      <c r="E501" s="36">
        <v>1</v>
      </c>
      <c r="F501" s="59" t="s">
        <v>561</v>
      </c>
      <c r="G501" s="59" t="s">
        <v>562</v>
      </c>
    </row>
    <row r="502" s="37" customFormat="1" ht="14" customHeight="1" spans="1:7">
      <c r="A502" s="37">
        <v>10244</v>
      </c>
      <c r="B502" s="37">
        <v>2</v>
      </c>
      <c r="C502" s="37">
        <v>1</v>
      </c>
      <c r="D502" s="37">
        <v>1</v>
      </c>
      <c r="E502" s="37">
        <v>1</v>
      </c>
      <c r="F502" s="60" t="s">
        <v>563</v>
      </c>
      <c r="G502" s="60" t="s">
        <v>564</v>
      </c>
    </row>
    <row r="503" s="37" customFormat="1" ht="14" customHeight="1" spans="1:7">
      <c r="A503" s="37">
        <v>10245</v>
      </c>
      <c r="B503" s="37">
        <v>1</v>
      </c>
      <c r="C503" s="37">
        <v>1</v>
      </c>
      <c r="D503" s="37">
        <v>1</v>
      </c>
      <c r="E503" s="37">
        <v>1</v>
      </c>
      <c r="F503" s="60" t="s">
        <v>565</v>
      </c>
      <c r="G503" s="60" t="s">
        <v>564</v>
      </c>
    </row>
    <row r="504" s="37" customFormat="1" ht="14" customHeight="1" spans="1:7">
      <c r="A504" s="37">
        <v>10246</v>
      </c>
      <c r="B504" s="37">
        <v>1</v>
      </c>
      <c r="C504" s="37">
        <v>1</v>
      </c>
      <c r="D504" s="37">
        <v>1</v>
      </c>
      <c r="E504" s="37">
        <v>1</v>
      </c>
      <c r="F504" s="7" t="s">
        <v>566</v>
      </c>
      <c r="G504" s="60" t="s">
        <v>567</v>
      </c>
    </row>
    <row r="505" s="38" customFormat="1" ht="14" customHeight="1" spans="1:7">
      <c r="A505" s="38">
        <v>10247</v>
      </c>
      <c r="B505" s="37">
        <v>2</v>
      </c>
      <c r="C505" s="37">
        <v>1</v>
      </c>
      <c r="D505" s="37">
        <v>1</v>
      </c>
      <c r="E505" s="37">
        <v>1</v>
      </c>
      <c r="F505" s="38" t="s">
        <v>568</v>
      </c>
      <c r="G505" s="61" t="s">
        <v>569</v>
      </c>
    </row>
    <row r="506" s="38" customFormat="1" ht="14" customHeight="1" spans="1:7">
      <c r="A506" s="38">
        <v>10248</v>
      </c>
      <c r="B506" s="37">
        <v>1</v>
      </c>
      <c r="C506" s="37">
        <v>1</v>
      </c>
      <c r="D506" s="37">
        <v>1</v>
      </c>
      <c r="E506" s="37">
        <v>1</v>
      </c>
      <c r="F506" s="61" t="s">
        <v>570</v>
      </c>
      <c r="G506" s="61" t="s">
        <v>569</v>
      </c>
    </row>
    <row r="507" s="38" customFormat="1" ht="14" customHeight="1" spans="1:7">
      <c r="A507" s="38">
        <v>10249</v>
      </c>
      <c r="B507" s="37">
        <v>1</v>
      </c>
      <c r="C507" s="37">
        <v>1</v>
      </c>
      <c r="D507" s="37">
        <v>1</v>
      </c>
      <c r="E507" s="37">
        <v>1</v>
      </c>
      <c r="F507" s="7" t="s">
        <v>571</v>
      </c>
      <c r="G507" s="61" t="s">
        <v>572</v>
      </c>
    </row>
    <row r="508" s="39" customFormat="1" ht="14" customHeight="1" spans="1:7">
      <c r="A508" s="39">
        <v>10250</v>
      </c>
      <c r="B508" s="37">
        <v>2</v>
      </c>
      <c r="C508" s="37">
        <v>1</v>
      </c>
      <c r="D508" s="37">
        <v>1</v>
      </c>
      <c r="E508" s="37">
        <v>1</v>
      </c>
      <c r="F508" s="62" t="s">
        <v>573</v>
      </c>
      <c r="G508" s="62" t="s">
        <v>574</v>
      </c>
    </row>
    <row r="509" s="39" customFormat="1" ht="14" customHeight="1" spans="1:7">
      <c r="A509" s="39">
        <v>10251</v>
      </c>
      <c r="B509" s="37">
        <v>1</v>
      </c>
      <c r="C509" s="37">
        <v>1</v>
      </c>
      <c r="D509" s="37">
        <v>1</v>
      </c>
      <c r="E509" s="37">
        <v>1</v>
      </c>
      <c r="F509" s="62" t="s">
        <v>575</v>
      </c>
      <c r="G509" s="62" t="s">
        <v>574</v>
      </c>
    </row>
    <row r="510" s="39" customFormat="1" ht="14" customHeight="1" spans="1:7">
      <c r="A510" s="39">
        <v>10252</v>
      </c>
      <c r="B510" s="37">
        <v>1</v>
      </c>
      <c r="C510" s="37">
        <v>1</v>
      </c>
      <c r="D510" s="37">
        <v>1</v>
      </c>
      <c r="E510" s="37">
        <v>1</v>
      </c>
      <c r="F510" s="7" t="s">
        <v>576</v>
      </c>
      <c r="G510" s="62" t="s">
        <v>577</v>
      </c>
    </row>
    <row r="511" s="40" customFormat="1" ht="14" customHeight="1" spans="1:7">
      <c r="A511" s="40">
        <v>10253</v>
      </c>
      <c r="B511" s="37">
        <v>2</v>
      </c>
      <c r="C511" s="37">
        <v>1</v>
      </c>
      <c r="D511" s="37">
        <v>1</v>
      </c>
      <c r="E511" s="37">
        <v>1</v>
      </c>
      <c r="F511" s="63" t="s">
        <v>578</v>
      </c>
      <c r="G511" s="63" t="s">
        <v>579</v>
      </c>
    </row>
    <row r="512" s="40" customFormat="1" ht="14" customHeight="1" spans="1:7">
      <c r="A512" s="40">
        <v>10254</v>
      </c>
      <c r="B512" s="37">
        <v>1</v>
      </c>
      <c r="C512" s="37">
        <v>1</v>
      </c>
      <c r="D512" s="37">
        <v>1</v>
      </c>
      <c r="E512" s="37">
        <v>1</v>
      </c>
      <c r="F512" s="63" t="s">
        <v>580</v>
      </c>
      <c r="G512" s="63" t="s">
        <v>579</v>
      </c>
    </row>
    <row r="513" s="40" customFormat="1" ht="14" customHeight="1" spans="1:7">
      <c r="A513" s="40">
        <v>10255</v>
      </c>
      <c r="B513" s="37">
        <v>1</v>
      </c>
      <c r="C513" s="37">
        <v>1</v>
      </c>
      <c r="D513" s="37">
        <v>1</v>
      </c>
      <c r="E513" s="37">
        <v>1</v>
      </c>
      <c r="F513" s="7" t="s">
        <v>581</v>
      </c>
      <c r="G513" s="63" t="s">
        <v>582</v>
      </c>
    </row>
    <row r="514" s="40" customFormat="1" ht="14" customHeight="1" spans="1:7">
      <c r="A514" s="40">
        <v>10256</v>
      </c>
      <c r="B514" s="40">
        <v>1</v>
      </c>
      <c r="C514" s="40">
        <v>4</v>
      </c>
      <c r="D514" s="40">
        <v>1</v>
      </c>
      <c r="E514" s="40">
        <v>1</v>
      </c>
      <c r="F514" s="40" t="s">
        <v>583</v>
      </c>
      <c r="G514" s="40" t="s">
        <v>584</v>
      </c>
    </row>
    <row r="515" ht="14" customHeight="1" spans="1:7">
      <c r="A515" s="40">
        <v>10257</v>
      </c>
      <c r="B515">
        <v>1</v>
      </c>
      <c r="C515">
        <v>1</v>
      </c>
      <c r="D515" s="15">
        <v>1</v>
      </c>
      <c r="E515" s="15">
        <v>1</v>
      </c>
      <c r="F515" t="s">
        <v>432</v>
      </c>
      <c r="G515" s="7" t="s">
        <v>585</v>
      </c>
    </row>
    <row r="516" ht="14" customHeight="1" spans="1:7">
      <c r="A516">
        <v>10258</v>
      </c>
      <c r="B516">
        <v>1</v>
      </c>
      <c r="C516">
        <v>1</v>
      </c>
      <c r="D516" s="15">
        <v>1</v>
      </c>
      <c r="E516" s="15">
        <v>1</v>
      </c>
      <c r="F516" t="s">
        <v>586</v>
      </c>
      <c r="G516" s="7" t="s">
        <v>585</v>
      </c>
    </row>
    <row r="517" ht="14" customHeight="1" spans="1:7">
      <c r="A517" s="40">
        <v>10259</v>
      </c>
      <c r="B517">
        <v>1</v>
      </c>
      <c r="C517">
        <v>1</v>
      </c>
      <c r="D517" s="15">
        <v>1</v>
      </c>
      <c r="E517" s="15">
        <v>1</v>
      </c>
      <c r="F517" t="s">
        <v>587</v>
      </c>
      <c r="G517" s="7" t="s">
        <v>588</v>
      </c>
    </row>
    <row r="518" ht="14" customHeight="1" spans="1:7">
      <c r="A518">
        <v>10260</v>
      </c>
      <c r="B518">
        <v>1</v>
      </c>
      <c r="C518">
        <v>1</v>
      </c>
      <c r="D518" s="15">
        <v>1</v>
      </c>
      <c r="E518" s="15">
        <v>1</v>
      </c>
      <c r="F518" t="s">
        <v>589</v>
      </c>
      <c r="G518" s="7" t="s">
        <v>590</v>
      </c>
    </row>
    <row r="519" s="41" customFormat="1" ht="14" customHeight="1" spans="1:7">
      <c r="A519" s="41">
        <v>10261</v>
      </c>
      <c r="B519" s="41">
        <v>2</v>
      </c>
      <c r="C519" s="41">
        <v>1</v>
      </c>
      <c r="D519" s="41">
        <v>1</v>
      </c>
      <c r="E519" s="41">
        <v>1</v>
      </c>
      <c r="F519" s="41" t="s">
        <v>591</v>
      </c>
      <c r="G519" s="64" t="s">
        <v>592</v>
      </c>
    </row>
    <row r="520" s="41" customFormat="1" ht="14" customHeight="1" spans="1:7">
      <c r="A520" s="41">
        <v>10262</v>
      </c>
      <c r="B520" s="41">
        <v>1</v>
      </c>
      <c r="C520" s="41">
        <v>1</v>
      </c>
      <c r="D520" s="41">
        <v>1</v>
      </c>
      <c r="E520" s="41">
        <v>1</v>
      </c>
      <c r="F520" s="41" t="s">
        <v>593</v>
      </c>
      <c r="G520" s="64" t="s">
        <v>594</v>
      </c>
    </row>
    <row r="521" s="41" customFormat="1" ht="14" customHeight="1" spans="1:7">
      <c r="A521" s="41">
        <v>10263</v>
      </c>
      <c r="B521" s="41">
        <v>1</v>
      </c>
      <c r="C521" s="41">
        <v>1</v>
      </c>
      <c r="D521" s="41">
        <v>1</v>
      </c>
      <c r="E521" s="41">
        <v>1</v>
      </c>
      <c r="F521" s="41" t="s">
        <v>566</v>
      </c>
      <c r="G521" s="64" t="s">
        <v>595</v>
      </c>
    </row>
    <row r="522" s="41" customFormat="1" ht="14" customHeight="1" spans="1:7">
      <c r="A522" s="41">
        <v>10264</v>
      </c>
      <c r="B522" s="41">
        <v>2</v>
      </c>
      <c r="C522" s="41">
        <v>1</v>
      </c>
      <c r="D522" s="41">
        <v>1</v>
      </c>
      <c r="E522" s="41">
        <v>1</v>
      </c>
      <c r="F522" s="41" t="s">
        <v>596</v>
      </c>
      <c r="G522" s="64" t="s">
        <v>597</v>
      </c>
    </row>
    <row r="523" s="41" customFormat="1" ht="14" customHeight="1" spans="1:7">
      <c r="A523" s="41">
        <v>10265</v>
      </c>
      <c r="B523" s="41">
        <v>1</v>
      </c>
      <c r="C523" s="41">
        <v>1</v>
      </c>
      <c r="D523" s="41">
        <v>1</v>
      </c>
      <c r="E523" s="41">
        <v>1</v>
      </c>
      <c r="F523" s="41" t="s">
        <v>598</v>
      </c>
      <c r="G523" s="64" t="s">
        <v>599</v>
      </c>
    </row>
    <row r="524" s="41" customFormat="1" ht="14" customHeight="1" spans="1:7">
      <c r="A524" s="41">
        <v>10266</v>
      </c>
      <c r="B524" s="41">
        <v>1</v>
      </c>
      <c r="C524" s="41">
        <v>1</v>
      </c>
      <c r="D524" s="41">
        <v>1</v>
      </c>
      <c r="E524" s="41">
        <v>1</v>
      </c>
      <c r="F524" s="41" t="s">
        <v>571</v>
      </c>
      <c r="G524" s="64" t="s">
        <v>600</v>
      </c>
    </row>
    <row r="525" s="41" customFormat="1" ht="14" customHeight="1" spans="1:7">
      <c r="A525" s="41">
        <v>10267</v>
      </c>
      <c r="B525" s="41">
        <v>2</v>
      </c>
      <c r="C525" s="41">
        <v>1</v>
      </c>
      <c r="D525" s="41">
        <v>1</v>
      </c>
      <c r="E525" s="41">
        <v>1</v>
      </c>
      <c r="F525" s="41" t="s">
        <v>601</v>
      </c>
      <c r="G525" s="64" t="s">
        <v>602</v>
      </c>
    </row>
    <row r="526" s="41" customFormat="1" ht="14" customHeight="1" spans="1:7">
      <c r="A526" s="41">
        <v>10268</v>
      </c>
      <c r="B526" s="41">
        <v>1</v>
      </c>
      <c r="C526" s="41">
        <v>1</v>
      </c>
      <c r="D526" s="41">
        <v>1</v>
      </c>
      <c r="E526" s="41">
        <v>1</v>
      </c>
      <c r="F526" s="41" t="s">
        <v>603</v>
      </c>
      <c r="G526" s="64" t="s">
        <v>604</v>
      </c>
    </row>
    <row r="527" s="41" customFormat="1" ht="14" customHeight="1" spans="1:7">
      <c r="A527" s="41">
        <v>10269</v>
      </c>
      <c r="B527" s="41">
        <v>1</v>
      </c>
      <c r="C527" s="41">
        <v>1</v>
      </c>
      <c r="D527" s="41">
        <v>1</v>
      </c>
      <c r="E527" s="41">
        <v>1</v>
      </c>
      <c r="F527" s="41" t="s">
        <v>576</v>
      </c>
      <c r="G527" s="64" t="s">
        <v>605</v>
      </c>
    </row>
    <row r="528" s="41" customFormat="1" ht="14" customHeight="1" spans="1:7">
      <c r="A528" s="41">
        <v>10270</v>
      </c>
      <c r="B528" s="41">
        <v>2</v>
      </c>
      <c r="C528" s="41">
        <v>1</v>
      </c>
      <c r="D528" s="41">
        <v>1</v>
      </c>
      <c r="E528" s="41">
        <v>1</v>
      </c>
      <c r="F528" s="41" t="s">
        <v>606</v>
      </c>
      <c r="G528" s="64" t="s">
        <v>607</v>
      </c>
    </row>
    <row r="529" s="41" customFormat="1" ht="14" customHeight="1" spans="1:7">
      <c r="A529" s="41">
        <v>10271</v>
      </c>
      <c r="B529" s="41">
        <v>1</v>
      </c>
      <c r="C529" s="41">
        <v>1</v>
      </c>
      <c r="D529" s="41">
        <v>1</v>
      </c>
      <c r="E529" s="41">
        <v>1</v>
      </c>
      <c r="F529" s="41" t="s">
        <v>608</v>
      </c>
      <c r="G529" s="64" t="s">
        <v>609</v>
      </c>
    </row>
    <row r="530" s="41" customFormat="1" ht="14" customHeight="1" spans="1:7">
      <c r="A530" s="41">
        <v>10272</v>
      </c>
      <c r="B530" s="41">
        <v>1</v>
      </c>
      <c r="C530" s="41">
        <v>1</v>
      </c>
      <c r="D530" s="41">
        <v>1</v>
      </c>
      <c r="E530" s="41">
        <v>1</v>
      </c>
      <c r="F530" s="41" t="s">
        <v>581</v>
      </c>
      <c r="G530" s="64" t="s">
        <v>610</v>
      </c>
    </row>
    <row r="531" ht="14" customHeight="1" spans="1:7">
      <c r="A531" s="41">
        <v>10273</v>
      </c>
      <c r="B531">
        <v>2</v>
      </c>
      <c r="C531">
        <v>5</v>
      </c>
      <c r="D531">
        <v>1</v>
      </c>
      <c r="E531">
        <v>1</v>
      </c>
      <c r="F531" t="s">
        <v>611</v>
      </c>
      <c r="G531" t="s">
        <v>612</v>
      </c>
    </row>
    <row r="532" ht="14" customHeight="1" spans="1:7">
      <c r="A532" s="41">
        <v>10274</v>
      </c>
      <c r="B532">
        <v>1</v>
      </c>
      <c r="C532">
        <v>1</v>
      </c>
      <c r="D532">
        <v>1</v>
      </c>
      <c r="E532">
        <v>1</v>
      </c>
      <c r="F532" t="s">
        <v>613</v>
      </c>
      <c r="G532" t="s">
        <v>614</v>
      </c>
    </row>
    <row r="533" ht="14" customHeight="1" spans="1:7">
      <c r="A533" s="41">
        <v>10275</v>
      </c>
      <c r="B533">
        <v>1</v>
      </c>
      <c r="C533">
        <v>1</v>
      </c>
      <c r="D533">
        <v>1</v>
      </c>
      <c r="E533">
        <v>1</v>
      </c>
      <c r="F533" t="s">
        <v>615</v>
      </c>
      <c r="G533" t="s">
        <v>614</v>
      </c>
    </row>
    <row r="534" ht="14" customHeight="1" spans="1:7">
      <c r="A534" s="41">
        <v>10276</v>
      </c>
      <c r="B534">
        <v>2</v>
      </c>
      <c r="C534">
        <v>5</v>
      </c>
      <c r="D534">
        <v>1</v>
      </c>
      <c r="E534">
        <v>1</v>
      </c>
      <c r="F534" t="s">
        <v>616</v>
      </c>
      <c r="G534" t="s">
        <v>617</v>
      </c>
    </row>
    <row r="535" ht="14" customHeight="1" spans="1:7">
      <c r="A535">
        <v>10277</v>
      </c>
      <c r="B535">
        <v>1</v>
      </c>
      <c r="C535">
        <v>1</v>
      </c>
      <c r="D535">
        <v>1</v>
      </c>
      <c r="E535">
        <v>1</v>
      </c>
      <c r="F535" t="s">
        <v>618</v>
      </c>
      <c r="G535" t="s">
        <v>619</v>
      </c>
    </row>
    <row r="536" ht="14" customHeight="1" spans="1:7">
      <c r="A536">
        <v>10278</v>
      </c>
      <c r="B536">
        <v>1</v>
      </c>
      <c r="C536">
        <v>1</v>
      </c>
      <c r="D536">
        <v>1</v>
      </c>
      <c r="E536">
        <v>1</v>
      </c>
      <c r="F536" t="s">
        <v>620</v>
      </c>
      <c r="G536" t="s">
        <v>621</v>
      </c>
    </row>
    <row r="537" ht="14" customHeight="1" spans="1:7">
      <c r="A537">
        <v>10279</v>
      </c>
      <c r="B537">
        <v>1</v>
      </c>
      <c r="C537">
        <v>1</v>
      </c>
      <c r="D537">
        <v>1</v>
      </c>
      <c r="E537">
        <v>1</v>
      </c>
      <c r="F537" t="s">
        <v>622</v>
      </c>
    </row>
    <row r="538" ht="14" customHeight="1" spans="1:7">
      <c r="A538">
        <v>10280</v>
      </c>
      <c r="B538">
        <v>1</v>
      </c>
      <c r="C538">
        <v>1</v>
      </c>
      <c r="D538">
        <v>1</v>
      </c>
      <c r="E538">
        <v>1</v>
      </c>
      <c r="F538" t="s">
        <v>623</v>
      </c>
      <c r="G538" t="s">
        <v>624</v>
      </c>
    </row>
    <row r="539" ht="14" customHeight="1" spans="1:7">
      <c r="A539">
        <v>10281</v>
      </c>
      <c r="B539">
        <v>1</v>
      </c>
      <c r="C539">
        <v>1</v>
      </c>
      <c r="D539">
        <v>1</v>
      </c>
      <c r="E539">
        <v>1</v>
      </c>
      <c r="F539" t="s">
        <v>625</v>
      </c>
      <c r="G539" t="s">
        <v>626</v>
      </c>
    </row>
    <row r="540" ht="14" customHeight="1" spans="1:7">
      <c r="A540">
        <v>10282</v>
      </c>
      <c r="B540">
        <v>1</v>
      </c>
      <c r="C540">
        <v>1</v>
      </c>
      <c r="D540">
        <v>1</v>
      </c>
      <c r="E540">
        <v>1</v>
      </c>
      <c r="F540" t="s">
        <v>625</v>
      </c>
      <c r="G540" t="s">
        <v>627</v>
      </c>
    </row>
    <row r="541" ht="14" customHeight="1" spans="1:7">
      <c r="A541">
        <v>10283</v>
      </c>
      <c r="B541">
        <v>1</v>
      </c>
      <c r="C541">
        <v>1</v>
      </c>
      <c r="D541">
        <v>1</v>
      </c>
      <c r="E541">
        <v>1</v>
      </c>
      <c r="F541" t="s">
        <v>628</v>
      </c>
      <c r="G541" t="s">
        <v>629</v>
      </c>
    </row>
    <row r="542" ht="14" customHeight="1" spans="1:7">
      <c r="A542">
        <v>10284</v>
      </c>
      <c r="B542">
        <v>1</v>
      </c>
      <c r="C542">
        <v>1</v>
      </c>
      <c r="D542">
        <v>1</v>
      </c>
      <c r="E542">
        <v>1</v>
      </c>
      <c r="F542" t="s">
        <v>630</v>
      </c>
    </row>
    <row r="543" ht="14" customHeight="1" spans="1:7">
      <c r="A543">
        <v>10285</v>
      </c>
      <c r="B543">
        <v>1</v>
      </c>
      <c r="C543">
        <v>1</v>
      </c>
      <c r="D543">
        <v>1</v>
      </c>
      <c r="E543">
        <v>1</v>
      </c>
      <c r="F543" t="s">
        <v>631</v>
      </c>
      <c r="G543" s="7" t="s">
        <v>632</v>
      </c>
    </row>
    <row r="544" ht="14" customHeight="1" spans="1:7">
      <c r="A544">
        <v>10286</v>
      </c>
      <c r="B544">
        <v>1</v>
      </c>
      <c r="C544">
        <v>1</v>
      </c>
      <c r="D544">
        <v>1</v>
      </c>
      <c r="E544">
        <v>1</v>
      </c>
      <c r="F544" t="s">
        <v>633</v>
      </c>
      <c r="G544" s="7" t="s">
        <v>634</v>
      </c>
    </row>
    <row r="545" ht="14" customHeight="1" spans="1:9">
      <c r="A545">
        <v>10287</v>
      </c>
      <c r="B545">
        <v>1</v>
      </c>
      <c r="C545">
        <v>1</v>
      </c>
      <c r="D545">
        <v>1</v>
      </c>
      <c r="E545">
        <v>1</v>
      </c>
      <c r="F545" t="s">
        <v>150</v>
      </c>
      <c r="G545" s="7" t="s">
        <v>635</v>
      </c>
    </row>
    <row r="546" ht="14" customHeight="1" spans="1:9">
      <c r="A546">
        <v>10288</v>
      </c>
      <c r="B546">
        <v>1</v>
      </c>
      <c r="C546">
        <v>1</v>
      </c>
      <c r="D546">
        <v>1</v>
      </c>
      <c r="E546">
        <v>1</v>
      </c>
      <c r="F546" t="s">
        <v>152</v>
      </c>
      <c r="G546" s="7" t="s">
        <v>636</v>
      </c>
    </row>
    <row r="547" ht="14" customHeight="1" spans="1:9">
      <c r="A547">
        <v>10289</v>
      </c>
      <c r="B547">
        <v>1</v>
      </c>
      <c r="C547">
        <v>1</v>
      </c>
      <c r="D547">
        <v>1</v>
      </c>
      <c r="E547">
        <v>1</v>
      </c>
      <c r="F547" t="s">
        <v>154</v>
      </c>
      <c r="G547" s="7" t="s">
        <v>637</v>
      </c>
    </row>
    <row r="548" ht="14" customHeight="1" spans="1:9">
      <c r="A548">
        <v>10290</v>
      </c>
      <c r="B548">
        <v>1</v>
      </c>
      <c r="C548">
        <v>1</v>
      </c>
      <c r="D548">
        <v>1</v>
      </c>
      <c r="E548">
        <v>1</v>
      </c>
      <c r="F548" t="s">
        <v>156</v>
      </c>
      <c r="G548" s="7" t="s">
        <v>638</v>
      </c>
    </row>
    <row r="549" ht="14" customHeight="1" spans="1:9">
      <c r="A549">
        <v>10291</v>
      </c>
      <c r="B549">
        <v>2</v>
      </c>
      <c r="C549">
        <v>1</v>
      </c>
      <c r="D549">
        <v>1</v>
      </c>
      <c r="E549">
        <v>1</v>
      </c>
      <c r="F549" t="s">
        <v>639</v>
      </c>
      <c r="G549" s="7" t="s">
        <v>640</v>
      </c>
      <c r="H549">
        <f>0.95*0.3</f>
        <v>0.285</v>
      </c>
      <c r="I549">
        <f>H549/5</f>
        <v>0.057</v>
      </c>
    </row>
    <row r="550" ht="14" customHeight="1" spans="1:9">
      <c r="A550">
        <v>10292</v>
      </c>
      <c r="B550">
        <v>1</v>
      </c>
      <c r="C550">
        <v>1</v>
      </c>
      <c r="D550">
        <v>1</v>
      </c>
      <c r="E550">
        <v>1</v>
      </c>
      <c r="F550" t="s">
        <v>641</v>
      </c>
      <c r="G550" s="7" t="s">
        <v>640</v>
      </c>
    </row>
    <row r="551" ht="14" customHeight="1" spans="1:9">
      <c r="A551">
        <v>10293</v>
      </c>
      <c r="B551">
        <v>1</v>
      </c>
      <c r="C551">
        <v>1</v>
      </c>
      <c r="D551">
        <v>1</v>
      </c>
      <c r="E551">
        <v>1</v>
      </c>
      <c r="F551" t="s">
        <v>642</v>
      </c>
      <c r="G551" s="7" t="s">
        <v>640</v>
      </c>
    </row>
    <row r="552" ht="14" customHeight="1" spans="1:9">
      <c r="A552">
        <v>10294</v>
      </c>
      <c r="B552">
        <v>1</v>
      </c>
      <c r="C552">
        <v>1</v>
      </c>
      <c r="D552">
        <v>1</v>
      </c>
      <c r="E552">
        <v>1</v>
      </c>
      <c r="F552" t="s">
        <v>643</v>
      </c>
      <c r="G552" s="7" t="s">
        <v>644</v>
      </c>
    </row>
    <row r="553" ht="14" customHeight="1" spans="1:9">
      <c r="A553">
        <v>10295</v>
      </c>
      <c r="B553">
        <v>2</v>
      </c>
      <c r="C553">
        <v>1</v>
      </c>
      <c r="D553">
        <v>1</v>
      </c>
      <c r="E553">
        <v>1</v>
      </c>
      <c r="F553" t="s">
        <v>645</v>
      </c>
      <c r="G553" s="7" t="s">
        <v>646</v>
      </c>
      <c r="H553">
        <f>0.95*0.7</f>
        <v>0.665</v>
      </c>
      <c r="I553">
        <f>H553/5</f>
        <v>0.133</v>
      </c>
    </row>
    <row r="554" ht="14" customHeight="1" spans="1:9">
      <c r="A554">
        <v>10296</v>
      </c>
      <c r="B554">
        <v>1</v>
      </c>
      <c r="C554">
        <v>1</v>
      </c>
      <c r="D554">
        <v>1</v>
      </c>
      <c r="E554">
        <v>1</v>
      </c>
      <c r="F554" t="s">
        <v>647</v>
      </c>
      <c r="G554" s="7" t="s">
        <v>646</v>
      </c>
      <c r="H554">
        <v>0.05</v>
      </c>
      <c r="I554">
        <f>H554/5</f>
        <v>0.01</v>
      </c>
    </row>
    <row r="555" ht="14" customHeight="1" spans="1:9">
      <c r="A555">
        <v>10297</v>
      </c>
      <c r="B555">
        <v>1</v>
      </c>
      <c r="C555">
        <v>1</v>
      </c>
      <c r="D555">
        <v>1</v>
      </c>
      <c r="E555">
        <v>1</v>
      </c>
      <c r="F555" t="s">
        <v>468</v>
      </c>
      <c r="G555" s="7" t="s">
        <v>646</v>
      </c>
    </row>
    <row r="556" ht="14" customHeight="1" spans="1:9">
      <c r="A556">
        <v>10298</v>
      </c>
      <c r="B556">
        <v>2</v>
      </c>
      <c r="C556">
        <v>1</v>
      </c>
      <c r="D556">
        <v>1</v>
      </c>
      <c r="E556">
        <v>1</v>
      </c>
      <c r="F556" t="s">
        <v>648</v>
      </c>
      <c r="G556" s="7" t="s">
        <v>649</v>
      </c>
    </row>
    <row r="557" ht="14" customHeight="1" spans="1:9">
      <c r="A557">
        <v>10299</v>
      </c>
      <c r="B557">
        <v>1</v>
      </c>
      <c r="C557">
        <v>1</v>
      </c>
      <c r="D557">
        <v>1</v>
      </c>
      <c r="E557">
        <v>1</v>
      </c>
      <c r="F557" s="54" t="s">
        <v>470</v>
      </c>
      <c r="G557" s="7" t="s">
        <v>649</v>
      </c>
    </row>
    <row r="558" ht="14" customHeight="1" spans="1:9">
      <c r="A558">
        <v>10300</v>
      </c>
      <c r="B558">
        <v>1</v>
      </c>
      <c r="C558">
        <v>1</v>
      </c>
      <c r="D558">
        <v>1</v>
      </c>
      <c r="E558">
        <v>1</v>
      </c>
      <c r="F558" t="s">
        <v>650</v>
      </c>
      <c r="G558" s="7" t="s">
        <v>651</v>
      </c>
    </row>
    <row r="559" ht="14" customHeight="1" spans="1:9">
      <c r="A559">
        <v>10301</v>
      </c>
      <c r="B559">
        <v>2</v>
      </c>
      <c r="C559">
        <v>1</v>
      </c>
      <c r="D559">
        <v>1</v>
      </c>
      <c r="E559">
        <v>1</v>
      </c>
      <c r="F559" t="s">
        <v>652</v>
      </c>
      <c r="G559" s="7" t="s">
        <v>653</v>
      </c>
    </row>
    <row r="560" ht="14" customHeight="1" spans="1:9">
      <c r="A560">
        <v>10302</v>
      </c>
      <c r="B560">
        <v>1</v>
      </c>
      <c r="C560">
        <v>1</v>
      </c>
      <c r="D560">
        <v>1</v>
      </c>
      <c r="E560">
        <v>1</v>
      </c>
      <c r="F560" t="s">
        <v>654</v>
      </c>
      <c r="G560" s="7" t="s">
        <v>653</v>
      </c>
    </row>
    <row r="561" ht="14" customHeight="1" spans="1:7">
      <c r="A561">
        <v>10303</v>
      </c>
      <c r="B561">
        <v>1</v>
      </c>
      <c r="C561">
        <v>1</v>
      </c>
      <c r="D561">
        <v>1</v>
      </c>
      <c r="E561">
        <v>1</v>
      </c>
      <c r="F561" t="s">
        <v>655</v>
      </c>
      <c r="G561" s="7" t="s">
        <v>653</v>
      </c>
    </row>
    <row r="562" ht="14" customHeight="1" spans="1:7">
      <c r="A562">
        <v>10304</v>
      </c>
      <c r="B562">
        <v>1</v>
      </c>
      <c r="C562">
        <v>1</v>
      </c>
      <c r="D562">
        <v>1</v>
      </c>
      <c r="E562">
        <v>1</v>
      </c>
      <c r="F562" t="s">
        <v>656</v>
      </c>
      <c r="G562" s="7" t="s">
        <v>657</v>
      </c>
    </row>
    <row r="563" ht="14" customHeight="1" spans="1:7">
      <c r="A563">
        <v>10305</v>
      </c>
      <c r="B563">
        <v>1</v>
      </c>
      <c r="C563">
        <v>1</v>
      </c>
      <c r="D563">
        <v>1</v>
      </c>
      <c r="E563">
        <v>1</v>
      </c>
      <c r="F563" t="s">
        <v>658</v>
      </c>
      <c r="G563" s="7" t="s">
        <v>659</v>
      </c>
    </row>
    <row r="564" ht="14" customHeight="1" spans="1:7">
      <c r="A564">
        <v>10306</v>
      </c>
      <c r="B564">
        <v>1</v>
      </c>
      <c r="C564">
        <v>1</v>
      </c>
      <c r="D564">
        <v>1</v>
      </c>
      <c r="E564">
        <v>1</v>
      </c>
      <c r="F564" t="s">
        <v>630</v>
      </c>
      <c r="G564" t="s">
        <v>660</v>
      </c>
    </row>
    <row r="565" ht="14" customHeight="1" spans="1:7">
      <c r="A565" s="65">
        <v>10307</v>
      </c>
      <c r="B565">
        <v>2</v>
      </c>
      <c r="C565">
        <v>1</v>
      </c>
      <c r="D565">
        <v>1</v>
      </c>
      <c r="E565">
        <v>1</v>
      </c>
      <c r="F565" t="s">
        <v>661</v>
      </c>
      <c r="G565" t="s">
        <v>662</v>
      </c>
    </row>
    <row r="566" ht="14" customHeight="1" spans="1:7">
      <c r="A566">
        <v>10308</v>
      </c>
      <c r="B566">
        <v>1</v>
      </c>
      <c r="C566">
        <v>1</v>
      </c>
      <c r="D566">
        <v>1</v>
      </c>
      <c r="E566">
        <v>1</v>
      </c>
      <c r="F566" t="s">
        <v>663</v>
      </c>
      <c r="G566" t="s">
        <v>662</v>
      </c>
    </row>
    <row r="567" ht="14" customHeight="1" spans="1:7">
      <c r="A567">
        <v>10309</v>
      </c>
      <c r="B567">
        <v>1</v>
      </c>
      <c r="C567">
        <v>1</v>
      </c>
      <c r="D567">
        <v>1</v>
      </c>
      <c r="E567">
        <v>1</v>
      </c>
      <c r="F567" t="s">
        <v>664</v>
      </c>
      <c r="G567" t="s">
        <v>662</v>
      </c>
    </row>
    <row r="568" ht="14" customHeight="1" spans="1:7">
      <c r="A568">
        <v>10310</v>
      </c>
      <c r="B568">
        <v>1</v>
      </c>
      <c r="C568">
        <v>1</v>
      </c>
      <c r="D568">
        <v>1</v>
      </c>
      <c r="E568">
        <v>1</v>
      </c>
      <c r="F568" t="s">
        <v>665</v>
      </c>
      <c r="G568" t="s">
        <v>662</v>
      </c>
    </row>
    <row r="569" ht="14" customHeight="1" spans="1:7">
      <c r="A569" s="65">
        <v>10311</v>
      </c>
      <c r="B569">
        <v>2</v>
      </c>
      <c r="C569">
        <v>1</v>
      </c>
      <c r="D569">
        <v>1</v>
      </c>
      <c r="E569">
        <v>1</v>
      </c>
      <c r="F569" t="s">
        <v>666</v>
      </c>
      <c r="G569" t="s">
        <v>667</v>
      </c>
    </row>
    <row r="570" ht="14" customHeight="1" spans="1:7">
      <c r="A570">
        <v>10312</v>
      </c>
      <c r="B570">
        <v>1</v>
      </c>
      <c r="C570">
        <v>1</v>
      </c>
      <c r="D570">
        <v>1</v>
      </c>
      <c r="E570">
        <v>1</v>
      </c>
      <c r="F570" t="s">
        <v>668</v>
      </c>
      <c r="G570" t="s">
        <v>667</v>
      </c>
    </row>
    <row r="571" ht="14" customHeight="1" spans="1:7">
      <c r="A571">
        <v>10313</v>
      </c>
      <c r="B571">
        <v>1</v>
      </c>
      <c r="C571">
        <v>1</v>
      </c>
      <c r="D571">
        <v>1</v>
      </c>
      <c r="E571">
        <v>1</v>
      </c>
      <c r="F571" t="s">
        <v>669</v>
      </c>
      <c r="G571" t="s">
        <v>667</v>
      </c>
    </row>
    <row r="572" ht="14" customHeight="1" spans="1:7">
      <c r="A572">
        <v>10314</v>
      </c>
      <c r="B572">
        <v>1</v>
      </c>
      <c r="C572">
        <v>1</v>
      </c>
      <c r="D572">
        <v>1</v>
      </c>
      <c r="E572">
        <v>1</v>
      </c>
      <c r="F572" t="s">
        <v>670</v>
      </c>
      <c r="G572" t="s">
        <v>667</v>
      </c>
    </row>
    <row r="573" ht="14" customHeight="1" spans="1:7">
      <c r="A573" s="65">
        <v>10315</v>
      </c>
      <c r="B573">
        <v>2</v>
      </c>
      <c r="C573">
        <v>1</v>
      </c>
      <c r="D573">
        <v>1</v>
      </c>
      <c r="E573">
        <v>1</v>
      </c>
      <c r="F573" t="s">
        <v>671</v>
      </c>
      <c r="G573" t="s">
        <v>672</v>
      </c>
    </row>
    <row r="574" ht="14" customHeight="1" spans="1:7">
      <c r="A574">
        <v>10316</v>
      </c>
      <c r="B574">
        <v>1</v>
      </c>
      <c r="C574">
        <v>1</v>
      </c>
      <c r="D574">
        <v>1</v>
      </c>
      <c r="E574">
        <v>1</v>
      </c>
      <c r="F574" t="s">
        <v>673</v>
      </c>
      <c r="G574" t="s">
        <v>672</v>
      </c>
    </row>
    <row r="575" ht="14" customHeight="1" spans="1:7">
      <c r="A575">
        <v>10317</v>
      </c>
      <c r="B575">
        <v>1</v>
      </c>
      <c r="C575">
        <v>1</v>
      </c>
      <c r="D575">
        <v>1</v>
      </c>
      <c r="E575">
        <v>1</v>
      </c>
      <c r="F575" t="s">
        <v>674</v>
      </c>
      <c r="G575" t="s">
        <v>672</v>
      </c>
    </row>
    <row r="576" ht="14" customHeight="1" spans="1:7">
      <c r="A576">
        <v>10318</v>
      </c>
      <c r="B576">
        <v>1</v>
      </c>
      <c r="C576">
        <v>1</v>
      </c>
      <c r="D576">
        <v>1</v>
      </c>
      <c r="E576">
        <v>1</v>
      </c>
      <c r="F576" t="s">
        <v>675</v>
      </c>
      <c r="G576" t="s">
        <v>672</v>
      </c>
    </row>
    <row r="577" ht="14" customHeight="1" spans="1:7">
      <c r="A577" s="65">
        <v>10319</v>
      </c>
      <c r="B577">
        <v>2</v>
      </c>
      <c r="C577">
        <v>1</v>
      </c>
      <c r="D577">
        <v>1</v>
      </c>
      <c r="E577">
        <v>1</v>
      </c>
      <c r="F577" t="s">
        <v>676</v>
      </c>
      <c r="G577" t="s">
        <v>677</v>
      </c>
    </row>
    <row r="578" ht="14" customHeight="1" spans="1:7">
      <c r="A578">
        <v>10320</v>
      </c>
      <c r="B578">
        <v>1</v>
      </c>
      <c r="C578">
        <v>1</v>
      </c>
      <c r="D578">
        <v>1</v>
      </c>
      <c r="E578">
        <v>1</v>
      </c>
      <c r="F578" t="s">
        <v>678</v>
      </c>
      <c r="G578" t="s">
        <v>677</v>
      </c>
    </row>
    <row r="579" ht="14" customHeight="1" spans="1:7">
      <c r="A579">
        <v>10321</v>
      </c>
      <c r="B579">
        <v>1</v>
      </c>
      <c r="C579">
        <v>1</v>
      </c>
      <c r="D579">
        <v>1</v>
      </c>
      <c r="E579">
        <v>1</v>
      </c>
      <c r="F579" t="s">
        <v>679</v>
      </c>
      <c r="G579" t="s">
        <v>677</v>
      </c>
    </row>
    <row r="580" ht="14" customHeight="1" spans="1:7">
      <c r="A580">
        <v>10322</v>
      </c>
      <c r="B580">
        <v>1</v>
      </c>
      <c r="C580">
        <v>1</v>
      </c>
      <c r="D580">
        <v>1</v>
      </c>
      <c r="E580">
        <v>1</v>
      </c>
      <c r="F580" t="s">
        <v>680</v>
      </c>
      <c r="G580" t="s">
        <v>677</v>
      </c>
    </row>
    <row r="581" ht="14" customHeight="1" spans="1:7">
      <c r="A581">
        <v>10323</v>
      </c>
      <c r="B581">
        <v>2</v>
      </c>
      <c r="C581">
        <v>1</v>
      </c>
      <c r="D581">
        <v>1</v>
      </c>
      <c r="E581">
        <v>1</v>
      </c>
      <c r="F581" t="s">
        <v>681</v>
      </c>
      <c r="G581" t="s">
        <v>682</v>
      </c>
    </row>
    <row r="582" ht="14" customHeight="1" spans="1:7">
      <c r="A582">
        <v>10324</v>
      </c>
      <c r="B582">
        <v>2</v>
      </c>
      <c r="C582">
        <v>1</v>
      </c>
      <c r="D582">
        <v>1</v>
      </c>
      <c r="E582">
        <v>1</v>
      </c>
      <c r="F582" t="s">
        <v>683</v>
      </c>
      <c r="G582" t="s">
        <v>684</v>
      </c>
    </row>
    <row r="583" ht="14" customHeight="1" spans="1:7">
      <c r="A583">
        <v>10325</v>
      </c>
      <c r="B583">
        <v>2</v>
      </c>
      <c r="C583">
        <v>1</v>
      </c>
      <c r="D583">
        <v>1</v>
      </c>
      <c r="E583">
        <v>1</v>
      </c>
      <c r="F583" t="s">
        <v>685</v>
      </c>
      <c r="G583" t="s">
        <v>686</v>
      </c>
    </row>
    <row r="584" ht="14" customHeight="1" spans="1:7">
      <c r="A584">
        <v>10326</v>
      </c>
      <c r="B584">
        <v>2</v>
      </c>
      <c r="C584">
        <v>1</v>
      </c>
      <c r="D584">
        <v>1</v>
      </c>
      <c r="E584">
        <v>1</v>
      </c>
      <c r="F584" t="s">
        <v>687</v>
      </c>
      <c r="G584" t="s">
        <v>688</v>
      </c>
    </row>
    <row r="585" ht="14" customHeight="1" spans="1:7">
      <c r="A585">
        <v>10327</v>
      </c>
      <c r="B585">
        <v>1</v>
      </c>
      <c r="C585">
        <v>1</v>
      </c>
      <c r="D585">
        <v>1</v>
      </c>
      <c r="E585">
        <v>1</v>
      </c>
      <c r="F585" t="s">
        <v>689</v>
      </c>
      <c r="G585" t="s">
        <v>690</v>
      </c>
    </row>
    <row r="586" ht="14" customHeight="1" spans="1:7">
      <c r="A586">
        <v>10328</v>
      </c>
      <c r="B586">
        <v>1</v>
      </c>
      <c r="C586">
        <v>1</v>
      </c>
      <c r="D586">
        <v>1</v>
      </c>
      <c r="E586">
        <v>1</v>
      </c>
      <c r="F586" t="s">
        <v>691</v>
      </c>
      <c r="G586" t="s">
        <v>690</v>
      </c>
    </row>
    <row r="587" ht="14" customHeight="1" spans="1:7">
      <c r="A587">
        <v>10329</v>
      </c>
      <c r="B587">
        <v>2</v>
      </c>
      <c r="C587">
        <v>1</v>
      </c>
      <c r="D587">
        <v>1</v>
      </c>
      <c r="E587">
        <v>1</v>
      </c>
      <c r="F587" t="s">
        <v>692</v>
      </c>
      <c r="G587" t="s">
        <v>690</v>
      </c>
    </row>
    <row r="588" ht="14" customHeight="1" spans="1:7">
      <c r="A588">
        <v>10330</v>
      </c>
      <c r="B588">
        <v>1</v>
      </c>
      <c r="C588">
        <v>1</v>
      </c>
      <c r="D588">
        <v>1</v>
      </c>
      <c r="E588">
        <v>1</v>
      </c>
      <c r="F588" t="s">
        <v>693</v>
      </c>
      <c r="G588" t="s">
        <v>694</v>
      </c>
    </row>
    <row r="589" ht="14" customHeight="1" spans="1:7">
      <c r="A589">
        <v>10331</v>
      </c>
      <c r="B589">
        <v>2</v>
      </c>
      <c r="C589">
        <v>1</v>
      </c>
      <c r="D589">
        <v>1</v>
      </c>
      <c r="E589">
        <v>1</v>
      </c>
      <c r="F589" t="s">
        <v>695</v>
      </c>
      <c r="G589" t="s">
        <v>696</v>
      </c>
    </row>
    <row r="590" ht="14" customHeight="1" spans="1:7">
      <c r="A590">
        <v>10332</v>
      </c>
      <c r="B590">
        <v>2</v>
      </c>
      <c r="C590">
        <v>1</v>
      </c>
      <c r="D590">
        <v>1</v>
      </c>
      <c r="E590">
        <v>1</v>
      </c>
      <c r="F590" t="s">
        <v>697</v>
      </c>
      <c r="G590" t="s">
        <v>698</v>
      </c>
    </row>
    <row r="591" ht="14" customHeight="1" spans="1:7">
      <c r="A591">
        <v>10333</v>
      </c>
      <c r="B591">
        <v>2</v>
      </c>
      <c r="C591">
        <v>1</v>
      </c>
      <c r="D591">
        <v>1</v>
      </c>
      <c r="E591">
        <v>1</v>
      </c>
      <c r="F591" t="s">
        <v>699</v>
      </c>
      <c r="G591" t="s">
        <v>700</v>
      </c>
    </row>
    <row r="592" ht="14" customHeight="1" spans="1:7">
      <c r="A592">
        <v>10334</v>
      </c>
      <c r="B592">
        <v>2</v>
      </c>
      <c r="C592">
        <v>1</v>
      </c>
      <c r="D592">
        <v>1</v>
      </c>
      <c r="E592">
        <v>1</v>
      </c>
      <c r="F592" t="s">
        <v>701</v>
      </c>
      <c r="G592" t="s">
        <v>702</v>
      </c>
    </row>
    <row r="593" ht="14" customHeight="1" spans="1:8">
      <c r="A593">
        <v>10335</v>
      </c>
      <c r="B593">
        <v>2</v>
      </c>
      <c r="C593">
        <v>1</v>
      </c>
      <c r="D593">
        <v>1</v>
      </c>
      <c r="E593">
        <v>1</v>
      </c>
      <c r="F593" t="s">
        <v>703</v>
      </c>
      <c r="G593" s="66" t="s">
        <v>704</v>
      </c>
      <c r="H593" s="7"/>
    </row>
    <row r="594" ht="14" customHeight="1" spans="1:8">
      <c r="A594">
        <v>10336</v>
      </c>
      <c r="B594">
        <v>1</v>
      </c>
      <c r="C594">
        <v>4</v>
      </c>
      <c r="D594">
        <v>1</v>
      </c>
      <c r="E594">
        <v>1</v>
      </c>
      <c r="F594" t="s">
        <v>705</v>
      </c>
      <c r="G594" s="66" t="s">
        <v>706</v>
      </c>
      <c r="H594" s="7"/>
    </row>
    <row r="595" ht="14" customHeight="1" spans="1:8">
      <c r="A595">
        <v>10337</v>
      </c>
      <c r="B595">
        <v>1</v>
      </c>
      <c r="C595">
        <v>4</v>
      </c>
      <c r="D595">
        <v>1</v>
      </c>
      <c r="E595">
        <v>1</v>
      </c>
      <c r="F595" t="s">
        <v>707</v>
      </c>
      <c r="G595" s="66" t="s">
        <v>706</v>
      </c>
      <c r="H595" s="7"/>
    </row>
    <row r="596" ht="14" customHeight="1" spans="1:8">
      <c r="A596">
        <v>10338</v>
      </c>
      <c r="B596">
        <v>1</v>
      </c>
      <c r="C596">
        <v>4</v>
      </c>
      <c r="D596">
        <v>1</v>
      </c>
      <c r="E596">
        <v>1</v>
      </c>
      <c r="F596" t="s">
        <v>708</v>
      </c>
      <c r="G596" s="66" t="s">
        <v>706</v>
      </c>
      <c r="H596" s="7"/>
    </row>
    <row r="597" ht="14" customHeight="1" spans="1:8">
      <c r="A597">
        <v>10339</v>
      </c>
      <c r="B597">
        <v>1</v>
      </c>
      <c r="C597">
        <v>4</v>
      </c>
      <c r="D597">
        <v>1</v>
      </c>
      <c r="E597">
        <v>1</v>
      </c>
      <c r="F597" t="s">
        <v>709</v>
      </c>
      <c r="G597" s="66" t="s">
        <v>706</v>
      </c>
      <c r="H597" s="7"/>
    </row>
    <row r="598" ht="14" customHeight="1" spans="1:8">
      <c r="A598">
        <v>10340</v>
      </c>
      <c r="B598">
        <v>1</v>
      </c>
      <c r="C598">
        <v>4</v>
      </c>
      <c r="D598">
        <v>1</v>
      </c>
      <c r="E598">
        <v>1</v>
      </c>
      <c r="F598" t="s">
        <v>710</v>
      </c>
      <c r="G598" s="66" t="s">
        <v>706</v>
      </c>
      <c r="H598" s="7"/>
    </row>
    <row r="599" ht="14" customHeight="1" spans="1:8">
      <c r="A599">
        <v>10341</v>
      </c>
      <c r="B599">
        <v>1</v>
      </c>
      <c r="C599">
        <v>4</v>
      </c>
      <c r="D599">
        <v>1</v>
      </c>
      <c r="E599">
        <v>1</v>
      </c>
      <c r="F599" t="s">
        <v>711</v>
      </c>
      <c r="G599" s="66" t="s">
        <v>706</v>
      </c>
      <c r="H599" s="7"/>
    </row>
    <row r="600" ht="14" customHeight="1" spans="1:8">
      <c r="A600">
        <v>10342</v>
      </c>
      <c r="B600">
        <v>1</v>
      </c>
      <c r="C600">
        <v>4</v>
      </c>
      <c r="D600">
        <v>1</v>
      </c>
      <c r="E600">
        <v>1</v>
      </c>
      <c r="F600" t="s">
        <v>712</v>
      </c>
      <c r="G600" s="66" t="s">
        <v>706</v>
      </c>
      <c r="H600" s="7"/>
    </row>
    <row r="601" ht="14" customHeight="1" spans="1:8">
      <c r="A601">
        <v>10343</v>
      </c>
      <c r="B601">
        <v>1</v>
      </c>
      <c r="C601">
        <v>4</v>
      </c>
      <c r="D601">
        <v>1</v>
      </c>
      <c r="E601">
        <v>1</v>
      </c>
      <c r="F601" t="s">
        <v>713</v>
      </c>
      <c r="G601" s="66" t="s">
        <v>706</v>
      </c>
      <c r="H601" s="7"/>
    </row>
    <row r="602" ht="14" customHeight="1" spans="1:8">
      <c r="A602">
        <v>10344</v>
      </c>
      <c r="B602">
        <v>1</v>
      </c>
      <c r="C602">
        <v>4</v>
      </c>
      <c r="D602">
        <v>1</v>
      </c>
      <c r="E602">
        <v>1</v>
      </c>
      <c r="F602" t="s">
        <v>714</v>
      </c>
      <c r="G602" s="66" t="s">
        <v>706</v>
      </c>
      <c r="H602" s="7"/>
    </row>
    <row r="603" ht="14" customHeight="1" spans="1:8">
      <c r="A603">
        <v>10345</v>
      </c>
      <c r="B603">
        <v>1</v>
      </c>
      <c r="C603">
        <v>4</v>
      </c>
      <c r="D603">
        <v>1</v>
      </c>
      <c r="E603">
        <v>1</v>
      </c>
      <c r="F603" t="s">
        <v>715</v>
      </c>
      <c r="G603" s="66" t="s">
        <v>706</v>
      </c>
      <c r="H603" s="7"/>
    </row>
    <row r="604" ht="14" customHeight="1" spans="1:8">
      <c r="A604">
        <v>10346</v>
      </c>
      <c r="B604">
        <v>1</v>
      </c>
      <c r="C604">
        <v>4</v>
      </c>
      <c r="D604">
        <v>1</v>
      </c>
      <c r="E604">
        <v>1</v>
      </c>
      <c r="F604" t="s">
        <v>716</v>
      </c>
      <c r="G604" s="66" t="s">
        <v>706</v>
      </c>
      <c r="H604" s="7"/>
    </row>
    <row r="605" ht="14" customHeight="1" spans="1:8">
      <c r="A605">
        <v>10347</v>
      </c>
      <c r="B605">
        <v>1</v>
      </c>
      <c r="C605">
        <v>4</v>
      </c>
      <c r="D605">
        <v>1</v>
      </c>
      <c r="E605">
        <v>1</v>
      </c>
      <c r="F605" t="s">
        <v>717</v>
      </c>
      <c r="G605" s="66" t="s">
        <v>706</v>
      </c>
      <c r="H605" s="7"/>
    </row>
    <row r="606" ht="14" customHeight="1" spans="1:8">
      <c r="A606">
        <v>10348</v>
      </c>
      <c r="B606">
        <v>1</v>
      </c>
      <c r="C606">
        <v>1</v>
      </c>
      <c r="D606">
        <v>1</v>
      </c>
      <c r="E606">
        <v>1</v>
      </c>
      <c r="F606" t="s">
        <v>718</v>
      </c>
      <c r="G606" s="66" t="s">
        <v>719</v>
      </c>
      <c r="H606" s="7"/>
    </row>
    <row r="607" ht="14" customHeight="1" spans="1:8">
      <c r="A607">
        <v>10349</v>
      </c>
      <c r="B607">
        <v>1</v>
      </c>
      <c r="C607">
        <v>1</v>
      </c>
      <c r="D607">
        <v>1</v>
      </c>
      <c r="E607">
        <v>1</v>
      </c>
      <c r="F607" t="s">
        <v>720</v>
      </c>
      <c r="G607" s="66" t="s">
        <v>721</v>
      </c>
      <c r="H607" s="7"/>
    </row>
    <row r="608" ht="14" customHeight="1" spans="1:8">
      <c r="A608">
        <v>10350</v>
      </c>
      <c r="B608">
        <v>1</v>
      </c>
      <c r="C608">
        <v>3</v>
      </c>
      <c r="D608">
        <v>1</v>
      </c>
      <c r="E608">
        <v>3</v>
      </c>
      <c r="F608" t="s">
        <v>722</v>
      </c>
      <c r="G608" s="66" t="s">
        <v>723</v>
      </c>
      <c r="H608" s="7"/>
    </row>
    <row r="609" ht="14" customHeight="1" spans="1:8">
      <c r="A609">
        <v>10351</v>
      </c>
      <c r="B609">
        <v>1</v>
      </c>
      <c r="C609">
        <v>1</v>
      </c>
      <c r="D609" s="15">
        <v>1</v>
      </c>
      <c r="E609" s="15">
        <v>1</v>
      </c>
      <c r="F609" t="s">
        <v>724</v>
      </c>
      <c r="G609" s="7" t="s">
        <v>725</v>
      </c>
      <c r="H609" s="7"/>
    </row>
    <row r="610" ht="14" customHeight="1" spans="1:8">
      <c r="A610">
        <v>15001</v>
      </c>
      <c r="B610">
        <v>1</v>
      </c>
      <c r="C610">
        <v>1</v>
      </c>
      <c r="D610" s="15">
        <v>0</v>
      </c>
      <c r="E610" s="15">
        <v>1</v>
      </c>
      <c r="F610" s="7" t="s">
        <v>726</v>
      </c>
      <c r="G610" s="7" t="s">
        <v>727</v>
      </c>
    </row>
    <row r="611" ht="14" customHeight="1" spans="1:8">
      <c r="A611">
        <v>15002</v>
      </c>
      <c r="B611">
        <v>2</v>
      </c>
      <c r="C611">
        <v>2</v>
      </c>
      <c r="D611" s="15">
        <v>0</v>
      </c>
      <c r="E611" s="15">
        <v>1</v>
      </c>
      <c r="F611" s="7" t="s">
        <v>728</v>
      </c>
      <c r="G611" s="7" t="s">
        <v>729</v>
      </c>
    </row>
    <row r="612" ht="14" customHeight="1" spans="1:8">
      <c r="A612">
        <v>15003</v>
      </c>
      <c r="B612">
        <v>1</v>
      </c>
      <c r="C612">
        <v>1</v>
      </c>
      <c r="D612" s="15">
        <v>0</v>
      </c>
      <c r="E612" s="15">
        <v>1</v>
      </c>
      <c r="F612" s="7" t="s">
        <v>730</v>
      </c>
      <c r="G612" s="7" t="s">
        <v>727</v>
      </c>
    </row>
    <row r="613" ht="14" customHeight="1" spans="1:8">
      <c r="A613">
        <v>15004</v>
      </c>
      <c r="B613">
        <v>2</v>
      </c>
      <c r="C613">
        <v>2</v>
      </c>
      <c r="D613" s="15">
        <v>0</v>
      </c>
      <c r="E613" s="15">
        <v>1</v>
      </c>
      <c r="F613" s="7" t="s">
        <v>731</v>
      </c>
      <c r="G613" s="7" t="s">
        <v>729</v>
      </c>
    </row>
    <row r="614" ht="14" customHeight="1" spans="1:8">
      <c r="A614">
        <v>15005</v>
      </c>
      <c r="B614">
        <v>1</v>
      </c>
      <c r="C614">
        <v>1</v>
      </c>
      <c r="D614" s="15">
        <v>0</v>
      </c>
      <c r="E614" s="15">
        <v>1</v>
      </c>
      <c r="F614" s="7" t="s">
        <v>732</v>
      </c>
      <c r="G614" s="7" t="s">
        <v>727</v>
      </c>
    </row>
    <row r="615" ht="14" customHeight="1" spans="1:8">
      <c r="A615">
        <v>15006</v>
      </c>
      <c r="B615">
        <v>2</v>
      </c>
      <c r="C615">
        <v>2</v>
      </c>
      <c r="D615" s="15">
        <v>0</v>
      </c>
      <c r="E615" s="15">
        <v>1</v>
      </c>
      <c r="F615" s="7" t="s">
        <v>733</v>
      </c>
      <c r="G615" s="7" t="s">
        <v>729</v>
      </c>
    </row>
    <row r="616" ht="14" customHeight="1" spans="1:8">
      <c r="A616">
        <v>15007</v>
      </c>
      <c r="B616">
        <v>1</v>
      </c>
      <c r="C616">
        <v>1</v>
      </c>
      <c r="D616" s="15">
        <v>0</v>
      </c>
      <c r="E616" s="15">
        <v>1</v>
      </c>
      <c r="F616" s="7" t="s">
        <v>734</v>
      </c>
      <c r="G616" s="7" t="s">
        <v>735</v>
      </c>
    </row>
    <row r="617" ht="14" customHeight="1" spans="1:8">
      <c r="A617">
        <v>15008</v>
      </c>
      <c r="B617">
        <v>1</v>
      </c>
      <c r="C617">
        <v>1</v>
      </c>
      <c r="D617" s="15">
        <v>0</v>
      </c>
      <c r="E617" s="15">
        <v>1</v>
      </c>
      <c r="F617" s="7" t="s">
        <v>736</v>
      </c>
      <c r="G617" s="7" t="s">
        <v>737</v>
      </c>
    </row>
    <row r="618" ht="14" customHeight="1" spans="1:8">
      <c r="A618">
        <v>15009</v>
      </c>
      <c r="B618">
        <v>1</v>
      </c>
      <c r="C618">
        <v>1</v>
      </c>
      <c r="D618" s="15">
        <v>0</v>
      </c>
      <c r="E618" s="15">
        <v>1</v>
      </c>
      <c r="F618" t="s">
        <v>738</v>
      </c>
      <c r="G618" s="7" t="s">
        <v>739</v>
      </c>
    </row>
    <row r="619" ht="14" customHeight="1" spans="1:8">
      <c r="A619">
        <v>15010</v>
      </c>
      <c r="B619">
        <v>1</v>
      </c>
      <c r="C619">
        <v>1</v>
      </c>
      <c r="D619" s="15">
        <v>0</v>
      </c>
      <c r="E619" s="15">
        <v>1</v>
      </c>
      <c r="F619" t="s">
        <v>740</v>
      </c>
      <c r="G619" s="7" t="s">
        <v>741</v>
      </c>
    </row>
    <row r="620" ht="14" customHeight="1" spans="1:8">
      <c r="A620">
        <v>15011</v>
      </c>
      <c r="B620">
        <v>1</v>
      </c>
      <c r="C620">
        <v>1</v>
      </c>
      <c r="D620" s="15">
        <v>0</v>
      </c>
      <c r="E620" s="15">
        <v>1</v>
      </c>
      <c r="F620" s="7" t="s">
        <v>742</v>
      </c>
      <c r="G620" s="7" t="s">
        <v>743</v>
      </c>
    </row>
    <row r="621" ht="14" customHeight="1" spans="1:8">
      <c r="A621">
        <v>15012</v>
      </c>
      <c r="B621">
        <v>1</v>
      </c>
      <c r="C621">
        <v>1</v>
      </c>
      <c r="D621" s="15">
        <v>0</v>
      </c>
      <c r="E621" s="15">
        <v>1</v>
      </c>
      <c r="F621" s="7" t="s">
        <v>744</v>
      </c>
      <c r="G621" s="7" t="s">
        <v>745</v>
      </c>
    </row>
    <row r="622" ht="14" customHeight="1" spans="1:8">
      <c r="A622">
        <v>15013</v>
      </c>
      <c r="B622">
        <v>1</v>
      </c>
      <c r="C622">
        <v>1</v>
      </c>
      <c r="D622" s="15">
        <v>0</v>
      </c>
      <c r="E622" s="15">
        <v>1</v>
      </c>
      <c r="F622" s="7" t="s">
        <v>746</v>
      </c>
      <c r="G622" s="7" t="s">
        <v>747</v>
      </c>
    </row>
    <row r="623" ht="14" customHeight="1" spans="1:8">
      <c r="A623">
        <v>15014</v>
      </c>
      <c r="B623">
        <v>1</v>
      </c>
      <c r="C623">
        <v>1</v>
      </c>
      <c r="D623" s="15">
        <v>0</v>
      </c>
      <c r="E623" s="15">
        <v>1</v>
      </c>
      <c r="F623" t="s">
        <v>748</v>
      </c>
      <c r="G623" s="7" t="s">
        <v>749</v>
      </c>
    </row>
    <row r="624" ht="14" customHeight="1" spans="1:8">
      <c r="A624">
        <v>15015</v>
      </c>
      <c r="B624">
        <v>1</v>
      </c>
      <c r="C624">
        <v>1</v>
      </c>
      <c r="D624" s="15">
        <v>0</v>
      </c>
      <c r="E624" s="15">
        <v>1</v>
      </c>
      <c r="F624" t="s">
        <v>726</v>
      </c>
      <c r="G624" s="7" t="s">
        <v>749</v>
      </c>
    </row>
    <row r="625" ht="14" customHeight="1" spans="1:7">
      <c r="A625">
        <v>15016</v>
      </c>
      <c r="B625">
        <v>1</v>
      </c>
      <c r="C625">
        <v>1</v>
      </c>
      <c r="D625" s="15">
        <v>0</v>
      </c>
      <c r="E625" s="15">
        <v>1</v>
      </c>
      <c r="F625" t="s">
        <v>750</v>
      </c>
      <c r="G625" s="7" t="s">
        <v>749</v>
      </c>
    </row>
    <row r="626" ht="14" customHeight="1" spans="1:7">
      <c r="A626">
        <v>15017</v>
      </c>
      <c r="B626">
        <v>1</v>
      </c>
      <c r="C626">
        <v>1</v>
      </c>
      <c r="D626" s="15">
        <v>0</v>
      </c>
      <c r="E626" s="15">
        <v>1</v>
      </c>
      <c r="F626" t="s">
        <v>751</v>
      </c>
      <c r="G626" s="7" t="s">
        <v>749</v>
      </c>
    </row>
    <row r="627" ht="14" customHeight="1" spans="1:7">
      <c r="A627">
        <v>15018</v>
      </c>
      <c r="B627">
        <v>1</v>
      </c>
      <c r="C627">
        <v>1</v>
      </c>
      <c r="D627" s="15">
        <v>0</v>
      </c>
      <c r="E627" s="15">
        <v>1</v>
      </c>
      <c r="F627" t="s">
        <v>752</v>
      </c>
      <c r="G627" s="7" t="s">
        <v>749</v>
      </c>
    </row>
    <row r="628" ht="14" customHeight="1" spans="1:7">
      <c r="A628">
        <v>15019</v>
      </c>
      <c r="B628">
        <v>1</v>
      </c>
      <c r="C628">
        <v>1</v>
      </c>
      <c r="D628" s="15">
        <v>0</v>
      </c>
      <c r="E628" s="15">
        <v>1</v>
      </c>
      <c r="F628" t="s">
        <v>753</v>
      </c>
      <c r="G628" s="7" t="s">
        <v>749</v>
      </c>
    </row>
    <row r="629" ht="14" customHeight="1" spans="1:7">
      <c r="A629">
        <v>15020</v>
      </c>
      <c r="B629">
        <v>1</v>
      </c>
      <c r="C629">
        <v>1</v>
      </c>
      <c r="D629" s="15">
        <v>0</v>
      </c>
      <c r="E629" s="15">
        <v>1</v>
      </c>
      <c r="F629" t="s">
        <v>754</v>
      </c>
      <c r="G629" s="7" t="s">
        <v>749</v>
      </c>
    </row>
    <row r="630" ht="14" customHeight="1" spans="1:7">
      <c r="A630">
        <v>15021</v>
      </c>
      <c r="B630">
        <v>1</v>
      </c>
      <c r="C630">
        <v>1</v>
      </c>
      <c r="D630" s="15">
        <v>0</v>
      </c>
      <c r="E630" s="15">
        <v>1</v>
      </c>
      <c r="F630" t="s">
        <v>755</v>
      </c>
      <c r="G630" s="7" t="s">
        <v>749</v>
      </c>
    </row>
    <row r="631" ht="14" customHeight="1" spans="1:7">
      <c r="A631">
        <v>15022</v>
      </c>
      <c r="B631">
        <v>1</v>
      </c>
      <c r="C631">
        <v>1</v>
      </c>
      <c r="D631" s="15">
        <v>0</v>
      </c>
      <c r="E631" s="15">
        <v>1</v>
      </c>
      <c r="F631" t="s">
        <v>756</v>
      </c>
      <c r="G631" s="7" t="s">
        <v>749</v>
      </c>
    </row>
    <row r="632" ht="14" customHeight="1" spans="1:7">
      <c r="A632">
        <v>15023</v>
      </c>
      <c r="B632">
        <v>1</v>
      </c>
      <c r="C632">
        <v>1</v>
      </c>
      <c r="D632" s="15">
        <v>0</v>
      </c>
      <c r="E632" s="15">
        <v>1</v>
      </c>
      <c r="F632" t="s">
        <v>757</v>
      </c>
      <c r="G632" s="7" t="s">
        <v>749</v>
      </c>
    </row>
    <row r="633" ht="14" customHeight="1" spans="1:7">
      <c r="A633">
        <v>15024</v>
      </c>
      <c r="B633">
        <v>1</v>
      </c>
      <c r="C633">
        <v>1</v>
      </c>
      <c r="D633" s="15">
        <v>0</v>
      </c>
      <c r="E633" s="15">
        <v>1</v>
      </c>
      <c r="F633" t="s">
        <v>758</v>
      </c>
      <c r="G633" s="7" t="s">
        <v>749</v>
      </c>
    </row>
    <row r="634" ht="14" customHeight="1" spans="1:7">
      <c r="A634">
        <v>15025</v>
      </c>
      <c r="B634">
        <v>1</v>
      </c>
      <c r="C634">
        <v>1</v>
      </c>
      <c r="D634" s="15">
        <v>0</v>
      </c>
      <c r="E634" s="15">
        <v>1</v>
      </c>
      <c r="F634" t="s">
        <v>759</v>
      </c>
      <c r="G634" s="7" t="s">
        <v>749</v>
      </c>
    </row>
    <row r="635" ht="14" customHeight="1" spans="1:7">
      <c r="A635">
        <v>15026</v>
      </c>
      <c r="B635">
        <v>1</v>
      </c>
      <c r="C635">
        <v>1</v>
      </c>
      <c r="D635" s="15">
        <v>0</v>
      </c>
      <c r="E635" s="15">
        <v>1</v>
      </c>
      <c r="F635" t="s">
        <v>760</v>
      </c>
      <c r="G635" s="7" t="s">
        <v>749</v>
      </c>
    </row>
    <row r="636" ht="14" customHeight="1" spans="1:7">
      <c r="A636">
        <v>15027</v>
      </c>
      <c r="B636">
        <v>2</v>
      </c>
      <c r="C636">
        <v>1</v>
      </c>
      <c r="D636" s="15">
        <v>0</v>
      </c>
      <c r="E636" s="15">
        <v>1</v>
      </c>
      <c r="F636" s="53" t="s">
        <v>761</v>
      </c>
      <c r="G636" s="7" t="s">
        <v>762</v>
      </c>
    </row>
    <row r="637" ht="14" customHeight="1" spans="1:7">
      <c r="A637">
        <v>15028</v>
      </c>
      <c r="B637">
        <v>2</v>
      </c>
      <c r="C637">
        <v>1</v>
      </c>
      <c r="D637" s="15">
        <v>0</v>
      </c>
      <c r="E637" s="15">
        <v>1</v>
      </c>
      <c r="F637" s="53" t="s">
        <v>763</v>
      </c>
      <c r="G637" s="7" t="s">
        <v>764</v>
      </c>
    </row>
    <row r="638" ht="14" customHeight="1" spans="1:7">
      <c r="A638">
        <v>15029</v>
      </c>
      <c r="B638">
        <v>2</v>
      </c>
      <c r="C638">
        <v>1</v>
      </c>
      <c r="D638" s="15">
        <v>0</v>
      </c>
      <c r="E638" s="15">
        <v>1</v>
      </c>
      <c r="F638" s="53" t="s">
        <v>763</v>
      </c>
      <c r="G638" s="7" t="s">
        <v>764</v>
      </c>
    </row>
    <row r="639" ht="14" customHeight="1" spans="1:7">
      <c r="A639">
        <v>15030</v>
      </c>
      <c r="B639">
        <v>2</v>
      </c>
      <c r="C639">
        <v>1</v>
      </c>
      <c r="D639" s="15">
        <v>0</v>
      </c>
      <c r="E639" s="15">
        <v>1</v>
      </c>
      <c r="F639" s="53" t="s">
        <v>765</v>
      </c>
      <c r="G639" s="7" t="s">
        <v>766</v>
      </c>
    </row>
    <row r="640" ht="14" customHeight="1" spans="1:7">
      <c r="A640">
        <v>15031</v>
      </c>
      <c r="B640">
        <v>2</v>
      </c>
      <c r="C640">
        <v>1</v>
      </c>
      <c r="D640" s="15">
        <v>0</v>
      </c>
      <c r="E640" s="15">
        <v>1</v>
      </c>
      <c r="F640" s="53" t="s">
        <v>765</v>
      </c>
      <c r="G640" s="7" t="s">
        <v>766</v>
      </c>
    </row>
    <row r="641" ht="14" customHeight="1" spans="1:7">
      <c r="A641">
        <v>15032</v>
      </c>
      <c r="B641">
        <v>2</v>
      </c>
      <c r="C641">
        <v>1</v>
      </c>
      <c r="D641" s="15">
        <v>0</v>
      </c>
      <c r="E641" s="15">
        <v>1</v>
      </c>
      <c r="F641" s="53" t="s">
        <v>765</v>
      </c>
      <c r="G641" s="7" t="s">
        <v>766</v>
      </c>
    </row>
    <row r="642" ht="14" customHeight="1" spans="1:7">
      <c r="A642">
        <v>15033</v>
      </c>
      <c r="B642">
        <v>2</v>
      </c>
      <c r="C642">
        <v>1</v>
      </c>
      <c r="D642" s="15">
        <v>0</v>
      </c>
      <c r="E642" s="15">
        <v>1</v>
      </c>
      <c r="F642" s="53" t="s">
        <v>765</v>
      </c>
      <c r="G642" s="7" t="s">
        <v>766</v>
      </c>
    </row>
    <row r="643" ht="14" customHeight="1" spans="1:7">
      <c r="A643">
        <v>15034</v>
      </c>
      <c r="B643">
        <v>2</v>
      </c>
      <c r="C643">
        <v>1</v>
      </c>
      <c r="D643" s="15">
        <v>0</v>
      </c>
      <c r="E643" s="15">
        <v>1</v>
      </c>
      <c r="F643" s="53" t="s">
        <v>765</v>
      </c>
      <c r="G643" s="7" t="s">
        <v>766</v>
      </c>
    </row>
    <row r="644" ht="14" customHeight="1" spans="1:7">
      <c r="A644">
        <v>15035</v>
      </c>
      <c r="B644">
        <v>2</v>
      </c>
      <c r="C644">
        <v>1</v>
      </c>
      <c r="D644" s="15">
        <v>0</v>
      </c>
      <c r="E644" s="15">
        <v>1</v>
      </c>
      <c r="F644" s="53" t="s">
        <v>765</v>
      </c>
      <c r="G644" s="7" t="s">
        <v>766</v>
      </c>
    </row>
    <row r="645" ht="14" customHeight="1" spans="1:7">
      <c r="A645">
        <v>15036</v>
      </c>
      <c r="B645">
        <v>2</v>
      </c>
      <c r="C645">
        <v>1</v>
      </c>
      <c r="D645" s="15">
        <v>0</v>
      </c>
      <c r="E645" s="15">
        <v>1</v>
      </c>
      <c r="F645" s="53" t="s">
        <v>765</v>
      </c>
      <c r="G645" s="7" t="s">
        <v>766</v>
      </c>
    </row>
    <row r="646" ht="14" customHeight="1" spans="1:7">
      <c r="A646">
        <v>15037</v>
      </c>
      <c r="B646">
        <v>2</v>
      </c>
      <c r="C646">
        <v>1</v>
      </c>
      <c r="D646" s="15">
        <v>0</v>
      </c>
      <c r="E646" s="15">
        <v>1</v>
      </c>
      <c r="F646" s="53" t="s">
        <v>767</v>
      </c>
      <c r="G646" s="7" t="s">
        <v>768</v>
      </c>
    </row>
    <row r="647" ht="14" customHeight="1" spans="1:7">
      <c r="A647">
        <v>15038</v>
      </c>
      <c r="B647">
        <v>2</v>
      </c>
      <c r="C647">
        <v>1</v>
      </c>
      <c r="D647" s="15">
        <v>0</v>
      </c>
      <c r="E647" s="15">
        <v>1</v>
      </c>
      <c r="F647" s="53" t="s">
        <v>769</v>
      </c>
      <c r="G647" s="7" t="s">
        <v>770</v>
      </c>
    </row>
    <row r="648" ht="14" customHeight="1" spans="1:7">
      <c r="A648">
        <v>15039</v>
      </c>
      <c r="B648">
        <v>2</v>
      </c>
      <c r="C648">
        <v>1</v>
      </c>
      <c r="D648" s="15">
        <v>0</v>
      </c>
      <c r="E648" s="15">
        <v>1</v>
      </c>
      <c r="F648" s="53" t="s">
        <v>771</v>
      </c>
      <c r="G648" s="7" t="s">
        <v>749</v>
      </c>
    </row>
    <row r="649" ht="14" customHeight="1" spans="1:7">
      <c r="A649">
        <v>15040</v>
      </c>
      <c r="B649">
        <v>1</v>
      </c>
      <c r="C649">
        <v>1</v>
      </c>
      <c r="D649" s="15">
        <v>0</v>
      </c>
      <c r="E649" s="15">
        <v>1</v>
      </c>
      <c r="F649" s="7" t="s">
        <v>772</v>
      </c>
      <c r="G649" s="7" t="s">
        <v>773</v>
      </c>
    </row>
    <row r="650" ht="14" customHeight="1" spans="1:7">
      <c r="A650">
        <v>15041</v>
      </c>
      <c r="B650">
        <v>1</v>
      </c>
      <c r="C650">
        <v>1</v>
      </c>
      <c r="D650" s="15">
        <v>0</v>
      </c>
      <c r="E650" s="15">
        <v>1</v>
      </c>
      <c r="F650" s="7" t="s">
        <v>774</v>
      </c>
      <c r="G650" s="7" t="s">
        <v>773</v>
      </c>
    </row>
    <row r="651" ht="14" customHeight="1" spans="1:7">
      <c r="A651">
        <v>15042</v>
      </c>
      <c r="B651">
        <v>1</v>
      </c>
      <c r="C651">
        <v>1</v>
      </c>
      <c r="D651" s="15">
        <v>0</v>
      </c>
      <c r="E651" s="15">
        <v>1</v>
      </c>
      <c r="F651" s="7" t="s">
        <v>775</v>
      </c>
      <c r="G651" s="7" t="s">
        <v>773</v>
      </c>
    </row>
    <row r="652" ht="14" customHeight="1" spans="1:7">
      <c r="A652">
        <v>15043</v>
      </c>
      <c r="B652">
        <v>1</v>
      </c>
      <c r="C652">
        <v>1</v>
      </c>
      <c r="D652" s="15">
        <v>0</v>
      </c>
      <c r="E652" s="15">
        <v>1</v>
      </c>
      <c r="F652" s="7" t="s">
        <v>776</v>
      </c>
      <c r="G652" s="7" t="s">
        <v>749</v>
      </c>
    </row>
    <row r="653" ht="14" customHeight="1" spans="1:7">
      <c r="A653">
        <v>15044</v>
      </c>
      <c r="B653">
        <v>1</v>
      </c>
      <c r="C653">
        <v>1</v>
      </c>
      <c r="D653" s="15">
        <v>0</v>
      </c>
      <c r="E653" s="15">
        <v>1</v>
      </c>
      <c r="F653" s="7" t="s">
        <v>777</v>
      </c>
      <c r="G653" s="7" t="s">
        <v>749</v>
      </c>
    </row>
    <row r="654" ht="14" customHeight="1" spans="1:7">
      <c r="A654">
        <v>15045</v>
      </c>
      <c r="B654">
        <v>1</v>
      </c>
      <c r="C654">
        <v>1</v>
      </c>
      <c r="D654" s="15">
        <v>0</v>
      </c>
      <c r="E654" s="15">
        <v>1</v>
      </c>
      <c r="F654" s="7" t="s">
        <v>726</v>
      </c>
      <c r="G654" s="7" t="s">
        <v>749</v>
      </c>
    </row>
    <row r="655" ht="14" customHeight="1" spans="1:7">
      <c r="A655">
        <v>15046</v>
      </c>
      <c r="B655">
        <v>1</v>
      </c>
      <c r="C655">
        <v>1</v>
      </c>
      <c r="D655" s="15">
        <v>0</v>
      </c>
      <c r="E655" s="15">
        <v>1</v>
      </c>
      <c r="F655" s="7" t="s">
        <v>750</v>
      </c>
      <c r="G655" s="7" t="s">
        <v>749</v>
      </c>
    </row>
    <row r="656" ht="14" customHeight="1" spans="1:7">
      <c r="A656">
        <v>15047</v>
      </c>
      <c r="B656">
        <v>1</v>
      </c>
      <c r="C656">
        <v>1</v>
      </c>
      <c r="D656" s="15">
        <v>0</v>
      </c>
      <c r="E656" s="15">
        <v>1</v>
      </c>
      <c r="F656" s="7" t="s">
        <v>778</v>
      </c>
      <c r="G656" s="7" t="s">
        <v>749</v>
      </c>
    </row>
    <row r="657" ht="14" customHeight="1" spans="1:7">
      <c r="A657">
        <v>15048</v>
      </c>
      <c r="B657">
        <v>1</v>
      </c>
      <c r="C657">
        <v>1</v>
      </c>
      <c r="D657" s="15">
        <v>0</v>
      </c>
      <c r="E657" s="15">
        <v>1</v>
      </c>
      <c r="F657" s="7" t="s">
        <v>779</v>
      </c>
      <c r="G657" s="7" t="s">
        <v>749</v>
      </c>
    </row>
    <row r="658" ht="14" customHeight="1" spans="1:7">
      <c r="A658">
        <v>15049</v>
      </c>
      <c r="B658">
        <v>1</v>
      </c>
      <c r="C658">
        <v>1</v>
      </c>
      <c r="D658" s="15">
        <v>0</v>
      </c>
      <c r="E658" s="15">
        <v>1</v>
      </c>
      <c r="F658" s="7" t="s">
        <v>752</v>
      </c>
      <c r="G658" s="7" t="s">
        <v>749</v>
      </c>
    </row>
    <row r="659" ht="14" customHeight="1" spans="1:7">
      <c r="A659">
        <v>15050</v>
      </c>
      <c r="B659">
        <v>1</v>
      </c>
      <c r="C659">
        <v>1</v>
      </c>
      <c r="D659" s="15">
        <v>0</v>
      </c>
      <c r="E659" s="15">
        <v>1</v>
      </c>
      <c r="F659" s="7" t="s">
        <v>753</v>
      </c>
      <c r="G659" s="7" t="s">
        <v>749</v>
      </c>
    </row>
    <row r="660" ht="14" customHeight="1" spans="1:7">
      <c r="A660">
        <v>15051</v>
      </c>
      <c r="B660">
        <v>1</v>
      </c>
      <c r="C660">
        <v>1</v>
      </c>
      <c r="D660" s="15">
        <v>0</v>
      </c>
      <c r="E660" s="15">
        <v>1</v>
      </c>
      <c r="F660" s="7" t="s">
        <v>756</v>
      </c>
      <c r="G660" s="7" t="s">
        <v>749</v>
      </c>
    </row>
    <row r="661" ht="14" customHeight="1" spans="1:7">
      <c r="A661">
        <v>15052</v>
      </c>
      <c r="B661">
        <v>1</v>
      </c>
      <c r="C661">
        <v>1</v>
      </c>
      <c r="D661" s="15">
        <v>0</v>
      </c>
      <c r="E661" s="15">
        <v>1</v>
      </c>
      <c r="F661" s="7" t="s">
        <v>780</v>
      </c>
      <c r="G661" s="7" t="s">
        <v>749</v>
      </c>
    </row>
    <row r="662" ht="14" customHeight="1" spans="1:7">
      <c r="A662">
        <v>15053</v>
      </c>
      <c r="B662">
        <v>1</v>
      </c>
      <c r="C662">
        <v>1</v>
      </c>
      <c r="D662" s="15">
        <v>0</v>
      </c>
      <c r="E662" s="15">
        <v>1</v>
      </c>
      <c r="F662" s="7" t="s">
        <v>758</v>
      </c>
      <c r="G662" s="7" t="s">
        <v>749</v>
      </c>
    </row>
    <row r="663" ht="14" customHeight="1" spans="1:7">
      <c r="A663">
        <v>15054</v>
      </c>
      <c r="B663">
        <v>1</v>
      </c>
      <c r="C663">
        <v>1</v>
      </c>
      <c r="D663" s="15">
        <v>0</v>
      </c>
      <c r="E663" s="15">
        <v>1</v>
      </c>
      <c r="F663" s="7" t="s">
        <v>781</v>
      </c>
      <c r="G663" s="7" t="s">
        <v>749</v>
      </c>
    </row>
    <row r="664" ht="14" customHeight="1" spans="1:7">
      <c r="A664">
        <v>15055</v>
      </c>
      <c r="B664">
        <v>1</v>
      </c>
      <c r="C664">
        <v>1</v>
      </c>
      <c r="D664" s="15">
        <v>0</v>
      </c>
      <c r="E664" s="15">
        <v>1</v>
      </c>
      <c r="F664" s="7" t="s">
        <v>782</v>
      </c>
      <c r="G664" s="7" t="s">
        <v>749</v>
      </c>
    </row>
    <row r="665" ht="14" customHeight="1" spans="1:7">
      <c r="A665">
        <v>15056</v>
      </c>
      <c r="B665">
        <v>2</v>
      </c>
      <c r="C665">
        <v>2</v>
      </c>
      <c r="D665" s="15">
        <v>0</v>
      </c>
      <c r="E665" s="15">
        <v>2</v>
      </c>
      <c r="F665" s="53" t="s">
        <v>783</v>
      </c>
      <c r="G665" s="7" t="s">
        <v>749</v>
      </c>
    </row>
    <row r="666" ht="14" customHeight="1" spans="1:7">
      <c r="A666">
        <v>15057</v>
      </c>
      <c r="B666">
        <v>2</v>
      </c>
      <c r="C666">
        <v>1</v>
      </c>
      <c r="D666" s="15">
        <v>0</v>
      </c>
      <c r="E666" s="15">
        <v>1</v>
      </c>
      <c r="F666" s="53" t="s">
        <v>783</v>
      </c>
      <c r="G666" s="7" t="s">
        <v>749</v>
      </c>
    </row>
    <row r="667" ht="14" customHeight="1" spans="1:7">
      <c r="A667">
        <v>15058</v>
      </c>
      <c r="B667">
        <v>2</v>
      </c>
      <c r="C667">
        <v>1</v>
      </c>
      <c r="D667" s="15">
        <v>0</v>
      </c>
      <c r="E667" s="15">
        <v>1</v>
      </c>
      <c r="F667" s="53" t="s">
        <v>761</v>
      </c>
      <c r="G667" s="7" t="s">
        <v>749</v>
      </c>
    </row>
    <row r="668" ht="14" customHeight="1" spans="1:7">
      <c r="A668">
        <v>15059</v>
      </c>
      <c r="B668">
        <v>2</v>
      </c>
      <c r="C668">
        <v>1</v>
      </c>
      <c r="D668" s="15">
        <v>0</v>
      </c>
      <c r="E668" s="15">
        <v>1</v>
      </c>
      <c r="F668" s="53" t="s">
        <v>784</v>
      </c>
      <c r="G668" s="7" t="s">
        <v>749</v>
      </c>
    </row>
    <row r="669" ht="14" customHeight="1" spans="1:7">
      <c r="A669">
        <v>15060</v>
      </c>
      <c r="B669">
        <v>2</v>
      </c>
      <c r="C669">
        <v>1</v>
      </c>
      <c r="D669" s="15">
        <v>0</v>
      </c>
      <c r="E669" s="15">
        <v>1</v>
      </c>
      <c r="F669" s="53" t="s">
        <v>784</v>
      </c>
      <c r="G669" s="7" t="s">
        <v>749</v>
      </c>
    </row>
    <row r="670" ht="14" customHeight="1" spans="1:7">
      <c r="A670">
        <v>15061</v>
      </c>
      <c r="B670">
        <v>2</v>
      </c>
      <c r="C670">
        <v>1</v>
      </c>
      <c r="D670" s="15">
        <v>0</v>
      </c>
      <c r="E670" s="15">
        <v>1</v>
      </c>
      <c r="F670" s="53" t="s">
        <v>784</v>
      </c>
      <c r="G670" s="7" t="s">
        <v>749</v>
      </c>
    </row>
    <row r="671" ht="14" customHeight="1" spans="1:7">
      <c r="A671">
        <v>15062</v>
      </c>
      <c r="B671">
        <v>2</v>
      </c>
      <c r="C671">
        <v>1</v>
      </c>
      <c r="D671" s="15">
        <v>0</v>
      </c>
      <c r="E671" s="15">
        <v>1</v>
      </c>
      <c r="F671" s="53" t="s">
        <v>784</v>
      </c>
      <c r="G671" s="7" t="s">
        <v>749</v>
      </c>
    </row>
    <row r="672" ht="14" customHeight="1" spans="1:7">
      <c r="A672">
        <v>15063</v>
      </c>
      <c r="B672">
        <v>2</v>
      </c>
      <c r="C672">
        <v>1</v>
      </c>
      <c r="D672" s="15">
        <v>0</v>
      </c>
      <c r="E672" s="15">
        <v>1</v>
      </c>
      <c r="F672" s="53" t="s">
        <v>784</v>
      </c>
      <c r="G672" s="7" t="s">
        <v>749</v>
      </c>
    </row>
    <row r="673" ht="14" customHeight="1" spans="1:7">
      <c r="A673">
        <v>15064</v>
      </c>
      <c r="B673">
        <v>2</v>
      </c>
      <c r="C673">
        <v>1</v>
      </c>
      <c r="D673" s="15">
        <v>0</v>
      </c>
      <c r="E673" s="15">
        <v>1</v>
      </c>
      <c r="F673" s="53" t="s">
        <v>784</v>
      </c>
      <c r="G673" s="7" t="s">
        <v>749</v>
      </c>
    </row>
    <row r="674" ht="14" customHeight="1" spans="1:7">
      <c r="A674">
        <v>15065</v>
      </c>
      <c r="B674">
        <v>2</v>
      </c>
      <c r="C674">
        <v>1</v>
      </c>
      <c r="D674" s="15">
        <v>0</v>
      </c>
      <c r="E674" s="15">
        <v>1</v>
      </c>
      <c r="F674" s="53" t="s">
        <v>784</v>
      </c>
      <c r="G674" s="7" t="s">
        <v>749</v>
      </c>
    </row>
    <row r="675" ht="14" customHeight="1" spans="1:7">
      <c r="A675">
        <v>15066</v>
      </c>
      <c r="B675">
        <v>2</v>
      </c>
      <c r="C675">
        <v>1</v>
      </c>
      <c r="D675" s="15">
        <v>0</v>
      </c>
      <c r="E675" s="15">
        <v>1</v>
      </c>
      <c r="F675" s="53" t="s">
        <v>763</v>
      </c>
      <c r="G675" s="7" t="s">
        <v>749</v>
      </c>
    </row>
    <row r="676" ht="14" customHeight="1" spans="1:7">
      <c r="A676">
        <v>15067</v>
      </c>
      <c r="B676">
        <v>2</v>
      </c>
      <c r="C676">
        <v>1</v>
      </c>
      <c r="D676" s="15">
        <v>0</v>
      </c>
      <c r="E676" s="15">
        <v>1</v>
      </c>
      <c r="F676" s="53" t="s">
        <v>767</v>
      </c>
      <c r="G676" s="7" t="s">
        <v>749</v>
      </c>
    </row>
    <row r="677" ht="14" customHeight="1" spans="1:7">
      <c r="A677">
        <v>15068</v>
      </c>
      <c r="B677">
        <v>2</v>
      </c>
      <c r="C677">
        <v>1</v>
      </c>
      <c r="D677" s="15">
        <v>0</v>
      </c>
      <c r="E677" s="15">
        <v>1</v>
      </c>
      <c r="F677" s="53" t="s">
        <v>785</v>
      </c>
      <c r="G677" s="7" t="s">
        <v>749</v>
      </c>
    </row>
    <row r="678" ht="14" customHeight="1" spans="1:7">
      <c r="A678">
        <v>15069</v>
      </c>
      <c r="B678">
        <v>1</v>
      </c>
      <c r="C678">
        <v>1</v>
      </c>
      <c r="D678" s="15">
        <v>0</v>
      </c>
      <c r="E678" s="15">
        <v>1</v>
      </c>
      <c r="F678" s="7" t="s">
        <v>786</v>
      </c>
      <c r="G678" s="7" t="s">
        <v>749</v>
      </c>
    </row>
    <row r="679" ht="14" customHeight="1" spans="1:7">
      <c r="A679">
        <v>15070</v>
      </c>
      <c r="B679">
        <v>1</v>
      </c>
      <c r="C679">
        <v>1</v>
      </c>
      <c r="D679" s="15">
        <v>0</v>
      </c>
      <c r="E679" s="15">
        <v>1</v>
      </c>
      <c r="F679" s="7" t="s">
        <v>787</v>
      </c>
      <c r="G679" s="7" t="s">
        <v>749</v>
      </c>
    </row>
    <row r="680" ht="14" customHeight="1" spans="1:7">
      <c r="A680">
        <v>15071</v>
      </c>
      <c r="B680">
        <v>1</v>
      </c>
      <c r="C680">
        <v>1</v>
      </c>
      <c r="D680" s="15">
        <v>0</v>
      </c>
      <c r="E680" s="15">
        <v>1</v>
      </c>
      <c r="F680" s="7" t="s">
        <v>750</v>
      </c>
      <c r="G680" s="7" t="s">
        <v>749</v>
      </c>
    </row>
    <row r="681" ht="14" customHeight="1" spans="1:7">
      <c r="A681">
        <v>15072</v>
      </c>
      <c r="B681">
        <v>1</v>
      </c>
      <c r="C681">
        <v>1</v>
      </c>
      <c r="D681" s="15">
        <v>0</v>
      </c>
      <c r="E681" s="15">
        <v>1</v>
      </c>
      <c r="F681" s="7" t="s">
        <v>779</v>
      </c>
      <c r="G681" s="7" t="s">
        <v>749</v>
      </c>
    </row>
    <row r="682" ht="14" customHeight="1" spans="1:7">
      <c r="A682">
        <v>15073</v>
      </c>
      <c r="B682">
        <v>1</v>
      </c>
      <c r="C682">
        <v>1</v>
      </c>
      <c r="D682" s="15">
        <v>0</v>
      </c>
      <c r="E682" s="15">
        <v>1</v>
      </c>
      <c r="F682" s="7" t="s">
        <v>788</v>
      </c>
      <c r="G682" s="7" t="s">
        <v>749</v>
      </c>
    </row>
    <row r="683" ht="14" customHeight="1" spans="1:7">
      <c r="A683">
        <v>15074</v>
      </c>
      <c r="B683">
        <v>1</v>
      </c>
      <c r="C683">
        <v>1</v>
      </c>
      <c r="D683" s="15">
        <v>0</v>
      </c>
      <c r="E683" s="15">
        <v>1</v>
      </c>
      <c r="F683" s="7" t="s">
        <v>753</v>
      </c>
      <c r="G683" s="7" t="s">
        <v>749</v>
      </c>
    </row>
    <row r="684" ht="14" customHeight="1" spans="1:7">
      <c r="A684">
        <v>15075</v>
      </c>
      <c r="B684">
        <v>1</v>
      </c>
      <c r="C684">
        <v>1</v>
      </c>
      <c r="D684" s="15">
        <v>0</v>
      </c>
      <c r="E684" s="15">
        <v>1</v>
      </c>
      <c r="F684" s="7" t="s">
        <v>789</v>
      </c>
      <c r="G684" s="7" t="s">
        <v>749</v>
      </c>
    </row>
    <row r="685" ht="14" customHeight="1" spans="1:7">
      <c r="A685">
        <v>15076</v>
      </c>
      <c r="B685">
        <v>1</v>
      </c>
      <c r="C685">
        <v>1</v>
      </c>
      <c r="D685" s="15">
        <v>0</v>
      </c>
      <c r="E685" s="15">
        <v>1</v>
      </c>
      <c r="F685" s="7" t="s">
        <v>754</v>
      </c>
      <c r="G685" s="7" t="s">
        <v>749</v>
      </c>
    </row>
    <row r="686" ht="14" customHeight="1" spans="1:7">
      <c r="A686">
        <v>15077</v>
      </c>
      <c r="B686">
        <v>1</v>
      </c>
      <c r="C686">
        <v>1</v>
      </c>
      <c r="D686" s="15">
        <v>0</v>
      </c>
      <c r="E686" s="15">
        <v>1</v>
      </c>
      <c r="F686" s="7" t="s">
        <v>755</v>
      </c>
      <c r="G686" s="7" t="s">
        <v>749</v>
      </c>
    </row>
    <row r="687" ht="14" customHeight="1" spans="1:7">
      <c r="A687">
        <v>15078</v>
      </c>
      <c r="B687">
        <v>1</v>
      </c>
      <c r="C687">
        <v>1</v>
      </c>
      <c r="D687" s="15">
        <v>0</v>
      </c>
      <c r="E687" s="15">
        <v>1</v>
      </c>
      <c r="F687" s="7" t="s">
        <v>756</v>
      </c>
      <c r="G687" s="7" t="s">
        <v>749</v>
      </c>
    </row>
    <row r="688" ht="14" customHeight="1" spans="1:7">
      <c r="A688">
        <v>15079</v>
      </c>
      <c r="B688">
        <v>1</v>
      </c>
      <c r="C688">
        <v>1</v>
      </c>
      <c r="D688" s="15">
        <v>0</v>
      </c>
      <c r="E688" s="15">
        <v>1</v>
      </c>
      <c r="F688" s="7" t="s">
        <v>790</v>
      </c>
      <c r="G688" s="7" t="s">
        <v>749</v>
      </c>
    </row>
    <row r="689" ht="14" customHeight="1" spans="1:7">
      <c r="A689">
        <v>15080</v>
      </c>
      <c r="B689">
        <v>1</v>
      </c>
      <c r="C689">
        <v>1</v>
      </c>
      <c r="D689" s="15">
        <v>0</v>
      </c>
      <c r="E689" s="15">
        <v>1</v>
      </c>
      <c r="F689" s="7" t="s">
        <v>791</v>
      </c>
      <c r="G689" s="7" t="s">
        <v>749</v>
      </c>
    </row>
    <row r="690" ht="14" customHeight="1" spans="1:7">
      <c r="A690">
        <v>15081</v>
      </c>
      <c r="B690">
        <v>1</v>
      </c>
      <c r="C690">
        <v>1</v>
      </c>
      <c r="D690" s="15">
        <v>0</v>
      </c>
      <c r="E690" s="15">
        <v>1</v>
      </c>
      <c r="F690" s="7" t="s">
        <v>760</v>
      </c>
      <c r="G690" s="7" t="s">
        <v>749</v>
      </c>
    </row>
    <row r="691" ht="14" customHeight="1" spans="1:7">
      <c r="A691">
        <v>15082</v>
      </c>
      <c r="B691">
        <v>2</v>
      </c>
      <c r="C691">
        <v>3</v>
      </c>
      <c r="D691" s="15">
        <v>0</v>
      </c>
      <c r="E691" s="15">
        <v>3</v>
      </c>
      <c r="F691" s="53" t="s">
        <v>783</v>
      </c>
      <c r="G691" s="7" t="s">
        <v>749</v>
      </c>
    </row>
    <row r="692" ht="14" customHeight="1" spans="1:7">
      <c r="A692">
        <v>15083</v>
      </c>
      <c r="B692">
        <v>2</v>
      </c>
      <c r="C692">
        <v>2</v>
      </c>
      <c r="D692" s="15">
        <v>0</v>
      </c>
      <c r="E692" s="15">
        <v>2</v>
      </c>
      <c r="F692" s="53" t="s">
        <v>783</v>
      </c>
      <c r="G692" s="7" t="s">
        <v>749</v>
      </c>
    </row>
    <row r="693" ht="14" customHeight="1" spans="1:7">
      <c r="A693">
        <v>15084</v>
      </c>
      <c r="B693">
        <v>2</v>
      </c>
      <c r="C693">
        <v>1</v>
      </c>
      <c r="D693" s="15">
        <v>0</v>
      </c>
      <c r="E693" s="15">
        <v>1</v>
      </c>
      <c r="F693" s="53" t="s">
        <v>783</v>
      </c>
      <c r="G693" s="7" t="s">
        <v>749</v>
      </c>
    </row>
    <row r="694" ht="14" customHeight="1" spans="1:7">
      <c r="A694">
        <v>15085</v>
      </c>
      <c r="B694">
        <v>2</v>
      </c>
      <c r="C694">
        <v>2</v>
      </c>
      <c r="D694" s="15">
        <v>0</v>
      </c>
      <c r="E694" s="15">
        <v>2</v>
      </c>
      <c r="F694" s="53" t="s">
        <v>784</v>
      </c>
      <c r="G694" s="7" t="s">
        <v>749</v>
      </c>
    </row>
    <row r="695" ht="14" customHeight="1" spans="1:7">
      <c r="A695">
        <v>15086</v>
      </c>
      <c r="B695">
        <v>2</v>
      </c>
      <c r="C695">
        <v>2</v>
      </c>
      <c r="D695" s="15">
        <v>0</v>
      </c>
      <c r="E695" s="15">
        <v>2</v>
      </c>
      <c r="F695" s="53" t="s">
        <v>784</v>
      </c>
      <c r="G695" s="7" t="s">
        <v>749</v>
      </c>
    </row>
    <row r="696" ht="14" customHeight="1" spans="1:7">
      <c r="A696">
        <v>15087</v>
      </c>
      <c r="B696">
        <v>2</v>
      </c>
      <c r="C696">
        <v>1</v>
      </c>
      <c r="D696" s="15">
        <v>0</v>
      </c>
      <c r="E696" s="15">
        <v>1</v>
      </c>
      <c r="F696" s="53" t="s">
        <v>784</v>
      </c>
      <c r="G696" s="7" t="s">
        <v>749</v>
      </c>
    </row>
    <row r="697" ht="14" customHeight="1" spans="1:7">
      <c r="A697">
        <v>15088</v>
      </c>
      <c r="B697">
        <v>2</v>
      </c>
      <c r="C697">
        <v>1</v>
      </c>
      <c r="D697" s="15">
        <v>0</v>
      </c>
      <c r="E697" s="15">
        <v>1</v>
      </c>
      <c r="F697" s="53" t="s">
        <v>784</v>
      </c>
      <c r="G697" s="7" t="s">
        <v>749</v>
      </c>
    </row>
    <row r="698" ht="14" customHeight="1" spans="1:7">
      <c r="A698">
        <v>15089</v>
      </c>
      <c r="B698">
        <v>2</v>
      </c>
      <c r="C698">
        <v>1</v>
      </c>
      <c r="D698" s="15">
        <v>0</v>
      </c>
      <c r="E698" s="15">
        <v>1</v>
      </c>
      <c r="F698" s="53" t="s">
        <v>784</v>
      </c>
      <c r="G698" s="7" t="s">
        <v>749</v>
      </c>
    </row>
    <row r="699" ht="14" customHeight="1" spans="1:7">
      <c r="A699">
        <v>15090</v>
      </c>
      <c r="B699">
        <v>2</v>
      </c>
      <c r="C699">
        <v>1</v>
      </c>
      <c r="D699" s="15">
        <v>0</v>
      </c>
      <c r="E699" s="15">
        <v>1</v>
      </c>
      <c r="F699" s="53" t="s">
        <v>784</v>
      </c>
      <c r="G699" s="7" t="s">
        <v>749</v>
      </c>
    </row>
    <row r="700" ht="14" customHeight="1" spans="1:7">
      <c r="A700">
        <v>15091</v>
      </c>
      <c r="B700">
        <v>2</v>
      </c>
      <c r="C700">
        <v>1</v>
      </c>
      <c r="D700" s="15">
        <v>0</v>
      </c>
      <c r="E700" s="15">
        <v>1</v>
      </c>
      <c r="F700" s="53" t="s">
        <v>784</v>
      </c>
      <c r="G700" s="7" t="s">
        <v>749</v>
      </c>
    </row>
    <row r="701" ht="14" customHeight="1" spans="1:7">
      <c r="A701">
        <v>15092</v>
      </c>
      <c r="B701">
        <v>2</v>
      </c>
      <c r="C701">
        <v>1</v>
      </c>
      <c r="D701" s="15">
        <v>0</v>
      </c>
      <c r="E701" s="15">
        <v>1</v>
      </c>
      <c r="F701" s="53" t="s">
        <v>763</v>
      </c>
      <c r="G701" s="7" t="s">
        <v>749</v>
      </c>
    </row>
    <row r="702" ht="14" customHeight="1" spans="1:7">
      <c r="A702">
        <v>15093</v>
      </c>
      <c r="B702">
        <v>2</v>
      </c>
      <c r="C702">
        <v>1</v>
      </c>
      <c r="D702" s="15">
        <v>0</v>
      </c>
      <c r="E702" s="15">
        <v>1</v>
      </c>
      <c r="F702" s="53" t="s">
        <v>763</v>
      </c>
      <c r="G702" s="7" t="s">
        <v>749</v>
      </c>
    </row>
    <row r="703" ht="14" customHeight="1" spans="1:7">
      <c r="A703">
        <v>15094</v>
      </c>
      <c r="B703">
        <v>2</v>
      </c>
      <c r="C703">
        <v>1</v>
      </c>
      <c r="D703" s="15">
        <v>0</v>
      </c>
      <c r="E703" s="15">
        <v>1</v>
      </c>
      <c r="F703" s="53" t="s">
        <v>792</v>
      </c>
      <c r="G703" s="7" t="s">
        <v>749</v>
      </c>
    </row>
    <row r="704" ht="14" customHeight="1" spans="1:7">
      <c r="A704">
        <v>15095</v>
      </c>
      <c r="B704">
        <v>1</v>
      </c>
      <c r="C704">
        <v>1</v>
      </c>
      <c r="D704" s="15">
        <v>0</v>
      </c>
      <c r="E704" s="15">
        <v>1</v>
      </c>
      <c r="F704" s="7" t="s">
        <v>793</v>
      </c>
      <c r="G704" s="7" t="s">
        <v>773</v>
      </c>
    </row>
    <row r="705" ht="14" customHeight="1" spans="1:7">
      <c r="A705">
        <v>15096</v>
      </c>
      <c r="B705">
        <v>1</v>
      </c>
      <c r="C705">
        <v>1</v>
      </c>
      <c r="D705" s="15">
        <v>0</v>
      </c>
      <c r="E705" s="15">
        <v>1</v>
      </c>
      <c r="F705" s="7" t="s">
        <v>794</v>
      </c>
      <c r="G705" s="7" t="s">
        <v>773</v>
      </c>
    </row>
    <row r="706" ht="14" customHeight="1" spans="1:7">
      <c r="A706">
        <v>15097</v>
      </c>
      <c r="B706">
        <v>1</v>
      </c>
      <c r="C706">
        <v>1</v>
      </c>
      <c r="D706" s="15">
        <v>0</v>
      </c>
      <c r="E706" s="15">
        <v>1</v>
      </c>
      <c r="F706" s="7" t="s">
        <v>795</v>
      </c>
      <c r="G706" s="7" t="s">
        <v>773</v>
      </c>
    </row>
    <row r="707" ht="14" customHeight="1" spans="1:7">
      <c r="A707">
        <v>15098</v>
      </c>
      <c r="B707">
        <v>1</v>
      </c>
      <c r="C707">
        <v>1</v>
      </c>
      <c r="D707" s="15">
        <v>0</v>
      </c>
      <c r="E707" s="15">
        <v>1</v>
      </c>
      <c r="F707" s="7" t="s">
        <v>796</v>
      </c>
      <c r="G707" s="7" t="s">
        <v>749</v>
      </c>
    </row>
    <row r="708" ht="14" customHeight="1" spans="1:7">
      <c r="A708">
        <v>15099</v>
      </c>
      <c r="B708">
        <v>1</v>
      </c>
      <c r="C708">
        <v>1</v>
      </c>
      <c r="D708" s="15">
        <v>0</v>
      </c>
      <c r="E708" s="15">
        <v>1</v>
      </c>
      <c r="F708" s="7" t="s">
        <v>797</v>
      </c>
      <c r="G708" s="7" t="s">
        <v>749</v>
      </c>
    </row>
    <row r="709" ht="14" customHeight="1" spans="1:7">
      <c r="A709">
        <v>15100</v>
      </c>
      <c r="B709">
        <v>1</v>
      </c>
      <c r="C709">
        <v>1</v>
      </c>
      <c r="D709" s="15">
        <v>0</v>
      </c>
      <c r="E709" s="15">
        <v>1</v>
      </c>
      <c r="F709" s="7" t="s">
        <v>798</v>
      </c>
      <c r="G709" s="7" t="s">
        <v>749</v>
      </c>
    </row>
    <row r="710" ht="14" customHeight="1" spans="1:7">
      <c r="A710">
        <v>15101</v>
      </c>
      <c r="B710">
        <v>1</v>
      </c>
      <c r="C710">
        <v>1</v>
      </c>
      <c r="D710" s="15">
        <v>0</v>
      </c>
      <c r="E710" s="15">
        <v>1</v>
      </c>
      <c r="F710" s="7" t="s">
        <v>799</v>
      </c>
      <c r="G710" s="7" t="s">
        <v>749</v>
      </c>
    </row>
    <row r="711" ht="14" customHeight="1" spans="1:7">
      <c r="A711">
        <v>15102</v>
      </c>
      <c r="B711">
        <v>1</v>
      </c>
      <c r="C711">
        <v>1</v>
      </c>
      <c r="D711" s="15">
        <v>0</v>
      </c>
      <c r="E711" s="15">
        <v>1</v>
      </c>
      <c r="F711" s="7" t="s">
        <v>796</v>
      </c>
      <c r="G711" s="7" t="s">
        <v>749</v>
      </c>
    </row>
    <row r="712" ht="14" customHeight="1" spans="1:7">
      <c r="A712">
        <v>15103</v>
      </c>
      <c r="B712">
        <v>1</v>
      </c>
      <c r="C712">
        <v>1</v>
      </c>
      <c r="D712" s="15">
        <v>0</v>
      </c>
      <c r="E712" s="15">
        <v>1</v>
      </c>
      <c r="F712" s="7" t="s">
        <v>800</v>
      </c>
      <c r="G712" s="7" t="s">
        <v>749</v>
      </c>
    </row>
    <row r="713" ht="14" customHeight="1" spans="1:7">
      <c r="A713">
        <v>15104</v>
      </c>
      <c r="B713">
        <v>1</v>
      </c>
      <c r="C713">
        <v>1</v>
      </c>
      <c r="D713" s="15">
        <v>0</v>
      </c>
      <c r="E713" s="15">
        <v>1</v>
      </c>
      <c r="F713" s="7" t="s">
        <v>782</v>
      </c>
      <c r="G713" s="7" t="s">
        <v>749</v>
      </c>
    </row>
    <row r="714" ht="14" customHeight="1" spans="1:7">
      <c r="A714">
        <v>15105</v>
      </c>
      <c r="B714">
        <v>1</v>
      </c>
      <c r="C714">
        <v>1</v>
      </c>
      <c r="D714" s="15">
        <v>0</v>
      </c>
      <c r="E714" s="15">
        <v>1</v>
      </c>
      <c r="F714" s="7" t="s">
        <v>801</v>
      </c>
      <c r="G714" s="7" t="s">
        <v>749</v>
      </c>
    </row>
    <row r="715" ht="14" customHeight="1" spans="1:7">
      <c r="A715">
        <v>15106</v>
      </c>
      <c r="B715">
        <v>1</v>
      </c>
      <c r="C715">
        <v>1</v>
      </c>
      <c r="D715" s="15">
        <v>0</v>
      </c>
      <c r="E715" s="15">
        <v>1</v>
      </c>
      <c r="F715" s="7" t="s">
        <v>799</v>
      </c>
      <c r="G715" s="7" t="s">
        <v>749</v>
      </c>
    </row>
    <row r="716" ht="14" customHeight="1" spans="1:7">
      <c r="A716">
        <v>15107</v>
      </c>
      <c r="B716">
        <v>1</v>
      </c>
      <c r="C716">
        <v>1</v>
      </c>
      <c r="D716" s="15">
        <v>0</v>
      </c>
      <c r="E716" s="15">
        <v>1</v>
      </c>
      <c r="F716" s="7" t="s">
        <v>794</v>
      </c>
      <c r="G716" s="7" t="s">
        <v>749</v>
      </c>
    </row>
    <row r="717" ht="14" customHeight="1" spans="1:7">
      <c r="A717">
        <v>15108</v>
      </c>
      <c r="B717">
        <v>1</v>
      </c>
      <c r="C717">
        <v>1</v>
      </c>
      <c r="D717" s="15">
        <v>0</v>
      </c>
      <c r="E717" s="15">
        <v>1</v>
      </c>
      <c r="F717" s="7" t="s">
        <v>795</v>
      </c>
      <c r="G717" s="7" t="s">
        <v>749</v>
      </c>
    </row>
    <row r="718" ht="14" customHeight="1" spans="1:7">
      <c r="A718">
        <v>15109</v>
      </c>
      <c r="B718">
        <v>1</v>
      </c>
      <c r="C718">
        <v>1</v>
      </c>
      <c r="D718" s="15">
        <v>0</v>
      </c>
      <c r="E718" s="15">
        <v>1</v>
      </c>
      <c r="F718" s="7" t="s">
        <v>802</v>
      </c>
      <c r="G718" s="7" t="s">
        <v>803</v>
      </c>
    </row>
    <row r="719" ht="14" customHeight="1" spans="1:7">
      <c r="A719">
        <v>15110</v>
      </c>
      <c r="B719">
        <v>1</v>
      </c>
      <c r="C719">
        <v>1</v>
      </c>
      <c r="D719" s="15">
        <v>0</v>
      </c>
      <c r="E719" s="15">
        <v>1</v>
      </c>
      <c r="F719" s="7" t="s">
        <v>804</v>
      </c>
      <c r="G719" s="7" t="s">
        <v>803</v>
      </c>
    </row>
    <row r="720" ht="14" customHeight="1" spans="1:7">
      <c r="A720">
        <v>15111</v>
      </c>
      <c r="B720">
        <v>1</v>
      </c>
      <c r="C720">
        <v>1</v>
      </c>
      <c r="D720" s="15">
        <v>0</v>
      </c>
      <c r="E720" s="15">
        <v>1</v>
      </c>
      <c r="F720" s="7" t="s">
        <v>805</v>
      </c>
      <c r="G720" s="7" t="s">
        <v>803</v>
      </c>
    </row>
    <row r="721" ht="14" customHeight="1" spans="1:7">
      <c r="A721">
        <v>15112</v>
      </c>
      <c r="B721">
        <v>1</v>
      </c>
      <c r="C721">
        <v>1</v>
      </c>
      <c r="D721" s="15">
        <v>0</v>
      </c>
      <c r="E721" s="15">
        <v>1</v>
      </c>
      <c r="F721" s="7" t="s">
        <v>806</v>
      </c>
      <c r="G721" s="7" t="s">
        <v>803</v>
      </c>
    </row>
    <row r="722" ht="14" customHeight="1" spans="1:7">
      <c r="A722">
        <v>15113</v>
      </c>
      <c r="B722">
        <v>1</v>
      </c>
      <c r="C722">
        <v>1</v>
      </c>
      <c r="D722" s="15">
        <v>0</v>
      </c>
      <c r="E722" s="15">
        <v>1</v>
      </c>
      <c r="F722" s="7" t="s">
        <v>807</v>
      </c>
      <c r="G722" s="7" t="s">
        <v>808</v>
      </c>
    </row>
    <row r="723" ht="14" customHeight="1" spans="1:7">
      <c r="A723">
        <v>15114</v>
      </c>
      <c r="B723">
        <v>1</v>
      </c>
      <c r="C723">
        <v>1</v>
      </c>
      <c r="D723" s="15">
        <v>0</v>
      </c>
      <c r="E723" s="15">
        <v>1</v>
      </c>
      <c r="F723" s="7" t="s">
        <v>809</v>
      </c>
      <c r="G723" s="7" t="s">
        <v>808</v>
      </c>
    </row>
    <row r="724" ht="14" customHeight="1" spans="1:7">
      <c r="A724">
        <v>15115</v>
      </c>
      <c r="B724">
        <v>1</v>
      </c>
      <c r="C724">
        <v>1</v>
      </c>
      <c r="D724" s="15">
        <v>0</v>
      </c>
      <c r="E724" s="15">
        <v>1</v>
      </c>
      <c r="F724" s="7" t="s">
        <v>810</v>
      </c>
      <c r="G724" s="7" t="s">
        <v>808</v>
      </c>
    </row>
    <row r="725" ht="14" customHeight="1" spans="1:7">
      <c r="A725">
        <v>15116</v>
      </c>
      <c r="B725">
        <v>1</v>
      </c>
      <c r="C725">
        <v>1</v>
      </c>
      <c r="D725" s="15">
        <v>0</v>
      </c>
      <c r="E725" s="15">
        <v>1</v>
      </c>
      <c r="F725" s="7" t="s">
        <v>811</v>
      </c>
      <c r="G725" s="7" t="s">
        <v>808</v>
      </c>
    </row>
    <row r="726" ht="14" customHeight="1" spans="1:7">
      <c r="A726">
        <v>15117</v>
      </c>
      <c r="B726">
        <v>1</v>
      </c>
      <c r="C726">
        <v>1</v>
      </c>
      <c r="D726" s="15">
        <v>0</v>
      </c>
      <c r="E726" s="15">
        <v>1</v>
      </c>
      <c r="F726" s="7" t="s">
        <v>812</v>
      </c>
      <c r="G726" s="7" t="s">
        <v>808</v>
      </c>
    </row>
    <row r="727" ht="14" customHeight="1" spans="1:7">
      <c r="A727" s="44">
        <v>15118</v>
      </c>
      <c r="B727" s="44">
        <v>1</v>
      </c>
      <c r="C727" s="44">
        <v>2</v>
      </c>
      <c r="D727" s="44">
        <v>0</v>
      </c>
      <c r="E727" s="44">
        <v>1</v>
      </c>
      <c r="F727" s="67" t="s">
        <v>813</v>
      </c>
      <c r="G727" s="44" t="s">
        <v>814</v>
      </c>
    </row>
    <row r="728" ht="14" customHeight="1" spans="1:7">
      <c r="A728" s="44">
        <v>15119</v>
      </c>
      <c r="B728" s="44">
        <v>1</v>
      </c>
      <c r="C728" s="44">
        <v>1</v>
      </c>
      <c r="D728" s="44">
        <v>0</v>
      </c>
      <c r="E728" s="44">
        <v>1</v>
      </c>
      <c r="F728" s="67" t="s">
        <v>815</v>
      </c>
      <c r="G728" s="44" t="s">
        <v>816</v>
      </c>
    </row>
    <row r="729" ht="14" customHeight="1" spans="1:7">
      <c r="A729" s="44">
        <v>15120</v>
      </c>
      <c r="B729" s="44">
        <v>1</v>
      </c>
      <c r="C729" s="44">
        <v>2</v>
      </c>
      <c r="D729" s="44">
        <v>0</v>
      </c>
      <c r="E729" s="44">
        <v>1</v>
      </c>
      <c r="F729" s="67" t="s">
        <v>817</v>
      </c>
      <c r="G729" s="44" t="s">
        <v>818</v>
      </c>
    </row>
    <row r="730" ht="14" customHeight="1" spans="1:7">
      <c r="A730" s="44">
        <v>15121</v>
      </c>
      <c r="B730" s="44">
        <v>1</v>
      </c>
      <c r="C730" s="44">
        <v>1</v>
      </c>
      <c r="D730" s="44">
        <v>0</v>
      </c>
      <c r="E730" s="44">
        <v>1</v>
      </c>
      <c r="F730" s="67" t="s">
        <v>819</v>
      </c>
      <c r="G730" s="44" t="s">
        <v>820</v>
      </c>
    </row>
    <row r="731" ht="14" customHeight="1" spans="1:7">
      <c r="A731" s="44">
        <v>15122</v>
      </c>
      <c r="B731" s="44">
        <v>1</v>
      </c>
      <c r="C731" s="44">
        <v>2</v>
      </c>
      <c r="D731" s="44">
        <v>0</v>
      </c>
      <c r="E731" s="44">
        <v>1</v>
      </c>
      <c r="F731" s="67" t="s">
        <v>821</v>
      </c>
      <c r="G731" s="44" t="s">
        <v>822</v>
      </c>
    </row>
    <row r="732" ht="14" customHeight="1" spans="1:7">
      <c r="A732" s="44">
        <v>15123</v>
      </c>
      <c r="B732" s="44">
        <v>1</v>
      </c>
      <c r="C732" s="44">
        <v>1</v>
      </c>
      <c r="D732" s="44">
        <v>0</v>
      </c>
      <c r="E732" s="44">
        <v>1</v>
      </c>
      <c r="F732" s="67" t="s">
        <v>823</v>
      </c>
      <c r="G732" s="44" t="s">
        <v>824</v>
      </c>
    </row>
    <row r="733" ht="14" customHeight="1" spans="1:7">
      <c r="A733" s="44">
        <v>15124</v>
      </c>
      <c r="B733" s="44">
        <v>1</v>
      </c>
      <c r="C733" s="44">
        <v>1</v>
      </c>
      <c r="D733" s="44">
        <v>0</v>
      </c>
      <c r="E733" s="44">
        <v>1</v>
      </c>
      <c r="F733" s="67" t="s">
        <v>825</v>
      </c>
      <c r="G733" s="44" t="s">
        <v>826</v>
      </c>
    </row>
    <row r="734" ht="14" customHeight="1" spans="1:7">
      <c r="A734" s="44">
        <v>15125</v>
      </c>
      <c r="B734" s="44">
        <v>1</v>
      </c>
      <c r="C734" s="44">
        <v>1</v>
      </c>
      <c r="D734" s="44">
        <v>0</v>
      </c>
      <c r="E734" s="44">
        <v>1</v>
      </c>
      <c r="F734" s="67" t="s">
        <v>827</v>
      </c>
      <c r="G734" s="44"/>
    </row>
    <row r="735" ht="14" customHeight="1" spans="1:7">
      <c r="A735" s="44">
        <v>15126</v>
      </c>
      <c r="B735" s="44">
        <v>1</v>
      </c>
      <c r="C735" s="44">
        <v>1</v>
      </c>
      <c r="D735" s="44">
        <v>0</v>
      </c>
      <c r="E735" s="44">
        <v>1</v>
      </c>
      <c r="F735" s="67" t="s">
        <v>828</v>
      </c>
      <c r="G735" s="44" t="s">
        <v>829</v>
      </c>
    </row>
    <row r="736" ht="14" customHeight="1" spans="1:7">
      <c r="A736" s="44">
        <v>15127</v>
      </c>
      <c r="B736" s="44">
        <v>1</v>
      </c>
      <c r="C736" s="44">
        <v>1</v>
      </c>
      <c r="D736" s="44">
        <v>0</v>
      </c>
      <c r="E736" s="44">
        <v>1</v>
      </c>
      <c r="F736" s="67" t="s">
        <v>830</v>
      </c>
      <c r="G736" s="44" t="s">
        <v>831</v>
      </c>
    </row>
    <row r="737" ht="14" customHeight="1" spans="1:7">
      <c r="A737" s="44">
        <v>15128</v>
      </c>
      <c r="B737" s="44">
        <v>1</v>
      </c>
      <c r="C737" s="44">
        <v>1</v>
      </c>
      <c r="D737" s="44">
        <v>0</v>
      </c>
      <c r="E737" s="44">
        <v>1</v>
      </c>
      <c r="F737" s="67" t="s">
        <v>832</v>
      </c>
      <c r="G737" s="44" t="s">
        <v>833</v>
      </c>
    </row>
    <row r="738" ht="14" customHeight="1" spans="1:7">
      <c r="A738" s="44">
        <v>15129</v>
      </c>
      <c r="B738" s="44">
        <v>1</v>
      </c>
      <c r="C738" s="44">
        <v>1</v>
      </c>
      <c r="D738" s="44">
        <v>0</v>
      </c>
      <c r="E738" s="44">
        <v>1</v>
      </c>
      <c r="F738" s="67" t="s">
        <v>830</v>
      </c>
      <c r="G738" s="44" t="s">
        <v>834</v>
      </c>
    </row>
    <row r="739" ht="14" customHeight="1" spans="1:7">
      <c r="A739" s="44">
        <v>15130</v>
      </c>
      <c r="B739" s="44">
        <v>1</v>
      </c>
      <c r="C739" s="44">
        <v>1</v>
      </c>
      <c r="D739" s="44">
        <v>0</v>
      </c>
      <c r="E739" s="44">
        <v>1</v>
      </c>
      <c r="F739" s="67" t="s">
        <v>835</v>
      </c>
      <c r="G739" s="44" t="s">
        <v>836</v>
      </c>
    </row>
    <row r="740" ht="14" customHeight="1" spans="1:7">
      <c r="A740" s="44">
        <v>15131</v>
      </c>
      <c r="B740" s="44">
        <v>1</v>
      </c>
      <c r="C740" s="44">
        <v>1</v>
      </c>
      <c r="D740" s="44">
        <v>0</v>
      </c>
      <c r="E740" s="44">
        <v>1</v>
      </c>
      <c r="F740" s="67" t="s">
        <v>837</v>
      </c>
      <c r="G740" s="44" t="s">
        <v>838</v>
      </c>
    </row>
    <row r="741" ht="14" customHeight="1" spans="1:7">
      <c r="A741" s="44">
        <v>15132</v>
      </c>
      <c r="B741" s="44">
        <v>1</v>
      </c>
      <c r="C741" s="44">
        <v>1</v>
      </c>
      <c r="D741" s="44">
        <v>0</v>
      </c>
      <c r="E741" s="44">
        <v>1</v>
      </c>
      <c r="F741" s="67" t="s">
        <v>839</v>
      </c>
      <c r="G741" s="44" t="s">
        <v>840</v>
      </c>
    </row>
    <row r="742" ht="14" customHeight="1" spans="1:7">
      <c r="A742" s="44">
        <v>15133</v>
      </c>
      <c r="B742" s="44">
        <v>1</v>
      </c>
      <c r="C742" s="44">
        <v>1</v>
      </c>
      <c r="D742" s="44">
        <v>0</v>
      </c>
      <c r="E742" s="44">
        <v>1</v>
      </c>
      <c r="F742" s="67" t="s">
        <v>841</v>
      </c>
      <c r="G742" s="44" t="s">
        <v>842</v>
      </c>
    </row>
    <row r="743" ht="14" customHeight="1" spans="1:7">
      <c r="A743" s="44">
        <v>15134</v>
      </c>
      <c r="B743" s="44">
        <v>1</v>
      </c>
      <c r="C743" s="44">
        <v>1</v>
      </c>
      <c r="D743" s="44">
        <v>0</v>
      </c>
      <c r="E743" s="44">
        <v>1</v>
      </c>
      <c r="F743" s="67" t="s">
        <v>843</v>
      </c>
      <c r="G743" s="44" t="s">
        <v>844</v>
      </c>
    </row>
    <row r="744" ht="14" customHeight="1" spans="1:7">
      <c r="A744" s="44">
        <v>15135</v>
      </c>
      <c r="B744" s="44">
        <v>2</v>
      </c>
      <c r="C744" s="44">
        <v>1</v>
      </c>
      <c r="D744" s="44">
        <v>0</v>
      </c>
      <c r="E744" s="44">
        <v>1</v>
      </c>
      <c r="F744" s="67" t="s">
        <v>845</v>
      </c>
      <c r="G744" s="44" t="s">
        <v>846</v>
      </c>
    </row>
    <row r="745" ht="14" customHeight="1" spans="1:7">
      <c r="A745" s="44">
        <v>15136</v>
      </c>
      <c r="B745" s="44">
        <v>1</v>
      </c>
      <c r="C745" s="44">
        <v>1</v>
      </c>
      <c r="D745" s="44">
        <v>0</v>
      </c>
      <c r="E745" s="44">
        <v>1</v>
      </c>
      <c r="F745" s="67" t="s">
        <v>847</v>
      </c>
      <c r="G745" s="44" t="s">
        <v>694</v>
      </c>
    </row>
    <row r="746" ht="14" customHeight="1" spans="1:7">
      <c r="A746" s="44">
        <v>15137</v>
      </c>
      <c r="B746" s="44">
        <v>1</v>
      </c>
      <c r="C746" s="44">
        <v>1</v>
      </c>
      <c r="D746" s="44">
        <v>0</v>
      </c>
      <c r="E746" s="44">
        <v>1</v>
      </c>
      <c r="F746" s="67" t="s">
        <v>848</v>
      </c>
      <c r="G746" s="44" t="s">
        <v>849</v>
      </c>
    </row>
    <row r="747" ht="14" customHeight="1" spans="1:7">
      <c r="A747" s="44">
        <v>15138</v>
      </c>
      <c r="B747" s="44">
        <v>1</v>
      </c>
      <c r="C747" s="44">
        <v>1</v>
      </c>
      <c r="D747" s="44">
        <v>0</v>
      </c>
      <c r="E747" s="44">
        <v>1</v>
      </c>
      <c r="F747" s="67" t="s">
        <v>850</v>
      </c>
      <c r="G747" s="44" t="s">
        <v>851</v>
      </c>
    </row>
    <row r="748" ht="14" customHeight="1" spans="1:7">
      <c r="A748" s="44">
        <v>15139</v>
      </c>
      <c r="B748" s="44">
        <v>1</v>
      </c>
      <c r="C748" s="44">
        <v>1</v>
      </c>
      <c r="D748" s="44">
        <v>0</v>
      </c>
      <c r="E748" s="44">
        <v>1</v>
      </c>
      <c r="F748" s="67" t="s">
        <v>841</v>
      </c>
      <c r="G748" s="44" t="s">
        <v>852</v>
      </c>
    </row>
    <row r="749" ht="14" customHeight="1" spans="1:7">
      <c r="A749" s="44">
        <v>15140</v>
      </c>
      <c r="B749" s="44">
        <v>1</v>
      </c>
      <c r="C749" s="44">
        <v>1</v>
      </c>
      <c r="D749" s="44">
        <v>0</v>
      </c>
      <c r="E749" s="44">
        <v>1</v>
      </c>
      <c r="F749" s="67" t="s">
        <v>853</v>
      </c>
      <c r="G749" s="44" t="s">
        <v>854</v>
      </c>
    </row>
    <row r="750" ht="14" customHeight="1" spans="1:7">
      <c r="A750" s="44">
        <v>15141</v>
      </c>
      <c r="B750" s="44">
        <v>1</v>
      </c>
      <c r="C750" s="44">
        <v>1</v>
      </c>
      <c r="D750" s="44">
        <v>0</v>
      </c>
      <c r="E750" s="44">
        <v>1</v>
      </c>
      <c r="F750" s="67" t="s">
        <v>855</v>
      </c>
      <c r="G750" s="44" t="s">
        <v>856</v>
      </c>
    </row>
    <row r="751" ht="14" customHeight="1" spans="1:7">
      <c r="A751" s="44">
        <v>15142</v>
      </c>
      <c r="B751" s="44">
        <v>2</v>
      </c>
      <c r="C751" s="44">
        <v>2</v>
      </c>
      <c r="D751" s="44">
        <v>1</v>
      </c>
      <c r="E751" s="44">
        <v>1</v>
      </c>
      <c r="F751" s="67" t="s">
        <v>857</v>
      </c>
      <c r="G751" s="44" t="s">
        <v>858</v>
      </c>
    </row>
    <row r="752" ht="14" customHeight="1" spans="1:7">
      <c r="A752" s="44">
        <v>15143</v>
      </c>
      <c r="B752" s="44">
        <v>1</v>
      </c>
      <c r="C752" s="44">
        <v>1</v>
      </c>
      <c r="D752" s="44">
        <v>1</v>
      </c>
      <c r="E752" s="44">
        <v>1</v>
      </c>
      <c r="F752" s="68" t="s">
        <v>859</v>
      </c>
      <c r="G752" s="44" t="s">
        <v>858</v>
      </c>
    </row>
    <row r="753" ht="14" customHeight="1" spans="1:7">
      <c r="A753" s="44">
        <v>15144</v>
      </c>
      <c r="B753" s="44">
        <v>1</v>
      </c>
      <c r="C753" s="44">
        <v>1</v>
      </c>
      <c r="D753" s="44">
        <v>1</v>
      </c>
      <c r="E753" s="44">
        <v>1</v>
      </c>
      <c r="F753" s="67" t="s">
        <v>860</v>
      </c>
      <c r="G753" s="44" t="s">
        <v>858</v>
      </c>
    </row>
    <row r="754" ht="14" customHeight="1" spans="1:7">
      <c r="A754" s="69">
        <v>20001</v>
      </c>
      <c r="B754">
        <v>1</v>
      </c>
      <c r="C754">
        <v>1</v>
      </c>
      <c r="D754" s="15">
        <v>0</v>
      </c>
      <c r="E754" s="15">
        <v>100</v>
      </c>
      <c r="F754" t="s">
        <v>861</v>
      </c>
      <c r="G754" s="7" t="s">
        <v>862</v>
      </c>
    </row>
    <row r="755" ht="14" customHeight="1" spans="1:7">
      <c r="A755" s="69">
        <v>20002</v>
      </c>
      <c r="B755">
        <v>1</v>
      </c>
      <c r="C755">
        <v>1</v>
      </c>
      <c r="D755" s="15">
        <v>0</v>
      </c>
      <c r="E755" s="15">
        <v>100</v>
      </c>
      <c r="F755" t="s">
        <v>863</v>
      </c>
      <c r="G755" s="7" t="s">
        <v>864</v>
      </c>
    </row>
    <row r="756" ht="14" customHeight="1" spans="1:7">
      <c r="A756" s="69">
        <v>20003</v>
      </c>
      <c r="B756">
        <v>1</v>
      </c>
      <c r="C756">
        <v>1</v>
      </c>
      <c r="D756" s="15">
        <v>0</v>
      </c>
      <c r="E756" s="15">
        <v>100</v>
      </c>
      <c r="F756" t="s">
        <v>865</v>
      </c>
      <c r="G756" s="7" t="s">
        <v>866</v>
      </c>
    </row>
    <row r="757" ht="14" customHeight="1" spans="1:7">
      <c r="A757" s="69">
        <v>20004</v>
      </c>
      <c r="B757">
        <v>1</v>
      </c>
      <c r="C757">
        <v>1</v>
      </c>
      <c r="D757" s="15">
        <v>0</v>
      </c>
      <c r="E757" s="15">
        <v>100</v>
      </c>
      <c r="F757" t="s">
        <v>867</v>
      </c>
      <c r="G757" s="7" t="s">
        <v>868</v>
      </c>
    </row>
    <row r="758" ht="14" customHeight="1" spans="1:7">
      <c r="A758" s="69">
        <v>20005</v>
      </c>
      <c r="B758">
        <v>1</v>
      </c>
      <c r="C758">
        <v>1</v>
      </c>
      <c r="D758" s="15">
        <v>0</v>
      </c>
      <c r="E758" s="15">
        <v>100</v>
      </c>
      <c r="F758" t="s">
        <v>869</v>
      </c>
      <c r="G758" s="7" t="s">
        <v>870</v>
      </c>
    </row>
    <row r="759" ht="14" customHeight="1" spans="1:7">
      <c r="A759" s="69">
        <v>20006</v>
      </c>
      <c r="B759">
        <v>1</v>
      </c>
      <c r="C759">
        <v>1</v>
      </c>
      <c r="D759" s="15">
        <v>0</v>
      </c>
      <c r="E759" s="15">
        <v>100</v>
      </c>
      <c r="F759" t="s">
        <v>869</v>
      </c>
      <c r="G759" s="7" t="s">
        <v>871</v>
      </c>
    </row>
    <row r="760" ht="14" customHeight="1" spans="1:7">
      <c r="A760" s="69">
        <v>20007</v>
      </c>
      <c r="B760">
        <v>1</v>
      </c>
      <c r="C760">
        <v>1</v>
      </c>
      <c r="D760" s="15">
        <v>0</v>
      </c>
      <c r="E760" s="15">
        <v>100</v>
      </c>
      <c r="F760" s="50" t="s">
        <v>872</v>
      </c>
      <c r="G760" s="7" t="s">
        <v>873</v>
      </c>
    </row>
    <row r="761" ht="14" customHeight="1" spans="1:7">
      <c r="A761" s="69">
        <v>20008</v>
      </c>
      <c r="B761">
        <v>1</v>
      </c>
      <c r="C761">
        <v>1</v>
      </c>
      <c r="D761" s="15">
        <v>0</v>
      </c>
      <c r="E761" s="15">
        <v>100</v>
      </c>
      <c r="F761" s="50" t="s">
        <v>874</v>
      </c>
      <c r="G761" s="7" t="s">
        <v>875</v>
      </c>
    </row>
    <row r="762" ht="14" customHeight="1" spans="1:7">
      <c r="A762" s="69">
        <v>20009</v>
      </c>
      <c r="B762">
        <v>1</v>
      </c>
      <c r="C762">
        <v>1</v>
      </c>
      <c r="D762" s="15">
        <v>0</v>
      </c>
      <c r="E762" s="15">
        <v>100</v>
      </c>
      <c r="F762" s="50" t="s">
        <v>874</v>
      </c>
      <c r="G762" s="7" t="s">
        <v>876</v>
      </c>
    </row>
    <row r="763" ht="14" customHeight="1" spans="1:7">
      <c r="A763" s="69">
        <v>20010</v>
      </c>
      <c r="B763">
        <v>1</v>
      </c>
      <c r="C763">
        <v>1</v>
      </c>
      <c r="D763" s="15">
        <v>0</v>
      </c>
      <c r="E763" s="15">
        <v>100</v>
      </c>
      <c r="F763" t="s">
        <v>877</v>
      </c>
      <c r="G763" s="7" t="s">
        <v>878</v>
      </c>
    </row>
    <row r="764" ht="14" customHeight="1" spans="1:7">
      <c r="A764" s="69">
        <v>21001</v>
      </c>
      <c r="B764">
        <v>1</v>
      </c>
      <c r="C764">
        <v>1</v>
      </c>
      <c r="D764" s="15">
        <v>1</v>
      </c>
      <c r="E764" s="15">
        <v>100</v>
      </c>
      <c r="F764" t="s">
        <v>879</v>
      </c>
      <c r="G764" s="7" t="s">
        <v>880</v>
      </c>
    </row>
    <row r="765" ht="14" customHeight="1" spans="1:7">
      <c r="A765" s="69">
        <v>21002</v>
      </c>
      <c r="B765">
        <v>1</v>
      </c>
      <c r="C765">
        <v>1</v>
      </c>
      <c r="D765" s="15">
        <v>1</v>
      </c>
      <c r="E765" s="15">
        <v>100</v>
      </c>
      <c r="F765" t="s">
        <v>881</v>
      </c>
      <c r="G765" s="7" t="s">
        <v>882</v>
      </c>
    </row>
    <row r="766" ht="14" customHeight="1" spans="1:7">
      <c r="A766" s="69">
        <v>21003</v>
      </c>
      <c r="B766">
        <v>1</v>
      </c>
      <c r="C766">
        <v>1</v>
      </c>
      <c r="D766" s="15">
        <v>1</v>
      </c>
      <c r="E766" s="15">
        <v>100</v>
      </c>
      <c r="F766" t="s">
        <v>883</v>
      </c>
      <c r="G766" s="7" t="s">
        <v>884</v>
      </c>
    </row>
    <row r="767" ht="14" customHeight="1" spans="1:7">
      <c r="A767" s="69">
        <v>21004</v>
      </c>
      <c r="B767">
        <v>1</v>
      </c>
      <c r="C767">
        <v>1</v>
      </c>
      <c r="D767" s="15">
        <v>1</v>
      </c>
      <c r="E767" s="15">
        <v>100</v>
      </c>
      <c r="F767" t="s">
        <v>885</v>
      </c>
      <c r="G767" s="7" t="s">
        <v>886</v>
      </c>
    </row>
    <row r="768" ht="14" customHeight="1" spans="1:7">
      <c r="A768" s="69">
        <v>21005</v>
      </c>
      <c r="B768">
        <v>1</v>
      </c>
      <c r="C768">
        <v>1</v>
      </c>
      <c r="D768" s="15">
        <v>1</v>
      </c>
      <c r="E768" s="15">
        <v>100</v>
      </c>
      <c r="F768" s="54" t="s">
        <v>887</v>
      </c>
      <c r="G768" s="7" t="s">
        <v>888</v>
      </c>
    </row>
    <row r="769" ht="14" customHeight="1" spans="1:7">
      <c r="A769" s="69">
        <v>21006</v>
      </c>
      <c r="B769">
        <v>1</v>
      </c>
      <c r="C769">
        <v>1</v>
      </c>
      <c r="D769" s="15">
        <v>1</v>
      </c>
      <c r="E769" s="15">
        <v>100</v>
      </c>
      <c r="F769" s="54" t="s">
        <v>889</v>
      </c>
      <c r="G769" s="7" t="s">
        <v>890</v>
      </c>
    </row>
    <row r="770" ht="14" customHeight="1" spans="1:7">
      <c r="A770" s="69">
        <v>21007</v>
      </c>
      <c r="B770">
        <v>1</v>
      </c>
      <c r="C770">
        <v>1</v>
      </c>
      <c r="D770" s="15">
        <v>1</v>
      </c>
      <c r="E770" s="15">
        <v>100</v>
      </c>
      <c r="F770" s="54" t="s">
        <v>891</v>
      </c>
      <c r="G770" s="7" t="s">
        <v>892</v>
      </c>
    </row>
    <row r="771" ht="14" customHeight="1" spans="1:7">
      <c r="A771" s="69">
        <v>21008</v>
      </c>
      <c r="B771">
        <v>1</v>
      </c>
      <c r="C771">
        <v>1</v>
      </c>
      <c r="D771" s="15">
        <v>1</v>
      </c>
      <c r="E771" s="15">
        <v>100</v>
      </c>
      <c r="F771" s="54" t="s">
        <v>893</v>
      </c>
      <c r="G771" s="7" t="s">
        <v>894</v>
      </c>
    </row>
    <row r="772" ht="14" customHeight="1" spans="1:7">
      <c r="A772" s="69">
        <v>22001</v>
      </c>
      <c r="B772">
        <v>1</v>
      </c>
      <c r="C772">
        <v>1</v>
      </c>
      <c r="D772" s="15">
        <v>1</v>
      </c>
      <c r="E772" s="15">
        <v>100</v>
      </c>
      <c r="F772" s="7" t="s">
        <v>326</v>
      </c>
      <c r="G772" s="7" t="s">
        <v>895</v>
      </c>
    </row>
    <row r="773" ht="14" customHeight="1" spans="1:7">
      <c r="A773" s="69">
        <v>22002</v>
      </c>
      <c r="B773">
        <v>1</v>
      </c>
      <c r="C773">
        <v>1</v>
      </c>
      <c r="D773" s="15">
        <v>1</v>
      </c>
      <c r="E773" s="15">
        <v>100</v>
      </c>
      <c r="F773" s="7" t="s">
        <v>328</v>
      </c>
      <c r="G773" s="7" t="s">
        <v>895</v>
      </c>
    </row>
    <row r="774" ht="14" customHeight="1" spans="1:7">
      <c r="A774" s="69">
        <v>22003</v>
      </c>
      <c r="B774">
        <v>1</v>
      </c>
      <c r="C774">
        <v>1</v>
      </c>
      <c r="D774" s="15">
        <v>1</v>
      </c>
      <c r="E774" s="15">
        <v>100</v>
      </c>
      <c r="F774" s="7" t="s">
        <v>329</v>
      </c>
      <c r="G774" s="7" t="s">
        <v>895</v>
      </c>
    </row>
    <row r="775" ht="14" customHeight="1" spans="1:7">
      <c r="A775" s="69">
        <v>22004</v>
      </c>
      <c r="B775">
        <v>1</v>
      </c>
      <c r="C775">
        <v>1</v>
      </c>
      <c r="D775" s="15">
        <v>1</v>
      </c>
      <c r="E775" s="15">
        <v>100</v>
      </c>
      <c r="F775" s="7" t="s">
        <v>330</v>
      </c>
      <c r="G775" s="7" t="s">
        <v>895</v>
      </c>
    </row>
    <row r="776" ht="14" customHeight="1" spans="1:7">
      <c r="A776" s="69">
        <v>22005</v>
      </c>
      <c r="B776">
        <v>1</v>
      </c>
      <c r="C776">
        <v>1</v>
      </c>
      <c r="D776" s="15">
        <v>1</v>
      </c>
      <c r="E776" s="15">
        <v>100</v>
      </c>
      <c r="F776" s="7" t="s">
        <v>331</v>
      </c>
      <c r="G776" s="7" t="s">
        <v>895</v>
      </c>
    </row>
    <row r="777" ht="14" customHeight="1" spans="1:7">
      <c r="A777" s="69">
        <v>22006</v>
      </c>
      <c r="B777">
        <v>1</v>
      </c>
      <c r="C777">
        <v>1</v>
      </c>
      <c r="D777" s="15">
        <v>1</v>
      </c>
      <c r="E777" s="15">
        <v>100</v>
      </c>
      <c r="F777" s="7" t="s">
        <v>332</v>
      </c>
      <c r="G777" s="7" t="s">
        <v>895</v>
      </c>
    </row>
    <row r="778" ht="14" customHeight="1" spans="1:7">
      <c r="A778" s="69">
        <v>22007</v>
      </c>
      <c r="B778">
        <v>1</v>
      </c>
      <c r="C778">
        <v>1</v>
      </c>
      <c r="D778" s="15">
        <v>1</v>
      </c>
      <c r="E778" s="15">
        <v>100</v>
      </c>
      <c r="F778" s="7" t="s">
        <v>333</v>
      </c>
      <c r="G778" s="7" t="s">
        <v>895</v>
      </c>
    </row>
    <row r="779" ht="14" customHeight="1" spans="1:7">
      <c r="A779" s="69">
        <v>22008</v>
      </c>
      <c r="B779">
        <v>1</v>
      </c>
      <c r="C779">
        <v>1</v>
      </c>
      <c r="D779" s="15">
        <v>1</v>
      </c>
      <c r="E779" s="15">
        <v>100</v>
      </c>
      <c r="F779" s="7" t="s">
        <v>334</v>
      </c>
      <c r="G779" s="7" t="s">
        <v>895</v>
      </c>
    </row>
    <row r="780" ht="14" customHeight="1" spans="1:7">
      <c r="A780" s="69">
        <v>22009</v>
      </c>
      <c r="B780">
        <v>1</v>
      </c>
      <c r="C780">
        <v>1</v>
      </c>
      <c r="D780" s="15">
        <v>1</v>
      </c>
      <c r="E780" s="15">
        <v>100</v>
      </c>
      <c r="F780" s="7" t="s">
        <v>335</v>
      </c>
      <c r="G780" s="7" t="s">
        <v>895</v>
      </c>
    </row>
    <row r="781" ht="14" customHeight="1" spans="1:7">
      <c r="A781" s="69">
        <v>22010</v>
      </c>
      <c r="B781">
        <v>1</v>
      </c>
      <c r="C781">
        <v>1</v>
      </c>
      <c r="D781" s="15">
        <v>1</v>
      </c>
      <c r="E781" s="15">
        <v>100</v>
      </c>
      <c r="F781" s="7" t="s">
        <v>336</v>
      </c>
      <c r="G781" s="7" t="s">
        <v>895</v>
      </c>
    </row>
    <row r="782" ht="14" customHeight="1" spans="1:7">
      <c r="A782" s="69">
        <v>22011</v>
      </c>
      <c r="B782">
        <v>1</v>
      </c>
      <c r="C782">
        <v>1</v>
      </c>
      <c r="D782" s="15">
        <v>1</v>
      </c>
      <c r="E782" s="15">
        <v>100</v>
      </c>
      <c r="F782" s="7" t="s">
        <v>896</v>
      </c>
      <c r="G782" s="7" t="s">
        <v>895</v>
      </c>
    </row>
    <row r="783" ht="14" customHeight="1" spans="1:7">
      <c r="A783" s="69">
        <v>22012</v>
      </c>
      <c r="B783">
        <v>1</v>
      </c>
      <c r="C783">
        <v>1</v>
      </c>
      <c r="D783" s="15">
        <v>1</v>
      </c>
      <c r="E783" s="15">
        <v>100</v>
      </c>
      <c r="F783" s="7" t="s">
        <v>354</v>
      </c>
      <c r="G783" s="7" t="s">
        <v>895</v>
      </c>
    </row>
    <row r="784" ht="14" customHeight="1" spans="1:7">
      <c r="A784" s="69">
        <v>22013</v>
      </c>
      <c r="B784">
        <v>1</v>
      </c>
      <c r="C784">
        <v>1</v>
      </c>
      <c r="D784" s="15">
        <v>1</v>
      </c>
      <c r="E784" s="15">
        <v>100</v>
      </c>
      <c r="F784" s="7" t="s">
        <v>897</v>
      </c>
      <c r="G784" s="7" t="s">
        <v>895</v>
      </c>
    </row>
    <row r="785" ht="14" customHeight="1" spans="1:7">
      <c r="A785" s="69">
        <v>22014</v>
      </c>
      <c r="B785">
        <v>1</v>
      </c>
      <c r="C785">
        <v>1</v>
      </c>
      <c r="D785" s="15">
        <v>1</v>
      </c>
      <c r="E785" s="15">
        <v>100</v>
      </c>
      <c r="F785" s="7" t="s">
        <v>355</v>
      </c>
      <c r="G785" s="7" t="s">
        <v>895</v>
      </c>
    </row>
    <row r="786" ht="14" customHeight="1" spans="1:7">
      <c r="A786" s="69">
        <v>22015</v>
      </c>
      <c r="B786">
        <v>1</v>
      </c>
      <c r="C786">
        <v>1</v>
      </c>
      <c r="D786" s="15">
        <v>1</v>
      </c>
      <c r="E786" s="15">
        <v>100</v>
      </c>
      <c r="F786" s="7" t="s">
        <v>898</v>
      </c>
      <c r="G786" s="7" t="s">
        <v>895</v>
      </c>
    </row>
    <row r="787" ht="14" customHeight="1" spans="1:7">
      <c r="A787" s="69">
        <v>22016</v>
      </c>
      <c r="B787">
        <v>1</v>
      </c>
      <c r="C787">
        <v>1</v>
      </c>
      <c r="D787" s="15">
        <v>1</v>
      </c>
      <c r="E787" s="15">
        <v>100</v>
      </c>
      <c r="F787" s="7" t="s">
        <v>303</v>
      </c>
      <c r="G787" s="7" t="s">
        <v>895</v>
      </c>
    </row>
    <row r="788" ht="14" customHeight="1" spans="1:7">
      <c r="A788" s="69">
        <v>22017</v>
      </c>
      <c r="B788">
        <v>1</v>
      </c>
      <c r="C788">
        <v>1</v>
      </c>
      <c r="D788" s="15">
        <v>1</v>
      </c>
      <c r="E788" s="15">
        <v>100</v>
      </c>
      <c r="F788" s="7" t="s">
        <v>899</v>
      </c>
      <c r="G788" s="7" t="s">
        <v>895</v>
      </c>
    </row>
    <row r="789" ht="14" customHeight="1" spans="1:7">
      <c r="A789" s="69">
        <v>22018</v>
      </c>
      <c r="B789">
        <v>1</v>
      </c>
      <c r="C789">
        <v>1</v>
      </c>
      <c r="D789" s="15">
        <v>1</v>
      </c>
      <c r="E789" s="15">
        <v>100</v>
      </c>
      <c r="F789" s="7" t="s">
        <v>356</v>
      </c>
      <c r="G789" s="7" t="s">
        <v>895</v>
      </c>
    </row>
    <row r="790" ht="14" customHeight="1" spans="1:7">
      <c r="A790" s="69">
        <v>22019</v>
      </c>
      <c r="B790">
        <v>1</v>
      </c>
      <c r="C790">
        <v>1</v>
      </c>
      <c r="D790" s="15">
        <v>1</v>
      </c>
      <c r="E790" s="15">
        <v>100</v>
      </c>
      <c r="F790" s="7" t="s">
        <v>900</v>
      </c>
      <c r="G790" s="7" t="s">
        <v>895</v>
      </c>
    </row>
    <row r="791" ht="14" customHeight="1" spans="1:7">
      <c r="A791" s="69">
        <v>22020</v>
      </c>
      <c r="B791">
        <v>1</v>
      </c>
      <c r="C791">
        <v>1</v>
      </c>
      <c r="D791" s="15">
        <v>1</v>
      </c>
      <c r="E791" s="15">
        <v>100</v>
      </c>
      <c r="F791" s="7" t="s">
        <v>357</v>
      </c>
      <c r="G791" s="7" t="s">
        <v>895</v>
      </c>
    </row>
    <row r="792" ht="14" customHeight="1" spans="1:7">
      <c r="A792" s="69">
        <v>22021</v>
      </c>
      <c r="B792">
        <v>1</v>
      </c>
      <c r="C792">
        <v>1</v>
      </c>
      <c r="D792" s="15">
        <v>1</v>
      </c>
      <c r="E792" s="15">
        <v>100</v>
      </c>
      <c r="F792" s="7" t="s">
        <v>292</v>
      </c>
      <c r="G792" s="7" t="s">
        <v>895</v>
      </c>
    </row>
    <row r="793" ht="14" customHeight="1" spans="1:7">
      <c r="A793" s="69">
        <v>22022</v>
      </c>
      <c r="B793">
        <v>1</v>
      </c>
      <c r="C793">
        <v>1</v>
      </c>
      <c r="D793" s="15">
        <v>1</v>
      </c>
      <c r="E793" s="15">
        <v>100</v>
      </c>
      <c r="F793" s="7" t="s">
        <v>358</v>
      </c>
      <c r="G793" s="7" t="s">
        <v>895</v>
      </c>
    </row>
    <row r="794" ht="14" customHeight="1" spans="1:7">
      <c r="A794" s="69">
        <v>22023</v>
      </c>
      <c r="B794">
        <v>1</v>
      </c>
      <c r="C794">
        <v>1</v>
      </c>
      <c r="D794" s="15">
        <v>1</v>
      </c>
      <c r="E794" s="15">
        <v>100</v>
      </c>
      <c r="F794" s="7" t="s">
        <v>901</v>
      </c>
      <c r="G794" s="7" t="s">
        <v>895</v>
      </c>
    </row>
    <row r="795" ht="14" customHeight="1" spans="1:7">
      <c r="A795" s="69">
        <v>22024</v>
      </c>
      <c r="B795">
        <v>1</v>
      </c>
      <c r="C795">
        <v>1</v>
      </c>
      <c r="D795" s="15">
        <v>1</v>
      </c>
      <c r="E795" s="15">
        <v>100</v>
      </c>
      <c r="F795" s="7" t="s">
        <v>359</v>
      </c>
      <c r="G795" s="7" t="s">
        <v>895</v>
      </c>
    </row>
    <row r="796" ht="14" customHeight="1" spans="1:7">
      <c r="A796" s="69">
        <v>22025</v>
      </c>
      <c r="B796">
        <v>1</v>
      </c>
      <c r="C796">
        <v>1</v>
      </c>
      <c r="D796" s="15">
        <v>1</v>
      </c>
      <c r="E796" s="15">
        <v>100</v>
      </c>
      <c r="F796" s="7" t="s">
        <v>902</v>
      </c>
      <c r="G796" s="7" t="s">
        <v>895</v>
      </c>
    </row>
    <row r="797" ht="14" customHeight="1" spans="1:7">
      <c r="A797" s="69">
        <v>22026</v>
      </c>
      <c r="B797">
        <v>1</v>
      </c>
      <c r="C797">
        <v>1</v>
      </c>
      <c r="D797" s="15">
        <v>1</v>
      </c>
      <c r="E797" s="15">
        <v>100</v>
      </c>
      <c r="F797" s="7" t="s">
        <v>903</v>
      </c>
      <c r="G797" s="7" t="s">
        <v>895</v>
      </c>
    </row>
    <row r="798" ht="14" customHeight="1" spans="1:7">
      <c r="A798" s="69">
        <v>22027</v>
      </c>
      <c r="B798">
        <v>1</v>
      </c>
      <c r="C798">
        <v>1</v>
      </c>
      <c r="D798" s="15">
        <v>1</v>
      </c>
      <c r="E798" s="15">
        <v>100</v>
      </c>
      <c r="F798" s="7" t="s">
        <v>904</v>
      </c>
      <c r="G798" s="7" t="s">
        <v>895</v>
      </c>
    </row>
    <row r="799" ht="14" customHeight="1" spans="1:7">
      <c r="A799" s="69">
        <v>22028</v>
      </c>
      <c r="B799">
        <v>1</v>
      </c>
      <c r="C799">
        <v>1</v>
      </c>
      <c r="D799" s="15">
        <v>1</v>
      </c>
      <c r="E799" s="15">
        <v>100</v>
      </c>
      <c r="F799" s="7" t="s">
        <v>905</v>
      </c>
      <c r="G799" s="7" t="s">
        <v>895</v>
      </c>
    </row>
    <row r="800" ht="14" customHeight="1" spans="1:7">
      <c r="A800" s="69">
        <v>22029</v>
      </c>
      <c r="B800">
        <v>1</v>
      </c>
      <c r="C800">
        <v>1</v>
      </c>
      <c r="D800" s="15">
        <v>1</v>
      </c>
      <c r="E800" s="15">
        <v>100</v>
      </c>
      <c r="F800" s="7" t="s">
        <v>906</v>
      </c>
      <c r="G800" s="7" t="s">
        <v>895</v>
      </c>
    </row>
    <row r="801" ht="14" customHeight="1" spans="1:7">
      <c r="A801" s="69">
        <v>22030</v>
      </c>
      <c r="B801">
        <v>1</v>
      </c>
      <c r="C801">
        <v>1</v>
      </c>
      <c r="D801" s="15">
        <v>1</v>
      </c>
      <c r="E801" s="15">
        <v>100</v>
      </c>
      <c r="F801" s="7" t="s">
        <v>907</v>
      </c>
      <c r="G801" s="7" t="s">
        <v>895</v>
      </c>
    </row>
    <row r="802" ht="14" customHeight="1" spans="1:7">
      <c r="A802" s="69">
        <v>22031</v>
      </c>
      <c r="B802">
        <v>1</v>
      </c>
      <c r="C802">
        <v>1</v>
      </c>
      <c r="D802" s="15">
        <v>1</v>
      </c>
      <c r="E802" s="15">
        <v>100</v>
      </c>
      <c r="F802" s="7" t="s">
        <v>908</v>
      </c>
      <c r="G802" s="7" t="s">
        <v>895</v>
      </c>
    </row>
    <row r="803" ht="14" customHeight="1" spans="1:7">
      <c r="A803" s="69">
        <v>22032</v>
      </c>
      <c r="B803">
        <v>1</v>
      </c>
      <c r="C803">
        <v>1</v>
      </c>
      <c r="D803" s="15">
        <v>1</v>
      </c>
      <c r="E803" s="15">
        <v>100</v>
      </c>
      <c r="F803" s="7" t="s">
        <v>909</v>
      </c>
      <c r="G803" s="7" t="s">
        <v>895</v>
      </c>
    </row>
    <row r="804" ht="14" customHeight="1" spans="1:7">
      <c r="A804" s="69">
        <v>22033</v>
      </c>
      <c r="B804">
        <v>1</v>
      </c>
      <c r="C804">
        <v>1</v>
      </c>
      <c r="D804" s="15">
        <v>1</v>
      </c>
      <c r="E804" s="15">
        <v>100</v>
      </c>
      <c r="F804" s="7" t="s">
        <v>910</v>
      </c>
      <c r="G804" s="7" t="s">
        <v>895</v>
      </c>
    </row>
    <row r="805" ht="14" customHeight="1" spans="1:7">
      <c r="A805" s="69">
        <v>22034</v>
      </c>
      <c r="B805">
        <v>1</v>
      </c>
      <c r="C805">
        <v>1</v>
      </c>
      <c r="D805" s="15">
        <v>1</v>
      </c>
      <c r="E805" s="15">
        <v>100</v>
      </c>
      <c r="F805" s="7" t="s">
        <v>911</v>
      </c>
      <c r="G805" s="7" t="s">
        <v>895</v>
      </c>
    </row>
    <row r="806" ht="14" customHeight="1" spans="1:7">
      <c r="A806" s="69">
        <v>22035</v>
      </c>
      <c r="B806">
        <v>1</v>
      </c>
      <c r="C806">
        <v>1</v>
      </c>
      <c r="D806" s="15">
        <v>1</v>
      </c>
      <c r="E806" s="15">
        <v>100</v>
      </c>
      <c r="F806" s="7" t="s">
        <v>912</v>
      </c>
      <c r="G806" s="7" t="s">
        <v>895</v>
      </c>
    </row>
    <row r="807" ht="14" customHeight="1" spans="1:7">
      <c r="A807" s="69">
        <v>22036</v>
      </c>
      <c r="B807">
        <v>1</v>
      </c>
      <c r="C807">
        <v>1</v>
      </c>
      <c r="D807" s="15">
        <v>1</v>
      </c>
      <c r="E807" s="15">
        <v>100</v>
      </c>
      <c r="F807" s="7" t="s">
        <v>913</v>
      </c>
      <c r="G807" s="7" t="s">
        <v>895</v>
      </c>
    </row>
    <row r="808" ht="14" customHeight="1" spans="1:7">
      <c r="A808" s="69">
        <v>22037</v>
      </c>
      <c r="B808">
        <v>1</v>
      </c>
      <c r="C808">
        <v>1</v>
      </c>
      <c r="D808" s="15">
        <v>1</v>
      </c>
      <c r="E808" s="15">
        <v>100</v>
      </c>
      <c r="F808" s="7" t="s">
        <v>914</v>
      </c>
      <c r="G808" s="7" t="s">
        <v>895</v>
      </c>
    </row>
    <row r="809" ht="14" customHeight="1" spans="1:7">
      <c r="A809" s="69">
        <v>22038</v>
      </c>
      <c r="B809">
        <v>1</v>
      </c>
      <c r="C809">
        <v>1</v>
      </c>
      <c r="D809" s="15">
        <v>1</v>
      </c>
      <c r="E809" s="15">
        <v>100</v>
      </c>
      <c r="F809" s="7" t="s">
        <v>915</v>
      </c>
      <c r="G809" s="7" t="s">
        <v>895</v>
      </c>
    </row>
    <row r="810" ht="14" customHeight="1" spans="1:7">
      <c r="A810" s="69">
        <v>22039</v>
      </c>
      <c r="B810">
        <v>1</v>
      </c>
      <c r="C810">
        <v>1</v>
      </c>
      <c r="D810" s="15">
        <v>1</v>
      </c>
      <c r="E810" s="15">
        <v>100</v>
      </c>
      <c r="F810" s="7" t="s">
        <v>916</v>
      </c>
      <c r="G810" s="7" t="s">
        <v>895</v>
      </c>
    </row>
    <row r="811" ht="14" customHeight="1" spans="1:7">
      <c r="A811" s="69">
        <v>22040</v>
      </c>
      <c r="B811">
        <v>1</v>
      </c>
      <c r="C811">
        <v>1</v>
      </c>
      <c r="D811" s="15">
        <v>1</v>
      </c>
      <c r="E811" s="15">
        <v>100</v>
      </c>
      <c r="F811" s="7" t="s">
        <v>917</v>
      </c>
      <c r="G811" s="7" t="s">
        <v>895</v>
      </c>
    </row>
    <row r="812" ht="14" customHeight="1" spans="1:7">
      <c r="A812" s="69">
        <v>22041</v>
      </c>
      <c r="B812">
        <v>1</v>
      </c>
      <c r="C812">
        <v>1</v>
      </c>
      <c r="D812" s="15">
        <v>1</v>
      </c>
      <c r="E812" s="15">
        <v>100</v>
      </c>
      <c r="F812" s="7" t="s">
        <v>918</v>
      </c>
      <c r="G812" s="7" t="s">
        <v>895</v>
      </c>
    </row>
    <row r="813" ht="14" customHeight="1" spans="1:7">
      <c r="A813" s="69">
        <v>22042</v>
      </c>
      <c r="B813">
        <v>1</v>
      </c>
      <c r="C813">
        <v>1</v>
      </c>
      <c r="D813" s="15">
        <v>1</v>
      </c>
      <c r="E813" s="15">
        <v>100</v>
      </c>
      <c r="F813" s="7" t="s">
        <v>919</v>
      </c>
      <c r="G813" s="7" t="s">
        <v>895</v>
      </c>
    </row>
    <row r="814" ht="14" customHeight="1" spans="1:7">
      <c r="A814" s="69">
        <v>22043</v>
      </c>
      <c r="B814">
        <v>1</v>
      </c>
      <c r="C814">
        <v>1</v>
      </c>
      <c r="D814" s="15">
        <v>1</v>
      </c>
      <c r="E814" s="15">
        <v>100</v>
      </c>
      <c r="F814" s="7" t="s">
        <v>920</v>
      </c>
      <c r="G814" s="7" t="s">
        <v>895</v>
      </c>
    </row>
    <row r="815" ht="14" customHeight="1" spans="1:7">
      <c r="A815" s="69">
        <v>22044</v>
      </c>
      <c r="B815">
        <v>1</v>
      </c>
      <c r="C815">
        <v>1</v>
      </c>
      <c r="D815" s="15">
        <v>1</v>
      </c>
      <c r="E815" s="15">
        <v>100</v>
      </c>
      <c r="F815" s="7" t="s">
        <v>921</v>
      </c>
      <c r="G815" s="7" t="s">
        <v>895</v>
      </c>
    </row>
    <row r="816" ht="14" customHeight="1" spans="1:7">
      <c r="A816" s="69">
        <v>22045</v>
      </c>
      <c r="B816">
        <v>1</v>
      </c>
      <c r="C816">
        <v>1</v>
      </c>
      <c r="D816" s="15">
        <v>1</v>
      </c>
      <c r="E816" s="15">
        <v>100</v>
      </c>
      <c r="F816" s="7" t="s">
        <v>922</v>
      </c>
      <c r="G816" s="7" t="s">
        <v>895</v>
      </c>
    </row>
    <row r="817" ht="14" customHeight="1" spans="1:7">
      <c r="A817" s="69">
        <v>22046</v>
      </c>
      <c r="B817">
        <v>1</v>
      </c>
      <c r="C817">
        <v>1</v>
      </c>
      <c r="D817" s="15">
        <v>1</v>
      </c>
      <c r="E817" s="15">
        <v>100</v>
      </c>
      <c r="F817" s="7" t="s">
        <v>293</v>
      </c>
      <c r="G817" s="7" t="s">
        <v>895</v>
      </c>
    </row>
    <row r="818" ht="14" customHeight="1" spans="1:7">
      <c r="A818" s="69">
        <v>22047</v>
      </c>
      <c r="B818">
        <v>1</v>
      </c>
      <c r="C818">
        <v>1</v>
      </c>
      <c r="D818" s="15">
        <v>1</v>
      </c>
      <c r="E818" s="15">
        <v>100</v>
      </c>
      <c r="F818" s="7" t="s">
        <v>923</v>
      </c>
      <c r="G818" s="7" t="s">
        <v>895</v>
      </c>
    </row>
    <row r="819" ht="14" customHeight="1" spans="1:7">
      <c r="A819" s="69">
        <v>22048</v>
      </c>
      <c r="B819">
        <v>1</v>
      </c>
      <c r="C819">
        <v>1</v>
      </c>
      <c r="D819" s="15">
        <v>1</v>
      </c>
      <c r="E819" s="15">
        <v>100</v>
      </c>
      <c r="F819" s="7" t="s">
        <v>924</v>
      </c>
      <c r="G819" s="7" t="s">
        <v>895</v>
      </c>
    </row>
    <row r="820" ht="14" customHeight="1" spans="1:7">
      <c r="A820" s="69">
        <v>22049</v>
      </c>
      <c r="B820">
        <v>1</v>
      </c>
      <c r="C820">
        <v>1</v>
      </c>
      <c r="D820" s="15">
        <v>1</v>
      </c>
      <c r="E820" s="15">
        <v>100</v>
      </c>
      <c r="F820" s="7" t="s">
        <v>925</v>
      </c>
      <c r="G820" s="7" t="s">
        <v>895</v>
      </c>
    </row>
    <row r="821" ht="14" customHeight="1" spans="1:7">
      <c r="A821" s="69">
        <v>22050</v>
      </c>
      <c r="B821">
        <v>1</v>
      </c>
      <c r="C821">
        <v>1</v>
      </c>
      <c r="D821" s="15">
        <v>1</v>
      </c>
      <c r="E821" s="15">
        <v>100</v>
      </c>
      <c r="F821" s="7" t="s">
        <v>926</v>
      </c>
      <c r="G821" s="7" t="s">
        <v>895</v>
      </c>
    </row>
    <row r="822" ht="14" customHeight="1" spans="1:7">
      <c r="A822" s="69">
        <v>22051</v>
      </c>
      <c r="B822">
        <v>1</v>
      </c>
      <c r="C822">
        <v>1</v>
      </c>
      <c r="D822" s="15">
        <v>1</v>
      </c>
      <c r="E822" s="15">
        <v>100</v>
      </c>
      <c r="F822" s="7" t="s">
        <v>927</v>
      </c>
      <c r="G822" s="7" t="s">
        <v>895</v>
      </c>
    </row>
    <row r="823" ht="14" customHeight="1" spans="1:7">
      <c r="A823" s="69">
        <v>22052</v>
      </c>
      <c r="B823">
        <v>1</v>
      </c>
      <c r="C823">
        <v>1</v>
      </c>
      <c r="D823" s="15">
        <v>1</v>
      </c>
      <c r="E823" s="15">
        <v>100</v>
      </c>
      <c r="F823" s="7" t="s">
        <v>928</v>
      </c>
      <c r="G823" s="7" t="s">
        <v>895</v>
      </c>
    </row>
    <row r="824" ht="14" customHeight="1" spans="1:7">
      <c r="A824" s="69">
        <v>22053</v>
      </c>
      <c r="B824">
        <v>1</v>
      </c>
      <c r="C824">
        <v>1</v>
      </c>
      <c r="D824" s="15">
        <v>1</v>
      </c>
      <c r="E824" s="15">
        <v>100</v>
      </c>
      <c r="F824" s="7" t="s">
        <v>929</v>
      </c>
      <c r="G824" s="7" t="s">
        <v>895</v>
      </c>
    </row>
    <row r="825" ht="14" customHeight="1" spans="1:7">
      <c r="A825" s="69">
        <v>22054</v>
      </c>
      <c r="B825">
        <v>1</v>
      </c>
      <c r="C825">
        <v>1</v>
      </c>
      <c r="D825" s="15">
        <v>1</v>
      </c>
      <c r="E825" s="15">
        <v>100</v>
      </c>
      <c r="F825" s="7" t="s">
        <v>930</v>
      </c>
      <c r="G825" s="7" t="s">
        <v>895</v>
      </c>
    </row>
    <row r="826" ht="14" customHeight="1" spans="1:7">
      <c r="A826" s="69">
        <v>22055</v>
      </c>
      <c r="B826">
        <v>1</v>
      </c>
      <c r="C826">
        <v>1</v>
      </c>
      <c r="D826" s="15">
        <v>1</v>
      </c>
      <c r="E826" s="15">
        <v>100</v>
      </c>
      <c r="F826" s="7" t="s">
        <v>931</v>
      </c>
      <c r="G826" s="7" t="s">
        <v>895</v>
      </c>
    </row>
    <row r="827" ht="14" customHeight="1" spans="1:7">
      <c r="A827" s="69">
        <v>22056</v>
      </c>
      <c r="B827">
        <v>1</v>
      </c>
      <c r="C827">
        <v>1</v>
      </c>
      <c r="D827" s="15">
        <v>1</v>
      </c>
      <c r="E827" s="15">
        <v>100</v>
      </c>
      <c r="F827" s="7" t="s">
        <v>932</v>
      </c>
      <c r="G827" s="7" t="s">
        <v>895</v>
      </c>
    </row>
    <row r="828" ht="14" customHeight="1" spans="1:7">
      <c r="A828" s="69">
        <v>22057</v>
      </c>
      <c r="B828">
        <v>1</v>
      </c>
      <c r="C828">
        <v>1</v>
      </c>
      <c r="D828" s="15">
        <v>1</v>
      </c>
      <c r="E828" s="15">
        <v>100</v>
      </c>
      <c r="F828" s="7" t="s">
        <v>933</v>
      </c>
      <c r="G828" s="7" t="s">
        <v>895</v>
      </c>
    </row>
    <row r="829" ht="14" customHeight="1" spans="1:7">
      <c r="A829" s="69">
        <v>22058</v>
      </c>
      <c r="B829">
        <v>1</v>
      </c>
      <c r="C829">
        <v>1</v>
      </c>
      <c r="D829" s="15">
        <v>1</v>
      </c>
      <c r="E829" s="15">
        <v>100</v>
      </c>
      <c r="F829" s="7" t="s">
        <v>934</v>
      </c>
      <c r="G829" s="7" t="s">
        <v>895</v>
      </c>
    </row>
    <row r="830" ht="14" customHeight="1" spans="1:7">
      <c r="A830" s="69">
        <v>22059</v>
      </c>
      <c r="B830">
        <v>1</v>
      </c>
      <c r="C830">
        <v>1</v>
      </c>
      <c r="D830" s="15">
        <v>1</v>
      </c>
      <c r="E830" s="15">
        <v>100</v>
      </c>
      <c r="F830" s="7" t="s">
        <v>935</v>
      </c>
      <c r="G830" s="7" t="s">
        <v>895</v>
      </c>
    </row>
    <row r="831" ht="14" customHeight="1" spans="1:7">
      <c r="A831" s="69">
        <v>22060</v>
      </c>
      <c r="B831">
        <v>1</v>
      </c>
      <c r="C831">
        <v>1</v>
      </c>
      <c r="D831" s="15">
        <v>1</v>
      </c>
      <c r="E831" s="15">
        <v>100</v>
      </c>
      <c r="F831" s="7" t="s">
        <v>936</v>
      </c>
      <c r="G831" s="7" t="s">
        <v>895</v>
      </c>
    </row>
    <row r="832" ht="14" customHeight="1" spans="1:7">
      <c r="A832" s="69">
        <v>22061</v>
      </c>
      <c r="B832">
        <v>1</v>
      </c>
      <c r="C832">
        <v>1</v>
      </c>
      <c r="D832" s="15">
        <v>1</v>
      </c>
      <c r="E832" s="15">
        <v>100</v>
      </c>
      <c r="F832" s="7" t="s">
        <v>937</v>
      </c>
      <c r="G832" s="7" t="s">
        <v>895</v>
      </c>
    </row>
    <row r="833" ht="14" customHeight="1" spans="1:7">
      <c r="A833" s="69">
        <v>22062</v>
      </c>
      <c r="B833">
        <v>1</v>
      </c>
      <c r="C833">
        <v>1</v>
      </c>
      <c r="D833" s="15">
        <v>1</v>
      </c>
      <c r="E833" s="15">
        <v>100</v>
      </c>
      <c r="F833" s="7" t="s">
        <v>938</v>
      </c>
      <c r="G833" s="7" t="s">
        <v>895</v>
      </c>
    </row>
    <row r="834" ht="14" customHeight="1" spans="1:7">
      <c r="A834" s="69">
        <v>22063</v>
      </c>
      <c r="B834">
        <v>1</v>
      </c>
      <c r="C834">
        <v>1</v>
      </c>
      <c r="D834" s="15">
        <v>1</v>
      </c>
      <c r="E834" s="15">
        <v>100</v>
      </c>
      <c r="F834" s="7" t="s">
        <v>939</v>
      </c>
      <c r="G834" s="7" t="s">
        <v>895</v>
      </c>
    </row>
    <row r="835" ht="14" customHeight="1" spans="1:7">
      <c r="A835" s="69">
        <v>22064</v>
      </c>
      <c r="B835">
        <v>1</v>
      </c>
      <c r="C835">
        <v>1</v>
      </c>
      <c r="D835" s="15">
        <v>1</v>
      </c>
      <c r="E835" s="15">
        <v>100</v>
      </c>
      <c r="F835" s="7" t="s">
        <v>940</v>
      </c>
      <c r="G835" s="7" t="s">
        <v>895</v>
      </c>
    </row>
    <row r="836" ht="14" customHeight="1" spans="1:7">
      <c r="A836" s="69">
        <v>22065</v>
      </c>
      <c r="B836">
        <v>1</v>
      </c>
      <c r="C836">
        <v>1</v>
      </c>
      <c r="D836" s="15">
        <v>1</v>
      </c>
      <c r="E836" s="15">
        <v>100</v>
      </c>
      <c r="F836" s="7" t="s">
        <v>941</v>
      </c>
      <c r="G836" s="7" t="s">
        <v>895</v>
      </c>
    </row>
    <row r="837" ht="14" customHeight="1" spans="1:7">
      <c r="A837" s="69">
        <v>22066</v>
      </c>
      <c r="B837">
        <v>1</v>
      </c>
      <c r="C837">
        <v>1</v>
      </c>
      <c r="D837" s="15">
        <v>1</v>
      </c>
      <c r="E837" s="15">
        <v>100</v>
      </c>
      <c r="F837" s="7" t="s">
        <v>942</v>
      </c>
      <c r="G837" s="7" t="s">
        <v>943</v>
      </c>
    </row>
    <row r="838" ht="14" customHeight="1" spans="1:7">
      <c r="A838" s="69">
        <v>23001</v>
      </c>
      <c r="B838">
        <v>1</v>
      </c>
      <c r="C838">
        <v>1</v>
      </c>
      <c r="D838" s="15">
        <v>1</v>
      </c>
      <c r="E838" s="15">
        <v>100</v>
      </c>
      <c r="F838" s="7" t="s">
        <v>332</v>
      </c>
      <c r="G838" s="7" t="s">
        <v>944</v>
      </c>
    </row>
    <row r="839" ht="14" customHeight="1" spans="1:7">
      <c r="A839" s="69">
        <v>23002</v>
      </c>
      <c r="B839">
        <v>1</v>
      </c>
      <c r="C839">
        <v>1</v>
      </c>
      <c r="D839" s="15">
        <v>1</v>
      </c>
      <c r="E839" s="15">
        <v>100</v>
      </c>
      <c r="F839" s="7" t="s">
        <v>334</v>
      </c>
      <c r="G839" s="7" t="s">
        <v>944</v>
      </c>
    </row>
    <row r="840" ht="14" customHeight="1" spans="1:7">
      <c r="A840" s="69">
        <v>23003</v>
      </c>
      <c r="B840">
        <v>1</v>
      </c>
      <c r="C840">
        <v>1</v>
      </c>
      <c r="D840" s="15">
        <v>1</v>
      </c>
      <c r="E840" s="15">
        <v>100</v>
      </c>
      <c r="F840" s="7" t="s">
        <v>336</v>
      </c>
      <c r="G840" s="7" t="s">
        <v>944</v>
      </c>
    </row>
    <row r="841" ht="14" customHeight="1" spans="1:7">
      <c r="A841" s="69">
        <v>23004</v>
      </c>
      <c r="B841">
        <v>1</v>
      </c>
      <c r="C841">
        <v>1</v>
      </c>
      <c r="D841" s="15">
        <v>1</v>
      </c>
      <c r="E841" s="15">
        <v>100</v>
      </c>
      <c r="F841" s="7" t="s">
        <v>354</v>
      </c>
      <c r="G841" s="7" t="s">
        <v>944</v>
      </c>
    </row>
    <row r="842" ht="14" customHeight="1" spans="1:7">
      <c r="A842" s="69">
        <v>23005</v>
      </c>
      <c r="B842">
        <v>1</v>
      </c>
      <c r="C842">
        <v>1</v>
      </c>
      <c r="D842" s="15">
        <v>1</v>
      </c>
      <c r="E842" s="15">
        <v>100</v>
      </c>
      <c r="F842" s="7" t="s">
        <v>355</v>
      </c>
      <c r="G842" s="7" t="s">
        <v>944</v>
      </c>
    </row>
    <row r="843" ht="14" customHeight="1" spans="1:7">
      <c r="A843" s="69">
        <v>23006</v>
      </c>
      <c r="B843">
        <v>1</v>
      </c>
      <c r="C843">
        <v>1</v>
      </c>
      <c r="D843" s="15">
        <v>1</v>
      </c>
      <c r="E843" s="15">
        <v>100</v>
      </c>
      <c r="F843" s="7" t="s">
        <v>303</v>
      </c>
      <c r="G843" s="7" t="s">
        <v>944</v>
      </c>
    </row>
    <row r="844" ht="14" customHeight="1" spans="1:7">
      <c r="A844" s="69">
        <v>23007</v>
      </c>
      <c r="B844">
        <v>1</v>
      </c>
      <c r="C844">
        <v>1</v>
      </c>
      <c r="D844" s="15">
        <v>1</v>
      </c>
      <c r="E844" s="15">
        <v>100</v>
      </c>
      <c r="F844" s="7" t="s">
        <v>356</v>
      </c>
      <c r="G844" s="7" t="s">
        <v>944</v>
      </c>
    </row>
    <row r="845" ht="14" customHeight="1" spans="1:7">
      <c r="A845" s="69">
        <v>23008</v>
      </c>
      <c r="B845">
        <v>1</v>
      </c>
      <c r="C845">
        <v>1</v>
      </c>
      <c r="D845" s="15">
        <v>1</v>
      </c>
      <c r="E845" s="15">
        <v>100</v>
      </c>
      <c r="F845" s="7" t="s">
        <v>357</v>
      </c>
      <c r="G845" s="7" t="s">
        <v>944</v>
      </c>
    </row>
    <row r="846" ht="14" customHeight="1" spans="1:7">
      <c r="A846" s="69">
        <v>23009</v>
      </c>
      <c r="B846">
        <v>1</v>
      </c>
      <c r="C846">
        <v>1</v>
      </c>
      <c r="D846" s="15">
        <v>1</v>
      </c>
      <c r="E846" s="15">
        <v>100</v>
      </c>
      <c r="F846" s="7" t="s">
        <v>358</v>
      </c>
      <c r="G846" s="7" t="s">
        <v>944</v>
      </c>
    </row>
    <row r="847" ht="14" customHeight="1" spans="1:7">
      <c r="A847" s="69">
        <v>23010</v>
      </c>
      <c r="B847">
        <v>1</v>
      </c>
      <c r="C847">
        <v>1</v>
      </c>
      <c r="D847" s="15">
        <v>1</v>
      </c>
      <c r="E847" s="15">
        <v>100</v>
      </c>
      <c r="F847" s="7" t="s">
        <v>359</v>
      </c>
      <c r="G847" s="7" t="s">
        <v>944</v>
      </c>
    </row>
    <row r="848" ht="14" customHeight="1" spans="1:7">
      <c r="A848" s="69">
        <v>23011</v>
      </c>
      <c r="B848">
        <v>1</v>
      </c>
      <c r="C848">
        <v>1</v>
      </c>
      <c r="D848" s="15">
        <v>1</v>
      </c>
      <c r="E848" s="15">
        <v>100</v>
      </c>
      <c r="F848" s="7" t="s">
        <v>903</v>
      </c>
      <c r="G848" s="7" t="s">
        <v>944</v>
      </c>
    </row>
    <row r="849" ht="14" customHeight="1" spans="1:7">
      <c r="A849" s="69">
        <v>23012</v>
      </c>
      <c r="B849">
        <v>1</v>
      </c>
      <c r="C849">
        <v>1</v>
      </c>
      <c r="D849" s="15">
        <v>1</v>
      </c>
      <c r="E849" s="15">
        <v>100</v>
      </c>
      <c r="F849" s="7" t="s">
        <v>905</v>
      </c>
      <c r="G849" s="7" t="s">
        <v>944</v>
      </c>
    </row>
    <row r="850" ht="14" customHeight="1" spans="1:7">
      <c r="A850" s="69">
        <v>23013</v>
      </c>
      <c r="B850">
        <v>1</v>
      </c>
      <c r="C850">
        <v>1</v>
      </c>
      <c r="D850" s="15">
        <v>1</v>
      </c>
      <c r="E850" s="15">
        <v>100</v>
      </c>
      <c r="F850" s="7" t="s">
        <v>907</v>
      </c>
      <c r="G850" s="7" t="s">
        <v>944</v>
      </c>
    </row>
    <row r="851" ht="14" customHeight="1" spans="1:7">
      <c r="A851" s="69">
        <v>23014</v>
      </c>
      <c r="B851">
        <v>1</v>
      </c>
      <c r="C851">
        <v>1</v>
      </c>
      <c r="D851" s="15">
        <v>1</v>
      </c>
      <c r="E851" s="15">
        <v>100</v>
      </c>
      <c r="F851" s="7" t="s">
        <v>909</v>
      </c>
      <c r="G851" s="7" t="s">
        <v>944</v>
      </c>
    </row>
    <row r="852" ht="14" customHeight="1" spans="1:7">
      <c r="A852" s="69">
        <v>23015</v>
      </c>
      <c r="B852">
        <v>1</v>
      </c>
      <c r="C852">
        <v>1</v>
      </c>
      <c r="D852" s="15">
        <v>1</v>
      </c>
      <c r="E852" s="15">
        <v>100</v>
      </c>
      <c r="F852" s="7" t="s">
        <v>911</v>
      </c>
      <c r="G852" s="7" t="s">
        <v>944</v>
      </c>
    </row>
    <row r="853" ht="14" customHeight="1" spans="1:7">
      <c r="A853" s="69">
        <v>23016</v>
      </c>
      <c r="B853">
        <v>1</v>
      </c>
      <c r="C853">
        <v>1</v>
      </c>
      <c r="D853" s="15">
        <v>1</v>
      </c>
      <c r="E853" s="15">
        <v>100</v>
      </c>
      <c r="F853" s="7" t="s">
        <v>913</v>
      </c>
      <c r="G853" s="7" t="s">
        <v>944</v>
      </c>
    </row>
    <row r="854" ht="14" customHeight="1" spans="1:7">
      <c r="A854" s="69">
        <v>23017</v>
      </c>
      <c r="B854">
        <v>1</v>
      </c>
      <c r="C854">
        <v>1</v>
      </c>
      <c r="D854" s="15">
        <v>1</v>
      </c>
      <c r="E854" s="15">
        <v>100</v>
      </c>
      <c r="F854" s="7" t="s">
        <v>915</v>
      </c>
      <c r="G854" s="7" t="s">
        <v>944</v>
      </c>
    </row>
    <row r="855" ht="14" customHeight="1" spans="1:7">
      <c r="A855" s="69">
        <v>23018</v>
      </c>
      <c r="B855">
        <v>1</v>
      </c>
      <c r="C855">
        <v>1</v>
      </c>
      <c r="D855" s="15">
        <v>1</v>
      </c>
      <c r="E855" s="15">
        <v>100</v>
      </c>
      <c r="F855" s="7" t="s">
        <v>917</v>
      </c>
      <c r="G855" s="7" t="s">
        <v>944</v>
      </c>
    </row>
    <row r="856" ht="14" customHeight="1" spans="1:7">
      <c r="A856" s="69">
        <v>23019</v>
      </c>
      <c r="B856">
        <v>1</v>
      </c>
      <c r="C856">
        <v>1</v>
      </c>
      <c r="D856" s="15">
        <v>1</v>
      </c>
      <c r="E856" s="15">
        <v>100</v>
      </c>
      <c r="F856" s="7" t="s">
        <v>919</v>
      </c>
      <c r="G856" s="7" t="s">
        <v>944</v>
      </c>
    </row>
    <row r="857" ht="14" customHeight="1" spans="1:7">
      <c r="A857" s="69">
        <v>23020</v>
      </c>
      <c r="B857">
        <v>1</v>
      </c>
      <c r="C857">
        <v>1</v>
      </c>
      <c r="D857" s="15">
        <v>1</v>
      </c>
      <c r="E857" s="15">
        <v>100</v>
      </c>
      <c r="F857" s="7" t="s">
        <v>921</v>
      </c>
      <c r="G857" s="7" t="s">
        <v>944</v>
      </c>
    </row>
    <row r="858" ht="14" customHeight="1" spans="1:7">
      <c r="A858" s="69">
        <v>23021</v>
      </c>
      <c r="B858">
        <v>1</v>
      </c>
      <c r="C858">
        <v>1</v>
      </c>
      <c r="D858" s="15">
        <v>1</v>
      </c>
      <c r="E858" s="15">
        <v>100</v>
      </c>
      <c r="F858" s="7" t="s">
        <v>293</v>
      </c>
      <c r="G858" s="7" t="s">
        <v>944</v>
      </c>
    </row>
    <row r="859" ht="14" customHeight="1" spans="1:7">
      <c r="A859" s="69">
        <v>23022</v>
      </c>
      <c r="B859">
        <v>1</v>
      </c>
      <c r="C859">
        <v>1</v>
      </c>
      <c r="D859" s="15">
        <v>1</v>
      </c>
      <c r="E859" s="15">
        <v>100</v>
      </c>
      <c r="F859" s="7" t="s">
        <v>924</v>
      </c>
      <c r="G859" s="7" t="s">
        <v>944</v>
      </c>
    </row>
    <row r="860" ht="14" customHeight="1" spans="1:7">
      <c r="A860" s="69">
        <v>23023</v>
      </c>
      <c r="B860">
        <v>1</v>
      </c>
      <c r="C860">
        <v>1</v>
      </c>
      <c r="D860" s="15">
        <v>1</v>
      </c>
      <c r="E860" s="15">
        <v>100</v>
      </c>
      <c r="F860" s="7" t="s">
        <v>926</v>
      </c>
      <c r="G860" s="7" t="s">
        <v>944</v>
      </c>
    </row>
    <row r="861" ht="14" customHeight="1" spans="1:7">
      <c r="A861" s="69">
        <v>23024</v>
      </c>
      <c r="B861">
        <v>1</v>
      </c>
      <c r="C861">
        <v>1</v>
      </c>
      <c r="D861" s="15">
        <v>1</v>
      </c>
      <c r="E861" s="15">
        <v>100</v>
      </c>
      <c r="F861" s="7" t="s">
        <v>928</v>
      </c>
      <c r="G861" s="7" t="s">
        <v>944</v>
      </c>
    </row>
    <row r="862" ht="14" customHeight="1" spans="1:7">
      <c r="A862" s="69">
        <v>23025</v>
      </c>
      <c r="B862">
        <v>1</v>
      </c>
      <c r="C862">
        <v>1</v>
      </c>
      <c r="D862" s="15">
        <v>1</v>
      </c>
      <c r="E862" s="15">
        <v>100</v>
      </c>
      <c r="F862" s="7" t="s">
        <v>930</v>
      </c>
      <c r="G862" s="7" t="s">
        <v>944</v>
      </c>
    </row>
    <row r="863" ht="14" customHeight="1" spans="1:7">
      <c r="A863" s="69">
        <v>23026</v>
      </c>
      <c r="B863">
        <v>1</v>
      </c>
      <c r="C863">
        <v>1</v>
      </c>
      <c r="D863" s="15">
        <v>1</v>
      </c>
      <c r="E863" s="15">
        <v>100</v>
      </c>
      <c r="F863" s="7" t="s">
        <v>932</v>
      </c>
      <c r="G863" s="7" t="s">
        <v>944</v>
      </c>
    </row>
    <row r="864" ht="14" customHeight="1" spans="1:7">
      <c r="A864" s="69">
        <v>23027</v>
      </c>
      <c r="B864">
        <v>1</v>
      </c>
      <c r="C864">
        <v>1</v>
      </c>
      <c r="D864" s="15">
        <v>1</v>
      </c>
      <c r="E864" s="15">
        <v>100</v>
      </c>
      <c r="F864" s="7" t="s">
        <v>934</v>
      </c>
      <c r="G864" s="7" t="s">
        <v>944</v>
      </c>
    </row>
    <row r="865" ht="14" customHeight="1" spans="1:7">
      <c r="A865" s="69">
        <v>23028</v>
      </c>
      <c r="B865">
        <v>1</v>
      </c>
      <c r="C865">
        <v>1</v>
      </c>
      <c r="D865" s="15">
        <v>1</v>
      </c>
      <c r="E865" s="15">
        <v>100</v>
      </c>
      <c r="F865" s="7" t="s">
        <v>936</v>
      </c>
      <c r="G865" s="7" t="s">
        <v>944</v>
      </c>
    </row>
    <row r="866" ht="14" customHeight="1" spans="1:7">
      <c r="A866" s="69">
        <v>23029</v>
      </c>
      <c r="B866">
        <v>1</v>
      </c>
      <c r="C866">
        <v>1</v>
      </c>
      <c r="D866" s="15">
        <v>1</v>
      </c>
      <c r="E866" s="15">
        <v>100</v>
      </c>
      <c r="F866" s="7" t="s">
        <v>938</v>
      </c>
      <c r="G866" s="7" t="s">
        <v>944</v>
      </c>
    </row>
    <row r="867" ht="14" customHeight="1" spans="1:7">
      <c r="A867" s="69">
        <v>23030</v>
      </c>
      <c r="B867">
        <v>1</v>
      </c>
      <c r="C867">
        <v>1</v>
      </c>
      <c r="D867" s="15">
        <v>1</v>
      </c>
      <c r="E867" s="15">
        <v>100</v>
      </c>
      <c r="F867" s="7" t="s">
        <v>940</v>
      </c>
      <c r="G867" s="7" t="s">
        <v>944</v>
      </c>
    </row>
    <row r="868" ht="14" customHeight="1" spans="1:7">
      <c r="A868" s="69">
        <v>23031</v>
      </c>
      <c r="B868">
        <v>1</v>
      </c>
      <c r="C868">
        <v>1</v>
      </c>
      <c r="D868" s="15">
        <v>1</v>
      </c>
      <c r="E868" s="15">
        <v>100</v>
      </c>
      <c r="F868" s="7" t="s">
        <v>942</v>
      </c>
      <c r="G868" s="7" t="s">
        <v>944</v>
      </c>
    </row>
    <row r="869" ht="14" customHeight="1" spans="1:7">
      <c r="A869" s="69">
        <v>23032</v>
      </c>
      <c r="B869">
        <v>1</v>
      </c>
      <c r="C869">
        <v>1</v>
      </c>
      <c r="D869" s="15">
        <v>1</v>
      </c>
      <c r="E869" s="15">
        <v>100</v>
      </c>
      <c r="F869" s="7" t="s">
        <v>945</v>
      </c>
      <c r="G869" s="7" t="s">
        <v>944</v>
      </c>
    </row>
    <row r="870" ht="14" customHeight="1" spans="1:7">
      <c r="A870" s="69">
        <v>23033</v>
      </c>
      <c r="B870">
        <v>1</v>
      </c>
      <c r="C870">
        <v>1</v>
      </c>
      <c r="D870" s="15">
        <v>1</v>
      </c>
      <c r="E870" s="15">
        <v>100</v>
      </c>
      <c r="F870" s="7" t="s">
        <v>946</v>
      </c>
      <c r="G870" s="7" t="s">
        <v>944</v>
      </c>
    </row>
    <row r="871" ht="14" customHeight="1" spans="1:7">
      <c r="A871" s="69">
        <v>23034</v>
      </c>
      <c r="B871">
        <v>1</v>
      </c>
      <c r="C871">
        <v>1</v>
      </c>
      <c r="D871" s="15">
        <v>1</v>
      </c>
      <c r="E871" s="15">
        <v>100</v>
      </c>
      <c r="F871" s="7" t="s">
        <v>947</v>
      </c>
      <c r="G871" s="7" t="s">
        <v>944</v>
      </c>
    </row>
    <row r="872" ht="14" customHeight="1" spans="1:7">
      <c r="A872" s="69">
        <v>23035</v>
      </c>
      <c r="B872">
        <v>1</v>
      </c>
      <c r="C872">
        <v>1</v>
      </c>
      <c r="D872" s="15">
        <v>1</v>
      </c>
      <c r="E872" s="15">
        <v>100</v>
      </c>
      <c r="F872" s="7" t="s">
        <v>948</v>
      </c>
      <c r="G872" s="7" t="s">
        <v>944</v>
      </c>
    </row>
    <row r="873" ht="14" customHeight="1" spans="1:7">
      <c r="A873" s="69">
        <v>23036</v>
      </c>
      <c r="B873">
        <v>1</v>
      </c>
      <c r="C873">
        <v>1</v>
      </c>
      <c r="D873" s="15">
        <v>1</v>
      </c>
      <c r="E873" s="15">
        <v>100</v>
      </c>
      <c r="F873" s="7" t="s">
        <v>949</v>
      </c>
      <c r="G873" s="7" t="s">
        <v>944</v>
      </c>
    </row>
    <row r="874" ht="14" customHeight="1" spans="1:7">
      <c r="A874" s="69">
        <v>23037</v>
      </c>
      <c r="B874">
        <v>1</v>
      </c>
      <c r="C874">
        <v>1</v>
      </c>
      <c r="D874" s="15">
        <v>1</v>
      </c>
      <c r="E874" s="15">
        <v>100</v>
      </c>
      <c r="F874" s="7" t="s">
        <v>950</v>
      </c>
      <c r="G874" s="7" t="s">
        <v>944</v>
      </c>
    </row>
    <row r="875" ht="14" customHeight="1" spans="1:7">
      <c r="A875" s="69">
        <v>23038</v>
      </c>
      <c r="B875">
        <v>1</v>
      </c>
      <c r="C875">
        <v>1</v>
      </c>
      <c r="D875" s="15">
        <v>1</v>
      </c>
      <c r="E875" s="15">
        <v>100</v>
      </c>
      <c r="F875" s="7" t="s">
        <v>951</v>
      </c>
      <c r="G875" s="7" t="s">
        <v>944</v>
      </c>
    </row>
    <row r="876" ht="14" customHeight="1" spans="1:7">
      <c r="A876" s="69">
        <v>23039</v>
      </c>
      <c r="B876">
        <v>1</v>
      </c>
      <c r="C876">
        <v>1</v>
      </c>
      <c r="D876" s="15">
        <v>1</v>
      </c>
      <c r="E876" s="15">
        <v>100</v>
      </c>
      <c r="F876" s="7" t="s">
        <v>952</v>
      </c>
      <c r="G876" s="7" t="s">
        <v>944</v>
      </c>
    </row>
    <row r="877" ht="14" customHeight="1" spans="1:7">
      <c r="A877" s="69">
        <v>23040</v>
      </c>
      <c r="B877">
        <v>1</v>
      </c>
      <c r="C877">
        <v>1</v>
      </c>
      <c r="D877" s="15">
        <v>1</v>
      </c>
      <c r="E877" s="15">
        <v>100</v>
      </c>
      <c r="F877" s="7" t="s">
        <v>953</v>
      </c>
      <c r="G877" s="7" t="s">
        <v>944</v>
      </c>
    </row>
    <row r="878" ht="14" customHeight="1" spans="1:7">
      <c r="A878" s="69">
        <v>23041</v>
      </c>
      <c r="B878">
        <v>1</v>
      </c>
      <c r="C878">
        <v>1</v>
      </c>
      <c r="D878" s="15">
        <v>1</v>
      </c>
      <c r="E878" s="15">
        <v>100</v>
      </c>
      <c r="F878" s="7" t="s">
        <v>954</v>
      </c>
      <c r="G878" s="7" t="s">
        <v>944</v>
      </c>
    </row>
    <row r="879" ht="14" customHeight="1" spans="1:7">
      <c r="A879" s="69">
        <v>23042</v>
      </c>
      <c r="B879">
        <v>1</v>
      </c>
      <c r="C879">
        <v>1</v>
      </c>
      <c r="D879" s="15">
        <v>1</v>
      </c>
      <c r="E879" s="15">
        <v>100</v>
      </c>
      <c r="F879" s="7" t="s">
        <v>955</v>
      </c>
      <c r="G879" s="7" t="s">
        <v>944</v>
      </c>
    </row>
    <row r="880" ht="14" customHeight="1" spans="1:7">
      <c r="A880" s="69">
        <v>23043</v>
      </c>
      <c r="B880">
        <v>1</v>
      </c>
      <c r="C880">
        <v>1</v>
      </c>
      <c r="D880" s="15">
        <v>1</v>
      </c>
      <c r="E880" s="15">
        <v>100</v>
      </c>
      <c r="F880" s="7" t="s">
        <v>956</v>
      </c>
      <c r="G880" s="7" t="s">
        <v>944</v>
      </c>
    </row>
    <row r="881" ht="14" customHeight="1" spans="1:7">
      <c r="A881" s="69">
        <v>23044</v>
      </c>
      <c r="B881">
        <v>1</v>
      </c>
      <c r="C881">
        <v>1</v>
      </c>
      <c r="D881" s="15">
        <v>1</v>
      </c>
      <c r="E881" s="15">
        <v>100</v>
      </c>
      <c r="F881" s="7" t="s">
        <v>957</v>
      </c>
      <c r="G881" s="7" t="s">
        <v>944</v>
      </c>
    </row>
    <row r="882" ht="14" customHeight="1" spans="1:7">
      <c r="A882" s="69">
        <v>23045</v>
      </c>
      <c r="B882">
        <v>1</v>
      </c>
      <c r="C882">
        <v>1</v>
      </c>
      <c r="D882" s="15">
        <v>1</v>
      </c>
      <c r="E882" s="15">
        <v>100</v>
      </c>
      <c r="F882" s="7" t="s">
        <v>958</v>
      </c>
      <c r="G882" s="7" t="s">
        <v>944</v>
      </c>
    </row>
    <row r="883" ht="14" customHeight="1" spans="1:7">
      <c r="A883" s="69">
        <v>23046</v>
      </c>
      <c r="B883">
        <v>1</v>
      </c>
      <c r="C883">
        <v>1</v>
      </c>
      <c r="D883" s="15">
        <v>1</v>
      </c>
      <c r="E883" s="15">
        <v>100</v>
      </c>
      <c r="F883" s="7" t="s">
        <v>959</v>
      </c>
      <c r="G883" s="7" t="s">
        <v>944</v>
      </c>
    </row>
    <row r="884" ht="14" customHeight="1" spans="1:7">
      <c r="A884" s="69">
        <v>23047</v>
      </c>
      <c r="B884">
        <v>1</v>
      </c>
      <c r="C884">
        <v>1</v>
      </c>
      <c r="D884" s="15">
        <v>1</v>
      </c>
      <c r="E884" s="15">
        <v>100</v>
      </c>
      <c r="F884" s="7" t="s">
        <v>960</v>
      </c>
      <c r="G884" s="7" t="s">
        <v>944</v>
      </c>
    </row>
    <row r="885" ht="14" customHeight="1" spans="1:7">
      <c r="A885" s="69">
        <v>23048</v>
      </c>
      <c r="B885">
        <v>1</v>
      </c>
      <c r="C885">
        <v>1</v>
      </c>
      <c r="D885" s="15">
        <v>1</v>
      </c>
      <c r="E885" s="15">
        <v>100</v>
      </c>
      <c r="F885" s="7" t="s">
        <v>961</v>
      </c>
      <c r="G885" s="7" t="s">
        <v>944</v>
      </c>
    </row>
    <row r="886" ht="14" customHeight="1" spans="1:7">
      <c r="A886" s="69">
        <v>23049</v>
      </c>
      <c r="B886">
        <v>1</v>
      </c>
      <c r="C886">
        <v>1</v>
      </c>
      <c r="D886" s="15">
        <v>1</v>
      </c>
      <c r="E886" s="15">
        <v>100</v>
      </c>
      <c r="F886" s="7" t="s">
        <v>962</v>
      </c>
      <c r="G886" s="7" t="s">
        <v>944</v>
      </c>
    </row>
    <row r="887" ht="14" customHeight="1" spans="1:7">
      <c r="A887" s="69">
        <v>23050</v>
      </c>
      <c r="B887">
        <v>1</v>
      </c>
      <c r="C887">
        <v>1</v>
      </c>
      <c r="D887" s="15">
        <v>1</v>
      </c>
      <c r="E887" s="15">
        <v>100</v>
      </c>
      <c r="F887" s="7" t="s">
        <v>963</v>
      </c>
      <c r="G887" s="7" t="s">
        <v>944</v>
      </c>
    </row>
    <row r="888" ht="14" customHeight="1" spans="1:7">
      <c r="A888" s="69">
        <v>23051</v>
      </c>
      <c r="B888">
        <v>1</v>
      </c>
      <c r="C888">
        <v>1</v>
      </c>
      <c r="D888" s="15">
        <v>1</v>
      </c>
      <c r="E888" s="15">
        <v>100</v>
      </c>
      <c r="F888" s="7" t="s">
        <v>964</v>
      </c>
      <c r="G888" s="7" t="s">
        <v>944</v>
      </c>
    </row>
    <row r="889" ht="14" customHeight="1" spans="1:7">
      <c r="A889" s="69">
        <v>23052</v>
      </c>
      <c r="B889">
        <v>1</v>
      </c>
      <c r="C889">
        <v>1</v>
      </c>
      <c r="D889" s="15">
        <v>1</v>
      </c>
      <c r="E889" s="15">
        <v>100</v>
      </c>
      <c r="F889" s="7" t="s">
        <v>965</v>
      </c>
      <c r="G889" s="7" t="s">
        <v>944</v>
      </c>
    </row>
    <row r="890" ht="14" customHeight="1" spans="1:7">
      <c r="A890" s="69">
        <v>23053</v>
      </c>
      <c r="B890">
        <v>1</v>
      </c>
      <c r="C890">
        <v>1</v>
      </c>
      <c r="D890" s="15">
        <v>1</v>
      </c>
      <c r="E890" s="15">
        <v>100</v>
      </c>
      <c r="F890" s="7" t="s">
        <v>966</v>
      </c>
      <c r="G890" s="7" t="s">
        <v>944</v>
      </c>
    </row>
    <row r="891" ht="14" customHeight="1" spans="1:7">
      <c r="A891" s="69">
        <v>23054</v>
      </c>
      <c r="B891">
        <v>1</v>
      </c>
      <c r="C891">
        <v>1</v>
      </c>
      <c r="D891" s="15">
        <v>1</v>
      </c>
      <c r="E891" s="15">
        <v>100</v>
      </c>
      <c r="F891" s="7" t="s">
        <v>967</v>
      </c>
      <c r="G891" s="7" t="s">
        <v>944</v>
      </c>
    </row>
    <row r="892" ht="14" customHeight="1" spans="1:7">
      <c r="A892" s="69">
        <v>23055</v>
      </c>
      <c r="B892">
        <v>1</v>
      </c>
      <c r="C892">
        <v>1</v>
      </c>
      <c r="D892" s="15">
        <v>1</v>
      </c>
      <c r="E892" s="15">
        <v>100</v>
      </c>
      <c r="F892" s="7" t="s">
        <v>968</v>
      </c>
      <c r="G892" s="7" t="s">
        <v>944</v>
      </c>
    </row>
    <row r="893" ht="14" customHeight="1" spans="1:7">
      <c r="A893" s="69">
        <v>23056</v>
      </c>
      <c r="B893">
        <v>1</v>
      </c>
      <c r="C893">
        <v>1</v>
      </c>
      <c r="D893" s="15">
        <v>1</v>
      </c>
      <c r="E893" s="15">
        <v>100</v>
      </c>
      <c r="F893" s="7" t="s">
        <v>969</v>
      </c>
      <c r="G893" s="7" t="s">
        <v>944</v>
      </c>
    </row>
    <row r="894" ht="14" customHeight="1" spans="1:7">
      <c r="A894" s="69">
        <v>23057</v>
      </c>
      <c r="B894">
        <v>1</v>
      </c>
      <c r="C894">
        <v>1</v>
      </c>
      <c r="D894" s="15">
        <v>1</v>
      </c>
      <c r="E894" s="15">
        <v>100</v>
      </c>
      <c r="F894" s="7" t="s">
        <v>970</v>
      </c>
      <c r="G894" s="7" t="s">
        <v>944</v>
      </c>
    </row>
    <row r="895" ht="14" customHeight="1" spans="1:7">
      <c r="A895" s="69">
        <v>23058</v>
      </c>
      <c r="B895">
        <v>1</v>
      </c>
      <c r="C895">
        <v>1</v>
      </c>
      <c r="D895" s="15">
        <v>1</v>
      </c>
      <c r="E895" s="15">
        <v>100</v>
      </c>
      <c r="F895" s="7" t="s">
        <v>971</v>
      </c>
      <c r="G895" s="7" t="s">
        <v>944</v>
      </c>
    </row>
    <row r="896" ht="14" customHeight="1" spans="1:7">
      <c r="A896" s="69">
        <v>23059</v>
      </c>
      <c r="B896">
        <v>1</v>
      </c>
      <c r="C896">
        <v>1</v>
      </c>
      <c r="D896" s="15">
        <v>1</v>
      </c>
      <c r="E896" s="15">
        <v>100</v>
      </c>
      <c r="F896" s="7" t="s">
        <v>972</v>
      </c>
      <c r="G896" s="7" t="s">
        <v>944</v>
      </c>
    </row>
    <row r="897" ht="14" customHeight="1" spans="1:7">
      <c r="A897" s="69">
        <v>23060</v>
      </c>
      <c r="B897">
        <v>1</v>
      </c>
      <c r="C897">
        <v>1</v>
      </c>
      <c r="D897" s="15">
        <v>1</v>
      </c>
      <c r="E897" s="15">
        <v>100</v>
      </c>
      <c r="F897" s="7" t="s">
        <v>973</v>
      </c>
      <c r="G897" s="7" t="s">
        <v>944</v>
      </c>
    </row>
    <row r="898" ht="14" customHeight="1" spans="1:7">
      <c r="A898" s="69">
        <v>23061</v>
      </c>
      <c r="B898">
        <v>1</v>
      </c>
      <c r="C898">
        <v>1</v>
      </c>
      <c r="D898" s="15">
        <v>1</v>
      </c>
      <c r="E898" s="15">
        <v>100</v>
      </c>
      <c r="F898" s="7" t="s">
        <v>974</v>
      </c>
      <c r="G898" s="7" t="s">
        <v>944</v>
      </c>
    </row>
    <row r="899" ht="14" customHeight="1" spans="1:7">
      <c r="A899" s="69">
        <v>23062</v>
      </c>
      <c r="B899">
        <v>1</v>
      </c>
      <c r="C899">
        <v>1</v>
      </c>
      <c r="D899" s="15">
        <v>1</v>
      </c>
      <c r="E899" s="15">
        <v>100</v>
      </c>
      <c r="F899" s="7" t="s">
        <v>975</v>
      </c>
      <c r="G899" s="7" t="s">
        <v>944</v>
      </c>
    </row>
    <row r="900" ht="14" customHeight="1" spans="1:7">
      <c r="A900" s="69">
        <v>23063</v>
      </c>
      <c r="B900">
        <v>1</v>
      </c>
      <c r="C900">
        <v>1</v>
      </c>
      <c r="D900" s="15">
        <v>1</v>
      </c>
      <c r="E900" s="15">
        <v>100</v>
      </c>
      <c r="F900" s="7" t="s">
        <v>976</v>
      </c>
      <c r="G900" s="7" t="s">
        <v>944</v>
      </c>
    </row>
    <row r="901" ht="14" customHeight="1" spans="1:7">
      <c r="A901" s="69">
        <v>23064</v>
      </c>
      <c r="B901">
        <v>1</v>
      </c>
      <c r="C901">
        <v>1</v>
      </c>
      <c r="D901" s="15">
        <v>1</v>
      </c>
      <c r="E901" s="15">
        <v>100</v>
      </c>
      <c r="F901" s="7" t="s">
        <v>977</v>
      </c>
      <c r="G901" s="7" t="s">
        <v>944</v>
      </c>
    </row>
    <row r="902" ht="14" customHeight="1" spans="1:7">
      <c r="A902" s="69">
        <v>23065</v>
      </c>
      <c r="B902">
        <v>1</v>
      </c>
      <c r="C902">
        <v>1</v>
      </c>
      <c r="D902" s="15">
        <v>1</v>
      </c>
      <c r="E902" s="15">
        <v>100</v>
      </c>
      <c r="F902" s="7" t="s">
        <v>978</v>
      </c>
      <c r="G902" s="7" t="s">
        <v>944</v>
      </c>
    </row>
    <row r="903" ht="14" customHeight="1" spans="1:7">
      <c r="A903" s="69">
        <v>23066</v>
      </c>
      <c r="B903">
        <v>1</v>
      </c>
      <c r="C903">
        <v>1</v>
      </c>
      <c r="D903" s="15">
        <v>1</v>
      </c>
      <c r="E903" s="15">
        <v>100</v>
      </c>
      <c r="F903" s="7" t="s">
        <v>979</v>
      </c>
      <c r="G903" s="7" t="s">
        <v>944</v>
      </c>
    </row>
    <row r="904" ht="12" customHeight="1" spans="1:7">
      <c r="A904" s="69">
        <v>28001</v>
      </c>
      <c r="B904">
        <v>1</v>
      </c>
      <c r="C904">
        <v>1</v>
      </c>
      <c r="D904" s="15">
        <v>0</v>
      </c>
      <c r="E904" s="15">
        <v>1</v>
      </c>
      <c r="F904" t="s">
        <v>980</v>
      </c>
      <c r="G904" s="7" t="s">
        <v>981</v>
      </c>
    </row>
    <row r="905" ht="14" customHeight="1" spans="1:7">
      <c r="A905" s="69">
        <v>28002</v>
      </c>
      <c r="B905">
        <v>1</v>
      </c>
      <c r="C905">
        <v>1</v>
      </c>
      <c r="D905" s="15">
        <v>0</v>
      </c>
      <c r="E905" s="15">
        <v>1</v>
      </c>
      <c r="F905" t="s">
        <v>982</v>
      </c>
      <c r="G905" s="7" t="s">
        <v>983</v>
      </c>
    </row>
    <row r="906" ht="14" customHeight="1" spans="1:7">
      <c r="A906" s="69">
        <v>28003</v>
      </c>
      <c r="B906">
        <v>1</v>
      </c>
      <c r="C906">
        <v>1</v>
      </c>
      <c r="D906" s="15">
        <v>0</v>
      </c>
      <c r="E906" s="15">
        <v>1</v>
      </c>
      <c r="F906" t="s">
        <v>984</v>
      </c>
      <c r="G906" s="7" t="s">
        <v>985</v>
      </c>
    </row>
    <row r="907" ht="14" customHeight="1" spans="1:7">
      <c r="A907" s="69">
        <v>28004</v>
      </c>
      <c r="B907">
        <v>1</v>
      </c>
      <c r="C907">
        <v>1</v>
      </c>
      <c r="D907" s="15">
        <v>0</v>
      </c>
      <c r="E907" s="15">
        <v>1</v>
      </c>
      <c r="F907" t="s">
        <v>986</v>
      </c>
      <c r="G907" s="7" t="s">
        <v>987</v>
      </c>
    </row>
    <row r="908" ht="14" customHeight="1" spans="1:7">
      <c r="A908" s="69">
        <v>28005</v>
      </c>
      <c r="B908">
        <v>1</v>
      </c>
      <c r="C908">
        <v>1</v>
      </c>
      <c r="D908" s="15">
        <v>0</v>
      </c>
      <c r="E908" s="15">
        <v>1</v>
      </c>
      <c r="F908" t="s">
        <v>988</v>
      </c>
      <c r="G908" s="7" t="s">
        <v>989</v>
      </c>
    </row>
    <row r="909" ht="14" customHeight="1" spans="1:7">
      <c r="A909" s="69">
        <v>28006</v>
      </c>
      <c r="B909">
        <v>1</v>
      </c>
      <c r="C909">
        <v>1</v>
      </c>
      <c r="D909" s="15">
        <v>0</v>
      </c>
      <c r="E909" s="15">
        <v>1</v>
      </c>
      <c r="F909" t="s">
        <v>990</v>
      </c>
      <c r="G909" s="7" t="s">
        <v>991</v>
      </c>
    </row>
    <row r="910" ht="14" customHeight="1" spans="1:7">
      <c r="A910" s="69">
        <v>28007</v>
      </c>
      <c r="B910">
        <v>1</v>
      </c>
      <c r="C910">
        <v>1</v>
      </c>
      <c r="D910" s="15">
        <v>0</v>
      </c>
      <c r="E910" s="15">
        <v>1</v>
      </c>
      <c r="F910" t="s">
        <v>992</v>
      </c>
      <c r="G910" s="7" t="s">
        <v>993</v>
      </c>
    </row>
    <row r="911" ht="14" customHeight="1" spans="1:7">
      <c r="A911" s="69">
        <v>28008</v>
      </c>
      <c r="B911">
        <v>1</v>
      </c>
      <c r="C911">
        <v>1</v>
      </c>
      <c r="D911" s="15">
        <v>0</v>
      </c>
      <c r="E911" s="15">
        <v>1</v>
      </c>
      <c r="F911" t="s">
        <v>994</v>
      </c>
      <c r="G911" s="7" t="s">
        <v>995</v>
      </c>
    </row>
    <row r="912" ht="14" customHeight="1" spans="1:7">
      <c r="A912" s="69">
        <v>28009</v>
      </c>
      <c r="B912">
        <v>1</v>
      </c>
      <c r="C912">
        <v>1</v>
      </c>
      <c r="D912" s="15">
        <v>0</v>
      </c>
      <c r="E912" s="15">
        <v>1</v>
      </c>
      <c r="F912" t="s">
        <v>996</v>
      </c>
      <c r="G912" s="7" t="s">
        <v>997</v>
      </c>
    </row>
    <row r="913" ht="14" customHeight="1" spans="1:7">
      <c r="A913" s="69">
        <v>28010</v>
      </c>
      <c r="B913">
        <v>1</v>
      </c>
      <c r="C913">
        <v>1</v>
      </c>
      <c r="D913" s="15">
        <v>0</v>
      </c>
      <c r="E913" s="15">
        <v>1</v>
      </c>
      <c r="F913" t="s">
        <v>988</v>
      </c>
      <c r="G913" s="7" t="s">
        <v>989</v>
      </c>
    </row>
    <row r="914" ht="14" customHeight="1" spans="1:7">
      <c r="A914" s="69">
        <v>28011</v>
      </c>
      <c r="B914">
        <v>1</v>
      </c>
      <c r="C914">
        <v>1</v>
      </c>
      <c r="D914" s="15">
        <v>0</v>
      </c>
      <c r="E914" s="15">
        <v>1</v>
      </c>
      <c r="F914" t="s">
        <v>998</v>
      </c>
      <c r="G914" s="7" t="s">
        <v>999</v>
      </c>
    </row>
    <row r="915" ht="14" customHeight="1" spans="1:7">
      <c r="A915" s="69">
        <v>28012</v>
      </c>
      <c r="B915">
        <v>1</v>
      </c>
      <c r="C915">
        <v>1</v>
      </c>
      <c r="D915" s="15">
        <v>0</v>
      </c>
      <c r="E915" s="15">
        <v>1</v>
      </c>
      <c r="F915" t="s">
        <v>1000</v>
      </c>
      <c r="G915" s="7" t="s">
        <v>1001</v>
      </c>
    </row>
    <row r="916" ht="14" customHeight="1" spans="1:7">
      <c r="A916" s="69">
        <v>28013</v>
      </c>
      <c r="B916">
        <v>1</v>
      </c>
      <c r="C916">
        <v>1</v>
      </c>
      <c r="D916" s="15">
        <v>0</v>
      </c>
      <c r="E916" s="15">
        <v>1</v>
      </c>
      <c r="F916" t="s">
        <v>1002</v>
      </c>
      <c r="G916" s="7" t="s">
        <v>1003</v>
      </c>
    </row>
    <row r="917" ht="14" customHeight="1" spans="1:7">
      <c r="A917" s="69">
        <v>28014</v>
      </c>
      <c r="B917">
        <v>1</v>
      </c>
      <c r="C917">
        <v>1</v>
      </c>
      <c r="D917" s="15">
        <v>0</v>
      </c>
      <c r="E917" s="15">
        <v>1</v>
      </c>
      <c r="F917" t="s">
        <v>1004</v>
      </c>
      <c r="G917" s="7" t="s">
        <v>1005</v>
      </c>
    </row>
    <row r="918" ht="14" customHeight="1" spans="1:7">
      <c r="A918" s="69">
        <v>28015</v>
      </c>
      <c r="B918">
        <v>1</v>
      </c>
      <c r="C918">
        <v>1</v>
      </c>
      <c r="D918" s="15">
        <v>0</v>
      </c>
      <c r="E918" s="15">
        <v>1</v>
      </c>
      <c r="F918" t="s">
        <v>1000</v>
      </c>
      <c r="G918" s="7" t="s">
        <v>1006</v>
      </c>
    </row>
    <row r="919" ht="14" customHeight="1" spans="1:7">
      <c r="A919" s="69">
        <v>28016</v>
      </c>
      <c r="B919">
        <v>1</v>
      </c>
      <c r="C919">
        <v>1</v>
      </c>
      <c r="D919" s="15">
        <v>0</v>
      </c>
      <c r="E919" s="15">
        <v>1</v>
      </c>
      <c r="F919" t="s">
        <v>1007</v>
      </c>
      <c r="G919" s="7" t="s">
        <v>1008</v>
      </c>
    </row>
    <row r="920" ht="14" customHeight="1" spans="1:7">
      <c r="A920" s="69">
        <v>28017</v>
      </c>
      <c r="B920">
        <v>1</v>
      </c>
      <c r="C920">
        <v>1</v>
      </c>
      <c r="D920" s="15">
        <v>0</v>
      </c>
      <c r="E920" s="15">
        <v>1</v>
      </c>
      <c r="F920" t="s">
        <v>1009</v>
      </c>
      <c r="G920" s="7" t="s">
        <v>1010</v>
      </c>
    </row>
    <row r="921" ht="14" customHeight="1" spans="1:7">
      <c r="A921" s="69">
        <v>28018</v>
      </c>
      <c r="B921">
        <v>1</v>
      </c>
      <c r="C921">
        <v>1</v>
      </c>
      <c r="D921" s="15">
        <v>0</v>
      </c>
      <c r="E921" s="15">
        <v>1</v>
      </c>
      <c r="F921" t="s">
        <v>1011</v>
      </c>
      <c r="G921" s="7" t="s">
        <v>1012</v>
      </c>
    </row>
    <row r="922" ht="14" customHeight="1" spans="1:7">
      <c r="A922" s="69">
        <v>28019</v>
      </c>
      <c r="B922">
        <v>1</v>
      </c>
      <c r="C922">
        <v>1</v>
      </c>
      <c r="D922" s="15">
        <v>0</v>
      </c>
      <c r="E922" s="15">
        <v>1</v>
      </c>
      <c r="F922" t="s">
        <v>1013</v>
      </c>
      <c r="G922" s="7" t="s">
        <v>1014</v>
      </c>
    </row>
    <row r="923" ht="14" customHeight="1" spans="1:7">
      <c r="A923" s="69">
        <v>28020</v>
      </c>
      <c r="B923">
        <v>1</v>
      </c>
      <c r="C923">
        <v>1</v>
      </c>
      <c r="D923" s="15">
        <v>0</v>
      </c>
      <c r="E923" s="15">
        <v>1</v>
      </c>
      <c r="F923" t="s">
        <v>1015</v>
      </c>
      <c r="G923" s="7" t="s">
        <v>1016</v>
      </c>
    </row>
    <row r="924" ht="14" customHeight="1" spans="1:7">
      <c r="A924" s="69">
        <v>28021</v>
      </c>
      <c r="B924">
        <v>1</v>
      </c>
      <c r="C924">
        <v>1</v>
      </c>
      <c r="D924" s="15">
        <v>0</v>
      </c>
      <c r="E924" s="15">
        <v>1</v>
      </c>
      <c r="F924" t="s">
        <v>1017</v>
      </c>
      <c r="G924" s="7" t="s">
        <v>1018</v>
      </c>
    </row>
    <row r="925" ht="14" customHeight="1" spans="1:7">
      <c r="A925" s="69">
        <v>28022</v>
      </c>
      <c r="B925">
        <v>1</v>
      </c>
      <c r="C925">
        <v>1</v>
      </c>
      <c r="D925" s="15">
        <v>0</v>
      </c>
      <c r="E925" s="15">
        <v>1</v>
      </c>
      <c r="F925" t="s">
        <v>1019</v>
      </c>
      <c r="G925" s="7" t="s">
        <v>1020</v>
      </c>
    </row>
    <row r="926" ht="14" customHeight="1" spans="1:7">
      <c r="A926" s="69">
        <v>28023</v>
      </c>
      <c r="B926">
        <v>1</v>
      </c>
      <c r="C926">
        <v>1</v>
      </c>
      <c r="D926" s="15">
        <v>0</v>
      </c>
      <c r="E926" s="15">
        <v>1</v>
      </c>
      <c r="F926" t="s">
        <v>1021</v>
      </c>
      <c r="G926" s="7" t="s">
        <v>1022</v>
      </c>
    </row>
    <row r="927" ht="14" customHeight="1" spans="1:7">
      <c r="A927" s="69">
        <v>28024</v>
      </c>
      <c r="B927">
        <v>1</v>
      </c>
      <c r="C927">
        <v>1</v>
      </c>
      <c r="D927" s="15">
        <v>0</v>
      </c>
      <c r="E927" s="15">
        <v>1</v>
      </c>
      <c r="F927" t="s">
        <v>1023</v>
      </c>
      <c r="G927" s="7" t="s">
        <v>1024</v>
      </c>
    </row>
    <row r="928" ht="14" customHeight="1" spans="1:7">
      <c r="A928" s="69">
        <v>28025</v>
      </c>
      <c r="B928">
        <v>1</v>
      </c>
      <c r="C928">
        <v>1</v>
      </c>
      <c r="D928" s="15">
        <v>0</v>
      </c>
      <c r="E928" s="15">
        <v>1</v>
      </c>
      <c r="F928" t="s">
        <v>1025</v>
      </c>
      <c r="G928" s="7" t="s">
        <v>1026</v>
      </c>
    </row>
    <row r="929" ht="14" customHeight="1" spans="1:7">
      <c r="A929" s="69">
        <v>28026</v>
      </c>
      <c r="B929">
        <v>1</v>
      </c>
      <c r="C929">
        <v>1</v>
      </c>
      <c r="D929" s="15">
        <v>0</v>
      </c>
      <c r="E929" s="15">
        <v>1</v>
      </c>
      <c r="F929" t="s">
        <v>867</v>
      </c>
      <c r="G929" s="7" t="s">
        <v>1027</v>
      </c>
    </row>
    <row r="930" ht="14" customHeight="1" spans="1:7">
      <c r="A930" s="69">
        <v>28027</v>
      </c>
      <c r="B930">
        <v>1</v>
      </c>
      <c r="C930">
        <v>1</v>
      </c>
      <c r="D930" s="15">
        <v>0</v>
      </c>
      <c r="E930" s="15">
        <v>1</v>
      </c>
      <c r="F930" t="s">
        <v>1028</v>
      </c>
      <c r="G930" s="7" t="s">
        <v>1029</v>
      </c>
    </row>
    <row r="931" ht="14" customHeight="1" spans="1:7">
      <c r="A931" s="69">
        <v>28028</v>
      </c>
      <c r="B931">
        <v>1</v>
      </c>
      <c r="C931">
        <v>1</v>
      </c>
      <c r="D931" s="15">
        <v>0</v>
      </c>
      <c r="E931" s="15">
        <v>1</v>
      </c>
      <c r="F931" t="s">
        <v>1030</v>
      </c>
      <c r="G931" s="7" t="s">
        <v>1031</v>
      </c>
    </row>
    <row r="932" ht="14" customHeight="1" spans="1:7">
      <c r="A932" s="69">
        <v>28029</v>
      </c>
      <c r="B932">
        <v>1</v>
      </c>
      <c r="C932">
        <v>1</v>
      </c>
      <c r="D932" s="15">
        <v>0</v>
      </c>
      <c r="E932" s="15">
        <v>1</v>
      </c>
      <c r="F932" t="s">
        <v>1032</v>
      </c>
      <c r="G932" s="7" t="s">
        <v>1033</v>
      </c>
    </row>
    <row r="933" ht="14" customHeight="1" spans="1:7">
      <c r="A933" s="69">
        <v>28030</v>
      </c>
      <c r="B933">
        <v>1</v>
      </c>
      <c r="C933">
        <v>1</v>
      </c>
      <c r="D933" s="15">
        <v>0</v>
      </c>
      <c r="E933" s="15">
        <v>1</v>
      </c>
      <c r="F933" t="s">
        <v>1034</v>
      </c>
      <c r="G933" s="7" t="s">
        <v>1035</v>
      </c>
    </row>
    <row r="934" ht="14" customHeight="1" spans="1:7">
      <c r="A934" s="69">
        <v>28031</v>
      </c>
      <c r="B934">
        <v>1</v>
      </c>
      <c r="C934">
        <v>1</v>
      </c>
      <c r="D934" s="15">
        <v>0</v>
      </c>
      <c r="E934" s="15">
        <v>1</v>
      </c>
      <c r="F934" t="s">
        <v>867</v>
      </c>
      <c r="G934" s="7" t="s">
        <v>1036</v>
      </c>
    </row>
    <row r="935" ht="14" customHeight="1" spans="1:7">
      <c r="A935" s="69">
        <v>28032</v>
      </c>
      <c r="B935">
        <v>1</v>
      </c>
      <c r="C935">
        <v>1</v>
      </c>
      <c r="D935" s="15">
        <v>0</v>
      </c>
      <c r="E935" s="15">
        <v>1</v>
      </c>
      <c r="F935" t="s">
        <v>1037</v>
      </c>
      <c r="G935" s="7" t="s">
        <v>1038</v>
      </c>
    </row>
    <row r="936" ht="14" customHeight="1" spans="1:7">
      <c r="A936" s="69">
        <v>28033</v>
      </c>
      <c r="B936">
        <v>1</v>
      </c>
      <c r="C936">
        <v>1</v>
      </c>
      <c r="D936" s="15">
        <v>0</v>
      </c>
      <c r="E936" s="15">
        <v>1</v>
      </c>
      <c r="F936" t="s">
        <v>1039</v>
      </c>
      <c r="G936" s="7" t="s">
        <v>1040</v>
      </c>
    </row>
    <row r="937" ht="14" customHeight="1" spans="1:7">
      <c r="A937" s="69">
        <v>28034</v>
      </c>
      <c r="B937">
        <v>1</v>
      </c>
      <c r="C937">
        <v>1</v>
      </c>
      <c r="D937" s="15">
        <v>0</v>
      </c>
      <c r="E937" s="15">
        <v>1</v>
      </c>
      <c r="F937" t="s">
        <v>1041</v>
      </c>
      <c r="G937" s="7" t="s">
        <v>1042</v>
      </c>
    </row>
    <row r="938" ht="14" customHeight="1" spans="1:7">
      <c r="A938" s="69">
        <v>28035</v>
      </c>
      <c r="B938">
        <v>1</v>
      </c>
      <c r="C938">
        <v>1</v>
      </c>
      <c r="D938" s="15">
        <v>0</v>
      </c>
      <c r="E938" s="15">
        <v>1</v>
      </c>
      <c r="F938" t="s">
        <v>1043</v>
      </c>
      <c r="G938" s="7" t="s">
        <v>1044</v>
      </c>
    </row>
    <row r="939" ht="14" customHeight="1" spans="1:7">
      <c r="A939" s="69">
        <v>28036</v>
      </c>
      <c r="B939">
        <v>1</v>
      </c>
      <c r="C939">
        <v>1</v>
      </c>
      <c r="D939" s="15">
        <v>0</v>
      </c>
      <c r="E939" s="15">
        <v>1</v>
      </c>
      <c r="F939" t="s">
        <v>1045</v>
      </c>
      <c r="G939" s="7" t="s">
        <v>1046</v>
      </c>
    </row>
    <row r="940" ht="14" customHeight="1" spans="1:7">
      <c r="A940" s="69">
        <v>28037</v>
      </c>
      <c r="B940">
        <v>1</v>
      </c>
      <c r="C940">
        <v>1</v>
      </c>
      <c r="D940" s="15">
        <v>0</v>
      </c>
      <c r="E940" s="15">
        <v>1</v>
      </c>
      <c r="F940" t="s">
        <v>1047</v>
      </c>
      <c r="G940" s="7" t="s">
        <v>1048</v>
      </c>
    </row>
    <row r="941" ht="14" customHeight="1" spans="1:7">
      <c r="A941" s="69">
        <v>28038</v>
      </c>
      <c r="B941">
        <v>1</v>
      </c>
      <c r="C941">
        <v>1</v>
      </c>
      <c r="D941" s="15">
        <v>0</v>
      </c>
      <c r="E941" s="15">
        <v>1</v>
      </c>
      <c r="F941" s="50" t="s">
        <v>1049</v>
      </c>
      <c r="G941" s="7" t="s">
        <v>1050</v>
      </c>
    </row>
    <row r="942" ht="14" customHeight="1" spans="1:7">
      <c r="A942" s="69">
        <v>28039</v>
      </c>
      <c r="B942">
        <v>1</v>
      </c>
      <c r="C942">
        <v>1</v>
      </c>
      <c r="D942" s="15">
        <v>0</v>
      </c>
      <c r="E942" s="15">
        <v>1</v>
      </c>
      <c r="F942" s="50" t="s">
        <v>1051</v>
      </c>
      <c r="G942" s="7" t="s">
        <v>1052</v>
      </c>
    </row>
    <row r="943" ht="14" customHeight="1" spans="1:7">
      <c r="A943" s="69">
        <v>28040</v>
      </c>
      <c r="B943">
        <v>1</v>
      </c>
      <c r="C943">
        <v>1</v>
      </c>
      <c r="D943" s="15">
        <v>0</v>
      </c>
      <c r="E943" s="15">
        <v>1</v>
      </c>
      <c r="F943" s="50" t="s">
        <v>1053</v>
      </c>
      <c r="G943" s="7" t="s">
        <v>1054</v>
      </c>
    </row>
    <row r="944" ht="14" customHeight="1" spans="1:7">
      <c r="A944" s="69">
        <v>28041</v>
      </c>
      <c r="B944">
        <v>1</v>
      </c>
      <c r="C944">
        <v>1</v>
      </c>
      <c r="D944" s="15">
        <v>0</v>
      </c>
      <c r="E944" s="15">
        <v>1</v>
      </c>
      <c r="F944" s="50" t="s">
        <v>1055</v>
      </c>
      <c r="G944" s="7" t="s">
        <v>1056</v>
      </c>
    </row>
    <row r="945" ht="14" customHeight="1" spans="1:7">
      <c r="A945" s="69">
        <v>28042</v>
      </c>
      <c r="B945">
        <v>1</v>
      </c>
      <c r="C945">
        <v>1</v>
      </c>
      <c r="D945" s="15">
        <v>0</v>
      </c>
      <c r="E945" s="15">
        <v>1</v>
      </c>
      <c r="F945" s="50" t="s">
        <v>872</v>
      </c>
      <c r="G945" s="7" t="s">
        <v>1057</v>
      </c>
    </row>
    <row r="946" ht="14" customHeight="1" spans="1:7">
      <c r="A946" s="69">
        <v>28043</v>
      </c>
      <c r="B946">
        <v>1</v>
      </c>
      <c r="C946">
        <v>1</v>
      </c>
      <c r="D946" s="15">
        <v>0</v>
      </c>
      <c r="E946" s="15">
        <v>1</v>
      </c>
      <c r="F946" s="50" t="s">
        <v>1058</v>
      </c>
      <c r="G946" s="7" t="s">
        <v>1059</v>
      </c>
    </row>
    <row r="947" ht="14" customHeight="1" spans="1:7">
      <c r="A947" s="69">
        <v>28044</v>
      </c>
      <c r="B947">
        <v>1</v>
      </c>
      <c r="C947">
        <v>1</v>
      </c>
      <c r="D947" s="15">
        <v>0</v>
      </c>
      <c r="E947" s="15">
        <v>1</v>
      </c>
      <c r="F947" s="50" t="s">
        <v>1060</v>
      </c>
      <c r="G947" s="7" t="s">
        <v>1061</v>
      </c>
    </row>
    <row r="948" ht="14" customHeight="1" spans="1:7">
      <c r="A948" s="69">
        <v>28045</v>
      </c>
      <c r="B948">
        <v>1</v>
      </c>
      <c r="C948">
        <v>1</v>
      </c>
      <c r="D948" s="15">
        <v>0</v>
      </c>
      <c r="E948" s="15">
        <v>1</v>
      </c>
      <c r="F948" s="50" t="s">
        <v>874</v>
      </c>
      <c r="G948" s="7" t="s">
        <v>1062</v>
      </c>
    </row>
    <row r="949" ht="14" customHeight="1" spans="1:7">
      <c r="A949" s="69">
        <v>28046</v>
      </c>
      <c r="B949">
        <v>1</v>
      </c>
      <c r="C949">
        <v>1</v>
      </c>
      <c r="D949" s="15">
        <v>0</v>
      </c>
      <c r="E949" s="15">
        <v>1</v>
      </c>
      <c r="F949" s="50" t="s">
        <v>1063</v>
      </c>
      <c r="G949" s="7" t="s">
        <v>1064</v>
      </c>
    </row>
    <row r="950" ht="14" customHeight="1" spans="1:7">
      <c r="A950" s="69">
        <v>28047</v>
      </c>
      <c r="B950">
        <v>1</v>
      </c>
      <c r="C950">
        <v>1</v>
      </c>
      <c r="D950" s="15">
        <v>0</v>
      </c>
      <c r="E950" s="15">
        <v>1</v>
      </c>
      <c r="F950" s="50" t="s">
        <v>1065</v>
      </c>
      <c r="G950" s="7" t="s">
        <v>1066</v>
      </c>
    </row>
    <row r="951" ht="14" customHeight="1" spans="1:7">
      <c r="A951" s="69">
        <v>28048</v>
      </c>
      <c r="B951">
        <v>1</v>
      </c>
      <c r="C951">
        <v>1</v>
      </c>
      <c r="D951" s="15">
        <v>0</v>
      </c>
      <c r="E951" s="15">
        <v>1</v>
      </c>
      <c r="F951" s="50" t="s">
        <v>1067</v>
      </c>
      <c r="G951" s="7" t="s">
        <v>888</v>
      </c>
    </row>
    <row r="952" ht="14" customHeight="1" spans="1:7">
      <c r="A952" s="69">
        <v>28049</v>
      </c>
      <c r="B952">
        <v>1</v>
      </c>
      <c r="C952">
        <v>1</v>
      </c>
      <c r="D952" s="15">
        <v>0</v>
      </c>
      <c r="E952" s="15">
        <v>1</v>
      </c>
      <c r="F952" s="50" t="s">
        <v>1068</v>
      </c>
      <c r="G952" s="7" t="s">
        <v>1069</v>
      </c>
    </row>
    <row r="953" ht="14" customHeight="1" spans="1:7">
      <c r="A953" s="69">
        <v>28050</v>
      </c>
      <c r="B953">
        <v>1</v>
      </c>
      <c r="C953">
        <v>1</v>
      </c>
      <c r="D953" s="15">
        <v>0</v>
      </c>
      <c r="E953" s="15">
        <v>1</v>
      </c>
      <c r="F953" s="50" t="s">
        <v>1070</v>
      </c>
      <c r="G953" s="7" t="s">
        <v>890</v>
      </c>
    </row>
    <row r="954" ht="14" customHeight="1" spans="1:7">
      <c r="A954" s="69">
        <v>28051</v>
      </c>
      <c r="B954">
        <v>1</v>
      </c>
      <c r="C954">
        <v>1</v>
      </c>
      <c r="D954" s="15">
        <v>0</v>
      </c>
      <c r="E954" s="15">
        <v>1</v>
      </c>
      <c r="F954" s="50" t="s">
        <v>1071</v>
      </c>
      <c r="G954" s="7" t="s">
        <v>1072</v>
      </c>
    </row>
    <row r="955" ht="14" customHeight="1" spans="1:7">
      <c r="A955" s="69">
        <v>28052</v>
      </c>
      <c r="B955">
        <v>1</v>
      </c>
      <c r="C955">
        <v>1</v>
      </c>
      <c r="D955" s="15">
        <v>0</v>
      </c>
      <c r="E955" s="15">
        <v>1</v>
      </c>
      <c r="F955" s="50" t="s">
        <v>1073</v>
      </c>
      <c r="G955" s="7" t="s">
        <v>892</v>
      </c>
    </row>
    <row r="956" ht="14" customHeight="1" spans="1:7">
      <c r="A956" s="69">
        <v>28053</v>
      </c>
      <c r="B956">
        <v>1</v>
      </c>
      <c r="C956">
        <v>1</v>
      </c>
      <c r="D956" s="15">
        <v>0</v>
      </c>
      <c r="E956" s="15">
        <v>1</v>
      </c>
      <c r="F956" s="50" t="s">
        <v>1074</v>
      </c>
      <c r="G956" s="7" t="s">
        <v>1075</v>
      </c>
    </row>
    <row r="957" ht="14" customHeight="1" spans="1:7">
      <c r="A957" s="69">
        <v>28054</v>
      </c>
      <c r="B957">
        <v>1</v>
      </c>
      <c r="C957">
        <v>1</v>
      </c>
      <c r="D957" s="15">
        <v>0</v>
      </c>
      <c r="E957" s="15">
        <v>1</v>
      </c>
      <c r="F957" s="50" t="s">
        <v>1076</v>
      </c>
      <c r="G957" s="7" t="s">
        <v>894</v>
      </c>
    </row>
    <row r="958" ht="14" customHeight="1" spans="1:7">
      <c r="A958" s="69">
        <v>28055</v>
      </c>
      <c r="B958">
        <v>1</v>
      </c>
      <c r="C958">
        <v>1</v>
      </c>
      <c r="D958" s="15">
        <v>0</v>
      </c>
      <c r="E958" s="15">
        <v>1</v>
      </c>
      <c r="F958" s="50" t="s">
        <v>1077</v>
      </c>
      <c r="G958" s="7" t="s">
        <v>1078</v>
      </c>
    </row>
    <row r="959" ht="14" customHeight="1" spans="1:7">
      <c r="A959" s="69">
        <v>28056</v>
      </c>
      <c r="B959">
        <v>1</v>
      </c>
      <c r="C959">
        <v>1</v>
      </c>
      <c r="D959" s="15">
        <v>0</v>
      </c>
      <c r="E959" s="15">
        <v>1</v>
      </c>
      <c r="F959" t="s">
        <v>1079</v>
      </c>
      <c r="G959" s="70" t="s">
        <v>1080</v>
      </c>
    </row>
    <row r="960" ht="14" customHeight="1" spans="1:7">
      <c r="A960" s="69">
        <v>28057</v>
      </c>
      <c r="B960">
        <v>1</v>
      </c>
      <c r="C960">
        <v>1</v>
      </c>
      <c r="D960" s="15">
        <v>0</v>
      </c>
      <c r="E960" s="15">
        <v>1</v>
      </c>
      <c r="F960" t="s">
        <v>1081</v>
      </c>
      <c r="G960" s="70" t="s">
        <v>1082</v>
      </c>
    </row>
    <row r="961" ht="14" customHeight="1" spans="1:7">
      <c r="A961" s="69">
        <v>28058</v>
      </c>
      <c r="B961">
        <v>1</v>
      </c>
      <c r="C961">
        <v>1</v>
      </c>
      <c r="D961" s="15">
        <v>0</v>
      </c>
      <c r="E961" s="15">
        <v>1</v>
      </c>
      <c r="F961" t="s">
        <v>1083</v>
      </c>
      <c r="G961" s="70" t="s">
        <v>1084</v>
      </c>
    </row>
    <row r="962" ht="14" customHeight="1" spans="1:7">
      <c r="A962" s="69">
        <v>28059</v>
      </c>
      <c r="B962">
        <v>1</v>
      </c>
      <c r="C962">
        <v>1</v>
      </c>
      <c r="D962" s="15">
        <v>0</v>
      </c>
      <c r="E962" s="15">
        <v>1</v>
      </c>
      <c r="F962" t="s">
        <v>1085</v>
      </c>
      <c r="G962" s="70" t="s">
        <v>1086</v>
      </c>
    </row>
    <row r="963" ht="14" customHeight="1" spans="1:7">
      <c r="A963" s="69">
        <v>28060</v>
      </c>
      <c r="B963">
        <v>1</v>
      </c>
      <c r="C963">
        <v>1</v>
      </c>
      <c r="D963" s="15">
        <v>0</v>
      </c>
      <c r="E963" s="15">
        <v>1</v>
      </c>
      <c r="F963" t="s">
        <v>1079</v>
      </c>
      <c r="G963" s="70" t="s">
        <v>1080</v>
      </c>
    </row>
    <row r="964" ht="14" customHeight="1" spans="1:7">
      <c r="A964" s="69">
        <v>28061</v>
      </c>
      <c r="B964">
        <v>1</v>
      </c>
      <c r="C964">
        <v>1</v>
      </c>
      <c r="D964" s="15">
        <v>0</v>
      </c>
      <c r="E964" s="15">
        <v>1</v>
      </c>
      <c r="F964" t="s">
        <v>1081</v>
      </c>
      <c r="G964" s="70" t="s">
        <v>1082</v>
      </c>
    </row>
    <row r="965" ht="14" customHeight="1" spans="1:7">
      <c r="A965" s="69">
        <v>28062</v>
      </c>
      <c r="B965">
        <v>1</v>
      </c>
      <c r="C965">
        <v>1</v>
      </c>
      <c r="D965" s="15">
        <v>0</v>
      </c>
      <c r="E965" s="15">
        <v>1</v>
      </c>
      <c r="F965" t="s">
        <v>1087</v>
      </c>
      <c r="G965" s="70" t="s">
        <v>1088</v>
      </c>
    </row>
    <row r="966" ht="14" customHeight="1" spans="1:7">
      <c r="A966" s="69">
        <v>28063</v>
      </c>
      <c r="B966">
        <v>1</v>
      </c>
      <c r="C966">
        <v>1</v>
      </c>
      <c r="D966" s="15">
        <v>0</v>
      </c>
      <c r="E966" s="15">
        <v>1</v>
      </c>
      <c r="F966" t="s">
        <v>1089</v>
      </c>
      <c r="G966" s="70" t="s">
        <v>1090</v>
      </c>
    </row>
    <row r="967" ht="14" customHeight="1" spans="1:7">
      <c r="A967" s="69">
        <v>28064</v>
      </c>
      <c r="B967">
        <v>1</v>
      </c>
      <c r="C967">
        <v>1</v>
      </c>
      <c r="D967" s="15">
        <v>0</v>
      </c>
      <c r="E967" s="15">
        <v>1</v>
      </c>
      <c r="F967" t="s">
        <v>1091</v>
      </c>
      <c r="G967" s="70" t="s">
        <v>1092</v>
      </c>
    </row>
    <row r="968" ht="14" customHeight="1" spans="1:7">
      <c r="A968" s="69">
        <v>28065</v>
      </c>
      <c r="B968">
        <v>1</v>
      </c>
      <c r="C968">
        <v>1</v>
      </c>
      <c r="D968" s="15">
        <v>0</v>
      </c>
      <c r="E968" s="15">
        <v>1</v>
      </c>
      <c r="F968" t="s">
        <v>1093</v>
      </c>
      <c r="G968" s="70" t="s">
        <v>1094</v>
      </c>
    </row>
    <row r="969" ht="14" customHeight="1" spans="1:7">
      <c r="A969" s="69">
        <v>28066</v>
      </c>
      <c r="B969">
        <v>1</v>
      </c>
      <c r="C969">
        <v>1</v>
      </c>
      <c r="D969" s="15">
        <v>0</v>
      </c>
      <c r="E969" s="15">
        <v>1</v>
      </c>
      <c r="F969" t="s">
        <v>1091</v>
      </c>
      <c r="G969" s="70" t="s">
        <v>1092</v>
      </c>
    </row>
    <row r="970" ht="14" customHeight="1" spans="1:7">
      <c r="A970" s="69">
        <v>28067</v>
      </c>
      <c r="B970">
        <v>1</v>
      </c>
      <c r="C970">
        <v>1</v>
      </c>
      <c r="D970" s="15">
        <v>0</v>
      </c>
      <c r="E970" s="15">
        <v>1</v>
      </c>
      <c r="F970" t="s">
        <v>1095</v>
      </c>
      <c r="G970" s="70" t="s">
        <v>1096</v>
      </c>
    </row>
    <row r="971" ht="14" customHeight="1" spans="1:7">
      <c r="A971" s="69">
        <v>28068</v>
      </c>
      <c r="B971">
        <v>1</v>
      </c>
      <c r="C971">
        <v>1</v>
      </c>
      <c r="D971" s="15">
        <v>0</v>
      </c>
      <c r="E971" s="15">
        <v>1</v>
      </c>
      <c r="F971" t="s">
        <v>1097</v>
      </c>
      <c r="G971" s="70" t="s">
        <v>1098</v>
      </c>
    </row>
    <row r="972" ht="14" customHeight="1" spans="1:7">
      <c r="A972" s="69">
        <v>28069</v>
      </c>
      <c r="B972">
        <v>1</v>
      </c>
      <c r="C972">
        <v>1</v>
      </c>
      <c r="D972" s="15">
        <v>0</v>
      </c>
      <c r="E972" s="15">
        <v>1</v>
      </c>
      <c r="F972" t="s">
        <v>1099</v>
      </c>
      <c r="G972" s="70" t="s">
        <v>1100</v>
      </c>
    </row>
    <row r="973" ht="14" customHeight="1" spans="1:7">
      <c r="A973" s="69">
        <v>28070</v>
      </c>
      <c r="B973">
        <v>1</v>
      </c>
      <c r="C973">
        <v>1</v>
      </c>
      <c r="D973" s="15">
        <v>0</v>
      </c>
      <c r="E973" s="15">
        <v>1</v>
      </c>
      <c r="F973" t="s">
        <v>1101</v>
      </c>
      <c r="G973" s="70" t="s">
        <v>1102</v>
      </c>
    </row>
    <row r="974" ht="14" customHeight="1" spans="1:7">
      <c r="A974" s="69">
        <v>28071</v>
      </c>
      <c r="B974">
        <v>1</v>
      </c>
      <c r="C974">
        <v>1</v>
      </c>
      <c r="D974" s="15">
        <v>0</v>
      </c>
      <c r="E974" s="15">
        <v>1</v>
      </c>
      <c r="F974" t="s">
        <v>1103</v>
      </c>
      <c r="G974" s="70" t="s">
        <v>1104</v>
      </c>
    </row>
    <row r="975" ht="14" customHeight="1" spans="1:7">
      <c r="A975" s="69">
        <v>28072</v>
      </c>
      <c r="B975">
        <v>1</v>
      </c>
      <c r="C975">
        <v>1</v>
      </c>
      <c r="D975" s="15">
        <v>0</v>
      </c>
      <c r="E975" s="15">
        <v>1</v>
      </c>
      <c r="F975" t="s">
        <v>1105</v>
      </c>
      <c r="G975" s="70" t="s">
        <v>1106</v>
      </c>
    </row>
    <row r="976" ht="14" customHeight="1" spans="1:7">
      <c r="A976" s="69">
        <v>28073</v>
      </c>
      <c r="B976">
        <v>1</v>
      </c>
      <c r="C976">
        <v>1</v>
      </c>
      <c r="D976" s="15">
        <v>0</v>
      </c>
      <c r="E976" s="15">
        <v>1</v>
      </c>
      <c r="F976" t="s">
        <v>1107</v>
      </c>
      <c r="G976" s="70" t="s">
        <v>1108</v>
      </c>
    </row>
    <row r="977" ht="14" customHeight="1" spans="1:7">
      <c r="A977" s="69">
        <v>28074</v>
      </c>
      <c r="B977">
        <v>1</v>
      </c>
      <c r="C977">
        <v>1</v>
      </c>
      <c r="D977" s="15">
        <v>0</v>
      </c>
      <c r="E977" s="15">
        <v>1</v>
      </c>
      <c r="F977" t="s">
        <v>1109</v>
      </c>
      <c r="G977" s="70" t="s">
        <v>1110</v>
      </c>
    </row>
    <row r="978" ht="14" customHeight="1" spans="1:7">
      <c r="A978" s="69">
        <v>28075</v>
      </c>
      <c r="B978">
        <v>1</v>
      </c>
      <c r="C978">
        <v>1</v>
      </c>
      <c r="D978" s="15">
        <v>0</v>
      </c>
      <c r="E978" s="15">
        <v>1</v>
      </c>
      <c r="F978" t="s">
        <v>1111</v>
      </c>
      <c r="G978" s="70" t="s">
        <v>1112</v>
      </c>
    </row>
    <row r="979" ht="14" customHeight="1" spans="1:7">
      <c r="A979" s="69">
        <v>28076</v>
      </c>
      <c r="B979">
        <v>1</v>
      </c>
      <c r="C979">
        <v>1</v>
      </c>
      <c r="D979" s="15">
        <v>0</v>
      </c>
      <c r="E979" s="15">
        <v>1</v>
      </c>
      <c r="F979" t="s">
        <v>1113</v>
      </c>
      <c r="G979" s="70" t="s">
        <v>1114</v>
      </c>
    </row>
    <row r="980" ht="14" customHeight="1" spans="1:7">
      <c r="A980" s="69">
        <v>28077</v>
      </c>
      <c r="B980">
        <v>1</v>
      </c>
      <c r="C980">
        <v>1</v>
      </c>
      <c r="D980" s="15">
        <v>0</v>
      </c>
      <c r="E980" s="15">
        <v>1</v>
      </c>
      <c r="F980" t="s">
        <v>1115</v>
      </c>
      <c r="G980" s="70" t="s">
        <v>1116</v>
      </c>
    </row>
    <row r="981" ht="14" customHeight="1" spans="1:7">
      <c r="A981" s="69">
        <v>28078</v>
      </c>
      <c r="B981">
        <v>1</v>
      </c>
      <c r="C981">
        <v>1</v>
      </c>
      <c r="D981" s="15">
        <v>0</v>
      </c>
      <c r="E981" s="15">
        <v>1</v>
      </c>
      <c r="F981" t="s">
        <v>1117</v>
      </c>
      <c r="G981" s="70" t="s">
        <v>1118</v>
      </c>
    </row>
    <row r="982" ht="14" customHeight="1" spans="1:7">
      <c r="A982" s="69">
        <v>28079</v>
      </c>
      <c r="B982">
        <v>1</v>
      </c>
      <c r="C982">
        <v>1</v>
      </c>
      <c r="D982" s="15">
        <v>0</v>
      </c>
      <c r="E982" s="15">
        <v>1</v>
      </c>
      <c r="F982" t="s">
        <v>1119</v>
      </c>
      <c r="G982" s="70" t="s">
        <v>1120</v>
      </c>
    </row>
    <row r="983" ht="14" customHeight="1" spans="1:7">
      <c r="A983" s="69">
        <v>28080</v>
      </c>
      <c r="B983">
        <v>1</v>
      </c>
      <c r="C983">
        <v>1</v>
      </c>
      <c r="D983" s="15">
        <v>0</v>
      </c>
      <c r="E983" s="15">
        <v>1</v>
      </c>
      <c r="F983" t="s">
        <v>1121</v>
      </c>
      <c r="G983" s="70" t="s">
        <v>1122</v>
      </c>
    </row>
    <row r="984" ht="14" customHeight="1" spans="1:7">
      <c r="A984" s="69">
        <v>28081</v>
      </c>
      <c r="B984">
        <v>1</v>
      </c>
      <c r="C984">
        <v>1</v>
      </c>
      <c r="D984" s="15">
        <v>0</v>
      </c>
      <c r="E984" s="15">
        <v>1</v>
      </c>
      <c r="F984" t="s">
        <v>1123</v>
      </c>
      <c r="G984" s="70" t="s">
        <v>1124</v>
      </c>
    </row>
    <row r="985" ht="14" customHeight="1" spans="1:7">
      <c r="A985" s="69">
        <v>28082</v>
      </c>
      <c r="B985">
        <v>1</v>
      </c>
      <c r="C985">
        <v>1</v>
      </c>
      <c r="D985" s="15">
        <v>0</v>
      </c>
      <c r="E985" s="15">
        <v>1</v>
      </c>
      <c r="F985" t="s">
        <v>1125</v>
      </c>
      <c r="G985" s="70" t="s">
        <v>1126</v>
      </c>
    </row>
    <row r="986" ht="14" customHeight="1" spans="1:7">
      <c r="A986" s="69">
        <v>28083</v>
      </c>
      <c r="B986">
        <v>1</v>
      </c>
      <c r="C986">
        <v>1</v>
      </c>
      <c r="D986" s="15">
        <v>0</v>
      </c>
      <c r="E986" s="15">
        <v>1</v>
      </c>
      <c r="F986" t="s">
        <v>1127</v>
      </c>
      <c r="G986" s="70" t="s">
        <v>1128</v>
      </c>
    </row>
    <row r="987" ht="14" customHeight="1" spans="1:7">
      <c r="A987" s="69">
        <v>28084</v>
      </c>
      <c r="B987">
        <v>1</v>
      </c>
      <c r="C987">
        <v>1</v>
      </c>
      <c r="D987" s="15">
        <v>0</v>
      </c>
      <c r="E987" s="15">
        <v>1</v>
      </c>
      <c r="F987" t="s">
        <v>1129</v>
      </c>
      <c r="G987" s="70" t="s">
        <v>1130</v>
      </c>
    </row>
    <row r="988" ht="14" customHeight="1" spans="1:7">
      <c r="A988" s="69">
        <v>28085</v>
      </c>
      <c r="B988">
        <v>1</v>
      </c>
      <c r="C988">
        <v>1</v>
      </c>
      <c r="D988" s="15">
        <v>0</v>
      </c>
      <c r="E988" s="15">
        <v>1</v>
      </c>
      <c r="F988" t="s">
        <v>1131</v>
      </c>
      <c r="G988" s="70" t="s">
        <v>1132</v>
      </c>
    </row>
    <row r="989" ht="14" customHeight="1" spans="1:7">
      <c r="A989" s="69">
        <v>28086</v>
      </c>
      <c r="B989">
        <v>1</v>
      </c>
      <c r="C989">
        <v>1</v>
      </c>
      <c r="D989" s="15">
        <v>0</v>
      </c>
      <c r="E989" s="15">
        <v>1</v>
      </c>
      <c r="F989" t="s">
        <v>1133</v>
      </c>
      <c r="G989" s="70" t="s">
        <v>1134</v>
      </c>
    </row>
    <row r="990" ht="14" customHeight="1" spans="1:7">
      <c r="A990" s="69">
        <v>28087</v>
      </c>
      <c r="B990">
        <v>1</v>
      </c>
      <c r="C990">
        <v>1</v>
      </c>
      <c r="D990" s="15">
        <v>0</v>
      </c>
      <c r="E990" s="15">
        <v>1</v>
      </c>
      <c r="F990" t="s">
        <v>1135</v>
      </c>
      <c r="G990" s="70" t="s">
        <v>1136</v>
      </c>
    </row>
    <row r="991" ht="14" customHeight="1" spans="1:7">
      <c r="A991" s="69">
        <v>28088</v>
      </c>
      <c r="B991">
        <v>1</v>
      </c>
      <c r="C991">
        <v>1</v>
      </c>
      <c r="D991" s="15">
        <v>0</v>
      </c>
      <c r="E991" s="15">
        <v>1</v>
      </c>
      <c r="F991" t="s">
        <v>1137</v>
      </c>
      <c r="G991" s="70" t="s">
        <v>1138</v>
      </c>
    </row>
    <row r="992" ht="14" customHeight="1" spans="1:7">
      <c r="A992" s="69">
        <v>28089</v>
      </c>
      <c r="B992">
        <v>1</v>
      </c>
      <c r="C992">
        <v>1</v>
      </c>
      <c r="D992" s="15">
        <v>0</v>
      </c>
      <c r="E992" s="15">
        <v>1</v>
      </c>
      <c r="F992" t="s">
        <v>1139</v>
      </c>
      <c r="G992" s="70" t="s">
        <v>1140</v>
      </c>
    </row>
    <row r="993" ht="14" customHeight="1" spans="1:8">
      <c r="A993" s="69">
        <v>28090</v>
      </c>
      <c r="B993">
        <v>1</v>
      </c>
      <c r="C993">
        <v>1</v>
      </c>
      <c r="D993" s="15">
        <v>0</v>
      </c>
      <c r="E993" s="15">
        <v>1</v>
      </c>
      <c r="F993" t="s">
        <v>1141</v>
      </c>
      <c r="G993" s="70" t="s">
        <v>1142</v>
      </c>
      <c r="H993" t="str">
        <f>"1200,"&amp;F993&amp;",1,63;1200,"&amp;F993&amp;",1,37"</f>
        <v>1200,1200,828112,1,63;1200,828112,0,37,1,63;1200,1200,828112,1,63;1200,828112,0,37,1,37</v>
      </c>
    </row>
    <row r="994" s="42" customFormat="1" ht="14" customHeight="1" spans="1:8">
      <c r="A994" s="42">
        <v>28091</v>
      </c>
      <c r="B994" s="42">
        <v>2</v>
      </c>
      <c r="C994" s="42">
        <v>1</v>
      </c>
      <c r="D994" s="42">
        <v>1</v>
      </c>
      <c r="E994" s="42">
        <v>1</v>
      </c>
      <c r="F994" s="42" t="s">
        <v>1143</v>
      </c>
      <c r="G994" s="71" t="s">
        <v>1144</v>
      </c>
    </row>
    <row r="995" s="42" customFormat="1" ht="14" customHeight="1" spans="1:8">
      <c r="A995" s="42">
        <v>28092</v>
      </c>
      <c r="B995" s="42">
        <v>1</v>
      </c>
      <c r="C995" s="42">
        <v>1</v>
      </c>
      <c r="D995" s="42">
        <v>1</v>
      </c>
      <c r="E995" s="42">
        <v>1</v>
      </c>
      <c r="F995" s="42" t="s">
        <v>1145</v>
      </c>
      <c r="G995" s="71" t="s">
        <v>1146</v>
      </c>
    </row>
    <row r="996" s="42" customFormat="1" ht="14" customHeight="1" spans="1:8">
      <c r="A996" s="42">
        <v>28093</v>
      </c>
      <c r="B996" s="42">
        <v>1</v>
      </c>
      <c r="C996" s="42">
        <v>1</v>
      </c>
      <c r="D996" s="42">
        <v>1</v>
      </c>
      <c r="E996" s="42">
        <v>1</v>
      </c>
      <c r="F996" s="42" t="s">
        <v>1147</v>
      </c>
      <c r="G996" s="71" t="s">
        <v>1148</v>
      </c>
    </row>
    <row r="997" s="42" customFormat="1" ht="14" customHeight="1" spans="1:8">
      <c r="A997" s="42">
        <v>28094</v>
      </c>
      <c r="B997" s="42">
        <v>2</v>
      </c>
      <c r="C997" s="42">
        <v>1</v>
      </c>
      <c r="D997" s="42">
        <v>1</v>
      </c>
      <c r="E997" s="42">
        <v>1</v>
      </c>
      <c r="F997" s="42" t="s">
        <v>1149</v>
      </c>
      <c r="G997" s="71" t="s">
        <v>1150</v>
      </c>
    </row>
    <row r="998" s="42" customFormat="1" ht="14" customHeight="1" spans="1:8">
      <c r="A998" s="42">
        <v>28095</v>
      </c>
      <c r="B998" s="42">
        <v>1</v>
      </c>
      <c r="C998" s="42">
        <v>1</v>
      </c>
      <c r="D998" s="42">
        <v>1</v>
      </c>
      <c r="E998" s="42">
        <v>1</v>
      </c>
      <c r="F998" s="42" t="s">
        <v>1151</v>
      </c>
      <c r="G998" s="71" t="s">
        <v>1152</v>
      </c>
    </row>
    <row r="999" s="42" customFormat="1" ht="14" customHeight="1" spans="1:8">
      <c r="A999" s="42">
        <v>28096</v>
      </c>
      <c r="B999" s="42">
        <v>1</v>
      </c>
      <c r="C999" s="42">
        <v>1</v>
      </c>
      <c r="D999" s="42">
        <v>1</v>
      </c>
      <c r="E999" s="42">
        <v>1</v>
      </c>
      <c r="F999" s="42" t="s">
        <v>1145</v>
      </c>
      <c r="G999" s="71" t="s">
        <v>1153</v>
      </c>
    </row>
    <row r="1000" s="42" customFormat="1" ht="14" customHeight="1" spans="1:8">
      <c r="A1000" s="42">
        <v>28097</v>
      </c>
      <c r="B1000" s="42">
        <v>1</v>
      </c>
      <c r="C1000" s="42">
        <v>1</v>
      </c>
      <c r="D1000" s="42">
        <v>1</v>
      </c>
      <c r="E1000" s="42">
        <v>1</v>
      </c>
      <c r="F1000" s="42" t="s">
        <v>1154</v>
      </c>
      <c r="G1000" s="71" t="s">
        <v>1155</v>
      </c>
    </row>
    <row r="1001" s="42" customFormat="1" ht="14" customHeight="1" spans="1:8">
      <c r="A1001" s="42">
        <v>28098</v>
      </c>
      <c r="B1001" s="42">
        <v>1</v>
      </c>
      <c r="C1001" s="42">
        <v>1</v>
      </c>
      <c r="D1001" s="42">
        <v>1</v>
      </c>
      <c r="E1001" s="42">
        <v>1</v>
      </c>
      <c r="F1001" s="42" t="s">
        <v>1156</v>
      </c>
      <c r="G1001" s="71" t="s">
        <v>1157</v>
      </c>
    </row>
    <row r="1002" s="42" customFormat="1" ht="14" customHeight="1" spans="1:8">
      <c r="A1002" s="42">
        <v>28099</v>
      </c>
      <c r="B1002" s="42">
        <v>2</v>
      </c>
      <c r="C1002" s="42">
        <v>1</v>
      </c>
      <c r="D1002" s="42">
        <v>1</v>
      </c>
      <c r="E1002" s="42">
        <v>1</v>
      </c>
      <c r="F1002" s="42" t="s">
        <v>1158</v>
      </c>
      <c r="G1002" s="71" t="s">
        <v>1159</v>
      </c>
    </row>
    <row r="1003" ht="14" customHeight="1" spans="1:8">
      <c r="A1003" s="69">
        <v>28100</v>
      </c>
      <c r="B1003">
        <v>1</v>
      </c>
      <c r="C1003">
        <v>1</v>
      </c>
      <c r="D1003" s="15">
        <v>0</v>
      </c>
      <c r="E1003" s="15">
        <v>1</v>
      </c>
      <c r="F1003" s="72" t="s">
        <v>1160</v>
      </c>
      <c r="G1003" s="66" t="s">
        <v>1161</v>
      </c>
    </row>
    <row r="1004" ht="14" customHeight="1" spans="1:8">
      <c r="A1004" s="69">
        <v>28101</v>
      </c>
      <c r="B1004">
        <v>1</v>
      </c>
      <c r="C1004">
        <v>1</v>
      </c>
      <c r="D1004" s="15">
        <v>0</v>
      </c>
      <c r="E1004" s="15">
        <v>1</v>
      </c>
      <c r="F1004" s="72" t="s">
        <v>1162</v>
      </c>
      <c r="G1004" s="66" t="s">
        <v>1163</v>
      </c>
    </row>
    <row r="1005" ht="14" customHeight="1" spans="1:8">
      <c r="A1005" s="69">
        <v>28102</v>
      </c>
      <c r="B1005">
        <v>1</v>
      </c>
      <c r="C1005">
        <v>1</v>
      </c>
      <c r="D1005" s="15">
        <v>0</v>
      </c>
      <c r="E1005" s="15">
        <v>1</v>
      </c>
      <c r="F1005" s="72" t="s">
        <v>1164</v>
      </c>
      <c r="G1005" s="66" t="s">
        <v>1165</v>
      </c>
    </row>
    <row r="1006" ht="14" customHeight="1" spans="1:8">
      <c r="A1006" s="69">
        <v>28103</v>
      </c>
      <c r="B1006">
        <v>1</v>
      </c>
      <c r="C1006">
        <v>1</v>
      </c>
      <c r="D1006" s="15">
        <v>0</v>
      </c>
      <c r="E1006" s="15">
        <v>1</v>
      </c>
      <c r="F1006" s="72" t="s">
        <v>1166</v>
      </c>
      <c r="G1006" s="66" t="s">
        <v>1167</v>
      </c>
    </row>
    <row r="1007" ht="14" customHeight="1" spans="1:8">
      <c r="A1007" s="69">
        <v>28104</v>
      </c>
      <c r="B1007">
        <v>1</v>
      </c>
      <c r="C1007">
        <v>1</v>
      </c>
      <c r="D1007" s="15">
        <v>0</v>
      </c>
      <c r="E1007" s="15">
        <v>1</v>
      </c>
      <c r="F1007" s="72" t="s">
        <v>1168</v>
      </c>
      <c r="G1007" s="66" t="s">
        <v>1169</v>
      </c>
    </row>
    <row r="1008" ht="14" customHeight="1" spans="1:8">
      <c r="A1008" s="69">
        <v>28105</v>
      </c>
      <c r="B1008">
        <v>1</v>
      </c>
      <c r="C1008">
        <v>1</v>
      </c>
      <c r="D1008" s="15">
        <v>0</v>
      </c>
      <c r="E1008" s="15">
        <v>1</v>
      </c>
      <c r="F1008" s="72" t="s">
        <v>1170</v>
      </c>
      <c r="G1008" s="66" t="s">
        <v>1171</v>
      </c>
    </row>
    <row r="1009" ht="14" customHeight="1" spans="1:7">
      <c r="A1009" s="69">
        <v>28106</v>
      </c>
      <c r="B1009">
        <v>1</v>
      </c>
      <c r="C1009">
        <v>1</v>
      </c>
      <c r="D1009" s="15">
        <v>0</v>
      </c>
      <c r="E1009" s="15">
        <v>1</v>
      </c>
      <c r="F1009" s="72" t="s">
        <v>1172</v>
      </c>
      <c r="G1009" s="66" t="s">
        <v>1173</v>
      </c>
    </row>
    <row r="1010" ht="14" customHeight="1" spans="1:7">
      <c r="A1010" s="69">
        <v>28107</v>
      </c>
      <c r="B1010">
        <v>1</v>
      </c>
      <c r="C1010">
        <v>1</v>
      </c>
      <c r="D1010" s="15">
        <v>0</v>
      </c>
      <c r="E1010" s="15">
        <v>1</v>
      </c>
      <c r="F1010" s="72" t="s">
        <v>1174</v>
      </c>
      <c r="G1010" s="66" t="s">
        <v>1175</v>
      </c>
    </row>
    <row r="1011" ht="14" customHeight="1" spans="1:7">
      <c r="A1011" s="69">
        <v>28108</v>
      </c>
      <c r="B1011">
        <v>1</v>
      </c>
      <c r="C1011">
        <v>1</v>
      </c>
      <c r="D1011" s="15">
        <v>0</v>
      </c>
      <c r="E1011" s="15">
        <v>1</v>
      </c>
      <c r="F1011" s="72" t="s">
        <v>1176</v>
      </c>
      <c r="G1011" s="66" t="s">
        <v>1177</v>
      </c>
    </row>
    <row r="1012" ht="14" customHeight="1" spans="1:7">
      <c r="A1012" s="69">
        <v>28109</v>
      </c>
      <c r="B1012">
        <v>1</v>
      </c>
      <c r="C1012">
        <v>1</v>
      </c>
      <c r="D1012" s="15">
        <v>0</v>
      </c>
      <c r="E1012" s="15">
        <v>1</v>
      </c>
      <c r="F1012" s="72" t="s">
        <v>1178</v>
      </c>
      <c r="G1012" s="66" t="s">
        <v>1179</v>
      </c>
    </row>
    <row r="1013" ht="14" customHeight="1" spans="1:7">
      <c r="A1013" s="69">
        <v>28110</v>
      </c>
      <c r="B1013">
        <v>1</v>
      </c>
      <c r="C1013">
        <v>1</v>
      </c>
      <c r="D1013" s="15">
        <v>0</v>
      </c>
      <c r="E1013" s="15">
        <v>1</v>
      </c>
      <c r="F1013" s="72" t="s">
        <v>1180</v>
      </c>
      <c r="G1013" s="66" t="s">
        <v>1181</v>
      </c>
    </row>
    <row r="1014" ht="14" customHeight="1" spans="1:7">
      <c r="A1014" s="69">
        <v>28111</v>
      </c>
      <c r="B1014">
        <v>1</v>
      </c>
      <c r="C1014">
        <v>1</v>
      </c>
      <c r="D1014" s="15">
        <v>0</v>
      </c>
      <c r="E1014" s="15">
        <v>1</v>
      </c>
      <c r="F1014" s="72" t="s">
        <v>1182</v>
      </c>
      <c r="G1014" s="66" t="s">
        <v>1183</v>
      </c>
    </row>
    <row r="1015" ht="14" customHeight="1" spans="1:7">
      <c r="A1015" s="69">
        <v>28112</v>
      </c>
      <c r="B1015">
        <v>1</v>
      </c>
      <c r="C1015">
        <v>1</v>
      </c>
      <c r="D1015" s="15">
        <v>0</v>
      </c>
      <c r="E1015" s="15">
        <v>1</v>
      </c>
      <c r="F1015" s="72" t="s">
        <v>1184</v>
      </c>
      <c r="G1015" s="73" t="s">
        <v>1185</v>
      </c>
    </row>
    <row r="1016" ht="14" customHeight="1" spans="1:7">
      <c r="A1016" s="69">
        <v>28113</v>
      </c>
      <c r="B1016">
        <v>1</v>
      </c>
      <c r="C1016">
        <v>1</v>
      </c>
      <c r="D1016" s="15">
        <v>0</v>
      </c>
      <c r="E1016" s="15">
        <v>1</v>
      </c>
      <c r="F1016" s="72" t="s">
        <v>1186</v>
      </c>
      <c r="G1016" s="73" t="s">
        <v>1187</v>
      </c>
    </row>
    <row r="1017" ht="14" customHeight="1" spans="1:7">
      <c r="A1017" s="69">
        <v>28114</v>
      </c>
      <c r="B1017">
        <v>1</v>
      </c>
      <c r="C1017">
        <v>1</v>
      </c>
      <c r="D1017" s="15">
        <v>0</v>
      </c>
      <c r="E1017" s="15">
        <v>1</v>
      </c>
      <c r="F1017" s="72" t="s">
        <v>1188</v>
      </c>
      <c r="G1017" s="73" t="s">
        <v>1189</v>
      </c>
    </row>
    <row r="1018" ht="14" customHeight="1" spans="1:7">
      <c r="A1018" s="69">
        <v>28115</v>
      </c>
      <c r="B1018">
        <v>1</v>
      </c>
      <c r="C1018">
        <v>1</v>
      </c>
      <c r="D1018" s="15">
        <v>0</v>
      </c>
      <c r="E1018" s="15">
        <v>1</v>
      </c>
      <c r="F1018" s="72" t="s">
        <v>1190</v>
      </c>
      <c r="G1018" s="73" t="s">
        <v>1191</v>
      </c>
    </row>
    <row r="1019" ht="14" customHeight="1" spans="1:7">
      <c r="A1019" s="69">
        <v>28116</v>
      </c>
      <c r="B1019">
        <v>1</v>
      </c>
      <c r="C1019">
        <v>1</v>
      </c>
      <c r="D1019" s="15">
        <v>0</v>
      </c>
      <c r="E1019" s="15">
        <v>1</v>
      </c>
      <c r="F1019" s="72" t="s">
        <v>1192</v>
      </c>
      <c r="G1019" s="73" t="s">
        <v>1193</v>
      </c>
    </row>
    <row r="1020" ht="14" customHeight="1" spans="1:7">
      <c r="A1020" s="69">
        <v>28117</v>
      </c>
      <c r="B1020">
        <v>1</v>
      </c>
      <c r="C1020">
        <v>1</v>
      </c>
      <c r="D1020" s="15">
        <v>0</v>
      </c>
      <c r="E1020" s="15">
        <v>1</v>
      </c>
      <c r="F1020" s="72" t="s">
        <v>1194</v>
      </c>
      <c r="G1020" s="73" t="s">
        <v>1195</v>
      </c>
    </row>
    <row r="1021" ht="14" customHeight="1" spans="1:7">
      <c r="A1021" s="69">
        <v>28118</v>
      </c>
      <c r="B1021">
        <v>1</v>
      </c>
      <c r="C1021">
        <v>1</v>
      </c>
      <c r="D1021" s="15">
        <v>0</v>
      </c>
      <c r="E1021" s="15">
        <v>1</v>
      </c>
      <c r="F1021" s="72" t="s">
        <v>1196</v>
      </c>
      <c r="G1021" s="73" t="s">
        <v>1197</v>
      </c>
    </row>
    <row r="1022" ht="14" customHeight="1" spans="1:7">
      <c r="A1022" s="69">
        <v>28119</v>
      </c>
      <c r="B1022">
        <v>1</v>
      </c>
      <c r="C1022">
        <v>1</v>
      </c>
      <c r="D1022" s="15">
        <v>0</v>
      </c>
      <c r="E1022" s="15">
        <v>1</v>
      </c>
      <c r="F1022" s="72" t="s">
        <v>1198</v>
      </c>
      <c r="G1022" s="73" t="s">
        <v>1199</v>
      </c>
    </row>
    <row r="1023" ht="14" customHeight="1" spans="1:7">
      <c r="A1023" s="69">
        <v>28120</v>
      </c>
      <c r="B1023">
        <v>1</v>
      </c>
      <c r="C1023">
        <v>1</v>
      </c>
      <c r="D1023" s="15">
        <v>0</v>
      </c>
      <c r="E1023" s="15">
        <v>1</v>
      </c>
      <c r="F1023" s="72" t="s">
        <v>1200</v>
      </c>
      <c r="G1023" s="73" t="s">
        <v>1201</v>
      </c>
    </row>
    <row r="1024" ht="14" customHeight="1" spans="1:7">
      <c r="A1024" s="69">
        <v>28121</v>
      </c>
      <c r="B1024">
        <v>1</v>
      </c>
      <c r="C1024">
        <v>1</v>
      </c>
      <c r="D1024" s="15">
        <v>0</v>
      </c>
      <c r="E1024" s="15">
        <v>1</v>
      </c>
      <c r="F1024" s="72" t="s">
        <v>1202</v>
      </c>
      <c r="G1024" s="73" t="s">
        <v>1203</v>
      </c>
    </row>
    <row r="1025" ht="14" customHeight="1" spans="1:7">
      <c r="A1025" s="69">
        <v>28122</v>
      </c>
      <c r="B1025">
        <v>1</v>
      </c>
      <c r="C1025">
        <v>1</v>
      </c>
      <c r="D1025" s="15">
        <v>0</v>
      </c>
      <c r="E1025" s="15">
        <v>1</v>
      </c>
      <c r="F1025" s="72" t="s">
        <v>1204</v>
      </c>
      <c r="G1025" s="73" t="s">
        <v>1205</v>
      </c>
    </row>
    <row r="1026" ht="14" customHeight="1" spans="1:7">
      <c r="A1026" s="69">
        <v>28123</v>
      </c>
      <c r="B1026">
        <v>1</v>
      </c>
      <c r="C1026">
        <v>1</v>
      </c>
      <c r="D1026" s="15">
        <v>0</v>
      </c>
      <c r="E1026" s="15">
        <v>1</v>
      </c>
      <c r="F1026" s="72" t="s">
        <v>1206</v>
      </c>
      <c r="G1026" s="73" t="s">
        <v>1207</v>
      </c>
    </row>
    <row r="1027" ht="14" customHeight="1" spans="1:7">
      <c r="A1027" s="69">
        <v>29001</v>
      </c>
      <c r="B1027">
        <v>1</v>
      </c>
      <c r="C1027">
        <v>1</v>
      </c>
      <c r="D1027" s="15">
        <v>0</v>
      </c>
      <c r="E1027" s="15">
        <v>1</v>
      </c>
      <c r="F1027" t="s">
        <v>1007</v>
      </c>
      <c r="G1027" s="7" t="s">
        <v>1008</v>
      </c>
    </row>
    <row r="1028" ht="14" customHeight="1" spans="1:7">
      <c r="A1028" s="69">
        <v>29002</v>
      </c>
      <c r="B1028">
        <v>1</v>
      </c>
      <c r="C1028">
        <v>1</v>
      </c>
      <c r="D1028" s="15">
        <v>0</v>
      </c>
      <c r="E1028" s="15">
        <v>1</v>
      </c>
      <c r="F1028" t="s">
        <v>1011</v>
      </c>
      <c r="G1028" s="7" t="s">
        <v>1012</v>
      </c>
    </row>
    <row r="1029" ht="14" customHeight="1" spans="1:7">
      <c r="A1029" s="69">
        <v>29003</v>
      </c>
      <c r="B1029">
        <v>1</v>
      </c>
      <c r="C1029">
        <v>1</v>
      </c>
      <c r="D1029" s="15">
        <v>0</v>
      </c>
      <c r="E1029" s="15">
        <v>1</v>
      </c>
      <c r="F1029" t="s">
        <v>1015</v>
      </c>
      <c r="G1029" s="7" t="s">
        <v>1016</v>
      </c>
    </row>
    <row r="1030" ht="14" customHeight="1" spans="1:7">
      <c r="A1030" s="69">
        <v>29004</v>
      </c>
      <c r="B1030">
        <v>1</v>
      </c>
      <c r="C1030">
        <v>1</v>
      </c>
      <c r="D1030" s="15">
        <v>0</v>
      </c>
      <c r="E1030" s="15">
        <v>1</v>
      </c>
      <c r="F1030" t="s">
        <v>1019</v>
      </c>
      <c r="G1030" s="7" t="s">
        <v>1020</v>
      </c>
    </row>
    <row r="1031" ht="14" customHeight="1" spans="1:7">
      <c r="A1031" s="69">
        <v>29005</v>
      </c>
      <c r="B1031">
        <v>1</v>
      </c>
      <c r="C1031">
        <v>1</v>
      </c>
      <c r="D1031" s="15">
        <v>0</v>
      </c>
      <c r="E1031" s="15">
        <v>1</v>
      </c>
      <c r="F1031" t="s">
        <v>1208</v>
      </c>
      <c r="G1031" s="7" t="s">
        <v>1209</v>
      </c>
    </row>
    <row r="1032" ht="14" customHeight="1" spans="1:7">
      <c r="A1032" s="69">
        <v>29006</v>
      </c>
      <c r="B1032">
        <v>1</v>
      </c>
      <c r="C1032">
        <v>1</v>
      </c>
      <c r="D1032" s="15">
        <v>0</v>
      </c>
      <c r="E1032" s="15">
        <v>1</v>
      </c>
      <c r="F1032" t="s">
        <v>1210</v>
      </c>
      <c r="G1032" s="7" t="s">
        <v>1211</v>
      </c>
    </row>
    <row r="1033" ht="14" customHeight="1" spans="1:7">
      <c r="A1033" s="69">
        <v>29007</v>
      </c>
      <c r="B1033">
        <v>1</v>
      </c>
      <c r="C1033">
        <v>1</v>
      </c>
      <c r="D1033" s="15">
        <v>0</v>
      </c>
      <c r="E1033" s="15">
        <v>1</v>
      </c>
      <c r="F1033" t="s">
        <v>1212</v>
      </c>
      <c r="G1033" s="7" t="s">
        <v>1213</v>
      </c>
    </row>
    <row r="1034" ht="14" customHeight="1" spans="1:7">
      <c r="A1034" s="69">
        <v>29008</v>
      </c>
      <c r="B1034">
        <v>1</v>
      </c>
      <c r="C1034">
        <v>1</v>
      </c>
      <c r="D1034" s="15">
        <v>0</v>
      </c>
      <c r="E1034" s="15">
        <v>1</v>
      </c>
      <c r="F1034" t="s">
        <v>1214</v>
      </c>
      <c r="G1034" s="7" t="s">
        <v>1215</v>
      </c>
    </row>
    <row r="1035" ht="14" customHeight="1" spans="1:7">
      <c r="A1035" s="69">
        <v>29009</v>
      </c>
      <c r="B1035">
        <v>1</v>
      </c>
      <c r="C1035">
        <v>1</v>
      </c>
      <c r="D1035" s="15">
        <v>0</v>
      </c>
      <c r="E1035" s="15">
        <v>1</v>
      </c>
      <c r="F1035" t="s">
        <v>1216</v>
      </c>
      <c r="G1035" s="7" t="s">
        <v>1217</v>
      </c>
    </row>
    <row r="1036" ht="14" customHeight="1" spans="1:7">
      <c r="A1036" s="69">
        <v>29010</v>
      </c>
      <c r="B1036">
        <v>1</v>
      </c>
      <c r="C1036">
        <v>1</v>
      </c>
      <c r="D1036" s="15">
        <v>0</v>
      </c>
      <c r="E1036" s="15">
        <v>1</v>
      </c>
      <c r="F1036" t="s">
        <v>1218</v>
      </c>
      <c r="G1036" s="7" t="s">
        <v>1219</v>
      </c>
    </row>
    <row r="1037" ht="14" customHeight="1" spans="1:7">
      <c r="A1037" s="69">
        <v>29011</v>
      </c>
      <c r="B1037">
        <v>1</v>
      </c>
      <c r="C1037">
        <v>1</v>
      </c>
      <c r="D1037" s="15">
        <v>0</v>
      </c>
      <c r="E1037" s="15">
        <v>1</v>
      </c>
      <c r="F1037" t="s">
        <v>1220</v>
      </c>
      <c r="G1037" s="7" t="s">
        <v>1221</v>
      </c>
    </row>
    <row r="1038" ht="14" customHeight="1" spans="1:7">
      <c r="A1038" s="69">
        <v>29012</v>
      </c>
      <c r="B1038">
        <v>1</v>
      </c>
      <c r="C1038">
        <v>1</v>
      </c>
      <c r="D1038" s="15">
        <v>0</v>
      </c>
      <c r="E1038" s="15">
        <v>1</v>
      </c>
      <c r="F1038" t="s">
        <v>1222</v>
      </c>
      <c r="G1038" s="7" t="s">
        <v>1223</v>
      </c>
    </row>
    <row r="1039" ht="14" customHeight="1" spans="1:7">
      <c r="A1039" s="69">
        <v>29013</v>
      </c>
      <c r="B1039">
        <v>1</v>
      </c>
      <c r="C1039">
        <v>1</v>
      </c>
      <c r="D1039" s="15">
        <v>0</v>
      </c>
      <c r="E1039" s="15">
        <v>1</v>
      </c>
      <c r="F1039" t="s">
        <v>1224</v>
      </c>
      <c r="G1039" s="7" t="s">
        <v>1225</v>
      </c>
    </row>
    <row r="1040" ht="14" customHeight="1" spans="1:7">
      <c r="A1040" s="69">
        <v>29014</v>
      </c>
      <c r="B1040">
        <v>1</v>
      </c>
      <c r="C1040">
        <v>1</v>
      </c>
      <c r="D1040" s="15">
        <v>0</v>
      </c>
      <c r="E1040" s="15">
        <v>1</v>
      </c>
      <c r="F1040" t="s">
        <v>1226</v>
      </c>
      <c r="G1040" s="7" t="s">
        <v>1227</v>
      </c>
    </row>
    <row r="1041" ht="14" customHeight="1" spans="1:7">
      <c r="A1041" s="69">
        <v>29015</v>
      </c>
      <c r="B1041">
        <v>1</v>
      </c>
      <c r="C1041">
        <v>1</v>
      </c>
      <c r="D1041" s="15">
        <v>0</v>
      </c>
      <c r="E1041" s="15">
        <v>1</v>
      </c>
      <c r="F1041" t="s">
        <v>1228</v>
      </c>
      <c r="G1041" s="7" t="s">
        <v>1229</v>
      </c>
    </row>
    <row r="1042" ht="14" customHeight="1" spans="1:7">
      <c r="A1042" s="69">
        <v>29016</v>
      </c>
      <c r="B1042">
        <v>1</v>
      </c>
      <c r="C1042">
        <v>1</v>
      </c>
      <c r="D1042" s="15">
        <v>0</v>
      </c>
      <c r="E1042" s="15">
        <v>1</v>
      </c>
      <c r="F1042" t="s">
        <v>1230</v>
      </c>
      <c r="G1042" s="7" t="s">
        <v>1231</v>
      </c>
    </row>
    <row r="1043" ht="14" customHeight="1" spans="1:7">
      <c r="A1043" s="69">
        <v>29017</v>
      </c>
      <c r="B1043">
        <v>1</v>
      </c>
      <c r="C1043">
        <v>1</v>
      </c>
      <c r="D1043" s="15">
        <v>0</v>
      </c>
      <c r="E1043" s="15">
        <v>1</v>
      </c>
      <c r="F1043" t="s">
        <v>1232</v>
      </c>
      <c r="G1043" s="7" t="s">
        <v>1233</v>
      </c>
    </row>
    <row r="1044" ht="14" customHeight="1" spans="1:7">
      <c r="A1044" s="69">
        <v>29018</v>
      </c>
      <c r="B1044">
        <v>1</v>
      </c>
      <c r="C1044">
        <v>1</v>
      </c>
      <c r="D1044" s="15">
        <v>0</v>
      </c>
      <c r="E1044" s="15">
        <v>1</v>
      </c>
      <c r="F1044" t="s">
        <v>1234</v>
      </c>
      <c r="G1044" s="7" t="s">
        <v>1235</v>
      </c>
    </row>
    <row r="1045" ht="14" customHeight="1" spans="1:7">
      <c r="A1045" s="69">
        <v>29019</v>
      </c>
      <c r="B1045">
        <v>1</v>
      </c>
      <c r="C1045">
        <v>1</v>
      </c>
      <c r="D1045" s="15">
        <v>0</v>
      </c>
      <c r="E1045" s="15">
        <v>1</v>
      </c>
      <c r="F1045" t="s">
        <v>1236</v>
      </c>
      <c r="G1045" s="7" t="s">
        <v>1237</v>
      </c>
    </row>
    <row r="1046" ht="14" customHeight="1" spans="1:7">
      <c r="A1046" s="69">
        <v>29020</v>
      </c>
      <c r="B1046">
        <v>1</v>
      </c>
      <c r="C1046">
        <v>1</v>
      </c>
      <c r="D1046" s="15">
        <v>0</v>
      </c>
      <c r="E1046" s="15">
        <v>1</v>
      </c>
      <c r="F1046" t="s">
        <v>1238</v>
      </c>
      <c r="G1046" s="7" t="s">
        <v>1239</v>
      </c>
    </row>
    <row r="1047" ht="14" customHeight="1" spans="1:7">
      <c r="A1047" s="69">
        <v>29021</v>
      </c>
      <c r="B1047">
        <v>1</v>
      </c>
      <c r="C1047">
        <v>1</v>
      </c>
      <c r="D1047" s="15">
        <v>0</v>
      </c>
      <c r="E1047" s="15">
        <v>1</v>
      </c>
      <c r="F1047" s="50" t="s">
        <v>1053</v>
      </c>
      <c r="G1047" s="7" t="s">
        <v>1054</v>
      </c>
    </row>
    <row r="1048" ht="14" customHeight="1" spans="1:7">
      <c r="A1048" s="69">
        <v>29022</v>
      </c>
      <c r="B1048">
        <v>1</v>
      </c>
      <c r="C1048">
        <v>1</v>
      </c>
      <c r="D1048" s="15">
        <v>0</v>
      </c>
      <c r="E1048" s="15">
        <v>1</v>
      </c>
      <c r="F1048" s="50" t="s">
        <v>1049</v>
      </c>
      <c r="G1048" s="7" t="s">
        <v>1050</v>
      </c>
    </row>
    <row r="1049" ht="14" customHeight="1" spans="1:7">
      <c r="A1049" s="69">
        <v>29023</v>
      </c>
      <c r="B1049">
        <v>1</v>
      </c>
      <c r="C1049">
        <v>1</v>
      </c>
      <c r="D1049" s="15">
        <v>0</v>
      </c>
      <c r="E1049" s="15">
        <v>1</v>
      </c>
      <c r="F1049" s="50" t="s">
        <v>1058</v>
      </c>
      <c r="G1049" s="7" t="s">
        <v>1059</v>
      </c>
    </row>
    <row r="1050" ht="14" customHeight="1" spans="1:7">
      <c r="A1050" s="69">
        <v>29024</v>
      </c>
      <c r="B1050">
        <v>1</v>
      </c>
      <c r="C1050">
        <v>1</v>
      </c>
      <c r="D1050" s="15">
        <v>0</v>
      </c>
      <c r="E1050" s="15">
        <v>1</v>
      </c>
      <c r="F1050" s="50" t="s">
        <v>1063</v>
      </c>
      <c r="G1050" s="7" t="s">
        <v>1064</v>
      </c>
    </row>
    <row r="1051" ht="14" customHeight="1" spans="1:7">
      <c r="A1051" s="69">
        <v>29025</v>
      </c>
      <c r="B1051">
        <v>1</v>
      </c>
      <c r="C1051">
        <v>1</v>
      </c>
      <c r="D1051" s="15">
        <v>0</v>
      </c>
      <c r="E1051" s="15">
        <v>1</v>
      </c>
      <c r="F1051" s="50" t="s">
        <v>1053</v>
      </c>
      <c r="G1051" s="7" t="s">
        <v>1054</v>
      </c>
    </row>
    <row r="1052" ht="14" customHeight="1" spans="1:7">
      <c r="A1052" s="69">
        <v>29026</v>
      </c>
      <c r="B1052">
        <v>1</v>
      </c>
      <c r="C1052">
        <v>1</v>
      </c>
      <c r="D1052" s="15">
        <v>0</v>
      </c>
      <c r="E1052" s="15">
        <v>1</v>
      </c>
      <c r="F1052" s="50" t="s">
        <v>1049</v>
      </c>
      <c r="G1052" s="7" t="s">
        <v>1050</v>
      </c>
    </row>
    <row r="1053" ht="14" customHeight="1" spans="1:7">
      <c r="A1053" s="69">
        <v>29027</v>
      </c>
      <c r="B1053">
        <v>1</v>
      </c>
      <c r="C1053">
        <v>1</v>
      </c>
      <c r="D1053" s="15">
        <v>0</v>
      </c>
      <c r="E1053" s="15">
        <v>1</v>
      </c>
      <c r="F1053" s="50" t="s">
        <v>1058</v>
      </c>
      <c r="G1053" s="7" t="s">
        <v>1059</v>
      </c>
    </row>
    <row r="1054" ht="14" customHeight="1" spans="1:7">
      <c r="A1054" s="69">
        <v>29028</v>
      </c>
      <c r="B1054">
        <v>1</v>
      </c>
      <c r="C1054">
        <v>1</v>
      </c>
      <c r="D1054" s="15">
        <v>0</v>
      </c>
      <c r="E1054" s="15">
        <v>1</v>
      </c>
      <c r="F1054" s="50" t="s">
        <v>1063</v>
      </c>
      <c r="G1054" s="7" t="s">
        <v>1064</v>
      </c>
    </row>
    <row r="1055" ht="14" customHeight="1" spans="1:7">
      <c r="A1055" s="69">
        <v>29029</v>
      </c>
      <c r="B1055">
        <v>1</v>
      </c>
      <c r="C1055">
        <v>1</v>
      </c>
      <c r="D1055" s="15">
        <v>0</v>
      </c>
      <c r="E1055" s="15">
        <v>1</v>
      </c>
      <c r="F1055" t="s">
        <v>1079</v>
      </c>
      <c r="G1055" s="7" t="s">
        <v>1080</v>
      </c>
    </row>
    <row r="1056" ht="14" customHeight="1" spans="1:7">
      <c r="A1056" s="69">
        <v>29030</v>
      </c>
      <c r="B1056">
        <v>1</v>
      </c>
      <c r="C1056">
        <v>1</v>
      </c>
      <c r="D1056" s="15">
        <v>0</v>
      </c>
      <c r="E1056" s="15">
        <v>1</v>
      </c>
      <c r="F1056" t="s">
        <v>1081</v>
      </c>
      <c r="G1056" s="7" t="s">
        <v>1082</v>
      </c>
    </row>
    <row r="1057" ht="14" customHeight="1" spans="1:7">
      <c r="A1057" s="69">
        <v>29031</v>
      </c>
      <c r="B1057">
        <v>1</v>
      </c>
      <c r="C1057">
        <v>1</v>
      </c>
      <c r="D1057" s="15">
        <v>0</v>
      </c>
      <c r="E1057" s="15">
        <v>1</v>
      </c>
      <c r="F1057" t="s">
        <v>1240</v>
      </c>
      <c r="G1057" s="7" t="s">
        <v>1241</v>
      </c>
    </row>
    <row r="1058" ht="14" customHeight="1" spans="1:7">
      <c r="A1058" s="69">
        <v>29032</v>
      </c>
      <c r="B1058">
        <v>1</v>
      </c>
      <c r="C1058">
        <v>1</v>
      </c>
      <c r="D1058" s="15">
        <v>0</v>
      </c>
      <c r="E1058" s="15">
        <v>1</v>
      </c>
      <c r="F1058" t="s">
        <v>1083</v>
      </c>
      <c r="G1058" s="7" t="s">
        <v>1084</v>
      </c>
    </row>
    <row r="1059" ht="14" customHeight="1" spans="1:7">
      <c r="A1059" s="69">
        <v>29033</v>
      </c>
      <c r="B1059">
        <v>1</v>
      </c>
      <c r="C1059">
        <v>1</v>
      </c>
      <c r="D1059" s="15">
        <v>0</v>
      </c>
      <c r="E1059" s="15">
        <v>1</v>
      </c>
      <c r="F1059" t="s">
        <v>1085</v>
      </c>
      <c r="G1059" s="7" t="s">
        <v>1086</v>
      </c>
    </row>
    <row r="1060" ht="14" customHeight="1" spans="1:7">
      <c r="A1060" s="69">
        <v>29034</v>
      </c>
      <c r="B1060">
        <v>1</v>
      </c>
      <c r="C1060">
        <v>1</v>
      </c>
      <c r="D1060" s="15">
        <v>0</v>
      </c>
      <c r="E1060" s="15">
        <v>1</v>
      </c>
      <c r="F1060" t="s">
        <v>1242</v>
      </c>
      <c r="G1060" s="7" t="s">
        <v>1243</v>
      </c>
    </row>
    <row r="1061" ht="14" customHeight="1" spans="1:7">
      <c r="A1061" s="69">
        <v>29035</v>
      </c>
      <c r="B1061">
        <v>1</v>
      </c>
      <c r="C1061">
        <v>1</v>
      </c>
      <c r="D1061" s="15">
        <v>0</v>
      </c>
      <c r="E1061" s="15">
        <v>1</v>
      </c>
      <c r="F1061" t="s">
        <v>1087</v>
      </c>
      <c r="G1061" s="7" t="s">
        <v>1088</v>
      </c>
    </row>
    <row r="1062" ht="14" customHeight="1" spans="1:7">
      <c r="A1062" s="69">
        <v>29036</v>
      </c>
      <c r="B1062">
        <v>1</v>
      </c>
      <c r="C1062">
        <v>1</v>
      </c>
      <c r="D1062" s="15">
        <v>0</v>
      </c>
      <c r="E1062" s="15">
        <v>1</v>
      </c>
      <c r="F1062" t="s">
        <v>1089</v>
      </c>
      <c r="G1062" s="7" t="s">
        <v>1090</v>
      </c>
    </row>
    <row r="1063" ht="14" customHeight="1" spans="1:7">
      <c r="A1063" s="69">
        <v>29037</v>
      </c>
      <c r="B1063">
        <v>1</v>
      </c>
      <c r="C1063">
        <v>1</v>
      </c>
      <c r="D1063" s="15">
        <v>0</v>
      </c>
      <c r="E1063" s="15">
        <v>1</v>
      </c>
      <c r="F1063" t="s">
        <v>1244</v>
      </c>
      <c r="G1063" s="7" t="s">
        <v>1245</v>
      </c>
    </row>
    <row r="1064" ht="14" customHeight="1" spans="1:7">
      <c r="A1064" s="69">
        <v>29038</v>
      </c>
      <c r="B1064">
        <v>1</v>
      </c>
      <c r="C1064">
        <v>1</v>
      </c>
      <c r="D1064" s="15">
        <v>0</v>
      </c>
      <c r="E1064" s="15">
        <v>1</v>
      </c>
      <c r="F1064" t="s">
        <v>1091</v>
      </c>
      <c r="G1064" s="7" t="s">
        <v>1092</v>
      </c>
    </row>
    <row r="1065" ht="14" customHeight="1" spans="1:7">
      <c r="A1065" s="69">
        <v>29039</v>
      </c>
      <c r="B1065">
        <v>1</v>
      </c>
      <c r="C1065">
        <v>1</v>
      </c>
      <c r="D1065" s="15">
        <v>0</v>
      </c>
      <c r="E1065" s="15">
        <v>1</v>
      </c>
      <c r="F1065" t="s">
        <v>1093</v>
      </c>
      <c r="G1065" s="7" t="s">
        <v>1094</v>
      </c>
    </row>
    <row r="1066" ht="14" customHeight="1" spans="1:7">
      <c r="A1066" s="69">
        <v>29040</v>
      </c>
      <c r="B1066">
        <v>1</v>
      </c>
      <c r="C1066">
        <v>1</v>
      </c>
      <c r="D1066" s="15">
        <v>0</v>
      </c>
      <c r="E1066" s="15">
        <v>1</v>
      </c>
      <c r="F1066" t="s">
        <v>1246</v>
      </c>
      <c r="G1066" s="7" t="s">
        <v>1247</v>
      </c>
    </row>
    <row r="1067" ht="14" customHeight="1" spans="1:7">
      <c r="A1067" s="69">
        <v>29041</v>
      </c>
      <c r="B1067">
        <v>1</v>
      </c>
      <c r="C1067">
        <v>1</v>
      </c>
      <c r="D1067" s="15">
        <v>0</v>
      </c>
      <c r="E1067" s="15">
        <v>1</v>
      </c>
      <c r="F1067" s="50" t="s">
        <v>1248</v>
      </c>
      <c r="G1067" s="7" t="s">
        <v>1249</v>
      </c>
    </row>
    <row r="1068" ht="14" customHeight="1" spans="1:7">
      <c r="A1068" s="69">
        <v>29042</v>
      </c>
      <c r="B1068">
        <v>1</v>
      </c>
      <c r="C1068">
        <v>1</v>
      </c>
      <c r="D1068" s="15">
        <v>0</v>
      </c>
      <c r="E1068" s="15">
        <v>1</v>
      </c>
      <c r="F1068" s="50" t="s">
        <v>1250</v>
      </c>
      <c r="G1068" s="7" t="s">
        <v>1251</v>
      </c>
    </row>
    <row r="1069" ht="14" customHeight="1" spans="1:7">
      <c r="A1069" s="69">
        <v>29043</v>
      </c>
      <c r="B1069">
        <v>1</v>
      </c>
      <c r="C1069">
        <v>1</v>
      </c>
      <c r="D1069" s="15">
        <v>0</v>
      </c>
      <c r="E1069" s="15">
        <v>1</v>
      </c>
      <c r="F1069" s="50" t="s">
        <v>1252</v>
      </c>
      <c r="G1069" s="66" t="s">
        <v>1253</v>
      </c>
    </row>
    <row r="1070" ht="14" customHeight="1" spans="1:7">
      <c r="A1070" s="69">
        <v>29044</v>
      </c>
      <c r="B1070">
        <v>1</v>
      </c>
      <c r="C1070">
        <v>1</v>
      </c>
      <c r="D1070" s="15">
        <v>0</v>
      </c>
      <c r="E1070" s="15">
        <v>1</v>
      </c>
      <c r="F1070" s="50" t="s">
        <v>1254</v>
      </c>
      <c r="G1070" s="66" t="s">
        <v>1255</v>
      </c>
    </row>
    <row r="1071" ht="14" customHeight="1" spans="1:7">
      <c r="A1071" s="69">
        <v>29045</v>
      </c>
      <c r="B1071">
        <v>1</v>
      </c>
      <c r="C1071">
        <v>1</v>
      </c>
      <c r="D1071" s="15">
        <v>0</v>
      </c>
      <c r="E1071" s="15">
        <v>1</v>
      </c>
      <c r="F1071" s="50" t="s">
        <v>1256</v>
      </c>
      <c r="G1071" s="7" t="s">
        <v>1257</v>
      </c>
    </row>
    <row r="1072" ht="14" customHeight="1" spans="1:7">
      <c r="A1072" s="69">
        <v>29046</v>
      </c>
      <c r="B1072">
        <v>1</v>
      </c>
      <c r="C1072">
        <v>1</v>
      </c>
      <c r="D1072" s="15">
        <v>0</v>
      </c>
      <c r="E1072" s="15">
        <v>1</v>
      </c>
      <c r="F1072" s="50" t="s">
        <v>1258</v>
      </c>
      <c r="G1072" s="7" t="s">
        <v>1259</v>
      </c>
    </row>
    <row r="1073" ht="14" customHeight="1" spans="1:7">
      <c r="A1073" s="69">
        <v>29047</v>
      </c>
      <c r="B1073">
        <v>1</v>
      </c>
      <c r="C1073">
        <v>1</v>
      </c>
      <c r="D1073" s="15">
        <v>0</v>
      </c>
      <c r="E1073" s="15">
        <v>1</v>
      </c>
      <c r="F1073" s="50" t="s">
        <v>1260</v>
      </c>
      <c r="G1073" s="66" t="s">
        <v>1261</v>
      </c>
    </row>
    <row r="1074" ht="14" customHeight="1" spans="1:7">
      <c r="A1074" s="69">
        <v>29048</v>
      </c>
      <c r="B1074">
        <v>1</v>
      </c>
      <c r="C1074">
        <v>1</v>
      </c>
      <c r="D1074" s="15">
        <v>0</v>
      </c>
      <c r="E1074" s="15">
        <v>1</v>
      </c>
      <c r="F1074" s="50" t="s">
        <v>1262</v>
      </c>
      <c r="G1074" s="66" t="s">
        <v>1263</v>
      </c>
    </row>
    <row r="1075" ht="14" customHeight="1" spans="1:7">
      <c r="A1075" s="69">
        <v>29049</v>
      </c>
      <c r="B1075">
        <v>1</v>
      </c>
      <c r="C1075">
        <v>1</v>
      </c>
      <c r="D1075" s="15">
        <v>0</v>
      </c>
      <c r="E1075" s="15">
        <v>1</v>
      </c>
      <c r="F1075" s="50" t="s">
        <v>1264</v>
      </c>
      <c r="G1075" s="7" t="s">
        <v>1265</v>
      </c>
    </row>
    <row r="1076" ht="14" customHeight="1" spans="1:7">
      <c r="A1076" s="69">
        <v>29050</v>
      </c>
      <c r="B1076">
        <v>1</v>
      </c>
      <c r="C1076">
        <v>1</v>
      </c>
      <c r="D1076" s="15">
        <v>0</v>
      </c>
      <c r="E1076" s="15">
        <v>1</v>
      </c>
      <c r="F1076" s="50" t="s">
        <v>1266</v>
      </c>
      <c r="G1076" s="7" t="s">
        <v>1267</v>
      </c>
    </row>
    <row r="1077" ht="14" customHeight="1" spans="1:7">
      <c r="A1077" s="69">
        <v>29051</v>
      </c>
      <c r="B1077">
        <v>1</v>
      </c>
      <c r="C1077">
        <v>1</v>
      </c>
      <c r="D1077" s="15">
        <v>0</v>
      </c>
      <c r="E1077" s="15">
        <v>1</v>
      </c>
      <c r="F1077" s="50" t="s">
        <v>1268</v>
      </c>
      <c r="G1077" s="7" t="s">
        <v>1269</v>
      </c>
    </row>
    <row r="1078" ht="14" customHeight="1" spans="1:7">
      <c r="A1078" s="69">
        <v>29052</v>
      </c>
      <c r="B1078">
        <v>1</v>
      </c>
      <c r="C1078">
        <v>1</v>
      </c>
      <c r="D1078" s="15">
        <v>0</v>
      </c>
      <c r="E1078" s="15">
        <v>1</v>
      </c>
      <c r="F1078" s="50" t="s">
        <v>1270</v>
      </c>
      <c r="G1078" s="7" t="s">
        <v>1271</v>
      </c>
    </row>
    <row r="1079" ht="14" customHeight="1" spans="1:7">
      <c r="A1079" s="69">
        <v>29053</v>
      </c>
      <c r="B1079">
        <v>1</v>
      </c>
      <c r="C1079">
        <v>1</v>
      </c>
      <c r="D1079" s="15">
        <v>0</v>
      </c>
      <c r="E1079" s="15">
        <v>1</v>
      </c>
      <c r="F1079" s="50" t="s">
        <v>1272</v>
      </c>
      <c r="G1079" s="7" t="s">
        <v>1273</v>
      </c>
    </row>
    <row r="1080" ht="14" customHeight="1" spans="1:7">
      <c r="A1080" s="69">
        <v>29054</v>
      </c>
      <c r="B1080">
        <v>1</v>
      </c>
      <c r="C1080">
        <v>1</v>
      </c>
      <c r="D1080" s="15">
        <v>0</v>
      </c>
      <c r="E1080" s="15">
        <v>1</v>
      </c>
      <c r="F1080" s="50" t="s">
        <v>1274</v>
      </c>
      <c r="G1080" s="7" t="s">
        <v>1275</v>
      </c>
    </row>
    <row r="1081" ht="14" customHeight="1" spans="1:7">
      <c r="A1081" s="69">
        <v>29055</v>
      </c>
      <c r="B1081">
        <v>1</v>
      </c>
      <c r="C1081">
        <v>1</v>
      </c>
      <c r="D1081" s="15">
        <v>0</v>
      </c>
      <c r="E1081" s="15">
        <v>1</v>
      </c>
      <c r="F1081" s="50" t="s">
        <v>1276</v>
      </c>
      <c r="G1081" s="7" t="s">
        <v>1277</v>
      </c>
    </row>
    <row r="1082" ht="14" customHeight="1" spans="1:7">
      <c r="A1082" s="69">
        <v>29056</v>
      </c>
      <c r="B1082">
        <v>1</v>
      </c>
      <c r="C1082">
        <v>1</v>
      </c>
      <c r="D1082" s="15">
        <v>0</v>
      </c>
      <c r="E1082" s="15">
        <v>1</v>
      </c>
      <c r="F1082" s="50" t="s">
        <v>1278</v>
      </c>
      <c r="G1082" s="7" t="s">
        <v>1279</v>
      </c>
    </row>
    <row r="1083" ht="14" customHeight="1" spans="1:7">
      <c r="A1083" s="69">
        <v>29057</v>
      </c>
      <c r="B1083">
        <v>1</v>
      </c>
      <c r="C1083">
        <v>1</v>
      </c>
      <c r="D1083" s="15">
        <v>0</v>
      </c>
      <c r="E1083" s="15">
        <v>1</v>
      </c>
      <c r="F1083" s="50" t="s">
        <v>1280</v>
      </c>
      <c r="G1083" s="70" t="s">
        <v>1281</v>
      </c>
    </row>
    <row r="1084" ht="14" customHeight="1" spans="1:7">
      <c r="A1084" s="69">
        <v>29058</v>
      </c>
      <c r="B1084">
        <v>1</v>
      </c>
      <c r="C1084">
        <v>1</v>
      </c>
      <c r="D1084" s="15">
        <v>0</v>
      </c>
      <c r="E1084" s="15">
        <v>1</v>
      </c>
      <c r="F1084" s="50" t="s">
        <v>1282</v>
      </c>
      <c r="G1084" s="70" t="s">
        <v>1283</v>
      </c>
    </row>
    <row r="1085" ht="14" customHeight="1" spans="1:7">
      <c r="A1085" s="69">
        <v>29059</v>
      </c>
      <c r="B1085">
        <v>1</v>
      </c>
      <c r="C1085">
        <v>1</v>
      </c>
      <c r="D1085" s="15">
        <v>0</v>
      </c>
      <c r="E1085" s="15">
        <v>1</v>
      </c>
      <c r="F1085" s="50" t="s">
        <v>1284</v>
      </c>
      <c r="G1085" s="70" t="s">
        <v>1285</v>
      </c>
    </row>
    <row r="1086" ht="14" customHeight="1" spans="1:7">
      <c r="A1086" s="69">
        <v>29060</v>
      </c>
      <c r="B1086">
        <v>1</v>
      </c>
      <c r="C1086">
        <v>1</v>
      </c>
      <c r="D1086" s="15">
        <v>0</v>
      </c>
      <c r="E1086" s="15">
        <v>1</v>
      </c>
      <c r="F1086" s="50" t="s">
        <v>1286</v>
      </c>
      <c r="G1086" s="70" t="s">
        <v>1287</v>
      </c>
    </row>
    <row r="1087" ht="14" customHeight="1" spans="1:7">
      <c r="A1087" s="69">
        <v>29061</v>
      </c>
      <c r="B1087">
        <v>1</v>
      </c>
      <c r="C1087">
        <v>1</v>
      </c>
      <c r="D1087" s="15">
        <v>0</v>
      </c>
      <c r="E1087" s="15">
        <v>1</v>
      </c>
      <c r="F1087" s="50" t="s">
        <v>1288</v>
      </c>
      <c r="G1087" s="70" t="s">
        <v>1289</v>
      </c>
    </row>
    <row r="1088" ht="14" customHeight="1" spans="1:7">
      <c r="A1088" s="69">
        <v>29062</v>
      </c>
      <c r="B1088">
        <v>1</v>
      </c>
      <c r="C1088">
        <v>1</v>
      </c>
      <c r="D1088" s="15">
        <v>0</v>
      </c>
      <c r="E1088" s="15">
        <v>1</v>
      </c>
      <c r="F1088" s="50" t="s">
        <v>1290</v>
      </c>
      <c r="G1088" s="70" t="s">
        <v>1291</v>
      </c>
    </row>
    <row r="1089" ht="14" customHeight="1" spans="1:7">
      <c r="A1089" s="69">
        <v>29063</v>
      </c>
      <c r="B1089">
        <v>1</v>
      </c>
      <c r="C1089">
        <v>1</v>
      </c>
      <c r="D1089" s="15">
        <v>0</v>
      </c>
      <c r="E1089" s="15">
        <v>1</v>
      </c>
      <c r="F1089" s="50" t="s">
        <v>1292</v>
      </c>
      <c r="G1089" s="70" t="s">
        <v>1293</v>
      </c>
    </row>
    <row r="1090" ht="14" customHeight="1" spans="1:7">
      <c r="A1090" s="69">
        <v>29064</v>
      </c>
      <c r="B1090">
        <v>1</v>
      </c>
      <c r="C1090">
        <v>1</v>
      </c>
      <c r="D1090" s="15">
        <v>0</v>
      </c>
      <c r="E1090" s="15">
        <v>1</v>
      </c>
      <c r="F1090" s="50" t="s">
        <v>1294</v>
      </c>
      <c r="G1090" s="70" t="s">
        <v>1295</v>
      </c>
    </row>
    <row r="1091" ht="14" customHeight="1" spans="1:7">
      <c r="A1091" s="69">
        <v>29065</v>
      </c>
      <c r="B1091">
        <v>1</v>
      </c>
      <c r="C1091">
        <v>1</v>
      </c>
      <c r="D1091" s="15">
        <v>0</v>
      </c>
      <c r="E1091" s="15">
        <v>1</v>
      </c>
      <c r="F1091" t="s">
        <v>1240</v>
      </c>
      <c r="G1091" s="70" t="s">
        <v>1241</v>
      </c>
    </row>
    <row r="1092" ht="14" customHeight="1" spans="1:7">
      <c r="A1092" s="69">
        <v>29066</v>
      </c>
      <c r="B1092">
        <v>1</v>
      </c>
      <c r="C1092">
        <v>1</v>
      </c>
      <c r="D1092" s="15">
        <v>0</v>
      </c>
      <c r="E1092" s="15">
        <v>1</v>
      </c>
      <c r="F1092" t="s">
        <v>1242</v>
      </c>
      <c r="G1092" s="70" t="s">
        <v>1243</v>
      </c>
    </row>
    <row r="1093" ht="14" customHeight="1" spans="1:7">
      <c r="A1093" s="69">
        <v>29067</v>
      </c>
      <c r="B1093">
        <v>1</v>
      </c>
      <c r="C1093">
        <v>1</v>
      </c>
      <c r="D1093" s="15">
        <v>0</v>
      </c>
      <c r="E1093" s="15">
        <v>1</v>
      </c>
      <c r="F1093" s="50" t="s">
        <v>1256</v>
      </c>
      <c r="G1093" s="70" t="s">
        <v>1257</v>
      </c>
    </row>
    <row r="1094" ht="14" customHeight="1" spans="1:7">
      <c r="A1094" s="69">
        <v>29068</v>
      </c>
      <c r="B1094">
        <v>1</v>
      </c>
      <c r="C1094">
        <v>1</v>
      </c>
      <c r="D1094" s="15">
        <v>0</v>
      </c>
      <c r="E1094" s="15">
        <v>1</v>
      </c>
      <c r="F1094" s="50" t="s">
        <v>1296</v>
      </c>
      <c r="G1094" s="70" t="s">
        <v>1297</v>
      </c>
    </row>
    <row r="1095" ht="14" customHeight="1" spans="1:7">
      <c r="A1095" s="69">
        <v>29069</v>
      </c>
      <c r="B1095">
        <v>1</v>
      </c>
      <c r="C1095">
        <v>1</v>
      </c>
      <c r="D1095" s="15">
        <v>0</v>
      </c>
      <c r="E1095" s="15">
        <v>1</v>
      </c>
      <c r="F1095" s="50" t="s">
        <v>1298</v>
      </c>
      <c r="G1095" s="70" t="s">
        <v>1299</v>
      </c>
    </row>
    <row r="1096" ht="14" customHeight="1" spans="1:7">
      <c r="A1096" s="69">
        <v>29070</v>
      </c>
      <c r="B1096">
        <v>1</v>
      </c>
      <c r="C1096">
        <v>1</v>
      </c>
      <c r="D1096" s="15">
        <v>0</v>
      </c>
      <c r="E1096" s="15">
        <v>1</v>
      </c>
      <c r="F1096" s="50" t="s">
        <v>1300</v>
      </c>
      <c r="G1096" s="70" t="s">
        <v>1301</v>
      </c>
    </row>
    <row r="1097" ht="14" customHeight="1" spans="1:7">
      <c r="A1097" s="69">
        <v>29071</v>
      </c>
      <c r="B1097">
        <v>1</v>
      </c>
      <c r="C1097">
        <v>1</v>
      </c>
      <c r="D1097" s="15">
        <v>0</v>
      </c>
      <c r="E1097" s="15">
        <v>1</v>
      </c>
      <c r="F1097" s="50" t="s">
        <v>1302</v>
      </c>
      <c r="G1097" s="70" t="s">
        <v>1303</v>
      </c>
    </row>
    <row r="1098" ht="14" customHeight="1" spans="1:7">
      <c r="A1098" s="69">
        <v>29072</v>
      </c>
      <c r="B1098">
        <v>1</v>
      </c>
      <c r="C1098">
        <v>1</v>
      </c>
      <c r="D1098" s="15">
        <v>0</v>
      </c>
      <c r="E1098" s="15">
        <v>1</v>
      </c>
      <c r="F1098" s="50" t="s">
        <v>1304</v>
      </c>
      <c r="G1098" s="70" t="s">
        <v>1305</v>
      </c>
    </row>
    <row r="1099" ht="14" customHeight="1" spans="1:7">
      <c r="A1099" s="69">
        <v>29073</v>
      </c>
      <c r="B1099">
        <v>1</v>
      </c>
      <c r="C1099">
        <v>1</v>
      </c>
      <c r="D1099" s="15">
        <v>0</v>
      </c>
      <c r="E1099" s="15">
        <v>1</v>
      </c>
      <c r="F1099" s="50" t="s">
        <v>1306</v>
      </c>
      <c r="G1099" s="70" t="s">
        <v>1307</v>
      </c>
    </row>
    <row r="1100" ht="14" customHeight="1" spans="1:7">
      <c r="A1100" s="69">
        <v>29074</v>
      </c>
      <c r="B1100">
        <v>1</v>
      </c>
      <c r="C1100">
        <v>1</v>
      </c>
      <c r="D1100" s="15">
        <v>0</v>
      </c>
      <c r="E1100" s="15">
        <v>1</v>
      </c>
      <c r="F1100" s="50" t="s">
        <v>1308</v>
      </c>
      <c r="G1100" s="70" t="s">
        <v>1309</v>
      </c>
    </row>
    <row r="1101" ht="14" customHeight="1" spans="1:7">
      <c r="A1101" s="69">
        <v>29075</v>
      </c>
      <c r="B1101">
        <v>1</v>
      </c>
      <c r="C1101">
        <v>1</v>
      </c>
      <c r="D1101" s="15">
        <v>0</v>
      </c>
      <c r="E1101" s="15">
        <v>1</v>
      </c>
      <c r="F1101" s="50" t="s">
        <v>1310</v>
      </c>
      <c r="G1101" s="70" t="s">
        <v>1311</v>
      </c>
    </row>
    <row r="1102" ht="14" customHeight="1" spans="1:7">
      <c r="A1102" s="69">
        <v>29076</v>
      </c>
      <c r="B1102">
        <v>1</v>
      </c>
      <c r="C1102">
        <v>1</v>
      </c>
      <c r="D1102" s="15">
        <v>0</v>
      </c>
      <c r="E1102" s="15">
        <v>1</v>
      </c>
      <c r="F1102" s="50" t="s">
        <v>1312</v>
      </c>
      <c r="G1102" s="70" t="s">
        <v>1313</v>
      </c>
    </row>
    <row r="1103" ht="14" customHeight="1" spans="1:7">
      <c r="A1103" s="69">
        <v>29077</v>
      </c>
      <c r="B1103">
        <v>1</v>
      </c>
      <c r="C1103">
        <v>1</v>
      </c>
      <c r="D1103" s="15">
        <v>0</v>
      </c>
      <c r="E1103" s="15">
        <v>1</v>
      </c>
      <c r="F1103" s="50" t="s">
        <v>1314</v>
      </c>
      <c r="G1103" s="70" t="s">
        <v>1315</v>
      </c>
    </row>
    <row r="1104" ht="14" customHeight="1" spans="1:7">
      <c r="A1104" s="69">
        <v>29078</v>
      </c>
      <c r="B1104">
        <v>1</v>
      </c>
      <c r="C1104">
        <v>1</v>
      </c>
      <c r="D1104" s="15">
        <v>0</v>
      </c>
      <c r="E1104" s="15">
        <v>1</v>
      </c>
      <c r="F1104" s="50" t="s">
        <v>1316</v>
      </c>
      <c r="G1104" s="70" t="s">
        <v>1317</v>
      </c>
    </row>
    <row r="1105" ht="14" customHeight="1" spans="1:7">
      <c r="A1105" s="69">
        <v>29079</v>
      </c>
      <c r="B1105">
        <v>1</v>
      </c>
      <c r="C1105">
        <v>1</v>
      </c>
      <c r="D1105" s="15">
        <v>0</v>
      </c>
      <c r="E1105" s="15">
        <v>1</v>
      </c>
      <c r="F1105" s="50" t="s">
        <v>1318</v>
      </c>
      <c r="G1105" s="70" t="s">
        <v>1319</v>
      </c>
    </row>
    <row r="1106" ht="14" customHeight="1" spans="1:7">
      <c r="A1106" s="69">
        <v>29080</v>
      </c>
      <c r="B1106">
        <v>1</v>
      </c>
      <c r="C1106">
        <v>1</v>
      </c>
      <c r="D1106" s="15">
        <v>0</v>
      </c>
      <c r="E1106" s="15">
        <v>1</v>
      </c>
      <c r="F1106" s="50" t="s">
        <v>1320</v>
      </c>
      <c r="G1106" s="70" t="s">
        <v>1321</v>
      </c>
    </row>
    <row r="1107" ht="14" customHeight="1" spans="1:7">
      <c r="A1107" s="69">
        <v>29081</v>
      </c>
      <c r="B1107">
        <v>1</v>
      </c>
      <c r="C1107">
        <v>1</v>
      </c>
      <c r="D1107" s="15">
        <v>0</v>
      </c>
      <c r="E1107" s="15">
        <v>1</v>
      </c>
      <c r="F1107" s="50" t="s">
        <v>1322</v>
      </c>
      <c r="G1107" s="70" t="s">
        <v>1323</v>
      </c>
    </row>
    <row r="1108" ht="14" customHeight="1" spans="1:7">
      <c r="A1108" s="69">
        <v>29082</v>
      </c>
      <c r="B1108">
        <v>1</v>
      </c>
      <c r="C1108">
        <v>1</v>
      </c>
      <c r="D1108" s="15">
        <v>0</v>
      </c>
      <c r="E1108" s="15">
        <v>1</v>
      </c>
      <c r="F1108" s="50" t="s">
        <v>1324</v>
      </c>
      <c r="G1108" s="70" t="s">
        <v>1325</v>
      </c>
    </row>
    <row r="1109" ht="14" customHeight="1" spans="1:7">
      <c r="A1109" s="69">
        <v>29083</v>
      </c>
      <c r="B1109">
        <v>1</v>
      </c>
      <c r="C1109">
        <v>1</v>
      </c>
      <c r="D1109" s="15">
        <v>0</v>
      </c>
      <c r="E1109" s="15">
        <v>1</v>
      </c>
      <c r="F1109" s="50" t="s">
        <v>1326</v>
      </c>
      <c r="G1109" s="70" t="s">
        <v>1327</v>
      </c>
    </row>
    <row r="1110" ht="14" customHeight="1" spans="1:7">
      <c r="A1110" s="69">
        <v>29084</v>
      </c>
      <c r="B1110">
        <v>1</v>
      </c>
      <c r="C1110">
        <v>1</v>
      </c>
      <c r="D1110" s="15">
        <v>0</v>
      </c>
      <c r="E1110" s="15">
        <v>1</v>
      </c>
      <c r="F1110" s="50" t="s">
        <v>1328</v>
      </c>
      <c r="G1110" s="70" t="s">
        <v>1329</v>
      </c>
    </row>
    <row r="1111" ht="14" customHeight="1" spans="1:7">
      <c r="A1111" s="69">
        <v>29085</v>
      </c>
      <c r="B1111">
        <v>1</v>
      </c>
      <c r="C1111">
        <v>1</v>
      </c>
      <c r="D1111" s="15">
        <v>0</v>
      </c>
      <c r="E1111" s="15">
        <v>1</v>
      </c>
      <c r="F1111" s="50" t="s">
        <v>1330</v>
      </c>
      <c r="G1111" s="70" t="s">
        <v>1331</v>
      </c>
    </row>
    <row r="1112" ht="14" customHeight="1" spans="1:7">
      <c r="A1112" s="69">
        <v>29086</v>
      </c>
      <c r="B1112">
        <v>1</v>
      </c>
      <c r="C1112">
        <v>1</v>
      </c>
      <c r="D1112" s="15">
        <v>0</v>
      </c>
      <c r="E1112" s="15">
        <v>1</v>
      </c>
      <c r="F1112" s="50" t="s">
        <v>1332</v>
      </c>
      <c r="G1112" s="70" t="s">
        <v>1333</v>
      </c>
    </row>
    <row r="1113" ht="14" customHeight="1" spans="1:7">
      <c r="A1113" s="69">
        <v>29087</v>
      </c>
      <c r="B1113">
        <v>1</v>
      </c>
      <c r="C1113">
        <v>1</v>
      </c>
      <c r="D1113" s="15">
        <v>0</v>
      </c>
      <c r="E1113" s="15">
        <v>1</v>
      </c>
      <c r="F1113" s="50" t="s">
        <v>1334</v>
      </c>
      <c r="G1113" s="70" t="s">
        <v>1335</v>
      </c>
    </row>
    <row r="1114" ht="14" customHeight="1" spans="1:7">
      <c r="A1114" s="69">
        <v>29088</v>
      </c>
      <c r="B1114">
        <v>1</v>
      </c>
      <c r="C1114">
        <v>1</v>
      </c>
      <c r="D1114" s="15">
        <v>0</v>
      </c>
      <c r="E1114" s="15">
        <v>1</v>
      </c>
      <c r="F1114" s="50" t="s">
        <v>1336</v>
      </c>
      <c r="G1114" s="70" t="s">
        <v>1337</v>
      </c>
    </row>
    <row r="1115" ht="14" customHeight="1" spans="1:7">
      <c r="A1115" s="69">
        <v>29089</v>
      </c>
      <c r="B1115">
        <v>1</v>
      </c>
      <c r="C1115">
        <v>1</v>
      </c>
      <c r="D1115" s="15">
        <v>0</v>
      </c>
      <c r="E1115" s="15">
        <v>1</v>
      </c>
      <c r="F1115" s="50" t="s">
        <v>1338</v>
      </c>
      <c r="G1115" s="70" t="s">
        <v>1339</v>
      </c>
    </row>
    <row r="1116" ht="14" customHeight="1" spans="1:7">
      <c r="A1116" s="69">
        <v>29090</v>
      </c>
      <c r="B1116">
        <v>1</v>
      </c>
      <c r="C1116">
        <v>1</v>
      </c>
      <c r="D1116" s="15">
        <v>0</v>
      </c>
      <c r="E1116" s="15">
        <v>1</v>
      </c>
      <c r="F1116" s="50" t="s">
        <v>1340</v>
      </c>
      <c r="G1116" s="70" t="s">
        <v>1341</v>
      </c>
    </row>
    <row r="1117" ht="14" customHeight="1" spans="1:7">
      <c r="A1117" s="69">
        <v>29091</v>
      </c>
      <c r="B1117">
        <v>1</v>
      </c>
      <c r="C1117">
        <v>1</v>
      </c>
      <c r="D1117" s="15">
        <v>0</v>
      </c>
      <c r="E1117" s="15">
        <v>1</v>
      </c>
      <c r="F1117" s="50" t="s">
        <v>1342</v>
      </c>
      <c r="G1117" s="70" t="s">
        <v>1343</v>
      </c>
    </row>
    <row r="1118" ht="14" customHeight="1" spans="1:7">
      <c r="A1118" s="69">
        <v>29092</v>
      </c>
      <c r="B1118">
        <v>1</v>
      </c>
      <c r="C1118">
        <v>1</v>
      </c>
      <c r="D1118" s="15">
        <v>0</v>
      </c>
      <c r="E1118" s="15">
        <v>1</v>
      </c>
      <c r="F1118" s="74" t="s">
        <v>1344</v>
      </c>
      <c r="G1118" s="70" t="s">
        <v>1345</v>
      </c>
    </row>
    <row r="1119" ht="14" customHeight="1" spans="1:7">
      <c r="A1119" s="69">
        <v>29093</v>
      </c>
      <c r="B1119">
        <v>1</v>
      </c>
      <c r="C1119">
        <v>1</v>
      </c>
      <c r="D1119" s="15">
        <v>0</v>
      </c>
      <c r="E1119" s="15">
        <v>1</v>
      </c>
      <c r="F1119" s="74" t="s">
        <v>1346</v>
      </c>
      <c r="G1119" s="70" t="s">
        <v>1347</v>
      </c>
    </row>
    <row r="1120" ht="14" customHeight="1" spans="1:7">
      <c r="A1120" s="69">
        <v>29094</v>
      </c>
      <c r="B1120">
        <v>1</v>
      </c>
      <c r="C1120">
        <v>1</v>
      </c>
      <c r="D1120" s="15">
        <v>0</v>
      </c>
      <c r="E1120" s="15">
        <v>1</v>
      </c>
      <c r="F1120" s="74" t="s">
        <v>1348</v>
      </c>
      <c r="G1120" s="70" t="s">
        <v>1349</v>
      </c>
    </row>
    <row r="1121" ht="14" customHeight="1" spans="1:7">
      <c r="A1121" s="69">
        <v>29095</v>
      </c>
      <c r="B1121">
        <v>1</v>
      </c>
      <c r="C1121">
        <v>1</v>
      </c>
      <c r="D1121" s="15">
        <v>0</v>
      </c>
      <c r="E1121" s="15">
        <v>1</v>
      </c>
      <c r="F1121" s="74" t="s">
        <v>1350</v>
      </c>
      <c r="G1121" s="70" t="s">
        <v>1351</v>
      </c>
    </row>
    <row r="1122" ht="14" customHeight="1" spans="1:7">
      <c r="A1122" s="69">
        <v>29096</v>
      </c>
      <c r="B1122">
        <v>1</v>
      </c>
      <c r="C1122">
        <v>1</v>
      </c>
      <c r="D1122" s="15">
        <v>0</v>
      </c>
      <c r="E1122" s="15">
        <v>1</v>
      </c>
      <c r="F1122" s="74" t="s">
        <v>1352</v>
      </c>
      <c r="G1122" s="70" t="s">
        <v>1353</v>
      </c>
    </row>
    <row r="1123" ht="14" customHeight="1" spans="1:7">
      <c r="A1123" s="69">
        <v>29097</v>
      </c>
      <c r="B1123">
        <v>1</v>
      </c>
      <c r="C1123">
        <v>1</v>
      </c>
      <c r="D1123" s="15">
        <v>0</v>
      </c>
      <c r="E1123" s="15">
        <v>1</v>
      </c>
      <c r="F1123" s="74" t="s">
        <v>1354</v>
      </c>
      <c r="G1123" s="70" t="s">
        <v>1355</v>
      </c>
    </row>
    <row r="1124" ht="14" customHeight="1" spans="1:7">
      <c r="A1124" s="69">
        <v>29098</v>
      </c>
      <c r="B1124">
        <v>1</v>
      </c>
      <c r="C1124">
        <v>1</v>
      </c>
      <c r="D1124" s="15">
        <v>0</v>
      </c>
      <c r="E1124" s="15">
        <v>1</v>
      </c>
      <c r="F1124" s="74" t="s">
        <v>1356</v>
      </c>
      <c r="G1124" s="70" t="s">
        <v>1357</v>
      </c>
    </row>
    <row r="1125" ht="14" customHeight="1" spans="1:7">
      <c r="A1125" s="69">
        <v>29099</v>
      </c>
      <c r="B1125">
        <v>1</v>
      </c>
      <c r="C1125">
        <v>1</v>
      </c>
      <c r="D1125" s="15">
        <v>0</v>
      </c>
      <c r="E1125" s="15">
        <v>1</v>
      </c>
      <c r="F1125" s="74" t="s">
        <v>1358</v>
      </c>
      <c r="G1125" s="70" t="s">
        <v>1359</v>
      </c>
    </row>
    <row r="1126" ht="14" customHeight="1" spans="1:7">
      <c r="A1126" s="69">
        <v>29100</v>
      </c>
      <c r="B1126">
        <v>1</v>
      </c>
      <c r="C1126">
        <v>1</v>
      </c>
      <c r="D1126" s="15">
        <v>0</v>
      </c>
      <c r="E1126" s="15">
        <v>1</v>
      </c>
      <c r="F1126" s="74" t="s">
        <v>1360</v>
      </c>
      <c r="G1126" s="70" t="s">
        <v>1361</v>
      </c>
    </row>
    <row r="1127" ht="14" customHeight="1" spans="1:7">
      <c r="A1127" s="69">
        <v>29101</v>
      </c>
      <c r="B1127">
        <v>1</v>
      </c>
      <c r="C1127">
        <v>1</v>
      </c>
      <c r="D1127" s="15">
        <v>0</v>
      </c>
      <c r="E1127" s="15">
        <v>1</v>
      </c>
      <c r="F1127" s="74" t="s">
        <v>1362</v>
      </c>
      <c r="G1127" s="70" t="s">
        <v>1363</v>
      </c>
    </row>
    <row r="1128" ht="14" customHeight="1" spans="1:7">
      <c r="A1128" s="69">
        <v>29102</v>
      </c>
      <c r="B1128">
        <v>1</v>
      </c>
      <c r="C1128">
        <v>1</v>
      </c>
      <c r="D1128" s="15">
        <v>0</v>
      </c>
      <c r="E1128" s="15">
        <v>1</v>
      </c>
      <c r="F1128" s="74" t="s">
        <v>1364</v>
      </c>
      <c r="G1128" s="70" t="s">
        <v>1365</v>
      </c>
    </row>
    <row r="1129" ht="14" customHeight="1" spans="1:7">
      <c r="A1129" s="69">
        <v>29103</v>
      </c>
      <c r="B1129">
        <v>1</v>
      </c>
      <c r="C1129">
        <v>1</v>
      </c>
      <c r="D1129" s="15">
        <v>0</v>
      </c>
      <c r="E1129" s="15">
        <v>1</v>
      </c>
      <c r="F1129" s="74" t="s">
        <v>1366</v>
      </c>
      <c r="G1129" s="70" t="s">
        <v>1367</v>
      </c>
    </row>
    <row r="1130" ht="14" customHeight="1" spans="1:7">
      <c r="A1130" s="69">
        <v>29104</v>
      </c>
      <c r="B1130">
        <v>1</v>
      </c>
      <c r="C1130">
        <v>1</v>
      </c>
      <c r="D1130" s="15">
        <v>0</v>
      </c>
      <c r="E1130" s="15">
        <v>1</v>
      </c>
      <c r="F1130" s="74" t="s">
        <v>1364</v>
      </c>
      <c r="G1130" s="70" t="s">
        <v>1365</v>
      </c>
    </row>
    <row r="1131" ht="14" customHeight="1" spans="1:7">
      <c r="A1131" s="69">
        <v>29105</v>
      </c>
      <c r="B1131">
        <v>1</v>
      </c>
      <c r="C1131">
        <v>1</v>
      </c>
      <c r="D1131" s="15">
        <v>0</v>
      </c>
      <c r="E1131" s="15">
        <v>1</v>
      </c>
      <c r="F1131" s="74" t="s">
        <v>1366</v>
      </c>
      <c r="G1131" s="70" t="s">
        <v>1367</v>
      </c>
    </row>
    <row r="1132" ht="14" customHeight="1" spans="1:7">
      <c r="A1132" s="69">
        <v>29106</v>
      </c>
      <c r="B1132">
        <v>1</v>
      </c>
      <c r="C1132">
        <v>1</v>
      </c>
      <c r="D1132" s="15">
        <v>0</v>
      </c>
      <c r="E1132" s="15">
        <v>1</v>
      </c>
      <c r="F1132" s="7" t="s">
        <v>1368</v>
      </c>
      <c r="G1132" s="70" t="s">
        <v>1369</v>
      </c>
    </row>
    <row r="1133" ht="14" customHeight="1" spans="1:7">
      <c r="A1133" s="69">
        <v>29107</v>
      </c>
      <c r="B1133">
        <v>1</v>
      </c>
      <c r="C1133">
        <v>1</v>
      </c>
      <c r="D1133" s="15">
        <v>0</v>
      </c>
      <c r="E1133" s="15">
        <v>1</v>
      </c>
      <c r="F1133" s="7" t="s">
        <v>1370</v>
      </c>
      <c r="G1133" s="70" t="s">
        <v>1371</v>
      </c>
    </row>
    <row r="1134" ht="14" customHeight="1" spans="1:7">
      <c r="A1134" s="69">
        <v>29108</v>
      </c>
      <c r="B1134">
        <v>1</v>
      </c>
      <c r="C1134">
        <v>1</v>
      </c>
      <c r="D1134" s="15">
        <v>0</v>
      </c>
      <c r="E1134" s="15">
        <v>1</v>
      </c>
      <c r="F1134" s="7" t="s">
        <v>1372</v>
      </c>
      <c r="G1134" s="70" t="s">
        <v>1373</v>
      </c>
    </row>
    <row r="1135" ht="14" customHeight="1" spans="1:7">
      <c r="A1135" s="69">
        <v>29109</v>
      </c>
      <c r="B1135">
        <v>1</v>
      </c>
      <c r="C1135">
        <v>1</v>
      </c>
      <c r="D1135" s="15">
        <v>0</v>
      </c>
      <c r="E1135" s="15">
        <v>1</v>
      </c>
      <c r="F1135" s="7" t="s">
        <v>1374</v>
      </c>
      <c r="G1135" s="70" t="s">
        <v>1375</v>
      </c>
    </row>
    <row r="1136" ht="14" customHeight="1" spans="1:7">
      <c r="A1136" s="69">
        <v>29110</v>
      </c>
      <c r="B1136">
        <v>1</v>
      </c>
      <c r="C1136">
        <v>1</v>
      </c>
      <c r="D1136" s="15">
        <v>0</v>
      </c>
      <c r="E1136" s="15">
        <v>1</v>
      </c>
      <c r="F1136" s="7" t="s">
        <v>1376</v>
      </c>
      <c r="G1136" s="70" t="s">
        <v>1377</v>
      </c>
    </row>
    <row r="1137" ht="14" customHeight="1" spans="1:7">
      <c r="A1137" s="69">
        <v>29111</v>
      </c>
      <c r="B1137">
        <v>1</v>
      </c>
      <c r="C1137">
        <v>1</v>
      </c>
      <c r="D1137" s="15">
        <v>0</v>
      </c>
      <c r="E1137" s="15">
        <v>1</v>
      </c>
      <c r="F1137" s="7" t="s">
        <v>1378</v>
      </c>
      <c r="G1137" s="70" t="s">
        <v>1379</v>
      </c>
    </row>
    <row r="1138" ht="14" customHeight="1" spans="1:7">
      <c r="A1138" s="69">
        <v>29112</v>
      </c>
      <c r="B1138">
        <v>1</v>
      </c>
      <c r="C1138">
        <v>1</v>
      </c>
      <c r="D1138" s="15">
        <v>0</v>
      </c>
      <c r="E1138" s="15">
        <v>1</v>
      </c>
      <c r="F1138" s="7" t="s">
        <v>1380</v>
      </c>
      <c r="G1138" s="70" t="s">
        <v>1381</v>
      </c>
    </row>
    <row r="1139" ht="14" customHeight="1" spans="1:7">
      <c r="A1139" s="69">
        <v>29113</v>
      </c>
      <c r="B1139">
        <v>1</v>
      </c>
      <c r="C1139">
        <v>1</v>
      </c>
      <c r="D1139" s="15">
        <v>0</v>
      </c>
      <c r="E1139" s="15">
        <v>1</v>
      </c>
      <c r="F1139" s="7" t="s">
        <v>1382</v>
      </c>
      <c r="G1139" s="70" t="s">
        <v>1383</v>
      </c>
    </row>
    <row r="1140" ht="14" customHeight="1" spans="1:7">
      <c r="A1140" s="69">
        <v>29114</v>
      </c>
      <c r="B1140">
        <v>1</v>
      </c>
      <c r="C1140">
        <v>1</v>
      </c>
      <c r="D1140" s="15">
        <v>0</v>
      </c>
      <c r="E1140" s="15">
        <v>1</v>
      </c>
      <c r="F1140" s="74" t="s">
        <v>1384</v>
      </c>
      <c r="G1140" s="70" t="s">
        <v>1365</v>
      </c>
    </row>
    <row r="1141" ht="14" customHeight="1" spans="1:7">
      <c r="A1141" s="69">
        <v>29115</v>
      </c>
      <c r="B1141">
        <v>1</v>
      </c>
      <c r="C1141">
        <v>1</v>
      </c>
      <c r="D1141" s="15">
        <v>0</v>
      </c>
      <c r="E1141" s="15">
        <v>1</v>
      </c>
      <c r="F1141" s="74" t="s">
        <v>1385</v>
      </c>
      <c r="G1141" s="70" t="s">
        <v>1367</v>
      </c>
    </row>
    <row r="1142" ht="15" customHeight="1" spans="1:7">
      <c r="A1142" s="69">
        <v>208104</v>
      </c>
      <c r="B1142">
        <v>1</v>
      </c>
      <c r="C1142">
        <v>1</v>
      </c>
      <c r="D1142" s="15">
        <v>0</v>
      </c>
      <c r="E1142" s="15">
        <v>1</v>
      </c>
      <c r="F1142" s="74" t="s">
        <v>1386</v>
      </c>
      <c r="G1142" s="70" t="s">
        <v>1169</v>
      </c>
    </row>
    <row r="1143" ht="15" customHeight="1" spans="1:7">
      <c r="A1143" s="69">
        <v>208105</v>
      </c>
      <c r="B1143">
        <v>1</v>
      </c>
      <c r="C1143">
        <v>1</v>
      </c>
      <c r="D1143" s="15">
        <v>0</v>
      </c>
      <c r="E1143" s="15">
        <v>1</v>
      </c>
      <c r="F1143" s="74" t="s">
        <v>1387</v>
      </c>
      <c r="G1143" s="70" t="s">
        <v>1171</v>
      </c>
    </row>
    <row r="1144" ht="15" customHeight="1" spans="1:7">
      <c r="A1144" s="69">
        <v>209094</v>
      </c>
      <c r="B1144">
        <v>1</v>
      </c>
      <c r="C1144">
        <v>1</v>
      </c>
      <c r="D1144" s="15">
        <v>0</v>
      </c>
      <c r="E1144" s="15">
        <v>1</v>
      </c>
      <c r="F1144" s="74" t="s">
        <v>1388</v>
      </c>
      <c r="G1144" s="70" t="s">
        <v>1349</v>
      </c>
    </row>
    <row r="1145" ht="14" customHeight="1" spans="1:7">
      <c r="A1145" s="69">
        <v>209095</v>
      </c>
      <c r="B1145">
        <v>1</v>
      </c>
      <c r="C1145">
        <v>1</v>
      </c>
      <c r="D1145" s="15">
        <v>0</v>
      </c>
      <c r="E1145" s="15">
        <v>1</v>
      </c>
      <c r="F1145" s="74" t="s">
        <v>1389</v>
      </c>
      <c r="G1145" s="70" t="s">
        <v>1351</v>
      </c>
    </row>
    <row r="1146" ht="14" customHeight="1" spans="1:7">
      <c r="A1146">
        <v>30001</v>
      </c>
      <c r="B1146">
        <v>1</v>
      </c>
      <c r="C1146">
        <v>1</v>
      </c>
      <c r="D1146" s="15">
        <v>0</v>
      </c>
      <c r="E1146" s="15">
        <v>1</v>
      </c>
      <c r="F1146" t="s">
        <v>1390</v>
      </c>
      <c r="G1146" t="s">
        <v>1391</v>
      </c>
    </row>
    <row r="1147" ht="14" customHeight="1" spans="1:7">
      <c r="A1147">
        <v>30002</v>
      </c>
      <c r="B1147">
        <v>1</v>
      </c>
      <c r="C1147">
        <v>1</v>
      </c>
      <c r="D1147" s="15">
        <v>0</v>
      </c>
      <c r="E1147" s="15">
        <v>1</v>
      </c>
      <c r="F1147" t="s">
        <v>1392</v>
      </c>
      <c r="G1147" t="s">
        <v>1391</v>
      </c>
    </row>
    <row r="1148" ht="14" customHeight="1" spans="1:7">
      <c r="A1148">
        <v>30003</v>
      </c>
      <c r="B1148">
        <v>1</v>
      </c>
      <c r="C1148">
        <v>1</v>
      </c>
      <c r="D1148" s="15">
        <v>0</v>
      </c>
      <c r="E1148" s="15">
        <v>1</v>
      </c>
      <c r="F1148" t="s">
        <v>1393</v>
      </c>
      <c r="G1148" t="s">
        <v>1391</v>
      </c>
    </row>
    <row r="1149" ht="14" customHeight="1" spans="1:7">
      <c r="A1149">
        <v>30004</v>
      </c>
      <c r="B1149">
        <v>1</v>
      </c>
      <c r="C1149">
        <v>1</v>
      </c>
      <c r="D1149" s="15">
        <v>0</v>
      </c>
      <c r="E1149" s="15">
        <v>1</v>
      </c>
      <c r="F1149" t="s">
        <v>1394</v>
      </c>
      <c r="G1149" t="s">
        <v>1391</v>
      </c>
    </row>
    <row r="1150" ht="14" customHeight="1" spans="1:7">
      <c r="A1150">
        <v>30005</v>
      </c>
      <c r="B1150">
        <v>1</v>
      </c>
      <c r="C1150">
        <v>1</v>
      </c>
      <c r="D1150">
        <v>0</v>
      </c>
      <c r="E1150">
        <v>1</v>
      </c>
      <c r="F1150" t="s">
        <v>1395</v>
      </c>
      <c r="G1150" t="s">
        <v>1391</v>
      </c>
    </row>
    <row r="1151" ht="14" customHeight="1" spans="1:7">
      <c r="A1151">
        <v>30006</v>
      </c>
      <c r="B1151">
        <v>1</v>
      </c>
      <c r="C1151">
        <v>1</v>
      </c>
      <c r="D1151">
        <v>0</v>
      </c>
      <c r="E1151">
        <v>1</v>
      </c>
      <c r="F1151" t="s">
        <v>1396</v>
      </c>
      <c r="G1151" t="s">
        <v>1391</v>
      </c>
    </row>
    <row r="1152" ht="14" customHeight="1" spans="1:7">
      <c r="A1152">
        <v>30007</v>
      </c>
      <c r="B1152">
        <v>1</v>
      </c>
      <c r="C1152">
        <v>1</v>
      </c>
      <c r="D1152">
        <v>0</v>
      </c>
      <c r="E1152">
        <v>1</v>
      </c>
      <c r="F1152" t="s">
        <v>1397</v>
      </c>
      <c r="G1152" t="s">
        <v>1391</v>
      </c>
    </row>
    <row r="1153" ht="14" customHeight="1" spans="1:7">
      <c r="A1153">
        <v>30008</v>
      </c>
      <c r="B1153">
        <v>1</v>
      </c>
      <c r="C1153">
        <v>1</v>
      </c>
      <c r="D1153">
        <v>0</v>
      </c>
      <c r="E1153">
        <v>1</v>
      </c>
      <c r="F1153" t="s">
        <v>1398</v>
      </c>
      <c r="G1153" t="s">
        <v>1391</v>
      </c>
    </row>
    <row r="1154" ht="14" customHeight="1" spans="1:7">
      <c r="A1154">
        <v>30009</v>
      </c>
      <c r="B1154">
        <v>1</v>
      </c>
      <c r="C1154">
        <v>1</v>
      </c>
      <c r="D1154">
        <v>0</v>
      </c>
      <c r="E1154">
        <v>1</v>
      </c>
      <c r="F1154" t="s">
        <v>1399</v>
      </c>
      <c r="G1154" t="s">
        <v>1391</v>
      </c>
    </row>
    <row r="1155" ht="14" customHeight="1" spans="1:7">
      <c r="A1155">
        <v>30010</v>
      </c>
      <c r="B1155">
        <v>1</v>
      </c>
      <c r="C1155">
        <v>1</v>
      </c>
      <c r="D1155">
        <v>0</v>
      </c>
      <c r="E1155">
        <v>1</v>
      </c>
      <c r="F1155" t="s">
        <v>1400</v>
      </c>
      <c r="G1155" t="s">
        <v>1391</v>
      </c>
    </row>
    <row r="1156" ht="14" customHeight="1" spans="1:7">
      <c r="A1156">
        <v>30011</v>
      </c>
      <c r="B1156">
        <v>1</v>
      </c>
      <c r="C1156">
        <v>1</v>
      </c>
      <c r="D1156">
        <v>0</v>
      </c>
      <c r="E1156">
        <v>1</v>
      </c>
      <c r="F1156" t="s">
        <v>1401</v>
      </c>
      <c r="G1156" t="s">
        <v>1391</v>
      </c>
    </row>
    <row r="1157" ht="14" customHeight="1" spans="1:7">
      <c r="A1157">
        <v>30012</v>
      </c>
      <c r="B1157">
        <v>1</v>
      </c>
      <c r="C1157">
        <v>1</v>
      </c>
      <c r="D1157">
        <v>0</v>
      </c>
      <c r="E1157">
        <v>1</v>
      </c>
      <c r="F1157" s="50" t="s">
        <v>1402</v>
      </c>
      <c r="G1157" t="s">
        <v>1391</v>
      </c>
    </row>
    <row r="1158" ht="14" customHeight="1" spans="1:7">
      <c r="A1158">
        <v>30013</v>
      </c>
      <c r="B1158">
        <v>1</v>
      </c>
      <c r="C1158">
        <v>1</v>
      </c>
      <c r="D1158">
        <v>0</v>
      </c>
      <c r="E1158">
        <v>1</v>
      </c>
      <c r="F1158" t="s">
        <v>1403</v>
      </c>
      <c r="G1158" t="s">
        <v>1391</v>
      </c>
    </row>
    <row r="1159" ht="14" customHeight="1" spans="1:7">
      <c r="A1159">
        <v>30014</v>
      </c>
      <c r="B1159">
        <v>1</v>
      </c>
      <c r="C1159">
        <v>1</v>
      </c>
      <c r="D1159">
        <v>0</v>
      </c>
      <c r="E1159">
        <v>1</v>
      </c>
      <c r="F1159" t="s">
        <v>1404</v>
      </c>
      <c r="G1159" t="s">
        <v>1391</v>
      </c>
    </row>
    <row r="1160" ht="14" customHeight="1" spans="1:7">
      <c r="A1160">
        <v>30015</v>
      </c>
      <c r="B1160">
        <v>1</v>
      </c>
      <c r="C1160">
        <v>1</v>
      </c>
      <c r="D1160">
        <v>0</v>
      </c>
      <c r="E1160">
        <v>1</v>
      </c>
      <c r="F1160" t="s">
        <v>1405</v>
      </c>
      <c r="G1160" t="s">
        <v>1391</v>
      </c>
    </row>
    <row r="1161" ht="14" customHeight="1" spans="1:7">
      <c r="A1161">
        <v>30016</v>
      </c>
      <c r="B1161">
        <v>1</v>
      </c>
      <c r="C1161">
        <v>1</v>
      </c>
      <c r="D1161">
        <v>0</v>
      </c>
      <c r="E1161">
        <v>1</v>
      </c>
      <c r="F1161" t="s">
        <v>1406</v>
      </c>
      <c r="G1161" t="s">
        <v>1391</v>
      </c>
    </row>
    <row r="1162" ht="14" customHeight="1" spans="1:7">
      <c r="A1162">
        <v>30017</v>
      </c>
      <c r="B1162">
        <v>1</v>
      </c>
      <c r="C1162">
        <v>1</v>
      </c>
      <c r="D1162">
        <v>0</v>
      </c>
      <c r="E1162">
        <v>1</v>
      </c>
      <c r="F1162" t="s">
        <v>1407</v>
      </c>
      <c r="G1162" t="s">
        <v>1391</v>
      </c>
    </row>
    <row r="1163" ht="14" customHeight="1" spans="1:7">
      <c r="A1163">
        <v>30018</v>
      </c>
      <c r="B1163">
        <v>1</v>
      </c>
      <c r="C1163">
        <v>1</v>
      </c>
      <c r="D1163">
        <v>0</v>
      </c>
      <c r="E1163">
        <v>1</v>
      </c>
      <c r="F1163" t="s">
        <v>1408</v>
      </c>
      <c r="G1163" t="s">
        <v>1391</v>
      </c>
    </row>
    <row r="1164" ht="14" customHeight="1" spans="1:7">
      <c r="A1164">
        <v>30019</v>
      </c>
      <c r="B1164">
        <v>1</v>
      </c>
      <c r="C1164">
        <v>1</v>
      </c>
      <c r="D1164">
        <v>0</v>
      </c>
      <c r="E1164">
        <v>1</v>
      </c>
      <c r="F1164" t="s">
        <v>1409</v>
      </c>
      <c r="G1164" t="s">
        <v>1391</v>
      </c>
    </row>
    <row r="1165" ht="14" customHeight="1" spans="1:7">
      <c r="A1165">
        <v>30020</v>
      </c>
      <c r="B1165">
        <v>1</v>
      </c>
      <c r="C1165">
        <v>1</v>
      </c>
      <c r="D1165">
        <v>0</v>
      </c>
      <c r="E1165">
        <v>1</v>
      </c>
      <c r="F1165" t="s">
        <v>1410</v>
      </c>
      <c r="G1165" t="s">
        <v>1391</v>
      </c>
    </row>
    <row r="1166" ht="14" customHeight="1" spans="1:7">
      <c r="A1166">
        <v>30021</v>
      </c>
      <c r="B1166">
        <v>1</v>
      </c>
      <c r="C1166">
        <v>1</v>
      </c>
      <c r="D1166">
        <v>0</v>
      </c>
      <c r="E1166">
        <v>1</v>
      </c>
      <c r="F1166" t="s">
        <v>1410</v>
      </c>
      <c r="G1166" t="s">
        <v>1391</v>
      </c>
    </row>
    <row r="1167" ht="14" customHeight="1" spans="1:7">
      <c r="A1167">
        <v>30022</v>
      </c>
      <c r="B1167">
        <v>1</v>
      </c>
      <c r="C1167">
        <v>1</v>
      </c>
      <c r="D1167">
        <v>0</v>
      </c>
      <c r="E1167">
        <v>1</v>
      </c>
      <c r="F1167" s="7" t="s">
        <v>1411</v>
      </c>
      <c r="G1167" t="s">
        <v>1391</v>
      </c>
    </row>
    <row r="1168" ht="14" customHeight="1" spans="1:7">
      <c r="A1168">
        <v>30023</v>
      </c>
      <c r="B1168">
        <v>1</v>
      </c>
      <c r="C1168">
        <v>1</v>
      </c>
      <c r="D1168">
        <v>0</v>
      </c>
      <c r="E1168">
        <v>1</v>
      </c>
      <c r="F1168" s="7" t="s">
        <v>1411</v>
      </c>
      <c r="G1168" t="s">
        <v>1391</v>
      </c>
    </row>
    <row r="1169" ht="14" customHeight="1" spans="1:8">
      <c r="A1169">
        <v>30024</v>
      </c>
      <c r="B1169">
        <v>1</v>
      </c>
      <c r="C1169">
        <v>1</v>
      </c>
      <c r="D1169">
        <v>0</v>
      </c>
      <c r="E1169">
        <v>1</v>
      </c>
      <c r="F1169" s="7" t="s">
        <v>1412</v>
      </c>
      <c r="G1169" t="s">
        <v>1391</v>
      </c>
    </row>
    <row r="1170" ht="14" customHeight="1" spans="1:8">
      <c r="A1170">
        <v>30037</v>
      </c>
      <c r="B1170">
        <v>2</v>
      </c>
      <c r="C1170">
        <v>2</v>
      </c>
      <c r="D1170">
        <v>1</v>
      </c>
      <c r="E1170">
        <v>2</v>
      </c>
      <c r="F1170" t="s">
        <v>1413</v>
      </c>
      <c r="G1170" t="s">
        <v>1391</v>
      </c>
      <c r="H1170" s="7" t="s">
        <v>1414</v>
      </c>
    </row>
    <row r="1171" ht="14" customHeight="1" spans="1:8">
      <c r="A1171">
        <v>30038</v>
      </c>
      <c r="B1171">
        <v>1</v>
      </c>
      <c r="C1171">
        <v>3</v>
      </c>
      <c r="D1171">
        <v>1</v>
      </c>
      <c r="E1171">
        <v>2</v>
      </c>
      <c r="F1171" s="7" t="s">
        <v>1415</v>
      </c>
      <c r="G1171" t="s">
        <v>1391</v>
      </c>
    </row>
    <row r="1172" ht="14" customHeight="1" spans="1:8">
      <c r="A1172">
        <v>30039</v>
      </c>
      <c r="B1172">
        <v>1</v>
      </c>
      <c r="C1172">
        <v>3</v>
      </c>
      <c r="D1172">
        <v>1</v>
      </c>
      <c r="E1172">
        <v>2</v>
      </c>
      <c r="F1172" s="7" t="s">
        <v>1416</v>
      </c>
      <c r="G1172" t="s">
        <v>1391</v>
      </c>
    </row>
    <row r="1173" ht="14" customHeight="1" spans="1:8">
      <c r="A1173">
        <v>30040</v>
      </c>
      <c r="B1173">
        <v>1</v>
      </c>
      <c r="C1173">
        <v>3</v>
      </c>
      <c r="D1173">
        <v>1</v>
      </c>
      <c r="E1173">
        <v>2</v>
      </c>
      <c r="F1173" s="7" t="s">
        <v>1417</v>
      </c>
      <c r="G1173" t="s">
        <v>1391</v>
      </c>
    </row>
    <row r="1174" ht="14" customHeight="1" spans="1:8">
      <c r="A1174">
        <v>30041</v>
      </c>
      <c r="B1174">
        <v>1</v>
      </c>
      <c r="C1174">
        <v>3</v>
      </c>
      <c r="D1174">
        <v>1</v>
      </c>
      <c r="E1174">
        <v>2</v>
      </c>
      <c r="F1174" s="7" t="s">
        <v>1418</v>
      </c>
      <c r="G1174" t="s">
        <v>1391</v>
      </c>
    </row>
    <row r="1175" ht="14" customHeight="1" spans="1:8">
      <c r="A1175">
        <v>30042</v>
      </c>
      <c r="B1175">
        <v>1</v>
      </c>
      <c r="C1175">
        <v>3</v>
      </c>
      <c r="D1175">
        <v>1</v>
      </c>
      <c r="E1175">
        <v>2</v>
      </c>
      <c r="F1175" s="7" t="s">
        <v>1419</v>
      </c>
      <c r="G1175" t="s">
        <v>1391</v>
      </c>
    </row>
    <row r="1176" ht="14" customHeight="1" spans="1:8">
      <c r="A1176">
        <v>30043</v>
      </c>
      <c r="B1176">
        <v>2</v>
      </c>
      <c r="C1176">
        <v>1</v>
      </c>
      <c r="D1176">
        <v>0</v>
      </c>
      <c r="E1176">
        <v>1</v>
      </c>
      <c r="F1176" s="7" t="s">
        <v>1420</v>
      </c>
      <c r="G1176" t="s">
        <v>1421</v>
      </c>
    </row>
    <row r="1177" ht="14" customHeight="1" spans="1:8">
      <c r="A1177">
        <v>30044</v>
      </c>
      <c r="B1177">
        <v>1</v>
      </c>
      <c r="C1177">
        <v>1</v>
      </c>
      <c r="D1177">
        <v>0</v>
      </c>
      <c r="E1177">
        <v>1</v>
      </c>
      <c r="F1177" s="7" t="s">
        <v>1422</v>
      </c>
      <c r="G1177" t="s">
        <v>1421</v>
      </c>
    </row>
    <row r="1178" ht="14" customHeight="1" spans="1:8">
      <c r="A1178">
        <v>30045</v>
      </c>
      <c r="B1178">
        <v>1</v>
      </c>
      <c r="C1178">
        <v>1</v>
      </c>
      <c r="D1178">
        <v>0</v>
      </c>
      <c r="E1178">
        <v>1</v>
      </c>
      <c r="F1178" s="7" t="s">
        <v>1423</v>
      </c>
      <c r="G1178" t="s">
        <v>1421</v>
      </c>
    </row>
    <row r="1179" ht="14" customHeight="1" spans="1:8">
      <c r="A1179">
        <v>30046</v>
      </c>
      <c r="B1179">
        <v>2</v>
      </c>
      <c r="C1179">
        <v>1</v>
      </c>
      <c r="D1179">
        <v>0</v>
      </c>
      <c r="E1179">
        <v>1</v>
      </c>
      <c r="F1179" t="s">
        <v>1424</v>
      </c>
      <c r="G1179" t="s">
        <v>1425</v>
      </c>
    </row>
    <row r="1180" ht="14" customHeight="1" spans="1:8">
      <c r="A1180">
        <v>30047</v>
      </c>
      <c r="B1180">
        <v>1</v>
      </c>
      <c r="C1180">
        <v>1</v>
      </c>
      <c r="D1180">
        <v>0</v>
      </c>
      <c r="E1180">
        <v>1</v>
      </c>
      <c r="F1180" s="7" t="s">
        <v>1426</v>
      </c>
      <c r="G1180" t="s">
        <v>1425</v>
      </c>
    </row>
    <row r="1181" ht="14" customHeight="1" spans="1:8">
      <c r="A1181">
        <v>30048</v>
      </c>
      <c r="B1181">
        <v>1</v>
      </c>
      <c r="C1181">
        <v>1</v>
      </c>
      <c r="D1181">
        <v>0</v>
      </c>
      <c r="E1181">
        <v>1</v>
      </c>
      <c r="F1181" s="7" t="s">
        <v>1427</v>
      </c>
      <c r="G1181" t="s">
        <v>1425</v>
      </c>
    </row>
    <row r="1182" ht="14" customHeight="1" spans="1:8">
      <c r="A1182">
        <v>30049</v>
      </c>
      <c r="B1182">
        <v>2</v>
      </c>
      <c r="C1182">
        <v>1</v>
      </c>
      <c r="D1182">
        <v>0</v>
      </c>
      <c r="E1182">
        <v>1</v>
      </c>
      <c r="F1182" s="7" t="s">
        <v>1428</v>
      </c>
      <c r="G1182" t="s">
        <v>1429</v>
      </c>
    </row>
    <row r="1183" ht="14" customHeight="1" spans="1:8">
      <c r="A1183">
        <v>30050</v>
      </c>
      <c r="B1183">
        <v>1</v>
      </c>
      <c r="C1183">
        <v>1</v>
      </c>
      <c r="D1183">
        <v>0</v>
      </c>
      <c r="E1183">
        <v>1</v>
      </c>
      <c r="F1183" s="7" t="s">
        <v>1430</v>
      </c>
      <c r="G1183" t="s">
        <v>1429</v>
      </c>
    </row>
    <row r="1184" ht="14" customHeight="1" spans="1:8">
      <c r="A1184">
        <v>30051</v>
      </c>
      <c r="B1184">
        <v>1</v>
      </c>
      <c r="C1184">
        <v>1</v>
      </c>
      <c r="D1184">
        <v>0</v>
      </c>
      <c r="E1184">
        <v>1</v>
      </c>
      <c r="F1184" s="7" t="s">
        <v>1431</v>
      </c>
      <c r="G1184" t="s">
        <v>1429</v>
      </c>
    </row>
    <row r="1185" ht="14" customHeight="1" spans="1:7">
      <c r="A1185">
        <v>30052</v>
      </c>
      <c r="B1185">
        <v>1</v>
      </c>
      <c r="C1185">
        <v>1</v>
      </c>
      <c r="D1185">
        <v>0</v>
      </c>
      <c r="E1185">
        <v>1</v>
      </c>
      <c r="F1185" t="s">
        <v>1432</v>
      </c>
    </row>
    <row r="1186" ht="14" customHeight="1" spans="1:7">
      <c r="A1186">
        <v>30053</v>
      </c>
      <c r="B1186">
        <v>1</v>
      </c>
      <c r="C1186">
        <v>1</v>
      </c>
      <c r="D1186">
        <v>0</v>
      </c>
      <c r="E1186">
        <v>1</v>
      </c>
      <c r="F1186" t="s">
        <v>1433</v>
      </c>
    </row>
    <row r="1187" ht="14" customHeight="1" spans="1:7">
      <c r="A1187">
        <v>30054</v>
      </c>
      <c r="B1187">
        <v>1</v>
      </c>
      <c r="C1187">
        <v>1</v>
      </c>
      <c r="D1187">
        <v>0</v>
      </c>
      <c r="E1187">
        <v>1</v>
      </c>
      <c r="F1187" t="s">
        <v>1434</v>
      </c>
    </row>
    <row r="1188" ht="14" customHeight="1" spans="1:7">
      <c r="A1188">
        <v>30055</v>
      </c>
      <c r="B1188">
        <v>1</v>
      </c>
      <c r="C1188">
        <v>1</v>
      </c>
      <c r="D1188">
        <v>0</v>
      </c>
      <c r="E1188">
        <v>1</v>
      </c>
      <c r="F1188" t="s">
        <v>1435</v>
      </c>
    </row>
    <row r="1189" ht="14" customHeight="1" spans="1:7">
      <c r="A1189">
        <v>30056</v>
      </c>
      <c r="B1189">
        <v>1</v>
      </c>
      <c r="C1189">
        <v>1</v>
      </c>
      <c r="D1189">
        <v>0</v>
      </c>
      <c r="E1189">
        <v>1</v>
      </c>
      <c r="F1189" t="s">
        <v>293</v>
      </c>
      <c r="G1189" t="s">
        <v>1436</v>
      </c>
    </row>
    <row r="1190" ht="14" customHeight="1" spans="1:7">
      <c r="A1190">
        <v>30057</v>
      </c>
      <c r="B1190">
        <v>1</v>
      </c>
      <c r="C1190">
        <v>1</v>
      </c>
      <c r="D1190">
        <v>0</v>
      </c>
      <c r="E1190">
        <v>1</v>
      </c>
      <c r="F1190" t="s">
        <v>959</v>
      </c>
      <c r="G1190" t="s">
        <v>1437</v>
      </c>
    </row>
    <row r="1191" ht="14" customHeight="1" spans="1:7">
      <c r="A1191">
        <v>30058</v>
      </c>
      <c r="B1191">
        <v>1</v>
      </c>
      <c r="C1191">
        <v>1</v>
      </c>
      <c r="D1191">
        <v>0</v>
      </c>
      <c r="E1191">
        <v>1</v>
      </c>
      <c r="F1191" t="s">
        <v>1438</v>
      </c>
      <c r="G1191" t="s">
        <v>1439</v>
      </c>
    </row>
    <row r="1192" ht="14" customHeight="1" spans="1:7">
      <c r="A1192">
        <v>30059</v>
      </c>
      <c r="B1192">
        <v>1</v>
      </c>
      <c r="C1192">
        <v>1</v>
      </c>
      <c r="D1192">
        <v>1</v>
      </c>
      <c r="E1192">
        <v>1</v>
      </c>
      <c r="F1192" t="s">
        <v>1440</v>
      </c>
      <c r="G1192" s="66" t="s">
        <v>1441</v>
      </c>
    </row>
    <row r="1193" ht="14" customHeight="1" spans="1:7">
      <c r="A1193">
        <v>30060</v>
      </c>
      <c r="B1193">
        <v>1</v>
      </c>
      <c r="C1193">
        <v>1</v>
      </c>
      <c r="D1193">
        <v>1</v>
      </c>
      <c r="E1193">
        <v>1</v>
      </c>
      <c r="F1193" t="s">
        <v>1442</v>
      </c>
      <c r="G1193" s="66" t="s">
        <v>1443</v>
      </c>
    </row>
    <row r="1194" ht="14" customHeight="1" spans="1:7">
      <c r="A1194">
        <v>30061</v>
      </c>
      <c r="B1194">
        <v>1</v>
      </c>
      <c r="C1194">
        <v>1</v>
      </c>
      <c r="D1194">
        <v>0</v>
      </c>
      <c r="E1194">
        <v>1</v>
      </c>
      <c r="F1194" t="s">
        <v>744</v>
      </c>
      <c r="G1194" s="66" t="s">
        <v>1444</v>
      </c>
    </row>
    <row r="1195" ht="14" customHeight="1" spans="1:7">
      <c r="A1195">
        <v>30062</v>
      </c>
      <c r="B1195">
        <v>1</v>
      </c>
      <c r="C1195">
        <v>1</v>
      </c>
      <c r="D1195">
        <v>0</v>
      </c>
      <c r="E1195">
        <v>1</v>
      </c>
      <c r="F1195" t="s">
        <v>1445</v>
      </c>
      <c r="G1195" s="66" t="s">
        <v>1444</v>
      </c>
    </row>
    <row r="1196" ht="14" customHeight="1" spans="1:7">
      <c r="A1196">
        <v>30063</v>
      </c>
      <c r="B1196">
        <v>1</v>
      </c>
      <c r="C1196">
        <v>1</v>
      </c>
      <c r="D1196">
        <v>0</v>
      </c>
      <c r="E1196">
        <v>1</v>
      </c>
      <c r="F1196" t="s">
        <v>1446</v>
      </c>
      <c r="G1196" s="66" t="s">
        <v>1444</v>
      </c>
    </row>
    <row r="1197" ht="14" customHeight="1" spans="1:7">
      <c r="A1197">
        <v>30064</v>
      </c>
      <c r="B1197">
        <v>1</v>
      </c>
      <c r="C1197">
        <v>1</v>
      </c>
      <c r="D1197">
        <v>0</v>
      </c>
      <c r="E1197">
        <v>1</v>
      </c>
      <c r="F1197" t="s">
        <v>1447</v>
      </c>
      <c r="G1197" s="66" t="s">
        <v>1444</v>
      </c>
    </row>
    <row r="1198" ht="14" customHeight="1" spans="1:7">
      <c r="A1198">
        <v>30065</v>
      </c>
      <c r="B1198">
        <v>1</v>
      </c>
      <c r="C1198">
        <v>1</v>
      </c>
      <c r="D1198">
        <v>0</v>
      </c>
      <c r="E1198">
        <v>1</v>
      </c>
      <c r="F1198" t="s">
        <v>1448</v>
      </c>
      <c r="G1198" s="66" t="s">
        <v>1444</v>
      </c>
    </row>
    <row r="1199" ht="14" customHeight="1" spans="1:7">
      <c r="A1199">
        <v>30066</v>
      </c>
      <c r="B1199">
        <v>1</v>
      </c>
      <c r="C1199">
        <v>1</v>
      </c>
      <c r="D1199">
        <v>0</v>
      </c>
      <c r="E1199">
        <v>1</v>
      </c>
      <c r="F1199" t="s">
        <v>1449</v>
      </c>
      <c r="G1199" s="66" t="s">
        <v>1444</v>
      </c>
    </row>
    <row r="1200" ht="14" customHeight="1" spans="1:7">
      <c r="A1200">
        <v>30067</v>
      </c>
      <c r="B1200">
        <v>2</v>
      </c>
      <c r="C1200">
        <v>1</v>
      </c>
      <c r="D1200">
        <v>0</v>
      </c>
      <c r="E1200">
        <v>1</v>
      </c>
      <c r="F1200" t="s">
        <v>1450</v>
      </c>
      <c r="G1200" s="66" t="s">
        <v>1451</v>
      </c>
    </row>
    <row r="1201" ht="14" customHeight="1" spans="1:7">
      <c r="A1201">
        <v>30068</v>
      </c>
      <c r="B1201">
        <v>1</v>
      </c>
      <c r="C1201">
        <v>4</v>
      </c>
      <c r="D1201">
        <v>0</v>
      </c>
      <c r="E1201">
        <v>1</v>
      </c>
      <c r="F1201" t="s">
        <v>1452</v>
      </c>
      <c r="G1201" s="66" t="s">
        <v>1453</v>
      </c>
    </row>
    <row r="1202" ht="14" customHeight="1" spans="1:7">
      <c r="A1202">
        <v>30069</v>
      </c>
      <c r="B1202">
        <v>1</v>
      </c>
      <c r="C1202">
        <v>4</v>
      </c>
      <c r="D1202">
        <v>0</v>
      </c>
      <c r="E1202">
        <v>1</v>
      </c>
      <c r="F1202" t="s">
        <v>1454</v>
      </c>
      <c r="G1202" s="66" t="s">
        <v>1453</v>
      </c>
    </row>
    <row r="1203" ht="14" customHeight="1" spans="1:7">
      <c r="A1203">
        <v>30070</v>
      </c>
      <c r="B1203">
        <v>1</v>
      </c>
      <c r="C1203">
        <v>4</v>
      </c>
      <c r="D1203">
        <v>0</v>
      </c>
      <c r="E1203">
        <v>1</v>
      </c>
      <c r="F1203" t="s">
        <v>1455</v>
      </c>
      <c r="G1203" s="66" t="s">
        <v>1453</v>
      </c>
    </row>
    <row r="1204" ht="14" customHeight="1" spans="1:7">
      <c r="A1204">
        <v>30071</v>
      </c>
      <c r="B1204">
        <v>1</v>
      </c>
      <c r="C1204">
        <v>4</v>
      </c>
      <c r="D1204">
        <v>0</v>
      </c>
      <c r="E1204">
        <v>1</v>
      </c>
      <c r="F1204" t="s">
        <v>583</v>
      </c>
      <c r="G1204" s="66" t="s">
        <v>1453</v>
      </c>
    </row>
    <row r="1205" ht="14" customHeight="1" spans="1:7">
      <c r="A1205">
        <v>30072</v>
      </c>
      <c r="B1205">
        <v>1</v>
      </c>
      <c r="C1205">
        <v>4</v>
      </c>
      <c r="D1205">
        <v>0</v>
      </c>
      <c r="E1205">
        <v>1</v>
      </c>
      <c r="F1205" t="s">
        <v>1456</v>
      </c>
      <c r="G1205" s="66" t="s">
        <v>1453</v>
      </c>
    </row>
    <row r="1206" ht="14" customHeight="1" spans="1:7">
      <c r="A1206">
        <v>30073</v>
      </c>
      <c r="B1206">
        <v>1</v>
      </c>
      <c r="C1206">
        <v>4</v>
      </c>
      <c r="D1206">
        <v>0</v>
      </c>
      <c r="E1206">
        <v>1</v>
      </c>
      <c r="F1206" t="s">
        <v>1457</v>
      </c>
      <c r="G1206" s="66" t="s">
        <v>1453</v>
      </c>
    </row>
    <row r="1207" ht="14" customHeight="1" spans="1:7">
      <c r="A1207">
        <v>30074</v>
      </c>
      <c r="B1207">
        <v>1</v>
      </c>
      <c r="C1207">
        <v>4</v>
      </c>
      <c r="D1207">
        <v>0</v>
      </c>
      <c r="E1207">
        <v>1</v>
      </c>
      <c r="F1207" t="s">
        <v>1458</v>
      </c>
      <c r="G1207" s="66" t="s">
        <v>1453</v>
      </c>
    </row>
    <row r="1208" ht="14" customHeight="1" spans="1:7">
      <c r="A1208">
        <v>30075</v>
      </c>
      <c r="B1208">
        <v>1</v>
      </c>
      <c r="C1208">
        <v>4</v>
      </c>
      <c r="D1208">
        <v>0</v>
      </c>
      <c r="E1208">
        <v>1</v>
      </c>
      <c r="F1208" t="s">
        <v>1459</v>
      </c>
      <c r="G1208" s="66" t="s">
        <v>1453</v>
      </c>
    </row>
    <row r="1209" ht="14" customHeight="1" spans="1:7">
      <c r="A1209">
        <v>30076</v>
      </c>
      <c r="B1209">
        <v>2</v>
      </c>
      <c r="C1209">
        <v>1</v>
      </c>
      <c r="D1209">
        <v>0</v>
      </c>
      <c r="E1209">
        <v>1</v>
      </c>
      <c r="F1209" t="s">
        <v>1460</v>
      </c>
      <c r="G1209" s="66" t="s">
        <v>1461</v>
      </c>
    </row>
    <row r="1210" ht="14" customHeight="1" spans="1:7">
      <c r="A1210">
        <v>30077</v>
      </c>
      <c r="B1210">
        <v>1</v>
      </c>
      <c r="C1210">
        <v>1</v>
      </c>
      <c r="D1210">
        <v>0</v>
      </c>
      <c r="E1210">
        <v>1</v>
      </c>
      <c r="F1210" t="s">
        <v>1452</v>
      </c>
      <c r="G1210" s="66" t="s">
        <v>1462</v>
      </c>
    </row>
    <row r="1211" ht="14" customHeight="1" spans="1:7">
      <c r="A1211">
        <v>30078</v>
      </c>
      <c r="B1211">
        <v>1</v>
      </c>
      <c r="C1211">
        <v>1</v>
      </c>
      <c r="D1211">
        <v>0</v>
      </c>
      <c r="E1211">
        <v>1</v>
      </c>
      <c r="F1211" t="s">
        <v>1454</v>
      </c>
      <c r="G1211" s="66" t="s">
        <v>1462</v>
      </c>
    </row>
    <row r="1212" ht="14" customHeight="1" spans="1:7">
      <c r="A1212">
        <v>30079</v>
      </c>
      <c r="B1212">
        <v>1</v>
      </c>
      <c r="C1212">
        <v>1</v>
      </c>
      <c r="D1212">
        <v>0</v>
      </c>
      <c r="E1212">
        <v>1</v>
      </c>
      <c r="F1212" t="s">
        <v>1455</v>
      </c>
      <c r="G1212" s="66" t="s">
        <v>1462</v>
      </c>
    </row>
    <row r="1213" ht="14" customHeight="1" spans="1:7">
      <c r="A1213">
        <v>30080</v>
      </c>
      <c r="B1213">
        <v>1</v>
      </c>
      <c r="C1213">
        <v>1</v>
      </c>
      <c r="D1213">
        <v>0</v>
      </c>
      <c r="E1213">
        <v>1</v>
      </c>
      <c r="F1213" t="s">
        <v>583</v>
      </c>
      <c r="G1213" s="66" t="s">
        <v>1462</v>
      </c>
    </row>
    <row r="1214" ht="14" customHeight="1" spans="1:7">
      <c r="A1214">
        <v>30081</v>
      </c>
      <c r="B1214">
        <v>1</v>
      </c>
      <c r="C1214">
        <v>1</v>
      </c>
      <c r="D1214">
        <v>0</v>
      </c>
      <c r="E1214">
        <v>1</v>
      </c>
      <c r="F1214" t="s">
        <v>1456</v>
      </c>
      <c r="G1214" s="66" t="s">
        <v>1462</v>
      </c>
    </row>
    <row r="1215" ht="14" customHeight="1" spans="1:7">
      <c r="A1215">
        <v>30082</v>
      </c>
      <c r="B1215">
        <v>1</v>
      </c>
      <c r="C1215">
        <v>1</v>
      </c>
      <c r="D1215">
        <v>0</v>
      </c>
      <c r="E1215">
        <v>1</v>
      </c>
      <c r="F1215" t="s">
        <v>1457</v>
      </c>
      <c r="G1215" s="66" t="s">
        <v>1462</v>
      </c>
    </row>
    <row r="1216" ht="14" customHeight="1" spans="1:7">
      <c r="A1216">
        <v>30083</v>
      </c>
      <c r="B1216">
        <v>1</v>
      </c>
      <c r="C1216">
        <v>1</v>
      </c>
      <c r="D1216">
        <v>0</v>
      </c>
      <c r="E1216">
        <v>1</v>
      </c>
      <c r="F1216" t="s">
        <v>1458</v>
      </c>
      <c r="G1216" s="66" t="s">
        <v>1462</v>
      </c>
    </row>
    <row r="1217" ht="14" customHeight="1" spans="1:7">
      <c r="A1217">
        <v>30084</v>
      </c>
      <c r="B1217">
        <v>1</v>
      </c>
      <c r="C1217">
        <v>1</v>
      </c>
      <c r="D1217">
        <v>0</v>
      </c>
      <c r="E1217">
        <v>1</v>
      </c>
      <c r="F1217" t="s">
        <v>1459</v>
      </c>
      <c r="G1217" s="66" t="s">
        <v>1462</v>
      </c>
    </row>
    <row r="1218" ht="14" customHeight="1" spans="1:7">
      <c r="A1218">
        <v>30085</v>
      </c>
      <c r="B1218">
        <v>1</v>
      </c>
      <c r="C1218">
        <v>1</v>
      </c>
      <c r="D1218">
        <v>0</v>
      </c>
      <c r="E1218">
        <v>1</v>
      </c>
      <c r="F1218" t="s">
        <v>1463</v>
      </c>
      <c r="G1218" s="66" t="s">
        <v>1464</v>
      </c>
    </row>
    <row r="1219" ht="14" customHeight="1" spans="1:7">
      <c r="A1219">
        <v>30086</v>
      </c>
      <c r="B1219">
        <v>1</v>
      </c>
      <c r="C1219">
        <v>1</v>
      </c>
      <c r="D1219">
        <v>0</v>
      </c>
      <c r="E1219">
        <v>1</v>
      </c>
      <c r="F1219" t="s">
        <v>1465</v>
      </c>
      <c r="G1219" s="66" t="s">
        <v>1466</v>
      </c>
    </row>
    <row r="1220" ht="14" customHeight="1" spans="1:7">
      <c r="A1220">
        <v>30087</v>
      </c>
      <c r="B1220">
        <v>1</v>
      </c>
      <c r="C1220">
        <v>1</v>
      </c>
      <c r="D1220">
        <v>0</v>
      </c>
      <c r="E1220">
        <v>1</v>
      </c>
      <c r="F1220" t="s">
        <v>1467</v>
      </c>
      <c r="G1220" s="66" t="s">
        <v>1468</v>
      </c>
    </row>
    <row r="1221" ht="14" customHeight="1" spans="1:7">
      <c r="A1221">
        <v>30088</v>
      </c>
      <c r="B1221">
        <v>1</v>
      </c>
      <c r="C1221">
        <v>1</v>
      </c>
      <c r="D1221">
        <v>0</v>
      </c>
      <c r="E1221">
        <v>1</v>
      </c>
      <c r="F1221" t="s">
        <v>1469</v>
      </c>
      <c r="G1221" s="66" t="s">
        <v>1470</v>
      </c>
    </row>
    <row r="1222" ht="14" customHeight="1" spans="1:7">
      <c r="A1222">
        <v>30089</v>
      </c>
      <c r="B1222">
        <v>1</v>
      </c>
      <c r="C1222">
        <v>1</v>
      </c>
      <c r="D1222">
        <v>0</v>
      </c>
      <c r="E1222">
        <v>1</v>
      </c>
      <c r="F1222" s="3" t="s">
        <v>1471</v>
      </c>
      <c r="G1222" s="66" t="s">
        <v>1472</v>
      </c>
    </row>
    <row r="1223" ht="14" customHeight="1" spans="1:7">
      <c r="A1223">
        <v>30090</v>
      </c>
      <c r="B1223">
        <v>1</v>
      </c>
      <c r="C1223">
        <v>1</v>
      </c>
      <c r="D1223">
        <v>0</v>
      </c>
      <c r="E1223">
        <v>1</v>
      </c>
      <c r="F1223" s="3" t="s">
        <v>1473</v>
      </c>
      <c r="G1223" s="66" t="s">
        <v>1474</v>
      </c>
    </row>
    <row r="1224" ht="14" customHeight="1" spans="1:7">
      <c r="A1224">
        <v>30091</v>
      </c>
      <c r="B1224">
        <v>1</v>
      </c>
      <c r="C1224">
        <v>1</v>
      </c>
      <c r="D1224">
        <v>0</v>
      </c>
      <c r="E1224">
        <v>1</v>
      </c>
      <c r="F1224" s="3" t="s">
        <v>1475</v>
      </c>
      <c r="G1224" s="66" t="s">
        <v>1476</v>
      </c>
    </row>
    <row r="1225" ht="14" customHeight="1" spans="1:7">
      <c r="A1225">
        <v>30092</v>
      </c>
      <c r="B1225">
        <v>1</v>
      </c>
      <c r="C1225">
        <v>1</v>
      </c>
      <c r="D1225">
        <v>0</v>
      </c>
      <c r="E1225">
        <v>1</v>
      </c>
      <c r="F1225" s="3" t="s">
        <v>1477</v>
      </c>
      <c r="G1225" s="66" t="s">
        <v>1478</v>
      </c>
    </row>
    <row r="1226" ht="14" customHeight="1" spans="1:7">
      <c r="A1226">
        <v>30093</v>
      </c>
      <c r="B1226">
        <v>1</v>
      </c>
      <c r="C1226">
        <v>1</v>
      </c>
      <c r="D1226">
        <v>1</v>
      </c>
      <c r="E1226">
        <v>1</v>
      </c>
      <c r="F1226" s="3" t="s">
        <v>432</v>
      </c>
      <c r="G1226" s="66" t="s">
        <v>1479</v>
      </c>
    </row>
    <row r="1227" ht="14" customHeight="1" spans="1:7">
      <c r="A1227">
        <v>30094</v>
      </c>
      <c r="B1227">
        <v>2</v>
      </c>
      <c r="C1227">
        <v>2</v>
      </c>
      <c r="D1227">
        <v>1</v>
      </c>
      <c r="E1227">
        <v>1</v>
      </c>
      <c r="F1227" s="3" t="s">
        <v>1480</v>
      </c>
      <c r="G1227" s="66" t="s">
        <v>1481</v>
      </c>
    </row>
    <row r="1228" ht="14" customHeight="1" spans="1:7">
      <c r="A1228">
        <v>30095</v>
      </c>
      <c r="B1228">
        <v>1</v>
      </c>
      <c r="C1228">
        <v>1</v>
      </c>
      <c r="D1228">
        <v>1</v>
      </c>
      <c r="E1228">
        <v>1</v>
      </c>
      <c r="F1228" s="3" t="s">
        <v>1482</v>
      </c>
      <c r="G1228" s="66" t="s">
        <v>1483</v>
      </c>
    </row>
    <row r="1229" ht="14" customHeight="1" spans="1:7">
      <c r="A1229">
        <v>30096</v>
      </c>
      <c r="B1229">
        <v>1</v>
      </c>
      <c r="C1229">
        <v>1</v>
      </c>
      <c r="D1229">
        <v>1</v>
      </c>
      <c r="E1229">
        <v>1</v>
      </c>
      <c r="F1229" s="3" t="s">
        <v>1484</v>
      </c>
      <c r="G1229" s="66" t="s">
        <v>1485</v>
      </c>
    </row>
    <row r="1230" ht="14" customHeight="1" spans="1:7">
      <c r="A1230">
        <v>30097</v>
      </c>
      <c r="B1230">
        <v>1</v>
      </c>
      <c r="C1230">
        <v>1</v>
      </c>
      <c r="D1230">
        <v>1</v>
      </c>
      <c r="E1230">
        <v>1</v>
      </c>
      <c r="F1230" s="3" t="s">
        <v>1486</v>
      </c>
      <c r="G1230" s="66" t="s">
        <v>1487</v>
      </c>
    </row>
    <row r="1231" ht="14" customHeight="1" spans="1:7">
      <c r="A1231">
        <v>30098</v>
      </c>
      <c r="B1231">
        <v>1</v>
      </c>
      <c r="C1231">
        <v>1</v>
      </c>
      <c r="D1231">
        <v>1</v>
      </c>
      <c r="E1231">
        <v>1</v>
      </c>
      <c r="F1231" s="3" t="s">
        <v>1488</v>
      </c>
      <c r="G1231" s="66" t="s">
        <v>1489</v>
      </c>
    </row>
    <row r="1232" ht="14" customHeight="1" spans="1:7">
      <c r="A1232">
        <v>30099</v>
      </c>
      <c r="B1232">
        <v>1</v>
      </c>
      <c r="C1232">
        <v>1</v>
      </c>
      <c r="D1232">
        <v>1</v>
      </c>
      <c r="E1232">
        <v>1</v>
      </c>
      <c r="F1232" s="3" t="s">
        <v>1490</v>
      </c>
      <c r="G1232" t="s">
        <v>1491</v>
      </c>
    </row>
    <row r="1233" ht="14" customHeight="1" spans="1:7">
      <c r="A1233">
        <v>30100</v>
      </c>
      <c r="B1233">
        <v>1</v>
      </c>
      <c r="C1233">
        <v>1</v>
      </c>
      <c r="D1233">
        <v>1</v>
      </c>
      <c r="E1233">
        <v>1</v>
      </c>
      <c r="F1233" t="s">
        <v>1492</v>
      </c>
      <c r="G1233" t="s">
        <v>1493</v>
      </c>
    </row>
    <row r="1234" ht="14" customHeight="1" spans="1:7">
      <c r="A1234">
        <v>30101</v>
      </c>
      <c r="B1234">
        <v>1</v>
      </c>
      <c r="C1234">
        <v>1</v>
      </c>
      <c r="D1234">
        <v>1</v>
      </c>
      <c r="E1234">
        <v>1</v>
      </c>
      <c r="F1234" t="s">
        <v>1494</v>
      </c>
      <c r="G1234" s="66" t="s">
        <v>1495</v>
      </c>
    </row>
    <row r="1235" ht="14" customHeight="1" spans="1:7">
      <c r="A1235">
        <v>30102</v>
      </c>
      <c r="B1235">
        <v>1</v>
      </c>
      <c r="C1235">
        <v>1</v>
      </c>
      <c r="D1235">
        <v>1</v>
      </c>
      <c r="E1235">
        <v>1</v>
      </c>
      <c r="F1235" t="s">
        <v>1496</v>
      </c>
      <c r="G1235" s="66" t="s">
        <v>1495</v>
      </c>
    </row>
    <row r="1236" ht="14" customHeight="1" spans="1:7">
      <c r="A1236">
        <v>30103</v>
      </c>
      <c r="B1236">
        <v>1</v>
      </c>
      <c r="C1236">
        <v>1</v>
      </c>
      <c r="D1236">
        <v>1</v>
      </c>
      <c r="E1236">
        <v>1</v>
      </c>
      <c r="F1236" t="s">
        <v>1497</v>
      </c>
      <c r="G1236" s="66" t="s">
        <v>1495</v>
      </c>
    </row>
    <row r="1237" ht="14" customHeight="1" spans="1:7">
      <c r="A1237">
        <v>30104</v>
      </c>
      <c r="B1237">
        <v>1</v>
      </c>
      <c r="C1237">
        <v>1</v>
      </c>
      <c r="D1237">
        <v>1</v>
      </c>
      <c r="E1237">
        <v>1</v>
      </c>
      <c r="F1237" t="s">
        <v>1498</v>
      </c>
      <c r="G1237" t="s">
        <v>1499</v>
      </c>
    </row>
    <row r="1238" ht="14" customHeight="1" spans="1:7">
      <c r="A1238">
        <v>30105</v>
      </c>
      <c r="B1238">
        <v>1</v>
      </c>
      <c r="C1238">
        <v>1</v>
      </c>
      <c r="D1238">
        <v>1</v>
      </c>
      <c r="E1238">
        <v>1</v>
      </c>
      <c r="F1238" s="7" t="s">
        <v>1500</v>
      </c>
      <c r="G1238" s="66" t="s">
        <v>1501</v>
      </c>
    </row>
    <row r="1239" ht="14" customHeight="1" spans="1:7">
      <c r="A1239">
        <v>30106</v>
      </c>
      <c r="B1239">
        <v>1</v>
      </c>
      <c r="C1239">
        <v>1</v>
      </c>
      <c r="D1239">
        <v>1</v>
      </c>
      <c r="E1239">
        <v>1</v>
      </c>
      <c r="F1239" s="7" t="s">
        <v>1502</v>
      </c>
      <c r="G1239" s="66" t="s">
        <v>1501</v>
      </c>
    </row>
    <row r="1240" ht="14" customHeight="1" spans="1:7">
      <c r="A1240">
        <v>30107</v>
      </c>
      <c r="B1240">
        <v>1</v>
      </c>
      <c r="C1240">
        <v>1</v>
      </c>
      <c r="D1240">
        <v>1</v>
      </c>
      <c r="E1240">
        <v>1</v>
      </c>
      <c r="F1240" s="7" t="s">
        <v>1503</v>
      </c>
      <c r="G1240" s="66" t="s">
        <v>1501</v>
      </c>
    </row>
    <row r="1241" ht="14" customHeight="1" spans="1:7">
      <c r="A1241">
        <v>30108</v>
      </c>
      <c r="B1241">
        <v>1</v>
      </c>
      <c r="C1241">
        <v>1</v>
      </c>
      <c r="D1241">
        <v>1</v>
      </c>
      <c r="E1241">
        <v>1</v>
      </c>
      <c r="F1241" s="7" t="s">
        <v>1504</v>
      </c>
      <c r="G1241" s="66" t="s">
        <v>1501</v>
      </c>
    </row>
    <row r="1242" ht="14" customHeight="1" spans="1:7">
      <c r="A1242" s="75">
        <v>30109</v>
      </c>
      <c r="B1242" s="75">
        <v>1</v>
      </c>
      <c r="C1242" s="75">
        <v>1</v>
      </c>
      <c r="D1242" s="75">
        <v>1</v>
      </c>
      <c r="E1242" s="75">
        <v>1</v>
      </c>
      <c r="F1242" s="76" t="s">
        <v>1505</v>
      </c>
      <c r="G1242" s="77" t="s">
        <v>1506</v>
      </c>
    </row>
    <row r="1243" ht="14" customHeight="1" spans="1:7">
      <c r="A1243">
        <v>30110</v>
      </c>
      <c r="B1243">
        <v>1</v>
      </c>
      <c r="C1243">
        <v>1</v>
      </c>
      <c r="D1243">
        <v>0</v>
      </c>
      <c r="E1243">
        <v>1</v>
      </c>
      <c r="F1243" s="7" t="s">
        <v>1507</v>
      </c>
      <c r="G1243" s="66" t="s">
        <v>1506</v>
      </c>
    </row>
    <row r="1244" ht="14" customHeight="1" spans="1:7">
      <c r="A1244">
        <v>30111</v>
      </c>
      <c r="B1244">
        <v>1</v>
      </c>
      <c r="C1244">
        <v>1</v>
      </c>
      <c r="D1244">
        <v>0</v>
      </c>
      <c r="E1244">
        <v>1</v>
      </c>
      <c r="F1244" s="7" t="s">
        <v>1508</v>
      </c>
      <c r="G1244" s="66" t="s">
        <v>1509</v>
      </c>
    </row>
    <row r="1245" ht="14" customHeight="1" spans="1:7">
      <c r="A1245">
        <v>30112</v>
      </c>
      <c r="B1245">
        <v>1</v>
      </c>
      <c r="C1245">
        <v>1</v>
      </c>
      <c r="D1245">
        <v>0</v>
      </c>
      <c r="E1245">
        <v>1</v>
      </c>
      <c r="F1245" s="7" t="s">
        <v>1510</v>
      </c>
      <c r="G1245" s="66" t="s">
        <v>1509</v>
      </c>
    </row>
    <row r="1246" ht="14" customHeight="1" spans="1:7">
      <c r="A1246">
        <v>30113</v>
      </c>
      <c r="B1246">
        <v>1</v>
      </c>
      <c r="C1246">
        <v>1</v>
      </c>
      <c r="D1246">
        <v>0</v>
      </c>
      <c r="E1246">
        <v>1</v>
      </c>
      <c r="F1246" s="7" t="s">
        <v>1511</v>
      </c>
      <c r="G1246" s="66" t="s">
        <v>1512</v>
      </c>
    </row>
    <row r="1247" ht="14" customHeight="1" spans="1:7">
      <c r="A1247">
        <v>30114</v>
      </c>
      <c r="B1247">
        <v>1</v>
      </c>
      <c r="C1247">
        <v>1</v>
      </c>
      <c r="D1247">
        <v>0</v>
      </c>
      <c r="E1247">
        <v>1</v>
      </c>
      <c r="F1247" s="7" t="s">
        <v>1511</v>
      </c>
      <c r="G1247" s="66" t="s">
        <v>1512</v>
      </c>
    </row>
    <row r="1248" ht="14" customHeight="1" spans="1:7">
      <c r="A1248">
        <v>30115</v>
      </c>
      <c r="B1248">
        <v>1</v>
      </c>
      <c r="C1248">
        <v>1</v>
      </c>
      <c r="D1248">
        <v>0</v>
      </c>
      <c r="E1248">
        <v>1</v>
      </c>
      <c r="F1248" s="7" t="s">
        <v>1513</v>
      </c>
      <c r="G1248" s="66" t="s">
        <v>1512</v>
      </c>
    </row>
    <row r="1249" ht="14" customHeight="1" spans="1:8">
      <c r="A1249">
        <v>30116</v>
      </c>
      <c r="B1249">
        <v>1</v>
      </c>
      <c r="C1249">
        <v>1</v>
      </c>
      <c r="D1249">
        <v>0</v>
      </c>
      <c r="E1249">
        <v>1</v>
      </c>
      <c r="F1249" s="7" t="s">
        <v>1513</v>
      </c>
      <c r="G1249" s="66" t="s">
        <v>1512</v>
      </c>
    </row>
    <row r="1250" ht="14" customHeight="1" spans="1:8">
      <c r="A1250">
        <v>30117</v>
      </c>
      <c r="B1250">
        <v>1</v>
      </c>
      <c r="C1250">
        <v>1</v>
      </c>
      <c r="D1250">
        <v>0</v>
      </c>
      <c r="E1250">
        <v>1</v>
      </c>
      <c r="F1250" s="7" t="s">
        <v>1513</v>
      </c>
      <c r="G1250" s="66" t="s">
        <v>1512</v>
      </c>
    </row>
    <row r="1251" ht="14" customHeight="1" spans="1:8">
      <c r="A1251">
        <v>30118</v>
      </c>
      <c r="B1251">
        <v>1</v>
      </c>
      <c r="C1251">
        <v>1</v>
      </c>
      <c r="D1251">
        <v>0</v>
      </c>
      <c r="E1251">
        <v>1</v>
      </c>
      <c r="F1251" s="7" t="s">
        <v>1514</v>
      </c>
      <c r="G1251" s="66" t="s">
        <v>1512</v>
      </c>
    </row>
    <row r="1252" ht="14" customHeight="1" spans="1:8">
      <c r="A1252">
        <v>30119</v>
      </c>
      <c r="B1252">
        <v>1</v>
      </c>
      <c r="C1252">
        <v>1</v>
      </c>
      <c r="D1252">
        <v>0</v>
      </c>
      <c r="E1252">
        <v>1</v>
      </c>
      <c r="F1252" s="7" t="s">
        <v>1514</v>
      </c>
      <c r="G1252" s="66" t="s">
        <v>1512</v>
      </c>
    </row>
    <row r="1253" ht="14" customHeight="1" spans="1:8">
      <c r="A1253">
        <v>30120</v>
      </c>
      <c r="B1253">
        <v>1</v>
      </c>
      <c r="C1253">
        <v>1</v>
      </c>
      <c r="D1253">
        <v>0</v>
      </c>
      <c r="E1253">
        <v>1</v>
      </c>
      <c r="F1253" s="7" t="s">
        <v>1514</v>
      </c>
      <c r="G1253" s="66" t="s">
        <v>1512</v>
      </c>
    </row>
    <row r="1254" ht="14" customHeight="1" spans="1:8">
      <c r="A1254" s="75">
        <v>30121</v>
      </c>
      <c r="B1254" s="75">
        <v>1</v>
      </c>
      <c r="C1254" s="75">
        <v>1</v>
      </c>
      <c r="D1254" s="75">
        <v>1</v>
      </c>
      <c r="E1254" s="75">
        <v>1</v>
      </c>
      <c r="F1254" s="76" t="s">
        <v>1515</v>
      </c>
      <c r="G1254" s="77" t="s">
        <v>1516</v>
      </c>
    </row>
    <row r="1255" ht="14" customHeight="1" spans="1:8">
      <c r="A1255">
        <v>30122</v>
      </c>
      <c r="B1255">
        <v>1</v>
      </c>
      <c r="C1255">
        <v>1</v>
      </c>
      <c r="D1255">
        <v>0</v>
      </c>
      <c r="E1255">
        <v>1</v>
      </c>
      <c r="F1255" s="7" t="s">
        <v>1517</v>
      </c>
      <c r="G1255" s="66" t="s">
        <v>1516</v>
      </c>
    </row>
    <row r="1256" ht="14" customHeight="1" spans="1:8">
      <c r="A1256">
        <v>30123</v>
      </c>
      <c r="B1256">
        <v>1</v>
      </c>
      <c r="C1256">
        <v>1</v>
      </c>
      <c r="D1256">
        <v>0</v>
      </c>
      <c r="E1256">
        <v>1</v>
      </c>
      <c r="F1256" s="7" t="s">
        <v>1518</v>
      </c>
      <c r="G1256" s="66" t="s">
        <v>1516</v>
      </c>
    </row>
    <row r="1257" ht="14" customHeight="1" spans="1:8">
      <c r="A1257">
        <v>30124</v>
      </c>
      <c r="B1257">
        <v>1</v>
      </c>
      <c r="C1257">
        <v>1</v>
      </c>
      <c r="D1257">
        <v>0</v>
      </c>
      <c r="E1257">
        <v>1</v>
      </c>
      <c r="F1257" s="7" t="s">
        <v>1519</v>
      </c>
      <c r="G1257" s="66" t="s">
        <v>1437</v>
      </c>
    </row>
    <row r="1258" ht="14" customHeight="1" spans="1:8">
      <c r="A1258">
        <v>30125</v>
      </c>
      <c r="B1258">
        <v>1</v>
      </c>
      <c r="C1258">
        <v>1</v>
      </c>
      <c r="D1258">
        <v>0</v>
      </c>
      <c r="E1258">
        <v>1</v>
      </c>
      <c r="F1258" s="7" t="s">
        <v>1520</v>
      </c>
      <c r="G1258" s="66" t="s">
        <v>1521</v>
      </c>
    </row>
    <row r="1259" ht="14" customHeight="1" spans="1:8">
      <c r="A1259">
        <v>30126</v>
      </c>
      <c r="B1259">
        <v>1</v>
      </c>
      <c r="C1259">
        <v>1</v>
      </c>
      <c r="D1259">
        <v>0</v>
      </c>
      <c r="E1259">
        <v>1</v>
      </c>
      <c r="F1259" s="7" t="s">
        <v>1519</v>
      </c>
      <c r="G1259" s="66" t="s">
        <v>1437</v>
      </c>
    </row>
    <row r="1260" ht="14" customHeight="1" spans="1:8">
      <c r="A1260">
        <v>30127</v>
      </c>
      <c r="B1260">
        <v>1</v>
      </c>
      <c r="C1260">
        <v>1</v>
      </c>
      <c r="D1260">
        <v>0</v>
      </c>
      <c r="E1260">
        <v>1</v>
      </c>
      <c r="F1260" s="7" t="s">
        <v>1522</v>
      </c>
      <c r="G1260" s="66" t="s">
        <v>1521</v>
      </c>
    </row>
    <row r="1261" ht="14" customHeight="1" spans="1:8">
      <c r="A1261">
        <v>30128</v>
      </c>
      <c r="B1261">
        <v>1</v>
      </c>
      <c r="C1261">
        <v>1</v>
      </c>
      <c r="D1261">
        <v>0</v>
      </c>
      <c r="E1261">
        <v>1</v>
      </c>
      <c r="F1261" s="7" t="s">
        <v>1523</v>
      </c>
      <c r="G1261" s="66" t="s">
        <v>1521</v>
      </c>
    </row>
    <row r="1262" ht="14" customHeight="1" spans="1:8">
      <c r="A1262">
        <v>30129</v>
      </c>
      <c r="B1262">
        <v>1</v>
      </c>
      <c r="C1262">
        <v>1</v>
      </c>
      <c r="D1262">
        <v>0</v>
      </c>
      <c r="E1262">
        <v>1</v>
      </c>
      <c r="F1262" s="7" t="s">
        <v>1524</v>
      </c>
      <c r="G1262" s="66" t="s">
        <v>1437</v>
      </c>
    </row>
    <row r="1263" ht="14" customHeight="1" spans="1:8">
      <c r="A1263">
        <v>30130</v>
      </c>
      <c r="B1263">
        <v>1</v>
      </c>
      <c r="C1263">
        <v>1</v>
      </c>
      <c r="D1263">
        <v>0</v>
      </c>
      <c r="E1263">
        <v>1</v>
      </c>
      <c r="F1263" s="7" t="s">
        <v>1525</v>
      </c>
      <c r="G1263" s="66" t="s">
        <v>1437</v>
      </c>
      <c r="H1263" s="7"/>
    </row>
    <row r="1264" ht="14" customHeight="1" spans="1:8">
      <c r="A1264">
        <v>30131</v>
      </c>
      <c r="B1264">
        <v>1</v>
      </c>
      <c r="C1264">
        <v>1</v>
      </c>
      <c r="D1264">
        <v>0</v>
      </c>
      <c r="E1264">
        <v>1</v>
      </c>
      <c r="F1264" s="7" t="s">
        <v>1525</v>
      </c>
      <c r="G1264" s="66" t="s">
        <v>1437</v>
      </c>
      <c r="H1264" s="7"/>
    </row>
    <row r="1265" ht="14" customHeight="1" spans="1:8">
      <c r="A1265">
        <v>30132</v>
      </c>
      <c r="B1265">
        <v>1</v>
      </c>
      <c r="C1265">
        <v>1</v>
      </c>
      <c r="D1265">
        <v>0</v>
      </c>
      <c r="E1265">
        <v>1</v>
      </c>
      <c r="F1265" s="7" t="s">
        <v>1525</v>
      </c>
      <c r="G1265" s="66" t="s">
        <v>1437</v>
      </c>
      <c r="H1265" s="7" t="s">
        <v>1526</v>
      </c>
    </row>
    <row r="1266" ht="14" customHeight="1" spans="1:8">
      <c r="A1266" s="75">
        <v>30133</v>
      </c>
      <c r="B1266" s="75">
        <v>1</v>
      </c>
      <c r="C1266" s="75">
        <v>1</v>
      </c>
      <c r="D1266" s="75">
        <v>1</v>
      </c>
      <c r="E1266" s="75">
        <v>1</v>
      </c>
      <c r="F1266" s="76" t="s">
        <v>1527</v>
      </c>
      <c r="G1266" s="77" t="s">
        <v>1528</v>
      </c>
      <c r="H1266" s="7"/>
    </row>
    <row r="1267" ht="14" customHeight="1" spans="1:8">
      <c r="A1267">
        <v>30134</v>
      </c>
      <c r="B1267">
        <v>1</v>
      </c>
      <c r="C1267">
        <v>1</v>
      </c>
      <c r="D1267">
        <v>0</v>
      </c>
      <c r="E1267">
        <v>1</v>
      </c>
      <c r="F1267" s="7" t="s">
        <v>1529</v>
      </c>
      <c r="G1267" s="66" t="s">
        <v>1528</v>
      </c>
      <c r="H1267" s="7"/>
    </row>
    <row r="1268" ht="14" customHeight="1" spans="1:8">
      <c r="A1268">
        <v>30135</v>
      </c>
      <c r="B1268">
        <v>1</v>
      </c>
      <c r="C1268">
        <v>1</v>
      </c>
      <c r="D1268">
        <v>0</v>
      </c>
      <c r="E1268">
        <v>1</v>
      </c>
      <c r="F1268" s="7" t="s">
        <v>1514</v>
      </c>
      <c r="G1268" s="66" t="s">
        <v>1439</v>
      </c>
      <c r="H1268" s="7" t="s">
        <v>1526</v>
      </c>
    </row>
    <row r="1269" ht="14" customHeight="1" spans="1:8">
      <c r="A1269">
        <v>30136</v>
      </c>
      <c r="B1269">
        <v>1</v>
      </c>
      <c r="C1269">
        <v>1</v>
      </c>
      <c r="D1269">
        <v>0</v>
      </c>
      <c r="E1269">
        <v>1</v>
      </c>
      <c r="F1269" s="7" t="s">
        <v>1530</v>
      </c>
      <c r="G1269" s="66" t="s">
        <v>1528</v>
      </c>
      <c r="H1269" s="7"/>
    </row>
    <row r="1270" ht="14" customHeight="1" spans="1:8">
      <c r="A1270">
        <v>30137</v>
      </c>
      <c r="B1270">
        <v>1</v>
      </c>
      <c r="C1270">
        <v>1</v>
      </c>
      <c r="D1270">
        <v>0</v>
      </c>
      <c r="E1270">
        <v>1</v>
      </c>
      <c r="F1270" s="7" t="s">
        <v>1531</v>
      </c>
      <c r="G1270" s="66" t="s">
        <v>1528</v>
      </c>
      <c r="H1270" s="7"/>
    </row>
    <row r="1271" ht="14" customHeight="1" spans="1:8">
      <c r="A1271">
        <v>30138</v>
      </c>
      <c r="B1271">
        <v>1</v>
      </c>
      <c r="C1271">
        <v>1</v>
      </c>
      <c r="D1271">
        <v>0</v>
      </c>
      <c r="E1271">
        <v>1</v>
      </c>
      <c r="F1271" s="7" t="s">
        <v>1532</v>
      </c>
      <c r="G1271" s="66" t="s">
        <v>1439</v>
      </c>
      <c r="H1271" s="7" t="s">
        <v>1533</v>
      </c>
    </row>
    <row r="1272" ht="14" customHeight="1" spans="1:8">
      <c r="A1272">
        <v>30139</v>
      </c>
      <c r="B1272">
        <v>1</v>
      </c>
      <c r="C1272">
        <v>1</v>
      </c>
      <c r="D1272">
        <v>0</v>
      </c>
      <c r="E1272">
        <v>1</v>
      </c>
      <c r="F1272" s="7" t="s">
        <v>1534</v>
      </c>
      <c r="G1272" s="66" t="s">
        <v>1535</v>
      </c>
    </row>
    <row r="1273" ht="14" customHeight="1" spans="1:8">
      <c r="A1273">
        <v>30140</v>
      </c>
      <c r="B1273">
        <v>1</v>
      </c>
      <c r="C1273">
        <v>1</v>
      </c>
      <c r="D1273">
        <v>0</v>
      </c>
      <c r="E1273">
        <v>1</v>
      </c>
      <c r="F1273" s="7" t="s">
        <v>1536</v>
      </c>
      <c r="G1273" s="66" t="s">
        <v>1535</v>
      </c>
    </row>
    <row r="1274" ht="14" customHeight="1" spans="1:8">
      <c r="A1274">
        <v>30141</v>
      </c>
      <c r="B1274">
        <v>1</v>
      </c>
      <c r="C1274">
        <v>1</v>
      </c>
      <c r="D1274">
        <v>0</v>
      </c>
      <c r="E1274">
        <v>1</v>
      </c>
      <c r="F1274" s="7" t="s">
        <v>1524</v>
      </c>
      <c r="G1274" s="66" t="s">
        <v>1439</v>
      </c>
      <c r="H1274" s="7" t="s">
        <v>1537</v>
      </c>
    </row>
    <row r="1275" ht="14" customHeight="1" spans="1:8">
      <c r="A1275">
        <v>30142</v>
      </c>
      <c r="B1275">
        <v>1</v>
      </c>
      <c r="C1275">
        <v>1</v>
      </c>
      <c r="D1275">
        <v>0</v>
      </c>
      <c r="E1275">
        <v>1</v>
      </c>
      <c r="F1275" s="7" t="s">
        <v>1538</v>
      </c>
      <c r="G1275" s="66" t="s">
        <v>1535</v>
      </c>
    </row>
    <row r="1276" ht="14" customHeight="1" spans="1:8">
      <c r="A1276">
        <v>30143</v>
      </c>
      <c r="B1276">
        <v>1</v>
      </c>
      <c r="C1276">
        <v>1</v>
      </c>
      <c r="D1276">
        <v>0</v>
      </c>
      <c r="E1276">
        <v>1</v>
      </c>
      <c r="F1276" s="7" t="s">
        <v>1539</v>
      </c>
      <c r="G1276" s="66" t="s">
        <v>1535</v>
      </c>
    </row>
    <row r="1277" ht="14" customHeight="1" spans="1:8">
      <c r="A1277">
        <v>30144</v>
      </c>
      <c r="B1277">
        <v>1</v>
      </c>
      <c r="C1277">
        <v>1</v>
      </c>
      <c r="D1277">
        <v>0</v>
      </c>
      <c r="E1277">
        <v>1</v>
      </c>
      <c r="F1277" s="7" t="s">
        <v>1525</v>
      </c>
      <c r="G1277" s="66" t="s">
        <v>1439</v>
      </c>
      <c r="H1277" t="s">
        <v>1540</v>
      </c>
    </row>
    <row r="1278" ht="14" customHeight="1" spans="1:8">
      <c r="A1278">
        <v>30145</v>
      </c>
      <c r="B1278">
        <v>1</v>
      </c>
      <c r="C1278">
        <v>1</v>
      </c>
      <c r="D1278">
        <v>0</v>
      </c>
      <c r="E1278">
        <v>1</v>
      </c>
      <c r="F1278" s="7" t="s">
        <v>1526</v>
      </c>
      <c r="G1278" s="66" t="s">
        <v>1437</v>
      </c>
    </row>
    <row r="1279" ht="14" customHeight="1" spans="1:8">
      <c r="A1279">
        <v>30146</v>
      </c>
      <c r="B1279">
        <v>1</v>
      </c>
      <c r="C1279">
        <v>1</v>
      </c>
      <c r="D1279">
        <v>0</v>
      </c>
      <c r="E1279">
        <v>1</v>
      </c>
      <c r="F1279" s="7" t="s">
        <v>1526</v>
      </c>
      <c r="G1279" s="66" t="s">
        <v>1439</v>
      </c>
    </row>
    <row r="1280" ht="14" customHeight="1" spans="1:8">
      <c r="A1280">
        <v>30147</v>
      </c>
      <c r="B1280">
        <v>1</v>
      </c>
      <c r="C1280">
        <v>1</v>
      </c>
      <c r="D1280">
        <v>0</v>
      </c>
      <c r="E1280">
        <v>1</v>
      </c>
      <c r="F1280" s="7" t="s">
        <v>1533</v>
      </c>
      <c r="G1280" s="66" t="s">
        <v>1439</v>
      </c>
    </row>
    <row r="1281" ht="14" customHeight="1" spans="1:7">
      <c r="A1281">
        <v>30148</v>
      </c>
      <c r="B1281">
        <v>1</v>
      </c>
      <c r="C1281">
        <v>1</v>
      </c>
      <c r="D1281">
        <v>0</v>
      </c>
      <c r="E1281">
        <v>1</v>
      </c>
      <c r="F1281" s="7" t="s">
        <v>1537</v>
      </c>
      <c r="G1281" s="66" t="s">
        <v>1439</v>
      </c>
    </row>
    <row r="1282" ht="14" customHeight="1" spans="1:7">
      <c r="A1282">
        <v>30149</v>
      </c>
      <c r="B1282">
        <v>1</v>
      </c>
      <c r="C1282">
        <v>1</v>
      </c>
      <c r="D1282">
        <v>0</v>
      </c>
      <c r="E1282">
        <v>1</v>
      </c>
      <c r="F1282" t="s">
        <v>1540</v>
      </c>
      <c r="G1282" s="66" t="s">
        <v>1439</v>
      </c>
    </row>
    <row r="1283" ht="14" customHeight="1" spans="1:7">
      <c r="A1283">
        <v>30150</v>
      </c>
      <c r="B1283">
        <v>1</v>
      </c>
      <c r="C1283">
        <v>1</v>
      </c>
      <c r="D1283">
        <v>0</v>
      </c>
      <c r="E1283">
        <v>1</v>
      </c>
      <c r="F1283" t="s">
        <v>1541</v>
      </c>
      <c r="G1283" s="66" t="s">
        <v>1444</v>
      </c>
    </row>
    <row r="1284" ht="14" customHeight="1" spans="1:7">
      <c r="A1284">
        <v>30151</v>
      </c>
      <c r="B1284">
        <v>1</v>
      </c>
      <c r="C1284">
        <v>1</v>
      </c>
      <c r="D1284">
        <v>0</v>
      </c>
      <c r="E1284">
        <v>1</v>
      </c>
      <c r="F1284" t="s">
        <v>1542</v>
      </c>
      <c r="G1284" s="66" t="s">
        <v>1444</v>
      </c>
    </row>
    <row r="1285" ht="14" customHeight="1" spans="1:7">
      <c r="A1285">
        <v>30152</v>
      </c>
      <c r="B1285">
        <v>1</v>
      </c>
      <c r="C1285">
        <v>1</v>
      </c>
      <c r="D1285">
        <v>0</v>
      </c>
      <c r="E1285">
        <v>1</v>
      </c>
      <c r="F1285" t="s">
        <v>1543</v>
      </c>
      <c r="G1285" s="66" t="s">
        <v>1444</v>
      </c>
    </row>
    <row r="1286" ht="14" customHeight="1" spans="1:7">
      <c r="A1286">
        <v>30153</v>
      </c>
      <c r="B1286">
        <v>1</v>
      </c>
      <c r="C1286">
        <v>1</v>
      </c>
      <c r="D1286">
        <v>0</v>
      </c>
      <c r="E1286">
        <v>1</v>
      </c>
      <c r="F1286" t="s">
        <v>1544</v>
      </c>
      <c r="G1286" s="66" t="s">
        <v>1444</v>
      </c>
    </row>
    <row r="1287" ht="14" customHeight="1" spans="1:7">
      <c r="A1287">
        <v>30154</v>
      </c>
      <c r="B1287">
        <v>1</v>
      </c>
      <c r="C1287">
        <v>1</v>
      </c>
      <c r="D1287">
        <v>0</v>
      </c>
      <c r="E1287">
        <v>1</v>
      </c>
      <c r="F1287" t="s">
        <v>1545</v>
      </c>
      <c r="G1287" s="66" t="s">
        <v>1444</v>
      </c>
    </row>
    <row r="1288" ht="14" customHeight="1" spans="1:7">
      <c r="A1288">
        <v>30155</v>
      </c>
      <c r="B1288">
        <v>1</v>
      </c>
      <c r="C1288">
        <v>1</v>
      </c>
      <c r="D1288">
        <v>0</v>
      </c>
      <c r="E1288">
        <v>1</v>
      </c>
      <c r="F1288" t="s">
        <v>1546</v>
      </c>
      <c r="G1288" s="66" t="s">
        <v>1444</v>
      </c>
    </row>
    <row r="1289" ht="14" customHeight="1" spans="1:7">
      <c r="A1289">
        <v>30156</v>
      </c>
      <c r="B1289">
        <v>1</v>
      </c>
      <c r="C1289">
        <v>1</v>
      </c>
      <c r="D1289">
        <v>0</v>
      </c>
      <c r="E1289">
        <v>1</v>
      </c>
      <c r="F1289" t="s">
        <v>918</v>
      </c>
      <c r="G1289" s="66" t="s">
        <v>1547</v>
      </c>
    </row>
    <row r="1290" ht="14" customHeight="1" spans="1:7">
      <c r="A1290">
        <v>30157</v>
      </c>
      <c r="B1290">
        <v>1</v>
      </c>
      <c r="C1290">
        <v>1</v>
      </c>
      <c r="D1290">
        <v>0</v>
      </c>
      <c r="E1290">
        <v>1</v>
      </c>
      <c r="F1290" t="s">
        <v>292</v>
      </c>
      <c r="G1290" s="66" t="s">
        <v>1547</v>
      </c>
    </row>
    <row r="1291" ht="14" customHeight="1" spans="1:7">
      <c r="A1291">
        <v>30158</v>
      </c>
      <c r="B1291">
        <v>1</v>
      </c>
      <c r="C1291">
        <v>1</v>
      </c>
      <c r="D1291">
        <v>0</v>
      </c>
      <c r="E1291">
        <v>1</v>
      </c>
      <c r="F1291" t="s">
        <v>903</v>
      </c>
      <c r="G1291" s="66" t="s">
        <v>1547</v>
      </c>
    </row>
    <row r="1292" ht="14" customHeight="1" spans="1:7">
      <c r="A1292">
        <v>30159</v>
      </c>
      <c r="B1292">
        <v>1</v>
      </c>
      <c r="C1292">
        <v>1</v>
      </c>
      <c r="D1292">
        <v>0</v>
      </c>
      <c r="E1292">
        <v>1</v>
      </c>
      <c r="F1292" t="s">
        <v>913</v>
      </c>
      <c r="G1292" s="66" t="s">
        <v>1547</v>
      </c>
    </row>
    <row r="1293" ht="14" customHeight="1" spans="1:7">
      <c r="A1293">
        <v>30160</v>
      </c>
      <c r="B1293">
        <v>1</v>
      </c>
      <c r="C1293">
        <v>1</v>
      </c>
      <c r="D1293">
        <v>0</v>
      </c>
      <c r="E1293">
        <v>1</v>
      </c>
      <c r="F1293" t="s">
        <v>293</v>
      </c>
      <c r="G1293" s="66" t="s">
        <v>1547</v>
      </c>
    </row>
    <row r="1294" ht="14" customHeight="1" spans="1:7">
      <c r="A1294">
        <v>30161</v>
      </c>
      <c r="B1294">
        <v>1</v>
      </c>
      <c r="C1294">
        <v>1</v>
      </c>
      <c r="D1294">
        <v>0</v>
      </c>
      <c r="E1294">
        <v>1</v>
      </c>
      <c r="F1294" t="s">
        <v>927</v>
      </c>
      <c r="G1294" s="66" t="s">
        <v>1547</v>
      </c>
    </row>
    <row r="1295" ht="14" customHeight="1" spans="1:7">
      <c r="A1295">
        <v>30162</v>
      </c>
      <c r="B1295">
        <v>1</v>
      </c>
      <c r="C1295">
        <v>1</v>
      </c>
      <c r="D1295">
        <v>0</v>
      </c>
      <c r="E1295">
        <v>1</v>
      </c>
      <c r="F1295" t="s">
        <v>932</v>
      </c>
      <c r="G1295" s="66" t="s">
        <v>1547</v>
      </c>
    </row>
    <row r="1296" ht="14" customHeight="1" spans="1:7">
      <c r="A1296">
        <v>30163</v>
      </c>
      <c r="B1296">
        <v>1</v>
      </c>
      <c r="C1296">
        <v>1</v>
      </c>
      <c r="D1296">
        <v>0</v>
      </c>
      <c r="E1296">
        <v>1</v>
      </c>
      <c r="F1296" t="s">
        <v>942</v>
      </c>
      <c r="G1296" s="66" t="s">
        <v>1547</v>
      </c>
    </row>
    <row r="1297" ht="14" customHeight="1" spans="1:7">
      <c r="A1297">
        <v>30164</v>
      </c>
      <c r="B1297">
        <v>1</v>
      </c>
      <c r="C1297">
        <v>1</v>
      </c>
      <c r="D1297">
        <v>0</v>
      </c>
      <c r="E1297">
        <v>1</v>
      </c>
      <c r="F1297" t="s">
        <v>949</v>
      </c>
      <c r="G1297" s="66" t="s">
        <v>1547</v>
      </c>
    </row>
    <row r="1298" ht="14" customHeight="1" spans="1:7">
      <c r="A1298">
        <v>30165</v>
      </c>
      <c r="B1298">
        <v>1</v>
      </c>
      <c r="C1298">
        <v>1</v>
      </c>
      <c r="D1298">
        <v>0</v>
      </c>
      <c r="E1298">
        <v>1</v>
      </c>
      <c r="F1298" t="s">
        <v>954</v>
      </c>
      <c r="G1298" s="66" t="s">
        <v>1547</v>
      </c>
    </row>
    <row r="1299" ht="14" customHeight="1" spans="1:7">
      <c r="A1299">
        <v>30166</v>
      </c>
      <c r="B1299">
        <v>1</v>
      </c>
      <c r="C1299">
        <v>1</v>
      </c>
      <c r="D1299">
        <v>0</v>
      </c>
      <c r="E1299">
        <v>1</v>
      </c>
      <c r="F1299" t="s">
        <v>1548</v>
      </c>
      <c r="G1299" s="66" t="s">
        <v>1547</v>
      </c>
    </row>
    <row r="1300" ht="14" customHeight="1" spans="1:7">
      <c r="A1300">
        <v>30167</v>
      </c>
      <c r="B1300">
        <v>1</v>
      </c>
      <c r="C1300">
        <v>1</v>
      </c>
      <c r="D1300">
        <v>0</v>
      </c>
      <c r="E1300">
        <v>1</v>
      </c>
      <c r="F1300" t="s">
        <v>1549</v>
      </c>
      <c r="G1300" s="66" t="s">
        <v>1547</v>
      </c>
    </row>
    <row r="1301" ht="14" customHeight="1" spans="1:7">
      <c r="A1301">
        <v>30168</v>
      </c>
      <c r="B1301">
        <v>1</v>
      </c>
      <c r="C1301">
        <v>1</v>
      </c>
      <c r="D1301">
        <v>0</v>
      </c>
      <c r="E1301">
        <v>1</v>
      </c>
      <c r="F1301" t="s">
        <v>1550</v>
      </c>
      <c r="G1301" s="66" t="s">
        <v>1547</v>
      </c>
    </row>
    <row r="1302" ht="14" customHeight="1" spans="1:7">
      <c r="A1302">
        <v>30169</v>
      </c>
      <c r="B1302">
        <v>1</v>
      </c>
      <c r="C1302">
        <v>1</v>
      </c>
      <c r="D1302">
        <v>0</v>
      </c>
      <c r="E1302">
        <v>1</v>
      </c>
      <c r="F1302" t="s">
        <v>1551</v>
      </c>
      <c r="G1302" s="66" t="s">
        <v>1552</v>
      </c>
    </row>
    <row r="1303" ht="14" customHeight="1" spans="1:7">
      <c r="A1303">
        <v>30170</v>
      </c>
      <c r="B1303">
        <v>1</v>
      </c>
      <c r="C1303">
        <v>1</v>
      </c>
      <c r="D1303">
        <v>0</v>
      </c>
      <c r="E1303">
        <v>1</v>
      </c>
      <c r="F1303" t="s">
        <v>1553</v>
      </c>
      <c r="G1303" s="66" t="s">
        <v>1552</v>
      </c>
    </row>
    <row r="1304" ht="14" customHeight="1" spans="1:7">
      <c r="A1304">
        <v>30171</v>
      </c>
      <c r="B1304">
        <v>1</v>
      </c>
      <c r="C1304">
        <v>1</v>
      </c>
      <c r="D1304">
        <v>0</v>
      </c>
      <c r="E1304">
        <v>1</v>
      </c>
      <c r="F1304" t="s">
        <v>1554</v>
      </c>
      <c r="G1304" s="66" t="s">
        <v>1552</v>
      </c>
    </row>
    <row r="1305" ht="14" customHeight="1" spans="1:7">
      <c r="A1305">
        <v>30172</v>
      </c>
      <c r="B1305">
        <v>1</v>
      </c>
      <c r="C1305">
        <v>1</v>
      </c>
      <c r="D1305">
        <v>0</v>
      </c>
      <c r="E1305">
        <v>1</v>
      </c>
      <c r="F1305" t="s">
        <v>1555</v>
      </c>
      <c r="G1305" s="66" t="s">
        <v>1552</v>
      </c>
    </row>
    <row r="1306" ht="14" customHeight="1" spans="1:7">
      <c r="A1306">
        <v>30173</v>
      </c>
      <c r="B1306">
        <v>1</v>
      </c>
      <c r="C1306">
        <v>1</v>
      </c>
      <c r="D1306">
        <v>0</v>
      </c>
      <c r="E1306">
        <v>1</v>
      </c>
      <c r="F1306" t="s">
        <v>1556</v>
      </c>
      <c r="G1306" s="66" t="s">
        <v>1547</v>
      </c>
    </row>
    <row r="1307" ht="14" customHeight="1" spans="1:7">
      <c r="A1307">
        <v>30201</v>
      </c>
      <c r="B1307">
        <v>1</v>
      </c>
      <c r="C1307">
        <v>1</v>
      </c>
      <c r="D1307">
        <v>0</v>
      </c>
      <c r="E1307">
        <v>1</v>
      </c>
      <c r="F1307" t="s">
        <v>932</v>
      </c>
      <c r="G1307" s="66" t="s">
        <v>1547</v>
      </c>
    </row>
    <row r="1308" ht="14" customHeight="1" spans="1:7">
      <c r="A1308">
        <v>30202</v>
      </c>
      <c r="B1308">
        <v>1</v>
      </c>
      <c r="C1308">
        <v>1</v>
      </c>
      <c r="D1308">
        <v>0</v>
      </c>
      <c r="E1308">
        <v>1</v>
      </c>
      <c r="F1308" t="s">
        <v>949</v>
      </c>
      <c r="G1308" s="66" t="s">
        <v>1547</v>
      </c>
    </row>
    <row r="1309" ht="14" customHeight="1" spans="1:7">
      <c r="A1309">
        <v>30203</v>
      </c>
      <c r="B1309">
        <v>1</v>
      </c>
      <c r="C1309">
        <v>1</v>
      </c>
      <c r="D1309">
        <v>0</v>
      </c>
      <c r="E1309">
        <v>1</v>
      </c>
      <c r="F1309" t="s">
        <v>1557</v>
      </c>
      <c r="G1309" s="66" t="s">
        <v>1547</v>
      </c>
    </row>
    <row r="1310" ht="14" customHeight="1" spans="1:7">
      <c r="A1310">
        <v>30204</v>
      </c>
      <c r="B1310">
        <v>1</v>
      </c>
      <c r="C1310">
        <v>1</v>
      </c>
      <c r="D1310">
        <v>0</v>
      </c>
      <c r="E1310">
        <v>1</v>
      </c>
      <c r="F1310" t="s">
        <v>959</v>
      </c>
      <c r="G1310" s="66" t="s">
        <v>1547</v>
      </c>
    </row>
    <row r="1311" ht="14" customHeight="1" spans="1:7">
      <c r="A1311">
        <v>30205</v>
      </c>
      <c r="B1311">
        <v>1</v>
      </c>
      <c r="C1311">
        <v>1</v>
      </c>
      <c r="D1311">
        <v>0</v>
      </c>
      <c r="E1311">
        <v>1</v>
      </c>
      <c r="F1311" t="s">
        <v>954</v>
      </c>
      <c r="G1311" s="66" t="s">
        <v>1547</v>
      </c>
    </row>
    <row r="1312" ht="14" customHeight="1" spans="1:7">
      <c r="A1312">
        <v>30206</v>
      </c>
      <c r="B1312">
        <v>1</v>
      </c>
      <c r="C1312">
        <v>1</v>
      </c>
      <c r="D1312">
        <v>0</v>
      </c>
      <c r="E1312">
        <v>1</v>
      </c>
      <c r="F1312" t="s">
        <v>1558</v>
      </c>
      <c r="G1312" s="66" t="s">
        <v>1547</v>
      </c>
    </row>
    <row r="1313" ht="14" customHeight="1" spans="1:9">
      <c r="A1313">
        <v>30207</v>
      </c>
      <c r="B1313">
        <v>1</v>
      </c>
      <c r="C1313">
        <v>1</v>
      </c>
      <c r="D1313">
        <v>0</v>
      </c>
      <c r="E1313">
        <v>1</v>
      </c>
      <c r="F1313" t="s">
        <v>154</v>
      </c>
      <c r="G1313" s="66" t="s">
        <v>1559</v>
      </c>
    </row>
    <row r="1314" ht="14" customHeight="1" spans="1:9">
      <c r="A1314">
        <v>30208</v>
      </c>
      <c r="B1314">
        <v>1</v>
      </c>
      <c r="C1314">
        <v>1</v>
      </c>
      <c r="D1314">
        <v>0</v>
      </c>
      <c r="E1314">
        <v>1</v>
      </c>
      <c r="F1314" t="s">
        <v>1560</v>
      </c>
      <c r="G1314" s="7" t="s">
        <v>1561</v>
      </c>
    </row>
    <row r="1315" ht="14" customHeight="1" spans="1:9">
      <c r="A1315">
        <v>30209</v>
      </c>
      <c r="B1315">
        <v>1</v>
      </c>
      <c r="C1315">
        <v>1</v>
      </c>
      <c r="D1315">
        <v>0</v>
      </c>
      <c r="E1315">
        <v>1</v>
      </c>
      <c r="F1315" t="s">
        <v>1560</v>
      </c>
      <c r="G1315" s="7" t="s">
        <v>1562</v>
      </c>
    </row>
    <row r="1316" ht="14" customHeight="1" spans="1:9">
      <c r="A1316">
        <v>30210</v>
      </c>
      <c r="B1316">
        <v>1</v>
      </c>
      <c r="C1316">
        <v>1</v>
      </c>
      <c r="D1316">
        <v>0</v>
      </c>
      <c r="E1316">
        <v>1</v>
      </c>
      <c r="F1316" t="s">
        <v>1560</v>
      </c>
      <c r="G1316" s="7" t="s">
        <v>1563</v>
      </c>
    </row>
    <row r="1317" ht="14" customHeight="1" spans="1:9">
      <c r="A1317">
        <v>30211</v>
      </c>
      <c r="B1317">
        <v>1</v>
      </c>
      <c r="C1317">
        <v>1</v>
      </c>
      <c r="D1317">
        <v>0</v>
      </c>
      <c r="E1317">
        <v>1</v>
      </c>
      <c r="F1317" t="s">
        <v>954</v>
      </c>
      <c r="G1317" s="7" t="s">
        <v>1564</v>
      </c>
    </row>
    <row r="1318" ht="14" customHeight="1" spans="1:9">
      <c r="A1318">
        <v>30212</v>
      </c>
      <c r="B1318">
        <v>1</v>
      </c>
      <c r="C1318">
        <v>1</v>
      </c>
      <c r="D1318">
        <v>0</v>
      </c>
      <c r="E1318">
        <v>1</v>
      </c>
      <c r="F1318" t="s">
        <v>1558</v>
      </c>
      <c r="G1318" s="7" t="s">
        <v>1564</v>
      </c>
    </row>
    <row r="1319" ht="14" customHeight="1" spans="1:9">
      <c r="A1319">
        <v>30213</v>
      </c>
      <c r="B1319">
        <v>1</v>
      </c>
      <c r="C1319">
        <v>1</v>
      </c>
      <c r="D1319">
        <v>0</v>
      </c>
      <c r="E1319">
        <v>1</v>
      </c>
      <c r="F1319" t="s">
        <v>1565</v>
      </c>
      <c r="G1319" s="7" t="s">
        <v>1564</v>
      </c>
    </row>
    <row r="1320" ht="14" customHeight="1" spans="1:9">
      <c r="A1320">
        <v>30214</v>
      </c>
      <c r="B1320">
        <v>1</v>
      </c>
      <c r="C1320">
        <v>1</v>
      </c>
      <c r="D1320">
        <v>0</v>
      </c>
      <c r="E1320">
        <v>1</v>
      </c>
      <c r="F1320" t="s">
        <v>1548</v>
      </c>
      <c r="G1320" s="7" t="s">
        <v>1564</v>
      </c>
    </row>
    <row r="1321" ht="14" customHeight="1" spans="1:9">
      <c r="A1321">
        <v>30215</v>
      </c>
      <c r="B1321">
        <v>1</v>
      </c>
      <c r="C1321">
        <v>1</v>
      </c>
      <c r="D1321">
        <v>0</v>
      </c>
      <c r="E1321">
        <v>1</v>
      </c>
      <c r="F1321" t="s">
        <v>1558</v>
      </c>
      <c r="G1321" s="7" t="s">
        <v>1564</v>
      </c>
    </row>
    <row r="1322" ht="14" customHeight="1" spans="1:9">
      <c r="A1322">
        <v>30216</v>
      </c>
      <c r="B1322">
        <v>1</v>
      </c>
      <c r="C1322">
        <v>1</v>
      </c>
      <c r="D1322">
        <v>0</v>
      </c>
      <c r="E1322">
        <v>1</v>
      </c>
      <c r="F1322" t="s">
        <v>1566</v>
      </c>
      <c r="G1322" s="7" t="s">
        <v>1564</v>
      </c>
    </row>
    <row r="1323" ht="14" customHeight="1" spans="1:9">
      <c r="A1323">
        <v>30217</v>
      </c>
      <c r="B1323">
        <v>1</v>
      </c>
      <c r="C1323">
        <v>1</v>
      </c>
      <c r="D1323">
        <v>0</v>
      </c>
      <c r="E1323">
        <v>1</v>
      </c>
      <c r="F1323" t="s">
        <v>1567</v>
      </c>
      <c r="G1323" s="7" t="s">
        <v>1564</v>
      </c>
    </row>
    <row r="1324" ht="14" customHeight="1" spans="1:9">
      <c r="A1324">
        <v>30218</v>
      </c>
      <c r="B1324">
        <v>1</v>
      </c>
      <c r="C1324">
        <v>1</v>
      </c>
      <c r="D1324">
        <v>0</v>
      </c>
      <c r="E1324">
        <v>1</v>
      </c>
      <c r="F1324" t="s">
        <v>1568</v>
      </c>
      <c r="G1324" s="7" t="s">
        <v>1564</v>
      </c>
    </row>
    <row r="1325" ht="14" customHeight="1" spans="1:9">
      <c r="A1325">
        <v>30219</v>
      </c>
      <c r="B1325">
        <v>1</v>
      </c>
      <c r="C1325">
        <v>1</v>
      </c>
      <c r="D1325">
        <v>0</v>
      </c>
      <c r="E1325">
        <v>1</v>
      </c>
      <c r="F1325" t="s">
        <v>1569</v>
      </c>
      <c r="G1325" s="7" t="s">
        <v>1570</v>
      </c>
      <c r="H1325" s="7"/>
      <c r="I1325" s="7"/>
    </row>
    <row r="1326" ht="14" customHeight="1" spans="1:9">
      <c r="A1326">
        <v>30220</v>
      </c>
      <c r="B1326">
        <v>1</v>
      </c>
      <c r="C1326">
        <v>1</v>
      </c>
      <c r="D1326">
        <v>0</v>
      </c>
      <c r="E1326">
        <v>1</v>
      </c>
      <c r="F1326" t="s">
        <v>1571</v>
      </c>
      <c r="G1326" s="7" t="s">
        <v>1570</v>
      </c>
      <c r="H1326" s="7"/>
      <c r="I1326" s="7"/>
    </row>
    <row r="1327" ht="14" customHeight="1" spans="1:9">
      <c r="A1327">
        <v>30221</v>
      </c>
      <c r="B1327">
        <v>1</v>
      </c>
      <c r="C1327">
        <v>1</v>
      </c>
      <c r="D1327">
        <v>0</v>
      </c>
      <c r="E1327">
        <v>1</v>
      </c>
      <c r="F1327" s="7" t="s">
        <v>744</v>
      </c>
      <c r="G1327" s="7" t="s">
        <v>1572</v>
      </c>
      <c r="I1327" s="78"/>
    </row>
    <row r="1328" ht="14" customHeight="1" spans="1:9">
      <c r="A1328">
        <v>30222</v>
      </c>
      <c r="B1328">
        <v>1</v>
      </c>
      <c r="C1328">
        <v>1</v>
      </c>
      <c r="D1328">
        <v>0</v>
      </c>
      <c r="E1328">
        <v>1</v>
      </c>
      <c r="F1328" s="7" t="s">
        <v>746</v>
      </c>
      <c r="G1328" s="7" t="s">
        <v>1573</v>
      </c>
      <c r="I1328" s="78"/>
    </row>
    <row r="1329" ht="14" customHeight="1" spans="1:9">
      <c r="A1329">
        <v>30223</v>
      </c>
      <c r="B1329">
        <v>1</v>
      </c>
      <c r="C1329">
        <v>1</v>
      </c>
      <c r="D1329">
        <v>0</v>
      </c>
      <c r="E1329">
        <v>1</v>
      </c>
      <c r="F1329" s="7" t="s">
        <v>734</v>
      </c>
      <c r="G1329" s="7" t="s">
        <v>1574</v>
      </c>
      <c r="I1329" s="78"/>
    </row>
    <row r="1330" ht="14" customHeight="1" spans="1:9">
      <c r="A1330">
        <v>30224</v>
      </c>
      <c r="B1330">
        <v>1</v>
      </c>
      <c r="C1330">
        <v>1</v>
      </c>
      <c r="D1330">
        <v>0</v>
      </c>
      <c r="E1330">
        <v>1</v>
      </c>
      <c r="F1330" s="7" t="s">
        <v>736</v>
      </c>
      <c r="G1330" s="7" t="s">
        <v>1575</v>
      </c>
      <c r="I1330" s="78"/>
    </row>
    <row r="1331" ht="14" customHeight="1" spans="1:9">
      <c r="A1331">
        <v>30225</v>
      </c>
      <c r="B1331">
        <v>1</v>
      </c>
      <c r="C1331">
        <v>1</v>
      </c>
      <c r="D1331">
        <v>0</v>
      </c>
      <c r="E1331">
        <v>1</v>
      </c>
      <c r="F1331" t="s">
        <v>738</v>
      </c>
      <c r="G1331" s="7" t="s">
        <v>1576</v>
      </c>
      <c r="I1331" s="78"/>
    </row>
    <row r="1332" ht="14" customHeight="1" spans="1:9">
      <c r="A1332">
        <v>30226</v>
      </c>
      <c r="B1332">
        <v>1</v>
      </c>
      <c r="C1332">
        <v>1</v>
      </c>
      <c r="D1332">
        <v>0</v>
      </c>
      <c r="E1332">
        <v>1</v>
      </c>
      <c r="F1332" t="s">
        <v>366</v>
      </c>
      <c r="G1332" s="7" t="s">
        <v>1577</v>
      </c>
      <c r="I1332" s="78"/>
    </row>
    <row r="1333" ht="14" customHeight="1" spans="1:9">
      <c r="A1333">
        <v>30227</v>
      </c>
      <c r="B1333">
        <v>2</v>
      </c>
      <c r="C1333">
        <v>1</v>
      </c>
      <c r="D1333">
        <v>0</v>
      </c>
      <c r="E1333">
        <v>1</v>
      </c>
      <c r="F1333" t="s">
        <v>1578</v>
      </c>
      <c r="G1333" s="7" t="s">
        <v>1535</v>
      </c>
      <c r="H1333" s="7"/>
      <c r="I1333" s="7"/>
    </row>
    <row r="1334" ht="14" customHeight="1" spans="1:9">
      <c r="A1334">
        <v>30228</v>
      </c>
      <c r="B1334">
        <v>2</v>
      </c>
      <c r="C1334">
        <v>1</v>
      </c>
      <c r="D1334">
        <v>0</v>
      </c>
      <c r="E1334">
        <v>1</v>
      </c>
      <c r="F1334" t="s">
        <v>1579</v>
      </c>
      <c r="G1334" s="7" t="s">
        <v>1535</v>
      </c>
      <c r="H1334" s="7"/>
      <c r="I1334" s="7"/>
    </row>
    <row r="1335" ht="14" customHeight="1" spans="1:9">
      <c r="A1335">
        <v>30229</v>
      </c>
      <c r="B1335">
        <v>2</v>
      </c>
      <c r="C1335">
        <v>1</v>
      </c>
      <c r="D1335">
        <v>0</v>
      </c>
      <c r="E1335">
        <v>1</v>
      </c>
      <c r="F1335" t="s">
        <v>1580</v>
      </c>
      <c r="G1335" s="7" t="s">
        <v>1535</v>
      </c>
      <c r="H1335" s="7"/>
      <c r="I1335" s="7"/>
    </row>
    <row r="1336" ht="14" customHeight="1" spans="1:9">
      <c r="A1336">
        <v>30230</v>
      </c>
      <c r="B1336">
        <v>2</v>
      </c>
      <c r="C1336">
        <v>1</v>
      </c>
      <c r="D1336">
        <v>0</v>
      </c>
      <c r="E1336">
        <v>1</v>
      </c>
      <c r="F1336" t="s">
        <v>1581</v>
      </c>
      <c r="G1336" s="7" t="s">
        <v>1535</v>
      </c>
      <c r="H1336" s="7"/>
      <c r="I1336" s="7"/>
    </row>
    <row r="1337" ht="14" customHeight="1" spans="1:9">
      <c r="A1337">
        <v>30231</v>
      </c>
      <c r="B1337">
        <v>1</v>
      </c>
      <c r="C1337">
        <v>1</v>
      </c>
      <c r="D1337">
        <v>1</v>
      </c>
      <c r="E1337">
        <v>1</v>
      </c>
      <c r="F1337" s="75" t="s">
        <v>742</v>
      </c>
      <c r="G1337" s="7" t="s">
        <v>1582</v>
      </c>
      <c r="H1337" s="7"/>
      <c r="I1337" s="7"/>
    </row>
    <row r="1338" ht="14" customHeight="1" spans="1:9">
      <c r="A1338">
        <v>30232</v>
      </c>
      <c r="B1338">
        <v>1</v>
      </c>
      <c r="C1338">
        <v>1</v>
      </c>
      <c r="D1338">
        <v>1</v>
      </c>
      <c r="E1338">
        <v>1</v>
      </c>
      <c r="F1338" s="75" t="s">
        <v>744</v>
      </c>
      <c r="G1338" s="7" t="s">
        <v>1572</v>
      </c>
      <c r="H1338" s="7"/>
      <c r="I1338" s="7"/>
    </row>
    <row r="1339" ht="14" customHeight="1" spans="1:9">
      <c r="A1339">
        <v>30233</v>
      </c>
      <c r="B1339">
        <v>1</v>
      </c>
      <c r="C1339">
        <v>1</v>
      </c>
      <c r="D1339">
        <v>1</v>
      </c>
      <c r="E1339">
        <v>1</v>
      </c>
      <c r="F1339" s="75" t="s">
        <v>746</v>
      </c>
      <c r="G1339" s="7" t="s">
        <v>1573</v>
      </c>
      <c r="H1339" s="7"/>
      <c r="I1339" s="7"/>
    </row>
    <row r="1340" ht="14" customHeight="1" spans="1:9">
      <c r="A1340">
        <v>30234</v>
      </c>
      <c r="B1340">
        <v>1</v>
      </c>
      <c r="C1340">
        <v>1</v>
      </c>
      <c r="D1340">
        <v>1</v>
      </c>
      <c r="E1340">
        <v>1</v>
      </c>
      <c r="F1340" s="75" t="s">
        <v>734</v>
      </c>
      <c r="G1340" s="7" t="s">
        <v>1574</v>
      </c>
      <c r="H1340" s="7"/>
      <c r="I1340" s="7"/>
    </row>
    <row r="1341" ht="14" customHeight="1" spans="1:9">
      <c r="A1341">
        <v>30235</v>
      </c>
      <c r="B1341">
        <v>1</v>
      </c>
      <c r="C1341">
        <v>1</v>
      </c>
      <c r="D1341">
        <v>1</v>
      </c>
      <c r="E1341">
        <v>1</v>
      </c>
      <c r="F1341" s="75" t="s">
        <v>736</v>
      </c>
      <c r="G1341" s="7" t="s">
        <v>1575</v>
      </c>
      <c r="H1341" s="7"/>
      <c r="I1341" s="7"/>
    </row>
    <row r="1342" ht="14" customHeight="1" spans="1:9">
      <c r="A1342">
        <v>30236</v>
      </c>
      <c r="B1342">
        <v>1</v>
      </c>
      <c r="C1342">
        <v>1</v>
      </c>
      <c r="D1342">
        <v>1</v>
      </c>
      <c r="E1342">
        <v>1</v>
      </c>
      <c r="F1342" s="75" t="s">
        <v>738</v>
      </c>
      <c r="G1342" s="7" t="s">
        <v>1576</v>
      </c>
      <c r="H1342" s="7"/>
      <c r="I1342" s="7"/>
    </row>
    <row r="1343" ht="14" customHeight="1" spans="1:9">
      <c r="A1343" s="75">
        <v>30237</v>
      </c>
      <c r="B1343" s="75">
        <v>2</v>
      </c>
      <c r="C1343" s="75">
        <v>1</v>
      </c>
      <c r="D1343" s="75">
        <v>1</v>
      </c>
      <c r="E1343" s="75">
        <v>1</v>
      </c>
      <c r="F1343" s="75" t="s">
        <v>1583</v>
      </c>
      <c r="G1343" s="76" t="s">
        <v>1584</v>
      </c>
      <c r="H1343" s="7"/>
      <c r="I1343" s="7"/>
    </row>
    <row r="1344" ht="14" customHeight="1" spans="1:9">
      <c r="A1344" s="75">
        <v>30238</v>
      </c>
      <c r="B1344" s="75">
        <v>2</v>
      </c>
      <c r="C1344" s="75">
        <v>1</v>
      </c>
      <c r="D1344" s="75">
        <v>1</v>
      </c>
      <c r="E1344" s="75">
        <v>1</v>
      </c>
      <c r="F1344" s="75" t="s">
        <v>1585</v>
      </c>
      <c r="G1344" s="76" t="s">
        <v>1584</v>
      </c>
      <c r="H1344" s="7"/>
      <c r="I1344" s="7"/>
    </row>
    <row r="1345" ht="14" customHeight="1" spans="1:9">
      <c r="A1345" s="75">
        <v>30239</v>
      </c>
      <c r="B1345" s="75">
        <v>2</v>
      </c>
      <c r="C1345" s="75">
        <v>1</v>
      </c>
      <c r="D1345" s="75">
        <v>1</v>
      </c>
      <c r="E1345" s="75">
        <v>1</v>
      </c>
      <c r="F1345" s="75" t="s">
        <v>1586</v>
      </c>
      <c r="G1345" s="76" t="s">
        <v>1521</v>
      </c>
      <c r="H1345" s="7"/>
      <c r="I1345" s="7"/>
    </row>
    <row r="1346" ht="14" customHeight="1" spans="1:9">
      <c r="A1346" s="75">
        <v>30240</v>
      </c>
      <c r="B1346" s="75">
        <v>2</v>
      </c>
      <c r="C1346" s="75">
        <v>1</v>
      </c>
      <c r="D1346" s="75">
        <v>1</v>
      </c>
      <c r="E1346" s="75">
        <v>1</v>
      </c>
      <c r="F1346" s="75" t="s">
        <v>1587</v>
      </c>
      <c r="G1346" s="76" t="s">
        <v>1521</v>
      </c>
      <c r="H1346" s="7"/>
      <c r="I1346" s="7"/>
    </row>
    <row r="1347" ht="14" customHeight="1" spans="1:9">
      <c r="A1347" s="76">
        <v>30241</v>
      </c>
      <c r="B1347" s="76">
        <v>2</v>
      </c>
      <c r="C1347" s="76">
        <v>1</v>
      </c>
      <c r="D1347" s="75">
        <v>1</v>
      </c>
      <c r="E1347" s="76">
        <v>1</v>
      </c>
      <c r="F1347" s="76" t="s">
        <v>1588</v>
      </c>
      <c r="G1347" s="76" t="s">
        <v>1535</v>
      </c>
      <c r="H1347" s="7"/>
      <c r="I1347" s="7"/>
    </row>
    <row r="1348" ht="14" customHeight="1" spans="1:9">
      <c r="A1348" s="76">
        <v>30242</v>
      </c>
      <c r="B1348" s="76">
        <v>2</v>
      </c>
      <c r="C1348" s="76">
        <v>1</v>
      </c>
      <c r="D1348" s="75">
        <v>1</v>
      </c>
      <c r="E1348" s="76">
        <v>1</v>
      </c>
      <c r="F1348" s="76" t="s">
        <v>1589</v>
      </c>
      <c r="G1348" s="76" t="s">
        <v>1535</v>
      </c>
      <c r="H1348" s="7"/>
      <c r="I1348" s="7"/>
    </row>
    <row r="1349" ht="14" customHeight="1" spans="1:9">
      <c r="A1349" s="15">
        <v>30243</v>
      </c>
      <c r="B1349" s="15">
        <v>2</v>
      </c>
      <c r="C1349" s="15">
        <v>1</v>
      </c>
      <c r="D1349" s="15">
        <v>0</v>
      </c>
      <c r="E1349" s="15">
        <v>1</v>
      </c>
      <c r="F1349" s="15" t="s">
        <v>1590</v>
      </c>
      <c r="G1349" s="51" t="s">
        <v>1591</v>
      </c>
      <c r="H1349" s="7"/>
      <c r="I1349" s="7"/>
    </row>
    <row r="1350" ht="14" customHeight="1" spans="1:9">
      <c r="A1350">
        <v>30244</v>
      </c>
      <c r="B1350">
        <v>2</v>
      </c>
      <c r="C1350">
        <v>1</v>
      </c>
      <c r="D1350">
        <v>0</v>
      </c>
      <c r="E1350">
        <v>1</v>
      </c>
      <c r="F1350" t="s">
        <v>1592</v>
      </c>
      <c r="G1350" s="7"/>
      <c r="H1350" s="7"/>
      <c r="I1350" s="7"/>
    </row>
    <row r="1351" ht="14" customHeight="1" spans="1:9">
      <c r="A1351">
        <v>30245</v>
      </c>
      <c r="B1351">
        <v>2</v>
      </c>
      <c r="C1351">
        <v>1</v>
      </c>
      <c r="D1351">
        <v>0</v>
      </c>
      <c r="E1351">
        <v>1</v>
      </c>
      <c r="F1351" t="s">
        <v>1592</v>
      </c>
      <c r="G1351" s="7"/>
      <c r="H1351" s="7"/>
      <c r="I1351" s="7"/>
    </row>
    <row r="1352" ht="14" customHeight="1" spans="1:9">
      <c r="A1352">
        <v>30246</v>
      </c>
      <c r="B1352">
        <v>2</v>
      </c>
      <c r="C1352">
        <v>1</v>
      </c>
      <c r="D1352">
        <v>0</v>
      </c>
      <c r="E1352">
        <v>1</v>
      </c>
      <c r="F1352" t="s">
        <v>1592</v>
      </c>
      <c r="G1352" s="7"/>
      <c r="H1352" s="7"/>
      <c r="I1352" s="7"/>
    </row>
    <row r="1353" ht="14" customHeight="1" spans="1:9">
      <c r="A1353">
        <v>30247</v>
      </c>
      <c r="B1353">
        <v>2</v>
      </c>
      <c r="C1353">
        <v>1</v>
      </c>
      <c r="D1353">
        <v>0</v>
      </c>
      <c r="E1353">
        <v>1</v>
      </c>
      <c r="F1353" t="s">
        <v>1592</v>
      </c>
      <c r="G1353" s="7"/>
      <c r="H1353" s="7"/>
      <c r="I1353" s="7"/>
    </row>
    <row r="1354" ht="14" customHeight="1" spans="1:9">
      <c r="A1354">
        <v>30248</v>
      </c>
      <c r="B1354">
        <v>2</v>
      </c>
      <c r="C1354">
        <v>1</v>
      </c>
      <c r="D1354">
        <v>0</v>
      </c>
      <c r="E1354">
        <v>1</v>
      </c>
      <c r="F1354" t="s">
        <v>1592</v>
      </c>
      <c r="G1354" s="7"/>
      <c r="H1354" s="7"/>
      <c r="I1354" s="7"/>
    </row>
    <row r="1355" ht="14" customHeight="1" spans="1:9">
      <c r="A1355">
        <v>30249</v>
      </c>
      <c r="B1355">
        <v>2</v>
      </c>
      <c r="C1355">
        <v>1</v>
      </c>
      <c r="D1355">
        <v>0</v>
      </c>
      <c r="E1355">
        <v>1</v>
      </c>
      <c r="F1355" t="s">
        <v>1592</v>
      </c>
      <c r="G1355" s="7"/>
      <c r="H1355" s="7"/>
      <c r="I1355" s="7"/>
    </row>
    <row r="1356" ht="14" customHeight="1" spans="1:9">
      <c r="A1356">
        <v>30250</v>
      </c>
      <c r="B1356">
        <v>2</v>
      </c>
      <c r="C1356">
        <v>1</v>
      </c>
      <c r="D1356">
        <v>0</v>
      </c>
      <c r="E1356">
        <v>1</v>
      </c>
      <c r="F1356" t="s">
        <v>1592</v>
      </c>
      <c r="G1356" s="7"/>
      <c r="H1356" s="7"/>
      <c r="I1356" s="7"/>
    </row>
    <row r="1357" ht="14" customHeight="1" spans="1:9">
      <c r="A1357">
        <v>30251</v>
      </c>
      <c r="B1357">
        <v>2</v>
      </c>
      <c r="C1357">
        <v>1</v>
      </c>
      <c r="D1357">
        <v>0</v>
      </c>
      <c r="E1357">
        <v>1</v>
      </c>
      <c r="F1357" t="s">
        <v>1592</v>
      </c>
      <c r="G1357" s="7"/>
      <c r="H1357" s="7"/>
      <c r="I1357" s="7"/>
    </row>
    <row r="1358" ht="14" customHeight="1" spans="1:9">
      <c r="A1358">
        <v>30252</v>
      </c>
      <c r="B1358">
        <v>2</v>
      </c>
      <c r="C1358">
        <v>1</v>
      </c>
      <c r="D1358">
        <v>0</v>
      </c>
      <c r="E1358">
        <v>1</v>
      </c>
      <c r="F1358" t="s">
        <v>1592</v>
      </c>
      <c r="G1358" s="7"/>
      <c r="H1358" s="7"/>
      <c r="I1358" s="7"/>
    </row>
    <row r="1359" ht="14" customHeight="1" spans="1:9">
      <c r="A1359">
        <v>30253</v>
      </c>
      <c r="B1359">
        <v>2</v>
      </c>
      <c r="C1359">
        <v>1</v>
      </c>
      <c r="D1359">
        <v>0</v>
      </c>
      <c r="E1359">
        <v>1</v>
      </c>
      <c r="F1359" t="s">
        <v>1592</v>
      </c>
      <c r="G1359" s="7"/>
      <c r="H1359" s="7"/>
      <c r="I1359" s="7"/>
    </row>
    <row r="1360" ht="14" customHeight="1" spans="1:9">
      <c r="A1360">
        <v>30254</v>
      </c>
      <c r="B1360">
        <v>2</v>
      </c>
      <c r="C1360">
        <v>1</v>
      </c>
      <c r="D1360">
        <v>0</v>
      </c>
      <c r="E1360">
        <v>1</v>
      </c>
      <c r="F1360" t="s">
        <v>1592</v>
      </c>
      <c r="G1360" s="7"/>
      <c r="H1360" s="7"/>
      <c r="I1360" s="7"/>
    </row>
    <row r="1361" ht="14" customHeight="1" spans="1:9">
      <c r="A1361">
        <v>30255</v>
      </c>
      <c r="B1361">
        <v>2</v>
      </c>
      <c r="C1361">
        <v>1</v>
      </c>
      <c r="D1361">
        <v>0</v>
      </c>
      <c r="E1361">
        <v>1</v>
      </c>
      <c r="F1361" t="s">
        <v>1592</v>
      </c>
      <c r="G1361" s="7"/>
      <c r="H1361" s="7"/>
      <c r="I1361" s="7"/>
    </row>
    <row r="1362" ht="14" customHeight="1" spans="1:9">
      <c r="A1362">
        <v>30256</v>
      </c>
      <c r="B1362">
        <v>2</v>
      </c>
      <c r="C1362">
        <v>1</v>
      </c>
      <c r="D1362">
        <v>0</v>
      </c>
      <c r="E1362">
        <v>1</v>
      </c>
      <c r="F1362" t="s">
        <v>1592</v>
      </c>
      <c r="G1362" s="7"/>
      <c r="H1362" s="7"/>
      <c r="I1362" s="7"/>
    </row>
    <row r="1363" ht="14" customHeight="1" spans="1:9">
      <c r="A1363" s="75">
        <v>30257</v>
      </c>
      <c r="B1363" s="75">
        <v>1</v>
      </c>
      <c r="C1363" s="75">
        <v>1</v>
      </c>
      <c r="D1363" s="75">
        <v>1</v>
      </c>
      <c r="E1363" s="75">
        <v>1</v>
      </c>
      <c r="F1363" s="75" t="s">
        <v>1593</v>
      </c>
      <c r="G1363" s="76" t="s">
        <v>1594</v>
      </c>
      <c r="H1363" s="7"/>
      <c r="I1363" s="7"/>
    </row>
    <row r="1364" ht="14" customHeight="1" spans="1:9">
      <c r="A1364" s="75">
        <v>30258</v>
      </c>
      <c r="B1364" s="75">
        <v>1</v>
      </c>
      <c r="C1364" s="75">
        <v>1</v>
      </c>
      <c r="D1364" s="75">
        <v>1</v>
      </c>
      <c r="E1364" s="75">
        <v>1</v>
      </c>
      <c r="F1364" s="75" t="s">
        <v>812</v>
      </c>
      <c r="G1364" s="76" t="s">
        <v>1595</v>
      </c>
      <c r="H1364" s="7"/>
      <c r="I1364" s="7"/>
    </row>
    <row r="1365" ht="14" customHeight="1" spans="1:9">
      <c r="A1365" s="75">
        <v>30259</v>
      </c>
      <c r="B1365" s="75">
        <v>1</v>
      </c>
      <c r="C1365" s="75">
        <v>1</v>
      </c>
      <c r="D1365" s="75">
        <v>1</v>
      </c>
      <c r="E1365" s="75">
        <v>1</v>
      </c>
      <c r="F1365" s="75" t="s">
        <v>1596</v>
      </c>
      <c r="G1365" s="76" t="s">
        <v>1597</v>
      </c>
      <c r="H1365" s="7"/>
      <c r="I1365" s="7"/>
    </row>
    <row r="1366" ht="14" customHeight="1" spans="1:9">
      <c r="A1366" s="75">
        <v>30260</v>
      </c>
      <c r="B1366" s="75">
        <v>1</v>
      </c>
      <c r="C1366" s="75">
        <v>1</v>
      </c>
      <c r="D1366" s="75">
        <v>1</v>
      </c>
      <c r="E1366" s="75">
        <v>1</v>
      </c>
      <c r="F1366" s="75" t="s">
        <v>1598</v>
      </c>
      <c r="G1366" s="76" t="s">
        <v>1599</v>
      </c>
      <c r="H1366" s="7"/>
      <c r="I1366" s="7"/>
    </row>
    <row r="1367" ht="14" customHeight="1" spans="1:9">
      <c r="A1367" s="75">
        <v>30261</v>
      </c>
      <c r="B1367" s="75">
        <v>1</v>
      </c>
      <c r="C1367" s="75">
        <v>1</v>
      </c>
      <c r="D1367" s="75">
        <v>1</v>
      </c>
      <c r="E1367" s="75">
        <v>1</v>
      </c>
      <c r="F1367" s="75" t="s">
        <v>1600</v>
      </c>
      <c r="G1367" s="76" t="s">
        <v>1599</v>
      </c>
      <c r="H1367" s="7"/>
      <c r="I1367" s="7"/>
    </row>
    <row r="1368" ht="14" customHeight="1" spans="1:9">
      <c r="A1368" s="75">
        <v>30262</v>
      </c>
      <c r="B1368" s="75">
        <v>1</v>
      </c>
      <c r="C1368" s="75">
        <v>1</v>
      </c>
      <c r="D1368" s="75">
        <v>1</v>
      </c>
      <c r="E1368" s="75">
        <v>1</v>
      </c>
      <c r="F1368" s="75" t="s">
        <v>1601</v>
      </c>
      <c r="G1368" s="76" t="s">
        <v>1599</v>
      </c>
      <c r="H1368" s="7"/>
      <c r="I1368" s="7"/>
    </row>
    <row r="1369" s="43" customFormat="1" ht="14" customHeight="1" spans="1:9">
      <c r="A1369" s="43">
        <v>30263</v>
      </c>
      <c r="B1369" s="43">
        <v>1</v>
      </c>
      <c r="C1369" s="43">
        <v>1</v>
      </c>
      <c r="D1369" s="43">
        <v>1</v>
      </c>
      <c r="E1369" s="43">
        <v>1</v>
      </c>
      <c r="F1369" s="43" t="s">
        <v>1602</v>
      </c>
      <c r="G1369" s="79" t="s">
        <v>1603</v>
      </c>
      <c r="H1369" s="79"/>
      <c r="I1369" s="79"/>
    </row>
    <row r="1370" ht="14" customHeight="1" spans="1:9">
      <c r="A1370">
        <v>30264</v>
      </c>
      <c r="B1370">
        <v>1</v>
      </c>
      <c r="C1370">
        <v>1</v>
      </c>
      <c r="D1370">
        <v>1</v>
      </c>
      <c r="E1370">
        <v>1</v>
      </c>
      <c r="F1370" s="80" t="s">
        <v>1604</v>
      </c>
      <c r="G1370" s="66" t="s">
        <v>1605</v>
      </c>
    </row>
    <row r="1371" ht="14" customHeight="1" spans="1:9">
      <c r="A1371">
        <v>30265</v>
      </c>
      <c r="B1371">
        <v>1</v>
      </c>
      <c r="C1371">
        <v>1</v>
      </c>
      <c r="D1371">
        <v>1</v>
      </c>
      <c r="E1371">
        <v>1</v>
      </c>
      <c r="F1371" t="s">
        <v>1606</v>
      </c>
      <c r="G1371" t="s">
        <v>1607</v>
      </c>
    </row>
    <row r="1372" ht="14" customHeight="1" spans="1:9">
      <c r="A1372">
        <v>30266</v>
      </c>
      <c r="B1372">
        <v>1</v>
      </c>
      <c r="C1372">
        <v>4</v>
      </c>
      <c r="D1372">
        <v>1</v>
      </c>
      <c r="E1372">
        <v>4</v>
      </c>
      <c r="F1372" t="s">
        <v>1602</v>
      </c>
      <c r="G1372" t="s">
        <v>1608</v>
      </c>
    </row>
    <row r="1373" ht="14" customHeight="1" spans="1:9">
      <c r="A1373">
        <v>30267</v>
      </c>
      <c r="B1373">
        <v>1</v>
      </c>
      <c r="C1373">
        <v>1</v>
      </c>
      <c r="D1373">
        <v>1</v>
      </c>
      <c r="E1373">
        <v>1</v>
      </c>
      <c r="F1373" t="s">
        <v>1438</v>
      </c>
      <c r="G1373" t="s">
        <v>1609</v>
      </c>
    </row>
    <row r="1374" ht="14" customHeight="1" spans="1:9">
      <c r="A1374">
        <v>30268</v>
      </c>
      <c r="B1374">
        <v>1</v>
      </c>
      <c r="C1374">
        <v>1</v>
      </c>
      <c r="D1374">
        <v>1</v>
      </c>
      <c r="E1374">
        <v>1</v>
      </c>
      <c r="F1374" t="s">
        <v>1610</v>
      </c>
      <c r="G1374" t="s">
        <v>1609</v>
      </c>
    </row>
    <row r="1375" ht="14" customHeight="1" spans="1:9">
      <c r="A1375">
        <v>30269</v>
      </c>
      <c r="B1375">
        <v>1</v>
      </c>
      <c r="C1375">
        <v>1</v>
      </c>
      <c r="D1375">
        <v>1</v>
      </c>
      <c r="E1375">
        <v>1</v>
      </c>
      <c r="F1375" t="s">
        <v>1611</v>
      </c>
      <c r="G1375" t="s">
        <v>1609</v>
      </c>
    </row>
    <row r="1376" ht="14" customHeight="1" spans="1:9">
      <c r="A1376">
        <v>30270</v>
      </c>
      <c r="B1376">
        <v>1</v>
      </c>
      <c r="C1376">
        <v>1</v>
      </c>
      <c r="D1376">
        <v>1</v>
      </c>
      <c r="E1376">
        <v>1</v>
      </c>
      <c r="F1376" t="s">
        <v>1612</v>
      </c>
      <c r="G1376" t="s">
        <v>1609</v>
      </c>
    </row>
    <row r="1377" ht="14" customHeight="1" spans="1:8">
      <c r="A1377">
        <v>30271</v>
      </c>
      <c r="B1377">
        <v>1</v>
      </c>
      <c r="C1377">
        <v>1</v>
      </c>
      <c r="D1377">
        <v>1</v>
      </c>
      <c r="E1377">
        <v>1</v>
      </c>
      <c r="F1377" t="s">
        <v>1613</v>
      </c>
      <c r="G1377" t="s">
        <v>1614</v>
      </c>
    </row>
    <row r="1378" ht="14" customHeight="1" spans="1:8">
      <c r="A1378">
        <v>30272</v>
      </c>
      <c r="B1378">
        <v>1</v>
      </c>
      <c r="C1378">
        <v>1</v>
      </c>
      <c r="D1378">
        <v>1</v>
      </c>
      <c r="E1378">
        <v>1</v>
      </c>
      <c r="F1378" t="s">
        <v>1569</v>
      </c>
      <c r="G1378" t="s">
        <v>1615</v>
      </c>
    </row>
    <row r="1379" ht="14" customHeight="1" spans="1:8">
      <c r="A1379">
        <v>30273</v>
      </c>
      <c r="B1379">
        <v>2</v>
      </c>
      <c r="C1379">
        <v>1</v>
      </c>
      <c r="D1379">
        <v>1</v>
      </c>
      <c r="E1379">
        <v>1</v>
      </c>
      <c r="F1379" s="15" t="s">
        <v>1616</v>
      </c>
      <c r="G1379" t="s">
        <v>1617</v>
      </c>
    </row>
    <row r="1380" ht="14" customHeight="1" spans="1:8">
      <c r="A1380">
        <v>30274</v>
      </c>
      <c r="B1380">
        <v>1</v>
      </c>
      <c r="C1380">
        <v>1</v>
      </c>
      <c r="D1380">
        <v>1</v>
      </c>
      <c r="E1380">
        <v>1</v>
      </c>
      <c r="F1380" t="s">
        <v>1618</v>
      </c>
      <c r="G1380" t="s">
        <v>1619</v>
      </c>
    </row>
    <row r="1381" ht="14" customHeight="1" spans="1:8">
      <c r="A1381">
        <v>30275</v>
      </c>
      <c r="B1381">
        <v>1</v>
      </c>
      <c r="C1381">
        <v>1</v>
      </c>
      <c r="D1381">
        <v>1</v>
      </c>
      <c r="E1381">
        <v>1</v>
      </c>
      <c r="F1381" t="s">
        <v>1620</v>
      </c>
      <c r="G1381" t="s">
        <v>1619</v>
      </c>
    </row>
    <row r="1382" ht="14" customHeight="1" spans="1:8">
      <c r="A1382">
        <v>30276</v>
      </c>
      <c r="B1382">
        <v>1</v>
      </c>
      <c r="C1382">
        <v>1</v>
      </c>
      <c r="D1382" s="15">
        <v>1</v>
      </c>
      <c r="E1382" s="15">
        <v>1</v>
      </c>
      <c r="F1382" t="s">
        <v>1621</v>
      </c>
      <c r="G1382" s="7" t="s">
        <v>588</v>
      </c>
    </row>
    <row r="1383" ht="14" customHeight="1" spans="1:8">
      <c r="A1383">
        <v>30277</v>
      </c>
      <c r="B1383">
        <v>2</v>
      </c>
      <c r="C1383">
        <v>2</v>
      </c>
      <c r="D1383">
        <v>1</v>
      </c>
      <c r="E1383">
        <v>2</v>
      </c>
      <c r="F1383" t="s">
        <v>1622</v>
      </c>
      <c r="G1383" t="s">
        <v>1391</v>
      </c>
      <c r="H1383" s="7"/>
    </row>
    <row r="1384" ht="14" customHeight="1" spans="1:8">
      <c r="A1384">
        <v>30278</v>
      </c>
      <c r="B1384">
        <v>1</v>
      </c>
      <c r="C1384">
        <v>1</v>
      </c>
      <c r="D1384">
        <v>0</v>
      </c>
      <c r="E1384">
        <v>1</v>
      </c>
      <c r="F1384" t="s">
        <v>1623</v>
      </c>
      <c r="G1384" s="66" t="s">
        <v>1624</v>
      </c>
    </row>
    <row r="1385" ht="14" customHeight="1" spans="1:8">
      <c r="A1385">
        <v>30279</v>
      </c>
      <c r="B1385">
        <v>1</v>
      </c>
      <c r="C1385">
        <v>1</v>
      </c>
      <c r="D1385">
        <v>0</v>
      </c>
      <c r="E1385">
        <v>1</v>
      </c>
      <c r="F1385" t="s">
        <v>1625</v>
      </c>
      <c r="G1385" s="66" t="s">
        <v>1624</v>
      </c>
    </row>
    <row r="1386" ht="14" customHeight="1" spans="1:8">
      <c r="A1386">
        <v>30280</v>
      </c>
      <c r="B1386">
        <v>1</v>
      </c>
      <c r="C1386">
        <v>1</v>
      </c>
      <c r="D1386">
        <v>0</v>
      </c>
      <c r="E1386">
        <v>1</v>
      </c>
      <c r="F1386" t="s">
        <v>1626</v>
      </c>
      <c r="G1386" s="66" t="s">
        <v>1624</v>
      </c>
    </row>
    <row r="1387" ht="14" customHeight="1" spans="1:8">
      <c r="A1387">
        <v>30281</v>
      </c>
      <c r="B1387">
        <v>1</v>
      </c>
      <c r="C1387">
        <v>1</v>
      </c>
      <c r="D1387">
        <v>0</v>
      </c>
      <c r="E1387">
        <v>1</v>
      </c>
      <c r="F1387" t="s">
        <v>1627</v>
      </c>
      <c r="G1387" s="66" t="s">
        <v>1624</v>
      </c>
    </row>
    <row r="1388" ht="14" customHeight="1" spans="1:8">
      <c r="A1388">
        <v>30282</v>
      </c>
      <c r="B1388">
        <v>1</v>
      </c>
      <c r="C1388">
        <v>1</v>
      </c>
      <c r="D1388">
        <v>0</v>
      </c>
      <c r="E1388">
        <v>1</v>
      </c>
      <c r="F1388" t="s">
        <v>1628</v>
      </c>
      <c r="G1388" s="66" t="s">
        <v>1624</v>
      </c>
    </row>
    <row r="1389" ht="14" customHeight="1" spans="1:8">
      <c r="A1389">
        <v>30283</v>
      </c>
      <c r="B1389">
        <v>1</v>
      </c>
      <c r="C1389">
        <v>1</v>
      </c>
      <c r="D1389">
        <v>0</v>
      </c>
      <c r="E1389">
        <v>1</v>
      </c>
      <c r="F1389" t="s">
        <v>1629</v>
      </c>
      <c r="G1389" s="66" t="s">
        <v>1624</v>
      </c>
    </row>
    <row r="1390" ht="14" customHeight="1" spans="1:8">
      <c r="A1390">
        <v>30284</v>
      </c>
      <c r="B1390">
        <v>1</v>
      </c>
      <c r="C1390">
        <v>1</v>
      </c>
      <c r="D1390">
        <v>0</v>
      </c>
      <c r="E1390">
        <v>1</v>
      </c>
      <c r="F1390" t="s">
        <v>1541</v>
      </c>
      <c r="G1390" s="66" t="s">
        <v>1624</v>
      </c>
    </row>
    <row r="1391" ht="14" customHeight="1" spans="1:8">
      <c r="A1391">
        <v>30285</v>
      </c>
      <c r="B1391">
        <v>1</v>
      </c>
      <c r="C1391">
        <v>1</v>
      </c>
      <c r="D1391">
        <v>0</v>
      </c>
      <c r="E1391">
        <v>1</v>
      </c>
      <c r="F1391" t="s">
        <v>1542</v>
      </c>
      <c r="G1391" s="66" t="s">
        <v>1624</v>
      </c>
    </row>
    <row r="1392" ht="14" customHeight="1" spans="1:8">
      <c r="A1392">
        <v>30286</v>
      </c>
      <c r="B1392">
        <v>1</v>
      </c>
      <c r="C1392">
        <v>1</v>
      </c>
      <c r="D1392">
        <v>0</v>
      </c>
      <c r="E1392">
        <v>1</v>
      </c>
      <c r="F1392" t="s">
        <v>1543</v>
      </c>
      <c r="G1392" s="66" t="s">
        <v>1624</v>
      </c>
    </row>
    <row r="1393" ht="14" customHeight="1" spans="1:7">
      <c r="A1393">
        <v>30287</v>
      </c>
      <c r="B1393">
        <v>1</v>
      </c>
      <c r="C1393">
        <v>1</v>
      </c>
      <c r="D1393">
        <v>0</v>
      </c>
      <c r="E1393">
        <v>1</v>
      </c>
      <c r="F1393" t="s">
        <v>1544</v>
      </c>
      <c r="G1393" s="66" t="s">
        <v>1624</v>
      </c>
    </row>
    <row r="1394" ht="14" customHeight="1" spans="1:7">
      <c r="A1394">
        <v>30288</v>
      </c>
      <c r="B1394">
        <v>1</v>
      </c>
      <c r="C1394">
        <v>1</v>
      </c>
      <c r="D1394">
        <v>0</v>
      </c>
      <c r="E1394">
        <v>1</v>
      </c>
      <c r="F1394" t="s">
        <v>1545</v>
      </c>
      <c r="G1394" s="66" t="s">
        <v>1624</v>
      </c>
    </row>
    <row r="1395" ht="14" customHeight="1" spans="1:7">
      <c r="A1395">
        <v>30289</v>
      </c>
      <c r="B1395">
        <v>1</v>
      </c>
      <c r="C1395">
        <v>1</v>
      </c>
      <c r="D1395">
        <v>0</v>
      </c>
      <c r="E1395">
        <v>1</v>
      </c>
      <c r="F1395" t="s">
        <v>1546</v>
      </c>
      <c r="G1395" s="66" t="s">
        <v>1624</v>
      </c>
    </row>
    <row r="1396" ht="14" customHeight="1" spans="1:7">
      <c r="A1396">
        <v>30290</v>
      </c>
      <c r="B1396">
        <v>2</v>
      </c>
      <c r="C1396">
        <v>2</v>
      </c>
      <c r="D1396">
        <v>1</v>
      </c>
      <c r="E1396">
        <v>2</v>
      </c>
      <c r="F1396" t="s">
        <v>1630</v>
      </c>
      <c r="G1396" t="s">
        <v>1391</v>
      </c>
    </row>
    <row r="1397" ht="14" customHeight="1" spans="1:7">
      <c r="A1397">
        <v>30291</v>
      </c>
      <c r="B1397">
        <v>1</v>
      </c>
      <c r="C1397">
        <v>1</v>
      </c>
      <c r="D1397">
        <v>0</v>
      </c>
      <c r="E1397">
        <v>1</v>
      </c>
      <c r="F1397" t="s">
        <v>1631</v>
      </c>
      <c r="G1397" s="66" t="s">
        <v>1632</v>
      </c>
    </row>
    <row r="1398" ht="14" customHeight="1" spans="1:7">
      <c r="A1398">
        <v>30292</v>
      </c>
      <c r="B1398">
        <v>1</v>
      </c>
      <c r="C1398">
        <v>1</v>
      </c>
      <c r="D1398">
        <v>0</v>
      </c>
      <c r="E1398">
        <v>1</v>
      </c>
      <c r="F1398" t="s">
        <v>1633</v>
      </c>
      <c r="G1398" s="66" t="s">
        <v>1632</v>
      </c>
    </row>
    <row r="1399" ht="14" customHeight="1" spans="1:7">
      <c r="A1399">
        <v>30293</v>
      </c>
      <c r="B1399">
        <v>1</v>
      </c>
      <c r="C1399">
        <v>1</v>
      </c>
      <c r="D1399">
        <v>0</v>
      </c>
      <c r="E1399">
        <v>1</v>
      </c>
      <c r="F1399" t="s">
        <v>1634</v>
      </c>
      <c r="G1399" s="66" t="s">
        <v>1632</v>
      </c>
    </row>
    <row r="1400" ht="14" customHeight="1" spans="1:7">
      <c r="A1400">
        <v>30294</v>
      </c>
      <c r="B1400">
        <v>1</v>
      </c>
      <c r="C1400">
        <v>1</v>
      </c>
      <c r="D1400">
        <v>0</v>
      </c>
      <c r="E1400">
        <v>1</v>
      </c>
      <c r="F1400" t="s">
        <v>1635</v>
      </c>
      <c r="G1400" s="66" t="s">
        <v>1632</v>
      </c>
    </row>
    <row r="1401" ht="14" customHeight="1" spans="1:7">
      <c r="A1401">
        <v>30295</v>
      </c>
      <c r="B1401">
        <v>1</v>
      </c>
      <c r="C1401">
        <v>1</v>
      </c>
      <c r="D1401">
        <v>0</v>
      </c>
      <c r="E1401">
        <v>1</v>
      </c>
      <c r="F1401" t="s">
        <v>1636</v>
      </c>
      <c r="G1401" s="66" t="s">
        <v>1632</v>
      </c>
    </row>
    <row r="1402" ht="14" customHeight="1" spans="1:7">
      <c r="A1402">
        <v>30296</v>
      </c>
      <c r="B1402">
        <v>1</v>
      </c>
      <c r="C1402">
        <v>1</v>
      </c>
      <c r="D1402">
        <v>0</v>
      </c>
      <c r="E1402">
        <v>1</v>
      </c>
      <c r="F1402" t="s">
        <v>1637</v>
      </c>
      <c r="G1402" s="66" t="s">
        <v>1632</v>
      </c>
    </row>
    <row r="1403" ht="14" customHeight="1" spans="1:7">
      <c r="A1403">
        <v>30297</v>
      </c>
      <c r="B1403">
        <v>1</v>
      </c>
      <c r="C1403">
        <v>1</v>
      </c>
      <c r="D1403">
        <v>1</v>
      </c>
      <c r="E1403">
        <v>1</v>
      </c>
      <c r="F1403" t="s">
        <v>1638</v>
      </c>
      <c r="G1403" s="66"/>
    </row>
    <row r="1404" ht="14" customHeight="1" spans="1:7">
      <c r="A1404">
        <v>30298</v>
      </c>
      <c r="B1404">
        <v>1</v>
      </c>
      <c r="C1404">
        <v>8</v>
      </c>
      <c r="D1404">
        <v>1</v>
      </c>
      <c r="E1404">
        <v>1</v>
      </c>
      <c r="F1404" t="s">
        <v>1639</v>
      </c>
      <c r="G1404" s="66" t="s">
        <v>1640</v>
      </c>
    </row>
    <row r="1405" ht="14" customHeight="1" spans="1:7">
      <c r="A1405">
        <v>30299</v>
      </c>
      <c r="B1405">
        <v>1</v>
      </c>
      <c r="C1405">
        <v>1</v>
      </c>
      <c r="D1405">
        <v>1</v>
      </c>
      <c r="E1405">
        <v>1</v>
      </c>
      <c r="F1405" t="s">
        <v>1568</v>
      </c>
      <c r="G1405" s="66" t="s">
        <v>1641</v>
      </c>
    </row>
    <row r="1406" ht="14" customHeight="1" spans="1:7">
      <c r="A1406">
        <v>30300</v>
      </c>
      <c r="B1406">
        <v>1</v>
      </c>
      <c r="C1406">
        <v>1</v>
      </c>
      <c r="D1406">
        <v>1</v>
      </c>
      <c r="E1406">
        <v>1</v>
      </c>
      <c r="F1406" t="s">
        <v>1642</v>
      </c>
      <c r="G1406" s="66" t="s">
        <v>1641</v>
      </c>
    </row>
    <row r="1407" ht="14" customHeight="1" spans="1:7">
      <c r="A1407">
        <v>30301</v>
      </c>
      <c r="B1407">
        <v>1</v>
      </c>
      <c r="C1407">
        <v>1</v>
      </c>
      <c r="D1407">
        <v>1</v>
      </c>
      <c r="E1407">
        <v>1</v>
      </c>
      <c r="F1407" t="s">
        <v>1643</v>
      </c>
      <c r="G1407" s="66" t="s">
        <v>1641</v>
      </c>
    </row>
    <row r="1408" ht="14" customHeight="1" spans="1:7">
      <c r="A1408">
        <v>30302</v>
      </c>
      <c r="B1408">
        <v>1</v>
      </c>
      <c r="C1408">
        <v>1</v>
      </c>
      <c r="D1408">
        <v>1</v>
      </c>
      <c r="E1408">
        <v>1</v>
      </c>
      <c r="F1408" t="s">
        <v>1644</v>
      </c>
      <c r="G1408" s="66" t="s">
        <v>1641</v>
      </c>
    </row>
    <row r="1409" ht="14" customHeight="1" spans="1:7">
      <c r="A1409">
        <v>30303</v>
      </c>
      <c r="B1409">
        <v>1</v>
      </c>
      <c r="C1409">
        <v>1</v>
      </c>
      <c r="D1409">
        <v>1</v>
      </c>
      <c r="E1409">
        <v>1</v>
      </c>
      <c r="F1409" t="s">
        <v>1645</v>
      </c>
      <c r="G1409" s="66" t="s">
        <v>1641</v>
      </c>
    </row>
    <row r="1410" ht="14" customHeight="1" spans="1:7">
      <c r="A1410">
        <v>30304</v>
      </c>
      <c r="B1410">
        <v>1</v>
      </c>
      <c r="C1410">
        <v>1</v>
      </c>
      <c r="D1410">
        <v>1</v>
      </c>
      <c r="E1410">
        <v>1</v>
      </c>
      <c r="F1410" t="s">
        <v>1646</v>
      </c>
      <c r="G1410" s="66" t="s">
        <v>1641</v>
      </c>
    </row>
    <row r="1411" ht="14" customHeight="1" spans="1:7">
      <c r="A1411">
        <v>30305</v>
      </c>
      <c r="B1411">
        <v>1</v>
      </c>
      <c r="C1411">
        <v>1</v>
      </c>
      <c r="D1411">
        <v>1</v>
      </c>
      <c r="E1411">
        <v>1</v>
      </c>
      <c r="F1411" t="s">
        <v>1647</v>
      </c>
      <c r="G1411" s="66" t="s">
        <v>1648</v>
      </c>
    </row>
    <row r="1412" ht="14" customHeight="1" spans="1:7">
      <c r="A1412">
        <v>30306</v>
      </c>
      <c r="B1412">
        <v>1</v>
      </c>
      <c r="C1412">
        <v>1</v>
      </c>
      <c r="D1412">
        <v>1</v>
      </c>
      <c r="E1412">
        <v>1</v>
      </c>
      <c r="F1412" t="s">
        <v>1649</v>
      </c>
      <c r="G1412" s="66" t="s">
        <v>1650</v>
      </c>
    </row>
    <row r="1413" ht="14" customHeight="1" spans="1:7">
      <c r="A1413">
        <v>30307</v>
      </c>
      <c r="B1413">
        <v>1</v>
      </c>
      <c r="C1413">
        <v>1</v>
      </c>
      <c r="D1413">
        <v>1</v>
      </c>
      <c r="E1413">
        <v>1</v>
      </c>
      <c r="F1413" t="s">
        <v>1651</v>
      </c>
      <c r="G1413" s="66" t="s">
        <v>1652</v>
      </c>
    </row>
    <row r="1414" ht="14" customHeight="1" spans="1:7">
      <c r="A1414">
        <v>30308</v>
      </c>
      <c r="B1414">
        <v>2</v>
      </c>
      <c r="C1414">
        <v>1</v>
      </c>
      <c r="D1414">
        <v>1</v>
      </c>
      <c r="E1414">
        <v>1</v>
      </c>
      <c r="F1414" s="15" t="s">
        <v>1653</v>
      </c>
      <c r="G1414" s="66" t="s">
        <v>1654</v>
      </c>
    </row>
    <row r="1415" ht="14" customHeight="1" spans="1:7">
      <c r="A1415">
        <v>30309</v>
      </c>
      <c r="B1415">
        <v>1</v>
      </c>
      <c r="C1415">
        <v>1</v>
      </c>
      <c r="D1415">
        <v>1</v>
      </c>
      <c r="E1415">
        <v>1</v>
      </c>
      <c r="F1415" s="81" t="s">
        <v>1655</v>
      </c>
      <c r="G1415" s="82" t="s">
        <v>1656</v>
      </c>
    </row>
    <row r="1416" ht="14" customHeight="1" spans="1:7">
      <c r="A1416">
        <v>30310</v>
      </c>
      <c r="B1416">
        <v>1</v>
      </c>
      <c r="C1416">
        <v>1</v>
      </c>
      <c r="D1416">
        <v>1</v>
      </c>
      <c r="E1416">
        <v>1</v>
      </c>
      <c r="F1416" s="81" t="s">
        <v>1657</v>
      </c>
      <c r="G1416" s="82" t="s">
        <v>1658</v>
      </c>
    </row>
    <row r="1417" ht="14" customHeight="1" spans="1:7">
      <c r="A1417">
        <v>30311</v>
      </c>
      <c r="B1417">
        <v>1</v>
      </c>
      <c r="C1417">
        <v>1</v>
      </c>
      <c r="D1417">
        <v>1</v>
      </c>
      <c r="E1417">
        <v>1</v>
      </c>
      <c r="F1417" s="81" t="s">
        <v>1659</v>
      </c>
      <c r="G1417" s="82" t="s">
        <v>1660</v>
      </c>
    </row>
    <row r="1418" ht="14" customHeight="1" spans="1:7">
      <c r="A1418">
        <v>30312</v>
      </c>
      <c r="B1418">
        <v>1</v>
      </c>
      <c r="C1418">
        <v>1</v>
      </c>
      <c r="D1418">
        <v>1</v>
      </c>
      <c r="E1418">
        <v>1</v>
      </c>
      <c r="F1418" s="81" t="s">
        <v>1661</v>
      </c>
      <c r="G1418" s="82" t="s">
        <v>1662</v>
      </c>
    </row>
    <row r="1419" ht="14" customHeight="1" spans="1:7">
      <c r="A1419">
        <v>30313</v>
      </c>
      <c r="B1419">
        <v>1</v>
      </c>
      <c r="C1419">
        <v>1</v>
      </c>
      <c r="D1419">
        <v>1</v>
      </c>
      <c r="E1419">
        <v>1</v>
      </c>
      <c r="F1419" s="81" t="s">
        <v>1663</v>
      </c>
      <c r="G1419" s="66" t="s">
        <v>1664</v>
      </c>
    </row>
    <row r="1420" ht="14" customHeight="1" spans="1:7">
      <c r="A1420">
        <v>30314</v>
      </c>
      <c r="B1420">
        <v>1</v>
      </c>
      <c r="C1420">
        <v>1</v>
      </c>
      <c r="D1420">
        <v>1</v>
      </c>
      <c r="E1420">
        <v>1</v>
      </c>
      <c r="F1420" s="81" t="s">
        <v>1665</v>
      </c>
      <c r="G1420" s="66" t="s">
        <v>1666</v>
      </c>
    </row>
    <row r="1421" ht="14" customHeight="1" spans="1:7">
      <c r="A1421">
        <v>30315</v>
      </c>
      <c r="B1421">
        <v>1</v>
      </c>
      <c r="C1421">
        <v>1</v>
      </c>
      <c r="D1421">
        <v>1</v>
      </c>
      <c r="E1421">
        <v>1</v>
      </c>
      <c r="F1421" s="81" t="s">
        <v>1667</v>
      </c>
      <c r="G1421" s="66" t="s">
        <v>1668</v>
      </c>
    </row>
    <row r="1422" ht="14" customHeight="1" spans="1:7">
      <c r="A1422">
        <v>30316</v>
      </c>
      <c r="B1422">
        <v>1</v>
      </c>
      <c r="C1422">
        <v>1</v>
      </c>
      <c r="D1422">
        <v>1</v>
      </c>
      <c r="E1422">
        <v>1</v>
      </c>
      <c r="F1422" s="81" t="s">
        <v>1669</v>
      </c>
      <c r="G1422" s="66" t="s">
        <v>1670</v>
      </c>
    </row>
    <row r="1423" ht="14" customHeight="1" spans="1:7">
      <c r="A1423">
        <v>30317</v>
      </c>
      <c r="B1423">
        <v>1</v>
      </c>
      <c r="C1423">
        <v>1</v>
      </c>
      <c r="D1423">
        <v>1</v>
      </c>
      <c r="E1423">
        <v>1</v>
      </c>
      <c r="F1423" s="81" t="s">
        <v>628</v>
      </c>
      <c r="G1423" s="66" t="s">
        <v>1671</v>
      </c>
    </row>
    <row r="1424" ht="14" customHeight="1" spans="1:7">
      <c r="A1424">
        <v>30318</v>
      </c>
      <c r="B1424">
        <v>1</v>
      </c>
      <c r="C1424">
        <v>1</v>
      </c>
      <c r="D1424">
        <v>1</v>
      </c>
      <c r="E1424">
        <v>1</v>
      </c>
      <c r="F1424" t="s">
        <v>1672</v>
      </c>
      <c r="G1424" s="66" t="s">
        <v>1673</v>
      </c>
    </row>
    <row r="1425" ht="14" customHeight="1" spans="1:7">
      <c r="A1425">
        <v>30319</v>
      </c>
      <c r="B1425">
        <v>1</v>
      </c>
      <c r="C1425">
        <v>1</v>
      </c>
      <c r="D1425">
        <v>1</v>
      </c>
      <c r="E1425">
        <v>1</v>
      </c>
      <c r="F1425" t="s">
        <v>1674</v>
      </c>
      <c r="G1425" s="66" t="s">
        <v>1675</v>
      </c>
    </row>
    <row r="1426" ht="14" customHeight="1" spans="1:7">
      <c r="A1426">
        <v>30320</v>
      </c>
      <c r="B1426">
        <v>1</v>
      </c>
      <c r="C1426">
        <v>1</v>
      </c>
      <c r="D1426">
        <v>1</v>
      </c>
      <c r="E1426">
        <v>1</v>
      </c>
      <c r="F1426" t="s">
        <v>1676</v>
      </c>
      <c r="G1426" s="66" t="s">
        <v>1677</v>
      </c>
    </row>
    <row r="1427" ht="14" customHeight="1" spans="1:7">
      <c r="A1427">
        <v>30321</v>
      </c>
      <c r="B1427">
        <v>1</v>
      </c>
      <c r="C1427">
        <v>1</v>
      </c>
      <c r="D1427">
        <v>1</v>
      </c>
      <c r="E1427">
        <v>1</v>
      </c>
      <c r="F1427" t="s">
        <v>1678</v>
      </c>
      <c r="G1427" s="66" t="s">
        <v>1679</v>
      </c>
    </row>
    <row r="1428" ht="14" customHeight="1" spans="1:7">
      <c r="A1428">
        <v>30322</v>
      </c>
      <c r="B1428">
        <v>1</v>
      </c>
      <c r="C1428">
        <v>1</v>
      </c>
      <c r="D1428">
        <v>1</v>
      </c>
      <c r="E1428">
        <v>1</v>
      </c>
      <c r="F1428" t="s">
        <v>1680</v>
      </c>
      <c r="G1428" s="66" t="s">
        <v>1681</v>
      </c>
    </row>
    <row r="1429" ht="14" customHeight="1" spans="1:7">
      <c r="A1429">
        <v>30323</v>
      </c>
      <c r="B1429">
        <v>1</v>
      </c>
      <c r="C1429">
        <v>1</v>
      </c>
      <c r="D1429">
        <v>1</v>
      </c>
      <c r="E1429">
        <v>1</v>
      </c>
      <c r="F1429" t="s">
        <v>1682</v>
      </c>
      <c r="G1429" s="66" t="s">
        <v>1683</v>
      </c>
    </row>
    <row r="1430" ht="14" customHeight="1" spans="1:7">
      <c r="A1430">
        <v>30324</v>
      </c>
      <c r="B1430">
        <v>1</v>
      </c>
      <c r="C1430">
        <v>1</v>
      </c>
      <c r="D1430">
        <v>1</v>
      </c>
      <c r="E1430">
        <v>1</v>
      </c>
      <c r="F1430" t="s">
        <v>1684</v>
      </c>
      <c r="G1430" s="66" t="s">
        <v>1685</v>
      </c>
    </row>
    <row r="1431" ht="14" customHeight="1" spans="1:7">
      <c r="A1431">
        <v>30325</v>
      </c>
      <c r="B1431">
        <v>1</v>
      </c>
      <c r="C1431">
        <v>1</v>
      </c>
      <c r="D1431">
        <v>1</v>
      </c>
      <c r="E1431">
        <v>1</v>
      </c>
      <c r="F1431" t="s">
        <v>1686</v>
      </c>
      <c r="G1431" s="66" t="s">
        <v>1687</v>
      </c>
    </row>
    <row r="1432" ht="14" customHeight="1" spans="1:7">
      <c r="A1432">
        <v>30326</v>
      </c>
      <c r="B1432">
        <v>1</v>
      </c>
      <c r="C1432">
        <v>1</v>
      </c>
      <c r="D1432">
        <v>1</v>
      </c>
      <c r="E1432">
        <v>1</v>
      </c>
      <c r="F1432" t="s">
        <v>1688</v>
      </c>
      <c r="G1432" s="66" t="s">
        <v>1689</v>
      </c>
    </row>
    <row r="1433" ht="14" customHeight="1" spans="1:7">
      <c r="A1433">
        <v>30327</v>
      </c>
      <c r="B1433">
        <v>1</v>
      </c>
      <c r="C1433">
        <v>1</v>
      </c>
      <c r="D1433">
        <v>1</v>
      </c>
      <c r="E1433">
        <v>1</v>
      </c>
      <c r="F1433" t="s">
        <v>1690</v>
      </c>
      <c r="G1433" s="66" t="s">
        <v>1691</v>
      </c>
    </row>
    <row r="1434" ht="14" customHeight="1" spans="1:7">
      <c r="A1434">
        <v>30328</v>
      </c>
      <c r="B1434">
        <v>1</v>
      </c>
      <c r="C1434">
        <v>1</v>
      </c>
      <c r="D1434">
        <v>1</v>
      </c>
      <c r="E1434">
        <v>1</v>
      </c>
      <c r="F1434" t="s">
        <v>1692</v>
      </c>
      <c r="G1434" s="66" t="s">
        <v>1693</v>
      </c>
    </row>
    <row r="1435" ht="14" customHeight="1" spans="1:7">
      <c r="A1435">
        <v>30329</v>
      </c>
      <c r="B1435">
        <v>1</v>
      </c>
      <c r="C1435">
        <v>1</v>
      </c>
      <c r="D1435">
        <v>1</v>
      </c>
      <c r="E1435">
        <v>1</v>
      </c>
      <c r="F1435" t="s">
        <v>1694</v>
      </c>
      <c r="G1435" s="66" t="s">
        <v>1693</v>
      </c>
    </row>
    <row r="1436" ht="14" customHeight="1" spans="1:7">
      <c r="A1436">
        <v>30330</v>
      </c>
      <c r="B1436">
        <v>1</v>
      </c>
      <c r="C1436">
        <v>1</v>
      </c>
      <c r="D1436">
        <v>1</v>
      </c>
      <c r="E1436">
        <v>1</v>
      </c>
      <c r="F1436" t="s">
        <v>1642</v>
      </c>
      <c r="G1436" s="66" t="s">
        <v>1693</v>
      </c>
    </row>
    <row r="1437" ht="14" customHeight="1" spans="1:7">
      <c r="A1437">
        <v>30331</v>
      </c>
      <c r="B1437">
        <v>1</v>
      </c>
      <c r="C1437">
        <v>1</v>
      </c>
      <c r="D1437">
        <v>1</v>
      </c>
      <c r="E1437">
        <v>1</v>
      </c>
      <c r="F1437" t="s">
        <v>1695</v>
      </c>
      <c r="G1437" s="66" t="s">
        <v>1693</v>
      </c>
    </row>
    <row r="1438" ht="14" customHeight="1" spans="1:7">
      <c r="A1438">
        <v>30332</v>
      </c>
      <c r="B1438">
        <v>1</v>
      </c>
      <c r="C1438">
        <v>1</v>
      </c>
      <c r="D1438">
        <v>1</v>
      </c>
      <c r="E1438">
        <v>1</v>
      </c>
      <c r="F1438" t="s">
        <v>1696</v>
      </c>
      <c r="G1438" s="66" t="s">
        <v>1693</v>
      </c>
    </row>
    <row r="1439" ht="14" customHeight="1" spans="1:7">
      <c r="A1439">
        <v>30333</v>
      </c>
      <c r="B1439">
        <v>1</v>
      </c>
      <c r="C1439">
        <v>1</v>
      </c>
      <c r="D1439">
        <v>1</v>
      </c>
      <c r="E1439">
        <v>1</v>
      </c>
      <c r="F1439" t="s">
        <v>1697</v>
      </c>
      <c r="G1439" s="66" t="s">
        <v>1693</v>
      </c>
    </row>
    <row r="1440" ht="14" customHeight="1" spans="1:7">
      <c r="A1440">
        <v>30334</v>
      </c>
      <c r="B1440">
        <v>1</v>
      </c>
      <c r="C1440">
        <v>1</v>
      </c>
      <c r="D1440">
        <v>1</v>
      </c>
      <c r="E1440">
        <v>1</v>
      </c>
      <c r="F1440" t="s">
        <v>1698</v>
      </c>
      <c r="G1440" s="66" t="s">
        <v>1693</v>
      </c>
    </row>
    <row r="1441" ht="14" customHeight="1" spans="1:7">
      <c r="A1441">
        <v>30335</v>
      </c>
      <c r="B1441">
        <v>1</v>
      </c>
      <c r="C1441">
        <v>1</v>
      </c>
      <c r="D1441">
        <v>1</v>
      </c>
      <c r="E1441">
        <v>1</v>
      </c>
      <c r="F1441" t="s">
        <v>1699</v>
      </c>
      <c r="G1441" s="66" t="s">
        <v>1693</v>
      </c>
    </row>
    <row r="1442" ht="14" customHeight="1" spans="1:7">
      <c r="A1442">
        <v>30336</v>
      </c>
      <c r="B1442">
        <v>1</v>
      </c>
      <c r="C1442">
        <v>1</v>
      </c>
      <c r="D1442">
        <v>1</v>
      </c>
      <c r="E1442">
        <v>1</v>
      </c>
      <c r="F1442" t="s">
        <v>298</v>
      </c>
      <c r="G1442" s="66" t="s">
        <v>1700</v>
      </c>
    </row>
    <row r="1443" ht="14" customHeight="1" spans="1:7">
      <c r="A1443">
        <v>30337</v>
      </c>
      <c r="B1443">
        <v>1</v>
      </c>
      <c r="C1443">
        <v>1</v>
      </c>
      <c r="D1443">
        <v>1</v>
      </c>
      <c r="E1443">
        <v>1</v>
      </c>
      <c r="F1443" t="s">
        <v>1701</v>
      </c>
      <c r="G1443" s="66" t="s">
        <v>1702</v>
      </c>
    </row>
    <row r="1444" ht="14" customHeight="1" spans="1:7">
      <c r="A1444">
        <v>30338</v>
      </c>
      <c r="B1444">
        <v>1</v>
      </c>
      <c r="C1444">
        <v>1</v>
      </c>
      <c r="D1444">
        <v>1</v>
      </c>
      <c r="E1444">
        <v>1</v>
      </c>
      <c r="F1444" t="s">
        <v>1703</v>
      </c>
      <c r="G1444" s="66" t="s">
        <v>1704</v>
      </c>
    </row>
    <row r="1445" ht="14" customHeight="1" spans="1:7">
      <c r="A1445">
        <v>30339</v>
      </c>
      <c r="B1445">
        <v>2</v>
      </c>
      <c r="C1445">
        <v>1</v>
      </c>
      <c r="D1445">
        <v>1</v>
      </c>
      <c r="E1445">
        <v>1</v>
      </c>
      <c r="F1445" t="s">
        <v>1705</v>
      </c>
      <c r="G1445" s="66" t="s">
        <v>1706</v>
      </c>
    </row>
    <row r="1446" ht="14" customHeight="1" spans="1:7">
      <c r="A1446">
        <v>30340</v>
      </c>
      <c r="B1446">
        <v>1</v>
      </c>
      <c r="C1446">
        <v>1</v>
      </c>
      <c r="D1446">
        <v>1</v>
      </c>
      <c r="E1446">
        <v>1</v>
      </c>
      <c r="F1446" t="s">
        <v>1707</v>
      </c>
      <c r="G1446" s="66" t="s">
        <v>1708</v>
      </c>
    </row>
    <row r="1447" ht="14" customHeight="1" spans="1:7">
      <c r="A1447">
        <v>30341</v>
      </c>
      <c r="B1447">
        <v>1</v>
      </c>
      <c r="C1447">
        <v>1</v>
      </c>
      <c r="D1447">
        <v>1</v>
      </c>
      <c r="E1447">
        <v>1</v>
      </c>
      <c r="F1447" t="s">
        <v>1709</v>
      </c>
      <c r="G1447" s="66" t="s">
        <v>1710</v>
      </c>
    </row>
    <row r="1448" ht="14" customHeight="1" spans="1:7">
      <c r="A1448">
        <v>30342</v>
      </c>
      <c r="B1448">
        <v>2</v>
      </c>
      <c r="C1448">
        <v>5</v>
      </c>
      <c r="D1448">
        <v>1</v>
      </c>
      <c r="E1448">
        <v>1</v>
      </c>
      <c r="F1448" t="s">
        <v>1711</v>
      </c>
      <c r="G1448" t="s">
        <v>1712</v>
      </c>
    </row>
    <row r="1449" ht="14" customHeight="1" spans="1:7">
      <c r="A1449">
        <v>30343</v>
      </c>
      <c r="B1449">
        <v>1</v>
      </c>
      <c r="C1449">
        <v>2</v>
      </c>
      <c r="D1449">
        <v>1</v>
      </c>
      <c r="E1449">
        <v>1</v>
      </c>
      <c r="F1449" t="s">
        <v>1713</v>
      </c>
      <c r="G1449" t="s">
        <v>1712</v>
      </c>
    </row>
    <row r="1450" ht="14" customHeight="1" spans="1:7">
      <c r="A1450">
        <v>30344</v>
      </c>
      <c r="B1450">
        <v>1</v>
      </c>
      <c r="C1450">
        <v>1</v>
      </c>
      <c r="D1450">
        <v>1</v>
      </c>
      <c r="E1450">
        <v>1</v>
      </c>
      <c r="F1450" t="s">
        <v>1714</v>
      </c>
      <c r="G1450" t="s">
        <v>1712</v>
      </c>
    </row>
    <row r="1451" ht="14" customHeight="1" spans="1:7">
      <c r="A1451">
        <v>30345</v>
      </c>
      <c r="B1451">
        <v>1</v>
      </c>
      <c r="C1451">
        <v>1</v>
      </c>
      <c r="D1451">
        <v>1</v>
      </c>
      <c r="E1451">
        <v>1</v>
      </c>
      <c r="F1451" t="s">
        <v>1715</v>
      </c>
      <c r="G1451" t="s">
        <v>1712</v>
      </c>
    </row>
    <row r="1452" ht="14" customHeight="1" spans="1:7">
      <c r="A1452">
        <v>30346</v>
      </c>
      <c r="B1452">
        <v>1</v>
      </c>
      <c r="C1452">
        <v>1</v>
      </c>
      <c r="D1452">
        <v>1</v>
      </c>
      <c r="E1452">
        <v>1</v>
      </c>
      <c r="F1452" t="s">
        <v>1716</v>
      </c>
      <c r="G1452" t="s">
        <v>1717</v>
      </c>
    </row>
    <row r="1453" ht="14" customHeight="1" spans="1:7">
      <c r="A1453">
        <v>30347</v>
      </c>
      <c r="B1453">
        <v>1</v>
      </c>
      <c r="C1453">
        <v>1</v>
      </c>
      <c r="D1453" s="15">
        <v>1</v>
      </c>
      <c r="E1453" s="15">
        <v>1</v>
      </c>
      <c r="F1453" t="s">
        <v>1718</v>
      </c>
      <c r="G1453" s="7" t="s">
        <v>1719</v>
      </c>
    </row>
    <row r="1454" ht="14" customHeight="1" spans="1:7">
      <c r="A1454">
        <v>30348</v>
      </c>
      <c r="B1454">
        <v>1</v>
      </c>
      <c r="C1454">
        <v>1</v>
      </c>
      <c r="D1454">
        <v>1</v>
      </c>
      <c r="E1454">
        <v>1</v>
      </c>
      <c r="F1454" t="s">
        <v>1720</v>
      </c>
      <c r="G1454" t="s">
        <v>1721</v>
      </c>
    </row>
    <row r="1455" ht="14" customHeight="1" spans="1:7">
      <c r="A1455">
        <v>30349</v>
      </c>
      <c r="B1455">
        <v>2</v>
      </c>
      <c r="C1455">
        <v>2</v>
      </c>
      <c r="D1455">
        <v>1</v>
      </c>
      <c r="E1455">
        <v>2</v>
      </c>
      <c r="F1455" t="s">
        <v>1722</v>
      </c>
      <c r="G1455" t="s">
        <v>1723</v>
      </c>
    </row>
    <row r="1456" ht="14" customHeight="1" spans="1:7">
      <c r="A1456">
        <v>30350</v>
      </c>
      <c r="B1456">
        <v>2</v>
      </c>
      <c r="C1456">
        <v>1</v>
      </c>
      <c r="D1456">
        <v>1</v>
      </c>
      <c r="E1456">
        <v>1</v>
      </c>
      <c r="F1456" t="s">
        <v>1724</v>
      </c>
      <c r="G1456" s="7" t="s">
        <v>1725</v>
      </c>
    </row>
    <row r="1457" ht="14" customHeight="1" spans="1:7">
      <c r="A1457">
        <v>30351</v>
      </c>
      <c r="B1457">
        <v>2</v>
      </c>
      <c r="C1457">
        <v>1</v>
      </c>
      <c r="D1457">
        <v>1</v>
      </c>
      <c r="E1457">
        <v>1</v>
      </c>
      <c r="F1457" t="s">
        <v>1726</v>
      </c>
      <c r="G1457" s="7" t="s">
        <v>1727</v>
      </c>
    </row>
    <row r="1458" ht="14" customHeight="1" spans="1:7">
      <c r="A1458">
        <v>30352</v>
      </c>
      <c r="B1458">
        <v>2</v>
      </c>
      <c r="C1458">
        <v>1</v>
      </c>
      <c r="D1458">
        <v>1</v>
      </c>
      <c r="E1458">
        <v>1</v>
      </c>
      <c r="F1458" t="s">
        <v>1728</v>
      </c>
      <c r="G1458" s="7" t="s">
        <v>1729</v>
      </c>
    </row>
    <row r="1459" ht="14" customHeight="1" spans="1:7">
      <c r="A1459">
        <v>30353</v>
      </c>
      <c r="B1459">
        <v>1</v>
      </c>
      <c r="C1459">
        <v>1</v>
      </c>
      <c r="D1459">
        <v>1</v>
      </c>
      <c r="E1459">
        <v>1</v>
      </c>
      <c r="F1459" t="s">
        <v>1730</v>
      </c>
      <c r="G1459" s="7" t="s">
        <v>1731</v>
      </c>
    </row>
    <row r="1460" ht="14" customHeight="1" spans="1:7">
      <c r="A1460">
        <v>30354</v>
      </c>
      <c r="B1460">
        <v>1</v>
      </c>
      <c r="C1460">
        <v>1</v>
      </c>
      <c r="D1460">
        <v>1</v>
      </c>
      <c r="E1460">
        <v>1</v>
      </c>
      <c r="F1460" t="s">
        <v>1732</v>
      </c>
      <c r="G1460" s="7" t="s">
        <v>1725</v>
      </c>
    </row>
    <row r="1461" ht="14" customHeight="1" spans="1:7">
      <c r="A1461">
        <v>30355</v>
      </c>
      <c r="B1461">
        <v>1</v>
      </c>
      <c r="C1461">
        <v>1</v>
      </c>
      <c r="D1461">
        <v>1</v>
      </c>
      <c r="E1461">
        <v>1</v>
      </c>
      <c r="F1461" t="s">
        <v>1733</v>
      </c>
      <c r="G1461" s="7" t="s">
        <v>1725</v>
      </c>
    </row>
    <row r="1462" ht="14" customHeight="1" spans="1:7">
      <c r="A1462">
        <v>30356</v>
      </c>
      <c r="B1462">
        <v>1</v>
      </c>
      <c r="C1462">
        <v>1</v>
      </c>
      <c r="D1462">
        <v>1</v>
      </c>
      <c r="E1462">
        <v>1</v>
      </c>
      <c r="F1462" t="s">
        <v>1734</v>
      </c>
      <c r="G1462" s="7" t="s">
        <v>1725</v>
      </c>
    </row>
    <row r="1463" ht="14" customHeight="1" spans="1:7">
      <c r="A1463">
        <v>30357</v>
      </c>
      <c r="B1463">
        <v>1</v>
      </c>
      <c r="C1463">
        <v>1</v>
      </c>
      <c r="D1463">
        <v>1</v>
      </c>
      <c r="E1463">
        <v>1</v>
      </c>
      <c r="F1463" t="s">
        <v>1735</v>
      </c>
      <c r="G1463" s="7" t="s">
        <v>1727</v>
      </c>
    </row>
    <row r="1464" ht="14" customHeight="1" spans="1:7">
      <c r="A1464">
        <v>30358</v>
      </c>
      <c r="B1464">
        <v>1</v>
      </c>
      <c r="C1464">
        <v>1</v>
      </c>
      <c r="D1464">
        <v>1</v>
      </c>
      <c r="E1464">
        <v>1</v>
      </c>
      <c r="F1464" t="s">
        <v>1736</v>
      </c>
      <c r="G1464" s="7" t="s">
        <v>1727</v>
      </c>
    </row>
    <row r="1465" ht="14" customHeight="1" spans="1:7">
      <c r="A1465">
        <v>30359</v>
      </c>
      <c r="B1465">
        <v>1</v>
      </c>
      <c r="C1465">
        <v>1</v>
      </c>
      <c r="D1465">
        <v>1</v>
      </c>
      <c r="E1465">
        <v>1</v>
      </c>
      <c r="F1465" t="s">
        <v>1737</v>
      </c>
      <c r="G1465" s="7" t="s">
        <v>1727</v>
      </c>
    </row>
    <row r="1466" ht="14" customHeight="1" spans="1:7">
      <c r="A1466">
        <v>30360</v>
      </c>
      <c r="B1466">
        <v>1</v>
      </c>
      <c r="C1466">
        <v>1</v>
      </c>
      <c r="D1466">
        <v>1</v>
      </c>
      <c r="E1466">
        <v>1</v>
      </c>
      <c r="F1466" t="s">
        <v>1738</v>
      </c>
      <c r="G1466" s="7" t="s">
        <v>1729</v>
      </c>
    </row>
    <row r="1467" ht="14" customHeight="1" spans="1:7">
      <c r="A1467">
        <v>30361</v>
      </c>
      <c r="B1467">
        <v>1</v>
      </c>
      <c r="C1467">
        <v>1</v>
      </c>
      <c r="D1467">
        <v>1</v>
      </c>
      <c r="E1467">
        <v>1</v>
      </c>
      <c r="F1467" t="s">
        <v>1739</v>
      </c>
      <c r="G1467" s="7" t="s">
        <v>1729</v>
      </c>
    </row>
    <row r="1468" ht="14" customHeight="1" spans="1:7">
      <c r="A1468">
        <v>30362</v>
      </c>
      <c r="B1468">
        <v>1</v>
      </c>
      <c r="C1468">
        <v>1</v>
      </c>
      <c r="D1468">
        <v>1</v>
      </c>
      <c r="E1468">
        <v>1</v>
      </c>
      <c r="F1468" t="s">
        <v>1740</v>
      </c>
      <c r="G1468" s="7" t="s">
        <v>1729</v>
      </c>
    </row>
    <row r="1469" ht="14" customHeight="1" spans="1:7">
      <c r="A1469">
        <v>30363</v>
      </c>
      <c r="B1469">
        <v>2</v>
      </c>
      <c r="C1469">
        <v>2</v>
      </c>
      <c r="D1469">
        <v>1</v>
      </c>
      <c r="E1469">
        <v>2</v>
      </c>
      <c r="F1469" t="s">
        <v>1741</v>
      </c>
      <c r="G1469" s="7" t="s">
        <v>1742</v>
      </c>
    </row>
    <row r="1470" ht="14" customHeight="1" spans="1:7">
      <c r="A1470">
        <v>30364</v>
      </c>
      <c r="B1470">
        <v>1</v>
      </c>
      <c r="C1470">
        <v>1</v>
      </c>
      <c r="D1470">
        <v>1</v>
      </c>
      <c r="E1470">
        <v>1</v>
      </c>
      <c r="F1470" t="s">
        <v>1626</v>
      </c>
      <c r="G1470" s="7" t="s">
        <v>1743</v>
      </c>
    </row>
    <row r="1471" ht="14" customHeight="1" spans="1:7">
      <c r="A1471">
        <v>30365</v>
      </c>
      <c r="B1471">
        <v>1</v>
      </c>
      <c r="C1471">
        <v>1</v>
      </c>
      <c r="D1471">
        <v>1</v>
      </c>
      <c r="E1471">
        <v>1</v>
      </c>
      <c r="F1471" t="s">
        <v>1627</v>
      </c>
      <c r="G1471" s="7" t="s">
        <v>1744</v>
      </c>
    </row>
    <row r="1472" ht="14" customHeight="1" spans="1:7">
      <c r="A1472">
        <v>30366</v>
      </c>
      <c r="B1472">
        <v>1</v>
      </c>
      <c r="C1472">
        <v>1</v>
      </c>
      <c r="D1472">
        <v>1</v>
      </c>
      <c r="E1472">
        <v>1</v>
      </c>
      <c r="F1472" t="s">
        <v>1628</v>
      </c>
      <c r="G1472" s="7" t="s">
        <v>1745</v>
      </c>
    </row>
    <row r="1473" ht="14" customHeight="1" spans="1:7">
      <c r="A1473">
        <v>30367</v>
      </c>
      <c r="B1473">
        <v>1</v>
      </c>
      <c r="C1473">
        <v>1</v>
      </c>
      <c r="D1473">
        <v>1</v>
      </c>
      <c r="E1473">
        <v>1</v>
      </c>
      <c r="F1473" t="s">
        <v>1629</v>
      </c>
      <c r="G1473" s="7" t="s">
        <v>1746</v>
      </c>
    </row>
    <row r="1474" ht="14" customHeight="1" spans="1:7">
      <c r="A1474">
        <v>30368</v>
      </c>
      <c r="B1474">
        <v>1</v>
      </c>
      <c r="C1474">
        <v>1</v>
      </c>
      <c r="D1474">
        <v>1</v>
      </c>
      <c r="E1474">
        <v>1</v>
      </c>
      <c r="F1474" t="s">
        <v>1747</v>
      </c>
      <c r="G1474" s="7" t="s">
        <v>1748</v>
      </c>
    </row>
    <row r="1475" ht="14" customHeight="1" spans="1:7">
      <c r="A1475">
        <v>30369</v>
      </c>
      <c r="B1475">
        <v>1</v>
      </c>
      <c r="C1475">
        <v>1</v>
      </c>
      <c r="D1475">
        <v>1</v>
      </c>
      <c r="E1475">
        <v>1</v>
      </c>
      <c r="F1475" t="s">
        <v>1544</v>
      </c>
      <c r="G1475" s="7" t="s">
        <v>1749</v>
      </c>
    </row>
    <row r="1476" ht="14" customHeight="1" spans="1:7">
      <c r="A1476">
        <v>30370</v>
      </c>
      <c r="B1476">
        <v>1</v>
      </c>
      <c r="C1476">
        <v>1</v>
      </c>
      <c r="D1476">
        <v>1</v>
      </c>
      <c r="E1476">
        <v>1</v>
      </c>
      <c r="F1476" t="s">
        <v>1545</v>
      </c>
      <c r="G1476" s="7" t="s">
        <v>1750</v>
      </c>
    </row>
    <row r="1477" ht="14" customHeight="1" spans="1:7">
      <c r="A1477">
        <v>30371</v>
      </c>
      <c r="B1477">
        <v>1</v>
      </c>
      <c r="C1477">
        <v>1</v>
      </c>
      <c r="D1477">
        <v>1</v>
      </c>
      <c r="E1477">
        <v>1</v>
      </c>
      <c r="F1477" t="s">
        <v>1546</v>
      </c>
      <c r="G1477" s="7" t="s">
        <v>1751</v>
      </c>
    </row>
    <row r="1478" ht="14" customHeight="1" spans="1:7">
      <c r="A1478">
        <v>30372</v>
      </c>
      <c r="B1478">
        <v>1</v>
      </c>
      <c r="C1478">
        <v>1</v>
      </c>
      <c r="D1478">
        <v>1</v>
      </c>
      <c r="E1478">
        <v>1</v>
      </c>
      <c r="F1478" t="s">
        <v>1752</v>
      </c>
      <c r="G1478" s="7" t="s">
        <v>1753</v>
      </c>
    </row>
    <row r="1479" ht="14" customHeight="1" spans="1:7">
      <c r="A1479">
        <v>30373</v>
      </c>
      <c r="B1479">
        <v>1</v>
      </c>
      <c r="C1479">
        <v>1</v>
      </c>
      <c r="D1479">
        <v>1</v>
      </c>
      <c r="E1479">
        <v>1</v>
      </c>
      <c r="F1479" t="s">
        <v>1754</v>
      </c>
      <c r="G1479" s="7" t="s">
        <v>1755</v>
      </c>
    </row>
    <row r="1480" ht="14" customHeight="1" spans="1:7">
      <c r="A1480">
        <v>30374</v>
      </c>
      <c r="B1480">
        <v>1</v>
      </c>
      <c r="C1480">
        <v>1</v>
      </c>
      <c r="D1480">
        <v>1</v>
      </c>
      <c r="E1480">
        <v>1</v>
      </c>
      <c r="F1480" t="s">
        <v>1756</v>
      </c>
      <c r="G1480" s="7" t="s">
        <v>1757</v>
      </c>
    </row>
    <row r="1481" ht="14" customHeight="1" spans="1:7">
      <c r="A1481">
        <v>30375</v>
      </c>
      <c r="B1481">
        <v>1</v>
      </c>
      <c r="C1481">
        <v>1</v>
      </c>
      <c r="D1481">
        <v>1</v>
      </c>
      <c r="E1481">
        <v>1</v>
      </c>
      <c r="F1481" t="s">
        <v>1758</v>
      </c>
      <c r="G1481" s="7" t="s">
        <v>1759</v>
      </c>
    </row>
    <row r="1482" ht="14" customHeight="1" spans="1:7">
      <c r="A1482">
        <v>30376</v>
      </c>
      <c r="B1482">
        <v>2</v>
      </c>
      <c r="C1482">
        <v>1</v>
      </c>
      <c r="D1482">
        <v>1</v>
      </c>
      <c r="E1482">
        <v>1</v>
      </c>
      <c r="F1482" t="s">
        <v>1760</v>
      </c>
      <c r="G1482" s="7" t="s">
        <v>1761</v>
      </c>
    </row>
    <row r="1483" ht="14" customHeight="1" spans="1:7">
      <c r="A1483">
        <v>30377</v>
      </c>
      <c r="B1483">
        <v>1</v>
      </c>
      <c r="C1483">
        <v>1</v>
      </c>
      <c r="D1483">
        <v>1</v>
      </c>
      <c r="E1483">
        <v>1</v>
      </c>
      <c r="F1483" t="s">
        <v>1762</v>
      </c>
      <c r="G1483" s="7" t="s">
        <v>1761</v>
      </c>
    </row>
    <row r="1484" ht="14" customHeight="1" spans="1:7">
      <c r="A1484">
        <v>30378</v>
      </c>
      <c r="B1484">
        <v>1</v>
      </c>
      <c r="C1484">
        <v>1</v>
      </c>
      <c r="D1484">
        <v>1</v>
      </c>
      <c r="E1484">
        <v>1</v>
      </c>
      <c r="F1484" t="s">
        <v>1763</v>
      </c>
      <c r="G1484" s="7" t="s">
        <v>1761</v>
      </c>
    </row>
    <row r="1485" ht="14" customHeight="1" spans="1:7">
      <c r="A1485">
        <v>30379</v>
      </c>
      <c r="B1485">
        <v>1</v>
      </c>
      <c r="C1485">
        <v>1</v>
      </c>
      <c r="D1485">
        <v>1</v>
      </c>
      <c r="E1485">
        <v>1</v>
      </c>
      <c r="F1485" t="s">
        <v>1764</v>
      </c>
      <c r="G1485" s="7" t="s">
        <v>1761</v>
      </c>
    </row>
    <row r="1486" ht="14" customHeight="1" spans="1:7">
      <c r="A1486">
        <v>30380</v>
      </c>
      <c r="B1486">
        <v>1</v>
      </c>
      <c r="C1486">
        <v>1</v>
      </c>
      <c r="D1486">
        <v>1</v>
      </c>
      <c r="E1486">
        <v>1</v>
      </c>
      <c r="F1486" t="s">
        <v>1765</v>
      </c>
      <c r="G1486" s="7" t="s">
        <v>1761</v>
      </c>
    </row>
    <row r="1487" ht="14" customHeight="1" spans="1:7">
      <c r="A1487">
        <v>30381</v>
      </c>
      <c r="B1487">
        <v>1</v>
      </c>
      <c r="C1487">
        <v>1</v>
      </c>
      <c r="D1487">
        <v>1</v>
      </c>
      <c r="E1487">
        <v>1</v>
      </c>
      <c r="F1487" t="s">
        <v>1766</v>
      </c>
      <c r="G1487" s="7" t="s">
        <v>1761</v>
      </c>
    </row>
    <row r="1488" ht="14" customHeight="1" spans="1:7">
      <c r="A1488">
        <v>30382</v>
      </c>
      <c r="B1488">
        <v>1</v>
      </c>
      <c r="C1488">
        <v>1</v>
      </c>
      <c r="D1488">
        <v>1</v>
      </c>
      <c r="E1488">
        <v>1</v>
      </c>
      <c r="F1488" t="s">
        <v>1767</v>
      </c>
      <c r="G1488" s="7" t="s">
        <v>1761</v>
      </c>
    </row>
    <row r="1489" ht="14" customHeight="1" spans="1:7">
      <c r="A1489">
        <v>30383</v>
      </c>
      <c r="B1489">
        <v>1</v>
      </c>
      <c r="C1489">
        <v>1</v>
      </c>
      <c r="D1489">
        <v>1</v>
      </c>
      <c r="E1489">
        <v>1</v>
      </c>
      <c r="F1489" t="s">
        <v>1754</v>
      </c>
      <c r="G1489" s="7" t="s">
        <v>1761</v>
      </c>
    </row>
    <row r="1490" ht="14" customHeight="1" spans="1:7">
      <c r="A1490">
        <v>30384</v>
      </c>
      <c r="B1490">
        <v>1</v>
      </c>
      <c r="C1490">
        <v>1</v>
      </c>
      <c r="D1490">
        <v>1</v>
      </c>
      <c r="E1490">
        <v>1</v>
      </c>
      <c r="F1490" t="s">
        <v>1756</v>
      </c>
      <c r="G1490" s="7" t="s">
        <v>1761</v>
      </c>
    </row>
    <row r="1491" ht="14" customHeight="1" spans="1:7">
      <c r="A1491">
        <v>30385</v>
      </c>
      <c r="B1491">
        <v>1</v>
      </c>
      <c r="C1491">
        <v>1</v>
      </c>
      <c r="D1491">
        <v>1</v>
      </c>
      <c r="E1491">
        <v>1</v>
      </c>
      <c r="F1491" t="s">
        <v>1758</v>
      </c>
      <c r="G1491" s="7" t="s">
        <v>1761</v>
      </c>
    </row>
    <row r="1492" ht="14" customHeight="1" spans="1:7">
      <c r="A1492">
        <v>30386</v>
      </c>
      <c r="B1492">
        <v>1</v>
      </c>
      <c r="C1492">
        <v>1</v>
      </c>
      <c r="D1492">
        <v>1</v>
      </c>
      <c r="E1492">
        <v>1</v>
      </c>
      <c r="G1492" s="7"/>
    </row>
    <row r="1493" ht="14" customHeight="1" spans="1:7">
      <c r="A1493">
        <v>30387</v>
      </c>
      <c r="B1493">
        <v>1</v>
      </c>
      <c r="C1493">
        <v>1</v>
      </c>
      <c r="D1493">
        <v>1</v>
      </c>
      <c r="E1493">
        <v>1</v>
      </c>
      <c r="G1493" s="7"/>
    </row>
    <row r="1494" ht="14" customHeight="1" spans="1:7">
      <c r="A1494">
        <v>30388</v>
      </c>
      <c r="B1494">
        <v>1</v>
      </c>
      <c r="C1494">
        <v>1</v>
      </c>
      <c r="D1494">
        <v>1</v>
      </c>
      <c r="E1494">
        <v>1</v>
      </c>
      <c r="G1494" s="7"/>
    </row>
    <row r="1495" ht="14" customHeight="1" spans="1:7">
      <c r="A1495">
        <v>31001</v>
      </c>
      <c r="B1495">
        <v>1</v>
      </c>
      <c r="C1495">
        <v>3</v>
      </c>
      <c r="D1495">
        <v>0</v>
      </c>
      <c r="E1495">
        <v>1</v>
      </c>
      <c r="F1495" t="s">
        <v>1768</v>
      </c>
      <c r="G1495" s="7" t="s">
        <v>1769</v>
      </c>
    </row>
    <row r="1496" ht="14" customHeight="1" spans="1:7">
      <c r="A1496">
        <v>31002</v>
      </c>
      <c r="B1496">
        <v>1</v>
      </c>
      <c r="C1496">
        <v>4</v>
      </c>
      <c r="D1496">
        <v>0</v>
      </c>
      <c r="E1496">
        <v>1</v>
      </c>
      <c r="F1496" t="s">
        <v>1770</v>
      </c>
      <c r="G1496" s="7" t="s">
        <v>1769</v>
      </c>
    </row>
    <row r="1497" ht="14" customHeight="1" spans="1:7">
      <c r="A1497">
        <v>31003</v>
      </c>
      <c r="B1497">
        <v>1</v>
      </c>
      <c r="C1497">
        <v>4</v>
      </c>
      <c r="D1497">
        <v>0</v>
      </c>
      <c r="E1497">
        <v>1</v>
      </c>
      <c r="F1497" t="s">
        <v>1771</v>
      </c>
      <c r="G1497" s="7" t="s">
        <v>1769</v>
      </c>
    </row>
    <row r="1498" ht="14" customHeight="1" spans="1:7">
      <c r="A1498">
        <v>31004</v>
      </c>
      <c r="B1498">
        <v>1</v>
      </c>
      <c r="C1498">
        <v>4</v>
      </c>
      <c r="D1498">
        <v>0</v>
      </c>
      <c r="E1498">
        <v>1</v>
      </c>
      <c r="F1498" t="s">
        <v>1772</v>
      </c>
      <c r="G1498" s="7" t="s">
        <v>1769</v>
      </c>
    </row>
    <row r="1499" ht="14" customHeight="1" spans="1:7">
      <c r="A1499">
        <v>31005</v>
      </c>
      <c r="B1499">
        <v>1</v>
      </c>
      <c r="C1499">
        <v>5</v>
      </c>
      <c r="D1499">
        <v>0</v>
      </c>
      <c r="E1499">
        <v>1</v>
      </c>
      <c r="F1499" t="s">
        <v>1772</v>
      </c>
      <c r="G1499" s="7" t="s">
        <v>1769</v>
      </c>
    </row>
    <row r="1500" ht="14" customHeight="1" spans="1:7">
      <c r="A1500">
        <v>31006</v>
      </c>
      <c r="B1500">
        <v>1</v>
      </c>
      <c r="C1500">
        <v>5</v>
      </c>
      <c r="D1500">
        <v>0</v>
      </c>
      <c r="E1500">
        <v>1</v>
      </c>
      <c r="F1500" t="s">
        <v>1773</v>
      </c>
      <c r="G1500" s="7" t="s">
        <v>1769</v>
      </c>
    </row>
    <row r="1501" ht="14" customHeight="1" spans="1:7">
      <c r="A1501">
        <v>31007</v>
      </c>
      <c r="B1501">
        <v>1</v>
      </c>
      <c r="C1501">
        <v>5</v>
      </c>
      <c r="D1501">
        <v>0</v>
      </c>
      <c r="E1501">
        <v>1</v>
      </c>
      <c r="F1501" t="s">
        <v>1774</v>
      </c>
      <c r="G1501" s="7" t="s">
        <v>1769</v>
      </c>
    </row>
    <row r="1502" ht="14" customHeight="1" spans="1:7">
      <c r="A1502">
        <v>31008</v>
      </c>
      <c r="B1502">
        <v>1</v>
      </c>
      <c r="C1502">
        <v>6</v>
      </c>
      <c r="D1502">
        <v>0</v>
      </c>
      <c r="E1502">
        <v>1</v>
      </c>
      <c r="F1502" t="s">
        <v>1775</v>
      </c>
      <c r="G1502" s="7" t="s">
        <v>1769</v>
      </c>
    </row>
    <row r="1503" ht="14" customHeight="1" spans="1:7">
      <c r="A1503">
        <v>31009</v>
      </c>
      <c r="B1503">
        <v>1</v>
      </c>
      <c r="C1503">
        <v>6</v>
      </c>
      <c r="D1503">
        <v>0</v>
      </c>
      <c r="E1503">
        <v>1</v>
      </c>
      <c r="F1503" t="s">
        <v>1776</v>
      </c>
      <c r="G1503" s="7" t="s">
        <v>1769</v>
      </c>
    </row>
    <row r="1504" ht="14" customHeight="1" spans="1:7">
      <c r="A1504">
        <v>31010</v>
      </c>
      <c r="B1504">
        <v>1</v>
      </c>
      <c r="C1504">
        <v>6</v>
      </c>
      <c r="D1504">
        <v>0</v>
      </c>
      <c r="E1504">
        <v>1</v>
      </c>
      <c r="F1504" t="s">
        <v>1777</v>
      </c>
      <c r="G1504" s="7" t="s">
        <v>1769</v>
      </c>
    </row>
    <row r="1505" ht="14" customHeight="1" spans="1:7">
      <c r="A1505">
        <v>32001</v>
      </c>
      <c r="B1505">
        <v>1</v>
      </c>
      <c r="C1505">
        <v>5</v>
      </c>
      <c r="D1505">
        <v>0</v>
      </c>
      <c r="E1505">
        <v>1</v>
      </c>
      <c r="F1505" t="s">
        <v>1778</v>
      </c>
      <c r="G1505" s="7" t="s">
        <v>1779</v>
      </c>
    </row>
    <row r="1506" ht="14" customHeight="1" spans="1:7">
      <c r="A1506">
        <v>32002</v>
      </c>
      <c r="B1506">
        <v>1</v>
      </c>
      <c r="C1506">
        <v>5</v>
      </c>
      <c r="D1506">
        <v>0</v>
      </c>
      <c r="E1506">
        <v>1</v>
      </c>
      <c r="F1506" t="s">
        <v>1773</v>
      </c>
      <c r="G1506" s="7" t="s">
        <v>1779</v>
      </c>
    </row>
    <row r="1507" ht="14" customHeight="1" spans="1:7">
      <c r="A1507">
        <v>32003</v>
      </c>
      <c r="B1507">
        <v>1</v>
      </c>
      <c r="C1507">
        <v>5</v>
      </c>
      <c r="D1507">
        <v>0</v>
      </c>
      <c r="E1507">
        <v>1</v>
      </c>
      <c r="F1507" t="s">
        <v>1780</v>
      </c>
      <c r="G1507" s="7" t="s">
        <v>1779</v>
      </c>
    </row>
    <row r="1508" ht="14" customHeight="1" spans="1:7">
      <c r="A1508">
        <v>32004</v>
      </c>
      <c r="B1508">
        <v>1</v>
      </c>
      <c r="C1508">
        <v>6</v>
      </c>
      <c r="D1508">
        <v>0</v>
      </c>
      <c r="E1508">
        <v>1</v>
      </c>
      <c r="F1508" t="s">
        <v>1781</v>
      </c>
      <c r="G1508" s="7" t="s">
        <v>1779</v>
      </c>
    </row>
    <row r="1509" ht="14" customHeight="1" spans="1:7">
      <c r="A1509">
        <v>32005</v>
      </c>
      <c r="B1509">
        <v>1</v>
      </c>
      <c r="C1509">
        <v>6</v>
      </c>
      <c r="D1509">
        <v>0</v>
      </c>
      <c r="E1509">
        <v>1</v>
      </c>
      <c r="F1509" t="s">
        <v>1782</v>
      </c>
      <c r="G1509" s="7" t="s">
        <v>1779</v>
      </c>
    </row>
    <row r="1510" ht="14" customHeight="1" spans="1:7">
      <c r="A1510">
        <v>32006</v>
      </c>
      <c r="B1510">
        <v>1</v>
      </c>
      <c r="C1510">
        <v>6</v>
      </c>
      <c r="D1510">
        <v>0</v>
      </c>
      <c r="E1510">
        <v>1</v>
      </c>
      <c r="F1510" t="s">
        <v>1783</v>
      </c>
      <c r="G1510" s="7" t="s">
        <v>1779</v>
      </c>
    </row>
    <row r="1511" ht="14" customHeight="1" spans="1:7">
      <c r="A1511">
        <v>32007</v>
      </c>
      <c r="B1511">
        <v>1</v>
      </c>
      <c r="C1511">
        <v>6</v>
      </c>
      <c r="D1511">
        <v>0</v>
      </c>
      <c r="E1511">
        <v>1</v>
      </c>
      <c r="F1511" t="s">
        <v>1775</v>
      </c>
      <c r="G1511" s="7" t="s">
        <v>1779</v>
      </c>
    </row>
    <row r="1512" ht="14" customHeight="1" spans="1:7">
      <c r="A1512">
        <v>32008</v>
      </c>
      <c r="B1512">
        <v>1</v>
      </c>
      <c r="C1512">
        <v>7</v>
      </c>
      <c r="D1512">
        <v>0</v>
      </c>
      <c r="E1512">
        <v>1</v>
      </c>
      <c r="F1512" t="s">
        <v>1775</v>
      </c>
      <c r="G1512" s="7" t="s">
        <v>1779</v>
      </c>
    </row>
    <row r="1513" ht="14" customHeight="1" spans="1:7">
      <c r="A1513">
        <v>32009</v>
      </c>
      <c r="B1513">
        <v>1</v>
      </c>
      <c r="C1513">
        <v>7</v>
      </c>
      <c r="D1513">
        <v>0</v>
      </c>
      <c r="E1513">
        <v>1</v>
      </c>
      <c r="F1513" t="s">
        <v>1784</v>
      </c>
      <c r="G1513" s="7" t="s">
        <v>1779</v>
      </c>
    </row>
    <row r="1514" ht="14" customHeight="1" spans="1:7">
      <c r="A1514">
        <v>32010</v>
      </c>
      <c r="B1514">
        <v>1</v>
      </c>
      <c r="C1514">
        <v>7</v>
      </c>
      <c r="D1514">
        <v>0</v>
      </c>
      <c r="E1514">
        <v>1</v>
      </c>
      <c r="F1514" t="s">
        <v>1776</v>
      </c>
      <c r="G1514" s="7" t="s">
        <v>1779</v>
      </c>
    </row>
    <row r="1515" ht="14" customHeight="1" spans="1:7">
      <c r="A1515">
        <v>32011</v>
      </c>
      <c r="B1515">
        <v>1</v>
      </c>
      <c r="C1515">
        <v>7</v>
      </c>
      <c r="D1515">
        <v>0</v>
      </c>
      <c r="E1515">
        <v>1</v>
      </c>
      <c r="F1515" t="s">
        <v>1777</v>
      </c>
      <c r="G1515" s="7" t="s">
        <v>1779</v>
      </c>
    </row>
    <row r="1516" ht="14" customHeight="1" spans="1:7">
      <c r="A1516">
        <v>32012</v>
      </c>
      <c r="B1516">
        <v>1</v>
      </c>
      <c r="C1516">
        <v>7</v>
      </c>
      <c r="D1516">
        <v>0</v>
      </c>
      <c r="E1516">
        <v>1</v>
      </c>
      <c r="F1516" t="s">
        <v>1785</v>
      </c>
      <c r="G1516" s="7" t="s">
        <v>1779</v>
      </c>
    </row>
    <row r="1517" ht="14" customHeight="1" spans="1:7">
      <c r="A1517">
        <v>33001</v>
      </c>
      <c r="B1517">
        <v>1</v>
      </c>
      <c r="C1517">
        <v>6</v>
      </c>
      <c r="D1517">
        <v>0</v>
      </c>
      <c r="E1517">
        <v>1</v>
      </c>
      <c r="F1517" t="s">
        <v>1773</v>
      </c>
      <c r="G1517" s="7" t="s">
        <v>1786</v>
      </c>
    </row>
    <row r="1518" ht="14" customHeight="1" spans="1:7">
      <c r="A1518">
        <v>33002</v>
      </c>
      <c r="B1518">
        <v>1</v>
      </c>
      <c r="C1518">
        <v>6</v>
      </c>
      <c r="D1518">
        <v>0</v>
      </c>
      <c r="E1518">
        <v>1</v>
      </c>
      <c r="F1518" t="s">
        <v>1780</v>
      </c>
      <c r="G1518" s="7" t="s">
        <v>1786</v>
      </c>
    </row>
    <row r="1519" ht="14" customHeight="1" spans="1:7">
      <c r="A1519">
        <v>33003</v>
      </c>
      <c r="B1519">
        <v>1</v>
      </c>
      <c r="C1519">
        <v>6</v>
      </c>
      <c r="D1519">
        <v>0</v>
      </c>
      <c r="E1519">
        <v>1</v>
      </c>
      <c r="F1519" t="s">
        <v>1787</v>
      </c>
      <c r="G1519" s="7" t="s">
        <v>1786</v>
      </c>
    </row>
    <row r="1520" ht="14" customHeight="1" spans="1:7">
      <c r="A1520">
        <v>33004</v>
      </c>
      <c r="B1520">
        <v>1</v>
      </c>
      <c r="C1520">
        <v>7</v>
      </c>
      <c r="D1520">
        <v>0</v>
      </c>
      <c r="E1520">
        <v>1</v>
      </c>
      <c r="F1520" t="s">
        <v>1788</v>
      </c>
      <c r="G1520" s="7" t="s">
        <v>1786</v>
      </c>
    </row>
    <row r="1521" ht="14" customHeight="1" spans="1:7">
      <c r="A1521">
        <v>33005</v>
      </c>
      <c r="B1521">
        <v>1</v>
      </c>
      <c r="C1521">
        <v>7</v>
      </c>
      <c r="D1521">
        <v>0</v>
      </c>
      <c r="E1521">
        <v>1</v>
      </c>
      <c r="F1521" t="s">
        <v>1789</v>
      </c>
      <c r="G1521" s="7" t="s">
        <v>1786</v>
      </c>
    </row>
    <row r="1522" ht="14" customHeight="1" spans="1:7">
      <c r="A1522">
        <v>33006</v>
      </c>
      <c r="B1522">
        <v>1</v>
      </c>
      <c r="C1522">
        <v>7</v>
      </c>
      <c r="D1522">
        <v>0</v>
      </c>
      <c r="E1522">
        <v>1</v>
      </c>
      <c r="F1522" t="s">
        <v>1777</v>
      </c>
      <c r="G1522" s="7" t="s">
        <v>1786</v>
      </c>
    </row>
    <row r="1523" ht="14" customHeight="1" spans="1:7">
      <c r="A1523">
        <v>33007</v>
      </c>
      <c r="B1523">
        <v>1</v>
      </c>
      <c r="C1523">
        <v>7</v>
      </c>
      <c r="D1523">
        <v>0</v>
      </c>
      <c r="E1523">
        <v>1</v>
      </c>
      <c r="F1523" t="s">
        <v>1785</v>
      </c>
      <c r="G1523" s="7" t="s">
        <v>1786</v>
      </c>
    </row>
    <row r="1524" ht="14" customHeight="1" spans="1:7">
      <c r="A1524">
        <v>33008</v>
      </c>
      <c r="B1524">
        <v>1</v>
      </c>
      <c r="C1524">
        <v>7</v>
      </c>
      <c r="D1524">
        <v>0</v>
      </c>
      <c r="E1524">
        <v>1</v>
      </c>
      <c r="F1524" t="s">
        <v>1790</v>
      </c>
      <c r="G1524" s="7" t="s">
        <v>1786</v>
      </c>
    </row>
    <row r="1525" ht="14" customHeight="1" spans="1:7">
      <c r="A1525">
        <v>33009</v>
      </c>
      <c r="B1525">
        <v>1</v>
      </c>
      <c r="C1525">
        <v>8</v>
      </c>
      <c r="D1525">
        <v>0</v>
      </c>
      <c r="E1525">
        <v>1</v>
      </c>
      <c r="F1525" t="s">
        <v>1791</v>
      </c>
      <c r="G1525" s="7" t="s">
        <v>1786</v>
      </c>
    </row>
    <row r="1526" ht="14" customHeight="1" spans="1:7">
      <c r="A1526">
        <v>33010</v>
      </c>
      <c r="B1526">
        <v>1</v>
      </c>
      <c r="C1526">
        <v>8</v>
      </c>
      <c r="D1526">
        <v>0</v>
      </c>
      <c r="E1526">
        <v>1</v>
      </c>
      <c r="F1526" t="s">
        <v>1785</v>
      </c>
      <c r="G1526" s="7" t="s">
        <v>1786</v>
      </c>
    </row>
    <row r="1527" ht="14" customHeight="1" spans="1:7">
      <c r="A1527">
        <v>33011</v>
      </c>
      <c r="B1527">
        <v>1</v>
      </c>
      <c r="C1527">
        <v>8</v>
      </c>
      <c r="D1527">
        <v>0</v>
      </c>
      <c r="E1527">
        <v>1</v>
      </c>
      <c r="F1527" t="s">
        <v>1792</v>
      </c>
      <c r="G1527" s="7" t="s">
        <v>1786</v>
      </c>
    </row>
    <row r="1528" ht="14" customHeight="1" spans="1:7">
      <c r="A1528">
        <v>33012</v>
      </c>
      <c r="B1528">
        <v>1</v>
      </c>
      <c r="C1528">
        <v>8</v>
      </c>
      <c r="D1528">
        <v>0</v>
      </c>
      <c r="E1528">
        <v>1</v>
      </c>
      <c r="F1528" t="s">
        <v>1793</v>
      </c>
      <c r="G1528" s="7" t="s">
        <v>1786</v>
      </c>
    </row>
    <row r="1529" ht="14" customHeight="1" spans="1:7">
      <c r="A1529">
        <v>33013</v>
      </c>
      <c r="B1529">
        <v>1</v>
      </c>
      <c r="C1529">
        <v>8</v>
      </c>
      <c r="D1529">
        <v>0</v>
      </c>
      <c r="E1529">
        <v>1</v>
      </c>
      <c r="F1529" t="s">
        <v>1794</v>
      </c>
      <c r="G1529" s="7" t="s">
        <v>1786</v>
      </c>
    </row>
    <row r="1530" ht="14" customHeight="1" spans="1:7">
      <c r="A1530">
        <v>33014</v>
      </c>
      <c r="B1530">
        <v>1</v>
      </c>
      <c r="C1530">
        <v>1</v>
      </c>
      <c r="D1530">
        <v>0</v>
      </c>
      <c r="E1530">
        <v>1</v>
      </c>
      <c r="F1530" t="s">
        <v>1795</v>
      </c>
      <c r="G1530" s="7" t="s">
        <v>1796</v>
      </c>
    </row>
    <row r="1531" ht="14" customHeight="1" spans="1:7">
      <c r="A1531">
        <v>33015</v>
      </c>
      <c r="B1531">
        <v>1</v>
      </c>
      <c r="C1531">
        <v>1</v>
      </c>
      <c r="D1531">
        <v>0</v>
      </c>
      <c r="E1531">
        <v>1</v>
      </c>
      <c r="F1531" t="s">
        <v>1797</v>
      </c>
      <c r="G1531" s="7" t="s">
        <v>1796</v>
      </c>
    </row>
    <row r="1532" ht="14" customHeight="1" spans="1:7">
      <c r="A1532">
        <v>33016</v>
      </c>
      <c r="B1532">
        <v>1</v>
      </c>
      <c r="C1532">
        <v>1</v>
      </c>
      <c r="D1532">
        <v>0</v>
      </c>
      <c r="E1532">
        <v>1</v>
      </c>
      <c r="F1532" t="s">
        <v>1798</v>
      </c>
      <c r="G1532" s="7" t="s">
        <v>1796</v>
      </c>
    </row>
    <row r="1533" ht="14" customHeight="1" spans="1:7">
      <c r="A1533">
        <v>33017</v>
      </c>
      <c r="B1533">
        <v>1</v>
      </c>
      <c r="C1533">
        <v>1</v>
      </c>
      <c r="D1533">
        <v>0</v>
      </c>
      <c r="E1533">
        <v>1</v>
      </c>
      <c r="F1533" t="s">
        <v>1799</v>
      </c>
      <c r="G1533" s="7" t="s">
        <v>1796</v>
      </c>
    </row>
    <row r="1534" ht="14" customHeight="1" spans="1:7">
      <c r="A1534">
        <v>33018</v>
      </c>
      <c r="B1534">
        <v>1</v>
      </c>
      <c r="C1534">
        <v>1</v>
      </c>
      <c r="D1534">
        <v>0</v>
      </c>
      <c r="E1534">
        <v>1</v>
      </c>
      <c r="F1534" t="s">
        <v>1800</v>
      </c>
      <c r="G1534" s="7" t="s">
        <v>1796</v>
      </c>
    </row>
    <row r="1535" ht="14" customHeight="1" spans="1:7">
      <c r="A1535">
        <v>33019</v>
      </c>
      <c r="B1535">
        <v>1</v>
      </c>
      <c r="C1535">
        <v>1</v>
      </c>
      <c r="D1535">
        <v>0</v>
      </c>
      <c r="E1535">
        <v>1</v>
      </c>
      <c r="F1535" t="s">
        <v>1800</v>
      </c>
      <c r="G1535" s="7" t="s">
        <v>1796</v>
      </c>
    </row>
    <row r="1536" ht="14" customHeight="1" spans="1:7">
      <c r="A1536">
        <v>33020</v>
      </c>
      <c r="B1536">
        <v>1</v>
      </c>
      <c r="C1536">
        <v>1</v>
      </c>
      <c r="D1536">
        <v>0</v>
      </c>
      <c r="E1536">
        <v>1</v>
      </c>
      <c r="F1536" t="s">
        <v>1801</v>
      </c>
      <c r="G1536" s="7" t="s">
        <v>1796</v>
      </c>
    </row>
    <row r="1537" ht="12.95" customHeight="1" spans="1:7">
      <c r="A1537">
        <v>33021</v>
      </c>
      <c r="B1537">
        <v>1</v>
      </c>
      <c r="C1537">
        <v>1</v>
      </c>
      <c r="D1537">
        <v>0</v>
      </c>
      <c r="E1537">
        <v>1</v>
      </c>
      <c r="F1537" t="s">
        <v>1802</v>
      </c>
      <c r="G1537" s="7" t="s">
        <v>1796</v>
      </c>
    </row>
    <row r="1538" ht="14" customHeight="1" spans="1:7">
      <c r="A1538">
        <v>33022</v>
      </c>
      <c r="B1538">
        <v>1</v>
      </c>
      <c r="C1538">
        <v>1</v>
      </c>
      <c r="D1538">
        <v>0</v>
      </c>
      <c r="E1538">
        <v>1</v>
      </c>
      <c r="F1538" t="s">
        <v>1803</v>
      </c>
      <c r="G1538" s="7" t="s">
        <v>1796</v>
      </c>
    </row>
    <row r="1539" ht="14" customHeight="1" spans="1:7">
      <c r="A1539">
        <v>33023</v>
      </c>
      <c r="B1539">
        <v>1</v>
      </c>
      <c r="C1539">
        <v>1</v>
      </c>
      <c r="D1539">
        <v>0</v>
      </c>
      <c r="E1539">
        <v>1</v>
      </c>
      <c r="F1539" t="s">
        <v>1804</v>
      </c>
      <c r="G1539" s="7" t="s">
        <v>1796</v>
      </c>
    </row>
    <row r="1540" ht="14" customHeight="1" spans="1:7">
      <c r="A1540">
        <v>33024</v>
      </c>
      <c r="B1540">
        <v>1</v>
      </c>
      <c r="C1540">
        <v>1</v>
      </c>
      <c r="D1540">
        <v>0</v>
      </c>
      <c r="E1540">
        <v>1</v>
      </c>
      <c r="F1540" t="s">
        <v>1804</v>
      </c>
      <c r="G1540" s="7" t="s">
        <v>1796</v>
      </c>
    </row>
    <row r="1541" ht="14" customHeight="1" spans="1:7">
      <c r="A1541">
        <v>33025</v>
      </c>
      <c r="B1541">
        <v>1</v>
      </c>
      <c r="C1541">
        <v>1</v>
      </c>
      <c r="D1541">
        <v>0</v>
      </c>
      <c r="E1541">
        <v>1</v>
      </c>
      <c r="F1541" t="s">
        <v>1804</v>
      </c>
      <c r="G1541" s="7" t="s">
        <v>1796</v>
      </c>
    </row>
    <row r="1542" ht="14" customHeight="1" spans="1:7">
      <c r="A1542">
        <v>33026</v>
      </c>
      <c r="B1542">
        <v>1</v>
      </c>
      <c r="C1542">
        <v>1</v>
      </c>
      <c r="D1542">
        <v>0</v>
      </c>
      <c r="E1542">
        <v>1</v>
      </c>
      <c r="F1542" s="7" t="s">
        <v>1805</v>
      </c>
      <c r="G1542" s="7" t="s">
        <v>1796</v>
      </c>
    </row>
    <row r="1543" ht="14" customHeight="1" spans="1:7">
      <c r="A1543">
        <v>33027</v>
      </c>
      <c r="B1543">
        <v>1</v>
      </c>
      <c r="C1543">
        <v>1</v>
      </c>
      <c r="D1543">
        <v>0</v>
      </c>
      <c r="E1543">
        <v>1</v>
      </c>
      <c r="F1543" s="7" t="s">
        <v>744</v>
      </c>
      <c r="G1543" s="7" t="s">
        <v>1796</v>
      </c>
    </row>
    <row r="1544" ht="14" customHeight="1" spans="1:7">
      <c r="A1544">
        <v>33028</v>
      </c>
      <c r="B1544">
        <v>1</v>
      </c>
      <c r="C1544">
        <v>1</v>
      </c>
      <c r="D1544">
        <v>0</v>
      </c>
      <c r="E1544">
        <v>1</v>
      </c>
      <c r="F1544" s="7" t="s">
        <v>1806</v>
      </c>
      <c r="G1544" s="7" t="s">
        <v>1796</v>
      </c>
    </row>
    <row r="1545" ht="14" customHeight="1" spans="1:7">
      <c r="A1545">
        <v>33029</v>
      </c>
      <c r="B1545">
        <v>2</v>
      </c>
      <c r="C1545">
        <v>2</v>
      </c>
      <c r="D1545">
        <v>0</v>
      </c>
      <c r="E1545">
        <v>1</v>
      </c>
      <c r="F1545" s="7" t="s">
        <v>1807</v>
      </c>
      <c r="G1545" s="7" t="s">
        <v>1796</v>
      </c>
    </row>
    <row r="1546" ht="14" customHeight="1" spans="1:7">
      <c r="A1546">
        <v>33030</v>
      </c>
      <c r="B1546">
        <v>1</v>
      </c>
      <c r="C1546">
        <v>1</v>
      </c>
      <c r="D1546">
        <v>1</v>
      </c>
      <c r="E1546">
        <v>1</v>
      </c>
      <c r="F1546" t="s">
        <v>1808</v>
      </c>
      <c r="G1546" t="s">
        <v>1809</v>
      </c>
    </row>
    <row r="1547" ht="14" customHeight="1" spans="1:7">
      <c r="A1547">
        <v>33031</v>
      </c>
      <c r="B1547">
        <v>2</v>
      </c>
      <c r="C1547">
        <v>2</v>
      </c>
      <c r="D1547">
        <v>1</v>
      </c>
      <c r="E1547">
        <v>1</v>
      </c>
      <c r="F1547" t="s">
        <v>1810</v>
      </c>
      <c r="G1547" t="s">
        <v>1811</v>
      </c>
    </row>
    <row r="1548" ht="14" customHeight="1" spans="1:7">
      <c r="A1548">
        <v>33032</v>
      </c>
      <c r="B1548">
        <v>1</v>
      </c>
      <c r="C1548">
        <v>1</v>
      </c>
      <c r="D1548">
        <v>1</v>
      </c>
      <c r="E1548">
        <v>1</v>
      </c>
      <c r="F1548" t="s">
        <v>1812</v>
      </c>
      <c r="G1548" t="s">
        <v>1813</v>
      </c>
    </row>
    <row r="1549" ht="14" customHeight="1" spans="1:7">
      <c r="A1549">
        <v>33033</v>
      </c>
      <c r="B1549">
        <v>1</v>
      </c>
      <c r="C1549">
        <v>1</v>
      </c>
      <c r="D1549">
        <v>1</v>
      </c>
      <c r="E1549">
        <v>1</v>
      </c>
      <c r="F1549" t="s">
        <v>1814</v>
      </c>
      <c r="G1549" t="s">
        <v>1815</v>
      </c>
    </row>
    <row r="1550" ht="14" customHeight="1" spans="1:7">
      <c r="A1550">
        <v>33034</v>
      </c>
      <c r="B1550">
        <v>2</v>
      </c>
      <c r="C1550">
        <v>3</v>
      </c>
      <c r="D1550">
        <v>1</v>
      </c>
      <c r="E1550">
        <v>1</v>
      </c>
      <c r="F1550" t="s">
        <v>1816</v>
      </c>
      <c r="G1550" t="s">
        <v>1817</v>
      </c>
    </row>
    <row r="1551" ht="14" customHeight="1" spans="1:7">
      <c r="A1551">
        <v>33035</v>
      </c>
      <c r="B1551">
        <v>1</v>
      </c>
      <c r="C1551">
        <v>1</v>
      </c>
      <c r="D1551">
        <v>1</v>
      </c>
      <c r="E1551">
        <v>1</v>
      </c>
      <c r="F1551" t="s">
        <v>1818</v>
      </c>
      <c r="G1551" t="s">
        <v>1819</v>
      </c>
    </row>
    <row r="1552" ht="14" customHeight="1" spans="1:7">
      <c r="A1552">
        <v>33036</v>
      </c>
      <c r="B1552">
        <v>1</v>
      </c>
      <c r="C1552">
        <v>1</v>
      </c>
      <c r="D1552">
        <v>1</v>
      </c>
      <c r="E1552">
        <v>1</v>
      </c>
      <c r="F1552" t="s">
        <v>1820</v>
      </c>
      <c r="G1552" t="s">
        <v>1821</v>
      </c>
    </row>
    <row r="1553" ht="14" customHeight="1" spans="1:7">
      <c r="A1553">
        <v>33037</v>
      </c>
      <c r="B1553">
        <v>1</v>
      </c>
      <c r="C1553">
        <v>1</v>
      </c>
      <c r="D1553">
        <v>1</v>
      </c>
      <c r="E1553">
        <v>1</v>
      </c>
      <c r="F1553" t="s">
        <v>1822</v>
      </c>
      <c r="G1553" t="s">
        <v>1823</v>
      </c>
    </row>
    <row r="1554" ht="14" customHeight="1" spans="1:7">
      <c r="A1554">
        <v>33038</v>
      </c>
      <c r="B1554">
        <v>1</v>
      </c>
      <c r="C1554">
        <v>1</v>
      </c>
      <c r="D1554">
        <v>1</v>
      </c>
      <c r="E1554">
        <v>1</v>
      </c>
      <c r="F1554" t="s">
        <v>1824</v>
      </c>
      <c r="G1554" t="s">
        <v>1825</v>
      </c>
    </row>
    <row r="1555" ht="14" customHeight="1" spans="1:7">
      <c r="A1555">
        <v>33039</v>
      </c>
      <c r="B1555">
        <v>1</v>
      </c>
      <c r="C1555">
        <v>1</v>
      </c>
      <c r="D1555">
        <v>1</v>
      </c>
      <c r="E1555">
        <v>1</v>
      </c>
      <c r="F1555" t="s">
        <v>1826</v>
      </c>
      <c r="G1555" t="s">
        <v>1827</v>
      </c>
    </row>
    <row r="1556" ht="14" customHeight="1" spans="1:7">
      <c r="A1556">
        <v>33040</v>
      </c>
      <c r="B1556">
        <v>2</v>
      </c>
      <c r="C1556">
        <v>2</v>
      </c>
      <c r="D1556">
        <v>1</v>
      </c>
      <c r="E1556">
        <v>1</v>
      </c>
      <c r="F1556" t="s">
        <v>1828</v>
      </c>
      <c r="G1556" t="s">
        <v>1829</v>
      </c>
    </row>
    <row r="1557" ht="14" customHeight="1" spans="1:7">
      <c r="A1557">
        <v>33041</v>
      </c>
      <c r="B1557">
        <v>1</v>
      </c>
      <c r="C1557">
        <v>1</v>
      </c>
      <c r="D1557">
        <v>1</v>
      </c>
      <c r="E1557">
        <v>1</v>
      </c>
      <c r="F1557" t="s">
        <v>1830</v>
      </c>
      <c r="G1557" t="s">
        <v>1831</v>
      </c>
    </row>
    <row r="1558" ht="14" customHeight="1" spans="1:7">
      <c r="A1558">
        <v>33042</v>
      </c>
      <c r="B1558">
        <v>1</v>
      </c>
      <c r="C1558">
        <v>1</v>
      </c>
      <c r="D1558">
        <v>1</v>
      </c>
      <c r="E1558">
        <v>1</v>
      </c>
      <c r="F1558" t="s">
        <v>1832</v>
      </c>
      <c r="G1558" t="s">
        <v>1833</v>
      </c>
    </row>
    <row r="1559" ht="14" customHeight="1" spans="1:7">
      <c r="A1559">
        <v>33043</v>
      </c>
      <c r="B1559">
        <v>2</v>
      </c>
      <c r="C1559">
        <v>3</v>
      </c>
      <c r="D1559">
        <v>1</v>
      </c>
      <c r="E1559">
        <v>1</v>
      </c>
      <c r="F1559" t="s">
        <v>1834</v>
      </c>
      <c r="G1559" t="s">
        <v>1835</v>
      </c>
    </row>
    <row r="1560" ht="14" customHeight="1" spans="1:7">
      <c r="A1560">
        <v>33044</v>
      </c>
      <c r="B1560">
        <v>1</v>
      </c>
      <c r="C1560">
        <v>1</v>
      </c>
      <c r="D1560">
        <v>1</v>
      </c>
      <c r="E1560">
        <v>1</v>
      </c>
      <c r="F1560" t="s">
        <v>1836</v>
      </c>
      <c r="G1560" t="s">
        <v>1837</v>
      </c>
    </row>
    <row r="1561" ht="14" customHeight="1" spans="1:7">
      <c r="A1561">
        <v>33045</v>
      </c>
      <c r="B1561">
        <v>1</v>
      </c>
      <c r="C1561">
        <v>1</v>
      </c>
      <c r="D1561">
        <v>1</v>
      </c>
      <c r="E1561">
        <v>1</v>
      </c>
      <c r="F1561" t="s">
        <v>1838</v>
      </c>
      <c r="G1561" t="s">
        <v>1839</v>
      </c>
    </row>
    <row r="1562" ht="14" customHeight="1" spans="1:7">
      <c r="A1562">
        <v>33046</v>
      </c>
      <c r="B1562">
        <v>1</v>
      </c>
      <c r="C1562">
        <v>1</v>
      </c>
      <c r="D1562">
        <v>1</v>
      </c>
      <c r="E1562">
        <v>1</v>
      </c>
      <c r="F1562" t="s">
        <v>1840</v>
      </c>
      <c r="G1562" t="s">
        <v>1841</v>
      </c>
    </row>
    <row r="1563" ht="14" customHeight="1" spans="1:7">
      <c r="A1563">
        <v>33047</v>
      </c>
      <c r="B1563">
        <v>1</v>
      </c>
      <c r="C1563">
        <v>1</v>
      </c>
      <c r="D1563">
        <v>1</v>
      </c>
      <c r="E1563">
        <v>1</v>
      </c>
      <c r="F1563" t="s">
        <v>1842</v>
      </c>
      <c r="G1563" t="s">
        <v>1843</v>
      </c>
    </row>
    <row r="1564" ht="14" customHeight="1" spans="1:7">
      <c r="A1564">
        <v>33048</v>
      </c>
      <c r="B1564">
        <v>1</v>
      </c>
      <c r="C1564">
        <v>1</v>
      </c>
      <c r="D1564">
        <v>1</v>
      </c>
      <c r="E1564">
        <v>1</v>
      </c>
      <c r="F1564" t="s">
        <v>1844</v>
      </c>
      <c r="G1564" t="s">
        <v>1845</v>
      </c>
    </row>
    <row r="1565" ht="14" customHeight="1" spans="1:7">
      <c r="A1565">
        <v>33049</v>
      </c>
      <c r="B1565">
        <v>1</v>
      </c>
      <c r="C1565">
        <v>1</v>
      </c>
      <c r="D1565">
        <v>1</v>
      </c>
      <c r="E1565">
        <v>1</v>
      </c>
      <c r="F1565" t="s">
        <v>1846</v>
      </c>
      <c r="G1565" t="s">
        <v>1847</v>
      </c>
    </row>
    <row r="1566" ht="14" customHeight="1" spans="1:7">
      <c r="A1566">
        <v>33050</v>
      </c>
      <c r="B1566">
        <v>1</v>
      </c>
      <c r="C1566">
        <v>1</v>
      </c>
      <c r="D1566">
        <v>1</v>
      </c>
      <c r="E1566">
        <v>1</v>
      </c>
      <c r="F1566" s="81" t="s">
        <v>1848</v>
      </c>
      <c r="G1566" s="82" t="s">
        <v>1849</v>
      </c>
    </row>
    <row r="1567" ht="14" customHeight="1" spans="1:7">
      <c r="A1567">
        <v>33051</v>
      </c>
      <c r="B1567">
        <v>1</v>
      </c>
      <c r="C1567">
        <v>1</v>
      </c>
      <c r="D1567">
        <v>1</v>
      </c>
      <c r="E1567">
        <v>1</v>
      </c>
      <c r="F1567" s="81" t="s">
        <v>1850</v>
      </c>
      <c r="G1567" s="82" t="s">
        <v>1851</v>
      </c>
    </row>
    <row r="1568" ht="14" customHeight="1" spans="1:7">
      <c r="A1568">
        <v>33052</v>
      </c>
      <c r="B1568">
        <v>1</v>
      </c>
      <c r="C1568">
        <v>1</v>
      </c>
      <c r="D1568">
        <v>1</v>
      </c>
      <c r="E1568">
        <v>1</v>
      </c>
      <c r="F1568" s="81" t="s">
        <v>1852</v>
      </c>
      <c r="G1568" s="82" t="s">
        <v>1853</v>
      </c>
    </row>
    <row r="1569" ht="14" customHeight="1" spans="1:7">
      <c r="A1569">
        <v>33053</v>
      </c>
      <c r="B1569">
        <v>1</v>
      </c>
      <c r="C1569">
        <v>1</v>
      </c>
      <c r="D1569">
        <v>1</v>
      </c>
      <c r="E1569">
        <v>1</v>
      </c>
      <c r="F1569" s="81" t="s">
        <v>1854</v>
      </c>
      <c r="G1569" s="82" t="s">
        <v>1855</v>
      </c>
    </row>
    <row r="1570" ht="14" customHeight="1" spans="1:7">
      <c r="A1570">
        <v>33054</v>
      </c>
      <c r="B1570">
        <v>1</v>
      </c>
      <c r="C1570">
        <v>1</v>
      </c>
      <c r="D1570">
        <v>1</v>
      </c>
      <c r="E1570">
        <v>1</v>
      </c>
      <c r="F1570" s="81" t="s">
        <v>1856</v>
      </c>
      <c r="G1570" s="82" t="s">
        <v>1857</v>
      </c>
    </row>
    <row r="1571" ht="14" customHeight="1" spans="1:7">
      <c r="A1571">
        <v>33055</v>
      </c>
      <c r="B1571">
        <v>1</v>
      </c>
      <c r="C1571">
        <v>1</v>
      </c>
      <c r="D1571">
        <v>1</v>
      </c>
      <c r="E1571">
        <v>1</v>
      </c>
      <c r="F1571" s="81" t="s">
        <v>1858</v>
      </c>
      <c r="G1571" s="82" t="s">
        <v>1859</v>
      </c>
    </row>
    <row r="1572" ht="14" customHeight="1" spans="1:7">
      <c r="A1572">
        <v>33056</v>
      </c>
      <c r="B1572">
        <v>1</v>
      </c>
      <c r="C1572">
        <v>1</v>
      </c>
      <c r="D1572">
        <v>1</v>
      </c>
      <c r="E1572">
        <v>1</v>
      </c>
      <c r="F1572" s="81" t="s">
        <v>1860</v>
      </c>
      <c r="G1572" s="82" t="s">
        <v>1861</v>
      </c>
    </row>
    <row r="1573" ht="14" customHeight="1" spans="1:7">
      <c r="A1573">
        <v>33057</v>
      </c>
      <c r="B1573">
        <v>1</v>
      </c>
      <c r="C1573">
        <v>1</v>
      </c>
      <c r="D1573">
        <v>1</v>
      </c>
      <c r="E1573">
        <v>1</v>
      </c>
      <c r="F1573" s="81" t="s">
        <v>1862</v>
      </c>
      <c r="G1573" s="82" t="s">
        <v>1863</v>
      </c>
    </row>
    <row r="1574" ht="16.5" customHeight="1" spans="1:7">
      <c r="A1574">
        <v>33058</v>
      </c>
      <c r="B1574">
        <v>1</v>
      </c>
      <c r="C1574">
        <v>1</v>
      </c>
      <c r="D1574">
        <v>1</v>
      </c>
      <c r="E1574">
        <v>1</v>
      </c>
      <c r="F1574" s="83" t="s">
        <v>1864</v>
      </c>
      <c r="G1574" s="84" t="s">
        <v>1865</v>
      </c>
    </row>
    <row r="1575" ht="16.5" customHeight="1" spans="1:7">
      <c r="A1575">
        <v>33059</v>
      </c>
      <c r="B1575">
        <v>1</v>
      </c>
      <c r="C1575">
        <v>1</v>
      </c>
      <c r="D1575">
        <v>1</v>
      </c>
      <c r="E1575">
        <v>1</v>
      </c>
      <c r="F1575" s="83" t="s">
        <v>1866</v>
      </c>
      <c r="G1575" s="84" t="s">
        <v>1867</v>
      </c>
    </row>
    <row r="1576" ht="16.5" customHeight="1" spans="1:7">
      <c r="A1576">
        <v>33060</v>
      </c>
      <c r="B1576">
        <v>1</v>
      </c>
      <c r="C1576">
        <v>1</v>
      </c>
      <c r="D1576">
        <v>1</v>
      </c>
      <c r="E1576">
        <v>1</v>
      </c>
      <c r="F1576" s="83" t="s">
        <v>1868</v>
      </c>
      <c r="G1576" s="84" t="s">
        <v>1869</v>
      </c>
    </row>
    <row r="1577" ht="16.5" customHeight="1" spans="1:7">
      <c r="A1577">
        <v>33061</v>
      </c>
      <c r="B1577">
        <v>1</v>
      </c>
      <c r="C1577">
        <v>1</v>
      </c>
      <c r="D1577">
        <v>1</v>
      </c>
      <c r="E1577">
        <v>1</v>
      </c>
      <c r="F1577" s="83" t="s">
        <v>1870</v>
      </c>
      <c r="G1577" s="84" t="s">
        <v>1871</v>
      </c>
    </row>
    <row r="1578" ht="16.5" customHeight="1" spans="1:7">
      <c r="A1578">
        <v>33062</v>
      </c>
      <c r="B1578">
        <v>1</v>
      </c>
      <c r="C1578">
        <v>1</v>
      </c>
      <c r="D1578">
        <v>1</v>
      </c>
      <c r="E1578">
        <v>1</v>
      </c>
      <c r="F1578" s="83" t="s">
        <v>1872</v>
      </c>
      <c r="G1578" s="84" t="s">
        <v>1873</v>
      </c>
    </row>
    <row r="1579" ht="16.5" customHeight="1" spans="1:7">
      <c r="A1579">
        <v>33063</v>
      </c>
      <c r="B1579">
        <v>1</v>
      </c>
      <c r="C1579">
        <v>1</v>
      </c>
      <c r="D1579">
        <v>1</v>
      </c>
      <c r="E1579">
        <v>1</v>
      </c>
      <c r="F1579" s="83" t="s">
        <v>1874</v>
      </c>
      <c r="G1579" s="84" t="s">
        <v>1875</v>
      </c>
    </row>
    <row r="1580" ht="16.5" customHeight="1" spans="1:7">
      <c r="A1580">
        <v>33064</v>
      </c>
      <c r="B1580">
        <v>1</v>
      </c>
      <c r="C1580">
        <v>1</v>
      </c>
      <c r="D1580">
        <v>1</v>
      </c>
      <c r="E1580">
        <v>1</v>
      </c>
      <c r="F1580" s="83" t="s">
        <v>1876</v>
      </c>
      <c r="G1580" s="84" t="s">
        <v>1877</v>
      </c>
    </row>
    <row r="1581" ht="16.5" customHeight="1" spans="1:7">
      <c r="A1581">
        <v>33065</v>
      </c>
      <c r="B1581">
        <v>1</v>
      </c>
      <c r="C1581">
        <v>1</v>
      </c>
      <c r="D1581">
        <v>1</v>
      </c>
      <c r="E1581">
        <v>1</v>
      </c>
      <c r="F1581" s="83" t="s">
        <v>1878</v>
      </c>
      <c r="G1581" s="84" t="s">
        <v>1879</v>
      </c>
    </row>
    <row r="1582" ht="16.5" customHeight="1" spans="1:7">
      <c r="A1582">
        <v>33066</v>
      </c>
      <c r="B1582">
        <v>1</v>
      </c>
      <c r="C1582">
        <v>1</v>
      </c>
      <c r="D1582">
        <v>1</v>
      </c>
      <c r="E1582">
        <v>1</v>
      </c>
      <c r="F1582" s="83" t="s">
        <v>1880</v>
      </c>
      <c r="G1582" s="85" t="s">
        <v>1881</v>
      </c>
    </row>
    <row r="1583" ht="16.5" customHeight="1" spans="1:7">
      <c r="A1583">
        <v>33067</v>
      </c>
      <c r="B1583">
        <v>1</v>
      </c>
      <c r="C1583">
        <v>1</v>
      </c>
      <c r="D1583">
        <v>1</v>
      </c>
      <c r="E1583">
        <v>1</v>
      </c>
      <c r="F1583" s="83" t="s">
        <v>1882</v>
      </c>
      <c r="G1583" s="85" t="s">
        <v>1883</v>
      </c>
    </row>
    <row r="1584" ht="16.5" customHeight="1" spans="1:7">
      <c r="A1584">
        <v>33068</v>
      </c>
      <c r="B1584">
        <v>1</v>
      </c>
      <c r="C1584">
        <v>1</v>
      </c>
      <c r="D1584">
        <v>1</v>
      </c>
      <c r="E1584">
        <v>1</v>
      </c>
      <c r="F1584" s="83" t="s">
        <v>1884</v>
      </c>
      <c r="G1584" s="85" t="s">
        <v>1885</v>
      </c>
    </row>
    <row r="1585" ht="16.5" customHeight="1" spans="1:7">
      <c r="A1585">
        <v>33069</v>
      </c>
      <c r="B1585">
        <v>1</v>
      </c>
      <c r="C1585">
        <v>1</v>
      </c>
      <c r="D1585">
        <v>1</v>
      </c>
      <c r="E1585">
        <v>1</v>
      </c>
      <c r="F1585" s="83" t="s">
        <v>1886</v>
      </c>
      <c r="G1585" s="85" t="s">
        <v>1887</v>
      </c>
    </row>
    <row r="1586" ht="16.5" customHeight="1" spans="1:7">
      <c r="A1586">
        <v>33070</v>
      </c>
      <c r="B1586">
        <v>1</v>
      </c>
      <c r="C1586">
        <v>1</v>
      </c>
      <c r="D1586">
        <v>1</v>
      </c>
      <c r="E1586">
        <v>1</v>
      </c>
      <c r="F1586" s="83" t="s">
        <v>1888</v>
      </c>
      <c r="G1586" s="85" t="s">
        <v>1889</v>
      </c>
    </row>
    <row r="1587" ht="16.5" customHeight="1" spans="1:7">
      <c r="A1587">
        <v>33071</v>
      </c>
      <c r="B1587">
        <v>1</v>
      </c>
      <c r="C1587">
        <v>1</v>
      </c>
      <c r="D1587">
        <v>1</v>
      </c>
      <c r="E1587">
        <v>1</v>
      </c>
      <c r="F1587" s="83" t="s">
        <v>1890</v>
      </c>
      <c r="G1587" s="85" t="s">
        <v>1891</v>
      </c>
    </row>
    <row r="1588" ht="16.5" customHeight="1" spans="1:7">
      <c r="A1588">
        <v>33072</v>
      </c>
      <c r="B1588">
        <v>1</v>
      </c>
      <c r="C1588">
        <v>1</v>
      </c>
      <c r="D1588">
        <v>1</v>
      </c>
      <c r="E1588">
        <v>1</v>
      </c>
      <c r="F1588" s="83" t="s">
        <v>1892</v>
      </c>
      <c r="G1588" s="85" t="s">
        <v>1893</v>
      </c>
    </row>
    <row r="1589" ht="16.5" customHeight="1" spans="1:7">
      <c r="A1589">
        <v>33073</v>
      </c>
      <c r="B1589">
        <v>1</v>
      </c>
      <c r="C1589">
        <v>1</v>
      </c>
      <c r="D1589">
        <v>1</v>
      </c>
      <c r="E1589">
        <v>1</v>
      </c>
      <c r="F1589" s="83" t="s">
        <v>1894</v>
      </c>
      <c r="G1589" s="85" t="s">
        <v>1895</v>
      </c>
    </row>
    <row r="1590" ht="16.5" customHeight="1" spans="1:7">
      <c r="A1590">
        <v>33074</v>
      </c>
      <c r="B1590">
        <v>1</v>
      </c>
      <c r="C1590">
        <v>1</v>
      </c>
      <c r="D1590">
        <v>1</v>
      </c>
      <c r="E1590">
        <v>1</v>
      </c>
      <c r="F1590" s="83" t="s">
        <v>1896</v>
      </c>
      <c r="G1590" s="85"/>
    </row>
    <row r="1591" ht="16.5" customHeight="1" spans="1:7">
      <c r="A1591">
        <v>33075</v>
      </c>
      <c r="B1591">
        <v>1</v>
      </c>
      <c r="C1591">
        <v>1</v>
      </c>
      <c r="D1591">
        <v>1</v>
      </c>
      <c r="E1591">
        <v>1</v>
      </c>
      <c r="F1591" s="83" t="s">
        <v>1897</v>
      </c>
      <c r="G1591" s="85"/>
    </row>
    <row r="1592" ht="16.5" customHeight="1" spans="1:7">
      <c r="A1592">
        <v>33076</v>
      </c>
      <c r="B1592">
        <v>1</v>
      </c>
      <c r="C1592">
        <v>1</v>
      </c>
      <c r="D1592">
        <v>1</v>
      </c>
      <c r="E1592">
        <v>1</v>
      </c>
      <c r="F1592" s="83" t="s">
        <v>1898</v>
      </c>
      <c r="G1592" s="85"/>
    </row>
    <row r="1593" ht="16.5" customHeight="1" spans="1:7">
      <c r="A1593">
        <v>33077</v>
      </c>
      <c r="B1593">
        <v>1</v>
      </c>
      <c r="C1593">
        <v>1</v>
      </c>
      <c r="D1593">
        <v>1</v>
      </c>
      <c r="E1593">
        <v>1</v>
      </c>
      <c r="F1593" s="83" t="s">
        <v>1899</v>
      </c>
      <c r="G1593" s="85"/>
    </row>
    <row r="1594" s="44" customFormat="1" ht="14" customHeight="1" spans="1:7">
      <c r="A1594" s="44">
        <v>40001</v>
      </c>
      <c r="B1594" s="44">
        <v>1</v>
      </c>
      <c r="C1594" s="44">
        <v>1</v>
      </c>
      <c r="D1594" s="44">
        <v>0</v>
      </c>
      <c r="E1594" s="44">
        <v>1</v>
      </c>
      <c r="F1594" s="44" t="s">
        <v>1900</v>
      </c>
      <c r="G1594" s="44" t="s">
        <v>1901</v>
      </c>
    </row>
    <row r="1595" s="44" customFormat="1" ht="14" customHeight="1" spans="1:7">
      <c r="A1595" s="44">
        <v>40002</v>
      </c>
      <c r="B1595" s="44">
        <v>1</v>
      </c>
      <c r="C1595" s="44">
        <v>1</v>
      </c>
      <c r="D1595" s="44">
        <v>0</v>
      </c>
      <c r="E1595" s="44">
        <v>1</v>
      </c>
      <c r="F1595" s="44" t="s">
        <v>1900</v>
      </c>
      <c r="G1595" s="44" t="s">
        <v>1901</v>
      </c>
    </row>
    <row r="1596" s="44" customFormat="1" ht="14" customHeight="1" spans="1:7">
      <c r="A1596" s="44">
        <v>40003</v>
      </c>
      <c r="B1596" s="44">
        <v>1</v>
      </c>
      <c r="C1596" s="44">
        <v>1</v>
      </c>
      <c r="D1596" s="44">
        <v>0</v>
      </c>
      <c r="E1596" s="44">
        <v>1</v>
      </c>
      <c r="F1596" s="44" t="s">
        <v>1900</v>
      </c>
      <c r="G1596" s="44" t="s">
        <v>1901</v>
      </c>
    </row>
    <row r="1597" s="44" customFormat="1" ht="14" customHeight="1" spans="1:7">
      <c r="A1597" s="44">
        <v>40004</v>
      </c>
      <c r="B1597" s="44">
        <v>1</v>
      </c>
      <c r="C1597" s="44">
        <v>1</v>
      </c>
      <c r="D1597" s="44">
        <v>0</v>
      </c>
      <c r="E1597" s="44">
        <v>1</v>
      </c>
      <c r="F1597" s="44" t="s">
        <v>1902</v>
      </c>
      <c r="G1597" s="44" t="s">
        <v>1901</v>
      </c>
    </row>
    <row r="1598" s="44" customFormat="1" ht="14" customHeight="1" spans="1:7">
      <c r="A1598" s="44">
        <v>40005</v>
      </c>
      <c r="B1598" s="44">
        <v>1</v>
      </c>
      <c r="C1598" s="44">
        <v>1</v>
      </c>
      <c r="D1598" s="44">
        <v>0</v>
      </c>
      <c r="E1598" s="44">
        <v>1</v>
      </c>
      <c r="F1598" s="44" t="s">
        <v>1903</v>
      </c>
      <c r="G1598" s="44" t="s">
        <v>1901</v>
      </c>
    </row>
    <row r="1599" s="44" customFormat="1" ht="14" customHeight="1" spans="1:7">
      <c r="A1599" s="44">
        <v>40006</v>
      </c>
      <c r="B1599" s="44">
        <v>1</v>
      </c>
      <c r="C1599" s="44">
        <v>1</v>
      </c>
      <c r="D1599" s="44">
        <v>0</v>
      </c>
      <c r="E1599" s="44">
        <v>1</v>
      </c>
      <c r="F1599" s="44" t="s">
        <v>1904</v>
      </c>
      <c r="G1599" s="44" t="s">
        <v>1901</v>
      </c>
    </row>
    <row r="1600" s="44" customFormat="1" ht="14" customHeight="1" spans="1:7">
      <c r="A1600" s="44">
        <v>40007</v>
      </c>
      <c r="B1600" s="44">
        <v>1</v>
      </c>
      <c r="C1600" s="44">
        <v>1</v>
      </c>
      <c r="D1600" s="44">
        <v>0</v>
      </c>
      <c r="E1600" s="44">
        <v>1</v>
      </c>
      <c r="F1600" s="44" t="s">
        <v>1905</v>
      </c>
      <c r="G1600" s="44" t="s">
        <v>1901</v>
      </c>
    </row>
    <row r="1601" ht="14" customHeight="1" spans="1:7">
      <c r="A1601">
        <v>40008</v>
      </c>
      <c r="B1601">
        <v>1</v>
      </c>
      <c r="C1601">
        <v>1</v>
      </c>
      <c r="D1601">
        <v>0</v>
      </c>
      <c r="E1601">
        <v>1</v>
      </c>
      <c r="F1601" t="s">
        <v>1906</v>
      </c>
      <c r="G1601" t="s">
        <v>1901</v>
      </c>
    </row>
    <row r="1602" ht="14" customHeight="1" spans="1:7">
      <c r="A1602">
        <v>40009</v>
      </c>
      <c r="B1602">
        <v>1</v>
      </c>
      <c r="C1602">
        <v>1</v>
      </c>
      <c r="D1602">
        <v>0</v>
      </c>
      <c r="E1602">
        <v>1</v>
      </c>
      <c r="F1602" t="s">
        <v>1907</v>
      </c>
      <c r="G1602" t="s">
        <v>1901</v>
      </c>
    </row>
    <row r="1603" ht="14" customHeight="1" spans="1:7">
      <c r="A1603">
        <v>40010</v>
      </c>
      <c r="B1603">
        <v>1</v>
      </c>
      <c r="C1603">
        <v>1</v>
      </c>
      <c r="D1603">
        <v>0</v>
      </c>
      <c r="E1603">
        <v>1</v>
      </c>
      <c r="F1603" t="s">
        <v>1908</v>
      </c>
      <c r="G1603" t="s">
        <v>1909</v>
      </c>
    </row>
    <row r="1604" ht="14" customHeight="1" spans="1:7">
      <c r="A1604">
        <v>40011</v>
      </c>
      <c r="B1604">
        <v>1</v>
      </c>
      <c r="C1604">
        <v>1</v>
      </c>
      <c r="D1604">
        <v>0</v>
      </c>
      <c r="E1604">
        <v>1</v>
      </c>
      <c r="F1604" t="s">
        <v>1908</v>
      </c>
      <c r="G1604" t="s">
        <v>1909</v>
      </c>
    </row>
    <row r="1605" ht="14" customHeight="1" spans="1:7">
      <c r="A1605">
        <v>40012</v>
      </c>
      <c r="B1605">
        <v>1</v>
      </c>
      <c r="C1605">
        <v>1</v>
      </c>
      <c r="D1605">
        <v>0</v>
      </c>
      <c r="E1605">
        <v>1</v>
      </c>
      <c r="F1605" t="s">
        <v>1908</v>
      </c>
      <c r="G1605" t="s">
        <v>1909</v>
      </c>
    </row>
    <row r="1606" s="45" customFormat="1" ht="14" customHeight="1" spans="1:7">
      <c r="A1606" s="45">
        <v>40013</v>
      </c>
      <c r="B1606" s="45">
        <v>1</v>
      </c>
      <c r="C1606" s="45">
        <v>1</v>
      </c>
      <c r="D1606" s="45">
        <v>0</v>
      </c>
      <c r="E1606" s="45">
        <v>1</v>
      </c>
      <c r="F1606" s="44" t="s">
        <v>1900</v>
      </c>
      <c r="G1606" s="45" t="s">
        <v>1901</v>
      </c>
    </row>
    <row r="1607" s="45" customFormat="1" ht="14" customHeight="1" spans="1:7">
      <c r="A1607" s="45">
        <v>40014</v>
      </c>
      <c r="B1607" s="45">
        <v>1</v>
      </c>
      <c r="C1607" s="45">
        <v>1</v>
      </c>
      <c r="D1607" s="45">
        <v>0</v>
      </c>
      <c r="E1607" s="45">
        <v>1</v>
      </c>
      <c r="F1607" s="44" t="s">
        <v>1902</v>
      </c>
      <c r="G1607" s="45" t="s">
        <v>1901</v>
      </c>
    </row>
    <row r="1608" s="45" customFormat="1" ht="14" customHeight="1" spans="1:7">
      <c r="A1608" s="45">
        <v>40015</v>
      </c>
      <c r="B1608" s="45">
        <v>1</v>
      </c>
      <c r="C1608" s="45">
        <v>1</v>
      </c>
      <c r="D1608" s="45">
        <v>0</v>
      </c>
      <c r="E1608" s="45">
        <v>1</v>
      </c>
      <c r="F1608" s="44" t="s">
        <v>1903</v>
      </c>
      <c r="G1608" s="45" t="s">
        <v>1901</v>
      </c>
    </row>
    <row r="1609" s="45" customFormat="1" ht="14" customHeight="1" spans="1:7">
      <c r="A1609" s="45">
        <v>40016</v>
      </c>
      <c r="B1609" s="45">
        <v>1</v>
      </c>
      <c r="C1609" s="45">
        <v>1</v>
      </c>
      <c r="D1609" s="45">
        <v>0</v>
      </c>
      <c r="E1609" s="45">
        <v>1</v>
      </c>
      <c r="F1609" s="44" t="s">
        <v>1904</v>
      </c>
      <c r="G1609" s="45" t="s">
        <v>1901</v>
      </c>
    </row>
    <row r="1610" s="45" customFormat="1" ht="14" customHeight="1" spans="1:7">
      <c r="A1610" s="45">
        <v>40017</v>
      </c>
      <c r="B1610" s="45">
        <v>1</v>
      </c>
      <c r="C1610" s="45">
        <v>1</v>
      </c>
      <c r="D1610" s="45">
        <v>0</v>
      </c>
      <c r="E1610" s="45">
        <v>1</v>
      </c>
      <c r="F1610" s="44" t="s">
        <v>1910</v>
      </c>
      <c r="G1610" s="45" t="s">
        <v>1901</v>
      </c>
    </row>
    <row r="1611" s="45" customFormat="1" ht="14" customHeight="1" spans="1:7">
      <c r="A1611" s="45">
        <v>40018</v>
      </c>
      <c r="B1611" s="45">
        <v>1</v>
      </c>
      <c r="C1611" s="45">
        <v>1</v>
      </c>
      <c r="D1611" s="45">
        <v>0</v>
      </c>
      <c r="E1611" s="45">
        <v>1</v>
      </c>
      <c r="F1611" s="44" t="s">
        <v>1905</v>
      </c>
      <c r="G1611" s="45" t="s">
        <v>1901</v>
      </c>
    </row>
    <row r="1612" s="45" customFormat="1" ht="14" customHeight="1" spans="1:7">
      <c r="A1612" s="45">
        <v>40019</v>
      </c>
      <c r="B1612" s="45">
        <v>1</v>
      </c>
      <c r="C1612" s="45">
        <v>1</v>
      </c>
      <c r="D1612" s="45">
        <v>0</v>
      </c>
      <c r="E1612" s="45">
        <v>1</v>
      </c>
      <c r="F1612" s="44" t="s">
        <v>1911</v>
      </c>
      <c r="G1612" s="45" t="s">
        <v>1901</v>
      </c>
    </row>
    <row r="1613" ht="14" customHeight="1" spans="1:7">
      <c r="A1613">
        <v>40020</v>
      </c>
      <c r="B1613">
        <v>1</v>
      </c>
      <c r="C1613">
        <v>1</v>
      </c>
      <c r="D1613">
        <v>0</v>
      </c>
      <c r="E1613">
        <v>1</v>
      </c>
      <c r="F1613" t="s">
        <v>1912</v>
      </c>
      <c r="G1613" t="s">
        <v>1901</v>
      </c>
    </row>
    <row r="1614" ht="14" customHeight="1" spans="1:7">
      <c r="A1614">
        <v>40021</v>
      </c>
      <c r="B1614">
        <v>1</v>
      </c>
      <c r="C1614">
        <v>1</v>
      </c>
      <c r="D1614">
        <v>0</v>
      </c>
      <c r="E1614">
        <v>1</v>
      </c>
      <c r="F1614" t="s">
        <v>1912</v>
      </c>
      <c r="G1614" t="s">
        <v>1901</v>
      </c>
    </row>
    <row r="1615" ht="14" customHeight="1" spans="1:7">
      <c r="A1615">
        <v>41001</v>
      </c>
      <c r="B1615">
        <v>1</v>
      </c>
      <c r="C1615">
        <v>1</v>
      </c>
      <c r="D1615">
        <v>0</v>
      </c>
      <c r="E1615">
        <v>1</v>
      </c>
      <c r="F1615" t="s">
        <v>1913</v>
      </c>
      <c r="G1615">
        <v>610001</v>
      </c>
    </row>
    <row r="1616" ht="14" customHeight="1" spans="1:7">
      <c r="A1616">
        <v>41002</v>
      </c>
      <c r="B1616">
        <v>1</v>
      </c>
      <c r="C1616">
        <v>1</v>
      </c>
      <c r="D1616">
        <v>0</v>
      </c>
      <c r="E1616">
        <v>1</v>
      </c>
      <c r="F1616" t="s">
        <v>1914</v>
      </c>
      <c r="G1616">
        <v>610002</v>
      </c>
    </row>
    <row r="1617" ht="14" customHeight="1" spans="1:7">
      <c r="A1617">
        <v>41003</v>
      </c>
      <c r="B1617">
        <v>1</v>
      </c>
      <c r="C1617">
        <v>1</v>
      </c>
      <c r="D1617">
        <v>0</v>
      </c>
      <c r="E1617">
        <v>1</v>
      </c>
      <c r="F1617" t="s">
        <v>1915</v>
      </c>
      <c r="G1617">
        <v>610003</v>
      </c>
    </row>
    <row r="1618" ht="14" customHeight="1" spans="1:7">
      <c r="A1618">
        <v>41004</v>
      </c>
      <c r="B1618">
        <v>1</v>
      </c>
      <c r="C1618">
        <v>1</v>
      </c>
      <c r="D1618">
        <v>0</v>
      </c>
      <c r="E1618">
        <v>1</v>
      </c>
      <c r="F1618" t="s">
        <v>1916</v>
      </c>
      <c r="G1618">
        <v>610004</v>
      </c>
    </row>
    <row r="1619" ht="14" customHeight="1" spans="1:7">
      <c r="A1619">
        <v>41005</v>
      </c>
      <c r="B1619">
        <v>1</v>
      </c>
      <c r="C1619">
        <v>1</v>
      </c>
      <c r="D1619">
        <v>0</v>
      </c>
      <c r="E1619">
        <v>1</v>
      </c>
      <c r="F1619" t="s">
        <v>1917</v>
      </c>
      <c r="G1619">
        <v>610005</v>
      </c>
    </row>
    <row r="1620" ht="14" customHeight="1" spans="1:7">
      <c r="A1620">
        <v>41006</v>
      </c>
      <c r="B1620">
        <v>1</v>
      </c>
      <c r="C1620">
        <v>1</v>
      </c>
      <c r="D1620">
        <v>0</v>
      </c>
      <c r="E1620">
        <v>1</v>
      </c>
      <c r="F1620" t="s">
        <v>1918</v>
      </c>
      <c r="G1620">
        <v>610006</v>
      </c>
    </row>
    <row r="1621" ht="14" customHeight="1" spans="1:7">
      <c r="A1621">
        <v>41007</v>
      </c>
      <c r="B1621">
        <v>1</v>
      </c>
      <c r="C1621">
        <v>1</v>
      </c>
      <c r="D1621">
        <v>0</v>
      </c>
      <c r="E1621">
        <v>1</v>
      </c>
      <c r="F1621" t="s">
        <v>1919</v>
      </c>
      <c r="G1621">
        <v>610007</v>
      </c>
    </row>
    <row r="1622" ht="14" customHeight="1" spans="1:7">
      <c r="A1622">
        <v>41008</v>
      </c>
      <c r="B1622">
        <v>1</v>
      </c>
      <c r="C1622">
        <v>1</v>
      </c>
      <c r="D1622">
        <v>0</v>
      </c>
      <c r="E1622">
        <v>1</v>
      </c>
      <c r="F1622" t="s">
        <v>1920</v>
      </c>
      <c r="G1622">
        <v>610008</v>
      </c>
    </row>
    <row r="1623" ht="14" customHeight="1" spans="1:7">
      <c r="A1623">
        <v>41009</v>
      </c>
      <c r="B1623">
        <v>1</v>
      </c>
      <c r="C1623">
        <v>1</v>
      </c>
      <c r="D1623">
        <v>0</v>
      </c>
      <c r="E1623">
        <v>1</v>
      </c>
      <c r="F1623" t="s">
        <v>1921</v>
      </c>
      <c r="G1623">
        <v>610009</v>
      </c>
    </row>
    <row r="1624" ht="14" customHeight="1" spans="1:7">
      <c r="A1624">
        <v>41010</v>
      </c>
      <c r="B1624">
        <v>1</v>
      </c>
      <c r="C1624">
        <v>1</v>
      </c>
      <c r="D1624">
        <v>0</v>
      </c>
      <c r="E1624">
        <v>1</v>
      </c>
      <c r="F1624" t="s">
        <v>1922</v>
      </c>
      <c r="G1624">
        <v>610010</v>
      </c>
    </row>
    <row r="1625" ht="14" customHeight="1" spans="1:7">
      <c r="A1625">
        <v>41011</v>
      </c>
      <c r="B1625">
        <v>1</v>
      </c>
      <c r="C1625">
        <v>1</v>
      </c>
      <c r="D1625">
        <v>0</v>
      </c>
      <c r="E1625">
        <v>1</v>
      </c>
      <c r="F1625" t="s">
        <v>1923</v>
      </c>
      <c r="G1625">
        <v>610011</v>
      </c>
    </row>
    <row r="1626" ht="14" customHeight="1" spans="1:7">
      <c r="A1626">
        <v>41012</v>
      </c>
      <c r="B1626">
        <v>1</v>
      </c>
      <c r="C1626">
        <v>1</v>
      </c>
      <c r="D1626">
        <v>0</v>
      </c>
      <c r="E1626">
        <v>1</v>
      </c>
      <c r="F1626" t="s">
        <v>1924</v>
      </c>
      <c r="G1626">
        <v>610012</v>
      </c>
    </row>
    <row r="1627" ht="14" customHeight="1" spans="1:7">
      <c r="A1627">
        <v>41013</v>
      </c>
      <c r="B1627">
        <v>1</v>
      </c>
      <c r="C1627">
        <v>1</v>
      </c>
      <c r="D1627">
        <v>0</v>
      </c>
      <c r="E1627">
        <v>1</v>
      </c>
      <c r="F1627" t="s">
        <v>1925</v>
      </c>
      <c r="G1627">
        <v>610013</v>
      </c>
    </row>
    <row r="1628" ht="14" customHeight="1" spans="1:7">
      <c r="A1628">
        <v>41014</v>
      </c>
      <c r="B1628">
        <v>1</v>
      </c>
      <c r="C1628">
        <v>1</v>
      </c>
      <c r="D1628">
        <v>0</v>
      </c>
      <c r="E1628">
        <v>1</v>
      </c>
      <c r="F1628" t="s">
        <v>1926</v>
      </c>
      <c r="G1628">
        <v>610014</v>
      </c>
    </row>
    <row r="1629" ht="14" customHeight="1" spans="1:7">
      <c r="A1629">
        <v>41015</v>
      </c>
      <c r="B1629">
        <v>1</v>
      </c>
      <c r="C1629">
        <v>1</v>
      </c>
      <c r="D1629">
        <v>0</v>
      </c>
      <c r="E1629">
        <v>1</v>
      </c>
      <c r="F1629" t="s">
        <v>1927</v>
      </c>
      <c r="G1629">
        <v>610015</v>
      </c>
    </row>
    <row r="1630" ht="14" customHeight="1" spans="1:7">
      <c r="A1630">
        <v>41018</v>
      </c>
      <c r="B1630">
        <v>1</v>
      </c>
      <c r="C1630">
        <v>1</v>
      </c>
      <c r="D1630">
        <v>0</v>
      </c>
      <c r="E1630">
        <v>1</v>
      </c>
      <c r="F1630" t="s">
        <v>1928</v>
      </c>
      <c r="G1630">
        <v>610018</v>
      </c>
    </row>
    <row r="1631" ht="14" customHeight="1" spans="1:7">
      <c r="A1631">
        <v>42001</v>
      </c>
      <c r="B1631">
        <v>1</v>
      </c>
      <c r="C1631">
        <v>1</v>
      </c>
      <c r="D1631">
        <v>0</v>
      </c>
      <c r="E1631">
        <v>1</v>
      </c>
      <c r="F1631" t="s">
        <v>1929</v>
      </c>
      <c r="G1631">
        <v>620001</v>
      </c>
    </row>
    <row r="1632" ht="14" customHeight="1" spans="1:7">
      <c r="A1632">
        <v>42002</v>
      </c>
      <c r="B1632">
        <v>1</v>
      </c>
      <c r="C1632">
        <v>1</v>
      </c>
      <c r="D1632">
        <v>0</v>
      </c>
      <c r="E1632">
        <v>1</v>
      </c>
      <c r="F1632" t="s">
        <v>1930</v>
      </c>
      <c r="G1632">
        <v>620002</v>
      </c>
    </row>
    <row r="1633" ht="14" customHeight="1" spans="1:7">
      <c r="A1633">
        <v>42003</v>
      </c>
      <c r="B1633">
        <v>1</v>
      </c>
      <c r="C1633">
        <v>1</v>
      </c>
      <c r="D1633">
        <v>0</v>
      </c>
      <c r="E1633">
        <v>1</v>
      </c>
      <c r="F1633" t="s">
        <v>1931</v>
      </c>
      <c r="G1633">
        <v>620003</v>
      </c>
    </row>
    <row r="1634" ht="14" customHeight="1" spans="1:7">
      <c r="A1634">
        <v>42004</v>
      </c>
      <c r="B1634">
        <v>1</v>
      </c>
      <c r="C1634">
        <v>1</v>
      </c>
      <c r="D1634">
        <v>0</v>
      </c>
      <c r="E1634">
        <v>1</v>
      </c>
      <c r="F1634" t="s">
        <v>1932</v>
      </c>
      <c r="G1634">
        <v>620004</v>
      </c>
    </row>
    <row r="1635" ht="14" customHeight="1" spans="1:7">
      <c r="A1635">
        <v>42005</v>
      </c>
      <c r="B1635">
        <v>1</v>
      </c>
      <c r="C1635">
        <v>1</v>
      </c>
      <c r="D1635">
        <v>0</v>
      </c>
      <c r="E1635">
        <v>1</v>
      </c>
      <c r="F1635" t="s">
        <v>1933</v>
      </c>
      <c r="G1635">
        <v>620005</v>
      </c>
    </row>
    <row r="1636" ht="14" customHeight="1" spans="1:7">
      <c r="A1636">
        <v>42006</v>
      </c>
      <c r="B1636">
        <v>1</v>
      </c>
      <c r="C1636">
        <v>1</v>
      </c>
      <c r="D1636">
        <v>0</v>
      </c>
      <c r="E1636">
        <v>1</v>
      </c>
      <c r="F1636" t="s">
        <v>1934</v>
      </c>
      <c r="G1636">
        <v>620006</v>
      </c>
    </row>
    <row r="1637" ht="14" customHeight="1" spans="1:7">
      <c r="A1637">
        <v>42007</v>
      </c>
      <c r="B1637">
        <v>1</v>
      </c>
      <c r="C1637">
        <v>1</v>
      </c>
      <c r="D1637">
        <v>0</v>
      </c>
      <c r="E1637">
        <v>1</v>
      </c>
      <c r="F1637" t="s">
        <v>1935</v>
      </c>
      <c r="G1637">
        <v>620007</v>
      </c>
    </row>
    <row r="1638" ht="14" customHeight="1" spans="1:7">
      <c r="A1638">
        <v>42008</v>
      </c>
      <c r="B1638">
        <v>1</v>
      </c>
      <c r="C1638">
        <v>1</v>
      </c>
      <c r="D1638">
        <v>0</v>
      </c>
      <c r="E1638">
        <v>1</v>
      </c>
      <c r="F1638" t="s">
        <v>1936</v>
      </c>
      <c r="G1638">
        <v>620008</v>
      </c>
    </row>
    <row r="1639" ht="14" customHeight="1" spans="1:7">
      <c r="A1639">
        <v>42009</v>
      </c>
      <c r="B1639">
        <v>1</v>
      </c>
      <c r="C1639">
        <v>1</v>
      </c>
      <c r="D1639">
        <v>0</v>
      </c>
      <c r="E1639">
        <v>1</v>
      </c>
      <c r="F1639" t="s">
        <v>1937</v>
      </c>
      <c r="G1639">
        <v>620009</v>
      </c>
    </row>
    <row r="1640" ht="14" customHeight="1" spans="1:7">
      <c r="A1640">
        <v>42010</v>
      </c>
      <c r="B1640">
        <v>1</v>
      </c>
      <c r="C1640">
        <v>1</v>
      </c>
      <c r="D1640">
        <v>0</v>
      </c>
      <c r="E1640">
        <v>1</v>
      </c>
      <c r="F1640" t="s">
        <v>1938</v>
      </c>
      <c r="G1640">
        <v>620010</v>
      </c>
    </row>
    <row r="1641" ht="14" customHeight="1" spans="1:7">
      <c r="A1641">
        <v>42011</v>
      </c>
      <c r="B1641">
        <v>1</v>
      </c>
      <c r="C1641">
        <v>1</v>
      </c>
      <c r="D1641">
        <v>0</v>
      </c>
      <c r="E1641">
        <v>1</v>
      </c>
      <c r="F1641" t="s">
        <v>1939</v>
      </c>
      <c r="G1641">
        <v>620011</v>
      </c>
    </row>
    <row r="1642" ht="14" customHeight="1" spans="1:7">
      <c r="A1642">
        <v>42012</v>
      </c>
      <c r="B1642">
        <v>1</v>
      </c>
      <c r="C1642">
        <v>1</v>
      </c>
      <c r="D1642">
        <v>0</v>
      </c>
      <c r="E1642">
        <v>1</v>
      </c>
      <c r="F1642" t="s">
        <v>1940</v>
      </c>
      <c r="G1642">
        <v>620012</v>
      </c>
    </row>
    <row r="1643" ht="14" customHeight="1" spans="1:7">
      <c r="A1643">
        <v>42013</v>
      </c>
      <c r="B1643">
        <v>1</v>
      </c>
      <c r="C1643">
        <v>1</v>
      </c>
      <c r="D1643">
        <v>0</v>
      </c>
      <c r="E1643">
        <v>1</v>
      </c>
      <c r="F1643" t="s">
        <v>1941</v>
      </c>
      <c r="G1643">
        <v>620013</v>
      </c>
    </row>
    <row r="1644" ht="14" customHeight="1" spans="1:7">
      <c r="A1644">
        <v>42014</v>
      </c>
      <c r="B1644">
        <v>1</v>
      </c>
      <c r="C1644">
        <v>1</v>
      </c>
      <c r="D1644">
        <v>0</v>
      </c>
      <c r="E1644">
        <v>1</v>
      </c>
      <c r="F1644" t="s">
        <v>1942</v>
      </c>
      <c r="G1644">
        <v>620014</v>
      </c>
    </row>
    <row r="1645" ht="14" customHeight="1" spans="1:7">
      <c r="A1645">
        <v>42015</v>
      </c>
      <c r="B1645">
        <v>1</v>
      </c>
      <c r="C1645">
        <v>1</v>
      </c>
      <c r="D1645">
        <v>0</v>
      </c>
      <c r="E1645">
        <v>1</v>
      </c>
      <c r="F1645" t="s">
        <v>1943</v>
      </c>
      <c r="G1645">
        <v>620015</v>
      </c>
    </row>
    <row r="1646" ht="14" customHeight="1" spans="1:7">
      <c r="A1646">
        <v>42016</v>
      </c>
      <c r="B1646">
        <v>1</v>
      </c>
      <c r="C1646">
        <v>1</v>
      </c>
      <c r="D1646">
        <v>0</v>
      </c>
      <c r="E1646">
        <v>1</v>
      </c>
      <c r="F1646" t="s">
        <v>1944</v>
      </c>
      <c r="G1646">
        <v>620017</v>
      </c>
    </row>
    <row r="1647" ht="14" customHeight="1" spans="1:7">
      <c r="A1647">
        <v>42017</v>
      </c>
      <c r="B1647">
        <v>1</v>
      </c>
      <c r="C1647">
        <v>1</v>
      </c>
      <c r="D1647">
        <v>0</v>
      </c>
      <c r="E1647">
        <v>1</v>
      </c>
      <c r="F1647" t="s">
        <v>1944</v>
      </c>
      <c r="G1647">
        <v>620017</v>
      </c>
    </row>
    <row r="1648" ht="14" customHeight="1" spans="1:7">
      <c r="A1648">
        <v>42019</v>
      </c>
      <c r="B1648">
        <v>1</v>
      </c>
      <c r="C1648">
        <v>1</v>
      </c>
      <c r="D1648">
        <v>0</v>
      </c>
      <c r="E1648">
        <v>1</v>
      </c>
      <c r="F1648" t="s">
        <v>1945</v>
      </c>
      <c r="G1648">
        <v>620019</v>
      </c>
    </row>
    <row r="1649" ht="14" customHeight="1" spans="1:7">
      <c r="A1649">
        <v>42020</v>
      </c>
      <c r="B1649">
        <v>1</v>
      </c>
      <c r="C1649">
        <v>1</v>
      </c>
      <c r="D1649">
        <v>0</v>
      </c>
      <c r="E1649">
        <v>1</v>
      </c>
      <c r="F1649" t="s">
        <v>1946</v>
      </c>
      <c r="G1649">
        <v>620020</v>
      </c>
    </row>
    <row r="1650" ht="14" customHeight="1" spans="1:7">
      <c r="A1650">
        <v>42021</v>
      </c>
      <c r="B1650">
        <v>1</v>
      </c>
      <c r="C1650">
        <v>1</v>
      </c>
      <c r="D1650">
        <v>0</v>
      </c>
      <c r="E1650">
        <v>1</v>
      </c>
      <c r="F1650" t="s">
        <v>1947</v>
      </c>
      <c r="G1650">
        <v>620021</v>
      </c>
    </row>
    <row r="1651" ht="14" customHeight="1" spans="1:7">
      <c r="A1651">
        <v>42022</v>
      </c>
      <c r="B1651">
        <v>1</v>
      </c>
      <c r="C1651">
        <v>1</v>
      </c>
      <c r="D1651">
        <v>0</v>
      </c>
      <c r="E1651">
        <v>1</v>
      </c>
      <c r="F1651" t="s">
        <v>1948</v>
      </c>
      <c r="G1651">
        <v>620022</v>
      </c>
    </row>
    <row r="1652" ht="14" customHeight="1" spans="1:7">
      <c r="A1652">
        <v>42023</v>
      </c>
      <c r="B1652">
        <v>1</v>
      </c>
      <c r="C1652">
        <v>1</v>
      </c>
      <c r="D1652">
        <v>0</v>
      </c>
      <c r="E1652">
        <v>1</v>
      </c>
      <c r="F1652" t="s">
        <v>1949</v>
      </c>
      <c r="G1652">
        <v>620023</v>
      </c>
    </row>
    <row r="1653" ht="14" customHeight="1" spans="1:7">
      <c r="A1653">
        <v>42024</v>
      </c>
      <c r="B1653">
        <v>1</v>
      </c>
      <c r="C1653">
        <v>1</v>
      </c>
      <c r="D1653">
        <v>0</v>
      </c>
      <c r="E1653">
        <v>1</v>
      </c>
      <c r="F1653" t="s">
        <v>1950</v>
      </c>
      <c r="G1653">
        <v>620024</v>
      </c>
    </row>
    <row r="1654" ht="14" customHeight="1" spans="1:7">
      <c r="A1654">
        <v>42025</v>
      </c>
      <c r="B1654">
        <v>1</v>
      </c>
      <c r="C1654">
        <v>1</v>
      </c>
      <c r="D1654">
        <v>0</v>
      </c>
      <c r="E1654">
        <v>1</v>
      </c>
      <c r="F1654" t="s">
        <v>1951</v>
      </c>
      <c r="G1654">
        <v>620025</v>
      </c>
    </row>
    <row r="1655" ht="14" customHeight="1" spans="1:7">
      <c r="A1655">
        <v>42026</v>
      </c>
      <c r="B1655">
        <v>1</v>
      </c>
      <c r="C1655">
        <v>1</v>
      </c>
      <c r="D1655">
        <v>0</v>
      </c>
      <c r="E1655">
        <v>1</v>
      </c>
      <c r="F1655" t="s">
        <v>1952</v>
      </c>
      <c r="G1655">
        <v>620026</v>
      </c>
    </row>
    <row r="1656" ht="14" customHeight="1" spans="1:7">
      <c r="A1656">
        <v>43001</v>
      </c>
      <c r="B1656">
        <v>1</v>
      </c>
      <c r="C1656">
        <v>1</v>
      </c>
      <c r="D1656">
        <v>0</v>
      </c>
      <c r="E1656">
        <v>1</v>
      </c>
      <c r="F1656" t="s">
        <v>1953</v>
      </c>
      <c r="G1656">
        <v>630001</v>
      </c>
    </row>
    <row r="1657" ht="14" customHeight="1" spans="1:7">
      <c r="A1657">
        <v>43002</v>
      </c>
      <c r="B1657">
        <v>1</v>
      </c>
      <c r="C1657">
        <v>1</v>
      </c>
      <c r="D1657">
        <v>0</v>
      </c>
      <c r="E1657">
        <v>1</v>
      </c>
      <c r="F1657" t="s">
        <v>1954</v>
      </c>
      <c r="G1657">
        <v>630002</v>
      </c>
    </row>
    <row r="1658" ht="14" customHeight="1" spans="1:7">
      <c r="A1658">
        <v>43003</v>
      </c>
      <c r="B1658">
        <v>1</v>
      </c>
      <c r="C1658">
        <v>1</v>
      </c>
      <c r="D1658">
        <v>0</v>
      </c>
      <c r="E1658">
        <v>1</v>
      </c>
      <c r="F1658" t="s">
        <v>1955</v>
      </c>
      <c r="G1658">
        <v>630003</v>
      </c>
    </row>
    <row r="1659" ht="14" customHeight="1" spans="1:7">
      <c r="A1659">
        <v>43004</v>
      </c>
      <c r="B1659">
        <v>1</v>
      </c>
      <c r="C1659">
        <v>1</v>
      </c>
      <c r="D1659">
        <v>0</v>
      </c>
      <c r="E1659">
        <v>1</v>
      </c>
      <c r="F1659" t="s">
        <v>1956</v>
      </c>
      <c r="G1659">
        <v>630004</v>
      </c>
    </row>
    <row r="1660" ht="14" customHeight="1" spans="1:7">
      <c r="A1660">
        <v>43005</v>
      </c>
      <c r="B1660">
        <v>1</v>
      </c>
      <c r="C1660">
        <v>1</v>
      </c>
      <c r="D1660">
        <v>0</v>
      </c>
      <c r="E1660">
        <v>1</v>
      </c>
      <c r="F1660" t="s">
        <v>1957</v>
      </c>
      <c r="G1660">
        <v>630005</v>
      </c>
    </row>
    <row r="1661" ht="14" customHeight="1" spans="1:7">
      <c r="A1661">
        <v>43006</v>
      </c>
      <c r="B1661">
        <v>1</v>
      </c>
      <c r="C1661">
        <v>1</v>
      </c>
      <c r="D1661">
        <v>0</v>
      </c>
      <c r="E1661">
        <v>1</v>
      </c>
      <c r="F1661" t="s">
        <v>1958</v>
      </c>
      <c r="G1661">
        <v>630006</v>
      </c>
    </row>
    <row r="1662" ht="14" customHeight="1" spans="1:7">
      <c r="A1662">
        <v>43007</v>
      </c>
      <c r="B1662">
        <v>1</v>
      </c>
      <c r="C1662">
        <v>1</v>
      </c>
      <c r="D1662">
        <v>0</v>
      </c>
      <c r="E1662">
        <v>1</v>
      </c>
      <c r="F1662" t="s">
        <v>1959</v>
      </c>
      <c r="G1662">
        <v>630007</v>
      </c>
    </row>
    <row r="1663" ht="14" customHeight="1" spans="1:7">
      <c r="A1663">
        <v>43008</v>
      </c>
      <c r="B1663">
        <v>1</v>
      </c>
      <c r="C1663">
        <v>1</v>
      </c>
      <c r="D1663">
        <v>0</v>
      </c>
      <c r="E1663">
        <v>1</v>
      </c>
      <c r="F1663" t="s">
        <v>1960</v>
      </c>
      <c r="G1663">
        <v>630008</v>
      </c>
    </row>
    <row r="1664" ht="14" customHeight="1" spans="1:7">
      <c r="A1664">
        <v>43009</v>
      </c>
      <c r="B1664">
        <v>1</v>
      </c>
      <c r="C1664">
        <v>1</v>
      </c>
      <c r="D1664">
        <v>0</v>
      </c>
      <c r="E1664">
        <v>1</v>
      </c>
      <c r="F1664" t="s">
        <v>1961</v>
      </c>
      <c r="G1664">
        <v>630009</v>
      </c>
    </row>
    <row r="1665" ht="14" customHeight="1" spans="1:7">
      <c r="A1665">
        <v>43010</v>
      </c>
      <c r="B1665">
        <v>1</v>
      </c>
      <c r="C1665">
        <v>1</v>
      </c>
      <c r="D1665">
        <v>0</v>
      </c>
      <c r="E1665">
        <v>1</v>
      </c>
      <c r="F1665" t="s">
        <v>1962</v>
      </c>
      <c r="G1665">
        <v>630010</v>
      </c>
    </row>
    <row r="1666" ht="14" customHeight="1" spans="1:7">
      <c r="A1666">
        <v>44001</v>
      </c>
      <c r="B1666">
        <v>1</v>
      </c>
      <c r="C1666">
        <v>1</v>
      </c>
      <c r="D1666">
        <v>0</v>
      </c>
      <c r="E1666">
        <v>1</v>
      </c>
      <c r="F1666" t="s">
        <v>1963</v>
      </c>
    </row>
    <row r="1667" ht="14" customHeight="1" spans="1:7">
      <c r="A1667">
        <v>50001</v>
      </c>
      <c r="B1667">
        <v>2</v>
      </c>
      <c r="C1667">
        <v>1</v>
      </c>
      <c r="D1667">
        <v>1</v>
      </c>
      <c r="E1667">
        <v>100</v>
      </c>
      <c r="F1667" t="s">
        <v>1964</v>
      </c>
      <c r="G1667" t="s">
        <v>1965</v>
      </c>
    </row>
    <row r="1668" ht="14" customHeight="1" spans="1:7">
      <c r="A1668">
        <v>50002</v>
      </c>
      <c r="B1668">
        <v>1</v>
      </c>
      <c r="C1668">
        <v>1</v>
      </c>
      <c r="D1668">
        <v>1</v>
      </c>
      <c r="E1668">
        <v>100</v>
      </c>
      <c r="F1668" t="s">
        <v>292</v>
      </c>
      <c r="G1668" t="s">
        <v>1965</v>
      </c>
    </row>
    <row r="1669" ht="14" customHeight="1" spans="1:7">
      <c r="A1669">
        <v>50003</v>
      </c>
      <c r="B1669">
        <v>1</v>
      </c>
      <c r="C1669">
        <v>1</v>
      </c>
      <c r="D1669">
        <v>1</v>
      </c>
      <c r="E1669">
        <v>100</v>
      </c>
      <c r="F1669" t="s">
        <v>1966</v>
      </c>
      <c r="G1669" t="s">
        <v>1965</v>
      </c>
    </row>
    <row r="1670" ht="14" customHeight="1" spans="1:7">
      <c r="A1670">
        <v>50004</v>
      </c>
      <c r="B1670">
        <v>1</v>
      </c>
      <c r="C1670">
        <v>1</v>
      </c>
      <c r="D1670">
        <v>1</v>
      </c>
      <c r="E1670">
        <v>100</v>
      </c>
      <c r="F1670" t="s">
        <v>1967</v>
      </c>
      <c r="G1670" t="s">
        <v>1965</v>
      </c>
    </row>
    <row r="1671" ht="14" customHeight="1" spans="1:7">
      <c r="A1671">
        <v>50005</v>
      </c>
      <c r="B1671">
        <v>1</v>
      </c>
      <c r="C1671">
        <v>2</v>
      </c>
      <c r="D1671">
        <v>1</v>
      </c>
      <c r="E1671">
        <v>100</v>
      </c>
      <c r="F1671" t="s">
        <v>1968</v>
      </c>
      <c r="G1671" t="s">
        <v>1965</v>
      </c>
    </row>
    <row r="1672" ht="14" customHeight="1" spans="1:7">
      <c r="A1672">
        <v>50006</v>
      </c>
      <c r="B1672">
        <v>1</v>
      </c>
      <c r="C1672">
        <v>2</v>
      </c>
      <c r="D1672">
        <v>1</v>
      </c>
      <c r="E1672">
        <v>100</v>
      </c>
      <c r="F1672" t="s">
        <v>1969</v>
      </c>
      <c r="G1672" t="s">
        <v>1965</v>
      </c>
    </row>
    <row r="1673" ht="14" customHeight="1" spans="1:7">
      <c r="A1673">
        <v>50007</v>
      </c>
      <c r="B1673">
        <v>1</v>
      </c>
      <c r="C1673">
        <v>3</v>
      </c>
      <c r="D1673">
        <v>1</v>
      </c>
      <c r="E1673">
        <v>100</v>
      </c>
      <c r="F1673" t="s">
        <v>1970</v>
      </c>
      <c r="G1673" t="s">
        <v>1965</v>
      </c>
    </row>
    <row r="1674" ht="14" customHeight="1" spans="1:7">
      <c r="A1674">
        <v>50008</v>
      </c>
      <c r="B1674">
        <v>1</v>
      </c>
      <c r="C1674">
        <v>2</v>
      </c>
      <c r="D1674">
        <v>1</v>
      </c>
      <c r="E1674">
        <v>100</v>
      </c>
      <c r="F1674" t="s">
        <v>1971</v>
      </c>
      <c r="G1674" t="s">
        <v>1965</v>
      </c>
    </row>
    <row r="1675" ht="14" customHeight="1" spans="1:7">
      <c r="A1675">
        <v>50009</v>
      </c>
      <c r="B1675">
        <v>2</v>
      </c>
      <c r="C1675">
        <v>1</v>
      </c>
      <c r="D1675">
        <v>1</v>
      </c>
      <c r="E1675">
        <v>100</v>
      </c>
      <c r="F1675" t="s">
        <v>1972</v>
      </c>
      <c r="G1675" t="s">
        <v>1973</v>
      </c>
    </row>
    <row r="1676" ht="14" customHeight="1" spans="1:7">
      <c r="A1676">
        <v>50010</v>
      </c>
      <c r="B1676">
        <v>1</v>
      </c>
      <c r="C1676">
        <v>1</v>
      </c>
      <c r="D1676">
        <v>1</v>
      </c>
      <c r="E1676">
        <v>100</v>
      </c>
      <c r="F1676" t="s">
        <v>293</v>
      </c>
      <c r="G1676" t="s">
        <v>1973</v>
      </c>
    </row>
    <row r="1677" ht="14" customHeight="1" spans="1:7">
      <c r="A1677">
        <v>50011</v>
      </c>
      <c r="B1677">
        <v>1</v>
      </c>
      <c r="C1677">
        <v>1</v>
      </c>
      <c r="D1677">
        <v>1</v>
      </c>
      <c r="E1677">
        <v>100</v>
      </c>
      <c r="F1677" t="s">
        <v>1966</v>
      </c>
      <c r="G1677" t="s">
        <v>1973</v>
      </c>
    </row>
    <row r="1678" ht="14" customHeight="1" spans="1:7">
      <c r="A1678">
        <v>50012</v>
      </c>
      <c r="B1678">
        <v>1</v>
      </c>
      <c r="C1678">
        <v>1</v>
      </c>
      <c r="D1678">
        <v>1</v>
      </c>
      <c r="E1678">
        <v>100</v>
      </c>
      <c r="F1678" t="s">
        <v>1974</v>
      </c>
      <c r="G1678" t="s">
        <v>1973</v>
      </c>
    </row>
    <row r="1679" ht="14" customHeight="1" spans="1:7">
      <c r="A1679">
        <v>50013</v>
      </c>
      <c r="B1679">
        <v>1</v>
      </c>
      <c r="C1679">
        <v>2</v>
      </c>
      <c r="D1679">
        <v>1</v>
      </c>
      <c r="E1679">
        <v>100</v>
      </c>
      <c r="F1679" t="s">
        <v>150</v>
      </c>
      <c r="G1679" t="s">
        <v>1973</v>
      </c>
    </row>
    <row r="1680" ht="14" customHeight="1" spans="1:7">
      <c r="A1680">
        <v>50014</v>
      </c>
      <c r="B1680">
        <v>1</v>
      </c>
      <c r="C1680">
        <v>2</v>
      </c>
      <c r="D1680">
        <v>1</v>
      </c>
      <c r="E1680">
        <v>100</v>
      </c>
      <c r="F1680" t="s">
        <v>1969</v>
      </c>
      <c r="G1680" t="s">
        <v>1973</v>
      </c>
    </row>
    <row r="1681" ht="14" customHeight="1" spans="1:7">
      <c r="A1681">
        <v>50015</v>
      </c>
      <c r="B1681">
        <v>1</v>
      </c>
      <c r="C1681">
        <v>4</v>
      </c>
      <c r="D1681">
        <v>1</v>
      </c>
      <c r="E1681">
        <v>100</v>
      </c>
      <c r="F1681" t="s">
        <v>1970</v>
      </c>
      <c r="G1681" t="s">
        <v>1973</v>
      </c>
    </row>
    <row r="1682" ht="14" customHeight="1" spans="1:7">
      <c r="A1682">
        <v>50016</v>
      </c>
      <c r="B1682">
        <v>1</v>
      </c>
      <c r="C1682">
        <v>3</v>
      </c>
      <c r="D1682">
        <v>1</v>
      </c>
      <c r="E1682">
        <v>100</v>
      </c>
      <c r="F1682" t="s">
        <v>1971</v>
      </c>
      <c r="G1682" t="s">
        <v>1973</v>
      </c>
    </row>
    <row r="1683" ht="14" customHeight="1" spans="1:7">
      <c r="A1683">
        <v>50017</v>
      </c>
      <c r="B1683">
        <v>2</v>
      </c>
      <c r="C1683">
        <v>1</v>
      </c>
      <c r="D1683">
        <v>1</v>
      </c>
      <c r="E1683">
        <v>100</v>
      </c>
      <c r="F1683" t="s">
        <v>1975</v>
      </c>
      <c r="G1683" t="s">
        <v>1976</v>
      </c>
    </row>
    <row r="1684" ht="14" customHeight="1" spans="1:7">
      <c r="A1684">
        <v>50018</v>
      </c>
      <c r="B1684">
        <v>1</v>
      </c>
      <c r="C1684">
        <v>1</v>
      </c>
      <c r="D1684">
        <v>1</v>
      </c>
      <c r="E1684">
        <v>100</v>
      </c>
      <c r="F1684" t="s">
        <v>1977</v>
      </c>
      <c r="G1684" t="s">
        <v>1976</v>
      </c>
    </row>
    <row r="1685" ht="14" customHeight="1" spans="1:7">
      <c r="A1685">
        <v>50019</v>
      </c>
      <c r="B1685">
        <v>1</v>
      </c>
      <c r="C1685">
        <v>1</v>
      </c>
      <c r="D1685">
        <v>1</v>
      </c>
      <c r="E1685">
        <v>100</v>
      </c>
      <c r="F1685" t="s">
        <v>1978</v>
      </c>
      <c r="G1685" t="s">
        <v>1976</v>
      </c>
    </row>
    <row r="1686" ht="14" customHeight="1" spans="1:7">
      <c r="A1686">
        <v>50020</v>
      </c>
      <c r="B1686">
        <v>1</v>
      </c>
      <c r="C1686">
        <v>2</v>
      </c>
      <c r="D1686">
        <v>1</v>
      </c>
      <c r="E1686">
        <v>100</v>
      </c>
      <c r="F1686" t="s">
        <v>152</v>
      </c>
      <c r="G1686" t="s">
        <v>1976</v>
      </c>
    </row>
    <row r="1687" ht="14" customHeight="1" spans="1:7">
      <c r="A1687">
        <v>50021</v>
      </c>
      <c r="B1687">
        <v>1</v>
      </c>
      <c r="C1687">
        <v>2</v>
      </c>
      <c r="D1687">
        <v>1</v>
      </c>
      <c r="E1687">
        <v>100</v>
      </c>
      <c r="F1687" t="s">
        <v>1979</v>
      </c>
      <c r="G1687" t="s">
        <v>1976</v>
      </c>
    </row>
    <row r="1688" ht="14" customHeight="1" spans="1:7">
      <c r="A1688">
        <v>50022</v>
      </c>
      <c r="B1688">
        <v>1</v>
      </c>
      <c r="C1688">
        <v>1</v>
      </c>
      <c r="D1688">
        <v>1</v>
      </c>
      <c r="E1688">
        <v>100</v>
      </c>
      <c r="F1688" t="s">
        <v>379</v>
      </c>
      <c r="G1688" t="s">
        <v>1976</v>
      </c>
    </row>
    <row r="1689" ht="14" customHeight="1" spans="1:7">
      <c r="A1689">
        <v>50023</v>
      </c>
      <c r="B1689">
        <v>2</v>
      </c>
      <c r="C1689">
        <v>1</v>
      </c>
      <c r="D1689">
        <v>1</v>
      </c>
      <c r="E1689">
        <v>100</v>
      </c>
      <c r="F1689" t="s">
        <v>1980</v>
      </c>
      <c r="G1689" t="s">
        <v>1981</v>
      </c>
    </row>
    <row r="1690" ht="14" customHeight="1" spans="1:7">
      <c r="A1690">
        <v>50024</v>
      </c>
      <c r="B1690">
        <v>1</v>
      </c>
      <c r="C1690">
        <v>1</v>
      </c>
      <c r="D1690">
        <v>1</v>
      </c>
      <c r="E1690">
        <v>100</v>
      </c>
      <c r="F1690" t="s">
        <v>942</v>
      </c>
      <c r="G1690" t="s">
        <v>1981</v>
      </c>
    </row>
    <row r="1691" ht="14" customHeight="1" spans="1:7">
      <c r="A1691">
        <v>50025</v>
      </c>
      <c r="B1691">
        <v>1</v>
      </c>
      <c r="C1691">
        <v>1</v>
      </c>
      <c r="D1691">
        <v>1</v>
      </c>
      <c r="E1691">
        <v>100</v>
      </c>
      <c r="F1691" t="s">
        <v>1966</v>
      </c>
      <c r="G1691" t="s">
        <v>1981</v>
      </c>
    </row>
    <row r="1692" ht="14" customHeight="1" spans="1:7">
      <c r="A1692">
        <v>50026</v>
      </c>
      <c r="B1692">
        <v>1</v>
      </c>
      <c r="C1692">
        <v>1</v>
      </c>
      <c r="D1692">
        <v>1</v>
      </c>
      <c r="E1692">
        <v>100</v>
      </c>
      <c r="F1692" t="s">
        <v>1977</v>
      </c>
      <c r="G1692" t="s">
        <v>1981</v>
      </c>
    </row>
    <row r="1693" ht="14" customHeight="1" spans="1:7">
      <c r="A1693">
        <v>50027</v>
      </c>
      <c r="B1693">
        <v>1</v>
      </c>
      <c r="C1693">
        <v>1</v>
      </c>
      <c r="D1693">
        <v>1</v>
      </c>
      <c r="E1693">
        <v>100</v>
      </c>
      <c r="F1693" t="s">
        <v>1982</v>
      </c>
      <c r="G1693" t="s">
        <v>1981</v>
      </c>
    </row>
    <row r="1694" ht="14" customHeight="1" spans="1:7">
      <c r="A1694">
        <v>50028</v>
      </c>
      <c r="B1694">
        <v>1</v>
      </c>
      <c r="C1694">
        <v>3</v>
      </c>
      <c r="D1694">
        <v>1</v>
      </c>
      <c r="E1694">
        <v>100</v>
      </c>
      <c r="F1694" t="s">
        <v>150</v>
      </c>
      <c r="G1694" t="s">
        <v>1981</v>
      </c>
    </row>
    <row r="1695" ht="14" customHeight="1" spans="1:7">
      <c r="A1695">
        <v>50029</v>
      </c>
      <c r="B1695">
        <v>1</v>
      </c>
      <c r="C1695">
        <v>3</v>
      </c>
      <c r="D1695">
        <v>1</v>
      </c>
      <c r="E1695">
        <v>100</v>
      </c>
      <c r="F1695" t="s">
        <v>1969</v>
      </c>
      <c r="G1695" t="s">
        <v>1981</v>
      </c>
    </row>
    <row r="1696" ht="14" customHeight="1" spans="1:7">
      <c r="A1696">
        <v>50030</v>
      </c>
      <c r="B1696">
        <v>1</v>
      </c>
      <c r="C1696">
        <v>2</v>
      </c>
      <c r="D1696">
        <v>1</v>
      </c>
      <c r="E1696">
        <v>100</v>
      </c>
      <c r="F1696" t="s">
        <v>1979</v>
      </c>
      <c r="G1696" t="s">
        <v>1981</v>
      </c>
    </row>
    <row r="1697" ht="14" customHeight="1" spans="1:7">
      <c r="A1697">
        <v>50031</v>
      </c>
      <c r="B1697">
        <v>1</v>
      </c>
      <c r="C1697">
        <v>5</v>
      </c>
      <c r="D1697">
        <v>1</v>
      </c>
      <c r="E1697">
        <v>100</v>
      </c>
      <c r="F1697" t="s">
        <v>1970</v>
      </c>
      <c r="G1697" t="s">
        <v>1981</v>
      </c>
    </row>
    <row r="1698" ht="14" customHeight="1" spans="1:7">
      <c r="A1698">
        <v>50032</v>
      </c>
      <c r="B1698">
        <v>1</v>
      </c>
      <c r="C1698">
        <v>4</v>
      </c>
      <c r="D1698">
        <v>1</v>
      </c>
      <c r="E1698">
        <v>100</v>
      </c>
      <c r="F1698" t="s">
        <v>1971</v>
      </c>
      <c r="G1698" t="s">
        <v>1981</v>
      </c>
    </row>
    <row r="1699" ht="14" customHeight="1" spans="1:7">
      <c r="A1699">
        <v>50033</v>
      </c>
      <c r="B1699">
        <v>2</v>
      </c>
      <c r="C1699">
        <v>1</v>
      </c>
      <c r="D1699">
        <v>1</v>
      </c>
      <c r="E1699">
        <v>100</v>
      </c>
      <c r="F1699" t="s">
        <v>1983</v>
      </c>
      <c r="G1699" t="s">
        <v>1984</v>
      </c>
    </row>
    <row r="1700" ht="14" customHeight="1" spans="1:7">
      <c r="A1700">
        <v>50034</v>
      </c>
      <c r="B1700">
        <v>1</v>
      </c>
      <c r="C1700">
        <v>1</v>
      </c>
      <c r="D1700">
        <v>1</v>
      </c>
      <c r="E1700">
        <v>100</v>
      </c>
      <c r="F1700" t="s">
        <v>1985</v>
      </c>
      <c r="G1700" t="s">
        <v>1984</v>
      </c>
    </row>
    <row r="1701" ht="14" customHeight="1" spans="1:7">
      <c r="A1701">
        <v>50035</v>
      </c>
      <c r="B1701">
        <v>1</v>
      </c>
      <c r="C1701">
        <v>1</v>
      </c>
      <c r="D1701">
        <v>1</v>
      </c>
      <c r="E1701">
        <v>100</v>
      </c>
      <c r="F1701" t="s">
        <v>1978</v>
      </c>
      <c r="G1701" t="s">
        <v>1984</v>
      </c>
    </row>
    <row r="1702" ht="14" customHeight="1" spans="1:7">
      <c r="A1702">
        <v>50036</v>
      </c>
      <c r="B1702">
        <v>1</v>
      </c>
      <c r="C1702">
        <v>2</v>
      </c>
      <c r="D1702">
        <v>1</v>
      </c>
      <c r="E1702">
        <v>100</v>
      </c>
      <c r="F1702" t="s">
        <v>152</v>
      </c>
      <c r="G1702" t="s">
        <v>1984</v>
      </c>
    </row>
    <row r="1703" ht="14" customHeight="1" spans="1:7">
      <c r="A1703">
        <v>50037</v>
      </c>
      <c r="B1703">
        <v>1</v>
      </c>
      <c r="C1703">
        <v>2</v>
      </c>
      <c r="D1703">
        <v>1</v>
      </c>
      <c r="E1703">
        <v>100</v>
      </c>
      <c r="F1703" t="s">
        <v>1986</v>
      </c>
      <c r="G1703" t="s">
        <v>1984</v>
      </c>
    </row>
    <row r="1704" ht="14" customHeight="1" spans="1:7">
      <c r="A1704">
        <v>50038</v>
      </c>
      <c r="B1704">
        <v>1</v>
      </c>
      <c r="C1704">
        <v>1</v>
      </c>
      <c r="D1704">
        <v>1</v>
      </c>
      <c r="E1704">
        <v>100</v>
      </c>
      <c r="F1704" t="s">
        <v>1987</v>
      </c>
      <c r="G1704" t="s">
        <v>1984</v>
      </c>
    </row>
    <row r="1705" ht="14" customHeight="1" spans="1:7">
      <c r="A1705">
        <v>50039</v>
      </c>
      <c r="B1705">
        <v>1</v>
      </c>
      <c r="C1705">
        <v>2</v>
      </c>
      <c r="D1705">
        <v>1</v>
      </c>
      <c r="E1705">
        <v>100</v>
      </c>
      <c r="F1705" t="s">
        <v>1988</v>
      </c>
      <c r="G1705" t="s">
        <v>1984</v>
      </c>
    </row>
    <row r="1706" ht="14" customHeight="1" spans="1:7">
      <c r="A1706">
        <v>50040</v>
      </c>
      <c r="B1706">
        <v>1</v>
      </c>
      <c r="C1706">
        <v>1</v>
      </c>
      <c r="D1706">
        <v>1</v>
      </c>
      <c r="E1706">
        <v>100</v>
      </c>
      <c r="F1706" t="s">
        <v>379</v>
      </c>
      <c r="G1706" t="s">
        <v>1984</v>
      </c>
    </row>
    <row r="1707" ht="14" customHeight="1" spans="1:7">
      <c r="A1707">
        <v>50041</v>
      </c>
      <c r="B1707">
        <v>2</v>
      </c>
      <c r="C1707">
        <v>1</v>
      </c>
      <c r="D1707">
        <v>1</v>
      </c>
      <c r="E1707">
        <v>100</v>
      </c>
      <c r="F1707" t="s">
        <v>1989</v>
      </c>
      <c r="G1707" t="s">
        <v>1990</v>
      </c>
    </row>
    <row r="1708" ht="14" customHeight="1" spans="1:7">
      <c r="A1708">
        <v>50042</v>
      </c>
      <c r="B1708">
        <v>1</v>
      </c>
      <c r="C1708">
        <v>1</v>
      </c>
      <c r="D1708">
        <v>1</v>
      </c>
      <c r="E1708">
        <v>100</v>
      </c>
      <c r="F1708" t="s">
        <v>1991</v>
      </c>
      <c r="G1708" t="s">
        <v>1990</v>
      </c>
    </row>
    <row r="1709" ht="14" customHeight="1" spans="1:7">
      <c r="A1709">
        <v>50043</v>
      </c>
      <c r="B1709">
        <v>1</v>
      </c>
      <c r="C1709">
        <v>1</v>
      </c>
      <c r="D1709">
        <v>1</v>
      </c>
      <c r="E1709">
        <v>100</v>
      </c>
      <c r="F1709" t="s">
        <v>154</v>
      </c>
      <c r="G1709" t="s">
        <v>1990</v>
      </c>
    </row>
    <row r="1710" ht="14" customHeight="1" spans="1:7">
      <c r="A1710">
        <v>50044</v>
      </c>
      <c r="B1710">
        <v>1</v>
      </c>
      <c r="C1710">
        <v>1</v>
      </c>
      <c r="D1710">
        <v>1</v>
      </c>
      <c r="E1710">
        <v>100</v>
      </c>
      <c r="F1710" t="s">
        <v>1992</v>
      </c>
      <c r="G1710" t="s">
        <v>1990</v>
      </c>
    </row>
    <row r="1711" ht="14" customHeight="1" spans="1:7">
      <c r="A1711">
        <v>50045</v>
      </c>
      <c r="B1711">
        <v>2</v>
      </c>
      <c r="C1711">
        <v>1</v>
      </c>
      <c r="D1711">
        <v>1</v>
      </c>
      <c r="E1711">
        <v>100</v>
      </c>
      <c r="F1711" t="s">
        <v>1993</v>
      </c>
      <c r="G1711" t="s">
        <v>1994</v>
      </c>
    </row>
    <row r="1712" ht="14" customHeight="1" spans="1:7">
      <c r="A1712">
        <v>50046</v>
      </c>
      <c r="B1712">
        <v>1</v>
      </c>
      <c r="C1712">
        <v>1</v>
      </c>
      <c r="D1712">
        <v>1</v>
      </c>
      <c r="E1712">
        <v>100</v>
      </c>
      <c r="F1712" t="s">
        <v>949</v>
      </c>
      <c r="G1712" t="s">
        <v>1994</v>
      </c>
    </row>
    <row r="1713" ht="14" customHeight="1" spans="1:7">
      <c r="A1713">
        <v>50047</v>
      </c>
      <c r="B1713">
        <v>1</v>
      </c>
      <c r="C1713">
        <v>1</v>
      </c>
      <c r="D1713">
        <v>1</v>
      </c>
      <c r="E1713">
        <v>100</v>
      </c>
      <c r="F1713" t="s">
        <v>1977</v>
      </c>
      <c r="G1713" t="s">
        <v>1994</v>
      </c>
    </row>
    <row r="1714" ht="14" customHeight="1" spans="1:7">
      <c r="A1714">
        <v>50048</v>
      </c>
      <c r="B1714">
        <v>1</v>
      </c>
      <c r="C1714">
        <v>1</v>
      </c>
      <c r="D1714">
        <v>1</v>
      </c>
      <c r="E1714">
        <v>100</v>
      </c>
      <c r="F1714" t="s">
        <v>1985</v>
      </c>
      <c r="G1714" t="s">
        <v>1994</v>
      </c>
    </row>
    <row r="1715" ht="14" customHeight="1" spans="1:7">
      <c r="A1715">
        <v>50049</v>
      </c>
      <c r="B1715">
        <v>1</v>
      </c>
      <c r="C1715">
        <v>1</v>
      </c>
      <c r="D1715">
        <v>1</v>
      </c>
      <c r="E1715">
        <v>100</v>
      </c>
      <c r="F1715" t="s">
        <v>1978</v>
      </c>
      <c r="G1715" t="s">
        <v>1994</v>
      </c>
    </row>
    <row r="1716" ht="14" customHeight="1" spans="1:7">
      <c r="A1716">
        <v>50050</v>
      </c>
      <c r="B1716">
        <v>1</v>
      </c>
      <c r="C1716">
        <v>2</v>
      </c>
      <c r="D1716">
        <v>1</v>
      </c>
      <c r="E1716">
        <v>100</v>
      </c>
      <c r="F1716" t="s">
        <v>152</v>
      </c>
      <c r="G1716" t="s">
        <v>1994</v>
      </c>
    </row>
    <row r="1717" ht="14" customHeight="1" spans="1:7">
      <c r="A1717">
        <v>50051</v>
      </c>
      <c r="B1717">
        <v>1</v>
      </c>
      <c r="C1717">
        <v>2</v>
      </c>
      <c r="D1717">
        <v>1</v>
      </c>
      <c r="E1717">
        <v>100</v>
      </c>
      <c r="F1717" t="s">
        <v>1979</v>
      </c>
      <c r="G1717" t="s">
        <v>1994</v>
      </c>
    </row>
    <row r="1718" ht="14" customHeight="1" spans="1:7">
      <c r="A1718">
        <v>50052</v>
      </c>
      <c r="B1718">
        <v>1</v>
      </c>
      <c r="C1718">
        <v>6</v>
      </c>
      <c r="D1718">
        <v>1</v>
      </c>
      <c r="E1718">
        <v>100</v>
      </c>
      <c r="F1718" t="s">
        <v>1970</v>
      </c>
      <c r="G1718" t="s">
        <v>1994</v>
      </c>
    </row>
    <row r="1719" ht="14" customHeight="1" spans="1:7">
      <c r="A1719">
        <v>50053</v>
      </c>
      <c r="B1719">
        <v>1</v>
      </c>
      <c r="C1719">
        <v>6</v>
      </c>
      <c r="D1719">
        <v>1</v>
      </c>
      <c r="E1719">
        <v>100</v>
      </c>
      <c r="F1719" t="s">
        <v>1971</v>
      </c>
      <c r="G1719" t="s">
        <v>1994</v>
      </c>
    </row>
    <row r="1720" ht="14" customHeight="1" spans="1:7">
      <c r="A1720">
        <v>50054</v>
      </c>
      <c r="B1720">
        <v>1</v>
      </c>
      <c r="C1720">
        <v>3</v>
      </c>
      <c r="D1720">
        <v>1</v>
      </c>
      <c r="E1720">
        <v>100</v>
      </c>
      <c r="F1720" t="s">
        <v>1988</v>
      </c>
      <c r="G1720" t="s">
        <v>1994</v>
      </c>
    </row>
    <row r="1721" ht="14" customHeight="1" spans="1:7">
      <c r="A1721">
        <v>50055</v>
      </c>
      <c r="B1721">
        <v>2</v>
      </c>
      <c r="C1721">
        <v>1</v>
      </c>
      <c r="D1721">
        <v>1</v>
      </c>
      <c r="E1721">
        <v>100</v>
      </c>
      <c r="F1721" t="s">
        <v>1995</v>
      </c>
      <c r="G1721" t="s">
        <v>1996</v>
      </c>
    </row>
    <row r="1722" ht="14" customHeight="1" spans="1:7">
      <c r="A1722">
        <v>50056</v>
      </c>
      <c r="B1722">
        <v>1</v>
      </c>
      <c r="C1722">
        <v>1</v>
      </c>
      <c r="D1722">
        <v>1</v>
      </c>
      <c r="E1722">
        <v>100</v>
      </c>
      <c r="F1722" t="s">
        <v>1997</v>
      </c>
      <c r="G1722" t="s">
        <v>1996</v>
      </c>
    </row>
    <row r="1723" ht="14" customHeight="1" spans="1:7">
      <c r="A1723">
        <v>50057</v>
      </c>
      <c r="B1723">
        <v>1</v>
      </c>
      <c r="C1723">
        <v>1</v>
      </c>
      <c r="D1723">
        <v>1</v>
      </c>
      <c r="E1723">
        <v>100</v>
      </c>
      <c r="F1723" t="s">
        <v>1998</v>
      </c>
      <c r="G1723" t="s">
        <v>1996</v>
      </c>
    </row>
    <row r="1724" ht="14" customHeight="1" spans="1:7">
      <c r="A1724">
        <v>50058</v>
      </c>
      <c r="B1724">
        <v>1</v>
      </c>
      <c r="C1724">
        <v>1</v>
      </c>
      <c r="D1724">
        <v>1</v>
      </c>
      <c r="E1724">
        <v>100</v>
      </c>
      <c r="F1724" t="s">
        <v>154</v>
      </c>
      <c r="G1724" t="s">
        <v>1996</v>
      </c>
    </row>
    <row r="1725" ht="14" customHeight="1" spans="1:7">
      <c r="A1725">
        <v>50059</v>
      </c>
      <c r="B1725">
        <v>1</v>
      </c>
      <c r="C1725">
        <v>2</v>
      </c>
      <c r="D1725">
        <v>1</v>
      </c>
      <c r="E1725">
        <v>100</v>
      </c>
      <c r="F1725" t="s">
        <v>1992</v>
      </c>
      <c r="G1725" t="s">
        <v>1996</v>
      </c>
    </row>
    <row r="1726" ht="14" customHeight="1" spans="1:7">
      <c r="A1726">
        <v>50060</v>
      </c>
      <c r="B1726">
        <v>1</v>
      </c>
      <c r="C1726">
        <v>3</v>
      </c>
      <c r="D1726">
        <v>1</v>
      </c>
      <c r="E1726">
        <v>100</v>
      </c>
      <c r="F1726" t="s">
        <v>1999</v>
      </c>
      <c r="G1726" t="s">
        <v>1996</v>
      </c>
    </row>
    <row r="1727" ht="14" customHeight="1" spans="1:7">
      <c r="A1727">
        <v>50061</v>
      </c>
      <c r="B1727">
        <v>1</v>
      </c>
      <c r="C1727">
        <v>2</v>
      </c>
      <c r="D1727">
        <v>1</v>
      </c>
      <c r="E1727">
        <v>100</v>
      </c>
      <c r="F1727" t="s">
        <v>1987</v>
      </c>
      <c r="G1727" t="s">
        <v>1996</v>
      </c>
    </row>
    <row r="1728" ht="14" customHeight="1" spans="1:7">
      <c r="A1728">
        <v>50062</v>
      </c>
      <c r="B1728">
        <v>1</v>
      </c>
      <c r="C1728">
        <v>1</v>
      </c>
      <c r="D1728">
        <v>1</v>
      </c>
      <c r="E1728">
        <v>100</v>
      </c>
      <c r="F1728" t="s">
        <v>379</v>
      </c>
      <c r="G1728" t="s">
        <v>1996</v>
      </c>
    </row>
    <row r="1729" ht="14" customHeight="1" spans="1:7">
      <c r="A1729">
        <v>50063</v>
      </c>
      <c r="B1729">
        <v>2</v>
      </c>
      <c r="C1729">
        <v>1</v>
      </c>
      <c r="D1729">
        <v>1</v>
      </c>
      <c r="E1729">
        <v>100</v>
      </c>
      <c r="F1729" t="s">
        <v>2000</v>
      </c>
      <c r="G1729" t="s">
        <v>2001</v>
      </c>
    </row>
    <row r="1730" ht="14" customHeight="1" spans="1:7">
      <c r="A1730">
        <v>50064</v>
      </c>
      <c r="B1730">
        <v>1</v>
      </c>
      <c r="C1730">
        <v>1</v>
      </c>
      <c r="D1730">
        <v>1</v>
      </c>
      <c r="E1730">
        <v>100</v>
      </c>
      <c r="F1730" t="s">
        <v>1998</v>
      </c>
      <c r="G1730" t="s">
        <v>2001</v>
      </c>
    </row>
    <row r="1731" ht="14" customHeight="1" spans="1:7">
      <c r="A1731">
        <v>50065</v>
      </c>
      <c r="B1731">
        <v>1</v>
      </c>
      <c r="C1731">
        <v>1</v>
      </c>
      <c r="D1731">
        <v>1</v>
      </c>
      <c r="E1731">
        <v>100</v>
      </c>
      <c r="F1731" t="s">
        <v>2002</v>
      </c>
      <c r="G1731" t="s">
        <v>2001</v>
      </c>
    </row>
    <row r="1732" ht="14" customHeight="1" spans="1:7">
      <c r="A1732">
        <v>50066</v>
      </c>
      <c r="B1732">
        <v>1</v>
      </c>
      <c r="C1732">
        <v>1</v>
      </c>
      <c r="D1732">
        <v>1</v>
      </c>
      <c r="E1732">
        <v>100</v>
      </c>
      <c r="F1732" t="s">
        <v>2003</v>
      </c>
      <c r="G1732" t="s">
        <v>2001</v>
      </c>
    </row>
    <row r="1733" ht="14" customHeight="1" spans="1:7">
      <c r="A1733">
        <v>50067</v>
      </c>
      <c r="B1733">
        <v>2</v>
      </c>
      <c r="C1733">
        <v>1</v>
      </c>
      <c r="D1733">
        <v>1</v>
      </c>
      <c r="E1733">
        <v>100</v>
      </c>
      <c r="F1733" t="s">
        <v>2004</v>
      </c>
      <c r="G1733" t="s">
        <v>2005</v>
      </c>
    </row>
    <row r="1734" ht="14" customHeight="1" spans="1:7">
      <c r="A1734">
        <v>50068</v>
      </c>
      <c r="B1734">
        <v>1</v>
      </c>
      <c r="C1734">
        <v>1</v>
      </c>
      <c r="D1734">
        <v>1</v>
      </c>
      <c r="E1734">
        <v>100</v>
      </c>
      <c r="F1734" t="s">
        <v>954</v>
      </c>
      <c r="G1734" t="s">
        <v>2005</v>
      </c>
    </row>
    <row r="1735" ht="14" customHeight="1" spans="1:7">
      <c r="A1735">
        <v>50069</v>
      </c>
      <c r="B1735">
        <v>1</v>
      </c>
      <c r="C1735">
        <v>1</v>
      </c>
      <c r="D1735">
        <v>1</v>
      </c>
      <c r="E1735">
        <v>100</v>
      </c>
      <c r="F1735" t="s">
        <v>2006</v>
      </c>
      <c r="G1735" t="s">
        <v>2005</v>
      </c>
    </row>
    <row r="1736" ht="14" customHeight="1" spans="1:7">
      <c r="A1736">
        <v>50070</v>
      </c>
      <c r="B1736">
        <v>1</v>
      </c>
      <c r="C1736">
        <v>1</v>
      </c>
      <c r="D1736">
        <v>1</v>
      </c>
      <c r="E1736">
        <v>100</v>
      </c>
      <c r="F1736" t="s">
        <v>2007</v>
      </c>
      <c r="G1736" t="s">
        <v>2005</v>
      </c>
    </row>
    <row r="1737" ht="14" customHeight="1" spans="1:7">
      <c r="A1737">
        <v>50071</v>
      </c>
      <c r="B1737">
        <v>1</v>
      </c>
      <c r="C1737">
        <v>1</v>
      </c>
      <c r="D1737">
        <v>1</v>
      </c>
      <c r="E1737">
        <v>100</v>
      </c>
      <c r="F1737" t="s">
        <v>2008</v>
      </c>
      <c r="G1737" t="s">
        <v>2005</v>
      </c>
    </row>
    <row r="1738" ht="14" customHeight="1" spans="1:7">
      <c r="A1738">
        <v>50072</v>
      </c>
      <c r="B1738">
        <v>1</v>
      </c>
      <c r="C1738">
        <v>1</v>
      </c>
      <c r="D1738">
        <v>1</v>
      </c>
      <c r="E1738">
        <v>100</v>
      </c>
      <c r="F1738" t="s">
        <v>1991</v>
      </c>
      <c r="G1738" t="s">
        <v>2005</v>
      </c>
    </row>
    <row r="1739" ht="14" customHeight="1" spans="1:7">
      <c r="A1739">
        <v>50073</v>
      </c>
      <c r="B1739">
        <v>1</v>
      </c>
      <c r="C1739">
        <v>2</v>
      </c>
      <c r="D1739">
        <v>1</v>
      </c>
      <c r="E1739">
        <v>100</v>
      </c>
      <c r="F1739" t="s">
        <v>152</v>
      </c>
      <c r="G1739" t="s">
        <v>2005</v>
      </c>
    </row>
    <row r="1740" ht="14" customHeight="1" spans="1:7">
      <c r="A1740">
        <v>50074</v>
      </c>
      <c r="B1740">
        <v>1</v>
      </c>
      <c r="C1740">
        <v>1</v>
      </c>
      <c r="D1740">
        <v>1</v>
      </c>
      <c r="E1740">
        <v>100</v>
      </c>
      <c r="F1740" t="s">
        <v>154</v>
      </c>
      <c r="G1740" t="s">
        <v>2005</v>
      </c>
    </row>
    <row r="1741" ht="14" customHeight="1" spans="1:7">
      <c r="A1741">
        <v>50075</v>
      </c>
      <c r="B1741">
        <v>1</v>
      </c>
      <c r="C1741">
        <v>2</v>
      </c>
      <c r="D1741">
        <v>1</v>
      </c>
      <c r="E1741">
        <v>100</v>
      </c>
      <c r="F1741" t="s">
        <v>1979</v>
      </c>
      <c r="G1741" t="s">
        <v>2005</v>
      </c>
    </row>
    <row r="1742" ht="14" customHeight="1" spans="1:7">
      <c r="A1742">
        <v>50076</v>
      </c>
      <c r="B1742">
        <v>1</v>
      </c>
      <c r="C1742">
        <v>1</v>
      </c>
      <c r="D1742">
        <v>1</v>
      </c>
      <c r="E1742">
        <v>100</v>
      </c>
      <c r="F1742" t="s">
        <v>1992</v>
      </c>
      <c r="G1742" t="s">
        <v>2005</v>
      </c>
    </row>
    <row r="1743" ht="14" customHeight="1" spans="1:7">
      <c r="A1743">
        <v>50077</v>
      </c>
      <c r="B1743">
        <v>1</v>
      </c>
      <c r="C1743">
        <v>7</v>
      </c>
      <c r="D1743">
        <v>1</v>
      </c>
      <c r="E1743">
        <v>100</v>
      </c>
      <c r="F1743" t="s">
        <v>1970</v>
      </c>
      <c r="G1743" t="s">
        <v>2005</v>
      </c>
    </row>
    <row r="1744" ht="14" customHeight="1" spans="1:7">
      <c r="A1744">
        <v>50078</v>
      </c>
      <c r="B1744">
        <v>1</v>
      </c>
      <c r="C1744">
        <v>3</v>
      </c>
      <c r="D1744">
        <v>1</v>
      </c>
      <c r="E1744">
        <v>100</v>
      </c>
      <c r="F1744" t="s">
        <v>1986</v>
      </c>
      <c r="G1744" t="s">
        <v>2005</v>
      </c>
    </row>
    <row r="1745" ht="14" customHeight="1" spans="1:7">
      <c r="A1745">
        <v>50079</v>
      </c>
      <c r="B1745">
        <v>1</v>
      </c>
      <c r="C1745">
        <v>2</v>
      </c>
      <c r="D1745">
        <v>1</v>
      </c>
      <c r="E1745">
        <v>100</v>
      </c>
      <c r="F1745" t="s">
        <v>1999</v>
      </c>
      <c r="G1745" t="s">
        <v>2005</v>
      </c>
    </row>
    <row r="1746" ht="14" customHeight="1" spans="1:7">
      <c r="A1746">
        <v>50080</v>
      </c>
      <c r="B1746">
        <v>1</v>
      </c>
      <c r="C1746">
        <v>8</v>
      </c>
      <c r="D1746">
        <v>1</v>
      </c>
      <c r="E1746">
        <v>100</v>
      </c>
      <c r="F1746" t="s">
        <v>1971</v>
      </c>
      <c r="G1746" t="s">
        <v>2005</v>
      </c>
    </row>
    <row r="1747" ht="14" customHeight="1" spans="1:7">
      <c r="A1747">
        <v>50081</v>
      </c>
      <c r="B1747">
        <v>1</v>
      </c>
      <c r="C1747">
        <v>4</v>
      </c>
      <c r="D1747">
        <v>1</v>
      </c>
      <c r="E1747">
        <v>100</v>
      </c>
      <c r="F1747" t="s">
        <v>2009</v>
      </c>
      <c r="G1747" t="s">
        <v>2005</v>
      </c>
    </row>
    <row r="1748" ht="14" customHeight="1" spans="1:7">
      <c r="A1748">
        <v>50082</v>
      </c>
      <c r="B1748">
        <v>1</v>
      </c>
      <c r="C1748">
        <v>1</v>
      </c>
      <c r="D1748">
        <v>1</v>
      </c>
      <c r="E1748">
        <v>100</v>
      </c>
      <c r="F1748" t="s">
        <v>2010</v>
      </c>
      <c r="G1748" t="s">
        <v>2005</v>
      </c>
    </row>
    <row r="1749" ht="14" customHeight="1" spans="1:7">
      <c r="A1749">
        <v>50083</v>
      </c>
      <c r="B1749">
        <v>2</v>
      </c>
      <c r="C1749">
        <v>1</v>
      </c>
      <c r="D1749">
        <v>1</v>
      </c>
      <c r="E1749">
        <v>100</v>
      </c>
      <c r="F1749" t="s">
        <v>2011</v>
      </c>
      <c r="G1749" t="s">
        <v>2012</v>
      </c>
    </row>
    <row r="1750" ht="14" customHeight="1" spans="1:7">
      <c r="A1750">
        <v>50084</v>
      </c>
      <c r="B1750">
        <v>1</v>
      </c>
      <c r="C1750">
        <v>1</v>
      </c>
      <c r="D1750">
        <v>1</v>
      </c>
      <c r="E1750">
        <v>100</v>
      </c>
      <c r="F1750" t="s">
        <v>2013</v>
      </c>
      <c r="G1750" t="s">
        <v>2012</v>
      </c>
    </row>
    <row r="1751" ht="14" customHeight="1" spans="1:7">
      <c r="A1751">
        <v>50085</v>
      </c>
      <c r="B1751">
        <v>1</v>
      </c>
      <c r="C1751">
        <v>1</v>
      </c>
      <c r="D1751">
        <v>1</v>
      </c>
      <c r="E1751">
        <v>100</v>
      </c>
      <c r="F1751" t="s">
        <v>2014</v>
      </c>
      <c r="G1751" t="s">
        <v>2012</v>
      </c>
    </row>
    <row r="1752" ht="14" customHeight="1" spans="1:7">
      <c r="A1752">
        <v>50086</v>
      </c>
      <c r="B1752">
        <v>1</v>
      </c>
      <c r="C1752">
        <v>3</v>
      </c>
      <c r="D1752">
        <v>1</v>
      </c>
      <c r="E1752">
        <v>100</v>
      </c>
      <c r="F1752" t="s">
        <v>156</v>
      </c>
      <c r="G1752" t="s">
        <v>2012</v>
      </c>
    </row>
    <row r="1753" ht="14" customHeight="1" spans="1:7">
      <c r="A1753">
        <v>50087</v>
      </c>
      <c r="B1753">
        <v>1</v>
      </c>
      <c r="C1753">
        <v>1</v>
      </c>
      <c r="D1753">
        <v>1</v>
      </c>
      <c r="E1753">
        <v>100</v>
      </c>
      <c r="F1753" t="s">
        <v>2015</v>
      </c>
      <c r="G1753" t="s">
        <v>2012</v>
      </c>
    </row>
    <row r="1754" ht="14" customHeight="1" spans="1:7">
      <c r="A1754">
        <v>50088</v>
      </c>
      <c r="B1754">
        <v>1</v>
      </c>
      <c r="C1754">
        <v>3</v>
      </c>
      <c r="D1754">
        <v>1</v>
      </c>
      <c r="E1754">
        <v>100</v>
      </c>
      <c r="F1754" t="s">
        <v>1987</v>
      </c>
      <c r="G1754" t="s">
        <v>2012</v>
      </c>
    </row>
    <row r="1755" ht="14" customHeight="1" spans="1:7">
      <c r="A1755">
        <v>50089</v>
      </c>
      <c r="B1755">
        <v>1</v>
      </c>
      <c r="C1755">
        <v>3</v>
      </c>
      <c r="D1755">
        <v>1</v>
      </c>
      <c r="E1755">
        <v>100</v>
      </c>
      <c r="F1755" t="s">
        <v>2002</v>
      </c>
      <c r="G1755" t="s">
        <v>2012</v>
      </c>
    </row>
    <row r="1756" ht="14" customHeight="1" spans="1:7">
      <c r="A1756">
        <v>50090</v>
      </c>
      <c r="B1756">
        <v>2</v>
      </c>
      <c r="C1756">
        <v>1</v>
      </c>
      <c r="D1756">
        <v>1</v>
      </c>
      <c r="E1756">
        <v>100</v>
      </c>
      <c r="F1756" t="s">
        <v>2016</v>
      </c>
      <c r="G1756" t="s">
        <v>2017</v>
      </c>
    </row>
    <row r="1757" ht="14" customHeight="1" spans="1:7">
      <c r="A1757">
        <v>50091</v>
      </c>
      <c r="B1757">
        <v>1</v>
      </c>
      <c r="C1757">
        <v>1</v>
      </c>
      <c r="D1757">
        <v>1</v>
      </c>
      <c r="E1757">
        <v>100</v>
      </c>
      <c r="F1757" t="s">
        <v>2003</v>
      </c>
      <c r="G1757" t="s">
        <v>2017</v>
      </c>
    </row>
    <row r="1758" ht="14" customHeight="1" spans="1:7">
      <c r="A1758">
        <v>50092</v>
      </c>
      <c r="B1758">
        <v>1</v>
      </c>
      <c r="C1758">
        <v>1</v>
      </c>
      <c r="D1758">
        <v>1</v>
      </c>
      <c r="E1758">
        <v>100</v>
      </c>
      <c r="F1758" t="s">
        <v>812</v>
      </c>
      <c r="G1758" t="s">
        <v>2017</v>
      </c>
    </row>
    <row r="1759" ht="14" customHeight="1" spans="1:7">
      <c r="A1759">
        <v>50093</v>
      </c>
      <c r="B1759">
        <v>1</v>
      </c>
      <c r="C1759">
        <v>2</v>
      </c>
      <c r="D1759">
        <v>1</v>
      </c>
      <c r="E1759">
        <v>100</v>
      </c>
      <c r="F1759" t="s">
        <v>2018</v>
      </c>
      <c r="G1759" t="s">
        <v>2019</v>
      </c>
    </row>
    <row r="1760" ht="14" customHeight="1" spans="1:7">
      <c r="A1760">
        <v>50094</v>
      </c>
      <c r="B1760">
        <v>1</v>
      </c>
      <c r="C1760">
        <v>1</v>
      </c>
      <c r="D1760">
        <v>1</v>
      </c>
      <c r="E1760">
        <v>100</v>
      </c>
      <c r="F1760" t="s">
        <v>2020</v>
      </c>
      <c r="G1760" t="s">
        <v>2021</v>
      </c>
    </row>
    <row r="1761" ht="14" customHeight="1" spans="1:7">
      <c r="A1761">
        <v>50095</v>
      </c>
      <c r="B1761">
        <v>1</v>
      </c>
      <c r="C1761">
        <v>1</v>
      </c>
      <c r="D1761">
        <v>1</v>
      </c>
      <c r="E1761">
        <v>100</v>
      </c>
      <c r="F1761" t="s">
        <v>830</v>
      </c>
      <c r="G1761" t="s">
        <v>2022</v>
      </c>
    </row>
    <row r="1762" ht="14" customHeight="1" spans="1:7">
      <c r="A1762">
        <v>50096</v>
      </c>
      <c r="B1762">
        <v>1</v>
      </c>
      <c r="C1762">
        <v>2</v>
      </c>
      <c r="D1762">
        <v>1</v>
      </c>
      <c r="E1762">
        <v>100</v>
      </c>
      <c r="F1762" t="s">
        <v>2023</v>
      </c>
      <c r="G1762" t="s">
        <v>2024</v>
      </c>
    </row>
    <row r="1763" ht="14" customHeight="1" spans="1:7">
      <c r="A1763">
        <v>50097</v>
      </c>
      <c r="B1763">
        <v>1</v>
      </c>
      <c r="C1763">
        <v>1</v>
      </c>
      <c r="D1763">
        <v>1</v>
      </c>
      <c r="E1763">
        <v>100</v>
      </c>
      <c r="F1763" t="s">
        <v>2025</v>
      </c>
      <c r="G1763" t="s">
        <v>2026</v>
      </c>
    </row>
    <row r="1764" ht="14" customHeight="1" spans="1:7">
      <c r="A1764">
        <v>50098</v>
      </c>
      <c r="B1764">
        <v>1</v>
      </c>
      <c r="C1764">
        <v>1</v>
      </c>
      <c r="D1764">
        <v>1</v>
      </c>
      <c r="E1764">
        <v>100</v>
      </c>
      <c r="F1764" t="s">
        <v>2027</v>
      </c>
      <c r="G1764" t="s">
        <v>2028</v>
      </c>
    </row>
    <row r="1765" ht="14" customHeight="1" spans="1:7">
      <c r="A1765" s="44">
        <v>50099</v>
      </c>
      <c r="B1765" s="44">
        <v>1</v>
      </c>
      <c r="C1765" s="44">
        <v>1</v>
      </c>
      <c r="D1765" s="44">
        <v>1</v>
      </c>
      <c r="E1765" s="44">
        <v>1</v>
      </c>
      <c r="F1765" s="44" t="s">
        <v>2029</v>
      </c>
      <c r="G1765" s="44" t="s">
        <v>2030</v>
      </c>
    </row>
    <row r="1766" ht="14" customHeight="1" spans="1:7">
      <c r="A1766" s="44">
        <v>50100</v>
      </c>
      <c r="B1766" s="44">
        <v>1</v>
      </c>
      <c r="C1766" s="44">
        <v>1</v>
      </c>
      <c r="D1766" s="44">
        <v>1</v>
      </c>
      <c r="E1766" s="44">
        <v>1</v>
      </c>
      <c r="F1766" s="44" t="s">
        <v>2031</v>
      </c>
      <c r="G1766" s="44" t="s">
        <v>2032</v>
      </c>
    </row>
    <row r="1767" ht="14" customHeight="1" spans="1:7">
      <c r="A1767">
        <v>50101</v>
      </c>
      <c r="B1767">
        <v>1</v>
      </c>
      <c r="C1767">
        <v>1</v>
      </c>
      <c r="D1767">
        <v>1</v>
      </c>
      <c r="E1767">
        <v>1</v>
      </c>
      <c r="F1767" t="s">
        <v>811</v>
      </c>
      <c r="G1767" t="s">
        <v>2012</v>
      </c>
    </row>
    <row r="1768" ht="14" customHeight="1" spans="1:7">
      <c r="A1768">
        <v>50102</v>
      </c>
      <c r="B1768">
        <v>2</v>
      </c>
      <c r="C1768">
        <v>1</v>
      </c>
      <c r="D1768">
        <v>1</v>
      </c>
      <c r="E1768">
        <v>100</v>
      </c>
      <c r="F1768" t="s">
        <v>2033</v>
      </c>
      <c r="G1768" t="s">
        <v>2034</v>
      </c>
    </row>
    <row r="1769" ht="14" customHeight="1" spans="1:7">
      <c r="A1769">
        <v>50103</v>
      </c>
      <c r="B1769">
        <v>1</v>
      </c>
      <c r="C1769">
        <v>1</v>
      </c>
      <c r="D1769">
        <v>1</v>
      </c>
      <c r="E1769">
        <v>100</v>
      </c>
      <c r="F1769" t="s">
        <v>2003</v>
      </c>
      <c r="G1769" t="s">
        <v>2034</v>
      </c>
    </row>
    <row r="1770" ht="14" customHeight="1" spans="1:7">
      <c r="A1770">
        <v>50104</v>
      </c>
      <c r="B1770">
        <v>1</v>
      </c>
      <c r="C1770">
        <v>1</v>
      </c>
      <c r="D1770">
        <v>1</v>
      </c>
      <c r="E1770">
        <v>100</v>
      </c>
      <c r="F1770" t="s">
        <v>810</v>
      </c>
      <c r="G1770" t="s">
        <v>2034</v>
      </c>
    </row>
    <row r="1771" ht="14" customHeight="1" spans="1:7">
      <c r="A1771">
        <v>50105</v>
      </c>
      <c r="B1771">
        <v>1</v>
      </c>
      <c r="C1771">
        <v>1</v>
      </c>
      <c r="D1771">
        <v>1</v>
      </c>
      <c r="E1771">
        <v>100</v>
      </c>
      <c r="F1771" t="s">
        <v>2035</v>
      </c>
      <c r="G1771" t="s">
        <v>2034</v>
      </c>
    </row>
    <row r="1772" ht="14" customHeight="1" spans="1:7">
      <c r="A1772">
        <v>50106</v>
      </c>
      <c r="B1772">
        <v>1</v>
      </c>
      <c r="C1772">
        <v>2</v>
      </c>
      <c r="D1772">
        <v>1</v>
      </c>
      <c r="E1772">
        <v>100</v>
      </c>
      <c r="F1772" t="s">
        <v>2036</v>
      </c>
      <c r="G1772" t="s">
        <v>2034</v>
      </c>
    </row>
    <row r="1773" ht="14" customHeight="1" spans="1:7">
      <c r="A1773">
        <v>50107</v>
      </c>
      <c r="B1773">
        <v>1</v>
      </c>
      <c r="C1773">
        <v>1</v>
      </c>
      <c r="D1773">
        <v>1</v>
      </c>
      <c r="E1773">
        <v>100</v>
      </c>
      <c r="F1773" t="s">
        <v>2037</v>
      </c>
      <c r="G1773" t="s">
        <v>2034</v>
      </c>
    </row>
    <row r="1774" ht="14" customHeight="1" spans="1:7">
      <c r="A1774">
        <v>50108</v>
      </c>
      <c r="B1774">
        <v>2</v>
      </c>
      <c r="C1774">
        <v>1</v>
      </c>
      <c r="D1774">
        <v>1</v>
      </c>
      <c r="E1774">
        <v>100</v>
      </c>
      <c r="F1774" t="s">
        <v>2038</v>
      </c>
      <c r="G1774" t="s">
        <v>2039</v>
      </c>
    </row>
    <row r="1775" ht="14" customHeight="1" spans="1:7">
      <c r="A1775">
        <v>50109</v>
      </c>
      <c r="B1775">
        <v>2</v>
      </c>
      <c r="C1775">
        <v>1</v>
      </c>
      <c r="D1775">
        <v>1</v>
      </c>
      <c r="E1775">
        <v>100</v>
      </c>
      <c r="F1775" t="s">
        <v>2040</v>
      </c>
      <c r="G1775" t="s">
        <v>2041</v>
      </c>
    </row>
    <row r="1776" ht="14" customHeight="1" spans="1:7">
      <c r="A1776">
        <v>50110</v>
      </c>
      <c r="B1776">
        <v>2</v>
      </c>
      <c r="C1776">
        <v>1</v>
      </c>
      <c r="D1776">
        <v>1</v>
      </c>
      <c r="E1776">
        <v>100</v>
      </c>
      <c r="F1776" t="s">
        <v>2042</v>
      </c>
      <c r="G1776" t="s">
        <v>2043</v>
      </c>
    </row>
    <row r="1777" ht="14" customHeight="1" spans="1:7">
      <c r="A1777">
        <v>50111</v>
      </c>
      <c r="B1777">
        <v>2</v>
      </c>
      <c r="C1777">
        <v>1</v>
      </c>
      <c r="D1777">
        <v>1</v>
      </c>
      <c r="E1777">
        <v>100</v>
      </c>
      <c r="F1777" t="s">
        <v>2044</v>
      </c>
      <c r="G1777" t="s">
        <v>2045</v>
      </c>
    </row>
    <row r="1778" ht="14" customHeight="1" spans="1:7">
      <c r="A1778">
        <v>50112</v>
      </c>
      <c r="B1778">
        <v>2</v>
      </c>
      <c r="C1778">
        <v>1</v>
      </c>
      <c r="D1778">
        <v>1</v>
      </c>
      <c r="E1778">
        <v>100</v>
      </c>
      <c r="F1778" t="s">
        <v>2046</v>
      </c>
      <c r="G1778" t="s">
        <v>2047</v>
      </c>
    </row>
    <row r="1779" ht="14" customHeight="1" spans="1:7">
      <c r="A1779">
        <v>50113</v>
      </c>
      <c r="B1779">
        <v>2</v>
      </c>
      <c r="C1779">
        <v>1</v>
      </c>
      <c r="D1779">
        <v>1</v>
      </c>
      <c r="E1779">
        <v>100</v>
      </c>
      <c r="F1779" t="s">
        <v>2048</v>
      </c>
      <c r="G1779" t="s">
        <v>2049</v>
      </c>
    </row>
    <row r="1780" ht="14" customHeight="1" spans="1:7">
      <c r="A1780">
        <v>50114</v>
      </c>
      <c r="B1780">
        <v>2</v>
      </c>
      <c r="C1780">
        <v>1</v>
      </c>
      <c r="D1780">
        <v>1</v>
      </c>
      <c r="E1780">
        <v>100</v>
      </c>
      <c r="F1780" t="s">
        <v>2050</v>
      </c>
      <c r="G1780" t="s">
        <v>2051</v>
      </c>
    </row>
    <row r="1781" ht="14" customHeight="1" spans="1:7">
      <c r="A1781">
        <v>50115</v>
      </c>
      <c r="B1781">
        <v>2</v>
      </c>
      <c r="C1781">
        <v>1</v>
      </c>
      <c r="D1781">
        <v>1</v>
      </c>
      <c r="E1781">
        <v>100</v>
      </c>
      <c r="F1781" t="s">
        <v>2052</v>
      </c>
      <c r="G1781" t="s">
        <v>2053</v>
      </c>
    </row>
    <row r="1782" ht="14" customHeight="1" spans="1:7">
      <c r="A1782">
        <v>50116</v>
      </c>
      <c r="B1782">
        <v>1</v>
      </c>
      <c r="C1782">
        <v>1</v>
      </c>
      <c r="D1782">
        <v>1</v>
      </c>
      <c r="E1782">
        <v>100</v>
      </c>
      <c r="F1782" t="s">
        <v>2054</v>
      </c>
      <c r="G1782" t="s">
        <v>2001</v>
      </c>
    </row>
    <row r="1783" ht="14" customHeight="1" spans="1:7">
      <c r="A1783">
        <v>50117</v>
      </c>
      <c r="B1783">
        <v>1</v>
      </c>
      <c r="C1783">
        <v>2</v>
      </c>
      <c r="D1783">
        <v>1</v>
      </c>
      <c r="E1783">
        <v>100</v>
      </c>
      <c r="F1783" t="s">
        <v>2002</v>
      </c>
      <c r="G1783" t="s">
        <v>2001</v>
      </c>
    </row>
    <row r="1784" ht="14" customHeight="1" spans="1:7">
      <c r="A1784">
        <v>50118</v>
      </c>
      <c r="B1784">
        <v>1</v>
      </c>
      <c r="C1784">
        <v>1</v>
      </c>
      <c r="D1784">
        <v>1</v>
      </c>
      <c r="E1784">
        <v>100</v>
      </c>
      <c r="F1784" t="s">
        <v>2003</v>
      </c>
      <c r="G1784" t="s">
        <v>2001</v>
      </c>
    </row>
    <row r="1785" ht="14" customHeight="1" spans="1:7">
      <c r="A1785">
        <v>50119</v>
      </c>
      <c r="B1785">
        <v>1</v>
      </c>
      <c r="C1785">
        <v>1</v>
      </c>
      <c r="D1785">
        <v>1</v>
      </c>
      <c r="E1785">
        <v>100</v>
      </c>
      <c r="F1785" t="s">
        <v>812</v>
      </c>
      <c r="G1785" t="s">
        <v>2001</v>
      </c>
    </row>
    <row r="1786" ht="14" customHeight="1" spans="1:7">
      <c r="A1786">
        <v>50120</v>
      </c>
      <c r="B1786">
        <v>1</v>
      </c>
      <c r="C1786">
        <v>2</v>
      </c>
      <c r="D1786">
        <v>1</v>
      </c>
      <c r="E1786">
        <v>100</v>
      </c>
      <c r="F1786" t="s">
        <v>2055</v>
      </c>
      <c r="G1786" t="s">
        <v>2056</v>
      </c>
    </row>
    <row r="1787" ht="14" customHeight="1" spans="1:7">
      <c r="A1787">
        <v>50121</v>
      </c>
      <c r="B1787">
        <v>1</v>
      </c>
      <c r="C1787">
        <v>1</v>
      </c>
      <c r="D1787">
        <v>1</v>
      </c>
      <c r="E1787">
        <v>100</v>
      </c>
      <c r="F1787" t="s">
        <v>2057</v>
      </c>
      <c r="G1787" t="s">
        <v>2058</v>
      </c>
    </row>
    <row r="1788" ht="14" customHeight="1" spans="1:7">
      <c r="A1788">
        <v>50122</v>
      </c>
      <c r="B1788">
        <v>1</v>
      </c>
      <c r="C1788">
        <v>1</v>
      </c>
      <c r="D1788">
        <v>1</v>
      </c>
      <c r="E1788">
        <v>100</v>
      </c>
      <c r="F1788" t="s">
        <v>2059</v>
      </c>
      <c r="G1788" t="s">
        <v>2060</v>
      </c>
    </row>
    <row r="1789" ht="14" customHeight="1" spans="1:7">
      <c r="A1789">
        <v>50123</v>
      </c>
      <c r="B1789">
        <v>1</v>
      </c>
      <c r="C1789">
        <v>1</v>
      </c>
      <c r="D1789">
        <v>1</v>
      </c>
      <c r="E1789">
        <v>100</v>
      </c>
      <c r="F1789" t="s">
        <v>2061</v>
      </c>
      <c r="G1789" t="s">
        <v>2062</v>
      </c>
    </row>
    <row r="1790" ht="14" customHeight="1" spans="1:7">
      <c r="A1790">
        <v>50124</v>
      </c>
      <c r="B1790">
        <v>1</v>
      </c>
      <c r="C1790">
        <v>1</v>
      </c>
      <c r="D1790">
        <v>1</v>
      </c>
      <c r="E1790">
        <v>100</v>
      </c>
      <c r="F1790" t="s">
        <v>2063</v>
      </c>
      <c r="G1790" t="s">
        <v>2064</v>
      </c>
    </row>
    <row r="1791" ht="14" customHeight="1" spans="1:7">
      <c r="A1791">
        <v>50125</v>
      </c>
      <c r="B1791">
        <v>1</v>
      </c>
      <c r="C1791">
        <v>1</v>
      </c>
      <c r="D1791">
        <v>1</v>
      </c>
      <c r="E1791">
        <v>100</v>
      </c>
      <c r="F1791" t="s">
        <v>2065</v>
      </c>
      <c r="G1791" t="s">
        <v>2066</v>
      </c>
    </row>
    <row r="1792" ht="14" customHeight="1" spans="1:7">
      <c r="A1792">
        <v>50126</v>
      </c>
      <c r="B1792">
        <v>1</v>
      </c>
      <c r="C1792">
        <v>1</v>
      </c>
      <c r="D1792">
        <v>1</v>
      </c>
      <c r="E1792">
        <v>100</v>
      </c>
      <c r="F1792" t="s">
        <v>2067</v>
      </c>
      <c r="G1792" t="s">
        <v>2068</v>
      </c>
    </row>
    <row r="1793" ht="14" customHeight="1" spans="1:7">
      <c r="A1793">
        <v>50127</v>
      </c>
      <c r="B1793">
        <v>1</v>
      </c>
      <c r="C1793">
        <v>1</v>
      </c>
      <c r="D1793">
        <v>1</v>
      </c>
      <c r="E1793">
        <v>100</v>
      </c>
      <c r="F1793" t="s">
        <v>2069</v>
      </c>
      <c r="G1793" t="s">
        <v>2070</v>
      </c>
    </row>
    <row r="1794" ht="14" customHeight="1" spans="1:7">
      <c r="A1794">
        <v>50128</v>
      </c>
      <c r="B1794">
        <v>1</v>
      </c>
      <c r="C1794">
        <v>1</v>
      </c>
      <c r="D1794">
        <v>1</v>
      </c>
      <c r="E1794">
        <v>100</v>
      </c>
      <c r="F1794" t="s">
        <v>2071</v>
      </c>
      <c r="G1794" t="s">
        <v>2072</v>
      </c>
    </row>
    <row r="1795" ht="14" customHeight="1" spans="1:7">
      <c r="A1795">
        <v>50129</v>
      </c>
      <c r="B1795">
        <v>1</v>
      </c>
      <c r="C1795">
        <v>1</v>
      </c>
      <c r="D1795">
        <v>1</v>
      </c>
      <c r="E1795">
        <v>100</v>
      </c>
      <c r="F1795" t="s">
        <v>2073</v>
      </c>
      <c r="G1795" t="s">
        <v>2074</v>
      </c>
    </row>
    <row r="1796" ht="14" customHeight="1" spans="1:7">
      <c r="A1796">
        <v>50130</v>
      </c>
      <c r="B1796">
        <v>1</v>
      </c>
      <c r="C1796">
        <v>1</v>
      </c>
      <c r="D1796">
        <v>1</v>
      </c>
      <c r="E1796">
        <v>100</v>
      </c>
      <c r="F1796" t="s">
        <v>2075</v>
      </c>
      <c r="G1796" t="s">
        <v>2076</v>
      </c>
    </row>
    <row r="1797" ht="14" customHeight="1" spans="1:7">
      <c r="A1797">
        <v>50131</v>
      </c>
      <c r="B1797">
        <v>1</v>
      </c>
      <c r="C1797">
        <v>1</v>
      </c>
      <c r="D1797">
        <v>1</v>
      </c>
      <c r="E1797">
        <v>100</v>
      </c>
      <c r="F1797" t="s">
        <v>2077</v>
      </c>
      <c r="G1797" t="s">
        <v>2078</v>
      </c>
    </row>
    <row r="1798" ht="14" customHeight="1" spans="1:7">
      <c r="A1798">
        <v>50132</v>
      </c>
      <c r="B1798">
        <v>1</v>
      </c>
      <c r="C1798">
        <v>1</v>
      </c>
      <c r="D1798">
        <v>1</v>
      </c>
      <c r="E1798">
        <v>100</v>
      </c>
      <c r="F1798" t="s">
        <v>2079</v>
      </c>
      <c r="G1798" t="s">
        <v>2080</v>
      </c>
    </row>
    <row r="1799" ht="14" customHeight="1" spans="1:7">
      <c r="A1799">
        <v>50133</v>
      </c>
      <c r="B1799">
        <v>1</v>
      </c>
      <c r="C1799">
        <v>1</v>
      </c>
      <c r="D1799">
        <v>1</v>
      </c>
      <c r="E1799">
        <v>100</v>
      </c>
      <c r="F1799" t="s">
        <v>2081</v>
      </c>
      <c r="G1799" t="s">
        <v>2082</v>
      </c>
    </row>
    <row r="1800" ht="14" customHeight="1" spans="1:7">
      <c r="A1800">
        <v>50134</v>
      </c>
      <c r="B1800">
        <v>1</v>
      </c>
      <c r="C1800">
        <v>1</v>
      </c>
      <c r="D1800">
        <v>1</v>
      </c>
      <c r="E1800">
        <v>100</v>
      </c>
      <c r="F1800" t="s">
        <v>2083</v>
      </c>
      <c r="G1800" t="s">
        <v>2084</v>
      </c>
    </row>
    <row r="1801" ht="14" customHeight="1" spans="1:7">
      <c r="A1801">
        <v>50135</v>
      </c>
      <c r="B1801">
        <v>1</v>
      </c>
      <c r="C1801">
        <v>1</v>
      </c>
      <c r="D1801">
        <v>1</v>
      </c>
      <c r="E1801">
        <v>100</v>
      </c>
      <c r="F1801" t="s">
        <v>2085</v>
      </c>
      <c r="G1801" t="s">
        <v>2086</v>
      </c>
    </row>
    <row r="1802" ht="14" customHeight="1" spans="1:7">
      <c r="A1802">
        <v>50136</v>
      </c>
      <c r="B1802">
        <v>1</v>
      </c>
      <c r="C1802">
        <v>1</v>
      </c>
      <c r="D1802">
        <v>1</v>
      </c>
      <c r="E1802">
        <v>100</v>
      </c>
      <c r="F1802" t="s">
        <v>2087</v>
      </c>
      <c r="G1802" t="s">
        <v>2088</v>
      </c>
    </row>
    <row r="1803" ht="14" customHeight="1" spans="1:7">
      <c r="A1803">
        <v>50137</v>
      </c>
      <c r="B1803">
        <v>1</v>
      </c>
      <c r="C1803">
        <v>1</v>
      </c>
      <c r="D1803">
        <v>1</v>
      </c>
      <c r="E1803">
        <v>100</v>
      </c>
      <c r="F1803" t="s">
        <v>2089</v>
      </c>
      <c r="G1803" t="s">
        <v>2090</v>
      </c>
    </row>
    <row r="1804" ht="14" customHeight="1" spans="1:7">
      <c r="A1804">
        <v>50138</v>
      </c>
      <c r="B1804">
        <v>1</v>
      </c>
      <c r="C1804">
        <v>1</v>
      </c>
      <c r="D1804">
        <v>1</v>
      </c>
      <c r="E1804">
        <v>100</v>
      </c>
      <c r="F1804" t="s">
        <v>2091</v>
      </c>
      <c r="G1804" t="s">
        <v>2092</v>
      </c>
    </row>
    <row r="1805" ht="14" customHeight="1" spans="1:7">
      <c r="A1805">
        <v>50139</v>
      </c>
      <c r="B1805">
        <v>1</v>
      </c>
      <c r="C1805">
        <v>1</v>
      </c>
      <c r="D1805">
        <v>1</v>
      </c>
      <c r="E1805">
        <v>100</v>
      </c>
      <c r="F1805" t="s">
        <v>2093</v>
      </c>
      <c r="G1805" t="s">
        <v>2094</v>
      </c>
    </row>
    <row r="1806" ht="14" customHeight="1" spans="1:7">
      <c r="A1806">
        <v>50140</v>
      </c>
      <c r="B1806">
        <v>1</v>
      </c>
      <c r="C1806">
        <v>1</v>
      </c>
      <c r="D1806">
        <v>1</v>
      </c>
      <c r="E1806">
        <v>100</v>
      </c>
      <c r="F1806" t="s">
        <v>2095</v>
      </c>
      <c r="G1806" t="s">
        <v>2096</v>
      </c>
    </row>
    <row r="1807" ht="14" customHeight="1" spans="1:7">
      <c r="A1807">
        <v>50141</v>
      </c>
      <c r="B1807">
        <v>1</v>
      </c>
      <c r="C1807">
        <v>1</v>
      </c>
      <c r="D1807">
        <v>1</v>
      </c>
      <c r="E1807">
        <v>100</v>
      </c>
      <c r="F1807" t="s">
        <v>2097</v>
      </c>
      <c r="G1807" t="s">
        <v>2098</v>
      </c>
    </row>
    <row r="1808" ht="14" customHeight="1" spans="1:7">
      <c r="A1808">
        <v>50142</v>
      </c>
      <c r="B1808">
        <v>2</v>
      </c>
      <c r="C1808">
        <v>1</v>
      </c>
      <c r="D1808">
        <v>1</v>
      </c>
      <c r="E1808">
        <v>100</v>
      </c>
      <c r="F1808" t="s">
        <v>2099</v>
      </c>
      <c r="G1808" s="7" t="s">
        <v>2100</v>
      </c>
    </row>
    <row r="1809" ht="14" customHeight="1" spans="1:7">
      <c r="A1809">
        <v>50143</v>
      </c>
      <c r="B1809">
        <v>2</v>
      </c>
      <c r="C1809">
        <v>1</v>
      </c>
      <c r="D1809">
        <v>1</v>
      </c>
      <c r="E1809">
        <v>100</v>
      </c>
      <c r="F1809" t="s">
        <v>2101</v>
      </c>
      <c r="G1809" s="7" t="s">
        <v>2102</v>
      </c>
    </row>
    <row r="1810" ht="14" customHeight="1" spans="1:7">
      <c r="A1810">
        <v>50144</v>
      </c>
      <c r="B1810">
        <v>2</v>
      </c>
      <c r="C1810">
        <v>1</v>
      </c>
      <c r="D1810">
        <v>1</v>
      </c>
      <c r="E1810">
        <v>100</v>
      </c>
      <c r="F1810" t="s">
        <v>2103</v>
      </c>
      <c r="G1810" s="7" t="s">
        <v>2104</v>
      </c>
    </row>
    <row r="1811" ht="14" customHeight="1" spans="1:7">
      <c r="A1811">
        <v>50145</v>
      </c>
      <c r="B1811">
        <v>2</v>
      </c>
      <c r="C1811">
        <v>1</v>
      </c>
      <c r="D1811">
        <v>1</v>
      </c>
      <c r="E1811">
        <v>100</v>
      </c>
      <c r="F1811" t="s">
        <v>2105</v>
      </c>
      <c r="G1811" s="7" t="s">
        <v>2106</v>
      </c>
    </row>
    <row r="1812" ht="14" customHeight="1" spans="1:7">
      <c r="A1812">
        <v>50146</v>
      </c>
      <c r="B1812">
        <v>2</v>
      </c>
      <c r="C1812">
        <v>1</v>
      </c>
      <c r="D1812">
        <v>1</v>
      </c>
      <c r="E1812">
        <v>100</v>
      </c>
      <c r="F1812" t="s">
        <v>2107</v>
      </c>
      <c r="G1812" s="7" t="s">
        <v>2108</v>
      </c>
    </row>
    <row r="1813" ht="14" customHeight="1" spans="1:7">
      <c r="A1813">
        <v>50147</v>
      </c>
      <c r="B1813">
        <v>2</v>
      </c>
      <c r="C1813">
        <v>1</v>
      </c>
      <c r="D1813">
        <v>1</v>
      </c>
      <c r="E1813">
        <v>100</v>
      </c>
      <c r="F1813" t="s">
        <v>2109</v>
      </c>
      <c r="G1813" s="7" t="s">
        <v>2110</v>
      </c>
    </row>
    <row r="1814" ht="14" customHeight="1" spans="1:7">
      <c r="A1814">
        <v>50148</v>
      </c>
      <c r="B1814">
        <v>2</v>
      </c>
      <c r="C1814">
        <v>1</v>
      </c>
      <c r="D1814">
        <v>1</v>
      </c>
      <c r="E1814">
        <v>100</v>
      </c>
      <c r="F1814" t="s">
        <v>2111</v>
      </c>
      <c r="G1814" s="7" t="s">
        <v>2112</v>
      </c>
    </row>
    <row r="1815" ht="14" customHeight="1" spans="1:7">
      <c r="A1815">
        <v>50149</v>
      </c>
      <c r="B1815">
        <v>2</v>
      </c>
      <c r="C1815">
        <v>1</v>
      </c>
      <c r="D1815">
        <v>1</v>
      </c>
      <c r="E1815">
        <v>100</v>
      </c>
      <c r="F1815" t="s">
        <v>2113</v>
      </c>
      <c r="G1815" s="7" t="s">
        <v>2114</v>
      </c>
    </row>
    <row r="1816" ht="14" customHeight="1" spans="1:7">
      <c r="A1816">
        <v>50150</v>
      </c>
      <c r="B1816">
        <v>2</v>
      </c>
      <c r="C1816">
        <v>1</v>
      </c>
      <c r="D1816">
        <v>1</v>
      </c>
      <c r="E1816">
        <v>100</v>
      </c>
      <c r="F1816" t="s">
        <v>2115</v>
      </c>
      <c r="G1816" s="7" t="s">
        <v>2116</v>
      </c>
    </row>
    <row r="1817" ht="14" customHeight="1" spans="1:7">
      <c r="A1817">
        <v>50151</v>
      </c>
      <c r="B1817">
        <v>2</v>
      </c>
      <c r="C1817">
        <v>1</v>
      </c>
      <c r="D1817">
        <v>1</v>
      </c>
      <c r="E1817">
        <v>100</v>
      </c>
      <c r="F1817" t="s">
        <v>2117</v>
      </c>
      <c r="G1817" s="7" t="s">
        <v>2118</v>
      </c>
    </row>
    <row r="1818" ht="14" customHeight="1" spans="1:7">
      <c r="A1818">
        <v>50152</v>
      </c>
      <c r="B1818">
        <v>1</v>
      </c>
      <c r="C1818">
        <v>1</v>
      </c>
      <c r="D1818">
        <v>1</v>
      </c>
      <c r="E1818">
        <v>100</v>
      </c>
      <c r="F1818" t="s">
        <v>832</v>
      </c>
      <c r="G1818" t="s">
        <v>2119</v>
      </c>
    </row>
    <row r="1819" ht="14" customHeight="1" spans="1:7">
      <c r="A1819">
        <v>50153</v>
      </c>
      <c r="B1819">
        <v>1</v>
      </c>
      <c r="C1819">
        <v>1</v>
      </c>
      <c r="D1819">
        <v>1</v>
      </c>
      <c r="E1819">
        <v>100</v>
      </c>
      <c r="F1819" t="s">
        <v>2120</v>
      </c>
      <c r="G1819" t="s">
        <v>2121</v>
      </c>
    </row>
    <row r="1820" ht="14" customHeight="1" spans="1:7">
      <c r="A1820">
        <v>50154</v>
      </c>
      <c r="B1820">
        <v>1</v>
      </c>
      <c r="C1820">
        <v>1</v>
      </c>
      <c r="D1820">
        <v>1</v>
      </c>
      <c r="E1820">
        <v>1</v>
      </c>
      <c r="F1820" t="s">
        <v>2122</v>
      </c>
      <c r="G1820" t="s">
        <v>2123</v>
      </c>
    </row>
    <row r="1821" ht="14" customHeight="1" spans="1:7">
      <c r="A1821">
        <v>50155</v>
      </c>
      <c r="B1821">
        <v>1</v>
      </c>
      <c r="C1821">
        <v>1</v>
      </c>
      <c r="D1821">
        <v>1</v>
      </c>
      <c r="E1821">
        <v>1</v>
      </c>
      <c r="F1821" t="s">
        <v>2124</v>
      </c>
      <c r="G1821" t="s">
        <v>2125</v>
      </c>
    </row>
    <row r="1822" ht="14" customHeight="1" spans="1:7">
      <c r="A1822">
        <v>50156</v>
      </c>
      <c r="B1822">
        <v>1</v>
      </c>
      <c r="C1822">
        <v>1</v>
      </c>
      <c r="D1822">
        <v>1</v>
      </c>
      <c r="E1822">
        <v>1</v>
      </c>
      <c r="F1822" t="s">
        <v>2126</v>
      </c>
      <c r="G1822" t="s">
        <v>2127</v>
      </c>
    </row>
    <row r="1823" ht="14" customHeight="1" spans="1:7">
      <c r="A1823">
        <v>50157</v>
      </c>
      <c r="B1823">
        <v>1</v>
      </c>
      <c r="C1823">
        <v>1</v>
      </c>
      <c r="D1823">
        <v>1</v>
      </c>
      <c r="E1823">
        <v>1</v>
      </c>
      <c r="F1823" t="s">
        <v>847</v>
      </c>
      <c r="G1823" t="s">
        <v>2128</v>
      </c>
    </row>
    <row r="1824" ht="14" customHeight="1" spans="1:7">
      <c r="A1824">
        <v>50158</v>
      </c>
      <c r="B1824">
        <v>1</v>
      </c>
      <c r="C1824">
        <v>1</v>
      </c>
      <c r="D1824">
        <v>1</v>
      </c>
      <c r="E1824">
        <v>1</v>
      </c>
      <c r="F1824" t="s">
        <v>2129</v>
      </c>
      <c r="G1824" t="s">
        <v>2130</v>
      </c>
    </row>
    <row r="1825" ht="14" customHeight="1" spans="1:7">
      <c r="A1825">
        <v>50159</v>
      </c>
      <c r="B1825">
        <v>1</v>
      </c>
      <c r="C1825">
        <v>1</v>
      </c>
      <c r="D1825">
        <v>1</v>
      </c>
      <c r="E1825">
        <v>1</v>
      </c>
      <c r="F1825" t="s">
        <v>2131</v>
      </c>
      <c r="G1825" t="s">
        <v>2132</v>
      </c>
    </row>
    <row r="1826" ht="14" customHeight="1" spans="1:7">
      <c r="A1826">
        <v>50160</v>
      </c>
      <c r="B1826">
        <v>1</v>
      </c>
      <c r="C1826">
        <v>1</v>
      </c>
      <c r="D1826">
        <v>1</v>
      </c>
      <c r="E1826">
        <v>100</v>
      </c>
      <c r="F1826" t="s">
        <v>847</v>
      </c>
      <c r="G1826" t="s">
        <v>694</v>
      </c>
    </row>
    <row r="1827" ht="14" customHeight="1" spans="1:7">
      <c r="A1827">
        <f>A1826+1</f>
        <v>50161</v>
      </c>
      <c r="B1827">
        <v>1</v>
      </c>
      <c r="C1827">
        <v>1</v>
      </c>
      <c r="D1827">
        <v>1</v>
      </c>
      <c r="E1827">
        <v>100</v>
      </c>
      <c r="F1827" t="s">
        <v>853</v>
      </c>
      <c r="G1827" t="s">
        <v>849</v>
      </c>
    </row>
    <row r="1828" ht="14" customHeight="1" spans="1:7">
      <c r="A1828">
        <v>50162</v>
      </c>
      <c r="B1828">
        <v>1</v>
      </c>
      <c r="C1828">
        <v>1</v>
      </c>
      <c r="D1828">
        <v>1</v>
      </c>
      <c r="E1828">
        <v>100</v>
      </c>
      <c r="F1828" t="s">
        <v>2133</v>
      </c>
      <c r="G1828" t="s">
        <v>2134</v>
      </c>
    </row>
    <row r="1829" ht="14" customHeight="1" spans="1:7">
      <c r="A1829">
        <v>50163</v>
      </c>
      <c r="B1829">
        <v>1</v>
      </c>
      <c r="C1829">
        <v>1</v>
      </c>
      <c r="D1829">
        <v>1</v>
      </c>
      <c r="E1829">
        <v>100</v>
      </c>
      <c r="F1829" t="s">
        <v>853</v>
      </c>
      <c r="G1829" t="s">
        <v>2135</v>
      </c>
    </row>
    <row r="1830" ht="14" customHeight="1" spans="1:7">
      <c r="A1830">
        <v>50164</v>
      </c>
      <c r="B1830">
        <v>1</v>
      </c>
      <c r="C1830">
        <v>1</v>
      </c>
      <c r="D1830">
        <v>1</v>
      </c>
      <c r="E1830">
        <v>100</v>
      </c>
      <c r="F1830" t="s">
        <v>847</v>
      </c>
      <c r="G1830" t="s">
        <v>2136</v>
      </c>
    </row>
    <row r="1831" ht="14" customHeight="1" spans="1:7">
      <c r="A1831">
        <v>50165</v>
      </c>
      <c r="B1831">
        <v>1</v>
      </c>
      <c r="C1831">
        <v>1</v>
      </c>
      <c r="D1831">
        <v>1</v>
      </c>
      <c r="E1831">
        <v>100</v>
      </c>
      <c r="F1831" t="s">
        <v>2129</v>
      </c>
      <c r="G1831" t="s">
        <v>2137</v>
      </c>
    </row>
    <row r="1832" ht="14" customHeight="1" spans="1:7">
      <c r="A1832">
        <v>50166</v>
      </c>
      <c r="B1832">
        <v>1</v>
      </c>
      <c r="C1832">
        <v>1</v>
      </c>
      <c r="D1832">
        <v>1</v>
      </c>
      <c r="E1832">
        <v>1</v>
      </c>
      <c r="F1832" t="s">
        <v>2131</v>
      </c>
      <c r="G1832" t="s">
        <v>2138</v>
      </c>
    </row>
    <row r="1833" ht="14" customHeight="1" spans="1:7">
      <c r="A1833">
        <v>50167</v>
      </c>
      <c r="B1833">
        <v>1</v>
      </c>
      <c r="C1833">
        <v>1</v>
      </c>
      <c r="D1833">
        <v>1</v>
      </c>
      <c r="E1833">
        <v>1</v>
      </c>
      <c r="F1833" t="s">
        <v>2131</v>
      </c>
      <c r="G1833" t="s">
        <v>2139</v>
      </c>
    </row>
    <row r="1834" ht="14" customHeight="1" spans="1:7">
      <c r="A1834">
        <v>50168</v>
      </c>
      <c r="B1834">
        <v>1</v>
      </c>
      <c r="C1834">
        <v>1</v>
      </c>
      <c r="D1834">
        <v>1</v>
      </c>
      <c r="E1834">
        <v>1</v>
      </c>
      <c r="F1834" s="7" t="s">
        <v>2140</v>
      </c>
      <c r="G1834" t="s">
        <v>2141</v>
      </c>
    </row>
    <row r="1835" ht="14" customHeight="1" spans="1:7">
      <c r="A1835">
        <v>50169</v>
      </c>
      <c r="B1835">
        <v>1</v>
      </c>
      <c r="C1835">
        <v>1</v>
      </c>
      <c r="D1835">
        <v>1</v>
      </c>
      <c r="E1835">
        <v>1</v>
      </c>
      <c r="F1835" s="7" t="s">
        <v>2140</v>
      </c>
      <c r="G1835" t="s">
        <v>2141</v>
      </c>
    </row>
    <row r="1836" s="44" customFormat="1" ht="14" customHeight="1" spans="1:7">
      <c r="A1836" s="44">
        <v>50170</v>
      </c>
      <c r="B1836" s="44">
        <v>1</v>
      </c>
      <c r="C1836" s="44">
        <v>1</v>
      </c>
      <c r="D1836" s="44">
        <v>1</v>
      </c>
      <c r="E1836" s="44">
        <v>1</v>
      </c>
      <c r="F1836" s="44" t="s">
        <v>2142</v>
      </c>
      <c r="G1836" s="44" t="s">
        <v>2143</v>
      </c>
    </row>
    <row r="1837" ht="14" customHeight="1" spans="1:7">
      <c r="A1837">
        <v>51001</v>
      </c>
      <c r="B1837">
        <v>1</v>
      </c>
      <c r="C1837">
        <v>1</v>
      </c>
      <c r="D1837">
        <v>1</v>
      </c>
      <c r="E1837">
        <v>100</v>
      </c>
      <c r="F1837" t="s">
        <v>2144</v>
      </c>
      <c r="G1837" t="s">
        <v>2145</v>
      </c>
    </row>
    <row r="1838" ht="14" customHeight="1" spans="1:7">
      <c r="A1838">
        <v>51002</v>
      </c>
      <c r="B1838">
        <v>1</v>
      </c>
      <c r="C1838">
        <v>1</v>
      </c>
      <c r="D1838">
        <v>1</v>
      </c>
      <c r="E1838">
        <v>100</v>
      </c>
      <c r="F1838" t="s">
        <v>2146</v>
      </c>
      <c r="G1838" t="s">
        <v>2147</v>
      </c>
    </row>
    <row r="1839" ht="14" customHeight="1" spans="1:7">
      <c r="A1839">
        <v>51003</v>
      </c>
      <c r="B1839">
        <v>1</v>
      </c>
      <c r="C1839">
        <v>1</v>
      </c>
      <c r="D1839">
        <v>1</v>
      </c>
      <c r="E1839">
        <v>100</v>
      </c>
      <c r="F1839" t="s">
        <v>2148</v>
      </c>
      <c r="G1839" t="s">
        <v>2149</v>
      </c>
    </row>
    <row r="1840" ht="14" customHeight="1" spans="1:7">
      <c r="A1840">
        <v>51004</v>
      </c>
      <c r="B1840">
        <v>1</v>
      </c>
      <c r="C1840">
        <v>1</v>
      </c>
      <c r="D1840">
        <v>1</v>
      </c>
      <c r="E1840">
        <v>100</v>
      </c>
      <c r="F1840" t="s">
        <v>2150</v>
      </c>
      <c r="G1840" t="s">
        <v>2151</v>
      </c>
    </row>
    <row r="1841" ht="14" customHeight="1" spans="1:7">
      <c r="A1841">
        <v>52001</v>
      </c>
      <c r="B1841">
        <v>1</v>
      </c>
      <c r="C1841">
        <v>1</v>
      </c>
      <c r="D1841">
        <v>1</v>
      </c>
      <c r="E1841">
        <v>100</v>
      </c>
      <c r="F1841" s="7" t="s">
        <v>742</v>
      </c>
      <c r="G1841" t="s">
        <v>2152</v>
      </c>
    </row>
    <row r="1842" ht="14" customHeight="1" spans="1:7">
      <c r="A1842">
        <v>52002</v>
      </c>
      <c r="B1842">
        <v>1</v>
      </c>
      <c r="C1842">
        <v>1</v>
      </c>
      <c r="D1842">
        <v>1</v>
      </c>
      <c r="E1842">
        <v>100</v>
      </c>
      <c r="F1842" s="7" t="s">
        <v>744</v>
      </c>
      <c r="G1842" t="s">
        <v>2153</v>
      </c>
    </row>
    <row r="1843" ht="14" customHeight="1" spans="1:7">
      <c r="A1843">
        <v>52003</v>
      </c>
      <c r="B1843">
        <v>1</v>
      </c>
      <c r="C1843">
        <v>1</v>
      </c>
      <c r="D1843">
        <v>1</v>
      </c>
      <c r="E1843">
        <v>100</v>
      </c>
      <c r="F1843" s="7" t="s">
        <v>746</v>
      </c>
      <c r="G1843" t="s">
        <v>2154</v>
      </c>
    </row>
    <row r="1844" ht="14" customHeight="1" spans="1:7">
      <c r="A1844">
        <v>52004</v>
      </c>
      <c r="B1844">
        <v>1</v>
      </c>
      <c r="C1844">
        <v>1</v>
      </c>
      <c r="D1844">
        <v>1</v>
      </c>
      <c r="E1844">
        <v>100</v>
      </c>
      <c r="F1844" s="7" t="s">
        <v>734</v>
      </c>
      <c r="G1844" t="s">
        <v>2155</v>
      </c>
    </row>
    <row r="1845" ht="14" customHeight="1" spans="1:7">
      <c r="A1845">
        <v>52005</v>
      </c>
      <c r="B1845">
        <v>1</v>
      </c>
      <c r="C1845">
        <v>1</v>
      </c>
      <c r="D1845">
        <v>1</v>
      </c>
      <c r="E1845">
        <v>100</v>
      </c>
      <c r="F1845" s="7" t="s">
        <v>736</v>
      </c>
      <c r="G1845" t="s">
        <v>2156</v>
      </c>
    </row>
    <row r="1846" ht="14" customHeight="1" spans="1:7">
      <c r="A1846">
        <v>52006</v>
      </c>
      <c r="B1846">
        <v>1</v>
      </c>
      <c r="C1846">
        <v>1</v>
      </c>
      <c r="D1846">
        <v>1</v>
      </c>
      <c r="E1846">
        <v>100</v>
      </c>
      <c r="F1846" t="s">
        <v>738</v>
      </c>
      <c r="G1846" t="s">
        <v>2157</v>
      </c>
    </row>
    <row r="1847" ht="14" customHeight="1" spans="1:7">
      <c r="A1847">
        <v>52007</v>
      </c>
      <c r="B1847">
        <v>1</v>
      </c>
      <c r="C1847">
        <v>1</v>
      </c>
      <c r="D1847">
        <v>1</v>
      </c>
      <c r="E1847">
        <v>100</v>
      </c>
      <c r="F1847" t="s">
        <v>2158</v>
      </c>
      <c r="G1847" t="s">
        <v>2159</v>
      </c>
    </row>
    <row r="1848" ht="14" customHeight="1" spans="1:7">
      <c r="A1848">
        <v>52008</v>
      </c>
      <c r="B1848">
        <v>1</v>
      </c>
      <c r="C1848">
        <v>3</v>
      </c>
      <c r="D1848">
        <v>1</v>
      </c>
      <c r="E1848">
        <v>100</v>
      </c>
      <c r="F1848" t="s">
        <v>2160</v>
      </c>
      <c r="G1848" t="s">
        <v>2159</v>
      </c>
    </row>
    <row r="1849" ht="14" customHeight="1" spans="1:7">
      <c r="A1849">
        <v>52009</v>
      </c>
      <c r="B1849">
        <v>1</v>
      </c>
      <c r="C1849">
        <v>1</v>
      </c>
      <c r="D1849">
        <v>1</v>
      </c>
      <c r="E1849">
        <v>100</v>
      </c>
      <c r="F1849" t="s">
        <v>2161</v>
      </c>
      <c r="G1849" t="s">
        <v>2159</v>
      </c>
    </row>
    <row r="1850" ht="14" customHeight="1" spans="1:7">
      <c r="A1850">
        <v>52010</v>
      </c>
      <c r="B1850">
        <v>1</v>
      </c>
      <c r="C1850">
        <v>1</v>
      </c>
      <c r="D1850">
        <v>1</v>
      </c>
      <c r="E1850">
        <v>100</v>
      </c>
      <c r="F1850" t="s">
        <v>2162</v>
      </c>
      <c r="G1850" t="s">
        <v>2159</v>
      </c>
    </row>
    <row r="1851" ht="14" customHeight="1" spans="1:7">
      <c r="A1851" s="75">
        <v>52011</v>
      </c>
      <c r="B1851" s="75">
        <v>2</v>
      </c>
      <c r="C1851" s="75">
        <v>1</v>
      </c>
      <c r="D1851" s="75">
        <v>1</v>
      </c>
      <c r="E1851" s="75">
        <v>100</v>
      </c>
      <c r="F1851" s="75" t="s">
        <v>2163</v>
      </c>
      <c r="G1851" s="75" t="s">
        <v>2159</v>
      </c>
    </row>
    <row r="1852" ht="14" customHeight="1" spans="1:7">
      <c r="A1852">
        <v>52012</v>
      </c>
      <c r="B1852">
        <v>1</v>
      </c>
      <c r="C1852">
        <v>1</v>
      </c>
      <c r="D1852">
        <v>1</v>
      </c>
      <c r="E1852">
        <v>100</v>
      </c>
      <c r="F1852" t="s">
        <v>2164</v>
      </c>
      <c r="G1852" t="s">
        <v>2165</v>
      </c>
    </row>
    <row r="1853" ht="14" customHeight="1" spans="1:7">
      <c r="A1853">
        <v>52013</v>
      </c>
      <c r="B1853">
        <v>1</v>
      </c>
      <c r="C1853">
        <v>3</v>
      </c>
      <c r="D1853">
        <v>1</v>
      </c>
      <c r="E1853">
        <v>100</v>
      </c>
      <c r="F1853" t="s">
        <v>2166</v>
      </c>
      <c r="G1853" t="s">
        <v>2165</v>
      </c>
    </row>
    <row r="1854" ht="14" customHeight="1" spans="1:7">
      <c r="A1854">
        <v>52014</v>
      </c>
      <c r="B1854">
        <v>1</v>
      </c>
      <c r="C1854">
        <v>1</v>
      </c>
      <c r="D1854">
        <v>1</v>
      </c>
      <c r="E1854">
        <v>100</v>
      </c>
      <c r="F1854" t="s">
        <v>2167</v>
      </c>
      <c r="G1854" t="s">
        <v>2165</v>
      </c>
    </row>
    <row r="1855" ht="14" customHeight="1" spans="1:7">
      <c r="A1855" s="75">
        <v>52015</v>
      </c>
      <c r="B1855" s="75">
        <v>2</v>
      </c>
      <c r="C1855" s="75">
        <v>1</v>
      </c>
      <c r="D1855" s="75">
        <v>1</v>
      </c>
      <c r="E1855" s="75">
        <v>100</v>
      </c>
      <c r="F1855" s="75" t="s">
        <v>2168</v>
      </c>
      <c r="G1855" s="75" t="s">
        <v>2165</v>
      </c>
    </row>
    <row r="1856" ht="14" customHeight="1" spans="1:7">
      <c r="A1856">
        <v>52016</v>
      </c>
      <c r="B1856">
        <v>1</v>
      </c>
      <c r="C1856">
        <v>1</v>
      </c>
      <c r="D1856">
        <v>1</v>
      </c>
      <c r="E1856">
        <v>100</v>
      </c>
      <c r="F1856" t="s">
        <v>2161</v>
      </c>
      <c r="G1856" t="s">
        <v>2169</v>
      </c>
    </row>
    <row r="1857" ht="14" customHeight="1" spans="1:7">
      <c r="A1857">
        <v>52017</v>
      </c>
      <c r="B1857">
        <v>1</v>
      </c>
      <c r="C1857">
        <v>1</v>
      </c>
      <c r="D1857">
        <v>1</v>
      </c>
      <c r="E1857">
        <v>100</v>
      </c>
      <c r="F1857" t="s">
        <v>2170</v>
      </c>
      <c r="G1857" t="s">
        <v>2169</v>
      </c>
    </row>
    <row r="1858" ht="14" customHeight="1" spans="1:7">
      <c r="A1858" s="75">
        <v>52018</v>
      </c>
      <c r="B1858" s="75">
        <v>2</v>
      </c>
      <c r="C1858" s="75">
        <v>1</v>
      </c>
      <c r="D1858" s="75">
        <v>1</v>
      </c>
      <c r="E1858" s="75">
        <v>100</v>
      </c>
      <c r="F1858" s="75" t="s">
        <v>2171</v>
      </c>
      <c r="G1858" s="75" t="s">
        <v>2169</v>
      </c>
    </row>
    <row r="1859" ht="14" customHeight="1" spans="1:7">
      <c r="A1859">
        <v>52019</v>
      </c>
      <c r="B1859">
        <v>1</v>
      </c>
      <c r="C1859">
        <v>1</v>
      </c>
      <c r="D1859">
        <v>1</v>
      </c>
      <c r="E1859">
        <v>100</v>
      </c>
      <c r="F1859" t="s">
        <v>2172</v>
      </c>
      <c r="G1859" t="s">
        <v>2173</v>
      </c>
    </row>
    <row r="1860" ht="14" customHeight="1" spans="1:7">
      <c r="A1860">
        <v>52020</v>
      </c>
      <c r="B1860">
        <v>1</v>
      </c>
      <c r="C1860">
        <v>4</v>
      </c>
      <c r="D1860">
        <v>1</v>
      </c>
      <c r="E1860">
        <v>100</v>
      </c>
      <c r="F1860" t="s">
        <v>1986</v>
      </c>
      <c r="G1860" t="s">
        <v>2173</v>
      </c>
    </row>
    <row r="1861" ht="14" customHeight="1" spans="1:7">
      <c r="A1861" s="75">
        <v>52021</v>
      </c>
      <c r="B1861" s="75">
        <v>2</v>
      </c>
      <c r="C1861" s="75">
        <v>1</v>
      </c>
      <c r="D1861" s="75">
        <v>1</v>
      </c>
      <c r="E1861" s="75">
        <v>100</v>
      </c>
      <c r="F1861" s="75" t="s">
        <v>2174</v>
      </c>
      <c r="G1861" s="75" t="s">
        <v>2173</v>
      </c>
    </row>
    <row r="1862" ht="14" customHeight="1" spans="1:7">
      <c r="A1862">
        <v>52022</v>
      </c>
      <c r="B1862">
        <v>1</v>
      </c>
      <c r="C1862">
        <v>1</v>
      </c>
      <c r="D1862">
        <v>1</v>
      </c>
      <c r="E1862">
        <v>100</v>
      </c>
      <c r="F1862" t="s">
        <v>2175</v>
      </c>
      <c r="G1862" t="s">
        <v>2176</v>
      </c>
    </row>
    <row r="1863" ht="14" customHeight="1" spans="1:7">
      <c r="A1863">
        <v>52023</v>
      </c>
      <c r="B1863">
        <v>1</v>
      </c>
      <c r="C1863">
        <v>3</v>
      </c>
      <c r="D1863">
        <v>1</v>
      </c>
      <c r="E1863">
        <v>100</v>
      </c>
      <c r="F1863" t="s">
        <v>2177</v>
      </c>
      <c r="G1863" t="s">
        <v>2176</v>
      </c>
    </row>
    <row r="1864" ht="14" customHeight="1" spans="1:7">
      <c r="A1864">
        <v>52024</v>
      </c>
      <c r="B1864">
        <v>1</v>
      </c>
      <c r="C1864">
        <v>1</v>
      </c>
      <c r="D1864">
        <v>1</v>
      </c>
      <c r="E1864">
        <v>100</v>
      </c>
      <c r="F1864" t="s">
        <v>2178</v>
      </c>
      <c r="G1864" t="s">
        <v>2176</v>
      </c>
    </row>
    <row r="1865" ht="14" customHeight="1" spans="1:7">
      <c r="A1865">
        <v>52025</v>
      </c>
      <c r="B1865">
        <v>1</v>
      </c>
      <c r="C1865">
        <v>1</v>
      </c>
      <c r="D1865">
        <v>1</v>
      </c>
      <c r="E1865">
        <v>100</v>
      </c>
      <c r="F1865" t="s">
        <v>2179</v>
      </c>
      <c r="G1865" t="s">
        <v>2176</v>
      </c>
    </row>
    <row r="1866" ht="14" customHeight="1" spans="1:7">
      <c r="A1866" s="75">
        <v>52026</v>
      </c>
      <c r="B1866" s="75">
        <v>2</v>
      </c>
      <c r="C1866" s="75">
        <v>1</v>
      </c>
      <c r="D1866" s="75">
        <v>1</v>
      </c>
      <c r="E1866" s="75">
        <v>100</v>
      </c>
      <c r="F1866" s="75" t="s">
        <v>2180</v>
      </c>
      <c r="G1866" s="75" t="s">
        <v>2176</v>
      </c>
    </row>
    <row r="1867" ht="14" customHeight="1" spans="1:7">
      <c r="A1867">
        <v>52027</v>
      </c>
      <c r="B1867">
        <v>1</v>
      </c>
      <c r="C1867">
        <v>1</v>
      </c>
      <c r="D1867">
        <v>1</v>
      </c>
      <c r="E1867">
        <v>100</v>
      </c>
      <c r="F1867" t="s">
        <v>2175</v>
      </c>
      <c r="G1867" t="s">
        <v>2181</v>
      </c>
    </row>
    <row r="1868" ht="14" customHeight="1" spans="1:7">
      <c r="A1868">
        <v>52028</v>
      </c>
      <c r="B1868">
        <v>1</v>
      </c>
      <c r="C1868">
        <v>3</v>
      </c>
      <c r="D1868">
        <v>1</v>
      </c>
      <c r="E1868">
        <v>100</v>
      </c>
      <c r="F1868" t="s">
        <v>1986</v>
      </c>
      <c r="G1868" t="s">
        <v>2181</v>
      </c>
    </row>
    <row r="1869" ht="14" customHeight="1" spans="1:7">
      <c r="A1869">
        <v>52029</v>
      </c>
      <c r="B1869">
        <v>1</v>
      </c>
      <c r="C1869">
        <v>1</v>
      </c>
      <c r="D1869">
        <v>1</v>
      </c>
      <c r="E1869">
        <v>100</v>
      </c>
      <c r="F1869" t="s">
        <v>2162</v>
      </c>
      <c r="G1869" t="s">
        <v>2181</v>
      </c>
    </row>
    <row r="1870" ht="14" customHeight="1" spans="1:7">
      <c r="A1870" s="75">
        <v>52030</v>
      </c>
      <c r="B1870" s="75">
        <v>2</v>
      </c>
      <c r="C1870" s="75">
        <v>1</v>
      </c>
      <c r="D1870" s="75">
        <v>1</v>
      </c>
      <c r="E1870" s="75">
        <v>100</v>
      </c>
      <c r="F1870" s="75" t="s">
        <v>2182</v>
      </c>
      <c r="G1870" s="75" t="s">
        <v>2181</v>
      </c>
    </row>
    <row r="1871" ht="14" customHeight="1" spans="1:7">
      <c r="A1871">
        <v>52031</v>
      </c>
      <c r="B1871">
        <v>1</v>
      </c>
      <c r="C1871">
        <v>1</v>
      </c>
      <c r="D1871">
        <v>1</v>
      </c>
      <c r="E1871">
        <v>100</v>
      </c>
      <c r="F1871" t="s">
        <v>2183</v>
      </c>
      <c r="G1871" t="s">
        <v>2184</v>
      </c>
    </row>
    <row r="1872" ht="14" customHeight="1" spans="1:7">
      <c r="A1872">
        <v>52032</v>
      </c>
      <c r="B1872">
        <v>1</v>
      </c>
      <c r="C1872">
        <v>1</v>
      </c>
      <c r="D1872">
        <v>1</v>
      </c>
      <c r="E1872">
        <v>100</v>
      </c>
      <c r="F1872" t="s">
        <v>2185</v>
      </c>
      <c r="G1872" t="s">
        <v>2184</v>
      </c>
    </row>
    <row r="1873" ht="14" customHeight="1" spans="1:7">
      <c r="A1873" s="75">
        <v>52033</v>
      </c>
      <c r="B1873" s="75">
        <v>2</v>
      </c>
      <c r="C1873" s="75">
        <v>1</v>
      </c>
      <c r="D1873" s="75">
        <v>1</v>
      </c>
      <c r="E1873" s="75">
        <v>100</v>
      </c>
      <c r="F1873" s="75" t="s">
        <v>2186</v>
      </c>
      <c r="G1873" s="75" t="s">
        <v>2184</v>
      </c>
    </row>
    <row r="1874" ht="14" customHeight="1" spans="1:7">
      <c r="A1874">
        <v>52034</v>
      </c>
      <c r="B1874">
        <v>1</v>
      </c>
      <c r="C1874">
        <v>1</v>
      </c>
      <c r="D1874">
        <v>1</v>
      </c>
      <c r="E1874">
        <v>100</v>
      </c>
      <c r="F1874" t="s">
        <v>2187</v>
      </c>
      <c r="G1874" t="s">
        <v>2188</v>
      </c>
    </row>
    <row r="1875" ht="14" customHeight="1" spans="1:7">
      <c r="A1875">
        <v>52035</v>
      </c>
      <c r="B1875">
        <v>1</v>
      </c>
      <c r="C1875">
        <v>5</v>
      </c>
      <c r="D1875">
        <v>1</v>
      </c>
      <c r="E1875">
        <v>100</v>
      </c>
      <c r="F1875" t="s">
        <v>1986</v>
      </c>
      <c r="G1875" t="s">
        <v>2188</v>
      </c>
    </row>
    <row r="1876" ht="14" customHeight="1" spans="1:7">
      <c r="A1876" s="75">
        <v>52036</v>
      </c>
      <c r="B1876" s="75">
        <v>2</v>
      </c>
      <c r="C1876" s="75">
        <v>1</v>
      </c>
      <c r="D1876" s="75">
        <v>1</v>
      </c>
      <c r="E1876" s="75">
        <v>100</v>
      </c>
      <c r="F1876" s="75" t="s">
        <v>2189</v>
      </c>
      <c r="G1876" s="75" t="s">
        <v>2188</v>
      </c>
    </row>
    <row r="1877" ht="14" customHeight="1" spans="1:7">
      <c r="A1877">
        <v>52037</v>
      </c>
      <c r="B1877">
        <v>1</v>
      </c>
      <c r="C1877">
        <v>2</v>
      </c>
      <c r="D1877">
        <v>1</v>
      </c>
      <c r="E1877">
        <v>100</v>
      </c>
      <c r="F1877" s="7" t="s">
        <v>2190</v>
      </c>
      <c r="G1877" t="s">
        <v>2191</v>
      </c>
    </row>
    <row r="1878" ht="14" customHeight="1" spans="1:7">
      <c r="A1878">
        <v>52038</v>
      </c>
      <c r="B1878">
        <v>1</v>
      </c>
      <c r="C1878">
        <v>1</v>
      </c>
      <c r="D1878">
        <v>1</v>
      </c>
      <c r="E1878">
        <v>100</v>
      </c>
      <c r="F1878" s="7" t="s">
        <v>2192</v>
      </c>
      <c r="G1878" t="s">
        <v>2191</v>
      </c>
    </row>
    <row r="1879" ht="14" customHeight="1" spans="1:7">
      <c r="A1879">
        <v>52039</v>
      </c>
      <c r="B1879">
        <v>1</v>
      </c>
      <c r="C1879">
        <v>4</v>
      </c>
      <c r="D1879">
        <v>1</v>
      </c>
      <c r="E1879">
        <v>100</v>
      </c>
      <c r="F1879" t="s">
        <v>2177</v>
      </c>
      <c r="G1879" t="s">
        <v>2191</v>
      </c>
    </row>
    <row r="1880" ht="14" customHeight="1" spans="1:7">
      <c r="A1880">
        <v>52040</v>
      </c>
      <c r="B1880">
        <v>1</v>
      </c>
      <c r="C1880">
        <v>1</v>
      </c>
      <c r="D1880">
        <v>1</v>
      </c>
      <c r="E1880">
        <v>100</v>
      </c>
      <c r="F1880" t="s">
        <v>2178</v>
      </c>
      <c r="G1880" t="s">
        <v>2191</v>
      </c>
    </row>
    <row r="1881" ht="14" customHeight="1" spans="1:7">
      <c r="A1881">
        <v>52041</v>
      </c>
      <c r="B1881">
        <v>1</v>
      </c>
      <c r="C1881">
        <v>1</v>
      </c>
      <c r="D1881">
        <v>1</v>
      </c>
      <c r="E1881">
        <v>100</v>
      </c>
      <c r="F1881" t="s">
        <v>2193</v>
      </c>
      <c r="G1881" t="s">
        <v>2191</v>
      </c>
    </row>
    <row r="1882" ht="14" customHeight="1" spans="1:7">
      <c r="A1882" s="75">
        <v>52042</v>
      </c>
      <c r="B1882" s="75">
        <v>2</v>
      </c>
      <c r="C1882" s="75">
        <v>1</v>
      </c>
      <c r="D1882" s="75">
        <v>1</v>
      </c>
      <c r="E1882" s="75">
        <v>100</v>
      </c>
      <c r="F1882" s="75" t="s">
        <v>2194</v>
      </c>
      <c r="G1882" s="75" t="s">
        <v>2191</v>
      </c>
    </row>
    <row r="1883" ht="14" customHeight="1" spans="1:7">
      <c r="A1883">
        <v>52043</v>
      </c>
      <c r="B1883">
        <v>1</v>
      </c>
      <c r="C1883">
        <v>1</v>
      </c>
      <c r="D1883">
        <v>1</v>
      </c>
      <c r="E1883">
        <v>100</v>
      </c>
      <c r="F1883" s="7" t="s">
        <v>2195</v>
      </c>
      <c r="G1883" t="s">
        <v>2196</v>
      </c>
    </row>
    <row r="1884" ht="14" customHeight="1" spans="1:7">
      <c r="A1884">
        <v>52044</v>
      </c>
      <c r="B1884">
        <v>1</v>
      </c>
      <c r="C1884">
        <v>3</v>
      </c>
      <c r="D1884">
        <v>1</v>
      </c>
      <c r="E1884">
        <v>100</v>
      </c>
      <c r="F1884" t="s">
        <v>1986</v>
      </c>
      <c r="G1884" t="s">
        <v>2196</v>
      </c>
    </row>
    <row r="1885" ht="14" customHeight="1" spans="1:7">
      <c r="A1885">
        <v>52045</v>
      </c>
      <c r="B1885">
        <v>1</v>
      </c>
      <c r="C1885">
        <v>1</v>
      </c>
      <c r="D1885">
        <v>1</v>
      </c>
      <c r="E1885">
        <v>100</v>
      </c>
      <c r="F1885" t="s">
        <v>2197</v>
      </c>
      <c r="G1885" t="s">
        <v>2196</v>
      </c>
    </row>
    <row r="1886" ht="14" customHeight="1" spans="1:7">
      <c r="A1886" s="75">
        <v>52046</v>
      </c>
      <c r="B1886" s="75">
        <v>2</v>
      </c>
      <c r="C1886" s="75">
        <v>1</v>
      </c>
      <c r="D1886" s="75">
        <v>1</v>
      </c>
      <c r="E1886" s="75">
        <v>100</v>
      </c>
      <c r="F1886" s="75" t="s">
        <v>2198</v>
      </c>
      <c r="G1886" s="75" t="s">
        <v>2196</v>
      </c>
    </row>
    <row r="1887" ht="14" customHeight="1" spans="1:7">
      <c r="A1887">
        <v>52047</v>
      </c>
      <c r="B1887">
        <v>1</v>
      </c>
      <c r="C1887">
        <v>1</v>
      </c>
      <c r="D1887">
        <v>1</v>
      </c>
      <c r="E1887">
        <v>100</v>
      </c>
      <c r="F1887" t="s">
        <v>2199</v>
      </c>
      <c r="G1887" t="s">
        <v>2200</v>
      </c>
    </row>
    <row r="1888" ht="14" customHeight="1" spans="1:7">
      <c r="A1888">
        <v>52048</v>
      </c>
      <c r="B1888">
        <v>1</v>
      </c>
      <c r="C1888">
        <v>1</v>
      </c>
      <c r="D1888">
        <v>1</v>
      </c>
      <c r="E1888">
        <v>100</v>
      </c>
      <c r="F1888" t="s">
        <v>2201</v>
      </c>
      <c r="G1888" t="s">
        <v>2200</v>
      </c>
    </row>
    <row r="1889" ht="14" customHeight="1" spans="1:7">
      <c r="A1889">
        <v>52049</v>
      </c>
      <c r="B1889">
        <v>1</v>
      </c>
      <c r="C1889">
        <v>1</v>
      </c>
      <c r="D1889">
        <v>1</v>
      </c>
      <c r="E1889">
        <v>100</v>
      </c>
      <c r="F1889" t="s">
        <v>2202</v>
      </c>
      <c r="G1889" t="s">
        <v>2200</v>
      </c>
    </row>
    <row r="1890" ht="14" customHeight="1" spans="1:7">
      <c r="A1890" s="75">
        <v>52050</v>
      </c>
      <c r="B1890" s="75">
        <v>2</v>
      </c>
      <c r="C1890" s="75">
        <v>1</v>
      </c>
      <c r="D1890" s="75">
        <v>1</v>
      </c>
      <c r="E1890" s="75">
        <v>100</v>
      </c>
      <c r="F1890" s="75" t="s">
        <v>2203</v>
      </c>
      <c r="G1890" s="75" t="s">
        <v>2200</v>
      </c>
    </row>
    <row r="1891" ht="14" customHeight="1" spans="1:7">
      <c r="A1891">
        <v>52051</v>
      </c>
      <c r="B1891">
        <v>1</v>
      </c>
      <c r="C1891">
        <v>1</v>
      </c>
      <c r="D1891">
        <v>1</v>
      </c>
      <c r="E1891">
        <v>100</v>
      </c>
      <c r="F1891" t="s">
        <v>2187</v>
      </c>
      <c r="G1891" t="s">
        <v>2204</v>
      </c>
    </row>
    <row r="1892" ht="14" customHeight="1" spans="1:7">
      <c r="A1892">
        <v>52052</v>
      </c>
      <c r="B1892">
        <v>1</v>
      </c>
      <c r="C1892">
        <v>4</v>
      </c>
      <c r="D1892">
        <v>1</v>
      </c>
      <c r="E1892">
        <v>100</v>
      </c>
      <c r="F1892" t="s">
        <v>2205</v>
      </c>
      <c r="G1892" t="s">
        <v>2204</v>
      </c>
    </row>
    <row r="1893" ht="14" customHeight="1" spans="1:7">
      <c r="A1893">
        <v>52053</v>
      </c>
      <c r="B1893">
        <v>1</v>
      </c>
      <c r="C1893">
        <v>1</v>
      </c>
      <c r="D1893">
        <v>1</v>
      </c>
      <c r="E1893">
        <v>100</v>
      </c>
      <c r="F1893" t="s">
        <v>2206</v>
      </c>
      <c r="G1893" t="s">
        <v>2204</v>
      </c>
    </row>
    <row r="1894" ht="14" customHeight="1" spans="1:7">
      <c r="A1894">
        <v>52054</v>
      </c>
      <c r="B1894">
        <v>1</v>
      </c>
      <c r="C1894">
        <v>1</v>
      </c>
      <c r="D1894">
        <v>1</v>
      </c>
      <c r="E1894">
        <v>100</v>
      </c>
      <c r="F1894" t="s">
        <v>2207</v>
      </c>
      <c r="G1894" t="s">
        <v>2204</v>
      </c>
    </row>
    <row r="1895" ht="14" customHeight="1" spans="1:7">
      <c r="A1895" s="75">
        <v>52055</v>
      </c>
      <c r="B1895" s="75">
        <v>2</v>
      </c>
      <c r="C1895" s="75">
        <v>1</v>
      </c>
      <c r="D1895" s="75">
        <v>1</v>
      </c>
      <c r="E1895" s="75">
        <v>100</v>
      </c>
      <c r="F1895" s="75" t="s">
        <v>2208</v>
      </c>
      <c r="G1895" s="75" t="s">
        <v>2204</v>
      </c>
    </row>
    <row r="1896" ht="14" customHeight="1" spans="1:7">
      <c r="A1896">
        <v>52056</v>
      </c>
      <c r="B1896">
        <v>1</v>
      </c>
      <c r="C1896">
        <v>2</v>
      </c>
      <c r="D1896">
        <v>1</v>
      </c>
      <c r="E1896">
        <v>100</v>
      </c>
      <c r="F1896" t="s">
        <v>2209</v>
      </c>
      <c r="G1896" t="s">
        <v>2210</v>
      </c>
    </row>
    <row r="1897" ht="14" customHeight="1" spans="1:7">
      <c r="A1897">
        <v>52057</v>
      </c>
      <c r="B1897">
        <v>1</v>
      </c>
      <c r="C1897">
        <v>1</v>
      </c>
      <c r="D1897">
        <v>1</v>
      </c>
      <c r="E1897">
        <v>100</v>
      </c>
      <c r="F1897" t="s">
        <v>2211</v>
      </c>
      <c r="G1897" t="s">
        <v>2210</v>
      </c>
    </row>
    <row r="1898" ht="14" customHeight="1" spans="1:7">
      <c r="A1898">
        <v>52058</v>
      </c>
      <c r="B1898">
        <v>1</v>
      </c>
      <c r="C1898">
        <v>5</v>
      </c>
      <c r="D1898">
        <v>1</v>
      </c>
      <c r="E1898">
        <v>100</v>
      </c>
      <c r="F1898" t="s">
        <v>2177</v>
      </c>
      <c r="G1898" t="s">
        <v>2210</v>
      </c>
    </row>
    <row r="1899" ht="14" customHeight="1" spans="1:7">
      <c r="A1899">
        <v>52059</v>
      </c>
      <c r="B1899">
        <v>1</v>
      </c>
      <c r="C1899">
        <v>1</v>
      </c>
      <c r="D1899">
        <v>1</v>
      </c>
      <c r="E1899">
        <v>100</v>
      </c>
      <c r="F1899" t="s">
        <v>2212</v>
      </c>
      <c r="G1899" t="s">
        <v>2210</v>
      </c>
    </row>
    <row r="1900" ht="14" customHeight="1" spans="1:7">
      <c r="A1900">
        <v>52060</v>
      </c>
      <c r="B1900">
        <v>1</v>
      </c>
      <c r="C1900">
        <v>1</v>
      </c>
      <c r="D1900">
        <v>1</v>
      </c>
      <c r="E1900">
        <v>100</v>
      </c>
      <c r="F1900" t="s">
        <v>2197</v>
      </c>
      <c r="G1900" t="s">
        <v>2210</v>
      </c>
    </row>
    <row r="1901" ht="14" customHeight="1" spans="1:7">
      <c r="A1901" s="75">
        <v>52061</v>
      </c>
      <c r="B1901" s="75">
        <v>2</v>
      </c>
      <c r="C1901" s="75">
        <v>1</v>
      </c>
      <c r="D1901" s="75">
        <v>1</v>
      </c>
      <c r="E1901" s="75">
        <v>100</v>
      </c>
      <c r="F1901" s="75" t="s">
        <v>2213</v>
      </c>
      <c r="G1901" s="75" t="s">
        <v>2210</v>
      </c>
    </row>
    <row r="1902" ht="14" customHeight="1" spans="1:7">
      <c r="A1902">
        <v>52062</v>
      </c>
      <c r="B1902">
        <v>1</v>
      </c>
      <c r="C1902">
        <v>1</v>
      </c>
      <c r="D1902">
        <v>1</v>
      </c>
      <c r="E1902">
        <v>100</v>
      </c>
      <c r="F1902" t="s">
        <v>2214</v>
      </c>
      <c r="G1902" t="s">
        <v>2215</v>
      </c>
    </row>
    <row r="1903" ht="14" customHeight="1" spans="1:7">
      <c r="A1903">
        <v>52063</v>
      </c>
      <c r="B1903">
        <v>1</v>
      </c>
      <c r="C1903">
        <v>1</v>
      </c>
      <c r="D1903">
        <v>1</v>
      </c>
      <c r="E1903">
        <v>100</v>
      </c>
      <c r="F1903" t="s">
        <v>2185</v>
      </c>
      <c r="G1903" t="s">
        <v>2215</v>
      </c>
    </row>
    <row r="1904" ht="14" customHeight="1" spans="1:7">
      <c r="A1904">
        <v>52064</v>
      </c>
      <c r="B1904">
        <v>1</v>
      </c>
      <c r="C1904">
        <v>4</v>
      </c>
      <c r="D1904">
        <v>1</v>
      </c>
      <c r="E1904">
        <v>100</v>
      </c>
      <c r="F1904" t="s">
        <v>1986</v>
      </c>
      <c r="G1904" t="s">
        <v>2215</v>
      </c>
    </row>
    <row r="1905" ht="14" customHeight="1" spans="1:7">
      <c r="A1905">
        <v>52065</v>
      </c>
      <c r="B1905">
        <v>1</v>
      </c>
      <c r="C1905">
        <v>1</v>
      </c>
      <c r="D1905">
        <v>1</v>
      </c>
      <c r="E1905">
        <v>100</v>
      </c>
      <c r="F1905" t="s">
        <v>2216</v>
      </c>
      <c r="G1905" t="s">
        <v>2215</v>
      </c>
    </row>
    <row r="1906" ht="14" customHeight="1" spans="1:7">
      <c r="A1906" s="75">
        <v>52066</v>
      </c>
      <c r="B1906" s="75">
        <v>2</v>
      </c>
      <c r="C1906" s="75">
        <v>1</v>
      </c>
      <c r="D1906" s="75">
        <v>1</v>
      </c>
      <c r="E1906" s="75">
        <v>100</v>
      </c>
      <c r="F1906" s="75" t="s">
        <v>2217</v>
      </c>
      <c r="G1906" s="75" t="s">
        <v>2215</v>
      </c>
    </row>
    <row r="1907" ht="14" customHeight="1" spans="1:7">
      <c r="A1907">
        <v>52067</v>
      </c>
      <c r="B1907">
        <v>1</v>
      </c>
      <c r="C1907">
        <v>1</v>
      </c>
      <c r="D1907">
        <v>1</v>
      </c>
      <c r="E1907">
        <v>100</v>
      </c>
      <c r="F1907" t="s">
        <v>2218</v>
      </c>
      <c r="G1907" t="s">
        <v>2219</v>
      </c>
    </row>
    <row r="1908" ht="14" customHeight="1" spans="1:7">
      <c r="A1908">
        <v>52068</v>
      </c>
      <c r="B1908">
        <v>1</v>
      </c>
      <c r="C1908">
        <v>1</v>
      </c>
      <c r="D1908">
        <v>1</v>
      </c>
      <c r="E1908">
        <v>100</v>
      </c>
      <c r="F1908" t="s">
        <v>2201</v>
      </c>
      <c r="G1908" t="s">
        <v>2219</v>
      </c>
    </row>
    <row r="1909" ht="14" customHeight="1" spans="1:7">
      <c r="A1909">
        <v>52069</v>
      </c>
      <c r="B1909">
        <v>1</v>
      </c>
      <c r="C1909">
        <v>2</v>
      </c>
      <c r="D1909">
        <v>1</v>
      </c>
      <c r="E1909">
        <v>100</v>
      </c>
      <c r="F1909" t="s">
        <v>2214</v>
      </c>
      <c r="G1909" t="s">
        <v>2219</v>
      </c>
    </row>
    <row r="1910" ht="14" customHeight="1" spans="1:7">
      <c r="A1910">
        <v>52070</v>
      </c>
      <c r="B1910">
        <v>1</v>
      </c>
      <c r="C1910">
        <v>1</v>
      </c>
      <c r="D1910">
        <v>1</v>
      </c>
      <c r="E1910">
        <v>100</v>
      </c>
      <c r="F1910" t="s">
        <v>2220</v>
      </c>
      <c r="G1910" t="s">
        <v>2219</v>
      </c>
    </row>
    <row r="1911" ht="14" customHeight="1" spans="1:7">
      <c r="A1911" s="75">
        <v>52071</v>
      </c>
      <c r="B1911" s="75">
        <v>2</v>
      </c>
      <c r="C1911" s="75">
        <v>1</v>
      </c>
      <c r="D1911" s="75">
        <v>1</v>
      </c>
      <c r="E1911" s="75">
        <v>100</v>
      </c>
      <c r="F1911" s="75" t="s">
        <v>2221</v>
      </c>
      <c r="G1911" s="75" t="s">
        <v>2219</v>
      </c>
    </row>
    <row r="1912" ht="14" customHeight="1" spans="1:7">
      <c r="A1912">
        <v>52072</v>
      </c>
      <c r="B1912">
        <v>1</v>
      </c>
      <c r="C1912">
        <v>1</v>
      </c>
      <c r="D1912">
        <v>1</v>
      </c>
      <c r="E1912">
        <v>100</v>
      </c>
      <c r="F1912" t="s">
        <v>2222</v>
      </c>
      <c r="G1912" t="s">
        <v>2223</v>
      </c>
    </row>
    <row r="1913" ht="14" customHeight="1" spans="1:7">
      <c r="A1913">
        <v>52073</v>
      </c>
      <c r="B1913">
        <v>1</v>
      </c>
      <c r="C1913">
        <v>5</v>
      </c>
      <c r="D1913">
        <v>1</v>
      </c>
      <c r="E1913">
        <v>100</v>
      </c>
      <c r="F1913" t="s">
        <v>2205</v>
      </c>
      <c r="G1913" t="s">
        <v>2223</v>
      </c>
    </row>
    <row r="1914" ht="14" customHeight="1" spans="1:7">
      <c r="A1914">
        <v>52074</v>
      </c>
      <c r="B1914">
        <v>1</v>
      </c>
      <c r="C1914">
        <v>1</v>
      </c>
      <c r="D1914">
        <v>1</v>
      </c>
      <c r="E1914">
        <v>100</v>
      </c>
      <c r="F1914" t="s">
        <v>2224</v>
      </c>
      <c r="G1914" t="s">
        <v>2223</v>
      </c>
    </row>
    <row r="1915" ht="14" customHeight="1" spans="1:7">
      <c r="A1915">
        <v>52075</v>
      </c>
      <c r="B1915">
        <v>1</v>
      </c>
      <c r="C1915">
        <v>1</v>
      </c>
      <c r="D1915">
        <v>1</v>
      </c>
      <c r="E1915">
        <v>100</v>
      </c>
      <c r="F1915" t="s">
        <v>2207</v>
      </c>
      <c r="G1915" t="s">
        <v>2223</v>
      </c>
    </row>
    <row r="1916" ht="14" customHeight="1" spans="1:7">
      <c r="A1916">
        <v>52076</v>
      </c>
      <c r="B1916">
        <v>1</v>
      </c>
      <c r="C1916">
        <v>1</v>
      </c>
      <c r="D1916">
        <v>1</v>
      </c>
      <c r="E1916">
        <v>100</v>
      </c>
      <c r="F1916" t="s">
        <v>2225</v>
      </c>
      <c r="G1916" t="s">
        <v>2226</v>
      </c>
    </row>
    <row r="1917" ht="14" customHeight="1" spans="1:7">
      <c r="A1917">
        <v>52077</v>
      </c>
      <c r="B1917">
        <v>1</v>
      </c>
      <c r="C1917">
        <v>1</v>
      </c>
      <c r="D1917">
        <v>1</v>
      </c>
      <c r="E1917">
        <v>100</v>
      </c>
      <c r="F1917" s="7" t="s">
        <v>2227</v>
      </c>
      <c r="G1917" t="s">
        <v>2226</v>
      </c>
    </row>
    <row r="1918" ht="14" customHeight="1" spans="1:7">
      <c r="A1918">
        <v>52078</v>
      </c>
      <c r="B1918">
        <v>1</v>
      </c>
      <c r="C1918">
        <v>1</v>
      </c>
      <c r="D1918">
        <v>1</v>
      </c>
      <c r="E1918">
        <v>100</v>
      </c>
      <c r="F1918" s="7" t="s">
        <v>2228</v>
      </c>
      <c r="G1918" t="s">
        <v>2226</v>
      </c>
    </row>
    <row r="1919" ht="14" customHeight="1" spans="1:7">
      <c r="A1919">
        <v>52079</v>
      </c>
      <c r="B1919">
        <v>1</v>
      </c>
      <c r="C1919">
        <v>1</v>
      </c>
      <c r="D1919">
        <v>1</v>
      </c>
      <c r="E1919">
        <v>100</v>
      </c>
      <c r="F1919" s="7" t="s">
        <v>2229</v>
      </c>
      <c r="G1919" t="s">
        <v>2226</v>
      </c>
    </row>
    <row r="1920" ht="14" customHeight="1" spans="1:7">
      <c r="A1920">
        <v>52080</v>
      </c>
      <c r="B1920">
        <v>1</v>
      </c>
      <c r="C1920">
        <v>1</v>
      </c>
      <c r="D1920">
        <v>1</v>
      </c>
      <c r="E1920">
        <v>100</v>
      </c>
      <c r="F1920" t="s">
        <v>2230</v>
      </c>
      <c r="G1920" t="s">
        <v>2226</v>
      </c>
    </row>
    <row r="1921" ht="14" customHeight="1" spans="1:7">
      <c r="A1921">
        <v>52081</v>
      </c>
      <c r="B1921">
        <v>1</v>
      </c>
      <c r="C1921">
        <v>1</v>
      </c>
      <c r="D1921">
        <v>1</v>
      </c>
      <c r="E1921">
        <v>100</v>
      </c>
      <c r="F1921" t="s">
        <v>2231</v>
      </c>
      <c r="G1921" t="s">
        <v>2226</v>
      </c>
    </row>
    <row r="1922" ht="14" customHeight="1" spans="1:7">
      <c r="A1922" s="75">
        <v>52082</v>
      </c>
      <c r="B1922" s="75">
        <v>2</v>
      </c>
      <c r="C1922" s="75">
        <v>1</v>
      </c>
      <c r="D1922" s="75">
        <v>1</v>
      </c>
      <c r="E1922" s="75">
        <v>100</v>
      </c>
      <c r="F1922" s="75" t="s">
        <v>2232</v>
      </c>
      <c r="G1922" s="75" t="s">
        <v>2226</v>
      </c>
    </row>
    <row r="1923" ht="14" customHeight="1" spans="1:7">
      <c r="A1923">
        <v>52083</v>
      </c>
      <c r="B1923">
        <v>1</v>
      </c>
      <c r="C1923">
        <v>1</v>
      </c>
      <c r="D1923">
        <v>1</v>
      </c>
      <c r="E1923">
        <v>100</v>
      </c>
      <c r="F1923" t="s">
        <v>2233</v>
      </c>
      <c r="G1923" t="s">
        <v>2234</v>
      </c>
    </row>
    <row r="1924" ht="14" customHeight="1" spans="1:7">
      <c r="A1924">
        <v>52084</v>
      </c>
      <c r="B1924">
        <v>1</v>
      </c>
      <c r="C1924">
        <v>1</v>
      </c>
      <c r="D1924">
        <v>1</v>
      </c>
      <c r="E1924">
        <v>100</v>
      </c>
      <c r="F1924" s="7" t="s">
        <v>2235</v>
      </c>
      <c r="G1924" t="s">
        <v>2234</v>
      </c>
    </row>
    <row r="1925" ht="14" customHeight="1" spans="1:7">
      <c r="A1925">
        <v>52085</v>
      </c>
      <c r="B1925">
        <v>1</v>
      </c>
      <c r="C1925">
        <v>1</v>
      </c>
      <c r="D1925">
        <v>1</v>
      </c>
      <c r="E1925">
        <v>100</v>
      </c>
      <c r="F1925" s="7" t="s">
        <v>2236</v>
      </c>
      <c r="G1925" t="s">
        <v>2234</v>
      </c>
    </row>
    <row r="1926" ht="14" customHeight="1" spans="1:7">
      <c r="A1926">
        <v>52086</v>
      </c>
      <c r="B1926">
        <v>1</v>
      </c>
      <c r="C1926">
        <v>1</v>
      </c>
      <c r="D1926">
        <v>1</v>
      </c>
      <c r="E1926">
        <v>100</v>
      </c>
      <c r="F1926" s="7" t="s">
        <v>2237</v>
      </c>
      <c r="G1926" t="s">
        <v>2234</v>
      </c>
    </row>
    <row r="1927" ht="14" customHeight="1" spans="1:7">
      <c r="A1927">
        <v>52087</v>
      </c>
      <c r="B1927">
        <v>1</v>
      </c>
      <c r="C1927">
        <v>1</v>
      </c>
      <c r="D1927">
        <v>1</v>
      </c>
      <c r="E1927">
        <v>100</v>
      </c>
      <c r="F1927" t="s">
        <v>2238</v>
      </c>
      <c r="G1927" t="s">
        <v>2234</v>
      </c>
    </row>
    <row r="1928" ht="14" customHeight="1" spans="1:7">
      <c r="A1928">
        <v>52088</v>
      </c>
      <c r="B1928">
        <v>1</v>
      </c>
      <c r="C1928">
        <v>1</v>
      </c>
      <c r="D1928">
        <v>1</v>
      </c>
      <c r="E1928">
        <v>100</v>
      </c>
      <c r="F1928" t="s">
        <v>2239</v>
      </c>
      <c r="G1928" t="s">
        <v>2234</v>
      </c>
    </row>
    <row r="1929" ht="14" customHeight="1" spans="1:7">
      <c r="A1929" s="75">
        <v>52089</v>
      </c>
      <c r="B1929" s="75">
        <v>2</v>
      </c>
      <c r="C1929" s="75">
        <v>1</v>
      </c>
      <c r="D1929" s="75">
        <v>1</v>
      </c>
      <c r="E1929" s="75">
        <v>100</v>
      </c>
      <c r="F1929" s="75" t="s">
        <v>2240</v>
      </c>
      <c r="G1929" t="s">
        <v>2234</v>
      </c>
    </row>
    <row r="1930" ht="14" customHeight="1" spans="1:7">
      <c r="A1930">
        <v>52090</v>
      </c>
      <c r="B1930">
        <v>1</v>
      </c>
      <c r="C1930">
        <v>2</v>
      </c>
      <c r="D1930">
        <v>1</v>
      </c>
      <c r="E1930">
        <v>100</v>
      </c>
      <c r="F1930" t="s">
        <v>2233</v>
      </c>
      <c r="G1930" t="s">
        <v>2241</v>
      </c>
    </row>
    <row r="1931" ht="14" customHeight="1" spans="1:7">
      <c r="A1931">
        <v>52091</v>
      </c>
      <c r="B1931">
        <v>1</v>
      </c>
      <c r="C1931">
        <v>2</v>
      </c>
      <c r="D1931">
        <v>1</v>
      </c>
      <c r="E1931">
        <v>100</v>
      </c>
      <c r="F1931" s="7" t="s">
        <v>2235</v>
      </c>
      <c r="G1931" t="s">
        <v>2241</v>
      </c>
    </row>
    <row r="1932" ht="14" customHeight="1" spans="1:7">
      <c r="A1932">
        <v>52092</v>
      </c>
      <c r="B1932">
        <v>1</v>
      </c>
      <c r="C1932">
        <v>2</v>
      </c>
      <c r="D1932">
        <v>1</v>
      </c>
      <c r="E1932">
        <v>100</v>
      </c>
      <c r="F1932" s="7" t="s">
        <v>2236</v>
      </c>
      <c r="G1932" t="s">
        <v>2241</v>
      </c>
    </row>
    <row r="1933" ht="14" customHeight="1" spans="1:7">
      <c r="A1933">
        <v>52093</v>
      </c>
      <c r="B1933">
        <v>1</v>
      </c>
      <c r="C1933">
        <v>2</v>
      </c>
      <c r="D1933">
        <v>1</v>
      </c>
      <c r="E1933">
        <v>100</v>
      </c>
      <c r="F1933" s="7" t="s">
        <v>2242</v>
      </c>
      <c r="G1933" t="s">
        <v>2241</v>
      </c>
    </row>
    <row r="1934" ht="14" customHeight="1" spans="1:7">
      <c r="A1934">
        <v>52094</v>
      </c>
      <c r="B1934">
        <v>1</v>
      </c>
      <c r="C1934">
        <v>2</v>
      </c>
      <c r="D1934">
        <v>1</v>
      </c>
      <c r="E1934">
        <v>100</v>
      </c>
      <c r="F1934" t="s">
        <v>2243</v>
      </c>
      <c r="G1934" t="s">
        <v>2241</v>
      </c>
    </row>
    <row r="1935" ht="14" customHeight="1" spans="1:7">
      <c r="A1935">
        <v>52095</v>
      </c>
      <c r="B1935">
        <v>1</v>
      </c>
      <c r="C1935">
        <v>2</v>
      </c>
      <c r="D1935">
        <v>1</v>
      </c>
      <c r="E1935">
        <v>100</v>
      </c>
      <c r="F1935" t="s">
        <v>2239</v>
      </c>
      <c r="G1935" t="s">
        <v>2241</v>
      </c>
    </row>
    <row r="1936" ht="14" customHeight="1" spans="1:7">
      <c r="A1936" s="75">
        <v>52096</v>
      </c>
      <c r="B1936" s="75">
        <v>2</v>
      </c>
      <c r="C1936" s="75">
        <v>1</v>
      </c>
      <c r="D1936" s="75">
        <v>1</v>
      </c>
      <c r="E1936" s="75">
        <v>100</v>
      </c>
      <c r="F1936" s="75" t="s">
        <v>2244</v>
      </c>
      <c r="G1936" s="75" t="s">
        <v>2241</v>
      </c>
    </row>
    <row r="1937" ht="14" customHeight="1" spans="1:7">
      <c r="A1937">
        <v>52097</v>
      </c>
      <c r="B1937">
        <v>1</v>
      </c>
      <c r="C1937">
        <v>1</v>
      </c>
      <c r="D1937">
        <v>1</v>
      </c>
      <c r="E1937">
        <v>100</v>
      </c>
      <c r="F1937" t="s">
        <v>2170</v>
      </c>
      <c r="G1937" t="s">
        <v>2245</v>
      </c>
    </row>
    <row r="1938" ht="14" customHeight="1" spans="1:7">
      <c r="A1938">
        <v>52098</v>
      </c>
      <c r="B1938">
        <v>1</v>
      </c>
      <c r="C1938">
        <v>1</v>
      </c>
      <c r="D1938">
        <v>1</v>
      </c>
      <c r="E1938">
        <v>100</v>
      </c>
      <c r="F1938" t="s">
        <v>2246</v>
      </c>
      <c r="G1938" t="s">
        <v>2245</v>
      </c>
    </row>
    <row r="1939" ht="14" customHeight="1" spans="1:7">
      <c r="A1939">
        <v>52099</v>
      </c>
      <c r="B1939">
        <v>1</v>
      </c>
      <c r="C1939">
        <v>1</v>
      </c>
      <c r="D1939">
        <v>1</v>
      </c>
      <c r="E1939">
        <v>100</v>
      </c>
      <c r="F1939" t="s">
        <v>2247</v>
      </c>
      <c r="G1939" t="s">
        <v>2245</v>
      </c>
    </row>
    <row r="1940" ht="14" customHeight="1" spans="1:7">
      <c r="A1940">
        <v>52100</v>
      </c>
      <c r="B1940">
        <v>1</v>
      </c>
      <c r="C1940">
        <v>1</v>
      </c>
      <c r="D1940">
        <v>1</v>
      </c>
      <c r="E1940">
        <v>100</v>
      </c>
      <c r="F1940" t="s">
        <v>2205</v>
      </c>
      <c r="G1940" t="s">
        <v>2245</v>
      </c>
    </row>
    <row r="1941" ht="14" customHeight="1" spans="1:7">
      <c r="A1941" s="75">
        <v>52101</v>
      </c>
      <c r="B1941" s="75">
        <v>2</v>
      </c>
      <c r="C1941" s="75">
        <v>1</v>
      </c>
      <c r="D1941" s="75">
        <v>1</v>
      </c>
      <c r="E1941" s="75">
        <v>1</v>
      </c>
      <c r="F1941" s="75" t="s">
        <v>2248</v>
      </c>
      <c r="G1941" s="75" t="s">
        <v>2245</v>
      </c>
    </row>
    <row r="1942" ht="14" customHeight="1" spans="1:7">
      <c r="A1942" s="69">
        <v>52102</v>
      </c>
      <c r="B1942" s="69">
        <v>1</v>
      </c>
      <c r="C1942" s="69">
        <v>2</v>
      </c>
      <c r="D1942" s="69">
        <v>1</v>
      </c>
      <c r="E1942" s="69">
        <v>1</v>
      </c>
      <c r="F1942" s="69" t="s">
        <v>2249</v>
      </c>
      <c r="G1942" s="69" t="s">
        <v>2250</v>
      </c>
    </row>
    <row r="1943" ht="14" customHeight="1" spans="1:7">
      <c r="A1943" s="69">
        <v>52103</v>
      </c>
      <c r="B1943" s="69">
        <v>1</v>
      </c>
      <c r="C1943" s="69">
        <v>2</v>
      </c>
      <c r="D1943" s="69">
        <v>1</v>
      </c>
      <c r="E1943" s="69">
        <v>1</v>
      </c>
      <c r="F1943" s="69" t="s">
        <v>2251</v>
      </c>
      <c r="G1943" s="69" t="s">
        <v>2250</v>
      </c>
    </row>
    <row r="1944" ht="14" customHeight="1" spans="1:7">
      <c r="A1944" s="69">
        <v>52104</v>
      </c>
      <c r="B1944" s="69">
        <v>1</v>
      </c>
      <c r="C1944" s="69">
        <v>2</v>
      </c>
      <c r="D1944" s="69">
        <v>1</v>
      </c>
      <c r="E1944" s="69">
        <v>1</v>
      </c>
      <c r="F1944" s="69" t="s">
        <v>2252</v>
      </c>
      <c r="G1944" s="69" t="s">
        <v>2250</v>
      </c>
    </row>
    <row r="1945" ht="14" customHeight="1" spans="1:7">
      <c r="A1945" s="69">
        <v>52105</v>
      </c>
      <c r="B1945" s="69">
        <v>1</v>
      </c>
      <c r="C1945" s="69">
        <v>2</v>
      </c>
      <c r="D1945" s="69">
        <v>1</v>
      </c>
      <c r="E1945" s="69">
        <v>1</v>
      </c>
      <c r="F1945" s="69" t="s">
        <v>2253</v>
      </c>
      <c r="G1945" s="69" t="s">
        <v>2254</v>
      </c>
    </row>
    <row r="1946" ht="14" customHeight="1" spans="1:7">
      <c r="A1946" s="69">
        <v>52106</v>
      </c>
      <c r="B1946" s="69">
        <v>1</v>
      </c>
      <c r="C1946" s="69">
        <v>2</v>
      </c>
      <c r="D1946" s="69">
        <v>1</v>
      </c>
      <c r="E1946" s="69">
        <v>1</v>
      </c>
      <c r="F1946" s="69" t="s">
        <v>2255</v>
      </c>
      <c r="G1946" s="69" t="s">
        <v>2254</v>
      </c>
    </row>
    <row r="1947" ht="14" customHeight="1" spans="1:7">
      <c r="A1947" s="69">
        <v>52107</v>
      </c>
      <c r="B1947" s="69">
        <v>1</v>
      </c>
      <c r="C1947" s="69">
        <v>4</v>
      </c>
      <c r="D1947" s="69">
        <v>1</v>
      </c>
      <c r="E1947" s="69">
        <v>1</v>
      </c>
      <c r="F1947" s="69" t="s">
        <v>1455</v>
      </c>
      <c r="G1947" s="69" t="s">
        <v>2256</v>
      </c>
    </row>
    <row r="1948" ht="14" customHeight="1" spans="1:7">
      <c r="A1948" s="69">
        <v>52108</v>
      </c>
      <c r="B1948" s="69">
        <v>1</v>
      </c>
      <c r="C1948" s="69">
        <v>4</v>
      </c>
      <c r="D1948" s="69">
        <v>1</v>
      </c>
      <c r="E1948" s="69">
        <v>1</v>
      </c>
      <c r="F1948" s="69" t="s">
        <v>2257</v>
      </c>
      <c r="G1948" s="7" t="s">
        <v>2258</v>
      </c>
    </row>
    <row r="1949" ht="14" customHeight="1" spans="1:7">
      <c r="A1949" s="69">
        <v>52109</v>
      </c>
      <c r="B1949" s="69">
        <v>1</v>
      </c>
      <c r="C1949" s="69">
        <v>4</v>
      </c>
      <c r="D1949" s="69">
        <v>1</v>
      </c>
      <c r="E1949" s="69">
        <v>1</v>
      </c>
      <c r="F1949" s="69" t="s">
        <v>2259</v>
      </c>
      <c r="G1949" s="7" t="s">
        <v>2260</v>
      </c>
    </row>
    <row r="1950" ht="14" customHeight="1" spans="1:7">
      <c r="A1950" s="69">
        <v>52110</v>
      </c>
      <c r="B1950" s="69">
        <v>1</v>
      </c>
      <c r="C1950" s="69">
        <v>4</v>
      </c>
      <c r="D1950" s="69">
        <v>1</v>
      </c>
      <c r="E1950" s="69">
        <v>1</v>
      </c>
      <c r="F1950" s="69" t="s">
        <v>2261</v>
      </c>
      <c r="G1950" s="7" t="s">
        <v>2262</v>
      </c>
    </row>
    <row r="1951" ht="14" customHeight="1" spans="1:7">
      <c r="A1951">
        <v>60001</v>
      </c>
      <c r="B1951">
        <v>2</v>
      </c>
      <c r="C1951">
        <v>1</v>
      </c>
      <c r="D1951">
        <v>1</v>
      </c>
      <c r="E1951">
        <v>1</v>
      </c>
      <c r="F1951" t="s">
        <v>2263</v>
      </c>
      <c r="G1951" t="s">
        <v>2264</v>
      </c>
    </row>
    <row r="1952" ht="14" customHeight="1" spans="1:7">
      <c r="A1952">
        <v>60002</v>
      </c>
      <c r="B1952">
        <v>1</v>
      </c>
      <c r="C1952">
        <v>1</v>
      </c>
      <c r="D1952">
        <v>1</v>
      </c>
      <c r="E1952">
        <v>1</v>
      </c>
      <c r="F1952" t="s">
        <v>2265</v>
      </c>
      <c r="G1952" t="s">
        <v>2264</v>
      </c>
    </row>
    <row r="1953" ht="14" customHeight="1" spans="1:7">
      <c r="A1953">
        <v>60003</v>
      </c>
      <c r="B1953">
        <v>1</v>
      </c>
      <c r="C1953">
        <v>1</v>
      </c>
      <c r="D1953">
        <v>1</v>
      </c>
      <c r="E1953">
        <v>1</v>
      </c>
      <c r="F1953" t="s">
        <v>2266</v>
      </c>
      <c r="G1953" t="s">
        <v>2264</v>
      </c>
    </row>
    <row r="1954" ht="14" customHeight="1" spans="1:7">
      <c r="A1954">
        <v>60004</v>
      </c>
      <c r="B1954">
        <v>1</v>
      </c>
      <c r="C1954">
        <v>1</v>
      </c>
      <c r="D1954">
        <v>1</v>
      </c>
      <c r="E1954">
        <v>1</v>
      </c>
      <c r="F1954" t="s">
        <v>2267</v>
      </c>
      <c r="G1954" t="s">
        <v>2268</v>
      </c>
    </row>
    <row r="1955" ht="14" customHeight="1" spans="1:7">
      <c r="A1955">
        <v>60005</v>
      </c>
      <c r="B1955">
        <v>2</v>
      </c>
      <c r="C1955">
        <v>1</v>
      </c>
      <c r="D1955">
        <v>1</v>
      </c>
      <c r="E1955">
        <v>1</v>
      </c>
      <c r="F1955" t="s">
        <v>2269</v>
      </c>
      <c r="G1955" t="s">
        <v>2270</v>
      </c>
    </row>
    <row r="1956" ht="14" customHeight="1" spans="1:7">
      <c r="A1956">
        <v>60006</v>
      </c>
      <c r="B1956">
        <v>1</v>
      </c>
      <c r="C1956">
        <v>1</v>
      </c>
      <c r="D1956">
        <v>1</v>
      </c>
      <c r="E1956">
        <v>1</v>
      </c>
      <c r="F1956" t="s">
        <v>2271</v>
      </c>
      <c r="G1956" t="s">
        <v>2270</v>
      </c>
    </row>
    <row r="1957" ht="14" customHeight="1" spans="1:7">
      <c r="A1957">
        <v>60007</v>
      </c>
      <c r="B1957">
        <v>1</v>
      </c>
      <c r="C1957">
        <v>1</v>
      </c>
      <c r="D1957">
        <v>1</v>
      </c>
      <c r="E1957">
        <v>1</v>
      </c>
      <c r="F1957" t="s">
        <v>2272</v>
      </c>
      <c r="G1957" t="s">
        <v>2270</v>
      </c>
    </row>
    <row r="1958" ht="14" customHeight="1" spans="1:7">
      <c r="A1958">
        <v>60008</v>
      </c>
      <c r="B1958">
        <v>1</v>
      </c>
      <c r="C1958">
        <v>1</v>
      </c>
      <c r="D1958">
        <v>1</v>
      </c>
      <c r="E1958">
        <v>1</v>
      </c>
      <c r="F1958" t="s">
        <v>2272</v>
      </c>
      <c r="G1958" t="s">
        <v>2273</v>
      </c>
    </row>
    <row r="1959" ht="14" customHeight="1" spans="1:7">
      <c r="A1959">
        <v>60009</v>
      </c>
      <c r="B1959">
        <v>2</v>
      </c>
      <c r="C1959">
        <v>1</v>
      </c>
      <c r="D1959">
        <v>1</v>
      </c>
      <c r="E1959">
        <v>1</v>
      </c>
      <c r="F1959" t="s">
        <v>2274</v>
      </c>
      <c r="G1959" t="s">
        <v>2275</v>
      </c>
    </row>
    <row r="1960" ht="14" customHeight="1" spans="1:7">
      <c r="A1960">
        <v>60010</v>
      </c>
      <c r="B1960">
        <v>1</v>
      </c>
      <c r="C1960">
        <v>1</v>
      </c>
      <c r="D1960">
        <v>1</v>
      </c>
      <c r="E1960">
        <v>1</v>
      </c>
      <c r="F1960" t="s">
        <v>2276</v>
      </c>
      <c r="G1960" t="s">
        <v>2275</v>
      </c>
    </row>
    <row r="1961" ht="14" customHeight="1" spans="1:7">
      <c r="A1961">
        <v>60011</v>
      </c>
      <c r="B1961">
        <v>1</v>
      </c>
      <c r="C1961">
        <v>1</v>
      </c>
      <c r="D1961">
        <v>1</v>
      </c>
      <c r="E1961">
        <v>1</v>
      </c>
      <c r="F1961" t="s">
        <v>2277</v>
      </c>
      <c r="G1961" t="s">
        <v>2275</v>
      </c>
    </row>
    <row r="1962" ht="14" customHeight="1" spans="1:7">
      <c r="A1962">
        <v>60012</v>
      </c>
      <c r="B1962">
        <v>1</v>
      </c>
      <c r="C1962">
        <v>1</v>
      </c>
      <c r="D1962">
        <v>1</v>
      </c>
      <c r="E1962">
        <v>1</v>
      </c>
      <c r="F1962" t="s">
        <v>2277</v>
      </c>
      <c r="G1962" t="s">
        <v>2278</v>
      </c>
    </row>
    <row r="1963" ht="14" customHeight="1" spans="1:7">
      <c r="A1963">
        <v>60013</v>
      </c>
      <c r="B1963">
        <v>2</v>
      </c>
      <c r="C1963">
        <v>1</v>
      </c>
      <c r="D1963">
        <v>1</v>
      </c>
      <c r="E1963">
        <v>1</v>
      </c>
      <c r="F1963" t="s">
        <v>2279</v>
      </c>
      <c r="G1963" t="s">
        <v>2280</v>
      </c>
    </row>
    <row r="1964" ht="14" customHeight="1" spans="1:7">
      <c r="A1964">
        <v>60014</v>
      </c>
      <c r="B1964">
        <v>1</v>
      </c>
      <c r="C1964">
        <v>1</v>
      </c>
      <c r="D1964">
        <v>1</v>
      </c>
      <c r="E1964">
        <v>1</v>
      </c>
      <c r="F1964" t="s">
        <v>2281</v>
      </c>
      <c r="G1964" t="s">
        <v>2280</v>
      </c>
    </row>
    <row r="1965" ht="14" customHeight="1" spans="1:7">
      <c r="A1965">
        <v>60015</v>
      </c>
      <c r="B1965">
        <v>1</v>
      </c>
      <c r="C1965">
        <v>1</v>
      </c>
      <c r="D1965">
        <v>1</v>
      </c>
      <c r="E1965">
        <v>1</v>
      </c>
      <c r="F1965" t="s">
        <v>2282</v>
      </c>
      <c r="G1965" t="s">
        <v>2280</v>
      </c>
    </row>
    <row r="1966" ht="14" customHeight="1" spans="1:7">
      <c r="A1966">
        <v>60016</v>
      </c>
      <c r="B1966">
        <v>1</v>
      </c>
      <c r="C1966">
        <v>1</v>
      </c>
      <c r="D1966">
        <v>1</v>
      </c>
      <c r="E1966">
        <v>1</v>
      </c>
      <c r="F1966" t="s">
        <v>2283</v>
      </c>
      <c r="G1966" t="s">
        <v>2284</v>
      </c>
    </row>
    <row r="1967" ht="14" customHeight="1" spans="1:7">
      <c r="A1967">
        <v>60017</v>
      </c>
      <c r="B1967">
        <v>2</v>
      </c>
      <c r="C1967">
        <v>1</v>
      </c>
      <c r="D1967">
        <v>1</v>
      </c>
      <c r="E1967">
        <v>1</v>
      </c>
      <c r="F1967" t="s">
        <v>2285</v>
      </c>
      <c r="G1967" t="s">
        <v>2286</v>
      </c>
    </row>
    <row r="1968" ht="14" customHeight="1" spans="1:7">
      <c r="A1968">
        <v>60018</v>
      </c>
      <c r="B1968">
        <v>1</v>
      </c>
      <c r="C1968">
        <v>1</v>
      </c>
      <c r="D1968">
        <v>1</v>
      </c>
      <c r="E1968">
        <v>1</v>
      </c>
      <c r="F1968" t="s">
        <v>2271</v>
      </c>
      <c r="G1968" t="s">
        <v>2286</v>
      </c>
    </row>
    <row r="1969" ht="14" customHeight="1" spans="1:7">
      <c r="A1969">
        <v>60019</v>
      </c>
      <c r="B1969">
        <v>1</v>
      </c>
      <c r="C1969">
        <v>1</v>
      </c>
      <c r="D1969">
        <v>1</v>
      </c>
      <c r="E1969">
        <v>1</v>
      </c>
      <c r="F1969" t="s">
        <v>2272</v>
      </c>
      <c r="G1969" t="s">
        <v>2286</v>
      </c>
    </row>
    <row r="1970" ht="14" customHeight="1" spans="1:7">
      <c r="A1970">
        <v>60020</v>
      </c>
      <c r="B1970">
        <v>1</v>
      </c>
      <c r="C1970">
        <v>1</v>
      </c>
      <c r="D1970">
        <v>1</v>
      </c>
      <c r="E1970">
        <v>1</v>
      </c>
      <c r="F1970" t="s">
        <v>2287</v>
      </c>
      <c r="G1970" t="s">
        <v>2288</v>
      </c>
    </row>
    <row r="1971" ht="14" customHeight="1" spans="1:7">
      <c r="A1971">
        <v>60021</v>
      </c>
      <c r="B1971">
        <v>2</v>
      </c>
      <c r="C1971">
        <v>1</v>
      </c>
      <c r="D1971">
        <v>1</v>
      </c>
      <c r="E1971">
        <v>1</v>
      </c>
      <c r="F1971" t="s">
        <v>2289</v>
      </c>
      <c r="G1971" t="s">
        <v>2290</v>
      </c>
    </row>
    <row r="1972" ht="14" customHeight="1" spans="1:7">
      <c r="A1972">
        <v>60022</v>
      </c>
      <c r="B1972">
        <v>1</v>
      </c>
      <c r="C1972">
        <v>1</v>
      </c>
      <c r="D1972">
        <v>1</v>
      </c>
      <c r="E1972">
        <v>1</v>
      </c>
      <c r="F1972" t="s">
        <v>2281</v>
      </c>
      <c r="G1972" t="s">
        <v>2290</v>
      </c>
    </row>
    <row r="1973" ht="14" customHeight="1" spans="1:7">
      <c r="A1973">
        <v>60023</v>
      </c>
      <c r="B1973">
        <v>1</v>
      </c>
      <c r="C1973">
        <v>1</v>
      </c>
      <c r="D1973">
        <v>1</v>
      </c>
      <c r="E1973">
        <v>1</v>
      </c>
      <c r="F1973" t="s">
        <v>2282</v>
      </c>
      <c r="G1973" t="s">
        <v>2290</v>
      </c>
    </row>
    <row r="1974" ht="14" customHeight="1" spans="1:7">
      <c r="A1974">
        <v>60024</v>
      </c>
      <c r="B1974">
        <v>1</v>
      </c>
      <c r="C1974">
        <v>1</v>
      </c>
      <c r="D1974">
        <v>1</v>
      </c>
      <c r="E1974">
        <v>1</v>
      </c>
      <c r="F1974" t="s">
        <v>2287</v>
      </c>
      <c r="G1974" t="s">
        <v>2291</v>
      </c>
    </row>
    <row r="1975" ht="14" customHeight="1" spans="1:7">
      <c r="A1975">
        <v>60025</v>
      </c>
      <c r="B1975">
        <v>2</v>
      </c>
      <c r="C1975">
        <v>1</v>
      </c>
      <c r="D1975">
        <v>1</v>
      </c>
      <c r="E1975">
        <v>1</v>
      </c>
      <c r="F1975" t="s">
        <v>2292</v>
      </c>
      <c r="G1975" t="s">
        <v>2293</v>
      </c>
    </row>
    <row r="1976" ht="14" customHeight="1" spans="1:7">
      <c r="A1976">
        <v>60026</v>
      </c>
      <c r="B1976">
        <v>1</v>
      </c>
      <c r="C1976">
        <v>1</v>
      </c>
      <c r="D1976">
        <v>1</v>
      </c>
      <c r="E1976">
        <v>1</v>
      </c>
      <c r="F1976" t="s">
        <v>2294</v>
      </c>
      <c r="G1976" t="s">
        <v>2293</v>
      </c>
    </row>
    <row r="1977" ht="14" customHeight="1" spans="1:7">
      <c r="A1977">
        <v>60027</v>
      </c>
      <c r="B1977">
        <v>1</v>
      </c>
      <c r="C1977">
        <v>1</v>
      </c>
      <c r="D1977">
        <v>1</v>
      </c>
      <c r="E1977">
        <v>1</v>
      </c>
      <c r="F1977" t="s">
        <v>2295</v>
      </c>
      <c r="G1977" t="s">
        <v>2293</v>
      </c>
    </row>
    <row r="1978" ht="14" customHeight="1" spans="1:7">
      <c r="A1978">
        <v>60028</v>
      </c>
      <c r="B1978">
        <v>1</v>
      </c>
      <c r="C1978">
        <v>1</v>
      </c>
      <c r="D1978">
        <v>1</v>
      </c>
      <c r="E1978">
        <v>1</v>
      </c>
      <c r="F1978" t="s">
        <v>2296</v>
      </c>
      <c r="G1978" t="s">
        <v>2297</v>
      </c>
    </row>
    <row r="1979" ht="14" customHeight="1" spans="1:7">
      <c r="A1979">
        <v>60029</v>
      </c>
      <c r="B1979">
        <v>2</v>
      </c>
      <c r="C1979">
        <v>1</v>
      </c>
      <c r="D1979">
        <v>1</v>
      </c>
      <c r="E1979">
        <v>1</v>
      </c>
      <c r="F1979" t="s">
        <v>2298</v>
      </c>
      <c r="G1979" t="s">
        <v>2299</v>
      </c>
    </row>
    <row r="1980" ht="14" customHeight="1" spans="1:7">
      <c r="A1980">
        <v>60030</v>
      </c>
      <c r="B1980">
        <v>1</v>
      </c>
      <c r="C1980">
        <v>1</v>
      </c>
      <c r="D1980">
        <v>1</v>
      </c>
      <c r="E1980">
        <v>1</v>
      </c>
      <c r="F1980" t="s">
        <v>2300</v>
      </c>
      <c r="G1980" t="s">
        <v>2299</v>
      </c>
    </row>
    <row r="1981" ht="14" customHeight="1" spans="1:7">
      <c r="A1981">
        <v>60031</v>
      </c>
      <c r="B1981">
        <v>1</v>
      </c>
      <c r="C1981">
        <v>1</v>
      </c>
      <c r="D1981">
        <v>1</v>
      </c>
      <c r="E1981">
        <v>1</v>
      </c>
      <c r="F1981" t="s">
        <v>2301</v>
      </c>
      <c r="G1981" t="s">
        <v>2299</v>
      </c>
    </row>
    <row r="1982" ht="14" customHeight="1" spans="1:7">
      <c r="A1982">
        <v>60032</v>
      </c>
      <c r="B1982">
        <v>1</v>
      </c>
      <c r="C1982">
        <v>1</v>
      </c>
      <c r="D1982">
        <v>1</v>
      </c>
      <c r="E1982">
        <v>1</v>
      </c>
      <c r="F1982" t="s">
        <v>2302</v>
      </c>
      <c r="G1982" t="s">
        <v>2303</v>
      </c>
    </row>
    <row r="1983" ht="14" customHeight="1" spans="1:7">
      <c r="A1983">
        <v>60033</v>
      </c>
      <c r="B1983">
        <v>1</v>
      </c>
      <c r="C1983">
        <v>4</v>
      </c>
      <c r="D1983">
        <v>1</v>
      </c>
      <c r="E1983">
        <v>4</v>
      </c>
      <c r="F1983" s="54" t="s">
        <v>1494</v>
      </c>
      <c r="G1983" t="s">
        <v>2304</v>
      </c>
    </row>
    <row r="1984" ht="14" customHeight="1" spans="1:7">
      <c r="A1984">
        <v>60034</v>
      </c>
      <c r="B1984">
        <v>1</v>
      </c>
      <c r="C1984">
        <v>4</v>
      </c>
      <c r="D1984">
        <v>1</v>
      </c>
      <c r="E1984">
        <v>4</v>
      </c>
      <c r="F1984" t="s">
        <v>2305</v>
      </c>
      <c r="G1984" t="s">
        <v>2306</v>
      </c>
    </row>
    <row r="1985" ht="14" customHeight="1" spans="1:7">
      <c r="A1985">
        <v>60035</v>
      </c>
      <c r="B1985">
        <v>1</v>
      </c>
      <c r="C1985">
        <v>4</v>
      </c>
      <c r="D1985">
        <v>1</v>
      </c>
      <c r="E1985">
        <v>4</v>
      </c>
      <c r="F1985" t="s">
        <v>2307</v>
      </c>
      <c r="G1985" t="s">
        <v>2308</v>
      </c>
    </row>
    <row r="1986" ht="14" customHeight="1" spans="1:7">
      <c r="A1986">
        <v>60036</v>
      </c>
      <c r="B1986">
        <v>1</v>
      </c>
      <c r="C1986">
        <v>4</v>
      </c>
      <c r="D1986">
        <v>1</v>
      </c>
      <c r="E1986">
        <v>4</v>
      </c>
      <c r="F1986" t="s">
        <v>2309</v>
      </c>
      <c r="G1986" t="s">
        <v>2310</v>
      </c>
    </row>
    <row r="1987" ht="14" customHeight="1" spans="1:7">
      <c r="A1987">
        <v>60037</v>
      </c>
      <c r="B1987">
        <v>1</v>
      </c>
      <c r="C1987">
        <v>4</v>
      </c>
      <c r="D1987">
        <v>1</v>
      </c>
      <c r="E1987">
        <v>4</v>
      </c>
      <c r="F1987" t="s">
        <v>2311</v>
      </c>
      <c r="G1987" t="s">
        <v>2312</v>
      </c>
    </row>
    <row r="1988" ht="14" customHeight="1" spans="1:7">
      <c r="A1988">
        <v>60038</v>
      </c>
      <c r="B1988">
        <v>1</v>
      </c>
      <c r="C1988">
        <v>4</v>
      </c>
      <c r="D1988">
        <v>1</v>
      </c>
      <c r="E1988">
        <v>4</v>
      </c>
      <c r="F1988" t="s">
        <v>2313</v>
      </c>
      <c r="G1988" t="s">
        <v>2314</v>
      </c>
    </row>
    <row r="1989" ht="14" customHeight="1" spans="1:7">
      <c r="A1989">
        <v>70001</v>
      </c>
      <c r="B1989">
        <v>1</v>
      </c>
      <c r="C1989">
        <v>1</v>
      </c>
      <c r="D1989">
        <v>1</v>
      </c>
      <c r="E1989">
        <v>1</v>
      </c>
      <c r="F1989" t="s">
        <v>2315</v>
      </c>
      <c r="G1989" t="s">
        <v>2316</v>
      </c>
    </row>
    <row r="1990" ht="14" customHeight="1" spans="1:7">
      <c r="A1990">
        <v>70002</v>
      </c>
      <c r="B1990">
        <v>1</v>
      </c>
      <c r="C1990">
        <v>1</v>
      </c>
      <c r="D1990">
        <v>1</v>
      </c>
      <c r="E1990">
        <v>1</v>
      </c>
      <c r="F1990" t="s">
        <v>2317</v>
      </c>
      <c r="G1990" t="s">
        <v>2318</v>
      </c>
    </row>
    <row r="1991" ht="14" customHeight="1" spans="1:7">
      <c r="A1991">
        <v>70003</v>
      </c>
      <c r="B1991">
        <v>1</v>
      </c>
      <c r="C1991">
        <v>1</v>
      </c>
      <c r="D1991">
        <v>1</v>
      </c>
      <c r="E1991">
        <v>1</v>
      </c>
      <c r="F1991" t="s">
        <v>2319</v>
      </c>
      <c r="G1991" t="s">
        <v>2320</v>
      </c>
    </row>
    <row r="1992" ht="14" customHeight="1" spans="1:7">
      <c r="A1992">
        <v>70004</v>
      </c>
      <c r="B1992">
        <v>1</v>
      </c>
      <c r="C1992">
        <v>1</v>
      </c>
      <c r="D1992">
        <v>1</v>
      </c>
      <c r="E1992">
        <v>1</v>
      </c>
      <c r="F1992" t="s">
        <v>2321</v>
      </c>
      <c r="G1992" t="s">
        <v>2322</v>
      </c>
    </row>
    <row r="1993" ht="14" customHeight="1" spans="1:7">
      <c r="A1993">
        <v>70005</v>
      </c>
      <c r="B1993">
        <v>1</v>
      </c>
      <c r="C1993">
        <v>1</v>
      </c>
      <c r="D1993">
        <v>1</v>
      </c>
      <c r="E1993">
        <v>1</v>
      </c>
      <c r="F1993" t="s">
        <v>2323</v>
      </c>
      <c r="G1993" t="s">
        <v>2324</v>
      </c>
    </row>
    <row r="1994" ht="14" customHeight="1" spans="1:7">
      <c r="A1994">
        <v>70006</v>
      </c>
      <c r="B1994">
        <v>1</v>
      </c>
      <c r="C1994">
        <v>1</v>
      </c>
      <c r="D1994">
        <v>1</v>
      </c>
      <c r="E1994">
        <v>1</v>
      </c>
      <c r="F1994" t="s">
        <v>2325</v>
      </c>
      <c r="G1994" t="s">
        <v>2326</v>
      </c>
    </row>
    <row r="1995" ht="14" customHeight="1" spans="1:7">
      <c r="A1995">
        <v>70007</v>
      </c>
      <c r="B1995">
        <v>1</v>
      </c>
      <c r="C1995">
        <v>1</v>
      </c>
      <c r="D1995">
        <v>1</v>
      </c>
      <c r="E1995">
        <v>1</v>
      </c>
      <c r="F1995" t="s">
        <v>2327</v>
      </c>
      <c r="G1995" t="s">
        <v>2328</v>
      </c>
    </row>
    <row r="1996" ht="14" customHeight="1" spans="1:7">
      <c r="A1996">
        <v>70008</v>
      </c>
      <c r="B1996">
        <v>1</v>
      </c>
      <c r="C1996">
        <v>1</v>
      </c>
      <c r="D1996">
        <v>1</v>
      </c>
      <c r="E1996">
        <v>1</v>
      </c>
      <c r="F1996" t="s">
        <v>2329</v>
      </c>
      <c r="G1996" t="s">
        <v>2330</v>
      </c>
    </row>
    <row r="1997" ht="14" customHeight="1" spans="1:7">
      <c r="A1997">
        <v>70009</v>
      </c>
      <c r="B1997">
        <v>1</v>
      </c>
      <c r="C1997">
        <v>1</v>
      </c>
      <c r="D1997">
        <v>1</v>
      </c>
      <c r="E1997">
        <v>1</v>
      </c>
      <c r="F1997" t="s">
        <v>2331</v>
      </c>
      <c r="G1997" t="s">
        <v>2332</v>
      </c>
    </row>
    <row r="1998" ht="14" customHeight="1" spans="1:7">
      <c r="A1998">
        <v>70010</v>
      </c>
      <c r="B1998">
        <v>1</v>
      </c>
      <c r="C1998">
        <v>1</v>
      </c>
      <c r="D1998">
        <v>1</v>
      </c>
      <c r="E1998">
        <v>1</v>
      </c>
      <c r="F1998" t="s">
        <v>2333</v>
      </c>
      <c r="G1998" t="s">
        <v>2334</v>
      </c>
    </row>
    <row r="1999" ht="14" customHeight="1" spans="1:7">
      <c r="A1999">
        <v>70011</v>
      </c>
      <c r="B1999">
        <v>1</v>
      </c>
      <c r="C1999">
        <v>1</v>
      </c>
      <c r="D1999">
        <v>1</v>
      </c>
      <c r="E1999">
        <v>1</v>
      </c>
      <c r="F1999" t="s">
        <v>2335</v>
      </c>
      <c r="G1999" t="s">
        <v>2336</v>
      </c>
    </row>
    <row r="2000" ht="14" customHeight="1" spans="1:7">
      <c r="A2000">
        <v>70012</v>
      </c>
      <c r="B2000">
        <v>1</v>
      </c>
      <c r="C2000">
        <v>1</v>
      </c>
      <c r="D2000">
        <v>1</v>
      </c>
      <c r="E2000">
        <v>1</v>
      </c>
      <c r="F2000" t="s">
        <v>2337</v>
      </c>
      <c r="G2000" t="s">
        <v>2338</v>
      </c>
    </row>
    <row r="2001" ht="14" customHeight="1" spans="1:7">
      <c r="A2001">
        <v>70013</v>
      </c>
      <c r="B2001">
        <v>1</v>
      </c>
      <c r="C2001">
        <v>1</v>
      </c>
      <c r="D2001">
        <v>1</v>
      </c>
      <c r="E2001">
        <v>1</v>
      </c>
      <c r="F2001" t="s">
        <v>2339</v>
      </c>
      <c r="G2001" t="s">
        <v>2340</v>
      </c>
    </row>
    <row r="2002" ht="14" customHeight="1" spans="1:7">
      <c r="A2002">
        <v>70014</v>
      </c>
      <c r="B2002">
        <v>1</v>
      </c>
      <c r="C2002">
        <v>1</v>
      </c>
      <c r="D2002">
        <v>1</v>
      </c>
      <c r="E2002">
        <v>1</v>
      </c>
      <c r="F2002" t="s">
        <v>2341</v>
      </c>
      <c r="G2002" t="s">
        <v>2342</v>
      </c>
    </row>
    <row r="2003" ht="14" customHeight="1" spans="1:7">
      <c r="A2003">
        <v>70015</v>
      </c>
      <c r="B2003">
        <v>1</v>
      </c>
      <c r="C2003">
        <v>1</v>
      </c>
      <c r="D2003">
        <v>1</v>
      </c>
      <c r="E2003">
        <v>1</v>
      </c>
      <c r="F2003" t="s">
        <v>2343</v>
      </c>
      <c r="G2003" t="s">
        <v>2344</v>
      </c>
    </row>
    <row r="2004" ht="14" customHeight="1" spans="1:7">
      <c r="A2004">
        <v>70016</v>
      </c>
      <c r="B2004">
        <v>1</v>
      </c>
      <c r="C2004">
        <v>1</v>
      </c>
      <c r="D2004">
        <v>1</v>
      </c>
      <c r="E2004">
        <v>1</v>
      </c>
      <c r="F2004" t="s">
        <v>2345</v>
      </c>
      <c r="G2004" t="s">
        <v>2346</v>
      </c>
    </row>
    <row r="2005" ht="14" customHeight="1" spans="1:7">
      <c r="A2005">
        <v>70017</v>
      </c>
      <c r="B2005">
        <v>1</v>
      </c>
      <c r="C2005">
        <v>1</v>
      </c>
      <c r="D2005">
        <v>1</v>
      </c>
      <c r="E2005">
        <v>1</v>
      </c>
      <c r="F2005" t="s">
        <v>2347</v>
      </c>
      <c r="G2005" t="s">
        <v>2348</v>
      </c>
    </row>
    <row r="2006" ht="14" customHeight="1" spans="1:7">
      <c r="A2006">
        <v>70018</v>
      </c>
      <c r="B2006">
        <v>1</v>
      </c>
      <c r="C2006">
        <v>1</v>
      </c>
      <c r="D2006">
        <v>1</v>
      </c>
      <c r="E2006">
        <v>1</v>
      </c>
      <c r="F2006" t="s">
        <v>2349</v>
      </c>
      <c r="G2006" t="s">
        <v>2350</v>
      </c>
    </row>
    <row r="2007" ht="14" customHeight="1" spans="1:7">
      <c r="A2007">
        <v>70019</v>
      </c>
      <c r="B2007">
        <v>1</v>
      </c>
      <c r="C2007">
        <v>1</v>
      </c>
      <c r="D2007">
        <v>1</v>
      </c>
      <c r="E2007">
        <v>1</v>
      </c>
      <c r="F2007" t="s">
        <v>2351</v>
      </c>
      <c r="G2007" t="s">
        <v>2352</v>
      </c>
    </row>
    <row r="2008" ht="14" customHeight="1" spans="1:7">
      <c r="A2008">
        <v>70020</v>
      </c>
      <c r="B2008">
        <v>1</v>
      </c>
      <c r="C2008">
        <v>1</v>
      </c>
      <c r="D2008">
        <v>1</v>
      </c>
      <c r="E2008">
        <v>1</v>
      </c>
      <c r="F2008" t="s">
        <v>2353</v>
      </c>
      <c r="G2008" t="s">
        <v>2354</v>
      </c>
    </row>
    <row r="2009" ht="14" customHeight="1" spans="1:7">
      <c r="A2009">
        <v>70021</v>
      </c>
      <c r="B2009">
        <v>1</v>
      </c>
      <c r="C2009">
        <v>1</v>
      </c>
      <c r="D2009">
        <v>1</v>
      </c>
      <c r="E2009">
        <v>1</v>
      </c>
      <c r="F2009" t="s">
        <v>2355</v>
      </c>
      <c r="G2009" t="s">
        <v>2356</v>
      </c>
    </row>
    <row r="2010" ht="14" customHeight="1" spans="1:7">
      <c r="A2010">
        <v>70022</v>
      </c>
      <c r="B2010">
        <v>1</v>
      </c>
      <c r="C2010">
        <v>1</v>
      </c>
      <c r="D2010">
        <v>1</v>
      </c>
      <c r="E2010">
        <v>1</v>
      </c>
      <c r="F2010" t="s">
        <v>2357</v>
      </c>
      <c r="G2010" t="s">
        <v>2358</v>
      </c>
    </row>
    <row r="2011" ht="14" customHeight="1" spans="1:7">
      <c r="A2011">
        <v>70023</v>
      </c>
      <c r="B2011">
        <v>1</v>
      </c>
      <c r="C2011">
        <v>1</v>
      </c>
      <c r="D2011">
        <v>1</v>
      </c>
      <c r="E2011">
        <v>1</v>
      </c>
      <c r="F2011" t="s">
        <v>2359</v>
      </c>
      <c r="G2011" t="s">
        <v>2360</v>
      </c>
    </row>
    <row r="2012" ht="14" customHeight="1" spans="1:7">
      <c r="A2012">
        <v>70024</v>
      </c>
      <c r="B2012">
        <v>1</v>
      </c>
      <c r="C2012">
        <v>1</v>
      </c>
      <c r="D2012">
        <v>1</v>
      </c>
      <c r="E2012">
        <v>1</v>
      </c>
      <c r="F2012" t="s">
        <v>2361</v>
      </c>
      <c r="G2012" t="s">
        <v>2354</v>
      </c>
    </row>
    <row r="2013" ht="14" customHeight="1" spans="1:7">
      <c r="A2013">
        <v>70025</v>
      </c>
      <c r="B2013">
        <v>1</v>
      </c>
      <c r="C2013">
        <v>1</v>
      </c>
      <c r="D2013">
        <v>1</v>
      </c>
      <c r="E2013">
        <v>1</v>
      </c>
      <c r="F2013" t="s">
        <v>2362</v>
      </c>
      <c r="G2013" t="s">
        <v>2356</v>
      </c>
    </row>
    <row r="2014" ht="14" customHeight="1" spans="1:7">
      <c r="A2014">
        <v>70026</v>
      </c>
      <c r="B2014">
        <v>1</v>
      </c>
      <c r="C2014">
        <v>1</v>
      </c>
      <c r="D2014">
        <v>1</v>
      </c>
      <c r="E2014">
        <v>1</v>
      </c>
      <c r="F2014" t="s">
        <v>2363</v>
      </c>
      <c r="G2014" t="s">
        <v>2364</v>
      </c>
    </row>
    <row r="2015" ht="14" customHeight="1" spans="1:7">
      <c r="A2015">
        <v>70027</v>
      </c>
      <c r="B2015">
        <v>1</v>
      </c>
      <c r="C2015">
        <v>1</v>
      </c>
      <c r="D2015">
        <v>1</v>
      </c>
      <c r="E2015">
        <v>1</v>
      </c>
      <c r="F2015" t="s">
        <v>2365</v>
      </c>
      <c r="G2015" t="s">
        <v>2366</v>
      </c>
    </row>
    <row r="2016" ht="14" customHeight="1" spans="1:7">
      <c r="A2016" s="34">
        <v>70028</v>
      </c>
      <c r="B2016">
        <v>1</v>
      </c>
      <c r="C2016">
        <v>1</v>
      </c>
      <c r="D2016">
        <v>1</v>
      </c>
      <c r="E2016">
        <v>1</v>
      </c>
      <c r="F2016" t="s">
        <v>2367</v>
      </c>
      <c r="G2016" t="s">
        <v>2368</v>
      </c>
    </row>
    <row r="2017" ht="14" customHeight="1" spans="1:7">
      <c r="A2017" s="34">
        <v>70029</v>
      </c>
      <c r="B2017">
        <v>1</v>
      </c>
      <c r="C2017">
        <v>1</v>
      </c>
      <c r="D2017">
        <v>1</v>
      </c>
      <c r="E2017">
        <v>1</v>
      </c>
      <c r="F2017" t="s">
        <v>2369</v>
      </c>
      <c r="G2017" t="s">
        <v>369</v>
      </c>
    </row>
    <row r="2018" ht="14" customHeight="1" spans="1:7">
      <c r="A2018" s="34">
        <v>70030</v>
      </c>
      <c r="B2018">
        <v>1</v>
      </c>
      <c r="C2018">
        <v>1</v>
      </c>
      <c r="D2018">
        <v>1</v>
      </c>
      <c r="E2018">
        <v>1</v>
      </c>
      <c r="F2018" t="s">
        <v>2370</v>
      </c>
      <c r="G2018" t="s">
        <v>2371</v>
      </c>
    </row>
    <row r="2019" ht="14" customHeight="1" spans="1:7">
      <c r="A2019" s="34">
        <v>70031</v>
      </c>
      <c r="B2019">
        <v>1</v>
      </c>
      <c r="C2019">
        <v>1</v>
      </c>
      <c r="D2019">
        <v>1</v>
      </c>
      <c r="E2019">
        <v>1</v>
      </c>
      <c r="F2019" t="s">
        <v>2372</v>
      </c>
      <c r="G2019" t="s">
        <v>2373</v>
      </c>
    </row>
    <row r="2020" ht="14" customHeight="1" spans="1:7">
      <c r="A2020">
        <v>70032</v>
      </c>
      <c r="B2020">
        <v>1</v>
      </c>
      <c r="C2020">
        <v>1</v>
      </c>
      <c r="D2020">
        <v>1</v>
      </c>
      <c r="E2020">
        <v>1</v>
      </c>
      <c r="F2020" t="s">
        <v>2374</v>
      </c>
      <c r="G2020" t="s">
        <v>2375</v>
      </c>
    </row>
    <row r="2021" ht="14" customHeight="1" spans="1:7">
      <c r="A2021">
        <v>70033</v>
      </c>
      <c r="B2021">
        <v>1</v>
      </c>
      <c r="C2021">
        <v>1</v>
      </c>
      <c r="D2021">
        <v>1</v>
      </c>
      <c r="E2021">
        <v>1</v>
      </c>
      <c r="F2021" t="s">
        <v>2376</v>
      </c>
      <c r="G2021" t="s">
        <v>2377</v>
      </c>
    </row>
    <row r="2022" ht="14" customHeight="1" spans="1:7">
      <c r="A2022">
        <v>70034</v>
      </c>
      <c r="B2022">
        <v>1</v>
      </c>
      <c r="C2022">
        <v>1</v>
      </c>
      <c r="D2022">
        <v>1</v>
      </c>
      <c r="E2022">
        <v>1</v>
      </c>
      <c r="F2022" t="s">
        <v>2378</v>
      </c>
      <c r="G2022" t="s">
        <v>2379</v>
      </c>
    </row>
    <row r="2023" ht="14" customHeight="1" spans="1:7">
      <c r="A2023">
        <v>70035</v>
      </c>
      <c r="B2023">
        <v>1</v>
      </c>
      <c r="C2023">
        <v>1</v>
      </c>
      <c r="D2023">
        <v>1</v>
      </c>
      <c r="E2023">
        <v>1</v>
      </c>
      <c r="F2023" t="s">
        <v>2380</v>
      </c>
      <c r="G2023" t="s">
        <v>2381</v>
      </c>
    </row>
    <row r="2024" ht="14" customHeight="1" spans="1:7">
      <c r="A2024">
        <v>70036</v>
      </c>
      <c r="B2024">
        <v>1</v>
      </c>
      <c r="C2024">
        <v>1</v>
      </c>
      <c r="D2024">
        <v>1</v>
      </c>
      <c r="E2024">
        <v>1</v>
      </c>
      <c r="F2024" t="s">
        <v>2382</v>
      </c>
      <c r="G2024" t="s">
        <v>2383</v>
      </c>
    </row>
    <row r="2025" ht="14" customHeight="1" spans="1:7">
      <c r="A2025">
        <v>70037</v>
      </c>
      <c r="B2025">
        <v>1</v>
      </c>
      <c r="C2025">
        <v>1</v>
      </c>
      <c r="D2025">
        <v>1</v>
      </c>
      <c r="E2025">
        <v>1</v>
      </c>
      <c r="F2025" s="17" t="s">
        <v>2384</v>
      </c>
      <c r="G2025" t="s">
        <v>2385</v>
      </c>
    </row>
    <row r="2026" ht="14" customHeight="1" spans="1:7">
      <c r="A2026">
        <v>70038</v>
      </c>
      <c r="B2026">
        <v>1</v>
      </c>
      <c r="C2026">
        <v>1</v>
      </c>
      <c r="D2026">
        <v>1</v>
      </c>
      <c r="E2026">
        <v>1</v>
      </c>
      <c r="F2026" s="17" t="s">
        <v>2386</v>
      </c>
      <c r="G2026" t="s">
        <v>2387</v>
      </c>
    </row>
    <row r="2027" ht="14" customHeight="1" spans="1:7">
      <c r="A2027" s="47">
        <v>70039</v>
      </c>
      <c r="B2027" s="47">
        <v>1</v>
      </c>
      <c r="C2027" s="47">
        <v>1</v>
      </c>
      <c r="D2027" s="47">
        <v>1</v>
      </c>
      <c r="E2027" s="47">
        <v>1</v>
      </c>
      <c r="F2027" s="86" t="s">
        <v>2388</v>
      </c>
      <c r="G2027" s="47" t="s">
        <v>2389</v>
      </c>
    </row>
    <row r="2028" ht="14" customHeight="1" spans="1:7">
      <c r="A2028" s="47">
        <v>70040</v>
      </c>
      <c r="B2028" s="47">
        <v>1</v>
      </c>
      <c r="C2028" s="47">
        <v>1</v>
      </c>
      <c r="D2028" s="47">
        <v>1</v>
      </c>
      <c r="E2028" s="47">
        <v>1</v>
      </c>
      <c r="F2028" s="86" t="s">
        <v>2390</v>
      </c>
      <c r="G2028" s="47" t="s">
        <v>2391</v>
      </c>
    </row>
    <row r="2029" ht="14" customHeight="1" spans="1:7">
      <c r="A2029" s="47">
        <v>70041</v>
      </c>
      <c r="B2029" s="47">
        <v>1</v>
      </c>
      <c r="C2029" s="47">
        <v>1</v>
      </c>
      <c r="D2029" s="47">
        <v>1</v>
      </c>
      <c r="E2029" s="47">
        <v>1</v>
      </c>
      <c r="F2029" s="86" t="s">
        <v>2392</v>
      </c>
      <c r="G2029" s="47" t="s">
        <v>2393</v>
      </c>
    </row>
    <row r="2030" ht="14" customHeight="1" spans="1:7">
      <c r="A2030" s="47">
        <v>70042</v>
      </c>
      <c r="B2030" s="47">
        <v>1</v>
      </c>
      <c r="C2030" s="47">
        <v>1</v>
      </c>
      <c r="D2030" s="47">
        <v>1</v>
      </c>
      <c r="E2030" s="47">
        <v>1</v>
      </c>
      <c r="F2030" s="86" t="s">
        <v>2394</v>
      </c>
      <c r="G2030" s="47" t="s">
        <v>2395</v>
      </c>
    </row>
    <row r="2031" ht="14" customHeight="1" spans="1:7">
      <c r="A2031" s="47">
        <v>70043</v>
      </c>
      <c r="B2031" s="47">
        <v>1</v>
      </c>
      <c r="C2031" s="47">
        <v>1</v>
      </c>
      <c r="D2031" s="47">
        <v>1</v>
      </c>
      <c r="E2031" s="47">
        <v>1</v>
      </c>
      <c r="F2031" s="86" t="s">
        <v>2396</v>
      </c>
      <c r="G2031" s="47" t="s">
        <v>2397</v>
      </c>
    </row>
    <row r="2032" ht="14" customHeight="1" spans="1:7">
      <c r="A2032" s="47">
        <v>70044</v>
      </c>
      <c r="B2032" s="47">
        <v>1</v>
      </c>
      <c r="C2032" s="47">
        <v>1</v>
      </c>
      <c r="D2032" s="47">
        <v>1</v>
      </c>
      <c r="E2032" s="47">
        <v>1</v>
      </c>
      <c r="F2032" s="86" t="s">
        <v>2398</v>
      </c>
      <c r="G2032" s="47" t="s">
        <v>2399</v>
      </c>
    </row>
    <row r="2033" ht="14" customHeight="1" spans="1:7">
      <c r="A2033" s="47">
        <v>70045</v>
      </c>
      <c r="B2033" s="47">
        <v>1</v>
      </c>
      <c r="C2033" s="47">
        <v>1</v>
      </c>
      <c r="D2033" s="47">
        <v>1</v>
      </c>
      <c r="E2033" s="47">
        <v>1</v>
      </c>
      <c r="F2033" s="86" t="s">
        <v>2400</v>
      </c>
      <c r="G2033" s="47" t="s">
        <v>2401</v>
      </c>
    </row>
    <row r="2034" ht="14" customHeight="1" spans="1:7">
      <c r="A2034" s="47">
        <v>70046</v>
      </c>
      <c r="B2034" s="47">
        <v>1</v>
      </c>
      <c r="C2034" s="47">
        <v>1</v>
      </c>
      <c r="D2034" s="47">
        <v>1</v>
      </c>
      <c r="E2034" s="47">
        <v>1</v>
      </c>
      <c r="F2034" s="86" t="s">
        <v>2402</v>
      </c>
      <c r="G2034" s="47" t="s">
        <v>2403</v>
      </c>
    </row>
    <row r="2035" ht="14" customHeight="1" spans="1:7">
      <c r="A2035" s="47">
        <v>70047</v>
      </c>
      <c r="B2035" s="47">
        <v>1</v>
      </c>
      <c r="C2035" s="47">
        <v>1</v>
      </c>
      <c r="D2035" s="47">
        <v>1</v>
      </c>
      <c r="E2035" s="47">
        <v>1</v>
      </c>
      <c r="F2035" s="86" t="s">
        <v>2404</v>
      </c>
      <c r="G2035" s="47" t="s">
        <v>2324</v>
      </c>
    </row>
    <row r="2036" ht="14" customHeight="1" spans="1:7">
      <c r="A2036" s="47">
        <v>70048</v>
      </c>
      <c r="B2036" s="47">
        <v>1</v>
      </c>
      <c r="C2036" s="47">
        <v>1</v>
      </c>
      <c r="D2036" s="47">
        <v>1</v>
      </c>
      <c r="E2036" s="47">
        <v>1</v>
      </c>
      <c r="F2036" s="86" t="s">
        <v>2405</v>
      </c>
      <c r="G2036" s="47" t="s">
        <v>2406</v>
      </c>
    </row>
    <row r="2037" ht="14" customHeight="1" spans="1:7">
      <c r="A2037" s="47">
        <v>70049</v>
      </c>
      <c r="B2037" s="47">
        <v>1</v>
      </c>
      <c r="C2037" s="47">
        <v>1</v>
      </c>
      <c r="D2037" s="47">
        <v>1</v>
      </c>
      <c r="E2037" s="47">
        <v>1</v>
      </c>
      <c r="F2037" s="86" t="s">
        <v>2407</v>
      </c>
      <c r="G2037" s="47" t="s">
        <v>2408</v>
      </c>
    </row>
    <row r="2038" ht="14" customHeight="1" spans="1:7">
      <c r="A2038" s="47">
        <v>70050</v>
      </c>
      <c r="B2038" s="47">
        <v>1</v>
      </c>
      <c r="C2038" s="47">
        <v>1</v>
      </c>
      <c r="D2038" s="47">
        <v>1</v>
      </c>
      <c r="E2038" s="47">
        <v>1</v>
      </c>
      <c r="F2038" s="86" t="s">
        <v>2409</v>
      </c>
      <c r="G2038" s="7" t="s">
        <v>2410</v>
      </c>
    </row>
    <row r="2039" ht="14" customHeight="1" spans="1:7">
      <c r="A2039" s="47">
        <v>70051</v>
      </c>
      <c r="B2039" s="47">
        <v>1</v>
      </c>
      <c r="C2039" s="47">
        <v>1</v>
      </c>
      <c r="D2039" s="47">
        <v>1</v>
      </c>
      <c r="E2039" s="47">
        <v>1</v>
      </c>
      <c r="F2039" s="86" t="s">
        <v>2411</v>
      </c>
      <c r="G2039" s="7" t="s">
        <v>2412</v>
      </c>
    </row>
    <row r="2040" ht="14" customHeight="1" spans="1:7">
      <c r="A2040" s="47">
        <v>70052</v>
      </c>
      <c r="B2040" s="47">
        <v>1</v>
      </c>
      <c r="C2040" s="47">
        <v>1</v>
      </c>
      <c r="D2040" s="47">
        <v>1</v>
      </c>
      <c r="E2040" s="47">
        <v>1</v>
      </c>
      <c r="F2040" s="86" t="s">
        <v>2413</v>
      </c>
      <c r="G2040" s="7" t="s">
        <v>2414</v>
      </c>
    </row>
    <row r="2041" ht="14" customHeight="1" spans="1:7">
      <c r="A2041" s="47">
        <v>70053</v>
      </c>
      <c r="B2041" s="47">
        <v>1</v>
      </c>
      <c r="C2041" s="47">
        <v>1</v>
      </c>
      <c r="D2041" s="47">
        <v>1</v>
      </c>
      <c r="E2041" s="47">
        <v>1</v>
      </c>
      <c r="F2041" s="86" t="s">
        <v>2415</v>
      </c>
      <c r="G2041" s="7" t="s">
        <v>2416</v>
      </c>
    </row>
    <row r="2042" ht="14" customHeight="1" spans="1:7">
      <c r="A2042" s="47">
        <v>70054</v>
      </c>
      <c r="B2042" s="47">
        <v>1</v>
      </c>
      <c r="C2042" s="47">
        <v>1</v>
      </c>
      <c r="D2042" s="47">
        <v>1</v>
      </c>
      <c r="E2042" s="47">
        <v>1</v>
      </c>
      <c r="F2042" s="86" t="s">
        <v>2417</v>
      </c>
      <c r="G2042" s="7" t="s">
        <v>2418</v>
      </c>
    </row>
    <row r="2043" s="44" customFormat="1" ht="14" customHeight="1" spans="1:7">
      <c r="A2043" s="87">
        <v>70055</v>
      </c>
      <c r="B2043" s="87">
        <v>1</v>
      </c>
      <c r="C2043" s="87">
        <v>1</v>
      </c>
      <c r="D2043" s="87">
        <v>1</v>
      </c>
      <c r="E2043" s="87">
        <v>1</v>
      </c>
      <c r="F2043" s="88" t="s">
        <v>2419</v>
      </c>
      <c r="G2043" s="67" t="s">
        <v>2420</v>
      </c>
    </row>
    <row r="2044" s="44" customFormat="1" ht="14" customHeight="1" spans="1:7">
      <c r="A2044" s="87">
        <v>70056</v>
      </c>
      <c r="B2044" s="87">
        <v>1</v>
      </c>
      <c r="C2044" s="87">
        <v>1</v>
      </c>
      <c r="D2044" s="87">
        <v>1</v>
      </c>
      <c r="E2044" s="87">
        <v>1</v>
      </c>
      <c r="F2044" s="88" t="s">
        <v>2421</v>
      </c>
      <c r="G2044" s="67" t="s">
        <v>2422</v>
      </c>
    </row>
    <row r="2045" s="44" customFormat="1" ht="14" customHeight="1" spans="1:7">
      <c r="A2045" s="87">
        <v>70057</v>
      </c>
      <c r="B2045" s="87">
        <v>1</v>
      </c>
      <c r="C2045" s="87">
        <v>1</v>
      </c>
      <c r="D2045" s="87">
        <v>1</v>
      </c>
      <c r="E2045" s="87">
        <v>1</v>
      </c>
      <c r="F2045" s="88" t="s">
        <v>2423</v>
      </c>
      <c r="G2045" s="67" t="s">
        <v>2424</v>
      </c>
    </row>
    <row r="2046" s="44" customFormat="1" ht="14" customHeight="1" spans="1:7">
      <c r="A2046" s="87">
        <v>70058</v>
      </c>
      <c r="B2046" s="87">
        <v>1</v>
      </c>
      <c r="C2046" s="87">
        <v>1</v>
      </c>
      <c r="D2046" s="87">
        <v>1</v>
      </c>
      <c r="E2046" s="87">
        <v>1</v>
      </c>
      <c r="F2046" s="88" t="s">
        <v>2425</v>
      </c>
      <c r="G2046" s="67" t="s">
        <v>2426</v>
      </c>
    </row>
    <row r="2047" s="44" customFormat="1" ht="14" customHeight="1" spans="1:7">
      <c r="A2047" s="87">
        <v>70059</v>
      </c>
      <c r="B2047" s="87">
        <v>1</v>
      </c>
      <c r="C2047" s="87">
        <v>1</v>
      </c>
      <c r="D2047" s="87">
        <v>1</v>
      </c>
      <c r="E2047" s="87">
        <v>1</v>
      </c>
      <c r="F2047" s="88" t="s">
        <v>2427</v>
      </c>
      <c r="G2047" s="67" t="s">
        <v>2428</v>
      </c>
    </row>
    <row r="2048" ht="14" customHeight="1" spans="1:7">
      <c r="A2048">
        <v>90001</v>
      </c>
      <c r="B2048">
        <v>1</v>
      </c>
      <c r="C2048">
        <v>1</v>
      </c>
      <c r="D2048">
        <v>1</v>
      </c>
      <c r="E2048">
        <v>1</v>
      </c>
      <c r="F2048" t="s">
        <v>2429</v>
      </c>
      <c r="G2048" t="s">
        <v>2430</v>
      </c>
    </row>
    <row r="2049" ht="14" customHeight="1" spans="1:7">
      <c r="A2049">
        <v>90002</v>
      </c>
      <c r="B2049">
        <v>1</v>
      </c>
      <c r="C2049">
        <v>1</v>
      </c>
      <c r="D2049">
        <v>1</v>
      </c>
      <c r="E2049">
        <v>1</v>
      </c>
      <c r="F2049" t="s">
        <v>2431</v>
      </c>
      <c r="G2049" t="s">
        <v>2432</v>
      </c>
    </row>
    <row r="2050" ht="14" customHeight="1" spans="1:7">
      <c r="A2050">
        <v>90003</v>
      </c>
      <c r="B2050">
        <v>1</v>
      </c>
      <c r="C2050">
        <v>1</v>
      </c>
      <c r="D2050">
        <v>1</v>
      </c>
      <c r="E2050">
        <v>1</v>
      </c>
      <c r="F2050" t="s">
        <v>2433</v>
      </c>
      <c r="G2050" t="s">
        <v>2434</v>
      </c>
    </row>
    <row r="2051" ht="14" customHeight="1" spans="1:7">
      <c r="A2051">
        <v>90004</v>
      </c>
      <c r="B2051">
        <v>1</v>
      </c>
      <c r="C2051">
        <v>1</v>
      </c>
      <c r="D2051">
        <v>1</v>
      </c>
      <c r="E2051">
        <v>1</v>
      </c>
      <c r="F2051" t="s">
        <v>2435</v>
      </c>
      <c r="G2051" t="s">
        <v>2436</v>
      </c>
    </row>
    <row r="2052" ht="14" customHeight="1" spans="1:7">
      <c r="A2052">
        <v>90005</v>
      </c>
      <c r="B2052">
        <v>1</v>
      </c>
      <c r="C2052">
        <v>1</v>
      </c>
      <c r="D2052">
        <v>1</v>
      </c>
      <c r="E2052">
        <v>1</v>
      </c>
      <c r="F2052" t="s">
        <v>2437</v>
      </c>
      <c r="G2052" t="s">
        <v>2438</v>
      </c>
    </row>
    <row r="2053" ht="14" customHeight="1" spans="1:7">
      <c r="A2053">
        <v>90006</v>
      </c>
      <c r="B2053">
        <v>1</v>
      </c>
      <c r="C2053">
        <v>1</v>
      </c>
      <c r="D2053">
        <v>1</v>
      </c>
      <c r="E2053">
        <v>1</v>
      </c>
      <c r="F2053" t="s">
        <v>2439</v>
      </c>
      <c r="G2053" t="s">
        <v>2440</v>
      </c>
    </row>
    <row r="2054" ht="14" customHeight="1" spans="1:7">
      <c r="A2054">
        <v>90007</v>
      </c>
      <c r="B2054">
        <v>1</v>
      </c>
      <c r="C2054">
        <v>1</v>
      </c>
      <c r="D2054">
        <v>1</v>
      </c>
      <c r="E2054">
        <v>1</v>
      </c>
      <c r="F2054" t="s">
        <v>2441</v>
      </c>
      <c r="G2054" t="s">
        <v>2442</v>
      </c>
    </row>
    <row r="2055" ht="14" customHeight="1" spans="1:7">
      <c r="A2055">
        <v>90008</v>
      </c>
      <c r="B2055">
        <v>1</v>
      </c>
      <c r="C2055">
        <v>1</v>
      </c>
      <c r="D2055">
        <v>1</v>
      </c>
      <c r="E2055">
        <v>1</v>
      </c>
      <c r="F2055" t="s">
        <v>2443</v>
      </c>
      <c r="G2055" t="s">
        <v>2444</v>
      </c>
    </row>
    <row r="2056" ht="14" customHeight="1" spans="1:7">
      <c r="A2056">
        <v>90009</v>
      </c>
      <c r="B2056">
        <v>1</v>
      </c>
      <c r="C2056">
        <v>1</v>
      </c>
      <c r="D2056">
        <v>1</v>
      </c>
      <c r="E2056">
        <v>1</v>
      </c>
      <c r="F2056" t="s">
        <v>2445</v>
      </c>
      <c r="G2056" t="s">
        <v>2446</v>
      </c>
    </row>
    <row r="2057" ht="14" customHeight="1" spans="1:7">
      <c r="A2057">
        <v>90010</v>
      </c>
      <c r="B2057">
        <v>1</v>
      </c>
      <c r="C2057">
        <v>1</v>
      </c>
      <c r="D2057">
        <v>1</v>
      </c>
      <c r="E2057">
        <v>1</v>
      </c>
      <c r="F2057" t="s">
        <v>2447</v>
      </c>
      <c r="G2057" t="s">
        <v>2448</v>
      </c>
    </row>
    <row r="2058" ht="14" customHeight="1" spans="1:7">
      <c r="A2058">
        <v>90011</v>
      </c>
      <c r="B2058">
        <v>1</v>
      </c>
      <c r="C2058">
        <v>1</v>
      </c>
      <c r="D2058">
        <v>1</v>
      </c>
      <c r="E2058">
        <v>1</v>
      </c>
      <c r="F2058" t="s">
        <v>2449</v>
      </c>
      <c r="G2058" t="s">
        <v>2450</v>
      </c>
    </row>
    <row r="2059" ht="14" customHeight="1" spans="1:7">
      <c r="A2059">
        <v>90012</v>
      </c>
      <c r="B2059">
        <v>1</v>
      </c>
      <c r="C2059">
        <v>1</v>
      </c>
      <c r="D2059">
        <v>1</v>
      </c>
      <c r="E2059">
        <v>1</v>
      </c>
      <c r="F2059" t="s">
        <v>2451</v>
      </c>
      <c r="G2059" t="s">
        <v>2452</v>
      </c>
    </row>
    <row r="2060" ht="14" customHeight="1" spans="1:7">
      <c r="A2060">
        <v>90013</v>
      </c>
      <c r="B2060">
        <v>1</v>
      </c>
      <c r="C2060">
        <v>1</v>
      </c>
      <c r="D2060">
        <v>1</v>
      </c>
      <c r="E2060">
        <v>1</v>
      </c>
      <c r="F2060" t="s">
        <v>2453</v>
      </c>
      <c r="G2060" t="s">
        <v>2454</v>
      </c>
    </row>
    <row r="2061" ht="14" customHeight="1" spans="1:7">
      <c r="A2061">
        <v>90014</v>
      </c>
      <c r="B2061">
        <v>1</v>
      </c>
      <c r="C2061">
        <v>1</v>
      </c>
      <c r="D2061">
        <v>1</v>
      </c>
      <c r="E2061">
        <v>1</v>
      </c>
      <c r="F2061" t="s">
        <v>2455</v>
      </c>
      <c r="G2061" t="s">
        <v>2456</v>
      </c>
    </row>
    <row r="2062" ht="14" customHeight="1" spans="1:7">
      <c r="A2062">
        <v>90015</v>
      </c>
      <c r="B2062">
        <v>1</v>
      </c>
      <c r="C2062">
        <v>1</v>
      </c>
      <c r="D2062">
        <v>1</v>
      </c>
      <c r="E2062">
        <v>1</v>
      </c>
      <c r="F2062" t="s">
        <v>2457</v>
      </c>
      <c r="G2062" t="s">
        <v>2458</v>
      </c>
    </row>
    <row r="2063" ht="14" customHeight="1" spans="1:7">
      <c r="A2063">
        <v>90016</v>
      </c>
      <c r="B2063">
        <v>1</v>
      </c>
      <c r="C2063">
        <v>1</v>
      </c>
      <c r="D2063">
        <v>1</v>
      </c>
      <c r="E2063">
        <v>1</v>
      </c>
      <c r="F2063" t="s">
        <v>2459</v>
      </c>
      <c r="G2063" t="s">
        <v>2460</v>
      </c>
    </row>
    <row r="2064" ht="14" customHeight="1" spans="1:7">
      <c r="A2064">
        <v>90017</v>
      </c>
      <c r="B2064">
        <v>1</v>
      </c>
      <c r="C2064">
        <v>1</v>
      </c>
      <c r="D2064">
        <v>1</v>
      </c>
      <c r="E2064">
        <v>1</v>
      </c>
      <c r="F2064" t="s">
        <v>2461</v>
      </c>
      <c r="G2064" t="s">
        <v>2462</v>
      </c>
    </row>
    <row r="2065" ht="14" customHeight="1" spans="1:7">
      <c r="A2065">
        <v>90018</v>
      </c>
      <c r="B2065">
        <v>1</v>
      </c>
      <c r="C2065">
        <v>1</v>
      </c>
      <c r="D2065">
        <v>1</v>
      </c>
      <c r="E2065">
        <v>1</v>
      </c>
      <c r="F2065" t="s">
        <v>2463</v>
      </c>
      <c r="G2065" t="s">
        <v>2464</v>
      </c>
    </row>
    <row r="2066" ht="14" customHeight="1" spans="1:7">
      <c r="A2066">
        <v>90019</v>
      </c>
      <c r="B2066">
        <v>1</v>
      </c>
      <c r="C2066">
        <v>1</v>
      </c>
      <c r="D2066">
        <v>1</v>
      </c>
      <c r="E2066">
        <v>1</v>
      </c>
      <c r="F2066" t="s">
        <v>2465</v>
      </c>
      <c r="G2066" t="s">
        <v>2466</v>
      </c>
    </row>
    <row r="2067" ht="14" customHeight="1" spans="1:7">
      <c r="A2067">
        <v>90020</v>
      </c>
      <c r="B2067">
        <v>1</v>
      </c>
      <c r="C2067">
        <v>1</v>
      </c>
      <c r="D2067">
        <v>1</v>
      </c>
      <c r="E2067">
        <v>1</v>
      </c>
      <c r="F2067" t="s">
        <v>2467</v>
      </c>
      <c r="G2067" t="s">
        <v>2468</v>
      </c>
    </row>
    <row r="2068" ht="14" customHeight="1" spans="1:7">
      <c r="A2068">
        <v>90021</v>
      </c>
      <c r="B2068">
        <v>1</v>
      </c>
      <c r="C2068">
        <v>1</v>
      </c>
      <c r="D2068">
        <v>1</v>
      </c>
      <c r="E2068">
        <v>1</v>
      </c>
      <c r="F2068" t="s">
        <v>2469</v>
      </c>
      <c r="G2068" t="s">
        <v>2470</v>
      </c>
    </row>
    <row r="2069" ht="14" customHeight="1" spans="1:7">
      <c r="A2069">
        <v>90022</v>
      </c>
      <c r="B2069">
        <v>1</v>
      </c>
      <c r="C2069">
        <v>1</v>
      </c>
      <c r="D2069">
        <v>1</v>
      </c>
      <c r="E2069">
        <v>1</v>
      </c>
      <c r="F2069" t="s">
        <v>2471</v>
      </c>
      <c r="G2069" t="s">
        <v>2472</v>
      </c>
    </row>
    <row r="2070" ht="14" customHeight="1" spans="1:7">
      <c r="A2070">
        <v>90023</v>
      </c>
      <c r="B2070">
        <v>1</v>
      </c>
      <c r="C2070">
        <v>1</v>
      </c>
      <c r="D2070">
        <v>1</v>
      </c>
      <c r="E2070">
        <v>1</v>
      </c>
      <c r="F2070" t="s">
        <v>2473</v>
      </c>
      <c r="G2070" t="s">
        <v>2474</v>
      </c>
    </row>
    <row r="2071" ht="14" customHeight="1" spans="1:7">
      <c r="A2071">
        <v>90024</v>
      </c>
      <c r="B2071">
        <v>1</v>
      </c>
      <c r="C2071">
        <v>1</v>
      </c>
      <c r="D2071">
        <v>1</v>
      </c>
      <c r="E2071">
        <v>1</v>
      </c>
      <c r="F2071" t="s">
        <v>2475</v>
      </c>
      <c r="G2071" t="s">
        <v>2476</v>
      </c>
    </row>
    <row r="2072" ht="14" customHeight="1" spans="1:7">
      <c r="A2072">
        <v>90025</v>
      </c>
      <c r="B2072">
        <v>1</v>
      </c>
      <c r="C2072">
        <v>1</v>
      </c>
      <c r="D2072">
        <v>1</v>
      </c>
      <c r="E2072">
        <v>1</v>
      </c>
      <c r="F2072" t="s">
        <v>2477</v>
      </c>
      <c r="G2072" t="s">
        <v>2478</v>
      </c>
    </row>
    <row r="2073" ht="14" customHeight="1" spans="1:7">
      <c r="A2073">
        <v>90026</v>
      </c>
      <c r="B2073">
        <v>1</v>
      </c>
      <c r="C2073">
        <v>1</v>
      </c>
      <c r="D2073">
        <v>1</v>
      </c>
      <c r="E2073">
        <v>1</v>
      </c>
      <c r="F2073" t="s">
        <v>2479</v>
      </c>
      <c r="G2073" t="s">
        <v>2480</v>
      </c>
    </row>
    <row r="2074" ht="14" customHeight="1" spans="1:7">
      <c r="A2074">
        <v>90027</v>
      </c>
      <c r="B2074">
        <v>1</v>
      </c>
      <c r="C2074">
        <v>1</v>
      </c>
      <c r="D2074">
        <v>1</v>
      </c>
      <c r="E2074">
        <v>1</v>
      </c>
      <c r="F2074" t="s">
        <v>2481</v>
      </c>
      <c r="G2074" t="s">
        <v>2482</v>
      </c>
    </row>
    <row r="2075" ht="14" customHeight="1" spans="1:7">
      <c r="A2075">
        <v>90028</v>
      </c>
      <c r="B2075">
        <v>1</v>
      </c>
      <c r="C2075">
        <v>1</v>
      </c>
      <c r="D2075">
        <v>1</v>
      </c>
      <c r="E2075">
        <v>1</v>
      </c>
      <c r="F2075" t="s">
        <v>2483</v>
      </c>
      <c r="G2075" t="s">
        <v>2484</v>
      </c>
    </row>
    <row r="2076" ht="14" customHeight="1" spans="1:7">
      <c r="A2076">
        <v>90029</v>
      </c>
      <c r="B2076">
        <v>1</v>
      </c>
      <c r="C2076">
        <v>1</v>
      </c>
      <c r="D2076">
        <v>1</v>
      </c>
      <c r="E2076">
        <v>1</v>
      </c>
      <c r="F2076" t="s">
        <v>2485</v>
      </c>
      <c r="G2076" t="s">
        <v>2486</v>
      </c>
    </row>
    <row r="2077" ht="14" customHeight="1" spans="1:7">
      <c r="A2077">
        <v>90030</v>
      </c>
      <c r="B2077">
        <v>1</v>
      </c>
      <c r="C2077">
        <v>1</v>
      </c>
      <c r="D2077">
        <v>1</v>
      </c>
      <c r="E2077">
        <v>1</v>
      </c>
      <c r="F2077" t="s">
        <v>2487</v>
      </c>
      <c r="G2077" t="s">
        <v>2488</v>
      </c>
    </row>
    <row r="2078" ht="14" customHeight="1" spans="1:7">
      <c r="A2078">
        <v>90031</v>
      </c>
      <c r="B2078">
        <v>1</v>
      </c>
      <c r="C2078">
        <v>1</v>
      </c>
      <c r="D2078">
        <v>1</v>
      </c>
      <c r="E2078">
        <v>1</v>
      </c>
      <c r="F2078" t="s">
        <v>2489</v>
      </c>
      <c r="G2078" t="s">
        <v>2490</v>
      </c>
    </row>
    <row r="2079" ht="14" customHeight="1" spans="1:7">
      <c r="A2079">
        <v>90032</v>
      </c>
      <c r="B2079">
        <v>1</v>
      </c>
      <c r="C2079">
        <v>1</v>
      </c>
      <c r="D2079">
        <v>1</v>
      </c>
      <c r="E2079">
        <v>1</v>
      </c>
      <c r="F2079" t="s">
        <v>2491</v>
      </c>
      <c r="G2079" t="s">
        <v>2492</v>
      </c>
    </row>
    <row r="2080" ht="14" customHeight="1" spans="1:7">
      <c r="A2080">
        <v>90033</v>
      </c>
      <c r="B2080">
        <v>1</v>
      </c>
      <c r="C2080">
        <v>1</v>
      </c>
      <c r="D2080">
        <v>1</v>
      </c>
      <c r="E2080">
        <v>1</v>
      </c>
      <c r="F2080" t="s">
        <v>2493</v>
      </c>
      <c r="G2080" t="s">
        <v>2494</v>
      </c>
    </row>
    <row r="2081" ht="14" customHeight="1" spans="1:7">
      <c r="A2081">
        <v>90034</v>
      </c>
      <c r="B2081">
        <v>1</v>
      </c>
      <c r="C2081">
        <v>1</v>
      </c>
      <c r="D2081">
        <v>1</v>
      </c>
      <c r="E2081">
        <v>1</v>
      </c>
      <c r="F2081" t="s">
        <v>2495</v>
      </c>
      <c r="G2081" t="s">
        <v>2496</v>
      </c>
    </row>
    <row r="2082" ht="14" customHeight="1" spans="1:7">
      <c r="A2082">
        <v>90035</v>
      </c>
      <c r="B2082">
        <v>1</v>
      </c>
      <c r="C2082">
        <v>1</v>
      </c>
      <c r="D2082">
        <v>1</v>
      </c>
      <c r="E2082">
        <v>1</v>
      </c>
      <c r="F2082" t="s">
        <v>2497</v>
      </c>
      <c r="G2082" t="s">
        <v>2498</v>
      </c>
    </row>
    <row r="2083" ht="14" customHeight="1" spans="1:7">
      <c r="A2083">
        <v>90036</v>
      </c>
      <c r="B2083">
        <v>1</v>
      </c>
      <c r="C2083">
        <v>1</v>
      </c>
      <c r="D2083">
        <v>1</v>
      </c>
      <c r="E2083">
        <v>1</v>
      </c>
      <c r="F2083" t="s">
        <v>2499</v>
      </c>
      <c r="G2083" t="s">
        <v>2500</v>
      </c>
    </row>
    <row r="2084" ht="14" customHeight="1" spans="1:7">
      <c r="A2084">
        <v>90037</v>
      </c>
      <c r="B2084">
        <v>1</v>
      </c>
      <c r="C2084">
        <v>1</v>
      </c>
      <c r="D2084">
        <v>1</v>
      </c>
      <c r="E2084">
        <v>1</v>
      </c>
      <c r="F2084" t="s">
        <v>2501</v>
      </c>
      <c r="G2084" t="s">
        <v>2502</v>
      </c>
    </row>
    <row r="2085" ht="14" customHeight="1" spans="1:7">
      <c r="A2085">
        <v>90038</v>
      </c>
      <c r="B2085">
        <v>1</v>
      </c>
      <c r="C2085">
        <v>1</v>
      </c>
      <c r="D2085">
        <v>1</v>
      </c>
      <c r="E2085">
        <v>1</v>
      </c>
      <c r="F2085" t="s">
        <v>2503</v>
      </c>
      <c r="G2085" t="s">
        <v>2504</v>
      </c>
    </row>
    <row r="2086" ht="14" customHeight="1" spans="1:7">
      <c r="A2086">
        <v>90039</v>
      </c>
      <c r="B2086">
        <v>1</v>
      </c>
      <c r="C2086">
        <v>1</v>
      </c>
      <c r="D2086">
        <v>1</v>
      </c>
      <c r="E2086">
        <v>1</v>
      </c>
      <c r="F2086" t="s">
        <v>2505</v>
      </c>
      <c r="G2086" t="s">
        <v>2506</v>
      </c>
    </row>
    <row r="2087" ht="14" customHeight="1" spans="1:7">
      <c r="A2087">
        <v>90040</v>
      </c>
      <c r="B2087">
        <v>1</v>
      </c>
      <c r="C2087">
        <v>1</v>
      </c>
      <c r="D2087">
        <v>1</v>
      </c>
      <c r="E2087">
        <v>1</v>
      </c>
      <c r="F2087" t="s">
        <v>2507</v>
      </c>
      <c r="G2087" t="s">
        <v>2508</v>
      </c>
    </row>
    <row r="2088" ht="14" customHeight="1" spans="1:7">
      <c r="A2088">
        <v>90041</v>
      </c>
      <c r="B2088">
        <v>1</v>
      </c>
      <c r="C2088">
        <v>1</v>
      </c>
      <c r="D2088">
        <v>1</v>
      </c>
      <c r="E2088">
        <v>1</v>
      </c>
      <c r="F2088" t="s">
        <v>2509</v>
      </c>
      <c r="G2088" t="s">
        <v>2510</v>
      </c>
    </row>
    <row r="2089" ht="14" customHeight="1" spans="1:7">
      <c r="A2089">
        <v>90042</v>
      </c>
      <c r="B2089">
        <v>1</v>
      </c>
      <c r="C2089">
        <v>1</v>
      </c>
      <c r="D2089">
        <v>1</v>
      </c>
      <c r="E2089">
        <v>1</v>
      </c>
      <c r="F2089" s="7" t="s">
        <v>797</v>
      </c>
      <c r="G2089" t="s">
        <v>2511</v>
      </c>
    </row>
    <row r="2090" ht="14" customHeight="1" spans="1:7">
      <c r="A2090">
        <v>90043</v>
      </c>
      <c r="B2090">
        <v>1</v>
      </c>
      <c r="C2090">
        <v>1</v>
      </c>
      <c r="D2090">
        <v>1</v>
      </c>
      <c r="E2090">
        <v>1</v>
      </c>
      <c r="F2090" s="7" t="s">
        <v>799</v>
      </c>
      <c r="G2090" t="s">
        <v>2512</v>
      </c>
    </row>
    <row r="2091" ht="14" customHeight="1" spans="1:7">
      <c r="A2091">
        <v>90044</v>
      </c>
      <c r="B2091">
        <v>1</v>
      </c>
      <c r="C2091">
        <v>1</v>
      </c>
      <c r="D2091">
        <v>1</v>
      </c>
      <c r="E2091">
        <v>1</v>
      </c>
      <c r="F2091" s="7" t="s">
        <v>760</v>
      </c>
      <c r="G2091" t="s">
        <v>2513</v>
      </c>
    </row>
    <row r="2092" ht="14" customHeight="1" spans="1:7">
      <c r="A2092">
        <v>90045</v>
      </c>
      <c r="B2092">
        <v>1</v>
      </c>
      <c r="C2092">
        <v>1</v>
      </c>
      <c r="D2092">
        <v>1</v>
      </c>
      <c r="E2092">
        <v>1</v>
      </c>
      <c r="F2092" s="7" t="s">
        <v>2514</v>
      </c>
      <c r="G2092" t="s">
        <v>2515</v>
      </c>
    </row>
    <row r="2093" ht="14" customHeight="1" spans="1:7">
      <c r="A2093">
        <v>90046</v>
      </c>
      <c r="B2093">
        <v>1</v>
      </c>
      <c r="C2093">
        <v>1</v>
      </c>
      <c r="D2093">
        <v>1</v>
      </c>
      <c r="E2093">
        <v>1</v>
      </c>
      <c r="F2093" s="7" t="s">
        <v>2516</v>
      </c>
      <c r="G2093" t="s">
        <v>2517</v>
      </c>
    </row>
    <row r="2094" ht="14" customHeight="1" spans="1:7">
      <c r="A2094">
        <v>90047</v>
      </c>
      <c r="B2094">
        <v>1</v>
      </c>
      <c r="C2094">
        <v>1</v>
      </c>
      <c r="D2094">
        <v>1</v>
      </c>
      <c r="E2094">
        <v>1</v>
      </c>
      <c r="F2094" s="7" t="s">
        <v>2518</v>
      </c>
      <c r="G2094" t="s">
        <v>291</v>
      </c>
    </row>
    <row r="2095" ht="14" customHeight="1" spans="1:7">
      <c r="A2095">
        <v>90048</v>
      </c>
      <c r="B2095">
        <v>1</v>
      </c>
      <c r="C2095">
        <v>1</v>
      </c>
      <c r="D2095">
        <v>1</v>
      </c>
      <c r="E2095">
        <v>1</v>
      </c>
      <c r="F2095" s="7" t="s">
        <v>2519</v>
      </c>
      <c r="G2095" t="s">
        <v>289</v>
      </c>
    </row>
    <row r="2096" ht="14" customHeight="1" spans="1:7">
      <c r="A2096">
        <v>90049</v>
      </c>
      <c r="B2096">
        <v>1</v>
      </c>
      <c r="C2096">
        <v>1</v>
      </c>
      <c r="D2096">
        <v>1</v>
      </c>
      <c r="E2096">
        <v>1</v>
      </c>
      <c r="F2096" t="s">
        <v>2520</v>
      </c>
      <c r="G2096" t="s">
        <v>2521</v>
      </c>
    </row>
    <row r="2097" ht="14" customHeight="1" spans="1:7">
      <c r="A2097">
        <v>90050</v>
      </c>
      <c r="B2097">
        <v>1</v>
      </c>
      <c r="C2097">
        <v>1</v>
      </c>
      <c r="D2097">
        <v>1</v>
      </c>
      <c r="E2097">
        <v>1</v>
      </c>
      <c r="F2097" t="s">
        <v>2522</v>
      </c>
      <c r="G2097" t="s">
        <v>2523</v>
      </c>
    </row>
    <row r="2098" ht="14" customHeight="1" spans="1:7">
      <c r="A2098">
        <v>90051</v>
      </c>
      <c r="B2098">
        <v>1</v>
      </c>
      <c r="C2098">
        <v>1</v>
      </c>
      <c r="D2098">
        <v>1</v>
      </c>
      <c r="E2098">
        <v>1</v>
      </c>
      <c r="F2098" t="s">
        <v>2524</v>
      </c>
      <c r="G2098" s="17" t="s">
        <v>2525</v>
      </c>
    </row>
    <row r="2099" ht="14" customHeight="1" spans="1:7">
      <c r="A2099">
        <v>90052</v>
      </c>
      <c r="B2099">
        <v>1</v>
      </c>
      <c r="C2099">
        <v>1</v>
      </c>
      <c r="D2099">
        <v>1</v>
      </c>
      <c r="E2099">
        <v>1</v>
      </c>
      <c r="F2099" t="s">
        <v>2526</v>
      </c>
      <c r="G2099" s="89" t="s">
        <v>2527</v>
      </c>
    </row>
    <row r="2100" ht="14" customHeight="1" spans="1:7">
      <c r="A2100">
        <v>90053</v>
      </c>
      <c r="B2100">
        <v>1</v>
      </c>
      <c r="C2100">
        <v>1</v>
      </c>
      <c r="D2100">
        <v>1</v>
      </c>
      <c r="E2100">
        <v>1</v>
      </c>
      <c r="F2100" t="s">
        <v>2528</v>
      </c>
      <c r="G2100" t="s">
        <v>2529</v>
      </c>
    </row>
    <row r="2101" ht="14" customHeight="1" spans="1:7">
      <c r="A2101">
        <v>90054</v>
      </c>
      <c r="B2101">
        <v>1</v>
      </c>
      <c r="C2101">
        <v>1</v>
      </c>
      <c r="D2101">
        <v>1</v>
      </c>
      <c r="E2101">
        <v>1</v>
      </c>
      <c r="F2101" t="s">
        <v>2530</v>
      </c>
      <c r="G2101" t="s">
        <v>2531</v>
      </c>
    </row>
    <row r="2102" ht="14" customHeight="1" spans="1:7">
      <c r="A2102">
        <v>90055</v>
      </c>
      <c r="B2102">
        <v>1</v>
      </c>
      <c r="C2102">
        <v>1</v>
      </c>
      <c r="D2102">
        <v>1</v>
      </c>
      <c r="E2102">
        <v>1</v>
      </c>
      <c r="F2102" t="s">
        <v>2532</v>
      </c>
      <c r="G2102" t="s">
        <v>2533</v>
      </c>
    </row>
    <row r="2103" ht="14" customHeight="1" spans="1:7">
      <c r="A2103">
        <v>90056</v>
      </c>
      <c r="B2103">
        <v>1</v>
      </c>
      <c r="C2103">
        <v>1</v>
      </c>
      <c r="D2103">
        <v>1</v>
      </c>
      <c r="E2103">
        <v>1</v>
      </c>
      <c r="F2103" t="s">
        <v>2534</v>
      </c>
      <c r="G2103" t="s">
        <v>2535</v>
      </c>
    </row>
    <row r="2104" ht="14" customHeight="1" spans="1:7">
      <c r="A2104">
        <v>90057</v>
      </c>
      <c r="B2104">
        <v>1</v>
      </c>
      <c r="C2104">
        <v>1</v>
      </c>
      <c r="D2104">
        <v>1</v>
      </c>
      <c r="E2104">
        <v>1</v>
      </c>
      <c r="F2104" t="s">
        <v>2536</v>
      </c>
      <c r="G2104" t="s">
        <v>2537</v>
      </c>
    </row>
    <row r="2105" s="46" customFormat="1" ht="14" customHeight="1" spans="1:7">
      <c r="A2105" s="46">
        <v>90058</v>
      </c>
      <c r="B2105" s="46">
        <v>2</v>
      </c>
      <c r="C2105" s="46">
        <v>1</v>
      </c>
      <c r="D2105" s="46">
        <v>0</v>
      </c>
      <c r="E2105" s="46">
        <v>1</v>
      </c>
      <c r="F2105" s="46" t="s">
        <v>2538</v>
      </c>
      <c r="G2105" s="46" t="s">
        <v>2539</v>
      </c>
    </row>
    <row r="2106" s="46" customFormat="1" ht="14" customHeight="1" spans="1:7">
      <c r="A2106" s="46">
        <v>90059</v>
      </c>
      <c r="B2106" s="46">
        <v>1</v>
      </c>
      <c r="C2106" s="46">
        <v>1</v>
      </c>
      <c r="D2106" s="46">
        <v>0</v>
      </c>
      <c r="E2106" s="46">
        <v>1</v>
      </c>
      <c r="F2106" s="90" t="s">
        <v>2540</v>
      </c>
      <c r="G2106" s="46" t="s">
        <v>2541</v>
      </c>
    </row>
    <row r="2107" s="46" customFormat="1" ht="14" customHeight="1" spans="1:7">
      <c r="A2107" s="46">
        <v>90060</v>
      </c>
      <c r="B2107" s="46">
        <v>1</v>
      </c>
      <c r="C2107" s="46">
        <v>1</v>
      </c>
      <c r="D2107" s="46">
        <v>0</v>
      </c>
      <c r="E2107" s="46">
        <v>1</v>
      </c>
      <c r="F2107" s="90" t="s">
        <v>2542</v>
      </c>
      <c r="G2107" s="46" t="s">
        <v>2543</v>
      </c>
    </row>
    <row r="2108" s="46" customFormat="1" ht="14" customHeight="1" spans="1:7">
      <c r="A2108" s="46">
        <v>90061</v>
      </c>
      <c r="B2108" s="46">
        <v>1</v>
      </c>
      <c r="C2108" s="46">
        <v>1</v>
      </c>
      <c r="D2108" s="46">
        <v>0</v>
      </c>
      <c r="E2108" s="46">
        <v>1</v>
      </c>
      <c r="F2108" s="90" t="s">
        <v>2544</v>
      </c>
      <c r="G2108" s="46" t="s">
        <v>2545</v>
      </c>
    </row>
    <row r="2109" s="46" customFormat="1" ht="14" customHeight="1" spans="1:7">
      <c r="A2109" s="46">
        <v>90062</v>
      </c>
      <c r="B2109" s="46">
        <v>1</v>
      </c>
      <c r="C2109" s="46">
        <v>1</v>
      </c>
      <c r="D2109" s="46">
        <v>0</v>
      </c>
      <c r="E2109" s="46">
        <v>1</v>
      </c>
      <c r="F2109" s="90" t="s">
        <v>2546</v>
      </c>
      <c r="G2109" s="46" t="s">
        <v>2547</v>
      </c>
    </row>
    <row r="2110" ht="14" customHeight="1" spans="1:7">
      <c r="A2110">
        <v>90063</v>
      </c>
      <c r="B2110">
        <v>1</v>
      </c>
      <c r="C2110">
        <v>1</v>
      </c>
      <c r="D2110">
        <v>1</v>
      </c>
      <c r="E2110">
        <v>1</v>
      </c>
      <c r="F2110" t="s">
        <v>2548</v>
      </c>
      <c r="G2110" t="s">
        <v>2549</v>
      </c>
    </row>
    <row r="2111" ht="14" customHeight="1" spans="1:7">
      <c r="A2111">
        <v>90064</v>
      </c>
      <c r="B2111">
        <v>1</v>
      </c>
      <c r="C2111">
        <v>1</v>
      </c>
      <c r="D2111">
        <v>1</v>
      </c>
      <c r="E2111">
        <v>1</v>
      </c>
      <c r="F2111" t="s">
        <v>2550</v>
      </c>
      <c r="G2111" t="s">
        <v>2551</v>
      </c>
    </row>
    <row r="2112" ht="14" customHeight="1" spans="1:7">
      <c r="A2112">
        <v>90065</v>
      </c>
      <c r="B2112">
        <v>1</v>
      </c>
      <c r="C2112">
        <v>1</v>
      </c>
      <c r="D2112">
        <v>1</v>
      </c>
      <c r="E2112">
        <v>1</v>
      </c>
      <c r="F2112" t="s">
        <v>2552</v>
      </c>
      <c r="G2112" t="s">
        <v>2553</v>
      </c>
    </row>
    <row r="2113" ht="14" customHeight="1" spans="1:7">
      <c r="A2113">
        <v>90066</v>
      </c>
      <c r="B2113">
        <v>1</v>
      </c>
      <c r="C2113">
        <v>1</v>
      </c>
      <c r="D2113">
        <v>1</v>
      </c>
      <c r="E2113">
        <v>1</v>
      </c>
      <c r="F2113" t="s">
        <v>2554</v>
      </c>
      <c r="G2113" t="s">
        <v>2555</v>
      </c>
    </row>
    <row r="2114" ht="14" customHeight="1" spans="1:7">
      <c r="A2114">
        <v>90067</v>
      </c>
      <c r="B2114">
        <v>1</v>
      </c>
      <c r="C2114">
        <v>1</v>
      </c>
      <c r="D2114">
        <v>1</v>
      </c>
      <c r="E2114">
        <v>1</v>
      </c>
      <c r="F2114" t="s">
        <v>2556</v>
      </c>
      <c r="G2114" t="s">
        <v>2557</v>
      </c>
    </row>
    <row r="2115" s="46" customFormat="1" ht="14" customHeight="1" spans="1:7">
      <c r="A2115" s="46">
        <v>90068</v>
      </c>
      <c r="B2115" s="46">
        <v>1</v>
      </c>
      <c r="C2115" s="46">
        <v>1</v>
      </c>
      <c r="D2115" s="46">
        <v>0</v>
      </c>
      <c r="E2115" s="46">
        <v>1</v>
      </c>
      <c r="F2115" s="46" t="s">
        <v>2558</v>
      </c>
      <c r="G2115" s="46" t="s">
        <v>2559</v>
      </c>
    </row>
    <row r="2116" ht="14" customHeight="1" spans="1:7">
      <c r="A2116" s="46">
        <v>90069</v>
      </c>
      <c r="B2116">
        <v>1</v>
      </c>
      <c r="C2116">
        <v>2</v>
      </c>
      <c r="D2116">
        <v>1</v>
      </c>
      <c r="E2116">
        <v>1</v>
      </c>
      <c r="F2116" t="s">
        <v>2560</v>
      </c>
      <c r="G2116" t="s">
        <v>2561</v>
      </c>
    </row>
    <row r="2117" ht="14" customHeight="1" spans="1:7">
      <c r="A2117" s="47">
        <v>90070</v>
      </c>
      <c r="B2117">
        <v>1</v>
      </c>
      <c r="C2117">
        <v>1</v>
      </c>
      <c r="D2117">
        <v>1</v>
      </c>
      <c r="E2117">
        <v>1</v>
      </c>
      <c r="F2117" t="s">
        <v>2562</v>
      </c>
      <c r="G2117" t="s">
        <v>2563</v>
      </c>
    </row>
    <row r="2118" ht="14" customHeight="1" spans="1:7">
      <c r="A2118" s="47">
        <v>90071</v>
      </c>
      <c r="B2118">
        <v>1</v>
      </c>
      <c r="C2118">
        <v>1</v>
      </c>
      <c r="D2118">
        <v>1</v>
      </c>
      <c r="E2118">
        <v>1</v>
      </c>
      <c r="F2118" t="s">
        <v>2564</v>
      </c>
      <c r="G2118" t="s">
        <v>2565</v>
      </c>
    </row>
    <row r="2119" ht="14" customHeight="1" spans="1:7">
      <c r="A2119" s="47">
        <v>90072</v>
      </c>
      <c r="B2119">
        <v>1</v>
      </c>
      <c r="C2119">
        <v>1</v>
      </c>
      <c r="D2119">
        <v>1</v>
      </c>
      <c r="E2119">
        <v>1</v>
      </c>
      <c r="F2119" t="s">
        <v>2566</v>
      </c>
      <c r="G2119" t="s">
        <v>2557</v>
      </c>
    </row>
    <row r="2120" ht="14" customHeight="1" spans="1:7">
      <c r="A2120" s="47">
        <v>90073</v>
      </c>
      <c r="B2120">
        <v>1</v>
      </c>
      <c r="C2120">
        <v>1</v>
      </c>
      <c r="D2120">
        <v>1</v>
      </c>
      <c r="E2120">
        <v>1</v>
      </c>
      <c r="F2120" t="s">
        <v>2567</v>
      </c>
      <c r="G2120" t="s">
        <v>2568</v>
      </c>
    </row>
    <row r="2121" ht="14" customHeight="1" spans="1:7">
      <c r="A2121" s="47">
        <v>90074</v>
      </c>
      <c r="B2121">
        <v>1</v>
      </c>
      <c r="C2121">
        <v>1</v>
      </c>
      <c r="D2121">
        <v>1</v>
      </c>
      <c r="E2121">
        <v>1</v>
      </c>
      <c r="F2121" t="s">
        <v>2569</v>
      </c>
      <c r="G2121" t="s">
        <v>2568</v>
      </c>
    </row>
    <row r="2122" ht="14" customHeight="1" spans="1:7">
      <c r="A2122">
        <v>90075</v>
      </c>
      <c r="B2122">
        <v>1</v>
      </c>
      <c r="C2122">
        <v>1</v>
      </c>
      <c r="D2122">
        <v>1</v>
      </c>
      <c r="E2122">
        <v>1</v>
      </c>
      <c r="F2122" s="46" t="s">
        <v>2570</v>
      </c>
      <c r="G2122" t="s">
        <v>2571</v>
      </c>
    </row>
    <row r="2123" s="47" customFormat="1" ht="14" customHeight="1" spans="1:7">
      <c r="A2123" s="47">
        <v>90076</v>
      </c>
      <c r="B2123" s="47">
        <v>1</v>
      </c>
      <c r="C2123" s="47">
        <v>2</v>
      </c>
      <c r="D2123" s="47">
        <v>1</v>
      </c>
      <c r="E2123" s="47">
        <v>1</v>
      </c>
      <c r="F2123" s="47" t="s">
        <v>2572</v>
      </c>
      <c r="G2123" s="47" t="s">
        <v>2573</v>
      </c>
    </row>
    <row r="2124" s="47" customFormat="1" ht="14" customHeight="1" spans="1:7">
      <c r="A2124" s="47">
        <v>90077</v>
      </c>
      <c r="B2124" s="47">
        <v>2</v>
      </c>
      <c r="C2124" s="47">
        <v>1</v>
      </c>
      <c r="D2124" s="47">
        <v>1</v>
      </c>
      <c r="E2124" s="47">
        <v>1</v>
      </c>
      <c r="F2124" s="47" t="s">
        <v>2574</v>
      </c>
      <c r="G2124" s="47" t="s">
        <v>2575</v>
      </c>
    </row>
    <row r="2125" s="47" customFormat="1" ht="14" customHeight="1" spans="1:7">
      <c r="A2125" s="47">
        <v>90078</v>
      </c>
      <c r="B2125" s="47">
        <v>1</v>
      </c>
      <c r="C2125" s="47">
        <v>1</v>
      </c>
      <c r="D2125" s="47">
        <v>1</v>
      </c>
      <c r="E2125" s="47">
        <v>1</v>
      </c>
      <c r="F2125" s="47" t="s">
        <v>2576</v>
      </c>
      <c r="G2125" s="47" t="s">
        <v>2577</v>
      </c>
    </row>
    <row r="2126" s="47" customFormat="1" ht="14" customHeight="1" spans="1:7">
      <c r="A2126" s="47">
        <v>90079</v>
      </c>
      <c r="B2126" s="47">
        <v>1</v>
      </c>
      <c r="C2126" s="47">
        <v>1</v>
      </c>
      <c r="D2126" s="47">
        <v>1</v>
      </c>
      <c r="E2126" s="47">
        <v>1</v>
      </c>
      <c r="F2126" s="47" t="s">
        <v>2578</v>
      </c>
      <c r="G2126" s="47" t="s">
        <v>2579</v>
      </c>
    </row>
    <row r="2127" s="47" customFormat="1" ht="14" customHeight="1" spans="1:7">
      <c r="A2127" s="47">
        <v>90080</v>
      </c>
      <c r="B2127" s="47">
        <v>1</v>
      </c>
      <c r="C2127" s="47">
        <v>1</v>
      </c>
      <c r="D2127" s="47">
        <v>1</v>
      </c>
      <c r="E2127" s="47">
        <v>1</v>
      </c>
      <c r="F2127" s="47" t="s">
        <v>2580</v>
      </c>
      <c r="G2127" s="47" t="s">
        <v>2581</v>
      </c>
    </row>
    <row r="2128" s="47" customFormat="1" ht="14" customHeight="1" spans="1:7">
      <c r="A2128" s="47">
        <v>90081</v>
      </c>
      <c r="B2128" s="47">
        <v>1</v>
      </c>
      <c r="C2128" s="47">
        <v>1</v>
      </c>
      <c r="D2128" s="47">
        <v>1</v>
      </c>
      <c r="E2128" s="47">
        <v>1</v>
      </c>
      <c r="F2128" s="47" t="s">
        <v>2582</v>
      </c>
      <c r="G2128" s="47" t="s">
        <v>2583</v>
      </c>
    </row>
    <row r="2129" s="47" customFormat="1" ht="14" customHeight="1" spans="1:7">
      <c r="A2129" s="47">
        <v>90082</v>
      </c>
      <c r="B2129" s="47">
        <v>1</v>
      </c>
      <c r="C2129" s="47">
        <v>1</v>
      </c>
      <c r="D2129" s="47">
        <v>1</v>
      </c>
      <c r="E2129" s="47">
        <v>1</v>
      </c>
      <c r="F2129" s="47" t="s">
        <v>2584</v>
      </c>
      <c r="G2129" s="47" t="s">
        <v>2585</v>
      </c>
    </row>
    <row r="2130" s="47" customFormat="1" ht="14" customHeight="1" spans="1:7">
      <c r="A2130" s="47">
        <v>90083</v>
      </c>
      <c r="B2130" s="47">
        <v>2</v>
      </c>
      <c r="C2130" s="47">
        <v>2</v>
      </c>
      <c r="D2130" s="47">
        <v>1</v>
      </c>
      <c r="E2130" s="47">
        <v>1</v>
      </c>
      <c r="F2130" s="47" t="s">
        <v>2586</v>
      </c>
      <c r="G2130" s="47" t="s">
        <v>2581</v>
      </c>
    </row>
    <row r="2131" s="47" customFormat="1" ht="14" customHeight="1" spans="1:7">
      <c r="A2131" s="47">
        <v>90084</v>
      </c>
      <c r="B2131" s="47">
        <v>1</v>
      </c>
      <c r="C2131" s="47">
        <v>1</v>
      </c>
      <c r="D2131" s="47">
        <v>1</v>
      </c>
      <c r="E2131" s="47">
        <v>1</v>
      </c>
      <c r="F2131" s="47" t="s">
        <v>2587</v>
      </c>
      <c r="G2131" s="47" t="s">
        <v>2588</v>
      </c>
    </row>
    <row r="2132" s="47" customFormat="1" ht="14" customHeight="1" spans="1:7">
      <c r="A2132" s="47">
        <v>90085</v>
      </c>
      <c r="B2132" s="47">
        <v>1</v>
      </c>
      <c r="C2132" s="47">
        <v>1</v>
      </c>
      <c r="D2132" s="47">
        <v>1</v>
      </c>
      <c r="E2132" s="47">
        <v>1</v>
      </c>
      <c r="F2132" s="47" t="s">
        <v>2589</v>
      </c>
      <c r="G2132" s="47" t="s">
        <v>2590</v>
      </c>
    </row>
    <row r="2133" s="47" customFormat="1" ht="14" customHeight="1" spans="1:7">
      <c r="A2133" s="47">
        <v>90086</v>
      </c>
      <c r="B2133" s="47">
        <v>1</v>
      </c>
      <c r="C2133" s="47">
        <v>1</v>
      </c>
      <c r="D2133" s="47">
        <v>1</v>
      </c>
      <c r="E2133" s="47">
        <v>1</v>
      </c>
      <c r="F2133" s="47" t="s">
        <v>2591</v>
      </c>
      <c r="G2133" s="47" t="s">
        <v>2592</v>
      </c>
    </row>
    <row r="2134" s="47" customFormat="1" ht="14" customHeight="1" spans="1:7">
      <c r="A2134" s="47">
        <v>90087</v>
      </c>
      <c r="B2134" s="47">
        <v>1</v>
      </c>
      <c r="C2134" s="47">
        <v>1</v>
      </c>
      <c r="D2134" s="47">
        <v>1</v>
      </c>
      <c r="E2134" s="47">
        <v>1</v>
      </c>
      <c r="F2134" s="47" t="s">
        <v>2593</v>
      </c>
      <c r="G2134" s="47" t="s">
        <v>2594</v>
      </c>
    </row>
    <row r="2135" s="47" customFormat="1" ht="14" customHeight="1" spans="1:7">
      <c r="A2135" s="47">
        <v>90088</v>
      </c>
      <c r="B2135" s="47">
        <v>1</v>
      </c>
      <c r="C2135" s="47">
        <v>1</v>
      </c>
      <c r="D2135" s="47">
        <v>1</v>
      </c>
      <c r="E2135" s="47">
        <v>1</v>
      </c>
      <c r="F2135" s="47" t="s">
        <v>2595</v>
      </c>
      <c r="G2135" s="47" t="s">
        <v>2596</v>
      </c>
    </row>
    <row r="2136" s="47" customFormat="1" ht="14" customHeight="1" spans="1:7">
      <c r="A2136" s="47">
        <v>90089</v>
      </c>
      <c r="B2136" s="47">
        <v>1</v>
      </c>
      <c r="C2136" s="47">
        <v>1</v>
      </c>
      <c r="D2136" s="47">
        <v>1</v>
      </c>
      <c r="E2136" s="47">
        <v>1</v>
      </c>
      <c r="F2136" s="47" t="s">
        <v>2597</v>
      </c>
      <c r="G2136" s="47" t="s">
        <v>2598</v>
      </c>
    </row>
    <row r="2137" s="47" customFormat="1" ht="14" customHeight="1" spans="1:7">
      <c r="A2137" s="47">
        <v>90090</v>
      </c>
      <c r="B2137" s="47">
        <v>2</v>
      </c>
      <c r="C2137" s="47">
        <v>2</v>
      </c>
      <c r="D2137" s="47">
        <v>1</v>
      </c>
      <c r="E2137" s="47">
        <v>1</v>
      </c>
      <c r="F2137" s="47" t="s">
        <v>2599</v>
      </c>
      <c r="G2137" s="47" t="s">
        <v>2583</v>
      </c>
    </row>
    <row r="2138" s="47" customFormat="1" ht="14" customHeight="1" spans="1:7">
      <c r="A2138" s="47">
        <v>90091</v>
      </c>
      <c r="B2138" s="47">
        <v>1</v>
      </c>
      <c r="C2138" s="47">
        <v>1</v>
      </c>
      <c r="D2138" s="47">
        <v>1</v>
      </c>
      <c r="E2138" s="47">
        <v>1</v>
      </c>
      <c r="F2138" s="47" t="s">
        <v>2600</v>
      </c>
      <c r="G2138" s="47" t="s">
        <v>2601</v>
      </c>
    </row>
    <row r="2139" s="47" customFormat="1" ht="14" customHeight="1" spans="1:7">
      <c r="A2139" s="47">
        <v>90092</v>
      </c>
      <c r="B2139" s="47">
        <v>1</v>
      </c>
      <c r="C2139" s="47">
        <v>1</v>
      </c>
      <c r="D2139" s="47">
        <v>1</v>
      </c>
      <c r="E2139" s="47">
        <v>1</v>
      </c>
      <c r="F2139" s="47" t="s">
        <v>2602</v>
      </c>
      <c r="G2139" s="47" t="s">
        <v>2603</v>
      </c>
    </row>
    <row r="2140" s="47" customFormat="1" ht="14" customHeight="1" spans="1:7">
      <c r="A2140" s="47">
        <v>90093</v>
      </c>
      <c r="B2140" s="47">
        <v>1</v>
      </c>
      <c r="C2140" s="47">
        <v>1</v>
      </c>
      <c r="D2140" s="47">
        <v>1</v>
      </c>
      <c r="E2140" s="47">
        <v>1</v>
      </c>
      <c r="F2140" s="47" t="s">
        <v>2604</v>
      </c>
      <c r="G2140" s="47" t="s">
        <v>2605</v>
      </c>
    </row>
    <row r="2141" s="47" customFormat="1" ht="14" customHeight="1" spans="1:7">
      <c r="A2141" s="47">
        <v>90094</v>
      </c>
      <c r="B2141" s="47">
        <v>1</v>
      </c>
      <c r="C2141" s="47">
        <v>1</v>
      </c>
      <c r="D2141" s="47">
        <v>1</v>
      </c>
      <c r="E2141" s="47">
        <v>1</v>
      </c>
      <c r="F2141" s="47" t="s">
        <v>2606</v>
      </c>
      <c r="G2141" s="47" t="s">
        <v>2607</v>
      </c>
    </row>
    <row r="2142" s="47" customFormat="1" ht="14" customHeight="1" spans="1:7">
      <c r="A2142" s="47">
        <v>90095</v>
      </c>
      <c r="B2142" s="47">
        <v>1</v>
      </c>
      <c r="C2142" s="47">
        <v>1</v>
      </c>
      <c r="D2142" s="47">
        <v>1</v>
      </c>
      <c r="E2142" s="47">
        <v>1</v>
      </c>
      <c r="F2142" s="47" t="s">
        <v>2608</v>
      </c>
      <c r="G2142" s="47" t="s">
        <v>2609</v>
      </c>
    </row>
    <row r="2143" s="47" customFormat="1" ht="14" customHeight="1" spans="1:7">
      <c r="A2143" s="47">
        <v>90096</v>
      </c>
      <c r="B2143" s="47">
        <v>1</v>
      </c>
      <c r="C2143" s="47">
        <v>1</v>
      </c>
      <c r="D2143" s="47">
        <v>1</v>
      </c>
      <c r="E2143" s="47">
        <v>1</v>
      </c>
      <c r="F2143" s="47" t="s">
        <v>2610</v>
      </c>
      <c r="G2143" s="47" t="s">
        <v>2611</v>
      </c>
    </row>
    <row r="2144" s="47" customFormat="1" ht="14" customHeight="1" spans="1:7">
      <c r="A2144" s="47">
        <v>90097</v>
      </c>
      <c r="B2144" s="47">
        <v>1</v>
      </c>
      <c r="C2144" s="47">
        <v>1</v>
      </c>
      <c r="D2144" s="47">
        <v>1</v>
      </c>
      <c r="E2144" s="47">
        <v>1</v>
      </c>
      <c r="F2144" s="47" t="s">
        <v>2612</v>
      </c>
      <c r="G2144" s="47" t="s">
        <v>2613</v>
      </c>
    </row>
    <row r="2145" s="47" customFormat="1" ht="14" customHeight="1" spans="1:9">
      <c r="A2145" s="47">
        <v>90098</v>
      </c>
      <c r="B2145" s="47">
        <v>1</v>
      </c>
      <c r="C2145" s="47">
        <v>2</v>
      </c>
      <c r="D2145" s="47">
        <v>1</v>
      </c>
      <c r="E2145" s="47">
        <v>1</v>
      </c>
      <c r="F2145" s="47" t="s">
        <v>2614</v>
      </c>
      <c r="G2145" s="47" t="s">
        <v>2615</v>
      </c>
    </row>
    <row r="2146" s="47" customFormat="1" ht="14" customHeight="1" spans="1:9">
      <c r="A2146" s="47">
        <v>90099</v>
      </c>
      <c r="B2146" s="47">
        <v>1</v>
      </c>
      <c r="C2146" s="47">
        <v>1</v>
      </c>
      <c r="D2146" s="47">
        <v>1</v>
      </c>
      <c r="E2146" s="47">
        <v>1</v>
      </c>
      <c r="F2146" s="47" t="s">
        <v>2616</v>
      </c>
      <c r="G2146" s="47" t="s">
        <v>2617</v>
      </c>
    </row>
    <row r="2147" s="47" customFormat="1" ht="14" customHeight="1" spans="1:9">
      <c r="A2147" s="47">
        <v>90100</v>
      </c>
      <c r="B2147" s="47">
        <v>1</v>
      </c>
      <c r="C2147" s="47">
        <v>1</v>
      </c>
      <c r="D2147" s="47">
        <v>1</v>
      </c>
      <c r="E2147" s="47">
        <v>1</v>
      </c>
      <c r="F2147" s="47" t="s">
        <v>2618</v>
      </c>
      <c r="G2147" s="47" t="s">
        <v>2619</v>
      </c>
    </row>
    <row r="2148" s="47" customFormat="1" ht="14" customHeight="1" spans="1:9">
      <c r="A2148" s="47">
        <v>90101</v>
      </c>
      <c r="B2148" s="47">
        <v>1</v>
      </c>
      <c r="C2148" s="47">
        <v>1</v>
      </c>
      <c r="D2148" s="47">
        <v>1</v>
      </c>
      <c r="E2148" s="47">
        <v>1</v>
      </c>
      <c r="F2148" s="47" t="s">
        <v>2620</v>
      </c>
      <c r="G2148" s="47" t="s">
        <v>2621</v>
      </c>
    </row>
    <row r="2149" ht="14" customHeight="1" spans="1:9">
      <c r="A2149">
        <v>100001</v>
      </c>
      <c r="B2149">
        <v>1</v>
      </c>
      <c r="C2149">
        <v>1</v>
      </c>
      <c r="D2149">
        <v>1</v>
      </c>
      <c r="E2149">
        <v>1</v>
      </c>
      <c r="F2149" t="s">
        <v>2622</v>
      </c>
      <c r="G2149" t="s">
        <v>2623</v>
      </c>
    </row>
    <row r="2150" ht="14" customHeight="1" spans="1:9">
      <c r="A2150">
        <v>100002</v>
      </c>
      <c r="B2150">
        <v>1</v>
      </c>
      <c r="C2150">
        <v>1</v>
      </c>
      <c r="D2150">
        <v>1</v>
      </c>
      <c r="E2150">
        <v>1</v>
      </c>
      <c r="F2150" t="s">
        <v>2624</v>
      </c>
      <c r="G2150" t="s">
        <v>2625</v>
      </c>
    </row>
    <row r="2151" ht="14" customHeight="1" spans="1:9">
      <c r="A2151">
        <v>100003</v>
      </c>
      <c r="B2151">
        <v>1</v>
      </c>
      <c r="C2151">
        <v>1</v>
      </c>
      <c r="D2151">
        <v>1</v>
      </c>
      <c r="E2151">
        <v>1</v>
      </c>
      <c r="F2151" t="s">
        <v>2626</v>
      </c>
      <c r="G2151" t="s">
        <v>2627</v>
      </c>
    </row>
    <row r="2152" ht="14" customHeight="1" spans="1:9">
      <c r="A2152">
        <v>100004</v>
      </c>
      <c r="B2152">
        <v>1</v>
      </c>
      <c r="C2152">
        <v>1</v>
      </c>
      <c r="D2152">
        <v>1</v>
      </c>
      <c r="E2152">
        <v>1</v>
      </c>
      <c r="F2152" t="s">
        <v>2628</v>
      </c>
      <c r="G2152" t="s">
        <v>2629</v>
      </c>
    </row>
    <row r="2153" ht="14" customHeight="1" spans="1:9">
      <c r="A2153">
        <v>100100</v>
      </c>
      <c r="B2153">
        <v>1</v>
      </c>
      <c r="C2153">
        <v>1</v>
      </c>
      <c r="D2153">
        <v>1</v>
      </c>
      <c r="E2153">
        <v>1</v>
      </c>
      <c r="F2153" t="s">
        <v>2630</v>
      </c>
      <c r="G2153" t="s">
        <v>2631</v>
      </c>
    </row>
    <row r="2154" ht="14" customHeight="1" spans="1:9">
      <c r="A2154">
        <v>100101</v>
      </c>
      <c r="B2154">
        <v>1</v>
      </c>
      <c r="C2154">
        <v>1</v>
      </c>
      <c r="D2154">
        <v>1</v>
      </c>
      <c r="E2154">
        <v>1</v>
      </c>
      <c r="F2154" t="s">
        <v>2632</v>
      </c>
      <c r="G2154" t="s">
        <v>2633</v>
      </c>
      <c r="I2154" s="91"/>
    </row>
    <row r="2155" ht="14" customHeight="1" spans="1:9">
      <c r="A2155">
        <v>100102</v>
      </c>
      <c r="B2155">
        <v>1</v>
      </c>
      <c r="C2155">
        <v>1</v>
      </c>
      <c r="D2155">
        <v>1</v>
      </c>
      <c r="E2155">
        <v>1</v>
      </c>
      <c r="F2155" s="92" t="s">
        <v>2634</v>
      </c>
      <c r="G2155" t="s">
        <v>2635</v>
      </c>
      <c r="I2155" s="91"/>
    </row>
    <row r="2156" ht="14" customHeight="1" spans="1:9">
      <c r="A2156">
        <v>100103</v>
      </c>
      <c r="B2156">
        <v>1</v>
      </c>
      <c r="C2156">
        <v>1</v>
      </c>
      <c r="D2156">
        <v>1</v>
      </c>
      <c r="E2156">
        <v>1</v>
      </c>
      <c r="F2156" s="92" t="s">
        <v>2636</v>
      </c>
      <c r="G2156" t="s">
        <v>2637</v>
      </c>
      <c r="I2156" s="91"/>
    </row>
    <row r="2157" ht="14" customHeight="1" spans="1:9">
      <c r="A2157">
        <v>100104</v>
      </c>
      <c r="B2157">
        <v>1</v>
      </c>
      <c r="C2157">
        <v>1</v>
      </c>
      <c r="D2157">
        <v>1</v>
      </c>
      <c r="E2157">
        <v>1</v>
      </c>
      <c r="F2157" s="92" t="s">
        <v>2638</v>
      </c>
      <c r="G2157" t="s">
        <v>2639</v>
      </c>
      <c r="I2157" s="91"/>
    </row>
    <row r="2158" ht="14" customHeight="1" spans="1:9">
      <c r="A2158">
        <v>100105</v>
      </c>
      <c r="B2158">
        <v>1</v>
      </c>
      <c r="C2158">
        <v>1</v>
      </c>
      <c r="D2158">
        <v>1</v>
      </c>
      <c r="E2158">
        <v>1</v>
      </c>
      <c r="F2158" s="92" t="s">
        <v>2640</v>
      </c>
      <c r="G2158" t="s">
        <v>2641</v>
      </c>
      <c r="I2158" s="91"/>
    </row>
    <row r="2159" ht="14" customHeight="1" spans="1:9">
      <c r="A2159">
        <v>100106</v>
      </c>
      <c r="B2159">
        <v>1</v>
      </c>
      <c r="C2159">
        <v>1</v>
      </c>
      <c r="D2159">
        <v>1</v>
      </c>
      <c r="E2159">
        <v>1</v>
      </c>
      <c r="F2159" t="s">
        <v>2642</v>
      </c>
      <c r="G2159" t="s">
        <v>2643</v>
      </c>
      <c r="I2159" s="91"/>
    </row>
    <row r="2160" ht="14" customHeight="1" spans="1:9">
      <c r="A2160">
        <v>100107</v>
      </c>
      <c r="B2160">
        <v>1</v>
      </c>
      <c r="C2160">
        <v>1</v>
      </c>
      <c r="D2160">
        <v>1</v>
      </c>
      <c r="E2160">
        <v>1</v>
      </c>
      <c r="F2160" s="92" t="s">
        <v>2644</v>
      </c>
      <c r="G2160" t="s">
        <v>2645</v>
      </c>
      <c r="I2160" s="91"/>
    </row>
    <row r="2161" ht="14" customHeight="1" spans="1:9">
      <c r="A2161">
        <v>100108</v>
      </c>
      <c r="B2161">
        <v>1</v>
      </c>
      <c r="C2161">
        <v>1</v>
      </c>
      <c r="D2161">
        <v>1</v>
      </c>
      <c r="E2161">
        <v>1</v>
      </c>
      <c r="F2161" s="92" t="s">
        <v>2646</v>
      </c>
      <c r="G2161" t="s">
        <v>2647</v>
      </c>
      <c r="I2161" s="91"/>
    </row>
    <row r="2162" ht="14" customHeight="1" spans="1:9">
      <c r="A2162">
        <v>100109</v>
      </c>
      <c r="B2162">
        <v>1</v>
      </c>
      <c r="C2162">
        <v>1</v>
      </c>
      <c r="D2162">
        <v>1</v>
      </c>
      <c r="E2162">
        <v>1</v>
      </c>
      <c r="F2162" s="92" t="s">
        <v>2648</v>
      </c>
      <c r="G2162" t="s">
        <v>2649</v>
      </c>
      <c r="I2162" s="91"/>
    </row>
    <row r="2163" ht="14" customHeight="1" spans="1:9">
      <c r="A2163">
        <v>100110</v>
      </c>
      <c r="B2163">
        <v>1</v>
      </c>
      <c r="C2163">
        <v>1</v>
      </c>
      <c r="D2163">
        <v>1</v>
      </c>
      <c r="E2163">
        <v>1</v>
      </c>
      <c r="F2163" s="92" t="s">
        <v>2650</v>
      </c>
      <c r="G2163" t="s">
        <v>2651</v>
      </c>
      <c r="I2163" s="91"/>
    </row>
    <row r="2164" ht="14" customHeight="1" spans="1:9">
      <c r="A2164">
        <v>100111</v>
      </c>
      <c r="B2164">
        <v>1</v>
      </c>
      <c r="C2164">
        <v>1</v>
      </c>
      <c r="D2164">
        <v>1</v>
      </c>
      <c r="E2164">
        <v>1</v>
      </c>
      <c r="F2164" t="s">
        <v>2652</v>
      </c>
      <c r="G2164" t="s">
        <v>2653</v>
      </c>
      <c r="I2164" s="91"/>
    </row>
    <row r="2165" ht="14" customHeight="1" spans="1:9">
      <c r="A2165">
        <v>100112</v>
      </c>
      <c r="B2165">
        <v>1</v>
      </c>
      <c r="C2165">
        <v>1</v>
      </c>
      <c r="D2165">
        <v>1</v>
      </c>
      <c r="E2165">
        <v>1</v>
      </c>
      <c r="F2165" s="92" t="s">
        <v>2654</v>
      </c>
      <c r="G2165" t="s">
        <v>2655</v>
      </c>
      <c r="I2165" s="91"/>
    </row>
    <row r="2166" ht="14" customHeight="1" spans="1:9">
      <c r="A2166">
        <v>100113</v>
      </c>
      <c r="B2166">
        <v>1</v>
      </c>
      <c r="C2166">
        <v>1</v>
      </c>
      <c r="D2166">
        <v>1</v>
      </c>
      <c r="E2166">
        <v>1</v>
      </c>
      <c r="F2166" s="92" t="s">
        <v>2656</v>
      </c>
      <c r="G2166" t="s">
        <v>2657</v>
      </c>
      <c r="H2166" s="3"/>
      <c r="I2166" s="91"/>
    </row>
    <row r="2167" ht="14" customHeight="1" spans="1:9">
      <c r="A2167">
        <v>100114</v>
      </c>
      <c r="B2167">
        <v>1</v>
      </c>
      <c r="C2167">
        <v>1</v>
      </c>
      <c r="D2167">
        <v>1</v>
      </c>
      <c r="E2167">
        <v>1</v>
      </c>
      <c r="F2167" s="92" t="s">
        <v>2658</v>
      </c>
      <c r="G2167" t="s">
        <v>2659</v>
      </c>
      <c r="H2167" s="3"/>
      <c r="I2167" s="91"/>
    </row>
    <row r="2168" ht="14" customHeight="1" spans="1:9">
      <c r="A2168">
        <v>100115</v>
      </c>
      <c r="B2168">
        <v>1</v>
      </c>
      <c r="C2168">
        <v>1</v>
      </c>
      <c r="D2168">
        <v>1</v>
      </c>
      <c r="E2168">
        <v>1</v>
      </c>
      <c r="F2168" s="92" t="s">
        <v>2660</v>
      </c>
      <c r="G2168" t="s">
        <v>2661</v>
      </c>
      <c r="H2168" s="3"/>
      <c r="I2168" s="91"/>
    </row>
    <row r="2169" ht="14" customHeight="1" spans="1:9">
      <c r="A2169">
        <v>100116</v>
      </c>
      <c r="B2169">
        <v>1</v>
      </c>
      <c r="C2169">
        <v>1</v>
      </c>
      <c r="D2169">
        <v>1</v>
      </c>
      <c r="E2169">
        <v>1</v>
      </c>
      <c r="F2169" t="s">
        <v>2662</v>
      </c>
      <c r="G2169" t="s">
        <v>2663</v>
      </c>
      <c r="H2169" s="3"/>
      <c r="I2169" s="91"/>
    </row>
    <row r="2170" ht="14" customHeight="1" spans="1:9">
      <c r="A2170">
        <v>100117</v>
      </c>
      <c r="B2170">
        <v>1</v>
      </c>
      <c r="C2170">
        <v>1</v>
      </c>
      <c r="D2170">
        <v>1</v>
      </c>
      <c r="E2170">
        <v>1</v>
      </c>
      <c r="F2170" s="92" t="s">
        <v>2664</v>
      </c>
      <c r="G2170" t="s">
        <v>2665</v>
      </c>
      <c r="H2170" s="3"/>
      <c r="I2170" s="91"/>
    </row>
    <row r="2171" ht="14" customHeight="1" spans="1:9">
      <c r="A2171">
        <v>100118</v>
      </c>
      <c r="B2171">
        <v>1</v>
      </c>
      <c r="C2171">
        <v>1</v>
      </c>
      <c r="D2171">
        <v>1</v>
      </c>
      <c r="E2171">
        <v>1</v>
      </c>
      <c r="F2171" s="92" t="s">
        <v>2666</v>
      </c>
      <c r="G2171" t="s">
        <v>2667</v>
      </c>
      <c r="H2171" s="3"/>
      <c r="I2171" s="91"/>
    </row>
    <row r="2172" ht="14" customHeight="1" spans="1:9">
      <c r="A2172">
        <v>100119</v>
      </c>
      <c r="B2172">
        <v>1</v>
      </c>
      <c r="C2172">
        <v>1</v>
      </c>
      <c r="D2172">
        <v>1</v>
      </c>
      <c r="E2172">
        <v>1</v>
      </c>
      <c r="F2172" s="92" t="s">
        <v>2668</v>
      </c>
      <c r="G2172" t="s">
        <v>2669</v>
      </c>
      <c r="H2172" s="3"/>
      <c r="I2172" s="91"/>
    </row>
    <row r="2173" ht="14" customHeight="1" spans="1:9">
      <c r="A2173">
        <v>100120</v>
      </c>
      <c r="B2173">
        <v>1</v>
      </c>
      <c r="C2173">
        <v>1</v>
      </c>
      <c r="D2173">
        <v>1</v>
      </c>
      <c r="E2173">
        <v>1</v>
      </c>
      <c r="F2173" s="92" t="s">
        <v>2670</v>
      </c>
      <c r="G2173" t="s">
        <v>2671</v>
      </c>
      <c r="H2173" s="3"/>
      <c r="I2173" s="91"/>
    </row>
    <row r="2174" ht="14" customHeight="1" spans="1:9">
      <c r="A2174">
        <v>100121</v>
      </c>
      <c r="B2174">
        <v>1</v>
      </c>
      <c r="C2174">
        <v>1</v>
      </c>
      <c r="D2174">
        <v>1</v>
      </c>
      <c r="E2174">
        <v>1</v>
      </c>
      <c r="F2174" t="s">
        <v>2672</v>
      </c>
      <c r="G2174" t="s">
        <v>2673</v>
      </c>
      <c r="H2174" s="3"/>
      <c r="I2174" s="91"/>
    </row>
    <row r="2175" ht="14" customHeight="1" spans="1:9">
      <c r="A2175">
        <v>100122</v>
      </c>
      <c r="B2175">
        <v>1</v>
      </c>
      <c r="C2175">
        <v>1</v>
      </c>
      <c r="D2175">
        <v>1</v>
      </c>
      <c r="E2175">
        <v>1</v>
      </c>
      <c r="F2175" t="s">
        <v>2674</v>
      </c>
      <c r="G2175" t="s">
        <v>2675</v>
      </c>
      <c r="H2175" s="3"/>
      <c r="I2175" s="91"/>
    </row>
    <row r="2176" ht="14" customHeight="1" spans="1:9">
      <c r="A2176">
        <v>100123</v>
      </c>
      <c r="B2176">
        <v>1</v>
      </c>
      <c r="C2176">
        <v>1</v>
      </c>
      <c r="D2176">
        <v>1</v>
      </c>
      <c r="E2176">
        <v>1</v>
      </c>
      <c r="F2176" t="s">
        <v>2676</v>
      </c>
      <c r="G2176" t="s">
        <v>2677</v>
      </c>
      <c r="H2176" s="3"/>
      <c r="I2176" s="91"/>
    </row>
    <row r="2177" ht="14" customHeight="1" spans="1:9">
      <c r="A2177">
        <v>100124</v>
      </c>
      <c r="B2177">
        <v>1</v>
      </c>
      <c r="C2177">
        <v>1</v>
      </c>
      <c r="D2177">
        <v>1</v>
      </c>
      <c r="E2177">
        <v>1</v>
      </c>
      <c r="F2177" t="s">
        <v>2678</v>
      </c>
      <c r="G2177" t="s">
        <v>2679</v>
      </c>
      <c r="H2177" s="3"/>
      <c r="I2177" s="91"/>
    </row>
    <row r="2178" ht="14" customHeight="1" spans="1:9">
      <c r="A2178">
        <v>100125</v>
      </c>
      <c r="B2178">
        <v>1</v>
      </c>
      <c r="C2178">
        <v>1</v>
      </c>
      <c r="D2178">
        <v>1</v>
      </c>
      <c r="E2178">
        <v>1</v>
      </c>
      <c r="F2178" t="s">
        <v>2680</v>
      </c>
      <c r="G2178" t="s">
        <v>2681</v>
      </c>
      <c r="H2178" s="3"/>
      <c r="I2178" s="91"/>
    </row>
    <row r="2179" ht="14" customHeight="1" spans="1:9">
      <c r="A2179">
        <v>100126</v>
      </c>
      <c r="B2179">
        <v>1</v>
      </c>
      <c r="C2179">
        <v>1</v>
      </c>
      <c r="D2179">
        <v>1</v>
      </c>
      <c r="E2179">
        <v>1</v>
      </c>
      <c r="F2179" t="s">
        <v>2682</v>
      </c>
      <c r="G2179" t="s">
        <v>2683</v>
      </c>
      <c r="H2179" s="3"/>
      <c r="I2179" s="91"/>
    </row>
    <row r="2180" ht="14" customHeight="1" spans="1:9">
      <c r="A2180" s="93">
        <v>100127</v>
      </c>
      <c r="B2180" s="93">
        <v>2</v>
      </c>
      <c r="C2180" s="93">
        <v>1</v>
      </c>
      <c r="D2180" s="93">
        <v>1</v>
      </c>
      <c r="E2180" s="93">
        <v>1</v>
      </c>
      <c r="F2180" s="93" t="s">
        <v>2684</v>
      </c>
      <c r="G2180" s="93" t="s">
        <v>2685</v>
      </c>
      <c r="H2180" s="3"/>
      <c r="I2180" s="91"/>
    </row>
    <row r="2181" ht="14" customHeight="1" spans="1:9">
      <c r="A2181" s="93">
        <v>100128</v>
      </c>
      <c r="B2181" s="93">
        <v>2</v>
      </c>
      <c r="C2181" s="93">
        <v>1</v>
      </c>
      <c r="D2181" s="93">
        <v>1</v>
      </c>
      <c r="E2181" s="93">
        <v>1</v>
      </c>
      <c r="F2181" s="93" t="s">
        <v>2686</v>
      </c>
      <c r="G2181" s="93" t="s">
        <v>2687</v>
      </c>
      <c r="H2181" s="3"/>
      <c r="I2181" s="91"/>
    </row>
    <row r="2182" ht="14" customHeight="1" spans="1:9">
      <c r="A2182" s="93">
        <v>100129</v>
      </c>
      <c r="B2182" s="93">
        <v>2</v>
      </c>
      <c r="C2182" s="93">
        <v>1</v>
      </c>
      <c r="D2182" s="93">
        <v>1</v>
      </c>
      <c r="E2182" s="93">
        <v>1</v>
      </c>
      <c r="F2182" s="93" t="s">
        <v>2688</v>
      </c>
      <c r="G2182" s="93" t="s">
        <v>2689</v>
      </c>
      <c r="H2182" s="3"/>
      <c r="I2182" s="91"/>
    </row>
    <row r="2183" ht="14" customHeight="1" spans="1:9">
      <c r="A2183">
        <v>100130</v>
      </c>
      <c r="B2183">
        <v>2</v>
      </c>
      <c r="C2183">
        <v>1</v>
      </c>
      <c r="D2183">
        <v>1</v>
      </c>
      <c r="E2183">
        <v>1</v>
      </c>
      <c r="F2183" t="s">
        <v>2690</v>
      </c>
      <c r="G2183" t="s">
        <v>2691</v>
      </c>
      <c r="H2183" s="3"/>
      <c r="I2183" s="91"/>
    </row>
    <row r="2184" ht="14" customHeight="1" spans="1:9">
      <c r="A2184">
        <v>100131</v>
      </c>
      <c r="B2184">
        <v>2</v>
      </c>
      <c r="C2184">
        <v>1</v>
      </c>
      <c r="D2184">
        <v>1</v>
      </c>
      <c r="E2184">
        <v>1</v>
      </c>
      <c r="F2184" t="s">
        <v>2692</v>
      </c>
      <c r="G2184" t="s">
        <v>2693</v>
      </c>
    </row>
    <row r="2185" ht="14" customHeight="1" spans="1:9">
      <c r="A2185">
        <v>100132</v>
      </c>
      <c r="B2185">
        <v>2</v>
      </c>
      <c r="C2185">
        <v>1</v>
      </c>
      <c r="D2185">
        <v>1</v>
      </c>
      <c r="E2185">
        <v>1</v>
      </c>
      <c r="F2185" t="s">
        <v>2694</v>
      </c>
      <c r="G2185" t="s">
        <v>2695</v>
      </c>
    </row>
    <row r="2186" ht="14" customHeight="1" spans="1:9">
      <c r="A2186">
        <v>100133</v>
      </c>
      <c r="B2186">
        <v>2</v>
      </c>
      <c r="C2186">
        <v>1</v>
      </c>
      <c r="D2186">
        <v>1</v>
      </c>
      <c r="E2186">
        <v>1</v>
      </c>
      <c r="F2186" t="s">
        <v>2696</v>
      </c>
      <c r="G2186" t="s">
        <v>2697</v>
      </c>
    </row>
    <row r="2187" ht="14" customHeight="1" spans="1:9">
      <c r="A2187">
        <v>100134</v>
      </c>
      <c r="B2187">
        <v>2</v>
      </c>
      <c r="C2187">
        <v>1</v>
      </c>
      <c r="D2187">
        <v>1</v>
      </c>
      <c r="E2187">
        <v>1</v>
      </c>
      <c r="F2187" t="s">
        <v>2698</v>
      </c>
      <c r="G2187" t="s">
        <v>2699</v>
      </c>
    </row>
    <row r="2188" ht="14" customHeight="1" spans="1:9">
      <c r="A2188">
        <v>100135</v>
      </c>
      <c r="B2188">
        <v>2</v>
      </c>
      <c r="C2188">
        <v>1</v>
      </c>
      <c r="D2188">
        <v>1</v>
      </c>
      <c r="E2188">
        <v>1</v>
      </c>
      <c r="F2188" t="s">
        <v>2700</v>
      </c>
      <c r="G2188" t="s">
        <v>2701</v>
      </c>
    </row>
    <row r="2189" ht="14" customHeight="1" spans="1:9">
      <c r="A2189">
        <v>100136</v>
      </c>
      <c r="B2189">
        <v>2</v>
      </c>
      <c r="C2189">
        <v>1</v>
      </c>
      <c r="D2189">
        <v>1</v>
      </c>
      <c r="E2189">
        <v>1</v>
      </c>
      <c r="F2189" t="s">
        <v>2702</v>
      </c>
      <c r="G2189" t="s">
        <v>2703</v>
      </c>
    </row>
    <row r="2190" ht="14" customHeight="1" spans="1:9">
      <c r="A2190">
        <v>100137</v>
      </c>
      <c r="B2190">
        <v>2</v>
      </c>
      <c r="C2190">
        <v>1</v>
      </c>
      <c r="D2190">
        <v>1</v>
      </c>
      <c r="E2190">
        <v>1</v>
      </c>
      <c r="F2190" t="s">
        <v>2704</v>
      </c>
      <c r="G2190" t="s">
        <v>2705</v>
      </c>
    </row>
    <row r="2191" ht="14" customHeight="1" spans="1:9">
      <c r="A2191">
        <v>100138</v>
      </c>
      <c r="B2191">
        <v>2</v>
      </c>
      <c r="C2191">
        <v>1</v>
      </c>
      <c r="D2191">
        <v>1</v>
      </c>
      <c r="E2191">
        <v>1</v>
      </c>
      <c r="F2191" t="s">
        <v>2706</v>
      </c>
      <c r="G2191" t="s">
        <v>2707</v>
      </c>
    </row>
    <row r="2192" ht="14" customHeight="1" spans="1:9">
      <c r="A2192">
        <v>100139</v>
      </c>
      <c r="B2192">
        <v>2</v>
      </c>
      <c r="C2192">
        <v>1</v>
      </c>
      <c r="D2192">
        <v>1</v>
      </c>
      <c r="E2192">
        <v>1</v>
      </c>
      <c r="F2192" t="s">
        <v>2708</v>
      </c>
      <c r="G2192" t="s">
        <v>2709</v>
      </c>
    </row>
    <row r="2193" ht="14" customHeight="1" spans="1:7">
      <c r="A2193">
        <v>100140</v>
      </c>
      <c r="B2193">
        <v>2</v>
      </c>
      <c r="C2193">
        <v>1</v>
      </c>
      <c r="D2193">
        <v>1</v>
      </c>
      <c r="E2193">
        <v>1</v>
      </c>
      <c r="F2193" t="s">
        <v>2710</v>
      </c>
      <c r="G2193" t="s">
        <v>2711</v>
      </c>
    </row>
    <row r="2194" ht="14" customHeight="1" spans="1:7">
      <c r="A2194">
        <v>100141</v>
      </c>
      <c r="B2194">
        <v>2</v>
      </c>
      <c r="C2194">
        <v>1</v>
      </c>
      <c r="D2194">
        <v>1</v>
      </c>
      <c r="E2194">
        <v>1</v>
      </c>
      <c r="F2194" t="s">
        <v>2712</v>
      </c>
      <c r="G2194" t="s">
        <v>2713</v>
      </c>
    </row>
    <row r="2195" ht="14" customHeight="1" spans="1:7">
      <c r="A2195">
        <v>100142</v>
      </c>
      <c r="B2195">
        <v>2</v>
      </c>
      <c r="C2195">
        <v>1</v>
      </c>
      <c r="D2195">
        <v>1</v>
      </c>
      <c r="E2195">
        <v>1</v>
      </c>
      <c r="F2195" t="s">
        <v>2714</v>
      </c>
      <c r="G2195" t="s">
        <v>2715</v>
      </c>
    </row>
    <row r="2196" ht="14" customHeight="1" spans="1:7">
      <c r="A2196">
        <v>100143</v>
      </c>
      <c r="B2196">
        <v>2</v>
      </c>
      <c r="C2196">
        <v>1</v>
      </c>
      <c r="D2196">
        <v>1</v>
      </c>
      <c r="E2196">
        <v>1</v>
      </c>
      <c r="F2196" t="s">
        <v>2716</v>
      </c>
      <c r="G2196" t="s">
        <v>2717</v>
      </c>
    </row>
    <row r="2197" ht="14" customHeight="1" spans="1:7">
      <c r="A2197">
        <v>100144</v>
      </c>
      <c r="B2197">
        <v>2</v>
      </c>
      <c r="C2197">
        <v>1</v>
      </c>
      <c r="D2197">
        <v>1</v>
      </c>
      <c r="E2197">
        <v>1</v>
      </c>
      <c r="F2197" t="s">
        <v>2718</v>
      </c>
      <c r="G2197" t="s">
        <v>2719</v>
      </c>
    </row>
    <row r="2198" ht="14" customHeight="1" spans="1:7">
      <c r="A2198">
        <v>100145</v>
      </c>
      <c r="B2198">
        <v>2</v>
      </c>
      <c r="C2198">
        <v>1</v>
      </c>
      <c r="D2198">
        <v>1</v>
      </c>
      <c r="E2198">
        <v>1</v>
      </c>
      <c r="F2198" t="s">
        <v>2720</v>
      </c>
      <c r="G2198" t="s">
        <v>2721</v>
      </c>
    </row>
    <row r="2199" ht="14" customHeight="1" spans="1:7">
      <c r="A2199" s="94">
        <v>110101</v>
      </c>
      <c r="B2199">
        <v>2</v>
      </c>
      <c r="C2199">
        <v>1</v>
      </c>
      <c r="D2199">
        <v>1</v>
      </c>
      <c r="E2199">
        <v>1</v>
      </c>
      <c r="F2199" t="s">
        <v>2690</v>
      </c>
      <c r="G2199" t="s">
        <v>2691</v>
      </c>
    </row>
    <row r="2200" ht="14" customHeight="1" spans="1:7">
      <c r="A2200" s="94">
        <v>110102</v>
      </c>
      <c r="B2200">
        <v>2</v>
      </c>
      <c r="C2200">
        <v>1</v>
      </c>
      <c r="D2200">
        <v>1</v>
      </c>
      <c r="E2200">
        <v>1</v>
      </c>
      <c r="F2200" t="s">
        <v>2722</v>
      </c>
      <c r="G2200" t="s">
        <v>2723</v>
      </c>
    </row>
    <row r="2201" ht="14" customHeight="1" spans="1:7">
      <c r="A2201" s="94">
        <v>110103</v>
      </c>
      <c r="B2201">
        <v>2</v>
      </c>
      <c r="C2201">
        <v>1</v>
      </c>
      <c r="D2201">
        <v>1</v>
      </c>
      <c r="E2201">
        <v>1</v>
      </c>
      <c r="F2201" t="s">
        <v>2724</v>
      </c>
      <c r="G2201" t="s">
        <v>2725</v>
      </c>
    </row>
    <row r="2202" ht="14" customHeight="1" spans="1:7">
      <c r="A2202" s="94">
        <v>110104</v>
      </c>
      <c r="B2202">
        <v>2</v>
      </c>
      <c r="C2202">
        <v>1</v>
      </c>
      <c r="D2202">
        <v>1</v>
      </c>
      <c r="E2202">
        <v>1</v>
      </c>
      <c r="F2202" t="s">
        <v>2726</v>
      </c>
      <c r="G2202" t="s">
        <v>2727</v>
      </c>
    </row>
    <row r="2203" ht="14" customHeight="1" spans="1:7">
      <c r="A2203" s="94">
        <v>110105</v>
      </c>
      <c r="B2203">
        <v>2</v>
      </c>
      <c r="C2203">
        <v>1</v>
      </c>
      <c r="D2203">
        <v>1</v>
      </c>
      <c r="E2203">
        <v>1</v>
      </c>
      <c r="F2203" t="s">
        <v>2728</v>
      </c>
      <c r="G2203" t="s">
        <v>2729</v>
      </c>
    </row>
    <row r="2204" ht="14" customHeight="1" spans="1:7">
      <c r="A2204" s="94">
        <v>110106</v>
      </c>
      <c r="B2204">
        <v>2</v>
      </c>
      <c r="C2204">
        <v>1</v>
      </c>
      <c r="D2204">
        <v>1</v>
      </c>
      <c r="E2204">
        <v>1</v>
      </c>
      <c r="F2204" t="s">
        <v>2730</v>
      </c>
      <c r="G2204" t="s">
        <v>2731</v>
      </c>
    </row>
    <row r="2205" ht="14" customHeight="1" spans="1:7">
      <c r="A2205" s="94">
        <v>110107</v>
      </c>
      <c r="B2205">
        <v>2</v>
      </c>
      <c r="C2205">
        <v>1</v>
      </c>
      <c r="D2205">
        <v>1</v>
      </c>
      <c r="E2205">
        <v>1</v>
      </c>
      <c r="F2205" t="s">
        <v>2730</v>
      </c>
      <c r="G2205" t="s">
        <v>2732</v>
      </c>
    </row>
    <row r="2206" ht="14" customHeight="1" spans="1:7">
      <c r="A2206" s="94">
        <v>110108</v>
      </c>
      <c r="B2206">
        <v>2</v>
      </c>
      <c r="C2206">
        <v>1</v>
      </c>
      <c r="D2206">
        <v>1</v>
      </c>
      <c r="E2206">
        <v>1</v>
      </c>
      <c r="F2206" t="s">
        <v>2730</v>
      </c>
      <c r="G2206" t="s">
        <v>2733</v>
      </c>
    </row>
    <row r="2207" ht="14" customHeight="1" spans="1:7">
      <c r="A2207" s="94">
        <v>110109</v>
      </c>
      <c r="B2207">
        <v>2</v>
      </c>
      <c r="C2207">
        <v>1</v>
      </c>
      <c r="D2207">
        <v>1</v>
      </c>
      <c r="E2207">
        <v>1</v>
      </c>
      <c r="F2207" t="s">
        <v>2730</v>
      </c>
      <c r="G2207" t="s">
        <v>2734</v>
      </c>
    </row>
    <row r="2208" ht="14" customHeight="1" spans="1:7">
      <c r="A2208" s="41">
        <v>110201</v>
      </c>
      <c r="B2208">
        <v>2</v>
      </c>
      <c r="C2208">
        <v>1</v>
      </c>
      <c r="D2208">
        <v>1</v>
      </c>
      <c r="E2208">
        <v>1</v>
      </c>
      <c r="F2208" t="s">
        <v>2692</v>
      </c>
      <c r="G2208" t="s">
        <v>2735</v>
      </c>
    </row>
    <row r="2209" ht="14" customHeight="1" spans="1:7">
      <c r="A2209" s="41">
        <v>110202</v>
      </c>
      <c r="B2209">
        <v>2</v>
      </c>
      <c r="C2209">
        <v>1</v>
      </c>
      <c r="D2209">
        <v>1</v>
      </c>
      <c r="E2209">
        <v>1</v>
      </c>
      <c r="F2209" t="s">
        <v>2736</v>
      </c>
      <c r="G2209" t="s">
        <v>2737</v>
      </c>
    </row>
    <row r="2210" ht="14" customHeight="1" spans="1:7">
      <c r="A2210" s="41">
        <v>110203</v>
      </c>
      <c r="B2210">
        <v>2</v>
      </c>
      <c r="C2210">
        <v>1</v>
      </c>
      <c r="D2210">
        <v>1</v>
      </c>
      <c r="E2210">
        <v>1</v>
      </c>
      <c r="F2210" t="s">
        <v>2738</v>
      </c>
      <c r="G2210" t="s">
        <v>2739</v>
      </c>
    </row>
    <row r="2211" ht="14" customHeight="1" spans="1:7">
      <c r="A2211" s="41">
        <v>110204</v>
      </c>
      <c r="B2211">
        <v>2</v>
      </c>
      <c r="C2211">
        <v>1</v>
      </c>
      <c r="D2211">
        <v>1</v>
      </c>
      <c r="E2211">
        <v>1</v>
      </c>
      <c r="F2211" t="s">
        <v>2740</v>
      </c>
      <c r="G2211" t="s">
        <v>2741</v>
      </c>
    </row>
    <row r="2212" ht="14" customHeight="1" spans="1:7">
      <c r="A2212" s="41">
        <v>110205</v>
      </c>
      <c r="B2212">
        <v>2</v>
      </c>
      <c r="C2212">
        <v>1</v>
      </c>
      <c r="D2212">
        <v>1</v>
      </c>
      <c r="E2212">
        <v>1</v>
      </c>
      <c r="F2212" t="s">
        <v>2742</v>
      </c>
      <c r="G2212" t="s">
        <v>2743</v>
      </c>
    </row>
    <row r="2213" ht="14" customHeight="1" spans="1:7">
      <c r="A2213" s="41">
        <v>110206</v>
      </c>
      <c r="B2213">
        <v>2</v>
      </c>
      <c r="C2213">
        <v>1</v>
      </c>
      <c r="D2213">
        <v>1</v>
      </c>
      <c r="E2213">
        <v>1</v>
      </c>
      <c r="F2213" t="s">
        <v>2744</v>
      </c>
      <c r="G2213" t="s">
        <v>2745</v>
      </c>
    </row>
    <row r="2214" ht="14" customHeight="1" spans="1:7">
      <c r="A2214" s="41">
        <v>110207</v>
      </c>
      <c r="B2214">
        <v>2</v>
      </c>
      <c r="C2214">
        <v>1</v>
      </c>
      <c r="D2214">
        <v>1</v>
      </c>
      <c r="E2214">
        <v>1</v>
      </c>
      <c r="F2214" t="s">
        <v>2746</v>
      </c>
      <c r="G2214" t="s">
        <v>2747</v>
      </c>
    </row>
    <row r="2215" ht="14" customHeight="1" spans="1:7">
      <c r="A2215" s="41">
        <v>110208</v>
      </c>
      <c r="B2215">
        <v>2</v>
      </c>
      <c r="C2215">
        <v>1</v>
      </c>
      <c r="D2215">
        <v>1</v>
      </c>
      <c r="E2215">
        <v>1</v>
      </c>
      <c r="F2215" t="s">
        <v>2748</v>
      </c>
      <c r="G2215" t="s">
        <v>2749</v>
      </c>
    </row>
    <row r="2216" ht="14" customHeight="1" spans="1:7">
      <c r="A2216" s="41">
        <v>110209</v>
      </c>
      <c r="B2216">
        <v>2</v>
      </c>
      <c r="C2216">
        <v>1</v>
      </c>
      <c r="D2216">
        <v>1</v>
      </c>
      <c r="E2216">
        <v>1</v>
      </c>
      <c r="F2216" t="s">
        <v>2750</v>
      </c>
      <c r="G2216" t="s">
        <v>2751</v>
      </c>
    </row>
    <row r="2217" ht="14" customHeight="1" spans="1:7">
      <c r="A2217" s="95">
        <v>110301</v>
      </c>
      <c r="B2217">
        <v>2</v>
      </c>
      <c r="C2217">
        <v>1</v>
      </c>
      <c r="D2217">
        <v>1</v>
      </c>
      <c r="E2217">
        <v>1</v>
      </c>
      <c r="F2217" t="s">
        <v>2694</v>
      </c>
      <c r="G2217" t="s">
        <v>2752</v>
      </c>
    </row>
    <row r="2218" ht="14" customHeight="1" spans="1:7">
      <c r="A2218" s="95">
        <v>110302</v>
      </c>
      <c r="B2218">
        <v>2</v>
      </c>
      <c r="C2218">
        <v>1</v>
      </c>
      <c r="D2218">
        <v>1</v>
      </c>
      <c r="E2218">
        <v>1</v>
      </c>
      <c r="F2218" t="s">
        <v>2753</v>
      </c>
      <c r="G2218" t="s">
        <v>2754</v>
      </c>
    </row>
    <row r="2219" ht="14" customHeight="1" spans="1:7">
      <c r="A2219" s="95">
        <v>110303</v>
      </c>
      <c r="B2219">
        <v>2</v>
      </c>
      <c r="C2219">
        <v>1</v>
      </c>
      <c r="D2219">
        <v>1</v>
      </c>
      <c r="E2219">
        <v>1</v>
      </c>
      <c r="F2219" t="s">
        <v>2755</v>
      </c>
      <c r="G2219" t="s">
        <v>2756</v>
      </c>
    </row>
    <row r="2220" ht="14" customHeight="1" spans="1:7">
      <c r="A2220" s="95">
        <v>110304</v>
      </c>
      <c r="B2220">
        <v>2</v>
      </c>
      <c r="C2220">
        <v>1</v>
      </c>
      <c r="D2220">
        <v>1</v>
      </c>
      <c r="E2220">
        <v>1</v>
      </c>
      <c r="F2220" t="s">
        <v>2757</v>
      </c>
      <c r="G2220" t="s">
        <v>2758</v>
      </c>
    </row>
    <row r="2221" ht="14" customHeight="1" spans="1:7">
      <c r="A2221" s="95">
        <v>110305</v>
      </c>
      <c r="B2221">
        <v>2</v>
      </c>
      <c r="C2221">
        <v>1</v>
      </c>
      <c r="D2221">
        <v>1</v>
      </c>
      <c r="E2221">
        <v>1</v>
      </c>
      <c r="F2221" t="s">
        <v>2759</v>
      </c>
      <c r="G2221" t="s">
        <v>2760</v>
      </c>
    </row>
    <row r="2222" ht="14" customHeight="1" spans="1:7">
      <c r="A2222" s="95">
        <v>110306</v>
      </c>
      <c r="B2222">
        <v>2</v>
      </c>
      <c r="C2222">
        <v>1</v>
      </c>
      <c r="D2222">
        <v>1</v>
      </c>
      <c r="E2222">
        <v>1</v>
      </c>
      <c r="F2222" t="s">
        <v>2761</v>
      </c>
      <c r="G2222" t="s">
        <v>2762</v>
      </c>
    </row>
    <row r="2223" ht="14" customHeight="1" spans="1:7">
      <c r="A2223" s="95">
        <v>110307</v>
      </c>
      <c r="B2223">
        <v>2</v>
      </c>
      <c r="C2223">
        <v>1</v>
      </c>
      <c r="D2223">
        <v>1</v>
      </c>
      <c r="E2223">
        <v>1</v>
      </c>
      <c r="F2223" t="s">
        <v>2763</v>
      </c>
      <c r="G2223" t="s">
        <v>2764</v>
      </c>
    </row>
    <row r="2224" ht="14" customHeight="1" spans="1:7">
      <c r="A2224" s="95">
        <v>110308</v>
      </c>
      <c r="B2224">
        <v>2</v>
      </c>
      <c r="C2224">
        <v>1</v>
      </c>
      <c r="D2224">
        <v>1</v>
      </c>
      <c r="E2224">
        <v>1</v>
      </c>
      <c r="F2224" t="s">
        <v>2765</v>
      </c>
      <c r="G2224" t="s">
        <v>2766</v>
      </c>
    </row>
    <row r="2225" ht="14" customHeight="1" spans="1:7">
      <c r="A2225" s="95">
        <v>110309</v>
      </c>
      <c r="B2225">
        <v>2</v>
      </c>
      <c r="C2225">
        <v>1</v>
      </c>
      <c r="D2225">
        <v>1</v>
      </c>
      <c r="E2225">
        <v>1</v>
      </c>
      <c r="F2225" t="s">
        <v>2767</v>
      </c>
      <c r="G2225" t="s">
        <v>2768</v>
      </c>
    </row>
    <row r="2226" ht="14" customHeight="1" spans="1:7">
      <c r="A2226" s="95">
        <v>110310</v>
      </c>
      <c r="B2226">
        <v>2</v>
      </c>
      <c r="C2226">
        <v>1</v>
      </c>
      <c r="D2226">
        <v>1</v>
      </c>
      <c r="E2226">
        <v>1</v>
      </c>
      <c r="F2226" t="s">
        <v>2769</v>
      </c>
      <c r="G2226" t="s">
        <v>2770</v>
      </c>
    </row>
    <row r="2227" ht="14" customHeight="1" spans="1:7">
      <c r="A2227" s="95">
        <v>110311</v>
      </c>
      <c r="B2227">
        <v>2</v>
      </c>
      <c r="C2227">
        <v>1</v>
      </c>
      <c r="D2227">
        <v>1</v>
      </c>
      <c r="E2227">
        <v>1</v>
      </c>
      <c r="F2227" t="s">
        <v>2771</v>
      </c>
      <c r="G2227" t="s">
        <v>2772</v>
      </c>
    </row>
    <row r="2228" ht="14" customHeight="1" spans="1:7">
      <c r="A2228" s="95">
        <v>110312</v>
      </c>
      <c r="B2228">
        <v>2</v>
      </c>
      <c r="C2228">
        <v>1</v>
      </c>
      <c r="D2228">
        <v>1</v>
      </c>
      <c r="E2228">
        <v>1</v>
      </c>
      <c r="F2228" t="s">
        <v>2773</v>
      </c>
      <c r="G2228" t="s">
        <v>2774</v>
      </c>
    </row>
    <row r="2229" ht="14" customHeight="1" spans="1:7">
      <c r="A2229" s="95">
        <v>110313</v>
      </c>
      <c r="B2229">
        <v>2</v>
      </c>
      <c r="C2229">
        <v>1</v>
      </c>
      <c r="D2229">
        <v>1</v>
      </c>
      <c r="E2229">
        <v>1</v>
      </c>
      <c r="F2229" t="s">
        <v>2775</v>
      </c>
      <c r="G2229" t="s">
        <v>2776</v>
      </c>
    </row>
    <row r="2230" ht="14" customHeight="1" spans="1:7">
      <c r="A2230" s="96">
        <v>110401</v>
      </c>
      <c r="B2230">
        <v>2</v>
      </c>
      <c r="C2230">
        <v>1</v>
      </c>
      <c r="D2230">
        <v>1</v>
      </c>
      <c r="E2230">
        <v>1</v>
      </c>
      <c r="F2230" t="s">
        <v>2696</v>
      </c>
      <c r="G2230" t="s">
        <v>2777</v>
      </c>
    </row>
    <row r="2231" ht="14" customHeight="1" spans="1:7">
      <c r="A2231" s="96">
        <v>110402</v>
      </c>
      <c r="B2231">
        <v>2</v>
      </c>
      <c r="C2231">
        <v>1</v>
      </c>
      <c r="D2231">
        <v>1</v>
      </c>
      <c r="E2231">
        <v>1</v>
      </c>
      <c r="F2231" t="s">
        <v>2778</v>
      </c>
      <c r="G2231" t="s">
        <v>2779</v>
      </c>
    </row>
    <row r="2232" ht="14" customHeight="1" spans="1:7">
      <c r="A2232" s="96">
        <v>110403</v>
      </c>
      <c r="B2232">
        <v>2</v>
      </c>
      <c r="C2232">
        <v>1</v>
      </c>
      <c r="D2232">
        <v>1</v>
      </c>
      <c r="E2232">
        <v>1</v>
      </c>
      <c r="F2232" t="s">
        <v>2780</v>
      </c>
      <c r="G2232" t="s">
        <v>2781</v>
      </c>
    </row>
    <row r="2233" ht="14" customHeight="1" spans="1:7">
      <c r="A2233" s="96">
        <v>110404</v>
      </c>
      <c r="B2233">
        <v>2</v>
      </c>
      <c r="C2233">
        <v>1</v>
      </c>
      <c r="D2233">
        <v>1</v>
      </c>
      <c r="E2233">
        <v>1</v>
      </c>
      <c r="F2233" t="s">
        <v>2782</v>
      </c>
      <c r="G2233" t="s">
        <v>2783</v>
      </c>
    </row>
    <row r="2234" ht="14" customHeight="1" spans="1:7">
      <c r="A2234" s="96">
        <v>110405</v>
      </c>
      <c r="B2234">
        <v>2</v>
      </c>
      <c r="C2234">
        <v>1</v>
      </c>
      <c r="D2234">
        <v>1</v>
      </c>
      <c r="E2234">
        <v>1</v>
      </c>
      <c r="F2234" t="s">
        <v>2784</v>
      </c>
      <c r="G2234" t="s">
        <v>2785</v>
      </c>
    </row>
    <row r="2235" ht="14" customHeight="1" spans="1:7">
      <c r="A2235" s="96">
        <v>110406</v>
      </c>
      <c r="B2235">
        <v>2</v>
      </c>
      <c r="C2235">
        <v>1</v>
      </c>
      <c r="D2235">
        <v>1</v>
      </c>
      <c r="E2235">
        <v>1</v>
      </c>
      <c r="F2235" t="s">
        <v>2786</v>
      </c>
      <c r="G2235" t="s">
        <v>2787</v>
      </c>
    </row>
    <row r="2236" ht="14" customHeight="1" spans="1:7">
      <c r="A2236" s="96">
        <v>110407</v>
      </c>
      <c r="B2236">
        <v>2</v>
      </c>
      <c r="C2236">
        <v>1</v>
      </c>
      <c r="D2236">
        <v>1</v>
      </c>
      <c r="E2236">
        <v>1</v>
      </c>
      <c r="F2236" t="s">
        <v>2788</v>
      </c>
      <c r="G2236" t="s">
        <v>2789</v>
      </c>
    </row>
    <row r="2237" ht="14" customHeight="1" spans="1:7">
      <c r="A2237" s="96">
        <v>110408</v>
      </c>
      <c r="B2237">
        <v>2</v>
      </c>
      <c r="C2237">
        <v>1</v>
      </c>
      <c r="D2237">
        <v>1</v>
      </c>
      <c r="E2237">
        <v>1</v>
      </c>
      <c r="F2237" t="s">
        <v>2790</v>
      </c>
      <c r="G2237" t="s">
        <v>2791</v>
      </c>
    </row>
    <row r="2238" ht="14" customHeight="1" spans="1:7">
      <c r="A2238" s="96">
        <v>110409</v>
      </c>
      <c r="B2238">
        <v>2</v>
      </c>
      <c r="C2238">
        <v>1</v>
      </c>
      <c r="D2238">
        <v>1</v>
      </c>
      <c r="E2238">
        <v>1</v>
      </c>
      <c r="F2238" t="s">
        <v>2792</v>
      </c>
      <c r="G2238" t="s">
        <v>2793</v>
      </c>
    </row>
    <row r="2239" ht="14" customHeight="1" spans="1:7">
      <c r="A2239" s="96">
        <v>110410</v>
      </c>
      <c r="B2239">
        <v>2</v>
      </c>
      <c r="C2239">
        <v>1</v>
      </c>
      <c r="D2239">
        <v>1</v>
      </c>
      <c r="E2239">
        <v>1</v>
      </c>
      <c r="F2239" t="s">
        <v>2794</v>
      </c>
      <c r="G2239" t="s">
        <v>2795</v>
      </c>
    </row>
    <row r="2240" ht="14" customHeight="1" spans="1:7">
      <c r="A2240" s="96">
        <v>110411</v>
      </c>
      <c r="B2240">
        <v>2</v>
      </c>
      <c r="C2240">
        <v>1</v>
      </c>
      <c r="D2240">
        <v>1</v>
      </c>
      <c r="E2240">
        <v>1</v>
      </c>
      <c r="F2240" t="s">
        <v>2796</v>
      </c>
      <c r="G2240" t="s">
        <v>2797</v>
      </c>
    </row>
    <row r="2241" ht="14" customHeight="1" spans="1:7">
      <c r="A2241" s="96">
        <v>110412</v>
      </c>
      <c r="B2241">
        <v>2</v>
      </c>
      <c r="C2241">
        <v>1</v>
      </c>
      <c r="D2241">
        <v>1</v>
      </c>
      <c r="E2241">
        <v>1</v>
      </c>
      <c r="F2241" t="s">
        <v>2798</v>
      </c>
      <c r="G2241" t="s">
        <v>2799</v>
      </c>
    </row>
    <row r="2242" ht="14" customHeight="1" spans="1:7">
      <c r="A2242" s="96">
        <v>110413</v>
      </c>
      <c r="B2242">
        <v>2</v>
      </c>
      <c r="C2242">
        <v>1</v>
      </c>
      <c r="D2242">
        <v>1</v>
      </c>
      <c r="E2242">
        <v>1</v>
      </c>
      <c r="F2242" t="s">
        <v>2800</v>
      </c>
      <c r="G2242" t="s">
        <v>2801</v>
      </c>
    </row>
    <row r="2243" ht="14" customHeight="1" spans="1:7">
      <c r="A2243" s="96">
        <v>110414</v>
      </c>
      <c r="B2243">
        <v>2</v>
      </c>
      <c r="C2243">
        <v>1</v>
      </c>
      <c r="D2243">
        <v>1</v>
      </c>
      <c r="E2243">
        <v>1</v>
      </c>
      <c r="F2243" t="s">
        <v>2802</v>
      </c>
      <c r="G2243" t="s">
        <v>2803</v>
      </c>
    </row>
    <row r="2244" ht="14" customHeight="1" spans="1:7">
      <c r="A2244" s="96">
        <v>110415</v>
      </c>
      <c r="B2244">
        <v>2</v>
      </c>
      <c r="C2244">
        <v>1</v>
      </c>
      <c r="D2244">
        <v>1</v>
      </c>
      <c r="E2244">
        <v>1</v>
      </c>
      <c r="F2244" t="s">
        <v>2804</v>
      </c>
      <c r="G2244" t="s">
        <v>2805</v>
      </c>
    </row>
    <row r="2245" ht="14" customHeight="1" spans="1:7">
      <c r="A2245" s="96">
        <v>110416</v>
      </c>
      <c r="B2245">
        <v>2</v>
      </c>
      <c r="C2245">
        <v>1</v>
      </c>
      <c r="D2245">
        <v>1</v>
      </c>
      <c r="E2245">
        <v>1</v>
      </c>
      <c r="F2245" t="s">
        <v>2806</v>
      </c>
      <c r="G2245" t="s">
        <v>2807</v>
      </c>
    </row>
    <row r="2246" ht="14" customHeight="1" spans="1:7">
      <c r="A2246" s="96">
        <v>110417</v>
      </c>
      <c r="B2246">
        <v>2</v>
      </c>
      <c r="C2246">
        <v>1</v>
      </c>
      <c r="D2246">
        <v>1</v>
      </c>
      <c r="E2246">
        <v>1</v>
      </c>
      <c r="F2246" t="s">
        <v>2808</v>
      </c>
      <c r="G2246" t="s">
        <v>2809</v>
      </c>
    </row>
    <row r="2247" ht="14" customHeight="1" spans="1:7">
      <c r="A2247" s="96">
        <v>110418</v>
      </c>
      <c r="B2247">
        <v>2</v>
      </c>
      <c r="C2247">
        <v>1</v>
      </c>
      <c r="D2247">
        <v>1</v>
      </c>
      <c r="E2247">
        <v>1</v>
      </c>
      <c r="F2247" t="s">
        <v>2810</v>
      </c>
      <c r="G2247" t="s">
        <v>2811</v>
      </c>
    </row>
    <row r="2248" ht="14" customHeight="1" spans="1:7">
      <c r="A2248" s="96">
        <v>110419</v>
      </c>
      <c r="B2248">
        <v>2</v>
      </c>
      <c r="C2248">
        <v>1</v>
      </c>
      <c r="D2248">
        <v>1</v>
      </c>
      <c r="E2248">
        <v>1</v>
      </c>
      <c r="F2248" t="s">
        <v>2812</v>
      </c>
      <c r="G2248" t="s">
        <v>2813</v>
      </c>
    </row>
    <row r="2249" ht="14" customHeight="1" spans="1:7">
      <c r="A2249" s="96">
        <v>110420</v>
      </c>
      <c r="B2249">
        <v>2</v>
      </c>
      <c r="C2249">
        <v>1</v>
      </c>
      <c r="D2249">
        <v>1</v>
      </c>
      <c r="E2249">
        <v>1</v>
      </c>
      <c r="F2249" t="s">
        <v>2814</v>
      </c>
      <c r="G2249" t="s">
        <v>2815</v>
      </c>
    </row>
    <row r="2250" ht="14" customHeight="1" spans="1:7">
      <c r="A2250" s="96">
        <v>110421</v>
      </c>
      <c r="B2250">
        <v>2</v>
      </c>
      <c r="C2250">
        <v>1</v>
      </c>
      <c r="D2250">
        <v>1</v>
      </c>
      <c r="E2250">
        <v>1</v>
      </c>
      <c r="F2250" t="s">
        <v>2816</v>
      </c>
      <c r="G2250" t="s">
        <v>2817</v>
      </c>
    </row>
    <row r="2251" ht="14" customHeight="1" spans="1:7">
      <c r="A2251" s="96">
        <v>110422</v>
      </c>
      <c r="B2251">
        <v>2</v>
      </c>
      <c r="C2251">
        <v>1</v>
      </c>
      <c r="D2251">
        <v>1</v>
      </c>
      <c r="E2251">
        <v>1</v>
      </c>
      <c r="F2251" t="s">
        <v>2818</v>
      </c>
      <c r="G2251" t="s">
        <v>2819</v>
      </c>
    </row>
    <row r="2252" ht="14" customHeight="1" spans="1:7">
      <c r="A2252" s="96">
        <v>110423</v>
      </c>
      <c r="B2252">
        <v>2</v>
      </c>
      <c r="C2252">
        <v>1</v>
      </c>
      <c r="D2252">
        <v>1</v>
      </c>
      <c r="E2252">
        <v>1</v>
      </c>
      <c r="F2252" t="s">
        <v>2820</v>
      </c>
      <c r="G2252" t="s">
        <v>2821</v>
      </c>
    </row>
    <row r="2253" ht="14" customHeight="1" spans="1:7">
      <c r="A2253" s="96">
        <v>110424</v>
      </c>
      <c r="B2253">
        <v>2</v>
      </c>
      <c r="C2253">
        <v>1</v>
      </c>
      <c r="D2253">
        <v>1</v>
      </c>
      <c r="E2253">
        <v>1</v>
      </c>
      <c r="F2253" t="s">
        <v>2822</v>
      </c>
      <c r="G2253" t="s">
        <v>2823</v>
      </c>
    </row>
    <row r="2254" ht="14" customHeight="1" spans="1:7">
      <c r="A2254" s="96">
        <v>110425</v>
      </c>
      <c r="B2254">
        <v>2</v>
      </c>
      <c r="C2254">
        <v>1</v>
      </c>
      <c r="D2254">
        <v>1</v>
      </c>
      <c r="E2254">
        <v>1</v>
      </c>
      <c r="F2254" t="s">
        <v>2824</v>
      </c>
      <c r="G2254" t="s">
        <v>2825</v>
      </c>
    </row>
    <row r="2255" ht="14" customHeight="1" spans="1:7">
      <c r="A2255" s="94">
        <v>111101</v>
      </c>
      <c r="B2255">
        <v>2</v>
      </c>
      <c r="C2255">
        <v>1</v>
      </c>
      <c r="D2255">
        <v>1</v>
      </c>
      <c r="E2255">
        <v>1</v>
      </c>
      <c r="F2255" t="s">
        <v>2698</v>
      </c>
      <c r="G2255" t="s">
        <v>2699</v>
      </c>
    </row>
    <row r="2256" ht="14" customHeight="1" spans="1:7">
      <c r="A2256" s="94">
        <v>111102</v>
      </c>
      <c r="B2256">
        <v>2</v>
      </c>
      <c r="C2256">
        <v>1</v>
      </c>
      <c r="D2256">
        <v>1</v>
      </c>
      <c r="E2256">
        <v>1</v>
      </c>
      <c r="F2256" t="s">
        <v>2826</v>
      </c>
      <c r="G2256" t="s">
        <v>2827</v>
      </c>
    </row>
    <row r="2257" ht="14" customHeight="1" spans="1:7">
      <c r="A2257" s="94">
        <v>111103</v>
      </c>
      <c r="B2257">
        <v>2</v>
      </c>
      <c r="C2257">
        <v>1</v>
      </c>
      <c r="D2257">
        <v>1</v>
      </c>
      <c r="E2257">
        <v>1</v>
      </c>
      <c r="F2257" t="s">
        <v>2828</v>
      </c>
      <c r="G2257" t="s">
        <v>2829</v>
      </c>
    </row>
    <row r="2258" ht="14" customHeight="1" spans="1:7">
      <c r="A2258" s="94">
        <v>111104</v>
      </c>
      <c r="B2258">
        <v>2</v>
      </c>
      <c r="C2258">
        <v>1</v>
      </c>
      <c r="D2258">
        <v>1</v>
      </c>
      <c r="E2258">
        <v>1</v>
      </c>
      <c r="F2258" t="s">
        <v>2830</v>
      </c>
      <c r="G2258" t="s">
        <v>2831</v>
      </c>
    </row>
    <row r="2259" ht="14" customHeight="1" spans="1:7">
      <c r="A2259" s="94">
        <v>111105</v>
      </c>
      <c r="B2259">
        <v>2</v>
      </c>
      <c r="C2259">
        <v>1</v>
      </c>
      <c r="D2259">
        <v>1</v>
      </c>
      <c r="E2259">
        <v>1</v>
      </c>
      <c r="F2259" t="s">
        <v>2832</v>
      </c>
      <c r="G2259" t="s">
        <v>2833</v>
      </c>
    </row>
    <row r="2260" ht="14" customHeight="1" spans="1:7">
      <c r="A2260" s="94">
        <v>111106</v>
      </c>
      <c r="B2260">
        <v>2</v>
      </c>
      <c r="C2260">
        <v>1</v>
      </c>
      <c r="D2260">
        <v>1</v>
      </c>
      <c r="E2260">
        <v>1</v>
      </c>
      <c r="F2260" t="s">
        <v>2834</v>
      </c>
      <c r="G2260" t="s">
        <v>2835</v>
      </c>
    </row>
    <row r="2261" ht="14" customHeight="1" spans="1:7">
      <c r="A2261" s="94">
        <v>111107</v>
      </c>
      <c r="B2261">
        <v>2</v>
      </c>
      <c r="C2261">
        <v>1</v>
      </c>
      <c r="D2261">
        <v>1</v>
      </c>
      <c r="E2261">
        <v>1</v>
      </c>
      <c r="F2261" t="s">
        <v>2834</v>
      </c>
      <c r="G2261" t="s">
        <v>2836</v>
      </c>
    </row>
    <row r="2262" ht="14" customHeight="1" spans="1:7">
      <c r="A2262" s="94">
        <v>111108</v>
      </c>
      <c r="B2262">
        <v>2</v>
      </c>
      <c r="C2262">
        <v>1</v>
      </c>
      <c r="D2262">
        <v>1</v>
      </c>
      <c r="E2262">
        <v>1</v>
      </c>
      <c r="F2262" t="s">
        <v>2834</v>
      </c>
      <c r="G2262" t="s">
        <v>2837</v>
      </c>
    </row>
    <row r="2263" ht="14" customHeight="1" spans="1:7">
      <c r="A2263" s="94">
        <v>111109</v>
      </c>
      <c r="B2263">
        <v>2</v>
      </c>
      <c r="C2263">
        <v>1</v>
      </c>
      <c r="D2263">
        <v>1</v>
      </c>
      <c r="E2263">
        <v>1</v>
      </c>
      <c r="F2263" t="s">
        <v>2834</v>
      </c>
      <c r="G2263" t="s">
        <v>2838</v>
      </c>
    </row>
    <row r="2264" ht="14" customHeight="1" spans="1:7">
      <c r="A2264" s="41">
        <v>111201</v>
      </c>
      <c r="B2264">
        <v>2</v>
      </c>
      <c r="C2264">
        <v>1</v>
      </c>
      <c r="D2264">
        <v>1</v>
      </c>
      <c r="E2264">
        <v>1</v>
      </c>
      <c r="F2264" t="s">
        <v>2700</v>
      </c>
      <c r="G2264" t="s">
        <v>2839</v>
      </c>
    </row>
    <row r="2265" ht="14" customHeight="1" spans="1:7">
      <c r="A2265" s="41">
        <v>111202</v>
      </c>
      <c r="B2265">
        <v>2</v>
      </c>
      <c r="C2265">
        <v>1</v>
      </c>
      <c r="D2265">
        <v>1</v>
      </c>
      <c r="E2265">
        <v>1</v>
      </c>
      <c r="F2265" t="s">
        <v>2840</v>
      </c>
      <c r="G2265" t="s">
        <v>2841</v>
      </c>
    </row>
    <row r="2266" ht="14" customHeight="1" spans="1:7">
      <c r="A2266" s="41">
        <v>111203</v>
      </c>
      <c r="B2266">
        <v>2</v>
      </c>
      <c r="C2266">
        <v>1</v>
      </c>
      <c r="D2266">
        <v>1</v>
      </c>
      <c r="E2266">
        <v>1</v>
      </c>
      <c r="F2266" t="s">
        <v>2842</v>
      </c>
      <c r="G2266" t="s">
        <v>2843</v>
      </c>
    </row>
    <row r="2267" ht="14" customHeight="1" spans="1:7">
      <c r="A2267" s="41">
        <v>111204</v>
      </c>
      <c r="B2267">
        <v>2</v>
      </c>
      <c r="C2267">
        <v>1</v>
      </c>
      <c r="D2267">
        <v>1</v>
      </c>
      <c r="E2267">
        <v>1</v>
      </c>
      <c r="F2267" t="s">
        <v>2844</v>
      </c>
      <c r="G2267" t="s">
        <v>2845</v>
      </c>
    </row>
    <row r="2268" ht="14" customHeight="1" spans="1:7">
      <c r="A2268" s="41">
        <v>111205</v>
      </c>
      <c r="B2268">
        <v>2</v>
      </c>
      <c r="C2268">
        <v>1</v>
      </c>
      <c r="D2268">
        <v>1</v>
      </c>
      <c r="E2268">
        <v>1</v>
      </c>
      <c r="F2268" t="s">
        <v>2846</v>
      </c>
      <c r="G2268" t="s">
        <v>2847</v>
      </c>
    </row>
    <row r="2269" ht="14" customHeight="1" spans="1:7">
      <c r="A2269" s="41">
        <v>111206</v>
      </c>
      <c r="B2269">
        <v>2</v>
      </c>
      <c r="C2269">
        <v>1</v>
      </c>
      <c r="D2269">
        <v>1</v>
      </c>
      <c r="E2269">
        <v>1</v>
      </c>
      <c r="F2269" t="s">
        <v>2848</v>
      </c>
      <c r="G2269" t="s">
        <v>2849</v>
      </c>
    </row>
    <row r="2270" ht="14" customHeight="1" spans="1:7">
      <c r="A2270" s="41">
        <v>111207</v>
      </c>
      <c r="B2270">
        <v>2</v>
      </c>
      <c r="C2270">
        <v>1</v>
      </c>
      <c r="D2270">
        <v>1</v>
      </c>
      <c r="E2270">
        <v>1</v>
      </c>
      <c r="F2270" t="s">
        <v>2850</v>
      </c>
      <c r="G2270" t="s">
        <v>2851</v>
      </c>
    </row>
    <row r="2271" ht="14" customHeight="1" spans="1:7">
      <c r="A2271" s="41">
        <v>111208</v>
      </c>
      <c r="B2271">
        <v>2</v>
      </c>
      <c r="C2271">
        <v>1</v>
      </c>
      <c r="D2271">
        <v>1</v>
      </c>
      <c r="E2271">
        <v>1</v>
      </c>
      <c r="F2271" t="s">
        <v>2852</v>
      </c>
      <c r="G2271" t="s">
        <v>2853</v>
      </c>
    </row>
    <row r="2272" ht="14" customHeight="1" spans="1:7">
      <c r="A2272" s="41">
        <v>111209</v>
      </c>
      <c r="B2272">
        <v>2</v>
      </c>
      <c r="C2272">
        <v>1</v>
      </c>
      <c r="D2272">
        <v>1</v>
      </c>
      <c r="E2272">
        <v>1</v>
      </c>
      <c r="F2272" t="s">
        <v>2854</v>
      </c>
      <c r="G2272" t="s">
        <v>2855</v>
      </c>
    </row>
    <row r="2273" ht="14" customHeight="1" spans="1:7">
      <c r="A2273" s="95">
        <v>111301</v>
      </c>
      <c r="B2273">
        <v>2</v>
      </c>
      <c r="C2273">
        <v>1</v>
      </c>
      <c r="D2273">
        <v>1</v>
      </c>
      <c r="E2273">
        <v>1</v>
      </c>
      <c r="F2273" t="s">
        <v>2702</v>
      </c>
      <c r="G2273" t="s">
        <v>2856</v>
      </c>
    </row>
    <row r="2274" ht="14" customHeight="1" spans="1:7">
      <c r="A2274" s="95">
        <v>111302</v>
      </c>
      <c r="B2274">
        <v>2</v>
      </c>
      <c r="C2274">
        <v>1</v>
      </c>
      <c r="D2274">
        <v>1</v>
      </c>
      <c r="E2274">
        <v>1</v>
      </c>
      <c r="F2274" t="s">
        <v>2857</v>
      </c>
      <c r="G2274" t="s">
        <v>2858</v>
      </c>
    </row>
    <row r="2275" ht="14" customHeight="1" spans="1:7">
      <c r="A2275" s="95">
        <v>111303</v>
      </c>
      <c r="B2275">
        <v>2</v>
      </c>
      <c r="C2275">
        <v>1</v>
      </c>
      <c r="D2275">
        <v>1</v>
      </c>
      <c r="E2275">
        <v>1</v>
      </c>
      <c r="F2275" t="s">
        <v>2859</v>
      </c>
      <c r="G2275" t="s">
        <v>2860</v>
      </c>
    </row>
    <row r="2276" ht="14" customHeight="1" spans="1:7">
      <c r="A2276" s="95">
        <v>111304</v>
      </c>
      <c r="B2276">
        <v>2</v>
      </c>
      <c r="C2276">
        <v>1</v>
      </c>
      <c r="D2276">
        <v>1</v>
      </c>
      <c r="E2276">
        <v>1</v>
      </c>
      <c r="F2276" t="s">
        <v>2861</v>
      </c>
      <c r="G2276" t="s">
        <v>2862</v>
      </c>
    </row>
    <row r="2277" ht="14" customHeight="1" spans="1:7">
      <c r="A2277" s="95">
        <v>111305</v>
      </c>
      <c r="B2277">
        <v>2</v>
      </c>
      <c r="C2277">
        <v>1</v>
      </c>
      <c r="D2277">
        <v>1</v>
      </c>
      <c r="E2277">
        <v>1</v>
      </c>
      <c r="F2277" t="s">
        <v>2863</v>
      </c>
      <c r="G2277" t="s">
        <v>2864</v>
      </c>
    </row>
    <row r="2278" ht="14" customHeight="1" spans="1:7">
      <c r="A2278" s="95">
        <v>111306</v>
      </c>
      <c r="B2278">
        <v>2</v>
      </c>
      <c r="C2278">
        <v>1</v>
      </c>
      <c r="D2278">
        <v>1</v>
      </c>
      <c r="E2278">
        <v>1</v>
      </c>
      <c r="F2278" t="s">
        <v>2865</v>
      </c>
      <c r="G2278" t="s">
        <v>2866</v>
      </c>
    </row>
    <row r="2279" ht="14" customHeight="1" spans="1:7">
      <c r="A2279" s="95">
        <v>111307</v>
      </c>
      <c r="B2279">
        <v>2</v>
      </c>
      <c r="C2279">
        <v>1</v>
      </c>
      <c r="D2279">
        <v>1</v>
      </c>
      <c r="E2279">
        <v>1</v>
      </c>
      <c r="F2279" t="s">
        <v>2867</v>
      </c>
      <c r="G2279" t="s">
        <v>2868</v>
      </c>
    </row>
    <row r="2280" ht="14" customHeight="1" spans="1:7">
      <c r="A2280" s="95">
        <v>111308</v>
      </c>
      <c r="B2280">
        <v>2</v>
      </c>
      <c r="C2280">
        <v>1</v>
      </c>
      <c r="D2280">
        <v>1</v>
      </c>
      <c r="E2280">
        <v>1</v>
      </c>
      <c r="F2280" t="s">
        <v>2869</v>
      </c>
      <c r="G2280" t="s">
        <v>2870</v>
      </c>
    </row>
    <row r="2281" ht="14" customHeight="1" spans="1:7">
      <c r="A2281" s="95">
        <v>111309</v>
      </c>
      <c r="B2281">
        <v>2</v>
      </c>
      <c r="C2281">
        <v>1</v>
      </c>
      <c r="D2281">
        <v>1</v>
      </c>
      <c r="E2281">
        <v>1</v>
      </c>
      <c r="F2281" t="s">
        <v>2871</v>
      </c>
      <c r="G2281" t="s">
        <v>2872</v>
      </c>
    </row>
    <row r="2282" ht="14" customHeight="1" spans="1:7">
      <c r="A2282" s="95">
        <v>111310</v>
      </c>
      <c r="B2282">
        <v>2</v>
      </c>
      <c r="C2282">
        <v>1</v>
      </c>
      <c r="D2282">
        <v>1</v>
      </c>
      <c r="E2282">
        <v>1</v>
      </c>
      <c r="F2282" t="s">
        <v>2873</v>
      </c>
      <c r="G2282" t="s">
        <v>2874</v>
      </c>
    </row>
    <row r="2283" ht="14" customHeight="1" spans="1:7">
      <c r="A2283" s="95">
        <v>111311</v>
      </c>
      <c r="B2283">
        <v>2</v>
      </c>
      <c r="C2283">
        <v>1</v>
      </c>
      <c r="D2283">
        <v>1</v>
      </c>
      <c r="E2283">
        <v>1</v>
      </c>
      <c r="F2283" t="s">
        <v>2875</v>
      </c>
      <c r="G2283" t="s">
        <v>2876</v>
      </c>
    </row>
    <row r="2284" ht="14" customHeight="1" spans="1:7">
      <c r="A2284" s="95">
        <v>111312</v>
      </c>
      <c r="B2284">
        <v>2</v>
      </c>
      <c r="C2284">
        <v>1</v>
      </c>
      <c r="D2284">
        <v>1</v>
      </c>
      <c r="E2284">
        <v>1</v>
      </c>
      <c r="F2284" t="s">
        <v>2877</v>
      </c>
      <c r="G2284" t="s">
        <v>2878</v>
      </c>
    </row>
    <row r="2285" ht="14" customHeight="1" spans="1:7">
      <c r="A2285" s="95">
        <v>111313</v>
      </c>
      <c r="B2285">
        <v>2</v>
      </c>
      <c r="C2285">
        <v>1</v>
      </c>
      <c r="D2285">
        <v>1</v>
      </c>
      <c r="E2285">
        <v>1</v>
      </c>
      <c r="F2285" t="s">
        <v>2879</v>
      </c>
      <c r="G2285" t="s">
        <v>2880</v>
      </c>
    </row>
    <row r="2286" ht="14" customHeight="1" spans="1:7">
      <c r="A2286" s="96">
        <v>111401</v>
      </c>
      <c r="B2286">
        <v>2</v>
      </c>
      <c r="C2286">
        <v>1</v>
      </c>
      <c r="D2286">
        <v>1</v>
      </c>
      <c r="E2286">
        <v>1</v>
      </c>
      <c r="F2286" t="s">
        <v>2704</v>
      </c>
      <c r="G2286" t="s">
        <v>2881</v>
      </c>
    </row>
    <row r="2287" ht="14" customHeight="1" spans="1:7">
      <c r="A2287" s="96">
        <v>111402</v>
      </c>
      <c r="B2287">
        <v>2</v>
      </c>
      <c r="C2287">
        <v>1</v>
      </c>
      <c r="D2287">
        <v>1</v>
      </c>
      <c r="E2287">
        <v>1</v>
      </c>
      <c r="F2287" t="s">
        <v>2882</v>
      </c>
      <c r="G2287" t="s">
        <v>2883</v>
      </c>
    </row>
    <row r="2288" ht="14" customHeight="1" spans="1:7">
      <c r="A2288" s="96">
        <v>111403</v>
      </c>
      <c r="B2288">
        <v>2</v>
      </c>
      <c r="C2288">
        <v>1</v>
      </c>
      <c r="D2288">
        <v>1</v>
      </c>
      <c r="E2288">
        <v>1</v>
      </c>
      <c r="F2288" t="s">
        <v>2884</v>
      </c>
      <c r="G2288" t="s">
        <v>2885</v>
      </c>
    </row>
    <row r="2289" ht="14" customHeight="1" spans="1:7">
      <c r="A2289" s="96">
        <v>111404</v>
      </c>
      <c r="B2289">
        <v>2</v>
      </c>
      <c r="C2289">
        <v>1</v>
      </c>
      <c r="D2289">
        <v>1</v>
      </c>
      <c r="E2289">
        <v>1</v>
      </c>
      <c r="F2289" t="s">
        <v>2886</v>
      </c>
      <c r="G2289" t="s">
        <v>2887</v>
      </c>
    </row>
    <row r="2290" ht="14" customHeight="1" spans="1:7">
      <c r="A2290" s="96">
        <v>111405</v>
      </c>
      <c r="B2290">
        <v>2</v>
      </c>
      <c r="C2290">
        <v>1</v>
      </c>
      <c r="D2290">
        <v>1</v>
      </c>
      <c r="E2290">
        <v>1</v>
      </c>
      <c r="F2290" t="s">
        <v>2888</v>
      </c>
      <c r="G2290" t="s">
        <v>2889</v>
      </c>
    </row>
    <row r="2291" ht="14" customHeight="1" spans="1:7">
      <c r="A2291" s="96">
        <v>111406</v>
      </c>
      <c r="B2291">
        <v>2</v>
      </c>
      <c r="C2291">
        <v>1</v>
      </c>
      <c r="D2291">
        <v>1</v>
      </c>
      <c r="E2291">
        <v>1</v>
      </c>
      <c r="F2291" t="s">
        <v>2890</v>
      </c>
      <c r="G2291" t="s">
        <v>2891</v>
      </c>
    </row>
    <row r="2292" ht="14" customHeight="1" spans="1:7">
      <c r="A2292" s="96">
        <v>111407</v>
      </c>
      <c r="B2292">
        <v>2</v>
      </c>
      <c r="C2292">
        <v>1</v>
      </c>
      <c r="D2292">
        <v>1</v>
      </c>
      <c r="E2292">
        <v>1</v>
      </c>
      <c r="F2292" t="s">
        <v>2892</v>
      </c>
      <c r="G2292" t="s">
        <v>2893</v>
      </c>
    </row>
    <row r="2293" ht="14" customHeight="1" spans="1:7">
      <c r="A2293" s="96">
        <v>111408</v>
      </c>
      <c r="B2293">
        <v>2</v>
      </c>
      <c r="C2293">
        <v>1</v>
      </c>
      <c r="D2293">
        <v>1</v>
      </c>
      <c r="E2293">
        <v>1</v>
      </c>
      <c r="F2293" t="s">
        <v>2894</v>
      </c>
      <c r="G2293" t="s">
        <v>2895</v>
      </c>
    </row>
    <row r="2294" ht="14" customHeight="1" spans="1:7">
      <c r="A2294" s="96">
        <v>111409</v>
      </c>
      <c r="B2294">
        <v>2</v>
      </c>
      <c r="C2294">
        <v>1</v>
      </c>
      <c r="D2294">
        <v>1</v>
      </c>
      <c r="E2294">
        <v>1</v>
      </c>
      <c r="F2294" t="s">
        <v>2896</v>
      </c>
      <c r="G2294" t="s">
        <v>2897</v>
      </c>
    </row>
    <row r="2295" ht="14" customHeight="1" spans="1:7">
      <c r="A2295" s="96">
        <v>111410</v>
      </c>
      <c r="B2295">
        <v>2</v>
      </c>
      <c r="C2295">
        <v>1</v>
      </c>
      <c r="D2295">
        <v>1</v>
      </c>
      <c r="E2295">
        <v>1</v>
      </c>
      <c r="F2295" t="s">
        <v>2898</v>
      </c>
      <c r="G2295" t="s">
        <v>2899</v>
      </c>
    </row>
    <row r="2296" ht="14" customHeight="1" spans="1:7">
      <c r="A2296" s="96">
        <v>111411</v>
      </c>
      <c r="B2296">
        <v>2</v>
      </c>
      <c r="C2296">
        <v>1</v>
      </c>
      <c r="D2296">
        <v>1</v>
      </c>
      <c r="E2296">
        <v>1</v>
      </c>
      <c r="F2296" t="s">
        <v>2900</v>
      </c>
      <c r="G2296" t="s">
        <v>2901</v>
      </c>
    </row>
    <row r="2297" ht="14" customHeight="1" spans="1:7">
      <c r="A2297" s="96">
        <v>111412</v>
      </c>
      <c r="B2297">
        <v>2</v>
      </c>
      <c r="C2297">
        <v>1</v>
      </c>
      <c r="D2297">
        <v>1</v>
      </c>
      <c r="E2297">
        <v>1</v>
      </c>
      <c r="F2297" t="s">
        <v>2902</v>
      </c>
      <c r="G2297" t="s">
        <v>2903</v>
      </c>
    </row>
    <row r="2298" ht="14" customHeight="1" spans="1:7">
      <c r="A2298" s="96">
        <v>111413</v>
      </c>
      <c r="B2298">
        <v>2</v>
      </c>
      <c r="C2298">
        <v>1</v>
      </c>
      <c r="D2298">
        <v>1</v>
      </c>
      <c r="E2298">
        <v>1</v>
      </c>
      <c r="F2298" t="s">
        <v>2904</v>
      </c>
      <c r="G2298" t="s">
        <v>2905</v>
      </c>
    </row>
    <row r="2299" ht="14" customHeight="1" spans="1:7">
      <c r="A2299" s="96">
        <v>111414</v>
      </c>
      <c r="B2299">
        <v>2</v>
      </c>
      <c r="C2299">
        <v>1</v>
      </c>
      <c r="D2299">
        <v>1</v>
      </c>
      <c r="E2299">
        <v>1</v>
      </c>
      <c r="F2299" t="s">
        <v>2906</v>
      </c>
      <c r="G2299" t="s">
        <v>2907</v>
      </c>
    </row>
    <row r="2300" ht="14" customHeight="1" spans="1:7">
      <c r="A2300" s="96">
        <v>111415</v>
      </c>
      <c r="B2300">
        <v>2</v>
      </c>
      <c r="C2300">
        <v>1</v>
      </c>
      <c r="D2300">
        <v>1</v>
      </c>
      <c r="E2300">
        <v>1</v>
      </c>
      <c r="F2300" t="s">
        <v>2908</v>
      </c>
      <c r="G2300" t="s">
        <v>2909</v>
      </c>
    </row>
    <row r="2301" ht="14" customHeight="1" spans="1:7">
      <c r="A2301" s="96">
        <v>111416</v>
      </c>
      <c r="B2301">
        <v>2</v>
      </c>
      <c r="C2301">
        <v>1</v>
      </c>
      <c r="D2301">
        <v>1</v>
      </c>
      <c r="E2301">
        <v>1</v>
      </c>
      <c r="F2301" t="s">
        <v>2910</v>
      </c>
      <c r="G2301" t="s">
        <v>2911</v>
      </c>
    </row>
    <row r="2302" ht="14" customHeight="1" spans="1:7">
      <c r="A2302" s="96">
        <v>111417</v>
      </c>
      <c r="B2302">
        <v>2</v>
      </c>
      <c r="C2302">
        <v>1</v>
      </c>
      <c r="D2302">
        <v>1</v>
      </c>
      <c r="E2302">
        <v>1</v>
      </c>
      <c r="F2302" t="s">
        <v>2912</v>
      </c>
      <c r="G2302" t="s">
        <v>2913</v>
      </c>
    </row>
    <row r="2303" ht="14" customHeight="1" spans="1:7">
      <c r="A2303" s="96">
        <v>111418</v>
      </c>
      <c r="B2303">
        <v>2</v>
      </c>
      <c r="C2303">
        <v>1</v>
      </c>
      <c r="D2303">
        <v>1</v>
      </c>
      <c r="E2303">
        <v>1</v>
      </c>
      <c r="F2303" t="s">
        <v>2914</v>
      </c>
      <c r="G2303" t="s">
        <v>2915</v>
      </c>
    </row>
    <row r="2304" ht="14" customHeight="1" spans="1:7">
      <c r="A2304" s="96">
        <v>111419</v>
      </c>
      <c r="B2304">
        <v>2</v>
      </c>
      <c r="C2304">
        <v>1</v>
      </c>
      <c r="D2304">
        <v>1</v>
      </c>
      <c r="E2304">
        <v>1</v>
      </c>
      <c r="F2304" t="s">
        <v>2916</v>
      </c>
      <c r="G2304" t="s">
        <v>2917</v>
      </c>
    </row>
    <row r="2305" ht="14" customHeight="1" spans="1:7">
      <c r="A2305" s="96">
        <v>111420</v>
      </c>
      <c r="B2305">
        <v>2</v>
      </c>
      <c r="C2305">
        <v>1</v>
      </c>
      <c r="D2305">
        <v>1</v>
      </c>
      <c r="E2305">
        <v>1</v>
      </c>
      <c r="F2305" t="s">
        <v>2918</v>
      </c>
      <c r="G2305" t="s">
        <v>2919</v>
      </c>
    </row>
    <row r="2306" ht="14" customHeight="1" spans="1:7">
      <c r="A2306" s="96">
        <v>111421</v>
      </c>
      <c r="B2306">
        <v>2</v>
      </c>
      <c r="C2306">
        <v>1</v>
      </c>
      <c r="D2306">
        <v>1</v>
      </c>
      <c r="E2306">
        <v>1</v>
      </c>
      <c r="F2306" t="s">
        <v>2920</v>
      </c>
      <c r="G2306" t="s">
        <v>2921</v>
      </c>
    </row>
    <row r="2307" ht="14" customHeight="1" spans="1:7">
      <c r="A2307" s="96">
        <v>111422</v>
      </c>
      <c r="B2307">
        <v>2</v>
      </c>
      <c r="C2307">
        <v>1</v>
      </c>
      <c r="D2307">
        <v>1</v>
      </c>
      <c r="E2307">
        <v>1</v>
      </c>
      <c r="F2307" t="s">
        <v>2922</v>
      </c>
      <c r="G2307" t="s">
        <v>2923</v>
      </c>
    </row>
    <row r="2308" ht="14" customHeight="1" spans="1:7">
      <c r="A2308" s="96">
        <v>111423</v>
      </c>
      <c r="B2308">
        <v>2</v>
      </c>
      <c r="C2308">
        <v>1</v>
      </c>
      <c r="D2308">
        <v>1</v>
      </c>
      <c r="E2308">
        <v>1</v>
      </c>
      <c r="F2308" t="s">
        <v>2924</v>
      </c>
      <c r="G2308" t="s">
        <v>2925</v>
      </c>
    </row>
    <row r="2309" ht="14" customHeight="1" spans="1:7">
      <c r="A2309" s="96">
        <v>111424</v>
      </c>
      <c r="B2309">
        <v>2</v>
      </c>
      <c r="C2309">
        <v>1</v>
      </c>
      <c r="D2309">
        <v>1</v>
      </c>
      <c r="E2309">
        <v>1</v>
      </c>
      <c r="F2309" t="s">
        <v>2926</v>
      </c>
      <c r="G2309" t="s">
        <v>2927</v>
      </c>
    </row>
    <row r="2310" ht="14" customHeight="1" spans="1:7">
      <c r="A2310" s="96">
        <v>111425</v>
      </c>
      <c r="B2310">
        <v>2</v>
      </c>
      <c r="C2310">
        <v>1</v>
      </c>
      <c r="D2310">
        <v>1</v>
      </c>
      <c r="E2310">
        <v>1</v>
      </c>
      <c r="F2310" t="s">
        <v>2928</v>
      </c>
      <c r="G2310" t="s">
        <v>2929</v>
      </c>
    </row>
    <row r="2311" ht="14" customHeight="1" spans="1:7">
      <c r="A2311" s="94">
        <v>112101</v>
      </c>
      <c r="B2311">
        <v>2</v>
      </c>
      <c r="C2311">
        <v>1</v>
      </c>
      <c r="D2311">
        <v>1</v>
      </c>
      <c r="E2311">
        <v>1</v>
      </c>
      <c r="F2311" t="s">
        <v>2706</v>
      </c>
      <c r="G2311" t="s">
        <v>2707</v>
      </c>
    </row>
    <row r="2312" ht="14" customHeight="1" spans="1:7">
      <c r="A2312" s="94">
        <v>112102</v>
      </c>
      <c r="B2312">
        <v>2</v>
      </c>
      <c r="C2312">
        <v>1</v>
      </c>
      <c r="D2312">
        <v>1</v>
      </c>
      <c r="E2312">
        <v>1</v>
      </c>
      <c r="F2312" t="s">
        <v>2930</v>
      </c>
      <c r="G2312" t="s">
        <v>2931</v>
      </c>
    </row>
    <row r="2313" ht="14" customHeight="1" spans="1:7">
      <c r="A2313" s="94">
        <v>112103</v>
      </c>
      <c r="B2313">
        <v>2</v>
      </c>
      <c r="C2313">
        <v>1</v>
      </c>
      <c r="D2313">
        <v>1</v>
      </c>
      <c r="E2313">
        <v>1</v>
      </c>
      <c r="F2313" t="s">
        <v>2932</v>
      </c>
      <c r="G2313" t="s">
        <v>2933</v>
      </c>
    </row>
    <row r="2314" ht="14" customHeight="1" spans="1:7">
      <c r="A2314" s="94">
        <v>112104</v>
      </c>
      <c r="B2314">
        <v>2</v>
      </c>
      <c r="C2314">
        <v>1</v>
      </c>
      <c r="D2314">
        <v>1</v>
      </c>
      <c r="E2314">
        <v>1</v>
      </c>
      <c r="F2314" t="s">
        <v>2934</v>
      </c>
      <c r="G2314" t="s">
        <v>2935</v>
      </c>
    </row>
    <row r="2315" ht="14" customHeight="1" spans="1:7">
      <c r="A2315" s="94">
        <v>112105</v>
      </c>
      <c r="B2315">
        <v>2</v>
      </c>
      <c r="C2315">
        <v>1</v>
      </c>
      <c r="D2315">
        <v>1</v>
      </c>
      <c r="E2315">
        <v>1</v>
      </c>
      <c r="F2315" t="s">
        <v>2936</v>
      </c>
      <c r="G2315" t="s">
        <v>2937</v>
      </c>
    </row>
    <row r="2316" ht="14" customHeight="1" spans="1:7">
      <c r="A2316" s="94">
        <v>112106</v>
      </c>
      <c r="B2316">
        <v>2</v>
      </c>
      <c r="C2316">
        <v>1</v>
      </c>
      <c r="D2316">
        <v>1</v>
      </c>
      <c r="E2316">
        <v>1</v>
      </c>
      <c r="F2316" t="s">
        <v>2938</v>
      </c>
      <c r="G2316" t="s">
        <v>2939</v>
      </c>
    </row>
    <row r="2317" ht="14" customHeight="1" spans="1:7">
      <c r="A2317" s="94">
        <v>112107</v>
      </c>
      <c r="B2317">
        <v>2</v>
      </c>
      <c r="C2317">
        <v>1</v>
      </c>
      <c r="D2317">
        <v>1</v>
      </c>
      <c r="E2317">
        <v>1</v>
      </c>
      <c r="F2317" t="s">
        <v>2938</v>
      </c>
      <c r="G2317" t="s">
        <v>2940</v>
      </c>
    </row>
    <row r="2318" ht="14" customHeight="1" spans="1:7">
      <c r="A2318" s="94">
        <v>112108</v>
      </c>
      <c r="B2318">
        <v>2</v>
      </c>
      <c r="C2318">
        <v>1</v>
      </c>
      <c r="D2318">
        <v>1</v>
      </c>
      <c r="E2318">
        <v>1</v>
      </c>
      <c r="F2318" t="s">
        <v>2938</v>
      </c>
      <c r="G2318" t="s">
        <v>2941</v>
      </c>
    </row>
    <row r="2319" ht="14" customHeight="1" spans="1:7">
      <c r="A2319" s="94">
        <v>112109</v>
      </c>
      <c r="B2319">
        <v>2</v>
      </c>
      <c r="C2319">
        <v>1</v>
      </c>
      <c r="D2319">
        <v>1</v>
      </c>
      <c r="E2319">
        <v>1</v>
      </c>
      <c r="F2319" t="s">
        <v>2938</v>
      </c>
      <c r="G2319" t="s">
        <v>2942</v>
      </c>
    </row>
    <row r="2320" ht="14" customHeight="1" spans="1:7">
      <c r="A2320" s="41">
        <v>112201</v>
      </c>
      <c r="B2320">
        <v>2</v>
      </c>
      <c r="C2320">
        <v>1</v>
      </c>
      <c r="D2320">
        <v>1</v>
      </c>
      <c r="E2320">
        <v>1</v>
      </c>
      <c r="F2320" t="s">
        <v>2708</v>
      </c>
      <c r="G2320" t="s">
        <v>2943</v>
      </c>
    </row>
    <row r="2321" ht="14" customHeight="1" spans="1:7">
      <c r="A2321" s="41">
        <v>112202</v>
      </c>
      <c r="B2321">
        <v>2</v>
      </c>
      <c r="C2321">
        <v>1</v>
      </c>
      <c r="D2321">
        <v>1</v>
      </c>
      <c r="E2321">
        <v>1</v>
      </c>
      <c r="F2321" t="s">
        <v>2944</v>
      </c>
      <c r="G2321" t="s">
        <v>2945</v>
      </c>
    </row>
    <row r="2322" ht="14" customHeight="1" spans="1:7">
      <c r="A2322" s="41">
        <v>112203</v>
      </c>
      <c r="B2322">
        <v>2</v>
      </c>
      <c r="C2322">
        <v>1</v>
      </c>
      <c r="D2322">
        <v>1</v>
      </c>
      <c r="E2322">
        <v>1</v>
      </c>
      <c r="F2322" t="s">
        <v>2946</v>
      </c>
      <c r="G2322" t="s">
        <v>2947</v>
      </c>
    </row>
    <row r="2323" ht="14" customHeight="1" spans="1:7">
      <c r="A2323" s="41">
        <v>112204</v>
      </c>
      <c r="B2323">
        <v>2</v>
      </c>
      <c r="C2323">
        <v>1</v>
      </c>
      <c r="D2323">
        <v>1</v>
      </c>
      <c r="E2323">
        <v>1</v>
      </c>
      <c r="F2323" t="s">
        <v>2948</v>
      </c>
      <c r="G2323" t="s">
        <v>2949</v>
      </c>
    </row>
    <row r="2324" ht="14" customHeight="1" spans="1:7">
      <c r="A2324" s="41">
        <v>112205</v>
      </c>
      <c r="B2324">
        <v>2</v>
      </c>
      <c r="C2324">
        <v>1</v>
      </c>
      <c r="D2324">
        <v>1</v>
      </c>
      <c r="E2324">
        <v>1</v>
      </c>
      <c r="F2324" t="s">
        <v>2950</v>
      </c>
      <c r="G2324" t="s">
        <v>2951</v>
      </c>
    </row>
    <row r="2325" ht="14" customHeight="1" spans="1:7">
      <c r="A2325" s="41">
        <v>112206</v>
      </c>
      <c r="B2325">
        <v>2</v>
      </c>
      <c r="C2325">
        <v>1</v>
      </c>
      <c r="D2325">
        <v>1</v>
      </c>
      <c r="E2325">
        <v>1</v>
      </c>
      <c r="F2325" t="s">
        <v>2952</v>
      </c>
      <c r="G2325" t="s">
        <v>2953</v>
      </c>
    </row>
    <row r="2326" ht="14" customHeight="1" spans="1:7">
      <c r="A2326" s="41">
        <v>112207</v>
      </c>
      <c r="B2326">
        <v>2</v>
      </c>
      <c r="C2326">
        <v>1</v>
      </c>
      <c r="D2326">
        <v>1</v>
      </c>
      <c r="E2326">
        <v>1</v>
      </c>
      <c r="F2326" t="s">
        <v>2954</v>
      </c>
      <c r="G2326" t="s">
        <v>2955</v>
      </c>
    </row>
    <row r="2327" ht="14" customHeight="1" spans="1:7">
      <c r="A2327" s="41">
        <v>112208</v>
      </c>
      <c r="B2327">
        <v>2</v>
      </c>
      <c r="C2327">
        <v>1</v>
      </c>
      <c r="D2327">
        <v>1</v>
      </c>
      <c r="E2327">
        <v>1</v>
      </c>
      <c r="F2327" t="s">
        <v>2956</v>
      </c>
      <c r="G2327" t="s">
        <v>2957</v>
      </c>
    </row>
    <row r="2328" ht="14" customHeight="1" spans="1:7">
      <c r="A2328" s="41">
        <v>112209</v>
      </c>
      <c r="B2328">
        <v>2</v>
      </c>
      <c r="C2328">
        <v>1</v>
      </c>
      <c r="D2328">
        <v>1</v>
      </c>
      <c r="E2328">
        <v>1</v>
      </c>
      <c r="F2328" t="s">
        <v>2958</v>
      </c>
      <c r="G2328" t="s">
        <v>2959</v>
      </c>
    </row>
    <row r="2329" ht="14" customHeight="1" spans="1:7">
      <c r="A2329" s="95">
        <v>112301</v>
      </c>
      <c r="B2329">
        <v>2</v>
      </c>
      <c r="C2329">
        <v>1</v>
      </c>
      <c r="D2329">
        <v>1</v>
      </c>
      <c r="E2329">
        <v>1</v>
      </c>
      <c r="F2329" t="s">
        <v>2710</v>
      </c>
      <c r="G2329" t="s">
        <v>2960</v>
      </c>
    </row>
    <row r="2330" ht="14" customHeight="1" spans="1:7">
      <c r="A2330" s="95">
        <v>112302</v>
      </c>
      <c r="B2330">
        <v>2</v>
      </c>
      <c r="C2330">
        <v>1</v>
      </c>
      <c r="D2330">
        <v>1</v>
      </c>
      <c r="E2330">
        <v>1</v>
      </c>
      <c r="F2330" t="s">
        <v>2961</v>
      </c>
      <c r="G2330" t="s">
        <v>2962</v>
      </c>
    </row>
    <row r="2331" ht="14" customHeight="1" spans="1:7">
      <c r="A2331" s="95">
        <v>112303</v>
      </c>
      <c r="B2331">
        <v>2</v>
      </c>
      <c r="C2331">
        <v>1</v>
      </c>
      <c r="D2331">
        <v>1</v>
      </c>
      <c r="E2331">
        <v>1</v>
      </c>
      <c r="F2331" t="s">
        <v>2963</v>
      </c>
      <c r="G2331" t="s">
        <v>2964</v>
      </c>
    </row>
    <row r="2332" ht="14" customHeight="1" spans="1:7">
      <c r="A2332" s="95">
        <v>112304</v>
      </c>
      <c r="B2332">
        <v>2</v>
      </c>
      <c r="C2332">
        <v>1</v>
      </c>
      <c r="D2332">
        <v>1</v>
      </c>
      <c r="E2332">
        <v>1</v>
      </c>
      <c r="F2332" t="s">
        <v>2965</v>
      </c>
      <c r="G2332" t="s">
        <v>2966</v>
      </c>
    </row>
    <row r="2333" ht="14" customHeight="1" spans="1:7">
      <c r="A2333" s="95">
        <v>112305</v>
      </c>
      <c r="B2333">
        <v>2</v>
      </c>
      <c r="C2333">
        <v>1</v>
      </c>
      <c r="D2333">
        <v>1</v>
      </c>
      <c r="E2333">
        <v>1</v>
      </c>
      <c r="F2333" t="s">
        <v>2967</v>
      </c>
      <c r="G2333" t="s">
        <v>2968</v>
      </c>
    </row>
    <row r="2334" ht="14" customHeight="1" spans="1:7">
      <c r="A2334" s="95">
        <v>112306</v>
      </c>
      <c r="B2334">
        <v>2</v>
      </c>
      <c r="C2334">
        <v>1</v>
      </c>
      <c r="D2334">
        <v>1</v>
      </c>
      <c r="E2334">
        <v>1</v>
      </c>
      <c r="F2334" t="s">
        <v>2969</v>
      </c>
      <c r="G2334" t="s">
        <v>2970</v>
      </c>
    </row>
    <row r="2335" ht="14" customHeight="1" spans="1:7">
      <c r="A2335" s="95">
        <v>112307</v>
      </c>
      <c r="B2335">
        <v>2</v>
      </c>
      <c r="C2335">
        <v>1</v>
      </c>
      <c r="D2335">
        <v>1</v>
      </c>
      <c r="E2335">
        <v>1</v>
      </c>
      <c r="F2335" t="s">
        <v>2971</v>
      </c>
      <c r="G2335" t="s">
        <v>2972</v>
      </c>
    </row>
    <row r="2336" ht="14" customHeight="1" spans="1:7">
      <c r="A2336" s="95">
        <v>112308</v>
      </c>
      <c r="B2336">
        <v>2</v>
      </c>
      <c r="C2336">
        <v>1</v>
      </c>
      <c r="D2336">
        <v>1</v>
      </c>
      <c r="E2336">
        <v>1</v>
      </c>
      <c r="F2336" t="s">
        <v>2973</v>
      </c>
      <c r="G2336" t="s">
        <v>2974</v>
      </c>
    </row>
    <row r="2337" ht="14" customHeight="1" spans="1:7">
      <c r="A2337" s="95">
        <v>112309</v>
      </c>
      <c r="B2337">
        <v>2</v>
      </c>
      <c r="C2337">
        <v>1</v>
      </c>
      <c r="D2337">
        <v>1</v>
      </c>
      <c r="E2337">
        <v>1</v>
      </c>
      <c r="F2337" t="s">
        <v>2975</v>
      </c>
      <c r="G2337" t="s">
        <v>2976</v>
      </c>
    </row>
    <row r="2338" ht="14" customHeight="1" spans="1:7">
      <c r="A2338" s="95">
        <v>112310</v>
      </c>
      <c r="B2338">
        <v>2</v>
      </c>
      <c r="C2338">
        <v>1</v>
      </c>
      <c r="D2338">
        <v>1</v>
      </c>
      <c r="E2338">
        <v>1</v>
      </c>
      <c r="F2338" t="s">
        <v>2977</v>
      </c>
      <c r="G2338" t="s">
        <v>2978</v>
      </c>
    </row>
    <row r="2339" ht="14" customHeight="1" spans="1:7">
      <c r="A2339" s="95">
        <v>112311</v>
      </c>
      <c r="B2339">
        <v>2</v>
      </c>
      <c r="C2339">
        <v>1</v>
      </c>
      <c r="D2339">
        <v>1</v>
      </c>
      <c r="E2339">
        <v>1</v>
      </c>
      <c r="F2339" t="s">
        <v>2979</v>
      </c>
      <c r="G2339" t="s">
        <v>2980</v>
      </c>
    </row>
    <row r="2340" ht="14" customHeight="1" spans="1:7">
      <c r="A2340" s="95">
        <v>112312</v>
      </c>
      <c r="B2340">
        <v>2</v>
      </c>
      <c r="C2340">
        <v>1</v>
      </c>
      <c r="D2340">
        <v>1</v>
      </c>
      <c r="E2340">
        <v>1</v>
      </c>
      <c r="F2340" t="s">
        <v>2981</v>
      </c>
      <c r="G2340" t="s">
        <v>2982</v>
      </c>
    </row>
    <row r="2341" ht="14" customHeight="1" spans="1:7">
      <c r="A2341" s="95">
        <v>112313</v>
      </c>
      <c r="B2341">
        <v>2</v>
      </c>
      <c r="C2341">
        <v>1</v>
      </c>
      <c r="D2341">
        <v>1</v>
      </c>
      <c r="E2341">
        <v>1</v>
      </c>
      <c r="F2341" t="s">
        <v>2983</v>
      </c>
      <c r="G2341" t="s">
        <v>2984</v>
      </c>
    </row>
    <row r="2342" ht="14" customHeight="1" spans="1:7">
      <c r="A2342" s="96">
        <v>112401</v>
      </c>
      <c r="B2342">
        <v>2</v>
      </c>
      <c r="C2342">
        <v>1</v>
      </c>
      <c r="D2342">
        <v>1</v>
      </c>
      <c r="E2342">
        <v>1</v>
      </c>
      <c r="F2342" t="s">
        <v>2712</v>
      </c>
      <c r="G2342" t="s">
        <v>2985</v>
      </c>
    </row>
    <row r="2343" ht="14" customHeight="1" spans="1:7">
      <c r="A2343" s="96">
        <v>112402</v>
      </c>
      <c r="B2343">
        <v>2</v>
      </c>
      <c r="C2343">
        <v>1</v>
      </c>
      <c r="D2343">
        <v>1</v>
      </c>
      <c r="E2343">
        <v>1</v>
      </c>
      <c r="F2343" t="s">
        <v>2986</v>
      </c>
      <c r="G2343" t="s">
        <v>2987</v>
      </c>
    </row>
    <row r="2344" ht="14" customHeight="1" spans="1:7">
      <c r="A2344" s="96">
        <v>112403</v>
      </c>
      <c r="B2344">
        <v>2</v>
      </c>
      <c r="C2344">
        <v>1</v>
      </c>
      <c r="D2344">
        <v>1</v>
      </c>
      <c r="E2344">
        <v>1</v>
      </c>
      <c r="F2344" t="s">
        <v>2988</v>
      </c>
      <c r="G2344" t="s">
        <v>2989</v>
      </c>
    </row>
    <row r="2345" ht="14" customHeight="1" spans="1:7">
      <c r="A2345" s="96">
        <v>112404</v>
      </c>
      <c r="B2345">
        <v>2</v>
      </c>
      <c r="C2345">
        <v>1</v>
      </c>
      <c r="D2345">
        <v>1</v>
      </c>
      <c r="E2345">
        <v>1</v>
      </c>
      <c r="F2345" t="s">
        <v>2990</v>
      </c>
      <c r="G2345" t="s">
        <v>2991</v>
      </c>
    </row>
    <row r="2346" ht="14" customHeight="1" spans="1:7">
      <c r="A2346" s="96">
        <v>112405</v>
      </c>
      <c r="B2346">
        <v>2</v>
      </c>
      <c r="C2346">
        <v>1</v>
      </c>
      <c r="D2346">
        <v>1</v>
      </c>
      <c r="E2346">
        <v>1</v>
      </c>
      <c r="F2346" t="s">
        <v>2992</v>
      </c>
      <c r="G2346" t="s">
        <v>2993</v>
      </c>
    </row>
    <row r="2347" ht="14" customHeight="1" spans="1:7">
      <c r="A2347" s="96">
        <v>112406</v>
      </c>
      <c r="B2347">
        <v>2</v>
      </c>
      <c r="C2347">
        <v>1</v>
      </c>
      <c r="D2347">
        <v>1</v>
      </c>
      <c r="E2347">
        <v>1</v>
      </c>
      <c r="F2347" t="s">
        <v>2994</v>
      </c>
      <c r="G2347" t="s">
        <v>2995</v>
      </c>
    </row>
    <row r="2348" ht="14" customHeight="1" spans="1:7">
      <c r="A2348" s="96">
        <v>112407</v>
      </c>
      <c r="B2348">
        <v>2</v>
      </c>
      <c r="C2348">
        <v>1</v>
      </c>
      <c r="D2348">
        <v>1</v>
      </c>
      <c r="E2348">
        <v>1</v>
      </c>
      <c r="F2348" t="s">
        <v>2996</v>
      </c>
      <c r="G2348" t="s">
        <v>2997</v>
      </c>
    </row>
    <row r="2349" ht="14" customHeight="1" spans="1:7">
      <c r="A2349" s="96">
        <v>112408</v>
      </c>
      <c r="B2349">
        <v>2</v>
      </c>
      <c r="C2349">
        <v>1</v>
      </c>
      <c r="D2349">
        <v>1</v>
      </c>
      <c r="E2349">
        <v>1</v>
      </c>
      <c r="F2349" t="s">
        <v>2998</v>
      </c>
      <c r="G2349" t="s">
        <v>2999</v>
      </c>
    </row>
    <row r="2350" ht="14" customHeight="1" spans="1:7">
      <c r="A2350" s="96">
        <v>112409</v>
      </c>
      <c r="B2350">
        <v>2</v>
      </c>
      <c r="C2350">
        <v>1</v>
      </c>
      <c r="D2350">
        <v>1</v>
      </c>
      <c r="E2350">
        <v>1</v>
      </c>
      <c r="F2350" t="s">
        <v>3000</v>
      </c>
      <c r="G2350" t="s">
        <v>3001</v>
      </c>
    </row>
    <row r="2351" ht="14" customHeight="1" spans="1:7">
      <c r="A2351" s="96">
        <v>112410</v>
      </c>
      <c r="B2351">
        <v>2</v>
      </c>
      <c r="C2351">
        <v>1</v>
      </c>
      <c r="D2351">
        <v>1</v>
      </c>
      <c r="E2351">
        <v>1</v>
      </c>
      <c r="F2351" t="s">
        <v>3002</v>
      </c>
      <c r="G2351" t="s">
        <v>3003</v>
      </c>
    </row>
    <row r="2352" ht="14" customHeight="1" spans="1:7">
      <c r="A2352" s="96">
        <v>112411</v>
      </c>
      <c r="B2352">
        <v>2</v>
      </c>
      <c r="C2352">
        <v>1</v>
      </c>
      <c r="D2352">
        <v>1</v>
      </c>
      <c r="E2352">
        <v>1</v>
      </c>
      <c r="F2352" t="s">
        <v>3004</v>
      </c>
      <c r="G2352" t="s">
        <v>3005</v>
      </c>
    </row>
    <row r="2353" ht="14" customHeight="1" spans="1:7">
      <c r="A2353" s="96">
        <v>112412</v>
      </c>
      <c r="B2353">
        <v>2</v>
      </c>
      <c r="C2353">
        <v>1</v>
      </c>
      <c r="D2353">
        <v>1</v>
      </c>
      <c r="E2353">
        <v>1</v>
      </c>
      <c r="F2353" t="s">
        <v>3006</v>
      </c>
      <c r="G2353" t="s">
        <v>3007</v>
      </c>
    </row>
    <row r="2354" ht="14" customHeight="1" spans="1:7">
      <c r="A2354" s="96">
        <v>112413</v>
      </c>
      <c r="B2354">
        <v>2</v>
      </c>
      <c r="C2354">
        <v>1</v>
      </c>
      <c r="D2354">
        <v>1</v>
      </c>
      <c r="E2354">
        <v>1</v>
      </c>
      <c r="F2354" t="s">
        <v>3008</v>
      </c>
      <c r="G2354" t="s">
        <v>3009</v>
      </c>
    </row>
    <row r="2355" ht="14" customHeight="1" spans="1:7">
      <c r="A2355" s="96">
        <v>112414</v>
      </c>
      <c r="B2355">
        <v>2</v>
      </c>
      <c r="C2355">
        <v>1</v>
      </c>
      <c r="D2355">
        <v>1</v>
      </c>
      <c r="E2355">
        <v>1</v>
      </c>
      <c r="F2355" t="s">
        <v>3010</v>
      </c>
      <c r="G2355" t="s">
        <v>3011</v>
      </c>
    </row>
    <row r="2356" ht="14" customHeight="1" spans="1:7">
      <c r="A2356" s="96">
        <v>112415</v>
      </c>
      <c r="B2356">
        <v>2</v>
      </c>
      <c r="C2356">
        <v>1</v>
      </c>
      <c r="D2356">
        <v>1</v>
      </c>
      <c r="E2356">
        <v>1</v>
      </c>
      <c r="F2356" t="s">
        <v>3012</v>
      </c>
      <c r="G2356" t="s">
        <v>3013</v>
      </c>
    </row>
    <row r="2357" ht="14" customHeight="1" spans="1:7">
      <c r="A2357" s="96">
        <v>112416</v>
      </c>
      <c r="B2357">
        <v>2</v>
      </c>
      <c r="C2357">
        <v>1</v>
      </c>
      <c r="D2357">
        <v>1</v>
      </c>
      <c r="E2357">
        <v>1</v>
      </c>
      <c r="F2357" t="s">
        <v>3014</v>
      </c>
      <c r="G2357" t="s">
        <v>3015</v>
      </c>
    </row>
    <row r="2358" ht="14" customHeight="1" spans="1:7">
      <c r="A2358" s="96">
        <v>112417</v>
      </c>
      <c r="B2358">
        <v>2</v>
      </c>
      <c r="C2358">
        <v>1</v>
      </c>
      <c r="D2358">
        <v>1</v>
      </c>
      <c r="E2358">
        <v>1</v>
      </c>
      <c r="F2358" t="s">
        <v>3016</v>
      </c>
      <c r="G2358" t="s">
        <v>3017</v>
      </c>
    </row>
    <row r="2359" ht="14" customHeight="1" spans="1:7">
      <c r="A2359" s="96">
        <v>112418</v>
      </c>
      <c r="B2359">
        <v>2</v>
      </c>
      <c r="C2359">
        <v>1</v>
      </c>
      <c r="D2359">
        <v>1</v>
      </c>
      <c r="E2359">
        <v>1</v>
      </c>
      <c r="F2359" t="s">
        <v>3018</v>
      </c>
      <c r="G2359" t="s">
        <v>3019</v>
      </c>
    </row>
    <row r="2360" ht="14" customHeight="1" spans="1:7">
      <c r="A2360" s="96">
        <v>112419</v>
      </c>
      <c r="B2360">
        <v>2</v>
      </c>
      <c r="C2360">
        <v>1</v>
      </c>
      <c r="D2360">
        <v>1</v>
      </c>
      <c r="E2360">
        <v>1</v>
      </c>
      <c r="F2360" t="s">
        <v>3020</v>
      </c>
      <c r="G2360" t="s">
        <v>3021</v>
      </c>
    </row>
    <row r="2361" ht="14" customHeight="1" spans="1:7">
      <c r="A2361" s="96">
        <v>112420</v>
      </c>
      <c r="B2361">
        <v>2</v>
      </c>
      <c r="C2361">
        <v>1</v>
      </c>
      <c r="D2361">
        <v>1</v>
      </c>
      <c r="E2361">
        <v>1</v>
      </c>
      <c r="F2361" t="s">
        <v>3022</v>
      </c>
      <c r="G2361" t="s">
        <v>3023</v>
      </c>
    </row>
    <row r="2362" ht="14" customHeight="1" spans="1:7">
      <c r="A2362" s="96">
        <v>112421</v>
      </c>
      <c r="B2362">
        <v>2</v>
      </c>
      <c r="C2362">
        <v>1</v>
      </c>
      <c r="D2362">
        <v>1</v>
      </c>
      <c r="E2362">
        <v>1</v>
      </c>
      <c r="F2362" t="s">
        <v>3024</v>
      </c>
      <c r="G2362" t="s">
        <v>3025</v>
      </c>
    </row>
    <row r="2363" ht="14" customHeight="1" spans="1:7">
      <c r="A2363" s="96">
        <v>112422</v>
      </c>
      <c r="B2363">
        <v>2</v>
      </c>
      <c r="C2363">
        <v>1</v>
      </c>
      <c r="D2363">
        <v>1</v>
      </c>
      <c r="E2363">
        <v>1</v>
      </c>
      <c r="F2363" t="s">
        <v>3026</v>
      </c>
      <c r="G2363" t="s">
        <v>3027</v>
      </c>
    </row>
    <row r="2364" ht="14" customHeight="1" spans="1:7">
      <c r="A2364" s="96">
        <v>112423</v>
      </c>
      <c r="B2364">
        <v>2</v>
      </c>
      <c r="C2364">
        <v>1</v>
      </c>
      <c r="D2364">
        <v>1</v>
      </c>
      <c r="E2364">
        <v>1</v>
      </c>
      <c r="F2364" t="s">
        <v>3028</v>
      </c>
      <c r="G2364" t="s">
        <v>3029</v>
      </c>
    </row>
    <row r="2365" ht="14" customHeight="1" spans="1:7">
      <c r="A2365" s="96">
        <v>112424</v>
      </c>
      <c r="B2365">
        <v>2</v>
      </c>
      <c r="C2365">
        <v>1</v>
      </c>
      <c r="D2365">
        <v>1</v>
      </c>
      <c r="E2365">
        <v>1</v>
      </c>
      <c r="F2365" t="s">
        <v>3030</v>
      </c>
      <c r="G2365" t="s">
        <v>3031</v>
      </c>
    </row>
    <row r="2366" ht="14" customHeight="1" spans="1:7">
      <c r="A2366" s="96">
        <v>112425</v>
      </c>
      <c r="B2366">
        <v>2</v>
      </c>
      <c r="C2366">
        <v>1</v>
      </c>
      <c r="D2366">
        <v>1</v>
      </c>
      <c r="E2366">
        <v>1</v>
      </c>
      <c r="F2366" t="s">
        <v>3032</v>
      </c>
      <c r="G2366" t="s">
        <v>3033</v>
      </c>
    </row>
    <row r="2367" ht="14" customHeight="1" spans="1:7">
      <c r="A2367" s="94">
        <v>113101</v>
      </c>
      <c r="B2367">
        <v>2</v>
      </c>
      <c r="C2367">
        <v>1</v>
      </c>
      <c r="D2367">
        <v>1</v>
      </c>
      <c r="E2367">
        <v>1</v>
      </c>
      <c r="F2367" t="s">
        <v>2714</v>
      </c>
      <c r="G2367" t="s">
        <v>2715</v>
      </c>
    </row>
    <row r="2368" ht="14" customHeight="1" spans="1:7">
      <c r="A2368" s="94">
        <v>113102</v>
      </c>
      <c r="B2368">
        <v>2</v>
      </c>
      <c r="C2368">
        <v>1</v>
      </c>
      <c r="D2368">
        <v>1</v>
      </c>
      <c r="E2368">
        <v>1</v>
      </c>
      <c r="F2368" t="s">
        <v>3034</v>
      </c>
      <c r="G2368" t="s">
        <v>3035</v>
      </c>
    </row>
    <row r="2369" ht="14" customHeight="1" spans="1:7">
      <c r="A2369" s="94">
        <v>113103</v>
      </c>
      <c r="B2369">
        <v>2</v>
      </c>
      <c r="C2369">
        <v>1</v>
      </c>
      <c r="D2369">
        <v>1</v>
      </c>
      <c r="E2369">
        <v>1</v>
      </c>
      <c r="F2369" t="s">
        <v>3036</v>
      </c>
      <c r="G2369" t="s">
        <v>3037</v>
      </c>
    </row>
    <row r="2370" ht="14" customHeight="1" spans="1:7">
      <c r="A2370" s="94">
        <v>113104</v>
      </c>
      <c r="B2370">
        <v>2</v>
      </c>
      <c r="C2370">
        <v>1</v>
      </c>
      <c r="D2370">
        <v>1</v>
      </c>
      <c r="E2370">
        <v>1</v>
      </c>
      <c r="F2370" t="s">
        <v>3038</v>
      </c>
      <c r="G2370" t="s">
        <v>3039</v>
      </c>
    </row>
    <row r="2371" ht="14" customHeight="1" spans="1:7">
      <c r="A2371" s="94">
        <v>113105</v>
      </c>
      <c r="B2371">
        <v>2</v>
      </c>
      <c r="C2371">
        <v>1</v>
      </c>
      <c r="D2371">
        <v>1</v>
      </c>
      <c r="E2371">
        <v>1</v>
      </c>
      <c r="F2371" t="s">
        <v>3040</v>
      </c>
      <c r="G2371" t="s">
        <v>3041</v>
      </c>
    </row>
    <row r="2372" ht="14" customHeight="1" spans="1:7">
      <c r="A2372" s="94">
        <v>113106</v>
      </c>
      <c r="B2372">
        <v>2</v>
      </c>
      <c r="C2372">
        <v>1</v>
      </c>
      <c r="D2372">
        <v>1</v>
      </c>
      <c r="E2372">
        <v>1</v>
      </c>
      <c r="F2372" t="s">
        <v>3042</v>
      </c>
      <c r="G2372" t="s">
        <v>3043</v>
      </c>
    </row>
    <row r="2373" ht="14" customHeight="1" spans="1:7">
      <c r="A2373" s="94">
        <v>113107</v>
      </c>
      <c r="B2373">
        <v>2</v>
      </c>
      <c r="C2373">
        <v>1</v>
      </c>
      <c r="D2373">
        <v>1</v>
      </c>
      <c r="E2373">
        <v>1</v>
      </c>
      <c r="F2373" t="s">
        <v>3042</v>
      </c>
      <c r="G2373" t="s">
        <v>3044</v>
      </c>
    </row>
    <row r="2374" ht="14" customHeight="1" spans="1:7">
      <c r="A2374" s="94">
        <v>113108</v>
      </c>
      <c r="B2374">
        <v>2</v>
      </c>
      <c r="C2374">
        <v>1</v>
      </c>
      <c r="D2374">
        <v>1</v>
      </c>
      <c r="E2374">
        <v>1</v>
      </c>
      <c r="F2374" t="s">
        <v>3042</v>
      </c>
      <c r="G2374" t="s">
        <v>3045</v>
      </c>
    </row>
    <row r="2375" ht="14" customHeight="1" spans="1:7">
      <c r="A2375" s="94">
        <v>113109</v>
      </c>
      <c r="B2375">
        <v>2</v>
      </c>
      <c r="C2375">
        <v>1</v>
      </c>
      <c r="D2375">
        <v>1</v>
      </c>
      <c r="E2375">
        <v>1</v>
      </c>
      <c r="F2375" t="s">
        <v>3042</v>
      </c>
      <c r="G2375" t="s">
        <v>3046</v>
      </c>
    </row>
    <row r="2376" ht="14" customHeight="1" spans="1:7">
      <c r="A2376" s="41">
        <v>113201</v>
      </c>
      <c r="B2376">
        <v>2</v>
      </c>
      <c r="C2376">
        <v>1</v>
      </c>
      <c r="D2376">
        <v>1</v>
      </c>
      <c r="E2376">
        <v>1</v>
      </c>
      <c r="F2376" t="s">
        <v>2716</v>
      </c>
      <c r="G2376" t="s">
        <v>3047</v>
      </c>
    </row>
    <row r="2377" ht="14" customHeight="1" spans="1:7">
      <c r="A2377" s="41">
        <v>113202</v>
      </c>
      <c r="B2377">
        <v>2</v>
      </c>
      <c r="C2377">
        <v>1</v>
      </c>
      <c r="D2377">
        <v>1</v>
      </c>
      <c r="E2377">
        <v>1</v>
      </c>
      <c r="F2377" t="s">
        <v>3048</v>
      </c>
      <c r="G2377" t="s">
        <v>3049</v>
      </c>
    </row>
    <row r="2378" ht="14" customHeight="1" spans="1:7">
      <c r="A2378" s="41">
        <v>113203</v>
      </c>
      <c r="B2378">
        <v>2</v>
      </c>
      <c r="C2378">
        <v>1</v>
      </c>
      <c r="D2378">
        <v>1</v>
      </c>
      <c r="E2378">
        <v>1</v>
      </c>
      <c r="F2378" t="s">
        <v>3050</v>
      </c>
      <c r="G2378" t="s">
        <v>3051</v>
      </c>
    </row>
    <row r="2379" ht="14" customHeight="1" spans="1:7">
      <c r="A2379" s="41">
        <v>113204</v>
      </c>
      <c r="B2379">
        <v>2</v>
      </c>
      <c r="C2379">
        <v>1</v>
      </c>
      <c r="D2379">
        <v>1</v>
      </c>
      <c r="E2379">
        <v>1</v>
      </c>
      <c r="F2379" t="s">
        <v>3052</v>
      </c>
      <c r="G2379" t="s">
        <v>3053</v>
      </c>
    </row>
    <row r="2380" ht="14" customHeight="1" spans="1:7">
      <c r="A2380" s="41">
        <v>113205</v>
      </c>
      <c r="B2380">
        <v>2</v>
      </c>
      <c r="C2380">
        <v>1</v>
      </c>
      <c r="D2380">
        <v>1</v>
      </c>
      <c r="E2380">
        <v>1</v>
      </c>
      <c r="F2380" t="s">
        <v>3054</v>
      </c>
      <c r="G2380" t="s">
        <v>3055</v>
      </c>
    </row>
    <row r="2381" ht="14" customHeight="1" spans="1:7">
      <c r="A2381" s="41">
        <v>113206</v>
      </c>
      <c r="B2381">
        <v>2</v>
      </c>
      <c r="C2381">
        <v>1</v>
      </c>
      <c r="D2381">
        <v>1</v>
      </c>
      <c r="E2381">
        <v>1</v>
      </c>
      <c r="F2381" t="s">
        <v>3056</v>
      </c>
      <c r="G2381" t="s">
        <v>3057</v>
      </c>
    </row>
    <row r="2382" ht="14" customHeight="1" spans="1:7">
      <c r="A2382" s="41">
        <v>113207</v>
      </c>
      <c r="B2382">
        <v>2</v>
      </c>
      <c r="C2382">
        <v>1</v>
      </c>
      <c r="D2382">
        <v>1</v>
      </c>
      <c r="E2382">
        <v>1</v>
      </c>
      <c r="F2382" t="s">
        <v>3058</v>
      </c>
      <c r="G2382" t="s">
        <v>3059</v>
      </c>
    </row>
    <row r="2383" ht="14" customHeight="1" spans="1:7">
      <c r="A2383" s="41">
        <v>113208</v>
      </c>
      <c r="B2383">
        <v>2</v>
      </c>
      <c r="C2383">
        <v>1</v>
      </c>
      <c r="D2383">
        <v>1</v>
      </c>
      <c r="E2383">
        <v>1</v>
      </c>
      <c r="F2383" t="s">
        <v>3060</v>
      </c>
      <c r="G2383" t="s">
        <v>3061</v>
      </c>
    </row>
    <row r="2384" ht="14" customHeight="1" spans="1:7">
      <c r="A2384" s="41">
        <v>113209</v>
      </c>
      <c r="B2384">
        <v>2</v>
      </c>
      <c r="C2384">
        <v>1</v>
      </c>
      <c r="D2384">
        <v>1</v>
      </c>
      <c r="E2384">
        <v>1</v>
      </c>
      <c r="F2384" t="s">
        <v>3062</v>
      </c>
      <c r="G2384" t="s">
        <v>3063</v>
      </c>
    </row>
    <row r="2385" ht="14" customHeight="1" spans="1:7">
      <c r="A2385" s="95">
        <v>113301</v>
      </c>
      <c r="B2385">
        <v>2</v>
      </c>
      <c r="C2385">
        <v>1</v>
      </c>
      <c r="D2385">
        <v>1</v>
      </c>
      <c r="E2385">
        <v>1</v>
      </c>
      <c r="F2385" t="s">
        <v>2718</v>
      </c>
      <c r="G2385" t="s">
        <v>3064</v>
      </c>
    </row>
    <row r="2386" ht="14" customHeight="1" spans="1:7">
      <c r="A2386" s="95">
        <v>113302</v>
      </c>
      <c r="B2386">
        <v>2</v>
      </c>
      <c r="C2386">
        <v>1</v>
      </c>
      <c r="D2386">
        <v>1</v>
      </c>
      <c r="E2386">
        <v>1</v>
      </c>
      <c r="F2386" t="s">
        <v>3065</v>
      </c>
      <c r="G2386" t="s">
        <v>3066</v>
      </c>
    </row>
    <row r="2387" ht="14" customHeight="1" spans="1:7">
      <c r="A2387" s="95">
        <v>113303</v>
      </c>
      <c r="B2387">
        <v>2</v>
      </c>
      <c r="C2387">
        <v>1</v>
      </c>
      <c r="D2387">
        <v>1</v>
      </c>
      <c r="E2387">
        <v>1</v>
      </c>
      <c r="F2387" t="s">
        <v>3067</v>
      </c>
      <c r="G2387" t="s">
        <v>3068</v>
      </c>
    </row>
    <row r="2388" ht="14" customHeight="1" spans="1:7">
      <c r="A2388" s="95">
        <v>113304</v>
      </c>
      <c r="B2388">
        <v>2</v>
      </c>
      <c r="C2388">
        <v>1</v>
      </c>
      <c r="D2388">
        <v>1</v>
      </c>
      <c r="E2388">
        <v>1</v>
      </c>
      <c r="F2388" t="s">
        <v>3069</v>
      </c>
      <c r="G2388" t="s">
        <v>3070</v>
      </c>
    </row>
    <row r="2389" ht="14" customHeight="1" spans="1:7">
      <c r="A2389" s="95">
        <v>113305</v>
      </c>
      <c r="B2389">
        <v>2</v>
      </c>
      <c r="C2389">
        <v>1</v>
      </c>
      <c r="D2389">
        <v>1</v>
      </c>
      <c r="E2389">
        <v>1</v>
      </c>
      <c r="F2389" t="s">
        <v>3071</v>
      </c>
      <c r="G2389" t="s">
        <v>3072</v>
      </c>
    </row>
    <row r="2390" ht="14" customHeight="1" spans="1:7">
      <c r="A2390" s="95">
        <v>113306</v>
      </c>
      <c r="B2390">
        <v>2</v>
      </c>
      <c r="C2390">
        <v>1</v>
      </c>
      <c r="D2390">
        <v>1</v>
      </c>
      <c r="E2390">
        <v>1</v>
      </c>
      <c r="F2390" t="s">
        <v>3073</v>
      </c>
      <c r="G2390" t="s">
        <v>3074</v>
      </c>
    </row>
    <row r="2391" ht="14" customHeight="1" spans="1:7">
      <c r="A2391" s="95">
        <v>113307</v>
      </c>
      <c r="B2391">
        <v>2</v>
      </c>
      <c r="C2391">
        <v>1</v>
      </c>
      <c r="D2391">
        <v>1</v>
      </c>
      <c r="E2391">
        <v>1</v>
      </c>
      <c r="F2391" t="s">
        <v>3075</v>
      </c>
      <c r="G2391" t="s">
        <v>3076</v>
      </c>
    </row>
    <row r="2392" ht="14" customHeight="1" spans="1:7">
      <c r="A2392" s="95">
        <v>113308</v>
      </c>
      <c r="B2392">
        <v>2</v>
      </c>
      <c r="C2392">
        <v>1</v>
      </c>
      <c r="D2392">
        <v>1</v>
      </c>
      <c r="E2392">
        <v>1</v>
      </c>
      <c r="F2392" t="s">
        <v>3077</v>
      </c>
      <c r="G2392" t="s">
        <v>3078</v>
      </c>
    </row>
    <row r="2393" ht="14" customHeight="1" spans="1:7">
      <c r="A2393" s="95">
        <v>113309</v>
      </c>
      <c r="B2393">
        <v>2</v>
      </c>
      <c r="C2393">
        <v>1</v>
      </c>
      <c r="D2393">
        <v>1</v>
      </c>
      <c r="E2393">
        <v>1</v>
      </c>
      <c r="F2393" t="s">
        <v>3079</v>
      </c>
      <c r="G2393" t="s">
        <v>3080</v>
      </c>
    </row>
    <row r="2394" ht="14" customHeight="1" spans="1:7">
      <c r="A2394" s="95">
        <v>113310</v>
      </c>
      <c r="B2394">
        <v>2</v>
      </c>
      <c r="C2394">
        <v>1</v>
      </c>
      <c r="D2394">
        <v>1</v>
      </c>
      <c r="E2394">
        <v>1</v>
      </c>
      <c r="F2394" t="s">
        <v>3081</v>
      </c>
      <c r="G2394" t="s">
        <v>3082</v>
      </c>
    </row>
    <row r="2395" ht="14" customHeight="1" spans="1:7">
      <c r="A2395" s="95">
        <v>113311</v>
      </c>
      <c r="B2395">
        <v>2</v>
      </c>
      <c r="C2395">
        <v>1</v>
      </c>
      <c r="D2395">
        <v>1</v>
      </c>
      <c r="E2395">
        <v>1</v>
      </c>
      <c r="F2395" t="s">
        <v>3083</v>
      </c>
      <c r="G2395" t="s">
        <v>3084</v>
      </c>
    </row>
    <row r="2396" ht="14" customHeight="1" spans="1:7">
      <c r="A2396" s="95">
        <v>113312</v>
      </c>
      <c r="B2396">
        <v>2</v>
      </c>
      <c r="C2396">
        <v>1</v>
      </c>
      <c r="D2396">
        <v>1</v>
      </c>
      <c r="E2396">
        <v>1</v>
      </c>
      <c r="F2396" t="s">
        <v>3085</v>
      </c>
      <c r="G2396" t="s">
        <v>3086</v>
      </c>
    </row>
    <row r="2397" ht="14" customHeight="1" spans="1:7">
      <c r="A2397" s="95">
        <v>113313</v>
      </c>
      <c r="B2397">
        <v>2</v>
      </c>
      <c r="C2397">
        <v>1</v>
      </c>
      <c r="D2397">
        <v>1</v>
      </c>
      <c r="E2397">
        <v>1</v>
      </c>
      <c r="F2397" t="s">
        <v>3087</v>
      </c>
      <c r="G2397" t="s">
        <v>3088</v>
      </c>
    </row>
    <row r="2398" ht="14" customHeight="1" spans="1:7">
      <c r="A2398" s="96">
        <v>113401</v>
      </c>
      <c r="B2398">
        <v>2</v>
      </c>
      <c r="C2398">
        <v>1</v>
      </c>
      <c r="D2398">
        <v>1</v>
      </c>
      <c r="E2398">
        <v>1</v>
      </c>
      <c r="F2398" t="s">
        <v>2720</v>
      </c>
      <c r="G2398" t="s">
        <v>3089</v>
      </c>
    </row>
    <row r="2399" ht="14" customHeight="1" spans="1:7">
      <c r="A2399" s="96">
        <v>113402</v>
      </c>
      <c r="B2399">
        <v>2</v>
      </c>
      <c r="C2399">
        <v>1</v>
      </c>
      <c r="D2399">
        <v>1</v>
      </c>
      <c r="E2399">
        <v>1</v>
      </c>
      <c r="F2399" t="s">
        <v>3090</v>
      </c>
      <c r="G2399" t="s">
        <v>3091</v>
      </c>
    </row>
    <row r="2400" ht="14" customHeight="1" spans="1:7">
      <c r="A2400" s="96">
        <v>113403</v>
      </c>
      <c r="B2400">
        <v>2</v>
      </c>
      <c r="C2400">
        <v>1</v>
      </c>
      <c r="D2400">
        <v>1</v>
      </c>
      <c r="E2400">
        <v>1</v>
      </c>
      <c r="F2400" t="s">
        <v>3092</v>
      </c>
      <c r="G2400" t="s">
        <v>3093</v>
      </c>
    </row>
    <row r="2401" ht="14" customHeight="1" spans="1:7">
      <c r="A2401" s="96">
        <v>113404</v>
      </c>
      <c r="B2401">
        <v>2</v>
      </c>
      <c r="C2401">
        <v>1</v>
      </c>
      <c r="D2401">
        <v>1</v>
      </c>
      <c r="E2401">
        <v>1</v>
      </c>
      <c r="F2401" t="s">
        <v>3094</v>
      </c>
      <c r="G2401" t="s">
        <v>3095</v>
      </c>
    </row>
    <row r="2402" ht="14" customHeight="1" spans="1:7">
      <c r="A2402" s="96">
        <v>113405</v>
      </c>
      <c r="B2402">
        <v>2</v>
      </c>
      <c r="C2402">
        <v>1</v>
      </c>
      <c r="D2402">
        <v>1</v>
      </c>
      <c r="E2402">
        <v>1</v>
      </c>
      <c r="F2402" t="s">
        <v>3096</v>
      </c>
      <c r="G2402" t="s">
        <v>3097</v>
      </c>
    </row>
    <row r="2403" ht="14" customHeight="1" spans="1:7">
      <c r="A2403" s="96">
        <v>113406</v>
      </c>
      <c r="B2403">
        <v>2</v>
      </c>
      <c r="C2403">
        <v>1</v>
      </c>
      <c r="D2403">
        <v>1</v>
      </c>
      <c r="E2403">
        <v>1</v>
      </c>
      <c r="F2403" t="s">
        <v>3098</v>
      </c>
      <c r="G2403" t="s">
        <v>3099</v>
      </c>
    </row>
    <row r="2404" ht="14" customHeight="1" spans="1:7">
      <c r="A2404" s="96">
        <v>113407</v>
      </c>
      <c r="B2404">
        <v>2</v>
      </c>
      <c r="C2404">
        <v>1</v>
      </c>
      <c r="D2404">
        <v>1</v>
      </c>
      <c r="E2404">
        <v>1</v>
      </c>
      <c r="F2404" t="s">
        <v>3100</v>
      </c>
      <c r="G2404" t="s">
        <v>3101</v>
      </c>
    </row>
    <row r="2405" ht="14" customHeight="1" spans="1:7">
      <c r="A2405" s="96">
        <v>113408</v>
      </c>
      <c r="B2405">
        <v>2</v>
      </c>
      <c r="C2405">
        <v>1</v>
      </c>
      <c r="D2405">
        <v>1</v>
      </c>
      <c r="E2405">
        <v>1</v>
      </c>
      <c r="F2405" t="s">
        <v>3102</v>
      </c>
      <c r="G2405" t="s">
        <v>3103</v>
      </c>
    </row>
    <row r="2406" ht="14" customHeight="1" spans="1:7">
      <c r="A2406" s="96">
        <v>113409</v>
      </c>
      <c r="B2406">
        <v>2</v>
      </c>
      <c r="C2406">
        <v>1</v>
      </c>
      <c r="D2406">
        <v>1</v>
      </c>
      <c r="E2406">
        <v>1</v>
      </c>
      <c r="F2406" t="s">
        <v>3104</v>
      </c>
      <c r="G2406" t="s">
        <v>3105</v>
      </c>
    </row>
    <row r="2407" ht="14" customHeight="1" spans="1:7">
      <c r="A2407" s="96">
        <v>113410</v>
      </c>
      <c r="B2407">
        <v>2</v>
      </c>
      <c r="C2407">
        <v>1</v>
      </c>
      <c r="D2407">
        <v>1</v>
      </c>
      <c r="E2407">
        <v>1</v>
      </c>
      <c r="F2407" t="s">
        <v>3106</v>
      </c>
      <c r="G2407" t="s">
        <v>3107</v>
      </c>
    </row>
    <row r="2408" ht="14" customHeight="1" spans="1:7">
      <c r="A2408" s="96">
        <v>113411</v>
      </c>
      <c r="B2408">
        <v>2</v>
      </c>
      <c r="C2408">
        <v>1</v>
      </c>
      <c r="D2408">
        <v>1</v>
      </c>
      <c r="E2408">
        <v>1</v>
      </c>
      <c r="F2408" t="s">
        <v>3108</v>
      </c>
      <c r="G2408" t="s">
        <v>3109</v>
      </c>
    </row>
    <row r="2409" ht="14" customHeight="1" spans="1:7">
      <c r="A2409" s="96">
        <v>113412</v>
      </c>
      <c r="B2409">
        <v>2</v>
      </c>
      <c r="C2409">
        <v>1</v>
      </c>
      <c r="D2409">
        <v>1</v>
      </c>
      <c r="E2409">
        <v>1</v>
      </c>
      <c r="F2409" t="s">
        <v>3110</v>
      </c>
      <c r="G2409" t="s">
        <v>3111</v>
      </c>
    </row>
    <row r="2410" ht="14" customHeight="1" spans="1:7">
      <c r="A2410" s="96">
        <v>113413</v>
      </c>
      <c r="B2410">
        <v>2</v>
      </c>
      <c r="C2410">
        <v>1</v>
      </c>
      <c r="D2410">
        <v>1</v>
      </c>
      <c r="E2410">
        <v>1</v>
      </c>
      <c r="F2410" t="s">
        <v>3112</v>
      </c>
      <c r="G2410" t="s">
        <v>3113</v>
      </c>
    </row>
    <row r="2411" ht="14" customHeight="1" spans="1:7">
      <c r="A2411" s="96">
        <v>113414</v>
      </c>
      <c r="B2411">
        <v>2</v>
      </c>
      <c r="C2411">
        <v>1</v>
      </c>
      <c r="D2411">
        <v>1</v>
      </c>
      <c r="E2411">
        <v>1</v>
      </c>
      <c r="F2411" t="s">
        <v>3114</v>
      </c>
      <c r="G2411" t="s">
        <v>3115</v>
      </c>
    </row>
    <row r="2412" ht="14" customHeight="1" spans="1:7">
      <c r="A2412" s="96">
        <v>113415</v>
      </c>
      <c r="B2412">
        <v>2</v>
      </c>
      <c r="C2412">
        <v>1</v>
      </c>
      <c r="D2412">
        <v>1</v>
      </c>
      <c r="E2412">
        <v>1</v>
      </c>
      <c r="F2412" t="s">
        <v>3116</v>
      </c>
      <c r="G2412" t="s">
        <v>3117</v>
      </c>
    </row>
    <row r="2413" ht="14" customHeight="1" spans="1:7">
      <c r="A2413" s="96">
        <v>113416</v>
      </c>
      <c r="B2413">
        <v>2</v>
      </c>
      <c r="C2413">
        <v>1</v>
      </c>
      <c r="D2413">
        <v>1</v>
      </c>
      <c r="E2413">
        <v>1</v>
      </c>
      <c r="F2413" t="s">
        <v>3118</v>
      </c>
      <c r="G2413" t="s">
        <v>3119</v>
      </c>
    </row>
    <row r="2414" ht="14" customHeight="1" spans="1:7">
      <c r="A2414" s="96">
        <v>113417</v>
      </c>
      <c r="B2414">
        <v>2</v>
      </c>
      <c r="C2414">
        <v>1</v>
      </c>
      <c r="D2414">
        <v>1</v>
      </c>
      <c r="E2414">
        <v>1</v>
      </c>
      <c r="F2414" t="s">
        <v>3120</v>
      </c>
      <c r="G2414" t="s">
        <v>3121</v>
      </c>
    </row>
    <row r="2415" ht="14" customHeight="1" spans="1:7">
      <c r="A2415" s="96">
        <v>113418</v>
      </c>
      <c r="B2415">
        <v>2</v>
      </c>
      <c r="C2415">
        <v>1</v>
      </c>
      <c r="D2415">
        <v>1</v>
      </c>
      <c r="E2415">
        <v>1</v>
      </c>
      <c r="F2415" t="s">
        <v>3122</v>
      </c>
      <c r="G2415" t="s">
        <v>3123</v>
      </c>
    </row>
    <row r="2416" ht="14" customHeight="1" spans="1:7">
      <c r="A2416" s="96">
        <v>113419</v>
      </c>
      <c r="B2416">
        <v>2</v>
      </c>
      <c r="C2416">
        <v>1</v>
      </c>
      <c r="D2416">
        <v>1</v>
      </c>
      <c r="E2416">
        <v>1</v>
      </c>
      <c r="F2416" t="s">
        <v>3124</v>
      </c>
      <c r="G2416" t="s">
        <v>3125</v>
      </c>
    </row>
    <row r="2417" ht="14" customHeight="1" spans="1:7">
      <c r="A2417" s="96">
        <v>113420</v>
      </c>
      <c r="B2417">
        <v>2</v>
      </c>
      <c r="C2417">
        <v>1</v>
      </c>
      <c r="D2417">
        <v>1</v>
      </c>
      <c r="E2417">
        <v>1</v>
      </c>
      <c r="F2417" t="s">
        <v>3126</v>
      </c>
      <c r="G2417" t="s">
        <v>3127</v>
      </c>
    </row>
    <row r="2418" ht="14" customHeight="1" spans="1:7">
      <c r="A2418" s="96">
        <v>113421</v>
      </c>
      <c r="B2418">
        <v>2</v>
      </c>
      <c r="C2418">
        <v>1</v>
      </c>
      <c r="D2418">
        <v>1</v>
      </c>
      <c r="E2418">
        <v>1</v>
      </c>
      <c r="F2418" t="s">
        <v>3128</v>
      </c>
      <c r="G2418" t="s">
        <v>3129</v>
      </c>
    </row>
    <row r="2419" ht="14" customHeight="1" spans="1:7">
      <c r="A2419" s="96">
        <v>113422</v>
      </c>
      <c r="B2419">
        <v>2</v>
      </c>
      <c r="C2419">
        <v>1</v>
      </c>
      <c r="D2419">
        <v>1</v>
      </c>
      <c r="E2419">
        <v>1</v>
      </c>
      <c r="F2419" t="s">
        <v>3130</v>
      </c>
      <c r="G2419" t="s">
        <v>3131</v>
      </c>
    </row>
    <row r="2420" ht="14" customHeight="1" spans="1:7">
      <c r="A2420" s="96">
        <v>113423</v>
      </c>
      <c r="B2420">
        <v>2</v>
      </c>
      <c r="C2420">
        <v>1</v>
      </c>
      <c r="D2420">
        <v>1</v>
      </c>
      <c r="E2420">
        <v>1</v>
      </c>
      <c r="F2420" t="s">
        <v>3132</v>
      </c>
      <c r="G2420" t="s">
        <v>3133</v>
      </c>
    </row>
    <row r="2421" ht="14" customHeight="1" spans="1:7">
      <c r="A2421" s="96">
        <v>113424</v>
      </c>
      <c r="B2421">
        <v>2</v>
      </c>
      <c r="C2421">
        <v>1</v>
      </c>
      <c r="D2421">
        <v>1</v>
      </c>
      <c r="E2421">
        <v>1</v>
      </c>
      <c r="F2421" t="s">
        <v>3134</v>
      </c>
      <c r="G2421" t="s">
        <v>3135</v>
      </c>
    </row>
    <row r="2422" ht="14" customHeight="1" spans="1:7">
      <c r="A2422" s="96">
        <v>113425</v>
      </c>
      <c r="B2422">
        <v>2</v>
      </c>
      <c r="C2422">
        <v>1</v>
      </c>
      <c r="D2422">
        <v>1</v>
      </c>
      <c r="E2422">
        <v>1</v>
      </c>
      <c r="F2422" t="s">
        <v>3136</v>
      </c>
      <c r="G2422" t="s">
        <v>3137</v>
      </c>
    </row>
    <row r="2423" ht="14" customHeight="1" spans="1:7">
      <c r="A2423">
        <v>100146</v>
      </c>
      <c r="B2423">
        <v>1</v>
      </c>
      <c r="C2423">
        <v>1</v>
      </c>
      <c r="D2423">
        <v>1</v>
      </c>
      <c r="E2423">
        <v>1</v>
      </c>
      <c r="F2423" t="s">
        <v>3138</v>
      </c>
      <c r="G2423" t="s">
        <v>3139</v>
      </c>
    </row>
    <row r="2424" ht="14" customHeight="1" spans="1:7">
      <c r="A2424">
        <v>100147</v>
      </c>
      <c r="B2424">
        <v>1</v>
      </c>
      <c r="C2424">
        <v>1</v>
      </c>
      <c r="D2424">
        <v>1</v>
      </c>
      <c r="E2424">
        <v>1</v>
      </c>
      <c r="F2424" t="s">
        <v>3140</v>
      </c>
      <c r="G2424" t="s">
        <v>3141</v>
      </c>
    </row>
    <row r="2425" ht="14" customHeight="1" spans="1:7">
      <c r="A2425">
        <v>100148</v>
      </c>
      <c r="B2425">
        <v>1</v>
      </c>
      <c r="C2425">
        <v>1</v>
      </c>
      <c r="D2425">
        <v>1</v>
      </c>
      <c r="E2425">
        <v>1</v>
      </c>
      <c r="F2425" t="s">
        <v>3142</v>
      </c>
      <c r="G2425" t="s">
        <v>3143</v>
      </c>
    </row>
    <row r="2426" ht="14" customHeight="1" spans="1:7">
      <c r="A2426">
        <v>100149</v>
      </c>
      <c r="B2426">
        <v>1</v>
      </c>
      <c r="C2426">
        <v>1</v>
      </c>
      <c r="D2426">
        <v>1</v>
      </c>
      <c r="E2426">
        <v>1</v>
      </c>
      <c r="F2426" t="s">
        <v>3144</v>
      </c>
      <c r="G2426" t="s">
        <v>3145</v>
      </c>
    </row>
    <row r="2427" ht="14" customHeight="1" spans="1:7">
      <c r="A2427">
        <v>100150</v>
      </c>
      <c r="B2427">
        <v>1</v>
      </c>
      <c r="C2427">
        <v>15</v>
      </c>
      <c r="D2427">
        <v>1</v>
      </c>
      <c r="E2427">
        <v>1</v>
      </c>
      <c r="F2427" t="s">
        <v>3146</v>
      </c>
      <c r="G2427" t="s">
        <v>3147</v>
      </c>
    </row>
    <row r="2428" ht="14" customHeight="1" spans="1:7">
      <c r="A2428">
        <v>34000</v>
      </c>
      <c r="B2428">
        <v>1</v>
      </c>
      <c r="C2428">
        <v>1</v>
      </c>
      <c r="D2428">
        <v>1</v>
      </c>
      <c r="E2428">
        <v>1</v>
      </c>
      <c r="F2428" t="s">
        <v>710</v>
      </c>
      <c r="G2428" t="s">
        <v>3148</v>
      </c>
    </row>
    <row r="2429" ht="14" customHeight="1" spans="1:7">
      <c r="A2429">
        <v>34001</v>
      </c>
      <c r="B2429">
        <v>1</v>
      </c>
      <c r="C2429">
        <v>1</v>
      </c>
      <c r="D2429">
        <v>1</v>
      </c>
      <c r="E2429">
        <v>1</v>
      </c>
      <c r="F2429" t="s">
        <v>708</v>
      </c>
      <c r="G2429" t="s">
        <v>3149</v>
      </c>
    </row>
    <row r="2430" ht="14" customHeight="1" spans="1:7">
      <c r="A2430">
        <v>34002</v>
      </c>
      <c r="B2430">
        <v>1</v>
      </c>
      <c r="C2430">
        <v>1</v>
      </c>
      <c r="D2430">
        <v>1</v>
      </c>
      <c r="E2430">
        <v>1</v>
      </c>
      <c r="F2430" t="s">
        <v>709</v>
      </c>
      <c r="G2430" t="s">
        <v>3150</v>
      </c>
    </row>
    <row r="2431" ht="14" customHeight="1" spans="1:7">
      <c r="A2431">
        <v>34003</v>
      </c>
      <c r="B2431">
        <v>1</v>
      </c>
      <c r="C2431">
        <v>1</v>
      </c>
      <c r="D2431">
        <v>1</v>
      </c>
      <c r="E2431">
        <v>1</v>
      </c>
      <c r="F2431" t="s">
        <v>711</v>
      </c>
      <c r="G2431" t="s">
        <v>3151</v>
      </c>
    </row>
    <row r="2432" ht="14" customHeight="1" spans="1:7">
      <c r="A2432">
        <v>34004</v>
      </c>
      <c r="B2432">
        <v>1</v>
      </c>
      <c r="C2432">
        <v>1</v>
      </c>
      <c r="D2432">
        <v>1</v>
      </c>
      <c r="E2432">
        <v>1</v>
      </c>
      <c r="F2432" t="s">
        <v>712</v>
      </c>
      <c r="G2432" t="s">
        <v>3152</v>
      </c>
    </row>
    <row r="2433" ht="14" customHeight="1" spans="1:7">
      <c r="A2433">
        <v>34005</v>
      </c>
      <c r="B2433">
        <v>1</v>
      </c>
      <c r="C2433">
        <v>1</v>
      </c>
      <c r="D2433">
        <v>1</v>
      </c>
      <c r="E2433">
        <v>1</v>
      </c>
      <c r="F2433" t="s">
        <v>713</v>
      </c>
      <c r="G2433" t="s">
        <v>3153</v>
      </c>
    </row>
    <row r="2434" ht="14" customHeight="1" spans="1:7">
      <c r="A2434">
        <v>34006</v>
      </c>
      <c r="B2434">
        <v>1</v>
      </c>
      <c r="C2434">
        <v>1</v>
      </c>
      <c r="D2434">
        <v>1</v>
      </c>
      <c r="E2434">
        <v>1</v>
      </c>
      <c r="F2434" t="s">
        <v>714</v>
      </c>
      <c r="G2434" t="s">
        <v>3154</v>
      </c>
    </row>
    <row r="2435" ht="14" customHeight="1" spans="1:7">
      <c r="A2435">
        <v>34007</v>
      </c>
      <c r="B2435">
        <v>1</v>
      </c>
      <c r="C2435">
        <v>1</v>
      </c>
      <c r="D2435">
        <v>1</v>
      </c>
      <c r="E2435">
        <v>1</v>
      </c>
      <c r="F2435" t="s">
        <v>715</v>
      </c>
      <c r="G2435" t="s">
        <v>3155</v>
      </c>
    </row>
    <row r="2436" ht="14" customHeight="1" spans="1:7">
      <c r="A2436">
        <v>34008</v>
      </c>
      <c r="B2436">
        <v>1</v>
      </c>
      <c r="C2436">
        <v>1</v>
      </c>
      <c r="D2436">
        <v>1</v>
      </c>
      <c r="E2436">
        <v>1</v>
      </c>
      <c r="F2436" t="s">
        <v>716</v>
      </c>
      <c r="G2436" t="s">
        <v>3156</v>
      </c>
    </row>
    <row r="2437" ht="14" customHeight="1" spans="1:7">
      <c r="A2437">
        <v>34009</v>
      </c>
      <c r="B2437">
        <v>1</v>
      </c>
      <c r="C2437">
        <v>1</v>
      </c>
      <c r="D2437">
        <v>1</v>
      </c>
      <c r="E2437">
        <v>1</v>
      </c>
      <c r="F2437" t="s">
        <v>717</v>
      </c>
      <c r="G2437" t="s">
        <v>3157</v>
      </c>
    </row>
    <row r="2438" ht="14" customHeight="1" spans="1:7">
      <c r="A2438">
        <v>34010</v>
      </c>
      <c r="B2438">
        <v>1</v>
      </c>
      <c r="C2438">
        <v>1</v>
      </c>
      <c r="D2438">
        <v>1</v>
      </c>
      <c r="E2438">
        <v>1</v>
      </c>
      <c r="F2438" t="s">
        <v>3158</v>
      </c>
      <c r="G2438" t="s">
        <v>3159</v>
      </c>
    </row>
    <row r="2439" ht="14" customHeight="1" spans="1:7">
      <c r="A2439">
        <v>34011</v>
      </c>
      <c r="B2439">
        <v>1</v>
      </c>
      <c r="C2439">
        <v>1</v>
      </c>
      <c r="D2439">
        <v>1</v>
      </c>
      <c r="E2439">
        <v>1</v>
      </c>
      <c r="F2439" t="s">
        <v>3160</v>
      </c>
      <c r="G2439" t="s">
        <v>3161</v>
      </c>
    </row>
    <row r="2440" ht="14" customHeight="1" spans="1:7">
      <c r="A2440">
        <v>34012</v>
      </c>
      <c r="B2440">
        <v>1</v>
      </c>
      <c r="C2440">
        <v>1</v>
      </c>
      <c r="D2440">
        <v>1</v>
      </c>
      <c r="E2440">
        <v>1</v>
      </c>
      <c r="F2440" t="s">
        <v>3162</v>
      </c>
      <c r="G2440" t="s">
        <v>3163</v>
      </c>
    </row>
    <row r="2441" ht="14" customHeight="1" spans="1:7">
      <c r="A2441">
        <v>34013</v>
      </c>
      <c r="B2441">
        <v>1</v>
      </c>
      <c r="C2441">
        <v>1</v>
      </c>
      <c r="D2441">
        <v>1</v>
      </c>
      <c r="E2441">
        <v>1</v>
      </c>
      <c r="F2441" t="s">
        <v>3164</v>
      </c>
      <c r="G2441" t="s">
        <v>3165</v>
      </c>
    </row>
    <row r="2442" ht="14" customHeight="1" spans="1:7">
      <c r="A2442">
        <v>34014</v>
      </c>
      <c r="B2442">
        <v>1</v>
      </c>
      <c r="C2442">
        <v>1</v>
      </c>
      <c r="D2442">
        <v>1</v>
      </c>
      <c r="E2442">
        <v>1</v>
      </c>
      <c r="F2442" t="s">
        <v>3166</v>
      </c>
      <c r="G2442" t="s">
        <v>3167</v>
      </c>
    </row>
    <row r="2443" ht="14" customHeight="1" spans="1:7">
      <c r="A2443">
        <v>34015</v>
      </c>
      <c r="B2443">
        <v>1</v>
      </c>
      <c r="C2443">
        <v>1</v>
      </c>
      <c r="D2443">
        <v>1</v>
      </c>
      <c r="E2443">
        <v>1</v>
      </c>
      <c r="F2443" t="s">
        <v>3168</v>
      </c>
      <c r="G2443" t="s">
        <v>3169</v>
      </c>
    </row>
    <row r="2444" ht="14" customHeight="1" spans="1:7">
      <c r="A2444">
        <v>34016</v>
      </c>
      <c r="B2444">
        <v>1</v>
      </c>
      <c r="C2444">
        <v>1</v>
      </c>
      <c r="D2444">
        <v>1</v>
      </c>
      <c r="E2444">
        <v>1</v>
      </c>
      <c r="F2444" t="s">
        <v>3170</v>
      </c>
      <c r="G2444" t="s">
        <v>3171</v>
      </c>
    </row>
    <row r="2445" ht="14" customHeight="1" spans="1:7">
      <c r="A2445">
        <v>34017</v>
      </c>
      <c r="B2445">
        <v>1</v>
      </c>
      <c r="C2445">
        <v>1</v>
      </c>
      <c r="D2445">
        <v>1</v>
      </c>
      <c r="E2445">
        <v>1</v>
      </c>
      <c r="F2445" t="s">
        <v>3172</v>
      </c>
      <c r="G2445" t="s">
        <v>3173</v>
      </c>
    </row>
    <row r="2446" ht="14" customHeight="1" spans="1:7">
      <c r="A2446">
        <v>34018</v>
      </c>
      <c r="B2446">
        <v>1</v>
      </c>
      <c r="C2446">
        <v>1</v>
      </c>
      <c r="D2446">
        <v>1</v>
      </c>
      <c r="E2446">
        <v>1</v>
      </c>
      <c r="F2446" t="s">
        <v>3174</v>
      </c>
      <c r="G2446" t="s">
        <v>3175</v>
      </c>
    </row>
    <row r="2447" ht="14" customHeight="1" spans="1:7">
      <c r="A2447">
        <v>34019</v>
      </c>
      <c r="B2447">
        <v>1</v>
      </c>
      <c r="C2447">
        <v>1</v>
      </c>
      <c r="D2447">
        <v>1</v>
      </c>
      <c r="E2447">
        <v>1</v>
      </c>
      <c r="F2447" t="s">
        <v>3176</v>
      </c>
      <c r="G2447" t="s">
        <v>3177</v>
      </c>
    </row>
    <row r="2448" ht="14" customHeight="1" spans="1:7">
      <c r="A2448">
        <v>34020</v>
      </c>
      <c r="B2448">
        <v>1</v>
      </c>
      <c r="C2448">
        <v>1</v>
      </c>
      <c r="D2448">
        <v>1</v>
      </c>
      <c r="E2448">
        <v>1</v>
      </c>
      <c r="F2448" t="s">
        <v>3178</v>
      </c>
      <c r="G2448" t="s">
        <v>3179</v>
      </c>
    </row>
    <row r="2449" ht="14" customHeight="1" spans="1:7">
      <c r="A2449">
        <v>34021</v>
      </c>
      <c r="B2449">
        <v>1</v>
      </c>
      <c r="C2449">
        <v>1</v>
      </c>
      <c r="D2449">
        <v>1</v>
      </c>
      <c r="E2449">
        <v>1</v>
      </c>
      <c r="F2449" t="s">
        <v>3180</v>
      </c>
      <c r="G2449" t="s">
        <v>3181</v>
      </c>
    </row>
    <row r="2450" ht="14" customHeight="1" spans="1:7">
      <c r="A2450">
        <v>34022</v>
      </c>
      <c r="B2450">
        <v>1</v>
      </c>
      <c r="C2450">
        <v>1</v>
      </c>
      <c r="D2450">
        <v>1</v>
      </c>
      <c r="E2450">
        <v>1</v>
      </c>
      <c r="F2450" t="s">
        <v>3182</v>
      </c>
      <c r="G2450" t="s">
        <v>3183</v>
      </c>
    </row>
    <row r="2451" ht="14" customHeight="1" spans="1:7">
      <c r="A2451">
        <v>34023</v>
      </c>
      <c r="B2451">
        <v>1</v>
      </c>
      <c r="C2451">
        <v>1</v>
      </c>
      <c r="D2451">
        <v>1</v>
      </c>
      <c r="E2451">
        <v>1</v>
      </c>
      <c r="F2451" t="s">
        <v>1452</v>
      </c>
      <c r="G2451" t="s">
        <v>3184</v>
      </c>
    </row>
    <row r="2452" ht="14" customHeight="1" spans="1:7">
      <c r="A2452">
        <v>34024</v>
      </c>
      <c r="B2452">
        <v>1</v>
      </c>
      <c r="C2452">
        <v>1</v>
      </c>
      <c r="D2452">
        <v>1</v>
      </c>
      <c r="E2452">
        <v>1</v>
      </c>
      <c r="F2452" t="s">
        <v>1455</v>
      </c>
      <c r="G2452" t="s">
        <v>3185</v>
      </c>
    </row>
    <row r="2453" ht="14" customHeight="1" spans="1:7">
      <c r="A2453">
        <v>34025</v>
      </c>
      <c r="B2453">
        <v>1</v>
      </c>
      <c r="C2453">
        <v>1</v>
      </c>
      <c r="D2453">
        <v>1</v>
      </c>
      <c r="E2453">
        <v>1</v>
      </c>
      <c r="F2453" t="s">
        <v>1454</v>
      </c>
      <c r="G2453" t="s">
        <v>3186</v>
      </c>
    </row>
    <row r="2454" ht="14" customHeight="1" spans="1:7">
      <c r="A2454">
        <v>34026</v>
      </c>
      <c r="B2454">
        <v>1</v>
      </c>
      <c r="C2454">
        <v>1</v>
      </c>
      <c r="D2454">
        <v>1</v>
      </c>
      <c r="E2454">
        <v>1</v>
      </c>
      <c r="F2454" t="s">
        <v>583</v>
      </c>
      <c r="G2454" t="s">
        <v>3187</v>
      </c>
    </row>
    <row r="2455" ht="14" customHeight="1" spans="1:7">
      <c r="A2455">
        <v>34027</v>
      </c>
      <c r="B2455">
        <v>1</v>
      </c>
      <c r="C2455">
        <v>1</v>
      </c>
      <c r="D2455">
        <v>1</v>
      </c>
      <c r="E2455">
        <v>1</v>
      </c>
      <c r="F2455" t="s">
        <v>1456</v>
      </c>
      <c r="G2455" t="s">
        <v>3188</v>
      </c>
    </row>
    <row r="2456" ht="14" customHeight="1" spans="1:7">
      <c r="A2456">
        <v>34028</v>
      </c>
      <c r="B2456">
        <v>1</v>
      </c>
      <c r="C2456">
        <v>1</v>
      </c>
      <c r="D2456">
        <v>1</v>
      </c>
      <c r="E2456">
        <v>1</v>
      </c>
      <c r="F2456" t="s">
        <v>1459</v>
      </c>
      <c r="G2456" t="s">
        <v>3189</v>
      </c>
    </row>
    <row r="2457" ht="14" customHeight="1" spans="1:7">
      <c r="A2457">
        <v>34029</v>
      </c>
      <c r="B2457">
        <v>1</v>
      </c>
      <c r="C2457">
        <v>1</v>
      </c>
      <c r="D2457">
        <v>1</v>
      </c>
      <c r="E2457">
        <v>1</v>
      </c>
      <c r="F2457" t="s">
        <v>1458</v>
      </c>
      <c r="G2457" t="s">
        <v>3190</v>
      </c>
    </row>
    <row r="2458" ht="14" customHeight="1" spans="1:7">
      <c r="A2458">
        <v>34030</v>
      </c>
      <c r="B2458">
        <v>1</v>
      </c>
      <c r="C2458">
        <v>1</v>
      </c>
      <c r="D2458">
        <v>1</v>
      </c>
      <c r="E2458">
        <v>1</v>
      </c>
      <c r="F2458" t="s">
        <v>1457</v>
      </c>
      <c r="G2458" t="s">
        <v>3191</v>
      </c>
    </row>
    <row r="2459" ht="14" customHeight="1" spans="1:7">
      <c r="A2459">
        <v>34031</v>
      </c>
      <c r="B2459">
        <v>1</v>
      </c>
      <c r="C2459">
        <v>1</v>
      </c>
      <c r="D2459">
        <v>1</v>
      </c>
      <c r="E2459">
        <v>1</v>
      </c>
      <c r="F2459" t="s">
        <v>3192</v>
      </c>
      <c r="G2459" t="s">
        <v>3193</v>
      </c>
    </row>
    <row r="2460" ht="14" customHeight="1" spans="1:7">
      <c r="A2460">
        <v>34032</v>
      </c>
      <c r="B2460">
        <v>1</v>
      </c>
      <c r="C2460">
        <v>1</v>
      </c>
      <c r="D2460">
        <v>1</v>
      </c>
      <c r="E2460">
        <v>1</v>
      </c>
      <c r="F2460" t="s">
        <v>3194</v>
      </c>
      <c r="G2460" t="s">
        <v>3195</v>
      </c>
    </row>
    <row r="2461" ht="14" customHeight="1" spans="1:7">
      <c r="A2461">
        <v>34033</v>
      </c>
      <c r="B2461">
        <v>1</v>
      </c>
      <c r="C2461">
        <v>1</v>
      </c>
      <c r="D2461">
        <v>1</v>
      </c>
      <c r="E2461">
        <v>1</v>
      </c>
      <c r="F2461" t="s">
        <v>3196</v>
      </c>
      <c r="G2461" t="s">
        <v>3197</v>
      </c>
    </row>
    <row r="2462" ht="14" customHeight="1" spans="1:7">
      <c r="A2462">
        <v>34034</v>
      </c>
      <c r="B2462">
        <v>1</v>
      </c>
      <c r="C2462">
        <v>1</v>
      </c>
      <c r="D2462">
        <v>1</v>
      </c>
      <c r="E2462">
        <v>1</v>
      </c>
      <c r="F2462" t="s">
        <v>3198</v>
      </c>
      <c r="G2462" t="s">
        <v>3199</v>
      </c>
    </row>
    <row r="2463" ht="14" customHeight="1" spans="1:7">
      <c r="A2463">
        <v>34035</v>
      </c>
      <c r="B2463">
        <v>1</v>
      </c>
      <c r="C2463">
        <v>1</v>
      </c>
      <c r="D2463">
        <v>1</v>
      </c>
      <c r="E2463">
        <v>1</v>
      </c>
      <c r="F2463" t="s">
        <v>3200</v>
      </c>
      <c r="G2463" t="s">
        <v>3201</v>
      </c>
    </row>
    <row r="2464" ht="14" customHeight="1" spans="1:7">
      <c r="A2464">
        <v>34036</v>
      </c>
      <c r="B2464">
        <v>1</v>
      </c>
      <c r="C2464">
        <v>1</v>
      </c>
      <c r="D2464">
        <v>1</v>
      </c>
      <c r="E2464">
        <v>1</v>
      </c>
      <c r="F2464" t="s">
        <v>3202</v>
      </c>
      <c r="G2464" t="s">
        <v>3203</v>
      </c>
    </row>
    <row r="2465" ht="14" customHeight="1" spans="1:7">
      <c r="A2465">
        <v>34037</v>
      </c>
      <c r="B2465">
        <v>1</v>
      </c>
      <c r="C2465">
        <v>1</v>
      </c>
      <c r="D2465">
        <v>1</v>
      </c>
      <c r="E2465">
        <v>1</v>
      </c>
      <c r="F2465" t="s">
        <v>705</v>
      </c>
      <c r="G2465" t="s">
        <v>3204</v>
      </c>
    </row>
    <row r="2466" ht="14" customHeight="1" spans="1:7">
      <c r="A2466">
        <v>34038</v>
      </c>
      <c r="B2466">
        <v>1</v>
      </c>
      <c r="C2466">
        <v>1</v>
      </c>
      <c r="D2466">
        <v>1</v>
      </c>
      <c r="E2466">
        <v>1</v>
      </c>
      <c r="F2466" t="s">
        <v>3205</v>
      </c>
      <c r="G2466" t="s">
        <v>3206</v>
      </c>
    </row>
    <row r="2467" ht="14" customHeight="1" spans="1:7">
      <c r="A2467">
        <v>34039</v>
      </c>
      <c r="B2467">
        <v>1</v>
      </c>
      <c r="C2467">
        <v>1</v>
      </c>
      <c r="D2467">
        <v>1</v>
      </c>
      <c r="E2467">
        <v>1</v>
      </c>
      <c r="F2467" t="s">
        <v>707</v>
      </c>
      <c r="G2467" t="s">
        <v>2603</v>
      </c>
    </row>
    <row r="2468" ht="14" customHeight="1" spans="1:7">
      <c r="A2468">
        <v>34040</v>
      </c>
      <c r="B2468">
        <v>1</v>
      </c>
      <c r="C2468">
        <v>1</v>
      </c>
      <c r="D2468">
        <v>1</v>
      </c>
      <c r="E2468">
        <v>1</v>
      </c>
      <c r="F2468" t="s">
        <v>3207</v>
      </c>
      <c r="G2468" t="s">
        <v>3208</v>
      </c>
    </row>
    <row r="2469" ht="14" customHeight="1" spans="1:7">
      <c r="A2469">
        <v>34041</v>
      </c>
      <c r="B2469">
        <v>1</v>
      </c>
      <c r="C2469">
        <v>1</v>
      </c>
      <c r="D2469">
        <v>1</v>
      </c>
      <c r="E2469">
        <v>1</v>
      </c>
      <c r="F2469" t="s">
        <v>3209</v>
      </c>
      <c r="G2469" t="s">
        <v>3210</v>
      </c>
    </row>
    <row r="2470" ht="14" customHeight="1" spans="1:7">
      <c r="A2470">
        <v>120101</v>
      </c>
      <c r="B2470">
        <v>2</v>
      </c>
      <c r="C2470">
        <v>1</v>
      </c>
      <c r="D2470">
        <v>1</v>
      </c>
      <c r="E2470">
        <v>1</v>
      </c>
      <c r="F2470" t="s">
        <v>3211</v>
      </c>
      <c r="G2470" t="s">
        <v>3212</v>
      </c>
    </row>
    <row r="2471" ht="14" customHeight="1" spans="1:7">
      <c r="A2471">
        <v>120102</v>
      </c>
      <c r="B2471">
        <v>2</v>
      </c>
      <c r="C2471">
        <v>1</v>
      </c>
      <c r="D2471">
        <v>1</v>
      </c>
      <c r="E2471">
        <v>1</v>
      </c>
      <c r="F2471" t="s">
        <v>3213</v>
      </c>
      <c r="G2471" t="s">
        <v>3214</v>
      </c>
    </row>
    <row r="2472" ht="14" customHeight="1" spans="1:7">
      <c r="A2472">
        <v>120103</v>
      </c>
      <c r="B2472">
        <v>2</v>
      </c>
      <c r="C2472">
        <v>1</v>
      </c>
      <c r="D2472">
        <v>1</v>
      </c>
      <c r="E2472">
        <v>1</v>
      </c>
      <c r="F2472" t="s">
        <v>3215</v>
      </c>
      <c r="G2472" t="s">
        <v>3216</v>
      </c>
    </row>
    <row r="2473" ht="14" customHeight="1" spans="1:7">
      <c r="A2473">
        <v>120104</v>
      </c>
      <c r="B2473">
        <v>2</v>
      </c>
      <c r="C2473">
        <v>1</v>
      </c>
      <c r="D2473">
        <v>1</v>
      </c>
      <c r="E2473">
        <v>1</v>
      </c>
      <c r="F2473" t="s">
        <v>3217</v>
      </c>
      <c r="G2473" t="s">
        <v>3218</v>
      </c>
    </row>
    <row r="2474" ht="14" customHeight="1" spans="1:7">
      <c r="A2474">
        <v>120105</v>
      </c>
      <c r="B2474">
        <v>2</v>
      </c>
      <c r="C2474">
        <v>1</v>
      </c>
      <c r="D2474">
        <v>1</v>
      </c>
      <c r="E2474">
        <v>1</v>
      </c>
      <c r="F2474" t="s">
        <v>3219</v>
      </c>
      <c r="G2474" t="s">
        <v>3220</v>
      </c>
    </row>
    <row r="2475" ht="14" customHeight="1" spans="1:7">
      <c r="A2475">
        <v>80000</v>
      </c>
      <c r="B2475">
        <v>1</v>
      </c>
      <c r="C2475">
        <v>1</v>
      </c>
      <c r="D2475">
        <v>1</v>
      </c>
      <c r="E2475">
        <v>1</v>
      </c>
      <c r="F2475" t="s">
        <v>3221</v>
      </c>
      <c r="G2475" t="s">
        <v>3222</v>
      </c>
    </row>
    <row r="2476" ht="14" customHeight="1" spans="1:7">
      <c r="A2476">
        <v>80001</v>
      </c>
      <c r="B2476">
        <v>1</v>
      </c>
      <c r="C2476">
        <v>1</v>
      </c>
      <c r="D2476">
        <v>1</v>
      </c>
      <c r="E2476">
        <v>1</v>
      </c>
      <c r="F2476" t="s">
        <v>3223</v>
      </c>
      <c r="G2476" t="s">
        <v>3224</v>
      </c>
    </row>
    <row r="2477" ht="14" customHeight="1" spans="1:7">
      <c r="A2477">
        <v>80002</v>
      </c>
      <c r="B2477">
        <v>1</v>
      </c>
      <c r="C2477">
        <v>1</v>
      </c>
      <c r="D2477">
        <v>1</v>
      </c>
      <c r="E2477">
        <v>1</v>
      </c>
      <c r="F2477" t="s">
        <v>3225</v>
      </c>
      <c r="G2477" t="s">
        <v>3226</v>
      </c>
    </row>
    <row r="2478" ht="14" customHeight="1" spans="1:7">
      <c r="A2478">
        <v>80003</v>
      </c>
      <c r="B2478">
        <v>1</v>
      </c>
      <c r="C2478">
        <v>1</v>
      </c>
      <c r="D2478">
        <v>1</v>
      </c>
      <c r="E2478">
        <v>1</v>
      </c>
      <c r="F2478" t="s">
        <v>2025</v>
      </c>
      <c r="G2478" t="s">
        <v>3227</v>
      </c>
    </row>
    <row r="2479" ht="14" customHeight="1" spans="1:7">
      <c r="A2479">
        <v>80004</v>
      </c>
      <c r="B2479">
        <v>1</v>
      </c>
      <c r="C2479">
        <v>1</v>
      </c>
      <c r="D2479">
        <v>1</v>
      </c>
      <c r="E2479">
        <v>1</v>
      </c>
      <c r="F2479" t="s">
        <v>2027</v>
      </c>
      <c r="G2479" t="s">
        <v>3228</v>
      </c>
    </row>
    <row r="2480" ht="14" customHeight="1" spans="1:7">
      <c r="A2480">
        <v>80005</v>
      </c>
      <c r="B2480">
        <v>1</v>
      </c>
      <c r="C2480">
        <v>1</v>
      </c>
      <c r="D2480">
        <v>1</v>
      </c>
      <c r="E2480">
        <v>1</v>
      </c>
      <c r="F2480" t="s">
        <v>3229</v>
      </c>
      <c r="G2480" t="s">
        <v>3230</v>
      </c>
    </row>
    <row r="2481" ht="14" customHeight="1" spans="1:7">
      <c r="A2481">
        <v>80006</v>
      </c>
      <c r="B2481">
        <v>1</v>
      </c>
      <c r="C2481">
        <v>1</v>
      </c>
      <c r="D2481">
        <v>1</v>
      </c>
      <c r="E2481">
        <v>1</v>
      </c>
      <c r="F2481" t="s">
        <v>3231</v>
      </c>
      <c r="G2481" t="s">
        <v>3232</v>
      </c>
    </row>
    <row r="2482" ht="14" customHeight="1" spans="1:7">
      <c r="A2482">
        <v>80007</v>
      </c>
      <c r="B2482">
        <v>2</v>
      </c>
      <c r="C2482">
        <v>2</v>
      </c>
      <c r="D2482">
        <v>1</v>
      </c>
      <c r="E2482">
        <v>100</v>
      </c>
      <c r="F2482" t="s">
        <v>3233</v>
      </c>
      <c r="G2482" t="s">
        <v>3234</v>
      </c>
    </row>
    <row r="2483" ht="14" customHeight="1" spans="1:7">
      <c r="A2483">
        <v>80008</v>
      </c>
      <c r="B2483">
        <v>2</v>
      </c>
      <c r="C2483">
        <v>2</v>
      </c>
      <c r="D2483">
        <v>1</v>
      </c>
      <c r="E2483">
        <v>100</v>
      </c>
      <c r="F2483" t="s">
        <v>3235</v>
      </c>
      <c r="G2483" t="s">
        <v>3236</v>
      </c>
    </row>
    <row r="2484" ht="14" customHeight="1" spans="1:7">
      <c r="A2484">
        <v>80009</v>
      </c>
      <c r="B2484">
        <v>2</v>
      </c>
      <c r="C2484">
        <v>2</v>
      </c>
      <c r="D2484">
        <v>1</v>
      </c>
      <c r="E2484">
        <v>100</v>
      </c>
      <c r="F2484" t="s">
        <v>3237</v>
      </c>
      <c r="G2484" t="s">
        <v>3238</v>
      </c>
    </row>
    <row r="2485" ht="14" customHeight="1" spans="1:7">
      <c r="A2485">
        <v>80010</v>
      </c>
      <c r="B2485">
        <v>1</v>
      </c>
      <c r="C2485">
        <v>2</v>
      </c>
      <c r="D2485">
        <v>1</v>
      </c>
      <c r="E2485">
        <v>100</v>
      </c>
      <c r="F2485" t="s">
        <v>3239</v>
      </c>
      <c r="G2485" t="s">
        <v>3240</v>
      </c>
    </row>
    <row r="2486" ht="14" customHeight="1" spans="1:7">
      <c r="A2486">
        <v>80011</v>
      </c>
      <c r="B2486">
        <v>1</v>
      </c>
      <c r="C2486">
        <v>2</v>
      </c>
      <c r="D2486">
        <v>1</v>
      </c>
      <c r="E2486">
        <v>100</v>
      </c>
      <c r="F2486" t="s">
        <v>3241</v>
      </c>
      <c r="G2486" t="s">
        <v>3242</v>
      </c>
    </row>
    <row r="2487" ht="14" customHeight="1" spans="1:7">
      <c r="A2487">
        <v>80012</v>
      </c>
      <c r="B2487">
        <v>1</v>
      </c>
      <c r="C2487">
        <v>2</v>
      </c>
      <c r="D2487">
        <v>1</v>
      </c>
      <c r="E2487">
        <v>100</v>
      </c>
      <c r="F2487" t="s">
        <v>3243</v>
      </c>
      <c r="G2487" t="s">
        <v>3244</v>
      </c>
    </row>
    <row r="2488" ht="14" customHeight="1" spans="1:7">
      <c r="A2488">
        <v>80013</v>
      </c>
      <c r="B2488">
        <v>1</v>
      </c>
      <c r="C2488">
        <v>10</v>
      </c>
      <c r="D2488">
        <v>1</v>
      </c>
      <c r="E2488">
        <v>100</v>
      </c>
      <c r="F2488" t="s">
        <v>3245</v>
      </c>
      <c r="G2488" t="s">
        <v>3246</v>
      </c>
    </row>
    <row r="2489" ht="14" customHeight="1" spans="1:7">
      <c r="A2489">
        <v>80014</v>
      </c>
      <c r="B2489">
        <v>1</v>
      </c>
      <c r="C2489">
        <v>10</v>
      </c>
      <c r="D2489">
        <v>1</v>
      </c>
      <c r="E2489">
        <v>100</v>
      </c>
      <c r="F2489" t="s">
        <v>3247</v>
      </c>
      <c r="G2489" t="s">
        <v>3248</v>
      </c>
    </row>
    <row r="2490" ht="14" customHeight="1" spans="1:7">
      <c r="A2490">
        <v>80015</v>
      </c>
      <c r="B2490">
        <v>1</v>
      </c>
      <c r="C2490">
        <v>10</v>
      </c>
      <c r="D2490">
        <v>1</v>
      </c>
      <c r="E2490">
        <v>100</v>
      </c>
      <c r="F2490" t="s">
        <v>3249</v>
      </c>
      <c r="G2490" t="s">
        <v>3250</v>
      </c>
    </row>
    <row r="2491" ht="14" customHeight="1" spans="1:7">
      <c r="A2491">
        <v>80016</v>
      </c>
      <c r="B2491">
        <v>1</v>
      </c>
      <c r="C2491">
        <v>1</v>
      </c>
      <c r="D2491">
        <v>1</v>
      </c>
      <c r="E2491">
        <v>1</v>
      </c>
      <c r="F2491" t="s">
        <v>3251</v>
      </c>
      <c r="G2491" t="s">
        <v>3252</v>
      </c>
    </row>
    <row r="2492" ht="14" customHeight="1" spans="1:7">
      <c r="A2492">
        <v>80017</v>
      </c>
      <c r="B2492">
        <v>1</v>
      </c>
      <c r="C2492">
        <v>1</v>
      </c>
      <c r="D2492">
        <v>1</v>
      </c>
      <c r="E2492">
        <v>1</v>
      </c>
      <c r="F2492" t="s">
        <v>3253</v>
      </c>
      <c r="G2492" t="s">
        <v>3254</v>
      </c>
    </row>
    <row r="2493" ht="14" customHeight="1" spans="1:7">
      <c r="A2493">
        <v>80018</v>
      </c>
      <c r="B2493">
        <v>1</v>
      </c>
      <c r="C2493">
        <v>1</v>
      </c>
      <c r="D2493">
        <v>1</v>
      </c>
      <c r="E2493">
        <v>1</v>
      </c>
      <c r="F2493" t="s">
        <v>3255</v>
      </c>
      <c r="G2493" t="s">
        <v>3256</v>
      </c>
    </row>
    <row r="2494" ht="14" customHeight="1" spans="1:7">
      <c r="A2494">
        <v>80019</v>
      </c>
      <c r="B2494">
        <v>1</v>
      </c>
      <c r="C2494">
        <v>1</v>
      </c>
      <c r="D2494">
        <v>1</v>
      </c>
      <c r="E2494">
        <v>1</v>
      </c>
      <c r="F2494" t="s">
        <v>3257</v>
      </c>
      <c r="G2494" t="s">
        <v>3258</v>
      </c>
    </row>
    <row r="2495" ht="14" customHeight="1" spans="1:7">
      <c r="A2495">
        <v>80020</v>
      </c>
      <c r="B2495">
        <v>1</v>
      </c>
      <c r="C2495">
        <v>1</v>
      </c>
      <c r="D2495">
        <v>1</v>
      </c>
      <c r="E2495">
        <v>1</v>
      </c>
      <c r="F2495" t="s">
        <v>3259</v>
      </c>
      <c r="G2495" t="s">
        <v>3260</v>
      </c>
    </row>
    <row r="2496" ht="14" customHeight="1" spans="1:7">
      <c r="A2496">
        <v>80021</v>
      </c>
      <c r="B2496">
        <v>1</v>
      </c>
      <c r="C2496">
        <v>1</v>
      </c>
      <c r="D2496">
        <v>1</v>
      </c>
      <c r="E2496">
        <v>1</v>
      </c>
      <c r="F2496" t="s">
        <v>3261</v>
      </c>
      <c r="G2496" t="s">
        <v>3262</v>
      </c>
    </row>
    <row r="2497" ht="14" customHeight="1" spans="1:7">
      <c r="A2497">
        <v>80022</v>
      </c>
      <c r="B2497">
        <v>1</v>
      </c>
      <c r="C2497">
        <v>1</v>
      </c>
      <c r="D2497">
        <v>1</v>
      </c>
      <c r="E2497">
        <v>1</v>
      </c>
      <c r="F2497" t="s">
        <v>3263</v>
      </c>
      <c r="G2497" t="s">
        <v>3264</v>
      </c>
    </row>
    <row r="2498" ht="14" customHeight="1" spans="1:7">
      <c r="A2498">
        <v>80023</v>
      </c>
      <c r="B2498">
        <v>1</v>
      </c>
      <c r="C2498">
        <v>1</v>
      </c>
      <c r="D2498">
        <v>1</v>
      </c>
      <c r="E2498">
        <v>1</v>
      </c>
      <c r="F2498" t="s">
        <v>3265</v>
      </c>
      <c r="G2498" t="s">
        <v>3266</v>
      </c>
    </row>
    <row r="2499" ht="14" customHeight="1" spans="1:7">
      <c r="A2499">
        <v>80024</v>
      </c>
      <c r="B2499">
        <v>2</v>
      </c>
      <c r="C2499">
        <v>10</v>
      </c>
      <c r="D2499">
        <v>1</v>
      </c>
      <c r="E2499">
        <v>100</v>
      </c>
      <c r="F2499" t="s">
        <v>3267</v>
      </c>
      <c r="G2499" t="s">
        <v>3268</v>
      </c>
    </row>
    <row r="2500" ht="14" customHeight="1" spans="1:7">
      <c r="A2500">
        <v>80025</v>
      </c>
      <c r="B2500">
        <v>2</v>
      </c>
      <c r="C2500">
        <v>10</v>
      </c>
      <c r="D2500">
        <v>1</v>
      </c>
      <c r="E2500">
        <v>100</v>
      </c>
      <c r="F2500" t="s">
        <v>3269</v>
      </c>
      <c r="G2500" t="s">
        <v>3270</v>
      </c>
    </row>
    <row r="2501" ht="14" customHeight="1" spans="1:7">
      <c r="A2501">
        <v>80026</v>
      </c>
      <c r="B2501">
        <v>2</v>
      </c>
      <c r="C2501">
        <v>10</v>
      </c>
      <c r="D2501">
        <v>1</v>
      </c>
      <c r="E2501">
        <v>100</v>
      </c>
      <c r="F2501" t="s">
        <v>3271</v>
      </c>
      <c r="G2501" t="s">
        <v>3272</v>
      </c>
    </row>
    <row r="2502" ht="14" customHeight="1" spans="1:7">
      <c r="A2502">
        <v>80027</v>
      </c>
      <c r="B2502">
        <v>1</v>
      </c>
      <c r="C2502">
        <v>2</v>
      </c>
      <c r="D2502">
        <v>1</v>
      </c>
      <c r="E2502">
        <v>100</v>
      </c>
      <c r="F2502" t="s">
        <v>3273</v>
      </c>
      <c r="G2502" t="s">
        <v>3274</v>
      </c>
    </row>
    <row r="2503" ht="14" customHeight="1" spans="1:7">
      <c r="A2503">
        <v>80028</v>
      </c>
      <c r="B2503">
        <v>1</v>
      </c>
      <c r="C2503">
        <v>2</v>
      </c>
      <c r="D2503">
        <v>1</v>
      </c>
      <c r="E2503">
        <v>100</v>
      </c>
      <c r="F2503" t="s">
        <v>3275</v>
      </c>
      <c r="G2503" t="s">
        <v>3276</v>
      </c>
    </row>
    <row r="2504" ht="14" customHeight="1" spans="1:7">
      <c r="A2504">
        <v>80029</v>
      </c>
      <c r="B2504">
        <v>1</v>
      </c>
      <c r="C2504">
        <v>2</v>
      </c>
      <c r="D2504">
        <v>1</v>
      </c>
      <c r="E2504">
        <v>100</v>
      </c>
      <c r="F2504" t="s">
        <v>3241</v>
      </c>
      <c r="G2504" t="s">
        <v>3277</v>
      </c>
    </row>
    <row r="2505" ht="14" customHeight="1" spans="1:7">
      <c r="A2505">
        <v>80030</v>
      </c>
      <c r="B2505">
        <v>1</v>
      </c>
      <c r="C2505">
        <v>2</v>
      </c>
      <c r="D2505">
        <v>1</v>
      </c>
      <c r="E2505">
        <v>100</v>
      </c>
      <c r="F2505" t="s">
        <v>3278</v>
      </c>
      <c r="G2505" t="s">
        <v>3279</v>
      </c>
    </row>
    <row r="2506" ht="14" customHeight="1" spans="1:7">
      <c r="A2506">
        <v>80031</v>
      </c>
      <c r="B2506">
        <v>1</v>
      </c>
      <c r="C2506">
        <v>2</v>
      </c>
      <c r="D2506">
        <v>1</v>
      </c>
      <c r="E2506">
        <v>100</v>
      </c>
      <c r="F2506" t="s">
        <v>3280</v>
      </c>
      <c r="G2506" t="s">
        <v>3281</v>
      </c>
    </row>
    <row r="2507" ht="14" customHeight="1" spans="1:7">
      <c r="A2507">
        <v>80032</v>
      </c>
      <c r="B2507">
        <v>1</v>
      </c>
      <c r="C2507">
        <v>10</v>
      </c>
      <c r="D2507">
        <v>1</v>
      </c>
      <c r="E2507">
        <v>100</v>
      </c>
      <c r="F2507" t="s">
        <v>3282</v>
      </c>
      <c r="G2507" t="s">
        <v>3283</v>
      </c>
    </row>
    <row r="2508" ht="14" customHeight="1" spans="1:7">
      <c r="A2508">
        <v>80033</v>
      </c>
      <c r="B2508">
        <v>1</v>
      </c>
      <c r="C2508">
        <v>10</v>
      </c>
      <c r="D2508">
        <v>1</v>
      </c>
      <c r="E2508">
        <v>100</v>
      </c>
      <c r="F2508" t="s">
        <v>3284</v>
      </c>
      <c r="G2508" t="s">
        <v>3285</v>
      </c>
    </row>
    <row r="2509" ht="14" customHeight="1" spans="1:7">
      <c r="A2509">
        <v>80034</v>
      </c>
      <c r="B2509">
        <v>1</v>
      </c>
      <c r="C2509">
        <v>10</v>
      </c>
      <c r="D2509">
        <v>1</v>
      </c>
      <c r="E2509">
        <v>100</v>
      </c>
      <c r="F2509" t="s">
        <v>3286</v>
      </c>
      <c r="G2509" t="s">
        <v>3287</v>
      </c>
    </row>
    <row r="2510" ht="14" customHeight="1" spans="1:7">
      <c r="A2510" s="97">
        <v>80035</v>
      </c>
      <c r="B2510" s="97">
        <v>1</v>
      </c>
      <c r="C2510" s="97">
        <v>10</v>
      </c>
      <c r="D2510" s="97">
        <v>1</v>
      </c>
      <c r="E2510" s="97">
        <v>100</v>
      </c>
      <c r="F2510" s="97" t="s">
        <v>3288</v>
      </c>
      <c r="G2510" s="97" t="s">
        <v>3289</v>
      </c>
    </row>
    <row r="2511" ht="14" customHeight="1" spans="1:7">
      <c r="A2511">
        <v>80036</v>
      </c>
      <c r="B2511">
        <v>1</v>
      </c>
      <c r="C2511">
        <v>10</v>
      </c>
      <c r="D2511">
        <v>1</v>
      </c>
      <c r="E2511">
        <v>100</v>
      </c>
      <c r="F2511" t="s">
        <v>3290</v>
      </c>
      <c r="G2511" t="s">
        <v>3291</v>
      </c>
    </row>
    <row r="2512" ht="14" customHeight="1" spans="1:7">
      <c r="A2512">
        <v>80037</v>
      </c>
      <c r="B2512">
        <v>1</v>
      </c>
      <c r="C2512">
        <v>1</v>
      </c>
      <c r="D2512">
        <v>1</v>
      </c>
      <c r="E2512">
        <v>1</v>
      </c>
      <c r="F2512" t="s">
        <v>3292</v>
      </c>
      <c r="G2512" t="s">
        <v>3293</v>
      </c>
    </row>
    <row r="2513" ht="14" customHeight="1" spans="1:7">
      <c r="A2513">
        <v>80038</v>
      </c>
      <c r="B2513">
        <v>2</v>
      </c>
      <c r="C2513">
        <v>10</v>
      </c>
      <c r="D2513">
        <v>1</v>
      </c>
      <c r="E2513">
        <v>100</v>
      </c>
      <c r="F2513" t="s">
        <v>3294</v>
      </c>
      <c r="G2513" t="s">
        <v>3295</v>
      </c>
    </row>
    <row r="2514" ht="14" customHeight="1" spans="1:7">
      <c r="A2514" s="97">
        <v>80039</v>
      </c>
      <c r="B2514" s="97">
        <v>2</v>
      </c>
      <c r="C2514" s="97">
        <v>10</v>
      </c>
      <c r="D2514" s="97">
        <v>1</v>
      </c>
      <c r="E2514" s="97">
        <v>100</v>
      </c>
      <c r="F2514" s="97" t="s">
        <v>3296</v>
      </c>
      <c r="G2514" s="97" t="s">
        <v>3297</v>
      </c>
    </row>
    <row r="2515" ht="14" customHeight="1" spans="1:7">
      <c r="A2515">
        <v>80040</v>
      </c>
      <c r="B2515">
        <v>2</v>
      </c>
      <c r="C2515">
        <v>10</v>
      </c>
      <c r="D2515">
        <v>1</v>
      </c>
      <c r="E2515">
        <v>100</v>
      </c>
      <c r="F2515" t="s">
        <v>3298</v>
      </c>
      <c r="G2515" t="s">
        <v>3299</v>
      </c>
    </row>
    <row r="2516" ht="14" customHeight="1" spans="1:7">
      <c r="A2516">
        <v>80041</v>
      </c>
      <c r="B2516">
        <v>2</v>
      </c>
      <c r="C2516">
        <v>10</v>
      </c>
      <c r="D2516">
        <v>1</v>
      </c>
      <c r="E2516">
        <v>100</v>
      </c>
      <c r="F2516" t="s">
        <v>3300</v>
      </c>
      <c r="G2516" t="s">
        <v>3301</v>
      </c>
    </row>
    <row r="2517" ht="14" customHeight="1" spans="1:7">
      <c r="A2517">
        <v>80042</v>
      </c>
      <c r="B2517">
        <v>2</v>
      </c>
      <c r="C2517">
        <v>10</v>
      </c>
      <c r="D2517">
        <v>1</v>
      </c>
      <c r="E2517">
        <v>100</v>
      </c>
      <c r="F2517" t="s">
        <v>3302</v>
      </c>
      <c r="G2517" t="s">
        <v>3303</v>
      </c>
    </row>
    <row r="2518" ht="14" customHeight="1" spans="1:7">
      <c r="A2518">
        <v>80043</v>
      </c>
      <c r="B2518">
        <v>1</v>
      </c>
      <c r="C2518">
        <v>1</v>
      </c>
      <c r="D2518">
        <v>1</v>
      </c>
      <c r="E2518">
        <v>1</v>
      </c>
      <c r="F2518" t="s">
        <v>3304</v>
      </c>
      <c r="G2518" t="s">
        <v>3305</v>
      </c>
    </row>
    <row r="2519" ht="14" customHeight="1" spans="1:7">
      <c r="A2519">
        <v>80044</v>
      </c>
      <c r="B2519">
        <v>1</v>
      </c>
      <c r="C2519">
        <v>1</v>
      </c>
      <c r="D2519">
        <v>1</v>
      </c>
      <c r="E2519">
        <v>1</v>
      </c>
      <c r="F2519" t="s">
        <v>3306</v>
      </c>
      <c r="G2519" t="s">
        <v>3307</v>
      </c>
    </row>
    <row r="2520" ht="14" customHeight="1" spans="1:7">
      <c r="A2520">
        <v>80045</v>
      </c>
      <c r="B2520">
        <v>1</v>
      </c>
      <c r="C2520">
        <v>1</v>
      </c>
      <c r="D2520">
        <v>1</v>
      </c>
      <c r="E2520">
        <v>1</v>
      </c>
      <c r="F2520" t="s">
        <v>3308</v>
      </c>
      <c r="G2520" t="s">
        <v>3309</v>
      </c>
    </row>
    <row r="2521" ht="14" customHeight="1" spans="1:7">
      <c r="A2521" s="98">
        <v>80046</v>
      </c>
      <c r="B2521" s="44">
        <v>1</v>
      </c>
      <c r="C2521" s="44">
        <v>2</v>
      </c>
      <c r="D2521" s="44">
        <v>1</v>
      </c>
      <c r="E2521" s="44">
        <v>1</v>
      </c>
      <c r="F2521" s="87" t="s">
        <v>3310</v>
      </c>
      <c r="G2521" s="44" t="s">
        <v>3311</v>
      </c>
    </row>
    <row r="2522" ht="14" customHeight="1" spans="1:7">
      <c r="A2522" s="98">
        <v>80047</v>
      </c>
      <c r="B2522" s="44">
        <v>2</v>
      </c>
      <c r="C2522" s="44">
        <v>2</v>
      </c>
      <c r="D2522" s="44">
        <v>1</v>
      </c>
      <c r="E2522" s="44">
        <v>1</v>
      </c>
      <c r="F2522" s="44" t="s">
        <v>3312</v>
      </c>
      <c r="G2522" s="44" t="s">
        <v>3313</v>
      </c>
    </row>
    <row r="2523" ht="14" customHeight="1" spans="1:7">
      <c r="A2523" s="44">
        <v>80048</v>
      </c>
      <c r="B2523" s="44">
        <v>1</v>
      </c>
      <c r="C2523" s="44">
        <v>1</v>
      </c>
      <c r="D2523" s="44">
        <v>1</v>
      </c>
      <c r="E2523" s="44">
        <v>1</v>
      </c>
      <c r="F2523" s="44" t="s">
        <v>3314</v>
      </c>
      <c r="G2523" s="44" t="s">
        <v>3315</v>
      </c>
    </row>
    <row r="2524" ht="14" customHeight="1" spans="1:7">
      <c r="A2524" s="44">
        <v>80049</v>
      </c>
      <c r="B2524" s="44">
        <v>1</v>
      </c>
      <c r="C2524" s="44">
        <v>1</v>
      </c>
      <c r="D2524" s="44">
        <v>1</v>
      </c>
      <c r="E2524" s="44">
        <v>1</v>
      </c>
      <c r="F2524" s="44" t="s">
        <v>3316</v>
      </c>
      <c r="G2524" s="44" t="s">
        <v>3317</v>
      </c>
    </row>
    <row r="2525" ht="14" customHeight="1" spans="1:7">
      <c r="A2525" s="98">
        <v>80050</v>
      </c>
      <c r="B2525" s="44">
        <v>2</v>
      </c>
      <c r="C2525" s="44">
        <v>2</v>
      </c>
      <c r="D2525" s="44">
        <v>1</v>
      </c>
      <c r="E2525" s="44">
        <v>1</v>
      </c>
      <c r="F2525" s="44" t="s">
        <v>3318</v>
      </c>
      <c r="G2525" s="44" t="s">
        <v>3319</v>
      </c>
    </row>
    <row r="2526" ht="14" customHeight="1" spans="1:7">
      <c r="A2526" s="44">
        <v>80051</v>
      </c>
      <c r="B2526" s="44">
        <v>1</v>
      </c>
      <c r="C2526" s="44">
        <v>2</v>
      </c>
      <c r="D2526" s="44">
        <v>1</v>
      </c>
      <c r="E2526" s="44">
        <v>1</v>
      </c>
      <c r="F2526" s="44" t="s">
        <v>3314</v>
      </c>
      <c r="G2526" s="44" t="s">
        <v>3320</v>
      </c>
    </row>
    <row r="2527" ht="14" customHeight="1" spans="1:7">
      <c r="A2527" s="44">
        <v>80052</v>
      </c>
      <c r="B2527" s="44">
        <v>1</v>
      </c>
      <c r="C2527" s="44">
        <v>1</v>
      </c>
      <c r="D2527" s="44">
        <v>1</v>
      </c>
      <c r="E2527" s="44">
        <v>1</v>
      </c>
      <c r="F2527" s="44" t="s">
        <v>3321</v>
      </c>
      <c r="G2527" s="44" t="s">
        <v>3322</v>
      </c>
    </row>
    <row r="2528" ht="14" customHeight="1" spans="1:7">
      <c r="A2528" s="98">
        <v>80053</v>
      </c>
      <c r="B2528" s="44">
        <v>2</v>
      </c>
      <c r="C2528" s="44">
        <v>2</v>
      </c>
      <c r="D2528" s="44">
        <v>1</v>
      </c>
      <c r="E2528" s="44">
        <v>1</v>
      </c>
      <c r="F2528" s="44" t="s">
        <v>3323</v>
      </c>
      <c r="G2528" s="44" t="s">
        <v>3324</v>
      </c>
    </row>
    <row r="2529" ht="14" customHeight="1" spans="1:7">
      <c r="A2529" s="44">
        <v>80054</v>
      </c>
      <c r="B2529" s="44">
        <v>1</v>
      </c>
      <c r="C2529" s="44">
        <v>2</v>
      </c>
      <c r="D2529" s="44">
        <v>1</v>
      </c>
      <c r="E2529" s="44">
        <v>1</v>
      </c>
      <c r="F2529" s="44" t="s">
        <v>3325</v>
      </c>
      <c r="G2529" s="44" t="s">
        <v>3326</v>
      </c>
    </row>
    <row r="2530" ht="14" customHeight="1" spans="1:7">
      <c r="A2530" s="44">
        <v>80055</v>
      </c>
      <c r="B2530" s="44">
        <v>1</v>
      </c>
      <c r="C2530" s="44">
        <v>1</v>
      </c>
      <c r="D2530" s="44">
        <v>1</v>
      </c>
      <c r="E2530" s="44">
        <v>1</v>
      </c>
      <c r="F2530" s="44" t="s">
        <v>3327</v>
      </c>
      <c r="G2530" s="44" t="s">
        <v>3328</v>
      </c>
    </row>
    <row r="2531" ht="14" customHeight="1" spans="1:7">
      <c r="A2531" s="98">
        <v>80056</v>
      </c>
      <c r="B2531" s="44">
        <v>2</v>
      </c>
      <c r="C2531" s="44">
        <v>2</v>
      </c>
      <c r="D2531" s="44">
        <v>1</v>
      </c>
      <c r="E2531" s="44">
        <v>1</v>
      </c>
      <c r="F2531" s="44" t="s">
        <v>3329</v>
      </c>
      <c r="G2531" s="44" t="s">
        <v>3330</v>
      </c>
    </row>
    <row r="2532" ht="14" customHeight="1" spans="1:7">
      <c r="A2532" s="44">
        <v>80057</v>
      </c>
      <c r="B2532" s="44">
        <v>1</v>
      </c>
      <c r="C2532" s="44">
        <v>3</v>
      </c>
      <c r="D2532" s="44">
        <v>1</v>
      </c>
      <c r="E2532" s="44">
        <v>1</v>
      </c>
      <c r="F2532" s="44" t="s">
        <v>3325</v>
      </c>
      <c r="G2532" s="44" t="s">
        <v>3331</v>
      </c>
    </row>
    <row r="2533" ht="14" customHeight="1" spans="1:7">
      <c r="A2533" s="44">
        <v>80058</v>
      </c>
      <c r="B2533" s="44">
        <v>1</v>
      </c>
      <c r="C2533" s="44">
        <v>1</v>
      </c>
      <c r="D2533" s="44">
        <v>1</v>
      </c>
      <c r="E2533" s="44">
        <v>1</v>
      </c>
      <c r="F2533" s="44" t="s">
        <v>3332</v>
      </c>
      <c r="G2533" s="44" t="s">
        <v>3333</v>
      </c>
    </row>
    <row r="2534" ht="14" customHeight="1" spans="1:7">
      <c r="A2534" s="98">
        <v>80059</v>
      </c>
      <c r="B2534" s="44">
        <v>1</v>
      </c>
      <c r="C2534" s="44">
        <v>2</v>
      </c>
      <c r="D2534" s="44">
        <v>1</v>
      </c>
      <c r="E2534" s="44">
        <v>1</v>
      </c>
      <c r="F2534" s="44" t="s">
        <v>3334</v>
      </c>
      <c r="G2534" s="44" t="s">
        <v>3335</v>
      </c>
    </row>
    <row r="2535" ht="14" customHeight="1" spans="1:7">
      <c r="A2535" s="47">
        <v>81001</v>
      </c>
      <c r="B2535">
        <v>1</v>
      </c>
      <c r="C2535">
        <v>1</v>
      </c>
      <c r="D2535">
        <v>1</v>
      </c>
      <c r="E2535">
        <v>1</v>
      </c>
      <c r="F2535" t="s">
        <v>3336</v>
      </c>
      <c r="G2535" t="s">
        <v>3337</v>
      </c>
    </row>
    <row r="2536" ht="14" customHeight="1" spans="1:7">
      <c r="A2536" s="47">
        <v>81002</v>
      </c>
      <c r="B2536">
        <v>1</v>
      </c>
      <c r="C2536">
        <v>1</v>
      </c>
      <c r="D2536">
        <v>1</v>
      </c>
      <c r="E2536">
        <v>1</v>
      </c>
      <c r="F2536" t="s">
        <v>3338</v>
      </c>
      <c r="G2536" t="s">
        <v>3339</v>
      </c>
    </row>
    <row r="2537" ht="14" customHeight="1" spans="1:7">
      <c r="A2537" s="47">
        <v>81003</v>
      </c>
      <c r="B2537">
        <v>1</v>
      </c>
      <c r="C2537">
        <v>1</v>
      </c>
      <c r="D2537">
        <v>1</v>
      </c>
      <c r="E2537">
        <v>1</v>
      </c>
      <c r="F2537" t="s">
        <v>3340</v>
      </c>
      <c r="G2537" t="s">
        <v>3341</v>
      </c>
    </row>
    <row r="2538" ht="14" customHeight="1" spans="1:7">
      <c r="A2538" s="47">
        <v>81004</v>
      </c>
      <c r="B2538">
        <v>1</v>
      </c>
      <c r="C2538">
        <v>1</v>
      </c>
      <c r="D2538">
        <v>1</v>
      </c>
      <c r="E2538">
        <v>1</v>
      </c>
      <c r="F2538" t="s">
        <v>3342</v>
      </c>
      <c r="G2538" t="s">
        <v>3343</v>
      </c>
    </row>
    <row r="2539" ht="14" customHeight="1" spans="1:7">
      <c r="A2539" s="47">
        <v>81005</v>
      </c>
      <c r="B2539">
        <v>1</v>
      </c>
      <c r="C2539">
        <v>1</v>
      </c>
      <c r="D2539">
        <v>1</v>
      </c>
      <c r="E2539">
        <v>1</v>
      </c>
      <c r="F2539" t="s">
        <v>3344</v>
      </c>
      <c r="G2539" t="s">
        <v>3345</v>
      </c>
    </row>
    <row r="2540" ht="14" customHeight="1" spans="1:7">
      <c r="A2540" s="47">
        <v>81006</v>
      </c>
      <c r="B2540">
        <v>1</v>
      </c>
      <c r="C2540">
        <v>1</v>
      </c>
      <c r="D2540">
        <v>1</v>
      </c>
      <c r="E2540">
        <v>1</v>
      </c>
      <c r="F2540" t="s">
        <v>3346</v>
      </c>
      <c r="G2540" t="s">
        <v>3347</v>
      </c>
    </row>
    <row r="2541" ht="14" customHeight="1" spans="1:7">
      <c r="A2541" s="47">
        <v>81007</v>
      </c>
      <c r="B2541">
        <v>1</v>
      </c>
      <c r="C2541">
        <v>1</v>
      </c>
      <c r="D2541">
        <v>1</v>
      </c>
      <c r="E2541">
        <v>1</v>
      </c>
      <c r="F2541" t="s">
        <v>3348</v>
      </c>
      <c r="G2541" t="s">
        <v>3349</v>
      </c>
    </row>
    <row r="2542" ht="14" customHeight="1" spans="1:7">
      <c r="A2542" s="47">
        <v>81008</v>
      </c>
      <c r="B2542">
        <v>1</v>
      </c>
      <c r="C2542">
        <v>1</v>
      </c>
      <c r="D2542">
        <v>1</v>
      </c>
      <c r="E2542">
        <v>1</v>
      </c>
      <c r="F2542" t="s">
        <v>3350</v>
      </c>
      <c r="G2542" t="s">
        <v>3351</v>
      </c>
    </row>
    <row r="2543" ht="14" customHeight="1" spans="1:7">
      <c r="A2543" s="47">
        <v>81101</v>
      </c>
      <c r="B2543">
        <v>1</v>
      </c>
      <c r="C2543">
        <v>1</v>
      </c>
      <c r="D2543">
        <v>1</v>
      </c>
      <c r="E2543">
        <v>1</v>
      </c>
      <c r="F2543" t="s">
        <v>3352</v>
      </c>
      <c r="G2543" t="s">
        <v>3353</v>
      </c>
    </row>
    <row r="2544" ht="14" customHeight="1" spans="1:7">
      <c r="A2544" s="47">
        <v>81102</v>
      </c>
      <c r="B2544">
        <v>1</v>
      </c>
      <c r="C2544">
        <v>1</v>
      </c>
      <c r="D2544">
        <v>1</v>
      </c>
      <c r="E2544">
        <v>1</v>
      </c>
      <c r="F2544" t="s">
        <v>3354</v>
      </c>
      <c r="G2544" t="s">
        <v>3355</v>
      </c>
    </row>
    <row r="2545" ht="14" customHeight="1" spans="1:7">
      <c r="A2545" s="47">
        <v>81103</v>
      </c>
      <c r="B2545">
        <v>1</v>
      </c>
      <c r="C2545">
        <v>1</v>
      </c>
      <c r="D2545">
        <v>1</v>
      </c>
      <c r="E2545">
        <v>1</v>
      </c>
      <c r="F2545" t="s">
        <v>3356</v>
      </c>
      <c r="G2545" t="s">
        <v>3357</v>
      </c>
    </row>
    <row r="2546" ht="14" customHeight="1" spans="1:7">
      <c r="A2546" s="47">
        <v>81104</v>
      </c>
      <c r="B2546">
        <v>1</v>
      </c>
      <c r="C2546">
        <v>1</v>
      </c>
      <c r="D2546">
        <v>1</v>
      </c>
      <c r="E2546">
        <v>1</v>
      </c>
      <c r="F2546" t="s">
        <v>3358</v>
      </c>
      <c r="G2546" t="s">
        <v>3359</v>
      </c>
    </row>
    <row r="2547" ht="14" customHeight="1" spans="1:7">
      <c r="A2547" s="47">
        <v>81105</v>
      </c>
      <c r="B2547">
        <v>1</v>
      </c>
      <c r="C2547">
        <v>1</v>
      </c>
      <c r="D2547">
        <v>1</v>
      </c>
      <c r="E2547">
        <v>1</v>
      </c>
      <c r="F2547" t="s">
        <v>3360</v>
      </c>
      <c r="G2547" t="s">
        <v>3361</v>
      </c>
    </row>
    <row r="2548" ht="14" customHeight="1" spans="1:7">
      <c r="A2548" s="47">
        <v>81106</v>
      </c>
      <c r="B2548">
        <v>1</v>
      </c>
      <c r="C2548">
        <v>1</v>
      </c>
      <c r="D2548">
        <v>1</v>
      </c>
      <c r="E2548">
        <v>1</v>
      </c>
      <c r="F2548" t="s">
        <v>3362</v>
      </c>
      <c r="G2548" t="s">
        <v>3363</v>
      </c>
    </row>
    <row r="2549" ht="14" customHeight="1" spans="1:7">
      <c r="A2549" s="47">
        <v>81107</v>
      </c>
      <c r="B2549">
        <v>1</v>
      </c>
      <c r="C2549">
        <v>1</v>
      </c>
      <c r="D2549">
        <v>1</v>
      </c>
      <c r="E2549">
        <v>1</v>
      </c>
      <c r="F2549" t="s">
        <v>3364</v>
      </c>
      <c r="G2549" t="s">
        <v>3365</v>
      </c>
    </row>
    <row r="2550" ht="14" customHeight="1" spans="1:7">
      <c r="A2550" s="47">
        <v>81108</v>
      </c>
      <c r="B2550">
        <v>1</v>
      </c>
      <c r="C2550">
        <v>1</v>
      </c>
      <c r="D2550">
        <v>1</v>
      </c>
      <c r="E2550">
        <v>1</v>
      </c>
      <c r="F2550" t="s">
        <v>3366</v>
      </c>
      <c r="G2550" t="s">
        <v>3367</v>
      </c>
    </row>
    <row r="2551" ht="14" customHeight="1" spans="1:7">
      <c r="A2551">
        <v>100151</v>
      </c>
      <c r="B2551">
        <v>1</v>
      </c>
      <c r="C2551">
        <v>1</v>
      </c>
      <c r="D2551">
        <v>1</v>
      </c>
      <c r="E2551">
        <v>1</v>
      </c>
      <c r="F2551" t="s">
        <v>3368</v>
      </c>
      <c r="G2551" t="s">
        <v>3369</v>
      </c>
    </row>
    <row r="2552" ht="14" customHeight="1" spans="1:7">
      <c r="A2552">
        <v>100152</v>
      </c>
      <c r="B2552">
        <v>1</v>
      </c>
      <c r="C2552">
        <v>1</v>
      </c>
      <c r="D2552">
        <v>1</v>
      </c>
      <c r="E2552">
        <v>1</v>
      </c>
      <c r="F2552" t="s">
        <v>3370</v>
      </c>
      <c r="G2552" t="s">
        <v>3371</v>
      </c>
    </row>
    <row r="2553" ht="14" customHeight="1" spans="1:7">
      <c r="A2553">
        <v>100153</v>
      </c>
      <c r="B2553">
        <v>1</v>
      </c>
      <c r="C2553">
        <v>1</v>
      </c>
      <c r="D2553">
        <v>1</v>
      </c>
      <c r="E2553">
        <v>1</v>
      </c>
      <c r="F2553" t="s">
        <v>3372</v>
      </c>
      <c r="G2553" t="s">
        <v>3373</v>
      </c>
    </row>
    <row r="2554" ht="14" customHeight="1" spans="1:7">
      <c r="A2554">
        <v>100154</v>
      </c>
      <c r="B2554">
        <v>1</v>
      </c>
      <c r="C2554">
        <v>1</v>
      </c>
      <c r="D2554">
        <v>1</v>
      </c>
      <c r="E2554">
        <v>1</v>
      </c>
      <c r="F2554" t="s">
        <v>3374</v>
      </c>
      <c r="G2554" t="s">
        <v>3375</v>
      </c>
    </row>
    <row r="2555" ht="14" customHeight="1" spans="1:7">
      <c r="A2555">
        <v>100155</v>
      </c>
      <c r="B2555">
        <v>1</v>
      </c>
      <c r="C2555">
        <v>1</v>
      </c>
      <c r="D2555">
        <v>1</v>
      </c>
      <c r="E2555">
        <v>1</v>
      </c>
      <c r="F2555" t="s">
        <v>2519</v>
      </c>
      <c r="G2555" t="s">
        <v>3375</v>
      </c>
    </row>
    <row r="2556" ht="14" customHeight="1" spans="1:7">
      <c r="A2556">
        <v>100156</v>
      </c>
      <c r="B2556">
        <v>1</v>
      </c>
      <c r="C2556">
        <v>1</v>
      </c>
      <c r="D2556">
        <v>1</v>
      </c>
      <c r="E2556">
        <v>1</v>
      </c>
      <c r="F2556" t="s">
        <v>3376</v>
      </c>
      <c r="G2556" t="s">
        <v>3375</v>
      </c>
    </row>
    <row r="2557" ht="14" customHeight="1" spans="1:7">
      <c r="A2557">
        <v>100157</v>
      </c>
      <c r="B2557">
        <v>1</v>
      </c>
      <c r="C2557">
        <v>1</v>
      </c>
      <c r="D2557">
        <v>1</v>
      </c>
      <c r="E2557">
        <v>1</v>
      </c>
      <c r="F2557" t="s">
        <v>3377</v>
      </c>
      <c r="G2557" t="s">
        <v>3378</v>
      </c>
    </row>
    <row r="2558" ht="14" customHeight="1" spans="1:7">
      <c r="A2558">
        <v>100158</v>
      </c>
      <c r="B2558">
        <v>1</v>
      </c>
      <c r="C2558">
        <v>1</v>
      </c>
      <c r="D2558">
        <v>1</v>
      </c>
      <c r="E2558">
        <v>1</v>
      </c>
      <c r="F2558" t="s">
        <v>2518</v>
      </c>
      <c r="G2558" t="s">
        <v>3378</v>
      </c>
    </row>
    <row r="2559" ht="14" customHeight="1" spans="1:7">
      <c r="A2559">
        <v>100159</v>
      </c>
      <c r="B2559">
        <v>1</v>
      </c>
      <c r="C2559">
        <v>1</v>
      </c>
      <c r="D2559">
        <v>1</v>
      </c>
      <c r="E2559">
        <v>1</v>
      </c>
      <c r="F2559" t="s">
        <v>3379</v>
      </c>
      <c r="G2559" t="s">
        <v>3378</v>
      </c>
    </row>
    <row r="2560" ht="14" customHeight="1" spans="1:7">
      <c r="A2560">
        <v>100160</v>
      </c>
      <c r="B2560">
        <v>1</v>
      </c>
      <c r="C2560">
        <v>1</v>
      </c>
      <c r="D2560">
        <v>1</v>
      </c>
      <c r="E2560">
        <v>1</v>
      </c>
      <c r="F2560" t="s">
        <v>3380</v>
      </c>
      <c r="G2560" t="s">
        <v>3381</v>
      </c>
    </row>
    <row r="2561" ht="14" customHeight="1" spans="1:7">
      <c r="A2561">
        <v>100161</v>
      </c>
      <c r="B2561">
        <v>1</v>
      </c>
      <c r="C2561">
        <v>1</v>
      </c>
      <c r="D2561">
        <v>1</v>
      </c>
      <c r="E2561">
        <v>1</v>
      </c>
      <c r="F2561" t="s">
        <v>2516</v>
      </c>
      <c r="G2561" t="s">
        <v>3381</v>
      </c>
    </row>
    <row r="2562" ht="14" customHeight="1" spans="1:7">
      <c r="A2562">
        <v>100162</v>
      </c>
      <c r="B2562">
        <v>1</v>
      </c>
      <c r="C2562">
        <v>1</v>
      </c>
      <c r="D2562">
        <v>1</v>
      </c>
      <c r="E2562">
        <v>1</v>
      </c>
      <c r="F2562" t="s">
        <v>3382</v>
      </c>
      <c r="G2562" t="s">
        <v>3381</v>
      </c>
    </row>
    <row r="2563" ht="14" customHeight="1" spans="1:7">
      <c r="A2563">
        <v>100163</v>
      </c>
      <c r="B2563">
        <v>1</v>
      </c>
      <c r="C2563">
        <v>3</v>
      </c>
      <c r="D2563">
        <v>1</v>
      </c>
      <c r="E2563">
        <v>1</v>
      </c>
      <c r="F2563" t="s">
        <v>3383</v>
      </c>
      <c r="G2563" t="s">
        <v>3384</v>
      </c>
    </row>
    <row r="2564" ht="14" customHeight="1" spans="1:7">
      <c r="A2564">
        <v>100164</v>
      </c>
      <c r="B2564">
        <v>1</v>
      </c>
      <c r="C2564">
        <v>3</v>
      </c>
      <c r="D2564">
        <v>1</v>
      </c>
      <c r="E2564">
        <v>1</v>
      </c>
      <c r="F2564" t="s">
        <v>3385</v>
      </c>
      <c r="G2564" t="s">
        <v>3384</v>
      </c>
    </row>
    <row r="2565" ht="14" customHeight="1" spans="1:7">
      <c r="A2565">
        <v>100165</v>
      </c>
      <c r="B2565">
        <v>1</v>
      </c>
      <c r="C2565">
        <v>3</v>
      </c>
      <c r="D2565">
        <v>1</v>
      </c>
      <c r="E2565">
        <v>1</v>
      </c>
      <c r="F2565" t="s">
        <v>3386</v>
      </c>
      <c r="G2565" t="s">
        <v>3384</v>
      </c>
    </row>
    <row r="2566" ht="14" customHeight="1" spans="1:7">
      <c r="A2566">
        <v>100166</v>
      </c>
      <c r="B2566">
        <v>1</v>
      </c>
      <c r="C2566">
        <v>3</v>
      </c>
      <c r="D2566">
        <v>1</v>
      </c>
      <c r="E2566">
        <v>1</v>
      </c>
      <c r="F2566" t="s">
        <v>3387</v>
      </c>
      <c r="G2566" t="s">
        <v>3388</v>
      </c>
    </row>
    <row r="2567" ht="14" customHeight="1" spans="1:7">
      <c r="A2567">
        <v>100167</v>
      </c>
      <c r="B2567">
        <v>1</v>
      </c>
      <c r="C2567">
        <v>3</v>
      </c>
      <c r="D2567">
        <v>1</v>
      </c>
      <c r="E2567">
        <v>1</v>
      </c>
      <c r="F2567" t="s">
        <v>3389</v>
      </c>
      <c r="G2567" t="s">
        <v>3388</v>
      </c>
    </row>
    <row r="2568" ht="14" customHeight="1" spans="1:7">
      <c r="A2568">
        <v>100168</v>
      </c>
      <c r="B2568">
        <v>1</v>
      </c>
      <c r="C2568">
        <v>3</v>
      </c>
      <c r="D2568">
        <v>1</v>
      </c>
      <c r="E2568">
        <v>1</v>
      </c>
      <c r="F2568" t="s">
        <v>3390</v>
      </c>
      <c r="G2568" t="s">
        <v>3388</v>
      </c>
    </row>
    <row r="2569" ht="14" customHeight="1" spans="1:7">
      <c r="A2569">
        <v>100169</v>
      </c>
      <c r="B2569">
        <v>1</v>
      </c>
      <c r="C2569">
        <v>3</v>
      </c>
      <c r="D2569">
        <v>1</v>
      </c>
      <c r="E2569">
        <v>1</v>
      </c>
      <c r="F2569" t="s">
        <v>3391</v>
      </c>
      <c r="G2569" t="s">
        <v>3392</v>
      </c>
    </row>
    <row r="2570" ht="14" customHeight="1" spans="1:7">
      <c r="A2570">
        <v>100170</v>
      </c>
      <c r="B2570">
        <v>1</v>
      </c>
      <c r="C2570">
        <v>3</v>
      </c>
      <c r="D2570">
        <v>1</v>
      </c>
      <c r="E2570">
        <v>1</v>
      </c>
      <c r="F2570" t="s">
        <v>3393</v>
      </c>
      <c r="G2570" t="s">
        <v>3392</v>
      </c>
    </row>
    <row r="2571" ht="14" customHeight="1" spans="1:7">
      <c r="A2571">
        <v>100171</v>
      </c>
      <c r="B2571">
        <v>1</v>
      </c>
      <c r="C2571">
        <v>1</v>
      </c>
      <c r="D2571">
        <v>1</v>
      </c>
      <c r="E2571">
        <v>1</v>
      </c>
      <c r="F2571" t="s">
        <v>3394</v>
      </c>
      <c r="G2571" t="s">
        <v>3395</v>
      </c>
    </row>
    <row r="2572" ht="14" customHeight="1" spans="1:7">
      <c r="A2572">
        <v>100172</v>
      </c>
      <c r="B2572">
        <v>1</v>
      </c>
      <c r="C2572">
        <v>1</v>
      </c>
      <c r="D2572">
        <v>1</v>
      </c>
      <c r="E2572">
        <v>1</v>
      </c>
      <c r="F2572" t="s">
        <v>3396</v>
      </c>
      <c r="G2572" t="s">
        <v>3375</v>
      </c>
    </row>
    <row r="2573" ht="14" customHeight="1" spans="1:7">
      <c r="A2573">
        <v>100173</v>
      </c>
      <c r="B2573">
        <v>1</v>
      </c>
      <c r="C2573">
        <v>1</v>
      </c>
      <c r="D2573">
        <v>1</v>
      </c>
      <c r="E2573">
        <v>1</v>
      </c>
      <c r="F2573" t="s">
        <v>3397</v>
      </c>
      <c r="G2573" t="s">
        <v>3375</v>
      </c>
    </row>
    <row r="2574" ht="14" customHeight="1" spans="1:7">
      <c r="A2574">
        <v>100174</v>
      </c>
      <c r="B2574">
        <v>1</v>
      </c>
      <c r="C2574">
        <v>1</v>
      </c>
      <c r="D2574">
        <v>1</v>
      </c>
      <c r="E2574">
        <v>1</v>
      </c>
      <c r="F2574" t="s">
        <v>1482</v>
      </c>
      <c r="G2574" t="s">
        <v>3378</v>
      </c>
    </row>
    <row r="2575" ht="14" customHeight="1" spans="1:7">
      <c r="A2575">
        <v>100175</v>
      </c>
      <c r="B2575">
        <v>1</v>
      </c>
      <c r="C2575">
        <v>1</v>
      </c>
      <c r="D2575">
        <v>1</v>
      </c>
      <c r="E2575">
        <v>1</v>
      </c>
      <c r="F2575" t="s">
        <v>1977</v>
      </c>
      <c r="G2575" t="s">
        <v>3378</v>
      </c>
    </row>
    <row r="2576" ht="14" customHeight="1" spans="1:7">
      <c r="A2576">
        <v>100176</v>
      </c>
      <c r="B2576">
        <v>1</v>
      </c>
      <c r="C2576">
        <v>1</v>
      </c>
      <c r="D2576">
        <v>1</v>
      </c>
      <c r="E2576">
        <v>1</v>
      </c>
      <c r="F2576" t="s">
        <v>1985</v>
      </c>
      <c r="G2576" t="s">
        <v>3381</v>
      </c>
    </row>
    <row r="2577" ht="14" customHeight="1" spans="1:7">
      <c r="A2577">
        <v>100177</v>
      </c>
      <c r="B2577">
        <v>1</v>
      </c>
      <c r="C2577">
        <v>1</v>
      </c>
      <c r="D2577">
        <v>1</v>
      </c>
      <c r="E2577">
        <v>1</v>
      </c>
      <c r="F2577" t="s">
        <v>2007</v>
      </c>
      <c r="G2577" t="s">
        <v>3381</v>
      </c>
    </row>
    <row r="2578" ht="16.5" customHeight="1" spans="1:7">
      <c r="A2578">
        <v>100178</v>
      </c>
      <c r="B2578">
        <v>1</v>
      </c>
      <c r="C2578">
        <v>1</v>
      </c>
      <c r="D2578">
        <v>1</v>
      </c>
      <c r="E2578">
        <v>1</v>
      </c>
      <c r="F2578" t="s">
        <v>3398</v>
      </c>
      <c r="G2578" s="99" t="s">
        <v>3399</v>
      </c>
    </row>
    <row r="2579" ht="16.5" customHeight="1" spans="1:7">
      <c r="A2579">
        <v>100179</v>
      </c>
      <c r="B2579">
        <v>1</v>
      </c>
      <c r="C2579">
        <v>1</v>
      </c>
      <c r="D2579">
        <v>1</v>
      </c>
      <c r="E2579">
        <v>1</v>
      </c>
      <c r="F2579" t="s">
        <v>3400</v>
      </c>
      <c r="G2579" s="99" t="s">
        <v>3399</v>
      </c>
    </row>
    <row r="2580" ht="16.5" customHeight="1" spans="1:7">
      <c r="A2580">
        <v>100180</v>
      </c>
      <c r="B2580">
        <v>1</v>
      </c>
      <c r="C2580">
        <v>1</v>
      </c>
      <c r="D2580">
        <v>1</v>
      </c>
      <c r="E2580">
        <v>1</v>
      </c>
      <c r="F2580" t="s">
        <v>3401</v>
      </c>
      <c r="G2580" s="99" t="s">
        <v>3399</v>
      </c>
    </row>
    <row r="2581" ht="16.5" customHeight="1" spans="1:7">
      <c r="A2581">
        <v>100181</v>
      </c>
      <c r="B2581">
        <v>1</v>
      </c>
      <c r="C2581">
        <v>1</v>
      </c>
      <c r="D2581">
        <v>1</v>
      </c>
      <c r="E2581">
        <v>1</v>
      </c>
      <c r="F2581" t="s">
        <v>3402</v>
      </c>
      <c r="G2581" s="99" t="s">
        <v>3399</v>
      </c>
    </row>
    <row r="2582" ht="16.5" customHeight="1" spans="1:7">
      <c r="A2582">
        <v>100182</v>
      </c>
      <c r="B2582">
        <v>1</v>
      </c>
      <c r="C2582">
        <v>1</v>
      </c>
      <c r="D2582">
        <v>1</v>
      </c>
      <c r="E2582">
        <v>1</v>
      </c>
      <c r="F2582" t="s">
        <v>3403</v>
      </c>
      <c r="G2582" s="99" t="s">
        <v>3399</v>
      </c>
    </row>
    <row r="2583" ht="16.5" customHeight="1" spans="1:7">
      <c r="A2583">
        <v>100183</v>
      </c>
      <c r="B2583">
        <v>1</v>
      </c>
      <c r="C2583">
        <v>1</v>
      </c>
      <c r="D2583">
        <v>1</v>
      </c>
      <c r="E2583">
        <v>1</v>
      </c>
      <c r="F2583" t="s">
        <v>3404</v>
      </c>
      <c r="G2583" s="99" t="s">
        <v>3399</v>
      </c>
    </row>
    <row r="2584" ht="16.5" customHeight="1" spans="1:7">
      <c r="A2584">
        <v>100184</v>
      </c>
      <c r="B2584">
        <v>1</v>
      </c>
      <c r="C2584">
        <v>1</v>
      </c>
      <c r="D2584">
        <v>1</v>
      </c>
      <c r="E2584">
        <v>1</v>
      </c>
      <c r="F2584" t="s">
        <v>3405</v>
      </c>
      <c r="G2584" s="99" t="s">
        <v>3399</v>
      </c>
    </row>
    <row r="2585" ht="16.5" customHeight="1" spans="1:7">
      <c r="A2585">
        <v>100185</v>
      </c>
      <c r="B2585">
        <v>1</v>
      </c>
      <c r="C2585">
        <v>1</v>
      </c>
      <c r="D2585">
        <v>1</v>
      </c>
      <c r="E2585">
        <v>1</v>
      </c>
      <c r="F2585" t="s">
        <v>3406</v>
      </c>
      <c r="G2585" s="99" t="s">
        <v>3399</v>
      </c>
    </row>
    <row r="2586" ht="16.5" customHeight="1" spans="1:7">
      <c r="A2586">
        <v>100186</v>
      </c>
      <c r="B2586">
        <v>1</v>
      </c>
      <c r="C2586">
        <v>1</v>
      </c>
      <c r="D2586">
        <v>1</v>
      </c>
      <c r="E2586">
        <v>1</v>
      </c>
      <c r="F2586" t="s">
        <v>3407</v>
      </c>
      <c r="G2586" s="99" t="s">
        <v>3399</v>
      </c>
    </row>
    <row r="2587" ht="16.5" customHeight="1" spans="1:7">
      <c r="A2587">
        <v>100187</v>
      </c>
      <c r="B2587">
        <v>1</v>
      </c>
      <c r="C2587">
        <v>1</v>
      </c>
      <c r="D2587">
        <v>1</v>
      </c>
      <c r="E2587">
        <v>1</v>
      </c>
      <c r="F2587" t="s">
        <v>3408</v>
      </c>
      <c r="G2587" s="99" t="s">
        <v>3399</v>
      </c>
    </row>
    <row r="2588" ht="16.5" customHeight="1" spans="1:7">
      <c r="A2588">
        <v>100188</v>
      </c>
      <c r="B2588">
        <v>1</v>
      </c>
      <c r="C2588">
        <v>1</v>
      </c>
      <c r="D2588">
        <v>1</v>
      </c>
      <c r="E2588">
        <v>1</v>
      </c>
      <c r="F2588" t="s">
        <v>3409</v>
      </c>
      <c r="G2588" s="99" t="s">
        <v>3399</v>
      </c>
    </row>
    <row r="2589" ht="16.5" customHeight="1" spans="1:7">
      <c r="A2589">
        <v>100189</v>
      </c>
      <c r="B2589">
        <v>1</v>
      </c>
      <c r="C2589">
        <v>1</v>
      </c>
      <c r="D2589">
        <v>1</v>
      </c>
      <c r="E2589">
        <v>1</v>
      </c>
      <c r="F2589" t="s">
        <v>3410</v>
      </c>
      <c r="G2589" s="99" t="s">
        <v>3399</v>
      </c>
    </row>
    <row r="2590" ht="16.5" customHeight="1" spans="1:7">
      <c r="A2590">
        <v>100190</v>
      </c>
      <c r="B2590">
        <v>1</v>
      </c>
      <c r="C2590">
        <v>1</v>
      </c>
      <c r="D2590">
        <v>1</v>
      </c>
      <c r="E2590">
        <v>1</v>
      </c>
      <c r="F2590" t="s">
        <v>3411</v>
      </c>
      <c r="G2590" s="99" t="s">
        <v>3399</v>
      </c>
    </row>
    <row r="2591" ht="16.5" customHeight="1" spans="1:7">
      <c r="A2591">
        <v>100191</v>
      </c>
      <c r="B2591">
        <v>1</v>
      </c>
      <c r="C2591">
        <v>1</v>
      </c>
      <c r="D2591">
        <v>1</v>
      </c>
      <c r="E2591">
        <v>1</v>
      </c>
      <c r="F2591" t="s">
        <v>3412</v>
      </c>
      <c r="G2591" s="99" t="s">
        <v>3399</v>
      </c>
    </row>
    <row r="2592" ht="16.5" customHeight="1" spans="1:7">
      <c r="A2592">
        <v>100192</v>
      </c>
      <c r="B2592">
        <v>1</v>
      </c>
      <c r="C2592">
        <v>1</v>
      </c>
      <c r="D2592">
        <v>1</v>
      </c>
      <c r="E2592">
        <v>1</v>
      </c>
      <c r="F2592" t="s">
        <v>3413</v>
      </c>
      <c r="G2592" s="99" t="s">
        <v>3399</v>
      </c>
    </row>
    <row r="2593" s="44" customFormat="1" ht="14" customHeight="1" spans="1:7">
      <c r="A2593" s="44">
        <v>100193</v>
      </c>
      <c r="B2593" s="44">
        <v>1</v>
      </c>
      <c r="C2593" s="44">
        <v>1</v>
      </c>
      <c r="D2593" s="44">
        <v>1</v>
      </c>
      <c r="E2593" s="44">
        <v>1</v>
      </c>
      <c r="F2593" s="44" t="s">
        <v>3414</v>
      </c>
      <c r="G2593" s="44" t="s">
        <v>3415</v>
      </c>
    </row>
    <row r="2594" s="44" customFormat="1" ht="14" customHeight="1" spans="1:7">
      <c r="A2594" s="44">
        <v>100194</v>
      </c>
      <c r="B2594" s="44">
        <v>1</v>
      </c>
      <c r="C2594" s="44">
        <v>1</v>
      </c>
      <c r="D2594" s="44">
        <v>1</v>
      </c>
      <c r="E2594" s="44">
        <v>1</v>
      </c>
      <c r="F2594" s="44" t="s">
        <v>3416</v>
      </c>
      <c r="G2594" s="44" t="s">
        <v>3417</v>
      </c>
    </row>
    <row r="2595" s="44" customFormat="1" ht="14" customHeight="1" spans="1:7">
      <c r="A2595" s="44">
        <v>100195</v>
      </c>
      <c r="B2595" s="44">
        <v>1</v>
      </c>
      <c r="C2595" s="44">
        <v>2</v>
      </c>
      <c r="D2595" s="44">
        <v>1</v>
      </c>
      <c r="E2595" s="44">
        <v>1</v>
      </c>
      <c r="F2595" s="44" t="s">
        <v>3418</v>
      </c>
      <c r="G2595" s="44" t="s">
        <v>3419</v>
      </c>
    </row>
    <row r="2596" s="44" customFormat="1" ht="14" customHeight="1" spans="1:7">
      <c r="A2596" s="44">
        <v>100196</v>
      </c>
      <c r="B2596" s="44">
        <v>1</v>
      </c>
      <c r="C2596" s="44">
        <v>1</v>
      </c>
      <c r="D2596" s="44">
        <v>1</v>
      </c>
      <c r="E2596" s="44">
        <v>1</v>
      </c>
      <c r="F2596" s="44" t="s">
        <v>3420</v>
      </c>
      <c r="G2596" s="44" t="s">
        <v>3421</v>
      </c>
    </row>
    <row r="2597" s="44" customFormat="1" ht="14" customHeight="1" spans="1:7">
      <c r="A2597" s="44">
        <v>100197</v>
      </c>
      <c r="B2597" s="44">
        <v>1</v>
      </c>
      <c r="C2597" s="44">
        <v>1</v>
      </c>
      <c r="D2597" s="44">
        <v>1</v>
      </c>
      <c r="E2597" s="44">
        <v>1</v>
      </c>
      <c r="F2597" s="44" t="s">
        <v>3422</v>
      </c>
      <c r="G2597" s="44" t="s">
        <v>3423</v>
      </c>
    </row>
    <row r="2598" s="44" customFormat="1" ht="14" customHeight="1" spans="1:7">
      <c r="A2598" s="44">
        <v>100198</v>
      </c>
      <c r="B2598" s="44">
        <v>1</v>
      </c>
      <c r="C2598" s="44">
        <v>2</v>
      </c>
      <c r="D2598" s="44">
        <v>1</v>
      </c>
      <c r="E2598" s="44">
        <v>1</v>
      </c>
      <c r="F2598" s="44" t="s">
        <v>3424</v>
      </c>
      <c r="G2598" s="44" t="s">
        <v>3425</v>
      </c>
    </row>
    <row r="2599" s="44" customFormat="1" ht="14" customHeight="1" spans="1:7">
      <c r="A2599" s="44">
        <v>100199</v>
      </c>
      <c r="B2599" s="44">
        <v>1</v>
      </c>
      <c r="C2599" s="44">
        <v>1</v>
      </c>
      <c r="D2599" s="44">
        <v>1</v>
      </c>
      <c r="E2599" s="44">
        <v>1</v>
      </c>
      <c r="F2599" s="44" t="s">
        <v>3426</v>
      </c>
      <c r="G2599" s="44" t="s">
        <v>3427</v>
      </c>
    </row>
    <row r="2600" s="44" customFormat="1" ht="14" customHeight="1" spans="1:7">
      <c r="A2600" s="44">
        <v>100200</v>
      </c>
      <c r="B2600" s="44">
        <v>1</v>
      </c>
      <c r="C2600" s="44">
        <v>1</v>
      </c>
      <c r="D2600" s="44">
        <v>1</v>
      </c>
      <c r="E2600" s="44">
        <v>1</v>
      </c>
      <c r="F2600" s="44" t="s">
        <v>3428</v>
      </c>
      <c r="G2600" s="44" t="s">
        <v>3429</v>
      </c>
    </row>
    <row r="2601" s="44" customFormat="1" ht="14" customHeight="1" spans="1:7">
      <c r="A2601" s="44">
        <v>100201</v>
      </c>
      <c r="B2601" s="44">
        <v>1</v>
      </c>
      <c r="C2601" s="44">
        <v>2</v>
      </c>
      <c r="D2601" s="44">
        <v>1</v>
      </c>
      <c r="E2601" s="44">
        <v>1</v>
      </c>
      <c r="F2601" s="44" t="s">
        <v>3430</v>
      </c>
      <c r="G2601" s="44" t="s">
        <v>3431</v>
      </c>
    </row>
    <row r="2602" s="44" customFormat="1" ht="14" customHeight="1" spans="1:7">
      <c r="A2602" s="44">
        <v>100202</v>
      </c>
      <c r="B2602" s="44">
        <v>1</v>
      </c>
      <c r="C2602" s="44">
        <v>1</v>
      </c>
      <c r="D2602" s="44">
        <v>1</v>
      </c>
      <c r="E2602" s="44">
        <v>1</v>
      </c>
      <c r="F2602" s="44" t="s">
        <v>3414</v>
      </c>
      <c r="G2602" s="44" t="s">
        <v>3432</v>
      </c>
    </row>
    <row r="2603" s="44" customFormat="1" ht="14" customHeight="1" spans="1:7">
      <c r="A2603" s="44">
        <v>100203</v>
      </c>
      <c r="B2603" s="44">
        <v>2</v>
      </c>
      <c r="C2603" s="44">
        <v>2</v>
      </c>
      <c r="D2603" s="44">
        <v>1</v>
      </c>
      <c r="E2603" s="44">
        <v>1</v>
      </c>
      <c r="F2603" s="44" t="s">
        <v>3433</v>
      </c>
      <c r="G2603" s="44" t="s">
        <v>3434</v>
      </c>
    </row>
    <row r="2604" s="44" customFormat="1" ht="14" customHeight="1" spans="1:7">
      <c r="A2604" s="44">
        <v>100204</v>
      </c>
      <c r="B2604" s="44">
        <v>1</v>
      </c>
      <c r="C2604" s="44">
        <v>1</v>
      </c>
      <c r="D2604" s="44">
        <v>1</v>
      </c>
      <c r="E2604" s="44">
        <v>1</v>
      </c>
      <c r="F2604" s="44" t="s">
        <v>3420</v>
      </c>
      <c r="G2604" s="44" t="s">
        <v>3435</v>
      </c>
    </row>
    <row r="2605" s="44" customFormat="1" ht="14" customHeight="1" spans="1:7">
      <c r="A2605" s="44">
        <v>100205</v>
      </c>
      <c r="B2605" s="44">
        <v>2</v>
      </c>
      <c r="C2605" s="44">
        <v>2</v>
      </c>
      <c r="D2605" s="44">
        <v>1</v>
      </c>
      <c r="E2605" s="44">
        <v>1</v>
      </c>
      <c r="F2605" s="44" t="s">
        <v>3436</v>
      </c>
      <c r="G2605" s="44" t="s">
        <v>3437</v>
      </c>
    </row>
    <row r="2606" s="44" customFormat="1" ht="14" customHeight="1" spans="1:7">
      <c r="A2606" s="44">
        <v>100206</v>
      </c>
      <c r="B2606" s="44">
        <v>1</v>
      </c>
      <c r="C2606" s="44">
        <v>1</v>
      </c>
      <c r="D2606" s="44">
        <v>1</v>
      </c>
      <c r="E2606" s="44">
        <v>1</v>
      </c>
      <c r="F2606" s="44" t="s">
        <v>3426</v>
      </c>
      <c r="G2606" s="44" t="s">
        <v>3438</v>
      </c>
    </row>
    <row r="2607" s="44" customFormat="1" ht="14" customHeight="1" spans="1:7">
      <c r="A2607" s="44">
        <v>100207</v>
      </c>
      <c r="B2607" s="44">
        <v>2</v>
      </c>
      <c r="C2607" s="44">
        <v>2</v>
      </c>
      <c r="D2607" s="44">
        <v>1</v>
      </c>
      <c r="E2607" s="44">
        <v>1</v>
      </c>
      <c r="F2607" s="44" t="s">
        <v>3439</v>
      </c>
      <c r="G2607" s="44" t="s">
        <v>3440</v>
      </c>
    </row>
    <row r="2608" ht="14" customHeight="1" spans="1:7">
      <c r="A2608" s="44">
        <v>100208</v>
      </c>
      <c r="B2608" s="44">
        <v>1</v>
      </c>
      <c r="C2608" s="44">
        <v>1</v>
      </c>
      <c r="D2608" s="44">
        <v>1</v>
      </c>
      <c r="E2608" s="44">
        <v>1</v>
      </c>
      <c r="F2608" s="44" t="s">
        <v>3441</v>
      </c>
      <c r="G2608" s="44" t="s">
        <v>3442</v>
      </c>
    </row>
    <row r="2609" ht="14" customHeight="1" spans="1:7">
      <c r="A2609" s="44">
        <v>100209</v>
      </c>
      <c r="B2609" s="44">
        <v>1</v>
      </c>
      <c r="C2609" s="44">
        <v>1</v>
      </c>
      <c r="D2609" s="44">
        <v>1</v>
      </c>
      <c r="E2609" s="44">
        <v>1</v>
      </c>
      <c r="F2609" s="44" t="s">
        <v>3443</v>
      </c>
      <c r="G2609" s="44" t="s">
        <v>3444</v>
      </c>
    </row>
    <row r="2610" ht="14" customHeight="1" spans="1:7">
      <c r="A2610" s="44">
        <v>100210</v>
      </c>
      <c r="B2610" s="44">
        <v>1</v>
      </c>
      <c r="C2610" s="44">
        <v>1</v>
      </c>
      <c r="D2610" s="44">
        <v>1</v>
      </c>
      <c r="E2610" s="44">
        <v>1</v>
      </c>
      <c r="F2610" s="44" t="s">
        <v>3445</v>
      </c>
      <c r="G2610" s="44" t="s">
        <v>3442</v>
      </c>
    </row>
    <row r="2611" ht="14" customHeight="1" spans="1:7">
      <c r="A2611" s="44">
        <v>100211</v>
      </c>
      <c r="B2611" s="44">
        <v>1</v>
      </c>
      <c r="C2611" s="44">
        <v>1</v>
      </c>
      <c r="D2611" s="44">
        <v>1</v>
      </c>
      <c r="E2611" s="44">
        <v>1</v>
      </c>
      <c r="F2611" s="44" t="s">
        <v>3446</v>
      </c>
      <c r="G2611" s="44" t="s">
        <v>3444</v>
      </c>
    </row>
    <row r="2612" ht="14" customHeight="1" spans="1:7">
      <c r="A2612" s="44">
        <v>100212</v>
      </c>
      <c r="B2612" s="44">
        <v>1</v>
      </c>
      <c r="C2612" s="44">
        <v>1</v>
      </c>
      <c r="D2612" s="44">
        <v>1</v>
      </c>
      <c r="E2612" s="44">
        <v>1</v>
      </c>
      <c r="F2612" s="44" t="s">
        <v>3447</v>
      </c>
      <c r="G2612" s="44" t="s">
        <v>3442</v>
      </c>
    </row>
    <row r="2613" ht="14" customHeight="1" spans="1:7">
      <c r="A2613" s="44">
        <v>100213</v>
      </c>
      <c r="B2613" s="44">
        <v>1</v>
      </c>
      <c r="C2613" s="44">
        <v>1</v>
      </c>
      <c r="D2613" s="44">
        <v>1</v>
      </c>
      <c r="E2613" s="44">
        <v>1</v>
      </c>
      <c r="F2613" s="44" t="s">
        <v>3448</v>
      </c>
      <c r="G2613" s="44" t="s">
        <v>3444</v>
      </c>
    </row>
    <row r="2614" ht="14" customHeight="1" spans="1:7">
      <c r="A2614">
        <v>100214</v>
      </c>
      <c r="B2614">
        <v>2</v>
      </c>
      <c r="C2614">
        <v>4</v>
      </c>
      <c r="D2614">
        <v>1</v>
      </c>
      <c r="E2614">
        <v>1</v>
      </c>
      <c r="F2614" s="3" t="s">
        <v>3449</v>
      </c>
      <c r="G2614" t="s">
        <v>3450</v>
      </c>
    </row>
    <row r="2615" ht="14" customHeight="1" spans="1:7">
      <c r="A2615">
        <v>100215</v>
      </c>
      <c r="B2615">
        <v>2</v>
      </c>
      <c r="C2615">
        <v>4</v>
      </c>
      <c r="D2615">
        <v>1</v>
      </c>
      <c r="E2615">
        <v>1</v>
      </c>
      <c r="F2615" s="3" t="s">
        <v>3451</v>
      </c>
      <c r="G2615" t="s">
        <v>3452</v>
      </c>
    </row>
    <row r="2616" ht="14" customHeight="1" spans="1:7">
      <c r="A2616">
        <v>100216</v>
      </c>
      <c r="B2616">
        <v>2</v>
      </c>
      <c r="C2616">
        <v>4</v>
      </c>
      <c r="D2616">
        <v>1</v>
      </c>
      <c r="E2616">
        <v>1</v>
      </c>
      <c r="F2616" s="3" t="s">
        <v>3453</v>
      </c>
      <c r="G2616" t="s">
        <v>3454</v>
      </c>
    </row>
    <row r="2617" ht="14" customHeight="1" spans="1:7">
      <c r="A2617">
        <v>100217</v>
      </c>
      <c r="B2617">
        <v>2</v>
      </c>
      <c r="C2617">
        <v>4</v>
      </c>
      <c r="D2617">
        <v>1</v>
      </c>
      <c r="E2617">
        <v>1</v>
      </c>
      <c r="F2617" s="3" t="s">
        <v>3455</v>
      </c>
      <c r="G2617" t="s">
        <v>3456</v>
      </c>
    </row>
    <row r="2618" ht="14" customHeight="1" spans="1:7">
      <c r="A2618">
        <v>100218</v>
      </c>
      <c r="B2618">
        <v>2</v>
      </c>
      <c r="C2618">
        <v>4</v>
      </c>
      <c r="D2618">
        <v>1</v>
      </c>
      <c r="E2618">
        <v>1</v>
      </c>
      <c r="F2618" s="3" t="s">
        <v>3457</v>
      </c>
      <c r="G2618" t="s">
        <v>3458</v>
      </c>
    </row>
    <row r="2619" ht="14" customHeight="1" spans="1:7">
      <c r="A2619">
        <v>100219</v>
      </c>
      <c r="B2619">
        <v>2</v>
      </c>
      <c r="C2619">
        <v>4</v>
      </c>
      <c r="D2619">
        <v>1</v>
      </c>
      <c r="E2619">
        <v>1</v>
      </c>
      <c r="F2619" s="3" t="s">
        <v>3459</v>
      </c>
      <c r="G2619" t="s">
        <v>3460</v>
      </c>
    </row>
    <row r="2620" ht="14" customHeight="1" spans="1:7">
      <c r="A2620">
        <v>100220</v>
      </c>
      <c r="B2620">
        <v>1</v>
      </c>
      <c r="C2620">
        <v>1</v>
      </c>
      <c r="D2620">
        <v>1</v>
      </c>
      <c r="E2620">
        <v>1</v>
      </c>
      <c r="F2620" s="3" t="s">
        <v>3461</v>
      </c>
      <c r="G2620" t="s">
        <v>3462</v>
      </c>
    </row>
    <row r="2621" ht="14" customHeight="1" spans="1:7">
      <c r="A2621">
        <v>100221</v>
      </c>
      <c r="B2621">
        <v>1</v>
      </c>
      <c r="C2621">
        <v>1</v>
      </c>
      <c r="D2621">
        <v>1</v>
      </c>
      <c r="E2621">
        <v>1</v>
      </c>
      <c r="F2621" s="3" t="s">
        <v>3463</v>
      </c>
      <c r="G2621" t="s">
        <v>3464</v>
      </c>
    </row>
    <row r="2622" ht="14" customHeight="1" spans="1:7">
      <c r="A2622">
        <v>100222</v>
      </c>
      <c r="B2622">
        <v>1</v>
      </c>
      <c r="C2622">
        <v>1</v>
      </c>
      <c r="D2622">
        <v>1</v>
      </c>
      <c r="E2622">
        <v>1</v>
      </c>
      <c r="F2622" s="3" t="s">
        <v>3465</v>
      </c>
      <c r="G2622" t="s">
        <v>3466</v>
      </c>
    </row>
    <row r="2623" ht="14" customHeight="1" spans="1:7">
      <c r="A2623">
        <v>100223</v>
      </c>
      <c r="B2623">
        <v>1</v>
      </c>
      <c r="C2623">
        <v>1</v>
      </c>
      <c r="D2623">
        <v>1</v>
      </c>
      <c r="E2623">
        <v>1</v>
      </c>
      <c r="F2623" s="3" t="s">
        <v>3467</v>
      </c>
      <c r="G2623" t="s">
        <v>3468</v>
      </c>
    </row>
    <row r="2624" ht="14" customHeight="1" spans="1:7">
      <c r="A2624">
        <v>100224</v>
      </c>
      <c r="B2624">
        <v>1</v>
      </c>
      <c r="C2624">
        <v>1</v>
      </c>
      <c r="D2624">
        <v>1</v>
      </c>
      <c r="E2624">
        <v>1</v>
      </c>
      <c r="F2624" s="3" t="s">
        <v>3469</v>
      </c>
      <c r="G2624" t="s">
        <v>3470</v>
      </c>
    </row>
    <row r="2625" ht="14" customHeight="1" spans="1:7">
      <c r="A2625">
        <v>100225</v>
      </c>
      <c r="B2625">
        <v>1</v>
      </c>
      <c r="C2625">
        <v>1</v>
      </c>
      <c r="D2625">
        <v>1</v>
      </c>
      <c r="E2625">
        <v>1</v>
      </c>
      <c r="F2625" s="3" t="s">
        <v>3471</v>
      </c>
      <c r="G2625" t="s">
        <v>3472</v>
      </c>
    </row>
    <row r="2626" s="41" customFormat="1" ht="14" customHeight="1" spans="1:7">
      <c r="A2626" s="41">
        <v>100226</v>
      </c>
      <c r="B2626" s="41">
        <v>1</v>
      </c>
      <c r="C2626" s="41">
        <v>1</v>
      </c>
      <c r="D2626" s="41">
        <v>1</v>
      </c>
      <c r="E2626" s="41">
        <v>1</v>
      </c>
      <c r="F2626" s="100" t="s">
        <v>3473</v>
      </c>
      <c r="G2626" s="41" t="s">
        <v>3474</v>
      </c>
    </row>
    <row r="2627" s="41" customFormat="1" ht="14" customHeight="1" spans="1:7">
      <c r="A2627" s="41">
        <v>100227</v>
      </c>
      <c r="B2627" s="41">
        <v>1</v>
      </c>
      <c r="C2627" s="41">
        <v>1</v>
      </c>
      <c r="D2627" s="41">
        <v>1</v>
      </c>
      <c r="E2627" s="41">
        <v>1</v>
      </c>
      <c r="F2627" s="41" t="s">
        <v>1674</v>
      </c>
      <c r="G2627" s="41" t="s">
        <v>3475</v>
      </c>
    </row>
    <row r="2628" ht="14" customHeight="1" spans="1:7">
      <c r="A2628">
        <v>100228</v>
      </c>
      <c r="B2628">
        <v>1</v>
      </c>
      <c r="C2628">
        <v>1</v>
      </c>
      <c r="D2628">
        <v>1</v>
      </c>
      <c r="E2628">
        <v>1</v>
      </c>
      <c r="F2628" s="3" t="s">
        <v>3403</v>
      </c>
      <c r="G2628" t="s">
        <v>3476</v>
      </c>
    </row>
    <row r="2629" ht="14" customHeight="1" spans="1:7">
      <c r="A2629">
        <v>100229</v>
      </c>
      <c r="B2629">
        <v>1</v>
      </c>
      <c r="C2629">
        <v>1</v>
      </c>
      <c r="D2629">
        <v>1</v>
      </c>
      <c r="E2629">
        <v>1</v>
      </c>
      <c r="F2629" s="3" t="s">
        <v>3406</v>
      </c>
      <c r="G2629" t="s">
        <v>3477</v>
      </c>
    </row>
    <row r="2630" ht="14" customHeight="1" spans="1:7">
      <c r="A2630">
        <v>100230</v>
      </c>
      <c r="B2630">
        <v>1</v>
      </c>
      <c r="C2630">
        <v>1</v>
      </c>
      <c r="D2630">
        <v>1</v>
      </c>
      <c r="E2630">
        <v>1</v>
      </c>
      <c r="F2630" s="3" t="s">
        <v>3478</v>
      </c>
      <c r="G2630" t="s">
        <v>3479</v>
      </c>
    </row>
    <row r="2631" ht="14" customHeight="1" spans="1:7">
      <c r="A2631">
        <v>100231</v>
      </c>
      <c r="B2631">
        <v>1</v>
      </c>
      <c r="C2631">
        <v>1</v>
      </c>
      <c r="D2631">
        <v>1</v>
      </c>
      <c r="E2631">
        <v>1</v>
      </c>
      <c r="F2631" s="3" t="s">
        <v>3480</v>
      </c>
      <c r="G2631" t="s">
        <v>3481</v>
      </c>
    </row>
    <row r="2632" ht="14" customHeight="1" spans="1:7">
      <c r="A2632">
        <v>100232</v>
      </c>
      <c r="B2632">
        <v>1</v>
      </c>
      <c r="C2632">
        <v>1</v>
      </c>
      <c r="D2632">
        <v>1</v>
      </c>
      <c r="E2632">
        <v>1</v>
      </c>
      <c r="F2632" s="3" t="s">
        <v>3411</v>
      </c>
      <c r="G2632" t="s">
        <v>3482</v>
      </c>
    </row>
    <row r="2633" ht="14" customHeight="1" spans="1:7">
      <c r="A2633">
        <v>100233</v>
      </c>
      <c r="B2633">
        <v>1</v>
      </c>
      <c r="C2633">
        <v>1</v>
      </c>
      <c r="D2633">
        <v>1</v>
      </c>
      <c r="E2633">
        <v>1</v>
      </c>
      <c r="F2633" s="3" t="s">
        <v>3412</v>
      </c>
      <c r="G2633" t="s">
        <v>3483</v>
      </c>
    </row>
    <row r="2634" ht="14" customHeight="1" spans="1:7">
      <c r="A2634" s="44">
        <v>100234</v>
      </c>
      <c r="B2634" s="44">
        <v>1</v>
      </c>
      <c r="C2634" s="44">
        <v>1</v>
      </c>
      <c r="D2634" s="44">
        <v>1</v>
      </c>
      <c r="E2634" s="44">
        <v>1</v>
      </c>
      <c r="F2634" s="44" t="s">
        <v>3484</v>
      </c>
      <c r="G2634" s="44" t="s">
        <v>3485</v>
      </c>
    </row>
    <row r="2635" s="44" customFormat="1" ht="14" customHeight="1" spans="1:7">
      <c r="A2635" s="44">
        <v>100235</v>
      </c>
      <c r="B2635" s="44">
        <v>1</v>
      </c>
      <c r="C2635" s="44">
        <v>1</v>
      </c>
      <c r="D2635" s="44">
        <v>1</v>
      </c>
      <c r="E2635" s="44">
        <v>1</v>
      </c>
      <c r="F2635" s="44" t="s">
        <v>3486</v>
      </c>
      <c r="G2635" s="44" t="s">
        <v>3487</v>
      </c>
    </row>
    <row r="2636" s="44" customFormat="1" ht="14" customHeight="1" spans="1:7">
      <c r="A2636" s="44">
        <v>100236</v>
      </c>
      <c r="B2636" s="44">
        <v>1</v>
      </c>
      <c r="C2636" s="44">
        <v>1</v>
      </c>
      <c r="D2636" s="44">
        <v>1</v>
      </c>
      <c r="E2636" s="44">
        <v>1</v>
      </c>
      <c r="F2636" s="44" t="s">
        <v>3488</v>
      </c>
      <c r="G2636" s="44" t="s">
        <v>3489</v>
      </c>
    </row>
    <row r="2637" s="44" customFormat="1" ht="14" customHeight="1" spans="1:7">
      <c r="A2637" s="44">
        <v>100237</v>
      </c>
      <c r="B2637" s="44">
        <v>1</v>
      </c>
      <c r="C2637" s="44">
        <v>1</v>
      </c>
      <c r="D2637" s="44">
        <v>1</v>
      </c>
      <c r="E2637" s="44">
        <v>1</v>
      </c>
      <c r="F2637" s="44" t="s">
        <v>3490</v>
      </c>
      <c r="G2637" s="44" t="s">
        <v>3491</v>
      </c>
    </row>
    <row r="2638" s="44" customFormat="1" ht="14" customHeight="1" spans="1:7">
      <c r="A2638" s="44">
        <v>100238</v>
      </c>
      <c r="B2638" s="44">
        <v>1</v>
      </c>
      <c r="C2638" s="44">
        <v>1</v>
      </c>
      <c r="D2638" s="44">
        <v>1</v>
      </c>
      <c r="E2638" s="44">
        <v>1</v>
      </c>
      <c r="F2638" s="44" t="s">
        <v>3492</v>
      </c>
      <c r="G2638" s="44" t="s">
        <v>3493</v>
      </c>
    </row>
    <row r="2639" s="44" customFormat="1" ht="14" customHeight="1" spans="1:7">
      <c r="A2639" s="44">
        <v>100239</v>
      </c>
      <c r="B2639" s="44">
        <v>1</v>
      </c>
      <c r="C2639" s="44">
        <v>1</v>
      </c>
      <c r="D2639" s="44">
        <v>1</v>
      </c>
      <c r="E2639" s="44">
        <v>1</v>
      </c>
      <c r="F2639" s="44" t="s">
        <v>3494</v>
      </c>
      <c r="G2639" s="44" t="s">
        <v>3495</v>
      </c>
    </row>
    <row r="2640" s="44" customFormat="1" ht="14" customHeight="1" spans="1:7">
      <c r="A2640" s="44">
        <v>100240</v>
      </c>
      <c r="B2640" s="44">
        <v>1</v>
      </c>
      <c r="C2640" s="44">
        <v>1</v>
      </c>
      <c r="D2640" s="44">
        <v>1</v>
      </c>
      <c r="E2640" s="44">
        <v>1</v>
      </c>
      <c r="F2640" s="44" t="s">
        <v>3496</v>
      </c>
      <c r="G2640" s="44" t="s">
        <v>3497</v>
      </c>
    </row>
    <row r="2641" ht="14" customHeight="1" spans="1:7">
      <c r="A2641">
        <v>100241</v>
      </c>
      <c r="B2641">
        <v>2</v>
      </c>
      <c r="C2641">
        <v>2</v>
      </c>
      <c r="D2641">
        <v>1</v>
      </c>
      <c r="E2641">
        <v>1</v>
      </c>
      <c r="F2641" t="s">
        <v>3498</v>
      </c>
      <c r="G2641" t="s">
        <v>3499</v>
      </c>
    </row>
    <row r="2642" ht="14" customHeight="1" spans="1:7">
      <c r="A2642">
        <v>100242</v>
      </c>
      <c r="B2642">
        <v>1</v>
      </c>
      <c r="C2642">
        <v>1</v>
      </c>
      <c r="D2642">
        <v>1</v>
      </c>
      <c r="E2642">
        <v>1</v>
      </c>
      <c r="F2642" t="s">
        <v>3500</v>
      </c>
      <c r="G2642" t="s">
        <v>3501</v>
      </c>
    </row>
    <row r="2643" ht="14" customHeight="1" spans="1:7">
      <c r="A2643">
        <v>100243</v>
      </c>
      <c r="B2643">
        <v>1</v>
      </c>
      <c r="C2643">
        <v>1</v>
      </c>
      <c r="D2643">
        <v>1</v>
      </c>
      <c r="E2643">
        <v>1</v>
      </c>
      <c r="F2643" t="s">
        <v>3502</v>
      </c>
      <c r="G2643" t="s">
        <v>3503</v>
      </c>
    </row>
    <row r="2644" ht="14" customHeight="1" spans="1:7">
      <c r="A2644">
        <v>100244</v>
      </c>
      <c r="B2644">
        <v>1</v>
      </c>
      <c r="C2644">
        <v>1</v>
      </c>
      <c r="D2644">
        <v>1</v>
      </c>
      <c r="E2644">
        <v>1</v>
      </c>
      <c r="F2644" t="s">
        <v>3504</v>
      </c>
      <c r="G2644" t="s">
        <v>3505</v>
      </c>
    </row>
    <row r="2645" ht="14" customHeight="1" spans="1:7">
      <c r="A2645">
        <v>100245</v>
      </c>
      <c r="B2645">
        <v>1</v>
      </c>
      <c r="C2645">
        <v>1</v>
      </c>
      <c r="D2645">
        <v>1</v>
      </c>
      <c r="E2645">
        <v>1</v>
      </c>
      <c r="F2645" t="s">
        <v>3506</v>
      </c>
      <c r="G2645" t="s">
        <v>3507</v>
      </c>
    </row>
    <row r="2646" ht="14" customHeight="1" spans="1:7">
      <c r="A2646">
        <v>100246</v>
      </c>
      <c r="B2646">
        <v>1</v>
      </c>
      <c r="C2646">
        <v>1</v>
      </c>
      <c r="D2646">
        <v>1</v>
      </c>
      <c r="E2646">
        <v>1</v>
      </c>
      <c r="F2646" t="s">
        <v>3508</v>
      </c>
      <c r="G2646" t="s">
        <v>3509</v>
      </c>
    </row>
    <row r="2647" s="44" customFormat="1" ht="14" customHeight="1" spans="1:7">
      <c r="A2647">
        <v>100247</v>
      </c>
      <c r="B2647" s="44">
        <v>1</v>
      </c>
      <c r="C2647" s="44">
        <v>1</v>
      </c>
      <c r="D2647" s="44">
        <v>1</v>
      </c>
      <c r="E2647" s="44">
        <v>1</v>
      </c>
      <c r="F2647" s="44" t="s">
        <v>3508</v>
      </c>
      <c r="G2647" s="44" t="s">
        <v>3510</v>
      </c>
    </row>
    <row r="2648" ht="14" customHeight="1" spans="1:7">
      <c r="A2648">
        <v>100248</v>
      </c>
      <c r="B2648">
        <v>1</v>
      </c>
      <c r="C2648">
        <v>1</v>
      </c>
      <c r="D2648">
        <v>1</v>
      </c>
      <c r="E2648">
        <v>1</v>
      </c>
      <c r="F2648" t="s">
        <v>3511</v>
      </c>
      <c r="G2648" t="s">
        <v>3499</v>
      </c>
    </row>
    <row r="2649" ht="14" customHeight="1" spans="1:7">
      <c r="A2649">
        <v>100249</v>
      </c>
      <c r="B2649">
        <v>1</v>
      </c>
      <c r="C2649">
        <v>1</v>
      </c>
      <c r="D2649">
        <v>1</v>
      </c>
      <c r="E2649">
        <v>1</v>
      </c>
      <c r="F2649" t="s">
        <v>3512</v>
      </c>
      <c r="G2649" t="s">
        <v>3499</v>
      </c>
    </row>
    <row r="2650" ht="14" customHeight="1" spans="1:7">
      <c r="A2650">
        <v>100250</v>
      </c>
      <c r="B2650">
        <v>1</v>
      </c>
      <c r="C2650">
        <v>1</v>
      </c>
      <c r="D2650">
        <v>1</v>
      </c>
      <c r="E2650">
        <v>1</v>
      </c>
      <c r="F2650" t="s">
        <v>3513</v>
      </c>
      <c r="G2650" t="s">
        <v>3514</v>
      </c>
    </row>
    <row r="2651" ht="14" customHeight="1" spans="1:7">
      <c r="A2651">
        <v>101001</v>
      </c>
      <c r="B2651">
        <v>1</v>
      </c>
      <c r="C2651">
        <v>1</v>
      </c>
      <c r="D2651">
        <v>1</v>
      </c>
      <c r="E2651">
        <v>1</v>
      </c>
      <c r="F2651" s="7" t="s">
        <v>3515</v>
      </c>
      <c r="G2651" t="s">
        <v>3516</v>
      </c>
    </row>
    <row r="2652" ht="14" customHeight="1" spans="1:7">
      <c r="A2652">
        <v>220001</v>
      </c>
      <c r="B2652">
        <v>1</v>
      </c>
      <c r="C2652">
        <v>4</v>
      </c>
      <c r="D2652" s="15">
        <v>0</v>
      </c>
      <c r="E2652" s="15">
        <v>100</v>
      </c>
      <c r="F2652" t="s">
        <v>1392</v>
      </c>
      <c r="G2652" t="s">
        <v>3517</v>
      </c>
    </row>
    <row r="2653" ht="14" customHeight="1" spans="1:7">
      <c r="A2653">
        <v>220002</v>
      </c>
      <c r="B2653">
        <v>2</v>
      </c>
      <c r="C2653">
        <v>1</v>
      </c>
      <c r="D2653">
        <v>0</v>
      </c>
      <c r="E2653">
        <v>1</v>
      </c>
      <c r="F2653" t="s">
        <v>3518</v>
      </c>
      <c r="G2653" t="s">
        <v>3519</v>
      </c>
    </row>
    <row r="2654" ht="14" customHeight="1" spans="1:7">
      <c r="A2654">
        <v>220003</v>
      </c>
      <c r="B2654">
        <v>1</v>
      </c>
      <c r="C2654">
        <v>1</v>
      </c>
      <c r="D2654">
        <v>1</v>
      </c>
      <c r="E2654">
        <v>1</v>
      </c>
      <c r="F2654" s="3" t="s">
        <v>3520</v>
      </c>
      <c r="G2654" t="s">
        <v>3521</v>
      </c>
    </row>
    <row r="2655" ht="14" customHeight="1" spans="1:7">
      <c r="A2655">
        <v>220004</v>
      </c>
      <c r="B2655">
        <v>1</v>
      </c>
      <c r="C2655">
        <v>5</v>
      </c>
      <c r="D2655" s="15">
        <v>0</v>
      </c>
      <c r="E2655" s="15">
        <v>100</v>
      </c>
      <c r="F2655" t="s">
        <v>1392</v>
      </c>
      <c r="G2655" t="s">
        <v>3517</v>
      </c>
    </row>
    <row r="2656" ht="14" customHeight="1" spans="1:7">
      <c r="A2656">
        <v>220005</v>
      </c>
      <c r="B2656">
        <v>1</v>
      </c>
      <c r="C2656">
        <v>6</v>
      </c>
      <c r="D2656" s="15">
        <v>0</v>
      </c>
      <c r="E2656" s="15">
        <v>100</v>
      </c>
      <c r="F2656" t="s">
        <v>1392</v>
      </c>
      <c r="G2656" t="s">
        <v>3517</v>
      </c>
    </row>
    <row r="2657" ht="14" customHeight="1" spans="1:7">
      <c r="A2657">
        <v>220006</v>
      </c>
      <c r="B2657">
        <v>1</v>
      </c>
      <c r="C2657">
        <v>1</v>
      </c>
      <c r="D2657">
        <v>1</v>
      </c>
      <c r="E2657">
        <v>1</v>
      </c>
      <c r="F2657" s="3" t="s">
        <v>3522</v>
      </c>
      <c r="G2657" t="s">
        <v>3523</v>
      </c>
    </row>
    <row r="2658" ht="14" customHeight="1" spans="1:7">
      <c r="A2658">
        <v>220007</v>
      </c>
      <c r="B2658">
        <v>1</v>
      </c>
      <c r="C2658">
        <v>1</v>
      </c>
      <c r="D2658">
        <v>1</v>
      </c>
      <c r="E2658">
        <v>1</v>
      </c>
      <c r="F2658" s="3" t="s">
        <v>3524</v>
      </c>
      <c r="G2658" t="s">
        <v>3525</v>
      </c>
    </row>
    <row r="2659" ht="14" customHeight="1" spans="1:7">
      <c r="A2659">
        <v>220008</v>
      </c>
      <c r="B2659">
        <v>1</v>
      </c>
      <c r="C2659">
        <v>4</v>
      </c>
      <c r="D2659">
        <v>1</v>
      </c>
      <c r="E2659">
        <v>1</v>
      </c>
      <c r="F2659" s="3" t="s">
        <v>3526</v>
      </c>
    </row>
    <row r="2660" ht="14" customHeight="1" spans="1:7">
      <c r="A2660">
        <v>220009</v>
      </c>
      <c r="B2660">
        <v>1</v>
      </c>
      <c r="C2660">
        <v>1</v>
      </c>
      <c r="D2660">
        <v>1</v>
      </c>
      <c r="E2660">
        <v>1</v>
      </c>
      <c r="F2660" s="3" t="s">
        <v>3527</v>
      </c>
      <c r="G2660" t="s">
        <v>3525</v>
      </c>
    </row>
    <row r="2661" ht="14" customHeight="1" spans="1:7">
      <c r="A2661">
        <v>220010</v>
      </c>
      <c r="B2661">
        <v>1</v>
      </c>
      <c r="C2661">
        <v>1</v>
      </c>
      <c r="D2661">
        <v>1</v>
      </c>
      <c r="E2661">
        <v>1</v>
      </c>
      <c r="F2661" s="3" t="s">
        <v>3528</v>
      </c>
      <c r="G2661" t="s">
        <v>3529</v>
      </c>
    </row>
    <row r="2662" ht="14" customHeight="1" spans="1:7">
      <c r="A2662">
        <v>220011</v>
      </c>
      <c r="B2662">
        <v>1</v>
      </c>
      <c r="C2662">
        <v>1</v>
      </c>
      <c r="D2662">
        <v>1</v>
      </c>
      <c r="E2662">
        <v>1</v>
      </c>
      <c r="F2662" s="3" t="s">
        <v>3530</v>
      </c>
      <c r="G2662" t="s">
        <v>3531</v>
      </c>
    </row>
    <row r="2663" ht="14" customHeight="1" spans="1:7">
      <c r="A2663">
        <v>220012</v>
      </c>
      <c r="B2663">
        <v>1</v>
      </c>
      <c r="C2663">
        <v>1</v>
      </c>
      <c r="D2663">
        <v>1</v>
      </c>
      <c r="E2663">
        <v>1</v>
      </c>
      <c r="F2663" s="3" t="s">
        <v>3532</v>
      </c>
      <c r="G2663" t="s">
        <v>3533</v>
      </c>
    </row>
    <row r="2664" ht="13.5" spans="1:7">
      <c r="A2664">
        <v>230001</v>
      </c>
      <c r="B2664">
        <v>2</v>
      </c>
      <c r="C2664">
        <v>3</v>
      </c>
      <c r="D2664">
        <v>1</v>
      </c>
      <c r="E2664">
        <v>1</v>
      </c>
      <c r="F2664" t="s">
        <v>3534</v>
      </c>
    </row>
    <row r="2665" ht="13.5" spans="1:7">
      <c r="A2665">
        <v>230002</v>
      </c>
      <c r="B2665">
        <v>1</v>
      </c>
      <c r="C2665">
        <v>1</v>
      </c>
      <c r="D2665">
        <v>1</v>
      </c>
      <c r="E2665">
        <v>1</v>
      </c>
      <c r="F2665" t="s">
        <v>3535</v>
      </c>
    </row>
    <row r="2666" ht="13.5" spans="1:7">
      <c r="A2666">
        <v>230003</v>
      </c>
      <c r="B2666">
        <v>1</v>
      </c>
      <c r="C2666">
        <v>1</v>
      </c>
      <c r="D2666">
        <v>1</v>
      </c>
      <c r="E2666">
        <v>1</v>
      </c>
      <c r="F2666" t="s">
        <v>3536</v>
      </c>
    </row>
    <row r="2667" ht="13.5" spans="1:7">
      <c r="A2667">
        <v>230004</v>
      </c>
      <c r="B2667">
        <v>1</v>
      </c>
      <c r="C2667">
        <v>1</v>
      </c>
      <c r="D2667">
        <v>1</v>
      </c>
      <c r="E2667">
        <v>1</v>
      </c>
      <c r="F2667" t="s">
        <v>3537</v>
      </c>
    </row>
    <row r="2668" ht="14" customHeight="1" spans="1:7">
      <c r="A2668">
        <v>220013</v>
      </c>
      <c r="B2668">
        <v>1</v>
      </c>
      <c r="C2668">
        <v>1</v>
      </c>
      <c r="D2668">
        <v>1</v>
      </c>
      <c r="E2668">
        <v>1</v>
      </c>
      <c r="F2668" s="3" t="s">
        <v>3538</v>
      </c>
      <c r="G2668" t="s">
        <v>3539</v>
      </c>
    </row>
    <row r="2669" ht="14" customHeight="1" spans="1:7">
      <c r="A2669">
        <v>220014</v>
      </c>
      <c r="B2669">
        <v>1</v>
      </c>
      <c r="C2669">
        <v>1</v>
      </c>
      <c r="D2669">
        <v>1</v>
      </c>
      <c r="E2669">
        <v>1</v>
      </c>
      <c r="F2669" s="3" t="s">
        <v>3540</v>
      </c>
      <c r="G2669" t="s">
        <v>3539</v>
      </c>
    </row>
    <row r="2670" ht="14" customHeight="1" spans="1:7">
      <c r="A2670">
        <v>220015</v>
      </c>
      <c r="B2670">
        <v>1</v>
      </c>
      <c r="C2670">
        <v>1</v>
      </c>
      <c r="D2670">
        <v>1</v>
      </c>
      <c r="E2670">
        <v>1</v>
      </c>
      <c r="F2670" s="3" t="s">
        <v>3541</v>
      </c>
      <c r="G2670" t="s">
        <v>3539</v>
      </c>
    </row>
    <row r="2671" ht="14" customHeight="1" spans="1:7">
      <c r="A2671">
        <v>220016</v>
      </c>
      <c r="B2671">
        <v>1</v>
      </c>
      <c r="C2671">
        <v>1</v>
      </c>
      <c r="D2671">
        <v>1</v>
      </c>
      <c r="E2671">
        <v>1</v>
      </c>
      <c r="F2671" s="3" t="s">
        <v>3542</v>
      </c>
      <c r="G2671" t="s">
        <v>3539</v>
      </c>
    </row>
    <row r="2672" ht="14" customHeight="1" spans="1:7">
      <c r="A2672">
        <v>220017</v>
      </c>
      <c r="B2672">
        <v>1</v>
      </c>
      <c r="C2672">
        <v>1</v>
      </c>
      <c r="D2672" s="15">
        <v>0</v>
      </c>
      <c r="E2672" s="15">
        <v>1</v>
      </c>
      <c r="F2672" s="7" t="s">
        <v>3543</v>
      </c>
      <c r="G2672" s="7" t="s">
        <v>773</v>
      </c>
    </row>
    <row r="2673" ht="14" customHeight="1" spans="1:8">
      <c r="A2673">
        <v>220018</v>
      </c>
      <c r="B2673">
        <v>1</v>
      </c>
      <c r="C2673">
        <v>1</v>
      </c>
      <c r="D2673" s="15">
        <v>0</v>
      </c>
      <c r="E2673" s="15">
        <v>1</v>
      </c>
      <c r="F2673" s="7" t="s">
        <v>3544</v>
      </c>
      <c r="G2673" s="7" t="s">
        <v>773</v>
      </c>
    </row>
    <row r="2674" ht="14" customHeight="1" spans="1:8">
      <c r="A2674">
        <v>220019</v>
      </c>
      <c r="B2674">
        <v>1</v>
      </c>
      <c r="C2674">
        <v>1</v>
      </c>
      <c r="D2674" s="15">
        <v>0</v>
      </c>
      <c r="E2674" s="15">
        <v>1</v>
      </c>
      <c r="F2674" s="7" t="s">
        <v>772</v>
      </c>
      <c r="G2674" s="7" t="s">
        <v>773</v>
      </c>
    </row>
    <row r="2675" ht="14" customHeight="1" spans="1:8">
      <c r="A2675">
        <v>220020</v>
      </c>
      <c r="B2675">
        <v>1</v>
      </c>
      <c r="C2675">
        <v>1</v>
      </c>
      <c r="D2675" s="15">
        <v>0</v>
      </c>
      <c r="E2675" s="15">
        <v>1</v>
      </c>
      <c r="F2675" s="7" t="s">
        <v>3545</v>
      </c>
      <c r="G2675" s="7" t="s">
        <v>773</v>
      </c>
    </row>
    <row r="2676" ht="14" customHeight="1" spans="1:8">
      <c r="A2676">
        <v>220021</v>
      </c>
      <c r="B2676">
        <v>1</v>
      </c>
      <c r="C2676">
        <v>1</v>
      </c>
      <c r="D2676" s="15">
        <v>0</v>
      </c>
      <c r="E2676" s="15">
        <v>1</v>
      </c>
      <c r="F2676" s="7" t="s">
        <v>774</v>
      </c>
      <c r="G2676" s="7" t="s">
        <v>773</v>
      </c>
    </row>
    <row r="2677" ht="14" customHeight="1" spans="1:8">
      <c r="A2677">
        <v>220022</v>
      </c>
      <c r="B2677">
        <v>1</v>
      </c>
      <c r="C2677">
        <v>1</v>
      </c>
      <c r="D2677" s="15">
        <v>0</v>
      </c>
      <c r="E2677" s="15">
        <v>1</v>
      </c>
      <c r="F2677" s="7" t="s">
        <v>775</v>
      </c>
      <c r="G2677" s="7" t="s">
        <v>773</v>
      </c>
    </row>
    <row r="2678" ht="14" customHeight="1" spans="1:8">
      <c r="A2678">
        <v>220023</v>
      </c>
      <c r="B2678">
        <v>1</v>
      </c>
      <c r="C2678">
        <v>1</v>
      </c>
      <c r="D2678" s="15">
        <v>0</v>
      </c>
      <c r="E2678" s="15">
        <v>1</v>
      </c>
      <c r="F2678" s="7" t="s">
        <v>793</v>
      </c>
      <c r="G2678" s="7" t="s">
        <v>773</v>
      </c>
    </row>
    <row r="2679" ht="14" customHeight="1" spans="1:8">
      <c r="A2679">
        <v>220024</v>
      </c>
      <c r="B2679">
        <v>1</v>
      </c>
      <c r="C2679">
        <v>1</v>
      </c>
      <c r="D2679" s="15">
        <v>0</v>
      </c>
      <c r="E2679" s="15">
        <v>1</v>
      </c>
      <c r="F2679" s="7" t="s">
        <v>794</v>
      </c>
      <c r="G2679" s="7" t="s">
        <v>773</v>
      </c>
    </row>
    <row r="2680" ht="14" customHeight="1" spans="1:8">
      <c r="A2680">
        <v>220025</v>
      </c>
      <c r="B2680">
        <v>1</v>
      </c>
      <c r="C2680">
        <v>1</v>
      </c>
      <c r="D2680" s="15">
        <v>0</v>
      </c>
      <c r="E2680" s="15">
        <v>1</v>
      </c>
      <c r="F2680" s="7" t="s">
        <v>795</v>
      </c>
      <c r="G2680" s="7" t="s">
        <v>773</v>
      </c>
    </row>
    <row r="2681" ht="14" customHeight="1" spans="1:8">
      <c r="A2681">
        <v>220026</v>
      </c>
      <c r="B2681">
        <v>2</v>
      </c>
      <c r="C2681">
        <v>1</v>
      </c>
      <c r="D2681">
        <v>1</v>
      </c>
      <c r="E2681">
        <v>1</v>
      </c>
      <c r="F2681" s="46" t="s">
        <v>3546</v>
      </c>
      <c r="G2681" s="66" t="s">
        <v>704</v>
      </c>
      <c r="H2681" s="7"/>
    </row>
    <row r="2682" ht="13.5" spans="1:8">
      <c r="A2682">
        <v>220027</v>
      </c>
      <c r="B2682">
        <v>1</v>
      </c>
      <c r="C2682">
        <v>1</v>
      </c>
      <c r="D2682">
        <v>1</v>
      </c>
      <c r="E2682">
        <v>1</v>
      </c>
      <c r="F2682" s="3" t="s">
        <v>3547</v>
      </c>
      <c r="G2682" t="s">
        <v>3548</v>
      </c>
    </row>
    <row r="2683" ht="13.5" spans="1:8">
      <c r="A2683">
        <v>220028</v>
      </c>
      <c r="B2683">
        <v>1</v>
      </c>
      <c r="C2683">
        <v>1</v>
      </c>
      <c r="D2683">
        <v>1</v>
      </c>
      <c r="E2683">
        <v>1</v>
      </c>
      <c r="F2683" s="3" t="s">
        <v>3549</v>
      </c>
      <c r="G2683" t="s">
        <v>3550</v>
      </c>
    </row>
    <row r="2684" ht="13.5" spans="1:8">
      <c r="A2684">
        <v>220029</v>
      </c>
      <c r="B2684">
        <v>1</v>
      </c>
      <c r="C2684">
        <v>1</v>
      </c>
      <c r="D2684">
        <v>1</v>
      </c>
      <c r="E2684">
        <v>1</v>
      </c>
      <c r="F2684" t="s">
        <v>3551</v>
      </c>
      <c r="G2684" t="s">
        <v>3552</v>
      </c>
    </row>
    <row r="2685" ht="13.5" spans="1:8">
      <c r="A2685">
        <v>220030</v>
      </c>
      <c r="B2685">
        <v>1</v>
      </c>
      <c r="C2685">
        <v>1</v>
      </c>
      <c r="D2685">
        <v>1</v>
      </c>
      <c r="E2685">
        <v>1</v>
      </c>
      <c r="F2685" s="7" t="s">
        <v>3515</v>
      </c>
      <c r="G2685" t="s">
        <v>3553</v>
      </c>
    </row>
    <row r="2686" ht="13.5" spans="1:8">
      <c r="A2686">
        <v>220031</v>
      </c>
      <c r="B2686">
        <v>1</v>
      </c>
      <c r="C2686">
        <v>1</v>
      </c>
      <c r="D2686">
        <v>1</v>
      </c>
      <c r="E2686">
        <v>1</v>
      </c>
      <c r="F2686" s="7" t="s">
        <v>3554</v>
      </c>
      <c r="G2686" t="s">
        <v>3555</v>
      </c>
    </row>
    <row r="2687" s="7" customFormat="1" ht="14" customHeight="1" spans="1:8">
      <c r="A2687" s="7">
        <v>220032</v>
      </c>
      <c r="B2687" s="7">
        <v>1</v>
      </c>
      <c r="C2687" s="7">
        <v>1</v>
      </c>
      <c r="D2687" s="7">
        <v>1</v>
      </c>
      <c r="E2687" s="7">
        <v>1</v>
      </c>
      <c r="F2687" s="7" t="s">
        <v>3556</v>
      </c>
      <c r="G2687" s="7" t="s">
        <v>3557</v>
      </c>
    </row>
    <row r="2688" s="7" customFormat="1" ht="14" customHeight="1" spans="1:8">
      <c r="A2688" s="7">
        <v>221001</v>
      </c>
      <c r="B2688" s="7">
        <v>1</v>
      </c>
      <c r="C2688" s="7">
        <v>1</v>
      </c>
      <c r="D2688" s="7">
        <v>1</v>
      </c>
      <c r="E2688" s="7">
        <v>1</v>
      </c>
      <c r="F2688" s="7" t="s">
        <v>3558</v>
      </c>
      <c r="G2688" s="7" t="s">
        <v>3559</v>
      </c>
    </row>
    <row r="2689" ht="13.5" spans="1:9">
      <c r="A2689">
        <v>220033</v>
      </c>
      <c r="B2689">
        <v>1</v>
      </c>
      <c r="C2689">
        <v>1</v>
      </c>
      <c r="D2689">
        <v>1</v>
      </c>
      <c r="E2689">
        <v>1</v>
      </c>
      <c r="F2689" s="3" t="s">
        <v>3560</v>
      </c>
      <c r="G2689" t="s">
        <v>3561</v>
      </c>
    </row>
    <row r="2690" ht="13.5" spans="1:9">
      <c r="A2690">
        <v>220034</v>
      </c>
      <c r="B2690">
        <v>1</v>
      </c>
      <c r="C2690">
        <v>1</v>
      </c>
      <c r="D2690">
        <v>1</v>
      </c>
      <c r="E2690">
        <v>1</v>
      </c>
      <c r="F2690" t="s">
        <v>3562</v>
      </c>
      <c r="G2690" t="s">
        <v>3563</v>
      </c>
    </row>
    <row r="2691" ht="13.5" spans="1:9">
      <c r="A2691">
        <v>220035</v>
      </c>
      <c r="B2691">
        <v>1</v>
      </c>
      <c r="C2691">
        <v>1</v>
      </c>
      <c r="D2691">
        <v>1</v>
      </c>
      <c r="E2691">
        <v>1</v>
      </c>
      <c r="F2691" t="s">
        <v>3564</v>
      </c>
      <c r="G2691" t="s">
        <v>3565</v>
      </c>
    </row>
    <row r="2692" ht="16.5" spans="1:9">
      <c r="A2692">
        <v>220036</v>
      </c>
      <c r="B2692">
        <v>1</v>
      </c>
      <c r="C2692">
        <v>1</v>
      </c>
      <c r="D2692">
        <v>1</v>
      </c>
      <c r="E2692">
        <v>1</v>
      </c>
      <c r="F2692" s="101" t="s">
        <v>3566</v>
      </c>
      <c r="G2692" s="67" t="s">
        <v>3567</v>
      </c>
    </row>
    <row r="2693" ht="16.5" spans="1:9">
      <c r="A2693">
        <v>220037</v>
      </c>
      <c r="B2693">
        <v>1</v>
      </c>
      <c r="C2693">
        <v>1</v>
      </c>
      <c r="D2693">
        <v>1</v>
      </c>
      <c r="E2693">
        <v>1</v>
      </c>
      <c r="F2693" s="101" t="s">
        <v>3568</v>
      </c>
      <c r="G2693" s="67" t="s">
        <v>3569</v>
      </c>
    </row>
    <row r="2694" ht="13.5" spans="1:9">
      <c r="A2694">
        <v>220038</v>
      </c>
      <c r="B2694">
        <v>1</v>
      </c>
      <c r="C2694">
        <v>1</v>
      </c>
      <c r="D2694">
        <v>1</v>
      </c>
      <c r="E2694">
        <v>1</v>
      </c>
      <c r="F2694" t="s">
        <v>3570</v>
      </c>
      <c r="G2694" s="67" t="s">
        <v>3571</v>
      </c>
    </row>
    <row r="2695" ht="13.5" spans="1:9">
      <c r="A2695">
        <v>220039</v>
      </c>
      <c r="B2695">
        <v>1</v>
      </c>
      <c r="C2695">
        <v>1</v>
      </c>
      <c r="D2695">
        <v>1</v>
      </c>
      <c r="E2695">
        <v>1</v>
      </c>
      <c r="F2695" s="7" t="s">
        <v>3572</v>
      </c>
      <c r="G2695" t="s">
        <v>3573</v>
      </c>
    </row>
    <row r="2696" ht="13.5" spans="1:9">
      <c r="A2696">
        <v>220040</v>
      </c>
      <c r="B2696">
        <v>1</v>
      </c>
      <c r="C2696">
        <v>1</v>
      </c>
      <c r="D2696">
        <v>1</v>
      </c>
      <c r="E2696">
        <v>1</v>
      </c>
      <c r="F2696" t="s">
        <v>3574</v>
      </c>
      <c r="G2696" t="s">
        <v>3575</v>
      </c>
    </row>
    <row r="2697" ht="13.5" spans="1:9">
      <c r="A2697">
        <v>220041</v>
      </c>
      <c r="B2697">
        <v>1</v>
      </c>
      <c r="C2697">
        <v>1</v>
      </c>
      <c r="D2697">
        <v>1</v>
      </c>
      <c r="E2697">
        <v>1</v>
      </c>
      <c r="F2697" t="s">
        <v>3576</v>
      </c>
      <c r="G2697" t="s">
        <v>3577</v>
      </c>
    </row>
    <row r="2698" ht="13.5" spans="1:9">
      <c r="A2698">
        <v>220042</v>
      </c>
      <c r="B2698">
        <v>1</v>
      </c>
      <c r="C2698">
        <v>1</v>
      </c>
      <c r="D2698">
        <v>1</v>
      </c>
      <c r="E2698">
        <v>1</v>
      </c>
      <c r="F2698" s="7" t="s">
        <v>3578</v>
      </c>
      <c r="G2698" t="s">
        <v>3579</v>
      </c>
    </row>
    <row r="2699" ht="13.5" spans="1:9">
      <c r="A2699">
        <v>220043</v>
      </c>
      <c r="B2699">
        <v>1</v>
      </c>
      <c r="C2699">
        <v>1</v>
      </c>
      <c r="D2699">
        <v>1</v>
      </c>
      <c r="E2699">
        <v>1</v>
      </c>
      <c r="F2699" t="s">
        <v>3580</v>
      </c>
      <c r="G2699" t="s">
        <v>3581</v>
      </c>
    </row>
    <row r="2700" ht="13.5" spans="1:9">
      <c r="A2700">
        <v>220044</v>
      </c>
      <c r="B2700">
        <v>1</v>
      </c>
      <c r="C2700">
        <v>1</v>
      </c>
      <c r="D2700">
        <v>1</v>
      </c>
      <c r="E2700">
        <v>1</v>
      </c>
      <c r="F2700" t="s">
        <v>3582</v>
      </c>
      <c r="G2700" t="s">
        <v>3583</v>
      </c>
    </row>
    <row r="2701" ht="16.5" spans="1:9">
      <c r="A2701">
        <v>300001</v>
      </c>
      <c r="B2701">
        <v>1</v>
      </c>
      <c r="C2701">
        <v>1</v>
      </c>
      <c r="D2701">
        <v>1</v>
      </c>
      <c r="E2701">
        <v>1</v>
      </c>
      <c r="F2701" t="s">
        <v>3584</v>
      </c>
      <c r="G2701" s="102" t="s">
        <v>3585</v>
      </c>
      <c r="H2701" s="7">
        <v>2</v>
      </c>
      <c r="I2701" s="7">
        <v>3</v>
      </c>
    </row>
    <row r="2702" ht="16.5" spans="1:9">
      <c r="A2702">
        <v>300002</v>
      </c>
      <c r="B2702">
        <v>1</v>
      </c>
      <c r="C2702">
        <v>1</v>
      </c>
      <c r="D2702">
        <v>1</v>
      </c>
      <c r="E2702">
        <v>1</v>
      </c>
      <c r="F2702" t="s">
        <v>3586</v>
      </c>
      <c r="G2702" s="102" t="s">
        <v>3587</v>
      </c>
      <c r="H2702" s="7">
        <v>2</v>
      </c>
      <c r="I2702" s="7">
        <v>3</v>
      </c>
    </row>
    <row r="2703" ht="16.5" spans="1:9">
      <c r="A2703">
        <v>300003</v>
      </c>
      <c r="B2703">
        <v>1</v>
      </c>
      <c r="C2703">
        <v>1</v>
      </c>
      <c r="D2703">
        <v>1</v>
      </c>
      <c r="E2703">
        <v>1</v>
      </c>
      <c r="F2703" t="s">
        <v>3588</v>
      </c>
      <c r="G2703" s="102" t="s">
        <v>3589</v>
      </c>
      <c r="H2703" s="7">
        <v>2</v>
      </c>
      <c r="I2703" s="7">
        <v>3</v>
      </c>
    </row>
    <row r="2704" ht="16.5" spans="1:9">
      <c r="A2704">
        <v>300004</v>
      </c>
      <c r="B2704">
        <v>1</v>
      </c>
      <c r="C2704">
        <v>1</v>
      </c>
      <c r="D2704">
        <v>1</v>
      </c>
      <c r="E2704">
        <v>1</v>
      </c>
      <c r="F2704" t="s">
        <v>3590</v>
      </c>
      <c r="G2704" s="102" t="s">
        <v>3591</v>
      </c>
      <c r="H2704" s="7">
        <v>3</v>
      </c>
      <c r="I2704" s="7">
        <v>4</v>
      </c>
    </row>
    <row r="2705" ht="16.5" spans="1:12">
      <c r="A2705">
        <v>300005</v>
      </c>
      <c r="B2705">
        <v>1</v>
      </c>
      <c r="C2705">
        <v>1</v>
      </c>
      <c r="D2705">
        <v>1</v>
      </c>
      <c r="E2705">
        <v>1</v>
      </c>
      <c r="F2705" t="s">
        <v>3592</v>
      </c>
      <c r="G2705" s="102" t="s">
        <v>3593</v>
      </c>
      <c r="H2705" s="7">
        <v>2</v>
      </c>
      <c r="I2705" s="7">
        <v>3</v>
      </c>
    </row>
    <row r="2706" ht="16.5" spans="1:12">
      <c r="A2706">
        <v>300006</v>
      </c>
      <c r="B2706">
        <v>1</v>
      </c>
      <c r="C2706">
        <v>1</v>
      </c>
      <c r="D2706">
        <v>1</v>
      </c>
      <c r="E2706">
        <v>1</v>
      </c>
      <c r="F2706" t="s">
        <v>3594</v>
      </c>
      <c r="G2706" s="102" t="s">
        <v>3595</v>
      </c>
      <c r="H2706" s="7">
        <v>2</v>
      </c>
      <c r="I2706" s="7">
        <v>3</v>
      </c>
    </row>
    <row r="2707" ht="16.5" spans="1:12">
      <c r="A2707">
        <v>300007</v>
      </c>
      <c r="B2707">
        <v>1</v>
      </c>
      <c r="C2707">
        <v>1</v>
      </c>
      <c r="D2707">
        <v>1</v>
      </c>
      <c r="E2707">
        <v>1</v>
      </c>
      <c r="F2707" t="s">
        <v>3596</v>
      </c>
      <c r="G2707" s="102" t="s">
        <v>3597</v>
      </c>
      <c r="H2707" s="7">
        <v>3</v>
      </c>
      <c r="I2707" s="7">
        <v>4</v>
      </c>
    </row>
    <row r="2708" ht="16.5" spans="1:12">
      <c r="A2708">
        <v>300008</v>
      </c>
      <c r="B2708">
        <v>1</v>
      </c>
      <c r="C2708">
        <v>1</v>
      </c>
      <c r="D2708">
        <v>1</v>
      </c>
      <c r="E2708">
        <v>1</v>
      </c>
      <c r="F2708" t="s">
        <v>3598</v>
      </c>
      <c r="G2708" s="102" t="s">
        <v>3599</v>
      </c>
      <c r="H2708" s="7">
        <v>2</v>
      </c>
      <c r="I2708" s="7">
        <v>3</v>
      </c>
    </row>
    <row r="2709" ht="16.5" spans="1:12">
      <c r="A2709">
        <v>300009</v>
      </c>
      <c r="B2709">
        <v>1</v>
      </c>
      <c r="C2709">
        <v>1</v>
      </c>
      <c r="D2709">
        <v>1</v>
      </c>
      <c r="E2709">
        <v>1</v>
      </c>
      <c r="F2709" t="s">
        <v>3600</v>
      </c>
      <c r="G2709" s="102" t="s">
        <v>3601</v>
      </c>
      <c r="H2709" s="7">
        <v>2</v>
      </c>
      <c r="I2709" s="7">
        <v>3</v>
      </c>
    </row>
    <row r="2710" ht="16.5" spans="1:12">
      <c r="A2710">
        <v>300010</v>
      </c>
      <c r="B2710">
        <v>1</v>
      </c>
      <c r="C2710">
        <v>1</v>
      </c>
      <c r="D2710">
        <v>1</v>
      </c>
      <c r="E2710">
        <v>1</v>
      </c>
      <c r="F2710" t="s">
        <v>3602</v>
      </c>
      <c r="G2710" s="102" t="s">
        <v>3603</v>
      </c>
      <c r="H2710" s="7">
        <v>2</v>
      </c>
      <c r="I2710" s="7">
        <v>3</v>
      </c>
    </row>
    <row r="2711" ht="16.5" spans="1:12">
      <c r="A2711">
        <v>300011</v>
      </c>
      <c r="B2711">
        <v>1</v>
      </c>
      <c r="C2711">
        <v>1</v>
      </c>
      <c r="D2711">
        <v>1</v>
      </c>
      <c r="E2711">
        <v>1</v>
      </c>
      <c r="F2711" t="s">
        <v>3604</v>
      </c>
      <c r="G2711" s="102" t="s">
        <v>3605</v>
      </c>
      <c r="H2711" s="7">
        <v>2</v>
      </c>
      <c r="I2711" s="7">
        <v>3</v>
      </c>
    </row>
    <row r="2712" ht="16.5" spans="1:12">
      <c r="A2712">
        <v>300012</v>
      </c>
      <c r="B2712">
        <v>1</v>
      </c>
      <c r="C2712">
        <v>1</v>
      </c>
      <c r="D2712">
        <v>1</v>
      </c>
      <c r="E2712">
        <v>1</v>
      </c>
      <c r="F2712" t="s">
        <v>3606</v>
      </c>
      <c r="G2712" s="102" t="s">
        <v>3607</v>
      </c>
      <c r="H2712" s="7">
        <v>3</v>
      </c>
      <c r="I2712" s="7">
        <v>4</v>
      </c>
    </row>
    <row r="2713" ht="16.5" spans="1:12">
      <c r="A2713">
        <v>300013</v>
      </c>
      <c r="B2713">
        <v>1</v>
      </c>
      <c r="C2713">
        <v>1</v>
      </c>
      <c r="D2713">
        <v>1</v>
      </c>
      <c r="E2713">
        <v>1</v>
      </c>
      <c r="F2713" t="s">
        <v>3608</v>
      </c>
      <c r="G2713" s="102" t="s">
        <v>3609</v>
      </c>
      <c r="H2713" s="7">
        <v>0</v>
      </c>
      <c r="I2713" s="7">
        <v>1</v>
      </c>
    </row>
    <row r="2714" s="48" customFormat="1" ht="13.5" spans="1:12">
      <c r="A2714" s="48">
        <v>300020</v>
      </c>
      <c r="B2714" s="48">
        <v>2</v>
      </c>
      <c r="C2714" s="48">
        <v>3</v>
      </c>
      <c r="D2714" s="48">
        <v>1</v>
      </c>
      <c r="E2714" s="48">
        <v>1</v>
      </c>
      <c r="F2714" s="48" t="s">
        <v>3610</v>
      </c>
      <c r="G2714" s="48" t="s">
        <v>3611</v>
      </c>
    </row>
    <row r="2715" s="48" customFormat="1" ht="13.5" spans="1:12">
      <c r="A2715" s="48">
        <v>300021</v>
      </c>
      <c r="B2715" s="48">
        <v>2</v>
      </c>
      <c r="C2715" s="48">
        <v>3</v>
      </c>
      <c r="D2715" s="48">
        <v>1</v>
      </c>
      <c r="E2715" s="48">
        <v>1</v>
      </c>
      <c r="F2715" s="48" t="s">
        <v>3612</v>
      </c>
      <c r="G2715" s="48" t="s">
        <v>3613</v>
      </c>
    </row>
    <row r="2716" s="48" customFormat="1" ht="13.5" spans="1:12">
      <c r="A2716" s="48">
        <v>300022</v>
      </c>
      <c r="B2716" s="48">
        <v>2</v>
      </c>
      <c r="C2716" s="48">
        <v>3</v>
      </c>
      <c r="D2716" s="48">
        <v>1</v>
      </c>
      <c r="E2716" s="48">
        <v>1</v>
      </c>
      <c r="F2716" s="48" t="s">
        <v>3614</v>
      </c>
      <c r="G2716" s="48" t="s">
        <v>3615</v>
      </c>
    </row>
    <row r="2717" s="48" customFormat="1" ht="13.5" spans="1:12">
      <c r="A2717" s="48">
        <v>300023</v>
      </c>
      <c r="B2717" s="48">
        <v>2</v>
      </c>
      <c r="C2717" s="48">
        <v>3</v>
      </c>
      <c r="D2717" s="48">
        <v>1</v>
      </c>
      <c r="E2717" s="48">
        <v>1</v>
      </c>
      <c r="F2717" s="48" t="s">
        <v>3616</v>
      </c>
      <c r="G2717" s="48" t="s">
        <v>3617</v>
      </c>
    </row>
    <row r="2718" ht="13.5" spans="1:12">
      <c r="A2718">
        <v>300030</v>
      </c>
      <c r="B2718">
        <v>2</v>
      </c>
      <c r="C2718">
        <v>3</v>
      </c>
      <c r="D2718">
        <v>1</v>
      </c>
      <c r="E2718">
        <v>1</v>
      </c>
      <c r="F2718" t="s">
        <v>3618</v>
      </c>
      <c r="G2718" t="s">
        <v>3619</v>
      </c>
      <c r="H2718" t="s">
        <v>3620</v>
      </c>
      <c r="I2718" s="7">
        <v>0.66</v>
      </c>
      <c r="J2718" s="7">
        <v>0.34</v>
      </c>
      <c r="K2718" s="7"/>
      <c r="L2718" s="7"/>
    </row>
    <row r="2719" ht="13.5" spans="1:12">
      <c r="A2719">
        <v>300031</v>
      </c>
      <c r="B2719">
        <v>2</v>
      </c>
      <c r="C2719">
        <v>3</v>
      </c>
      <c r="D2719">
        <v>1</v>
      </c>
      <c r="E2719">
        <v>1</v>
      </c>
      <c r="F2719" t="s">
        <v>3621</v>
      </c>
      <c r="G2719" t="s">
        <v>3622</v>
      </c>
      <c r="H2719" t="s">
        <v>3623</v>
      </c>
      <c r="I2719" s="7">
        <v>0.66</v>
      </c>
      <c r="J2719" s="7">
        <v>0.34</v>
      </c>
      <c r="K2719" s="7"/>
      <c r="L2719" s="7"/>
    </row>
    <row r="2720" ht="13.5" spans="1:12">
      <c r="A2720">
        <v>300032</v>
      </c>
      <c r="B2720">
        <v>2</v>
      </c>
      <c r="C2720">
        <v>3</v>
      </c>
      <c r="D2720">
        <v>1</v>
      </c>
      <c r="E2720">
        <v>1</v>
      </c>
      <c r="F2720" t="s">
        <v>3624</v>
      </c>
      <c r="G2720" t="s">
        <v>3625</v>
      </c>
      <c r="H2720" t="s">
        <v>3626</v>
      </c>
      <c r="I2720" s="7">
        <v>0.66</v>
      </c>
      <c r="J2720" s="7">
        <v>0.34</v>
      </c>
      <c r="K2720" s="7"/>
      <c r="L2720" s="7"/>
    </row>
    <row r="2721" ht="13.5" spans="1:12">
      <c r="A2721">
        <v>300033</v>
      </c>
      <c r="B2721">
        <v>2</v>
      </c>
      <c r="C2721">
        <v>3</v>
      </c>
      <c r="D2721">
        <v>1</v>
      </c>
      <c r="E2721">
        <v>1</v>
      </c>
      <c r="F2721" t="s">
        <v>3616</v>
      </c>
      <c r="G2721" t="s">
        <v>3627</v>
      </c>
      <c r="H2721" t="s">
        <v>3628</v>
      </c>
      <c r="I2721" s="7">
        <v>0</v>
      </c>
      <c r="J2721" s="7">
        <v>1</v>
      </c>
      <c r="K2721" s="7"/>
      <c r="L2721" s="7"/>
    </row>
    <row r="2722" ht="16.5" spans="1:12">
      <c r="A2722">
        <v>300040</v>
      </c>
      <c r="B2722">
        <v>1</v>
      </c>
      <c r="C2722">
        <v>1</v>
      </c>
      <c r="D2722">
        <v>1</v>
      </c>
      <c r="E2722">
        <v>1</v>
      </c>
      <c r="F2722" t="s">
        <v>3629</v>
      </c>
      <c r="G2722" t="s">
        <v>3630</v>
      </c>
      <c r="H2722" s="99" t="s">
        <v>3631</v>
      </c>
    </row>
    <row r="2723" ht="16.5" spans="1:12">
      <c r="A2723">
        <v>300041</v>
      </c>
      <c r="B2723">
        <v>1</v>
      </c>
      <c r="C2723">
        <v>1</v>
      </c>
      <c r="D2723">
        <v>1</v>
      </c>
      <c r="E2723">
        <v>1</v>
      </c>
      <c r="F2723" t="s">
        <v>3632</v>
      </c>
      <c r="G2723" t="s">
        <v>3630</v>
      </c>
      <c r="H2723" s="99" t="s">
        <v>3633</v>
      </c>
    </row>
    <row r="2724" ht="16.5" spans="1:12">
      <c r="A2724">
        <v>300042</v>
      </c>
      <c r="B2724">
        <v>1</v>
      </c>
      <c r="C2724">
        <v>1</v>
      </c>
      <c r="D2724">
        <v>1</v>
      </c>
      <c r="E2724">
        <v>1</v>
      </c>
      <c r="F2724" t="s">
        <v>3634</v>
      </c>
      <c r="G2724" t="s">
        <v>3630</v>
      </c>
      <c r="H2724" s="99" t="s">
        <v>3635</v>
      </c>
    </row>
    <row r="2725" ht="16.5" spans="1:12">
      <c r="A2725">
        <v>300043</v>
      </c>
      <c r="B2725">
        <v>1</v>
      </c>
      <c r="C2725">
        <v>1</v>
      </c>
      <c r="D2725">
        <v>1</v>
      </c>
      <c r="E2725">
        <v>1</v>
      </c>
      <c r="F2725" t="s">
        <v>3636</v>
      </c>
      <c r="G2725" t="s">
        <v>3630</v>
      </c>
      <c r="H2725" s="99" t="s">
        <v>3637</v>
      </c>
    </row>
    <row r="2726" ht="16.5" spans="1:12">
      <c r="A2726">
        <v>300044</v>
      </c>
      <c r="B2726">
        <v>1</v>
      </c>
      <c r="C2726">
        <v>1</v>
      </c>
      <c r="D2726">
        <v>1</v>
      </c>
      <c r="E2726">
        <v>1</v>
      </c>
      <c r="F2726" t="s">
        <v>3638</v>
      </c>
      <c r="G2726" t="s">
        <v>3630</v>
      </c>
      <c r="H2726" s="99" t="s">
        <v>3639</v>
      </c>
    </row>
    <row r="2727" ht="16.5" spans="1:12">
      <c r="A2727">
        <v>300045</v>
      </c>
      <c r="B2727">
        <v>1</v>
      </c>
      <c r="C2727">
        <v>1</v>
      </c>
      <c r="D2727">
        <v>1</v>
      </c>
      <c r="E2727">
        <v>1</v>
      </c>
      <c r="F2727" t="s">
        <v>3640</v>
      </c>
      <c r="G2727" t="s">
        <v>3630</v>
      </c>
      <c r="H2727" s="99" t="s">
        <v>3641</v>
      </c>
    </row>
    <row r="2728" ht="16.5" spans="1:12">
      <c r="A2728">
        <v>300046</v>
      </c>
      <c r="B2728">
        <v>1</v>
      </c>
      <c r="C2728">
        <v>1</v>
      </c>
      <c r="D2728">
        <v>1</v>
      </c>
      <c r="E2728">
        <v>1</v>
      </c>
      <c r="F2728" t="s">
        <v>3642</v>
      </c>
      <c r="G2728" t="s">
        <v>3630</v>
      </c>
      <c r="H2728" s="99" t="s">
        <v>3643</v>
      </c>
    </row>
    <row r="2729" ht="13.5" spans="1:12">
      <c r="A2729">
        <v>300050</v>
      </c>
      <c r="B2729">
        <v>2</v>
      </c>
      <c r="C2729">
        <v>7</v>
      </c>
      <c r="D2729">
        <v>1</v>
      </c>
      <c r="E2729">
        <v>1</v>
      </c>
      <c r="F2729" t="s">
        <v>3644</v>
      </c>
      <c r="G2729" t="s">
        <v>3645</v>
      </c>
    </row>
    <row r="2730" ht="13.5" spans="1:12">
      <c r="A2730">
        <v>300061</v>
      </c>
      <c r="B2730">
        <v>2</v>
      </c>
      <c r="C2730">
        <v>2</v>
      </c>
      <c r="D2730">
        <v>1</v>
      </c>
      <c r="E2730">
        <v>1</v>
      </c>
      <c r="F2730" t="s">
        <v>3646</v>
      </c>
      <c r="G2730" t="s">
        <v>3647</v>
      </c>
    </row>
    <row r="2731" ht="13.5" spans="1:12">
      <c r="A2731">
        <v>300062</v>
      </c>
      <c r="B2731">
        <v>2</v>
      </c>
      <c r="C2731">
        <v>2</v>
      </c>
      <c r="D2731">
        <v>1</v>
      </c>
      <c r="E2731">
        <v>1</v>
      </c>
      <c r="F2731" t="s">
        <v>3648</v>
      </c>
      <c r="G2731" t="s">
        <v>3647</v>
      </c>
    </row>
    <row r="2732" ht="13.5" spans="1:12">
      <c r="A2732">
        <v>300063</v>
      </c>
      <c r="B2732">
        <v>2</v>
      </c>
      <c r="C2732">
        <v>2</v>
      </c>
      <c r="D2732">
        <v>1</v>
      </c>
      <c r="E2732">
        <v>1</v>
      </c>
      <c r="F2732" t="s">
        <v>3649</v>
      </c>
      <c r="G2732" t="s">
        <v>3647</v>
      </c>
    </row>
    <row r="2733" ht="13.5" spans="1:12">
      <c r="A2733">
        <v>300064</v>
      </c>
      <c r="B2733">
        <v>2</v>
      </c>
      <c r="C2733">
        <v>2</v>
      </c>
      <c r="D2733">
        <v>1</v>
      </c>
      <c r="E2733">
        <v>1</v>
      </c>
      <c r="F2733" t="s">
        <v>3650</v>
      </c>
      <c r="G2733" t="s">
        <v>3647</v>
      </c>
    </row>
    <row r="2734" ht="13.5" spans="1:12">
      <c r="A2734">
        <v>300065</v>
      </c>
      <c r="B2734">
        <v>1</v>
      </c>
      <c r="C2734">
        <v>1</v>
      </c>
      <c r="D2734">
        <v>1</v>
      </c>
      <c r="E2734">
        <v>1</v>
      </c>
      <c r="F2734" t="s">
        <v>3651</v>
      </c>
      <c r="G2734" t="s">
        <v>3652</v>
      </c>
    </row>
    <row r="2735" ht="13.5" spans="1:12">
      <c r="A2735">
        <v>300066</v>
      </c>
      <c r="B2735">
        <v>1</v>
      </c>
      <c r="C2735">
        <v>1</v>
      </c>
      <c r="D2735">
        <v>1</v>
      </c>
      <c r="E2735">
        <v>1</v>
      </c>
      <c r="F2735" t="s">
        <v>3653</v>
      </c>
      <c r="G2735" t="s">
        <v>3654</v>
      </c>
    </row>
    <row r="2736" ht="13.5" spans="1:12">
      <c r="A2736">
        <v>300067</v>
      </c>
      <c r="B2736">
        <v>1</v>
      </c>
      <c r="C2736">
        <v>1</v>
      </c>
      <c r="D2736">
        <v>1</v>
      </c>
      <c r="E2736">
        <v>1</v>
      </c>
      <c r="F2736" s="7" t="s">
        <v>3655</v>
      </c>
      <c r="G2736" t="s">
        <v>3656</v>
      </c>
    </row>
    <row r="2737" ht="13.5" spans="1:7">
      <c r="A2737">
        <v>300068</v>
      </c>
      <c r="B2737">
        <v>1</v>
      </c>
      <c r="C2737">
        <v>1</v>
      </c>
      <c r="D2737">
        <v>1</v>
      </c>
      <c r="E2737">
        <v>1</v>
      </c>
      <c r="F2737" s="7" t="s">
        <v>3657</v>
      </c>
      <c r="G2737" t="s">
        <v>3658</v>
      </c>
    </row>
    <row r="2738" ht="13.5" spans="1:7">
      <c r="A2738">
        <v>300069</v>
      </c>
      <c r="B2738">
        <v>1</v>
      </c>
      <c r="C2738">
        <v>1</v>
      </c>
      <c r="D2738">
        <v>1</v>
      </c>
      <c r="E2738">
        <v>1</v>
      </c>
      <c r="F2738" s="7" t="s">
        <v>3659</v>
      </c>
      <c r="G2738" t="s">
        <v>3660</v>
      </c>
    </row>
    <row r="2739" s="49" customFormat="1" ht="13.5" spans="1:7">
      <c r="A2739" s="49">
        <v>220045</v>
      </c>
      <c r="B2739" s="49">
        <v>1</v>
      </c>
      <c r="C2739" s="49">
        <v>1</v>
      </c>
      <c r="D2739" s="49">
        <v>1</v>
      </c>
      <c r="E2739" s="49">
        <v>1</v>
      </c>
      <c r="F2739" s="103" t="s">
        <v>3661</v>
      </c>
      <c r="G2739" s="49" t="s">
        <v>3662</v>
      </c>
    </row>
    <row r="2740" ht="14" customHeight="1" spans="1:7">
      <c r="A2740">
        <v>300070</v>
      </c>
      <c r="B2740">
        <v>1</v>
      </c>
      <c r="C2740">
        <v>1</v>
      </c>
      <c r="D2740">
        <v>1</v>
      </c>
      <c r="E2740">
        <v>1</v>
      </c>
      <c r="F2740" s="81" t="s">
        <v>3663</v>
      </c>
      <c r="G2740" s="82" t="s">
        <v>3664</v>
      </c>
    </row>
    <row r="2741" ht="14" customHeight="1" spans="1:7">
      <c r="A2741">
        <v>300071</v>
      </c>
      <c r="B2741">
        <v>1</v>
      </c>
      <c r="C2741">
        <v>1</v>
      </c>
      <c r="D2741">
        <v>1</v>
      </c>
      <c r="E2741">
        <v>1</v>
      </c>
      <c r="F2741" s="81" t="s">
        <v>3665</v>
      </c>
      <c r="G2741" s="82" t="s">
        <v>3666</v>
      </c>
    </row>
    <row r="2742" ht="14" customHeight="1" spans="1:7">
      <c r="A2742">
        <v>300072</v>
      </c>
      <c r="B2742">
        <v>1</v>
      </c>
      <c r="C2742">
        <v>1</v>
      </c>
      <c r="D2742">
        <v>1</v>
      </c>
      <c r="E2742">
        <v>1</v>
      </c>
      <c r="F2742" s="81" t="s">
        <v>3667</v>
      </c>
      <c r="G2742" s="82" t="s">
        <v>3668</v>
      </c>
    </row>
    <row r="2743" ht="14" customHeight="1" spans="1:7">
      <c r="A2743">
        <v>300073</v>
      </c>
      <c r="B2743">
        <v>1</v>
      </c>
      <c r="C2743">
        <v>1</v>
      </c>
      <c r="D2743">
        <v>1</v>
      </c>
      <c r="E2743">
        <v>1</v>
      </c>
      <c r="F2743" s="81" t="s">
        <v>3669</v>
      </c>
      <c r="G2743" s="82" t="s">
        <v>3670</v>
      </c>
    </row>
    <row r="2744" ht="14" customHeight="1" spans="1:7">
      <c r="A2744">
        <v>300074</v>
      </c>
      <c r="B2744">
        <v>1</v>
      </c>
      <c r="C2744">
        <v>1</v>
      </c>
      <c r="D2744">
        <v>1</v>
      </c>
      <c r="E2744">
        <v>1</v>
      </c>
      <c r="F2744" s="81" t="s">
        <v>3671</v>
      </c>
      <c r="G2744" s="82" t="s">
        <v>3672</v>
      </c>
    </row>
    <row r="2745" ht="14" customHeight="1" spans="1:7">
      <c r="A2745">
        <v>300075</v>
      </c>
      <c r="B2745">
        <v>1</v>
      </c>
      <c r="C2745">
        <v>1</v>
      </c>
      <c r="D2745">
        <v>1</v>
      </c>
      <c r="E2745">
        <v>1</v>
      </c>
      <c r="F2745" s="81" t="s">
        <v>3673</v>
      </c>
      <c r="G2745" s="82" t="s">
        <v>3674</v>
      </c>
    </row>
    <row r="2746" ht="14" customHeight="1" spans="1:7">
      <c r="A2746">
        <v>300076</v>
      </c>
      <c r="B2746">
        <v>1</v>
      </c>
      <c r="C2746">
        <v>1</v>
      </c>
      <c r="D2746">
        <v>1</v>
      </c>
      <c r="E2746">
        <v>1</v>
      </c>
      <c r="F2746" s="81" t="s">
        <v>3675</v>
      </c>
      <c r="G2746" s="82" t="s">
        <v>3676</v>
      </c>
    </row>
    <row r="2747" ht="14" customHeight="1" spans="1:7">
      <c r="A2747">
        <v>300077</v>
      </c>
      <c r="B2747">
        <v>1</v>
      </c>
      <c r="C2747">
        <v>1</v>
      </c>
      <c r="D2747">
        <v>1</v>
      </c>
      <c r="E2747">
        <v>1</v>
      </c>
      <c r="F2747" s="81" t="s">
        <v>3677</v>
      </c>
      <c r="G2747" s="82" t="s">
        <v>3678</v>
      </c>
    </row>
    <row r="2748" ht="13.5" spans="1:7">
      <c r="A2748">
        <v>300078</v>
      </c>
      <c r="B2748">
        <v>1</v>
      </c>
      <c r="C2748">
        <v>1</v>
      </c>
      <c r="D2748">
        <v>1</v>
      </c>
      <c r="E2748">
        <v>1</v>
      </c>
      <c r="F2748" s="7" t="s">
        <v>3679</v>
      </c>
      <c r="G2748" s="104" t="s">
        <v>3680</v>
      </c>
    </row>
    <row r="2749" ht="13.5" spans="1:7">
      <c r="A2749">
        <v>300079</v>
      </c>
      <c r="B2749">
        <v>1</v>
      </c>
      <c r="C2749">
        <v>1</v>
      </c>
      <c r="D2749">
        <v>1</v>
      </c>
      <c r="E2749">
        <v>1</v>
      </c>
      <c r="F2749" t="s">
        <v>3681</v>
      </c>
      <c r="G2749" t="s">
        <v>3682</v>
      </c>
    </row>
    <row r="2750" s="49" customFormat="1" ht="13.5" spans="1:7">
      <c r="A2750" s="49">
        <v>220046</v>
      </c>
      <c r="B2750" s="49">
        <v>1</v>
      </c>
      <c r="C2750" s="49">
        <v>1</v>
      </c>
      <c r="D2750" s="49">
        <v>1</v>
      </c>
      <c r="E2750" s="49">
        <v>1</v>
      </c>
      <c r="F2750" s="103" t="s">
        <v>3683</v>
      </c>
      <c r="G2750" s="49" t="s">
        <v>3684</v>
      </c>
    </row>
    <row r="2751" ht="13.5" spans="1:7">
      <c r="A2751">
        <v>300080</v>
      </c>
      <c r="B2751">
        <v>1</v>
      </c>
      <c r="C2751">
        <v>1</v>
      </c>
      <c r="D2751">
        <v>1</v>
      </c>
      <c r="E2751">
        <v>1</v>
      </c>
      <c r="F2751" s="7" t="s">
        <v>3685</v>
      </c>
      <c r="G2751" t="s">
        <v>3686</v>
      </c>
    </row>
    <row r="2752" ht="13.5" spans="1:7">
      <c r="A2752">
        <v>300081</v>
      </c>
      <c r="B2752">
        <v>1</v>
      </c>
      <c r="C2752">
        <v>1</v>
      </c>
      <c r="D2752">
        <v>1</v>
      </c>
      <c r="E2752">
        <v>1</v>
      </c>
      <c r="F2752" t="s">
        <v>3687</v>
      </c>
      <c r="G2752" t="s">
        <v>3688</v>
      </c>
    </row>
    <row r="2753" ht="13.5" spans="1:7">
      <c r="A2753">
        <v>300082</v>
      </c>
      <c r="B2753">
        <v>1</v>
      </c>
      <c r="C2753">
        <v>1</v>
      </c>
      <c r="D2753">
        <v>1</v>
      </c>
      <c r="E2753">
        <v>1</v>
      </c>
      <c r="F2753" t="s">
        <v>3689</v>
      </c>
      <c r="G2753" t="s">
        <v>3690</v>
      </c>
    </row>
    <row r="2754" ht="13.5" spans="1:7">
      <c r="A2754">
        <v>300083</v>
      </c>
      <c r="B2754">
        <v>1</v>
      </c>
      <c r="C2754">
        <v>1</v>
      </c>
      <c r="D2754">
        <v>1</v>
      </c>
      <c r="E2754">
        <v>1</v>
      </c>
      <c r="F2754" t="s">
        <v>3691</v>
      </c>
      <c r="G2754" t="s">
        <v>3692</v>
      </c>
    </row>
    <row r="2755" ht="13.5" spans="1:7">
      <c r="A2755">
        <v>300084</v>
      </c>
      <c r="B2755">
        <v>1</v>
      </c>
      <c r="C2755">
        <v>1</v>
      </c>
      <c r="D2755">
        <v>1</v>
      </c>
      <c r="E2755">
        <v>1</v>
      </c>
      <c r="F2755" t="s">
        <v>3693</v>
      </c>
      <c r="G2755" t="s">
        <v>3694</v>
      </c>
    </row>
    <row r="2756" ht="13.5" spans="1:7">
      <c r="A2756">
        <v>300085</v>
      </c>
      <c r="B2756">
        <v>1</v>
      </c>
      <c r="C2756">
        <v>1</v>
      </c>
      <c r="D2756">
        <v>1</v>
      </c>
      <c r="E2756">
        <v>1</v>
      </c>
      <c r="F2756" t="s">
        <v>3695</v>
      </c>
      <c r="G2756" t="s">
        <v>3696</v>
      </c>
    </row>
    <row r="2757" ht="13.5" spans="1:7">
      <c r="A2757">
        <v>300086</v>
      </c>
      <c r="B2757">
        <v>1</v>
      </c>
      <c r="C2757">
        <v>1</v>
      </c>
      <c r="D2757">
        <v>1</v>
      </c>
      <c r="E2757">
        <v>1</v>
      </c>
      <c r="F2757" t="s">
        <v>3697</v>
      </c>
      <c r="G2757" t="s">
        <v>3698</v>
      </c>
    </row>
    <row r="2758" s="49" customFormat="1" ht="13.5" spans="1:7">
      <c r="A2758" s="49">
        <v>220047</v>
      </c>
      <c r="B2758" s="49">
        <v>1</v>
      </c>
      <c r="C2758" s="49">
        <v>1</v>
      </c>
      <c r="D2758" s="49">
        <v>1</v>
      </c>
      <c r="E2758" s="49">
        <v>1</v>
      </c>
      <c r="F2758" s="103" t="s">
        <v>3699</v>
      </c>
      <c r="G2758" s="49" t="s">
        <v>3700</v>
      </c>
    </row>
    <row r="2759" ht="13.5" spans="1:7">
      <c r="A2759">
        <v>300087</v>
      </c>
      <c r="B2759">
        <v>1</v>
      </c>
      <c r="C2759">
        <v>2</v>
      </c>
      <c r="D2759">
        <v>1</v>
      </c>
      <c r="E2759">
        <v>1</v>
      </c>
      <c r="F2759" t="s">
        <v>3701</v>
      </c>
      <c r="G2759" s="104" t="s">
        <v>3702</v>
      </c>
    </row>
    <row r="2760" ht="67.5" spans="1:7">
      <c r="A2760">
        <v>300088</v>
      </c>
      <c r="B2760">
        <v>1</v>
      </c>
      <c r="C2760">
        <v>1</v>
      </c>
      <c r="D2760">
        <v>1</v>
      </c>
      <c r="E2760">
        <v>1</v>
      </c>
      <c r="F2760" s="105" t="s">
        <v>3703</v>
      </c>
      <c r="G2760" t="s">
        <v>3704</v>
      </c>
    </row>
    <row r="2761" s="49" customFormat="1" ht="13.5" spans="1:7">
      <c r="A2761" s="49">
        <v>220048</v>
      </c>
      <c r="B2761" s="49">
        <v>1</v>
      </c>
      <c r="C2761" s="49">
        <v>1</v>
      </c>
      <c r="D2761" s="49">
        <v>1</v>
      </c>
      <c r="E2761" s="49">
        <v>1</v>
      </c>
      <c r="F2761" s="103" t="s">
        <v>3705</v>
      </c>
      <c r="G2761" s="49" t="s">
        <v>3706</v>
      </c>
    </row>
    <row r="2762" ht="40.5" spans="1:7">
      <c r="A2762">
        <v>300089</v>
      </c>
      <c r="B2762">
        <v>1</v>
      </c>
      <c r="C2762">
        <v>1</v>
      </c>
      <c r="D2762">
        <v>1</v>
      </c>
      <c r="E2762">
        <v>1</v>
      </c>
      <c r="F2762" s="105" t="s">
        <v>3707</v>
      </c>
      <c r="G2762" t="s">
        <v>3708</v>
      </c>
    </row>
    <row r="2763" s="49" customFormat="1" ht="13.5" spans="1:7">
      <c r="A2763" s="49">
        <v>220049</v>
      </c>
      <c r="B2763" s="49">
        <v>1</v>
      </c>
      <c r="C2763" s="49">
        <v>1</v>
      </c>
      <c r="D2763" s="49">
        <v>1</v>
      </c>
      <c r="E2763" s="49">
        <v>1</v>
      </c>
      <c r="F2763" s="103" t="s">
        <v>3709</v>
      </c>
      <c r="G2763" s="49" t="s">
        <v>3710</v>
      </c>
    </row>
    <row r="2764" ht="13.5" spans="1:7">
      <c r="A2764">
        <v>300090</v>
      </c>
      <c r="B2764">
        <v>1</v>
      </c>
      <c r="C2764">
        <v>1</v>
      </c>
      <c r="D2764">
        <v>1</v>
      </c>
      <c r="E2764">
        <v>1</v>
      </c>
      <c r="F2764" t="s">
        <v>3711</v>
      </c>
      <c r="G2764" s="67" t="s">
        <v>3563</v>
      </c>
    </row>
    <row r="2765" ht="13.5" spans="1:7">
      <c r="A2765">
        <v>300091</v>
      </c>
      <c r="B2765">
        <v>1</v>
      </c>
      <c r="C2765">
        <v>1</v>
      </c>
      <c r="D2765">
        <v>1</v>
      </c>
      <c r="E2765">
        <v>1</v>
      </c>
      <c r="F2765" t="s">
        <v>3691</v>
      </c>
      <c r="G2765" t="s">
        <v>3712</v>
      </c>
    </row>
    <row r="2766" s="49" customFormat="1" ht="13.5" spans="1:7">
      <c r="A2766" s="49">
        <v>220050</v>
      </c>
      <c r="B2766" s="49">
        <v>1</v>
      </c>
      <c r="C2766" s="49">
        <v>1</v>
      </c>
      <c r="D2766" s="49">
        <v>1</v>
      </c>
      <c r="E2766" s="49">
        <v>1</v>
      </c>
      <c r="F2766" s="103" t="s">
        <v>3713</v>
      </c>
      <c r="G2766" s="49" t="s">
        <v>3714</v>
      </c>
    </row>
    <row r="2767" s="49" customFormat="1" ht="13.5" spans="1:7">
      <c r="A2767" s="49">
        <v>220051</v>
      </c>
      <c r="B2767" s="49">
        <v>1</v>
      </c>
      <c r="C2767" s="49">
        <v>1</v>
      </c>
      <c r="D2767" s="49">
        <v>1</v>
      </c>
      <c r="E2767" s="49">
        <v>1</v>
      </c>
      <c r="F2767" s="103" t="s">
        <v>3715</v>
      </c>
      <c r="G2767" s="49" t="s">
        <v>3716</v>
      </c>
    </row>
    <row r="2768" ht="13.5" spans="1:7">
      <c r="A2768">
        <v>300092</v>
      </c>
      <c r="B2768">
        <v>1</v>
      </c>
      <c r="C2768">
        <v>1</v>
      </c>
      <c r="D2768">
        <v>1</v>
      </c>
      <c r="E2768">
        <v>1</v>
      </c>
      <c r="F2768" t="s">
        <v>3717</v>
      </c>
      <c r="G2768" t="s">
        <v>3718</v>
      </c>
    </row>
    <row r="2769" ht="13.5" spans="1:7">
      <c r="A2769">
        <v>300093</v>
      </c>
      <c r="B2769">
        <v>1</v>
      </c>
      <c r="C2769">
        <v>1</v>
      </c>
      <c r="D2769">
        <v>1</v>
      </c>
      <c r="E2769">
        <v>1</v>
      </c>
      <c r="F2769" t="s">
        <v>3551</v>
      </c>
      <c r="G2769" t="s">
        <v>3719</v>
      </c>
    </row>
    <row r="2770" ht="13.5" spans="1:7">
      <c r="A2770">
        <v>300094</v>
      </c>
      <c r="B2770">
        <v>1</v>
      </c>
      <c r="C2770">
        <v>1</v>
      </c>
      <c r="D2770">
        <v>1</v>
      </c>
      <c r="E2770">
        <v>1</v>
      </c>
      <c r="F2770" t="s">
        <v>3720</v>
      </c>
      <c r="G2770" t="s">
        <v>3721</v>
      </c>
    </row>
    <row r="2771" ht="13.5" spans="1:7">
      <c r="A2771">
        <v>300095</v>
      </c>
      <c r="B2771">
        <v>1</v>
      </c>
      <c r="C2771">
        <v>1</v>
      </c>
      <c r="D2771">
        <v>1</v>
      </c>
      <c r="E2771">
        <v>1</v>
      </c>
      <c r="F2771" s="7" t="s">
        <v>3722</v>
      </c>
      <c r="G2771" t="s">
        <v>3656</v>
      </c>
    </row>
    <row r="2772" ht="13.5" spans="1:7">
      <c r="A2772">
        <v>300096</v>
      </c>
      <c r="B2772">
        <v>1</v>
      </c>
      <c r="C2772">
        <v>1</v>
      </c>
      <c r="D2772">
        <v>1</v>
      </c>
      <c r="E2772">
        <v>1</v>
      </c>
      <c r="F2772" t="s">
        <v>3723</v>
      </c>
      <c r="G2772" t="s">
        <v>3724</v>
      </c>
    </row>
    <row r="2773" s="49" customFormat="1" ht="13.5" spans="1:7">
      <c r="A2773" s="49">
        <v>220052</v>
      </c>
      <c r="B2773" s="49">
        <v>1</v>
      </c>
      <c r="C2773" s="49">
        <v>1</v>
      </c>
      <c r="D2773" s="49">
        <v>1</v>
      </c>
      <c r="E2773" s="49">
        <v>1</v>
      </c>
      <c r="F2773" s="103" t="s">
        <v>3725</v>
      </c>
      <c r="G2773" s="49" t="s">
        <v>3726</v>
      </c>
    </row>
    <row r="2774" ht="13.5" spans="1:7">
      <c r="A2774">
        <v>300097</v>
      </c>
      <c r="B2774">
        <v>1</v>
      </c>
      <c r="C2774">
        <v>1</v>
      </c>
      <c r="D2774">
        <v>1</v>
      </c>
      <c r="E2774">
        <v>1</v>
      </c>
      <c r="F2774" t="s">
        <v>3727</v>
      </c>
      <c r="G2774" t="s">
        <v>3656</v>
      </c>
    </row>
    <row r="2775" ht="13.5" spans="1:7">
      <c r="A2775">
        <v>300098</v>
      </c>
      <c r="B2775">
        <v>1</v>
      </c>
      <c r="C2775">
        <v>1</v>
      </c>
      <c r="D2775">
        <v>1</v>
      </c>
      <c r="E2775">
        <v>1</v>
      </c>
      <c r="F2775" t="s">
        <v>3728</v>
      </c>
      <c r="G2775" t="s">
        <v>3729</v>
      </c>
    </row>
    <row r="2776" ht="13.5" spans="1:7">
      <c r="A2776">
        <v>300099</v>
      </c>
      <c r="B2776">
        <v>1</v>
      </c>
      <c r="C2776">
        <v>1</v>
      </c>
      <c r="D2776">
        <v>1</v>
      </c>
      <c r="E2776">
        <v>1</v>
      </c>
      <c r="F2776" t="s">
        <v>3730</v>
      </c>
      <c r="G2776" t="s">
        <v>3731</v>
      </c>
    </row>
    <row r="2777" ht="13.5" spans="1:7">
      <c r="A2777">
        <v>300100</v>
      </c>
      <c r="B2777">
        <v>1</v>
      </c>
      <c r="C2777">
        <v>1</v>
      </c>
      <c r="D2777">
        <v>1</v>
      </c>
      <c r="E2777">
        <v>1</v>
      </c>
      <c r="F2777" t="s">
        <v>3732</v>
      </c>
      <c r="G2777" t="s">
        <v>3733</v>
      </c>
    </row>
    <row r="2778" ht="13.5" spans="1:7">
      <c r="A2778">
        <v>300101</v>
      </c>
      <c r="B2778">
        <v>1</v>
      </c>
      <c r="C2778">
        <v>1</v>
      </c>
      <c r="D2778">
        <v>1</v>
      </c>
      <c r="E2778">
        <v>1</v>
      </c>
      <c r="F2778" t="s">
        <v>3734</v>
      </c>
      <c r="G2778" t="s">
        <v>3735</v>
      </c>
    </row>
    <row r="2779" ht="13.5" spans="1:7">
      <c r="A2779">
        <v>300102</v>
      </c>
      <c r="B2779">
        <v>1</v>
      </c>
      <c r="C2779">
        <v>1</v>
      </c>
      <c r="D2779">
        <v>1</v>
      </c>
      <c r="E2779">
        <v>1</v>
      </c>
      <c r="F2779" t="s">
        <v>3711</v>
      </c>
      <c r="G2779" t="s">
        <v>3736</v>
      </c>
    </row>
    <row r="2780" ht="13.5" spans="1:7">
      <c r="A2780">
        <v>300103</v>
      </c>
      <c r="B2780">
        <v>1</v>
      </c>
      <c r="C2780">
        <v>1</v>
      </c>
      <c r="D2780">
        <v>1</v>
      </c>
      <c r="E2780">
        <v>1</v>
      </c>
      <c r="F2780" t="s">
        <v>3737</v>
      </c>
      <c r="G2780" t="s">
        <v>3738</v>
      </c>
    </row>
    <row r="2781" s="49" customFormat="1" ht="13.5" spans="1:7">
      <c r="A2781" s="49">
        <v>220053</v>
      </c>
      <c r="B2781" s="49">
        <v>1</v>
      </c>
      <c r="C2781" s="49">
        <v>1</v>
      </c>
      <c r="D2781" s="49">
        <v>1</v>
      </c>
      <c r="E2781" s="49">
        <v>1</v>
      </c>
      <c r="F2781" s="103" t="s">
        <v>3739</v>
      </c>
      <c r="G2781" s="49" t="s">
        <v>3740</v>
      </c>
    </row>
    <row r="2782" ht="13.5" spans="1:7">
      <c r="A2782">
        <v>300104</v>
      </c>
      <c r="B2782">
        <v>1</v>
      </c>
      <c r="C2782">
        <v>1</v>
      </c>
      <c r="D2782">
        <v>1</v>
      </c>
      <c r="E2782">
        <v>1</v>
      </c>
      <c r="F2782" t="s">
        <v>3691</v>
      </c>
      <c r="G2782" t="s">
        <v>3741</v>
      </c>
    </row>
    <row r="2783" ht="13.5" spans="1:7">
      <c r="A2783">
        <v>300105</v>
      </c>
      <c r="B2783">
        <v>1</v>
      </c>
      <c r="C2783">
        <v>1</v>
      </c>
      <c r="D2783">
        <v>1</v>
      </c>
      <c r="E2783">
        <v>1</v>
      </c>
      <c r="F2783" t="s">
        <v>3742</v>
      </c>
      <c r="G2783" t="s">
        <v>3743</v>
      </c>
    </row>
    <row r="2784" ht="13.5" spans="1:7">
      <c r="A2784">
        <v>300106</v>
      </c>
      <c r="B2784">
        <v>1</v>
      </c>
      <c r="C2784">
        <v>1</v>
      </c>
      <c r="D2784">
        <v>1</v>
      </c>
      <c r="E2784">
        <v>1</v>
      </c>
      <c r="F2784" t="s">
        <v>3744</v>
      </c>
      <c r="G2784" t="s">
        <v>3745</v>
      </c>
    </row>
    <row r="2785" ht="13.5" spans="1:7">
      <c r="A2785">
        <v>300107</v>
      </c>
      <c r="B2785">
        <v>1</v>
      </c>
      <c r="C2785">
        <v>1</v>
      </c>
      <c r="D2785">
        <v>1</v>
      </c>
      <c r="E2785">
        <v>1</v>
      </c>
      <c r="F2785" t="s">
        <v>3746</v>
      </c>
      <c r="G2785" t="s">
        <v>3747</v>
      </c>
    </row>
    <row r="2786" ht="13.5" spans="1:7">
      <c r="A2786">
        <v>300108</v>
      </c>
      <c r="B2786">
        <v>1</v>
      </c>
      <c r="C2786">
        <v>1</v>
      </c>
      <c r="D2786">
        <v>1</v>
      </c>
      <c r="E2786">
        <v>1</v>
      </c>
      <c r="F2786" t="s">
        <v>3748</v>
      </c>
      <c r="G2786" t="s">
        <v>3749</v>
      </c>
    </row>
    <row r="2787" ht="13.5" spans="1:7">
      <c r="A2787">
        <v>300109</v>
      </c>
      <c r="B2787">
        <v>1</v>
      </c>
      <c r="C2787">
        <v>1</v>
      </c>
      <c r="D2787">
        <v>1</v>
      </c>
      <c r="E2787">
        <v>1</v>
      </c>
      <c r="F2787" t="s">
        <v>3750</v>
      </c>
      <c r="G2787" t="s">
        <v>3751</v>
      </c>
    </row>
    <row r="2788" ht="13.5" spans="1:7">
      <c r="A2788">
        <v>300110</v>
      </c>
      <c r="B2788">
        <v>1</v>
      </c>
      <c r="C2788">
        <v>1</v>
      </c>
      <c r="D2788">
        <v>1</v>
      </c>
      <c r="E2788">
        <v>1</v>
      </c>
      <c r="F2788" t="s">
        <v>3752</v>
      </c>
      <c r="G2788" t="s">
        <v>3753</v>
      </c>
    </row>
    <row r="2789" ht="13.5"/>
    <row r="2790" customHeight="1" spans="1:7">
      <c r="A2790">
        <v>300111</v>
      </c>
      <c r="B2790">
        <v>1</v>
      </c>
      <c r="C2790">
        <v>1</v>
      </c>
      <c r="D2790">
        <v>1</v>
      </c>
      <c r="E2790">
        <v>1</v>
      </c>
      <c r="F2790" t="s">
        <v>3528</v>
      </c>
    </row>
    <row r="2791" customHeight="1" spans="1:7">
      <c r="A2791">
        <v>300112</v>
      </c>
      <c r="B2791">
        <v>1</v>
      </c>
      <c r="C2791">
        <v>1</v>
      </c>
      <c r="D2791">
        <v>1</v>
      </c>
      <c r="E2791">
        <v>1</v>
      </c>
      <c r="F2791" t="s">
        <v>3530</v>
      </c>
    </row>
    <row r="2792" customHeight="1" spans="1:7">
      <c r="A2792">
        <v>300113</v>
      </c>
      <c r="B2792">
        <v>1</v>
      </c>
      <c r="C2792">
        <v>1</v>
      </c>
      <c r="D2792">
        <v>1</v>
      </c>
      <c r="E2792">
        <v>1</v>
      </c>
      <c r="F2792" t="s">
        <v>3532</v>
      </c>
    </row>
  </sheetData>
  <mergeCells count="2">
    <mergeCell ref="G312:G313"/>
    <mergeCell ref="G314:G315"/>
  </mergeCells>
  <conditionalFormatting sqref="H291">
    <cfRule type="duplicateValues" dxfId="0" priority="597"/>
    <cfRule type="duplicateValues" dxfId="0" priority="598"/>
    <cfRule type="duplicateValues" dxfId="0" priority="599"/>
  </conditionalFormatting>
  <conditionalFormatting sqref="H292">
    <cfRule type="duplicateValues" dxfId="0" priority="593"/>
    <cfRule type="duplicateValues" dxfId="0" priority="594"/>
    <cfRule type="duplicateValues" dxfId="0" priority="595"/>
    <cfRule type="duplicateValues" dxfId="0" priority="596"/>
  </conditionalFormatting>
  <conditionalFormatting sqref="F316">
    <cfRule type="duplicateValues" dxfId="0" priority="576"/>
    <cfRule type="duplicateValues" dxfId="0" priority="578"/>
    <cfRule type="duplicateValues" dxfId="0" priority="579"/>
  </conditionalFormatting>
  <conditionalFormatting sqref="F317">
    <cfRule type="duplicateValues" dxfId="0" priority="572"/>
    <cfRule type="duplicateValues" dxfId="0" priority="574"/>
    <cfRule type="duplicateValues" dxfId="0" priority="575"/>
  </conditionalFormatting>
  <conditionalFormatting sqref="F505">
    <cfRule type="duplicateValues" dxfId="0" priority="475"/>
    <cfRule type="duplicateValues" dxfId="0" priority="476"/>
  </conditionalFormatting>
  <conditionalFormatting sqref="A828">
    <cfRule type="duplicateValues" dxfId="0" priority="237"/>
    <cfRule type="duplicateValues" dxfId="0" priority="238"/>
    <cfRule type="duplicateValues" dxfId="0" priority="239"/>
    <cfRule type="duplicateValues" dxfId="0" priority="240"/>
  </conditionalFormatting>
  <conditionalFormatting sqref="A829">
    <cfRule type="duplicateValues" dxfId="0" priority="179"/>
    <cfRule type="duplicateValues" dxfId="0" priority="180"/>
    <cfRule type="duplicateValues" dxfId="0" priority="181"/>
    <cfRule type="duplicateValues" dxfId="0" priority="182"/>
  </conditionalFormatting>
  <conditionalFormatting sqref="A890">
    <cfRule type="duplicateValues" dxfId="0" priority="221"/>
    <cfRule type="duplicateValues" dxfId="0" priority="222"/>
    <cfRule type="duplicateValues" dxfId="0" priority="223"/>
    <cfRule type="duplicateValues" dxfId="0" priority="224"/>
  </conditionalFormatting>
  <conditionalFormatting sqref="A892">
    <cfRule type="duplicateValues" dxfId="0" priority="217"/>
    <cfRule type="duplicateValues" dxfId="0" priority="218"/>
    <cfRule type="duplicateValues" dxfId="0" priority="219"/>
    <cfRule type="duplicateValues" dxfId="0" priority="220"/>
  </conditionalFormatting>
  <conditionalFormatting sqref="A894">
    <cfRule type="duplicateValues" dxfId="0" priority="233"/>
    <cfRule type="duplicateValues" dxfId="0" priority="234"/>
    <cfRule type="duplicateValues" dxfId="0" priority="235"/>
    <cfRule type="duplicateValues" dxfId="0" priority="236"/>
  </conditionalFormatting>
  <conditionalFormatting sqref="F994">
    <cfRule type="duplicateValues" dxfId="0" priority="457"/>
  </conditionalFormatting>
  <conditionalFormatting sqref="F1370"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</conditionalFormatting>
  <conditionalFormatting sqref="A1834">
    <cfRule type="duplicateValues" dxfId="0" priority="85"/>
  </conditionalFormatting>
  <conditionalFormatting sqref="G2098">
    <cfRule type="duplicateValues" dxfId="0" priority="526"/>
    <cfRule type="duplicateValues" dxfId="0" priority="527"/>
    <cfRule type="duplicateValues" dxfId="0" priority="528"/>
    <cfRule type="duplicateValues" dxfId="0" priority="529"/>
    <cfRule type="duplicateValues" dxfId="0" priority="530"/>
  </conditionalFormatting>
  <conditionalFormatting sqref="F2124"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</conditionalFormatting>
  <conditionalFormatting sqref="A2514"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</conditionalFormatting>
  <conditionalFormatting sqref="A2655"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</conditionalFormatting>
  <conditionalFormatting sqref="A2657"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</conditionalFormatting>
  <conditionalFormatting sqref="A2682">
    <cfRule type="duplicateValues" dxfId="0" priority="37"/>
  </conditionalFormatting>
  <conditionalFormatting sqref="A2683">
    <cfRule type="duplicateValues" dxfId="0" priority="36"/>
  </conditionalFormatting>
  <conditionalFormatting sqref="A2750">
    <cfRule type="duplicateValues" dxfId="0" priority="27"/>
  </conditionalFormatting>
  <conditionalFormatting sqref="A2758">
    <cfRule type="duplicateValues" dxfId="0" priority="23"/>
  </conditionalFormatting>
  <conditionalFormatting sqref="A2759">
    <cfRule type="duplicateValues" dxfId="0" priority="22"/>
  </conditionalFormatting>
  <conditionalFormatting sqref="A2761">
    <cfRule type="duplicateValues" dxfId="0" priority="21"/>
  </conditionalFormatting>
  <conditionalFormatting sqref="A2762">
    <cfRule type="duplicateValues" dxfId="0" priority="19"/>
  </conditionalFormatting>
  <conditionalFormatting sqref="A2763">
    <cfRule type="duplicateValues" dxfId="0" priority="18"/>
  </conditionalFormatting>
  <conditionalFormatting sqref="A2764">
    <cfRule type="duplicateValues" dxfId="0" priority="17"/>
  </conditionalFormatting>
  <conditionalFormatting sqref="A2765">
    <cfRule type="duplicateValues" dxfId="0" priority="16"/>
  </conditionalFormatting>
  <conditionalFormatting sqref="A2766">
    <cfRule type="duplicateValues" dxfId="0" priority="15"/>
  </conditionalFormatting>
  <conditionalFormatting sqref="A2767">
    <cfRule type="duplicateValues" dxfId="0" priority="14"/>
  </conditionalFormatting>
  <conditionalFormatting sqref="A2773">
    <cfRule type="duplicateValues" dxfId="0" priority="11"/>
  </conditionalFormatting>
  <conditionalFormatting sqref="A2781">
    <cfRule type="duplicateValues" dxfId="0" priority="5"/>
  </conditionalFormatting>
  <conditionalFormatting sqref="A737:A743">
    <cfRule type="duplicateValues" dxfId="0" priority="241"/>
    <cfRule type="duplicateValues" dxfId="0" priority="242"/>
    <cfRule type="duplicateValues" dxfId="0" priority="243"/>
  </conditionalFormatting>
  <conditionalFormatting sqref="A744:A753">
    <cfRule type="duplicateValues" dxfId="0" priority="201"/>
    <cfRule type="duplicateValues" dxfId="0" priority="202"/>
    <cfRule type="duplicateValues" dxfId="0" priority="203"/>
  </conditionalFormatting>
  <conditionalFormatting sqref="A830:A834">
    <cfRule type="duplicateValues" dxfId="0" priority="119"/>
    <cfRule type="duplicateValues" dxfId="0" priority="120"/>
    <cfRule type="duplicateValues" dxfId="0" priority="121"/>
    <cfRule type="duplicateValues" dxfId="0" priority="122"/>
  </conditionalFormatting>
  <conditionalFormatting sqref="A835:A837">
    <cfRule type="duplicateValues" dxfId="0" priority="48"/>
    <cfRule type="duplicateValues" dxfId="0" priority="49"/>
    <cfRule type="duplicateValues" dxfId="0" priority="50"/>
    <cfRule type="duplicateValues" dxfId="0" priority="51"/>
  </conditionalFormatting>
  <conditionalFormatting sqref="A895:A900">
    <cfRule type="duplicateValues" dxfId="0" priority="175"/>
    <cfRule type="duplicateValues" dxfId="0" priority="176"/>
    <cfRule type="duplicateValues" dxfId="0" priority="177"/>
    <cfRule type="duplicateValues" dxfId="0" priority="178"/>
  </conditionalFormatting>
  <conditionalFormatting sqref="A901:A903">
    <cfRule type="duplicateValues" dxfId="0" priority="44"/>
    <cfRule type="duplicateValues" dxfId="0" priority="45"/>
    <cfRule type="duplicateValues" dxfId="0" priority="46"/>
    <cfRule type="duplicateValues" dxfId="0" priority="47"/>
  </conditionalFormatting>
  <conditionalFormatting sqref="A1003:A1026">
    <cfRule type="duplicateValues" dxfId="0" priority="444"/>
  </conditionalFormatting>
  <conditionalFormatting sqref="A1142:A1145">
    <cfRule type="duplicateValues" dxfId="0" priority="213"/>
    <cfRule type="duplicateValues" dxfId="0" priority="214"/>
    <cfRule type="duplicateValues" dxfId="0" priority="215"/>
    <cfRule type="duplicateValues" dxfId="0" priority="216"/>
  </conditionalFormatting>
  <conditionalFormatting sqref="A1337:A1342">
    <cfRule type="duplicateValues" dxfId="0" priority="479"/>
    <cfRule type="duplicateValues" dxfId="0" priority="480"/>
  </conditionalFormatting>
  <conditionalFormatting sqref="A1594:A1600">
    <cfRule type="duplicateValues" dxfId="0" priority="535"/>
    <cfRule type="duplicateValues" dxfId="0" priority="536"/>
  </conditionalFormatting>
  <conditionalFormatting sqref="A1606:A1612">
    <cfRule type="duplicateValues" dxfId="0" priority="533"/>
    <cfRule type="duplicateValues" dxfId="0" priority="534"/>
  </conditionalFormatting>
  <conditionalFormatting sqref="A1819:A1827">
    <cfRule type="duplicateValues" dxfId="0" priority="204"/>
  </conditionalFormatting>
  <conditionalFormatting sqref="A1828:A1832">
    <cfRule type="duplicateValues" dxfId="0" priority="113"/>
  </conditionalFormatting>
  <conditionalFormatting sqref="A1835:A1836">
    <cfRule type="duplicateValues" dxfId="0" priority="79"/>
  </conditionalFormatting>
  <conditionalFormatting sqref="A2255:A2310">
    <cfRule type="duplicateValues" dxfId="0" priority="316"/>
    <cfRule type="duplicateValues" dxfId="0" priority="317"/>
  </conditionalFormatting>
  <conditionalFormatting sqref="A2311:A2366">
    <cfRule type="duplicateValues" dxfId="0" priority="314"/>
    <cfRule type="duplicateValues" dxfId="0" priority="315"/>
  </conditionalFormatting>
  <conditionalFormatting sqref="A2367:A2422">
    <cfRule type="duplicateValues" dxfId="0" priority="312"/>
    <cfRule type="duplicateValues" dxfId="0" priority="313"/>
  </conditionalFormatting>
  <conditionalFormatting sqref="A2521:A2550"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</conditionalFormatting>
  <conditionalFormatting sqref="A2608:A2613"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</conditionalFormatting>
  <conditionalFormatting sqref="A2614:A2633"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</conditionalFormatting>
  <conditionalFormatting sqref="A2634:A2640"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</conditionalFormatting>
  <conditionalFormatting sqref="A2684:A2687">
    <cfRule type="duplicateValues" dxfId="0" priority="35"/>
  </conditionalFormatting>
  <conditionalFormatting sqref="A2689:A2700">
    <cfRule type="duplicateValues" dxfId="0" priority="34"/>
  </conditionalFormatting>
  <conditionalFormatting sqref="A2740:A2749">
    <cfRule type="duplicateValues" dxfId="0" priority="29"/>
  </conditionalFormatting>
  <conditionalFormatting sqref="A2751:A2757">
    <cfRule type="duplicateValues" dxfId="0" priority="25"/>
  </conditionalFormatting>
  <conditionalFormatting sqref="A2782:A2789">
    <cfRule type="duplicateValues" dxfId="0" priority="1"/>
    <cfRule type="duplicateValues" dxfId="0" priority="2"/>
  </conditionalFormatting>
  <conditionalFormatting sqref="F359:F360">
    <cfRule type="duplicateValues" dxfId="0" priority="570"/>
  </conditionalFormatting>
  <conditionalFormatting sqref="F409:F414">
    <cfRule type="duplicateValues" dxfId="0" priority="523"/>
    <cfRule type="duplicateValues" dxfId="0" priority="524"/>
  </conditionalFormatting>
  <conditionalFormatting sqref="F421:F422">
    <cfRule type="duplicateValues" dxfId="0" priority="521"/>
    <cfRule type="duplicateValues" dxfId="0" priority="522"/>
  </conditionalFormatting>
  <conditionalFormatting sqref="F443:F444">
    <cfRule type="duplicateValues" dxfId="0" priority="514"/>
    <cfRule type="duplicateValues" dxfId="0" priority="515"/>
    <cfRule type="duplicateValues" dxfId="0" priority="516"/>
    <cfRule type="duplicateValues" dxfId="0" priority="517"/>
    <cfRule type="duplicateValues" dxfId="0" priority="518"/>
    <cfRule type="duplicateValues" dxfId="0" priority="519"/>
    <cfRule type="duplicateValues" dxfId="0" priority="520"/>
  </conditionalFormatting>
  <conditionalFormatting sqref="F1003:F1026"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</conditionalFormatting>
  <conditionalFormatting sqref="F1118:F1121">
    <cfRule type="duplicateValues" dxfId="0" priority="408"/>
    <cfRule type="duplicateValues" dxfId="0" priority="409"/>
    <cfRule type="duplicateValues" dxfId="0" priority="410"/>
    <cfRule type="duplicateValues" dxfId="0" priority="411"/>
  </conditionalFormatting>
  <conditionalFormatting sqref="F1122:F1129">
    <cfRule type="duplicateValues" dxfId="0" priority="404"/>
    <cfRule type="duplicateValues" dxfId="0" priority="405"/>
    <cfRule type="duplicateValues" dxfId="0" priority="406"/>
    <cfRule type="duplicateValues" dxfId="0" priority="407"/>
  </conditionalFormatting>
  <conditionalFormatting sqref="F1130:F1139">
    <cfRule type="duplicateValues" dxfId="0" priority="228"/>
    <cfRule type="duplicateValues" dxfId="0" priority="229"/>
    <cfRule type="duplicateValues" dxfId="0" priority="230"/>
    <cfRule type="duplicateValues" dxfId="0" priority="231"/>
  </conditionalFormatting>
  <conditionalFormatting sqref="F1140:F1141">
    <cfRule type="duplicateValues" dxfId="0" priority="39"/>
    <cfRule type="duplicateValues" dxfId="0" priority="40"/>
    <cfRule type="duplicateValues" dxfId="0" priority="41"/>
    <cfRule type="duplicateValues" dxfId="0" priority="42"/>
  </conditionalFormatting>
  <conditionalFormatting sqref="F1142:F1145">
    <cfRule type="duplicateValues" dxfId="0" priority="209"/>
    <cfRule type="duplicateValues" dxfId="0" priority="210"/>
    <cfRule type="duplicateValues" dxfId="0" priority="211"/>
    <cfRule type="duplicateValues" dxfId="0" priority="212"/>
  </conditionalFormatting>
  <conditionalFormatting sqref="F1222:F1232">
    <cfRule type="duplicateValues" dxfId="0" priority="608"/>
  </conditionalFormatting>
  <conditionalFormatting sqref="F1238:F1241">
    <cfRule type="duplicateValues" dxfId="0" priority="541"/>
    <cfRule type="duplicateValues" dxfId="0" priority="542"/>
    <cfRule type="duplicateValues" dxfId="0" priority="543"/>
    <cfRule type="duplicateValues" dxfId="0" priority="544"/>
    <cfRule type="duplicateValues" dxfId="0" priority="545"/>
    <cfRule type="duplicateValues" dxfId="0" priority="546"/>
  </conditionalFormatting>
  <conditionalFormatting sqref="F2025:F2047">
    <cfRule type="duplicateValues" dxfId="0" priority="499"/>
    <cfRule type="duplicateValues" dxfId="0" priority="500"/>
    <cfRule type="duplicateValues" dxfId="0" priority="501"/>
    <cfRule type="duplicateValues" dxfId="0" priority="502"/>
    <cfRule type="duplicateValues" dxfId="0" priority="503"/>
    <cfRule type="duplicateValues" dxfId="0" priority="504"/>
    <cfRule type="duplicateValues" dxfId="0" priority="505"/>
    <cfRule type="duplicateValues" dxfId="0" priority="506"/>
  </conditionalFormatting>
  <conditionalFormatting sqref="H149:H161">
    <cfRule type="duplicateValues" dxfId="0" priority="539"/>
    <cfRule type="duplicateValues" dxfId="0" priority="540"/>
  </conditionalFormatting>
  <conditionalFormatting sqref="H291:H292">
    <cfRule type="duplicateValues" dxfId="0" priority="592"/>
  </conditionalFormatting>
  <conditionalFormatting sqref="H294:H299">
    <cfRule type="duplicateValues" dxfId="0" priority="584"/>
    <cfRule type="duplicateValues" dxfId="0" priority="586"/>
    <cfRule type="duplicateValues" dxfId="0" priority="587"/>
  </conditionalFormatting>
  <conditionalFormatting sqref="H295:H299">
    <cfRule type="duplicateValues" dxfId="0" priority="588"/>
    <cfRule type="duplicateValues" dxfId="0" priority="590"/>
    <cfRule type="duplicateValues" dxfId="0" priority="591"/>
  </conditionalFormatting>
  <conditionalFormatting sqref="H1327:H1332">
    <cfRule type="duplicateValues" dxfId="0" priority="481"/>
    <cfRule type="duplicateValues" dxfId="0" priority="482"/>
  </conditionalFormatting>
  <conditionalFormatting sqref="H2166:H2167">
    <cfRule type="duplicateValues" dxfId="0" priority="392"/>
    <cfRule type="duplicateValues" dxfId="0" priority="393"/>
    <cfRule type="duplicateValues" dxfId="0" priority="394"/>
    <cfRule type="duplicateValues" dxfId="0" priority="395"/>
  </conditionalFormatting>
  <conditionalFormatting sqref="H2168:H2171">
    <cfRule type="duplicateValues" dxfId="0" priority="388"/>
    <cfRule type="duplicateValues" dxfId="0" priority="389"/>
    <cfRule type="duplicateValues" dxfId="0" priority="390"/>
    <cfRule type="duplicateValues" dxfId="0" priority="391"/>
  </conditionalFormatting>
  <conditionalFormatting sqref="H2172:H2175">
    <cfRule type="duplicateValues" dxfId="0" priority="384"/>
    <cfRule type="duplicateValues" dxfId="0" priority="385"/>
    <cfRule type="duplicateValues" dxfId="0" priority="386"/>
    <cfRule type="duplicateValues" dxfId="0" priority="387"/>
  </conditionalFormatting>
  <conditionalFormatting sqref="H2176:H2179">
    <cfRule type="duplicateValues" dxfId="0" priority="380"/>
    <cfRule type="duplicateValues" dxfId="0" priority="381"/>
    <cfRule type="duplicateValues" dxfId="0" priority="382"/>
    <cfRule type="duplicateValues" dxfId="0" priority="383"/>
  </conditionalFormatting>
  <conditionalFormatting sqref="H2180:H2183">
    <cfRule type="duplicateValues" dxfId="0" priority="376"/>
    <cfRule type="duplicateValues" dxfId="0" priority="377"/>
    <cfRule type="duplicateValues" dxfId="0" priority="378"/>
    <cfRule type="duplicateValues" dxfId="0" priority="379"/>
  </conditionalFormatting>
  <conditionalFormatting sqref="A1:A2681 A2688 A2701:A2739 A2760 A2768:A2769 A2771:A2772 A2775:A2780 A2782:A1048576">
    <cfRule type="duplicateValues" dxfId="0" priority="38"/>
  </conditionalFormatting>
  <conditionalFormatting sqref="A16:B16 D16:E16">
    <cfRule type="duplicateValues" dxfId="0" priority="569"/>
  </conditionalFormatting>
  <conditionalFormatting sqref="B20 D20:E20">
    <cfRule type="duplicateValues" dxfId="0" priority="563"/>
  </conditionalFormatting>
  <conditionalFormatting sqref="B32 D32:E32">
    <cfRule type="duplicateValues" dxfId="0" priority="562"/>
  </conditionalFormatting>
  <conditionalFormatting sqref="B36 D36:E36">
    <cfRule type="duplicateValues" dxfId="0" priority="561"/>
  </conditionalFormatting>
  <conditionalFormatting sqref="B48 D48:E48">
    <cfRule type="duplicateValues" dxfId="0" priority="560"/>
  </conditionalFormatting>
  <conditionalFormatting sqref="B52 D52:E52">
    <cfRule type="duplicateValues" dxfId="0" priority="559"/>
  </conditionalFormatting>
  <conditionalFormatting sqref="B64 D64:E64">
    <cfRule type="duplicateValues" dxfId="0" priority="558"/>
  </conditionalFormatting>
  <conditionalFormatting sqref="B68 D68:E68">
    <cfRule type="duplicateValues" dxfId="0" priority="557"/>
  </conditionalFormatting>
  <conditionalFormatting sqref="B80 D80:E80">
    <cfRule type="duplicateValues" dxfId="0" priority="556"/>
  </conditionalFormatting>
  <conditionalFormatting sqref="B84 D84:E84">
    <cfRule type="duplicateValues" dxfId="0" priority="555"/>
  </conditionalFormatting>
  <conditionalFormatting sqref="B96 D96:E96">
    <cfRule type="duplicateValues" dxfId="0" priority="554"/>
  </conditionalFormatting>
  <conditionalFormatting sqref="B100 D100:E100">
    <cfRule type="duplicateValues" dxfId="0" priority="553"/>
  </conditionalFormatting>
  <conditionalFormatting sqref="B104 D104:E104">
    <cfRule type="duplicateValues" dxfId="0" priority="552"/>
  </conditionalFormatting>
  <conditionalFormatting sqref="B108 D108:E108">
    <cfRule type="duplicateValues" dxfId="0" priority="551"/>
  </conditionalFormatting>
  <conditionalFormatting sqref="B112 D112:E112">
    <cfRule type="duplicateValues" dxfId="0" priority="550"/>
  </conditionalFormatting>
  <conditionalFormatting sqref="B116 D116:E116">
    <cfRule type="duplicateValues" dxfId="0" priority="549"/>
  </conditionalFormatting>
  <conditionalFormatting sqref="H223:I269">
    <cfRule type="duplicateValues" dxfId="0" priority="531"/>
    <cfRule type="duplicateValues" dxfId="0" priority="532"/>
  </conditionalFormatting>
  <conditionalFormatting sqref="H270:I290">
    <cfRule type="duplicateValues" dxfId="0" priority="459"/>
    <cfRule type="duplicateValues" dxfId="0" priority="460"/>
  </conditionalFormatting>
  <conditionalFormatting sqref="F445:F487 F490:F493 F610:F611">
    <cfRule type="duplicateValues" dxfId="0" priority="507"/>
    <cfRule type="duplicateValues" dxfId="0" priority="508"/>
    <cfRule type="duplicateValues" dxfId="0" priority="509"/>
    <cfRule type="duplicateValues" dxfId="0" priority="510"/>
    <cfRule type="duplicateValues" dxfId="0" priority="511"/>
    <cfRule type="duplicateValues" dxfId="0" priority="512"/>
    <cfRule type="duplicateValues" dxfId="0" priority="513"/>
  </conditionalFormatting>
  <conditionalFormatting sqref="A754:A827 A838:A889 A904">
    <cfRule type="duplicateValues" dxfId="0" priority="525"/>
  </conditionalFormatting>
  <conditionalFormatting sqref="A891 A893">
    <cfRule type="duplicateValues" dxfId="0" priority="254"/>
    <cfRule type="duplicateValues" dxfId="0" priority="255"/>
    <cfRule type="duplicateValues" dxfId="0" priority="256"/>
    <cfRule type="duplicateValues" dxfId="0" priority="257"/>
  </conditionalFormatting>
  <conditionalFormatting sqref="A905:A1002 A1027:A1141">
    <cfRule type="duplicateValues" dxfId="0" priority="567"/>
  </conditionalFormatting>
  <conditionalFormatting sqref="A1667:A1766 A1837:A1846">
    <cfRule type="duplicateValues" dxfId="0" priority="565"/>
  </conditionalFormatting>
  <conditionalFormatting sqref="A2116 A2118 A2120">
    <cfRule type="duplicateValues" dxfId="0" priority="453"/>
    <cfRule type="duplicateValues" dxfId="0" priority="454"/>
  </conditionalFormatting>
  <conditionalFormatting sqref="A2123 A2126 A2129 A2131 A2133 A2135 A2137 A2139 A2141 A2143">
    <cfRule type="duplicateValues" dxfId="0" priority="306"/>
    <cfRule type="duplicateValues" dxfId="0" priority="307"/>
    <cfRule type="duplicateValues" dxfId="0" priority="308"/>
    <cfRule type="duplicateValues" dxfId="0" priority="309"/>
  </conditionalFormatting>
  <conditionalFormatting sqref="A2652:A2654 A2656"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</conditionalFormatting>
  <conditionalFormatting sqref="A2770 A2772">
    <cfRule type="duplicateValues" dxfId="0" priority="13"/>
  </conditionalFormatting>
  <conditionalFormatting sqref="A2774 A2776 A2778:A2780">
    <cfRule type="duplicateValues" dxfId="0" priority="9"/>
    <cfRule type="duplicateValues" dxfId="0" priority="1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N104"/>
  <sheetViews>
    <sheetView workbookViewId="0">
      <selection activeCell="F46" sqref="F46"/>
    </sheetView>
  </sheetViews>
  <sheetFormatPr defaultColWidth="9" defaultRowHeight="13.5"/>
  <cols>
    <col min="6" max="6" width="67.625" customWidth="1"/>
    <col min="11" max="12" width="8.875" customWidth="1"/>
    <col min="13" max="15" width="12.875" customWidth="1"/>
    <col min="17" max="17" width="12.875" customWidth="1"/>
    <col min="21" max="21" width="12.875" style="8" customWidth="1"/>
    <col min="23" max="27" width="10.875" customWidth="1"/>
    <col min="28" max="28" width="12.875" customWidth="1"/>
  </cols>
  <sheetData>
    <row r="1" spans="1:18">
      <c r="A1">
        <v>60033</v>
      </c>
      <c r="B1">
        <v>2</v>
      </c>
      <c r="C1">
        <v>1</v>
      </c>
      <c r="D1">
        <v>1</v>
      </c>
      <c r="E1">
        <v>1</v>
      </c>
      <c r="F1" t="s">
        <v>3754</v>
      </c>
      <c r="G1" t="s">
        <v>3755</v>
      </c>
    </row>
    <row r="2" spans="1:18">
      <c r="A2">
        <v>60034</v>
      </c>
      <c r="B2">
        <v>1</v>
      </c>
      <c r="C2">
        <v>1</v>
      </c>
      <c r="D2">
        <v>1</v>
      </c>
      <c r="E2">
        <v>1</v>
      </c>
      <c r="F2" t="s">
        <v>2271</v>
      </c>
      <c r="G2" t="s">
        <v>3755</v>
      </c>
    </row>
    <row r="3" spans="1:18">
      <c r="A3">
        <v>60035</v>
      </c>
      <c r="B3">
        <v>1</v>
      </c>
      <c r="C3">
        <v>1</v>
      </c>
      <c r="D3">
        <v>1</v>
      </c>
      <c r="E3">
        <v>1</v>
      </c>
      <c r="F3" t="s">
        <v>3756</v>
      </c>
      <c r="G3" t="s">
        <v>3755</v>
      </c>
    </row>
    <row r="4" spans="1:18">
      <c r="A4">
        <v>60036</v>
      </c>
      <c r="B4">
        <v>1</v>
      </c>
      <c r="C4">
        <v>1</v>
      </c>
      <c r="D4">
        <v>1</v>
      </c>
      <c r="E4">
        <v>1</v>
      </c>
      <c r="F4" t="s">
        <v>2272</v>
      </c>
      <c r="G4" t="s">
        <v>3757</v>
      </c>
    </row>
    <row r="5" spans="1:18">
      <c r="A5">
        <v>60037</v>
      </c>
      <c r="B5">
        <v>2</v>
      </c>
      <c r="C5">
        <v>1</v>
      </c>
      <c r="D5">
        <v>1</v>
      </c>
      <c r="E5">
        <v>1</v>
      </c>
      <c r="F5" t="s">
        <v>3758</v>
      </c>
      <c r="G5" t="s">
        <v>3759</v>
      </c>
    </row>
    <row r="6" spans="1:18">
      <c r="A6">
        <v>60038</v>
      </c>
      <c r="B6">
        <v>1</v>
      </c>
      <c r="C6">
        <v>1</v>
      </c>
      <c r="D6">
        <v>1</v>
      </c>
      <c r="E6">
        <v>1</v>
      </c>
      <c r="F6" t="s">
        <v>2281</v>
      </c>
      <c r="G6" t="s">
        <v>3759</v>
      </c>
    </row>
    <row r="7" spans="1:18">
      <c r="A7">
        <v>60039</v>
      </c>
      <c r="B7">
        <v>1</v>
      </c>
      <c r="C7">
        <v>1</v>
      </c>
      <c r="D7">
        <v>1</v>
      </c>
      <c r="E7">
        <v>1</v>
      </c>
      <c r="F7" t="s">
        <v>3756</v>
      </c>
      <c r="G7" t="s">
        <v>3759</v>
      </c>
    </row>
    <row r="8" spans="1:18">
      <c r="A8">
        <v>60040</v>
      </c>
      <c r="B8">
        <v>1</v>
      </c>
      <c r="C8">
        <v>1</v>
      </c>
      <c r="D8">
        <v>1</v>
      </c>
      <c r="E8">
        <v>1</v>
      </c>
      <c r="F8" t="s">
        <v>2282</v>
      </c>
      <c r="G8" t="s">
        <v>3760</v>
      </c>
    </row>
    <row r="9" spans="1:18">
      <c r="A9">
        <v>60041</v>
      </c>
      <c r="B9">
        <v>2</v>
      </c>
      <c r="C9">
        <v>1</v>
      </c>
      <c r="D9">
        <v>1</v>
      </c>
      <c r="E9">
        <v>1</v>
      </c>
      <c r="F9" t="s">
        <v>3761</v>
      </c>
      <c r="G9" t="s">
        <v>3762</v>
      </c>
    </row>
    <row r="10" spans="1:18">
      <c r="A10">
        <v>60042</v>
      </c>
      <c r="B10">
        <v>1</v>
      </c>
      <c r="C10">
        <v>1</v>
      </c>
      <c r="D10">
        <v>1</v>
      </c>
      <c r="E10">
        <v>1</v>
      </c>
      <c r="F10" t="s">
        <v>2294</v>
      </c>
      <c r="G10" t="s">
        <v>3762</v>
      </c>
    </row>
    <row r="11" spans="1:18">
      <c r="A11">
        <v>60043</v>
      </c>
      <c r="B11">
        <v>1</v>
      </c>
      <c r="C11">
        <v>1</v>
      </c>
      <c r="D11">
        <v>1</v>
      </c>
      <c r="E11">
        <v>1</v>
      </c>
      <c r="F11" t="s">
        <v>3763</v>
      </c>
      <c r="G11" t="s">
        <v>3762</v>
      </c>
    </row>
    <row r="12" spans="1:18">
      <c r="A12">
        <v>60044</v>
      </c>
      <c r="B12">
        <v>1</v>
      </c>
      <c r="C12">
        <v>1</v>
      </c>
      <c r="D12">
        <v>1</v>
      </c>
      <c r="E12">
        <v>1</v>
      </c>
      <c r="F12" t="s">
        <v>2295</v>
      </c>
      <c r="G12" t="s">
        <v>3764</v>
      </c>
    </row>
    <row r="13" spans="1:18">
      <c r="A13">
        <v>60045</v>
      </c>
      <c r="B13">
        <v>2</v>
      </c>
      <c r="C13">
        <v>1</v>
      </c>
      <c r="D13">
        <v>1</v>
      </c>
      <c r="E13">
        <v>1</v>
      </c>
      <c r="F13" t="s">
        <v>3765</v>
      </c>
      <c r="G13" t="s">
        <v>3766</v>
      </c>
    </row>
    <row r="14" spans="1:18">
      <c r="A14">
        <v>60046</v>
      </c>
      <c r="B14">
        <v>1</v>
      </c>
      <c r="C14">
        <v>1</v>
      </c>
      <c r="D14">
        <v>1</v>
      </c>
      <c r="E14">
        <v>1</v>
      </c>
      <c r="F14" t="s">
        <v>2300</v>
      </c>
      <c r="G14" t="s">
        <v>3766</v>
      </c>
    </row>
    <row r="15" spans="1:18">
      <c r="A15">
        <v>60047</v>
      </c>
      <c r="B15">
        <v>1</v>
      </c>
      <c r="C15">
        <v>1</v>
      </c>
      <c r="D15">
        <v>1</v>
      </c>
      <c r="E15">
        <v>1</v>
      </c>
      <c r="F15" t="s">
        <v>3767</v>
      </c>
      <c r="G15" t="s">
        <v>3766</v>
      </c>
    </row>
    <row r="16" spans="1:18">
      <c r="A16">
        <v>60048</v>
      </c>
      <c r="B16">
        <v>1</v>
      </c>
      <c r="C16">
        <v>1</v>
      </c>
      <c r="D16">
        <v>1</v>
      </c>
      <c r="E16">
        <v>1</v>
      </c>
      <c r="F16" t="s">
        <v>3768</v>
      </c>
      <c r="G16" t="s">
        <v>3769</v>
      </c>
      <c r="Q16" t="s">
        <v>3770</v>
      </c>
      <c r="R16" s="9">
        <f>R20/3</f>
        <v>0.00166666666666667</v>
      </c>
    </row>
    <row r="19" spans="1:21">
      <c r="J19" s="10" t="s">
        <v>3771</v>
      </c>
      <c r="K19" s="11" t="s">
        <v>3772</v>
      </c>
      <c r="L19" s="12" t="s">
        <v>3772</v>
      </c>
      <c r="M19" s="13" t="s">
        <v>3773</v>
      </c>
      <c r="N19" s="14" t="s">
        <v>3774</v>
      </c>
      <c r="O19" t="s">
        <v>3775</v>
      </c>
      <c r="U19" s="8" t="s">
        <v>3776</v>
      </c>
    </row>
    <row r="20" spans="1:21">
      <c r="A20" s="7">
        <v>128</v>
      </c>
      <c r="B20" s="7">
        <v>1</v>
      </c>
      <c r="C20">
        <v>1</v>
      </c>
      <c r="D20" s="15">
        <v>0</v>
      </c>
      <c r="E20" s="15">
        <v>100</v>
      </c>
      <c r="F20" t="s">
        <v>3777</v>
      </c>
      <c r="G20" t="s">
        <v>3778</v>
      </c>
      <c r="H20" s="16"/>
      <c r="I20" s="17">
        <v>600</v>
      </c>
      <c r="J20" s="10">
        <v>1</v>
      </c>
      <c r="K20" s="11">
        <v>2</v>
      </c>
      <c r="L20" s="12"/>
      <c r="M20" s="13"/>
      <c r="N20" s="14"/>
      <c r="O20">
        <f t="shared" ref="O20:O29" si="0">$I$20*K20+$I$21*L20+$I$22*M20+$I$23*N20</f>
        <v>1200</v>
      </c>
      <c r="P20">
        <v>1200</v>
      </c>
      <c r="R20" s="18">
        <v>0.005</v>
      </c>
      <c r="S20" s="19">
        <f t="shared" ref="S20:S29" si="1">R20/$R$16</f>
        <v>3</v>
      </c>
      <c r="T20">
        <f t="shared" ref="T20:T29" si="2">K20+L20*$H$21+M20*$H$22+N20*$H$23</f>
        <v>2</v>
      </c>
      <c r="U20" s="8">
        <f t="shared" ref="U20:U29" si="3">K20+L20+M20+N20</f>
        <v>2</v>
      </c>
    </row>
    <row r="21" spans="1:21">
      <c r="A21" s="7">
        <v>129</v>
      </c>
      <c r="B21" s="7">
        <v>1</v>
      </c>
      <c r="C21">
        <v>2</v>
      </c>
      <c r="D21" s="15">
        <v>0</v>
      </c>
      <c r="E21" s="15">
        <v>100</v>
      </c>
      <c r="F21" t="s">
        <v>3779</v>
      </c>
      <c r="G21" t="s">
        <v>3780</v>
      </c>
      <c r="H21" s="16">
        <f>I21/I20</f>
        <v>6</v>
      </c>
      <c r="I21" s="17">
        <v>3600</v>
      </c>
      <c r="J21" s="10">
        <v>2</v>
      </c>
      <c r="K21" s="11">
        <v>4</v>
      </c>
      <c r="L21" s="12"/>
      <c r="M21" s="13"/>
      <c r="N21" s="14"/>
      <c r="O21">
        <f t="shared" si="0"/>
        <v>2400</v>
      </c>
      <c r="P21">
        <v>2400</v>
      </c>
      <c r="R21" s="18">
        <v>0.01</v>
      </c>
      <c r="S21" s="19">
        <f t="shared" si="1"/>
        <v>6</v>
      </c>
      <c r="T21">
        <f t="shared" si="2"/>
        <v>4</v>
      </c>
      <c r="U21" s="8">
        <f t="shared" si="3"/>
        <v>4</v>
      </c>
    </row>
    <row r="22" spans="1:21">
      <c r="A22" s="7">
        <v>130</v>
      </c>
      <c r="B22" s="7">
        <v>1</v>
      </c>
      <c r="C22">
        <v>3</v>
      </c>
      <c r="D22" s="15">
        <v>0</v>
      </c>
      <c r="E22" s="15">
        <v>100</v>
      </c>
      <c r="F22" t="s">
        <v>3781</v>
      </c>
      <c r="G22" t="s">
        <v>3782</v>
      </c>
      <c r="H22" s="16">
        <f>I22/I20</f>
        <v>8</v>
      </c>
      <c r="I22" s="17">
        <v>4800</v>
      </c>
      <c r="J22" s="10">
        <v>3</v>
      </c>
      <c r="K22" s="11"/>
      <c r="L22" s="12">
        <v>2</v>
      </c>
      <c r="M22" s="13"/>
      <c r="N22" s="14"/>
      <c r="O22">
        <f t="shared" si="0"/>
        <v>7200</v>
      </c>
      <c r="P22">
        <v>7200</v>
      </c>
      <c r="R22" s="18">
        <v>0.03</v>
      </c>
      <c r="S22" s="19">
        <f t="shared" si="1"/>
        <v>18</v>
      </c>
      <c r="T22">
        <f t="shared" si="2"/>
        <v>12</v>
      </c>
      <c r="U22" s="8">
        <f t="shared" si="3"/>
        <v>2</v>
      </c>
    </row>
    <row r="23" spans="1:21">
      <c r="A23" s="7">
        <v>131</v>
      </c>
      <c r="B23" s="7">
        <v>1</v>
      </c>
      <c r="C23">
        <v>4</v>
      </c>
      <c r="D23" s="15">
        <v>0</v>
      </c>
      <c r="E23" s="15">
        <v>100</v>
      </c>
      <c r="F23" t="s">
        <v>3783</v>
      </c>
      <c r="G23" t="s">
        <v>3784</v>
      </c>
      <c r="H23" s="16">
        <f>I23/I20</f>
        <v>16</v>
      </c>
      <c r="I23" s="17">
        <v>9600</v>
      </c>
      <c r="J23" s="10">
        <v>4</v>
      </c>
      <c r="K23" s="11">
        <v>2</v>
      </c>
      <c r="L23" s="12">
        <v>3</v>
      </c>
      <c r="M23" s="13"/>
      <c r="N23" s="14"/>
      <c r="O23">
        <f t="shared" si="0"/>
        <v>12000</v>
      </c>
      <c r="P23">
        <v>12000</v>
      </c>
      <c r="R23" s="18">
        <v>0.05</v>
      </c>
      <c r="S23" s="19">
        <f t="shared" si="1"/>
        <v>30</v>
      </c>
      <c r="T23">
        <f t="shared" si="2"/>
        <v>20</v>
      </c>
      <c r="U23" s="8">
        <f t="shared" si="3"/>
        <v>5</v>
      </c>
    </row>
    <row r="24" spans="1:21">
      <c r="A24" s="7">
        <v>132</v>
      </c>
      <c r="B24" s="7">
        <v>1</v>
      </c>
      <c r="C24">
        <v>5</v>
      </c>
      <c r="D24" s="15">
        <v>0</v>
      </c>
      <c r="E24" s="15">
        <v>100</v>
      </c>
      <c r="F24" t="s">
        <v>3785</v>
      </c>
      <c r="G24" t="s">
        <v>3786</v>
      </c>
      <c r="J24" s="10">
        <v>5</v>
      </c>
      <c r="K24" s="11">
        <v>2</v>
      </c>
      <c r="L24" s="12">
        <v>1</v>
      </c>
      <c r="M24" s="13">
        <v>3</v>
      </c>
      <c r="N24" s="14"/>
      <c r="O24">
        <f t="shared" si="0"/>
        <v>19200</v>
      </c>
      <c r="P24">
        <v>19200</v>
      </c>
      <c r="R24" s="18">
        <v>0.08</v>
      </c>
      <c r="S24" s="19">
        <f t="shared" si="1"/>
        <v>48</v>
      </c>
      <c r="T24">
        <f t="shared" si="2"/>
        <v>32</v>
      </c>
      <c r="U24" s="8">
        <f t="shared" si="3"/>
        <v>6</v>
      </c>
    </row>
    <row r="25" spans="1:21">
      <c r="A25" s="7">
        <v>133</v>
      </c>
      <c r="B25" s="7">
        <v>1</v>
      </c>
      <c r="C25">
        <v>6</v>
      </c>
      <c r="D25" s="15">
        <v>0</v>
      </c>
      <c r="E25" s="15">
        <v>100</v>
      </c>
      <c r="F25" t="s">
        <v>3787</v>
      </c>
      <c r="G25" t="s">
        <v>3788</v>
      </c>
      <c r="J25" s="10">
        <v>6</v>
      </c>
      <c r="K25" s="11">
        <v>2</v>
      </c>
      <c r="L25" s="12">
        <v>1</v>
      </c>
      <c r="M25" s="13">
        <v>4</v>
      </c>
      <c r="N25" s="14"/>
      <c r="O25">
        <f t="shared" si="0"/>
        <v>24000</v>
      </c>
      <c r="P25">
        <v>24000</v>
      </c>
      <c r="R25" s="18">
        <v>0.1</v>
      </c>
      <c r="S25" s="19">
        <f t="shared" si="1"/>
        <v>60</v>
      </c>
      <c r="T25">
        <f t="shared" si="2"/>
        <v>40</v>
      </c>
      <c r="U25" s="8">
        <f t="shared" si="3"/>
        <v>7</v>
      </c>
    </row>
    <row r="26" spans="1:21">
      <c r="A26" s="7">
        <v>134</v>
      </c>
      <c r="B26" s="7">
        <v>1</v>
      </c>
      <c r="C26">
        <v>6</v>
      </c>
      <c r="D26" s="15">
        <v>0</v>
      </c>
      <c r="E26" s="15">
        <v>100</v>
      </c>
      <c r="F26" t="s">
        <v>3789</v>
      </c>
      <c r="G26" t="s">
        <v>3790</v>
      </c>
      <c r="J26" s="10">
        <v>7</v>
      </c>
      <c r="K26" s="11"/>
      <c r="L26" s="12">
        <v>3</v>
      </c>
      <c r="M26" s="13">
        <v>4</v>
      </c>
      <c r="N26" s="14"/>
      <c r="O26">
        <f t="shared" si="0"/>
        <v>30000</v>
      </c>
      <c r="P26">
        <v>30000</v>
      </c>
      <c r="R26" s="18">
        <v>0.125</v>
      </c>
      <c r="S26" s="19">
        <f t="shared" si="1"/>
        <v>75</v>
      </c>
      <c r="T26">
        <f t="shared" si="2"/>
        <v>50</v>
      </c>
      <c r="U26" s="8">
        <f t="shared" si="3"/>
        <v>7</v>
      </c>
    </row>
    <row r="27" spans="1:21">
      <c r="A27" s="7">
        <v>135</v>
      </c>
      <c r="B27" s="7">
        <v>1</v>
      </c>
      <c r="C27">
        <v>7</v>
      </c>
      <c r="D27" s="15">
        <v>0</v>
      </c>
      <c r="E27" s="15">
        <v>100</v>
      </c>
      <c r="F27" t="s">
        <v>3791</v>
      </c>
      <c r="G27" t="s">
        <v>3792</v>
      </c>
      <c r="J27" s="10">
        <v>8</v>
      </c>
      <c r="K27" s="11"/>
      <c r="L27" s="12">
        <v>2</v>
      </c>
      <c r="M27" s="13">
        <v>2</v>
      </c>
      <c r="N27" s="14">
        <v>2</v>
      </c>
      <c r="O27">
        <f t="shared" si="0"/>
        <v>36000</v>
      </c>
      <c r="P27">
        <v>36000</v>
      </c>
      <c r="R27" s="18">
        <v>0.15</v>
      </c>
      <c r="S27" s="19">
        <f t="shared" si="1"/>
        <v>90</v>
      </c>
      <c r="T27">
        <f t="shared" si="2"/>
        <v>60</v>
      </c>
      <c r="U27" s="8">
        <f t="shared" si="3"/>
        <v>6</v>
      </c>
    </row>
    <row r="28" spans="1:21">
      <c r="A28" s="7">
        <v>136</v>
      </c>
      <c r="B28" s="7">
        <v>1</v>
      </c>
      <c r="C28">
        <v>8</v>
      </c>
      <c r="D28" s="15">
        <v>0</v>
      </c>
      <c r="E28" s="15">
        <v>100</v>
      </c>
      <c r="F28" t="s">
        <v>3793</v>
      </c>
      <c r="G28" t="s">
        <v>3794</v>
      </c>
      <c r="J28" s="10">
        <v>9</v>
      </c>
      <c r="K28" s="11"/>
      <c r="L28" s="12">
        <v>2</v>
      </c>
      <c r="M28" s="13">
        <v>1</v>
      </c>
      <c r="N28" s="14">
        <v>3</v>
      </c>
      <c r="O28">
        <f t="shared" si="0"/>
        <v>40800</v>
      </c>
      <c r="P28">
        <v>40800</v>
      </c>
      <c r="R28" s="18">
        <v>0.17</v>
      </c>
      <c r="S28" s="19">
        <f t="shared" si="1"/>
        <v>102</v>
      </c>
      <c r="T28">
        <f t="shared" si="2"/>
        <v>68</v>
      </c>
      <c r="U28" s="8">
        <f t="shared" si="3"/>
        <v>6</v>
      </c>
    </row>
    <row r="29" spans="1:21">
      <c r="A29" s="7">
        <v>137</v>
      </c>
      <c r="B29" s="7">
        <v>1</v>
      </c>
      <c r="C29">
        <v>8</v>
      </c>
      <c r="D29" s="15">
        <v>0</v>
      </c>
      <c r="E29" s="15">
        <v>100</v>
      </c>
      <c r="F29" t="s">
        <v>3795</v>
      </c>
      <c r="G29" t="s">
        <v>3796</v>
      </c>
      <c r="J29" s="10">
        <v>10</v>
      </c>
      <c r="K29" s="11"/>
      <c r="L29" s="12"/>
      <c r="M29" s="13">
        <v>2</v>
      </c>
      <c r="N29" s="14">
        <v>6</v>
      </c>
      <c r="O29">
        <f t="shared" si="0"/>
        <v>67200</v>
      </c>
      <c r="P29">
        <v>67200</v>
      </c>
      <c r="R29" s="18">
        <v>0.28</v>
      </c>
      <c r="S29" s="19">
        <f t="shared" si="1"/>
        <v>168</v>
      </c>
      <c r="T29">
        <f t="shared" si="2"/>
        <v>112</v>
      </c>
      <c r="U29" s="8">
        <f t="shared" si="3"/>
        <v>8</v>
      </c>
    </row>
    <row r="30" spans="1:21">
      <c r="A30" s="7"/>
      <c r="B30" s="7"/>
      <c r="D30" s="15"/>
      <c r="E30" s="15"/>
      <c r="P30">
        <f>SUM(P20:P29)</f>
        <v>240000</v>
      </c>
    </row>
    <row r="31" spans="1:21">
      <c r="A31" s="7"/>
      <c r="B31" s="7"/>
      <c r="D31" s="15"/>
      <c r="E31" s="15"/>
    </row>
    <row r="32" spans="1:21">
      <c r="A32" s="7"/>
      <c r="B32" s="7"/>
      <c r="D32" s="15"/>
      <c r="E32" s="15"/>
    </row>
    <row r="33" spans="1:40">
      <c r="A33" s="7"/>
      <c r="B33" s="7"/>
      <c r="D33" s="15"/>
      <c r="E33" s="15"/>
    </row>
    <row r="34" spans="1:40">
      <c r="A34" s="7"/>
      <c r="B34" s="7"/>
      <c r="D34" s="15"/>
      <c r="E34" s="15"/>
    </row>
    <row r="35" spans="1:40">
      <c r="I35" s="10" t="s">
        <v>3771</v>
      </c>
      <c r="J35" t="s">
        <v>2</v>
      </c>
      <c r="K35" s="11" t="s">
        <v>3772</v>
      </c>
      <c r="L35" s="11" t="s">
        <v>3797</v>
      </c>
      <c r="M35" s="12" t="s">
        <v>3772</v>
      </c>
      <c r="N35" s="12" t="s">
        <v>3797</v>
      </c>
      <c r="O35" s="13" t="s">
        <v>3773</v>
      </c>
      <c r="P35" s="13" t="s">
        <v>3797</v>
      </c>
      <c r="Q35" s="14" t="s">
        <v>3774</v>
      </c>
      <c r="R35" s="14" t="s">
        <v>3797</v>
      </c>
      <c r="S35" t="s">
        <v>3798</v>
      </c>
      <c r="T35" t="s">
        <v>3799</v>
      </c>
      <c r="V35">
        <v>180000</v>
      </c>
      <c r="W35" t="s">
        <v>3800</v>
      </c>
      <c r="X35" t="s">
        <v>3801</v>
      </c>
      <c r="Y35" s="8"/>
    </row>
    <row r="36" spans="1:40">
      <c r="F36" t="s">
        <v>3802</v>
      </c>
      <c r="G36" t="s">
        <v>3778</v>
      </c>
      <c r="H36" s="17">
        <v>400</v>
      </c>
      <c r="I36" s="10">
        <v>1</v>
      </c>
      <c r="J36" s="8">
        <v>1</v>
      </c>
      <c r="K36" s="11">
        <v>1</v>
      </c>
      <c r="L36" s="20">
        <v>0.75</v>
      </c>
      <c r="M36" s="12">
        <v>1</v>
      </c>
      <c r="N36" s="21">
        <v>0.25</v>
      </c>
      <c r="O36" s="13"/>
      <c r="P36" s="22"/>
      <c r="Q36" s="14"/>
      <c r="R36" s="23"/>
      <c r="S36">
        <f t="shared" ref="S36:S45" si="4">($H$36*K36*L36+$H$37*M36*N36+$H$38*O36*P36+$H$39*Q36*R36)*J36</f>
        <v>800</v>
      </c>
      <c r="T36">
        <v>1200</v>
      </c>
      <c r="U36" s="24">
        <f t="shared" ref="U36:U45" si="5">L36+N36+P36+R36</f>
        <v>1</v>
      </c>
      <c r="V36" s="18">
        <v>0.005</v>
      </c>
      <c r="W36" s="19">
        <f t="shared" ref="W36:W45" si="6">$V$35*V36</f>
        <v>900</v>
      </c>
      <c r="X36">
        <f t="shared" ref="X36:X45" si="7">T36-W36</f>
        <v>300</v>
      </c>
      <c r="Y36" s="8"/>
    </row>
    <row r="37" spans="1:40">
      <c r="F37" t="s">
        <v>3802</v>
      </c>
      <c r="G37" t="s">
        <v>3780</v>
      </c>
      <c r="H37" s="17">
        <v>2000</v>
      </c>
      <c r="I37" s="10">
        <v>2</v>
      </c>
      <c r="J37" s="8">
        <v>2</v>
      </c>
      <c r="K37" s="11">
        <v>1</v>
      </c>
      <c r="L37" s="20">
        <v>0.5</v>
      </c>
      <c r="M37" s="12">
        <v>1</v>
      </c>
      <c r="N37" s="21">
        <v>0.5</v>
      </c>
      <c r="O37" s="13"/>
      <c r="P37" s="22"/>
      <c r="Q37" s="14"/>
      <c r="R37" s="23"/>
      <c r="S37">
        <f t="shared" si="4"/>
        <v>2400</v>
      </c>
      <c r="T37">
        <v>2400</v>
      </c>
      <c r="U37" s="24">
        <f t="shared" si="5"/>
        <v>1</v>
      </c>
      <c r="V37" s="18">
        <v>0.01</v>
      </c>
      <c r="W37" s="19">
        <f t="shared" si="6"/>
        <v>1800</v>
      </c>
      <c r="X37">
        <f t="shared" si="7"/>
        <v>600</v>
      </c>
      <c r="Y37" s="8"/>
    </row>
    <row r="38" spans="1:40">
      <c r="F38" t="s">
        <v>3803</v>
      </c>
      <c r="G38" t="s">
        <v>3782</v>
      </c>
      <c r="H38" s="17">
        <v>5000</v>
      </c>
      <c r="I38" s="10">
        <v>3</v>
      </c>
      <c r="J38" s="8">
        <v>4</v>
      </c>
      <c r="K38" s="11">
        <v>1</v>
      </c>
      <c r="L38" s="20">
        <v>0.31</v>
      </c>
      <c r="M38" s="12">
        <v>1</v>
      </c>
      <c r="N38" s="21">
        <v>0.59</v>
      </c>
      <c r="O38" s="13">
        <v>1</v>
      </c>
      <c r="P38" s="22">
        <v>0.1</v>
      </c>
      <c r="Q38" s="14"/>
      <c r="R38" s="23"/>
      <c r="S38">
        <f t="shared" si="4"/>
        <v>7216</v>
      </c>
      <c r="T38">
        <v>7200</v>
      </c>
      <c r="U38" s="24">
        <f t="shared" si="5"/>
        <v>1</v>
      </c>
      <c r="V38" s="18">
        <v>0.03</v>
      </c>
      <c r="W38" s="19">
        <f t="shared" si="6"/>
        <v>5400</v>
      </c>
      <c r="X38">
        <f t="shared" si="7"/>
        <v>1800</v>
      </c>
      <c r="Y38" s="8"/>
    </row>
    <row r="39" spans="1:40">
      <c r="F39" t="s">
        <v>3804</v>
      </c>
      <c r="G39" t="s">
        <v>3784</v>
      </c>
      <c r="H39" s="17">
        <v>10000</v>
      </c>
      <c r="I39" s="10">
        <v>4</v>
      </c>
      <c r="J39" s="8">
        <v>5</v>
      </c>
      <c r="K39" s="11">
        <v>1</v>
      </c>
      <c r="L39" s="20">
        <v>0.3</v>
      </c>
      <c r="M39" s="12">
        <v>1</v>
      </c>
      <c r="N39" s="21">
        <v>0.4</v>
      </c>
      <c r="O39" s="13">
        <v>1</v>
      </c>
      <c r="P39" s="22">
        <v>0.3</v>
      </c>
      <c r="Q39" s="14"/>
      <c r="R39" s="23"/>
      <c r="S39">
        <f t="shared" si="4"/>
        <v>12100</v>
      </c>
      <c r="T39">
        <v>12000</v>
      </c>
      <c r="U39" s="24">
        <f t="shared" si="5"/>
        <v>1</v>
      </c>
      <c r="V39" s="18">
        <v>0.05</v>
      </c>
      <c r="W39" s="19">
        <f t="shared" si="6"/>
        <v>9000</v>
      </c>
      <c r="X39">
        <f t="shared" si="7"/>
        <v>3000</v>
      </c>
      <c r="Y39" s="8"/>
    </row>
    <row r="40" spans="1:40">
      <c r="F40" t="s">
        <v>3805</v>
      </c>
      <c r="G40" t="s">
        <v>3786</v>
      </c>
      <c r="I40" s="10">
        <v>5</v>
      </c>
      <c r="J40" s="8">
        <v>5</v>
      </c>
      <c r="K40" s="11">
        <v>1</v>
      </c>
      <c r="L40" s="20">
        <v>0.1</v>
      </c>
      <c r="M40" s="12">
        <v>1</v>
      </c>
      <c r="N40" s="21">
        <v>0.4</v>
      </c>
      <c r="O40" s="13">
        <v>1</v>
      </c>
      <c r="P40" s="22">
        <v>0.4</v>
      </c>
      <c r="Q40" s="14">
        <v>1</v>
      </c>
      <c r="R40" s="23">
        <v>0.1</v>
      </c>
      <c r="S40">
        <f t="shared" si="4"/>
        <v>19200</v>
      </c>
      <c r="T40">
        <v>19200</v>
      </c>
      <c r="U40" s="24">
        <f t="shared" si="5"/>
        <v>1</v>
      </c>
      <c r="V40" s="18">
        <v>0.08</v>
      </c>
      <c r="W40" s="19">
        <f t="shared" si="6"/>
        <v>14400</v>
      </c>
      <c r="X40">
        <f t="shared" si="7"/>
        <v>4800</v>
      </c>
      <c r="Y40" s="8"/>
    </row>
    <row r="41" spans="1:40">
      <c r="F41" t="s">
        <v>3806</v>
      </c>
      <c r="G41" t="s">
        <v>3788</v>
      </c>
      <c r="I41" s="10">
        <v>6</v>
      </c>
      <c r="J41" s="8">
        <v>6</v>
      </c>
      <c r="K41" s="11">
        <v>1</v>
      </c>
      <c r="L41" s="20">
        <v>0.21</v>
      </c>
      <c r="M41" s="12">
        <v>1</v>
      </c>
      <c r="N41" s="21">
        <v>0.18</v>
      </c>
      <c r="O41" s="13">
        <v>1</v>
      </c>
      <c r="P41" s="22">
        <v>0.51</v>
      </c>
      <c r="Q41" s="14">
        <v>1</v>
      </c>
      <c r="R41" s="23">
        <v>0.1</v>
      </c>
      <c r="S41">
        <f t="shared" si="4"/>
        <v>23964</v>
      </c>
      <c r="T41">
        <v>24000</v>
      </c>
      <c r="U41" s="24">
        <f t="shared" si="5"/>
        <v>1</v>
      </c>
      <c r="V41" s="18">
        <v>0.1</v>
      </c>
      <c r="W41" s="19">
        <f t="shared" si="6"/>
        <v>18000</v>
      </c>
      <c r="X41">
        <f t="shared" si="7"/>
        <v>6000</v>
      </c>
      <c r="Y41" s="8"/>
    </row>
    <row r="42" spans="1:40">
      <c r="F42" t="s">
        <v>3807</v>
      </c>
      <c r="G42" t="s">
        <v>3790</v>
      </c>
      <c r="I42" s="10">
        <v>7</v>
      </c>
      <c r="J42" s="8">
        <v>7</v>
      </c>
      <c r="K42" s="11">
        <v>1</v>
      </c>
      <c r="L42" s="20">
        <v>0.25</v>
      </c>
      <c r="M42" s="12">
        <v>1</v>
      </c>
      <c r="N42" s="21">
        <v>0.19</v>
      </c>
      <c r="O42" s="13">
        <v>1</v>
      </c>
      <c r="P42" s="22">
        <v>0.36</v>
      </c>
      <c r="Q42" s="14">
        <v>1</v>
      </c>
      <c r="R42" s="23">
        <v>0.2</v>
      </c>
      <c r="S42">
        <f t="shared" si="4"/>
        <v>29960</v>
      </c>
      <c r="T42">
        <v>30000</v>
      </c>
      <c r="U42" s="24">
        <f t="shared" si="5"/>
        <v>1</v>
      </c>
      <c r="V42" s="18">
        <v>0.125</v>
      </c>
      <c r="W42" s="19">
        <f t="shared" si="6"/>
        <v>22500</v>
      </c>
      <c r="X42">
        <f t="shared" si="7"/>
        <v>7500</v>
      </c>
      <c r="Y42" s="8"/>
    </row>
    <row r="43" spans="1:40">
      <c r="F43" t="s">
        <v>3808</v>
      </c>
      <c r="G43" t="s">
        <v>3792</v>
      </c>
      <c r="I43" s="10">
        <v>8</v>
      </c>
      <c r="J43" s="8">
        <v>7</v>
      </c>
      <c r="K43" s="11">
        <v>1</v>
      </c>
      <c r="L43" s="20">
        <v>0.1</v>
      </c>
      <c r="M43" s="12">
        <v>1</v>
      </c>
      <c r="N43" s="21">
        <v>0.3</v>
      </c>
      <c r="O43" s="13">
        <v>1</v>
      </c>
      <c r="P43" s="22">
        <v>0.3</v>
      </c>
      <c r="Q43" s="14">
        <v>1</v>
      </c>
      <c r="R43" s="23">
        <v>0.3</v>
      </c>
      <c r="S43">
        <f t="shared" si="4"/>
        <v>35980</v>
      </c>
      <c r="T43">
        <v>36000</v>
      </c>
      <c r="U43" s="24">
        <f t="shared" si="5"/>
        <v>1</v>
      </c>
      <c r="V43" s="18">
        <v>0.15</v>
      </c>
      <c r="W43" s="19">
        <f t="shared" si="6"/>
        <v>27000</v>
      </c>
      <c r="X43">
        <f t="shared" si="7"/>
        <v>9000</v>
      </c>
      <c r="Y43" s="8"/>
    </row>
    <row r="44" spans="1:40">
      <c r="F44" t="s">
        <v>3808</v>
      </c>
      <c r="G44" t="s">
        <v>3794</v>
      </c>
      <c r="I44" s="10">
        <v>9</v>
      </c>
      <c r="J44" s="8">
        <v>8</v>
      </c>
      <c r="K44" s="11">
        <v>1</v>
      </c>
      <c r="L44" s="20">
        <v>0.1</v>
      </c>
      <c r="M44" s="12">
        <v>1</v>
      </c>
      <c r="N44" s="21">
        <v>0.3</v>
      </c>
      <c r="O44" s="13">
        <v>1</v>
      </c>
      <c r="P44" s="22">
        <v>0.3</v>
      </c>
      <c r="Q44" s="14">
        <v>1</v>
      </c>
      <c r="R44" s="23">
        <v>0.3</v>
      </c>
      <c r="S44">
        <f t="shared" si="4"/>
        <v>41120</v>
      </c>
      <c r="T44">
        <v>40800</v>
      </c>
      <c r="U44" s="24">
        <f t="shared" si="5"/>
        <v>1</v>
      </c>
      <c r="V44" s="18">
        <v>0.17</v>
      </c>
      <c r="W44" s="19">
        <f t="shared" si="6"/>
        <v>30600</v>
      </c>
      <c r="X44">
        <f t="shared" si="7"/>
        <v>10200</v>
      </c>
      <c r="Y44" s="8"/>
    </row>
    <row r="45" spans="1:40">
      <c r="F45" t="s">
        <v>3809</v>
      </c>
      <c r="G45" t="s">
        <v>3796</v>
      </c>
      <c r="I45" s="10">
        <v>10</v>
      </c>
      <c r="J45" s="8">
        <v>8</v>
      </c>
      <c r="K45" s="11"/>
      <c r="L45" s="20"/>
      <c r="M45" s="12"/>
      <c r="N45" s="21"/>
      <c r="O45" s="13">
        <v>1</v>
      </c>
      <c r="P45" s="22">
        <v>0.32</v>
      </c>
      <c r="Q45" s="14">
        <v>1</v>
      </c>
      <c r="R45" s="23">
        <v>0.68</v>
      </c>
      <c r="S45">
        <f t="shared" si="4"/>
        <v>67200</v>
      </c>
      <c r="T45">
        <v>67200</v>
      </c>
      <c r="U45" s="24">
        <f t="shared" si="5"/>
        <v>1</v>
      </c>
      <c r="V45" s="18">
        <v>0.28</v>
      </c>
      <c r="W45" s="19">
        <f t="shared" si="6"/>
        <v>50400</v>
      </c>
      <c r="X45">
        <f t="shared" si="7"/>
        <v>16800</v>
      </c>
      <c r="Y45" s="8"/>
    </row>
    <row r="46" spans="1:40">
      <c r="S46">
        <f>SUM(S36:S45)</f>
        <v>239940</v>
      </c>
      <c r="T46">
        <f>SUM(T36:T45)</f>
        <v>240000</v>
      </c>
    </row>
    <row r="47" s="7" customFormat="1" spans="1:40">
      <c r="B47" s="17"/>
      <c r="D47" s="17"/>
      <c r="K47" s="25"/>
      <c r="Q47" s="17"/>
      <c r="R47" s="25"/>
      <c r="U47" s="25"/>
      <c r="W47" s="17"/>
      <c r="Y47" s="25"/>
      <c r="AC47" s="26"/>
      <c r="AD47" s="26"/>
      <c r="AE47" s="26"/>
      <c r="AF47" s="27"/>
      <c r="AG47" s="27"/>
      <c r="AH47" s="27"/>
      <c r="AI47" s="27"/>
      <c r="AJ47" s="28"/>
      <c r="AK47" s="28"/>
      <c r="AL47" s="29"/>
      <c r="AM47" s="28"/>
      <c r="AN47" s="28"/>
    </row>
    <row r="52" spans="12:31">
      <c r="L52" t="s">
        <v>3810</v>
      </c>
      <c r="M52" t="s">
        <v>3811</v>
      </c>
      <c r="W52" t="s">
        <v>3812</v>
      </c>
      <c r="X52" t="s">
        <v>3813</v>
      </c>
      <c r="Y52" t="s">
        <v>3814</v>
      </c>
      <c r="Z52" t="s">
        <v>3815</v>
      </c>
      <c r="AA52" t="s">
        <v>3816</v>
      </c>
      <c r="AB52" t="s">
        <v>3817</v>
      </c>
    </row>
    <row r="53" spans="12:31">
      <c r="L53">
        <v>41001</v>
      </c>
      <c r="M53">
        <v>610001</v>
      </c>
      <c r="O53">
        <v>610001</v>
      </c>
      <c r="R53" t="s">
        <v>3818</v>
      </c>
      <c r="S53" t="s">
        <v>3819</v>
      </c>
      <c r="Y53" s="30">
        <v>0.5</v>
      </c>
      <c r="Z53" s="30">
        <v>0.4</v>
      </c>
      <c r="AA53" s="30">
        <v>0.1</v>
      </c>
      <c r="AB53" s="30">
        <v>0.5</v>
      </c>
    </row>
    <row r="54" spans="12:31">
      <c r="L54">
        <v>41002</v>
      </c>
      <c r="M54">
        <v>610002</v>
      </c>
      <c r="O54">
        <v>610002</v>
      </c>
      <c r="R54" t="s">
        <v>3820</v>
      </c>
      <c r="S54" t="s">
        <v>3821</v>
      </c>
    </row>
    <row r="55" spans="12:31">
      <c r="L55">
        <v>41003</v>
      </c>
      <c r="M55">
        <v>610003</v>
      </c>
      <c r="O55">
        <v>610003</v>
      </c>
      <c r="R55" t="s">
        <v>3822</v>
      </c>
      <c r="S55" t="s">
        <v>3823</v>
      </c>
      <c r="X55" t="s">
        <v>3824</v>
      </c>
      <c r="Y55" t="s">
        <v>3814</v>
      </c>
      <c r="Z55" t="s">
        <v>3815</v>
      </c>
      <c r="AA55" t="s">
        <v>3816</v>
      </c>
      <c r="AB55" t="s">
        <v>3817</v>
      </c>
      <c r="AC55" t="s">
        <v>3825</v>
      </c>
    </row>
    <row r="56" spans="12:31">
      <c r="L56">
        <v>41004</v>
      </c>
      <c r="M56">
        <v>610004</v>
      </c>
      <c r="O56">
        <v>610004</v>
      </c>
      <c r="R56" t="s">
        <v>3826</v>
      </c>
      <c r="S56" t="s">
        <v>3827</v>
      </c>
      <c r="Y56" s="30">
        <v>0.5</v>
      </c>
      <c r="Z56" s="30">
        <v>0.4</v>
      </c>
      <c r="AA56" s="30">
        <v>0.1</v>
      </c>
      <c r="AB56" s="30">
        <v>0.7</v>
      </c>
      <c r="AC56" s="30">
        <v>0.2</v>
      </c>
    </row>
    <row r="57" spans="12:31">
      <c r="L57">
        <v>41005</v>
      </c>
      <c r="M57">
        <v>610005</v>
      </c>
      <c r="O57">
        <v>610005</v>
      </c>
      <c r="R57" t="s">
        <v>3828</v>
      </c>
      <c r="S57" t="s">
        <v>3829</v>
      </c>
    </row>
    <row r="58" spans="12:31">
      <c r="L58">
        <v>41006</v>
      </c>
      <c r="M58">
        <v>610006</v>
      </c>
      <c r="O58">
        <v>610006</v>
      </c>
      <c r="R58" t="s">
        <v>3830</v>
      </c>
      <c r="S58" t="s">
        <v>3831</v>
      </c>
      <c r="W58" t="s">
        <v>3832</v>
      </c>
      <c r="X58" t="s">
        <v>3813</v>
      </c>
      <c r="Y58" t="s">
        <v>3814</v>
      </c>
      <c r="Z58" t="s">
        <v>3815</v>
      </c>
      <c r="AA58" t="s">
        <v>3816</v>
      </c>
      <c r="AB58" t="s">
        <v>3833</v>
      </c>
      <c r="AC58" t="s">
        <v>3834</v>
      </c>
      <c r="AD58" t="s">
        <v>3835</v>
      </c>
      <c r="AE58" t="s">
        <v>3825</v>
      </c>
    </row>
    <row r="59" spans="12:31">
      <c r="L59">
        <v>41007</v>
      </c>
      <c r="M59">
        <v>610007</v>
      </c>
      <c r="O59">
        <v>610007</v>
      </c>
      <c r="R59" t="s">
        <v>3836</v>
      </c>
      <c r="S59" t="s">
        <v>3837</v>
      </c>
      <c r="Y59" s="30">
        <v>0.25</v>
      </c>
      <c r="Z59" s="30">
        <v>0.35</v>
      </c>
      <c r="AA59" s="30">
        <v>0.4</v>
      </c>
      <c r="AB59" s="30">
        <v>0.6</v>
      </c>
      <c r="AC59" s="30">
        <v>0.3</v>
      </c>
      <c r="AD59" s="30">
        <v>0.1</v>
      </c>
      <c r="AE59" s="30">
        <v>0.6</v>
      </c>
    </row>
    <row r="60" spans="12:31">
      <c r="L60">
        <v>41008</v>
      </c>
      <c r="M60">
        <v>610008</v>
      </c>
      <c r="O60">
        <v>610008</v>
      </c>
      <c r="R60" t="s">
        <v>3838</v>
      </c>
      <c r="S60" t="s">
        <v>3839</v>
      </c>
    </row>
    <row r="61" spans="12:31">
      <c r="L61">
        <v>41009</v>
      </c>
      <c r="M61">
        <v>610009</v>
      </c>
      <c r="O61">
        <v>610009</v>
      </c>
      <c r="R61" t="s">
        <v>3840</v>
      </c>
      <c r="S61" t="s">
        <v>3841</v>
      </c>
      <c r="X61" t="s">
        <v>3824</v>
      </c>
      <c r="Y61" t="s">
        <v>3814</v>
      </c>
      <c r="Z61" t="s">
        <v>3815</v>
      </c>
      <c r="AA61" t="s">
        <v>3816</v>
      </c>
      <c r="AB61" t="s">
        <v>3833</v>
      </c>
      <c r="AC61" t="s">
        <v>3834</v>
      </c>
      <c r="AD61" t="s">
        <v>3835</v>
      </c>
      <c r="AE61" t="s">
        <v>3825</v>
      </c>
    </row>
    <row r="62" spans="12:31">
      <c r="L62">
        <v>41010</v>
      </c>
      <c r="M62">
        <v>610010</v>
      </c>
      <c r="O62">
        <v>610010</v>
      </c>
      <c r="R62" t="s">
        <v>3842</v>
      </c>
      <c r="S62" t="s">
        <v>3843</v>
      </c>
      <c r="Y62" s="30">
        <v>0.25</v>
      </c>
      <c r="Z62" s="30">
        <v>0.35</v>
      </c>
      <c r="AA62" s="30">
        <v>0.4</v>
      </c>
      <c r="AB62" s="30">
        <v>0.6</v>
      </c>
      <c r="AC62" s="30">
        <v>0.3</v>
      </c>
      <c r="AD62" s="30">
        <v>0.1</v>
      </c>
      <c r="AE62" s="30">
        <v>0.6</v>
      </c>
    </row>
    <row r="63" spans="12:31">
      <c r="L63">
        <v>41011</v>
      </c>
      <c r="M63">
        <v>610011</v>
      </c>
      <c r="O63">
        <v>610011</v>
      </c>
      <c r="R63" t="s">
        <v>3844</v>
      </c>
      <c r="S63" t="s">
        <v>3845</v>
      </c>
    </row>
    <row r="64" spans="12:31">
      <c r="L64">
        <v>41012</v>
      </c>
      <c r="M64">
        <v>610012</v>
      </c>
      <c r="O64">
        <v>610012</v>
      </c>
      <c r="R64" t="s">
        <v>3846</v>
      </c>
      <c r="S64" t="s">
        <v>3847</v>
      </c>
      <c r="X64" t="s">
        <v>3848</v>
      </c>
      <c r="Y64" t="s">
        <v>3814</v>
      </c>
      <c r="Z64" t="s">
        <v>3815</v>
      </c>
      <c r="AA64" t="s">
        <v>3816</v>
      </c>
      <c r="AB64" t="s">
        <v>3833</v>
      </c>
      <c r="AC64" t="s">
        <v>3834</v>
      </c>
      <c r="AD64" t="s">
        <v>3835</v>
      </c>
      <c r="AE64" t="s">
        <v>3825</v>
      </c>
    </row>
    <row r="65" spans="12:31">
      <c r="L65">
        <v>41013</v>
      </c>
      <c r="M65">
        <v>610013</v>
      </c>
      <c r="O65">
        <v>610013</v>
      </c>
      <c r="R65" t="s">
        <v>3849</v>
      </c>
      <c r="S65" t="s">
        <v>3850</v>
      </c>
      <c r="Y65" s="30">
        <v>0.2</v>
      </c>
      <c r="Z65" s="30">
        <v>0.3</v>
      </c>
      <c r="AA65" s="30">
        <v>0.5</v>
      </c>
      <c r="AB65" s="30">
        <v>0.45</v>
      </c>
      <c r="AC65" s="30">
        <v>0.35</v>
      </c>
      <c r="AD65" s="30">
        <v>0.25</v>
      </c>
      <c r="AE65" s="30">
        <v>0.8</v>
      </c>
    </row>
    <row r="66" spans="12:31">
      <c r="L66">
        <v>41014</v>
      </c>
      <c r="M66">
        <v>610014</v>
      </c>
      <c r="O66">
        <v>610014</v>
      </c>
      <c r="R66" t="s">
        <v>3851</v>
      </c>
      <c r="S66" t="s">
        <v>3852</v>
      </c>
    </row>
    <row r="67" spans="12:31">
      <c r="L67">
        <v>41015</v>
      </c>
      <c r="M67">
        <v>610015</v>
      </c>
      <c r="O67">
        <v>610015</v>
      </c>
      <c r="R67" t="s">
        <v>3853</v>
      </c>
      <c r="S67" t="s">
        <v>3854</v>
      </c>
    </row>
    <row r="68" spans="12:31">
      <c r="L68">
        <v>41018</v>
      </c>
      <c r="M68">
        <v>610018</v>
      </c>
      <c r="O68">
        <v>610018</v>
      </c>
      <c r="R68" t="s">
        <v>3855</v>
      </c>
      <c r="S68" t="s">
        <v>3856</v>
      </c>
    </row>
    <row r="69" spans="12:31">
      <c r="L69">
        <v>42001</v>
      </c>
      <c r="M69">
        <v>620001</v>
      </c>
      <c r="O69">
        <v>620001</v>
      </c>
      <c r="R69" t="s">
        <v>3857</v>
      </c>
      <c r="S69" t="s">
        <v>3858</v>
      </c>
    </row>
    <row r="70" spans="12:31">
      <c r="L70">
        <v>42002</v>
      </c>
      <c r="M70">
        <v>620002</v>
      </c>
      <c r="O70">
        <v>620002</v>
      </c>
      <c r="R70" t="s">
        <v>3859</v>
      </c>
      <c r="S70" t="s">
        <v>3860</v>
      </c>
    </row>
    <row r="71" spans="12:31">
      <c r="L71">
        <v>42003</v>
      </c>
      <c r="M71">
        <v>620003</v>
      </c>
      <c r="O71">
        <v>620003</v>
      </c>
      <c r="R71" t="s">
        <v>3861</v>
      </c>
      <c r="S71" t="s">
        <v>3862</v>
      </c>
    </row>
    <row r="72" spans="12:31">
      <c r="L72">
        <v>42004</v>
      </c>
      <c r="M72">
        <v>620004</v>
      </c>
      <c r="O72">
        <v>620004</v>
      </c>
      <c r="R72" t="s">
        <v>3863</v>
      </c>
      <c r="S72" t="s">
        <v>3864</v>
      </c>
    </row>
    <row r="73" spans="12:31">
      <c r="L73">
        <v>42005</v>
      </c>
      <c r="M73">
        <v>620005</v>
      </c>
      <c r="O73">
        <v>620005</v>
      </c>
      <c r="R73" t="s">
        <v>3865</v>
      </c>
      <c r="S73" t="s">
        <v>3866</v>
      </c>
    </row>
    <row r="74" spans="12:31">
      <c r="L74">
        <v>42006</v>
      </c>
      <c r="M74">
        <v>620006</v>
      </c>
      <c r="O74">
        <v>620006</v>
      </c>
      <c r="R74" t="s">
        <v>3867</v>
      </c>
      <c r="S74" t="s">
        <v>3868</v>
      </c>
    </row>
    <row r="75" spans="12:31">
      <c r="L75">
        <v>42007</v>
      </c>
      <c r="M75">
        <v>620007</v>
      </c>
      <c r="O75">
        <v>620007</v>
      </c>
      <c r="R75" t="s">
        <v>3869</v>
      </c>
      <c r="S75" t="s">
        <v>3870</v>
      </c>
    </row>
    <row r="76" spans="12:31">
      <c r="L76">
        <v>42008</v>
      </c>
      <c r="M76">
        <v>620008</v>
      </c>
      <c r="O76">
        <v>620008</v>
      </c>
      <c r="R76" t="s">
        <v>3871</v>
      </c>
      <c r="S76" t="s">
        <v>3872</v>
      </c>
    </row>
    <row r="77" spans="12:31">
      <c r="L77">
        <v>42009</v>
      </c>
      <c r="M77">
        <v>620009</v>
      </c>
      <c r="O77">
        <v>620009</v>
      </c>
      <c r="R77" t="s">
        <v>3873</v>
      </c>
      <c r="S77" t="s">
        <v>3874</v>
      </c>
    </row>
    <row r="78" spans="12:31">
      <c r="L78">
        <v>42010</v>
      </c>
      <c r="M78">
        <v>620010</v>
      </c>
      <c r="O78">
        <v>620010</v>
      </c>
      <c r="R78" t="s">
        <v>3875</v>
      </c>
      <c r="S78" t="s">
        <v>3876</v>
      </c>
    </row>
    <row r="79" spans="12:31">
      <c r="L79">
        <v>42011</v>
      </c>
      <c r="M79">
        <v>620011</v>
      </c>
      <c r="O79">
        <v>620011</v>
      </c>
      <c r="R79" t="s">
        <v>3877</v>
      </c>
      <c r="S79" t="s">
        <v>3878</v>
      </c>
    </row>
    <row r="80" spans="12:31">
      <c r="L80">
        <v>42012</v>
      </c>
      <c r="M80">
        <v>620012</v>
      </c>
      <c r="O80">
        <v>620012</v>
      </c>
      <c r="R80" t="s">
        <v>3879</v>
      </c>
      <c r="S80" t="s">
        <v>3880</v>
      </c>
    </row>
    <row r="81" spans="12:19">
      <c r="L81">
        <v>42013</v>
      </c>
      <c r="M81">
        <v>620013</v>
      </c>
      <c r="O81">
        <v>620013</v>
      </c>
      <c r="R81" t="s">
        <v>3881</v>
      </c>
      <c r="S81" t="s">
        <v>3882</v>
      </c>
    </row>
    <row r="82" spans="12:19">
      <c r="L82">
        <v>42014</v>
      </c>
      <c r="M82">
        <v>620014</v>
      </c>
      <c r="O82">
        <v>620014</v>
      </c>
      <c r="R82" t="s">
        <v>3883</v>
      </c>
      <c r="S82" t="s">
        <v>3884</v>
      </c>
    </row>
    <row r="83" spans="12:19">
      <c r="L83">
        <v>42015</v>
      </c>
      <c r="M83">
        <v>620015</v>
      </c>
      <c r="O83">
        <v>620015</v>
      </c>
      <c r="R83" t="s">
        <v>3885</v>
      </c>
      <c r="S83" t="s">
        <v>3886</v>
      </c>
    </row>
    <row r="84" spans="12:19">
      <c r="L84">
        <v>42016</v>
      </c>
      <c r="M84">
        <v>620016</v>
      </c>
      <c r="O84">
        <v>620016</v>
      </c>
      <c r="R84" t="s">
        <v>3887</v>
      </c>
      <c r="S84" t="s">
        <v>3888</v>
      </c>
    </row>
    <row r="85" spans="12:19">
      <c r="L85">
        <v>42017</v>
      </c>
      <c r="M85">
        <v>620017</v>
      </c>
      <c r="O85">
        <v>620017</v>
      </c>
      <c r="R85" t="s">
        <v>3889</v>
      </c>
      <c r="S85" t="s">
        <v>3890</v>
      </c>
    </row>
    <row r="86" spans="12:19">
      <c r="L86">
        <v>42018</v>
      </c>
      <c r="M86">
        <v>620018</v>
      </c>
      <c r="O86">
        <v>620018</v>
      </c>
      <c r="R86" t="s">
        <v>3891</v>
      </c>
      <c r="S86" t="s">
        <v>3892</v>
      </c>
    </row>
    <row r="87" spans="12:19">
      <c r="L87">
        <v>42019</v>
      </c>
      <c r="M87">
        <v>620019</v>
      </c>
      <c r="O87">
        <v>620019</v>
      </c>
      <c r="R87" t="s">
        <v>3893</v>
      </c>
      <c r="S87" t="s">
        <v>3894</v>
      </c>
    </row>
    <row r="88" spans="12:19">
      <c r="L88">
        <v>42020</v>
      </c>
      <c r="M88">
        <v>620020</v>
      </c>
      <c r="O88">
        <v>620020</v>
      </c>
      <c r="R88" t="s">
        <v>3895</v>
      </c>
      <c r="S88" t="s">
        <v>3896</v>
      </c>
    </row>
    <row r="89" spans="12:19">
      <c r="L89">
        <v>42021</v>
      </c>
      <c r="M89">
        <v>620021</v>
      </c>
      <c r="O89">
        <v>620021</v>
      </c>
      <c r="R89" t="s">
        <v>3897</v>
      </c>
      <c r="S89" t="s">
        <v>3898</v>
      </c>
    </row>
    <row r="90" spans="12:19">
      <c r="L90">
        <v>42022</v>
      </c>
      <c r="M90">
        <v>620022</v>
      </c>
      <c r="O90">
        <v>620022</v>
      </c>
      <c r="R90" t="s">
        <v>3899</v>
      </c>
      <c r="S90" t="s">
        <v>3900</v>
      </c>
    </row>
    <row r="91" spans="12:19">
      <c r="L91">
        <v>42023</v>
      </c>
      <c r="M91">
        <v>620023</v>
      </c>
      <c r="O91">
        <v>620023</v>
      </c>
      <c r="R91" t="s">
        <v>3901</v>
      </c>
      <c r="S91" t="s">
        <v>3902</v>
      </c>
    </row>
    <row r="92" spans="12:19">
      <c r="L92">
        <v>42024</v>
      </c>
      <c r="M92">
        <v>620024</v>
      </c>
      <c r="O92">
        <v>620024</v>
      </c>
      <c r="R92" t="s">
        <v>3903</v>
      </c>
      <c r="S92" t="s">
        <v>3904</v>
      </c>
    </row>
    <row r="93" spans="12:19">
      <c r="L93">
        <v>42025</v>
      </c>
      <c r="M93">
        <v>620025</v>
      </c>
      <c r="O93">
        <v>620025</v>
      </c>
      <c r="R93" t="s">
        <v>3905</v>
      </c>
      <c r="S93" t="s">
        <v>3906</v>
      </c>
    </row>
    <row r="94" spans="12:19">
      <c r="L94">
        <v>42026</v>
      </c>
      <c r="M94">
        <v>620026</v>
      </c>
      <c r="O94">
        <v>620026</v>
      </c>
      <c r="R94" t="s">
        <v>3907</v>
      </c>
      <c r="S94" t="s">
        <v>3908</v>
      </c>
    </row>
    <row r="95" spans="12:19">
      <c r="L95">
        <v>43001</v>
      </c>
      <c r="M95">
        <v>630001</v>
      </c>
      <c r="O95">
        <v>630001</v>
      </c>
      <c r="R95" t="s">
        <v>3909</v>
      </c>
      <c r="S95" t="s">
        <v>3910</v>
      </c>
    </row>
    <row r="96" spans="12:19">
      <c r="L96">
        <v>43002</v>
      </c>
      <c r="M96">
        <v>630002</v>
      </c>
      <c r="O96">
        <v>630002</v>
      </c>
      <c r="R96" t="s">
        <v>3911</v>
      </c>
      <c r="S96" t="s">
        <v>3912</v>
      </c>
    </row>
    <row r="97" spans="12:19">
      <c r="L97">
        <v>43003</v>
      </c>
      <c r="M97">
        <v>630003</v>
      </c>
      <c r="O97">
        <v>630003</v>
      </c>
      <c r="R97" t="s">
        <v>3913</v>
      </c>
      <c r="S97" t="s">
        <v>3914</v>
      </c>
    </row>
    <row r="98" spans="12:19">
      <c r="L98">
        <v>43004</v>
      </c>
      <c r="M98">
        <v>630004</v>
      </c>
      <c r="O98">
        <v>630004</v>
      </c>
      <c r="R98" t="s">
        <v>3915</v>
      </c>
      <c r="S98" t="s">
        <v>3916</v>
      </c>
    </row>
    <row r="99" spans="12:19">
      <c r="L99">
        <v>43005</v>
      </c>
      <c r="M99">
        <v>630005</v>
      </c>
      <c r="O99">
        <v>630005</v>
      </c>
      <c r="R99" t="s">
        <v>3917</v>
      </c>
      <c r="S99" t="s">
        <v>3918</v>
      </c>
    </row>
    <row r="100" spans="12:19">
      <c r="L100">
        <v>43006</v>
      </c>
      <c r="M100">
        <v>630006</v>
      </c>
      <c r="O100">
        <v>630006</v>
      </c>
      <c r="R100" t="s">
        <v>3919</v>
      </c>
      <c r="S100" t="s">
        <v>3920</v>
      </c>
    </row>
    <row r="101" spans="12:19">
      <c r="L101">
        <v>43007</v>
      </c>
      <c r="M101">
        <v>630007</v>
      </c>
      <c r="O101">
        <v>630007</v>
      </c>
      <c r="R101" t="s">
        <v>3921</v>
      </c>
      <c r="S101" t="s">
        <v>3922</v>
      </c>
    </row>
    <row r="102" spans="12:19">
      <c r="L102">
        <v>43008</v>
      </c>
      <c r="M102">
        <v>630008</v>
      </c>
      <c r="O102">
        <v>630008</v>
      </c>
      <c r="R102" t="s">
        <v>3923</v>
      </c>
      <c r="S102" t="s">
        <v>3924</v>
      </c>
    </row>
    <row r="103" spans="12:19">
      <c r="L103">
        <v>43009</v>
      </c>
      <c r="M103">
        <v>630009</v>
      </c>
      <c r="O103">
        <v>630009</v>
      </c>
      <c r="R103" t="s">
        <v>3925</v>
      </c>
      <c r="S103" t="s">
        <v>3926</v>
      </c>
    </row>
    <row r="104" spans="12:19">
      <c r="L104">
        <v>43010</v>
      </c>
      <c r="M104">
        <v>630010</v>
      </c>
      <c r="O104">
        <v>630010</v>
      </c>
      <c r="R104" t="s">
        <v>3927</v>
      </c>
      <c r="S104" t="s">
        <v>3928</v>
      </c>
    </row>
  </sheetData>
  <conditionalFormatting sqref="A47"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</conditionalFormatting>
  <conditionalFormatting sqref="O47">
    <cfRule type="duplicateValues" dxfId="0" priority="1"/>
  </conditionalFormatting>
  <conditionalFormatting sqref="AB47">
    <cfRule type="duplicateValues" dxfId="0" priority="2"/>
  </conditionalFormatting>
  <conditionalFormatting sqref="A1:A16">
    <cfRule type="duplicateValues" dxfId="0" priority="18"/>
    <cfRule type="duplicateValues" dxfId="0" priority="19"/>
  </conditionalFormatting>
  <conditionalFormatting sqref="A20:A34">
    <cfRule type="duplicateValues" dxfId="0" priority="16"/>
    <cfRule type="duplicateValues" dxfId="0" priority="17"/>
  </conditionalFormatting>
  <conditionalFormatting sqref="L53:L104">
    <cfRule type="duplicateValues" dxfId="0" priority="14"/>
    <cfRule type="duplicateValues" dxfId="0" priority="15"/>
  </conditionalFormatting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1:E70"/>
  <sheetViews>
    <sheetView topLeftCell="A10" workbookViewId="0">
      <selection activeCell="B2681" sqref="B2681:E2681"/>
    </sheetView>
  </sheetViews>
  <sheetFormatPr defaultColWidth="9" defaultRowHeight="13.5" outlineLevelCol="4"/>
  <cols>
    <col min="5" max="5" width="212.625" customWidth="1"/>
    <col min="15" max="15" width="18.625" customWidth="1"/>
  </cols>
  <sheetData>
    <row r="11" spans="2:5">
      <c r="B11" s="1">
        <v>838101</v>
      </c>
      <c r="D11" t="str">
        <f t="shared" ref="D11:D22" si="0">1200&amp;","&amp;B11&amp;","&amp;1&amp;","&amp;10&amp;";"</f>
        <v>1200,838101,1,10;</v>
      </c>
    </row>
    <row r="12" spans="2:5">
      <c r="B12" s="1">
        <v>838102</v>
      </c>
      <c r="D12" t="str">
        <f t="shared" si="0"/>
        <v>1200,838102,1,10;</v>
      </c>
    </row>
    <row r="13" spans="2:5">
      <c r="B13" s="1">
        <v>838103</v>
      </c>
      <c r="D13" t="str">
        <f t="shared" si="0"/>
        <v>1200,838103,1,10;</v>
      </c>
      <c r="E13" t="s">
        <v>1497</v>
      </c>
    </row>
    <row r="14" spans="2:5">
      <c r="B14" s="1">
        <v>838104</v>
      </c>
      <c r="D14" t="str">
        <f t="shared" si="0"/>
        <v>1200,838104,1,10;</v>
      </c>
    </row>
    <row r="15" spans="2:5">
      <c r="B15" s="2">
        <v>838105</v>
      </c>
      <c r="D15" t="str">
        <f t="shared" si="0"/>
        <v>1200,838105,1,10;</v>
      </c>
    </row>
    <row r="16" spans="2:5">
      <c r="B16" s="2">
        <v>838106</v>
      </c>
      <c r="D16" t="str">
        <f t="shared" si="0"/>
        <v>1200,838106,1,10;</v>
      </c>
    </row>
    <row r="17" spans="2:4">
      <c r="B17" s="2">
        <v>838107</v>
      </c>
      <c r="D17" t="str">
        <f t="shared" si="0"/>
        <v>1200,838107,1,10;</v>
      </c>
    </row>
    <row r="18" spans="2:4">
      <c r="B18" s="2">
        <v>838108</v>
      </c>
      <c r="D18" t="str">
        <f t="shared" si="0"/>
        <v>1200,838108,1,10;</v>
      </c>
    </row>
    <row r="19" spans="2:4">
      <c r="B19" s="1">
        <v>838109</v>
      </c>
      <c r="D19" t="str">
        <f t="shared" si="0"/>
        <v>1200,838109,1,10;</v>
      </c>
    </row>
    <row r="20" spans="2:4">
      <c r="B20" s="1">
        <v>838110</v>
      </c>
      <c r="D20" t="str">
        <f t="shared" si="0"/>
        <v>1200,838110,1,10;</v>
      </c>
    </row>
    <row r="21" spans="2:4">
      <c r="B21" s="1">
        <v>838111</v>
      </c>
      <c r="D21" t="str">
        <f t="shared" si="0"/>
        <v>1200,838111,1,10;</v>
      </c>
    </row>
    <row r="22" spans="2:4">
      <c r="B22" s="1">
        <v>838112</v>
      </c>
      <c r="D22" t="str">
        <f t="shared" si="0"/>
        <v>1200,838112,1,10;</v>
      </c>
    </row>
    <row r="25" spans="2:4">
      <c r="D25" t="str">
        <f>D11&amp;D12&amp;D13&amp;D14&amp;D15&amp;D16&amp;D17&amp;D18&amp;D19&amp;D20&amp;D21&amp;D22</f>
        <v>1200,838101,1,10;1200,838102,1,10;1200,838103,1,10;1200,838104,1,10;1200,838105,1,10;1200,838106,1,10;1200,838107,1,10;1200,838108,1,10;1200,838109,1,10;1200,838110,1,10;1200,838111,1,10;1200,838112,1,10;</v>
      </c>
    </row>
    <row r="30" spans="2:4">
      <c r="C30" t="s">
        <v>591</v>
      </c>
    </row>
    <row r="31" spans="2:4">
      <c r="C31" t="s">
        <v>596</v>
      </c>
    </row>
    <row r="32" spans="2:4">
      <c r="C32" t="s">
        <v>601</v>
      </c>
    </row>
    <row r="33" spans="2:4">
      <c r="C33" t="s">
        <v>606</v>
      </c>
    </row>
    <row r="36" spans="2:4">
      <c r="C36" t="str">
        <f>C30&amp;";"&amp;C31&amp;";"&amp;C32&amp;";"&amp;C33</f>
        <v>10262,80;10263,20;10265,80;10266,20;10268,80;10269,20;10271,80;10272,20</v>
      </c>
    </row>
    <row r="43" spans="2:4">
      <c r="B43" s="3">
        <v>3000401</v>
      </c>
      <c r="C43" s="4" t="s">
        <v>3929</v>
      </c>
      <c r="D43">
        <v>5</v>
      </c>
    </row>
    <row r="44" spans="2:4">
      <c r="B44" s="3">
        <v>3000402</v>
      </c>
      <c r="C44" s="4" t="s">
        <v>3930</v>
      </c>
      <c r="D44">
        <v>5</v>
      </c>
    </row>
    <row r="45" spans="2:4">
      <c r="B45" s="3">
        <v>3000403</v>
      </c>
      <c r="C45" s="4" t="s">
        <v>3931</v>
      </c>
      <c r="D45">
        <v>5</v>
      </c>
    </row>
    <row r="46" spans="2:4">
      <c r="B46" s="3">
        <v>3000404</v>
      </c>
      <c r="C46" s="4" t="s">
        <v>3932</v>
      </c>
      <c r="D46">
        <v>5</v>
      </c>
    </row>
    <row r="47" spans="2:4">
      <c r="B47" s="3">
        <v>3000801</v>
      </c>
      <c r="C47" s="5" t="s">
        <v>3933</v>
      </c>
      <c r="D47">
        <v>20</v>
      </c>
    </row>
    <row r="48" spans="2:4">
      <c r="B48" s="3">
        <v>3000802</v>
      </c>
      <c r="C48" s="5" t="s">
        <v>3934</v>
      </c>
      <c r="D48">
        <v>20</v>
      </c>
    </row>
    <row r="49" spans="2:4">
      <c r="B49" s="3">
        <v>3000803</v>
      </c>
      <c r="C49" s="5" t="s">
        <v>3935</v>
      </c>
      <c r="D49">
        <v>20</v>
      </c>
    </row>
    <row r="50" spans="2:4">
      <c r="B50" s="3">
        <v>3000804</v>
      </c>
      <c r="C50" s="5" t="s">
        <v>3936</v>
      </c>
      <c r="D50">
        <v>20</v>
      </c>
    </row>
    <row r="51" spans="2:4">
      <c r="B51" s="3">
        <v>3000101</v>
      </c>
      <c r="C51" s="6" t="s">
        <v>3937</v>
      </c>
      <c r="D51">
        <v>20</v>
      </c>
    </row>
    <row r="52" spans="2:4">
      <c r="B52" s="3">
        <v>3000102</v>
      </c>
      <c r="C52" s="6" t="s">
        <v>3938</v>
      </c>
      <c r="D52">
        <v>20</v>
      </c>
    </row>
    <row r="53" spans="2:4">
      <c r="B53" s="3">
        <v>3000103</v>
      </c>
      <c r="C53" s="6" t="s">
        <v>3939</v>
      </c>
      <c r="D53">
        <v>20</v>
      </c>
    </row>
    <row r="54" spans="2:4">
      <c r="B54" s="3">
        <v>3000104</v>
      </c>
      <c r="C54" s="6" t="s">
        <v>3940</v>
      </c>
      <c r="D54">
        <v>20</v>
      </c>
    </row>
    <row r="55" spans="2:4">
      <c r="B55" s="3">
        <v>3001401</v>
      </c>
      <c r="C55" s="5" t="s">
        <v>3941</v>
      </c>
      <c r="D55">
        <v>20</v>
      </c>
    </row>
    <row r="56" spans="2:4">
      <c r="B56" s="3">
        <v>3001402</v>
      </c>
      <c r="C56" s="5" t="s">
        <v>3942</v>
      </c>
      <c r="D56">
        <v>20</v>
      </c>
    </row>
    <row r="57" spans="2:4">
      <c r="B57" s="3">
        <v>3001403</v>
      </c>
      <c r="C57" s="5" t="s">
        <v>3943</v>
      </c>
      <c r="D57">
        <v>20</v>
      </c>
    </row>
    <row r="58" spans="2:4">
      <c r="B58" s="3">
        <v>3001404</v>
      </c>
      <c r="C58" s="5" t="s">
        <v>3944</v>
      </c>
      <c r="D58">
        <v>20</v>
      </c>
    </row>
    <row r="59" spans="2:4">
      <c r="B59" s="3">
        <v>3001101</v>
      </c>
      <c r="C59" s="6" t="s">
        <v>3945</v>
      </c>
      <c r="D59">
        <v>60</v>
      </c>
    </row>
    <row r="60" spans="2:4">
      <c r="B60" s="3">
        <v>3001102</v>
      </c>
      <c r="C60" s="6" t="s">
        <v>3946</v>
      </c>
      <c r="D60">
        <v>60</v>
      </c>
    </row>
    <row r="61" spans="2:4">
      <c r="B61" s="3">
        <v>3001103</v>
      </c>
      <c r="C61" s="6" t="s">
        <v>3947</v>
      </c>
      <c r="D61">
        <v>60</v>
      </c>
    </row>
    <row r="62" spans="2:4">
      <c r="B62" s="3">
        <v>3001104</v>
      </c>
      <c r="C62" s="6" t="s">
        <v>3948</v>
      </c>
      <c r="D62">
        <v>60</v>
      </c>
    </row>
    <row r="63" spans="2:4">
      <c r="B63" s="3">
        <v>3000501</v>
      </c>
      <c r="C63" s="4" t="s">
        <v>3949</v>
      </c>
      <c r="D63">
        <v>60</v>
      </c>
    </row>
    <row r="64" spans="2:4">
      <c r="B64" s="3">
        <v>3000502</v>
      </c>
      <c r="C64" s="4" t="s">
        <v>3950</v>
      </c>
      <c r="D64">
        <v>60</v>
      </c>
    </row>
    <row r="65" spans="2:4">
      <c r="B65" s="3">
        <v>3000503</v>
      </c>
      <c r="C65" s="4" t="s">
        <v>3951</v>
      </c>
      <c r="D65">
        <v>60</v>
      </c>
    </row>
    <row r="66" spans="2:4">
      <c r="B66" s="3">
        <v>3000504</v>
      </c>
      <c r="C66" s="4" t="s">
        <v>3952</v>
      </c>
      <c r="D66">
        <v>60</v>
      </c>
    </row>
    <row r="67" spans="2:4">
      <c r="B67" s="3">
        <v>3001201</v>
      </c>
      <c r="C67" s="5" t="s">
        <v>3953</v>
      </c>
      <c r="D67">
        <v>65</v>
      </c>
    </row>
    <row r="68" spans="2:4">
      <c r="B68" s="3">
        <v>3001202</v>
      </c>
      <c r="C68" s="5" t="s">
        <v>3954</v>
      </c>
      <c r="D68">
        <v>65</v>
      </c>
    </row>
    <row r="69" spans="2:4">
      <c r="B69" s="3">
        <v>3001203</v>
      </c>
      <c r="C69" s="5" t="s">
        <v>3955</v>
      </c>
      <c r="D69">
        <v>65</v>
      </c>
    </row>
    <row r="70" spans="2:4">
      <c r="B70" s="3">
        <v>3001204</v>
      </c>
      <c r="C70" s="5" t="s">
        <v>3956</v>
      </c>
      <c r="D70">
        <v>65</v>
      </c>
    </row>
  </sheetData>
  <conditionalFormatting sqref="B11"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</conditionalFormatting>
  <conditionalFormatting sqref="B12"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</conditionalFormatting>
  <conditionalFormatting sqref="B13"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</conditionalFormatting>
  <conditionalFormatting sqref="B14"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</conditionalFormatting>
  <conditionalFormatting sqref="B15:B22"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</conditionalFormatting>
  <conditionalFormatting sqref="B43:B46">
    <cfRule type="duplicateValues" dxfId="0" priority="25"/>
    <cfRule type="duplicateValues" dxfId="0" priority="26"/>
    <cfRule type="duplicateValues" dxfId="0" priority="27"/>
    <cfRule type="duplicateValues" dxfId="0" priority="28"/>
  </conditionalFormatting>
  <conditionalFormatting sqref="B47:B50">
    <cfRule type="duplicateValues" dxfId="0" priority="21"/>
    <cfRule type="duplicateValues" dxfId="0" priority="22"/>
    <cfRule type="duplicateValues" dxfId="0" priority="23"/>
    <cfRule type="duplicateValues" dxfId="0" priority="24"/>
  </conditionalFormatting>
  <conditionalFormatting sqref="B51:B54">
    <cfRule type="duplicateValues" dxfId="0" priority="17"/>
    <cfRule type="duplicateValues" dxfId="0" priority="18"/>
    <cfRule type="duplicateValues" dxfId="0" priority="19"/>
    <cfRule type="duplicateValues" dxfId="0" priority="20"/>
  </conditionalFormatting>
  <conditionalFormatting sqref="B55:B58"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B59:B62"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B63:B66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B67:B70">
    <cfRule type="duplicateValues" dxfId="0" priority="1"/>
    <cfRule type="duplicateValues" dxfId="0" priority="2"/>
    <cfRule type="duplicateValues" dxfId="0" priority="3"/>
    <cfRule type="duplicateValues" dxfId="0" priority="4"/>
  </conditionalFormatting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吕鑫</cp:lastModifiedBy>
  <dcterms:created xsi:type="dcterms:W3CDTF">2006-09-16T00:00:00Z</dcterms:created>
  <dcterms:modified xsi:type="dcterms:W3CDTF">2026-03-23T10:58:09Z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8E35CFBA4C8C41EFBCA4242CE006CCCB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