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bookViews>
  <sheets>
    <sheet name="Sheet1" sheetId="1" r:id="rId1"/>
    <sheet name="Sheet2" sheetId="2" r:id="rId2"/>
  </sheets>
  <calcPr calcId="144525"/>
</workbook>
</file>

<file path=xl/comments1.xml><?xml version="1.0" encoding="utf-8"?>
<comments xmlns="http://schemas.openxmlformats.org/spreadsheetml/2006/main">
  <authors>
    <author>admin</author>
  </authors>
  <commentList>
    <comment ref="F2" authorId="0">
      <text>
        <r>
          <rPr>
            <b/>
            <sz val="9"/>
            <rFont val="宋体"/>
            <charset val="134"/>
          </rPr>
          <t>admin:</t>
        </r>
        <r>
          <rPr>
            <sz val="9"/>
            <rFont val="宋体"/>
            <charset val="134"/>
          </rPr>
          <t xml:space="preserve">
1.攻击
2.肉盾
3.辅助</t>
        </r>
      </text>
    </comment>
  </commentList>
</comments>
</file>

<file path=xl/comments2.xml><?xml version="1.0" encoding="utf-8"?>
<comments xmlns="http://schemas.openxmlformats.org/spreadsheetml/2006/main">
  <authors>
    <author>PC</author>
  </authors>
  <commentList>
    <comment ref="P2" authorId="0">
      <text>
        <r>
          <rPr>
            <b/>
            <sz val="9"/>
            <rFont val="宋体"/>
            <charset val="134"/>
          </rPr>
          <t>PC:</t>
        </r>
        <r>
          <rPr>
            <sz val="9"/>
            <rFont val="宋体"/>
            <charset val="134"/>
          </rPr>
          <t xml:space="preserve">
1、动物系
2、自然系
3、超人系
4、格斗系
5、剑道系
6、射击系</t>
        </r>
      </text>
    </comment>
    <comment ref="W43" authorId="0">
      <text>
        <r>
          <rPr>
            <b/>
            <sz val="9"/>
            <rFont val="宋体"/>
            <charset val="134"/>
          </rPr>
          <t>人形:</t>
        </r>
        <r>
          <rPr>
            <sz val="9"/>
            <rFont val="宋体"/>
            <charset val="134"/>
          </rPr>
          <t xml:space="preserve">
38</t>
        </r>
      </text>
    </comment>
  </commentList>
</comments>
</file>

<file path=xl/sharedStrings.xml><?xml version="1.0" encoding="utf-8"?>
<sst xmlns="http://schemas.openxmlformats.org/spreadsheetml/2006/main" count="5848" uniqueCount="2027">
  <si>
    <t>id</t>
  </si>
  <si>
    <t>英雄Id</t>
  </si>
  <si>
    <t>星级</t>
  </si>
  <si>
    <t>自身加成</t>
  </si>
  <si>
    <t>光环加成</t>
  </si>
  <si>
    <t>职业阵容加成</t>
  </si>
  <si>
    <r>
      <rPr>
        <sz val="11"/>
        <color theme="1"/>
        <rFont val="宋体"/>
        <charset val="134"/>
      </rPr>
      <t>i</t>
    </r>
    <r>
      <rPr>
        <sz val="11"/>
        <color theme="1"/>
        <rFont val="宋体"/>
        <charset val="134"/>
      </rPr>
      <t>d</t>
    </r>
  </si>
  <si>
    <t>heroId</t>
  </si>
  <si>
    <t>star</t>
  </si>
  <si>
    <t>selfAddition</t>
  </si>
  <si>
    <t>haloAddition</t>
  </si>
  <si>
    <t>professionAddition</t>
  </si>
  <si>
    <r>
      <rPr>
        <sz val="11"/>
        <color theme="1"/>
        <rFont val="宋体"/>
        <charset val="134"/>
      </rPr>
      <t>i</t>
    </r>
    <r>
      <rPr>
        <sz val="11"/>
        <color theme="1"/>
        <rFont val="宋体"/>
        <charset val="134"/>
      </rPr>
      <t>nt</t>
    </r>
  </si>
  <si>
    <t>int</t>
  </si>
  <si>
    <t>string</t>
  </si>
  <si>
    <t>primary</t>
  </si>
  <si>
    <t>none</t>
  </si>
  <si>
    <t>1,0;2,1;3,0</t>
  </si>
  <si>
    <t>1,0.3;2,0.3;3,0</t>
  </si>
  <si>
    <t>1,1;2,0;3,0</t>
  </si>
  <si>
    <t>1,0;2,0;3,1</t>
  </si>
  <si>
    <t>1,0.1;2,0.1;3,0.1</t>
  </si>
  <si>
    <t>英雄id</t>
  </si>
  <si>
    <t>同源英雄Id（不可同时上2个同源英雄）</t>
  </si>
  <si>
    <t>英雄名称</t>
  </si>
  <si>
    <t>复活时是否走召唤
1-召唤
0-不召唤
默认0</t>
  </si>
  <si>
    <r>
      <rPr>
        <sz val="11"/>
        <color theme="1"/>
        <rFont val="宋体"/>
        <charset val="134"/>
      </rPr>
      <t xml:space="preserve">英雄性别
</t>
    </r>
    <r>
      <rPr>
        <sz val="6"/>
        <color theme="1"/>
        <rFont val="宋体"/>
        <charset val="134"/>
      </rPr>
      <t>0：男的
1：女的
2：人妖
3：无性别</t>
    </r>
  </si>
  <si>
    <t>角色传记介绍</t>
  </si>
  <si>
    <t>角色特点</t>
  </si>
  <si>
    <t>角色定位描述</t>
  </si>
  <si>
    <t>攻击目标描述</t>
  </si>
  <si>
    <t>角色能力描述</t>
  </si>
  <si>
    <t>技能介绍</t>
  </si>
  <si>
    <t>是否是英雄</t>
  </si>
  <si>
    <t>是否在图鉴中</t>
  </si>
  <si>
    <t>英雄类型</t>
  </si>
  <si>
    <r>
      <rPr>
        <sz val="12"/>
        <color theme="1"/>
        <rFont val="宋体"/>
        <charset val="134"/>
      </rPr>
      <t xml:space="preserve">远征技能
</t>
    </r>
    <r>
      <rPr>
        <sz val="10"/>
        <color theme="1"/>
        <rFont val="宋体"/>
        <charset val="134"/>
      </rPr>
      <t>1-动物系   2-自然系
3-超人系   4-格斗系
5-剑道系   6-射击系
7-</t>
    </r>
  </si>
  <si>
    <t>所属阵营Id</t>
  </si>
  <si>
    <t>作为BOSS时的称号</t>
  </si>
  <si>
    <t>英雄初始星级</t>
  </si>
  <si>
    <t>英雄最高星级</t>
  </si>
  <si>
    <r>
      <rPr>
        <sz val="11"/>
        <color theme="1"/>
        <rFont val="宋体"/>
        <charset val="134"/>
      </rPr>
      <t>英雄资质
1</t>
    </r>
    <r>
      <rPr>
        <sz val="11"/>
        <color theme="1"/>
        <rFont val="宋体"/>
        <charset val="134"/>
      </rPr>
      <t>-R
2-SR
3-SSR</t>
    </r>
  </si>
  <si>
    <t>主模型Id</t>
  </si>
  <si>
    <t>2D立绘</t>
  </si>
  <si>
    <t>招募图片</t>
  </si>
  <si>
    <t>对应碎片ItemId</t>
  </si>
  <si>
    <r>
      <rPr>
        <sz val="11"/>
        <color theme="1"/>
        <rFont val="宋体"/>
        <charset val="134"/>
      </rPr>
      <t>对应战魂I</t>
    </r>
    <r>
      <rPr>
        <sz val="11"/>
        <color theme="1"/>
        <rFont val="宋体"/>
        <charset val="134"/>
      </rPr>
      <t>temId</t>
    </r>
  </si>
  <si>
    <r>
      <rPr>
        <sz val="11"/>
        <color theme="1"/>
        <rFont val="宋体"/>
        <charset val="134"/>
      </rPr>
      <t>战魂I</t>
    </r>
    <r>
      <rPr>
        <sz val="11"/>
        <color theme="1"/>
        <rFont val="宋体"/>
        <charset val="134"/>
      </rPr>
      <t>tem</t>
    </r>
  </si>
  <si>
    <t>碎片合成所需数量</t>
  </si>
  <si>
    <t>分解得到碎片数量</t>
  </si>
  <si>
    <t>攻击</t>
  </si>
  <si>
    <t>防御</t>
  </si>
  <si>
    <t>血量</t>
  </si>
  <si>
    <t>速度</t>
  </si>
  <si>
    <t>暴击</t>
  </si>
  <si>
    <t>抗暴</t>
  </si>
  <si>
    <t>命中</t>
  </si>
  <si>
    <t>闪避</t>
  </si>
  <si>
    <t>二级属性初始值</t>
  </si>
  <si>
    <t>胜利语音</t>
  </si>
  <si>
    <t>出场语间</t>
  </si>
  <si>
    <t>上阵时语音</t>
  </si>
  <si>
    <t>普通语音</t>
  </si>
  <si>
    <t>场景模型常驻特效限制星级</t>
  </si>
  <si>
    <t>英雄属性图 例如
(范围,辅助,控制,伤害,生存,爆发)</t>
  </si>
  <si>
    <t>英雄推荐位置</t>
  </si>
  <si>
    <t>声优</t>
  </si>
  <si>
    <t>介绍技能</t>
  </si>
  <si>
    <t>额外分组</t>
  </si>
  <si>
    <t>英雄类型，0没有限制，1海军 2海盗 3七武海 4其他</t>
  </si>
  <si>
    <t>英雄定义类型 1坦克 2战士 3刺客 4法师</t>
  </si>
  <si>
    <t>英雄类型（阵容排序）
1：草帽
2：海军
3：海盗
4：其他</t>
  </si>
  <si>
    <t xml:space="preserve">卡牌顺序序号列（阵容排序）
100开始：SSR
1000开始：SR
10000开始：R
</t>
  </si>
  <si>
    <t>勋章id</t>
  </si>
  <si>
    <t>勋章数量</t>
  </si>
  <si>
    <t>sourceHeroId</t>
  </si>
  <si>
    <t>heroName</t>
  </si>
  <si>
    <t>gender</t>
  </si>
  <si>
    <t>heroDesc</t>
  </si>
  <si>
    <t>heroFeature</t>
  </si>
  <si>
    <t>heroStyle</t>
  </si>
  <si>
    <t>heroAttackTarget</t>
  </si>
  <si>
    <t>heroAbility</t>
  </si>
  <si>
    <t>skillsIntroduction</t>
  </si>
  <si>
    <r>
      <rPr>
        <sz val="11"/>
        <color theme="1"/>
        <rFont val="宋体"/>
        <charset val="134"/>
      </rPr>
      <t>i</t>
    </r>
    <r>
      <rPr>
        <sz val="11"/>
        <color theme="1"/>
        <rFont val="宋体"/>
        <charset val="134"/>
      </rPr>
      <t>sHero</t>
    </r>
  </si>
  <si>
    <t>heroInManual</t>
  </si>
  <si>
    <t>heroType</t>
  </si>
  <si>
    <r>
      <rPr>
        <sz val="12"/>
        <color theme="1"/>
        <rFont val="宋体"/>
        <charset val="134"/>
      </rPr>
      <t>e</t>
    </r>
    <r>
      <rPr>
        <sz val="11"/>
        <color theme="1"/>
        <rFont val="宋体"/>
        <charset val="134"/>
      </rPr>
      <t>xpedtionSkills</t>
    </r>
  </si>
  <si>
    <t>heroGroupId</t>
  </si>
  <si>
    <t>heroBossTitle</t>
  </si>
  <si>
    <t>defaultStar</t>
  </si>
  <si>
    <r>
      <rPr>
        <sz val="11"/>
        <color theme="1"/>
        <rFont val="宋体"/>
        <charset val="134"/>
      </rPr>
      <t>m</t>
    </r>
    <r>
      <rPr>
        <sz val="11"/>
        <color theme="1"/>
        <rFont val="宋体"/>
        <charset val="134"/>
      </rPr>
      <t>axStar</t>
    </r>
  </si>
  <si>
    <t>quality</t>
  </si>
  <si>
    <t>modelId</t>
  </si>
  <si>
    <t>heroPaint</t>
  </si>
  <si>
    <t>recruitPoint</t>
  </si>
  <si>
    <t>fragItemId</t>
  </si>
  <si>
    <r>
      <rPr>
        <sz val="11"/>
        <color theme="1"/>
        <rFont val="宋体"/>
        <charset val="134"/>
      </rPr>
      <t>s</t>
    </r>
    <r>
      <rPr>
        <sz val="11"/>
        <color theme="1"/>
        <rFont val="宋体"/>
        <charset val="134"/>
      </rPr>
      <t>oulItemId</t>
    </r>
  </si>
  <si>
    <r>
      <rPr>
        <sz val="11"/>
        <color theme="1"/>
        <rFont val="宋体"/>
        <charset val="134"/>
      </rPr>
      <t>s</t>
    </r>
    <r>
      <rPr>
        <sz val="11"/>
        <color theme="1"/>
        <rFont val="宋体"/>
        <charset val="134"/>
      </rPr>
      <t>oulExchangeFragNum</t>
    </r>
  </si>
  <si>
    <t>fragNeedNum</t>
  </si>
  <si>
    <r>
      <rPr>
        <sz val="11"/>
        <color theme="1"/>
        <rFont val="宋体"/>
        <charset val="134"/>
      </rPr>
      <t>d</t>
    </r>
    <r>
      <rPr>
        <sz val="11"/>
        <color theme="1"/>
        <rFont val="宋体"/>
        <charset val="134"/>
      </rPr>
      <t>iposeFragNum</t>
    </r>
  </si>
  <si>
    <t>atk</t>
  </si>
  <si>
    <t>def</t>
  </si>
  <si>
    <t>hp</t>
  </si>
  <si>
    <t>speed</t>
  </si>
  <si>
    <t>cri</t>
  </si>
  <si>
    <t>anticri</t>
  </si>
  <si>
    <t>hit</t>
  </si>
  <si>
    <t>dodge</t>
  </si>
  <si>
    <t>attributeBase</t>
  </si>
  <si>
    <t>winSound</t>
  </si>
  <si>
    <t>enterSound</t>
  </si>
  <si>
    <t>formationOnSound</t>
  </si>
  <si>
    <t>normalSound</t>
  </si>
  <si>
    <t>ModelParticleStarLimit</t>
  </si>
  <si>
    <r>
      <rPr>
        <sz val="11"/>
        <color theme="1"/>
        <rFont val="宋体"/>
        <charset val="134"/>
      </rPr>
      <t>hero</t>
    </r>
    <r>
      <rPr>
        <sz val="11"/>
        <color theme="1"/>
        <rFont val="宋体"/>
        <charset val="134"/>
      </rPr>
      <t>Graph</t>
    </r>
  </si>
  <si>
    <r>
      <rPr>
        <sz val="11"/>
        <color theme="1"/>
        <rFont val="宋体"/>
        <charset val="134"/>
      </rPr>
      <t>hero</t>
    </r>
    <r>
      <rPr>
        <sz val="11"/>
        <color theme="1"/>
        <rFont val="宋体"/>
        <charset val="134"/>
      </rPr>
      <t>Position</t>
    </r>
  </si>
  <si>
    <r>
      <rPr>
        <sz val="11"/>
        <color theme="1"/>
        <rFont val="宋体"/>
        <charset val="134"/>
      </rPr>
      <t>hero</t>
    </r>
    <r>
      <rPr>
        <sz val="11"/>
        <color theme="1"/>
        <rFont val="宋体"/>
        <charset val="134"/>
      </rPr>
      <t>Actor</t>
    </r>
  </si>
  <si>
    <r>
      <rPr>
        <sz val="11"/>
        <color theme="1"/>
        <rFont val="宋体"/>
        <charset val="134"/>
      </rPr>
      <t>i</t>
    </r>
    <r>
      <rPr>
        <sz val="11"/>
        <color theme="1"/>
        <rFont val="宋体"/>
        <charset val="134"/>
      </rPr>
      <t>ntroSkillId</t>
    </r>
  </si>
  <si>
    <t>extraHeroGroups</t>
  </si>
  <si>
    <t>definitionType</t>
  </si>
  <si>
    <t>arrayHeroType</t>
  </si>
  <si>
    <t>cardOrderId</t>
  </si>
  <si>
    <t>medalItemId</t>
  </si>
  <si>
    <t>medalItemNum</t>
  </si>
  <si>
    <t>string(intern)</t>
  </si>
  <si>
    <r>
      <rPr>
        <sz val="11"/>
        <color theme="1"/>
        <rFont val="宋体"/>
        <charset val="134"/>
      </rPr>
      <t>s</t>
    </r>
    <r>
      <rPr>
        <sz val="11"/>
        <color theme="1"/>
        <rFont val="宋体"/>
        <charset val="134"/>
      </rPr>
      <t>tring</t>
    </r>
  </si>
  <si>
    <r>
      <rPr>
        <sz val="12"/>
        <color theme="1"/>
        <rFont val="宋体"/>
        <charset val="134"/>
      </rPr>
      <t>s</t>
    </r>
    <r>
      <rPr>
        <sz val="11"/>
        <color theme="1"/>
        <rFont val="宋体"/>
        <charset val="134"/>
      </rPr>
      <t>tring(intern)</t>
    </r>
  </si>
  <si>
    <t>double</t>
  </si>
  <si>
    <r>
      <rPr>
        <sz val="11"/>
        <color theme="1"/>
        <rFont val="宋体"/>
        <charset val="134"/>
      </rPr>
      <t>n</t>
    </r>
    <r>
      <rPr>
        <sz val="11"/>
        <color theme="1"/>
        <rFont val="宋体"/>
        <charset val="134"/>
      </rPr>
      <t>one</t>
    </r>
  </si>
  <si>
    <t>summonWhenReiv</t>
  </si>
  <si>
    <t>heroRoleType</t>
  </si>
  <si>
    <t>可比</t>
  </si>
  <si>
    <t>凭借自身努力和毅力，以成为将校为目标的年轻海军士兵。被路飞所救，并加入了向往的海军。</t>
  </si>
  <si>
    <t>以成为将校为目标的海军士兵，攻防兼备。\n攻击技能附带减速效果，牵制单个敌人。\n治疗技能可提升自身防御力。</t>
  </si>
  <si>
    <t>自我治疗</t>
  </si>
  <si>
    <t>前排优先</t>
  </si>
  <si>
    <t>无</t>
  </si>
  <si>
    <t>185,184</t>
  </si>
  <si>
    <t>海军</t>
  </si>
  <si>
    <t>hero_2d_1001</t>
  </si>
  <si>
    <t>hero_long2d_111001</t>
  </si>
  <si>
    <t>9,1.5;39,1.5;40,0.5;10,0.007211</t>
  </si>
  <si>
    <t>10,10,50,10,60,50</t>
  </si>
  <si>
    <r>
      <rPr>
        <sz val="11"/>
        <color theme="1"/>
        <rFont val="宋体"/>
        <charset val="134"/>
      </rPr>
      <t>heroPosition_</t>
    </r>
    <r>
      <rPr>
        <sz val="11"/>
        <color theme="1"/>
        <rFont val="宋体"/>
        <charset val="134"/>
      </rPr>
      <t>1</t>
    </r>
  </si>
  <si>
    <t>heroActor_1001</t>
  </si>
  <si>
    <t>摩根</t>
  </si>
  <si>
    <t>斧手摩根</t>
  </si>
  <si>
    <t>凡是胆敢反抗自己的人，即使是同伴也毫不留情地给予处刑。对于权力和地位随意滥用的谢尔兹镇海军上校。</t>
  </si>
  <si>
    <t>原海军总部上校，攻防兼备。\n斧头可击破敌人的护甲，降低敌方防御。\n对处于破甲状态的敌人，造成更多伤害。</t>
  </si>
  <si>
    <t>攻守平衡</t>
  </si>
  <si>
    <t>166,165</t>
  </si>
  <si>
    <t>hero_2d_1002</t>
  </si>
  <si>
    <t>hero_long2d_111002</t>
  </si>
  <si>
    <t/>
  </si>
  <si>
    <t>9,1.5;39,1.5;40,0.5;10,0.01211</t>
  </si>
  <si>
    <t>30,0,0,30,20,50</t>
  </si>
  <si>
    <r>
      <rPr>
        <sz val="11"/>
        <color theme="1"/>
        <rFont val="宋体"/>
        <charset val="134"/>
      </rPr>
      <t>heroPosition_</t>
    </r>
    <r>
      <rPr>
        <sz val="11"/>
        <color theme="1"/>
        <rFont val="宋体"/>
        <charset val="134"/>
      </rPr>
      <t>2</t>
    </r>
  </si>
  <si>
    <t>heroActor_1002</t>
  </si>
  <si>
    <t>卡巴奇</t>
  </si>
  <si>
    <t>擅长利用陀螺等杂技出其不意地攻击对手并且能得心应手地使用剑术的杂技剑士。</t>
  </si>
  <si>
    <t>爱用独轮车的杂技剑士，擅长进攻。\n杂技可造成火焰伤害和灼烧效果。\n身形灵巧，杂技技能可提升速度和闪避。</t>
  </si>
  <si>
    <t>单点爆发</t>
  </si>
  <si>
    <t>188,187</t>
  </si>
  <si>
    <t>巴基海盗团</t>
  </si>
  <si>
    <t>hero_2d_1003</t>
  </si>
  <si>
    <t>hero_long2d_111003</t>
  </si>
  <si>
    <t>9,1.56;39,1.5;40,0.5;11,0.0036</t>
  </si>
  <si>
    <t>0,10,0,40,40,50</t>
  </si>
  <si>
    <t>heroPosition_4</t>
  </si>
  <si>
    <t>heroActor_1003</t>
  </si>
  <si>
    <t>克洛</t>
  </si>
  <si>
    <t>黑猫海盗团原船长，老谋深算的男人，做事谨慎！擅长用神速的“无声步”秒杀敌人！</t>
  </si>
  <si>
    <t>擅用诡计的黑猫海盗团原船长，擅长进攻。\n使目标流血，且对流血目标造成额外伤害。\n能够使用高速暗杀术，精通速度和闪避。</t>
  </si>
  <si>
    <t>168,169</t>
  </si>
  <si>
    <t>黑猫海盗团</t>
  </si>
  <si>
    <t>hero_2d_1004</t>
  </si>
  <si>
    <t>hero_long2d_111004</t>
  </si>
  <si>
    <r>
      <rPr>
        <sz val="11"/>
        <color theme="1"/>
        <rFont val="宋体"/>
        <charset val="134"/>
      </rPr>
      <t>C</t>
    </r>
    <r>
      <rPr>
        <sz val="11"/>
        <color theme="1"/>
        <rFont val="宋体"/>
        <charset val="134"/>
      </rPr>
      <t>V_kuro03</t>
    </r>
  </si>
  <si>
    <t>CV_kuro01</t>
  </si>
  <si>
    <t>0,0,0,60,40,60</t>
  </si>
  <si>
    <t>heroActor_1004</t>
  </si>
  <si>
    <t>169</t>
  </si>
  <si>
    <t>强高</t>
  </si>
  <si>
    <t>黑猫海盗团的现任船长，非常搞笑的催眠师！缺点是催眠时连他自己都会被催眠。</t>
  </si>
  <si>
    <t>非常搞笑的催眠师，擅长辅助。\n催眠敌方可使其无法行动，但被击即会醒来\n催眠友方可增加攻击，但同时会降低防御。</t>
  </si>
  <si>
    <t>团队控制</t>
  </si>
  <si>
    <t>90,300048</t>
  </si>
  <si>
    <t>hero_2d_1005</t>
  </si>
  <si>
    <t>hero_long2d_111005</t>
  </si>
  <si>
    <t>9,1.545;39,1.5;40,0.5;</t>
  </si>
  <si>
    <t>CV_jango03</t>
  </si>
  <si>
    <t>CV_jango04</t>
  </si>
  <si>
    <t>0,10,60,0,40,50</t>
  </si>
  <si>
    <t>heroPosition_5</t>
  </si>
  <si>
    <t>heroActor_1005</t>
  </si>
  <si>
    <t>克里克</t>
  </si>
  <si>
    <t>率领着5000名部下和50艘海盗船组成的“海盗舰队”，是克里克海盗团的首领。全身都藏着武器的“无敌男人”。为达到目的，不择手段，进行冷酷无情的掠夺行为。</t>
  </si>
  <si>
    <t>全身都藏着武器的“无敌男人”，擅长防守\n长枪技能可造成灼烧伤害和流血伤害。\n剑山斗篷可反弹近战伤害。</t>
  </si>
  <si>
    <t>177,176</t>
  </si>
  <si>
    <t>克里克海盗团</t>
  </si>
  <si>
    <t>hero_2d_1006</t>
  </si>
  <si>
    <t>hero_long2d_111006</t>
  </si>
  <si>
    <r>
      <rPr>
        <sz val="11"/>
        <color theme="1"/>
        <rFont val="宋体"/>
        <charset val="134"/>
      </rPr>
      <t>CV_kreig0</t>
    </r>
    <r>
      <rPr>
        <sz val="11"/>
        <color theme="1"/>
        <rFont val="宋体"/>
        <charset val="134"/>
      </rPr>
      <t>3</t>
    </r>
  </si>
  <si>
    <t>CV_kreig01</t>
  </si>
  <si>
    <t>40,10,0,30,60,40</t>
  </si>
  <si>
    <t>heroPosition_2</t>
  </si>
  <si>
    <t>heroActor_1006</t>
  </si>
  <si>
    <t>176</t>
  </si>
  <si>
    <t>阿金</t>
  </si>
  <si>
    <t>克里克海盗团战斗总队长，也是克里克的左右手。他在饿得濒死的时候被山智所救，后来心境发生了很大变化。</t>
  </si>
  <si>
    <t>人称“鬼人”的战斗队长，擅长进攻。\n技能附带破甲和眩晕效果，牵制单个敌人。\n技能附加暴击效果，伤害暴击。</t>
  </si>
  <si>
    <t>181,180</t>
  </si>
  <si>
    <t>hero_2d_1007</t>
  </si>
  <si>
    <t>hero_long2d_111007</t>
  </si>
  <si>
    <t>CV_gin02</t>
  </si>
  <si>
    <t>CV_gin01</t>
  </si>
  <si>
    <t>0,0,50,60,40,50</t>
  </si>
  <si>
    <t>heroActor_1007</t>
  </si>
  <si>
    <t>帕鲁</t>
  </si>
  <si>
    <t>克里克海盗团第二部队队长，号称在战斗中从不受伤，全身装备的盾牌具有攻守兼备的效果，但只要受了小伤，看到自己流血，就有点火的坏毛病。</t>
  </si>
  <si>
    <t>人称“铁壁帕鲁”，擅长防御。\n抵抗击退效果和火焰伤害。\n血量较低时，防御力大幅提升。</t>
  </si>
  <si>
    <t>防御壁垒</t>
  </si>
  <si>
    <t>298,297</t>
  </si>
  <si>
    <t>海盗舰队</t>
  </si>
  <si>
    <t>hero_2d_1008</t>
  </si>
  <si>
    <t>hero_long2d_111008</t>
  </si>
  <si>
    <t>0,10,10,10,60,50</t>
  </si>
  <si>
    <t>heroActor_1008</t>
  </si>
  <si>
    <t>阿龙</t>
  </si>
  <si>
    <t>把人类当作下等的生物，企图支配“东海”的鱼人船长，只把人类看作道具。</t>
  </si>
  <si>
    <t>企图支配东海的鱼人船长，擅长进攻。\n对破甲的敌人造成更多伤害。\n低血量时攻击大幅提升，但防御降低。</t>
  </si>
  <si>
    <t>173,172</t>
  </si>
  <si>
    <t>阿龙一伙</t>
  </si>
  <si>
    <t>hero_2d_1009</t>
  </si>
  <si>
    <t>hero_long2d_111009</t>
  </si>
  <si>
    <t>9,1.5;39,1.5;40,0.5;11,0.0084</t>
  </si>
  <si>
    <t>40,10,10,50,30,50</t>
  </si>
  <si>
    <t>heroActor_1009</t>
  </si>
  <si>
    <t>173</t>
  </si>
  <si>
    <t>小八</t>
  </si>
  <si>
    <t>使用“六刀流”的章鱼鱼人，虽然是海盗，但性格非常和善，让人讨厌不起来。</t>
  </si>
  <si>
    <t>熟练使用六刀流的章鱼鱼人，擅长防御。\n技能可提升自身防御。\n血量较低时，闪避率大幅提升。</t>
  </si>
  <si>
    <t>223,222</t>
  </si>
  <si>
    <t>hero_2d_1010</t>
  </si>
  <si>
    <t>hero_long2d_111010</t>
  </si>
  <si>
    <t>0,0,30,30,60,40</t>
  </si>
  <si>
    <t>heroActor_1010</t>
  </si>
  <si>
    <t>薇薇</t>
  </si>
  <si>
    <t>阿鲁巴拿的公主，为了保护自己的国家，潜入巴洛克工作社内部。以Ms.星期三的身份探查危害国家的情况。</t>
  </si>
  <si>
    <t>阿拉巴斯坦的公主，擅长辅助。\n技能附带减速效果，可削弱敌方行动速度。\n技能附带封印效果，可禁用敌方奥义技。</t>
  </si>
  <si>
    <t>团队辅助</t>
  </si>
  <si>
    <t>318,319</t>
  </si>
  <si>
    <t>巴洛克工作室</t>
  </si>
  <si>
    <t>hero_2d_1011</t>
  </si>
  <si>
    <t>hero_long2d_111011</t>
  </si>
  <si>
    <t>CV_vivi01</t>
  </si>
  <si>
    <t>30,50,30,30,20,30</t>
  </si>
  <si>
    <t>heroActor_1011</t>
  </si>
  <si>
    <t>Mr.5</t>
  </si>
  <si>
    <t>巴洛克工作社的高级指挥，炸弹之果的能力者，喜欢挖鼻孔。他在执行任务的过程中沉着冷静，对自己有极大的自信。</t>
  </si>
  <si>
    <t>冷酷执行任务的炸弹男，擅长属性伤害。\n技能附带火属性伤害和灼烧效果。\n炸弹之果天赋提升火属性伤害。</t>
  </si>
  <si>
    <t>持续输出</t>
  </si>
  <si>
    <t>炸弹之果</t>
  </si>
  <si>
    <t>228,229</t>
  </si>
  <si>
    <t>hero_2d_1012</t>
  </si>
  <si>
    <t>hero_long2d_111012</t>
  </si>
  <si>
    <t>9,1.542;39,1.5;40,0.5;11,0.0072</t>
  </si>
  <si>
    <t>0,10,20,60,30,50</t>
  </si>
  <si>
    <t>heroActor_1012</t>
  </si>
  <si>
    <t>229</t>
  </si>
  <si>
    <t>瓦波尔</t>
  </si>
  <si>
    <t>贪生怕死、舍弃国家的铁桶王国国王。后假扮海盗，企图复辟王权。是狼吞虎咽之果的能力者，什么都能吃下去。</t>
  </si>
  <si>
    <t>舍弃国家的铁桶王国国王，擅长防御。\n技能附带减伤效果，可减少受到的伤害。\n拥有自我治疗能力，且免疫1次致死伤害。</t>
  </si>
  <si>
    <t>吞吞之果</t>
  </si>
  <si>
    <t>233,234</t>
  </si>
  <si>
    <t>白铁海盗团</t>
  </si>
  <si>
    <t>hero_2d_1013</t>
  </si>
  <si>
    <t>hero_long2d_111013</t>
  </si>
  <si>
    <t>0,20,20,30,60,30</t>
  </si>
  <si>
    <t>heroActor_1013</t>
  </si>
  <si>
    <t>Mr.4</t>
  </si>
  <si>
    <t>巴洛克工作社的高级指挥，拥有强大的力量，与自己宠物合作可以形成巨大的破坏力。</t>
  </si>
  <si>
    <t>动作迟缓但威力无限，擅长进攻。\n技能附带击飞效果，可打破敌方阵型。\n拥有全力打击天赋，伤害提升但速度下降。</t>
  </si>
  <si>
    <t>226,225</t>
  </si>
  <si>
    <t>hero_2d_1014</t>
  </si>
  <si>
    <t>hero_long2d_111014</t>
  </si>
  <si>
    <t>0,10,30,40,40,60</t>
  </si>
  <si>
    <t>heroActor_1014</t>
  </si>
  <si>
    <t>Ms.黄金周</t>
  </si>
  <si>
    <t>Miss.黄金周</t>
  </si>
  <si>
    <t>巴洛克工作社高级指挥Mr.3的搭档，是个喜欢喝茶的小姑娘画家，可以通过画板的颜料控制他人的感情。</t>
  </si>
  <si>
    <t>擅长使用彩色颜料的写实画家，擅长辅助。\n技能附带驱散效果，消除敌方的增益状态。\n拥有情绪控制天赋，增加友方怒气获得量。</t>
  </si>
  <si>
    <t>236,237</t>
  </si>
  <si>
    <t>hero_2d_1015</t>
  </si>
  <si>
    <t>hero_long2d_111015</t>
  </si>
  <si>
    <t>0,30,60,30,40,40</t>
  </si>
  <si>
    <t>heroActor_1015</t>
  </si>
  <si>
    <t>猫头鹰</t>
  </si>
  <si>
    <t>非常讲义气的赏金猎人，佐罗的小弟。教会了路飞鼻孔舞。</t>
  </si>
  <si>
    <t>世界政府</t>
  </si>
  <si>
    <t>hero_2d_1016</t>
  </si>
  <si>
    <t>脸谱</t>
  </si>
  <si>
    <t>CP9成员，喜欢表演切腹自杀，口头禅是“哟哟咿”。拥有六式非常独特的“生命归还”技能。</t>
  </si>
  <si>
    <t>hero_2d_1017</t>
  </si>
  <si>
    <t>约撒</t>
  </si>
  <si>
    <t>讲义气重人情的好搭档，擅长进攻。\n技能附带封技效果，可禁用敌人普通技能。\n技能提升自身速度和攻击，增加伤害输出。</t>
  </si>
  <si>
    <t>375,376</t>
  </si>
  <si>
    <t>赏金猎人</t>
  </si>
  <si>
    <t>hero_2d_21031</t>
  </si>
  <si>
    <t>hero_long2d_111018</t>
  </si>
  <si>
    <r>
      <rPr>
        <sz val="11"/>
        <color theme="1"/>
        <rFont val="宋体"/>
        <charset val="134"/>
      </rPr>
      <t>CV_yosaku0</t>
    </r>
    <r>
      <rPr>
        <sz val="11"/>
        <color theme="1"/>
        <rFont val="宋体"/>
        <charset val="134"/>
      </rPr>
      <t>2</t>
    </r>
  </si>
  <si>
    <t>CV_yosaku01</t>
  </si>
  <si>
    <t>30,20,20,30,40,40</t>
  </si>
  <si>
    <t>路飞</t>
  </si>
  <si>
    <t>橡皮之果能力者，拥有众多招式。杰克斯托付给他的帽子就是他的宝贝。现在是草帽一伙的船长。</t>
  </si>
  <si>
    <t>力量强悍的能力者，攻防兼备。\n拥有橡皮之果能力，反弹伤害，抵抗雷电。\n对单个目标伤害极高，可打破敌方阵型。</t>
  </si>
  <si>
    <t>橡皮之果</t>
  </si>
  <si>
    <t>5,3</t>
  </si>
  <si>
    <t>草帽海盗团</t>
  </si>
  <si>
    <r>
      <rPr>
        <sz val="12"/>
        <rFont val="宋体"/>
        <charset val="134"/>
      </rPr>
      <t>hero_2d_</t>
    </r>
    <r>
      <rPr>
        <sz val="11"/>
        <color theme="1"/>
        <rFont val="宋体"/>
        <charset val="134"/>
      </rPr>
      <t>2001</t>
    </r>
  </si>
  <si>
    <t>hero_long2d_112001</t>
  </si>
  <si>
    <t>9,1.5;39,1.5;40,0.5;10,0.01611</t>
  </si>
  <si>
    <t>CV_LuffyCZ_victory</t>
  </si>
  <si>
    <t>CV_LuffyCZ_ready</t>
  </si>
  <si>
    <t>40,30,40,60,70,60</t>
  </si>
  <si>
    <t>heroActor_2001</t>
  </si>
  <si>
    <t>佐罗</t>
  </si>
  <si>
    <t>想要成为世界第一剑客的三刀流剑士，曾被人们称为“海盗猎人”。但被路飞的梦想和决心所感动，成为了他的第一个伙伴。</t>
  </si>
  <si>
    <t>伤害超高的剑客，擅长进攻。\n不是胜利就是死亡！低血量时伤害骤增。\n嗜血斩杀，附加流血伤害，一击致命。</t>
  </si>
  <si>
    <t>28,25</t>
  </si>
  <si>
    <r>
      <rPr>
        <sz val="12"/>
        <rFont val="宋体"/>
        <charset val="134"/>
      </rPr>
      <t>hero_2d_</t>
    </r>
    <r>
      <rPr>
        <sz val="11"/>
        <color theme="1"/>
        <rFont val="宋体"/>
        <charset val="134"/>
      </rPr>
      <t>2002</t>
    </r>
  </si>
  <si>
    <t>hero_long2d_112002</t>
  </si>
  <si>
    <t>9,1.5;39,1.5;40,0.5;11,0.0112</t>
  </si>
  <si>
    <t>CVZoro_victory</t>
  </si>
  <si>
    <t>CVZoro_ready</t>
  </si>
  <si>
    <t>60,20,20,70,40,70</t>
  </si>
  <si>
    <t>heroActor_2002</t>
  </si>
  <si>
    <t>奈美</t>
  </si>
  <si>
    <t>草帽一伙的天才导航员。在交涉事务方面，无人可与她匹敌。最喜欢金钱。</t>
  </si>
  <si>
    <t>掌控全场的航海士，擅长属性伤害。\n操控战场气候，削弱敌方能力。\n行动迅速，闪避天赋，精通雷电操控。</t>
  </si>
  <si>
    <t>67,70</t>
  </si>
  <si>
    <r>
      <rPr>
        <sz val="12"/>
        <rFont val="宋体"/>
        <charset val="134"/>
      </rPr>
      <t>hero_2d_</t>
    </r>
    <r>
      <rPr>
        <sz val="11"/>
        <color theme="1"/>
        <rFont val="宋体"/>
        <charset val="134"/>
      </rPr>
      <t>2003</t>
    </r>
  </si>
  <si>
    <t>hero_long2d_112003</t>
  </si>
  <si>
    <t>9,1.556;39,1.5;40,0.5;11,0.0096</t>
  </si>
  <si>
    <t>CV_nami11</t>
  </si>
  <si>
    <t>CV_nami10</t>
  </si>
  <si>
    <t>80,50,40,50,30,50</t>
  </si>
  <si>
    <t>heroActor_2003</t>
  </si>
  <si>
    <t>67</t>
  </si>
  <si>
    <t>撒谎布</t>
  </si>
  <si>
    <t>撒谎的本领无人能比，草帽一伙的狙击手。理想是成为“光荣的海上战士”！</t>
  </si>
  <si>
    <t>百发百中的神射手，擅长进攻。\n射出附带特殊效果的弹药，削弱敌方能力。\n精准射击，必杀暴击，人称破坏之王。</t>
  </si>
  <si>
    <t>单体控制</t>
  </si>
  <si>
    <t>后排优先</t>
  </si>
  <si>
    <t>62,56</t>
  </si>
  <si>
    <r>
      <rPr>
        <sz val="12"/>
        <rFont val="宋体"/>
        <charset val="134"/>
      </rPr>
      <t>hero_2d_</t>
    </r>
    <r>
      <rPr>
        <sz val="11"/>
        <color theme="1"/>
        <rFont val="宋体"/>
        <charset val="134"/>
      </rPr>
      <t>2004</t>
    </r>
  </si>
  <si>
    <t>hero_long2d_112004</t>
  </si>
  <si>
    <t>9,1.5;39,1.5;40,0.5;11,0.016</t>
  </si>
  <si>
    <t>CV_usopp02</t>
  </si>
  <si>
    <t>CV_usopp01</t>
  </si>
  <si>
    <t>60,30,50,70,50,80</t>
  </si>
  <si>
    <t>heroActor_2004</t>
  </si>
  <si>
    <t>山智</t>
  </si>
  <si>
    <t>是个海上厨师，本是海上餐厅的副厨师长，后来加入草帽一伙。目标是传说中的“蓝海”。面对美女就表现的无可救药。</t>
  </si>
  <si>
    <t>愈战愈勇的踢技达人，擅长进攻。\n连续踢技，伤害持续提升。\n技能附带压制效果，牵制单个敌人。</t>
  </si>
  <si>
    <t>极限输出</t>
  </si>
  <si>
    <t>对位优先</t>
  </si>
  <si>
    <t>51,49</t>
  </si>
  <si>
    <r>
      <rPr>
        <sz val="12"/>
        <rFont val="宋体"/>
        <charset val="134"/>
      </rPr>
      <t>hero_2d_</t>
    </r>
    <r>
      <rPr>
        <sz val="11"/>
        <color theme="1"/>
        <rFont val="宋体"/>
        <charset val="134"/>
      </rPr>
      <t>2005</t>
    </r>
  </si>
  <si>
    <t>hero_long2d_112005</t>
  </si>
  <si>
    <t>9,1.58;39,1.5;40,0.5;11,0.0048</t>
  </si>
  <si>
    <t>CV_sanji06</t>
  </si>
  <si>
    <t>CV_sanji01</t>
  </si>
  <si>
    <t>0,0,60,80,60,80</t>
  </si>
  <si>
    <t>heroActor_2005</t>
  </si>
  <si>
    <t>乔巴</t>
  </si>
  <si>
    <t>吃了人人之果的蓝鼻子驯鹿，曾经被鹿群和人类当做怪物。在与西尔尔克相遇后，决心成为医生。现在是草帽一伙的船医。</t>
  </si>
  <si>
    <t>草帽海盗团的船医，擅长治疗。\n可解除友方的负面效果，提供增益效果。\n发动奥义可切换至战斗形态，输出伤害。</t>
  </si>
  <si>
    <t>医疗辅助</t>
  </si>
  <si>
    <t>己方优先</t>
  </si>
  <si>
    <t>人人之果</t>
  </si>
  <si>
    <t>83,85</t>
  </si>
  <si>
    <r>
      <rPr>
        <sz val="12"/>
        <rFont val="宋体"/>
        <charset val="134"/>
      </rPr>
      <t>hero_2d_</t>
    </r>
    <r>
      <rPr>
        <sz val="11"/>
        <color theme="1"/>
        <rFont val="宋体"/>
        <charset val="134"/>
      </rPr>
      <t>2006</t>
    </r>
  </si>
  <si>
    <t>hero_long2d_112006</t>
  </si>
  <si>
    <t>9,1.56;39,1.5;40,0.5;</t>
  </si>
  <si>
    <t>CV_chopper02,CV_chopper07</t>
  </si>
  <si>
    <t>CV_chopper05,CV_chopper08</t>
  </si>
  <si>
    <t>80,80,0,30,80,30</t>
  </si>
  <si>
    <t>heroActor_2006</t>
  </si>
  <si>
    <t>83</t>
  </si>
  <si>
    <t>罗宾</t>
  </si>
  <si>
    <t>不断寻求世界真相的考古学家！是花花之果的能力者，阿鲁巴拿战役后加入了草帽海盗团。</t>
  </si>
  <si>
    <t>探索历史的能力者，擅长偷袭。\n可以给敌方带来多种负面效果。\n扰乱敌方后排，控制敌方，帮助队友输出。</t>
  </si>
  <si>
    <t>功能辅助</t>
  </si>
  <si>
    <t>花花之果</t>
  </si>
  <si>
    <t>328,324</t>
  </si>
  <si>
    <r>
      <rPr>
        <sz val="12"/>
        <rFont val="宋体"/>
        <charset val="134"/>
      </rPr>
      <t>hero_2d_</t>
    </r>
    <r>
      <rPr>
        <sz val="11"/>
        <color theme="1"/>
        <rFont val="宋体"/>
        <charset val="134"/>
      </rPr>
      <t>2007</t>
    </r>
  </si>
  <si>
    <t>hero_long2d_112007</t>
  </si>
  <si>
    <t>CV_robinwin</t>
  </si>
  <si>
    <t>CV_robin09</t>
  </si>
  <si>
    <t>70,70,80,40,40,40</t>
  </si>
  <si>
    <t>heroActor_2007</t>
  </si>
  <si>
    <t>弗兰奇</t>
  </si>
  <si>
    <t>草帽海盗团钢铁船匠，拥有传说中的造船技术。性格豪放，心地坦荡，而且全身上下都经过了改造！</t>
  </si>
  <si>
    <t>渴望到达世界尽头的钢铁船匠，擅长防御。\n拥有多种被动防御技，拥有自我修复天赋。\n拥有嘲讽技能，可以吸引敌人的火力。</t>
  </si>
  <si>
    <t>77,78</t>
  </si>
  <si>
    <r>
      <rPr>
        <sz val="12"/>
        <rFont val="宋体"/>
        <charset val="134"/>
      </rPr>
      <t>hero_2d_</t>
    </r>
    <r>
      <rPr>
        <sz val="11"/>
        <color theme="1"/>
        <rFont val="宋体"/>
        <charset val="134"/>
      </rPr>
      <t>2008</t>
    </r>
  </si>
  <si>
    <t>hero_long2d_112008</t>
  </si>
  <si>
    <t>CV_franky06,CV_franky10</t>
  </si>
  <si>
    <t>CV_franky08</t>
  </si>
  <si>
    <t>70,20,60,40,60,60</t>
  </si>
  <si>
    <t>heroActor_2008</t>
  </si>
  <si>
    <t>77</t>
  </si>
  <si>
    <t>布鲁克</t>
  </si>
  <si>
    <t>在黄泉之果的能力下，肉体化为白骨后又再次复活的骷髅人。除担任草帽一伙的音乐家外，还积极参加战斗。</t>
  </si>
  <si>
    <t>快乐作战的音乐家，擅长进攻。\n拥有黄泉之果的能力，阵亡后有概率复活。\n每回合会随机演奏乐曲，提供全体增益效果。</t>
  </si>
  <si>
    <t>黄泉之果</t>
  </si>
  <si>
    <t>106,100</t>
  </si>
  <si>
    <r>
      <rPr>
        <sz val="12"/>
        <rFont val="宋体"/>
        <charset val="134"/>
      </rPr>
      <t>hero_2d_</t>
    </r>
    <r>
      <rPr>
        <sz val="11"/>
        <color theme="1"/>
        <rFont val="宋体"/>
        <charset val="134"/>
      </rPr>
      <t>2009</t>
    </r>
  </si>
  <si>
    <t>hero_long2d_112009</t>
  </si>
  <si>
    <t>9,1.54;39,1.5;40,0.5;11,0.008</t>
  </si>
  <si>
    <t>CV_brook06</t>
  </si>
  <si>
    <t>CV_brook02</t>
  </si>
  <si>
    <t>40,20,20,70,40,70</t>
  </si>
  <si>
    <t>heroActor_2009</t>
  </si>
  <si>
    <t>巴奇</t>
  </si>
  <si>
    <t>巴奇年轻的时候，和杰克斯曾呆在同一艘船上。看上去像马戏团一样的巴奇海盗团的船长，还是四分五裂之果的能力者。</t>
  </si>
  <si>
    <t>拥有群体伤害的能力者，擅长进攻。\n华丽炮击，附带火焰伤害和灼烧效果。\n技能附带压制效果，牵制单个敌人。</t>
  </si>
  <si>
    <t>四分五裂之果</t>
  </si>
  <si>
    <t>98,95</t>
  </si>
  <si>
    <r>
      <rPr>
        <sz val="12"/>
        <rFont val="宋体"/>
        <charset val="134"/>
      </rPr>
      <t>hero_2d_</t>
    </r>
    <r>
      <rPr>
        <sz val="11"/>
        <color theme="1"/>
        <rFont val="宋体"/>
        <charset val="134"/>
      </rPr>
      <t>2010</t>
    </r>
  </si>
  <si>
    <t>hero_long2d_112010</t>
  </si>
  <si>
    <t>CV_buggy06</t>
  </si>
  <si>
    <t>CV_buggy02,CV_buggy05</t>
  </si>
  <si>
    <t>80,20,70,40,80,40</t>
  </si>
  <si>
    <t>heroActor_2010</t>
  </si>
  <si>
    <t>烟鬼</t>
  </si>
  <si>
    <t>对于自己逮捕海盗的能力有着绝对自信的海军总部上校，也是全身都能化为烟雾的冒烟之果能力者。路飞曾从其手中逃过一劫，至今他一直在追捕路飞。</t>
  </si>
  <si>
    <t>海军总部准将，攻防兼备。\n执行正义的能力者，对海盗伤害提高。\n防御力强悍，抵抗非属性伤害。</t>
  </si>
  <si>
    <t>烟雾之果</t>
  </si>
  <si>
    <t>115,113</t>
  </si>
  <si>
    <r>
      <rPr>
        <sz val="12"/>
        <rFont val="宋体"/>
        <charset val="134"/>
      </rPr>
      <t>hero_2d_</t>
    </r>
    <r>
      <rPr>
        <sz val="11"/>
        <color theme="1"/>
        <rFont val="宋体"/>
        <charset val="134"/>
      </rPr>
      <t>2011</t>
    </r>
  </si>
  <si>
    <t>hero_long2d_112011</t>
  </si>
  <si>
    <t>9,1.5;39,1.5;40,0.5;10,0.009611</t>
  </si>
  <si>
    <t>CV_smoker04</t>
  </si>
  <si>
    <t>CV_smoker06,CV_smoker05</t>
  </si>
  <si>
    <t>70,20,20,80,50,80</t>
  </si>
  <si>
    <t>heroActor_2011</t>
  </si>
  <si>
    <t>塔希米</t>
  </si>
  <si>
    <t>将正义托付在自己刀剑上的海军剑士。剑术本领一流，但是因视力不好经常出差错。</t>
  </si>
  <si>
    <t>剑术一流的剑士，攻防兼备。\n时雨招式，对单个敌人造成爆发伤害。\n薄霞招式，可造成大量群体伤害。</t>
  </si>
  <si>
    <t>131,130</t>
  </si>
  <si>
    <r>
      <rPr>
        <sz val="12"/>
        <rFont val="宋体"/>
        <charset val="134"/>
      </rPr>
      <t>hero_2d_</t>
    </r>
    <r>
      <rPr>
        <sz val="11"/>
        <color theme="1"/>
        <rFont val="宋体"/>
        <charset val="134"/>
      </rPr>
      <t>2012</t>
    </r>
  </si>
  <si>
    <t>hero_long2d_112012</t>
  </si>
  <si>
    <t>70,30,30,50,50,60</t>
  </si>
  <si>
    <t>heroActor_2012</t>
  </si>
  <si>
    <t>Mr.1</t>
  </si>
  <si>
    <t>巴洛克工作社高级指挥中最强的男人。通过快斩之果的能力可以将全身变成刀刃，同时皮肤也会变得像钢铁一样坚硬。</t>
  </si>
  <si>
    <t>可以斩断一切的刀刃人，攻防兼备。\n技能附带流血效果，持续造成伤害。\n拥有快斩之果天赋，减免受到的伤害。</t>
  </si>
  <si>
    <t>伤害反射</t>
  </si>
  <si>
    <t>快斩之果</t>
  </si>
  <si>
    <t>123,122</t>
  </si>
  <si>
    <r>
      <rPr>
        <sz val="12"/>
        <rFont val="宋体"/>
        <charset val="134"/>
      </rPr>
      <t>hero_2d_</t>
    </r>
    <r>
      <rPr>
        <sz val="11"/>
        <color theme="1"/>
        <rFont val="宋体"/>
        <charset val="134"/>
      </rPr>
      <t>2013</t>
    </r>
  </si>
  <si>
    <t>hero_long2d_112013</t>
  </si>
  <si>
    <t>60,70,20,40,80,60</t>
  </si>
  <si>
    <t>heroActor_2013</t>
  </si>
  <si>
    <t>Mr.2</t>
  </si>
  <si>
    <t>巴洛克工作社唯一没有搭档的高级指挥。是模仿之果的能力者。为人重义气，阿鲁巴拿战役后与草帽海盗团成为好友。</t>
  </si>
  <si>
    <t>坚信人妖之道的能力者，擅长进攻。\n技能可提升属性，大幅提升伤害能力。\n身形灵巧，拥有出色的速度和闪避能力。</t>
  </si>
  <si>
    <t>模仿之果</t>
  </si>
  <si>
    <t>145,141</t>
  </si>
  <si>
    <r>
      <rPr>
        <sz val="12"/>
        <rFont val="宋体"/>
        <charset val="134"/>
      </rPr>
      <t>hero_2d_</t>
    </r>
    <r>
      <rPr>
        <sz val="11"/>
        <color theme="1"/>
        <rFont val="宋体"/>
        <charset val="134"/>
      </rPr>
      <t>2014</t>
    </r>
  </si>
  <si>
    <t>hero_long2d_112014</t>
  </si>
  <si>
    <t>CV_mr203</t>
  </si>
  <si>
    <t>CV_mr204</t>
  </si>
  <si>
    <t>0,30,20,70,40,80</t>
  </si>
  <si>
    <t>heroActor_2014</t>
  </si>
  <si>
    <t>145</t>
  </si>
  <si>
    <t>Mr.3</t>
  </si>
  <si>
    <t>巴洛克工作社的高级指挥。融化之果的能力者。喜欢把敌人做成蜡烛娃娃，是个作战头脑派。</t>
  </si>
  <si>
    <t>追求疯狂美学的艺术家，擅长防御。\n奥义技会战斗形态，大幅增加防御能力。\n技能附带牵制效果，降低敌人的速度和闪避</t>
  </si>
  <si>
    <t>融化之果</t>
  </si>
  <si>
    <t>137,294</t>
  </si>
  <si>
    <r>
      <rPr>
        <sz val="12"/>
        <rFont val="宋体"/>
        <charset val="134"/>
      </rPr>
      <t>hero_2d_</t>
    </r>
    <r>
      <rPr>
        <sz val="11"/>
        <color theme="1"/>
        <rFont val="宋体"/>
        <charset val="134"/>
      </rPr>
      <t>2015</t>
    </r>
  </si>
  <si>
    <t>hero_long2d_112015</t>
  </si>
  <si>
    <t>60,30,80,20,80,40</t>
  </si>
  <si>
    <t>heroActor_2015</t>
  </si>
  <si>
    <t>Ms.双手指</t>
  </si>
  <si>
    <r>
      <rPr>
        <sz val="11"/>
        <color theme="1"/>
        <rFont val="宋体"/>
        <charset val="134"/>
      </rPr>
      <t>M</t>
    </r>
    <r>
      <rPr>
        <sz val="11"/>
        <color theme="1"/>
        <rFont val="宋体"/>
        <charset val="134"/>
      </rPr>
      <t>iss.双手指</t>
    </r>
  </si>
  <si>
    <t>巴洛克工作社Mr.1的搭档，荆棘之果能力者。是个性格冷酷的女杀手。</t>
  </si>
  <si>
    <t>危险的尖刺美女，擅长进攻。\n技能附带急速效果，大幅提升行动速度。\n技能附带击退效果，可打破敌方阵型。</t>
  </si>
  <si>
    <t>荆棘之果</t>
  </si>
  <si>
    <t>316,310</t>
  </si>
  <si>
    <r>
      <rPr>
        <sz val="12"/>
        <rFont val="宋体"/>
        <charset val="134"/>
      </rPr>
      <t>hero_2d_</t>
    </r>
    <r>
      <rPr>
        <sz val="11"/>
        <color theme="1"/>
        <rFont val="宋体"/>
        <charset val="134"/>
      </rPr>
      <t>2016</t>
    </r>
  </si>
  <si>
    <t>hero_long2d_112016</t>
  </si>
  <si>
    <t>CV_dfinger05</t>
  </si>
  <si>
    <t>CV_dfinger02,CV_dfinger04</t>
  </si>
  <si>
    <t>0,30,20,60,80,60</t>
  </si>
  <si>
    <t>heroActor_2016</t>
  </si>
  <si>
    <t>316</t>
  </si>
  <si>
    <t>贝拉密</t>
  </si>
  <si>
    <t>贝拉密海盗团团长，弹簧之果能力者。从小就仰慕七武海多弗朗明哥，是被人相当看好的海盗新人。</t>
  </si>
  <si>
    <t>自称是“新时代的海盗”，擅长进攻。\n愈战愈勇，大幅提升战斗属性。\n奥义技牺牲自我，大幅提升伤害能力。</t>
  </si>
  <si>
    <t>弹簧之果</t>
  </si>
  <si>
    <t>220,218</t>
  </si>
  <si>
    <t>比拿米海盗团</t>
  </si>
  <si>
    <r>
      <rPr>
        <sz val="12"/>
        <rFont val="宋体"/>
        <charset val="134"/>
      </rPr>
      <t>hero_2d_</t>
    </r>
    <r>
      <rPr>
        <sz val="11"/>
        <color theme="1"/>
        <rFont val="宋体"/>
        <charset val="134"/>
      </rPr>
      <t>2017</t>
    </r>
  </si>
  <si>
    <t>hero_long2d_112017</t>
  </si>
  <si>
    <t>50,30,30,80,50,60</t>
  </si>
  <si>
    <t>heroActor_2017</t>
  </si>
  <si>
    <t>220</t>
  </si>
  <si>
    <t>瓦帕</t>
  </si>
  <si>
    <t>山迪亚大战士的后代，一心想要击败艾尼路，实力强悍。勇猛善战，表情凶恶，被称为“战鬼”。</t>
  </si>
  <si>
    <t>挑战神的山迪亚的勇敢战士，擅长进攻。</t>
  </si>
  <si>
    <t>山迪亚</t>
  </si>
  <si>
    <r>
      <rPr>
        <sz val="12"/>
        <rFont val="宋体"/>
        <charset val="134"/>
      </rPr>
      <t>hero_2d_</t>
    </r>
    <r>
      <rPr>
        <sz val="11"/>
        <color theme="1"/>
        <rFont val="宋体"/>
        <charset val="134"/>
      </rPr>
      <t>2018</t>
    </r>
  </si>
  <si>
    <t>杰布拉</t>
  </si>
  <si>
    <t>杰布拉（狼人）</t>
  </si>
  <si>
    <t>CP9的谍报员。犬犬之果形态“狼”的能力者。信条是利用锋利的爪牙，让对手不战而降！</t>
  </si>
  <si>
    <t>CP9的谍报员，擅长防御。\n技能可造成流血效果，同时吸血回复生命。\n嗜血的战斗大师，变为狼形态可保护队友。</t>
  </si>
  <si>
    <t>犬犬之果</t>
  </si>
  <si>
    <t>261,258,</t>
  </si>
  <si>
    <t>CP9</t>
  </si>
  <si>
    <r>
      <rPr>
        <sz val="12"/>
        <rFont val="宋体"/>
        <charset val="134"/>
      </rPr>
      <t>hero_2d_</t>
    </r>
    <r>
      <rPr>
        <sz val="11"/>
        <color theme="1"/>
        <rFont val="宋体"/>
        <charset val="134"/>
      </rPr>
      <t>2019</t>
    </r>
  </si>
  <si>
    <t>hero_long2d_112019</t>
  </si>
  <si>
    <t>60,30,30,70,80,60</t>
  </si>
  <si>
    <t>佳妮法</t>
  </si>
  <si>
    <t>CP9唯一的女谍报员，潜伏在水之都市长身边夺取机密资料。泡泡之果能力者。口头禅是“这是性骚扰”和“无礼之徒”。</t>
  </si>
  <si>
    <t>CP9的谍报员，擅长辅助。\n通过魅惑敌方男性降低敌方战斗力。\n队友进攻时候的美女杀手。</t>
  </si>
  <si>
    <t>泡泡之果</t>
  </si>
  <si>
    <t>285,283</t>
  </si>
  <si>
    <r>
      <rPr>
        <sz val="12"/>
        <rFont val="宋体"/>
        <charset val="134"/>
      </rPr>
      <t>hero_2d_</t>
    </r>
    <r>
      <rPr>
        <sz val="11"/>
        <color theme="1"/>
        <rFont val="宋体"/>
        <charset val="134"/>
      </rPr>
      <t>2020</t>
    </r>
  </si>
  <si>
    <t>hero_long2d_112020</t>
  </si>
  <si>
    <t>CV_kalifa01_01</t>
  </si>
  <si>
    <r>
      <rPr>
        <sz val="11"/>
        <color theme="1"/>
        <rFont val="宋体"/>
        <charset val="134"/>
      </rPr>
      <t>CV_kalifa0</t>
    </r>
    <r>
      <rPr>
        <sz val="11"/>
        <color theme="1"/>
        <rFont val="宋体"/>
        <charset val="134"/>
      </rPr>
      <t>3</t>
    </r>
  </si>
  <si>
    <t>60,80,60,30,30,50</t>
  </si>
  <si>
    <t>卡古</t>
  </si>
  <si>
    <t>CP9唯一的剑术使用者。可以娴熟地使用四刀流。在恶魔果实的能力下变身为长颈鹿。</t>
  </si>
  <si>
    <t>CP9的谍报员，擅长进攻。\n可以使敌人持续流血，也可通过嗜血回复。\n四刀流战斗大师，流血技能让敌人头疼。</t>
  </si>
  <si>
    <t>牛牛之果</t>
  </si>
  <si>
    <t>362,360</t>
  </si>
  <si>
    <r>
      <rPr>
        <sz val="12"/>
        <color rgb="FFC00000"/>
        <rFont val="宋体"/>
        <charset val="134"/>
      </rPr>
      <t>hero_2d_</t>
    </r>
    <r>
      <rPr>
        <sz val="11"/>
        <color rgb="FFC00000"/>
        <rFont val="宋体"/>
        <charset val="134"/>
      </rPr>
      <t>2021</t>
    </r>
  </si>
  <si>
    <t>hero_long2d_112021</t>
  </si>
  <si>
    <t>CV_kaku02</t>
  </si>
  <si>
    <t>CV_kaku03</t>
  </si>
  <si>
    <t>70,20,30,50,50,70</t>
  </si>
  <si>
    <t>鲁兹</t>
  </si>
  <si>
    <t>罗布·鲁兹</t>
  </si>
  <si>
    <t>CP9史上堪称最强的冷酷的杀戮兵器！从13岁起就隶属CP9，凭借出类拔萃的体术完成黑暗任务。</t>
  </si>
  <si>
    <t>猫猫之果</t>
  </si>
  <si>
    <r>
      <rPr>
        <sz val="12"/>
        <color rgb="FFC00000"/>
        <rFont val="宋体"/>
        <charset val="134"/>
      </rPr>
      <t>hero_2d_</t>
    </r>
    <r>
      <rPr>
        <sz val="11"/>
        <color rgb="FFC00000"/>
        <rFont val="宋体"/>
        <charset val="134"/>
      </rPr>
      <t>2022</t>
    </r>
  </si>
  <si>
    <t>60,20,30,90,60,90</t>
  </si>
  <si>
    <t>阿布萨罗姆</t>
  </si>
  <si>
    <t>统帅将军僵尸的指挥官。透明之果的能力者。经过豪格巴克的改造后，具有野兽的力量。</t>
  </si>
  <si>
    <t>莫利亚的手下，统帅将军僵尸的指挥官。\n透明之果能力者，可以随时让身体消失。\n非常的不受欢迎，却执拗的妄想与美女结婚。</t>
  </si>
  <si>
    <t>透明之果</t>
  </si>
  <si>
    <t>212,210</t>
  </si>
  <si>
    <t>恐怖之船</t>
  </si>
  <si>
    <r>
      <rPr>
        <sz val="12"/>
        <color rgb="FFC00000"/>
        <rFont val="宋体"/>
        <charset val="134"/>
      </rPr>
      <t>hero_2d_</t>
    </r>
    <r>
      <rPr>
        <sz val="11"/>
        <color rgb="FFC00000"/>
        <rFont val="宋体"/>
        <charset val="134"/>
      </rPr>
      <t>2023</t>
    </r>
  </si>
  <si>
    <t>hero_long2d_112023</t>
  </si>
  <si>
    <t>20,20,50,70,40,60</t>
  </si>
  <si>
    <t>豪格巴克</t>
  </si>
  <si>
    <t>拥有博士称号的天才外科医生。是莫利亚僵尸军团的缔造者。</t>
  </si>
  <si>
    <t>天才的外科医生。\n可以对友方进行改造，添加增益。\n治疗、复活队友，疯狂的战斗医师。</t>
  </si>
  <si>
    <t>353,351</t>
  </si>
  <si>
    <t>4</t>
  </si>
  <si>
    <r>
      <rPr>
        <sz val="12"/>
        <rFont val="宋体"/>
        <charset val="134"/>
      </rPr>
      <t>hero_2d_</t>
    </r>
    <r>
      <rPr>
        <sz val="11"/>
        <color theme="1"/>
        <rFont val="宋体"/>
        <charset val="134"/>
      </rPr>
      <t>2024</t>
    </r>
  </si>
  <si>
    <t>hero_long2d_112024</t>
  </si>
  <si>
    <t>CV_hogbak08</t>
  </si>
  <si>
    <t>CV_hogbak07</t>
  </si>
  <si>
    <t>40,100,20,30,50,30</t>
  </si>
  <si>
    <t>佩罗娜</t>
  </si>
  <si>
    <t>食用了幽灵之果的幽灵人。动物僵尸和吓人僵尸的指挥官。是个外表可爱、内心单纯的女孩。</t>
  </si>
  <si>
    <t>喜欢布偶指挥幽灵的女孩。\n擅长使用幽灵技能对敌方进行骚扰。\n队友进攻时的强力辅助。</t>
  </si>
  <si>
    <t>幽灵之果</t>
  </si>
  <si>
    <t>196,195</t>
  </si>
  <si>
    <r>
      <rPr>
        <sz val="12"/>
        <rFont val="宋体"/>
        <charset val="134"/>
      </rPr>
      <t>hero_2d_</t>
    </r>
    <r>
      <rPr>
        <sz val="11"/>
        <color theme="1"/>
        <rFont val="宋体"/>
        <charset val="134"/>
      </rPr>
      <t>2025</t>
    </r>
  </si>
  <si>
    <t>hero_long2d_112025</t>
  </si>
  <si>
    <t>CV_pern03</t>
  </si>
  <si>
    <t>CV_pern08</t>
  </si>
  <si>
    <t>80,70,80,20,30,30</t>
  </si>
  <si>
    <t>龙马</t>
  </si>
  <si>
    <t>出生在和之国的武士僵尸。传说中斩龙的武士，是个技术高超的剑士。</t>
  </si>
  <si>
    <t>强大的和之国武士，攻防兼备。\n攻击可造成暗影伤害。\n擅长增长怒气的剑士，强大的武士。</t>
  </si>
  <si>
    <t>204,203</t>
  </si>
  <si>
    <r>
      <rPr>
        <sz val="12"/>
        <rFont val="宋体"/>
        <charset val="134"/>
      </rPr>
      <t>hero_2d_</t>
    </r>
    <r>
      <rPr>
        <sz val="11"/>
        <color theme="1"/>
        <rFont val="宋体"/>
        <charset val="134"/>
      </rPr>
      <t>2026</t>
    </r>
  </si>
  <si>
    <t>hero_long2d_112026</t>
  </si>
  <si>
    <t>CV_ryuma02</t>
  </si>
  <si>
    <t>CV_ryuma03</t>
  </si>
  <si>
    <t>60,20,30,70,50,70</t>
  </si>
  <si>
    <t>贝宝</t>
  </si>
  <si>
    <t>罗所率领的心脏海盗团的一员。会使用人类语言，容易被无心的话所伤害，是承受力脆弱的熊。</t>
  </si>
  <si>
    <t>会功夫的情感细腻的公熊。\n罗所率领的心脏海盗团的一员。\n身手敏捷，擅长踢技。</t>
  </si>
  <si>
    <t>439,438</t>
  </si>
  <si>
    <t>心脏海盗团</t>
  </si>
  <si>
    <r>
      <rPr>
        <sz val="12"/>
        <rFont val="宋体"/>
        <charset val="134"/>
      </rPr>
      <t>hero_2d_</t>
    </r>
    <r>
      <rPr>
        <sz val="11"/>
        <color theme="1"/>
        <rFont val="宋体"/>
        <charset val="134"/>
      </rPr>
      <t>2027</t>
    </r>
  </si>
  <si>
    <t>hero_long2d_112027</t>
  </si>
  <si>
    <t>CV_bepo11</t>
  </si>
  <si>
    <t>CV_bepo16</t>
  </si>
  <si>
    <t>30,35,55,73,65,75</t>
  </si>
  <si>
    <t>战桃丸</t>
  </si>
  <si>
    <t>原海军总部科学部队队长。率领着“和平主义者”，自称“世界第一守口如瓶的男人”！！</t>
  </si>
  <si>
    <t>原海军总部科学部队队长。\n率领着“和平主义者”。\n擅长防御，拥有强大的防守能力。</t>
  </si>
  <si>
    <t>447,494</t>
  </si>
  <si>
    <r>
      <rPr>
        <sz val="12"/>
        <rFont val="宋体"/>
        <charset val="134"/>
      </rPr>
      <t>hero_2d_</t>
    </r>
    <r>
      <rPr>
        <sz val="11"/>
        <color theme="1"/>
        <rFont val="宋体"/>
        <charset val="134"/>
      </rPr>
      <t>2028</t>
    </r>
  </si>
  <si>
    <t>hero_long2d_112028</t>
  </si>
  <si>
    <t>9,1.5;39,1.5;40,0.5;10,0.0211</t>
  </si>
  <si>
    <t>CV_sentomaru05</t>
  </si>
  <si>
    <t>CV_sentomaru08</t>
  </si>
  <si>
    <t>70,30,65,50,85,60</t>
  </si>
  <si>
    <t>Baby5</t>
  </si>
  <si>
    <t>唐吉诃德家族杀手兼女仆。武器果实能力者。渴望被需要而无法拒绝别人的请求。</t>
  </si>
  <si>
    <t>唐吉诃德家族杀手兼女仆。\n武器果实能力者。\n可变化为多种武器进行战斗。</t>
  </si>
  <si>
    <t>武器之果</t>
  </si>
  <si>
    <t>725,726</t>
  </si>
  <si>
    <t>八宝水军</t>
  </si>
  <si>
    <r>
      <rPr>
        <sz val="12"/>
        <rFont val="宋体"/>
        <charset val="134"/>
      </rPr>
      <t>hero_2d_</t>
    </r>
    <r>
      <rPr>
        <sz val="11"/>
        <color theme="1"/>
        <rFont val="宋体"/>
        <charset val="134"/>
      </rPr>
      <t>2029</t>
    </r>
  </si>
  <si>
    <t>50,50,30,75,40,80</t>
  </si>
  <si>
    <t>莉贝卡</t>
  </si>
  <si>
    <t>德雷斯罗兹</t>
  </si>
  <si>
    <t>沙·鳄鱼</t>
  </si>
  <si>
    <t>表面上扮演着“阿拉巴斯坦的守护神”，其实私下却是企图统治阿拉巴斯坦王国的巴洛克工作社的老板。悬赏金额高达8100万贝里，“王下七武海”之一。</t>
  </si>
  <si>
    <t>拥有恐怖群体伤害的能力者，擅长属性伤害\n对多名敌人造成流血伤害，并提高对其伤害\n拥有强大的属性伤害，抵抗非属性伤害。</t>
  </si>
  <si>
    <t>团队压制</t>
  </si>
  <si>
    <t>沙沙之果</t>
  </si>
  <si>
    <t>246,243</t>
  </si>
  <si>
    <t>hero_2d_3001</t>
  </si>
  <si>
    <t>hero_long2d_113001</t>
  </si>
  <si>
    <t>9,1.57;39,1.5;40,0.5;11,0.012</t>
  </si>
  <si>
    <t>CV_crocodile05</t>
  </si>
  <si>
    <t>CV_crocodile02,CV_crocodile03</t>
  </si>
  <si>
    <t>70,40,60,60,60,80</t>
  </si>
  <si>
    <t>heroActor_3001</t>
  </si>
  <si>
    <t>艾尼路</t>
  </si>
  <si>
    <t>具有操纵雷电之果能力的雷人。在天空圣地实施了长达6年的恐怖统治。</t>
  </si>
  <si>
    <t>空岛唯一的神，擅长进攻。\n技能附带雷属性伤害，无视敌方基础防御。\n激活雷神形态后，大幅提升对敌人的伤害。</t>
  </si>
  <si>
    <t>范围输出</t>
  </si>
  <si>
    <t>雷电之果</t>
  </si>
  <si>
    <t>252,254</t>
  </si>
  <si>
    <t>空岛神</t>
  </si>
  <si>
    <t>hero_2d_3002</t>
  </si>
  <si>
    <t>hero_long2d_113002</t>
  </si>
  <si>
    <t>9,1.5;39,1.5;40,0.5;11,0.02</t>
  </si>
  <si>
    <r>
      <rPr>
        <sz val="11"/>
        <color theme="1"/>
        <rFont val="宋体"/>
        <charset val="134"/>
      </rPr>
      <t>CV_enel</t>
    </r>
    <r>
      <rPr>
        <sz val="11"/>
        <color theme="1"/>
        <rFont val="宋体"/>
        <charset val="134"/>
      </rPr>
      <t>win</t>
    </r>
  </si>
  <si>
    <t>CV_enel05</t>
  </si>
  <si>
    <t>90,40,40,70,60,90</t>
  </si>
  <si>
    <t>heroActor_3002</t>
  </si>
  <si>
    <t>青雉</t>
  </si>
  <si>
    <t>既是冰冻之果的能力者，亦是海军总部的最高战斗力之一！他是个在漫不经心的态度背后，持有独特正义观的海军总部大将。对赤犬过头的正义心存抵触。</t>
  </si>
  <si>
    <t>海军三大将之一，擅长属性伤害。\n冰冻之果能力者，拥有超高的冰属性伤害。\n技能附带冰冻效果，大幅限制敌人行动速度</t>
  </si>
  <si>
    <t>冰冻之果</t>
  </si>
  <si>
    <t>155,151</t>
  </si>
  <si>
    <t>hero_2d_3003</t>
  </si>
  <si>
    <t>hero_long2d_113003</t>
  </si>
  <si>
    <t>CV_kuzan07</t>
  </si>
  <si>
    <t>CV_kuzan04,CV_kuzan05</t>
  </si>
  <si>
    <t>60,40,70,80,50,70</t>
  </si>
  <si>
    <t>戈普</t>
  </si>
  <si>
    <t>凭借一双拳头驰骋于大海，活着的“传说中的海兵”！是曾和战国共同追拿罗杰的海军英雄。一个豪放磊落、大胆无畏的血性男子。</t>
  </si>
  <si>
    <t>路飞的祖父，绰号“铁拳”，擅长防御。\n海军英雄，激发队伍中海军势力的属性。\n拥有多种被动防御技，可大幅减少伤害。</t>
  </si>
  <si>
    <t>292,289</t>
  </si>
  <si>
    <t>hero_2d_3004</t>
  </si>
  <si>
    <t>hero_long2d_113004</t>
  </si>
  <si>
    <t>CV_garp02</t>
  </si>
  <si>
    <r>
      <rPr>
        <sz val="11"/>
        <color theme="1"/>
        <rFont val="宋体"/>
        <charset val="134"/>
      </rPr>
      <t>CV_garp0</t>
    </r>
    <r>
      <rPr>
        <sz val="11"/>
        <color theme="1"/>
        <rFont val="宋体"/>
        <charset val="134"/>
      </rPr>
      <t>4</t>
    </r>
  </si>
  <si>
    <t>80,40,50,50,90,50</t>
  </si>
  <si>
    <t>莫利亚</t>
  </si>
  <si>
    <t>操纵影子的能力者，恐怖之船的统治者！身为王下七武海的一员，据说是曾经和“四皇”之一的盖德不相上下的实力者。</t>
  </si>
  <si>
    <t>王下七武海之一，擅长进攻。\n暗影大师，操纵影子攻击敌人。\n擅长使用影子的力量打击敌人。</t>
  </si>
  <si>
    <t>暗影法师</t>
  </si>
  <si>
    <t>血量最少</t>
  </si>
  <si>
    <t>影子之果</t>
  </si>
  <si>
    <t>385,383</t>
  </si>
  <si>
    <t>hero_2d_3005</t>
  </si>
  <si>
    <t>hero_long2d_113005</t>
  </si>
  <si>
    <t>9,1.5;39,1.5;40,0.5;</t>
  </si>
  <si>
    <t>CV_moria12</t>
  </si>
  <si>
    <t>CV_moria01</t>
  </si>
  <si>
    <t>80,60,70,50,70,70</t>
  </si>
  <si>
    <t>大熊</t>
  </si>
  <si>
    <t>将自己的身体献给政府的王下七武海，同时也是和平主义者的原型。和革命军有着千丝万缕的关联，帮助草帽一伙等的行动存在大量谜团。</t>
  </si>
  <si>
    <t>王下七武海之一，擅长防御和辅助。\n肉球之果能力者，反弹自身受到的伤害。\n可把敌人从战场拍飞，让敌人丧失作战能力</t>
  </si>
  <si>
    <t>防御辅助</t>
  </si>
  <si>
    <t>肉球之果</t>
  </si>
  <si>
    <t>270,268</t>
  </si>
  <si>
    <t>扑克牌海盗团</t>
  </si>
  <si>
    <t>hero_2d_3006</t>
  </si>
  <si>
    <t>hero_long2d_113006</t>
  </si>
  <si>
    <t>9,1.575;39,1.5;40,0.5;</t>
  </si>
  <si>
    <t>CV_kuma02_01</t>
  </si>
  <si>
    <t>CV_kuma03</t>
  </si>
  <si>
    <t>60,70,70,70,80,50</t>
  </si>
  <si>
    <t>heroActor_3006</t>
  </si>
  <si>
    <t>270</t>
  </si>
  <si>
    <t>黄猿</t>
  </si>
  <si>
    <t>波尔萨利诺</t>
  </si>
  <si>
    <t>冠以“最高战斗力”之名，“闪光之果”的光线人！与赤犬和青雉二人秉持的截然相反的正义不同，他标榜模棱两可的正义。</t>
  </si>
  <si>
    <t>海军三大将之一，擅长属性伤害。\n闪光之果能力者，拥有超高的光属性伤害。\n拥有极高的闪避率，暴击率属性随速度提升</t>
  </si>
  <si>
    <t>闪光之果</t>
  </si>
  <si>
    <t>373,369</t>
  </si>
  <si>
    <t>hero_2d_3007</t>
  </si>
  <si>
    <t>hero_long2d_113007</t>
  </si>
  <si>
    <r>
      <rPr>
        <sz val="11"/>
        <color theme="1"/>
        <rFont val="宋体"/>
        <charset val="134"/>
      </rPr>
      <t>CV_kizaru0</t>
    </r>
    <r>
      <rPr>
        <sz val="11"/>
        <color theme="1"/>
        <rFont val="宋体"/>
        <charset val="134"/>
      </rPr>
      <t>6</t>
    </r>
  </si>
  <si>
    <r>
      <rPr>
        <sz val="11"/>
        <color theme="1"/>
        <rFont val="宋体"/>
        <charset val="134"/>
      </rPr>
      <t>CV_kizaru02</t>
    </r>
    <r>
      <rPr>
        <sz val="11"/>
        <color theme="1"/>
        <rFont val="宋体"/>
        <charset val="134"/>
      </rPr>
      <t>,CV_kizaru0</t>
    </r>
    <r>
      <rPr>
        <sz val="11"/>
        <color theme="1"/>
        <rFont val="宋体"/>
        <charset val="134"/>
      </rPr>
      <t>4</t>
    </r>
  </si>
  <si>
    <t>30,30,20,100,40,90</t>
  </si>
  <si>
    <t>艾斯</t>
  </si>
  <si>
    <t>为让白胡子成为王，奔波在大海上的罗杰的儿子！白胡子海盗团2小队队长，路飞的结拜兄弟。</t>
  </si>
  <si>
    <t>罗杰的儿子，擅长属性伤害。\n技能附带火属性伤害和灼烧效果。\n燃烧之果能力者，大幅提升火属性伤害。</t>
  </si>
  <si>
    <t>燃烧之果</t>
  </si>
  <si>
    <t>346,342</t>
  </si>
  <si>
    <t>白胡子海盗团</t>
  </si>
  <si>
    <t>hero_2d_3008</t>
  </si>
  <si>
    <t>hero_long2d_113008</t>
  </si>
  <si>
    <r>
      <rPr>
        <sz val="11"/>
        <color theme="1"/>
        <rFont val="宋体"/>
        <charset val="134"/>
      </rPr>
      <t>9,1.57;39,1.5;40,0.5;11,0.01</t>
    </r>
    <r>
      <rPr>
        <sz val="11"/>
        <color theme="1"/>
        <rFont val="宋体"/>
        <charset val="134"/>
      </rPr>
      <t>2</t>
    </r>
  </si>
  <si>
    <t>CV_ace03,CV_ace02</t>
  </si>
  <si>
    <r>
      <rPr>
        <sz val="11"/>
        <color theme="1"/>
        <rFont val="宋体"/>
        <charset val="134"/>
      </rPr>
      <t>CV_ace0</t>
    </r>
    <r>
      <rPr>
        <sz val="11"/>
        <color theme="1"/>
        <rFont val="宋体"/>
        <charset val="134"/>
      </rPr>
      <t>4</t>
    </r>
  </si>
  <si>
    <t>80,30,30,80,40,90</t>
  </si>
  <si>
    <t>赤犬</t>
  </si>
  <si>
    <t>萨卡斯基</t>
  </si>
  <si>
    <t>贯彻“彻底的正义”，挥舞岩浆之拳的海军“最高战斗力”！对于邪恶毫不留情，采取彻底的铲除行动。</t>
  </si>
  <si>
    <t>海军三大将之一，攻防兼备。\n岩浆之果能力者，抵抗属性伤害。\n技能附带熔岩灼烧，可降低敌方属性抗性。</t>
  </si>
  <si>
    <t>元素屏障</t>
  </si>
  <si>
    <t>岩浆之果</t>
  </si>
  <si>
    <t>277,276</t>
  </si>
  <si>
    <t>hero_2d_3009</t>
  </si>
  <si>
    <t>hero_long2d_113009</t>
  </si>
  <si>
    <t>9,1.5;39,1.5;40,0.5;11,0.014</t>
  </si>
  <si>
    <t>CV_akainu03</t>
  </si>
  <si>
    <r>
      <rPr>
        <sz val="11"/>
        <color theme="1"/>
        <rFont val="宋体"/>
        <charset val="134"/>
      </rPr>
      <t>CV_akainu0</t>
    </r>
    <r>
      <rPr>
        <sz val="11"/>
        <color theme="1"/>
        <rFont val="宋体"/>
        <charset val="134"/>
      </rPr>
      <t>4</t>
    </r>
    <r>
      <rPr>
        <sz val="11"/>
        <color theme="1"/>
        <rFont val="宋体"/>
        <charset val="134"/>
      </rPr>
      <t>,CV_akainu06</t>
    </r>
  </si>
  <si>
    <t>50,30,60,80,100,60</t>
  </si>
  <si>
    <t>米霍克</t>
  </si>
  <si>
    <t>鹰眼</t>
  </si>
  <si>
    <t>世界最强的剑客，“王下七武海”之一！！可以一击毁掉巨大船舰！</t>
  </si>
  <si>
    <t>刚柔兼备的剑豪，攻防兼备。\n伤害巨大的黑刀，无视任何防御。\n利刃斩断敌人，一击破敌！</t>
  </si>
  <si>
    <t>306,303</t>
  </si>
  <si>
    <t>王下七武海</t>
  </si>
  <si>
    <t>hero_2d_3010</t>
  </si>
  <si>
    <t>hero_long2d_113010</t>
  </si>
  <si>
    <t>CV_mihawk06</t>
  </si>
  <si>
    <t>CV_mihawk01</t>
  </si>
  <si>
    <t>80,20,30,80,50,100</t>
  </si>
  <si>
    <t>heroActor_3010</t>
  </si>
  <si>
    <t>CP9最冷酷杀戮机器，擅长进攻。\n高额伤害可以最大限度降低敌方战斗力。\n伤害输出大师，化身为豹捕猎所有敌人。</t>
  </si>
  <si>
    <t>162,161</t>
  </si>
  <si>
    <t>hero_2d_3011</t>
  </si>
  <si>
    <t>hero_long2d_113011</t>
  </si>
  <si>
    <r>
      <rPr>
        <sz val="11"/>
        <color theme="1"/>
        <rFont val="宋体"/>
        <charset val="134"/>
      </rPr>
      <t>CV_lucci0</t>
    </r>
    <r>
      <rPr>
        <sz val="11"/>
        <color theme="1"/>
        <rFont val="宋体"/>
        <charset val="134"/>
      </rPr>
      <t>7</t>
    </r>
  </si>
  <si>
    <t>CV_lucci05,CV_lucci06</t>
  </si>
  <si>
    <t>甚平</t>
  </si>
  <si>
    <t>用高超的武艺贯彻仁义精神，心地善良的鱼人老大“海侠甚平”！！</t>
  </si>
  <si>
    <t>王下七武海之一，拥有可怕的怪力。\n精通“鱼人空手道”和“鱼人柔术”。\n有着出色的生存能力和反击能力。</t>
  </si>
  <si>
    <t>后发制人</t>
  </si>
  <si>
    <t>399,398</t>
  </si>
  <si>
    <t>hero_2d_3012</t>
  </si>
  <si>
    <t>hero_long2d_113012</t>
  </si>
  <si>
    <t>CV_JinbeCZ_victory</t>
  </si>
  <si>
    <t>CV_JinbeCZ_ready</t>
  </si>
  <si>
    <t>70,27,40,80,80,80</t>
  </si>
  <si>
    <t>汉库珂</t>
  </si>
  <si>
    <t>女帝</t>
  </si>
  <si>
    <t>被称为世界第一的绝世美女，无论男女老幼都被她迷得神魂颠倒！拥有霸王色霸气，是海军元帅也认可的实力者。</t>
  </si>
  <si>
    <t>王下七武海之一，擅长进攻。\n甜甜之果能力者，九蛇海盗团的现任船长。\n被称为世界第一的绝世美女。</t>
  </si>
  <si>
    <t>爆发输出</t>
  </si>
  <si>
    <t>甜甜之果</t>
  </si>
  <si>
    <t>416,412</t>
  </si>
  <si>
    <t>hero_2d_3013</t>
  </si>
  <si>
    <t>hero_long2d_113013</t>
  </si>
  <si>
    <t>CV_Hancock06</t>
  </si>
  <si>
    <t>CV_Hancock04</t>
  </si>
  <si>
    <t>60,55,67,80,50,82</t>
  </si>
  <si>
    <t>罗</t>
  </si>
  <si>
    <t>不做鲁莽的赌注，总是要争取万无一失的胜利，是位头脑敏锐的海盗。</t>
  </si>
  <si>
    <t>在"北海"大名鼎鼎的超亿元通缉犯。\n有将攻击范围内的敌人交换位置的能力。\n手术之果的拥有者，是位头脑敏锐的海盗。</t>
  </si>
  <si>
    <t>手术之果</t>
  </si>
  <si>
    <t>407,401</t>
  </si>
  <si>
    <t>hero_2d_3014</t>
  </si>
  <si>
    <t>hero_long2d_113014</t>
  </si>
  <si>
    <t>CV_law04</t>
  </si>
  <si>
    <t>CV_law01</t>
  </si>
  <si>
    <t>60,70,55,75,70,70</t>
  </si>
  <si>
    <t>基德</t>
  </si>
  <si>
    <t>和路飞，佐罗同时登陆香波迪群岛的原超新星。是毫不留情地铲除阻碍自己前进的人，以残忍著称的人物。</t>
  </si>
  <si>
    <t>超新星之一，擅长进攻和防守。\n具有吸引铁的能力，拥有强大的进攻手段。\n会毫不留情地铲除阻碍自己的人。</t>
  </si>
  <si>
    <t>磁力吸引</t>
  </si>
  <si>
    <t>425,419</t>
  </si>
  <si>
    <t>基德海盗团</t>
  </si>
  <si>
    <t>hero_2d_3015</t>
  </si>
  <si>
    <t>hero_long2d_113015</t>
  </si>
  <si>
    <t>CV_kid11</t>
  </si>
  <si>
    <t>CV_kid03</t>
  </si>
  <si>
    <t>75,55,55,75,80,70</t>
  </si>
  <si>
    <t>雷利</t>
  </si>
  <si>
    <t>将时代托付给下一代的老绅士，曾是被称为“冥王”的“海盗王”的左右手！！</t>
  </si>
  <si>
    <t>被称为“冥王”，是“海盗王”的左右手。\n将时代托付给下一代的老绅士。\n剑客达人，擅长进攻。</t>
  </si>
  <si>
    <t>455,453</t>
  </si>
  <si>
    <t>罗杰海盗团</t>
  </si>
  <si>
    <t>hero_2d_3016</t>
  </si>
  <si>
    <t>hero_long2d_113016</t>
  </si>
  <si>
    <t>CV_reilly01</t>
  </si>
  <si>
    <t>CV_reilly04</t>
  </si>
  <si>
    <t>60,50,50,90,70,85</t>
  </si>
  <si>
    <t>战国</t>
  </si>
  <si>
    <t>率领强大的精锐海兵的儒帅“佛之战国”！！在大海盗时代之前就统帅海军总部的元帅。凭借足智多谋的策略和绝对正义的信念，立下了累累战功。</t>
  </si>
  <si>
    <t>率领强大的精锐海兵的儒帅。\n人人之果大佛形态的拥有者。\n统帅海军总部的海军元帅。</t>
  </si>
  <si>
    <t>461,464</t>
  </si>
  <si>
    <t>hero_2d_3017</t>
  </si>
  <si>
    <t>hero_long2d_113017</t>
  </si>
  <si>
    <t>CV_sengoku05</t>
  </si>
  <si>
    <t>CV_sengoku10</t>
  </si>
  <si>
    <t>77,70,55,78,85,57</t>
  </si>
  <si>
    <t>麦哲伦</t>
  </si>
  <si>
    <t>令囚犯们胆战心惊的因佩尔地狱监狱长！！身上长有让人联想到恶魔的犄角和翅膀，负责管理号称世界第一的监狱。</t>
  </si>
  <si>
    <t>因佩尔地狱监狱长，剧毒之果能力者。\n全身充满了毒素，一旦接触就会中毒。\n会使用可怕的毒属性攻击并腐蚀敌人。</t>
  </si>
  <si>
    <t>团队输出</t>
  </si>
  <si>
    <t>剧毒之果</t>
  </si>
  <si>
    <t>471,470</t>
  </si>
  <si>
    <t>推进城</t>
  </si>
  <si>
    <t>hero_2d_3018</t>
  </si>
  <si>
    <t>hero_long2d_113018</t>
  </si>
  <si>
    <t>CV_mazeran07</t>
  </si>
  <si>
    <t>CV_mazeran02</t>
  </si>
  <si>
    <t>90,90,50,50,63,71</t>
  </si>
  <si>
    <t>伊娃科夫</t>
  </si>
  <si>
    <t>激昂的革命家，引导“新人类”的奇迹之人！！在大监狱因佩尔地狱的地下秘密建立了“新人类”的王国，解救了误入此地的囚犯们。</t>
  </si>
  <si>
    <t>最强大的人妖，荷尔蒙之果能力者。\n有着巨大的脸，异常庞大的深紫色爆炸发。\n对队伍有巨大的辅助作用。</t>
  </si>
  <si>
    <t>治疗辅助</t>
  </si>
  <si>
    <t>荷尔蒙之果</t>
  </si>
  <si>
    <t>487,491</t>
  </si>
  <si>
    <t>革命军</t>
  </si>
  <si>
    <t>hero_2d_3019</t>
  </si>
  <si>
    <t>hero_long2d_113019</t>
  </si>
  <si>
    <t>CV_ivankov15</t>
  </si>
  <si>
    <t>CV_ivankov02</t>
  </si>
  <si>
    <t>85,90,75,70,70,60</t>
  </si>
  <si>
    <t>乔兹</t>
  </si>
  <si>
    <t>外号“钻石”乔兹，白胡子海贼团第三队队长，超人系钻石果实能力者，拥有世界上最强物理防御的身体</t>
  </si>
  <si>
    <t>拥有超强的防御力和腕力。\n武装色霸气也极为出色。\n能为队伍承受大量伤害。</t>
  </si>
  <si>
    <t>闪亮之果</t>
  </si>
  <si>
    <t>503,502</t>
  </si>
  <si>
    <t>hero_2d_3020</t>
  </si>
  <si>
    <t>hero_long2d_113020</t>
  </si>
  <si>
    <t>CV_JozzCZ_victory</t>
  </si>
  <si>
    <t>CV_JozzCZ_ready</t>
  </si>
  <si>
    <t>65,50,65,70,90,85</t>
  </si>
  <si>
    <t>白胡子</t>
  </si>
  <si>
    <t>白胡子海贼团的船长，拥有毁灭世界的力量，被称为世界最强男人。</t>
  </si>
  <si>
    <t>被誉为活着的传说。\n最大的梦想是建立“家庭”。\n拥有毁天灭地的输出。</t>
  </si>
  <si>
    <t>震动之果</t>
  </si>
  <si>
    <t>510,511</t>
  </si>
  <si>
    <t>hero_2d_3021</t>
  </si>
  <si>
    <t>hero_long2d_113021</t>
  </si>
  <si>
    <t>CV_shirohige01</t>
  </si>
  <si>
    <t>CV_shirohige04</t>
  </si>
  <si>
    <t>95,95,95,95,95,95</t>
  </si>
  <si>
    <t>马尔高</t>
  </si>
  <si>
    <t>白胡子海贼团第一队队长兼船医，动物系“幻兽种”鸟鸟之果·不死鸟型能力者，拥有超强的再生能力。</t>
  </si>
  <si>
    <t>马尔高性格冷静，忠心于白胡子。\n留着金色的朋克头，看起来像菠萝。\n第二形态下可以造成恐怖的输出。</t>
  </si>
  <si>
    <t>鸟鸟之果</t>
  </si>
  <si>
    <t>528,529</t>
  </si>
  <si>
    <t>hero_2d_3022</t>
  </si>
  <si>
    <t>hero_long2d_113022</t>
  </si>
  <si>
    <t>CV_macro08</t>
  </si>
  <si>
    <t>CV_macro03</t>
  </si>
  <si>
    <t>70,75,70,90,85,90</t>
  </si>
  <si>
    <t>比斯塔</t>
  </si>
  <si>
    <t>外号“花剑”，白胡子海贼团五番队队长，二十多年前就已经是白胡子海贼团成员。有名的剑豪，沉稳的二刀流剑士。</t>
  </si>
  <si>
    <t>性格沉稳，总是保持着微笑。\n使用武器为双剑，二刀流剑士。\n拥有越战越强的特性。</t>
  </si>
  <si>
    <t>535,537</t>
  </si>
  <si>
    <t>hero_2d_3023</t>
  </si>
  <si>
    <t>hero_long2d_113023</t>
  </si>
  <si>
    <t>CV_vst09</t>
  </si>
  <si>
    <t>CV_vst02</t>
  </si>
  <si>
    <t>65,55,55,90,70,85</t>
  </si>
  <si>
    <t>杰克斯</t>
  </si>
  <si>
    <t>过去曾在罗杰海贼团见习，在罗杰海贼团解散后，成立了红发海贼团，短短十一年内跻身四皇之一。</t>
  </si>
  <si>
    <t>左侧脸颊曾被黑胡子所伤，留有三道疤痕。\n性格豪爽大方，不拘小节。\n进入霸者姿态后将无可匹敌。</t>
  </si>
  <si>
    <t>544,545</t>
  </si>
  <si>
    <t>hero_2d_3024</t>
  </si>
  <si>
    <t>hero_long2d_113024</t>
  </si>
  <si>
    <t>CV_shanks02</t>
  </si>
  <si>
    <t>CV_shanks07</t>
  </si>
  <si>
    <t>新世界撒谎布</t>
  </si>
  <si>
    <t>两年后撒谎布</t>
  </si>
  <si>
    <t>曾经为自己力量的不足而懊恼不已，但经过2年的修行后，身心都得到茁壮成长。</t>
  </si>
  <si>
    <t>草帽团百发百中的狙击手。\n立志成为勇敢的海上战士。\n命中率高，且能在攻击时控制敌方行动。</t>
  </si>
  <si>
    <t>控制爆发</t>
  </si>
  <si>
    <t>552,553</t>
  </si>
  <si>
    <t>hero_2d_3025</t>
  </si>
  <si>
    <t>hero_long2d_113025</t>
  </si>
  <si>
    <t>CV_Nusopp06</t>
  </si>
  <si>
    <t>CV_Nusopp05</t>
  </si>
  <si>
    <t>70,35,90,80,65,85</t>
  </si>
  <si>
    <t>新世界佐罗</t>
  </si>
  <si>
    <t>两年后佐罗</t>
  </si>
  <si>
    <t>喜欢直来直往，经过两年的修炼，可使武器上缠绕武装色霸气，离大剑豪的目标越来越近。</t>
  </si>
  <si>
    <t>三刀流剑士，立志成为世界第一大剑豪。\n在米霍克身边修炼两年，实力大增。\n造成伤害同时提升队友生存能力。</t>
  </si>
  <si>
    <t>560,561</t>
  </si>
  <si>
    <t>hero_2d_3026</t>
  </si>
  <si>
    <t>hero_long2d_113026</t>
  </si>
  <si>
    <t>CVZoronewCZ_victory</t>
  </si>
  <si>
    <t>CVZoronewCZ_prepare</t>
  </si>
  <si>
    <t>80,75,35,95,90,90</t>
  </si>
  <si>
    <t>黑胡子</t>
  </si>
  <si>
    <t>虎视眈眈地觊觎时代的顶点！！野心勃勃的黑暗实力者！！</t>
  </si>
  <si>
    <t>双果实能力者。\n不会同情弱者，只看重强大的力量。\n在场时，能有效的限制敌方输出。</t>
  </si>
  <si>
    <t>双果实</t>
  </si>
  <si>
    <t>568,569</t>
  </si>
  <si>
    <t>黑胡子海盗团</t>
  </si>
  <si>
    <t>hero_2d_3027</t>
  </si>
  <si>
    <t>hero_long2d_113027</t>
  </si>
  <si>
    <t>CV_kurohige12</t>
  </si>
  <si>
    <t>CV_kurohige09</t>
  </si>
  <si>
    <t>新世界奈美</t>
  </si>
  <si>
    <t>擅长航海术，梦想是绘制出世界地图，在空岛学习后，气象学知识也大幅提升。</t>
  </si>
  <si>
    <t>草帽海贼团的航海士，称号小贼猫。\n武器为“魔法天候棒”，头脑聪明又机灵。\n战斗中造成大量属性伤害且拥有强力控制。</t>
  </si>
  <si>
    <t>581,582</t>
  </si>
  <si>
    <t>hero_2d_3028</t>
  </si>
  <si>
    <t>hero_long2d_113028</t>
  </si>
  <si>
    <t>CV_Nnami04</t>
  </si>
  <si>
    <t>CV_Nnami10</t>
  </si>
  <si>
    <t>75,65,90,85,40,80</t>
  </si>
  <si>
    <t>新世界罗宾</t>
  </si>
  <si>
    <t>年仅8岁便成为考古学家，目标是找到真正的历史正文，绝不饶恕践踏历史文物的人。</t>
  </si>
  <si>
    <t>草帽海盗团的考古学家，花花之果能力者。\n西海考古学之岛“奥哈拉”的唯一幸存者。\n战斗中可提升队友属性并降低敌方属性。</t>
  </si>
  <si>
    <t>进攻辅助</t>
  </si>
  <si>
    <t>590,592</t>
  </si>
  <si>
    <t>hero_2d_3029</t>
  </si>
  <si>
    <t>hero_long2d_113029</t>
  </si>
  <si>
    <t>CV_Nrobin02</t>
  </si>
  <si>
    <t>CV_Nrobin06</t>
  </si>
  <si>
    <t>65,90,75,75,60,65</t>
  </si>
  <si>
    <t>多弗拉门戈</t>
  </si>
  <si>
    <t>和世界政府联手进行活动，躲在历史阴影里的海盗！！</t>
  </si>
  <si>
    <t>曾是天龙人的一员。\n桀敖不驯，冷血无情，为达目的不择手段。\n可召唤分身线偶一同战斗。</t>
  </si>
  <si>
    <t>线线之果</t>
  </si>
  <si>
    <t>599,600</t>
  </si>
  <si>
    <t>hero_2d_3030</t>
  </si>
  <si>
    <t>hero_long2d_113030</t>
  </si>
  <si>
    <t>CV_dof07</t>
  </si>
  <si>
    <t>CV_dof01</t>
  </si>
  <si>
    <t>75,45,80,85,85,75</t>
  </si>
  <si>
    <t>新世界路飞</t>
  </si>
  <si>
    <t>超人系橡胶之果能力者，梦想是找到传说中的OnePiece，成为海贼王！</t>
  </si>
  <si>
    <t>草帽海贼团的船长，十分重视伙伴。\n经过两年的修行，开发出新招式“四档”。\n进入“四档”时，能力大幅提升。</t>
  </si>
  <si>
    <t>616,617</t>
  </si>
  <si>
    <t>hero_2d_3031</t>
  </si>
  <si>
    <t>hero_long2d_113031</t>
  </si>
  <si>
    <t>CV_LuffynewCZ_victory</t>
  </si>
  <si>
    <t>CV_LuffynewCZ_ready</t>
  </si>
  <si>
    <t>新世界烟鬼</t>
  </si>
  <si>
    <t>自然系烟雾之果能力者，以路飞为一生的宿敌而精进自己。</t>
  </si>
  <si>
    <t>海军G5支部中将。\n践行自己内心的正义。\n减少所受伤害的同时，可通过攻击削弱对手。</t>
  </si>
  <si>
    <t>627,628</t>
  </si>
  <si>
    <t>hero_2d_3032</t>
  </si>
  <si>
    <t>hero_long2d_113032</t>
  </si>
  <si>
    <t>CV_SomkernewCZ_win,CV_SomkernewCZ_win2</t>
  </si>
  <si>
    <t>CV_SomkernewCZ_ready</t>
  </si>
  <si>
    <t>50,90,75,70,95,55</t>
  </si>
  <si>
    <t>新世界塔希米</t>
  </si>
  <si>
    <t>百折不挠的坚强女剑士，经过两年的修炼，实力成长显著。</t>
  </si>
  <si>
    <t>海军G5支部上校。\n秉性善良，为人正直，能顾全大局。\n稳扎稳打，爆发伤害出色。</t>
  </si>
  <si>
    <t>634,636</t>
  </si>
  <si>
    <t>hero_2d_3033</t>
  </si>
  <si>
    <t>hero_long2d_113033</t>
  </si>
  <si>
    <t>75,45,85,85,50,95</t>
  </si>
  <si>
    <t>锦卫门</t>
  </si>
  <si>
    <t>来自和之国九里的武士，为了实现主公的遗愿而不断奋战。</t>
  </si>
  <si>
    <t>和之国武士。\n剑术高超，为人忠义。\n以带有强力火焰伤害的剑术进行战斗。</t>
  </si>
  <si>
    <t>服服之果</t>
  </si>
  <si>
    <t>643,644</t>
  </si>
  <si>
    <t>赤鞘九侠</t>
  </si>
  <si>
    <t>hero_2d_3034</t>
  </si>
  <si>
    <t>hero_long2d_113034</t>
  </si>
  <si>
    <t>50,40,50,85,75,95</t>
  </si>
  <si>
    <t>新世界弗兰奇</t>
  </si>
  <si>
    <t>机关岛上，在研究所中，发现了贝加庞克遗留的兵器类发明文献后，将自己再次改造。</t>
  </si>
  <si>
    <t>草帽海贼团的船匠，性格豪放。\n在机关岛两年，将自己的身体再次改造。\n防御和爆发能力出众。</t>
  </si>
  <si>
    <t>665,666</t>
  </si>
  <si>
    <t>hero_2d_3035</t>
  </si>
  <si>
    <t>hero_long2d_113035</t>
  </si>
  <si>
    <t>75,55,70,80,90,90</t>
  </si>
  <si>
    <t>新世界布鲁克</t>
  </si>
  <si>
    <t>超人系黄泉之果能力者，重视伙伴的骷髅人，两年后告别了明星的生活与伙伴一同前往新世界。</t>
  </si>
  <si>
    <t>草帽海贼团的音乐家，人称“灵魂之王”。\n虽身为一具白骨，但却有不凡的实力。\n可通过冻结或催眠方式限制敌方行动。</t>
  </si>
  <si>
    <t>651,652</t>
  </si>
  <si>
    <t>hero_2d_3036</t>
  </si>
  <si>
    <t>hero_long2d_113036</t>
  </si>
  <si>
    <t>70,70,95,80,80,75</t>
  </si>
  <si>
    <t>新世界山智</t>
  </si>
  <si>
    <t>践行着骑士精神的绅士，两年后的他尤为擅长见闻色霸气，拥有不凡的实力。</t>
  </si>
  <si>
    <t>草帽海贼团的厨师，有“黑足”的称号。\n温柔冷静，信赖着伙伴们。\n爆发能力出众，拥有独特的生存能力。</t>
  </si>
  <si>
    <t>659,660</t>
  </si>
  <si>
    <t>hero_2d_3037</t>
  </si>
  <si>
    <t>hero_long2d_113037</t>
  </si>
  <si>
    <t>60,75,35,95,85,90</t>
  </si>
  <si>
    <t>新世界乔巴</t>
  </si>
  <si>
    <t>拥有出色医术的医师，经过两年的锻炼，技艺更加炉火纯青。</t>
  </si>
  <si>
    <t>草帽海贼团的船医，梦想是制造出万能药。\n绝对不会对受伤的人见死不救。\n具有多种回复与辅助技能，支援能力优秀。</t>
  </si>
  <si>
    <t>677,678</t>
  </si>
  <si>
    <t>hero_2d_3038</t>
  </si>
  <si>
    <t>hero_long2d_113038</t>
  </si>
  <si>
    <t>30,95,70,65,85,55</t>
  </si>
  <si>
    <t>新世界罗</t>
  </si>
  <si>
    <t>超人系手术果实能力者，有着“死亡外科医生”的称号。</t>
  </si>
  <si>
    <t>红心海贼团团长。\n为人冷静有城府，富有心计。\n通过操纵心脏进行战斗，攻击方式多样。</t>
  </si>
  <si>
    <t>攻击辅助</t>
  </si>
  <si>
    <t>685,686</t>
  </si>
  <si>
    <t>hero_2d_3039</t>
  </si>
  <si>
    <t>hero_long2d_113039</t>
  </si>
  <si>
    <t>60,90,95,75,85,35</t>
  </si>
  <si>
    <t>4,5</t>
  </si>
  <si>
    <t>卡塔库栗</t>
  </si>
  <si>
    <t>超人系糯糯之果能力者，被誉为夏洛特家族的最高杰作，在家族里深受弟弟妹妹们的爱戴和崇拜。</t>
  </si>
  <si>
    <t>夏洛特家族次子，非常擅长见闻色霸气。\n智勇双全，沉着冷静。\n拥有较强的生存能力，且能造成不俗的伤害。</t>
  </si>
  <si>
    <t>糯糯之果</t>
  </si>
  <si>
    <t>693,694</t>
  </si>
  <si>
    <t>大妈海盗团</t>
  </si>
  <si>
    <t>hero_2d_3040</t>
  </si>
  <si>
    <t>hero_long2d_113040</t>
  </si>
  <si>
    <t>65,50,90,90,85,80</t>
  </si>
  <si>
    <t>凯撒</t>
  </si>
  <si>
    <t>原海军本部科学部队科学家，因进行各种惨无人道的实验而被科学部队驱逐并通缉。</t>
  </si>
  <si>
    <t>PH部队的首领，瓦斯之果能力者。\n性格自负，思想太过偏激。\n可造成大量毒气伤害。</t>
  </si>
  <si>
    <t>元素输出</t>
  </si>
  <si>
    <t>瓦斯之果</t>
  </si>
  <si>
    <t>702,699</t>
  </si>
  <si>
    <t>hero_2d_3041</t>
  </si>
  <si>
    <t>hero_long2d_113041</t>
  </si>
  <si>
    <t>75,40,85,80,85,65</t>
  </si>
  <si>
    <t>萨波</t>
  </si>
  <si>
    <t>首次出海时遭到天龙人的袭击后，留在革命军中成长，后吃下烧烧之果，继承了兄弟艾斯的意志。</t>
  </si>
  <si>
    <t>革命军参谋总长，二把手。\n路飞和艾斯的结拜兄弟，性格温和。\n继承了艾斯的意志，可使用火焰攻击。</t>
  </si>
  <si>
    <t>709,710</t>
  </si>
  <si>
    <t>hero_2d_3042</t>
  </si>
  <si>
    <t>hero_long2d_113042</t>
  </si>
  <si>
    <t>sabo_0023</t>
  </si>
  <si>
    <t>sabo_006</t>
  </si>
  <si>
    <t>80,40,80,90,80,90</t>
  </si>
  <si>
    <t>藤虎</t>
  </si>
  <si>
    <t>原为无人知晓的民间高手，两年间通过“世界征兵”破格提升为海军大将。</t>
  </si>
  <si>
    <t>新海军三大将之一。\n实力强大，贯彻内心的正义。\n可造成恐怖的范围伤害。</t>
  </si>
  <si>
    <t>重重之果</t>
  </si>
  <si>
    <t>717,718</t>
  </si>
  <si>
    <t>hero_2d_3043</t>
  </si>
  <si>
    <t>hero_long2d_113043</t>
  </si>
  <si>
    <t>夏洛特·玲玲</t>
  </si>
  <si>
    <t>BIGMOM海贼团的船长，实力强如怪物，被称为“天生破坏者”。</t>
  </si>
  <si>
    <t>新世界的“四皇”之一。\n身材高大，体型肥胖，极度的嗜吃甜食。\n进攻和防守能力都很恐怖。</t>
  </si>
  <si>
    <t>魂魂之果</t>
  </si>
  <si>
    <t>735,731</t>
  </si>
  <si>
    <t>hero_2d_3044</t>
  </si>
  <si>
    <t>hero_long2d_113044</t>
  </si>
  <si>
    <t>CV_BMCZ_victory1,CV_BMCZ_victory2</t>
  </si>
  <si>
    <t>CV_BMCZ_ready</t>
  </si>
  <si>
    <t>苏打饼</t>
  </si>
  <si>
    <t>BIGMOM海贼团“甜点三将星”之一，饼干果实能力者，被称为“饼干骑士”。</t>
  </si>
  <si>
    <t>夏洛特家族第十子，饼干大臣。\n最高干部三将星之一，实力非常强大。\n可召唤饼干士兵帮助战斗。</t>
  </si>
  <si>
    <t>饼干之果</t>
  </si>
  <si>
    <t>739,744</t>
  </si>
  <si>
    <t>hero_2d_3045</t>
  </si>
  <si>
    <t>hero_long2d_113045</t>
  </si>
  <si>
    <t>60,80,50,80,95,70</t>
  </si>
  <si>
    <t>奶昔</t>
  </si>
  <si>
    <t>四皇“BIGMOM”夏洛特·玲玲的第14个女儿，托特兰王国的果汁大臣。</t>
  </si>
  <si>
    <t>夏洛特家族第14女，“甜点三将星”之一。\n出手冷酷，责任心强。\n能够榨出敌方体内的水分。</t>
  </si>
  <si>
    <t>榨榨之果</t>
  </si>
  <si>
    <t>751,752</t>
  </si>
  <si>
    <t>hero_2d_3047</t>
  </si>
  <si>
    <t>hero_long2d_113046</t>
  </si>
  <si>
    <t>75,90,40,80,90,70</t>
  </si>
  <si>
    <t>凯多</t>
  </si>
  <si>
    <t>百兽海贼团的船长，实力极其强悍，被称为“最强的生物”。</t>
  </si>
  <si>
    <t>新世界的“四皇”之一。\n喜怒无常，好酒好战，计策多端。\n暴怒时会让敌人束手无策。</t>
  </si>
  <si>
    <t>不明</t>
  </si>
  <si>
    <t>763,765</t>
  </si>
  <si>
    <t>百兽海盗团</t>
  </si>
  <si>
    <t>hero_2d_3046</t>
  </si>
  <si>
    <t>hero_long2d_113047</t>
  </si>
  <si>
    <t>CVKaidoCZ_victory</t>
  </si>
  <si>
    <t>CVKaidoCZ_fight</t>
  </si>
  <si>
    <t>凯文迪修</t>
  </si>
  <si>
    <t>凯文迪修（小怪）</t>
  </si>
  <si>
    <t>俊美海盗团</t>
  </si>
  <si>
    <t>hero_2d_3048</t>
  </si>
  <si>
    <t>新世界库赞</t>
  </si>
  <si>
    <t>与赤犬在庞克哈萨德上激战十天落败后选择辞职，离开海军。在之后和黑胡子海贼团有所牵扯。</t>
  </si>
  <si>
    <t>原“海军总部”最高战力之一。\n冰冻之果能力者，实力强大。\n可通过冻结限制敌方行动。</t>
  </si>
  <si>
    <t>控制法师</t>
  </si>
  <si>
    <t>784,785</t>
  </si>
  <si>
    <t>hero_2d_3049</t>
  </si>
  <si>
    <t>hero_long2d_113049</t>
  </si>
  <si>
    <t>CV_KuzanNewCZ_victory</t>
  </si>
  <si>
    <t>CV_KuzanNewCZ_ready</t>
  </si>
  <si>
    <t>新世界赤犬</t>
  </si>
  <si>
    <t>奉行着“彻底的正义”之理念，顶上战争后将海军本部迁入“新世界”，以显示打击新世界各路海贼的决心。</t>
  </si>
  <si>
    <t>现海军本部元帅。\n性格刚直，手段残酷不留一切情面。\n可攻可守，能融化一切。</t>
  </si>
  <si>
    <t>792,793</t>
  </si>
  <si>
    <t>hero_2d_3050</t>
  </si>
  <si>
    <t>hero_long2d_113050</t>
  </si>
  <si>
    <t>CV_AkainuNewCZ_win</t>
  </si>
  <si>
    <t>CV_AkainuNewCZ_punch</t>
  </si>
  <si>
    <t>丽久</t>
  </si>
  <si>
    <t>温思默克家族的长女，个人很喜欢毒素，拥有化解中毒的能力。</t>
  </si>
  <si>
    <t>杰尔马王国的公主，山智的姐姐。\n大方得体、举止优雅、善于交际、有礼貌。\n擅长使用剧毒，爆发出大量毒伤害。</t>
  </si>
  <si>
    <t>800,801</t>
  </si>
  <si>
    <t>温思默克家族</t>
  </si>
  <si>
    <t>hero_2d_3051</t>
  </si>
  <si>
    <t>hero_long2d_113051</t>
  </si>
  <si>
    <t>90,95,40,90,70,80</t>
  </si>
  <si>
    <t>新世界鲁兹</t>
  </si>
  <si>
    <t>两年后成为天龙人直属部队“CP-AIGIS0”的特工。</t>
  </si>
  <si>
    <t>“CP-AIGIS0”的特工，擅长体术进攻。\n崇尚必要的恶，奉行黑暗的正义。\n伤害输出大师，化身为豹捕猎所有敌人。</t>
  </si>
  <si>
    <t>809,810</t>
  </si>
  <si>
    <t>hero_2d_3052</t>
  </si>
  <si>
    <t>hero_long2d_113052</t>
  </si>
  <si>
    <t>CV_LucciCP0CZ_win</t>
  </si>
  <si>
    <t>CV_LucciCP0CZ_ready</t>
  </si>
  <si>
    <t>60,50,60,90,85,95</t>
  </si>
  <si>
    <t>推进城汉库珂</t>
  </si>
  <si>
    <t>九蛇海贼团团长，曾被迫吃下甜甜之果，从而拥有着能将男女老幼尽数迷倒并变成石头的能力！</t>
  </si>
  <si>
    <t>女儿国“亚马逊百合”的皇帝。\n甜甜之果能力者，可以将对方变成石头。\n被人称为绝世美女“海盗女帝”。</t>
  </si>
  <si>
    <t>817,818</t>
  </si>
  <si>
    <t>hero_2d_3053</t>
  </si>
  <si>
    <t>hero_long2d_113053</t>
  </si>
  <si>
    <t>70,90,80,75,85,90</t>
  </si>
  <si>
    <t>巴尔托洛梅奥</t>
  </si>
  <si>
    <t>屏障之果能力者，出身罗格镇，见证了路飞在罗格镇处刑台上展现的气魄而对其心生崇拜。</t>
  </si>
  <si>
    <t>巴托俱乐部首领兼草帽大船团第二番船长。\n看似放任不羁，却极度重视义气。\n擅长使用屏障保护自己和队友。</t>
  </si>
  <si>
    <t>屏障之果</t>
  </si>
  <si>
    <t>826,827</t>
  </si>
  <si>
    <t>巴托俱乐部</t>
  </si>
  <si>
    <t>hero_2d_3054</t>
  </si>
  <si>
    <t>hero_long2d_113054</t>
  </si>
  <si>
    <t>CV_BltrmoCZ_win1,CV_BltrmoCZ_win2</t>
  </si>
  <si>
    <t>CV_BltrmoCZ_ready</t>
  </si>
  <si>
    <t>60,90,70,80,75,70</t>
  </si>
  <si>
    <t>新世界马尔高</t>
  </si>
  <si>
    <t>马尔高性格冷静，两年后来到和之国，同路飞一起对抗凯多。</t>
  </si>
  <si>
    <t>动物系，幻兽种鸟鸟之果能力者。\n实力强劲，义薄云天。\n可复活已经战败的队友。</t>
  </si>
  <si>
    <t>辅助爆发</t>
  </si>
  <si>
    <t>835,836</t>
  </si>
  <si>
    <t>hero_2d_3055</t>
  </si>
  <si>
    <t>hero_long2d_113055</t>
  </si>
  <si>
    <t>45,90,40,90,85,95</t>
  </si>
  <si>
    <t>新世界米霍克</t>
  </si>
  <si>
    <t>草帽团分散的两年间，接受了佐罗的请求，指导他剑术，世界会议后，七武海身份被废除。</t>
  </si>
  <si>
    <t>被誉为“世界第一大剑豪”。\n个性沉稳冷静，我行我素。\n实力强劲，且可多次行动。</t>
  </si>
  <si>
    <t>845,846</t>
  </si>
  <si>
    <t>hero_2d_3056</t>
  </si>
  <si>
    <t>hero_long2d_113056</t>
  </si>
  <si>
    <t>CV_NewMihawkCZ_win1,CV_NewMihawkCZ_win2</t>
  </si>
  <si>
    <t>CV_NewMihawkCZ_win1</t>
  </si>
  <si>
    <t>80,40,70,95,75,85</t>
  </si>
  <si>
    <t>糖糖</t>
  </si>
  <si>
    <t>糖糖（英雄）</t>
  </si>
  <si>
    <t>奉多弗拉门戈的命令，把过半的德雷斯罗萨居民变成了玩具，被家族视为重要的干部。</t>
  </si>
  <si>
    <t>多弗拉门戈家族干部。\n童趣之果能力者。\n能将触碰到的人变成玩具。</t>
  </si>
  <si>
    <t>辅助控制</t>
  </si>
  <si>
    <t>童趣之果</t>
  </si>
  <si>
    <t>864,865</t>
  </si>
  <si>
    <t>唐吉诃德家族</t>
  </si>
  <si>
    <t>hero_2d_21238</t>
  </si>
  <si>
    <t>hero_long2d_113057</t>
  </si>
  <si>
    <t>CV_SugerCZ_win</t>
  </si>
  <si>
    <t>70,85,80,75,85,50</t>
  </si>
  <si>
    <t>凯文迪修SSR</t>
  </si>
  <si>
    <t>隆美尔王国出身，有杀人梦游症，梦游时会变成第二人格，杀戮性极强。</t>
  </si>
  <si>
    <t>俊美海贼团船长兼草帽大船团第一番船长。\n个性自恋，拥有双重人格。\n爆发伤害出色。</t>
  </si>
  <si>
    <t>852,856</t>
  </si>
  <si>
    <t>hero_long2d_113058</t>
  </si>
  <si>
    <t>80,75,45,90,70,85</t>
  </si>
  <si>
    <t>光月御殿</t>
  </si>
  <si>
    <t>原和之国将军继承人，上任和之国将军光月寿喜烧的儿子。</t>
  </si>
  <si>
    <t>拥有聆听万物之声的能力。\n拥有武器“天羽羽斩”和“阎魔”。\n攻守兼备，爆发伤害极高。</t>
  </si>
  <si>
    <t>878,879</t>
  </si>
  <si>
    <t>hero_2d_3057</t>
  </si>
  <si>
    <t>hero_long2d_113059</t>
  </si>
  <si>
    <t>CVOdenCZ_win</t>
  </si>
  <si>
    <t>CVOdenCZ_ready</t>
  </si>
  <si>
    <t>青年雷利</t>
  </si>
  <si>
    <t>性格沉稳，年轻时的雷利因为自己家被烧毁而四处游荡，遇到罗杰后，成为了其第一个伙伴。</t>
  </si>
  <si>
    <t>罗杰海贼团的副船长。\n会使用多种霸气。\n在场时，震慑敌方，使其能力下降。</t>
  </si>
  <si>
    <t>886,887</t>
  </si>
  <si>
    <t>hero_2d_3058</t>
  </si>
  <si>
    <t>hero_long2d_113060</t>
  </si>
  <si>
    <t>reillyYoung_ultwater_buff_01</t>
  </si>
  <si>
    <t>75,60,60,95,80,95</t>
  </si>
  <si>
    <t>凯罗特</t>
  </si>
  <si>
    <t>凯罗特渴望自由的冒险，除了天真可爱，她还充满警惕性，会在暗处仔细观察敌人然后迅速对其展开攻击。</t>
  </si>
  <si>
    <t>她来自佐乌默克莫公国，是一名纯毛族。\n这个民族被称为“天生的战士”。\n擅长使用静电攻击、控制敌人。</t>
  </si>
  <si>
    <t>893,896</t>
  </si>
  <si>
    <t>火枪队</t>
  </si>
  <si>
    <t>hero_2d_3059</t>
  </si>
  <si>
    <t>hero_long2d_113061</t>
  </si>
  <si>
    <t>CV_CarotCZ_victory</t>
  </si>
  <si>
    <t>CV_CarotCZ_prepare</t>
  </si>
  <si>
    <t>80,50,85,90,70,90</t>
  </si>
  <si>
    <t>阿菊</t>
  </si>
  <si>
    <t>虽然性别为男性，但心理性别为女性，行为举止以及性格也像极了女性，遇到激动之事会哭泣。</t>
  </si>
  <si>
    <t>光月御殿的家臣，“赤鞘九侠”之一。\n和之国第一美男子剑士“残雪菊之丞”。\n剑术卓越，爆发伤害极高。</t>
  </si>
  <si>
    <t>904,903</t>
  </si>
  <si>
    <t>hero_2d_3060_2</t>
  </si>
  <si>
    <t>hero_long2d_113062</t>
  </si>
  <si>
    <t>CVKikuCZ_victory</t>
  </si>
  <si>
    <t>CVKikuCZ_ready</t>
  </si>
  <si>
    <t>80,70,40,90,60,95</t>
  </si>
  <si>
    <t>渴望被人需要，只要被别人需要就无法拒绝别人，经常上当受骗，被很多渣男人求婚。</t>
  </si>
  <si>
    <t>原唐吉诃德家族女仆兼杀手。\n身穿为女仆装黑色长发。\n身体可以变为武器，攻击性极强。</t>
  </si>
  <si>
    <t>辅助输出</t>
  </si>
  <si>
    <t>911,912</t>
  </si>
  <si>
    <t>hero_2d_2029</t>
  </si>
  <si>
    <t>hero_long2d_113063</t>
  </si>
  <si>
    <t>70,80,40,90,75,90</t>
  </si>
  <si>
    <t>年轻白胡子</t>
  </si>
  <si>
    <t>原洛克斯海贼团成员，现任“白胡子”海贼团船长，对财宝没有任何兴趣，绝不允许任何人伤害自己的同伴。</t>
  </si>
  <si>
    <t>“白胡子”海贼团船长。\n被誉为“世界最强的男人”。\n食用了“震震果实”，拥有毁天灭地的力量。</t>
  </si>
  <si>
    <t>920,921</t>
  </si>
  <si>
    <t>hero_2d_3061_2</t>
  </si>
  <si>
    <t>hero_long2d_113064</t>
  </si>
  <si>
    <t>CVEdwardnewCZ_zhenrong3</t>
  </si>
  <si>
    <t>CVEdwardnewCZ_zhenrong4</t>
  </si>
  <si>
    <t>新世界佩罗娜</t>
  </si>
  <si>
    <t>原莫利亚手下的干部，大事件之后，与佐罗、米霍克一起在克拉伊咖那岛居住了两年。</t>
  </si>
  <si>
    <t>性格傲娇的幽灵公主。\n会召唤各种幽灵。\n战斗可辅助队友打出更高的伤害。</t>
  </si>
  <si>
    <t>辅助法师</t>
  </si>
  <si>
    <t>928,930</t>
  </si>
  <si>
    <t>hero_2d_3062</t>
  </si>
  <si>
    <t>hero_long2d_113065</t>
  </si>
  <si>
    <t>CV_Peronasnew_win</t>
  </si>
  <si>
    <t>CV_Peronasnew_ready</t>
  </si>
  <si>
    <t>75,75,40,85,80,95</t>
  </si>
  <si>
    <t>英雄戈普</t>
  </si>
  <si>
    <t>在38年前独自一人挡下了洛克斯海贼团的进击，并和罗杰联手将整个海贼团毁灭。</t>
  </si>
  <si>
    <t>海军本部中将，海军中的传奇人物。\n性格刚烈，幽默风趣，很关心部下。\n不同的状态下可保护队友或提升队友输出。</t>
  </si>
  <si>
    <t>937,938</t>
  </si>
  <si>
    <t>hero_2d_3063</t>
  </si>
  <si>
    <t>hero_long2d_113066</t>
  </si>
  <si>
    <t>CV_GarpHero_win1,CV_GarpHero_win2</t>
  </si>
  <si>
    <t>持刀黑猫海盗</t>
  </si>
  <si>
    <t>持刀黑猫海贼</t>
  </si>
  <si>
    <t>hero_2d_21001</t>
  </si>
  <si>
    <t>石锤黑猫海盗</t>
  </si>
  <si>
    <t>石锤黑猫海贼</t>
  </si>
  <si>
    <t>hero_2d_21002</t>
  </si>
  <si>
    <t>花斑猫</t>
  </si>
  <si>
    <t>hero_2d_21003</t>
  </si>
  <si>
    <t>暹罗猫</t>
  </si>
  <si>
    <t>hero_2d_21004</t>
  </si>
  <si>
    <t>布拉哈姆</t>
  </si>
  <si>
    <t>hero_2d_21005</t>
  </si>
  <si>
    <t>黑莫里莫</t>
  </si>
  <si>
    <t>hero_2d_21006</t>
  </si>
  <si>
    <t>佛萨</t>
  </si>
  <si>
    <t>佛萨（测试）</t>
  </si>
  <si>
    <t>hero_2d_21007</t>
  </si>
  <si>
    <t>海军士兵A</t>
  </si>
  <si>
    <t>hero_2d_21008</t>
  </si>
  <si>
    <t>海军士兵B</t>
  </si>
  <si>
    <t>hero_2d_21009</t>
  </si>
  <si>
    <t>希路麦波</t>
  </si>
  <si>
    <t>hero_2d_21010</t>
  </si>
  <si>
    <t>布特尔</t>
  </si>
  <si>
    <t>布尔特</t>
  </si>
  <si>
    <t>hero_2d_21011</t>
  </si>
  <si>
    <t>克罗卡斯</t>
  </si>
  <si>
    <t>hero_2d_21012</t>
  </si>
  <si>
    <t>步枪海兵</t>
  </si>
  <si>
    <t>hero_2d_21013</t>
  </si>
  <si>
    <t>小丑海盗A</t>
  </si>
  <si>
    <r>
      <rPr>
        <sz val="11"/>
        <color theme="1"/>
        <rFont val="宋体"/>
        <charset val="134"/>
      </rPr>
      <t>小丑海盗0</t>
    </r>
    <r>
      <rPr>
        <sz val="11"/>
        <color theme="1"/>
        <rFont val="宋体"/>
        <charset val="134"/>
      </rPr>
      <t>1帽子一个尖</t>
    </r>
  </si>
  <si>
    <t>hero_2d_21014</t>
  </si>
  <si>
    <t>小丑海盗B</t>
  </si>
  <si>
    <r>
      <rPr>
        <sz val="11"/>
        <color theme="1"/>
        <rFont val="宋体"/>
        <charset val="134"/>
      </rPr>
      <t>小丑海盗0</t>
    </r>
    <r>
      <rPr>
        <sz val="11"/>
        <color theme="1"/>
        <rFont val="宋体"/>
        <charset val="134"/>
      </rPr>
      <t>2帽子两个尖</t>
    </r>
  </si>
  <si>
    <t>hero_2d_21015</t>
  </si>
  <si>
    <t>小丑海盗C</t>
  </si>
  <si>
    <r>
      <rPr>
        <sz val="11"/>
        <color theme="1"/>
        <rFont val="宋体"/>
        <charset val="134"/>
      </rPr>
      <t>小丑海盗0</t>
    </r>
    <r>
      <rPr>
        <sz val="11"/>
        <color theme="1"/>
        <rFont val="宋体"/>
        <charset val="134"/>
      </rPr>
      <t>3秃子</t>
    </r>
  </si>
  <si>
    <t>hero_2d_21016</t>
  </si>
  <si>
    <t>持刀海盗</t>
  </si>
  <si>
    <t>持刀海盗A</t>
  </si>
  <si>
    <t>hero_2d_21019</t>
  </si>
  <si>
    <t>手枪海盗</t>
  </si>
  <si>
    <t>手枪海贼</t>
  </si>
  <si>
    <t>hero_2d_21018</t>
  </si>
  <si>
    <t>步枪海盗</t>
  </si>
  <si>
    <t>步枪海贼A</t>
  </si>
  <si>
    <t>火炮海盗</t>
  </si>
  <si>
    <t>火炮海贼A</t>
  </si>
  <si>
    <t>hero_2d_21034</t>
  </si>
  <si>
    <t>毛奇</t>
  </si>
  <si>
    <t>hero_2d_21021</t>
  </si>
  <si>
    <t>黑带</t>
  </si>
  <si>
    <t>hero_2d_21022</t>
  </si>
  <si>
    <t>阿秋</t>
  </si>
  <si>
    <t>hero_2d_21023</t>
  </si>
  <si>
    <t>阔嘴鱼人</t>
  </si>
  <si>
    <t>hero_2d_21026</t>
  </si>
  <si>
    <t>流氓鱼人</t>
  </si>
  <si>
    <t>hero_2d_21025</t>
  </si>
  <si>
    <t>胖鱼人</t>
  </si>
  <si>
    <t>hero_2d_21027</t>
  </si>
  <si>
    <t>刺豚鱼人</t>
  </si>
  <si>
    <t>hero_2d_21028</t>
  </si>
  <si>
    <t>胖黑猫持刀</t>
  </si>
  <si>
    <t>hero_2d_21032</t>
  </si>
  <si>
    <t>步枪海盗B</t>
  </si>
  <si>
    <t>步枪海贼B</t>
  </si>
  <si>
    <t>单斧海盗</t>
  </si>
  <si>
    <t>持刀海盗B</t>
  </si>
  <si>
    <t>hero_2d_21017</t>
  </si>
  <si>
    <t>火炮海盗B</t>
  </si>
  <si>
    <t>Mr.9</t>
  </si>
  <si>
    <t>hero_2d_21037</t>
  </si>
  <si>
    <t>Miss.星期一</t>
  </si>
  <si>
    <t>hero_2d_21038</t>
  </si>
  <si>
    <t>Mr.8</t>
  </si>
  <si>
    <t>hero_2d_21039</t>
  </si>
  <si>
    <t>Miss.情人节</t>
  </si>
  <si>
    <t>hero_2d_21040</t>
  </si>
  <si>
    <t>肉食兔</t>
  </si>
  <si>
    <t>肉食兔大佬（兔子拉邦）</t>
  </si>
  <si>
    <t>hero_2d_21041</t>
  </si>
  <si>
    <t>功夫海牛</t>
  </si>
  <si>
    <t>hero_2d_21042</t>
  </si>
  <si>
    <t>棋子</t>
  </si>
  <si>
    <t>hero_2d_21043</t>
  </si>
  <si>
    <t>持枪铁桶护卫队</t>
  </si>
  <si>
    <t>hero_2d_21044</t>
  </si>
  <si>
    <t>持刀铁桶护卫队</t>
  </si>
  <si>
    <t>hero_2d_21045</t>
  </si>
  <si>
    <t>钝器国王军</t>
  </si>
  <si>
    <t>hero_2d_21046</t>
  </si>
  <si>
    <t>持弓国王军</t>
  </si>
  <si>
    <t>hero_2d_21047</t>
  </si>
  <si>
    <t>达尔顿</t>
  </si>
  <si>
    <t>hero_2d_21048</t>
  </si>
  <si>
    <t>Ms.圣诞快乐</t>
  </si>
  <si>
    <t>hero_2d_21049</t>
  </si>
  <si>
    <t>反叛军A01</t>
  </si>
  <si>
    <t>hero_2d_21050</t>
  </si>
  <si>
    <t>反叛军A02</t>
  </si>
  <si>
    <t>hero_2d_21051</t>
  </si>
  <si>
    <t>反叛军B01</t>
  </si>
  <si>
    <t>hero_2d_21052</t>
  </si>
  <si>
    <t>反叛军B02</t>
  </si>
  <si>
    <t>hero_2d_21053</t>
  </si>
  <si>
    <t>海军领队</t>
  </si>
  <si>
    <t>hero_2d_21054</t>
  </si>
  <si>
    <t>里霸斯</t>
  </si>
  <si>
    <t>hero_2d_21055</t>
  </si>
  <si>
    <t>萨奇斯</t>
  </si>
  <si>
    <t>hero_2d_21056</t>
  </si>
  <si>
    <t>海盗头目狼牙棒</t>
  </si>
  <si>
    <t>海贼头目狼牙棒</t>
  </si>
  <si>
    <t>hero_2d_21057</t>
  </si>
  <si>
    <t>海盗头目</t>
  </si>
  <si>
    <t>海贼头目</t>
  </si>
  <si>
    <t>hero_2d_21029</t>
  </si>
  <si>
    <t>肉食兔小弟</t>
  </si>
  <si>
    <t>hero_2d_21059</t>
  </si>
  <si>
    <t>佩鲁</t>
  </si>
  <si>
    <t>hero_2d_21060</t>
  </si>
  <si>
    <t>艾比达</t>
  </si>
  <si>
    <t>hero_2d_21061</t>
  </si>
  <si>
    <t>艾比达船员1</t>
  </si>
  <si>
    <t>hero_2d_21062</t>
  </si>
  <si>
    <t>艾比达船员2</t>
  </si>
  <si>
    <t>hero_2d_21063</t>
  </si>
  <si>
    <t>艾比达船员3</t>
  </si>
  <si>
    <t>hero_2d_21064</t>
  </si>
  <si>
    <t>贝雷帽近战</t>
  </si>
  <si>
    <t>hero_2d_21065</t>
  </si>
  <si>
    <t>贝雷帽远程</t>
  </si>
  <si>
    <t>hero_2d_21066</t>
  </si>
  <si>
    <t>神兵A</t>
  </si>
  <si>
    <t>hero_2d_21067</t>
  </si>
  <si>
    <t>神兵B</t>
  </si>
  <si>
    <t>hero_2d_21068</t>
  </si>
  <si>
    <t>阿悟</t>
  </si>
  <si>
    <t>hero_2d_21069</t>
  </si>
  <si>
    <t>修罗</t>
  </si>
  <si>
    <t>hero_2d_21070</t>
  </si>
  <si>
    <t>涅槃</t>
  </si>
  <si>
    <t>hero_2d_21071</t>
  </si>
  <si>
    <t>欧姆</t>
  </si>
  <si>
    <t>hero_2d_21072</t>
  </si>
  <si>
    <t>恰卡</t>
  </si>
  <si>
    <t>hero_2d_21073</t>
  </si>
  <si>
    <t>沙漠装-步枪海军</t>
  </si>
  <si>
    <t>hero_2d_21075</t>
  </si>
  <si>
    <t>沙漠装-单刀海军</t>
  </si>
  <si>
    <t>hero_2d_21074</t>
  </si>
  <si>
    <t>火炮海军A</t>
  </si>
  <si>
    <t>hero_2d_21076</t>
  </si>
  <si>
    <t>火炮海军B</t>
  </si>
  <si>
    <t>hero_2d_21077</t>
  </si>
  <si>
    <t>沙漠装-单刀海军B</t>
  </si>
  <si>
    <t>hero_2d_21078</t>
  </si>
  <si>
    <t>沙漠装-火炮海军</t>
  </si>
  <si>
    <t>hero_2d_21079</t>
  </si>
  <si>
    <t>Ms.星期三</t>
  </si>
  <si>
    <t>Ms.星期三（薇薇）</t>
  </si>
  <si>
    <t>巴洛克工作社</t>
  </si>
  <si>
    <r>
      <rPr>
        <sz val="11"/>
        <color theme="1"/>
        <rFont val="宋体"/>
        <charset val="134"/>
      </rPr>
      <t>Mr.3</t>
    </r>
    <r>
      <rPr>
        <sz val="11"/>
        <color theme="1"/>
        <rFont val="宋体"/>
        <charset val="134"/>
      </rPr>
      <t>-蜡烛假人</t>
    </r>
  </si>
  <si>
    <t>hero_2d_2015</t>
  </si>
  <si>
    <t>螳螂</t>
  </si>
  <si>
    <t>战士-螳螂</t>
  </si>
  <si>
    <t>hero_2d_21082</t>
  </si>
  <si>
    <t>山迪亚战士</t>
  </si>
  <si>
    <t>山迪亚战士A</t>
  </si>
  <si>
    <t>hero_2d_21083</t>
  </si>
  <si>
    <t>山迪亚战士B</t>
  </si>
  <si>
    <t>hero_2d_21084</t>
  </si>
  <si>
    <t>甘·福尔</t>
  </si>
  <si>
    <t>旧神-甘·福尔</t>
  </si>
  <si>
    <t>空岛</t>
  </si>
  <si>
    <t>hero_2d_21085</t>
  </si>
  <si>
    <t>拉基</t>
  </si>
  <si>
    <t>山迪亚-拉基</t>
  </si>
  <si>
    <t>hero_2d_21086</t>
  </si>
  <si>
    <t>巴利</t>
  </si>
  <si>
    <t>水之都</t>
  </si>
  <si>
    <t>hero_2d_21087</t>
  </si>
  <si>
    <t>泰鲁斯通</t>
  </si>
  <si>
    <t>hero_2d_21088</t>
  </si>
  <si>
    <t>赞拜</t>
  </si>
  <si>
    <t>hero_2d_21089</t>
  </si>
  <si>
    <t>瓦杰</t>
  </si>
  <si>
    <t>hero_2d_21090</t>
  </si>
  <si>
    <t>尼罗</t>
  </si>
  <si>
    <t>hero_2d_21091</t>
  </si>
  <si>
    <t>布鲁诺</t>
  </si>
  <si>
    <t>hero_2d_21092</t>
  </si>
  <si>
    <t>斯巴达姆</t>
  </si>
  <si>
    <t>hero_2d_21093</t>
  </si>
  <si>
    <t>可比-青年</t>
  </si>
  <si>
    <t>hero_2d_21094</t>
  </si>
  <si>
    <t>希路麦波-青年</t>
  </si>
  <si>
    <t>hero_2d_21095</t>
  </si>
  <si>
    <t>基威</t>
  </si>
  <si>
    <t>hero_2d_21096</t>
  </si>
  <si>
    <t>摩兹</t>
  </si>
  <si>
    <t>hero_2d_21097</t>
  </si>
  <si>
    <t>hero_2d_21098</t>
  </si>
  <si>
    <t>海军上校</t>
  </si>
  <si>
    <t>海军上校A</t>
  </si>
  <si>
    <t>hero_2d_21099</t>
  </si>
  <si>
    <t>海军上校B</t>
  </si>
  <si>
    <t>hero_2d_21100</t>
  </si>
  <si>
    <t>铁锤船工</t>
  </si>
  <si>
    <t>hero_2d_21101</t>
  </si>
  <si>
    <t>弗兰奇家族成员</t>
  </si>
  <si>
    <t>弗兰奇家族A</t>
  </si>
  <si>
    <t>hero_2d_21102</t>
  </si>
  <si>
    <t>弗兰奇家族B</t>
  </si>
  <si>
    <t>hero_2d_21103</t>
  </si>
  <si>
    <t>弗兰奇家族C</t>
  </si>
  <si>
    <t>hero_2d_21104</t>
  </si>
  <si>
    <t>司法犬部队</t>
  </si>
  <si>
    <t>hero_2d_21105</t>
  </si>
  <si>
    <t>有罪陪审团</t>
  </si>
  <si>
    <t>hero_2d_21106</t>
  </si>
  <si>
    <t>持枪CP9 A</t>
  </si>
  <si>
    <t>hero_2d_21108</t>
  </si>
  <si>
    <t>持枪CP9 B</t>
  </si>
  <si>
    <t>hero_2d_21107</t>
  </si>
  <si>
    <t>海军大佐</t>
  </si>
  <si>
    <t>海军大佐A</t>
  </si>
  <si>
    <t>hero_2d_21109</t>
  </si>
  <si>
    <t>海军大佐B</t>
  </si>
  <si>
    <t>hero_2d_21110</t>
  </si>
  <si>
    <t>福克斯</t>
  </si>
  <si>
    <t>福克斯海盗团</t>
  </si>
  <si>
    <t>hero_2d_21111</t>
  </si>
  <si>
    <t>波尔茜</t>
  </si>
  <si>
    <t>hero_2d_21112</t>
  </si>
  <si>
    <t>汉堡</t>
  </si>
  <si>
    <t>hero_2d_21113</t>
  </si>
  <si>
    <t>皮库鲁斯</t>
  </si>
  <si>
    <t>hero_2d_21114</t>
  </si>
  <si>
    <t>僵尸士兵A</t>
  </si>
  <si>
    <t>hero_2d_21115</t>
  </si>
  <si>
    <t>僵尸士兵B</t>
  </si>
  <si>
    <t>hero_2d_21116</t>
  </si>
  <si>
    <t>僵尸士兵C</t>
  </si>
  <si>
    <t>hero_2d_21117</t>
  </si>
  <si>
    <t>僵尸士兵D</t>
  </si>
  <si>
    <t>hero_2d_21118</t>
  </si>
  <si>
    <t>僵尸士兵E</t>
  </si>
  <si>
    <t>hero_2d_21119</t>
  </si>
  <si>
    <t>僵尸士兵F</t>
  </si>
  <si>
    <t>hero_2d_21120</t>
  </si>
  <si>
    <t>僵尸士兵G</t>
  </si>
  <si>
    <t>hero_2d_21121</t>
  </si>
  <si>
    <t>僵尸树</t>
  </si>
  <si>
    <t>hero_2d_21122</t>
  </si>
  <si>
    <t>盔甲僵尸A</t>
  </si>
  <si>
    <t>盔甲僵尸-持斧</t>
  </si>
  <si>
    <t>hero_2d_21123</t>
  </si>
  <si>
    <t>盔甲僵尸B</t>
  </si>
  <si>
    <t>盔甲僵尸-持剑</t>
  </si>
  <si>
    <t>hero_2d_21124</t>
  </si>
  <si>
    <t>僵尸河马</t>
  </si>
  <si>
    <t>hero_2d_21125</t>
  </si>
  <si>
    <t>僵尸熊猫</t>
  </si>
  <si>
    <t>hero_2d_21126</t>
  </si>
  <si>
    <t>地狱三头犬</t>
  </si>
  <si>
    <t>三头犬</t>
  </si>
  <si>
    <t>hero_2d_21127</t>
  </si>
  <si>
    <t>惊吓盒子</t>
  </si>
  <si>
    <t>僵尸惊吓盒子</t>
  </si>
  <si>
    <t>hero_2d_21128</t>
  </si>
  <si>
    <t>莫利亚-影法师</t>
  </si>
  <si>
    <t>hero_2d_21129</t>
  </si>
  <si>
    <t>卡古（长颈鹿）</t>
  </si>
  <si>
    <r>
      <rPr>
        <sz val="11"/>
        <color theme="1"/>
        <rFont val="等线"/>
        <charset val="134"/>
      </rPr>
      <t>3</t>
    </r>
    <r>
      <rPr>
        <sz val="11"/>
        <color theme="1"/>
        <rFont val="等线"/>
        <charset val="134"/>
      </rPr>
      <t>0001</t>
    </r>
  </si>
  <si>
    <t>hero_2d_2021_1</t>
  </si>
  <si>
    <t>辛德莉</t>
  </si>
  <si>
    <t>辛德丽</t>
  </si>
  <si>
    <t>1086</t>
  </si>
  <si>
    <t>hero_2d_21131</t>
  </si>
  <si>
    <t>蜘蛛猴</t>
  </si>
  <si>
    <t>hero_2d_21133</t>
  </si>
  <si>
    <t>萝拉</t>
  </si>
  <si>
    <t>野猪萝拉</t>
  </si>
  <si>
    <t>hero_2d_21134</t>
  </si>
  <si>
    <t>风之治五郎</t>
  </si>
  <si>
    <t>治五郎</t>
  </si>
  <si>
    <t>hero_2d_21135</t>
  </si>
  <si>
    <t>狗企鹅</t>
  </si>
  <si>
    <t>企鹅狗</t>
  </si>
  <si>
    <t>hero_2d_21136</t>
  </si>
  <si>
    <t>奥兹</t>
  </si>
  <si>
    <t>hero_2d_21137</t>
  </si>
  <si>
    <t>飞鱼骑士团A</t>
  </si>
  <si>
    <t>飞鱼A</t>
  </si>
  <si>
    <t>hero_2d_21138</t>
  </si>
  <si>
    <t>飞鱼骑士团B</t>
  </si>
  <si>
    <t>飞鱼B</t>
  </si>
  <si>
    <t>hero_2d_21139</t>
  </si>
  <si>
    <t>新通用海盗A</t>
  </si>
  <si>
    <t>新海盗A</t>
  </si>
  <si>
    <t>hero_2d_21140</t>
  </si>
  <si>
    <t>新通用海盗B</t>
  </si>
  <si>
    <t>新海盗B</t>
  </si>
  <si>
    <t>hero_2d_21141</t>
  </si>
  <si>
    <t>新通用海盗C</t>
  </si>
  <si>
    <t>新海盗C</t>
  </si>
  <si>
    <t>hero_2d_21142</t>
  </si>
  <si>
    <t>新通用海盗D</t>
  </si>
  <si>
    <t>新海盗D</t>
  </si>
  <si>
    <t>hero_2d_21143</t>
  </si>
  <si>
    <t>基德钢盾</t>
  </si>
  <si>
    <t>基德盾牌</t>
  </si>
  <si>
    <t>hero_2d_21144</t>
  </si>
  <si>
    <t>迪巴鲁</t>
  </si>
  <si>
    <t>hero_2d_21145</t>
  </si>
  <si>
    <t>新通用海盗A远程</t>
  </si>
  <si>
    <t>新海盗A远程</t>
  </si>
  <si>
    <t>新通用海盗B远程</t>
  </si>
  <si>
    <t>新海盗B远程</t>
  </si>
  <si>
    <t>新通用海盗C远程</t>
  </si>
  <si>
    <t>新海盗C远程</t>
  </si>
  <si>
    <t>新通用海盗D远程</t>
  </si>
  <si>
    <t>新海盗D远程</t>
  </si>
  <si>
    <t>拍卖行卫士A</t>
  </si>
  <si>
    <t>拍卖行杂兵</t>
  </si>
  <si>
    <t>hero_2d_21146</t>
  </si>
  <si>
    <t>恰尔罗斯圣</t>
  </si>
  <si>
    <t>查尔罗斯</t>
  </si>
  <si>
    <t>hero_2d_21147</t>
  </si>
  <si>
    <t>金盏花</t>
  </si>
  <si>
    <t>九蛇海盗团</t>
  </si>
  <si>
    <t>hero_2d_21148</t>
  </si>
  <si>
    <t>宫灯花</t>
  </si>
  <si>
    <t>hero_2d_21149</t>
  </si>
  <si>
    <t>和平主义者</t>
  </si>
  <si>
    <t>长枪天龙人护卫</t>
  </si>
  <si>
    <t>天龙人护卫（长枪）</t>
  </si>
  <si>
    <t>hero_2d_21150</t>
  </si>
  <si>
    <t>持剑天龙人护卫</t>
  </si>
  <si>
    <t>天龙人护卫（剑）</t>
  </si>
  <si>
    <t>雏菊</t>
  </si>
  <si>
    <t>hero_2d_21151</t>
  </si>
  <si>
    <t>亚马逊剑士</t>
  </si>
  <si>
    <t>棕发女战士（剑）</t>
  </si>
  <si>
    <t>hero_2d_21152</t>
  </si>
  <si>
    <t>亚马逊弓兵</t>
  </si>
  <si>
    <t>棕发包子头（弓箭）</t>
  </si>
  <si>
    <t>hero_2d_21153</t>
  </si>
  <si>
    <t>贾罗</t>
  </si>
  <si>
    <t>hero_2d_21154</t>
  </si>
  <si>
    <t>马克罗</t>
  </si>
  <si>
    <t>hero_2d_21155</t>
  </si>
  <si>
    <t>淡水</t>
  </si>
  <si>
    <t>hero_2d_21156</t>
  </si>
  <si>
    <t>拍卖行卫士B</t>
  </si>
  <si>
    <t>拍卖行杂兵（远程）</t>
  </si>
  <si>
    <t>hero_2d_21157</t>
  </si>
  <si>
    <t>罗兹瓦德圣</t>
  </si>
  <si>
    <t>罗兹瓦德</t>
  </si>
  <si>
    <t>hero_2d_21158</t>
  </si>
  <si>
    <t>红发女战士（剑）</t>
  </si>
  <si>
    <t>hero_2d_21159</t>
  </si>
  <si>
    <t>黄发包子头（弓箭）</t>
  </si>
  <si>
    <t>hero_2d_21160</t>
  </si>
  <si>
    <t>粉发女战士（剑）</t>
  </si>
  <si>
    <t>hero_2d_21161</t>
  </si>
  <si>
    <t>黑发包子头（弓箭）</t>
  </si>
  <si>
    <t>hero_2d_21162</t>
  </si>
  <si>
    <t>巴基利克斯</t>
  </si>
  <si>
    <t>hero_2d_21163</t>
  </si>
  <si>
    <t>蓝猩猩</t>
  </si>
  <si>
    <t>hero_2d_21164</t>
  </si>
  <si>
    <t>汉尼拔</t>
  </si>
  <si>
    <t>hero_2d_21165</t>
  </si>
  <si>
    <t>候斯</t>
  </si>
  <si>
    <t>hero_2d_21166</t>
  </si>
  <si>
    <t>曼提克拉</t>
  </si>
  <si>
    <t>hero_2d_21167</t>
  </si>
  <si>
    <t>萨迪</t>
  </si>
  <si>
    <t>hero_2d_21168</t>
  </si>
  <si>
    <t>斯芬克斯</t>
  </si>
  <si>
    <t>hero_2d_21169</t>
  </si>
  <si>
    <t>白狼</t>
  </si>
  <si>
    <t>hero_2d_21170</t>
  </si>
  <si>
    <t>考拉怪</t>
  </si>
  <si>
    <t>hero_2d_21171</t>
  </si>
  <si>
    <t>监狱步枪守卫</t>
  </si>
  <si>
    <t>hero_2d_21172</t>
  </si>
  <si>
    <t>人牛怪</t>
  </si>
  <si>
    <t>hero_2d_21173</t>
  </si>
  <si>
    <t>狱卒</t>
  </si>
  <si>
    <t>hero_2d_21174</t>
  </si>
  <si>
    <t>犀牛怪</t>
  </si>
  <si>
    <t>hero_2d_21175</t>
  </si>
  <si>
    <t>斑马怪</t>
  </si>
  <si>
    <t>hero_2d_21176</t>
  </si>
  <si>
    <t>巨锤精英海盗</t>
  </si>
  <si>
    <t>【精英】巨锤哥</t>
  </si>
  <si>
    <t>猎枪精英海盗</t>
  </si>
  <si>
    <t>【精英】管儿枪哥</t>
  </si>
  <si>
    <t>快刀精英海盗</t>
  </si>
  <si>
    <t>【精英】刺刀哥</t>
  </si>
  <si>
    <t>大太刀精英大佐</t>
  </si>
  <si>
    <t>【精英】大太刀海军</t>
  </si>
  <si>
    <t>火枪精英大佐</t>
  </si>
  <si>
    <t>【精英】多功能步枪海军</t>
  </si>
  <si>
    <t>监狱墨镜大炮管子</t>
  </si>
  <si>
    <t>狱卒细炮管子</t>
  </si>
  <si>
    <t>日奈</t>
  </si>
  <si>
    <t>hero_2d_21177</t>
  </si>
  <si>
    <t>巴士底</t>
  </si>
  <si>
    <t>hero_2d_21179</t>
  </si>
  <si>
    <t>鬼蜘蛛</t>
  </si>
  <si>
    <t>hero_2d_21180</t>
  </si>
  <si>
    <t>鼯鼠</t>
  </si>
  <si>
    <t>hero_2d_21178</t>
  </si>
  <si>
    <t>鬼蜘蛛（没手）</t>
  </si>
  <si>
    <t>【怪物】时装老沙</t>
  </si>
  <si>
    <t>hero_2d_3001_1</t>
  </si>
  <si>
    <t>【怪物】时装女帝</t>
  </si>
  <si>
    <t>hero_2d_3013_1</t>
  </si>
  <si>
    <t>大厨</t>
  </si>
  <si>
    <t>战棋NPC-大厨</t>
  </si>
  <si>
    <t>hero_2d_23012</t>
  </si>
  <si>
    <t>路飞？</t>
  </si>
  <si>
    <t>假李飞</t>
  </si>
  <si>
    <t>hero_2d_21181</t>
  </si>
  <si>
    <t>奈美？</t>
  </si>
  <si>
    <t>假奈美</t>
  </si>
  <si>
    <t>hero_2d_21182</t>
  </si>
  <si>
    <t>撒谎布？</t>
  </si>
  <si>
    <t>假乌索普</t>
  </si>
  <si>
    <t>hero_2d_21183</t>
  </si>
  <si>
    <t>卡里布</t>
  </si>
  <si>
    <t>hero_2d_21184</t>
  </si>
  <si>
    <t>黑胖龙宫城士兵</t>
  </si>
  <si>
    <t>hero_2d_21191</t>
  </si>
  <si>
    <t>蓝瘦龙宫城士兵</t>
  </si>
  <si>
    <t>hero_2d_21190</t>
  </si>
  <si>
    <t>持刀新鱼人</t>
  </si>
  <si>
    <t>hero_2d_21188</t>
  </si>
  <si>
    <t>持枪新鱼人</t>
  </si>
  <si>
    <t>hero_2d_21189</t>
  </si>
  <si>
    <t>霍迪·琼斯</t>
  </si>
  <si>
    <t>hero_2d_21185</t>
  </si>
  <si>
    <t>范德戴肯九世</t>
  </si>
  <si>
    <t>hero_2d_21186</t>
  </si>
  <si>
    <t>豹藏</t>
  </si>
  <si>
    <t>hero_2d_21187</t>
  </si>
  <si>
    <t>咚森</t>
  </si>
  <si>
    <t>hero_2d_21192</t>
  </si>
  <si>
    <t>伊卡鲁斯</t>
  </si>
  <si>
    <t>hero_2d_21194</t>
  </si>
  <si>
    <t>达磨</t>
  </si>
  <si>
    <t>hero_2d_21193</t>
  </si>
  <si>
    <t>泽奥</t>
  </si>
  <si>
    <t>hero_2d_21195</t>
  </si>
  <si>
    <t>茶胡子</t>
  </si>
  <si>
    <t>hero_2d_21196</t>
  </si>
  <si>
    <t>史姆丽</t>
  </si>
  <si>
    <t>hero_2d_21197</t>
  </si>
  <si>
    <t>双足飞龙</t>
  </si>
  <si>
    <t>hero_2d_21198</t>
  </si>
  <si>
    <t>火龙</t>
  </si>
  <si>
    <t>hero_2d_21199</t>
  </si>
  <si>
    <t>小孩</t>
  </si>
  <si>
    <t>hero_2d_21200</t>
  </si>
  <si>
    <t>ph持刀部队</t>
  </si>
  <si>
    <t>hero_2d_21201</t>
  </si>
  <si>
    <t>ph持枪部队</t>
  </si>
  <si>
    <t>hero_2d_21202</t>
  </si>
  <si>
    <t>G5海军持刀</t>
  </si>
  <si>
    <t>hero_2d_21203</t>
  </si>
  <si>
    <t>G5海军持枪</t>
  </si>
  <si>
    <t>hero_2d_21204</t>
  </si>
  <si>
    <t>豹型半人马</t>
  </si>
  <si>
    <t>hero_2d_21205</t>
  </si>
  <si>
    <t>长颈鹿型半人马</t>
  </si>
  <si>
    <t>hero_2d_21206</t>
  </si>
  <si>
    <t>雪山兄弟（洛克）</t>
  </si>
  <si>
    <t>雪山兄弟1</t>
  </si>
  <si>
    <t>hero_2d_21207</t>
  </si>
  <si>
    <t>雪山兄弟（斯科奇）</t>
  </si>
  <si>
    <t>雪山兄弟2</t>
  </si>
  <si>
    <t>hero_2d_21208</t>
  </si>
  <si>
    <t>小型史姆丽</t>
  </si>
  <si>
    <t>小史姆丽</t>
  </si>
  <si>
    <t>hero_2d_21209</t>
  </si>
  <si>
    <t>维尔高</t>
  </si>
  <si>
    <t>hero_2d_21210</t>
  </si>
  <si>
    <t>莫奈</t>
  </si>
  <si>
    <t>hero_2d_21211</t>
  </si>
  <si>
    <t>水牛</t>
  </si>
  <si>
    <t>hero_2d_21212</t>
  </si>
  <si>
    <t>德林杰</t>
  </si>
  <si>
    <t>hero_2d_21214</t>
  </si>
  <si>
    <t>贾恩·安格</t>
  </si>
  <si>
    <t>hero_2d_21213</t>
  </si>
  <si>
    <t>斗牛</t>
  </si>
  <si>
    <t>hero_2d_21215</t>
  </si>
  <si>
    <t>斗鱼</t>
  </si>
  <si>
    <t>斗鱼（黑）</t>
  </si>
  <si>
    <t>hero_2d_21216</t>
  </si>
  <si>
    <t>斗鱼（红）</t>
  </si>
  <si>
    <t>hero_2d_21217</t>
  </si>
  <si>
    <t>多弗朗门戈手下</t>
  </si>
  <si>
    <t>近战</t>
  </si>
  <si>
    <t>hero_2d_21218</t>
  </si>
  <si>
    <t>远程</t>
  </si>
  <si>
    <t>hero_2d_21219</t>
  </si>
  <si>
    <t>普通参赛者</t>
  </si>
  <si>
    <t>铁链</t>
  </si>
  <si>
    <t>hero_2d_21220</t>
  </si>
  <si>
    <t>斧</t>
  </si>
  <si>
    <t>hero_2d_21221</t>
  </si>
  <si>
    <t>剑</t>
  </si>
  <si>
    <t>hero_2d_21222</t>
  </si>
  <si>
    <t>青椒</t>
  </si>
  <si>
    <t>hero_2d_21223</t>
  </si>
  <si>
    <t>蕾贝卡</t>
  </si>
  <si>
    <t>hero_2d_21224</t>
  </si>
  <si>
    <t>斯雷曼</t>
  </si>
  <si>
    <t>hero_2d_21225</t>
  </si>
  <si>
    <t>洛林格·罗甘</t>
  </si>
  <si>
    <t>hero_2d_21226</t>
  </si>
  <si>
    <t>斯巴达恩</t>
  </si>
  <si>
    <t>hero_2d_21227</t>
  </si>
  <si>
    <t>警官</t>
  </si>
  <si>
    <t>hero_2d_21228</t>
  </si>
  <si>
    <t>紫罗兰</t>
  </si>
  <si>
    <t>hero_2d_21229</t>
  </si>
  <si>
    <t>托雷波尔</t>
  </si>
  <si>
    <t>hero_2d_21230</t>
  </si>
  <si>
    <t>迪亚曼蒂</t>
  </si>
  <si>
    <t>hero_2d_21231</t>
  </si>
  <si>
    <t>赛诺尔·平克</t>
  </si>
  <si>
    <t>hero_2d_21232</t>
  </si>
  <si>
    <t>匹卡</t>
  </si>
  <si>
    <t>匹卡（正常）</t>
  </si>
  <si>
    <t>hero_2d_21233</t>
  </si>
  <si>
    <t>匹卡（霸气形态）</t>
  </si>
  <si>
    <t>hero_2d_21234</t>
  </si>
  <si>
    <t>匹卡（小石头）</t>
  </si>
  <si>
    <t>hero_2d_21235</t>
  </si>
  <si>
    <t>匹卡（大石头）</t>
  </si>
  <si>
    <t>hero_2d_21236</t>
  </si>
  <si>
    <t>古拉迪乌斯</t>
  </si>
  <si>
    <t>hero_2d_21237</t>
  </si>
  <si>
    <t>德岛时装版</t>
  </si>
  <si>
    <t>hero_2d_3025_1</t>
  </si>
  <si>
    <t>砂糖玩偶</t>
  </si>
  <si>
    <t>hero_2d_21239</t>
  </si>
  <si>
    <t>新世界索隆</t>
  </si>
  <si>
    <t>黑色西服时装版</t>
  </si>
  <si>
    <t>hero_2d_3026_1</t>
  </si>
  <si>
    <t>托雷波尔（召唤）</t>
  </si>
  <si>
    <t>小熊玩偶</t>
  </si>
  <si>
    <t>砂糖玩偶（小熊玩偶）</t>
  </si>
  <si>
    <t>脑袋夹子</t>
  </si>
  <si>
    <t>砂糖玩偶（脑袋夹子）</t>
  </si>
  <si>
    <t>脑袋夹子2</t>
  </si>
  <si>
    <t>砂糖玩偶（脑袋夹子）旧版</t>
  </si>
  <si>
    <t>hero_2d_21240</t>
  </si>
  <si>
    <t>两年后贝拉米</t>
  </si>
  <si>
    <t>hero_2d_21241</t>
  </si>
  <si>
    <t>青椒（尖头）</t>
  </si>
  <si>
    <t>加洛特电球</t>
  </si>
  <si>
    <t>汪达</t>
  </si>
  <si>
    <t>hero_2d_21242</t>
  </si>
  <si>
    <t>毛皮族</t>
  </si>
  <si>
    <t>hero_2d_21244</t>
  </si>
  <si>
    <t>毛皮族帽子</t>
  </si>
  <si>
    <t>hero_2d_21245</t>
  </si>
  <si>
    <t>罗迪</t>
  </si>
  <si>
    <t>hero_2d_21243</t>
  </si>
  <si>
    <t>杰克海贼团海盗1</t>
  </si>
  <si>
    <t>hero_2d_21246</t>
  </si>
  <si>
    <t>杰克海贼团海盗2</t>
  </si>
  <si>
    <t>hero_2d_21247</t>
  </si>
  <si>
    <t>绵羊头</t>
  </si>
  <si>
    <t>hero_2d_21248</t>
  </si>
  <si>
    <t>卡朋贝基</t>
  </si>
  <si>
    <t>hero_2d_21249</t>
  </si>
  <si>
    <t>卡朋手下1</t>
  </si>
  <si>
    <t>hero_2d_21250</t>
  </si>
  <si>
    <t>卡朋手下2</t>
  </si>
  <si>
    <t>hero_2d_21251</t>
  </si>
  <si>
    <t>杰克</t>
  </si>
  <si>
    <t>hero_2d_21252</t>
  </si>
  <si>
    <t>杰克象形态</t>
  </si>
  <si>
    <t>hero_2d_21253</t>
  </si>
  <si>
    <t>hero_2d_21254</t>
  </si>
  <si>
    <t>克比</t>
  </si>
  <si>
    <t>斧手蒙卡</t>
  </si>
  <si>
    <t>小丑海盗团</t>
  </si>
  <si>
    <t>阿八</t>
  </si>
  <si>
    <t>瓦尔波</t>
  </si>
  <si>
    <t>skillsIntroduction_1018</t>
  </si>
  <si>
    <t>60,60,65,70,85,75</t>
  </si>
  <si>
    <t>CV_luffy01</t>
  </si>
  <si>
    <t>CV_luffy07</t>
  </si>
  <si>
    <t>hero_2d_2006</t>
  </si>
  <si>
    <t>70,50,50,55,80,70</t>
  </si>
  <si>
    <t>hero_2d_2007</t>
  </si>
  <si>
    <t>75,80,90,75,50,55</t>
  </si>
  <si>
    <t>巴基</t>
  </si>
  <si>
    <t>CV_buggy03,CV_buggy07</t>
  </si>
  <si>
    <t>斯摩格</t>
  </si>
  <si>
    <t>塔西琪</t>
  </si>
  <si>
    <t>CV_mr201,CV_mr202,CV_mr204</t>
  </si>
  <si>
    <t>Miss.双手指</t>
  </si>
  <si>
    <t>hero_2d_2016</t>
  </si>
  <si>
    <t>80,60,50,70,75,70</t>
  </si>
  <si>
    <t>贝拉米</t>
  </si>
  <si>
    <t>贝拉密海盗团</t>
  </si>
  <si>
    <t>hero_2d_2018</t>
  </si>
  <si>
    <t>80,60,50,70,85,70</t>
  </si>
  <si>
    <t>hero_2d_2019</t>
  </si>
  <si>
    <t>hero_2d_2020</t>
  </si>
  <si>
    <t>hero_2d_2021</t>
  </si>
  <si>
    <t>hero_2d_2022</t>
  </si>
  <si>
    <t>hero_2d_2023</t>
  </si>
  <si>
    <t>hero_2d_2024</t>
  </si>
  <si>
    <t>hero_2d_2025</t>
  </si>
  <si>
    <t>hero_2d_2026</t>
  </si>
  <si>
    <t>sumi</t>
  </si>
  <si>
    <t>fei</t>
  </si>
  <si>
    <t>447,445</t>
  </si>
  <si>
    <t>60,20,67,52,80,50</t>
  </si>
  <si>
    <t>克洛克达尔</t>
  </si>
  <si>
    <t>表面上扮演着“阿鲁巴拿的守护神”，其实私下却是企图统治阿鲁巴拿王国的巴洛克工作社的老板。悬赏金额高达8100万贝里，“王下七武海”之一。</t>
  </si>
  <si>
    <t>CV_crocodile01,CV_crocodile04,CV_crocodile07</t>
  </si>
  <si>
    <t>梦想回归圣地的空岛唯一的神。他是具有操纵雷电之果能力的雷人。在唯一的天敌路飞出现前，在天空圣地实施了长达6年的恐怖统治。</t>
  </si>
  <si>
    <t>CV_enel03,CV_enel05</t>
  </si>
  <si>
    <t>CV_enel02,CV_enel06,CV_enel07</t>
  </si>
  <si>
    <t>CV_kuzan01,CV_kuzan03</t>
  </si>
  <si>
    <t>85,60,50,90,85,90</t>
  </si>
  <si>
    <t>影影之果</t>
  </si>
  <si>
    <t>50,70,40,50,70,40</t>
  </si>
  <si>
    <t>王下七武海，将自己的身体献给政府，成为和平主义者的原型。巨大的身躯中隐藏着钢铁般的意志！！</t>
  </si>
  <si>
    <t>CV_ace01,CV_ace02</t>
  </si>
  <si>
    <t>杰拉基尔·米霍克</t>
  </si>
  <si>
    <t>CV_mihawk02,CV_mihawk06</t>
  </si>
  <si>
    <t>路奇</t>
  </si>
  <si>
    <t>Mr.3（变身后）</t>
  </si>
  <si>
    <t>豹子形态</t>
  </si>
  <si>
    <r>
      <rPr>
        <sz val="11"/>
        <color theme="1"/>
        <rFont val="宋体"/>
        <charset val="134"/>
      </rPr>
      <t>hero_2d_3011</t>
    </r>
    <r>
      <rPr>
        <sz val="11"/>
        <color theme="1"/>
        <rFont val="宋体"/>
        <charset val="134"/>
      </rPr>
      <t>_1</t>
    </r>
  </si>
  <si>
    <t>莫利亚影子</t>
  </si>
  <si>
    <t>CV_jinbe01</t>
  </si>
  <si>
    <t>CV_jinbe04</t>
  </si>
  <si>
    <t>战国大佛型态</t>
  </si>
  <si>
    <t>伊娃</t>
  </si>
  <si>
    <t>CV_joz08</t>
  </si>
  <si>
    <t>CV_joz05</t>
  </si>
  <si>
    <t>红发海盗团</t>
  </si>
  <si>
    <t>黑</t>
  </si>
  <si>
    <t>胡</t>
  </si>
  <si>
    <t>子</t>
  </si>
  <si>
    <t>胡子</t>
  </si>
  <si>
    <t>自然系烟雾之果能力者，以路飞为一生的宿敌而精进自己</t>
  </si>
  <si>
    <t>海军G5支部中将。\n践行自己内心的正义。\n减少所受伤害的同时，可以通过攻击降低敌方战斗力。</t>
  </si>
  <si>
    <t>饼干战士</t>
  </si>
  <si>
    <t>苏打饼-饼干战士</t>
  </si>
  <si>
    <t>hero_2d_3045_1</t>
  </si>
  <si>
    <t>周年庆</t>
  </si>
  <si>
    <t>PH部队持枪</t>
  </si>
  <si>
    <t>PH部队持刀</t>
  </si>
  <si>
    <t>军官</t>
  </si>
  <si>
    <t>莉香</t>
  </si>
  <si>
    <t>图鉴-莉香</t>
  </si>
  <si>
    <t>hero_2d_4000001</t>
  </si>
  <si>
    <t>秀秀</t>
  </si>
  <si>
    <t>图鉴-秀秀</t>
  </si>
  <si>
    <t>hero_2d_4000002</t>
  </si>
  <si>
    <t>嘉雅</t>
  </si>
  <si>
    <t>图鉴-嘉雅</t>
  </si>
  <si>
    <t>hero_2d_4000003</t>
  </si>
  <si>
    <t>卓夫</t>
  </si>
  <si>
    <t>图鉴-卓夫</t>
  </si>
  <si>
    <t>hero_2d_4000004</t>
  </si>
  <si>
    <t>健藏</t>
  </si>
  <si>
    <t>图鉴-健藏</t>
  </si>
  <si>
    <t>hero_2d_4000005</t>
  </si>
  <si>
    <t>拉布</t>
  </si>
  <si>
    <t>图鉴-拉布</t>
  </si>
  <si>
    <t>hero_2d_4000006</t>
  </si>
  <si>
    <t>Mr.13</t>
  </si>
  <si>
    <t>图鉴-Mr.13</t>
  </si>
  <si>
    <t>hero_2d_4000007</t>
  </si>
  <si>
    <t>Ms.星期五</t>
  </si>
  <si>
    <t>图鉴-Ms.星期五</t>
  </si>
  <si>
    <t>hero_2d_4000008</t>
  </si>
  <si>
    <t>多利</t>
  </si>
  <si>
    <t>图鉴-多利</t>
  </si>
  <si>
    <t>hero_2d_4000009</t>
  </si>
  <si>
    <t>布罗基</t>
  </si>
  <si>
    <t>图鉴-布罗基</t>
  </si>
  <si>
    <t>hero_2d_4000010</t>
  </si>
  <si>
    <t>爱比达</t>
  </si>
  <si>
    <t>图鉴-爱比达</t>
  </si>
  <si>
    <t>Dr.古蕾娃</t>
  </si>
  <si>
    <t>图鉴-Dr.古蕾娃</t>
  </si>
  <si>
    <t>hero_2d_4000012</t>
  </si>
  <si>
    <t>可布拉</t>
  </si>
  <si>
    <t>图鉴-可布拉</t>
  </si>
  <si>
    <t>hero_2d_4000013</t>
  </si>
  <si>
    <t>空扎</t>
  </si>
  <si>
    <t>图鉴-空扎</t>
  </si>
  <si>
    <t>蒙布朗</t>
  </si>
  <si>
    <t>柯尼丝</t>
  </si>
  <si>
    <t>东吉特</t>
  </si>
  <si>
    <t>拉奇</t>
  </si>
  <si>
    <t>阿斯巴古</t>
  </si>
  <si>
    <t>可可罗</t>
  </si>
  <si>
    <t>希尔顿</t>
  </si>
  <si>
    <t>hero_2d_4000020</t>
  </si>
  <si>
    <t>斯波尔</t>
  </si>
  <si>
    <t>hero_2d_4000021</t>
  </si>
  <si>
    <t>噗嘿洽克</t>
  </si>
  <si>
    <t>柯玛希</t>
  </si>
  <si>
    <t>hero_2d_4000023</t>
  </si>
  <si>
    <t>夏洛特·罗拉</t>
  </si>
  <si>
    <t>hero_2d_4000024</t>
  </si>
  <si>
    <t>噩梦路飞</t>
  </si>
  <si>
    <t>hero_2d_4000025</t>
  </si>
  <si>
    <t>帕帕格</t>
  </si>
  <si>
    <t>图鉴-帕帕格</t>
  </si>
  <si>
    <t>hero_2d_4000026</t>
  </si>
  <si>
    <t>凯米</t>
  </si>
  <si>
    <t>图鉴-凯米</t>
  </si>
  <si>
    <t>hero_2d_4000027</t>
  </si>
  <si>
    <t>芍奇</t>
  </si>
  <si>
    <t>图鉴-芍奇</t>
  </si>
  <si>
    <t>啥婆婆</t>
  </si>
  <si>
    <t>图鉴-啥婆婆</t>
  </si>
  <si>
    <t>罗杰</t>
  </si>
  <si>
    <t>图鉴</t>
  </si>
  <si>
    <t>hero_2d_4000030</t>
  </si>
  <si>
    <t>露玖</t>
  </si>
  <si>
    <t>hero_2d_4000031</t>
  </si>
  <si>
    <t>以藏</t>
  </si>
  <si>
    <t>hero_2d_4000032</t>
  </si>
  <si>
    <t>那缪尔</t>
  </si>
  <si>
    <t>hero_2d_4000033</t>
  </si>
  <si>
    <t>斯库亚德</t>
  </si>
  <si>
    <t>hero_2d_4000034</t>
  </si>
  <si>
    <t>小奥兹Jr.</t>
  </si>
  <si>
    <t>hero_2d_4000035</t>
  </si>
  <si>
    <t>达丹</t>
  </si>
  <si>
    <t>hero_2d_4000036</t>
  </si>
  <si>
    <t>拉菲特</t>
  </si>
  <si>
    <t>hero_2d_4000037</t>
  </si>
  <si>
    <t>巴吉思</t>
  </si>
  <si>
    <t>hero_2d_4000038</t>
  </si>
  <si>
    <t>左大臣</t>
  </si>
  <si>
    <t>hero_2d_4000039</t>
  </si>
  <si>
    <t>尼普顿</t>
  </si>
  <si>
    <t>hero_2d_4000040</t>
  </si>
  <si>
    <t>右大臣</t>
  </si>
  <si>
    <t>hero_2d_4000041</t>
  </si>
  <si>
    <t>白星</t>
  </si>
  <si>
    <t>hero_2d_4000042</t>
  </si>
  <si>
    <t>夏莉</t>
  </si>
  <si>
    <t>hero_2d_4000043</t>
  </si>
  <si>
    <t>鲛星</t>
  </si>
  <si>
    <t>hero_2d_4000044</t>
  </si>
  <si>
    <t>莫扎</t>
  </si>
  <si>
    <t>辛德</t>
  </si>
  <si>
    <t>盖茨</t>
  </si>
  <si>
    <t>hero_2d_4000050</t>
  </si>
  <si>
    <t>士兵先生</t>
  </si>
  <si>
    <t>hero_2d_4000051</t>
  </si>
  <si>
    <t>雷欧</t>
  </si>
  <si>
    <t>hero_2d_2274</t>
  </si>
  <si>
    <t>居鲁士</t>
  </si>
  <si>
    <t>hero_2d_2278</t>
  </si>
  <si>
    <t>赛诺尔</t>
  </si>
  <si>
    <t>战棋</t>
  </si>
  <si>
    <t>火炮海盗B-减速法师</t>
  </si>
  <si>
    <t>伊格拉姆</t>
  </si>
  <si>
    <t>Mr.1刺客</t>
  </si>
  <si>
    <t>Mr.2刺客</t>
  </si>
  <si>
    <t>Mr.3坦克</t>
  </si>
  <si>
    <t>辅助</t>
  </si>
  <si>
    <t>精英法师</t>
  </si>
</sst>
</file>

<file path=xl/styles.xml><?xml version="1.0" encoding="utf-8"?>
<styleSheet xmlns="http://schemas.openxmlformats.org/spreadsheetml/2006/main">
  <numFmts count="7">
    <numFmt numFmtId="44" formatCode="_ &quot;￥&quot;* #,##0.00_ ;_ &quot;￥&quot;* \-#,##0.00_ ;_ &quot;￥&quot;* &quot;-&quot;??_ ;_ @_ "/>
    <numFmt numFmtId="43" formatCode="_ * #,##0.00_ ;_ * \-#,##0.00_ ;_ * &quot;-&quot;??_ ;_ @_ "/>
    <numFmt numFmtId="176" formatCode="0_ "/>
    <numFmt numFmtId="42" formatCode="_ &quot;￥&quot;* #,##0_ ;_ &quot;￥&quot;* \-#,##0_ ;_ &quot;￥&quot;* &quot;-&quot;_ ;_ @_ "/>
    <numFmt numFmtId="41" formatCode="_ * #,##0_ ;_ * \-#,##0_ ;_ * &quot;-&quot;_ ;_ @_ "/>
    <numFmt numFmtId="177" formatCode="0_);[Red]\(0\)"/>
    <numFmt numFmtId="178" formatCode="0.000_ "/>
  </numFmts>
  <fonts count="40">
    <font>
      <sz val="11"/>
      <color theme="1"/>
      <name val="宋体"/>
      <charset val="134"/>
      <scheme val="minor"/>
    </font>
    <font>
      <sz val="11"/>
      <color rgb="FFC00000"/>
      <name val="宋体"/>
      <charset val="134"/>
      <scheme val="minor"/>
    </font>
    <font>
      <sz val="12"/>
      <color theme="1"/>
      <name val="宋体"/>
      <charset val="134"/>
    </font>
    <font>
      <sz val="11"/>
      <color theme="1"/>
      <name val="宋体"/>
      <charset val="134"/>
    </font>
    <font>
      <sz val="12"/>
      <name val="宋体"/>
      <charset val="134"/>
    </font>
    <font>
      <b/>
      <sz val="11"/>
      <color theme="1"/>
      <name val="宋体"/>
      <charset val="134"/>
      <scheme val="minor"/>
    </font>
    <font>
      <sz val="12"/>
      <color rgb="FFFF0000"/>
      <name val="宋体"/>
      <charset val="134"/>
    </font>
    <font>
      <sz val="11"/>
      <color rgb="FFFF0000"/>
      <name val="宋体"/>
      <charset val="134"/>
      <scheme val="minor"/>
    </font>
    <font>
      <sz val="11"/>
      <color indexed="8"/>
      <name val="宋体"/>
      <charset val="134"/>
    </font>
    <font>
      <sz val="10.5"/>
      <color rgb="FF111F2C"/>
      <name val="Segoe UI"/>
      <charset val="134"/>
    </font>
    <font>
      <sz val="10.5"/>
      <color rgb="FF171A1D"/>
      <name val="Segoe UI"/>
      <charset val="134"/>
    </font>
    <font>
      <sz val="10.5"/>
      <color rgb="FF171A1D"/>
      <name val="宋体"/>
      <charset val="134"/>
    </font>
    <font>
      <sz val="11"/>
      <color theme="1"/>
      <name val="等线"/>
      <charset val="134"/>
    </font>
    <font>
      <sz val="10"/>
      <color theme="1"/>
      <name val="微软雅黑"/>
      <charset val="134"/>
    </font>
    <font>
      <sz val="9"/>
      <color theme="1"/>
      <name val="微软雅黑"/>
      <charset val="134"/>
    </font>
    <font>
      <sz val="11"/>
      <color rgb="FF9C6500"/>
      <name val="宋体"/>
      <charset val="134"/>
      <scheme val="minor"/>
    </font>
    <font>
      <sz val="11"/>
      <color theme="0"/>
      <name val="宋体"/>
      <charset val="0"/>
      <scheme val="minor"/>
    </font>
    <font>
      <sz val="11"/>
      <color theme="1"/>
      <name val="宋体"/>
      <charset val="0"/>
      <scheme val="minor"/>
    </font>
    <font>
      <b/>
      <sz val="11"/>
      <color theme="1"/>
      <name val="宋体"/>
      <charset val="0"/>
      <scheme val="minor"/>
    </font>
    <font>
      <sz val="11"/>
      <color rgb="FF3F3F76"/>
      <name val="宋体"/>
      <charset val="0"/>
      <scheme val="minor"/>
    </font>
    <font>
      <b/>
      <sz val="11"/>
      <color theme="3"/>
      <name val="宋体"/>
      <charset val="134"/>
      <scheme val="minor"/>
    </font>
    <font>
      <sz val="11"/>
      <color rgb="FFFA7D00"/>
      <name val="宋体"/>
      <charset val="0"/>
      <scheme val="minor"/>
    </font>
    <font>
      <sz val="11"/>
      <color rgb="FF9C0006"/>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006100"/>
      <name val="宋体"/>
      <charset val="0"/>
      <scheme val="minor"/>
    </font>
    <font>
      <b/>
      <sz val="11"/>
      <color rgb="FFFA7D00"/>
      <name val="宋体"/>
      <charset val="0"/>
      <scheme val="minor"/>
    </font>
    <font>
      <b/>
      <sz val="11"/>
      <color rgb="FF3F3F3F"/>
      <name val="宋体"/>
      <charset val="0"/>
      <scheme val="minor"/>
    </font>
    <font>
      <b/>
      <sz val="11"/>
      <color rgb="FFFFFFFF"/>
      <name val="宋体"/>
      <charset val="0"/>
      <scheme val="minor"/>
    </font>
    <font>
      <sz val="6"/>
      <color theme="1"/>
      <name val="宋体"/>
      <charset val="134"/>
    </font>
    <font>
      <sz val="10"/>
      <color theme="1"/>
      <name val="宋体"/>
      <charset val="134"/>
    </font>
    <font>
      <sz val="12"/>
      <color rgb="FFC00000"/>
      <name val="宋体"/>
      <charset val="134"/>
    </font>
    <font>
      <sz val="11"/>
      <color rgb="FFC00000"/>
      <name val="宋体"/>
      <charset val="134"/>
    </font>
    <font>
      <b/>
      <sz val="9"/>
      <name val="宋体"/>
      <charset val="134"/>
    </font>
    <font>
      <sz val="9"/>
      <name val="宋体"/>
      <charset val="134"/>
    </font>
  </fonts>
  <fills count="52">
    <fill>
      <patternFill patternType="none"/>
    </fill>
    <fill>
      <patternFill patternType="gray125"/>
    </fill>
    <fill>
      <patternFill patternType="solid">
        <fgColor rgb="FF7DF4F7"/>
        <bgColor indexed="64"/>
      </patternFill>
    </fill>
    <fill>
      <patternFill patternType="solid">
        <fgColor rgb="FFF3D979"/>
        <bgColor indexed="64"/>
      </patternFill>
    </fill>
    <fill>
      <patternFill patternType="solid">
        <fgColor rgb="FFED4533"/>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0"/>
        <bgColor indexed="64"/>
      </patternFill>
    </fill>
    <fill>
      <patternFill patternType="solid">
        <fgColor theme="5" tint="0.6"/>
        <bgColor indexed="64"/>
      </patternFill>
    </fill>
    <fill>
      <patternFill patternType="solid">
        <fgColor theme="9" tint="0.599993896298105"/>
        <bgColor indexed="64"/>
      </patternFill>
    </fill>
    <fill>
      <patternFill patternType="solid">
        <fgColor theme="4" tint="0.799340800195319"/>
        <bgColor indexed="64"/>
      </patternFill>
    </fill>
    <fill>
      <patternFill patternType="solid">
        <fgColor theme="0" tint="-0.349986266670736"/>
        <bgColor indexed="64"/>
      </patternFill>
    </fill>
    <fill>
      <patternFill patternType="solid">
        <fgColor rgb="FF92D050"/>
        <bgColor indexed="64"/>
      </patternFill>
    </fill>
    <fill>
      <patternFill patternType="solid">
        <fgColor rgb="FFFFC000"/>
        <bgColor indexed="64"/>
      </patternFill>
    </fill>
    <fill>
      <patternFill patternType="solid">
        <fgColor theme="5" tint="-0.249977111117893"/>
        <bgColor indexed="64"/>
      </patternFill>
    </fill>
    <fill>
      <patternFill patternType="solid">
        <fgColor theme="7" tint="0.6"/>
        <bgColor indexed="64"/>
      </patternFill>
    </fill>
    <fill>
      <patternFill patternType="solid">
        <fgColor theme="4" tint="0.599993896298105"/>
        <bgColor indexed="64"/>
      </patternFill>
    </fill>
    <fill>
      <patternFill patternType="solid">
        <fgColor theme="4" tint="0.399365215002899"/>
        <bgColor indexed="64"/>
      </patternFill>
    </fill>
    <fill>
      <patternFill patternType="solid">
        <fgColor theme="4" tint="0.399334696493423"/>
        <bgColor indexed="64"/>
      </patternFill>
    </fill>
    <fill>
      <patternFill patternType="solid">
        <fgColor theme="4" tint="0.397686696981719"/>
        <bgColor indexed="64"/>
      </patternFill>
    </fill>
    <fill>
      <patternFill patternType="solid">
        <fgColor rgb="FF99D4F1"/>
        <bgColor indexed="64"/>
      </patternFill>
    </fill>
    <fill>
      <patternFill patternType="solid">
        <fgColor theme="0" tint="-0.3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rgb="FFFFEB9C"/>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7"/>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9"/>
        <bgColor indexed="64"/>
      </patternFill>
    </fill>
    <fill>
      <patternFill patternType="solid">
        <fgColor theme="7" tint="0.799981688894314"/>
        <bgColor indexed="64"/>
      </patternFill>
    </fill>
    <fill>
      <patternFill patternType="solid">
        <fgColor theme="6"/>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FFFFCC"/>
        <bgColor indexed="64"/>
      </patternFill>
    </fill>
    <fill>
      <patternFill patternType="solid">
        <fgColor theme="8" tint="0.799981688894314"/>
        <bgColor indexed="64"/>
      </patternFill>
    </fill>
    <fill>
      <patternFill patternType="solid">
        <fgColor rgb="FFC6EFCE"/>
        <bgColor indexed="64"/>
      </patternFill>
    </fill>
    <fill>
      <patternFill patternType="solid">
        <fgColor rgb="FFF2F2F2"/>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4"/>
        <bgColor indexed="64"/>
      </patternFill>
    </fill>
    <fill>
      <patternFill patternType="solid">
        <fgColor rgb="FFA5A5A5"/>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51">
    <xf numFmtId="0" fontId="0" fillId="0" borderId="0"/>
    <xf numFmtId="42" fontId="0" fillId="0" borderId="0">
      <alignment vertical="center"/>
    </xf>
    <xf numFmtId="0" fontId="17" fillId="30" borderId="0">
      <alignment vertical="center"/>
    </xf>
    <xf numFmtId="0" fontId="19" fillId="28" borderId="3">
      <alignment vertical="center"/>
    </xf>
    <xf numFmtId="44" fontId="0" fillId="0" borderId="0">
      <alignment vertical="center"/>
    </xf>
    <xf numFmtId="41" fontId="0" fillId="0" borderId="0">
      <alignment vertical="center"/>
    </xf>
    <xf numFmtId="0" fontId="17" fillId="27" borderId="0">
      <alignment vertical="center"/>
    </xf>
    <xf numFmtId="0" fontId="22" fillId="34" borderId="0">
      <alignment vertical="center"/>
    </xf>
    <xf numFmtId="43" fontId="0" fillId="0" borderId="0">
      <alignment vertical="center"/>
    </xf>
    <xf numFmtId="0" fontId="16" fillId="33" borderId="0">
      <alignment vertical="center"/>
    </xf>
    <xf numFmtId="0" fontId="23" fillId="0" borderId="0">
      <alignment vertical="center"/>
    </xf>
    <xf numFmtId="9" fontId="0" fillId="0" borderId="0">
      <alignment vertical="center"/>
    </xf>
    <xf numFmtId="0" fontId="24" fillId="0" borderId="0">
      <alignment vertical="center"/>
    </xf>
    <xf numFmtId="0" fontId="0" fillId="40" borderId="5">
      <alignment vertical="center"/>
    </xf>
    <xf numFmtId="0" fontId="16" fillId="26" borderId="0">
      <alignment vertical="center"/>
    </xf>
    <xf numFmtId="0" fontId="20" fillId="0" borderId="0">
      <alignment vertical="center"/>
    </xf>
    <xf numFmtId="0" fontId="25" fillId="0" borderId="0">
      <alignment vertical="center"/>
    </xf>
    <xf numFmtId="0" fontId="26" fillId="0" borderId="0">
      <alignment vertical="center"/>
    </xf>
    <xf numFmtId="0" fontId="27" fillId="0" borderId="0">
      <alignment vertical="center"/>
    </xf>
    <xf numFmtId="0" fontId="28" fillId="0" borderId="6">
      <alignment vertical="center"/>
    </xf>
    <xf numFmtId="0" fontId="29" fillId="0" borderId="6">
      <alignment vertical="center"/>
    </xf>
    <xf numFmtId="0" fontId="16" fillId="32" borderId="0">
      <alignment vertical="center"/>
    </xf>
    <xf numFmtId="0" fontId="20" fillId="0" borderId="7">
      <alignment vertical="center"/>
    </xf>
    <xf numFmtId="0" fontId="16" fillId="44" borderId="0">
      <alignment vertical="center"/>
    </xf>
    <xf numFmtId="0" fontId="32" fillId="43" borderId="8">
      <alignment vertical="center"/>
    </xf>
    <xf numFmtId="0" fontId="31" fillId="43" borderId="3">
      <alignment vertical="center"/>
    </xf>
    <xf numFmtId="0" fontId="33" fillId="47" borderId="9">
      <alignment vertical="center"/>
    </xf>
    <xf numFmtId="0" fontId="17" fillId="31" borderId="0">
      <alignment vertical="center"/>
    </xf>
    <xf numFmtId="0" fontId="16" fillId="48" borderId="0">
      <alignment vertical="center"/>
    </xf>
    <xf numFmtId="0" fontId="21" fillId="0" borderId="4">
      <alignment vertical="center"/>
    </xf>
    <xf numFmtId="0" fontId="18" fillId="0" borderId="2">
      <alignment vertical="center"/>
    </xf>
    <xf numFmtId="0" fontId="30" fillId="42" borderId="0">
      <alignment vertical="center"/>
    </xf>
    <xf numFmtId="0" fontId="15" fillId="25" borderId="0">
      <alignment vertical="center"/>
    </xf>
    <xf numFmtId="0" fontId="17" fillId="41" borderId="0">
      <alignment vertical="center"/>
    </xf>
    <xf numFmtId="0" fontId="16" fillId="46" borderId="0">
      <alignment vertical="center"/>
    </xf>
    <xf numFmtId="0" fontId="17" fillId="39" borderId="0">
      <alignment vertical="center"/>
    </xf>
    <xf numFmtId="0" fontId="17" fillId="17" borderId="0">
      <alignment vertical="center"/>
    </xf>
    <xf numFmtId="0" fontId="17" fillId="50" borderId="0">
      <alignment vertical="center"/>
    </xf>
    <xf numFmtId="0" fontId="17" fillId="38" borderId="0">
      <alignment vertical="center"/>
    </xf>
    <xf numFmtId="0" fontId="16" fillId="37" borderId="0">
      <alignment vertical="center"/>
    </xf>
    <xf numFmtId="0" fontId="16" fillId="29" borderId="0">
      <alignment vertical="center"/>
    </xf>
    <xf numFmtId="0" fontId="17" fillId="36" borderId="0">
      <alignment vertical="center"/>
    </xf>
    <xf numFmtId="0" fontId="17" fillId="45" borderId="0">
      <alignment vertical="center"/>
    </xf>
    <xf numFmtId="0" fontId="16" fillId="49" borderId="0">
      <alignment vertical="center"/>
    </xf>
    <xf numFmtId="0" fontId="17" fillId="24" borderId="0">
      <alignment vertical="center"/>
    </xf>
    <xf numFmtId="0" fontId="16" fillId="23" borderId="0">
      <alignment vertical="center"/>
    </xf>
    <xf numFmtId="0" fontId="16" fillId="35" borderId="0">
      <alignment vertical="center"/>
    </xf>
    <xf numFmtId="0" fontId="17" fillId="10" borderId="0">
      <alignment vertical="center"/>
    </xf>
    <xf numFmtId="0" fontId="16" fillId="51" borderId="0">
      <alignment vertical="center"/>
    </xf>
    <xf numFmtId="0" fontId="8" fillId="0" borderId="0">
      <alignment vertical="center"/>
    </xf>
    <xf numFmtId="0" fontId="0" fillId="0" borderId="0"/>
  </cellStyleXfs>
  <cellXfs count="180">
    <xf numFmtId="0" fontId="0" fillId="0" borderId="0" xfId="0" applyNumberFormat="1" applyFont="1" applyFill="1" applyBorder="1" applyProtection="1"/>
    <xf numFmtId="177" fontId="0" fillId="0" borderId="0" xfId="0" applyNumberFormat="1" applyFont="1" applyFill="1" applyBorder="1" applyProtection="1"/>
    <xf numFmtId="0" fontId="0" fillId="2" borderId="0" xfId="0" applyNumberFormat="1" applyFont="1" applyFill="1" applyBorder="1" applyProtection="1"/>
    <xf numFmtId="0" fontId="0" fillId="3" borderId="0" xfId="0" applyNumberFormat="1" applyFont="1" applyFill="1" applyBorder="1" applyProtection="1"/>
    <xf numFmtId="0" fontId="1" fillId="3" borderId="0" xfId="0" applyNumberFormat="1" applyFont="1" applyFill="1" applyBorder="1" applyProtection="1"/>
    <xf numFmtId="0" fontId="0" fillId="4" borderId="0" xfId="0" applyNumberFormat="1" applyFont="1" applyFill="1" applyBorder="1" applyProtection="1"/>
    <xf numFmtId="0" fontId="0" fillId="5" borderId="0" xfId="0" applyNumberFormat="1" applyFont="1" applyFill="1" applyBorder="1" applyProtection="1"/>
    <xf numFmtId="0" fontId="0" fillId="6" borderId="0" xfId="0" applyNumberFormat="1" applyFont="1" applyFill="1" applyBorder="1" applyProtection="1"/>
    <xf numFmtId="0" fontId="0" fillId="7" borderId="0" xfId="0" applyNumberFormat="1" applyFont="1" applyFill="1" applyBorder="1" applyProtection="1"/>
    <xf numFmtId="0" fontId="0" fillId="0" borderId="0" xfId="0" applyNumberFormat="1" applyFont="1" applyFill="1" applyBorder="1" applyAlignment="1" applyProtection="1">
      <alignment vertical="center"/>
    </xf>
    <xf numFmtId="0" fontId="0" fillId="8" borderId="0" xfId="0" applyNumberFormat="1" applyFont="1" applyFill="1" applyBorder="1" applyProtection="1"/>
    <xf numFmtId="0" fontId="0" fillId="9" borderId="0" xfId="0" applyNumberFormat="1" applyFont="1" applyFill="1" applyBorder="1" applyProtection="1"/>
    <xf numFmtId="0" fontId="0" fillId="10" borderId="0" xfId="0" applyNumberFormat="1" applyFont="1" applyFill="1" applyBorder="1" applyProtection="1"/>
    <xf numFmtId="0" fontId="0" fillId="0" borderId="0" xfId="0" applyNumberFormat="1" applyFont="1" applyFill="1" applyBorder="1" applyAlignment="1" applyProtection="1">
      <alignment horizontal="left"/>
    </xf>
    <xf numFmtId="0" fontId="2" fillId="0" borderId="0" xfId="0" applyNumberFormat="1" applyFont="1" applyFill="1" applyBorder="1" applyAlignment="1" applyProtection="1">
      <alignment horizontal="left" vertical="center"/>
    </xf>
    <xf numFmtId="0" fontId="0" fillId="11" borderId="0" xfId="35" applyNumberFormat="1" applyFont="1" applyFill="1" applyBorder="1" applyAlignment="1" applyProtection="1">
      <alignment horizontal="left"/>
    </xf>
    <xf numFmtId="0" fontId="0" fillId="11" borderId="0" xfId="35" applyNumberFormat="1" applyFont="1" applyFill="1" applyBorder="1" applyAlignment="1" applyProtection="1"/>
    <xf numFmtId="49" fontId="0" fillId="0" borderId="0" xfId="0" applyNumberFormat="1" applyFont="1" applyFill="1" applyBorder="1" applyProtection="1"/>
    <xf numFmtId="49" fontId="0" fillId="0" borderId="0" xfId="0" applyNumberFormat="1" applyFont="1" applyFill="1" applyBorder="1" applyAlignment="1" applyProtection="1">
      <alignment horizontal="left"/>
    </xf>
    <xf numFmtId="177" fontId="0" fillId="12" borderId="0" xfId="0" applyNumberFormat="1" applyFont="1" applyFill="1" applyBorder="1" applyProtection="1"/>
    <xf numFmtId="0" fontId="0" fillId="0" borderId="0" xfId="0" applyNumberFormat="1" applyFont="1" applyFill="1" applyBorder="1" applyAlignment="1" applyProtection="1">
      <alignment wrapText="1"/>
    </xf>
    <xf numFmtId="0" fontId="3" fillId="0" borderId="0" xfId="0" applyNumberFormat="1" applyFont="1" applyFill="1" applyBorder="1" applyAlignment="1" applyProtection="1">
      <alignment wrapText="1"/>
    </xf>
    <xf numFmtId="0" fontId="3" fillId="0" borderId="0" xfId="0" applyNumberFormat="1" applyFont="1" applyFill="1" applyBorder="1" applyProtection="1"/>
    <xf numFmtId="0" fontId="0" fillId="2" borderId="0" xfId="0" applyNumberFormat="1" applyFont="1" applyFill="1" applyBorder="1" applyAlignment="1" applyProtection="1">
      <alignment vertical="center"/>
    </xf>
    <xf numFmtId="0" fontId="4" fillId="3" borderId="0" xfId="0" applyNumberFormat="1" applyFont="1" applyFill="1" applyBorder="1" applyAlignment="1" applyProtection="1">
      <alignment vertical="center"/>
    </xf>
    <xf numFmtId="0" fontId="0" fillId="13" borderId="0" xfId="0" applyNumberFormat="1" applyFont="1" applyFill="1" applyBorder="1" applyAlignment="1" applyProtection="1">
      <alignment vertical="center"/>
    </xf>
    <xf numFmtId="0" fontId="0" fillId="14" borderId="0" xfId="0" applyNumberFormat="1" applyFont="1" applyFill="1" applyBorder="1" applyAlignment="1" applyProtection="1">
      <alignment vertical="center"/>
    </xf>
    <xf numFmtId="0" fontId="0" fillId="3" borderId="0" xfId="0" applyNumberFormat="1" applyFont="1" applyFill="1" applyBorder="1" applyAlignment="1" applyProtection="1">
      <alignment vertical="center"/>
    </xf>
    <xf numFmtId="0" fontId="0" fillId="4" borderId="0" xfId="0" applyNumberFormat="1" applyFont="1" applyFill="1" applyBorder="1" applyAlignment="1" applyProtection="1">
      <alignment vertical="center"/>
    </xf>
    <xf numFmtId="177" fontId="0" fillId="0" borderId="0" xfId="0" applyNumberFormat="1" applyFont="1" applyFill="1" applyBorder="1" applyAlignment="1" applyProtection="1">
      <alignment horizontal="left"/>
    </xf>
    <xf numFmtId="49" fontId="0" fillId="2" borderId="0" xfId="0" applyNumberFormat="1" applyFont="1" applyFill="1" applyBorder="1" applyAlignment="1" applyProtection="1">
      <alignment horizontal="left"/>
    </xf>
    <xf numFmtId="0" fontId="4" fillId="2" borderId="0" xfId="0" applyNumberFormat="1" applyFont="1" applyFill="1" applyBorder="1" applyAlignment="1" applyProtection="1">
      <alignment vertical="center"/>
    </xf>
    <xf numFmtId="0" fontId="2" fillId="2" borderId="0" xfId="0" applyNumberFormat="1" applyFont="1" applyFill="1" applyBorder="1" applyAlignment="1" applyProtection="1">
      <alignment horizontal="left" vertical="center"/>
    </xf>
    <xf numFmtId="49" fontId="0" fillId="2" borderId="0" xfId="0" applyNumberFormat="1" applyFont="1" applyFill="1" applyBorder="1" applyProtection="1"/>
    <xf numFmtId="0" fontId="0" fillId="2" borderId="0" xfId="0" applyNumberFormat="1" applyFont="1" applyFill="1" applyBorder="1" applyAlignment="1" applyProtection="1">
      <alignment horizontal="left"/>
    </xf>
    <xf numFmtId="49" fontId="0" fillId="3" borderId="0" xfId="0" applyNumberFormat="1" applyFont="1" applyFill="1" applyBorder="1" applyProtection="1"/>
    <xf numFmtId="0" fontId="2" fillId="3" borderId="0" xfId="0" applyNumberFormat="1" applyFont="1" applyFill="1" applyBorder="1" applyAlignment="1" applyProtection="1">
      <alignment horizontal="left" vertical="center"/>
    </xf>
    <xf numFmtId="49" fontId="4" fillId="3" borderId="0" xfId="0" applyNumberFormat="1" applyFont="1" applyFill="1" applyBorder="1" applyAlignment="1" applyProtection="1">
      <alignment vertical="center"/>
    </xf>
    <xf numFmtId="0" fontId="5" fillId="2" borderId="0" xfId="0" applyNumberFormat="1" applyFont="1" applyFill="1" applyBorder="1" applyProtection="1"/>
    <xf numFmtId="0" fontId="0" fillId="3" borderId="0" xfId="0" applyNumberFormat="1" applyFont="1" applyFill="1" applyBorder="1" applyAlignment="1" applyProtection="1">
      <alignment horizontal="left"/>
    </xf>
    <xf numFmtId="49" fontId="0" fillId="4" borderId="0" xfId="0" applyNumberFormat="1" applyFont="1" applyFill="1" applyBorder="1" applyProtection="1"/>
    <xf numFmtId="0" fontId="4" fillId="4" borderId="0" xfId="0" applyNumberFormat="1" applyFont="1" applyFill="1" applyBorder="1" applyAlignment="1" applyProtection="1">
      <alignment vertical="center"/>
    </xf>
    <xf numFmtId="0" fontId="2" fillId="4" borderId="0" xfId="0" applyNumberFormat="1" applyFont="1" applyFill="1" applyBorder="1" applyAlignment="1" applyProtection="1">
      <alignment horizontal="left" vertical="center"/>
    </xf>
    <xf numFmtId="177" fontId="2" fillId="0" borderId="0" xfId="0" applyNumberFormat="1" applyFont="1" applyFill="1" applyBorder="1" applyAlignment="1" applyProtection="1">
      <alignment horizontal="left" vertical="center"/>
    </xf>
    <xf numFmtId="0" fontId="2" fillId="0" borderId="0" xfId="0" applyNumberFormat="1" applyFont="1" applyFill="1" applyBorder="1" applyAlignment="1" applyProtection="1">
      <alignment horizontal="left" vertical="center" wrapText="1"/>
    </xf>
    <xf numFmtId="0" fontId="6" fillId="2" borderId="0" xfId="0" applyNumberFormat="1" applyFont="1" applyFill="1" applyBorder="1" applyAlignment="1" applyProtection="1">
      <alignment vertical="center"/>
    </xf>
    <xf numFmtId="0" fontId="6" fillId="3" borderId="0" xfId="0" applyNumberFormat="1" applyFont="1" applyFill="1" applyBorder="1" applyAlignment="1" applyProtection="1">
      <alignment vertical="center"/>
    </xf>
    <xf numFmtId="0" fontId="7" fillId="3" borderId="0" xfId="0" applyNumberFormat="1" applyFont="1" applyFill="1" applyBorder="1" applyProtection="1"/>
    <xf numFmtId="177" fontId="0" fillId="11" borderId="0" xfId="35" applyNumberFormat="1" applyFont="1" applyFill="1" applyBorder="1" applyAlignment="1" applyProtection="1">
      <alignment horizontal="left"/>
    </xf>
    <xf numFmtId="0" fontId="8" fillId="2" borderId="0" xfId="49" applyNumberFormat="1" applyFont="1" applyFill="1" applyBorder="1" applyAlignment="1" applyProtection="1"/>
    <xf numFmtId="0" fontId="8" fillId="2" borderId="0" xfId="49" applyNumberFormat="1" applyFont="1" applyFill="1" applyBorder="1" applyAlignment="1" applyProtection="1">
      <alignment horizontal="left"/>
    </xf>
    <xf numFmtId="0" fontId="8" fillId="3" borderId="0" xfId="49" applyNumberFormat="1" applyFont="1" applyFill="1" applyBorder="1" applyAlignment="1" applyProtection="1"/>
    <xf numFmtId="0" fontId="8" fillId="3" borderId="0" xfId="49" applyNumberFormat="1" applyFont="1" applyFill="1" applyBorder="1" applyAlignment="1" applyProtection="1">
      <alignment horizontal="left"/>
    </xf>
    <xf numFmtId="0" fontId="8" fillId="0" borderId="0" xfId="49" applyNumberFormat="1" applyFont="1" applyFill="1" applyBorder="1" applyAlignment="1" applyProtection="1"/>
    <xf numFmtId="0" fontId="8" fillId="4" borderId="0" xfId="49" applyNumberFormat="1" applyFont="1" applyFill="1" applyBorder="1" applyAlignment="1" applyProtection="1"/>
    <xf numFmtId="0" fontId="8" fillId="4" borderId="0" xfId="49" applyNumberFormat="1" applyFont="1" applyFill="1" applyBorder="1" applyAlignment="1" applyProtection="1">
      <alignment horizontal="left"/>
    </xf>
    <xf numFmtId="177" fontId="0" fillId="11" borderId="0" xfId="35" applyNumberFormat="1" applyFont="1" applyFill="1" applyBorder="1" applyAlignment="1" applyProtection="1"/>
    <xf numFmtId="0" fontId="3" fillId="0" borderId="0" xfId="0" applyNumberFormat="1" applyFont="1" applyFill="1" applyBorder="1" applyAlignment="1" applyProtection="1">
      <alignment vertical="center"/>
    </xf>
    <xf numFmtId="0" fontId="0" fillId="2" borderId="0" xfId="35" applyNumberFormat="1" applyFont="1" applyFill="1" applyBorder="1" applyAlignment="1" applyProtection="1">
      <alignment horizontal="left"/>
    </xf>
    <xf numFmtId="0" fontId="0" fillId="2" borderId="0" xfId="35" applyNumberFormat="1" applyFont="1" applyFill="1" applyBorder="1" applyAlignment="1" applyProtection="1"/>
    <xf numFmtId="0" fontId="0" fillId="3" borderId="0" xfId="35" applyNumberFormat="1" applyFont="1" applyFill="1" applyBorder="1" applyAlignment="1" applyProtection="1">
      <alignment horizontal="left"/>
    </xf>
    <xf numFmtId="0" fontId="0" fillId="3" borderId="0" xfId="35" applyNumberFormat="1" applyFont="1" applyFill="1" applyBorder="1" applyAlignment="1" applyProtection="1"/>
    <xf numFmtId="0" fontId="0" fillId="4" borderId="0" xfId="35" applyNumberFormat="1" applyFont="1" applyFill="1" applyBorder="1" applyAlignment="1" applyProtection="1">
      <alignment horizontal="left"/>
    </xf>
    <xf numFmtId="0" fontId="0" fillId="4" borderId="0" xfId="35" applyNumberFormat="1" applyFont="1" applyFill="1" applyBorder="1" applyAlignment="1" applyProtection="1"/>
    <xf numFmtId="0" fontId="0" fillId="0" borderId="0" xfId="0" applyNumberFormat="1" applyFont="1" applyFill="1" applyBorder="1" applyAlignment="1" applyProtection="1">
      <alignment vertical="center" wrapText="1"/>
    </xf>
    <xf numFmtId="49" fontId="3" fillId="11" borderId="0" xfId="35" applyNumberFormat="1" applyFont="1" applyFill="1" applyBorder="1" applyAlignment="1" applyProtection="1">
      <alignment wrapText="1"/>
    </xf>
    <xf numFmtId="49" fontId="0" fillId="11" borderId="0" xfId="35" applyNumberFormat="1" applyFont="1" applyFill="1" applyBorder="1" applyAlignment="1" applyProtection="1"/>
    <xf numFmtId="49" fontId="0" fillId="11" borderId="0" xfId="35" applyNumberFormat="1" applyFont="1" applyFill="1" applyBorder="1" applyAlignment="1" applyProtection="1">
      <alignment horizontal="left"/>
    </xf>
    <xf numFmtId="49" fontId="3" fillId="11" borderId="0" xfId="35" applyNumberFormat="1" applyFont="1" applyFill="1" applyBorder="1" applyAlignment="1" applyProtection="1"/>
    <xf numFmtId="49" fontId="0" fillId="2" borderId="0" xfId="50" applyNumberFormat="1" applyFont="1" applyFill="1" applyBorder="1" applyProtection="1"/>
    <xf numFmtId="49" fontId="0" fillId="3" borderId="0" xfId="50" applyNumberFormat="1" applyFont="1" applyFill="1" applyBorder="1" applyProtection="1"/>
    <xf numFmtId="49" fontId="0" fillId="3" borderId="0" xfId="0" applyNumberFormat="1" applyFont="1" applyFill="1" applyBorder="1" applyAlignment="1" applyProtection="1">
      <alignment horizontal="left"/>
    </xf>
    <xf numFmtId="49" fontId="0" fillId="4" borderId="0" xfId="50" applyNumberFormat="1" applyFont="1" applyFill="1" applyBorder="1" applyProtection="1"/>
    <xf numFmtId="49" fontId="0" fillId="4" borderId="0" xfId="0" applyNumberFormat="1" applyFont="1" applyFill="1" applyBorder="1" applyAlignment="1" applyProtection="1">
      <alignment horizontal="left"/>
    </xf>
    <xf numFmtId="0" fontId="9" fillId="0" borderId="0" xfId="0" applyNumberFormat="1" applyFont="1" applyFill="1" applyBorder="1" applyProtection="1"/>
    <xf numFmtId="49" fontId="3" fillId="0" borderId="0" xfId="0" applyNumberFormat="1" applyFont="1" applyFill="1" applyBorder="1" applyAlignment="1" applyProtection="1">
      <alignment horizontal="left"/>
    </xf>
    <xf numFmtId="49" fontId="3" fillId="11" borderId="0" xfId="35" applyNumberFormat="1" applyFont="1" applyFill="1" applyBorder="1" applyAlignment="1" applyProtection="1">
      <alignment horizontal="left"/>
    </xf>
    <xf numFmtId="0" fontId="5" fillId="3" borderId="0" xfId="0" applyNumberFormat="1" applyFont="1" applyFill="1" applyBorder="1" applyProtection="1"/>
    <xf numFmtId="0" fontId="0" fillId="4" borderId="0" xfId="0" applyNumberFormat="1" applyFont="1" applyFill="1" applyBorder="1" applyAlignment="1" applyProtection="1">
      <alignment horizontal="left"/>
    </xf>
    <xf numFmtId="0" fontId="0" fillId="15" borderId="0" xfId="0" applyNumberFormat="1" applyFont="1" applyFill="1" applyBorder="1" applyAlignment="1" applyProtection="1">
      <alignment vertical="center"/>
    </xf>
    <xf numFmtId="0" fontId="0" fillId="16" borderId="0" xfId="0" applyNumberFormat="1" applyFont="1" applyFill="1" applyBorder="1" applyProtection="1"/>
    <xf numFmtId="0" fontId="10" fillId="4" borderId="0" xfId="0" applyNumberFormat="1" applyFont="1" applyFill="1" applyBorder="1" applyProtection="1"/>
    <xf numFmtId="0" fontId="11" fillId="4" borderId="0" xfId="0" applyNumberFormat="1" applyFont="1" applyFill="1" applyBorder="1" applyProtection="1"/>
    <xf numFmtId="0" fontId="0" fillId="6" borderId="0" xfId="0" applyNumberFormat="1" applyFont="1" applyFill="1" applyBorder="1" applyAlignment="1" applyProtection="1">
      <alignment vertical="center"/>
    </xf>
    <xf numFmtId="0" fontId="0" fillId="5" borderId="0" xfId="0" applyNumberFormat="1" applyFont="1" applyFill="1" applyBorder="1" applyAlignment="1" applyProtection="1">
      <alignment horizontal="left"/>
    </xf>
    <xf numFmtId="49" fontId="0" fillId="6" borderId="0" xfId="0" applyNumberFormat="1" applyFont="1" applyFill="1" applyBorder="1" applyProtection="1"/>
    <xf numFmtId="0" fontId="4" fillId="6" borderId="0" xfId="0" applyNumberFormat="1" applyFont="1" applyFill="1" applyBorder="1" applyAlignment="1" applyProtection="1">
      <alignment vertical="center"/>
    </xf>
    <xf numFmtId="0" fontId="2" fillId="6" borderId="0" xfId="0" applyNumberFormat="1" applyFont="1" applyFill="1" applyBorder="1" applyAlignment="1" applyProtection="1">
      <alignment horizontal="left" vertical="center"/>
    </xf>
    <xf numFmtId="0" fontId="4" fillId="0" borderId="0" xfId="0" applyNumberFormat="1" applyFont="1" applyFill="1" applyBorder="1" applyAlignment="1" applyProtection="1">
      <alignment vertical="center"/>
    </xf>
    <xf numFmtId="0" fontId="12" fillId="0" borderId="0" xfId="0" applyNumberFormat="1" applyFont="1" applyFill="1" applyBorder="1" applyAlignment="1" applyProtection="1">
      <alignment vertical="center"/>
    </xf>
    <xf numFmtId="0" fontId="8" fillId="5" borderId="0" xfId="49" applyNumberFormat="1" applyFont="1" applyFill="1" applyBorder="1" applyAlignment="1" applyProtection="1"/>
    <xf numFmtId="0" fontId="8" fillId="5" borderId="0" xfId="49" applyNumberFormat="1" applyFont="1" applyFill="1" applyBorder="1" applyAlignment="1" applyProtection="1">
      <alignment horizontal="left"/>
    </xf>
    <xf numFmtId="0" fontId="8" fillId="6" borderId="0" xfId="49" applyNumberFormat="1" applyFont="1" applyFill="1" applyBorder="1" applyAlignment="1" applyProtection="1"/>
    <xf numFmtId="0" fontId="8" fillId="6" borderId="0" xfId="49" applyNumberFormat="1" applyFont="1" applyFill="1" applyBorder="1" applyAlignment="1" applyProtection="1">
      <alignment horizontal="left"/>
    </xf>
    <xf numFmtId="0" fontId="0" fillId="0" borderId="0" xfId="35" applyNumberFormat="1" applyFont="1" applyFill="1" applyBorder="1" applyAlignment="1" applyProtection="1">
      <alignment horizontal="left"/>
    </xf>
    <xf numFmtId="0" fontId="0" fillId="4" borderId="0" xfId="0" applyNumberFormat="1" applyFont="1" applyFill="1" applyBorder="1" applyProtection="1">
      <protection locked="0"/>
    </xf>
    <xf numFmtId="0" fontId="0" fillId="5" borderId="0" xfId="35" applyNumberFormat="1" applyFont="1" applyFill="1" applyBorder="1" applyAlignment="1" applyProtection="1">
      <alignment horizontal="left"/>
    </xf>
    <xf numFmtId="0" fontId="0" fillId="5" borderId="0" xfId="35" applyNumberFormat="1" applyFont="1" applyFill="1" applyBorder="1" applyAlignment="1" applyProtection="1"/>
    <xf numFmtId="0" fontId="0" fillId="0" borderId="0" xfId="35" applyNumberFormat="1" applyFont="1" applyFill="1" applyBorder="1" applyAlignment="1" applyProtection="1"/>
    <xf numFmtId="49" fontId="0" fillId="5" borderId="0" xfId="50" applyNumberFormat="1" applyFont="1" applyFill="1" applyBorder="1" applyProtection="1"/>
    <xf numFmtId="0" fontId="4" fillId="5" borderId="0" xfId="0" applyNumberFormat="1" applyFont="1" applyFill="1" applyBorder="1" applyAlignment="1" applyProtection="1">
      <alignment vertical="center"/>
    </xf>
    <xf numFmtId="49" fontId="0" fillId="5" borderId="0" xfId="0" applyNumberFormat="1" applyFont="1" applyFill="1" applyBorder="1" applyAlignment="1" applyProtection="1">
      <alignment horizontal="left"/>
    </xf>
    <xf numFmtId="49" fontId="0" fillId="6" borderId="0" xfId="50" applyNumberFormat="1" applyFont="1" applyFill="1" applyBorder="1" applyProtection="1"/>
    <xf numFmtId="49" fontId="0" fillId="6" borderId="0" xfId="0" applyNumberFormat="1" applyFont="1" applyFill="1" applyBorder="1" applyAlignment="1" applyProtection="1">
      <alignment horizontal="left"/>
    </xf>
    <xf numFmtId="0" fontId="0" fillId="4" borderId="0" xfId="0" applyNumberFormat="1" applyFont="1" applyFill="1" applyBorder="1" applyAlignment="1" applyProtection="1">
      <alignment wrapText="1"/>
    </xf>
    <xf numFmtId="0" fontId="0" fillId="6" borderId="0" xfId="0" applyNumberFormat="1" applyFont="1" applyFill="1" applyBorder="1" applyAlignment="1" applyProtection="1">
      <alignment horizontal="left"/>
    </xf>
    <xf numFmtId="0" fontId="0" fillId="7" borderId="0" xfId="0" applyNumberFormat="1" applyFont="1" applyFill="1" applyBorder="1" applyAlignment="1" applyProtection="1">
      <alignment vertical="center"/>
    </xf>
    <xf numFmtId="0" fontId="8" fillId="0" borderId="0" xfId="49" applyNumberFormat="1" applyFont="1" applyFill="1" applyBorder="1" applyAlignment="1" applyProtection="1">
      <alignment vertical="center"/>
    </xf>
    <xf numFmtId="49" fontId="0" fillId="7" borderId="0" xfId="0" applyNumberFormat="1" applyFont="1" applyFill="1" applyBorder="1" applyProtection="1"/>
    <xf numFmtId="0" fontId="4" fillId="7" borderId="0" xfId="0" applyNumberFormat="1" applyFont="1" applyFill="1" applyBorder="1" applyAlignment="1" applyProtection="1">
      <alignment vertical="center"/>
    </xf>
    <xf numFmtId="0" fontId="12" fillId="7" borderId="0" xfId="0" applyNumberFormat="1" applyFont="1" applyFill="1" applyBorder="1" applyAlignment="1" applyProtection="1">
      <alignment vertical="center"/>
    </xf>
    <xf numFmtId="0" fontId="8" fillId="7" borderId="0" xfId="49" applyNumberFormat="1" applyFont="1" applyFill="1" applyBorder="1" applyAlignment="1" applyProtection="1"/>
    <xf numFmtId="0" fontId="0" fillId="7" borderId="0" xfId="35" applyNumberFormat="1" applyFont="1" applyFill="1" applyBorder="1" applyAlignment="1" applyProtection="1">
      <alignment horizontal="left"/>
    </xf>
    <xf numFmtId="0" fontId="0" fillId="7" borderId="0" xfId="35" applyNumberFormat="1" applyFont="1" applyFill="1" applyBorder="1" applyAlignment="1" applyProtection="1"/>
    <xf numFmtId="49" fontId="0" fillId="7" borderId="0" xfId="0" applyNumberFormat="1" applyFont="1" applyFill="1" applyBorder="1" applyAlignment="1" applyProtection="1">
      <alignment horizontal="left"/>
    </xf>
    <xf numFmtId="0" fontId="0" fillId="7" borderId="0" xfId="0" applyNumberFormat="1" applyFont="1" applyFill="1" applyBorder="1" applyAlignment="1" applyProtection="1">
      <alignment horizontal="left"/>
    </xf>
    <xf numFmtId="49" fontId="0" fillId="0" borderId="0" xfId="0" applyNumberFormat="1" applyFont="1" applyFill="1" applyBorder="1" applyAlignment="1" applyProtection="1">
      <alignment vertical="center"/>
    </xf>
    <xf numFmtId="0" fontId="0" fillId="0" borderId="0" xfId="0" applyNumberFormat="1" applyFont="1" applyFill="1" applyBorder="1" applyAlignment="1" applyProtection="1">
      <alignment horizontal="left" vertical="center"/>
    </xf>
    <xf numFmtId="49" fontId="0" fillId="0" borderId="0" xfId="0" applyNumberFormat="1" applyFont="1" applyFill="1" applyBorder="1" applyAlignment="1" applyProtection="1">
      <alignment horizontal="left" vertical="center"/>
    </xf>
    <xf numFmtId="0" fontId="0" fillId="0" borderId="0" xfId="0" applyNumberFormat="1" applyFont="1" applyFill="1" applyBorder="1" applyAlignment="1" applyProtection="1">
      <alignment horizontal="center"/>
    </xf>
    <xf numFmtId="0" fontId="0" fillId="0" borderId="0" xfId="0" applyNumberFormat="1" applyFont="1" applyFill="1" applyBorder="1" applyAlignment="1" applyProtection="1">
      <alignment horizontal="center" wrapText="1"/>
    </xf>
    <xf numFmtId="0" fontId="13" fillId="0" borderId="0" xfId="0" applyNumberFormat="1" applyFont="1" applyFill="1" applyBorder="1" applyAlignment="1" applyProtection="1">
      <alignment horizontal="center"/>
    </xf>
    <xf numFmtId="0" fontId="0" fillId="17" borderId="0" xfId="0" applyNumberFormat="1" applyFont="1" applyFill="1" applyBorder="1" applyAlignment="1" applyProtection="1">
      <alignment vertical="center"/>
    </xf>
    <xf numFmtId="0" fontId="0" fillId="18" borderId="0" xfId="0" applyNumberFormat="1" applyFont="1" applyFill="1" applyBorder="1" applyAlignment="1" applyProtection="1">
      <alignment vertical="center"/>
    </xf>
    <xf numFmtId="0" fontId="0" fillId="19" borderId="0" xfId="0" applyNumberFormat="1" applyFont="1" applyFill="1" applyBorder="1" applyAlignment="1" applyProtection="1">
      <alignment vertical="center"/>
    </xf>
    <xf numFmtId="0" fontId="0" fillId="20" borderId="0" xfId="0" applyNumberFormat="1" applyFont="1" applyFill="1" applyBorder="1" applyAlignment="1" applyProtection="1">
      <alignment vertical="center"/>
    </xf>
    <xf numFmtId="0" fontId="0" fillId="5" borderId="0" xfId="0" applyNumberFormat="1" applyFont="1" applyFill="1" applyBorder="1" applyAlignment="1" applyProtection="1">
      <alignment vertical="center"/>
    </xf>
    <xf numFmtId="0" fontId="13" fillId="0" borderId="0" xfId="0" applyNumberFormat="1" applyFont="1" applyFill="1" applyBorder="1" applyAlignment="1" applyProtection="1">
      <alignment horizontal="left" vertical="center"/>
    </xf>
    <xf numFmtId="3" fontId="0" fillId="0" borderId="0" xfId="0" applyNumberFormat="1" applyFont="1" applyFill="1" applyBorder="1" applyProtection="1"/>
    <xf numFmtId="0" fontId="14" fillId="0" borderId="1" xfId="0" applyNumberFormat="1" applyFont="1" applyFill="1" applyBorder="1" applyAlignment="1" applyProtection="1">
      <alignment horizontal="left"/>
    </xf>
    <xf numFmtId="0" fontId="0" fillId="11" borderId="1" xfId="35" applyNumberFormat="1" applyFont="1" applyFill="1" applyBorder="1" applyAlignment="1" applyProtection="1">
      <alignment horizontal="left"/>
    </xf>
    <xf numFmtId="0" fontId="0" fillId="0" borderId="1" xfId="0" applyNumberFormat="1" applyFont="1" applyFill="1" applyBorder="1" applyAlignment="1" applyProtection="1">
      <alignment horizontal="left" vertical="center"/>
    </xf>
    <xf numFmtId="0" fontId="14" fillId="0" borderId="0" xfId="0" applyNumberFormat="1" applyFont="1" applyFill="1" applyBorder="1" applyAlignment="1" applyProtection="1">
      <alignment horizontal="left"/>
    </xf>
    <xf numFmtId="0" fontId="0" fillId="8" borderId="0" xfId="0" applyNumberFormat="1" applyFont="1" applyFill="1" applyBorder="1" applyAlignment="1" applyProtection="1">
      <alignment vertical="center"/>
    </xf>
    <xf numFmtId="0" fontId="0" fillId="9" borderId="0" xfId="0" applyNumberFormat="1" applyFont="1" applyFill="1" applyBorder="1" applyAlignment="1" applyProtection="1">
      <alignment vertical="center"/>
    </xf>
    <xf numFmtId="0" fontId="0" fillId="21" borderId="0" xfId="0" applyNumberFormat="1" applyFont="1" applyFill="1" applyBorder="1" applyProtection="1"/>
    <xf numFmtId="49" fontId="0" fillId="8" borderId="0" xfId="0" applyNumberFormat="1" applyFont="1" applyFill="1" applyBorder="1" applyProtection="1"/>
    <xf numFmtId="0" fontId="4" fillId="8" borderId="0" xfId="0" applyNumberFormat="1" applyFont="1" applyFill="1" applyBorder="1" applyAlignment="1" applyProtection="1">
      <alignment vertical="center"/>
    </xf>
    <xf numFmtId="0" fontId="2" fillId="8" borderId="0" xfId="0" applyNumberFormat="1" applyFont="1" applyFill="1" applyBorder="1" applyAlignment="1" applyProtection="1">
      <alignment horizontal="left" vertical="center"/>
    </xf>
    <xf numFmtId="49" fontId="0" fillId="9" borderId="0" xfId="0" applyNumberFormat="1" applyFont="1" applyFill="1" applyBorder="1" applyProtection="1"/>
    <xf numFmtId="0" fontId="4" fillId="9" borderId="0" xfId="0" applyNumberFormat="1" applyFont="1" applyFill="1" applyBorder="1" applyAlignment="1" applyProtection="1">
      <alignment vertical="center"/>
    </xf>
    <xf numFmtId="0" fontId="2" fillId="9" borderId="0" xfId="0" applyNumberFormat="1" applyFont="1" applyFill="1" applyBorder="1" applyAlignment="1" applyProtection="1">
      <alignment horizontal="left" vertical="center"/>
    </xf>
    <xf numFmtId="0" fontId="0" fillId="10" borderId="0" xfId="0" applyNumberFormat="1" applyFont="1" applyFill="1" applyBorder="1" applyAlignment="1" applyProtection="1">
      <alignment horizontal="left"/>
    </xf>
    <xf numFmtId="0" fontId="8" fillId="8" borderId="0" xfId="49" applyNumberFormat="1" applyFont="1" applyFill="1" applyBorder="1" applyAlignment="1" applyProtection="1"/>
    <xf numFmtId="0" fontId="8" fillId="8" borderId="0" xfId="49" applyNumberFormat="1" applyFont="1" applyFill="1" applyBorder="1" applyAlignment="1" applyProtection="1">
      <alignment horizontal="left"/>
    </xf>
    <xf numFmtId="0" fontId="8" fillId="9" borderId="0" xfId="49" applyNumberFormat="1" applyFont="1" applyFill="1" applyBorder="1" applyAlignment="1" applyProtection="1"/>
    <xf numFmtId="0" fontId="8" fillId="9" borderId="0" xfId="49" applyNumberFormat="1" applyFont="1" applyFill="1" applyBorder="1" applyAlignment="1" applyProtection="1">
      <alignment horizontal="left"/>
    </xf>
    <xf numFmtId="0" fontId="8" fillId="10" borderId="0" xfId="49" applyNumberFormat="1" applyFont="1" applyFill="1" applyBorder="1" applyAlignment="1" applyProtection="1"/>
    <xf numFmtId="0" fontId="8" fillId="10" borderId="0" xfId="49" applyNumberFormat="1" applyFont="1" applyFill="1" applyBorder="1" applyAlignment="1" applyProtection="1">
      <alignment horizontal="left"/>
    </xf>
    <xf numFmtId="0" fontId="0" fillId="8" borderId="0" xfId="35" applyNumberFormat="1" applyFont="1" applyFill="1" applyBorder="1" applyAlignment="1" applyProtection="1">
      <alignment horizontal="left"/>
    </xf>
    <xf numFmtId="0" fontId="0" fillId="8" borderId="0" xfId="35" applyNumberFormat="1" applyFont="1" applyFill="1" applyBorder="1" applyAlignment="1" applyProtection="1"/>
    <xf numFmtId="0" fontId="0" fillId="9" borderId="0" xfId="35" applyNumberFormat="1" applyFont="1" applyFill="1" applyBorder="1" applyAlignment="1" applyProtection="1">
      <alignment horizontal="left"/>
    </xf>
    <xf numFmtId="0" fontId="0" fillId="9" borderId="0" xfId="35" applyNumberFormat="1" applyFont="1" applyFill="1" applyBorder="1" applyAlignment="1" applyProtection="1"/>
    <xf numFmtId="0" fontId="0" fillId="10" borderId="0" xfId="35" applyNumberFormat="1" applyFont="1" applyFill="1" applyBorder="1" applyAlignment="1" applyProtection="1">
      <alignment horizontal="left"/>
    </xf>
    <xf numFmtId="0" fontId="0" fillId="10" borderId="0" xfId="35" applyNumberFormat="1" applyFont="1" applyFill="1" applyBorder="1" applyAlignment="1" applyProtection="1"/>
    <xf numFmtId="49" fontId="0" fillId="8" borderId="0" xfId="50" applyNumberFormat="1" applyFont="1" applyFill="1" applyBorder="1" applyProtection="1"/>
    <xf numFmtId="49" fontId="0" fillId="8" borderId="0" xfId="0" applyNumberFormat="1" applyFont="1" applyFill="1" applyBorder="1" applyAlignment="1" applyProtection="1">
      <alignment horizontal="left"/>
    </xf>
    <xf numFmtId="49" fontId="0" fillId="9" borderId="0" xfId="50" applyNumberFormat="1" applyFont="1" applyFill="1" applyBorder="1" applyProtection="1"/>
    <xf numFmtId="49" fontId="0" fillId="9" borderId="0" xfId="0" applyNumberFormat="1" applyFont="1" applyFill="1" applyBorder="1" applyAlignment="1" applyProtection="1">
      <alignment horizontal="left"/>
    </xf>
    <xf numFmtId="49" fontId="0" fillId="10" borderId="0" xfId="50" applyNumberFormat="1" applyFont="1" applyFill="1" applyBorder="1" applyProtection="1"/>
    <xf numFmtId="0" fontId="4" fillId="10" borderId="0" xfId="0" applyNumberFormat="1" applyFont="1" applyFill="1" applyBorder="1" applyAlignment="1" applyProtection="1">
      <alignment vertical="center"/>
    </xf>
    <xf numFmtId="49" fontId="0" fillId="10" borderId="0" xfId="0" applyNumberFormat="1" applyFont="1" applyFill="1" applyBorder="1" applyAlignment="1" applyProtection="1">
      <alignment horizontal="left"/>
    </xf>
    <xf numFmtId="0" fontId="0" fillId="8" borderId="0" xfId="0" applyNumberFormat="1" applyFont="1" applyFill="1" applyBorder="1" applyAlignment="1" applyProtection="1">
      <alignment horizontal="left"/>
    </xf>
    <xf numFmtId="0" fontId="0" fillId="9" borderId="0" xfId="0" applyNumberFormat="1" applyFont="1" applyFill="1" applyBorder="1" applyAlignment="1" applyProtection="1">
      <alignment horizontal="left"/>
    </xf>
    <xf numFmtId="0" fontId="0" fillId="0" borderId="0" xfId="0" applyNumberFormat="1" applyFont="1" applyFill="1" applyBorder="1" applyAlignment="1" applyProtection="1">
      <alignment horizontal="right" vertical="center"/>
    </xf>
    <xf numFmtId="0" fontId="0" fillId="0" borderId="0" xfId="0" applyNumberFormat="1" applyFont="1" applyFill="1" applyBorder="1" applyAlignment="1" applyProtection="1">
      <alignment horizontal="right"/>
    </xf>
    <xf numFmtId="0" fontId="1" fillId="21" borderId="0" xfId="0" applyNumberFormat="1" applyFont="1" applyFill="1" applyBorder="1" applyProtection="1"/>
    <xf numFmtId="0" fontId="12" fillId="6" borderId="0" xfId="0" applyNumberFormat="1" applyFont="1" applyFill="1" applyBorder="1" applyAlignment="1" applyProtection="1">
      <alignment vertical="center"/>
    </xf>
    <xf numFmtId="0" fontId="0" fillId="6" borderId="0" xfId="35" applyNumberFormat="1" applyFont="1" applyFill="1" applyBorder="1" applyAlignment="1" applyProtection="1">
      <alignment horizontal="left"/>
    </xf>
    <xf numFmtId="0" fontId="0" fillId="6" borderId="0" xfId="35" applyNumberFormat="1" applyFont="1" applyFill="1" applyBorder="1" applyAlignment="1" applyProtection="1"/>
    <xf numFmtId="176" fontId="0" fillId="0" borderId="0" xfId="0" applyNumberFormat="1" applyFont="1" applyFill="1" applyBorder="1" applyAlignment="1" applyProtection="1">
      <alignment horizontal="center"/>
    </xf>
    <xf numFmtId="0" fontId="0" fillId="12" borderId="0" xfId="0" applyNumberFormat="1" applyFont="1" applyFill="1" applyBorder="1" applyAlignment="1" applyProtection="1">
      <alignment horizontal="center"/>
    </xf>
    <xf numFmtId="176" fontId="0" fillId="12" borderId="0" xfId="0" applyNumberFormat="1" applyFont="1" applyFill="1" applyBorder="1" applyAlignment="1" applyProtection="1">
      <alignment horizontal="center"/>
    </xf>
    <xf numFmtId="0" fontId="0" fillId="22" borderId="0" xfId="0" applyNumberFormat="1" applyFont="1" applyFill="1" applyBorder="1" applyAlignment="1" applyProtection="1">
      <alignment horizontal="left"/>
    </xf>
    <xf numFmtId="178" fontId="0" fillId="0" borderId="0" xfId="0" applyNumberFormat="1" applyFont="1" applyFill="1" applyBorder="1" applyAlignment="1" applyProtection="1">
      <alignment horizontal="center"/>
    </xf>
    <xf numFmtId="0" fontId="3" fillId="0" borderId="0" xfId="0" applyNumberFormat="1" applyFont="1" applyFill="1" applyBorder="1" applyAlignment="1" applyProtection="1">
      <alignment horizontal="center"/>
    </xf>
    <xf numFmtId="0" fontId="3" fillId="0" borderId="0" xfId="0" applyNumberFormat="1" applyFont="1" applyFill="1" applyBorder="1" applyAlignment="1" applyProtection="1">
      <alignment horizontal="left"/>
    </xf>
    <xf numFmtId="0" fontId="13" fillId="0" borderId="0" xfId="0" applyNumberFormat="1" applyFont="1" applyFill="1" applyBorder="1" applyAlignment="1" applyProtection="1">
      <alignment horizontal="center" vertical="center"/>
    </xf>
    <xf numFmtId="3" fontId="13" fillId="0" borderId="0" xfId="0" applyNumberFormat="1" applyFont="1" applyFill="1" applyBorder="1" applyAlignment="1" applyProtection="1">
      <alignment horizontal="center" vertical="center"/>
    </xf>
    <xf numFmtId="0" fontId="15" fillId="0" borderId="0" xfId="32" applyNumberFormat="1" applyFont="1" applyFill="1" applyBorder="1" applyAlignment="1" applyProtection="1">
      <alignment horizont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06" xfId="49"/>
    <cellStyle name="常规 2" xfId="50"/>
  </cellStyles>
  <dxfs count="1">
    <dxf>
      <font>
        <color rgb="FF9C0006"/>
      </font>
      <fill>
        <patternFill patternType="solid">
          <bgColor rgb="FFFFC7CE"/>
        </patternFill>
      </fill>
    </dxf>
  </dxf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baike.baidu.com/item/%E6%B4%9B%E5%85%8B%E6%96%AF%E6%B5%B7%E8%B4%BC%E5%9B%A2/22711993"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18"/>
  <sheetViews>
    <sheetView tabSelected="1" workbookViewId="0">
      <selection activeCell="H9" sqref="H9"/>
    </sheetView>
  </sheetViews>
  <sheetFormatPr defaultColWidth="9" defaultRowHeight="13.5" outlineLevelCol="5"/>
  <cols>
    <col min="1" max="1" width="9" style="119" customWidth="1"/>
    <col min="2" max="2" width="17.75" style="119" customWidth="1"/>
    <col min="3" max="3" width="16.125" style="119" customWidth="1"/>
    <col min="4" max="4" width="16.375" style="119" customWidth="1"/>
    <col min="5" max="5" width="15.125" style="170" customWidth="1"/>
    <col min="6" max="6" width="21.75" style="13" customWidth="1"/>
    <col min="10" max="10" width="11.25" customWidth="1"/>
    <col min="11" max="11" width="10.25" customWidth="1"/>
    <col min="12" max="12" width="11.25" customWidth="1"/>
    <col min="13" max="13" width="10.25" customWidth="1"/>
    <col min="14" max="14" width="11.875" customWidth="1"/>
  </cols>
  <sheetData>
    <row r="1" spans="1:6">
      <c r="A1" s="119">
        <v>7</v>
      </c>
      <c r="B1" s="171">
        <v>1</v>
      </c>
      <c r="C1" s="171">
        <v>9999</v>
      </c>
      <c r="D1" s="171">
        <v>8</v>
      </c>
      <c r="E1" s="172"/>
      <c r="F1" s="173"/>
    </row>
    <row r="2" spans="1:6">
      <c r="A2" s="119" t="s">
        <v>0</v>
      </c>
      <c r="B2" s="119" t="s">
        <v>1</v>
      </c>
      <c r="C2" s="174" t="s">
        <v>2</v>
      </c>
      <c r="D2" s="119" t="s">
        <v>3</v>
      </c>
      <c r="E2" s="170" t="s">
        <v>4</v>
      </c>
      <c r="F2" s="13" t="s">
        <v>5</v>
      </c>
    </row>
    <row r="3" spans="1:6">
      <c r="A3" s="119" t="s">
        <v>6</v>
      </c>
      <c r="B3" s="175" t="s">
        <v>7</v>
      </c>
      <c r="C3" s="175" t="s">
        <v>8</v>
      </c>
      <c r="D3" s="175" t="s">
        <v>9</v>
      </c>
      <c r="E3" s="175" t="s">
        <v>10</v>
      </c>
      <c r="F3" s="176" t="s">
        <v>11</v>
      </c>
    </row>
    <row r="4" spans="1:6">
      <c r="A4" s="119" t="s">
        <v>12</v>
      </c>
      <c r="B4" s="119" t="s">
        <v>12</v>
      </c>
      <c r="C4" s="119" t="s">
        <v>13</v>
      </c>
      <c r="D4" s="119" t="s">
        <v>14</v>
      </c>
      <c r="E4" s="119" t="s">
        <v>14</v>
      </c>
      <c r="F4" s="13" t="s">
        <v>14</v>
      </c>
    </row>
    <row r="5" spans="1:6">
      <c r="A5" s="119" t="s">
        <v>15</v>
      </c>
      <c r="B5" s="119" t="s">
        <v>16</v>
      </c>
      <c r="C5" s="119" t="s">
        <v>16</v>
      </c>
      <c r="D5" s="119" t="s">
        <v>16</v>
      </c>
      <c r="E5" s="119" t="s">
        <v>16</v>
      </c>
      <c r="F5" s="13" t="s">
        <v>16</v>
      </c>
    </row>
    <row r="6" spans="1:6">
      <c r="A6" s="119" t="s">
        <v>0</v>
      </c>
      <c r="B6" s="119" t="s">
        <v>7</v>
      </c>
      <c r="C6" s="119" t="s">
        <v>8</v>
      </c>
      <c r="D6" s="119" t="s">
        <v>9</v>
      </c>
      <c r="E6" s="119" t="s">
        <v>10</v>
      </c>
      <c r="F6" s="13" t="s">
        <v>11</v>
      </c>
    </row>
    <row r="7" ht="16.5" spans="1:6">
      <c r="A7" s="119">
        <v>1</v>
      </c>
      <c r="B7" s="177">
        <f>VLOOKUP(ROUNDUP(A7/8,0),Sheet2!A:B,2,FALSE())</f>
        <v>111001</v>
      </c>
      <c r="C7" s="178">
        <v>1</v>
      </c>
      <c r="D7" s="179">
        <f>VLOOKUP(C7,Sheet2!$BK$11:$BN$19,VLOOKUP(B7,Sheet2!B:BC,21,FALSE)+1,FALSE)</f>
        <v>1</v>
      </c>
      <c r="E7" s="119">
        <v>0</v>
      </c>
      <c r="F7" s="13" t="s">
        <v>17</v>
      </c>
    </row>
    <row r="8" ht="16.5" spans="1:6">
      <c r="A8" s="119">
        <v>2</v>
      </c>
      <c r="B8" s="177">
        <f>VLOOKUP(ROUNDUP(A8/8,0),Sheet2!A:B,2,FALSE())</f>
        <v>111001</v>
      </c>
      <c r="C8" s="178">
        <v>2</v>
      </c>
      <c r="D8" s="179">
        <f>VLOOKUP(C8,Sheet2!$BK$11:$BN$19,VLOOKUP(B8,Sheet2!B:BC,21,FALSE)+1,FALSE)</f>
        <v>1</v>
      </c>
      <c r="E8" s="119">
        <v>0</v>
      </c>
      <c r="F8" s="13" t="s">
        <v>17</v>
      </c>
    </row>
    <row r="9" ht="16.5" spans="1:6">
      <c r="A9" s="119">
        <v>3</v>
      </c>
      <c r="B9" s="177">
        <f>VLOOKUP(ROUNDUP(A9/8,0),Sheet2!A:B,2,FALSE())</f>
        <v>111001</v>
      </c>
      <c r="C9" s="178">
        <v>3</v>
      </c>
      <c r="D9" s="179">
        <f>VLOOKUP(C9,Sheet2!$BK$11:$BN$19,VLOOKUP(B9,Sheet2!B:BC,21,FALSE)+1,FALSE)</f>
        <v>1</v>
      </c>
      <c r="E9" s="119">
        <v>0</v>
      </c>
      <c r="F9" s="13" t="s">
        <v>17</v>
      </c>
    </row>
    <row r="10" ht="16.5" spans="1:6">
      <c r="A10" s="119">
        <v>4</v>
      </c>
      <c r="B10" s="177">
        <f>VLOOKUP(ROUNDUP(A10/8,0),Sheet2!A:B,2,FALSE())</f>
        <v>111001</v>
      </c>
      <c r="C10" s="178">
        <v>4</v>
      </c>
      <c r="D10" s="179">
        <f>VLOOKUP(C10,Sheet2!$BK$11:$BN$19,VLOOKUP(B10,Sheet2!B:BC,21,FALSE)+1,FALSE)</f>
        <v>1</v>
      </c>
      <c r="E10" s="119">
        <v>0</v>
      </c>
      <c r="F10" s="13" t="s">
        <v>17</v>
      </c>
    </row>
    <row r="11" ht="16.5" spans="1:6">
      <c r="A11" s="119">
        <v>5</v>
      </c>
      <c r="B11" s="177">
        <f>VLOOKUP(ROUNDUP(A11/8,0),Sheet2!A:B,2,FALSE())</f>
        <v>111001</v>
      </c>
      <c r="C11" s="178">
        <v>5</v>
      </c>
      <c r="D11" s="179">
        <f>VLOOKUP(C11,Sheet2!$BK$11:$BN$19,VLOOKUP(B11,Sheet2!B:BC,21,FALSE)+1,FALSE)</f>
        <v>1</v>
      </c>
      <c r="E11" s="119">
        <v>0</v>
      </c>
      <c r="F11" s="13" t="s">
        <v>17</v>
      </c>
    </row>
    <row r="12" ht="16.5" spans="1:6">
      <c r="A12" s="119">
        <v>6</v>
      </c>
      <c r="B12" s="177">
        <f>VLOOKUP(ROUNDUP(A12/8,0),Sheet2!A:B,2,FALSE())</f>
        <v>111001</v>
      </c>
      <c r="C12" s="178">
        <v>6</v>
      </c>
      <c r="D12" s="179">
        <f>VLOOKUP(C12,Sheet2!$BK$11:$BN$19,VLOOKUP(B12,Sheet2!B:BC,21,FALSE)+1,FALSE)</f>
        <v>1.2</v>
      </c>
      <c r="E12" s="119">
        <v>0</v>
      </c>
      <c r="F12" s="13" t="s">
        <v>17</v>
      </c>
    </row>
    <row r="13" ht="16.5" spans="1:6">
      <c r="A13" s="119">
        <v>7</v>
      </c>
      <c r="B13" s="177">
        <f>VLOOKUP(ROUNDUP(A13/8,0),Sheet2!A:B,2,FALSE())</f>
        <v>111001</v>
      </c>
      <c r="C13" s="178">
        <v>7</v>
      </c>
      <c r="D13" s="179">
        <f>VLOOKUP(C13,Sheet2!$BK$11:$BN$19,VLOOKUP(B13,Sheet2!B:BC,21,FALSE)+1,FALSE)</f>
        <v>1.2</v>
      </c>
      <c r="E13" s="119">
        <v>0</v>
      </c>
      <c r="F13" s="13" t="s">
        <v>17</v>
      </c>
    </row>
    <row r="14" ht="16.5" spans="1:6">
      <c r="A14" s="119">
        <v>8</v>
      </c>
      <c r="B14" s="177">
        <f>VLOOKUP(ROUNDUP(A14/8,0),Sheet2!A:B,2,FALSE())</f>
        <v>111001</v>
      </c>
      <c r="C14" s="178">
        <v>8</v>
      </c>
      <c r="D14" s="179">
        <f>VLOOKUP(C14,Sheet2!$BK$11:$BN$19,VLOOKUP(B14,Sheet2!B:BC,21,FALSE)+1,FALSE)</f>
        <v>1.2</v>
      </c>
      <c r="E14" s="119">
        <v>0</v>
      </c>
      <c r="F14" s="13" t="s">
        <v>17</v>
      </c>
    </row>
    <row r="15" ht="16.5" spans="1:6">
      <c r="A15" s="119">
        <v>9</v>
      </c>
      <c r="B15" s="177">
        <f>VLOOKUP(ROUNDUP(A15/8,0),Sheet2!A:B,2,FALSE())</f>
        <v>111002</v>
      </c>
      <c r="C15" s="178">
        <f>C7</f>
        <v>1</v>
      </c>
      <c r="D15" s="179">
        <f>VLOOKUP(C15,Sheet2!$BK$11:$BN$19,VLOOKUP(B15,Sheet2!B:BC,21,FALSE)+1,FALSE)</f>
        <v>1</v>
      </c>
      <c r="E15" s="119">
        <v>0</v>
      </c>
      <c r="F15" s="13" t="s">
        <v>18</v>
      </c>
    </row>
    <row r="16" ht="16.5" spans="1:6">
      <c r="A16" s="119">
        <v>10</v>
      </c>
      <c r="B16" s="177">
        <f>VLOOKUP(ROUNDUP(A16/8,0),Sheet2!A:B,2,FALSE())</f>
        <v>111002</v>
      </c>
      <c r="C16" s="178">
        <f t="shared" ref="C16:C79" si="0">C8</f>
        <v>2</v>
      </c>
      <c r="D16" s="179">
        <f>VLOOKUP(C16,Sheet2!$BK$11:$BN$19,VLOOKUP(B16,Sheet2!B:BC,21,FALSE)+1,FALSE)</f>
        <v>1</v>
      </c>
      <c r="E16" s="119">
        <v>0</v>
      </c>
      <c r="F16" s="13" t="s">
        <v>18</v>
      </c>
    </row>
    <row r="17" ht="16.5" spans="1:6">
      <c r="A17" s="119">
        <v>11</v>
      </c>
      <c r="B17" s="177">
        <f>VLOOKUP(ROUNDUP(A17/8,0),Sheet2!A:B,2,FALSE())</f>
        <v>111002</v>
      </c>
      <c r="C17" s="178">
        <f t="shared" si="0"/>
        <v>3</v>
      </c>
      <c r="D17" s="179">
        <f>VLOOKUP(C17,Sheet2!$BK$11:$BN$19,VLOOKUP(B17,Sheet2!B:BC,21,FALSE)+1,FALSE)</f>
        <v>1</v>
      </c>
      <c r="E17" s="119">
        <v>0</v>
      </c>
      <c r="F17" s="13" t="s">
        <v>18</v>
      </c>
    </row>
    <row r="18" ht="16.5" spans="1:6">
      <c r="A18" s="119">
        <v>12</v>
      </c>
      <c r="B18" s="177">
        <f>VLOOKUP(ROUNDUP(A18/8,0),Sheet2!A:B,2,FALSE())</f>
        <v>111002</v>
      </c>
      <c r="C18" s="178">
        <f t="shared" si="0"/>
        <v>4</v>
      </c>
      <c r="D18" s="179">
        <f>VLOOKUP(C18,Sheet2!$BK$11:$BN$19,VLOOKUP(B18,Sheet2!B:BC,21,FALSE)+1,FALSE)</f>
        <v>1</v>
      </c>
      <c r="E18" s="119">
        <v>0</v>
      </c>
      <c r="F18" s="13" t="s">
        <v>18</v>
      </c>
    </row>
    <row r="19" ht="16.5" spans="1:6">
      <c r="A19" s="119">
        <v>13</v>
      </c>
      <c r="B19" s="177">
        <f>VLOOKUP(ROUNDUP(A19/8,0),Sheet2!A:B,2,FALSE())</f>
        <v>111002</v>
      </c>
      <c r="C19" s="178">
        <f t="shared" si="0"/>
        <v>5</v>
      </c>
      <c r="D19" s="179">
        <f>VLOOKUP(C19,Sheet2!$BK$11:$BN$19,VLOOKUP(B19,Sheet2!B:BC,21,FALSE)+1,FALSE)</f>
        <v>1</v>
      </c>
      <c r="E19" s="119">
        <v>0</v>
      </c>
      <c r="F19" s="13" t="s">
        <v>18</v>
      </c>
    </row>
    <row r="20" ht="16.5" spans="1:6">
      <c r="A20" s="119">
        <v>14</v>
      </c>
      <c r="B20" s="177">
        <f>VLOOKUP(ROUNDUP(A20/8,0),Sheet2!A:B,2,FALSE())</f>
        <v>111002</v>
      </c>
      <c r="C20" s="178">
        <f t="shared" si="0"/>
        <v>6</v>
      </c>
      <c r="D20" s="179">
        <f>VLOOKUP(C20,Sheet2!$BK$11:$BN$19,VLOOKUP(B20,Sheet2!B:BC,21,FALSE)+1,FALSE)</f>
        <v>1.2</v>
      </c>
      <c r="E20" s="119">
        <v>0</v>
      </c>
      <c r="F20" s="13" t="s">
        <v>18</v>
      </c>
    </row>
    <row r="21" ht="16.5" spans="1:6">
      <c r="A21" s="119">
        <v>15</v>
      </c>
      <c r="B21" s="177">
        <f>VLOOKUP(ROUNDUP(A21/8,0),Sheet2!A:B,2,FALSE())</f>
        <v>111002</v>
      </c>
      <c r="C21" s="178">
        <f t="shared" si="0"/>
        <v>7</v>
      </c>
      <c r="D21" s="179">
        <f>VLOOKUP(C21,Sheet2!$BK$11:$BN$19,VLOOKUP(B21,Sheet2!B:BC,21,FALSE)+1,FALSE)</f>
        <v>1.2</v>
      </c>
      <c r="E21" s="119">
        <v>0</v>
      </c>
      <c r="F21" s="13" t="s">
        <v>18</v>
      </c>
    </row>
    <row r="22" ht="16.5" spans="1:6">
      <c r="A22" s="119">
        <v>16</v>
      </c>
      <c r="B22" s="177">
        <f>VLOOKUP(ROUNDUP(A22/8,0),Sheet2!A:B,2,FALSE())</f>
        <v>111002</v>
      </c>
      <c r="C22" s="178">
        <f t="shared" si="0"/>
        <v>8</v>
      </c>
      <c r="D22" s="179">
        <f>VLOOKUP(C22,Sheet2!$BK$11:$BN$19,VLOOKUP(B22,Sheet2!B:BC,21,FALSE)+1,FALSE)</f>
        <v>1.2</v>
      </c>
      <c r="E22" s="119">
        <v>0</v>
      </c>
      <c r="F22" s="13" t="s">
        <v>18</v>
      </c>
    </row>
    <row r="23" ht="16.5" spans="1:6">
      <c r="A23" s="119">
        <v>17</v>
      </c>
      <c r="B23" s="177">
        <f>VLOOKUP(ROUNDUP(A23/8,0),Sheet2!A:B,2,FALSE())</f>
        <v>111003</v>
      </c>
      <c r="C23" s="178">
        <f t="shared" si="0"/>
        <v>1</v>
      </c>
      <c r="D23" s="179">
        <f>VLOOKUP(C23,Sheet2!$BK$11:$BN$19,VLOOKUP(B23,Sheet2!B:BC,21,FALSE)+1,FALSE)</f>
        <v>1</v>
      </c>
      <c r="E23" s="119">
        <v>0</v>
      </c>
      <c r="F23" s="13" t="s">
        <v>19</v>
      </c>
    </row>
    <row r="24" ht="16.5" spans="1:6">
      <c r="A24" s="119">
        <v>18</v>
      </c>
      <c r="B24" s="177">
        <f>VLOOKUP(ROUNDUP(A24/8,0),Sheet2!A:B,2,FALSE())</f>
        <v>111003</v>
      </c>
      <c r="C24" s="178">
        <f t="shared" si="0"/>
        <v>2</v>
      </c>
      <c r="D24" s="179">
        <f>VLOOKUP(C24,Sheet2!$BK$11:$BN$19,VLOOKUP(B24,Sheet2!B:BC,21,FALSE)+1,FALSE)</f>
        <v>1</v>
      </c>
      <c r="E24" s="119">
        <v>0</v>
      </c>
      <c r="F24" s="13" t="s">
        <v>19</v>
      </c>
    </row>
    <row r="25" ht="16.5" spans="1:6">
      <c r="A25" s="119">
        <v>19</v>
      </c>
      <c r="B25" s="177">
        <f>VLOOKUP(ROUNDUP(A25/8,0),Sheet2!A:B,2,FALSE())</f>
        <v>111003</v>
      </c>
      <c r="C25" s="178">
        <f t="shared" si="0"/>
        <v>3</v>
      </c>
      <c r="D25" s="179">
        <f>VLOOKUP(C25,Sheet2!$BK$11:$BN$19,VLOOKUP(B25,Sheet2!B:BC,21,FALSE)+1,FALSE)</f>
        <v>1</v>
      </c>
      <c r="E25" s="119">
        <v>0</v>
      </c>
      <c r="F25" s="13" t="s">
        <v>19</v>
      </c>
    </row>
    <row r="26" ht="16.5" spans="1:6">
      <c r="A26" s="119">
        <v>20</v>
      </c>
      <c r="B26" s="177">
        <f>VLOOKUP(ROUNDUP(A26/8,0),Sheet2!A:B,2,FALSE())</f>
        <v>111003</v>
      </c>
      <c r="C26" s="178">
        <f t="shared" si="0"/>
        <v>4</v>
      </c>
      <c r="D26" s="179">
        <f>VLOOKUP(C26,Sheet2!$BK$11:$BN$19,VLOOKUP(B26,Sheet2!B:BC,21,FALSE)+1,FALSE)</f>
        <v>1</v>
      </c>
      <c r="E26" s="119">
        <v>0</v>
      </c>
      <c r="F26" s="13" t="s">
        <v>19</v>
      </c>
    </row>
    <row r="27" ht="16.5" spans="1:6">
      <c r="A27" s="119">
        <v>21</v>
      </c>
      <c r="B27" s="177">
        <f>VLOOKUP(ROUNDUP(A27/8,0),Sheet2!A:B,2,FALSE())</f>
        <v>111003</v>
      </c>
      <c r="C27" s="178">
        <f t="shared" si="0"/>
        <v>5</v>
      </c>
      <c r="D27" s="179">
        <f>VLOOKUP(C27,Sheet2!$BK$11:$BN$19,VLOOKUP(B27,Sheet2!B:BC,21,FALSE)+1,FALSE)</f>
        <v>1</v>
      </c>
      <c r="E27" s="119">
        <v>0</v>
      </c>
      <c r="F27" s="13" t="s">
        <v>19</v>
      </c>
    </row>
    <row r="28" ht="16.5" spans="1:6">
      <c r="A28" s="119">
        <v>22</v>
      </c>
      <c r="B28" s="177">
        <f>VLOOKUP(ROUNDUP(A28/8,0),Sheet2!A:B,2,FALSE())</f>
        <v>111003</v>
      </c>
      <c r="C28" s="178">
        <f t="shared" si="0"/>
        <v>6</v>
      </c>
      <c r="D28" s="179">
        <f>VLOOKUP(C28,Sheet2!$BK$11:$BN$19,VLOOKUP(B28,Sheet2!B:BC,21,FALSE)+1,FALSE)</f>
        <v>1.2</v>
      </c>
      <c r="E28" s="119">
        <v>0</v>
      </c>
      <c r="F28" s="13" t="s">
        <v>19</v>
      </c>
    </row>
    <row r="29" ht="16.5" spans="1:6">
      <c r="A29" s="119">
        <v>23</v>
      </c>
      <c r="B29" s="177">
        <f>VLOOKUP(ROUNDUP(A29/8,0),Sheet2!A:B,2,FALSE())</f>
        <v>111003</v>
      </c>
      <c r="C29" s="178">
        <f t="shared" si="0"/>
        <v>7</v>
      </c>
      <c r="D29" s="179">
        <f>VLOOKUP(C29,Sheet2!$BK$11:$BN$19,VLOOKUP(B29,Sheet2!B:BC,21,FALSE)+1,FALSE)</f>
        <v>1.2</v>
      </c>
      <c r="E29" s="119">
        <v>0</v>
      </c>
      <c r="F29" s="13" t="s">
        <v>19</v>
      </c>
    </row>
    <row r="30" ht="16.5" spans="1:6">
      <c r="A30" s="119">
        <v>24</v>
      </c>
      <c r="B30" s="177">
        <f>VLOOKUP(ROUNDUP(A30/8,0),Sheet2!A:B,2,FALSE())</f>
        <v>111003</v>
      </c>
      <c r="C30" s="178">
        <f t="shared" si="0"/>
        <v>8</v>
      </c>
      <c r="D30" s="179">
        <f>VLOOKUP(C30,Sheet2!$BK$11:$BN$19,VLOOKUP(B30,Sheet2!B:BC,21,FALSE)+1,FALSE)</f>
        <v>1.2</v>
      </c>
      <c r="E30" s="119">
        <v>0</v>
      </c>
      <c r="F30" s="13" t="s">
        <v>19</v>
      </c>
    </row>
    <row r="31" ht="16.5" spans="1:6">
      <c r="A31" s="119">
        <v>25</v>
      </c>
      <c r="B31" s="177">
        <f>VLOOKUP(ROUNDUP(A31/8,0),Sheet2!A:B,2,FALSE())</f>
        <v>111004</v>
      </c>
      <c r="C31" s="178">
        <f t="shared" si="0"/>
        <v>1</v>
      </c>
      <c r="D31" s="179">
        <f>VLOOKUP(C31,Sheet2!$BK$11:$BN$19,VLOOKUP(B31,Sheet2!B:BC,21,FALSE)+1,FALSE)</f>
        <v>1</v>
      </c>
      <c r="E31" s="119">
        <v>0</v>
      </c>
      <c r="F31" s="13" t="s">
        <v>20</v>
      </c>
    </row>
    <row r="32" ht="16.5" spans="1:6">
      <c r="A32" s="119">
        <v>26</v>
      </c>
      <c r="B32" s="177">
        <f>VLOOKUP(ROUNDUP(A32/8,0),Sheet2!A:B,2,FALSE())</f>
        <v>111004</v>
      </c>
      <c r="C32" s="178">
        <f t="shared" si="0"/>
        <v>2</v>
      </c>
      <c r="D32" s="179">
        <f>VLOOKUP(C32,Sheet2!$BK$11:$BN$19,VLOOKUP(B32,Sheet2!B:BC,21,FALSE)+1,FALSE)</f>
        <v>1</v>
      </c>
      <c r="E32" s="119">
        <v>0</v>
      </c>
      <c r="F32" s="13" t="s">
        <v>20</v>
      </c>
    </row>
    <row r="33" ht="16.5" spans="1:6">
      <c r="A33" s="119">
        <v>27</v>
      </c>
      <c r="B33" s="177">
        <f>VLOOKUP(ROUNDUP(A33/8,0),Sheet2!A:B,2,FALSE())</f>
        <v>111004</v>
      </c>
      <c r="C33" s="178">
        <f t="shared" si="0"/>
        <v>3</v>
      </c>
      <c r="D33" s="179">
        <f>VLOOKUP(C33,Sheet2!$BK$11:$BN$19,VLOOKUP(B33,Sheet2!B:BC,21,FALSE)+1,FALSE)</f>
        <v>1</v>
      </c>
      <c r="E33" s="119">
        <v>0</v>
      </c>
      <c r="F33" s="13" t="s">
        <v>20</v>
      </c>
    </row>
    <row r="34" ht="16.5" spans="1:6">
      <c r="A34" s="119">
        <v>28</v>
      </c>
      <c r="B34" s="177">
        <f>VLOOKUP(ROUNDUP(A34/8,0),Sheet2!A:B,2,FALSE())</f>
        <v>111004</v>
      </c>
      <c r="C34" s="178">
        <f t="shared" si="0"/>
        <v>4</v>
      </c>
      <c r="D34" s="179">
        <f>VLOOKUP(C34,Sheet2!$BK$11:$BN$19,VLOOKUP(B34,Sheet2!B:BC,21,FALSE)+1,FALSE)</f>
        <v>1</v>
      </c>
      <c r="E34" s="119">
        <v>0</v>
      </c>
      <c r="F34" s="13" t="s">
        <v>20</v>
      </c>
    </row>
    <row r="35" ht="16.5" spans="1:6">
      <c r="A35" s="119">
        <v>29</v>
      </c>
      <c r="B35" s="177">
        <f>VLOOKUP(ROUNDUP(A35/8,0),Sheet2!A:B,2,FALSE())</f>
        <v>111004</v>
      </c>
      <c r="C35" s="178">
        <f t="shared" si="0"/>
        <v>5</v>
      </c>
      <c r="D35" s="179">
        <f>VLOOKUP(C35,Sheet2!$BK$11:$BN$19,VLOOKUP(B35,Sheet2!B:BC,21,FALSE)+1,FALSE)</f>
        <v>1</v>
      </c>
      <c r="E35" s="119">
        <v>0</v>
      </c>
      <c r="F35" s="13" t="s">
        <v>20</v>
      </c>
    </row>
    <row r="36" ht="16.5" spans="1:6">
      <c r="A36" s="119">
        <v>30</v>
      </c>
      <c r="B36" s="177">
        <f>VLOOKUP(ROUNDUP(A36/8,0),Sheet2!A:B,2,FALSE())</f>
        <v>111004</v>
      </c>
      <c r="C36" s="178">
        <f t="shared" si="0"/>
        <v>6</v>
      </c>
      <c r="D36" s="179">
        <f>VLOOKUP(C36,Sheet2!$BK$11:$BN$19,VLOOKUP(B36,Sheet2!B:BC,21,FALSE)+1,FALSE)</f>
        <v>1.2</v>
      </c>
      <c r="E36" s="119">
        <v>0</v>
      </c>
      <c r="F36" s="13" t="s">
        <v>20</v>
      </c>
    </row>
    <row r="37" ht="16.5" spans="1:6">
      <c r="A37" s="119">
        <v>31</v>
      </c>
      <c r="B37" s="177">
        <f>VLOOKUP(ROUNDUP(A37/8,0),Sheet2!A:B,2,FALSE())</f>
        <v>111004</v>
      </c>
      <c r="C37" s="178">
        <f t="shared" si="0"/>
        <v>7</v>
      </c>
      <c r="D37" s="179">
        <f>VLOOKUP(C37,Sheet2!$BK$11:$BN$19,VLOOKUP(B37,Sheet2!B:BC,21,FALSE)+1,FALSE)</f>
        <v>1.2</v>
      </c>
      <c r="E37" s="119">
        <v>0</v>
      </c>
      <c r="F37" s="13" t="s">
        <v>20</v>
      </c>
    </row>
    <row r="38" ht="16.5" spans="1:6">
      <c r="A38" s="119">
        <v>32</v>
      </c>
      <c r="B38" s="177">
        <f>VLOOKUP(ROUNDUP(A38/8,0),Sheet2!A:B,2,FALSE())</f>
        <v>111004</v>
      </c>
      <c r="C38" s="178">
        <f t="shared" si="0"/>
        <v>8</v>
      </c>
      <c r="D38" s="179">
        <f>VLOOKUP(C38,Sheet2!$BK$11:$BN$19,VLOOKUP(B38,Sheet2!B:BC,21,FALSE)+1,FALSE)</f>
        <v>1.2</v>
      </c>
      <c r="E38" s="119">
        <v>0</v>
      </c>
      <c r="F38" s="13" t="s">
        <v>20</v>
      </c>
    </row>
    <row r="39" ht="16.5" spans="1:6">
      <c r="A39" s="119">
        <v>33</v>
      </c>
      <c r="B39" s="177">
        <f>VLOOKUP(ROUNDUP(A39/8,0),Sheet2!A:B,2,FALSE())</f>
        <v>111005</v>
      </c>
      <c r="C39" s="178">
        <f t="shared" si="0"/>
        <v>1</v>
      </c>
      <c r="D39" s="179">
        <f>VLOOKUP(C39,Sheet2!$BK$11:$BN$19,VLOOKUP(B39,Sheet2!B:BC,21,FALSE)+1,FALSE)</f>
        <v>1</v>
      </c>
      <c r="E39" s="119">
        <v>0</v>
      </c>
      <c r="F39" s="13" t="s">
        <v>17</v>
      </c>
    </row>
    <row r="40" ht="16.5" spans="1:6">
      <c r="A40" s="119">
        <v>34</v>
      </c>
      <c r="B40" s="177">
        <f>VLOOKUP(ROUNDUP(A40/8,0),Sheet2!A:B,2,FALSE())</f>
        <v>111005</v>
      </c>
      <c r="C40" s="178">
        <f t="shared" si="0"/>
        <v>2</v>
      </c>
      <c r="D40" s="179">
        <f>VLOOKUP(C40,Sheet2!$BK$11:$BN$19,VLOOKUP(B40,Sheet2!B:BC,21,FALSE)+1,FALSE)</f>
        <v>1</v>
      </c>
      <c r="E40" s="119">
        <v>0</v>
      </c>
      <c r="F40" s="13" t="s">
        <v>17</v>
      </c>
    </row>
    <row r="41" ht="16.5" spans="1:6">
      <c r="A41" s="119">
        <v>35</v>
      </c>
      <c r="B41" s="177">
        <f>VLOOKUP(ROUNDUP(A41/8,0),Sheet2!A:B,2,FALSE())</f>
        <v>111005</v>
      </c>
      <c r="C41" s="178">
        <f t="shared" si="0"/>
        <v>3</v>
      </c>
      <c r="D41" s="179">
        <f>VLOOKUP(C41,Sheet2!$BK$11:$BN$19,VLOOKUP(B41,Sheet2!B:BC,21,FALSE)+1,FALSE)</f>
        <v>1</v>
      </c>
      <c r="E41" s="119">
        <v>0</v>
      </c>
      <c r="F41" s="13" t="s">
        <v>17</v>
      </c>
    </row>
    <row r="42" ht="16.5" spans="1:6">
      <c r="A42" s="119">
        <v>36</v>
      </c>
      <c r="B42" s="177">
        <f>VLOOKUP(ROUNDUP(A42/8,0),Sheet2!A:B,2,FALSE())</f>
        <v>111005</v>
      </c>
      <c r="C42" s="178">
        <f t="shared" si="0"/>
        <v>4</v>
      </c>
      <c r="D42" s="179">
        <f>VLOOKUP(C42,Sheet2!$BK$11:$BN$19,VLOOKUP(B42,Sheet2!B:BC,21,FALSE)+1,FALSE)</f>
        <v>1</v>
      </c>
      <c r="E42" s="119">
        <v>0</v>
      </c>
      <c r="F42" s="13" t="s">
        <v>17</v>
      </c>
    </row>
    <row r="43" ht="16.5" spans="1:6">
      <c r="A43" s="119">
        <v>37</v>
      </c>
      <c r="B43" s="177">
        <f>VLOOKUP(ROUNDUP(A43/8,0),Sheet2!A:B,2,FALSE())</f>
        <v>111005</v>
      </c>
      <c r="C43" s="178">
        <f t="shared" si="0"/>
        <v>5</v>
      </c>
      <c r="D43" s="179">
        <f>VLOOKUP(C43,Sheet2!$BK$11:$BN$19,VLOOKUP(B43,Sheet2!B:BC,21,FALSE)+1,FALSE)</f>
        <v>1</v>
      </c>
      <c r="E43" s="119">
        <v>0</v>
      </c>
      <c r="F43" s="13" t="s">
        <v>17</v>
      </c>
    </row>
    <row r="44" ht="16.5" spans="1:6">
      <c r="A44" s="119">
        <v>38</v>
      </c>
      <c r="B44" s="177">
        <f>VLOOKUP(ROUNDUP(A44/8,0),Sheet2!A:B,2,FALSE())</f>
        <v>111005</v>
      </c>
      <c r="C44" s="178">
        <f t="shared" si="0"/>
        <v>6</v>
      </c>
      <c r="D44" s="179">
        <f>VLOOKUP(C44,Sheet2!$BK$11:$BN$19,VLOOKUP(B44,Sheet2!B:BC,21,FALSE)+1,FALSE)</f>
        <v>1.2</v>
      </c>
      <c r="E44" s="119">
        <v>0</v>
      </c>
      <c r="F44" s="13" t="s">
        <v>17</v>
      </c>
    </row>
    <row r="45" ht="16.5" spans="1:6">
      <c r="A45" s="119">
        <v>39</v>
      </c>
      <c r="B45" s="177">
        <f>VLOOKUP(ROUNDUP(A45/8,0),Sheet2!A:B,2,FALSE())</f>
        <v>111005</v>
      </c>
      <c r="C45" s="178">
        <f t="shared" si="0"/>
        <v>7</v>
      </c>
      <c r="D45" s="179">
        <f>VLOOKUP(C45,Sheet2!$BK$11:$BN$19,VLOOKUP(B45,Sheet2!B:BC,21,FALSE)+1,FALSE)</f>
        <v>1.2</v>
      </c>
      <c r="E45" s="119">
        <v>0</v>
      </c>
      <c r="F45" s="13" t="s">
        <v>17</v>
      </c>
    </row>
    <row r="46" ht="16.5" spans="1:6">
      <c r="A46" s="119">
        <v>40</v>
      </c>
      <c r="B46" s="177">
        <f>VLOOKUP(ROUNDUP(A46/8,0),Sheet2!A:B,2,FALSE())</f>
        <v>111005</v>
      </c>
      <c r="C46" s="178">
        <f t="shared" si="0"/>
        <v>8</v>
      </c>
      <c r="D46" s="179">
        <f>VLOOKUP(C46,Sheet2!$BK$11:$BN$19,VLOOKUP(B46,Sheet2!B:BC,21,FALSE)+1,FALSE)</f>
        <v>1.2</v>
      </c>
      <c r="E46" s="119">
        <v>0</v>
      </c>
      <c r="F46" s="13" t="s">
        <v>17</v>
      </c>
    </row>
    <row r="47" ht="16.5" spans="1:6">
      <c r="A47" s="119">
        <v>41</v>
      </c>
      <c r="B47" s="177">
        <f>VLOOKUP(ROUNDUP(A47/8,0),Sheet2!A:B,2,FALSE())</f>
        <v>111006</v>
      </c>
      <c r="C47" s="178">
        <f t="shared" si="0"/>
        <v>1</v>
      </c>
      <c r="D47" s="179">
        <f>VLOOKUP(C47,Sheet2!$BK$11:$BN$19,VLOOKUP(B47,Sheet2!B:BC,21,FALSE)+1,FALSE)</f>
        <v>1</v>
      </c>
      <c r="E47" s="119">
        <v>0</v>
      </c>
      <c r="F47" s="13" t="s">
        <v>18</v>
      </c>
    </row>
    <row r="48" ht="16.5" spans="1:6">
      <c r="A48" s="119">
        <v>42</v>
      </c>
      <c r="B48" s="177">
        <f>VLOOKUP(ROUNDUP(A48/8,0),Sheet2!A:B,2,FALSE())</f>
        <v>111006</v>
      </c>
      <c r="C48" s="178">
        <f t="shared" si="0"/>
        <v>2</v>
      </c>
      <c r="D48" s="179">
        <f>VLOOKUP(C48,Sheet2!$BK$11:$BN$19,VLOOKUP(B48,Sheet2!B:BC,21,FALSE)+1,FALSE)</f>
        <v>1</v>
      </c>
      <c r="E48" s="119">
        <v>0</v>
      </c>
      <c r="F48" s="13" t="s">
        <v>18</v>
      </c>
    </row>
    <row r="49" ht="16.5" spans="1:6">
      <c r="A49" s="119">
        <v>43</v>
      </c>
      <c r="B49" s="177">
        <f>VLOOKUP(ROUNDUP(A49/8,0),Sheet2!A:B,2,FALSE())</f>
        <v>111006</v>
      </c>
      <c r="C49" s="178">
        <f t="shared" si="0"/>
        <v>3</v>
      </c>
      <c r="D49" s="179">
        <f>VLOOKUP(C49,Sheet2!$BK$11:$BN$19,VLOOKUP(B49,Sheet2!B:BC,21,FALSE)+1,FALSE)</f>
        <v>1</v>
      </c>
      <c r="E49" s="119">
        <v>0</v>
      </c>
      <c r="F49" s="13" t="s">
        <v>18</v>
      </c>
    </row>
    <row r="50" ht="16.5" spans="1:6">
      <c r="A50" s="119">
        <v>44</v>
      </c>
      <c r="B50" s="177">
        <f>VLOOKUP(ROUNDUP(A50/8,0),Sheet2!A:B,2,FALSE())</f>
        <v>111006</v>
      </c>
      <c r="C50" s="178">
        <f t="shared" si="0"/>
        <v>4</v>
      </c>
      <c r="D50" s="179">
        <f>VLOOKUP(C50,Sheet2!$BK$11:$BN$19,VLOOKUP(B50,Sheet2!B:BC,21,FALSE)+1,FALSE)</f>
        <v>1</v>
      </c>
      <c r="E50" s="119">
        <v>0</v>
      </c>
      <c r="F50" s="13" t="s">
        <v>18</v>
      </c>
    </row>
    <row r="51" ht="16.5" spans="1:6">
      <c r="A51" s="119">
        <v>45</v>
      </c>
      <c r="B51" s="177">
        <f>VLOOKUP(ROUNDUP(A51/8,0),Sheet2!A:B,2,FALSE())</f>
        <v>111006</v>
      </c>
      <c r="C51" s="178">
        <f t="shared" si="0"/>
        <v>5</v>
      </c>
      <c r="D51" s="179">
        <f>VLOOKUP(C51,Sheet2!$BK$11:$BN$19,VLOOKUP(B51,Sheet2!B:BC,21,FALSE)+1,FALSE)</f>
        <v>1</v>
      </c>
      <c r="E51" s="119">
        <v>0</v>
      </c>
      <c r="F51" s="13" t="s">
        <v>18</v>
      </c>
    </row>
    <row r="52" ht="16.5" spans="1:6">
      <c r="A52" s="119">
        <v>46</v>
      </c>
      <c r="B52" s="177">
        <f>VLOOKUP(ROUNDUP(A52/8,0),Sheet2!A:B,2,FALSE())</f>
        <v>111006</v>
      </c>
      <c r="C52" s="178">
        <f t="shared" si="0"/>
        <v>6</v>
      </c>
      <c r="D52" s="179">
        <f>VLOOKUP(C52,Sheet2!$BK$11:$BN$19,VLOOKUP(B52,Sheet2!B:BC,21,FALSE)+1,FALSE)</f>
        <v>1.2</v>
      </c>
      <c r="E52" s="119">
        <v>0</v>
      </c>
      <c r="F52" s="13" t="s">
        <v>18</v>
      </c>
    </row>
    <row r="53" ht="16.5" spans="1:6">
      <c r="A53" s="119">
        <v>47</v>
      </c>
      <c r="B53" s="177">
        <f>VLOOKUP(ROUNDUP(A53/8,0),Sheet2!A:B,2,FALSE())</f>
        <v>111006</v>
      </c>
      <c r="C53" s="178">
        <f t="shared" si="0"/>
        <v>7</v>
      </c>
      <c r="D53" s="179">
        <f>VLOOKUP(C53,Sheet2!$BK$11:$BN$19,VLOOKUP(B53,Sheet2!B:BC,21,FALSE)+1,FALSE)</f>
        <v>1.2</v>
      </c>
      <c r="E53" s="119">
        <v>0</v>
      </c>
      <c r="F53" s="13" t="s">
        <v>18</v>
      </c>
    </row>
    <row r="54" ht="16.5" spans="1:6">
      <c r="A54" s="119">
        <v>48</v>
      </c>
      <c r="B54" s="177">
        <f>VLOOKUP(ROUNDUP(A54/8,0),Sheet2!A:B,2,FALSE())</f>
        <v>111006</v>
      </c>
      <c r="C54" s="178">
        <f t="shared" si="0"/>
        <v>8</v>
      </c>
      <c r="D54" s="179">
        <f>VLOOKUP(C54,Sheet2!$BK$11:$BN$19,VLOOKUP(B54,Sheet2!B:BC,21,FALSE)+1,FALSE)</f>
        <v>1.2</v>
      </c>
      <c r="E54" s="119">
        <v>0</v>
      </c>
      <c r="F54" s="13" t="s">
        <v>18</v>
      </c>
    </row>
    <row r="55" ht="16.5" spans="1:6">
      <c r="A55" s="119">
        <v>49</v>
      </c>
      <c r="B55" s="177">
        <f>VLOOKUP(ROUNDUP(A55/8,0),Sheet2!A:B,2,FALSE())</f>
        <v>111007</v>
      </c>
      <c r="C55" s="178">
        <f t="shared" si="0"/>
        <v>1</v>
      </c>
      <c r="D55" s="179">
        <f>VLOOKUP(C55,Sheet2!$BK$11:$BN$19,VLOOKUP(B55,Sheet2!B:BC,21,FALSE)+1,FALSE)</f>
        <v>1</v>
      </c>
      <c r="E55" s="119">
        <v>0</v>
      </c>
      <c r="F55" s="13" t="s">
        <v>19</v>
      </c>
    </row>
    <row r="56" ht="16.5" spans="1:6">
      <c r="A56" s="119">
        <v>50</v>
      </c>
      <c r="B56" s="177">
        <f>VLOOKUP(ROUNDUP(A56/8,0),Sheet2!A:B,2,FALSE())</f>
        <v>111007</v>
      </c>
      <c r="C56" s="178">
        <f t="shared" si="0"/>
        <v>2</v>
      </c>
      <c r="D56" s="179">
        <f>VLOOKUP(C56,Sheet2!$BK$11:$BN$19,VLOOKUP(B56,Sheet2!B:BC,21,FALSE)+1,FALSE)</f>
        <v>1</v>
      </c>
      <c r="E56" s="119">
        <v>0</v>
      </c>
      <c r="F56" s="13" t="s">
        <v>19</v>
      </c>
    </row>
    <row r="57" ht="16.5" spans="1:6">
      <c r="A57" s="119">
        <v>51</v>
      </c>
      <c r="B57" s="177">
        <f>VLOOKUP(ROUNDUP(A57/8,0),Sheet2!A:B,2,FALSE())</f>
        <v>111007</v>
      </c>
      <c r="C57" s="178">
        <f t="shared" si="0"/>
        <v>3</v>
      </c>
      <c r="D57" s="179">
        <f>VLOOKUP(C57,Sheet2!$BK$11:$BN$19,VLOOKUP(B57,Sheet2!B:BC,21,FALSE)+1,FALSE)</f>
        <v>1</v>
      </c>
      <c r="E57" s="119">
        <v>0</v>
      </c>
      <c r="F57" s="13" t="s">
        <v>19</v>
      </c>
    </row>
    <row r="58" ht="16.5" spans="1:6">
      <c r="A58" s="119">
        <v>52</v>
      </c>
      <c r="B58" s="177">
        <f>VLOOKUP(ROUNDUP(A58/8,0),Sheet2!A:B,2,FALSE())</f>
        <v>111007</v>
      </c>
      <c r="C58" s="178">
        <f t="shared" si="0"/>
        <v>4</v>
      </c>
      <c r="D58" s="179">
        <f>VLOOKUP(C58,Sheet2!$BK$11:$BN$19,VLOOKUP(B58,Sheet2!B:BC,21,FALSE)+1,FALSE)</f>
        <v>1</v>
      </c>
      <c r="E58" s="119">
        <v>0</v>
      </c>
      <c r="F58" s="13" t="s">
        <v>19</v>
      </c>
    </row>
    <row r="59" ht="16.5" spans="1:6">
      <c r="A59" s="119">
        <v>53</v>
      </c>
      <c r="B59" s="177">
        <f>VLOOKUP(ROUNDUP(A59/8,0),Sheet2!A:B,2,FALSE())</f>
        <v>111007</v>
      </c>
      <c r="C59" s="178">
        <f t="shared" si="0"/>
        <v>5</v>
      </c>
      <c r="D59" s="179">
        <f>VLOOKUP(C59,Sheet2!$BK$11:$BN$19,VLOOKUP(B59,Sheet2!B:BC,21,FALSE)+1,FALSE)</f>
        <v>1</v>
      </c>
      <c r="E59" s="119">
        <v>0</v>
      </c>
      <c r="F59" s="13" t="s">
        <v>19</v>
      </c>
    </row>
    <row r="60" ht="16.5" spans="1:6">
      <c r="A60" s="119">
        <v>54</v>
      </c>
      <c r="B60" s="177">
        <f>VLOOKUP(ROUNDUP(A60/8,0),Sheet2!A:B,2,FALSE())</f>
        <v>111007</v>
      </c>
      <c r="C60" s="178">
        <f t="shared" si="0"/>
        <v>6</v>
      </c>
      <c r="D60" s="179">
        <f>VLOOKUP(C60,Sheet2!$BK$11:$BN$19,VLOOKUP(B60,Sheet2!B:BC,21,FALSE)+1,FALSE)</f>
        <v>1.2</v>
      </c>
      <c r="E60" s="119">
        <v>0</v>
      </c>
      <c r="F60" s="13" t="s">
        <v>19</v>
      </c>
    </row>
    <row r="61" ht="16.5" spans="1:6">
      <c r="A61" s="119">
        <v>55</v>
      </c>
      <c r="B61" s="177">
        <f>VLOOKUP(ROUNDUP(A61/8,0),Sheet2!A:B,2,FALSE())</f>
        <v>111007</v>
      </c>
      <c r="C61" s="178">
        <f t="shared" si="0"/>
        <v>7</v>
      </c>
      <c r="D61" s="179">
        <f>VLOOKUP(C61,Sheet2!$BK$11:$BN$19,VLOOKUP(B61,Sheet2!B:BC,21,FALSE)+1,FALSE)</f>
        <v>1.2</v>
      </c>
      <c r="E61" s="119">
        <v>0</v>
      </c>
      <c r="F61" s="13" t="s">
        <v>19</v>
      </c>
    </row>
    <row r="62" ht="16.5" spans="1:6">
      <c r="A62" s="119">
        <v>56</v>
      </c>
      <c r="B62" s="177">
        <f>VLOOKUP(ROUNDUP(A62/8,0),Sheet2!A:B,2,FALSE())</f>
        <v>111007</v>
      </c>
      <c r="C62" s="178">
        <f t="shared" si="0"/>
        <v>8</v>
      </c>
      <c r="D62" s="179">
        <f>VLOOKUP(C62,Sheet2!$BK$11:$BN$19,VLOOKUP(B62,Sheet2!B:BC,21,FALSE)+1,FALSE)</f>
        <v>1.2</v>
      </c>
      <c r="E62" s="119">
        <v>0</v>
      </c>
      <c r="F62" s="13" t="s">
        <v>19</v>
      </c>
    </row>
    <row r="63" ht="16.5" spans="1:6">
      <c r="A63" s="119">
        <v>57</v>
      </c>
      <c r="B63" s="177">
        <f>VLOOKUP(ROUNDUP(A63/8,0),Sheet2!A:B,2,FALSE())</f>
        <v>111008</v>
      </c>
      <c r="C63" s="178">
        <f t="shared" si="0"/>
        <v>1</v>
      </c>
      <c r="D63" s="179">
        <f>VLOOKUP(C63,Sheet2!$BK$11:$BN$19,VLOOKUP(B63,Sheet2!B:BC,21,FALSE)+1,FALSE)</f>
        <v>1</v>
      </c>
      <c r="E63" s="119">
        <v>0</v>
      </c>
      <c r="F63" s="13" t="s">
        <v>20</v>
      </c>
    </row>
    <row r="64" ht="16.5" spans="1:6">
      <c r="A64" s="119">
        <v>58</v>
      </c>
      <c r="B64" s="177">
        <f>VLOOKUP(ROUNDUP(A64/8,0),Sheet2!A:B,2,FALSE())</f>
        <v>111008</v>
      </c>
      <c r="C64" s="178">
        <f t="shared" si="0"/>
        <v>2</v>
      </c>
      <c r="D64" s="179">
        <f>VLOOKUP(C64,Sheet2!$BK$11:$BN$19,VLOOKUP(B64,Sheet2!B:BC,21,FALSE)+1,FALSE)</f>
        <v>1</v>
      </c>
      <c r="E64" s="119">
        <v>0</v>
      </c>
      <c r="F64" s="13" t="s">
        <v>20</v>
      </c>
    </row>
    <row r="65" ht="16.5" spans="1:6">
      <c r="A65" s="119">
        <v>59</v>
      </c>
      <c r="B65" s="177">
        <f>VLOOKUP(ROUNDUP(A65/8,0),Sheet2!A:B,2,FALSE())</f>
        <v>111008</v>
      </c>
      <c r="C65" s="178">
        <f t="shared" si="0"/>
        <v>3</v>
      </c>
      <c r="D65" s="179">
        <f>VLOOKUP(C65,Sheet2!$BK$11:$BN$19,VLOOKUP(B65,Sheet2!B:BC,21,FALSE)+1,FALSE)</f>
        <v>1</v>
      </c>
      <c r="E65" s="119">
        <v>0</v>
      </c>
      <c r="F65" s="13" t="s">
        <v>20</v>
      </c>
    </row>
    <row r="66" ht="16.5" spans="1:6">
      <c r="A66" s="119">
        <v>60</v>
      </c>
      <c r="B66" s="177">
        <f>VLOOKUP(ROUNDUP(A66/8,0),Sheet2!A:B,2,FALSE())</f>
        <v>111008</v>
      </c>
      <c r="C66" s="178">
        <f t="shared" si="0"/>
        <v>4</v>
      </c>
      <c r="D66" s="179">
        <f>VLOOKUP(C66,Sheet2!$BK$11:$BN$19,VLOOKUP(B66,Sheet2!B:BC,21,FALSE)+1,FALSE)</f>
        <v>1</v>
      </c>
      <c r="E66" s="119">
        <v>0</v>
      </c>
      <c r="F66" s="13" t="s">
        <v>20</v>
      </c>
    </row>
    <row r="67" ht="16.5" spans="1:6">
      <c r="A67" s="119">
        <v>61</v>
      </c>
      <c r="B67" s="177">
        <f>VLOOKUP(ROUNDUP(A67/8,0),Sheet2!A:B,2,FALSE())</f>
        <v>111008</v>
      </c>
      <c r="C67" s="178">
        <f t="shared" si="0"/>
        <v>5</v>
      </c>
      <c r="D67" s="179">
        <f>VLOOKUP(C67,Sheet2!$BK$11:$BN$19,VLOOKUP(B67,Sheet2!B:BC,21,FALSE)+1,FALSE)</f>
        <v>1</v>
      </c>
      <c r="E67" s="119">
        <v>0</v>
      </c>
      <c r="F67" s="13" t="s">
        <v>20</v>
      </c>
    </row>
    <row r="68" ht="16.5" spans="1:6">
      <c r="A68" s="119">
        <v>62</v>
      </c>
      <c r="B68" s="177">
        <f>VLOOKUP(ROUNDUP(A68/8,0),Sheet2!A:B,2,FALSE())</f>
        <v>111008</v>
      </c>
      <c r="C68" s="178">
        <f t="shared" si="0"/>
        <v>6</v>
      </c>
      <c r="D68" s="179">
        <f>VLOOKUP(C68,Sheet2!$BK$11:$BN$19,VLOOKUP(B68,Sheet2!B:BC,21,FALSE)+1,FALSE)</f>
        <v>1.2</v>
      </c>
      <c r="E68" s="119">
        <v>0</v>
      </c>
      <c r="F68" s="13" t="s">
        <v>20</v>
      </c>
    </row>
    <row r="69" ht="16.5" spans="1:6">
      <c r="A69" s="119">
        <v>63</v>
      </c>
      <c r="B69" s="177">
        <f>VLOOKUP(ROUNDUP(A69/8,0),Sheet2!A:B,2,FALSE())</f>
        <v>111008</v>
      </c>
      <c r="C69" s="178">
        <f t="shared" si="0"/>
        <v>7</v>
      </c>
      <c r="D69" s="179">
        <f>VLOOKUP(C69,Sheet2!$BK$11:$BN$19,VLOOKUP(B69,Sheet2!B:BC,21,FALSE)+1,FALSE)</f>
        <v>1.2</v>
      </c>
      <c r="E69" s="119">
        <v>0</v>
      </c>
      <c r="F69" s="13" t="s">
        <v>20</v>
      </c>
    </row>
    <row r="70" ht="16.5" spans="1:6">
      <c r="A70" s="119">
        <v>64</v>
      </c>
      <c r="B70" s="177">
        <f>VLOOKUP(ROUNDUP(A70/8,0),Sheet2!A:B,2,FALSE())</f>
        <v>111008</v>
      </c>
      <c r="C70" s="178">
        <f t="shared" si="0"/>
        <v>8</v>
      </c>
      <c r="D70" s="179">
        <f>VLOOKUP(C70,Sheet2!$BK$11:$BN$19,VLOOKUP(B70,Sheet2!B:BC,21,FALSE)+1,FALSE)</f>
        <v>1.2</v>
      </c>
      <c r="E70" s="119">
        <v>0</v>
      </c>
      <c r="F70" s="13" t="s">
        <v>20</v>
      </c>
    </row>
    <row r="71" ht="16.5" spans="1:6">
      <c r="A71" s="119">
        <v>65</v>
      </c>
      <c r="B71" s="177">
        <f>VLOOKUP(ROUNDUP(A71/8,0),Sheet2!A:B,2,FALSE())</f>
        <v>111009</v>
      </c>
      <c r="C71" s="178">
        <f t="shared" si="0"/>
        <v>1</v>
      </c>
      <c r="D71" s="179">
        <f>VLOOKUP(C71,Sheet2!$BK$11:$BN$19,VLOOKUP(B71,Sheet2!B:BC,21,FALSE)+1,FALSE)</f>
        <v>1</v>
      </c>
      <c r="E71" s="119">
        <v>0</v>
      </c>
      <c r="F71" s="13" t="s">
        <v>17</v>
      </c>
    </row>
    <row r="72" ht="16.5" spans="1:6">
      <c r="A72" s="119">
        <v>66</v>
      </c>
      <c r="B72" s="177">
        <f>VLOOKUP(ROUNDUP(A72/8,0),Sheet2!A:B,2,FALSE())</f>
        <v>111009</v>
      </c>
      <c r="C72" s="178">
        <f t="shared" si="0"/>
        <v>2</v>
      </c>
      <c r="D72" s="179">
        <f>VLOOKUP(C72,Sheet2!$BK$11:$BN$19,VLOOKUP(B72,Sheet2!B:BC,21,FALSE)+1,FALSE)</f>
        <v>1</v>
      </c>
      <c r="E72" s="119">
        <v>0</v>
      </c>
      <c r="F72" s="13" t="s">
        <v>17</v>
      </c>
    </row>
    <row r="73" ht="16.5" spans="1:6">
      <c r="A73" s="119">
        <v>67</v>
      </c>
      <c r="B73" s="177">
        <f>VLOOKUP(ROUNDUP(A73/8,0),Sheet2!A:B,2,FALSE())</f>
        <v>111009</v>
      </c>
      <c r="C73" s="178">
        <f t="shared" si="0"/>
        <v>3</v>
      </c>
      <c r="D73" s="179">
        <f>VLOOKUP(C73,Sheet2!$BK$11:$BN$19,VLOOKUP(B73,Sheet2!B:BC,21,FALSE)+1,FALSE)</f>
        <v>1</v>
      </c>
      <c r="E73" s="119">
        <v>0</v>
      </c>
      <c r="F73" s="13" t="s">
        <v>17</v>
      </c>
    </row>
    <row r="74" ht="16.5" spans="1:6">
      <c r="A74" s="119">
        <v>68</v>
      </c>
      <c r="B74" s="177">
        <f>VLOOKUP(ROUNDUP(A74/8,0),Sheet2!A:B,2,FALSE())</f>
        <v>111009</v>
      </c>
      <c r="C74" s="178">
        <f t="shared" si="0"/>
        <v>4</v>
      </c>
      <c r="D74" s="179">
        <f>VLOOKUP(C74,Sheet2!$BK$11:$BN$19,VLOOKUP(B74,Sheet2!B:BC,21,FALSE)+1,FALSE)</f>
        <v>1</v>
      </c>
      <c r="E74" s="119">
        <v>0</v>
      </c>
      <c r="F74" s="13" t="s">
        <v>17</v>
      </c>
    </row>
    <row r="75" ht="16.5" spans="1:6">
      <c r="A75" s="119">
        <v>69</v>
      </c>
      <c r="B75" s="177">
        <f>VLOOKUP(ROUNDUP(A75/8,0),Sheet2!A:B,2,FALSE())</f>
        <v>111009</v>
      </c>
      <c r="C75" s="178">
        <f t="shared" si="0"/>
        <v>5</v>
      </c>
      <c r="D75" s="179">
        <f>VLOOKUP(C75,Sheet2!$BK$11:$BN$19,VLOOKUP(B75,Sheet2!B:BC,21,FALSE)+1,FALSE)</f>
        <v>1</v>
      </c>
      <c r="E75" s="119">
        <v>0</v>
      </c>
      <c r="F75" s="13" t="s">
        <v>17</v>
      </c>
    </row>
    <row r="76" ht="16.5" spans="1:6">
      <c r="A76" s="119">
        <v>70</v>
      </c>
      <c r="B76" s="177">
        <f>VLOOKUP(ROUNDUP(A76/8,0),Sheet2!A:B,2,FALSE())</f>
        <v>111009</v>
      </c>
      <c r="C76" s="178">
        <f t="shared" si="0"/>
        <v>6</v>
      </c>
      <c r="D76" s="179">
        <f>VLOOKUP(C76,Sheet2!$BK$11:$BN$19,VLOOKUP(B76,Sheet2!B:BC,21,FALSE)+1,FALSE)</f>
        <v>1.2</v>
      </c>
      <c r="E76" s="119">
        <v>0</v>
      </c>
      <c r="F76" s="13" t="s">
        <v>17</v>
      </c>
    </row>
    <row r="77" ht="16.5" spans="1:6">
      <c r="A77" s="119">
        <v>71</v>
      </c>
      <c r="B77" s="177">
        <f>VLOOKUP(ROUNDUP(A77/8,0),Sheet2!A:B,2,FALSE())</f>
        <v>111009</v>
      </c>
      <c r="C77" s="178">
        <f t="shared" si="0"/>
        <v>7</v>
      </c>
      <c r="D77" s="179">
        <f>VLOOKUP(C77,Sheet2!$BK$11:$BN$19,VLOOKUP(B77,Sheet2!B:BC,21,FALSE)+1,FALSE)</f>
        <v>1.2</v>
      </c>
      <c r="E77" s="119">
        <v>0</v>
      </c>
      <c r="F77" s="13" t="s">
        <v>17</v>
      </c>
    </row>
    <row r="78" ht="16.5" spans="1:6">
      <c r="A78" s="119">
        <v>72</v>
      </c>
      <c r="B78" s="177">
        <f>VLOOKUP(ROUNDUP(A78/8,0),Sheet2!A:B,2,FALSE())</f>
        <v>111009</v>
      </c>
      <c r="C78" s="178">
        <f t="shared" si="0"/>
        <v>8</v>
      </c>
      <c r="D78" s="179">
        <f>VLOOKUP(C78,Sheet2!$BK$11:$BN$19,VLOOKUP(B78,Sheet2!B:BC,21,FALSE)+1,FALSE)</f>
        <v>1.2</v>
      </c>
      <c r="E78" s="119">
        <v>0</v>
      </c>
      <c r="F78" s="13" t="s">
        <v>17</v>
      </c>
    </row>
    <row r="79" ht="16.5" spans="1:6">
      <c r="A79" s="119">
        <v>73</v>
      </c>
      <c r="B79" s="177">
        <f>VLOOKUP(ROUNDUP(A79/8,0),Sheet2!A:B,2,FALSE())</f>
        <v>111010</v>
      </c>
      <c r="C79" s="178">
        <f t="shared" si="0"/>
        <v>1</v>
      </c>
      <c r="D79" s="179">
        <f>VLOOKUP(C79,Sheet2!$BK$11:$BN$19,VLOOKUP(B79,Sheet2!B:BC,21,FALSE)+1,FALSE)</f>
        <v>1</v>
      </c>
      <c r="E79" s="119">
        <v>0</v>
      </c>
      <c r="F79" s="13" t="s">
        <v>18</v>
      </c>
    </row>
    <row r="80" ht="16.5" spans="1:6">
      <c r="A80" s="119">
        <v>74</v>
      </c>
      <c r="B80" s="177">
        <f>VLOOKUP(ROUNDUP(A80/8,0),Sheet2!A:B,2,FALSE())</f>
        <v>111010</v>
      </c>
      <c r="C80" s="178">
        <f t="shared" ref="C80:C143" si="1">C72</f>
        <v>2</v>
      </c>
      <c r="D80" s="179">
        <f>VLOOKUP(C80,Sheet2!$BK$11:$BN$19,VLOOKUP(B80,Sheet2!B:BC,21,FALSE)+1,FALSE)</f>
        <v>1</v>
      </c>
      <c r="E80" s="119">
        <v>0</v>
      </c>
      <c r="F80" s="13" t="s">
        <v>18</v>
      </c>
    </row>
    <row r="81" ht="16.5" spans="1:6">
      <c r="A81" s="119">
        <v>75</v>
      </c>
      <c r="B81" s="177">
        <f>VLOOKUP(ROUNDUP(A81/8,0),Sheet2!A:B,2,FALSE())</f>
        <v>111010</v>
      </c>
      <c r="C81" s="178">
        <f t="shared" si="1"/>
        <v>3</v>
      </c>
      <c r="D81" s="179">
        <f>VLOOKUP(C81,Sheet2!$BK$11:$BN$19,VLOOKUP(B81,Sheet2!B:BC,21,FALSE)+1,FALSE)</f>
        <v>1</v>
      </c>
      <c r="E81" s="119">
        <v>0</v>
      </c>
      <c r="F81" s="13" t="s">
        <v>18</v>
      </c>
    </row>
    <row r="82" ht="16.5" spans="1:6">
      <c r="A82" s="119">
        <v>76</v>
      </c>
      <c r="B82" s="177">
        <f>VLOOKUP(ROUNDUP(A82/8,0),Sheet2!A:B,2,FALSE())</f>
        <v>111010</v>
      </c>
      <c r="C82" s="178">
        <f t="shared" si="1"/>
        <v>4</v>
      </c>
      <c r="D82" s="179">
        <f>VLOOKUP(C82,Sheet2!$BK$11:$BN$19,VLOOKUP(B82,Sheet2!B:BC,21,FALSE)+1,FALSE)</f>
        <v>1</v>
      </c>
      <c r="E82" s="119">
        <v>0</v>
      </c>
      <c r="F82" s="13" t="s">
        <v>18</v>
      </c>
    </row>
    <row r="83" ht="16.5" spans="1:6">
      <c r="A83" s="119">
        <v>77</v>
      </c>
      <c r="B83" s="177">
        <f>VLOOKUP(ROUNDUP(A83/8,0),Sheet2!A:B,2,FALSE())</f>
        <v>111010</v>
      </c>
      <c r="C83" s="178">
        <f t="shared" si="1"/>
        <v>5</v>
      </c>
      <c r="D83" s="179">
        <f>VLOOKUP(C83,Sheet2!$BK$11:$BN$19,VLOOKUP(B83,Sheet2!B:BC,21,FALSE)+1,FALSE)</f>
        <v>1</v>
      </c>
      <c r="E83" s="119">
        <v>0</v>
      </c>
      <c r="F83" s="13" t="s">
        <v>18</v>
      </c>
    </row>
    <row r="84" ht="16.5" spans="1:6">
      <c r="A84" s="119">
        <v>78</v>
      </c>
      <c r="B84" s="177">
        <f>VLOOKUP(ROUNDUP(A84/8,0),Sheet2!A:B,2,FALSE())</f>
        <v>111010</v>
      </c>
      <c r="C84" s="178">
        <f t="shared" si="1"/>
        <v>6</v>
      </c>
      <c r="D84" s="179">
        <f>VLOOKUP(C84,Sheet2!$BK$11:$BN$19,VLOOKUP(B84,Sheet2!B:BC,21,FALSE)+1,FALSE)</f>
        <v>1.2</v>
      </c>
      <c r="E84" s="119">
        <v>0</v>
      </c>
      <c r="F84" s="13" t="s">
        <v>18</v>
      </c>
    </row>
    <row r="85" ht="16.5" spans="1:6">
      <c r="A85" s="119">
        <v>79</v>
      </c>
      <c r="B85" s="177">
        <f>VLOOKUP(ROUNDUP(A85/8,0),Sheet2!A:B,2,FALSE())</f>
        <v>111010</v>
      </c>
      <c r="C85" s="178">
        <f t="shared" si="1"/>
        <v>7</v>
      </c>
      <c r="D85" s="179">
        <f>VLOOKUP(C85,Sheet2!$BK$11:$BN$19,VLOOKUP(B85,Sheet2!B:BC,21,FALSE)+1,FALSE)</f>
        <v>1.2</v>
      </c>
      <c r="E85" s="119">
        <v>0</v>
      </c>
      <c r="F85" s="13" t="s">
        <v>18</v>
      </c>
    </row>
    <row r="86" ht="16.5" spans="1:6">
      <c r="A86" s="119">
        <v>80</v>
      </c>
      <c r="B86" s="177">
        <f>VLOOKUP(ROUNDUP(A86/8,0),Sheet2!A:B,2,FALSE())</f>
        <v>111010</v>
      </c>
      <c r="C86" s="178">
        <f t="shared" si="1"/>
        <v>8</v>
      </c>
      <c r="D86" s="179">
        <f>VLOOKUP(C86,Sheet2!$BK$11:$BN$19,VLOOKUP(B86,Sheet2!B:BC,21,FALSE)+1,FALSE)</f>
        <v>1.2</v>
      </c>
      <c r="E86" s="119">
        <v>0</v>
      </c>
      <c r="F86" s="13" t="s">
        <v>18</v>
      </c>
    </row>
    <row r="87" ht="16.5" spans="1:6">
      <c r="A87" s="119">
        <v>81</v>
      </c>
      <c r="B87" s="177">
        <f>VLOOKUP(ROUNDUP(A87/8,0),Sheet2!A:B,2,FALSE())</f>
        <v>111011</v>
      </c>
      <c r="C87" s="178">
        <f t="shared" si="1"/>
        <v>1</v>
      </c>
      <c r="D87" s="179">
        <f>VLOOKUP(C87,Sheet2!$BK$11:$BN$19,VLOOKUP(B87,Sheet2!B:BC,21,FALSE)+1,FALSE)</f>
        <v>1</v>
      </c>
      <c r="E87" s="119">
        <v>0</v>
      </c>
      <c r="F87" s="13" t="s">
        <v>19</v>
      </c>
    </row>
    <row r="88" ht="16.5" spans="1:6">
      <c r="A88" s="119">
        <v>82</v>
      </c>
      <c r="B88" s="177">
        <f>VLOOKUP(ROUNDUP(A88/8,0),Sheet2!A:B,2,FALSE())</f>
        <v>111011</v>
      </c>
      <c r="C88" s="178">
        <f t="shared" si="1"/>
        <v>2</v>
      </c>
      <c r="D88" s="179">
        <f>VLOOKUP(C88,Sheet2!$BK$11:$BN$19,VLOOKUP(B88,Sheet2!B:BC,21,FALSE)+1,FALSE)</f>
        <v>1</v>
      </c>
      <c r="E88" s="119">
        <v>0</v>
      </c>
      <c r="F88" s="13" t="s">
        <v>19</v>
      </c>
    </row>
    <row r="89" ht="16.5" spans="1:6">
      <c r="A89" s="119">
        <v>83</v>
      </c>
      <c r="B89" s="177">
        <f>VLOOKUP(ROUNDUP(A89/8,0),Sheet2!A:B,2,FALSE())</f>
        <v>111011</v>
      </c>
      <c r="C89" s="178">
        <f t="shared" si="1"/>
        <v>3</v>
      </c>
      <c r="D89" s="179">
        <f>VLOOKUP(C89,Sheet2!$BK$11:$BN$19,VLOOKUP(B89,Sheet2!B:BC,21,FALSE)+1,FALSE)</f>
        <v>1</v>
      </c>
      <c r="E89" s="119">
        <v>0</v>
      </c>
      <c r="F89" s="13" t="s">
        <v>19</v>
      </c>
    </row>
    <row r="90" ht="16.5" spans="1:6">
      <c r="A90" s="119">
        <v>84</v>
      </c>
      <c r="B90" s="177">
        <f>VLOOKUP(ROUNDUP(A90/8,0),Sheet2!A:B,2,FALSE())</f>
        <v>111011</v>
      </c>
      <c r="C90" s="178">
        <f t="shared" si="1"/>
        <v>4</v>
      </c>
      <c r="D90" s="179">
        <f>VLOOKUP(C90,Sheet2!$BK$11:$BN$19,VLOOKUP(B90,Sheet2!B:BC,21,FALSE)+1,FALSE)</f>
        <v>1</v>
      </c>
      <c r="E90" s="119">
        <v>0</v>
      </c>
      <c r="F90" s="13" t="s">
        <v>19</v>
      </c>
    </row>
    <row r="91" ht="16.5" spans="1:6">
      <c r="A91" s="119">
        <v>85</v>
      </c>
      <c r="B91" s="177">
        <f>VLOOKUP(ROUNDUP(A91/8,0),Sheet2!A:B,2,FALSE())</f>
        <v>111011</v>
      </c>
      <c r="C91" s="178">
        <f t="shared" si="1"/>
        <v>5</v>
      </c>
      <c r="D91" s="179">
        <f>VLOOKUP(C91,Sheet2!$BK$11:$BN$19,VLOOKUP(B91,Sheet2!B:BC,21,FALSE)+1,FALSE)</f>
        <v>1</v>
      </c>
      <c r="E91" s="119">
        <v>0</v>
      </c>
      <c r="F91" s="13" t="s">
        <v>19</v>
      </c>
    </row>
    <row r="92" ht="16.5" spans="1:6">
      <c r="A92" s="119">
        <v>86</v>
      </c>
      <c r="B92" s="177">
        <f>VLOOKUP(ROUNDUP(A92/8,0),Sheet2!A:B,2,FALSE())</f>
        <v>111011</v>
      </c>
      <c r="C92" s="178">
        <f t="shared" si="1"/>
        <v>6</v>
      </c>
      <c r="D92" s="179">
        <f>VLOOKUP(C92,Sheet2!$BK$11:$BN$19,VLOOKUP(B92,Sheet2!B:BC,21,FALSE)+1,FALSE)</f>
        <v>1.2</v>
      </c>
      <c r="E92" s="119">
        <v>0</v>
      </c>
      <c r="F92" s="13" t="s">
        <v>19</v>
      </c>
    </row>
    <row r="93" ht="16.5" spans="1:6">
      <c r="A93" s="119">
        <v>87</v>
      </c>
      <c r="B93" s="177">
        <f>VLOOKUP(ROUNDUP(A93/8,0),Sheet2!A:B,2,FALSE())</f>
        <v>111011</v>
      </c>
      <c r="C93" s="178">
        <f t="shared" si="1"/>
        <v>7</v>
      </c>
      <c r="D93" s="179">
        <f>VLOOKUP(C93,Sheet2!$BK$11:$BN$19,VLOOKUP(B93,Sheet2!B:BC,21,FALSE)+1,FALSE)</f>
        <v>1.2</v>
      </c>
      <c r="E93" s="119">
        <v>0</v>
      </c>
      <c r="F93" s="13" t="s">
        <v>19</v>
      </c>
    </row>
    <row r="94" ht="16.5" spans="1:6">
      <c r="A94" s="119">
        <v>88</v>
      </c>
      <c r="B94" s="177">
        <f>VLOOKUP(ROUNDUP(A94/8,0),Sheet2!A:B,2,FALSE())</f>
        <v>111011</v>
      </c>
      <c r="C94" s="178">
        <f t="shared" si="1"/>
        <v>8</v>
      </c>
      <c r="D94" s="179">
        <f>VLOOKUP(C94,Sheet2!$BK$11:$BN$19,VLOOKUP(B94,Sheet2!B:BC,21,FALSE)+1,FALSE)</f>
        <v>1.2</v>
      </c>
      <c r="E94" s="119">
        <v>0</v>
      </c>
      <c r="F94" s="13" t="s">
        <v>19</v>
      </c>
    </row>
    <row r="95" ht="16.5" spans="1:6">
      <c r="A95" s="119">
        <v>89</v>
      </c>
      <c r="B95" s="177">
        <f>VLOOKUP(ROUNDUP(A95/8,0),Sheet2!A:B,2,FALSE())</f>
        <v>111012</v>
      </c>
      <c r="C95" s="178">
        <f t="shared" si="1"/>
        <v>1</v>
      </c>
      <c r="D95" s="179">
        <f>VLOOKUP(C95,Sheet2!$BK$11:$BN$19,VLOOKUP(B95,Sheet2!B:BC,21,FALSE)+1,FALSE)</f>
        <v>1</v>
      </c>
      <c r="E95" s="119">
        <v>0</v>
      </c>
      <c r="F95" s="13" t="s">
        <v>20</v>
      </c>
    </row>
    <row r="96" ht="16.5" spans="1:6">
      <c r="A96" s="119">
        <v>90</v>
      </c>
      <c r="B96" s="177">
        <f>VLOOKUP(ROUNDUP(A96/8,0),Sheet2!A:B,2,FALSE())</f>
        <v>111012</v>
      </c>
      <c r="C96" s="178">
        <f t="shared" si="1"/>
        <v>2</v>
      </c>
      <c r="D96" s="179">
        <f>VLOOKUP(C96,Sheet2!$BK$11:$BN$19,VLOOKUP(B96,Sheet2!B:BC,21,FALSE)+1,FALSE)</f>
        <v>1</v>
      </c>
      <c r="E96" s="119">
        <v>0</v>
      </c>
      <c r="F96" s="13" t="s">
        <v>20</v>
      </c>
    </row>
    <row r="97" ht="16.5" spans="1:6">
      <c r="A97" s="119">
        <v>91</v>
      </c>
      <c r="B97" s="177">
        <f>VLOOKUP(ROUNDUP(A97/8,0),Sheet2!A:B,2,FALSE())</f>
        <v>111012</v>
      </c>
      <c r="C97" s="178">
        <f t="shared" si="1"/>
        <v>3</v>
      </c>
      <c r="D97" s="179">
        <f>VLOOKUP(C97,Sheet2!$BK$11:$BN$19,VLOOKUP(B97,Sheet2!B:BC,21,FALSE)+1,FALSE)</f>
        <v>1</v>
      </c>
      <c r="E97" s="119">
        <v>0</v>
      </c>
      <c r="F97" s="13" t="s">
        <v>20</v>
      </c>
    </row>
    <row r="98" ht="16.5" spans="1:6">
      <c r="A98" s="119">
        <v>92</v>
      </c>
      <c r="B98" s="177">
        <f>VLOOKUP(ROUNDUP(A98/8,0),Sheet2!A:B,2,FALSE())</f>
        <v>111012</v>
      </c>
      <c r="C98" s="178">
        <f t="shared" si="1"/>
        <v>4</v>
      </c>
      <c r="D98" s="179">
        <f>VLOOKUP(C98,Sheet2!$BK$11:$BN$19,VLOOKUP(B98,Sheet2!B:BC,21,FALSE)+1,FALSE)</f>
        <v>1</v>
      </c>
      <c r="E98" s="119">
        <v>0</v>
      </c>
      <c r="F98" s="13" t="s">
        <v>20</v>
      </c>
    </row>
    <row r="99" ht="16.5" spans="1:6">
      <c r="A99" s="119">
        <v>93</v>
      </c>
      <c r="B99" s="177">
        <f>VLOOKUP(ROUNDUP(A99/8,0),Sheet2!A:B,2,FALSE())</f>
        <v>111012</v>
      </c>
      <c r="C99" s="178">
        <f t="shared" si="1"/>
        <v>5</v>
      </c>
      <c r="D99" s="179">
        <f>VLOOKUP(C99,Sheet2!$BK$11:$BN$19,VLOOKUP(B99,Sheet2!B:BC,21,FALSE)+1,FALSE)</f>
        <v>1</v>
      </c>
      <c r="E99" s="119">
        <v>0</v>
      </c>
      <c r="F99" s="13" t="s">
        <v>20</v>
      </c>
    </row>
    <row r="100" ht="16.5" spans="1:6">
      <c r="A100" s="119">
        <v>94</v>
      </c>
      <c r="B100" s="177">
        <f>VLOOKUP(ROUNDUP(A100/8,0),Sheet2!A:B,2,FALSE())</f>
        <v>111012</v>
      </c>
      <c r="C100" s="178">
        <f t="shared" si="1"/>
        <v>6</v>
      </c>
      <c r="D100" s="179">
        <f>VLOOKUP(C100,Sheet2!$BK$11:$BN$19,VLOOKUP(B100,Sheet2!B:BC,21,FALSE)+1,FALSE)</f>
        <v>1.2</v>
      </c>
      <c r="E100" s="119">
        <v>0</v>
      </c>
      <c r="F100" s="13" t="s">
        <v>20</v>
      </c>
    </row>
    <row r="101" ht="16.5" spans="1:6">
      <c r="A101" s="119">
        <v>95</v>
      </c>
      <c r="B101" s="177">
        <f>VLOOKUP(ROUNDUP(A101/8,0),Sheet2!A:B,2,FALSE())</f>
        <v>111012</v>
      </c>
      <c r="C101" s="178">
        <f t="shared" si="1"/>
        <v>7</v>
      </c>
      <c r="D101" s="179">
        <f>VLOOKUP(C101,Sheet2!$BK$11:$BN$19,VLOOKUP(B101,Sheet2!B:BC,21,FALSE)+1,FALSE)</f>
        <v>1.2</v>
      </c>
      <c r="E101" s="119">
        <v>0</v>
      </c>
      <c r="F101" s="13" t="s">
        <v>20</v>
      </c>
    </row>
    <row r="102" ht="16.5" spans="1:6">
      <c r="A102" s="119">
        <v>96</v>
      </c>
      <c r="B102" s="177">
        <f>VLOOKUP(ROUNDUP(A102/8,0),Sheet2!A:B,2,FALSE())</f>
        <v>111012</v>
      </c>
      <c r="C102" s="178">
        <f t="shared" si="1"/>
        <v>8</v>
      </c>
      <c r="D102" s="179">
        <f>VLOOKUP(C102,Sheet2!$BK$11:$BN$19,VLOOKUP(B102,Sheet2!B:BC,21,FALSE)+1,FALSE)</f>
        <v>1.2</v>
      </c>
      <c r="E102" s="119">
        <v>0</v>
      </c>
      <c r="F102" s="13" t="s">
        <v>20</v>
      </c>
    </row>
    <row r="103" ht="16.5" spans="1:6">
      <c r="A103" s="119">
        <v>97</v>
      </c>
      <c r="B103" s="177">
        <f>VLOOKUP(ROUNDUP(A103/8,0),Sheet2!A:B,2,FALSE())</f>
        <v>111013</v>
      </c>
      <c r="C103" s="178">
        <f t="shared" si="1"/>
        <v>1</v>
      </c>
      <c r="D103" s="179">
        <f>VLOOKUP(C103,Sheet2!$BK$11:$BN$19,VLOOKUP(B103,Sheet2!B:BC,21,FALSE)+1,FALSE)</f>
        <v>1</v>
      </c>
      <c r="E103" s="119">
        <v>0</v>
      </c>
      <c r="F103" s="13" t="s">
        <v>17</v>
      </c>
    </row>
    <row r="104" ht="16.5" spans="1:6">
      <c r="A104" s="119">
        <v>98</v>
      </c>
      <c r="B104" s="177">
        <f>VLOOKUP(ROUNDUP(A104/8,0),Sheet2!A:B,2,FALSE())</f>
        <v>111013</v>
      </c>
      <c r="C104" s="178">
        <f t="shared" si="1"/>
        <v>2</v>
      </c>
      <c r="D104" s="179">
        <f>VLOOKUP(C104,Sheet2!$BK$11:$BN$19,VLOOKUP(B104,Sheet2!B:BC,21,FALSE)+1,FALSE)</f>
        <v>1</v>
      </c>
      <c r="E104" s="119">
        <v>0</v>
      </c>
      <c r="F104" s="13" t="s">
        <v>17</v>
      </c>
    </row>
    <row r="105" ht="16.5" spans="1:6">
      <c r="A105" s="119">
        <v>99</v>
      </c>
      <c r="B105" s="177">
        <f>VLOOKUP(ROUNDUP(A105/8,0),Sheet2!A:B,2,FALSE())</f>
        <v>111013</v>
      </c>
      <c r="C105" s="178">
        <f t="shared" si="1"/>
        <v>3</v>
      </c>
      <c r="D105" s="179">
        <f>VLOOKUP(C105,Sheet2!$BK$11:$BN$19,VLOOKUP(B105,Sheet2!B:BC,21,FALSE)+1,FALSE)</f>
        <v>1</v>
      </c>
      <c r="E105" s="119">
        <v>0</v>
      </c>
      <c r="F105" s="13" t="s">
        <v>17</v>
      </c>
    </row>
    <row r="106" ht="16.5" spans="1:6">
      <c r="A106" s="119">
        <v>100</v>
      </c>
      <c r="B106" s="177">
        <f>VLOOKUP(ROUNDUP(A106/8,0),Sheet2!A:B,2,FALSE())</f>
        <v>111013</v>
      </c>
      <c r="C106" s="178">
        <f t="shared" si="1"/>
        <v>4</v>
      </c>
      <c r="D106" s="179">
        <f>VLOOKUP(C106,Sheet2!$BK$11:$BN$19,VLOOKUP(B106,Sheet2!B:BC,21,FALSE)+1,FALSE)</f>
        <v>1</v>
      </c>
      <c r="E106" s="119">
        <v>0</v>
      </c>
      <c r="F106" s="13" t="s">
        <v>17</v>
      </c>
    </row>
    <row r="107" ht="16.5" spans="1:6">
      <c r="A107" s="119">
        <v>101</v>
      </c>
      <c r="B107" s="177">
        <f>VLOOKUP(ROUNDUP(A107/8,0),Sheet2!A:B,2,FALSE())</f>
        <v>111013</v>
      </c>
      <c r="C107" s="178">
        <f t="shared" si="1"/>
        <v>5</v>
      </c>
      <c r="D107" s="179">
        <f>VLOOKUP(C107,Sheet2!$BK$11:$BN$19,VLOOKUP(B107,Sheet2!B:BC,21,FALSE)+1,FALSE)</f>
        <v>1</v>
      </c>
      <c r="E107" s="119">
        <v>0</v>
      </c>
      <c r="F107" s="13" t="s">
        <v>17</v>
      </c>
    </row>
    <row r="108" ht="16.5" spans="1:6">
      <c r="A108" s="119">
        <v>102</v>
      </c>
      <c r="B108" s="177">
        <f>VLOOKUP(ROUNDUP(A108/8,0),Sheet2!A:B,2,FALSE())</f>
        <v>111013</v>
      </c>
      <c r="C108" s="178">
        <f t="shared" si="1"/>
        <v>6</v>
      </c>
      <c r="D108" s="179">
        <f>VLOOKUP(C108,Sheet2!$BK$11:$BN$19,VLOOKUP(B108,Sheet2!B:BC,21,FALSE)+1,FALSE)</f>
        <v>1.2</v>
      </c>
      <c r="E108" s="119">
        <v>0</v>
      </c>
      <c r="F108" s="13" t="s">
        <v>17</v>
      </c>
    </row>
    <row r="109" ht="16.5" spans="1:6">
      <c r="A109" s="119">
        <v>103</v>
      </c>
      <c r="B109" s="177">
        <f>VLOOKUP(ROUNDUP(A109/8,0),Sheet2!A:B,2,FALSE())</f>
        <v>111013</v>
      </c>
      <c r="C109" s="178">
        <f t="shared" si="1"/>
        <v>7</v>
      </c>
      <c r="D109" s="179">
        <f>VLOOKUP(C109,Sheet2!$BK$11:$BN$19,VLOOKUP(B109,Sheet2!B:BC,21,FALSE)+1,FALSE)</f>
        <v>1.2</v>
      </c>
      <c r="E109" s="119">
        <v>0</v>
      </c>
      <c r="F109" s="13" t="s">
        <v>17</v>
      </c>
    </row>
    <row r="110" ht="16.5" spans="1:6">
      <c r="A110" s="119">
        <v>104</v>
      </c>
      <c r="B110" s="177">
        <f>VLOOKUP(ROUNDUP(A110/8,0),Sheet2!A:B,2,FALSE())</f>
        <v>111013</v>
      </c>
      <c r="C110" s="178">
        <f t="shared" si="1"/>
        <v>8</v>
      </c>
      <c r="D110" s="179">
        <f>VLOOKUP(C110,Sheet2!$BK$11:$BN$19,VLOOKUP(B110,Sheet2!B:BC,21,FALSE)+1,FALSE)</f>
        <v>1.2</v>
      </c>
      <c r="E110" s="119">
        <v>0</v>
      </c>
      <c r="F110" s="13" t="s">
        <v>17</v>
      </c>
    </row>
    <row r="111" ht="16.5" spans="1:6">
      <c r="A111" s="119">
        <v>105</v>
      </c>
      <c r="B111" s="177">
        <f>VLOOKUP(ROUNDUP(A111/8,0),Sheet2!A:B,2,FALSE())</f>
        <v>111014</v>
      </c>
      <c r="C111" s="178">
        <f t="shared" si="1"/>
        <v>1</v>
      </c>
      <c r="D111" s="179">
        <f>VLOOKUP(C111,Sheet2!$BK$11:$BN$19,VLOOKUP(B111,Sheet2!B:BC,21,FALSE)+1,FALSE)</f>
        <v>1</v>
      </c>
      <c r="E111" s="119">
        <v>0</v>
      </c>
      <c r="F111" s="13" t="s">
        <v>18</v>
      </c>
    </row>
    <row r="112" ht="16.5" spans="1:6">
      <c r="A112" s="119">
        <v>106</v>
      </c>
      <c r="B112" s="177">
        <f>VLOOKUP(ROUNDUP(A112/8,0),Sheet2!A:B,2,FALSE())</f>
        <v>111014</v>
      </c>
      <c r="C112" s="178">
        <f t="shared" si="1"/>
        <v>2</v>
      </c>
      <c r="D112" s="179">
        <f>VLOOKUP(C112,Sheet2!$BK$11:$BN$19,VLOOKUP(B112,Sheet2!B:BC,21,FALSE)+1,FALSE)</f>
        <v>1</v>
      </c>
      <c r="E112" s="119">
        <v>0</v>
      </c>
      <c r="F112" s="13" t="s">
        <v>18</v>
      </c>
    </row>
    <row r="113" ht="16.5" spans="1:6">
      <c r="A113" s="119">
        <v>107</v>
      </c>
      <c r="B113" s="177">
        <f>VLOOKUP(ROUNDUP(A113/8,0),Sheet2!A:B,2,FALSE())</f>
        <v>111014</v>
      </c>
      <c r="C113" s="178">
        <f t="shared" si="1"/>
        <v>3</v>
      </c>
      <c r="D113" s="179">
        <f>VLOOKUP(C113,Sheet2!$BK$11:$BN$19,VLOOKUP(B113,Sheet2!B:BC,21,FALSE)+1,FALSE)</f>
        <v>1</v>
      </c>
      <c r="E113" s="119">
        <v>0</v>
      </c>
      <c r="F113" s="13" t="s">
        <v>18</v>
      </c>
    </row>
    <row r="114" ht="16.5" spans="1:6">
      <c r="A114" s="119">
        <v>108</v>
      </c>
      <c r="B114" s="177">
        <f>VLOOKUP(ROUNDUP(A114/8,0),Sheet2!A:B,2,FALSE())</f>
        <v>111014</v>
      </c>
      <c r="C114" s="178">
        <f t="shared" si="1"/>
        <v>4</v>
      </c>
      <c r="D114" s="179">
        <f>VLOOKUP(C114,Sheet2!$BK$11:$BN$19,VLOOKUP(B114,Sheet2!B:BC,21,FALSE)+1,FALSE)</f>
        <v>1</v>
      </c>
      <c r="E114" s="119">
        <v>0</v>
      </c>
      <c r="F114" s="13" t="s">
        <v>18</v>
      </c>
    </row>
    <row r="115" ht="16.5" spans="1:6">
      <c r="A115" s="119">
        <v>109</v>
      </c>
      <c r="B115" s="177">
        <f>VLOOKUP(ROUNDUP(A115/8,0),Sheet2!A:B,2,FALSE())</f>
        <v>111014</v>
      </c>
      <c r="C115" s="178">
        <f t="shared" si="1"/>
        <v>5</v>
      </c>
      <c r="D115" s="179">
        <f>VLOOKUP(C115,Sheet2!$BK$11:$BN$19,VLOOKUP(B115,Sheet2!B:BC,21,FALSE)+1,FALSE)</f>
        <v>1</v>
      </c>
      <c r="E115" s="119">
        <v>0</v>
      </c>
      <c r="F115" s="13" t="s">
        <v>18</v>
      </c>
    </row>
    <row r="116" ht="16.5" spans="1:6">
      <c r="A116" s="119">
        <v>110</v>
      </c>
      <c r="B116" s="177">
        <f>VLOOKUP(ROUNDUP(A116/8,0),Sheet2!A:B,2,FALSE())</f>
        <v>111014</v>
      </c>
      <c r="C116" s="178">
        <f t="shared" si="1"/>
        <v>6</v>
      </c>
      <c r="D116" s="179">
        <f>VLOOKUP(C116,Sheet2!$BK$11:$BN$19,VLOOKUP(B116,Sheet2!B:BC,21,FALSE)+1,FALSE)</f>
        <v>1.2</v>
      </c>
      <c r="E116" s="119">
        <v>0</v>
      </c>
      <c r="F116" s="13" t="s">
        <v>18</v>
      </c>
    </row>
    <row r="117" ht="16.5" spans="1:6">
      <c r="A117" s="119">
        <v>111</v>
      </c>
      <c r="B117" s="177">
        <f>VLOOKUP(ROUNDUP(A117/8,0),Sheet2!A:B,2,FALSE())</f>
        <v>111014</v>
      </c>
      <c r="C117" s="178">
        <f t="shared" si="1"/>
        <v>7</v>
      </c>
      <c r="D117" s="179">
        <f>VLOOKUP(C117,Sheet2!$BK$11:$BN$19,VLOOKUP(B117,Sheet2!B:BC,21,FALSE)+1,FALSE)</f>
        <v>1.2</v>
      </c>
      <c r="E117" s="119">
        <v>0</v>
      </c>
      <c r="F117" s="13" t="s">
        <v>18</v>
      </c>
    </row>
    <row r="118" ht="16.5" spans="1:6">
      <c r="A118" s="119">
        <v>112</v>
      </c>
      <c r="B118" s="177">
        <f>VLOOKUP(ROUNDUP(A118/8,0),Sheet2!A:B,2,FALSE())</f>
        <v>111014</v>
      </c>
      <c r="C118" s="178">
        <f t="shared" si="1"/>
        <v>8</v>
      </c>
      <c r="D118" s="179">
        <f>VLOOKUP(C118,Sheet2!$BK$11:$BN$19,VLOOKUP(B118,Sheet2!B:BC,21,FALSE)+1,FALSE)</f>
        <v>1.2</v>
      </c>
      <c r="E118" s="119">
        <v>0</v>
      </c>
      <c r="F118" s="13" t="s">
        <v>18</v>
      </c>
    </row>
    <row r="119" ht="16.5" spans="1:6">
      <c r="A119" s="119">
        <v>113</v>
      </c>
      <c r="B119" s="177">
        <f>VLOOKUP(ROUNDUP(A119/8,0),Sheet2!A:B,2,FALSE())</f>
        <v>111015</v>
      </c>
      <c r="C119" s="178">
        <f t="shared" si="1"/>
        <v>1</v>
      </c>
      <c r="D119" s="179">
        <f>VLOOKUP(C119,Sheet2!$BK$11:$BN$19,VLOOKUP(B119,Sheet2!B:BC,21,FALSE)+1,FALSE)</f>
        <v>1</v>
      </c>
      <c r="E119" s="119">
        <v>0</v>
      </c>
      <c r="F119" s="13" t="s">
        <v>19</v>
      </c>
    </row>
    <row r="120" ht="16.5" spans="1:6">
      <c r="A120" s="119">
        <v>114</v>
      </c>
      <c r="B120" s="177">
        <f>VLOOKUP(ROUNDUP(A120/8,0),Sheet2!A:B,2,FALSE())</f>
        <v>111015</v>
      </c>
      <c r="C120" s="178">
        <f t="shared" si="1"/>
        <v>2</v>
      </c>
      <c r="D120" s="179">
        <f>VLOOKUP(C120,Sheet2!$BK$11:$BN$19,VLOOKUP(B120,Sheet2!B:BC,21,FALSE)+1,FALSE)</f>
        <v>1</v>
      </c>
      <c r="E120" s="119">
        <v>0</v>
      </c>
      <c r="F120" s="13" t="s">
        <v>19</v>
      </c>
    </row>
    <row r="121" ht="16.5" spans="1:6">
      <c r="A121" s="119">
        <v>115</v>
      </c>
      <c r="B121" s="177">
        <f>VLOOKUP(ROUNDUP(A121/8,0),Sheet2!A:B,2,FALSE())</f>
        <v>111015</v>
      </c>
      <c r="C121" s="178">
        <f t="shared" si="1"/>
        <v>3</v>
      </c>
      <c r="D121" s="179">
        <f>VLOOKUP(C121,Sheet2!$BK$11:$BN$19,VLOOKUP(B121,Sheet2!B:BC,21,FALSE)+1,FALSE)</f>
        <v>1</v>
      </c>
      <c r="E121" s="119">
        <v>0</v>
      </c>
      <c r="F121" s="13" t="s">
        <v>19</v>
      </c>
    </row>
    <row r="122" ht="16.5" spans="1:6">
      <c r="A122" s="119">
        <v>116</v>
      </c>
      <c r="B122" s="177">
        <f>VLOOKUP(ROUNDUP(A122/8,0),Sheet2!A:B,2,FALSE())</f>
        <v>111015</v>
      </c>
      <c r="C122" s="178">
        <f t="shared" si="1"/>
        <v>4</v>
      </c>
      <c r="D122" s="179">
        <f>VLOOKUP(C122,Sheet2!$BK$11:$BN$19,VLOOKUP(B122,Sheet2!B:BC,21,FALSE)+1,FALSE)</f>
        <v>1</v>
      </c>
      <c r="E122" s="119">
        <v>0</v>
      </c>
      <c r="F122" s="13" t="s">
        <v>19</v>
      </c>
    </row>
    <row r="123" ht="16.5" spans="1:6">
      <c r="A123" s="119">
        <v>117</v>
      </c>
      <c r="B123" s="177">
        <f>VLOOKUP(ROUNDUP(A123/8,0),Sheet2!A:B,2,FALSE())</f>
        <v>111015</v>
      </c>
      <c r="C123" s="178">
        <f t="shared" si="1"/>
        <v>5</v>
      </c>
      <c r="D123" s="179">
        <f>VLOOKUP(C123,Sheet2!$BK$11:$BN$19,VLOOKUP(B123,Sheet2!B:BC,21,FALSE)+1,FALSE)</f>
        <v>1</v>
      </c>
      <c r="E123" s="119">
        <v>0</v>
      </c>
      <c r="F123" s="13" t="s">
        <v>19</v>
      </c>
    </row>
    <row r="124" ht="16.5" spans="1:6">
      <c r="A124" s="119">
        <v>118</v>
      </c>
      <c r="B124" s="177">
        <f>VLOOKUP(ROUNDUP(A124/8,0),Sheet2!A:B,2,FALSE())</f>
        <v>111015</v>
      </c>
      <c r="C124" s="178">
        <f t="shared" si="1"/>
        <v>6</v>
      </c>
      <c r="D124" s="179">
        <f>VLOOKUP(C124,Sheet2!$BK$11:$BN$19,VLOOKUP(B124,Sheet2!B:BC,21,FALSE)+1,FALSE)</f>
        <v>1.2</v>
      </c>
      <c r="E124" s="119">
        <v>0</v>
      </c>
      <c r="F124" s="13" t="s">
        <v>19</v>
      </c>
    </row>
    <row r="125" ht="16.5" spans="1:6">
      <c r="A125" s="119">
        <v>119</v>
      </c>
      <c r="B125" s="177">
        <f>VLOOKUP(ROUNDUP(A125/8,0),Sheet2!A:B,2,FALSE())</f>
        <v>111015</v>
      </c>
      <c r="C125" s="178">
        <f t="shared" si="1"/>
        <v>7</v>
      </c>
      <c r="D125" s="179">
        <f>VLOOKUP(C125,Sheet2!$BK$11:$BN$19,VLOOKUP(B125,Sheet2!B:BC,21,FALSE)+1,FALSE)</f>
        <v>1.2</v>
      </c>
      <c r="E125" s="119">
        <v>0</v>
      </c>
      <c r="F125" s="13" t="s">
        <v>19</v>
      </c>
    </row>
    <row r="126" ht="16.5" spans="1:6">
      <c r="A126" s="119">
        <v>120</v>
      </c>
      <c r="B126" s="177">
        <f>VLOOKUP(ROUNDUP(A126/8,0),Sheet2!A:B,2,FALSE())</f>
        <v>111015</v>
      </c>
      <c r="C126" s="178">
        <f t="shared" si="1"/>
        <v>8</v>
      </c>
      <c r="D126" s="179">
        <f>VLOOKUP(C126,Sheet2!$BK$11:$BN$19,VLOOKUP(B126,Sheet2!B:BC,21,FALSE)+1,FALSE)</f>
        <v>1.2</v>
      </c>
      <c r="E126" s="119">
        <v>0</v>
      </c>
      <c r="F126" s="13" t="s">
        <v>19</v>
      </c>
    </row>
    <row r="127" ht="16.5" spans="1:6">
      <c r="A127" s="119">
        <v>121</v>
      </c>
      <c r="B127" s="177">
        <f>VLOOKUP(ROUNDUP(A127/8,0),Sheet2!A:B,2,FALSE())</f>
        <v>111016</v>
      </c>
      <c r="C127" s="178">
        <f t="shared" si="1"/>
        <v>1</v>
      </c>
      <c r="D127" s="179">
        <f>VLOOKUP(C127,Sheet2!$BK$11:$BN$19,VLOOKUP(B127,Sheet2!B:BC,21,FALSE)+1,FALSE)</f>
        <v>1</v>
      </c>
      <c r="E127" s="119">
        <v>0</v>
      </c>
      <c r="F127" s="13" t="s">
        <v>20</v>
      </c>
    </row>
    <row r="128" ht="16.5" spans="1:6">
      <c r="A128" s="119">
        <v>122</v>
      </c>
      <c r="B128" s="177">
        <f>VLOOKUP(ROUNDUP(A128/8,0),Sheet2!A:B,2,FALSE())</f>
        <v>111016</v>
      </c>
      <c r="C128" s="178">
        <f t="shared" si="1"/>
        <v>2</v>
      </c>
      <c r="D128" s="179">
        <f>VLOOKUP(C128,Sheet2!$BK$11:$BN$19,VLOOKUP(B128,Sheet2!B:BC,21,FALSE)+1,FALSE)</f>
        <v>1</v>
      </c>
      <c r="E128" s="119">
        <v>0</v>
      </c>
      <c r="F128" s="13" t="s">
        <v>20</v>
      </c>
    </row>
    <row r="129" ht="16.5" spans="1:6">
      <c r="A129" s="119">
        <v>123</v>
      </c>
      <c r="B129" s="177">
        <f>VLOOKUP(ROUNDUP(A129/8,0),Sheet2!A:B,2,FALSE())</f>
        <v>111016</v>
      </c>
      <c r="C129" s="178">
        <f t="shared" si="1"/>
        <v>3</v>
      </c>
      <c r="D129" s="179">
        <f>VLOOKUP(C129,Sheet2!$BK$11:$BN$19,VLOOKUP(B129,Sheet2!B:BC,21,FALSE)+1,FALSE)</f>
        <v>1</v>
      </c>
      <c r="E129" s="119">
        <v>0</v>
      </c>
      <c r="F129" s="13" t="s">
        <v>20</v>
      </c>
    </row>
    <row r="130" ht="16.5" spans="1:6">
      <c r="A130" s="119">
        <v>124</v>
      </c>
      <c r="B130" s="177">
        <f>VLOOKUP(ROUNDUP(A130/8,0),Sheet2!A:B,2,FALSE())</f>
        <v>111016</v>
      </c>
      <c r="C130" s="178">
        <f t="shared" si="1"/>
        <v>4</v>
      </c>
      <c r="D130" s="179">
        <f>VLOOKUP(C130,Sheet2!$BK$11:$BN$19,VLOOKUP(B130,Sheet2!B:BC,21,FALSE)+1,FALSE)</f>
        <v>1</v>
      </c>
      <c r="E130" s="119">
        <v>0</v>
      </c>
      <c r="F130" s="13" t="s">
        <v>20</v>
      </c>
    </row>
    <row r="131" ht="16.5" spans="1:6">
      <c r="A131" s="119">
        <v>125</v>
      </c>
      <c r="B131" s="177">
        <f>VLOOKUP(ROUNDUP(A131/8,0),Sheet2!A:B,2,FALSE())</f>
        <v>111016</v>
      </c>
      <c r="C131" s="178">
        <f t="shared" si="1"/>
        <v>5</v>
      </c>
      <c r="D131" s="179">
        <f>VLOOKUP(C131,Sheet2!$BK$11:$BN$19,VLOOKUP(B131,Sheet2!B:BC,21,FALSE)+1,FALSE)</f>
        <v>1</v>
      </c>
      <c r="E131" s="119">
        <v>0</v>
      </c>
      <c r="F131" s="13" t="s">
        <v>20</v>
      </c>
    </row>
    <row r="132" ht="16.5" spans="1:6">
      <c r="A132" s="119">
        <v>126</v>
      </c>
      <c r="B132" s="177">
        <f>VLOOKUP(ROUNDUP(A132/8,0),Sheet2!A:B,2,FALSE())</f>
        <v>111016</v>
      </c>
      <c r="C132" s="178">
        <f t="shared" si="1"/>
        <v>6</v>
      </c>
      <c r="D132" s="179">
        <f>VLOOKUP(C132,Sheet2!$BK$11:$BN$19,VLOOKUP(B132,Sheet2!B:BC,21,FALSE)+1,FALSE)</f>
        <v>1.2</v>
      </c>
      <c r="E132" s="119">
        <v>0</v>
      </c>
      <c r="F132" s="13" t="s">
        <v>20</v>
      </c>
    </row>
    <row r="133" ht="16.5" spans="1:6">
      <c r="A133" s="119">
        <v>127</v>
      </c>
      <c r="B133" s="177">
        <f>VLOOKUP(ROUNDUP(A133/8,0),Sheet2!A:B,2,FALSE())</f>
        <v>111016</v>
      </c>
      <c r="C133" s="178">
        <f t="shared" si="1"/>
        <v>7</v>
      </c>
      <c r="D133" s="179">
        <f>VLOOKUP(C133,Sheet2!$BK$11:$BN$19,VLOOKUP(B133,Sheet2!B:BC,21,FALSE)+1,FALSE)</f>
        <v>1.2</v>
      </c>
      <c r="E133" s="119">
        <v>0</v>
      </c>
      <c r="F133" s="13" t="s">
        <v>20</v>
      </c>
    </row>
    <row r="134" ht="16.5" spans="1:6">
      <c r="A134" s="119">
        <v>128</v>
      </c>
      <c r="B134" s="177">
        <f>VLOOKUP(ROUNDUP(A134/8,0),Sheet2!A:B,2,FALSE())</f>
        <v>111016</v>
      </c>
      <c r="C134" s="178">
        <f t="shared" si="1"/>
        <v>8</v>
      </c>
      <c r="D134" s="179">
        <f>VLOOKUP(C134,Sheet2!$BK$11:$BN$19,VLOOKUP(B134,Sheet2!B:BC,21,FALSE)+1,FALSE)</f>
        <v>1.2</v>
      </c>
      <c r="E134" s="119">
        <v>0</v>
      </c>
      <c r="F134" s="13" t="s">
        <v>20</v>
      </c>
    </row>
    <row r="135" ht="16.5" spans="1:6">
      <c r="A135" s="119">
        <v>129</v>
      </c>
      <c r="B135" s="177">
        <f>VLOOKUP(ROUNDUP(A135/8,0),Sheet2!A:B,2,FALSE())</f>
        <v>111017</v>
      </c>
      <c r="C135" s="178">
        <f t="shared" si="1"/>
        <v>1</v>
      </c>
      <c r="D135" s="179">
        <f>VLOOKUP(C135,Sheet2!$BK$11:$BN$19,VLOOKUP(B135,Sheet2!B:BC,21,FALSE)+1,FALSE)</f>
        <v>1</v>
      </c>
      <c r="E135" s="119">
        <v>0</v>
      </c>
      <c r="F135" s="13" t="s">
        <v>21</v>
      </c>
    </row>
    <row r="136" ht="16.5" spans="1:6">
      <c r="A136" s="119">
        <v>130</v>
      </c>
      <c r="B136" s="177">
        <f>VLOOKUP(ROUNDUP(A136/8,0),Sheet2!A:B,2,FALSE())</f>
        <v>111017</v>
      </c>
      <c r="C136" s="178">
        <f t="shared" si="1"/>
        <v>2</v>
      </c>
      <c r="D136" s="179">
        <f>VLOOKUP(C136,Sheet2!$BK$11:$BN$19,VLOOKUP(B136,Sheet2!B:BC,21,FALSE)+1,FALSE)</f>
        <v>1</v>
      </c>
      <c r="E136" s="119">
        <v>0</v>
      </c>
      <c r="F136" s="13" t="s">
        <v>21</v>
      </c>
    </row>
    <row r="137" ht="16.5" spans="1:6">
      <c r="A137" s="119">
        <v>131</v>
      </c>
      <c r="B137" s="177">
        <f>VLOOKUP(ROUNDUP(A137/8,0),Sheet2!A:B,2,FALSE())</f>
        <v>111017</v>
      </c>
      <c r="C137" s="178">
        <f t="shared" si="1"/>
        <v>3</v>
      </c>
      <c r="D137" s="179">
        <f>VLOOKUP(C137,Sheet2!$BK$11:$BN$19,VLOOKUP(B137,Sheet2!B:BC,21,FALSE)+1,FALSE)</f>
        <v>1</v>
      </c>
      <c r="E137" s="119">
        <v>0</v>
      </c>
      <c r="F137" s="13" t="s">
        <v>21</v>
      </c>
    </row>
    <row r="138" ht="16.5" spans="1:6">
      <c r="A138" s="119">
        <v>132</v>
      </c>
      <c r="B138" s="177">
        <f>VLOOKUP(ROUNDUP(A138/8,0),Sheet2!A:B,2,FALSE())</f>
        <v>111017</v>
      </c>
      <c r="C138" s="178">
        <f t="shared" si="1"/>
        <v>4</v>
      </c>
      <c r="D138" s="179">
        <f>VLOOKUP(C138,Sheet2!$BK$11:$BN$19,VLOOKUP(B138,Sheet2!B:BC,21,FALSE)+1,FALSE)</f>
        <v>1</v>
      </c>
      <c r="E138" s="119">
        <v>0</v>
      </c>
      <c r="F138" s="13" t="s">
        <v>21</v>
      </c>
    </row>
    <row r="139" ht="16.5" spans="1:6">
      <c r="A139" s="119">
        <v>133</v>
      </c>
      <c r="B139" s="177">
        <f>VLOOKUP(ROUNDUP(A139/8,0),Sheet2!A:B,2,FALSE())</f>
        <v>111017</v>
      </c>
      <c r="C139" s="178">
        <f t="shared" si="1"/>
        <v>5</v>
      </c>
      <c r="D139" s="179">
        <f>VLOOKUP(C139,Sheet2!$BK$11:$BN$19,VLOOKUP(B139,Sheet2!B:BC,21,FALSE)+1,FALSE)</f>
        <v>1</v>
      </c>
      <c r="E139" s="119">
        <v>0</v>
      </c>
      <c r="F139" s="13" t="s">
        <v>21</v>
      </c>
    </row>
    <row r="140" ht="16.5" spans="1:6">
      <c r="A140" s="119">
        <v>134</v>
      </c>
      <c r="B140" s="177">
        <f>VLOOKUP(ROUNDUP(A140/8,0),Sheet2!A:B,2,FALSE())</f>
        <v>111017</v>
      </c>
      <c r="C140" s="178">
        <f t="shared" si="1"/>
        <v>6</v>
      </c>
      <c r="D140" s="179">
        <f>VLOOKUP(C140,Sheet2!$BK$11:$BN$19,VLOOKUP(B140,Sheet2!B:BC,21,FALSE)+1,FALSE)</f>
        <v>1.2</v>
      </c>
      <c r="E140" s="119">
        <v>0</v>
      </c>
      <c r="F140" s="13" t="s">
        <v>21</v>
      </c>
    </row>
    <row r="141" ht="16.5" spans="1:6">
      <c r="A141" s="119">
        <v>135</v>
      </c>
      <c r="B141" s="177">
        <f>VLOOKUP(ROUNDUP(A141/8,0),Sheet2!A:B,2,FALSE())</f>
        <v>111017</v>
      </c>
      <c r="C141" s="178">
        <f t="shared" si="1"/>
        <v>7</v>
      </c>
      <c r="D141" s="179">
        <f>VLOOKUP(C141,Sheet2!$BK$11:$BN$19,VLOOKUP(B141,Sheet2!B:BC,21,FALSE)+1,FALSE)</f>
        <v>1.2</v>
      </c>
      <c r="E141" s="119">
        <v>0</v>
      </c>
      <c r="F141" s="13" t="s">
        <v>21</v>
      </c>
    </row>
    <row r="142" ht="16.5" spans="1:6">
      <c r="A142" s="119">
        <v>136</v>
      </c>
      <c r="B142" s="177">
        <f>VLOOKUP(ROUNDUP(A142/8,0),Sheet2!A:B,2,FALSE())</f>
        <v>111017</v>
      </c>
      <c r="C142" s="178">
        <f t="shared" si="1"/>
        <v>8</v>
      </c>
      <c r="D142" s="179">
        <f>VLOOKUP(C142,Sheet2!$BK$11:$BN$19,VLOOKUP(B142,Sheet2!B:BC,21,FALSE)+1,FALSE)</f>
        <v>1.2</v>
      </c>
      <c r="E142" s="119">
        <v>0</v>
      </c>
      <c r="F142" s="13" t="s">
        <v>21</v>
      </c>
    </row>
    <row r="143" ht="16.5" spans="1:6">
      <c r="A143" s="119">
        <v>137</v>
      </c>
      <c r="B143" s="177">
        <f>VLOOKUP(ROUNDUP(A143/8,0),Sheet2!A:B,2,FALSE())</f>
        <v>111018</v>
      </c>
      <c r="C143" s="178">
        <f t="shared" si="1"/>
        <v>1</v>
      </c>
      <c r="D143" s="179">
        <f>VLOOKUP(C143,Sheet2!$BK$11:$BN$19,VLOOKUP(B143,Sheet2!B:BC,21,FALSE)+1,FALSE)</f>
        <v>1</v>
      </c>
      <c r="E143" s="119">
        <v>0</v>
      </c>
      <c r="F143" s="13" t="s">
        <v>21</v>
      </c>
    </row>
    <row r="144" ht="16.5" spans="1:6">
      <c r="A144" s="119">
        <v>138</v>
      </c>
      <c r="B144" s="177">
        <f>VLOOKUP(ROUNDUP(A144/8,0),Sheet2!A:B,2,FALSE())</f>
        <v>111018</v>
      </c>
      <c r="C144" s="178">
        <f t="shared" ref="C144:C207" si="2">C136</f>
        <v>2</v>
      </c>
      <c r="D144" s="179">
        <f>VLOOKUP(C144,Sheet2!$BK$11:$BN$19,VLOOKUP(B144,Sheet2!B:BC,21,FALSE)+1,FALSE)</f>
        <v>1</v>
      </c>
      <c r="E144" s="119">
        <v>0</v>
      </c>
      <c r="F144" s="13" t="s">
        <v>21</v>
      </c>
    </row>
    <row r="145" ht="16.5" spans="1:6">
      <c r="A145" s="119">
        <v>139</v>
      </c>
      <c r="B145" s="177">
        <f>VLOOKUP(ROUNDUP(A145/8,0),Sheet2!A:B,2,FALSE())</f>
        <v>111018</v>
      </c>
      <c r="C145" s="178">
        <f t="shared" si="2"/>
        <v>3</v>
      </c>
      <c r="D145" s="179">
        <f>VLOOKUP(C145,Sheet2!$BK$11:$BN$19,VLOOKUP(B145,Sheet2!B:BC,21,FALSE)+1,FALSE)</f>
        <v>1</v>
      </c>
      <c r="E145" s="119">
        <v>0</v>
      </c>
      <c r="F145" s="13" t="s">
        <v>21</v>
      </c>
    </row>
    <row r="146" ht="16.5" spans="1:6">
      <c r="A146" s="119">
        <v>140</v>
      </c>
      <c r="B146" s="177">
        <f>VLOOKUP(ROUNDUP(A146/8,0),Sheet2!A:B,2,FALSE())</f>
        <v>111018</v>
      </c>
      <c r="C146" s="178">
        <f t="shared" si="2"/>
        <v>4</v>
      </c>
      <c r="D146" s="179">
        <f>VLOOKUP(C146,Sheet2!$BK$11:$BN$19,VLOOKUP(B146,Sheet2!B:BC,21,FALSE)+1,FALSE)</f>
        <v>1</v>
      </c>
      <c r="E146" s="119">
        <v>0</v>
      </c>
      <c r="F146" s="13" t="s">
        <v>21</v>
      </c>
    </row>
    <row r="147" ht="16.5" spans="1:6">
      <c r="A147" s="119">
        <v>141</v>
      </c>
      <c r="B147" s="177">
        <f>VLOOKUP(ROUNDUP(A147/8,0),Sheet2!A:B,2,FALSE())</f>
        <v>111018</v>
      </c>
      <c r="C147" s="178">
        <f t="shared" si="2"/>
        <v>5</v>
      </c>
      <c r="D147" s="179">
        <f>VLOOKUP(C147,Sheet2!$BK$11:$BN$19,VLOOKUP(B147,Sheet2!B:BC,21,FALSE)+1,FALSE)</f>
        <v>1</v>
      </c>
      <c r="E147" s="119">
        <v>0</v>
      </c>
      <c r="F147" s="13" t="s">
        <v>21</v>
      </c>
    </row>
    <row r="148" ht="16.5" spans="1:6">
      <c r="A148" s="119">
        <v>142</v>
      </c>
      <c r="B148" s="177">
        <f>VLOOKUP(ROUNDUP(A148/8,0),Sheet2!A:B,2,FALSE())</f>
        <v>111018</v>
      </c>
      <c r="C148" s="178">
        <f t="shared" si="2"/>
        <v>6</v>
      </c>
      <c r="D148" s="179">
        <f>VLOOKUP(C148,Sheet2!$BK$11:$BN$19,VLOOKUP(B148,Sheet2!B:BC,21,FALSE)+1,FALSE)</f>
        <v>1.2</v>
      </c>
      <c r="E148" s="119">
        <v>0</v>
      </c>
      <c r="F148" s="13" t="s">
        <v>21</v>
      </c>
    </row>
    <row r="149" ht="16.5" spans="1:6">
      <c r="A149" s="119">
        <v>143</v>
      </c>
      <c r="B149" s="177">
        <f>VLOOKUP(ROUNDUP(A149/8,0),Sheet2!A:B,2,FALSE())</f>
        <v>111018</v>
      </c>
      <c r="C149" s="178">
        <f t="shared" si="2"/>
        <v>7</v>
      </c>
      <c r="D149" s="179">
        <f>VLOOKUP(C149,Sheet2!$BK$11:$BN$19,VLOOKUP(B149,Sheet2!B:BC,21,FALSE)+1,FALSE)</f>
        <v>1.2</v>
      </c>
      <c r="E149" s="119">
        <v>0</v>
      </c>
      <c r="F149" s="13" t="s">
        <v>21</v>
      </c>
    </row>
    <row r="150" ht="16.5" spans="1:6">
      <c r="A150" s="119">
        <v>144</v>
      </c>
      <c r="B150" s="177">
        <f>VLOOKUP(ROUNDUP(A150/8,0),Sheet2!A:B,2,FALSE())</f>
        <v>111018</v>
      </c>
      <c r="C150" s="178">
        <f t="shared" si="2"/>
        <v>8</v>
      </c>
      <c r="D150" s="179">
        <f>VLOOKUP(C150,Sheet2!$BK$11:$BN$19,VLOOKUP(B150,Sheet2!B:BC,21,FALSE)+1,FALSE)</f>
        <v>1.2</v>
      </c>
      <c r="E150" s="119">
        <v>0</v>
      </c>
      <c r="F150" s="13" t="s">
        <v>21</v>
      </c>
    </row>
    <row r="151" ht="16.5" spans="1:6">
      <c r="A151" s="119">
        <v>145</v>
      </c>
      <c r="B151" s="177">
        <f>VLOOKUP(ROUNDUP(A151/8,0),Sheet2!A:B,2,FALSE())</f>
        <v>112001</v>
      </c>
      <c r="C151" s="178">
        <f t="shared" si="2"/>
        <v>1</v>
      </c>
      <c r="D151" s="179">
        <f>VLOOKUP(C151,Sheet2!$BK$11:$BN$19,VLOOKUP(B151,Sheet2!B:BC,21,FALSE)+1,FALSE)</f>
        <v>1</v>
      </c>
      <c r="E151" s="119">
        <v>0</v>
      </c>
      <c r="F151" s="13" t="s">
        <v>21</v>
      </c>
    </row>
    <row r="152" ht="16.5" spans="1:6">
      <c r="A152" s="119">
        <v>146</v>
      </c>
      <c r="B152" s="177">
        <f>VLOOKUP(ROUNDUP(A152/8,0),Sheet2!A:B,2,FALSE())</f>
        <v>112001</v>
      </c>
      <c r="C152" s="178">
        <f t="shared" si="2"/>
        <v>2</v>
      </c>
      <c r="D152" s="179">
        <f>VLOOKUP(C152,Sheet2!$BK$11:$BN$19,VLOOKUP(B152,Sheet2!B:BC,21,FALSE)+1,FALSE)</f>
        <v>1</v>
      </c>
      <c r="E152" s="119">
        <v>0</v>
      </c>
      <c r="F152" s="13" t="s">
        <v>21</v>
      </c>
    </row>
    <row r="153" ht="16.5" spans="1:6">
      <c r="A153" s="119">
        <v>147</v>
      </c>
      <c r="B153" s="177">
        <f>VLOOKUP(ROUNDUP(A153/8,0),Sheet2!A:B,2,FALSE())</f>
        <v>112001</v>
      </c>
      <c r="C153" s="178">
        <f t="shared" si="2"/>
        <v>3</v>
      </c>
      <c r="D153" s="179">
        <f>VLOOKUP(C153,Sheet2!$BK$11:$BN$19,VLOOKUP(B153,Sheet2!B:BC,21,FALSE)+1,FALSE)</f>
        <v>1</v>
      </c>
      <c r="E153" s="119">
        <v>0</v>
      </c>
      <c r="F153" s="13" t="s">
        <v>21</v>
      </c>
    </row>
    <row r="154" ht="16.5" spans="1:6">
      <c r="A154" s="119">
        <v>148</v>
      </c>
      <c r="B154" s="177">
        <f>VLOOKUP(ROUNDUP(A154/8,0),Sheet2!A:B,2,FALSE())</f>
        <v>112001</v>
      </c>
      <c r="C154" s="178">
        <f t="shared" si="2"/>
        <v>4</v>
      </c>
      <c r="D154" s="179">
        <f>VLOOKUP(C154,Sheet2!$BK$11:$BN$19,VLOOKUP(B154,Sheet2!B:BC,21,FALSE)+1,FALSE)</f>
        <v>1.2</v>
      </c>
      <c r="E154" s="119">
        <v>0</v>
      </c>
      <c r="F154" s="13" t="s">
        <v>21</v>
      </c>
    </row>
    <row r="155" ht="16.5" spans="1:6">
      <c r="A155" s="119">
        <v>149</v>
      </c>
      <c r="B155" s="177">
        <f>VLOOKUP(ROUNDUP(A155/8,0),Sheet2!A:B,2,FALSE())</f>
        <v>112001</v>
      </c>
      <c r="C155" s="178">
        <f t="shared" si="2"/>
        <v>5</v>
      </c>
      <c r="D155" s="179">
        <f>VLOOKUP(C155,Sheet2!$BK$11:$BN$19,VLOOKUP(B155,Sheet2!B:BC,21,FALSE)+1,FALSE)</f>
        <v>1.2</v>
      </c>
      <c r="E155" s="119">
        <v>0</v>
      </c>
      <c r="F155" s="13" t="s">
        <v>21</v>
      </c>
    </row>
    <row r="156" ht="16.5" spans="1:6">
      <c r="A156" s="119">
        <v>150</v>
      </c>
      <c r="B156" s="177">
        <f>VLOOKUP(ROUNDUP(A156/8,0),Sheet2!A:B,2,FALSE())</f>
        <v>112001</v>
      </c>
      <c r="C156" s="178">
        <f t="shared" si="2"/>
        <v>6</v>
      </c>
      <c r="D156" s="179">
        <f>VLOOKUP(C156,Sheet2!$BK$11:$BN$19,VLOOKUP(B156,Sheet2!B:BC,21,FALSE)+1,FALSE)</f>
        <v>1.4</v>
      </c>
      <c r="E156" s="119">
        <v>0</v>
      </c>
      <c r="F156" s="13" t="s">
        <v>21</v>
      </c>
    </row>
    <row r="157" ht="16.5" spans="1:6">
      <c r="A157" s="119">
        <v>151</v>
      </c>
      <c r="B157" s="177">
        <f>VLOOKUP(ROUNDUP(A157/8,0),Sheet2!A:B,2,FALSE())</f>
        <v>112001</v>
      </c>
      <c r="C157" s="178">
        <f t="shared" si="2"/>
        <v>7</v>
      </c>
      <c r="D157" s="179">
        <f>VLOOKUP(C157,Sheet2!$BK$11:$BN$19,VLOOKUP(B157,Sheet2!B:BC,21,FALSE)+1,FALSE)</f>
        <v>1.4</v>
      </c>
      <c r="E157" s="119">
        <v>0</v>
      </c>
      <c r="F157" s="13" t="s">
        <v>21</v>
      </c>
    </row>
    <row r="158" ht="16.5" spans="1:6">
      <c r="A158" s="119">
        <v>152</v>
      </c>
      <c r="B158" s="177">
        <f>VLOOKUP(ROUNDUP(A158/8,0),Sheet2!A:B,2,FALSE())</f>
        <v>112001</v>
      </c>
      <c r="C158" s="178">
        <f t="shared" si="2"/>
        <v>8</v>
      </c>
      <c r="D158" s="179">
        <f>VLOOKUP(C158,Sheet2!$BK$11:$BN$19,VLOOKUP(B158,Sheet2!B:BC,21,FALSE)+1,FALSE)</f>
        <v>1.6</v>
      </c>
      <c r="E158" s="119">
        <v>0</v>
      </c>
      <c r="F158" s="13" t="s">
        <v>21</v>
      </c>
    </row>
    <row r="159" ht="16.5" spans="1:6">
      <c r="A159" s="119">
        <v>153</v>
      </c>
      <c r="B159" s="177">
        <f>VLOOKUP(ROUNDUP(A159/8,0),Sheet2!A:B,2,FALSE())</f>
        <v>112002</v>
      </c>
      <c r="C159" s="178">
        <f t="shared" si="2"/>
        <v>1</v>
      </c>
      <c r="D159" s="179">
        <f>VLOOKUP(C159,Sheet2!$BK$11:$BN$19,VLOOKUP(B159,Sheet2!B:BC,21,FALSE)+1,FALSE)</f>
        <v>1</v>
      </c>
      <c r="E159" s="119">
        <v>0</v>
      </c>
      <c r="F159" s="13" t="s">
        <v>21</v>
      </c>
    </row>
    <row r="160" ht="16.5" spans="1:6">
      <c r="A160" s="119">
        <v>154</v>
      </c>
      <c r="B160" s="177">
        <f>VLOOKUP(ROUNDUP(A160/8,0),Sheet2!A:B,2,FALSE())</f>
        <v>112002</v>
      </c>
      <c r="C160" s="178">
        <f t="shared" si="2"/>
        <v>2</v>
      </c>
      <c r="D160" s="179">
        <f>VLOOKUP(C160,Sheet2!$BK$11:$BN$19,VLOOKUP(B160,Sheet2!B:BC,21,FALSE)+1,FALSE)</f>
        <v>1</v>
      </c>
      <c r="E160" s="119">
        <v>0</v>
      </c>
      <c r="F160" s="13" t="s">
        <v>21</v>
      </c>
    </row>
    <row r="161" ht="16.5" spans="1:6">
      <c r="A161" s="119">
        <v>155</v>
      </c>
      <c r="B161" s="177">
        <f>VLOOKUP(ROUNDUP(A161/8,0),Sheet2!A:B,2,FALSE())</f>
        <v>112002</v>
      </c>
      <c r="C161" s="178">
        <f t="shared" si="2"/>
        <v>3</v>
      </c>
      <c r="D161" s="179">
        <f>VLOOKUP(C161,Sheet2!$BK$11:$BN$19,VLOOKUP(B161,Sheet2!B:BC,21,FALSE)+1,FALSE)</f>
        <v>1</v>
      </c>
      <c r="E161" s="119">
        <v>0</v>
      </c>
      <c r="F161" s="13" t="s">
        <v>21</v>
      </c>
    </row>
    <row r="162" ht="16.5" spans="1:6">
      <c r="A162" s="119">
        <v>156</v>
      </c>
      <c r="B162" s="177">
        <f>VLOOKUP(ROUNDUP(A162/8,0),Sheet2!A:B,2,FALSE())</f>
        <v>112002</v>
      </c>
      <c r="C162" s="178">
        <f t="shared" si="2"/>
        <v>4</v>
      </c>
      <c r="D162" s="179">
        <f>VLOOKUP(C162,Sheet2!$BK$11:$BN$19,VLOOKUP(B162,Sheet2!B:BC,21,FALSE)+1,FALSE)</f>
        <v>1.2</v>
      </c>
      <c r="E162" s="119">
        <v>0</v>
      </c>
      <c r="F162" s="13" t="s">
        <v>21</v>
      </c>
    </row>
    <row r="163" ht="16.5" spans="1:6">
      <c r="A163" s="119">
        <v>157</v>
      </c>
      <c r="B163" s="177">
        <f>VLOOKUP(ROUNDUP(A163/8,0),Sheet2!A:B,2,FALSE())</f>
        <v>112002</v>
      </c>
      <c r="C163" s="178">
        <f t="shared" si="2"/>
        <v>5</v>
      </c>
      <c r="D163" s="179">
        <f>VLOOKUP(C163,Sheet2!$BK$11:$BN$19,VLOOKUP(B163,Sheet2!B:BC,21,FALSE)+1,FALSE)</f>
        <v>1.2</v>
      </c>
      <c r="E163" s="119">
        <v>0</v>
      </c>
      <c r="F163" s="13" t="s">
        <v>21</v>
      </c>
    </row>
    <row r="164" ht="16.5" spans="1:6">
      <c r="A164" s="119">
        <v>158</v>
      </c>
      <c r="B164" s="177">
        <f>VLOOKUP(ROUNDUP(A164/8,0),Sheet2!A:B,2,FALSE())</f>
        <v>112002</v>
      </c>
      <c r="C164" s="178">
        <f t="shared" si="2"/>
        <v>6</v>
      </c>
      <c r="D164" s="179">
        <f>VLOOKUP(C164,Sheet2!$BK$11:$BN$19,VLOOKUP(B164,Sheet2!B:BC,21,FALSE)+1,FALSE)</f>
        <v>1.4</v>
      </c>
      <c r="E164" s="119">
        <v>0</v>
      </c>
      <c r="F164" s="13" t="s">
        <v>21</v>
      </c>
    </row>
    <row r="165" ht="16.5" spans="1:6">
      <c r="A165" s="119">
        <v>159</v>
      </c>
      <c r="B165" s="177">
        <f>VLOOKUP(ROUNDUP(A165/8,0),Sheet2!A:B,2,FALSE())</f>
        <v>112002</v>
      </c>
      <c r="C165" s="178">
        <f t="shared" si="2"/>
        <v>7</v>
      </c>
      <c r="D165" s="179">
        <f>VLOOKUP(C165,Sheet2!$BK$11:$BN$19,VLOOKUP(B165,Sheet2!B:BC,21,FALSE)+1,FALSE)</f>
        <v>1.4</v>
      </c>
      <c r="E165" s="119">
        <v>0</v>
      </c>
      <c r="F165" s="13" t="s">
        <v>21</v>
      </c>
    </row>
    <row r="166" ht="16.5" spans="1:6">
      <c r="A166" s="119">
        <v>160</v>
      </c>
      <c r="B166" s="177">
        <f>VLOOKUP(ROUNDUP(A166/8,0),Sheet2!A:B,2,FALSE())</f>
        <v>112002</v>
      </c>
      <c r="C166" s="178">
        <f t="shared" si="2"/>
        <v>8</v>
      </c>
      <c r="D166" s="179">
        <f>VLOOKUP(C166,Sheet2!$BK$11:$BN$19,VLOOKUP(B166,Sheet2!B:BC,21,FALSE)+1,FALSE)</f>
        <v>1.6</v>
      </c>
      <c r="E166" s="119">
        <v>0</v>
      </c>
      <c r="F166" s="13" t="s">
        <v>21</v>
      </c>
    </row>
    <row r="167" ht="16.5" spans="1:6">
      <c r="A167" s="119">
        <v>161</v>
      </c>
      <c r="B167" s="177">
        <f>VLOOKUP(ROUNDUP(A167/8,0),Sheet2!A:B,2,FALSE())</f>
        <v>112003</v>
      </c>
      <c r="C167" s="178">
        <f t="shared" si="2"/>
        <v>1</v>
      </c>
      <c r="D167" s="179">
        <f>VLOOKUP(C167,Sheet2!$BK$11:$BN$19,VLOOKUP(B167,Sheet2!B:BC,21,FALSE)+1,FALSE)</f>
        <v>1</v>
      </c>
      <c r="E167" s="119">
        <v>0</v>
      </c>
      <c r="F167" s="13" t="s">
        <v>21</v>
      </c>
    </row>
    <row r="168" ht="16.5" spans="1:6">
      <c r="A168" s="119">
        <v>162</v>
      </c>
      <c r="B168" s="177">
        <f>VLOOKUP(ROUNDUP(A168/8,0),Sheet2!A:B,2,FALSE())</f>
        <v>112003</v>
      </c>
      <c r="C168" s="178">
        <f t="shared" si="2"/>
        <v>2</v>
      </c>
      <c r="D168" s="179">
        <f>VLOOKUP(C168,Sheet2!$BK$11:$BN$19,VLOOKUP(B168,Sheet2!B:BC,21,FALSE)+1,FALSE)</f>
        <v>1</v>
      </c>
      <c r="E168" s="119">
        <v>0</v>
      </c>
      <c r="F168" s="13" t="s">
        <v>21</v>
      </c>
    </row>
    <row r="169" ht="16.5" spans="1:6">
      <c r="A169" s="119">
        <v>163</v>
      </c>
      <c r="B169" s="177">
        <f>VLOOKUP(ROUNDUP(A169/8,0),Sheet2!A:B,2,FALSE())</f>
        <v>112003</v>
      </c>
      <c r="C169" s="178">
        <f t="shared" si="2"/>
        <v>3</v>
      </c>
      <c r="D169" s="179">
        <f>VLOOKUP(C169,Sheet2!$BK$11:$BN$19,VLOOKUP(B169,Sheet2!B:BC,21,FALSE)+1,FALSE)</f>
        <v>1</v>
      </c>
      <c r="E169" s="119">
        <v>0</v>
      </c>
      <c r="F169" s="13" t="s">
        <v>21</v>
      </c>
    </row>
    <row r="170" ht="16.5" spans="1:6">
      <c r="A170" s="119">
        <v>164</v>
      </c>
      <c r="B170" s="177">
        <f>VLOOKUP(ROUNDUP(A170/8,0),Sheet2!A:B,2,FALSE())</f>
        <v>112003</v>
      </c>
      <c r="C170" s="178">
        <f t="shared" si="2"/>
        <v>4</v>
      </c>
      <c r="D170" s="179">
        <f>VLOOKUP(C170,Sheet2!$BK$11:$BN$19,VLOOKUP(B170,Sheet2!B:BC,21,FALSE)+1,FALSE)</f>
        <v>1.2</v>
      </c>
      <c r="E170" s="119">
        <v>0</v>
      </c>
      <c r="F170" s="13" t="s">
        <v>21</v>
      </c>
    </row>
    <row r="171" ht="16.5" spans="1:6">
      <c r="A171" s="119">
        <v>165</v>
      </c>
      <c r="B171" s="177">
        <f>VLOOKUP(ROUNDUP(A171/8,0),Sheet2!A:B,2,FALSE())</f>
        <v>112003</v>
      </c>
      <c r="C171" s="178">
        <f t="shared" si="2"/>
        <v>5</v>
      </c>
      <c r="D171" s="179">
        <f>VLOOKUP(C171,Sheet2!$BK$11:$BN$19,VLOOKUP(B171,Sheet2!B:BC,21,FALSE)+1,FALSE)</f>
        <v>1.2</v>
      </c>
      <c r="E171" s="119">
        <v>0</v>
      </c>
      <c r="F171" s="13" t="s">
        <v>21</v>
      </c>
    </row>
    <row r="172" ht="16.5" spans="1:6">
      <c r="A172" s="119">
        <v>166</v>
      </c>
      <c r="B172" s="177">
        <f>VLOOKUP(ROUNDUP(A172/8,0),Sheet2!A:B,2,FALSE())</f>
        <v>112003</v>
      </c>
      <c r="C172" s="178">
        <f t="shared" si="2"/>
        <v>6</v>
      </c>
      <c r="D172" s="179">
        <f>VLOOKUP(C172,Sheet2!$BK$11:$BN$19,VLOOKUP(B172,Sheet2!B:BC,21,FALSE)+1,FALSE)</f>
        <v>1.4</v>
      </c>
      <c r="E172" s="119">
        <v>0</v>
      </c>
      <c r="F172" s="13" t="s">
        <v>21</v>
      </c>
    </row>
    <row r="173" ht="16.5" spans="1:6">
      <c r="A173" s="119">
        <v>167</v>
      </c>
      <c r="B173" s="177">
        <f>VLOOKUP(ROUNDUP(A173/8,0),Sheet2!A:B,2,FALSE())</f>
        <v>112003</v>
      </c>
      <c r="C173" s="178">
        <f t="shared" si="2"/>
        <v>7</v>
      </c>
      <c r="D173" s="179">
        <f>VLOOKUP(C173,Sheet2!$BK$11:$BN$19,VLOOKUP(B173,Sheet2!B:BC,21,FALSE)+1,FALSE)</f>
        <v>1.4</v>
      </c>
      <c r="E173" s="119">
        <v>0</v>
      </c>
      <c r="F173" s="13" t="s">
        <v>21</v>
      </c>
    </row>
    <row r="174" ht="16.5" spans="1:6">
      <c r="A174" s="119">
        <v>168</v>
      </c>
      <c r="B174" s="177">
        <f>VLOOKUP(ROUNDUP(A174/8,0),Sheet2!A:B,2,FALSE())</f>
        <v>112003</v>
      </c>
      <c r="C174" s="178">
        <f t="shared" si="2"/>
        <v>8</v>
      </c>
      <c r="D174" s="179">
        <f>VLOOKUP(C174,Sheet2!$BK$11:$BN$19,VLOOKUP(B174,Sheet2!B:BC,21,FALSE)+1,FALSE)</f>
        <v>1.6</v>
      </c>
      <c r="E174" s="119">
        <v>0</v>
      </c>
      <c r="F174" s="13" t="s">
        <v>21</v>
      </c>
    </row>
    <row r="175" ht="16.5" spans="1:6">
      <c r="A175" s="119">
        <v>169</v>
      </c>
      <c r="B175" s="177">
        <f>VLOOKUP(ROUNDUP(A175/8,0),Sheet2!A:B,2,FALSE())</f>
        <v>112004</v>
      </c>
      <c r="C175" s="178">
        <f t="shared" si="2"/>
        <v>1</v>
      </c>
      <c r="D175" s="179">
        <f>VLOOKUP(C175,Sheet2!$BK$11:$BN$19,VLOOKUP(B175,Sheet2!B:BC,21,FALSE)+1,FALSE)</f>
        <v>1</v>
      </c>
      <c r="E175" s="119">
        <v>0</v>
      </c>
      <c r="F175" s="13" t="s">
        <v>21</v>
      </c>
    </row>
    <row r="176" ht="16.5" spans="1:6">
      <c r="A176" s="119">
        <v>170</v>
      </c>
      <c r="B176" s="177">
        <f>VLOOKUP(ROUNDUP(A176/8,0),Sheet2!A:B,2,FALSE())</f>
        <v>112004</v>
      </c>
      <c r="C176" s="178">
        <f t="shared" si="2"/>
        <v>2</v>
      </c>
      <c r="D176" s="179">
        <f>VLOOKUP(C176,Sheet2!$BK$11:$BN$19,VLOOKUP(B176,Sheet2!B:BC,21,FALSE)+1,FALSE)</f>
        <v>1</v>
      </c>
      <c r="E176" s="119">
        <v>0</v>
      </c>
      <c r="F176" s="13" t="s">
        <v>21</v>
      </c>
    </row>
    <row r="177" ht="16.5" spans="1:6">
      <c r="A177" s="119">
        <v>171</v>
      </c>
      <c r="B177" s="177">
        <f>VLOOKUP(ROUNDUP(A177/8,0),Sheet2!A:B,2,FALSE())</f>
        <v>112004</v>
      </c>
      <c r="C177" s="178">
        <f t="shared" si="2"/>
        <v>3</v>
      </c>
      <c r="D177" s="179">
        <f>VLOOKUP(C177,Sheet2!$BK$11:$BN$19,VLOOKUP(B177,Sheet2!B:BC,21,FALSE)+1,FALSE)</f>
        <v>1</v>
      </c>
      <c r="E177" s="119">
        <v>0</v>
      </c>
      <c r="F177" s="13" t="s">
        <v>21</v>
      </c>
    </row>
    <row r="178" ht="16.5" spans="1:6">
      <c r="A178" s="119">
        <v>172</v>
      </c>
      <c r="B178" s="177">
        <f>VLOOKUP(ROUNDUP(A178/8,0),Sheet2!A:B,2,FALSE())</f>
        <v>112004</v>
      </c>
      <c r="C178" s="178">
        <f t="shared" si="2"/>
        <v>4</v>
      </c>
      <c r="D178" s="179">
        <f>VLOOKUP(C178,Sheet2!$BK$11:$BN$19,VLOOKUP(B178,Sheet2!B:BC,21,FALSE)+1,FALSE)</f>
        <v>1.2</v>
      </c>
      <c r="E178" s="119">
        <v>0</v>
      </c>
      <c r="F178" s="13" t="s">
        <v>21</v>
      </c>
    </row>
    <row r="179" ht="16.5" spans="1:6">
      <c r="A179" s="119">
        <v>173</v>
      </c>
      <c r="B179" s="177">
        <f>VLOOKUP(ROUNDUP(A179/8,0),Sheet2!A:B,2,FALSE())</f>
        <v>112004</v>
      </c>
      <c r="C179" s="178">
        <f t="shared" si="2"/>
        <v>5</v>
      </c>
      <c r="D179" s="179">
        <f>VLOOKUP(C179,Sheet2!$BK$11:$BN$19,VLOOKUP(B179,Sheet2!B:BC,21,FALSE)+1,FALSE)</f>
        <v>1.2</v>
      </c>
      <c r="E179" s="119">
        <v>0</v>
      </c>
      <c r="F179" s="13" t="s">
        <v>21</v>
      </c>
    </row>
    <row r="180" ht="16.5" spans="1:6">
      <c r="A180" s="119">
        <v>174</v>
      </c>
      <c r="B180" s="177">
        <f>VLOOKUP(ROUNDUP(A180/8,0),Sheet2!A:B,2,FALSE())</f>
        <v>112004</v>
      </c>
      <c r="C180" s="178">
        <f t="shared" si="2"/>
        <v>6</v>
      </c>
      <c r="D180" s="179">
        <f>VLOOKUP(C180,Sheet2!$BK$11:$BN$19,VLOOKUP(B180,Sheet2!B:BC,21,FALSE)+1,FALSE)</f>
        <v>1.4</v>
      </c>
      <c r="E180" s="119">
        <v>0</v>
      </c>
      <c r="F180" s="13" t="s">
        <v>21</v>
      </c>
    </row>
    <row r="181" ht="16.5" spans="1:6">
      <c r="A181" s="119">
        <v>175</v>
      </c>
      <c r="B181" s="177">
        <f>VLOOKUP(ROUNDUP(A181/8,0),Sheet2!A:B,2,FALSE())</f>
        <v>112004</v>
      </c>
      <c r="C181" s="178">
        <f t="shared" si="2"/>
        <v>7</v>
      </c>
      <c r="D181" s="179">
        <f>VLOOKUP(C181,Sheet2!$BK$11:$BN$19,VLOOKUP(B181,Sheet2!B:BC,21,FALSE)+1,FALSE)</f>
        <v>1.4</v>
      </c>
      <c r="E181" s="119">
        <v>0</v>
      </c>
      <c r="F181" s="13" t="s">
        <v>21</v>
      </c>
    </row>
    <row r="182" ht="16.5" spans="1:6">
      <c r="A182" s="119">
        <v>176</v>
      </c>
      <c r="B182" s="177">
        <f>VLOOKUP(ROUNDUP(A182/8,0),Sheet2!A:B,2,FALSE())</f>
        <v>112004</v>
      </c>
      <c r="C182" s="178">
        <f t="shared" si="2"/>
        <v>8</v>
      </c>
      <c r="D182" s="179">
        <f>VLOOKUP(C182,Sheet2!$BK$11:$BN$19,VLOOKUP(B182,Sheet2!B:BC,21,FALSE)+1,FALSE)</f>
        <v>1.6</v>
      </c>
      <c r="E182" s="119">
        <v>0</v>
      </c>
      <c r="F182" s="13" t="s">
        <v>21</v>
      </c>
    </row>
    <row r="183" ht="16.5" spans="1:6">
      <c r="A183" s="119">
        <v>177</v>
      </c>
      <c r="B183" s="177">
        <f>VLOOKUP(ROUNDUP(A183/8,0),Sheet2!A:B,2,FALSE())</f>
        <v>112005</v>
      </c>
      <c r="C183" s="178">
        <f t="shared" si="2"/>
        <v>1</v>
      </c>
      <c r="D183" s="179">
        <f>VLOOKUP(C183,Sheet2!$BK$11:$BN$19,VLOOKUP(B183,Sheet2!B:BC,21,FALSE)+1,FALSE)</f>
        <v>1</v>
      </c>
      <c r="E183" s="119">
        <v>0</v>
      </c>
      <c r="F183" s="13" t="s">
        <v>21</v>
      </c>
    </row>
    <row r="184" ht="16.5" spans="1:6">
      <c r="A184" s="119">
        <v>178</v>
      </c>
      <c r="B184" s="177">
        <f>VLOOKUP(ROUNDUP(A184/8,0),Sheet2!A:B,2,FALSE())</f>
        <v>112005</v>
      </c>
      <c r="C184" s="178">
        <f t="shared" si="2"/>
        <v>2</v>
      </c>
      <c r="D184" s="179">
        <f>VLOOKUP(C184,Sheet2!$BK$11:$BN$19,VLOOKUP(B184,Sheet2!B:BC,21,FALSE)+1,FALSE)</f>
        <v>1</v>
      </c>
      <c r="E184" s="119">
        <v>0</v>
      </c>
      <c r="F184" s="13" t="s">
        <v>21</v>
      </c>
    </row>
    <row r="185" ht="16.5" spans="1:6">
      <c r="A185" s="119">
        <v>179</v>
      </c>
      <c r="B185" s="177">
        <f>VLOOKUP(ROUNDUP(A185/8,0),Sheet2!A:B,2,FALSE())</f>
        <v>112005</v>
      </c>
      <c r="C185" s="178">
        <f t="shared" si="2"/>
        <v>3</v>
      </c>
      <c r="D185" s="179">
        <f>VLOOKUP(C185,Sheet2!$BK$11:$BN$19,VLOOKUP(B185,Sheet2!B:BC,21,FALSE)+1,FALSE)</f>
        <v>1</v>
      </c>
      <c r="E185" s="119">
        <v>0</v>
      </c>
      <c r="F185" s="13" t="s">
        <v>21</v>
      </c>
    </row>
    <row r="186" ht="16.5" spans="1:6">
      <c r="A186" s="119">
        <v>180</v>
      </c>
      <c r="B186" s="177">
        <f>VLOOKUP(ROUNDUP(A186/8,0),Sheet2!A:B,2,FALSE())</f>
        <v>112005</v>
      </c>
      <c r="C186" s="178">
        <f t="shared" si="2"/>
        <v>4</v>
      </c>
      <c r="D186" s="179">
        <f>VLOOKUP(C186,Sheet2!$BK$11:$BN$19,VLOOKUP(B186,Sheet2!B:BC,21,FALSE)+1,FALSE)</f>
        <v>1.2</v>
      </c>
      <c r="E186" s="119">
        <v>0</v>
      </c>
      <c r="F186" s="13" t="s">
        <v>21</v>
      </c>
    </row>
    <row r="187" ht="16.5" spans="1:6">
      <c r="A187" s="119">
        <v>181</v>
      </c>
      <c r="B187" s="177">
        <f>VLOOKUP(ROUNDUP(A187/8,0),Sheet2!A:B,2,FALSE())</f>
        <v>112005</v>
      </c>
      <c r="C187" s="178">
        <f t="shared" si="2"/>
        <v>5</v>
      </c>
      <c r="D187" s="179">
        <f>VLOOKUP(C187,Sheet2!$BK$11:$BN$19,VLOOKUP(B187,Sheet2!B:BC,21,FALSE)+1,FALSE)</f>
        <v>1.2</v>
      </c>
      <c r="E187" s="119">
        <v>0</v>
      </c>
      <c r="F187" s="13" t="s">
        <v>21</v>
      </c>
    </row>
    <row r="188" ht="16.5" spans="1:6">
      <c r="A188" s="119">
        <v>182</v>
      </c>
      <c r="B188" s="177">
        <f>VLOOKUP(ROUNDUP(A188/8,0),Sheet2!A:B,2,FALSE())</f>
        <v>112005</v>
      </c>
      <c r="C188" s="178">
        <f t="shared" si="2"/>
        <v>6</v>
      </c>
      <c r="D188" s="179">
        <f>VLOOKUP(C188,Sheet2!$BK$11:$BN$19,VLOOKUP(B188,Sheet2!B:BC,21,FALSE)+1,FALSE)</f>
        <v>1.4</v>
      </c>
      <c r="E188" s="119">
        <v>0</v>
      </c>
      <c r="F188" s="13" t="s">
        <v>21</v>
      </c>
    </row>
    <row r="189" ht="16.5" spans="1:6">
      <c r="A189" s="119">
        <v>183</v>
      </c>
      <c r="B189" s="177">
        <f>VLOOKUP(ROUNDUP(A189/8,0),Sheet2!A:B,2,FALSE())</f>
        <v>112005</v>
      </c>
      <c r="C189" s="178">
        <f t="shared" si="2"/>
        <v>7</v>
      </c>
      <c r="D189" s="179">
        <f>VLOOKUP(C189,Sheet2!$BK$11:$BN$19,VLOOKUP(B189,Sheet2!B:BC,21,FALSE)+1,FALSE)</f>
        <v>1.4</v>
      </c>
      <c r="E189" s="119">
        <v>0</v>
      </c>
      <c r="F189" s="13" t="s">
        <v>21</v>
      </c>
    </row>
    <row r="190" ht="16.5" spans="1:6">
      <c r="A190" s="119">
        <v>184</v>
      </c>
      <c r="B190" s="177">
        <f>VLOOKUP(ROUNDUP(A190/8,0),Sheet2!A:B,2,FALSE())</f>
        <v>112005</v>
      </c>
      <c r="C190" s="178">
        <f t="shared" si="2"/>
        <v>8</v>
      </c>
      <c r="D190" s="179">
        <f>VLOOKUP(C190,Sheet2!$BK$11:$BN$19,VLOOKUP(B190,Sheet2!B:BC,21,FALSE)+1,FALSE)</f>
        <v>1.6</v>
      </c>
      <c r="E190" s="119">
        <v>0</v>
      </c>
      <c r="F190" s="13" t="s">
        <v>21</v>
      </c>
    </row>
    <row r="191" ht="16.5" spans="1:6">
      <c r="A191" s="119">
        <v>185</v>
      </c>
      <c r="B191" s="177">
        <f>VLOOKUP(ROUNDUP(A191/8,0),Sheet2!A:B,2,FALSE())</f>
        <v>112006</v>
      </c>
      <c r="C191" s="178">
        <f t="shared" si="2"/>
        <v>1</v>
      </c>
      <c r="D191" s="179">
        <f>VLOOKUP(C191,Sheet2!$BK$11:$BN$19,VLOOKUP(B191,Sheet2!B:BC,21,FALSE)+1,FALSE)</f>
        <v>1</v>
      </c>
      <c r="E191" s="119">
        <v>0</v>
      </c>
      <c r="F191" s="13" t="s">
        <v>21</v>
      </c>
    </row>
    <row r="192" ht="16.5" spans="1:6">
      <c r="A192" s="119">
        <v>186</v>
      </c>
      <c r="B192" s="177">
        <f>VLOOKUP(ROUNDUP(A192/8,0),Sheet2!A:B,2,FALSE())</f>
        <v>112006</v>
      </c>
      <c r="C192" s="178">
        <f t="shared" si="2"/>
        <v>2</v>
      </c>
      <c r="D192" s="179">
        <f>VLOOKUP(C192,Sheet2!$BK$11:$BN$19,VLOOKUP(B192,Sheet2!B:BC,21,FALSE)+1,FALSE)</f>
        <v>1</v>
      </c>
      <c r="E192" s="119">
        <v>0</v>
      </c>
      <c r="F192" s="13" t="s">
        <v>21</v>
      </c>
    </row>
    <row r="193" ht="16.5" spans="1:6">
      <c r="A193" s="119">
        <v>187</v>
      </c>
      <c r="B193" s="177">
        <f>VLOOKUP(ROUNDUP(A193/8,0),Sheet2!A:B,2,FALSE())</f>
        <v>112006</v>
      </c>
      <c r="C193" s="178">
        <f t="shared" si="2"/>
        <v>3</v>
      </c>
      <c r="D193" s="179">
        <f>VLOOKUP(C193,Sheet2!$BK$11:$BN$19,VLOOKUP(B193,Sheet2!B:BC,21,FALSE)+1,FALSE)</f>
        <v>1</v>
      </c>
      <c r="E193" s="119">
        <v>0</v>
      </c>
      <c r="F193" s="13" t="s">
        <v>21</v>
      </c>
    </row>
    <row r="194" ht="16.5" spans="1:6">
      <c r="A194" s="119">
        <v>188</v>
      </c>
      <c r="B194" s="177">
        <f>VLOOKUP(ROUNDUP(A194/8,0),Sheet2!A:B,2,FALSE())</f>
        <v>112006</v>
      </c>
      <c r="C194" s="178">
        <f t="shared" si="2"/>
        <v>4</v>
      </c>
      <c r="D194" s="179">
        <f>VLOOKUP(C194,Sheet2!$BK$11:$BN$19,VLOOKUP(B194,Sheet2!B:BC,21,FALSE)+1,FALSE)</f>
        <v>1.2</v>
      </c>
      <c r="E194" s="119">
        <v>0</v>
      </c>
      <c r="F194" s="13" t="s">
        <v>21</v>
      </c>
    </row>
    <row r="195" ht="16.5" spans="1:6">
      <c r="A195" s="119">
        <v>189</v>
      </c>
      <c r="B195" s="177">
        <f>VLOOKUP(ROUNDUP(A195/8,0),Sheet2!A:B,2,FALSE())</f>
        <v>112006</v>
      </c>
      <c r="C195" s="178">
        <f t="shared" si="2"/>
        <v>5</v>
      </c>
      <c r="D195" s="179">
        <f>VLOOKUP(C195,Sheet2!$BK$11:$BN$19,VLOOKUP(B195,Sheet2!B:BC,21,FALSE)+1,FALSE)</f>
        <v>1.2</v>
      </c>
      <c r="E195" s="119">
        <v>0</v>
      </c>
      <c r="F195" s="13" t="s">
        <v>21</v>
      </c>
    </row>
    <row r="196" ht="16.5" spans="1:6">
      <c r="A196" s="119">
        <v>190</v>
      </c>
      <c r="B196" s="177">
        <f>VLOOKUP(ROUNDUP(A196/8,0),Sheet2!A:B,2,FALSE())</f>
        <v>112006</v>
      </c>
      <c r="C196" s="178">
        <f t="shared" si="2"/>
        <v>6</v>
      </c>
      <c r="D196" s="179">
        <f>VLOOKUP(C196,Sheet2!$BK$11:$BN$19,VLOOKUP(B196,Sheet2!B:BC,21,FALSE)+1,FALSE)</f>
        <v>1.4</v>
      </c>
      <c r="E196" s="119">
        <v>0</v>
      </c>
      <c r="F196" s="13" t="s">
        <v>21</v>
      </c>
    </row>
    <row r="197" ht="16.5" spans="1:6">
      <c r="A197" s="119">
        <v>191</v>
      </c>
      <c r="B197" s="177">
        <f>VLOOKUP(ROUNDUP(A197/8,0),Sheet2!A:B,2,FALSE())</f>
        <v>112006</v>
      </c>
      <c r="C197" s="178">
        <f t="shared" si="2"/>
        <v>7</v>
      </c>
      <c r="D197" s="179">
        <f>VLOOKUP(C197,Sheet2!$BK$11:$BN$19,VLOOKUP(B197,Sheet2!B:BC,21,FALSE)+1,FALSE)</f>
        <v>1.4</v>
      </c>
      <c r="E197" s="119">
        <v>0</v>
      </c>
      <c r="F197" s="13" t="s">
        <v>21</v>
      </c>
    </row>
    <row r="198" ht="16.5" spans="1:6">
      <c r="A198" s="119">
        <v>192</v>
      </c>
      <c r="B198" s="177">
        <f>VLOOKUP(ROUNDUP(A198/8,0),Sheet2!A:B,2,FALSE())</f>
        <v>112006</v>
      </c>
      <c r="C198" s="178">
        <f t="shared" si="2"/>
        <v>8</v>
      </c>
      <c r="D198" s="179">
        <f>VLOOKUP(C198,Sheet2!$BK$11:$BN$19,VLOOKUP(B198,Sheet2!B:BC,21,FALSE)+1,FALSE)</f>
        <v>1.6</v>
      </c>
      <c r="E198" s="119">
        <v>0</v>
      </c>
      <c r="F198" s="13" t="s">
        <v>21</v>
      </c>
    </row>
    <row r="199" ht="16.5" spans="1:6">
      <c r="A199" s="119">
        <v>193</v>
      </c>
      <c r="B199" s="177">
        <f>VLOOKUP(ROUNDUP(A199/8,0),Sheet2!A:B,2,FALSE())</f>
        <v>112007</v>
      </c>
      <c r="C199" s="178">
        <f t="shared" si="2"/>
        <v>1</v>
      </c>
      <c r="D199" s="179">
        <f>VLOOKUP(C199,Sheet2!$BK$11:$BN$19,VLOOKUP(B199,Sheet2!B:BC,21,FALSE)+1,FALSE)</f>
        <v>1</v>
      </c>
      <c r="E199" s="119">
        <v>0</v>
      </c>
      <c r="F199" s="13" t="s">
        <v>21</v>
      </c>
    </row>
    <row r="200" ht="16.5" spans="1:6">
      <c r="A200" s="119">
        <v>194</v>
      </c>
      <c r="B200" s="177">
        <f>VLOOKUP(ROUNDUP(A200/8,0),Sheet2!A:B,2,FALSE())</f>
        <v>112007</v>
      </c>
      <c r="C200" s="178">
        <f t="shared" si="2"/>
        <v>2</v>
      </c>
      <c r="D200" s="179">
        <f>VLOOKUP(C200,Sheet2!$BK$11:$BN$19,VLOOKUP(B200,Sheet2!B:BC,21,FALSE)+1,FALSE)</f>
        <v>1</v>
      </c>
      <c r="E200" s="119">
        <v>0</v>
      </c>
      <c r="F200" s="13" t="s">
        <v>21</v>
      </c>
    </row>
    <row r="201" ht="16.5" spans="1:6">
      <c r="A201" s="119">
        <v>195</v>
      </c>
      <c r="B201" s="177">
        <f>VLOOKUP(ROUNDUP(A201/8,0),Sheet2!A:B,2,FALSE())</f>
        <v>112007</v>
      </c>
      <c r="C201" s="178">
        <f t="shared" si="2"/>
        <v>3</v>
      </c>
      <c r="D201" s="179">
        <f>VLOOKUP(C201,Sheet2!$BK$11:$BN$19,VLOOKUP(B201,Sheet2!B:BC,21,FALSE)+1,FALSE)</f>
        <v>1</v>
      </c>
      <c r="E201" s="119">
        <v>0</v>
      </c>
      <c r="F201" s="13" t="s">
        <v>21</v>
      </c>
    </row>
    <row r="202" ht="16.5" spans="1:6">
      <c r="A202" s="119">
        <v>196</v>
      </c>
      <c r="B202" s="177">
        <f>VLOOKUP(ROUNDUP(A202/8,0),Sheet2!A:B,2,FALSE())</f>
        <v>112007</v>
      </c>
      <c r="C202" s="178">
        <f t="shared" si="2"/>
        <v>4</v>
      </c>
      <c r="D202" s="179">
        <f>VLOOKUP(C202,Sheet2!$BK$11:$BN$19,VLOOKUP(B202,Sheet2!B:BC,21,FALSE)+1,FALSE)</f>
        <v>1.2</v>
      </c>
      <c r="E202" s="119">
        <v>0</v>
      </c>
      <c r="F202" s="13" t="s">
        <v>21</v>
      </c>
    </row>
    <row r="203" ht="16.5" spans="1:6">
      <c r="A203" s="119">
        <v>197</v>
      </c>
      <c r="B203" s="177">
        <f>VLOOKUP(ROUNDUP(A203/8,0),Sheet2!A:B,2,FALSE())</f>
        <v>112007</v>
      </c>
      <c r="C203" s="178">
        <f t="shared" si="2"/>
        <v>5</v>
      </c>
      <c r="D203" s="179">
        <f>VLOOKUP(C203,Sheet2!$BK$11:$BN$19,VLOOKUP(B203,Sheet2!B:BC,21,FALSE)+1,FALSE)</f>
        <v>1.2</v>
      </c>
      <c r="E203" s="119">
        <v>0</v>
      </c>
      <c r="F203" s="13" t="s">
        <v>21</v>
      </c>
    </row>
    <row r="204" ht="16.5" spans="1:6">
      <c r="A204" s="119">
        <v>198</v>
      </c>
      <c r="B204" s="177">
        <f>VLOOKUP(ROUNDUP(A204/8,0),Sheet2!A:B,2,FALSE())</f>
        <v>112007</v>
      </c>
      <c r="C204" s="178">
        <f t="shared" si="2"/>
        <v>6</v>
      </c>
      <c r="D204" s="179">
        <f>VLOOKUP(C204,Sheet2!$BK$11:$BN$19,VLOOKUP(B204,Sheet2!B:BC,21,FALSE)+1,FALSE)</f>
        <v>1.4</v>
      </c>
      <c r="E204" s="119">
        <v>0</v>
      </c>
      <c r="F204" s="13" t="s">
        <v>21</v>
      </c>
    </row>
    <row r="205" ht="16.5" spans="1:6">
      <c r="A205" s="119">
        <v>199</v>
      </c>
      <c r="B205" s="177">
        <f>VLOOKUP(ROUNDUP(A205/8,0),Sheet2!A:B,2,FALSE())</f>
        <v>112007</v>
      </c>
      <c r="C205" s="178">
        <f t="shared" si="2"/>
        <v>7</v>
      </c>
      <c r="D205" s="179">
        <f>VLOOKUP(C205,Sheet2!$BK$11:$BN$19,VLOOKUP(B205,Sheet2!B:BC,21,FALSE)+1,FALSE)</f>
        <v>1.4</v>
      </c>
      <c r="E205" s="119">
        <v>0</v>
      </c>
      <c r="F205" s="13" t="s">
        <v>21</v>
      </c>
    </row>
    <row r="206" ht="16.5" spans="1:6">
      <c r="A206" s="119">
        <v>200</v>
      </c>
      <c r="B206" s="177">
        <f>VLOOKUP(ROUNDUP(A206/8,0),Sheet2!A:B,2,FALSE())</f>
        <v>112007</v>
      </c>
      <c r="C206" s="178">
        <f t="shared" si="2"/>
        <v>8</v>
      </c>
      <c r="D206" s="179">
        <f>VLOOKUP(C206,Sheet2!$BK$11:$BN$19,VLOOKUP(B206,Sheet2!B:BC,21,FALSE)+1,FALSE)</f>
        <v>1.6</v>
      </c>
      <c r="E206" s="119">
        <v>0</v>
      </c>
      <c r="F206" s="13" t="s">
        <v>21</v>
      </c>
    </row>
    <row r="207" ht="16.5" spans="1:6">
      <c r="A207" s="119">
        <v>201</v>
      </c>
      <c r="B207" s="177">
        <f>VLOOKUP(ROUNDUP(A207/8,0),Sheet2!A:B,2,FALSE())</f>
        <v>112008</v>
      </c>
      <c r="C207" s="178">
        <f t="shared" si="2"/>
        <v>1</v>
      </c>
      <c r="D207" s="179">
        <f>VLOOKUP(C207,Sheet2!$BK$11:$BN$19,VLOOKUP(B207,Sheet2!B:BC,21,FALSE)+1,FALSE)</f>
        <v>1</v>
      </c>
      <c r="E207" s="119">
        <v>0.2</v>
      </c>
      <c r="F207" s="13" t="s">
        <v>21</v>
      </c>
    </row>
    <row r="208" ht="16.5" spans="1:6">
      <c r="A208" s="119">
        <v>202</v>
      </c>
      <c r="B208" s="177">
        <f>VLOOKUP(ROUNDUP(A208/8,0),Sheet2!A:B,2,FALSE())</f>
        <v>112008</v>
      </c>
      <c r="C208" s="178">
        <f t="shared" ref="C208:C271" si="3">C200</f>
        <v>2</v>
      </c>
      <c r="D208" s="179">
        <f>VLOOKUP(C208,Sheet2!$BK$11:$BN$19,VLOOKUP(B208,Sheet2!B:BC,21,FALSE)+1,FALSE)</f>
        <v>1</v>
      </c>
      <c r="E208" s="119">
        <v>0.2</v>
      </c>
      <c r="F208" s="13" t="s">
        <v>21</v>
      </c>
    </row>
    <row r="209" ht="16.5" spans="1:6">
      <c r="A209" s="119">
        <v>203</v>
      </c>
      <c r="B209" s="177">
        <f>VLOOKUP(ROUNDUP(A209/8,0),Sheet2!A:B,2,FALSE())</f>
        <v>112008</v>
      </c>
      <c r="C209" s="178">
        <f t="shared" si="3"/>
        <v>3</v>
      </c>
      <c r="D209" s="179">
        <f>VLOOKUP(C209,Sheet2!$BK$11:$BN$19,VLOOKUP(B209,Sheet2!B:BC,21,FALSE)+1,FALSE)</f>
        <v>1</v>
      </c>
      <c r="E209" s="119">
        <v>0.2</v>
      </c>
      <c r="F209" s="13" t="s">
        <v>21</v>
      </c>
    </row>
    <row r="210" ht="16.5" spans="1:6">
      <c r="A210" s="119">
        <v>204</v>
      </c>
      <c r="B210" s="177">
        <f>VLOOKUP(ROUNDUP(A210/8,0),Sheet2!A:B,2,FALSE())</f>
        <v>112008</v>
      </c>
      <c r="C210" s="178">
        <f t="shared" si="3"/>
        <v>4</v>
      </c>
      <c r="D210" s="179">
        <f>VLOOKUP(C210,Sheet2!$BK$11:$BN$19,VLOOKUP(B210,Sheet2!B:BC,21,FALSE)+1,FALSE)</f>
        <v>1.2</v>
      </c>
      <c r="E210" s="119">
        <v>0.2</v>
      </c>
      <c r="F210" s="13" t="s">
        <v>21</v>
      </c>
    </row>
    <row r="211" ht="16.5" spans="1:6">
      <c r="A211" s="119">
        <v>205</v>
      </c>
      <c r="B211" s="177">
        <f>VLOOKUP(ROUNDUP(A211/8,0),Sheet2!A:B,2,FALSE())</f>
        <v>112008</v>
      </c>
      <c r="C211" s="178">
        <f t="shared" si="3"/>
        <v>5</v>
      </c>
      <c r="D211" s="179">
        <f>VLOOKUP(C211,Sheet2!$BK$11:$BN$19,VLOOKUP(B211,Sheet2!B:BC,21,FALSE)+1,FALSE)</f>
        <v>1.2</v>
      </c>
      <c r="E211" s="119">
        <v>0.2</v>
      </c>
      <c r="F211" s="13" t="s">
        <v>21</v>
      </c>
    </row>
    <row r="212" ht="16.5" spans="1:6">
      <c r="A212" s="119">
        <v>206</v>
      </c>
      <c r="B212" s="177">
        <f>VLOOKUP(ROUNDUP(A212/8,0),Sheet2!A:B,2,FALSE())</f>
        <v>112008</v>
      </c>
      <c r="C212" s="178">
        <f t="shared" si="3"/>
        <v>6</v>
      </c>
      <c r="D212" s="179">
        <f>VLOOKUP(C212,Sheet2!$BK$11:$BN$19,VLOOKUP(B212,Sheet2!B:BC,21,FALSE)+1,FALSE)</f>
        <v>1.4</v>
      </c>
      <c r="E212" s="119">
        <v>0.2</v>
      </c>
      <c r="F212" s="13" t="s">
        <v>21</v>
      </c>
    </row>
    <row r="213" ht="16.5" spans="1:6">
      <c r="A213" s="119">
        <v>207</v>
      </c>
      <c r="B213" s="177">
        <f>VLOOKUP(ROUNDUP(A213/8,0),Sheet2!A:B,2,FALSE())</f>
        <v>112008</v>
      </c>
      <c r="C213" s="178">
        <f t="shared" si="3"/>
        <v>7</v>
      </c>
      <c r="D213" s="179">
        <f>VLOOKUP(C213,Sheet2!$BK$11:$BN$19,VLOOKUP(B213,Sheet2!B:BC,21,FALSE)+1,FALSE)</f>
        <v>1.4</v>
      </c>
      <c r="E213" s="119">
        <v>0.2</v>
      </c>
      <c r="F213" s="13" t="s">
        <v>21</v>
      </c>
    </row>
    <row r="214" ht="16.5" spans="1:6">
      <c r="A214" s="119">
        <v>208</v>
      </c>
      <c r="B214" s="177">
        <f>VLOOKUP(ROUNDUP(A214/8,0),Sheet2!A:B,2,FALSE())</f>
        <v>112008</v>
      </c>
      <c r="C214" s="178">
        <f t="shared" si="3"/>
        <v>8</v>
      </c>
      <c r="D214" s="179">
        <f>VLOOKUP(C214,Sheet2!$BK$11:$BN$19,VLOOKUP(B214,Sheet2!B:BC,21,FALSE)+1,FALSE)</f>
        <v>1.6</v>
      </c>
      <c r="E214" s="119">
        <v>0.2</v>
      </c>
      <c r="F214" s="13" t="s">
        <v>21</v>
      </c>
    </row>
    <row r="215" ht="16.5" spans="1:6">
      <c r="A215" s="119">
        <v>209</v>
      </c>
      <c r="B215" s="177">
        <f>VLOOKUP(ROUNDUP(A215/8,0),Sheet2!A:B,2,FALSE())</f>
        <v>112009</v>
      </c>
      <c r="C215" s="178">
        <f t="shared" si="3"/>
        <v>1</v>
      </c>
      <c r="D215" s="179">
        <f>VLOOKUP(C215,Sheet2!$BK$11:$BN$19,VLOOKUP(B215,Sheet2!B:BC,21,FALSE)+1,FALSE)</f>
        <v>1</v>
      </c>
      <c r="E215" s="119">
        <v>0</v>
      </c>
      <c r="F215" s="13" t="s">
        <v>21</v>
      </c>
    </row>
    <row r="216" ht="16.5" spans="1:6">
      <c r="A216" s="119">
        <v>210</v>
      </c>
      <c r="B216" s="177">
        <f>VLOOKUP(ROUNDUP(A216/8,0),Sheet2!A:B,2,FALSE())</f>
        <v>112009</v>
      </c>
      <c r="C216" s="178">
        <f t="shared" si="3"/>
        <v>2</v>
      </c>
      <c r="D216" s="179">
        <f>VLOOKUP(C216,Sheet2!$BK$11:$BN$19,VLOOKUP(B216,Sheet2!B:BC,21,FALSE)+1,FALSE)</f>
        <v>1</v>
      </c>
      <c r="E216" s="119">
        <v>0</v>
      </c>
      <c r="F216" s="13" t="s">
        <v>21</v>
      </c>
    </row>
    <row r="217" ht="16.5" spans="1:6">
      <c r="A217" s="119">
        <v>211</v>
      </c>
      <c r="B217" s="177">
        <f>VLOOKUP(ROUNDUP(A217/8,0),Sheet2!A:B,2,FALSE())</f>
        <v>112009</v>
      </c>
      <c r="C217" s="178">
        <f t="shared" si="3"/>
        <v>3</v>
      </c>
      <c r="D217" s="179">
        <f>VLOOKUP(C217,Sheet2!$BK$11:$BN$19,VLOOKUP(B217,Sheet2!B:BC,21,FALSE)+1,FALSE)</f>
        <v>1</v>
      </c>
      <c r="E217" s="119">
        <v>0</v>
      </c>
      <c r="F217" s="13" t="s">
        <v>21</v>
      </c>
    </row>
    <row r="218" ht="16.5" spans="1:6">
      <c r="A218" s="119">
        <v>212</v>
      </c>
      <c r="B218" s="177">
        <f>VLOOKUP(ROUNDUP(A218/8,0),Sheet2!A:B,2,FALSE())</f>
        <v>112009</v>
      </c>
      <c r="C218" s="178">
        <f t="shared" si="3"/>
        <v>4</v>
      </c>
      <c r="D218" s="179">
        <f>VLOOKUP(C218,Sheet2!$BK$11:$BN$19,VLOOKUP(B218,Sheet2!B:BC,21,FALSE)+1,FALSE)</f>
        <v>1.2</v>
      </c>
      <c r="E218" s="119">
        <v>0</v>
      </c>
      <c r="F218" s="13" t="s">
        <v>21</v>
      </c>
    </row>
    <row r="219" ht="16.5" spans="1:6">
      <c r="A219" s="119">
        <v>213</v>
      </c>
      <c r="B219" s="177">
        <f>VLOOKUP(ROUNDUP(A219/8,0),Sheet2!A:B,2,FALSE())</f>
        <v>112009</v>
      </c>
      <c r="C219" s="178">
        <f t="shared" si="3"/>
        <v>5</v>
      </c>
      <c r="D219" s="179">
        <f>VLOOKUP(C219,Sheet2!$BK$11:$BN$19,VLOOKUP(B219,Sheet2!B:BC,21,FALSE)+1,FALSE)</f>
        <v>1.2</v>
      </c>
      <c r="E219" s="119">
        <v>0</v>
      </c>
      <c r="F219" s="13" t="s">
        <v>21</v>
      </c>
    </row>
    <row r="220" ht="16.5" spans="1:6">
      <c r="A220" s="119">
        <v>214</v>
      </c>
      <c r="B220" s="177">
        <f>VLOOKUP(ROUNDUP(A220/8,0),Sheet2!A:B,2,FALSE())</f>
        <v>112009</v>
      </c>
      <c r="C220" s="178">
        <f t="shared" si="3"/>
        <v>6</v>
      </c>
      <c r="D220" s="179">
        <f>VLOOKUP(C220,Sheet2!$BK$11:$BN$19,VLOOKUP(B220,Sheet2!B:BC,21,FALSE)+1,FALSE)</f>
        <v>1.4</v>
      </c>
      <c r="E220" s="119">
        <v>0</v>
      </c>
      <c r="F220" s="13" t="s">
        <v>21</v>
      </c>
    </row>
    <row r="221" ht="16.5" spans="1:6">
      <c r="A221" s="119">
        <v>215</v>
      </c>
      <c r="B221" s="177">
        <f>VLOOKUP(ROUNDUP(A221/8,0),Sheet2!A:B,2,FALSE())</f>
        <v>112009</v>
      </c>
      <c r="C221" s="178">
        <f t="shared" si="3"/>
        <v>7</v>
      </c>
      <c r="D221" s="179">
        <f>VLOOKUP(C221,Sheet2!$BK$11:$BN$19,VLOOKUP(B221,Sheet2!B:BC,21,FALSE)+1,FALSE)</f>
        <v>1.4</v>
      </c>
      <c r="E221" s="119">
        <v>0</v>
      </c>
      <c r="F221" s="13" t="s">
        <v>21</v>
      </c>
    </row>
    <row r="222" ht="16.5" spans="1:6">
      <c r="A222" s="119">
        <v>216</v>
      </c>
      <c r="B222" s="177">
        <f>VLOOKUP(ROUNDUP(A222/8,0),Sheet2!A:B,2,FALSE())</f>
        <v>112009</v>
      </c>
      <c r="C222" s="178">
        <f t="shared" si="3"/>
        <v>8</v>
      </c>
      <c r="D222" s="179">
        <f>VLOOKUP(C222,Sheet2!$BK$11:$BN$19,VLOOKUP(B222,Sheet2!B:BC,21,FALSE)+1,FALSE)</f>
        <v>1.6</v>
      </c>
      <c r="E222" s="119">
        <v>0</v>
      </c>
      <c r="F222" s="13" t="s">
        <v>21</v>
      </c>
    </row>
    <row r="223" ht="16.5" spans="1:6">
      <c r="A223" s="119">
        <v>217</v>
      </c>
      <c r="B223" s="177">
        <f>VLOOKUP(ROUNDUP(A223/8,0),Sheet2!A:B,2,FALSE())</f>
        <v>112010</v>
      </c>
      <c r="C223" s="178">
        <f t="shared" si="3"/>
        <v>1</v>
      </c>
      <c r="D223" s="179">
        <f>VLOOKUP(C223,Sheet2!$BK$11:$BN$19,VLOOKUP(B223,Sheet2!B:BC,21,FALSE)+1,FALSE)</f>
        <v>1</v>
      </c>
      <c r="E223" s="119">
        <v>0</v>
      </c>
      <c r="F223" s="13" t="s">
        <v>21</v>
      </c>
    </row>
    <row r="224" ht="16.5" spans="1:6">
      <c r="A224" s="119">
        <v>218</v>
      </c>
      <c r="B224" s="177">
        <f>VLOOKUP(ROUNDUP(A224/8,0),Sheet2!A:B,2,FALSE())</f>
        <v>112010</v>
      </c>
      <c r="C224" s="178">
        <f t="shared" si="3"/>
        <v>2</v>
      </c>
      <c r="D224" s="179">
        <f>VLOOKUP(C224,Sheet2!$BK$11:$BN$19,VLOOKUP(B224,Sheet2!B:BC,21,FALSE)+1,FALSE)</f>
        <v>1</v>
      </c>
      <c r="E224" s="119">
        <v>0</v>
      </c>
      <c r="F224" s="13" t="s">
        <v>21</v>
      </c>
    </row>
    <row r="225" ht="16.5" spans="1:6">
      <c r="A225" s="119">
        <v>219</v>
      </c>
      <c r="B225" s="177">
        <f>VLOOKUP(ROUNDUP(A225/8,0),Sheet2!A:B,2,FALSE())</f>
        <v>112010</v>
      </c>
      <c r="C225" s="178">
        <f t="shared" si="3"/>
        <v>3</v>
      </c>
      <c r="D225" s="179">
        <f>VLOOKUP(C225,Sheet2!$BK$11:$BN$19,VLOOKUP(B225,Sheet2!B:BC,21,FALSE)+1,FALSE)</f>
        <v>1</v>
      </c>
      <c r="E225" s="119">
        <v>0</v>
      </c>
      <c r="F225" s="13" t="s">
        <v>21</v>
      </c>
    </row>
    <row r="226" ht="16.5" spans="1:6">
      <c r="A226" s="119">
        <v>220</v>
      </c>
      <c r="B226" s="177">
        <f>VLOOKUP(ROUNDUP(A226/8,0),Sheet2!A:B,2,FALSE())</f>
        <v>112010</v>
      </c>
      <c r="C226" s="178">
        <f t="shared" si="3"/>
        <v>4</v>
      </c>
      <c r="D226" s="179">
        <f>VLOOKUP(C226,Sheet2!$BK$11:$BN$19,VLOOKUP(B226,Sheet2!B:BC,21,FALSE)+1,FALSE)</f>
        <v>1.2</v>
      </c>
      <c r="E226" s="119">
        <v>0</v>
      </c>
      <c r="F226" s="13" t="s">
        <v>21</v>
      </c>
    </row>
    <row r="227" ht="16.5" spans="1:6">
      <c r="A227" s="119">
        <v>221</v>
      </c>
      <c r="B227" s="177">
        <f>VLOOKUP(ROUNDUP(A227/8,0),Sheet2!A:B,2,FALSE())</f>
        <v>112010</v>
      </c>
      <c r="C227" s="178">
        <f t="shared" si="3"/>
        <v>5</v>
      </c>
      <c r="D227" s="179">
        <f>VLOOKUP(C227,Sheet2!$BK$11:$BN$19,VLOOKUP(B227,Sheet2!B:BC,21,FALSE)+1,FALSE)</f>
        <v>1.2</v>
      </c>
      <c r="E227" s="119">
        <v>0</v>
      </c>
      <c r="F227" s="13" t="s">
        <v>21</v>
      </c>
    </row>
    <row r="228" ht="16.5" spans="1:6">
      <c r="A228" s="119">
        <v>222</v>
      </c>
      <c r="B228" s="177">
        <f>VLOOKUP(ROUNDUP(A228/8,0),Sheet2!A:B,2,FALSE())</f>
        <v>112010</v>
      </c>
      <c r="C228" s="178">
        <f t="shared" si="3"/>
        <v>6</v>
      </c>
      <c r="D228" s="179">
        <f>VLOOKUP(C228,Sheet2!$BK$11:$BN$19,VLOOKUP(B228,Sheet2!B:BC,21,FALSE)+1,FALSE)</f>
        <v>1.4</v>
      </c>
      <c r="E228" s="119">
        <v>0</v>
      </c>
      <c r="F228" s="13" t="s">
        <v>21</v>
      </c>
    </row>
    <row r="229" ht="16.5" spans="1:6">
      <c r="A229" s="119">
        <v>223</v>
      </c>
      <c r="B229" s="177">
        <f>VLOOKUP(ROUNDUP(A229/8,0),Sheet2!A:B,2,FALSE())</f>
        <v>112010</v>
      </c>
      <c r="C229" s="178">
        <f t="shared" si="3"/>
        <v>7</v>
      </c>
      <c r="D229" s="179">
        <f>VLOOKUP(C229,Sheet2!$BK$11:$BN$19,VLOOKUP(B229,Sheet2!B:BC,21,FALSE)+1,FALSE)</f>
        <v>1.4</v>
      </c>
      <c r="E229" s="119">
        <v>0</v>
      </c>
      <c r="F229" s="13" t="s">
        <v>21</v>
      </c>
    </row>
    <row r="230" ht="16.5" spans="1:6">
      <c r="A230" s="119">
        <v>224</v>
      </c>
      <c r="B230" s="177">
        <f>VLOOKUP(ROUNDUP(A230/8,0),Sheet2!A:B,2,FALSE())</f>
        <v>112010</v>
      </c>
      <c r="C230" s="178">
        <f t="shared" si="3"/>
        <v>8</v>
      </c>
      <c r="D230" s="179">
        <f>VLOOKUP(C230,Sheet2!$BK$11:$BN$19,VLOOKUP(B230,Sheet2!B:BC,21,FALSE)+1,FALSE)</f>
        <v>1.6</v>
      </c>
      <c r="E230" s="119">
        <v>0</v>
      </c>
      <c r="F230" s="13" t="s">
        <v>21</v>
      </c>
    </row>
    <row r="231" ht="16.5" spans="1:6">
      <c r="A231" s="119">
        <v>225</v>
      </c>
      <c r="B231" s="177">
        <f>VLOOKUP(ROUNDUP(A231/8,0),Sheet2!A:B,2,FALSE())</f>
        <v>112011</v>
      </c>
      <c r="C231" s="178">
        <f t="shared" si="3"/>
        <v>1</v>
      </c>
      <c r="D231" s="179">
        <f>VLOOKUP(C231,Sheet2!$BK$11:$BN$19,VLOOKUP(B231,Sheet2!B:BC,21,FALSE)+1,FALSE)</f>
        <v>1</v>
      </c>
      <c r="E231" s="119">
        <v>0</v>
      </c>
      <c r="F231" s="13" t="s">
        <v>21</v>
      </c>
    </row>
    <row r="232" ht="16.5" spans="1:6">
      <c r="A232" s="119">
        <v>226</v>
      </c>
      <c r="B232" s="177">
        <f>VLOOKUP(ROUNDUP(A232/8,0),Sheet2!A:B,2,FALSE())</f>
        <v>112011</v>
      </c>
      <c r="C232" s="178">
        <f t="shared" si="3"/>
        <v>2</v>
      </c>
      <c r="D232" s="179">
        <f>VLOOKUP(C232,Sheet2!$BK$11:$BN$19,VLOOKUP(B232,Sheet2!B:BC,21,FALSE)+1,FALSE)</f>
        <v>1</v>
      </c>
      <c r="E232" s="119">
        <v>0</v>
      </c>
      <c r="F232" s="13" t="s">
        <v>21</v>
      </c>
    </row>
    <row r="233" ht="16.5" spans="1:6">
      <c r="A233" s="119">
        <v>227</v>
      </c>
      <c r="B233" s="177">
        <f>VLOOKUP(ROUNDUP(A233/8,0),Sheet2!A:B,2,FALSE())</f>
        <v>112011</v>
      </c>
      <c r="C233" s="178">
        <f t="shared" si="3"/>
        <v>3</v>
      </c>
      <c r="D233" s="179">
        <f>VLOOKUP(C233,Sheet2!$BK$11:$BN$19,VLOOKUP(B233,Sheet2!B:BC,21,FALSE)+1,FALSE)</f>
        <v>1</v>
      </c>
      <c r="E233" s="119">
        <v>0</v>
      </c>
      <c r="F233" s="13" t="s">
        <v>21</v>
      </c>
    </row>
    <row r="234" ht="16.5" spans="1:6">
      <c r="A234" s="119">
        <v>228</v>
      </c>
      <c r="B234" s="177">
        <f>VLOOKUP(ROUNDUP(A234/8,0),Sheet2!A:B,2,FALSE())</f>
        <v>112011</v>
      </c>
      <c r="C234" s="178">
        <f t="shared" si="3"/>
        <v>4</v>
      </c>
      <c r="D234" s="179">
        <f>VLOOKUP(C234,Sheet2!$BK$11:$BN$19,VLOOKUP(B234,Sheet2!B:BC,21,FALSE)+1,FALSE)</f>
        <v>1.2</v>
      </c>
      <c r="E234" s="119">
        <v>0</v>
      </c>
      <c r="F234" s="13" t="s">
        <v>21</v>
      </c>
    </row>
    <row r="235" ht="16.5" spans="1:6">
      <c r="A235" s="119">
        <v>229</v>
      </c>
      <c r="B235" s="177">
        <f>VLOOKUP(ROUNDUP(A235/8,0),Sheet2!A:B,2,FALSE())</f>
        <v>112011</v>
      </c>
      <c r="C235" s="178">
        <f t="shared" si="3"/>
        <v>5</v>
      </c>
      <c r="D235" s="179">
        <f>VLOOKUP(C235,Sheet2!$BK$11:$BN$19,VLOOKUP(B235,Sheet2!B:BC,21,FALSE)+1,FALSE)</f>
        <v>1.2</v>
      </c>
      <c r="E235" s="119">
        <v>0</v>
      </c>
      <c r="F235" s="13" t="s">
        <v>21</v>
      </c>
    </row>
    <row r="236" ht="16.5" spans="1:6">
      <c r="A236" s="119">
        <v>230</v>
      </c>
      <c r="B236" s="177">
        <f>VLOOKUP(ROUNDUP(A236/8,0),Sheet2!A:B,2,FALSE())</f>
        <v>112011</v>
      </c>
      <c r="C236" s="178">
        <f t="shared" si="3"/>
        <v>6</v>
      </c>
      <c r="D236" s="179">
        <f>VLOOKUP(C236,Sheet2!$BK$11:$BN$19,VLOOKUP(B236,Sheet2!B:BC,21,FALSE)+1,FALSE)</f>
        <v>1.4</v>
      </c>
      <c r="E236" s="119">
        <v>0</v>
      </c>
      <c r="F236" s="13" t="s">
        <v>21</v>
      </c>
    </row>
    <row r="237" ht="16.5" spans="1:6">
      <c r="A237" s="119">
        <v>231</v>
      </c>
      <c r="B237" s="177">
        <f>VLOOKUP(ROUNDUP(A237/8,0),Sheet2!A:B,2,FALSE())</f>
        <v>112011</v>
      </c>
      <c r="C237" s="178">
        <f t="shared" si="3"/>
        <v>7</v>
      </c>
      <c r="D237" s="179">
        <f>VLOOKUP(C237,Sheet2!$BK$11:$BN$19,VLOOKUP(B237,Sheet2!B:BC,21,FALSE)+1,FALSE)</f>
        <v>1.4</v>
      </c>
      <c r="E237" s="119">
        <v>0</v>
      </c>
      <c r="F237" s="13" t="s">
        <v>21</v>
      </c>
    </row>
    <row r="238" ht="16.5" spans="1:6">
      <c r="A238" s="119">
        <v>232</v>
      </c>
      <c r="B238" s="177">
        <f>VLOOKUP(ROUNDUP(A238/8,0),Sheet2!A:B,2,FALSE())</f>
        <v>112011</v>
      </c>
      <c r="C238" s="178">
        <f t="shared" si="3"/>
        <v>8</v>
      </c>
      <c r="D238" s="179">
        <f>VLOOKUP(C238,Sheet2!$BK$11:$BN$19,VLOOKUP(B238,Sheet2!B:BC,21,FALSE)+1,FALSE)</f>
        <v>1.6</v>
      </c>
      <c r="E238" s="119">
        <v>0</v>
      </c>
      <c r="F238" s="13" t="s">
        <v>21</v>
      </c>
    </row>
    <row r="239" ht="16.5" spans="1:6">
      <c r="A239" s="119">
        <v>233</v>
      </c>
      <c r="B239" s="177">
        <f>VLOOKUP(ROUNDUP(A239/8,0),Sheet2!A:B,2,FALSE())</f>
        <v>112012</v>
      </c>
      <c r="C239" s="178">
        <f t="shared" si="3"/>
        <v>1</v>
      </c>
      <c r="D239" s="179">
        <f>VLOOKUP(C239,Sheet2!$BK$11:$BN$19,VLOOKUP(B239,Sheet2!B:BC,21,FALSE)+1,FALSE)</f>
        <v>1</v>
      </c>
      <c r="E239" s="119">
        <v>0</v>
      </c>
      <c r="F239" s="13" t="s">
        <v>21</v>
      </c>
    </row>
    <row r="240" ht="16.5" spans="1:6">
      <c r="A240" s="119">
        <v>234</v>
      </c>
      <c r="B240" s="177">
        <f>VLOOKUP(ROUNDUP(A240/8,0),Sheet2!A:B,2,FALSE())</f>
        <v>112012</v>
      </c>
      <c r="C240" s="178">
        <f t="shared" si="3"/>
        <v>2</v>
      </c>
      <c r="D240" s="179">
        <f>VLOOKUP(C240,Sheet2!$BK$11:$BN$19,VLOOKUP(B240,Sheet2!B:BC,21,FALSE)+1,FALSE)</f>
        <v>1</v>
      </c>
      <c r="E240" s="119">
        <v>0</v>
      </c>
      <c r="F240" s="13" t="s">
        <v>21</v>
      </c>
    </row>
    <row r="241" ht="16.5" spans="1:6">
      <c r="A241" s="119">
        <v>235</v>
      </c>
      <c r="B241" s="177">
        <f>VLOOKUP(ROUNDUP(A241/8,0),Sheet2!A:B,2,FALSE())</f>
        <v>112012</v>
      </c>
      <c r="C241" s="178">
        <f t="shared" si="3"/>
        <v>3</v>
      </c>
      <c r="D241" s="179">
        <f>VLOOKUP(C241,Sheet2!$BK$11:$BN$19,VLOOKUP(B241,Sheet2!B:BC,21,FALSE)+1,FALSE)</f>
        <v>1</v>
      </c>
      <c r="E241" s="119">
        <v>0</v>
      </c>
      <c r="F241" s="13" t="s">
        <v>21</v>
      </c>
    </row>
    <row r="242" ht="16.5" spans="1:6">
      <c r="A242" s="119">
        <v>236</v>
      </c>
      <c r="B242" s="177">
        <f>VLOOKUP(ROUNDUP(A242/8,0),Sheet2!A:B,2,FALSE())</f>
        <v>112012</v>
      </c>
      <c r="C242" s="178">
        <f t="shared" si="3"/>
        <v>4</v>
      </c>
      <c r="D242" s="179">
        <f>VLOOKUP(C242,Sheet2!$BK$11:$BN$19,VLOOKUP(B242,Sheet2!B:BC,21,FALSE)+1,FALSE)</f>
        <v>1.2</v>
      </c>
      <c r="E242" s="119">
        <v>0</v>
      </c>
      <c r="F242" s="13" t="s">
        <v>21</v>
      </c>
    </row>
    <row r="243" ht="16.5" spans="1:6">
      <c r="A243" s="119">
        <v>237</v>
      </c>
      <c r="B243" s="177">
        <f>VLOOKUP(ROUNDUP(A243/8,0),Sheet2!A:B,2,FALSE())</f>
        <v>112012</v>
      </c>
      <c r="C243" s="178">
        <f t="shared" si="3"/>
        <v>5</v>
      </c>
      <c r="D243" s="179">
        <f>VLOOKUP(C243,Sheet2!$BK$11:$BN$19,VLOOKUP(B243,Sheet2!B:BC,21,FALSE)+1,FALSE)</f>
        <v>1.2</v>
      </c>
      <c r="E243" s="119">
        <v>0</v>
      </c>
      <c r="F243" s="13" t="s">
        <v>21</v>
      </c>
    </row>
    <row r="244" ht="16.5" spans="1:6">
      <c r="A244" s="119">
        <v>238</v>
      </c>
      <c r="B244" s="177">
        <f>VLOOKUP(ROUNDUP(A244/8,0),Sheet2!A:B,2,FALSE())</f>
        <v>112012</v>
      </c>
      <c r="C244" s="178">
        <f t="shared" si="3"/>
        <v>6</v>
      </c>
      <c r="D244" s="179">
        <f>VLOOKUP(C244,Sheet2!$BK$11:$BN$19,VLOOKUP(B244,Sheet2!B:BC,21,FALSE)+1,FALSE)</f>
        <v>1.4</v>
      </c>
      <c r="E244" s="119">
        <v>0</v>
      </c>
      <c r="F244" s="13" t="s">
        <v>21</v>
      </c>
    </row>
    <row r="245" ht="16.5" spans="1:6">
      <c r="A245" s="119">
        <v>239</v>
      </c>
      <c r="B245" s="177">
        <f>VLOOKUP(ROUNDUP(A245/8,0),Sheet2!A:B,2,FALSE())</f>
        <v>112012</v>
      </c>
      <c r="C245" s="178">
        <f t="shared" si="3"/>
        <v>7</v>
      </c>
      <c r="D245" s="179">
        <f>VLOOKUP(C245,Sheet2!$BK$11:$BN$19,VLOOKUP(B245,Sheet2!B:BC,21,FALSE)+1,FALSE)</f>
        <v>1.4</v>
      </c>
      <c r="E245" s="119">
        <v>0</v>
      </c>
      <c r="F245" s="13" t="s">
        <v>21</v>
      </c>
    </row>
    <row r="246" ht="16.5" spans="1:6">
      <c r="A246" s="119">
        <v>240</v>
      </c>
      <c r="B246" s="177">
        <f>VLOOKUP(ROUNDUP(A246/8,0),Sheet2!A:B,2,FALSE())</f>
        <v>112012</v>
      </c>
      <c r="C246" s="178">
        <f t="shared" si="3"/>
        <v>8</v>
      </c>
      <c r="D246" s="179">
        <f>VLOOKUP(C246,Sheet2!$BK$11:$BN$19,VLOOKUP(B246,Sheet2!B:BC,21,FALSE)+1,FALSE)</f>
        <v>1.6</v>
      </c>
      <c r="E246" s="119">
        <v>0</v>
      </c>
      <c r="F246" s="13" t="s">
        <v>21</v>
      </c>
    </row>
    <row r="247" ht="16.5" spans="1:6">
      <c r="A247" s="119">
        <v>241</v>
      </c>
      <c r="B247" s="177">
        <f>VLOOKUP(ROUNDUP(A247/8,0),Sheet2!A:B,2,FALSE())</f>
        <v>112013</v>
      </c>
      <c r="C247" s="178">
        <f t="shared" si="3"/>
        <v>1</v>
      </c>
      <c r="D247" s="179">
        <f>VLOOKUP(C247,Sheet2!$BK$11:$BN$19,VLOOKUP(B247,Sheet2!B:BC,21,FALSE)+1,FALSE)</f>
        <v>1</v>
      </c>
      <c r="E247" s="119">
        <v>0</v>
      </c>
      <c r="F247" s="13" t="s">
        <v>21</v>
      </c>
    </row>
    <row r="248" ht="16.5" spans="1:6">
      <c r="A248" s="119">
        <v>242</v>
      </c>
      <c r="B248" s="177">
        <f>VLOOKUP(ROUNDUP(A248/8,0),Sheet2!A:B,2,FALSE())</f>
        <v>112013</v>
      </c>
      <c r="C248" s="178">
        <f t="shared" si="3"/>
        <v>2</v>
      </c>
      <c r="D248" s="179">
        <f>VLOOKUP(C248,Sheet2!$BK$11:$BN$19,VLOOKUP(B248,Sheet2!B:BC,21,FALSE)+1,FALSE)</f>
        <v>1</v>
      </c>
      <c r="E248" s="119">
        <v>0</v>
      </c>
      <c r="F248" s="13" t="s">
        <v>21</v>
      </c>
    </row>
    <row r="249" ht="16.5" spans="1:6">
      <c r="A249" s="119">
        <v>243</v>
      </c>
      <c r="B249" s="177">
        <f>VLOOKUP(ROUNDUP(A249/8,0),Sheet2!A:B,2,FALSE())</f>
        <v>112013</v>
      </c>
      <c r="C249" s="178">
        <f t="shared" si="3"/>
        <v>3</v>
      </c>
      <c r="D249" s="179">
        <f>VLOOKUP(C249,Sheet2!$BK$11:$BN$19,VLOOKUP(B249,Sheet2!B:BC,21,FALSE)+1,FALSE)</f>
        <v>1</v>
      </c>
      <c r="E249" s="119">
        <v>0</v>
      </c>
      <c r="F249" s="13" t="s">
        <v>21</v>
      </c>
    </row>
    <row r="250" ht="16.5" spans="1:6">
      <c r="A250" s="119">
        <v>244</v>
      </c>
      <c r="B250" s="177">
        <f>VLOOKUP(ROUNDUP(A250/8,0),Sheet2!A:B,2,FALSE())</f>
        <v>112013</v>
      </c>
      <c r="C250" s="178">
        <f t="shared" si="3"/>
        <v>4</v>
      </c>
      <c r="D250" s="179">
        <f>VLOOKUP(C250,Sheet2!$BK$11:$BN$19,VLOOKUP(B250,Sheet2!B:BC,21,FALSE)+1,FALSE)</f>
        <v>1.2</v>
      </c>
      <c r="E250" s="119">
        <v>0</v>
      </c>
      <c r="F250" s="13" t="s">
        <v>21</v>
      </c>
    </row>
    <row r="251" ht="16.5" spans="1:6">
      <c r="A251" s="119">
        <v>245</v>
      </c>
      <c r="B251" s="177">
        <f>VLOOKUP(ROUNDUP(A251/8,0),Sheet2!A:B,2,FALSE())</f>
        <v>112013</v>
      </c>
      <c r="C251" s="178">
        <f t="shared" si="3"/>
        <v>5</v>
      </c>
      <c r="D251" s="179">
        <f>VLOOKUP(C251,Sheet2!$BK$11:$BN$19,VLOOKUP(B251,Sheet2!B:BC,21,FALSE)+1,FALSE)</f>
        <v>1.2</v>
      </c>
      <c r="E251" s="119">
        <v>0</v>
      </c>
      <c r="F251" s="13" t="s">
        <v>21</v>
      </c>
    </row>
    <row r="252" ht="16.5" spans="1:6">
      <c r="A252" s="119">
        <v>246</v>
      </c>
      <c r="B252" s="177">
        <f>VLOOKUP(ROUNDUP(A252/8,0),Sheet2!A:B,2,FALSE())</f>
        <v>112013</v>
      </c>
      <c r="C252" s="178">
        <f t="shared" si="3"/>
        <v>6</v>
      </c>
      <c r="D252" s="179">
        <f>VLOOKUP(C252,Sheet2!$BK$11:$BN$19,VLOOKUP(B252,Sheet2!B:BC,21,FALSE)+1,FALSE)</f>
        <v>1.4</v>
      </c>
      <c r="E252" s="119">
        <v>0</v>
      </c>
      <c r="F252" s="13" t="s">
        <v>21</v>
      </c>
    </row>
    <row r="253" ht="16.5" spans="1:6">
      <c r="A253" s="119">
        <v>247</v>
      </c>
      <c r="B253" s="177">
        <f>VLOOKUP(ROUNDUP(A253/8,0),Sheet2!A:B,2,FALSE())</f>
        <v>112013</v>
      </c>
      <c r="C253" s="178">
        <f t="shared" si="3"/>
        <v>7</v>
      </c>
      <c r="D253" s="179">
        <f>VLOOKUP(C253,Sheet2!$BK$11:$BN$19,VLOOKUP(B253,Sheet2!B:BC,21,FALSE)+1,FALSE)</f>
        <v>1.4</v>
      </c>
      <c r="E253" s="119">
        <v>0</v>
      </c>
      <c r="F253" s="13" t="s">
        <v>21</v>
      </c>
    </row>
    <row r="254" ht="16.5" spans="1:6">
      <c r="A254" s="119">
        <v>248</v>
      </c>
      <c r="B254" s="177">
        <f>VLOOKUP(ROUNDUP(A254/8,0),Sheet2!A:B,2,FALSE())</f>
        <v>112013</v>
      </c>
      <c r="C254" s="178">
        <f t="shared" si="3"/>
        <v>8</v>
      </c>
      <c r="D254" s="179">
        <f>VLOOKUP(C254,Sheet2!$BK$11:$BN$19,VLOOKUP(B254,Sheet2!B:BC,21,FALSE)+1,FALSE)</f>
        <v>1.6</v>
      </c>
      <c r="E254" s="119">
        <v>0</v>
      </c>
      <c r="F254" s="13" t="s">
        <v>21</v>
      </c>
    </row>
    <row r="255" ht="16.5" spans="1:6">
      <c r="A255" s="119">
        <v>249</v>
      </c>
      <c r="B255" s="177">
        <f>VLOOKUP(ROUNDUP(A255/8,0),Sheet2!A:B,2,FALSE())</f>
        <v>112014</v>
      </c>
      <c r="C255" s="178">
        <f t="shared" si="3"/>
        <v>1</v>
      </c>
      <c r="D255" s="179">
        <f>VLOOKUP(C255,Sheet2!$BK$11:$BN$19,VLOOKUP(B255,Sheet2!B:BC,21,FALSE)+1,FALSE)</f>
        <v>1</v>
      </c>
      <c r="E255" s="119">
        <v>0</v>
      </c>
      <c r="F255" s="13" t="s">
        <v>21</v>
      </c>
    </row>
    <row r="256" ht="16.5" spans="1:6">
      <c r="A256" s="119">
        <v>250</v>
      </c>
      <c r="B256" s="177">
        <f>VLOOKUP(ROUNDUP(A256/8,0),Sheet2!A:B,2,FALSE())</f>
        <v>112014</v>
      </c>
      <c r="C256" s="178">
        <f t="shared" si="3"/>
        <v>2</v>
      </c>
      <c r="D256" s="179">
        <f>VLOOKUP(C256,Sheet2!$BK$11:$BN$19,VLOOKUP(B256,Sheet2!B:BC,21,FALSE)+1,FALSE)</f>
        <v>1</v>
      </c>
      <c r="E256" s="119">
        <v>0</v>
      </c>
      <c r="F256" s="13" t="s">
        <v>21</v>
      </c>
    </row>
    <row r="257" ht="16.5" spans="1:6">
      <c r="A257" s="119">
        <v>251</v>
      </c>
      <c r="B257" s="177">
        <f>VLOOKUP(ROUNDUP(A257/8,0),Sheet2!A:B,2,FALSE())</f>
        <v>112014</v>
      </c>
      <c r="C257" s="178">
        <f t="shared" si="3"/>
        <v>3</v>
      </c>
      <c r="D257" s="179">
        <f>VLOOKUP(C257,Sheet2!$BK$11:$BN$19,VLOOKUP(B257,Sheet2!B:BC,21,FALSE)+1,FALSE)</f>
        <v>1</v>
      </c>
      <c r="E257" s="119">
        <v>0</v>
      </c>
      <c r="F257" s="13" t="s">
        <v>21</v>
      </c>
    </row>
    <row r="258" ht="16.5" spans="1:6">
      <c r="A258" s="119">
        <v>252</v>
      </c>
      <c r="B258" s="177">
        <f>VLOOKUP(ROUNDUP(A258/8,0),Sheet2!A:B,2,FALSE())</f>
        <v>112014</v>
      </c>
      <c r="C258" s="178">
        <f t="shared" si="3"/>
        <v>4</v>
      </c>
      <c r="D258" s="179">
        <f>VLOOKUP(C258,Sheet2!$BK$11:$BN$19,VLOOKUP(B258,Sheet2!B:BC,21,FALSE)+1,FALSE)</f>
        <v>1.2</v>
      </c>
      <c r="E258" s="119">
        <v>0</v>
      </c>
      <c r="F258" s="13" t="s">
        <v>21</v>
      </c>
    </row>
    <row r="259" ht="16.5" spans="1:6">
      <c r="A259" s="119">
        <v>253</v>
      </c>
      <c r="B259" s="177">
        <f>VLOOKUP(ROUNDUP(A259/8,0),Sheet2!A:B,2,FALSE())</f>
        <v>112014</v>
      </c>
      <c r="C259" s="178">
        <f t="shared" si="3"/>
        <v>5</v>
      </c>
      <c r="D259" s="179">
        <f>VLOOKUP(C259,Sheet2!$BK$11:$BN$19,VLOOKUP(B259,Sheet2!B:BC,21,FALSE)+1,FALSE)</f>
        <v>1.2</v>
      </c>
      <c r="E259" s="119">
        <v>0</v>
      </c>
      <c r="F259" s="13" t="s">
        <v>21</v>
      </c>
    </row>
    <row r="260" ht="16.5" spans="1:6">
      <c r="A260" s="119">
        <v>254</v>
      </c>
      <c r="B260" s="177">
        <f>VLOOKUP(ROUNDUP(A260/8,0),Sheet2!A:B,2,FALSE())</f>
        <v>112014</v>
      </c>
      <c r="C260" s="178">
        <f t="shared" si="3"/>
        <v>6</v>
      </c>
      <c r="D260" s="179">
        <f>VLOOKUP(C260,Sheet2!$BK$11:$BN$19,VLOOKUP(B260,Sheet2!B:BC,21,FALSE)+1,FALSE)</f>
        <v>1.4</v>
      </c>
      <c r="E260" s="119">
        <v>0</v>
      </c>
      <c r="F260" s="13" t="s">
        <v>21</v>
      </c>
    </row>
    <row r="261" ht="16.5" spans="1:6">
      <c r="A261" s="119">
        <v>255</v>
      </c>
      <c r="B261" s="177">
        <f>VLOOKUP(ROUNDUP(A261/8,0),Sheet2!A:B,2,FALSE())</f>
        <v>112014</v>
      </c>
      <c r="C261" s="178">
        <f t="shared" si="3"/>
        <v>7</v>
      </c>
      <c r="D261" s="179">
        <f>VLOOKUP(C261,Sheet2!$BK$11:$BN$19,VLOOKUP(B261,Sheet2!B:BC,21,FALSE)+1,FALSE)</f>
        <v>1.4</v>
      </c>
      <c r="E261" s="119">
        <v>0</v>
      </c>
      <c r="F261" s="13" t="s">
        <v>21</v>
      </c>
    </row>
    <row r="262" ht="16.5" spans="1:6">
      <c r="A262" s="119">
        <v>256</v>
      </c>
      <c r="B262" s="177">
        <f>VLOOKUP(ROUNDUP(A262/8,0),Sheet2!A:B,2,FALSE())</f>
        <v>112014</v>
      </c>
      <c r="C262" s="178">
        <f t="shared" si="3"/>
        <v>8</v>
      </c>
      <c r="D262" s="179">
        <f>VLOOKUP(C262,Sheet2!$BK$11:$BN$19,VLOOKUP(B262,Sheet2!B:BC,21,FALSE)+1,FALSE)</f>
        <v>1.6</v>
      </c>
      <c r="E262" s="119">
        <v>0</v>
      </c>
      <c r="F262" s="13" t="s">
        <v>21</v>
      </c>
    </row>
    <row r="263" ht="16.5" spans="1:6">
      <c r="A263" s="119">
        <v>257</v>
      </c>
      <c r="B263" s="177">
        <f>VLOOKUP(ROUNDUP(A263/8,0),Sheet2!A:B,2,FALSE())</f>
        <v>112015</v>
      </c>
      <c r="C263" s="178">
        <f t="shared" si="3"/>
        <v>1</v>
      </c>
      <c r="D263" s="179">
        <f>VLOOKUP(C263,Sheet2!$BK$11:$BN$19,VLOOKUP(B263,Sheet2!B:BC,21,FALSE)+1,FALSE)</f>
        <v>1</v>
      </c>
      <c r="E263" s="119">
        <v>0</v>
      </c>
      <c r="F263" s="13" t="s">
        <v>21</v>
      </c>
    </row>
    <row r="264" ht="16.5" spans="1:6">
      <c r="A264" s="119">
        <v>258</v>
      </c>
      <c r="B264" s="177">
        <f>VLOOKUP(ROUNDUP(A264/8,0),Sheet2!A:B,2,FALSE())</f>
        <v>112015</v>
      </c>
      <c r="C264" s="178">
        <f t="shared" si="3"/>
        <v>2</v>
      </c>
      <c r="D264" s="179">
        <f>VLOOKUP(C264,Sheet2!$BK$11:$BN$19,VLOOKUP(B264,Sheet2!B:BC,21,FALSE)+1,FALSE)</f>
        <v>1</v>
      </c>
      <c r="E264" s="119">
        <v>0</v>
      </c>
      <c r="F264" s="13" t="s">
        <v>21</v>
      </c>
    </row>
    <row r="265" ht="16.5" spans="1:6">
      <c r="A265" s="119">
        <v>259</v>
      </c>
      <c r="B265" s="177">
        <f>VLOOKUP(ROUNDUP(A265/8,0),Sheet2!A:B,2,FALSE())</f>
        <v>112015</v>
      </c>
      <c r="C265" s="178">
        <f t="shared" si="3"/>
        <v>3</v>
      </c>
      <c r="D265" s="179">
        <f>VLOOKUP(C265,Sheet2!$BK$11:$BN$19,VLOOKUP(B265,Sheet2!B:BC,21,FALSE)+1,FALSE)</f>
        <v>1</v>
      </c>
      <c r="E265" s="119">
        <v>0</v>
      </c>
      <c r="F265" s="13" t="s">
        <v>21</v>
      </c>
    </row>
    <row r="266" ht="16.5" spans="1:6">
      <c r="A266" s="119">
        <v>260</v>
      </c>
      <c r="B266" s="177">
        <f>VLOOKUP(ROUNDUP(A266/8,0),Sheet2!A:B,2,FALSE())</f>
        <v>112015</v>
      </c>
      <c r="C266" s="178">
        <f t="shared" si="3"/>
        <v>4</v>
      </c>
      <c r="D266" s="179">
        <f>VLOOKUP(C266,Sheet2!$BK$11:$BN$19,VLOOKUP(B266,Sheet2!B:BC,21,FALSE)+1,FALSE)</f>
        <v>1.2</v>
      </c>
      <c r="E266" s="119">
        <v>0</v>
      </c>
      <c r="F266" s="13" t="s">
        <v>21</v>
      </c>
    </row>
    <row r="267" ht="16.5" spans="1:6">
      <c r="A267" s="119">
        <v>261</v>
      </c>
      <c r="B267" s="177">
        <f>VLOOKUP(ROUNDUP(A267/8,0),Sheet2!A:B,2,FALSE())</f>
        <v>112015</v>
      </c>
      <c r="C267" s="178">
        <f t="shared" si="3"/>
        <v>5</v>
      </c>
      <c r="D267" s="179">
        <f>VLOOKUP(C267,Sheet2!$BK$11:$BN$19,VLOOKUP(B267,Sheet2!B:BC,21,FALSE)+1,FALSE)</f>
        <v>1.2</v>
      </c>
      <c r="E267" s="119">
        <v>0</v>
      </c>
      <c r="F267" s="13" t="s">
        <v>21</v>
      </c>
    </row>
    <row r="268" ht="16.5" spans="1:6">
      <c r="A268" s="119">
        <v>262</v>
      </c>
      <c r="B268" s="177">
        <f>VLOOKUP(ROUNDUP(A268/8,0),Sheet2!A:B,2,FALSE())</f>
        <v>112015</v>
      </c>
      <c r="C268" s="178">
        <f t="shared" si="3"/>
        <v>6</v>
      </c>
      <c r="D268" s="179">
        <f>VLOOKUP(C268,Sheet2!$BK$11:$BN$19,VLOOKUP(B268,Sheet2!B:BC,21,FALSE)+1,FALSE)</f>
        <v>1.4</v>
      </c>
      <c r="E268" s="119">
        <v>0</v>
      </c>
      <c r="F268" s="13" t="s">
        <v>21</v>
      </c>
    </row>
    <row r="269" ht="16.5" spans="1:6">
      <c r="A269" s="119">
        <v>263</v>
      </c>
      <c r="B269" s="177">
        <f>VLOOKUP(ROUNDUP(A269/8,0),Sheet2!A:B,2,FALSE())</f>
        <v>112015</v>
      </c>
      <c r="C269" s="178">
        <f t="shared" si="3"/>
        <v>7</v>
      </c>
      <c r="D269" s="179">
        <f>VLOOKUP(C269,Sheet2!$BK$11:$BN$19,VLOOKUP(B269,Sheet2!B:BC,21,FALSE)+1,FALSE)</f>
        <v>1.4</v>
      </c>
      <c r="E269" s="119">
        <v>0</v>
      </c>
      <c r="F269" s="13" t="s">
        <v>21</v>
      </c>
    </row>
    <row r="270" ht="16.5" spans="1:6">
      <c r="A270" s="119">
        <v>264</v>
      </c>
      <c r="B270" s="177">
        <f>VLOOKUP(ROUNDUP(A270/8,0),Sheet2!A:B,2,FALSE())</f>
        <v>112015</v>
      </c>
      <c r="C270" s="178">
        <f t="shared" si="3"/>
        <v>8</v>
      </c>
      <c r="D270" s="179">
        <f>VLOOKUP(C270,Sheet2!$BK$11:$BN$19,VLOOKUP(B270,Sheet2!B:BC,21,FALSE)+1,FALSE)</f>
        <v>1.6</v>
      </c>
      <c r="E270" s="119">
        <v>0</v>
      </c>
      <c r="F270" s="13" t="s">
        <v>21</v>
      </c>
    </row>
    <row r="271" ht="16.5" spans="1:6">
      <c r="A271" s="119">
        <v>265</v>
      </c>
      <c r="B271" s="177">
        <f>VLOOKUP(ROUNDUP(A271/8,0),Sheet2!A:B,2,FALSE())</f>
        <v>112016</v>
      </c>
      <c r="C271" s="178">
        <f t="shared" si="3"/>
        <v>1</v>
      </c>
      <c r="D271" s="179">
        <f>VLOOKUP(C271,Sheet2!$BK$11:$BN$19,VLOOKUP(B271,Sheet2!B:BC,21,FALSE)+1,FALSE)</f>
        <v>1</v>
      </c>
      <c r="E271" s="119">
        <v>0</v>
      </c>
      <c r="F271" s="13" t="s">
        <v>21</v>
      </c>
    </row>
    <row r="272" ht="16.5" spans="1:6">
      <c r="A272" s="119">
        <v>266</v>
      </c>
      <c r="B272" s="177">
        <f>VLOOKUP(ROUNDUP(A272/8,0),Sheet2!A:B,2,FALSE())</f>
        <v>112016</v>
      </c>
      <c r="C272" s="178">
        <f t="shared" ref="C272:C335" si="4">C264</f>
        <v>2</v>
      </c>
      <c r="D272" s="179">
        <f>VLOOKUP(C272,Sheet2!$BK$11:$BN$19,VLOOKUP(B272,Sheet2!B:BC,21,FALSE)+1,FALSE)</f>
        <v>1</v>
      </c>
      <c r="E272" s="119">
        <v>0</v>
      </c>
      <c r="F272" s="13" t="s">
        <v>21</v>
      </c>
    </row>
    <row r="273" ht="16.5" spans="1:6">
      <c r="A273" s="119">
        <v>267</v>
      </c>
      <c r="B273" s="177">
        <f>VLOOKUP(ROUNDUP(A273/8,0),Sheet2!A:B,2,FALSE())</f>
        <v>112016</v>
      </c>
      <c r="C273" s="178">
        <f t="shared" si="4"/>
        <v>3</v>
      </c>
      <c r="D273" s="179">
        <f>VLOOKUP(C273,Sheet2!$BK$11:$BN$19,VLOOKUP(B273,Sheet2!B:BC,21,FALSE)+1,FALSE)</f>
        <v>1</v>
      </c>
      <c r="E273" s="119">
        <v>0</v>
      </c>
      <c r="F273" s="13" t="s">
        <v>21</v>
      </c>
    </row>
    <row r="274" ht="16.5" spans="1:6">
      <c r="A274" s="119">
        <v>268</v>
      </c>
      <c r="B274" s="177">
        <f>VLOOKUP(ROUNDUP(A274/8,0),Sheet2!A:B,2,FALSE())</f>
        <v>112016</v>
      </c>
      <c r="C274" s="178">
        <f t="shared" si="4"/>
        <v>4</v>
      </c>
      <c r="D274" s="179">
        <f>VLOOKUP(C274,Sheet2!$BK$11:$BN$19,VLOOKUP(B274,Sheet2!B:BC,21,FALSE)+1,FALSE)</f>
        <v>1.2</v>
      </c>
      <c r="E274" s="119">
        <v>0</v>
      </c>
      <c r="F274" s="13" t="s">
        <v>21</v>
      </c>
    </row>
    <row r="275" ht="16.5" spans="1:6">
      <c r="A275" s="119">
        <v>269</v>
      </c>
      <c r="B275" s="177">
        <f>VLOOKUP(ROUNDUP(A275/8,0),Sheet2!A:B,2,FALSE())</f>
        <v>112016</v>
      </c>
      <c r="C275" s="178">
        <f t="shared" si="4"/>
        <v>5</v>
      </c>
      <c r="D275" s="179">
        <f>VLOOKUP(C275,Sheet2!$BK$11:$BN$19,VLOOKUP(B275,Sheet2!B:BC,21,FALSE)+1,FALSE)</f>
        <v>1.2</v>
      </c>
      <c r="E275" s="119">
        <v>0</v>
      </c>
      <c r="F275" s="13" t="s">
        <v>21</v>
      </c>
    </row>
    <row r="276" ht="16.5" spans="1:6">
      <c r="A276" s="119">
        <v>270</v>
      </c>
      <c r="B276" s="177">
        <f>VLOOKUP(ROUNDUP(A276/8,0),Sheet2!A:B,2,FALSE())</f>
        <v>112016</v>
      </c>
      <c r="C276" s="178">
        <f t="shared" si="4"/>
        <v>6</v>
      </c>
      <c r="D276" s="179">
        <f>VLOOKUP(C276,Sheet2!$BK$11:$BN$19,VLOOKUP(B276,Sheet2!B:BC,21,FALSE)+1,FALSE)</f>
        <v>1.4</v>
      </c>
      <c r="E276" s="119">
        <v>0</v>
      </c>
      <c r="F276" s="13" t="s">
        <v>21</v>
      </c>
    </row>
    <row r="277" ht="16.5" spans="1:6">
      <c r="A277" s="119">
        <v>271</v>
      </c>
      <c r="B277" s="177">
        <f>VLOOKUP(ROUNDUP(A277/8,0),Sheet2!A:B,2,FALSE())</f>
        <v>112016</v>
      </c>
      <c r="C277" s="178">
        <f t="shared" si="4"/>
        <v>7</v>
      </c>
      <c r="D277" s="179">
        <f>VLOOKUP(C277,Sheet2!$BK$11:$BN$19,VLOOKUP(B277,Sheet2!B:BC,21,FALSE)+1,FALSE)</f>
        <v>1.4</v>
      </c>
      <c r="E277" s="119">
        <v>0</v>
      </c>
      <c r="F277" s="13" t="s">
        <v>21</v>
      </c>
    </row>
    <row r="278" ht="16.5" spans="1:6">
      <c r="A278" s="119">
        <v>272</v>
      </c>
      <c r="B278" s="177">
        <f>VLOOKUP(ROUNDUP(A278/8,0),Sheet2!A:B,2,FALSE())</f>
        <v>112016</v>
      </c>
      <c r="C278" s="178">
        <f t="shared" si="4"/>
        <v>8</v>
      </c>
      <c r="D278" s="179">
        <f>VLOOKUP(C278,Sheet2!$BK$11:$BN$19,VLOOKUP(B278,Sheet2!B:BC,21,FALSE)+1,FALSE)</f>
        <v>1.6</v>
      </c>
      <c r="E278" s="119">
        <v>0</v>
      </c>
      <c r="F278" s="13" t="s">
        <v>21</v>
      </c>
    </row>
    <row r="279" ht="16.5" spans="1:6">
      <c r="A279" s="119">
        <v>273</v>
      </c>
      <c r="B279" s="177">
        <f>VLOOKUP(ROUNDUP(A279/8,0),Sheet2!A:B,2,FALSE())</f>
        <v>112017</v>
      </c>
      <c r="C279" s="178">
        <f t="shared" si="4"/>
        <v>1</v>
      </c>
      <c r="D279" s="179">
        <f>VLOOKUP(C279,Sheet2!$BK$11:$BN$19,VLOOKUP(B279,Sheet2!B:BC,21,FALSE)+1,FALSE)</f>
        <v>1</v>
      </c>
      <c r="E279" s="119">
        <v>0</v>
      </c>
      <c r="F279" s="13" t="s">
        <v>21</v>
      </c>
    </row>
    <row r="280" ht="16.5" spans="1:6">
      <c r="A280" s="119">
        <v>274</v>
      </c>
      <c r="B280" s="177">
        <f>VLOOKUP(ROUNDUP(A280/8,0),Sheet2!A:B,2,FALSE())</f>
        <v>112017</v>
      </c>
      <c r="C280" s="178">
        <f t="shared" si="4"/>
        <v>2</v>
      </c>
      <c r="D280" s="179">
        <f>VLOOKUP(C280,Sheet2!$BK$11:$BN$19,VLOOKUP(B280,Sheet2!B:BC,21,FALSE)+1,FALSE)</f>
        <v>1</v>
      </c>
      <c r="E280" s="119">
        <v>0</v>
      </c>
      <c r="F280" s="13" t="s">
        <v>21</v>
      </c>
    </row>
    <row r="281" ht="16.5" spans="1:6">
      <c r="A281" s="119">
        <v>275</v>
      </c>
      <c r="B281" s="177">
        <f>VLOOKUP(ROUNDUP(A281/8,0),Sheet2!A:B,2,FALSE())</f>
        <v>112017</v>
      </c>
      <c r="C281" s="178">
        <f t="shared" si="4"/>
        <v>3</v>
      </c>
      <c r="D281" s="179">
        <f>VLOOKUP(C281,Sheet2!$BK$11:$BN$19,VLOOKUP(B281,Sheet2!B:BC,21,FALSE)+1,FALSE)</f>
        <v>1</v>
      </c>
      <c r="E281" s="119">
        <v>0</v>
      </c>
      <c r="F281" s="13" t="s">
        <v>21</v>
      </c>
    </row>
    <row r="282" ht="16.5" spans="1:6">
      <c r="A282" s="119">
        <v>276</v>
      </c>
      <c r="B282" s="177">
        <f>VLOOKUP(ROUNDUP(A282/8,0),Sheet2!A:B,2,FALSE())</f>
        <v>112017</v>
      </c>
      <c r="C282" s="178">
        <f t="shared" si="4"/>
        <v>4</v>
      </c>
      <c r="D282" s="179">
        <f>VLOOKUP(C282,Sheet2!$BK$11:$BN$19,VLOOKUP(B282,Sheet2!B:BC,21,FALSE)+1,FALSE)</f>
        <v>1.2</v>
      </c>
      <c r="E282" s="119">
        <v>0</v>
      </c>
      <c r="F282" s="13" t="s">
        <v>21</v>
      </c>
    </row>
    <row r="283" ht="16.5" spans="1:6">
      <c r="A283" s="119">
        <v>277</v>
      </c>
      <c r="B283" s="177">
        <f>VLOOKUP(ROUNDUP(A283/8,0),Sheet2!A:B,2,FALSE())</f>
        <v>112017</v>
      </c>
      <c r="C283" s="178">
        <f t="shared" si="4"/>
        <v>5</v>
      </c>
      <c r="D283" s="179">
        <f>VLOOKUP(C283,Sheet2!$BK$11:$BN$19,VLOOKUP(B283,Sheet2!B:BC,21,FALSE)+1,FALSE)</f>
        <v>1.2</v>
      </c>
      <c r="E283" s="119">
        <v>0</v>
      </c>
      <c r="F283" s="13" t="s">
        <v>21</v>
      </c>
    </row>
    <row r="284" ht="16.5" spans="1:6">
      <c r="A284" s="119">
        <v>278</v>
      </c>
      <c r="B284" s="177">
        <f>VLOOKUP(ROUNDUP(A284/8,0),Sheet2!A:B,2,FALSE())</f>
        <v>112017</v>
      </c>
      <c r="C284" s="178">
        <f t="shared" si="4"/>
        <v>6</v>
      </c>
      <c r="D284" s="179">
        <f>VLOOKUP(C284,Sheet2!$BK$11:$BN$19,VLOOKUP(B284,Sheet2!B:BC,21,FALSE)+1,FALSE)</f>
        <v>1.4</v>
      </c>
      <c r="E284" s="119">
        <v>0</v>
      </c>
      <c r="F284" s="13" t="s">
        <v>21</v>
      </c>
    </row>
    <row r="285" ht="16.5" spans="1:6">
      <c r="A285" s="119">
        <v>279</v>
      </c>
      <c r="B285" s="177">
        <f>VLOOKUP(ROUNDUP(A285/8,0),Sheet2!A:B,2,FALSE())</f>
        <v>112017</v>
      </c>
      <c r="C285" s="178">
        <f t="shared" si="4"/>
        <v>7</v>
      </c>
      <c r="D285" s="179">
        <f>VLOOKUP(C285,Sheet2!$BK$11:$BN$19,VLOOKUP(B285,Sheet2!B:BC,21,FALSE)+1,FALSE)</f>
        <v>1.4</v>
      </c>
      <c r="E285" s="119">
        <v>0</v>
      </c>
      <c r="F285" s="13" t="s">
        <v>21</v>
      </c>
    </row>
    <row r="286" ht="16.5" spans="1:6">
      <c r="A286" s="119">
        <v>280</v>
      </c>
      <c r="B286" s="177">
        <f>VLOOKUP(ROUNDUP(A286/8,0),Sheet2!A:B,2,FALSE())</f>
        <v>112017</v>
      </c>
      <c r="C286" s="178">
        <f t="shared" si="4"/>
        <v>8</v>
      </c>
      <c r="D286" s="179">
        <f>VLOOKUP(C286,Sheet2!$BK$11:$BN$19,VLOOKUP(B286,Sheet2!B:BC,21,FALSE)+1,FALSE)</f>
        <v>1.6</v>
      </c>
      <c r="E286" s="119">
        <v>0</v>
      </c>
      <c r="F286" s="13" t="s">
        <v>21</v>
      </c>
    </row>
    <row r="287" ht="16.5" spans="1:6">
      <c r="A287" s="119">
        <v>281</v>
      </c>
      <c r="B287" s="177">
        <f>VLOOKUP(ROUNDUP(A287/8,0),Sheet2!A:B,2,FALSE())</f>
        <v>112018</v>
      </c>
      <c r="C287" s="178">
        <f t="shared" si="4"/>
        <v>1</v>
      </c>
      <c r="D287" s="179">
        <f>VLOOKUP(C287,Sheet2!$BK$11:$BN$19,VLOOKUP(B287,Sheet2!B:BC,21,FALSE)+1,FALSE)</f>
        <v>1</v>
      </c>
      <c r="E287" s="119">
        <v>0</v>
      </c>
      <c r="F287" s="13" t="s">
        <v>21</v>
      </c>
    </row>
    <row r="288" ht="16.5" spans="1:6">
      <c r="A288" s="119">
        <v>282</v>
      </c>
      <c r="B288" s="177">
        <f>VLOOKUP(ROUNDUP(A288/8,0),Sheet2!A:B,2,FALSE())</f>
        <v>112018</v>
      </c>
      <c r="C288" s="178">
        <f t="shared" si="4"/>
        <v>2</v>
      </c>
      <c r="D288" s="179">
        <f>VLOOKUP(C288,Sheet2!$BK$11:$BN$19,VLOOKUP(B288,Sheet2!B:BC,21,FALSE)+1,FALSE)</f>
        <v>1</v>
      </c>
      <c r="E288" s="119">
        <v>0</v>
      </c>
      <c r="F288" s="13" t="s">
        <v>21</v>
      </c>
    </row>
    <row r="289" ht="16.5" spans="1:6">
      <c r="A289" s="119">
        <v>283</v>
      </c>
      <c r="B289" s="177">
        <f>VLOOKUP(ROUNDUP(A289/8,0),Sheet2!A:B,2,FALSE())</f>
        <v>112018</v>
      </c>
      <c r="C289" s="178">
        <f t="shared" si="4"/>
        <v>3</v>
      </c>
      <c r="D289" s="179">
        <f>VLOOKUP(C289,Sheet2!$BK$11:$BN$19,VLOOKUP(B289,Sheet2!B:BC,21,FALSE)+1,FALSE)</f>
        <v>1</v>
      </c>
      <c r="E289" s="119">
        <v>0</v>
      </c>
      <c r="F289" s="13" t="s">
        <v>21</v>
      </c>
    </row>
    <row r="290" ht="16.5" spans="1:6">
      <c r="A290" s="119">
        <v>284</v>
      </c>
      <c r="B290" s="177">
        <f>VLOOKUP(ROUNDUP(A290/8,0),Sheet2!A:B,2,FALSE())</f>
        <v>112018</v>
      </c>
      <c r="C290" s="178">
        <f t="shared" si="4"/>
        <v>4</v>
      </c>
      <c r="D290" s="179">
        <f>VLOOKUP(C290,Sheet2!$BK$11:$BN$19,VLOOKUP(B290,Sheet2!B:BC,21,FALSE)+1,FALSE)</f>
        <v>1.2</v>
      </c>
      <c r="E290" s="119">
        <v>0</v>
      </c>
      <c r="F290" s="13" t="s">
        <v>21</v>
      </c>
    </row>
    <row r="291" ht="16.5" spans="1:6">
      <c r="A291" s="119">
        <v>285</v>
      </c>
      <c r="B291" s="177">
        <f>VLOOKUP(ROUNDUP(A291/8,0),Sheet2!A:B,2,FALSE())</f>
        <v>112018</v>
      </c>
      <c r="C291" s="178">
        <f t="shared" si="4"/>
        <v>5</v>
      </c>
      <c r="D291" s="179">
        <f>VLOOKUP(C291,Sheet2!$BK$11:$BN$19,VLOOKUP(B291,Sheet2!B:BC,21,FALSE)+1,FALSE)</f>
        <v>1.2</v>
      </c>
      <c r="E291" s="119">
        <v>0</v>
      </c>
      <c r="F291" s="13" t="s">
        <v>21</v>
      </c>
    </row>
    <row r="292" ht="16.5" spans="1:6">
      <c r="A292" s="119">
        <v>286</v>
      </c>
      <c r="B292" s="177">
        <f>VLOOKUP(ROUNDUP(A292/8,0),Sheet2!A:B,2,FALSE())</f>
        <v>112018</v>
      </c>
      <c r="C292" s="178">
        <f t="shared" si="4"/>
        <v>6</v>
      </c>
      <c r="D292" s="179">
        <f>VLOOKUP(C292,Sheet2!$BK$11:$BN$19,VLOOKUP(B292,Sheet2!B:BC,21,FALSE)+1,FALSE)</f>
        <v>1.4</v>
      </c>
      <c r="E292" s="119">
        <v>0</v>
      </c>
      <c r="F292" s="13" t="s">
        <v>21</v>
      </c>
    </row>
    <row r="293" ht="16.5" spans="1:6">
      <c r="A293" s="119">
        <v>287</v>
      </c>
      <c r="B293" s="177">
        <f>VLOOKUP(ROUNDUP(A293/8,0),Sheet2!A:B,2,FALSE())</f>
        <v>112018</v>
      </c>
      <c r="C293" s="178">
        <f t="shared" si="4"/>
        <v>7</v>
      </c>
      <c r="D293" s="179">
        <f>VLOOKUP(C293,Sheet2!$BK$11:$BN$19,VLOOKUP(B293,Sheet2!B:BC,21,FALSE)+1,FALSE)</f>
        <v>1.4</v>
      </c>
      <c r="E293" s="119">
        <v>0</v>
      </c>
      <c r="F293" s="13" t="s">
        <v>21</v>
      </c>
    </row>
    <row r="294" ht="16.5" spans="1:6">
      <c r="A294" s="119">
        <v>288</v>
      </c>
      <c r="B294" s="177">
        <f>VLOOKUP(ROUNDUP(A294/8,0),Sheet2!A:B,2,FALSE())</f>
        <v>112018</v>
      </c>
      <c r="C294" s="178">
        <f t="shared" si="4"/>
        <v>8</v>
      </c>
      <c r="D294" s="179">
        <f>VLOOKUP(C294,Sheet2!$BK$11:$BN$19,VLOOKUP(B294,Sheet2!B:BC,21,FALSE)+1,FALSE)</f>
        <v>1.6</v>
      </c>
      <c r="E294" s="119">
        <v>0</v>
      </c>
      <c r="F294" s="13" t="s">
        <v>21</v>
      </c>
    </row>
    <row r="295" ht="16.5" spans="1:6">
      <c r="A295" s="119">
        <v>289</v>
      </c>
      <c r="B295" s="177">
        <f>VLOOKUP(ROUNDUP(A295/8,0),Sheet2!A:B,2,FALSE())</f>
        <v>112019</v>
      </c>
      <c r="C295" s="178">
        <f t="shared" si="4"/>
        <v>1</v>
      </c>
      <c r="D295" s="179">
        <f>VLOOKUP(C295,Sheet2!$BK$11:$BN$19,VLOOKUP(B295,Sheet2!B:BC,21,FALSE)+1,FALSE)</f>
        <v>1</v>
      </c>
      <c r="E295" s="119">
        <v>0</v>
      </c>
      <c r="F295" s="13" t="s">
        <v>21</v>
      </c>
    </row>
    <row r="296" ht="16.5" spans="1:6">
      <c r="A296" s="119">
        <v>290</v>
      </c>
      <c r="B296" s="177">
        <f>VLOOKUP(ROUNDUP(A296/8,0),Sheet2!A:B,2,FALSE())</f>
        <v>112019</v>
      </c>
      <c r="C296" s="178">
        <f t="shared" si="4"/>
        <v>2</v>
      </c>
      <c r="D296" s="179">
        <f>VLOOKUP(C296,Sheet2!$BK$11:$BN$19,VLOOKUP(B296,Sheet2!B:BC,21,FALSE)+1,FALSE)</f>
        <v>1</v>
      </c>
      <c r="E296" s="119">
        <v>0</v>
      </c>
      <c r="F296" s="13" t="s">
        <v>21</v>
      </c>
    </row>
    <row r="297" ht="16.5" spans="1:6">
      <c r="A297" s="119">
        <v>291</v>
      </c>
      <c r="B297" s="177">
        <f>VLOOKUP(ROUNDUP(A297/8,0),Sheet2!A:B,2,FALSE())</f>
        <v>112019</v>
      </c>
      <c r="C297" s="178">
        <f t="shared" si="4"/>
        <v>3</v>
      </c>
      <c r="D297" s="179">
        <f>VLOOKUP(C297,Sheet2!$BK$11:$BN$19,VLOOKUP(B297,Sheet2!B:BC,21,FALSE)+1,FALSE)</f>
        <v>1</v>
      </c>
      <c r="E297" s="119">
        <v>0</v>
      </c>
      <c r="F297" s="13" t="s">
        <v>21</v>
      </c>
    </row>
    <row r="298" ht="16.5" spans="1:6">
      <c r="A298" s="119">
        <v>292</v>
      </c>
      <c r="B298" s="177">
        <f>VLOOKUP(ROUNDUP(A298/8,0),Sheet2!A:B,2,FALSE())</f>
        <v>112019</v>
      </c>
      <c r="C298" s="178">
        <f t="shared" si="4"/>
        <v>4</v>
      </c>
      <c r="D298" s="179">
        <f>VLOOKUP(C298,Sheet2!$BK$11:$BN$19,VLOOKUP(B298,Sheet2!B:BC,21,FALSE)+1,FALSE)</f>
        <v>1.2</v>
      </c>
      <c r="E298" s="119">
        <v>0</v>
      </c>
      <c r="F298" s="13" t="s">
        <v>21</v>
      </c>
    </row>
    <row r="299" ht="16.5" spans="1:6">
      <c r="A299" s="119">
        <v>293</v>
      </c>
      <c r="B299" s="177">
        <f>VLOOKUP(ROUNDUP(A299/8,0),Sheet2!A:B,2,FALSE())</f>
        <v>112019</v>
      </c>
      <c r="C299" s="178">
        <f t="shared" si="4"/>
        <v>5</v>
      </c>
      <c r="D299" s="179">
        <f>VLOOKUP(C299,Sheet2!$BK$11:$BN$19,VLOOKUP(B299,Sheet2!B:BC,21,FALSE)+1,FALSE)</f>
        <v>1.2</v>
      </c>
      <c r="E299" s="119">
        <v>0</v>
      </c>
      <c r="F299" s="13" t="s">
        <v>21</v>
      </c>
    </row>
    <row r="300" ht="16.5" spans="1:6">
      <c r="A300" s="119">
        <v>294</v>
      </c>
      <c r="B300" s="177">
        <f>VLOOKUP(ROUNDUP(A300/8,0),Sheet2!A:B,2,FALSE())</f>
        <v>112019</v>
      </c>
      <c r="C300" s="178">
        <f t="shared" si="4"/>
        <v>6</v>
      </c>
      <c r="D300" s="179">
        <f>VLOOKUP(C300,Sheet2!$BK$11:$BN$19,VLOOKUP(B300,Sheet2!B:BC,21,FALSE)+1,FALSE)</f>
        <v>1.4</v>
      </c>
      <c r="E300" s="119">
        <v>0</v>
      </c>
      <c r="F300" s="13" t="s">
        <v>21</v>
      </c>
    </row>
    <row r="301" ht="16.5" spans="1:6">
      <c r="A301" s="119">
        <v>295</v>
      </c>
      <c r="B301" s="177">
        <f>VLOOKUP(ROUNDUP(A301/8,0),Sheet2!A:B,2,FALSE())</f>
        <v>112019</v>
      </c>
      <c r="C301" s="178">
        <f t="shared" si="4"/>
        <v>7</v>
      </c>
      <c r="D301" s="179">
        <f>VLOOKUP(C301,Sheet2!$BK$11:$BN$19,VLOOKUP(B301,Sheet2!B:BC,21,FALSE)+1,FALSE)</f>
        <v>1.4</v>
      </c>
      <c r="E301" s="119">
        <v>0</v>
      </c>
      <c r="F301" s="13" t="s">
        <v>21</v>
      </c>
    </row>
    <row r="302" ht="16.5" spans="1:6">
      <c r="A302" s="119">
        <v>296</v>
      </c>
      <c r="B302" s="177">
        <f>VLOOKUP(ROUNDUP(A302/8,0),Sheet2!A:B,2,FALSE())</f>
        <v>112019</v>
      </c>
      <c r="C302" s="178">
        <f t="shared" si="4"/>
        <v>8</v>
      </c>
      <c r="D302" s="179">
        <f>VLOOKUP(C302,Sheet2!$BK$11:$BN$19,VLOOKUP(B302,Sheet2!B:BC,21,FALSE)+1,FALSE)</f>
        <v>1.6</v>
      </c>
      <c r="E302" s="119">
        <v>0</v>
      </c>
      <c r="F302" s="13" t="s">
        <v>21</v>
      </c>
    </row>
    <row r="303" ht="16.5" spans="1:6">
      <c r="A303" s="119">
        <v>297</v>
      </c>
      <c r="B303" s="177">
        <f>VLOOKUP(ROUNDUP(A303/8,0),Sheet2!A:B,2,FALSE())</f>
        <v>112020</v>
      </c>
      <c r="C303" s="178">
        <f t="shared" si="4"/>
        <v>1</v>
      </c>
      <c r="D303" s="179">
        <f>VLOOKUP(C303,Sheet2!$BK$11:$BN$19,VLOOKUP(B303,Sheet2!B:BC,21,FALSE)+1,FALSE)</f>
        <v>1</v>
      </c>
      <c r="E303" s="119">
        <v>0</v>
      </c>
      <c r="F303" s="13" t="s">
        <v>21</v>
      </c>
    </row>
    <row r="304" ht="16.5" spans="1:6">
      <c r="A304" s="119">
        <v>298</v>
      </c>
      <c r="B304" s="177">
        <f>VLOOKUP(ROUNDUP(A304/8,0),Sheet2!A:B,2,FALSE())</f>
        <v>112020</v>
      </c>
      <c r="C304" s="178">
        <f t="shared" si="4"/>
        <v>2</v>
      </c>
      <c r="D304" s="179">
        <f>VLOOKUP(C304,Sheet2!$BK$11:$BN$19,VLOOKUP(B304,Sheet2!B:BC,21,FALSE)+1,FALSE)</f>
        <v>1</v>
      </c>
      <c r="E304" s="119">
        <v>0</v>
      </c>
      <c r="F304" s="13" t="s">
        <v>21</v>
      </c>
    </row>
    <row r="305" ht="16.5" spans="1:6">
      <c r="A305" s="119">
        <v>299</v>
      </c>
      <c r="B305" s="177">
        <f>VLOOKUP(ROUNDUP(A305/8,0),Sheet2!A:B,2,FALSE())</f>
        <v>112020</v>
      </c>
      <c r="C305" s="178">
        <f t="shared" si="4"/>
        <v>3</v>
      </c>
      <c r="D305" s="179">
        <f>VLOOKUP(C305,Sheet2!$BK$11:$BN$19,VLOOKUP(B305,Sheet2!B:BC,21,FALSE)+1,FALSE)</f>
        <v>1</v>
      </c>
      <c r="E305" s="119">
        <v>0</v>
      </c>
      <c r="F305" s="13" t="s">
        <v>21</v>
      </c>
    </row>
    <row r="306" ht="16.5" spans="1:6">
      <c r="A306" s="119">
        <v>300</v>
      </c>
      <c r="B306" s="177">
        <f>VLOOKUP(ROUNDUP(A306/8,0),Sheet2!A:B,2,FALSE())</f>
        <v>112020</v>
      </c>
      <c r="C306" s="178">
        <f t="shared" si="4"/>
        <v>4</v>
      </c>
      <c r="D306" s="179">
        <f>VLOOKUP(C306,Sheet2!$BK$11:$BN$19,VLOOKUP(B306,Sheet2!B:BC,21,FALSE)+1,FALSE)</f>
        <v>1.2</v>
      </c>
      <c r="E306" s="119">
        <v>0</v>
      </c>
      <c r="F306" s="13" t="s">
        <v>21</v>
      </c>
    </row>
    <row r="307" ht="16.5" spans="1:6">
      <c r="A307" s="119">
        <v>301</v>
      </c>
      <c r="B307" s="177">
        <f>VLOOKUP(ROUNDUP(A307/8,0),Sheet2!A:B,2,FALSE())</f>
        <v>112020</v>
      </c>
      <c r="C307" s="178">
        <f t="shared" si="4"/>
        <v>5</v>
      </c>
      <c r="D307" s="179">
        <f>VLOOKUP(C307,Sheet2!$BK$11:$BN$19,VLOOKUP(B307,Sheet2!B:BC,21,FALSE)+1,FALSE)</f>
        <v>1.2</v>
      </c>
      <c r="E307" s="119">
        <v>0</v>
      </c>
      <c r="F307" s="13" t="s">
        <v>21</v>
      </c>
    </row>
    <row r="308" ht="16.5" spans="1:6">
      <c r="A308" s="119">
        <v>302</v>
      </c>
      <c r="B308" s="177">
        <f>VLOOKUP(ROUNDUP(A308/8,0),Sheet2!A:B,2,FALSE())</f>
        <v>112020</v>
      </c>
      <c r="C308" s="178">
        <f t="shared" si="4"/>
        <v>6</v>
      </c>
      <c r="D308" s="179">
        <f>VLOOKUP(C308,Sheet2!$BK$11:$BN$19,VLOOKUP(B308,Sheet2!B:BC,21,FALSE)+1,FALSE)</f>
        <v>1.4</v>
      </c>
      <c r="E308" s="119">
        <v>0</v>
      </c>
      <c r="F308" s="13" t="s">
        <v>21</v>
      </c>
    </row>
    <row r="309" ht="16.5" spans="1:6">
      <c r="A309" s="119">
        <v>303</v>
      </c>
      <c r="B309" s="177">
        <f>VLOOKUP(ROUNDUP(A309/8,0),Sheet2!A:B,2,FALSE())</f>
        <v>112020</v>
      </c>
      <c r="C309" s="178">
        <f t="shared" si="4"/>
        <v>7</v>
      </c>
      <c r="D309" s="179">
        <f>VLOOKUP(C309,Sheet2!$BK$11:$BN$19,VLOOKUP(B309,Sheet2!B:BC,21,FALSE)+1,FALSE)</f>
        <v>1.4</v>
      </c>
      <c r="E309" s="119">
        <v>0</v>
      </c>
      <c r="F309" s="13" t="s">
        <v>21</v>
      </c>
    </row>
    <row r="310" ht="16.5" spans="1:6">
      <c r="A310" s="119">
        <v>304</v>
      </c>
      <c r="B310" s="177">
        <f>VLOOKUP(ROUNDUP(A310/8,0),Sheet2!A:B,2,FALSE())</f>
        <v>112020</v>
      </c>
      <c r="C310" s="178">
        <f t="shared" si="4"/>
        <v>8</v>
      </c>
      <c r="D310" s="179">
        <f>VLOOKUP(C310,Sheet2!$BK$11:$BN$19,VLOOKUP(B310,Sheet2!B:BC,21,FALSE)+1,FALSE)</f>
        <v>1.6</v>
      </c>
      <c r="E310" s="119">
        <v>0</v>
      </c>
      <c r="F310" s="13" t="s">
        <v>21</v>
      </c>
    </row>
    <row r="311" ht="16.5" spans="1:6">
      <c r="A311" s="119">
        <v>305</v>
      </c>
      <c r="B311" s="177">
        <f>VLOOKUP(ROUNDUP(A311/8,0),Sheet2!A:B,2,FALSE())</f>
        <v>112021</v>
      </c>
      <c r="C311" s="178">
        <f t="shared" si="4"/>
        <v>1</v>
      </c>
      <c r="D311" s="179">
        <f>VLOOKUP(C311,Sheet2!$BK$11:$BN$19,VLOOKUP(B311,Sheet2!B:BC,21,FALSE)+1,FALSE)</f>
        <v>1</v>
      </c>
      <c r="E311" s="119">
        <v>0</v>
      </c>
      <c r="F311" s="13" t="s">
        <v>21</v>
      </c>
    </row>
    <row r="312" ht="16.5" spans="1:6">
      <c r="A312" s="119">
        <v>306</v>
      </c>
      <c r="B312" s="177">
        <f>VLOOKUP(ROUNDUP(A312/8,0),Sheet2!A:B,2,FALSE())</f>
        <v>112021</v>
      </c>
      <c r="C312" s="178">
        <f t="shared" si="4"/>
        <v>2</v>
      </c>
      <c r="D312" s="179">
        <f>VLOOKUP(C312,Sheet2!$BK$11:$BN$19,VLOOKUP(B312,Sheet2!B:BC,21,FALSE)+1,FALSE)</f>
        <v>1</v>
      </c>
      <c r="E312" s="119">
        <v>0</v>
      </c>
      <c r="F312" s="13" t="s">
        <v>21</v>
      </c>
    </row>
    <row r="313" ht="16.5" spans="1:6">
      <c r="A313" s="119">
        <v>307</v>
      </c>
      <c r="B313" s="177">
        <f>VLOOKUP(ROUNDUP(A313/8,0),Sheet2!A:B,2,FALSE())</f>
        <v>112021</v>
      </c>
      <c r="C313" s="178">
        <f t="shared" si="4"/>
        <v>3</v>
      </c>
      <c r="D313" s="179">
        <f>VLOOKUP(C313,Sheet2!$BK$11:$BN$19,VLOOKUP(B313,Sheet2!B:BC,21,FALSE)+1,FALSE)</f>
        <v>1</v>
      </c>
      <c r="E313" s="119">
        <v>0</v>
      </c>
      <c r="F313" s="13" t="s">
        <v>21</v>
      </c>
    </row>
    <row r="314" ht="16.5" spans="1:6">
      <c r="A314" s="119">
        <v>308</v>
      </c>
      <c r="B314" s="177">
        <f>VLOOKUP(ROUNDUP(A314/8,0),Sheet2!A:B,2,FALSE())</f>
        <v>112021</v>
      </c>
      <c r="C314" s="178">
        <f t="shared" si="4"/>
        <v>4</v>
      </c>
      <c r="D314" s="179">
        <f>VLOOKUP(C314,Sheet2!$BK$11:$BN$19,VLOOKUP(B314,Sheet2!B:BC,21,FALSE)+1,FALSE)</f>
        <v>1.2</v>
      </c>
      <c r="E314" s="119">
        <v>0</v>
      </c>
      <c r="F314" s="13" t="s">
        <v>21</v>
      </c>
    </row>
    <row r="315" ht="16.5" spans="1:6">
      <c r="A315" s="119">
        <v>309</v>
      </c>
      <c r="B315" s="177">
        <f>VLOOKUP(ROUNDUP(A315/8,0),Sheet2!A:B,2,FALSE())</f>
        <v>112021</v>
      </c>
      <c r="C315" s="178">
        <f t="shared" si="4"/>
        <v>5</v>
      </c>
      <c r="D315" s="179">
        <f>VLOOKUP(C315,Sheet2!$BK$11:$BN$19,VLOOKUP(B315,Sheet2!B:BC,21,FALSE)+1,FALSE)</f>
        <v>1.2</v>
      </c>
      <c r="E315" s="119">
        <v>0</v>
      </c>
      <c r="F315" s="13" t="s">
        <v>21</v>
      </c>
    </row>
    <row r="316" ht="16.5" spans="1:6">
      <c r="A316" s="119">
        <v>310</v>
      </c>
      <c r="B316" s="177">
        <f>VLOOKUP(ROUNDUP(A316/8,0),Sheet2!A:B,2,FALSE())</f>
        <v>112021</v>
      </c>
      <c r="C316" s="178">
        <f t="shared" si="4"/>
        <v>6</v>
      </c>
      <c r="D316" s="179">
        <f>VLOOKUP(C316,Sheet2!$BK$11:$BN$19,VLOOKUP(B316,Sheet2!B:BC,21,FALSE)+1,FALSE)</f>
        <v>1.4</v>
      </c>
      <c r="E316" s="119">
        <v>0</v>
      </c>
      <c r="F316" s="13" t="s">
        <v>21</v>
      </c>
    </row>
    <row r="317" ht="16.5" spans="1:6">
      <c r="A317" s="119">
        <v>311</v>
      </c>
      <c r="B317" s="177">
        <f>VLOOKUP(ROUNDUP(A317/8,0),Sheet2!A:B,2,FALSE())</f>
        <v>112021</v>
      </c>
      <c r="C317" s="178">
        <f t="shared" si="4"/>
        <v>7</v>
      </c>
      <c r="D317" s="179">
        <f>VLOOKUP(C317,Sheet2!$BK$11:$BN$19,VLOOKUP(B317,Sheet2!B:BC,21,FALSE)+1,FALSE)</f>
        <v>1.4</v>
      </c>
      <c r="E317" s="119">
        <v>0</v>
      </c>
      <c r="F317" s="13" t="s">
        <v>21</v>
      </c>
    </row>
    <row r="318" ht="16.5" spans="1:6">
      <c r="A318" s="119">
        <v>312</v>
      </c>
      <c r="B318" s="177">
        <f>VLOOKUP(ROUNDUP(A318/8,0),Sheet2!A:B,2,FALSE())</f>
        <v>112021</v>
      </c>
      <c r="C318" s="178">
        <f t="shared" si="4"/>
        <v>8</v>
      </c>
      <c r="D318" s="179">
        <f>VLOOKUP(C318,Sheet2!$BK$11:$BN$19,VLOOKUP(B318,Sheet2!B:BC,21,FALSE)+1,FALSE)</f>
        <v>1.6</v>
      </c>
      <c r="E318" s="119">
        <v>0</v>
      </c>
      <c r="F318" s="13" t="s">
        <v>21</v>
      </c>
    </row>
    <row r="319" ht="16.5" spans="1:6">
      <c r="A319" s="119">
        <v>313</v>
      </c>
      <c r="B319" s="177">
        <f>VLOOKUP(ROUNDUP(A319/8,0),Sheet2!A:B,2,FALSE())</f>
        <v>112022</v>
      </c>
      <c r="C319" s="178">
        <f t="shared" si="4"/>
        <v>1</v>
      </c>
      <c r="D319" s="179">
        <f>VLOOKUP(C319,Sheet2!$BK$11:$BN$19,VLOOKUP(B319,Sheet2!B:BC,21,FALSE)+1,FALSE)</f>
        <v>1</v>
      </c>
      <c r="E319" s="119">
        <v>0</v>
      </c>
      <c r="F319" s="13" t="s">
        <v>21</v>
      </c>
    </row>
    <row r="320" ht="16.5" spans="1:6">
      <c r="A320" s="119">
        <v>314</v>
      </c>
      <c r="B320" s="177">
        <f>VLOOKUP(ROUNDUP(A320/8,0),Sheet2!A:B,2,FALSE())</f>
        <v>112022</v>
      </c>
      <c r="C320" s="178">
        <f t="shared" si="4"/>
        <v>2</v>
      </c>
      <c r="D320" s="179">
        <f>VLOOKUP(C320,Sheet2!$BK$11:$BN$19,VLOOKUP(B320,Sheet2!B:BC,21,FALSE)+1,FALSE)</f>
        <v>1</v>
      </c>
      <c r="E320" s="119">
        <v>0</v>
      </c>
      <c r="F320" s="13" t="s">
        <v>21</v>
      </c>
    </row>
    <row r="321" ht="16.5" spans="1:6">
      <c r="A321" s="119">
        <v>315</v>
      </c>
      <c r="B321" s="177">
        <f>VLOOKUP(ROUNDUP(A321/8,0),Sheet2!A:B,2,FALSE())</f>
        <v>112022</v>
      </c>
      <c r="C321" s="178">
        <f t="shared" si="4"/>
        <v>3</v>
      </c>
      <c r="D321" s="179">
        <f>VLOOKUP(C321,Sheet2!$BK$11:$BN$19,VLOOKUP(B321,Sheet2!B:BC,21,FALSE)+1,FALSE)</f>
        <v>1</v>
      </c>
      <c r="E321" s="119">
        <v>0</v>
      </c>
      <c r="F321" s="13" t="s">
        <v>21</v>
      </c>
    </row>
    <row r="322" ht="16.5" spans="1:6">
      <c r="A322" s="119">
        <v>316</v>
      </c>
      <c r="B322" s="177">
        <f>VLOOKUP(ROUNDUP(A322/8,0),Sheet2!A:B,2,FALSE())</f>
        <v>112022</v>
      </c>
      <c r="C322" s="178">
        <f t="shared" si="4"/>
        <v>4</v>
      </c>
      <c r="D322" s="179">
        <f>VLOOKUP(C322,Sheet2!$BK$11:$BN$19,VLOOKUP(B322,Sheet2!B:BC,21,FALSE)+1,FALSE)</f>
        <v>1.2</v>
      </c>
      <c r="E322" s="119">
        <v>0</v>
      </c>
      <c r="F322" s="13" t="s">
        <v>21</v>
      </c>
    </row>
    <row r="323" ht="16.5" spans="1:6">
      <c r="A323" s="119">
        <v>317</v>
      </c>
      <c r="B323" s="177">
        <f>VLOOKUP(ROUNDUP(A323/8,0),Sheet2!A:B,2,FALSE())</f>
        <v>112022</v>
      </c>
      <c r="C323" s="178">
        <f t="shared" si="4"/>
        <v>5</v>
      </c>
      <c r="D323" s="179">
        <f>VLOOKUP(C323,Sheet2!$BK$11:$BN$19,VLOOKUP(B323,Sheet2!B:BC,21,FALSE)+1,FALSE)</f>
        <v>1.2</v>
      </c>
      <c r="E323" s="119">
        <v>0</v>
      </c>
      <c r="F323" s="13" t="s">
        <v>21</v>
      </c>
    </row>
    <row r="324" ht="16.5" spans="1:6">
      <c r="A324" s="119">
        <v>318</v>
      </c>
      <c r="B324" s="177">
        <f>VLOOKUP(ROUNDUP(A324/8,0),Sheet2!A:B,2,FALSE())</f>
        <v>112022</v>
      </c>
      <c r="C324" s="178">
        <f t="shared" si="4"/>
        <v>6</v>
      </c>
      <c r="D324" s="179">
        <f>VLOOKUP(C324,Sheet2!$BK$11:$BN$19,VLOOKUP(B324,Sheet2!B:BC,21,FALSE)+1,FALSE)</f>
        <v>1.4</v>
      </c>
      <c r="E324" s="119">
        <v>0</v>
      </c>
      <c r="F324" s="13" t="s">
        <v>21</v>
      </c>
    </row>
    <row r="325" ht="16.5" spans="1:6">
      <c r="A325" s="119">
        <v>319</v>
      </c>
      <c r="B325" s="177">
        <f>VLOOKUP(ROUNDUP(A325/8,0),Sheet2!A:B,2,FALSE())</f>
        <v>112022</v>
      </c>
      <c r="C325" s="178">
        <f t="shared" si="4"/>
        <v>7</v>
      </c>
      <c r="D325" s="179">
        <f>VLOOKUP(C325,Sheet2!$BK$11:$BN$19,VLOOKUP(B325,Sheet2!B:BC,21,FALSE)+1,FALSE)</f>
        <v>1.4</v>
      </c>
      <c r="E325" s="119">
        <v>0</v>
      </c>
      <c r="F325" s="13" t="s">
        <v>21</v>
      </c>
    </row>
    <row r="326" ht="16.5" spans="1:6">
      <c r="A326" s="119">
        <v>320</v>
      </c>
      <c r="B326" s="177">
        <f>VLOOKUP(ROUNDUP(A326/8,0),Sheet2!A:B,2,FALSE())</f>
        <v>112022</v>
      </c>
      <c r="C326" s="178">
        <f t="shared" si="4"/>
        <v>8</v>
      </c>
      <c r="D326" s="179">
        <f>VLOOKUP(C326,Sheet2!$BK$11:$BN$19,VLOOKUP(B326,Sheet2!B:BC,21,FALSE)+1,FALSE)</f>
        <v>1.6</v>
      </c>
      <c r="E326" s="119">
        <v>0</v>
      </c>
      <c r="F326" s="13" t="s">
        <v>21</v>
      </c>
    </row>
    <row r="327" ht="16.5" spans="1:6">
      <c r="A327" s="119">
        <v>321</v>
      </c>
      <c r="B327" s="177">
        <f>VLOOKUP(ROUNDUP(A327/8,0),Sheet2!A:B,2,FALSE())</f>
        <v>112023</v>
      </c>
      <c r="C327" s="178">
        <f t="shared" si="4"/>
        <v>1</v>
      </c>
      <c r="D327" s="179">
        <f>VLOOKUP(C327,Sheet2!$BK$11:$BN$19,VLOOKUP(B327,Sheet2!B:BC,21,FALSE)+1,FALSE)</f>
        <v>1</v>
      </c>
      <c r="E327" s="119">
        <v>0</v>
      </c>
      <c r="F327" s="13" t="s">
        <v>21</v>
      </c>
    </row>
    <row r="328" ht="16.5" spans="1:6">
      <c r="A328" s="119">
        <v>322</v>
      </c>
      <c r="B328" s="177">
        <f>VLOOKUP(ROUNDUP(A328/8,0),Sheet2!A:B,2,FALSE())</f>
        <v>112023</v>
      </c>
      <c r="C328" s="178">
        <f t="shared" si="4"/>
        <v>2</v>
      </c>
      <c r="D328" s="179">
        <f>VLOOKUP(C328,Sheet2!$BK$11:$BN$19,VLOOKUP(B328,Sheet2!B:BC,21,FALSE)+1,FALSE)</f>
        <v>1</v>
      </c>
      <c r="E328" s="119">
        <v>0</v>
      </c>
      <c r="F328" s="13" t="s">
        <v>21</v>
      </c>
    </row>
    <row r="329" ht="16.5" spans="1:6">
      <c r="A329" s="119">
        <v>323</v>
      </c>
      <c r="B329" s="177">
        <f>VLOOKUP(ROUNDUP(A329/8,0),Sheet2!A:B,2,FALSE())</f>
        <v>112023</v>
      </c>
      <c r="C329" s="178">
        <f t="shared" si="4"/>
        <v>3</v>
      </c>
      <c r="D329" s="179">
        <f>VLOOKUP(C329,Sheet2!$BK$11:$BN$19,VLOOKUP(B329,Sheet2!B:BC,21,FALSE)+1,FALSE)</f>
        <v>1</v>
      </c>
      <c r="E329" s="119">
        <v>0</v>
      </c>
      <c r="F329" s="13" t="s">
        <v>21</v>
      </c>
    </row>
    <row r="330" ht="16.5" spans="1:6">
      <c r="A330" s="119">
        <v>324</v>
      </c>
      <c r="B330" s="177">
        <f>VLOOKUP(ROUNDUP(A330/8,0),Sheet2!A:B,2,FALSE())</f>
        <v>112023</v>
      </c>
      <c r="C330" s="178">
        <f t="shared" si="4"/>
        <v>4</v>
      </c>
      <c r="D330" s="179">
        <f>VLOOKUP(C330,Sheet2!$BK$11:$BN$19,VLOOKUP(B330,Sheet2!B:BC,21,FALSE)+1,FALSE)</f>
        <v>1.2</v>
      </c>
      <c r="E330" s="119">
        <v>0</v>
      </c>
      <c r="F330" s="13" t="s">
        <v>21</v>
      </c>
    </row>
    <row r="331" ht="16.5" spans="1:6">
      <c r="A331" s="119">
        <v>325</v>
      </c>
      <c r="B331" s="177">
        <f>VLOOKUP(ROUNDUP(A331/8,0),Sheet2!A:B,2,FALSE())</f>
        <v>112023</v>
      </c>
      <c r="C331" s="178">
        <f t="shared" si="4"/>
        <v>5</v>
      </c>
      <c r="D331" s="179">
        <f>VLOOKUP(C331,Sheet2!$BK$11:$BN$19,VLOOKUP(B331,Sheet2!B:BC,21,FALSE)+1,FALSE)</f>
        <v>1.2</v>
      </c>
      <c r="E331" s="119">
        <v>0</v>
      </c>
      <c r="F331" s="13" t="s">
        <v>21</v>
      </c>
    </row>
    <row r="332" ht="16.5" spans="1:6">
      <c r="A332" s="119">
        <v>326</v>
      </c>
      <c r="B332" s="177">
        <f>VLOOKUP(ROUNDUP(A332/8,0),Sheet2!A:B,2,FALSE())</f>
        <v>112023</v>
      </c>
      <c r="C332" s="178">
        <f t="shared" si="4"/>
        <v>6</v>
      </c>
      <c r="D332" s="179">
        <f>VLOOKUP(C332,Sheet2!$BK$11:$BN$19,VLOOKUP(B332,Sheet2!B:BC,21,FALSE)+1,FALSE)</f>
        <v>1.4</v>
      </c>
      <c r="E332" s="119">
        <v>0</v>
      </c>
      <c r="F332" s="13" t="s">
        <v>21</v>
      </c>
    </row>
    <row r="333" ht="16.5" spans="1:6">
      <c r="A333" s="119">
        <v>327</v>
      </c>
      <c r="B333" s="177">
        <f>VLOOKUP(ROUNDUP(A333/8,0),Sheet2!A:B,2,FALSE())</f>
        <v>112023</v>
      </c>
      <c r="C333" s="178">
        <f t="shared" si="4"/>
        <v>7</v>
      </c>
      <c r="D333" s="179">
        <f>VLOOKUP(C333,Sheet2!$BK$11:$BN$19,VLOOKUP(B333,Sheet2!B:BC,21,FALSE)+1,FALSE)</f>
        <v>1.4</v>
      </c>
      <c r="E333" s="119">
        <v>0</v>
      </c>
      <c r="F333" s="13" t="s">
        <v>21</v>
      </c>
    </row>
    <row r="334" ht="16.5" spans="1:6">
      <c r="A334" s="119">
        <v>328</v>
      </c>
      <c r="B334" s="177">
        <f>VLOOKUP(ROUNDUP(A334/8,0),Sheet2!A:B,2,FALSE())</f>
        <v>112023</v>
      </c>
      <c r="C334" s="178">
        <f t="shared" si="4"/>
        <v>8</v>
      </c>
      <c r="D334" s="179">
        <f>VLOOKUP(C334,Sheet2!$BK$11:$BN$19,VLOOKUP(B334,Sheet2!B:BC,21,FALSE)+1,FALSE)</f>
        <v>1.6</v>
      </c>
      <c r="E334" s="119">
        <v>0</v>
      </c>
      <c r="F334" s="13" t="s">
        <v>21</v>
      </c>
    </row>
    <row r="335" ht="16.5" spans="1:6">
      <c r="A335" s="119">
        <v>329</v>
      </c>
      <c r="B335" s="177">
        <f>VLOOKUP(ROUNDUP(A335/8,0),Sheet2!A:B,2,FALSE())</f>
        <v>112024</v>
      </c>
      <c r="C335" s="178">
        <f t="shared" si="4"/>
        <v>1</v>
      </c>
      <c r="D335" s="179">
        <f>VLOOKUP(C335,Sheet2!$BK$11:$BN$19,VLOOKUP(B335,Sheet2!B:BC,21,FALSE)+1,FALSE)</f>
        <v>1</v>
      </c>
      <c r="E335" s="119">
        <v>0</v>
      </c>
      <c r="F335" s="13" t="s">
        <v>21</v>
      </c>
    </row>
    <row r="336" ht="16.5" spans="1:6">
      <c r="A336" s="119">
        <v>330</v>
      </c>
      <c r="B336" s="177">
        <f>VLOOKUP(ROUNDUP(A336/8,0),Sheet2!A:B,2,FALSE())</f>
        <v>112024</v>
      </c>
      <c r="C336" s="178">
        <f t="shared" ref="C336:C399" si="5">C328</f>
        <v>2</v>
      </c>
      <c r="D336" s="179">
        <f>VLOOKUP(C336,Sheet2!$BK$11:$BN$19,VLOOKUP(B336,Sheet2!B:BC,21,FALSE)+1,FALSE)</f>
        <v>1</v>
      </c>
      <c r="E336" s="119">
        <v>0</v>
      </c>
      <c r="F336" s="13" t="s">
        <v>21</v>
      </c>
    </row>
    <row r="337" ht="16.5" spans="1:6">
      <c r="A337" s="119">
        <v>331</v>
      </c>
      <c r="B337" s="177">
        <f>VLOOKUP(ROUNDUP(A337/8,0),Sheet2!A:B,2,FALSE())</f>
        <v>112024</v>
      </c>
      <c r="C337" s="178">
        <f t="shared" si="5"/>
        <v>3</v>
      </c>
      <c r="D337" s="179">
        <f>VLOOKUP(C337,Sheet2!$BK$11:$BN$19,VLOOKUP(B337,Sheet2!B:BC,21,FALSE)+1,FALSE)</f>
        <v>1</v>
      </c>
      <c r="E337" s="119">
        <v>0</v>
      </c>
      <c r="F337" s="13" t="s">
        <v>21</v>
      </c>
    </row>
    <row r="338" ht="16.5" spans="1:6">
      <c r="A338" s="119">
        <v>332</v>
      </c>
      <c r="B338" s="177">
        <f>VLOOKUP(ROUNDUP(A338/8,0),Sheet2!A:B,2,FALSE())</f>
        <v>112024</v>
      </c>
      <c r="C338" s="178">
        <f t="shared" si="5"/>
        <v>4</v>
      </c>
      <c r="D338" s="179">
        <f>VLOOKUP(C338,Sheet2!$BK$11:$BN$19,VLOOKUP(B338,Sheet2!B:BC,21,FALSE)+1,FALSE)</f>
        <v>1.2</v>
      </c>
      <c r="E338" s="119">
        <v>0</v>
      </c>
      <c r="F338" s="13" t="s">
        <v>21</v>
      </c>
    </row>
    <row r="339" ht="16.5" spans="1:6">
      <c r="A339" s="119">
        <v>333</v>
      </c>
      <c r="B339" s="177">
        <f>VLOOKUP(ROUNDUP(A339/8,0),Sheet2!A:B,2,FALSE())</f>
        <v>112024</v>
      </c>
      <c r="C339" s="178">
        <f t="shared" si="5"/>
        <v>5</v>
      </c>
      <c r="D339" s="179">
        <f>VLOOKUP(C339,Sheet2!$BK$11:$BN$19,VLOOKUP(B339,Sheet2!B:BC,21,FALSE)+1,FALSE)</f>
        <v>1.2</v>
      </c>
      <c r="E339" s="119">
        <v>0</v>
      </c>
      <c r="F339" s="13" t="s">
        <v>21</v>
      </c>
    </row>
    <row r="340" ht="16.5" spans="1:6">
      <c r="A340" s="119">
        <v>334</v>
      </c>
      <c r="B340" s="177">
        <f>VLOOKUP(ROUNDUP(A340/8,0),Sheet2!A:B,2,FALSE())</f>
        <v>112024</v>
      </c>
      <c r="C340" s="178">
        <f t="shared" si="5"/>
        <v>6</v>
      </c>
      <c r="D340" s="179">
        <f>VLOOKUP(C340,Sheet2!$BK$11:$BN$19,VLOOKUP(B340,Sheet2!B:BC,21,FALSE)+1,FALSE)</f>
        <v>1.4</v>
      </c>
      <c r="E340" s="119">
        <v>0</v>
      </c>
      <c r="F340" s="13" t="s">
        <v>21</v>
      </c>
    </row>
    <row r="341" ht="16.5" spans="1:6">
      <c r="A341" s="119">
        <v>335</v>
      </c>
      <c r="B341" s="177">
        <f>VLOOKUP(ROUNDUP(A341/8,0),Sheet2!A:B,2,FALSE())</f>
        <v>112024</v>
      </c>
      <c r="C341" s="178">
        <f t="shared" si="5"/>
        <v>7</v>
      </c>
      <c r="D341" s="179">
        <f>VLOOKUP(C341,Sheet2!$BK$11:$BN$19,VLOOKUP(B341,Sheet2!B:BC,21,FALSE)+1,FALSE)</f>
        <v>1.4</v>
      </c>
      <c r="E341" s="119">
        <v>0</v>
      </c>
      <c r="F341" s="13" t="s">
        <v>21</v>
      </c>
    </row>
    <row r="342" ht="16.5" spans="1:6">
      <c r="A342" s="119">
        <v>336</v>
      </c>
      <c r="B342" s="177">
        <f>VLOOKUP(ROUNDUP(A342/8,0),Sheet2!A:B,2,FALSE())</f>
        <v>112024</v>
      </c>
      <c r="C342" s="178">
        <f t="shared" si="5"/>
        <v>8</v>
      </c>
      <c r="D342" s="179">
        <f>VLOOKUP(C342,Sheet2!$BK$11:$BN$19,VLOOKUP(B342,Sheet2!B:BC,21,FALSE)+1,FALSE)</f>
        <v>1.6</v>
      </c>
      <c r="E342" s="119">
        <v>0</v>
      </c>
      <c r="F342" s="13" t="s">
        <v>21</v>
      </c>
    </row>
    <row r="343" ht="16.5" spans="1:6">
      <c r="A343" s="119">
        <v>337</v>
      </c>
      <c r="B343" s="177">
        <f>VLOOKUP(ROUNDUP(A343/8,0),Sheet2!A:B,2,FALSE())</f>
        <v>112025</v>
      </c>
      <c r="C343" s="178">
        <f t="shared" si="5"/>
        <v>1</v>
      </c>
      <c r="D343" s="179">
        <f>VLOOKUP(C343,Sheet2!$BK$11:$BN$19,VLOOKUP(B343,Sheet2!B:BC,21,FALSE)+1,FALSE)</f>
        <v>1</v>
      </c>
      <c r="E343" s="119">
        <v>0</v>
      </c>
      <c r="F343" s="13" t="s">
        <v>21</v>
      </c>
    </row>
    <row r="344" ht="16.5" spans="1:6">
      <c r="A344" s="119">
        <v>338</v>
      </c>
      <c r="B344" s="177">
        <f>VLOOKUP(ROUNDUP(A344/8,0),Sheet2!A:B,2,FALSE())</f>
        <v>112025</v>
      </c>
      <c r="C344" s="178">
        <f t="shared" si="5"/>
        <v>2</v>
      </c>
      <c r="D344" s="179">
        <f>VLOOKUP(C344,Sheet2!$BK$11:$BN$19,VLOOKUP(B344,Sheet2!B:BC,21,FALSE)+1,FALSE)</f>
        <v>1</v>
      </c>
      <c r="E344" s="119">
        <v>0</v>
      </c>
      <c r="F344" s="13" t="s">
        <v>21</v>
      </c>
    </row>
    <row r="345" ht="16.5" spans="1:6">
      <c r="A345" s="119">
        <v>339</v>
      </c>
      <c r="B345" s="177">
        <f>VLOOKUP(ROUNDUP(A345/8,0),Sheet2!A:B,2,FALSE())</f>
        <v>112025</v>
      </c>
      <c r="C345" s="178">
        <f t="shared" si="5"/>
        <v>3</v>
      </c>
      <c r="D345" s="179">
        <f>VLOOKUP(C345,Sheet2!$BK$11:$BN$19,VLOOKUP(B345,Sheet2!B:BC,21,FALSE)+1,FALSE)</f>
        <v>1</v>
      </c>
      <c r="E345" s="119">
        <v>0</v>
      </c>
      <c r="F345" s="13" t="s">
        <v>21</v>
      </c>
    </row>
    <row r="346" ht="16.5" spans="1:6">
      <c r="A346" s="119">
        <v>340</v>
      </c>
      <c r="B346" s="177">
        <f>VLOOKUP(ROUNDUP(A346/8,0),Sheet2!A:B,2,FALSE())</f>
        <v>112025</v>
      </c>
      <c r="C346" s="178">
        <f t="shared" si="5"/>
        <v>4</v>
      </c>
      <c r="D346" s="179">
        <f>VLOOKUP(C346,Sheet2!$BK$11:$BN$19,VLOOKUP(B346,Sheet2!B:BC,21,FALSE)+1,FALSE)</f>
        <v>1.2</v>
      </c>
      <c r="E346" s="119">
        <v>0</v>
      </c>
      <c r="F346" s="13" t="s">
        <v>21</v>
      </c>
    </row>
    <row r="347" ht="16.5" spans="1:6">
      <c r="A347" s="119">
        <v>341</v>
      </c>
      <c r="B347" s="177">
        <f>VLOOKUP(ROUNDUP(A347/8,0),Sheet2!A:B,2,FALSE())</f>
        <v>112025</v>
      </c>
      <c r="C347" s="178">
        <f t="shared" si="5"/>
        <v>5</v>
      </c>
      <c r="D347" s="179">
        <f>VLOOKUP(C347,Sheet2!$BK$11:$BN$19,VLOOKUP(B347,Sheet2!B:BC,21,FALSE)+1,FALSE)</f>
        <v>1.2</v>
      </c>
      <c r="E347" s="119">
        <v>0</v>
      </c>
      <c r="F347" s="13" t="s">
        <v>21</v>
      </c>
    </row>
    <row r="348" ht="16.5" spans="1:6">
      <c r="A348" s="119">
        <v>342</v>
      </c>
      <c r="B348" s="177">
        <f>VLOOKUP(ROUNDUP(A348/8,0),Sheet2!A:B,2,FALSE())</f>
        <v>112025</v>
      </c>
      <c r="C348" s="178">
        <f t="shared" si="5"/>
        <v>6</v>
      </c>
      <c r="D348" s="179">
        <f>VLOOKUP(C348,Sheet2!$BK$11:$BN$19,VLOOKUP(B348,Sheet2!B:BC,21,FALSE)+1,FALSE)</f>
        <v>1.4</v>
      </c>
      <c r="E348" s="119">
        <v>0</v>
      </c>
      <c r="F348" s="13" t="s">
        <v>21</v>
      </c>
    </row>
    <row r="349" ht="16.5" spans="1:6">
      <c r="A349" s="119">
        <v>343</v>
      </c>
      <c r="B349" s="177">
        <f>VLOOKUP(ROUNDUP(A349/8,0),Sheet2!A:B,2,FALSE())</f>
        <v>112025</v>
      </c>
      <c r="C349" s="178">
        <f t="shared" si="5"/>
        <v>7</v>
      </c>
      <c r="D349" s="179">
        <f>VLOOKUP(C349,Sheet2!$BK$11:$BN$19,VLOOKUP(B349,Sheet2!B:BC,21,FALSE)+1,FALSE)</f>
        <v>1.4</v>
      </c>
      <c r="E349" s="119">
        <v>0</v>
      </c>
      <c r="F349" s="13" t="s">
        <v>21</v>
      </c>
    </row>
    <row r="350" ht="16.5" spans="1:6">
      <c r="A350" s="119">
        <v>344</v>
      </c>
      <c r="B350" s="177">
        <f>VLOOKUP(ROUNDUP(A350/8,0),Sheet2!A:B,2,FALSE())</f>
        <v>112025</v>
      </c>
      <c r="C350" s="178">
        <f t="shared" si="5"/>
        <v>8</v>
      </c>
      <c r="D350" s="179">
        <f>VLOOKUP(C350,Sheet2!$BK$11:$BN$19,VLOOKUP(B350,Sheet2!B:BC,21,FALSE)+1,FALSE)</f>
        <v>1.6</v>
      </c>
      <c r="E350" s="119">
        <v>0</v>
      </c>
      <c r="F350" s="13" t="s">
        <v>21</v>
      </c>
    </row>
    <row r="351" ht="16.5" spans="1:6">
      <c r="A351" s="119">
        <v>345</v>
      </c>
      <c r="B351" s="177">
        <f>VLOOKUP(ROUNDUP(A351/8,0),Sheet2!A:B,2,FALSE())</f>
        <v>112026</v>
      </c>
      <c r="C351" s="178">
        <f t="shared" si="5"/>
        <v>1</v>
      </c>
      <c r="D351" s="179">
        <f>VLOOKUP(C351,Sheet2!$BK$11:$BN$19,VLOOKUP(B351,Sheet2!B:BC,21,FALSE)+1,FALSE)</f>
        <v>1</v>
      </c>
      <c r="E351" s="119">
        <v>0</v>
      </c>
      <c r="F351" s="13" t="s">
        <v>21</v>
      </c>
    </row>
    <row r="352" ht="16.5" spans="1:6">
      <c r="A352" s="119">
        <v>346</v>
      </c>
      <c r="B352" s="177">
        <f>VLOOKUP(ROUNDUP(A352/8,0),Sheet2!A:B,2,FALSE())</f>
        <v>112026</v>
      </c>
      <c r="C352" s="178">
        <f t="shared" si="5"/>
        <v>2</v>
      </c>
      <c r="D352" s="179">
        <f>VLOOKUP(C352,Sheet2!$BK$11:$BN$19,VLOOKUP(B352,Sheet2!B:BC,21,FALSE)+1,FALSE)</f>
        <v>1</v>
      </c>
      <c r="E352" s="119">
        <v>0</v>
      </c>
      <c r="F352" s="13" t="s">
        <v>21</v>
      </c>
    </row>
    <row r="353" ht="16.5" spans="1:6">
      <c r="A353" s="119">
        <v>347</v>
      </c>
      <c r="B353" s="177">
        <f>VLOOKUP(ROUNDUP(A353/8,0),Sheet2!A:B,2,FALSE())</f>
        <v>112026</v>
      </c>
      <c r="C353" s="178">
        <f t="shared" si="5"/>
        <v>3</v>
      </c>
      <c r="D353" s="179">
        <f>VLOOKUP(C353,Sheet2!$BK$11:$BN$19,VLOOKUP(B353,Sheet2!B:BC,21,FALSE)+1,FALSE)</f>
        <v>1</v>
      </c>
      <c r="E353" s="119">
        <v>0</v>
      </c>
      <c r="F353" s="13" t="s">
        <v>21</v>
      </c>
    </row>
    <row r="354" ht="16.5" spans="1:6">
      <c r="A354" s="119">
        <v>348</v>
      </c>
      <c r="B354" s="177">
        <f>VLOOKUP(ROUNDUP(A354/8,0),Sheet2!A:B,2,FALSE())</f>
        <v>112026</v>
      </c>
      <c r="C354" s="178">
        <f t="shared" si="5"/>
        <v>4</v>
      </c>
      <c r="D354" s="179">
        <f>VLOOKUP(C354,Sheet2!$BK$11:$BN$19,VLOOKUP(B354,Sheet2!B:BC,21,FALSE)+1,FALSE)</f>
        <v>1.2</v>
      </c>
      <c r="E354" s="119">
        <v>0</v>
      </c>
      <c r="F354" s="13" t="s">
        <v>21</v>
      </c>
    </row>
    <row r="355" ht="16.5" spans="1:6">
      <c r="A355" s="119">
        <v>349</v>
      </c>
      <c r="B355" s="177">
        <f>VLOOKUP(ROUNDUP(A355/8,0),Sheet2!A:B,2,FALSE())</f>
        <v>112026</v>
      </c>
      <c r="C355" s="178">
        <f t="shared" si="5"/>
        <v>5</v>
      </c>
      <c r="D355" s="179">
        <f>VLOOKUP(C355,Sheet2!$BK$11:$BN$19,VLOOKUP(B355,Sheet2!B:BC,21,FALSE)+1,FALSE)</f>
        <v>1.2</v>
      </c>
      <c r="E355" s="119">
        <v>0</v>
      </c>
      <c r="F355" s="13" t="s">
        <v>21</v>
      </c>
    </row>
    <row r="356" ht="16.5" spans="1:6">
      <c r="A356" s="119">
        <v>350</v>
      </c>
      <c r="B356" s="177">
        <f>VLOOKUP(ROUNDUP(A356/8,0),Sheet2!A:B,2,FALSE())</f>
        <v>112026</v>
      </c>
      <c r="C356" s="178">
        <f t="shared" si="5"/>
        <v>6</v>
      </c>
      <c r="D356" s="179">
        <f>VLOOKUP(C356,Sheet2!$BK$11:$BN$19,VLOOKUP(B356,Sheet2!B:BC,21,FALSE)+1,FALSE)</f>
        <v>1.4</v>
      </c>
      <c r="E356" s="119">
        <v>0</v>
      </c>
      <c r="F356" s="13" t="s">
        <v>21</v>
      </c>
    </row>
    <row r="357" ht="16.5" spans="1:6">
      <c r="A357" s="119">
        <v>351</v>
      </c>
      <c r="B357" s="177">
        <f>VLOOKUP(ROUNDUP(A357/8,0),Sheet2!A:B,2,FALSE())</f>
        <v>112026</v>
      </c>
      <c r="C357" s="178">
        <f t="shared" si="5"/>
        <v>7</v>
      </c>
      <c r="D357" s="179">
        <f>VLOOKUP(C357,Sheet2!$BK$11:$BN$19,VLOOKUP(B357,Sheet2!B:BC,21,FALSE)+1,FALSE)</f>
        <v>1.4</v>
      </c>
      <c r="E357" s="119">
        <v>0</v>
      </c>
      <c r="F357" s="13" t="s">
        <v>21</v>
      </c>
    </row>
    <row r="358" ht="16.5" spans="1:6">
      <c r="A358" s="119">
        <v>352</v>
      </c>
      <c r="B358" s="177">
        <f>VLOOKUP(ROUNDUP(A358/8,0),Sheet2!A:B,2,FALSE())</f>
        <v>112026</v>
      </c>
      <c r="C358" s="178">
        <f t="shared" si="5"/>
        <v>8</v>
      </c>
      <c r="D358" s="179">
        <f>VLOOKUP(C358,Sheet2!$BK$11:$BN$19,VLOOKUP(B358,Sheet2!B:BC,21,FALSE)+1,FALSE)</f>
        <v>1.6</v>
      </c>
      <c r="E358" s="119">
        <v>0</v>
      </c>
      <c r="F358" s="13" t="s">
        <v>21</v>
      </c>
    </row>
    <row r="359" ht="16.5" spans="1:6">
      <c r="A359" s="119">
        <v>353</v>
      </c>
      <c r="B359" s="177">
        <f>VLOOKUP(ROUNDUP(A359/8,0),Sheet2!A:B,2,FALSE())</f>
        <v>112027</v>
      </c>
      <c r="C359" s="178">
        <f t="shared" si="5"/>
        <v>1</v>
      </c>
      <c r="D359" s="179">
        <f>VLOOKUP(C359,Sheet2!$BK$11:$BN$19,VLOOKUP(B359,Sheet2!B:BC,21,FALSE)+1,FALSE)</f>
        <v>1</v>
      </c>
      <c r="E359" s="119">
        <v>0</v>
      </c>
      <c r="F359" s="13" t="s">
        <v>21</v>
      </c>
    </row>
    <row r="360" ht="16.5" spans="1:6">
      <c r="A360" s="119">
        <v>354</v>
      </c>
      <c r="B360" s="177">
        <f>VLOOKUP(ROUNDUP(A360/8,0),Sheet2!A:B,2,FALSE())</f>
        <v>112027</v>
      </c>
      <c r="C360" s="178">
        <f t="shared" si="5"/>
        <v>2</v>
      </c>
      <c r="D360" s="179">
        <f>VLOOKUP(C360,Sheet2!$BK$11:$BN$19,VLOOKUP(B360,Sheet2!B:BC,21,FALSE)+1,FALSE)</f>
        <v>1</v>
      </c>
      <c r="E360" s="119">
        <v>0</v>
      </c>
      <c r="F360" s="13" t="s">
        <v>21</v>
      </c>
    </row>
    <row r="361" ht="16.5" spans="1:6">
      <c r="A361" s="119">
        <v>355</v>
      </c>
      <c r="B361" s="177">
        <f>VLOOKUP(ROUNDUP(A361/8,0),Sheet2!A:B,2,FALSE())</f>
        <v>112027</v>
      </c>
      <c r="C361" s="178">
        <f t="shared" si="5"/>
        <v>3</v>
      </c>
      <c r="D361" s="179">
        <f>VLOOKUP(C361,Sheet2!$BK$11:$BN$19,VLOOKUP(B361,Sheet2!B:BC,21,FALSE)+1,FALSE)</f>
        <v>1</v>
      </c>
      <c r="E361" s="119">
        <v>0</v>
      </c>
      <c r="F361" s="13" t="s">
        <v>21</v>
      </c>
    </row>
    <row r="362" ht="16.5" spans="1:6">
      <c r="A362" s="119">
        <v>356</v>
      </c>
      <c r="B362" s="177">
        <f>VLOOKUP(ROUNDUP(A362/8,0),Sheet2!A:B,2,FALSE())</f>
        <v>112027</v>
      </c>
      <c r="C362" s="178">
        <f t="shared" si="5"/>
        <v>4</v>
      </c>
      <c r="D362" s="179">
        <f>VLOOKUP(C362,Sheet2!$BK$11:$BN$19,VLOOKUP(B362,Sheet2!B:BC,21,FALSE)+1,FALSE)</f>
        <v>1.2</v>
      </c>
      <c r="E362" s="119">
        <v>0</v>
      </c>
      <c r="F362" s="13" t="s">
        <v>21</v>
      </c>
    </row>
    <row r="363" ht="16.5" spans="1:6">
      <c r="A363" s="119">
        <v>357</v>
      </c>
      <c r="B363" s="177">
        <f>VLOOKUP(ROUNDUP(A363/8,0),Sheet2!A:B,2,FALSE())</f>
        <v>112027</v>
      </c>
      <c r="C363" s="178">
        <f t="shared" si="5"/>
        <v>5</v>
      </c>
      <c r="D363" s="179">
        <f>VLOOKUP(C363,Sheet2!$BK$11:$BN$19,VLOOKUP(B363,Sheet2!B:BC,21,FALSE)+1,FALSE)</f>
        <v>1.2</v>
      </c>
      <c r="E363" s="119">
        <v>0</v>
      </c>
      <c r="F363" s="13" t="s">
        <v>21</v>
      </c>
    </row>
    <row r="364" ht="16.5" spans="1:6">
      <c r="A364" s="119">
        <v>358</v>
      </c>
      <c r="B364" s="177">
        <f>VLOOKUP(ROUNDUP(A364/8,0),Sheet2!A:B,2,FALSE())</f>
        <v>112027</v>
      </c>
      <c r="C364" s="178">
        <f t="shared" si="5"/>
        <v>6</v>
      </c>
      <c r="D364" s="179">
        <f>VLOOKUP(C364,Sheet2!$BK$11:$BN$19,VLOOKUP(B364,Sheet2!B:BC,21,FALSE)+1,FALSE)</f>
        <v>1.4</v>
      </c>
      <c r="E364" s="119">
        <v>0</v>
      </c>
      <c r="F364" s="13" t="s">
        <v>21</v>
      </c>
    </row>
    <row r="365" ht="16.5" spans="1:6">
      <c r="A365" s="119">
        <v>359</v>
      </c>
      <c r="B365" s="177">
        <f>VLOOKUP(ROUNDUP(A365/8,0),Sheet2!A:B,2,FALSE())</f>
        <v>112027</v>
      </c>
      <c r="C365" s="178">
        <f t="shared" si="5"/>
        <v>7</v>
      </c>
      <c r="D365" s="179">
        <f>VLOOKUP(C365,Sheet2!$BK$11:$BN$19,VLOOKUP(B365,Sheet2!B:BC,21,FALSE)+1,FALSE)</f>
        <v>1.4</v>
      </c>
      <c r="E365" s="119">
        <v>0</v>
      </c>
      <c r="F365" s="13" t="s">
        <v>21</v>
      </c>
    </row>
    <row r="366" ht="16.5" spans="1:6">
      <c r="A366" s="119">
        <v>360</v>
      </c>
      <c r="B366" s="177">
        <f>VLOOKUP(ROUNDUP(A366/8,0),Sheet2!A:B,2,FALSE())</f>
        <v>112027</v>
      </c>
      <c r="C366" s="178">
        <f t="shared" si="5"/>
        <v>8</v>
      </c>
      <c r="D366" s="179">
        <f>VLOOKUP(C366,Sheet2!$BK$11:$BN$19,VLOOKUP(B366,Sheet2!B:BC,21,FALSE)+1,FALSE)</f>
        <v>1.6</v>
      </c>
      <c r="E366" s="119">
        <v>0</v>
      </c>
      <c r="F366" s="13" t="s">
        <v>21</v>
      </c>
    </row>
    <row r="367" ht="16.5" spans="1:6">
      <c r="A367" s="119">
        <v>361</v>
      </c>
      <c r="B367" s="177">
        <f>VLOOKUP(ROUNDUP(A367/8,0),Sheet2!A:B,2,FALSE())</f>
        <v>112028</v>
      </c>
      <c r="C367" s="178">
        <f t="shared" si="5"/>
        <v>1</v>
      </c>
      <c r="D367" s="179">
        <f>VLOOKUP(C367,Sheet2!$BK$11:$BN$19,VLOOKUP(B367,Sheet2!B:BC,21,FALSE)+1,FALSE)</f>
        <v>1.2</v>
      </c>
      <c r="E367" s="119">
        <v>0</v>
      </c>
      <c r="F367" s="13" t="s">
        <v>17</v>
      </c>
    </row>
    <row r="368" ht="16.5" spans="1:6">
      <c r="A368" s="119">
        <v>362</v>
      </c>
      <c r="B368" s="177">
        <f>VLOOKUP(ROUNDUP(A368/8,0),Sheet2!A:B,2,FALSE())</f>
        <v>112028</v>
      </c>
      <c r="C368" s="178">
        <f t="shared" si="5"/>
        <v>2</v>
      </c>
      <c r="D368" s="179">
        <f>VLOOKUP(C368,Sheet2!$BK$11:$BN$19,VLOOKUP(B368,Sheet2!B:BC,21,FALSE)+1,FALSE)</f>
        <v>1.2</v>
      </c>
      <c r="E368" s="119">
        <v>0</v>
      </c>
      <c r="F368" s="13" t="s">
        <v>17</v>
      </c>
    </row>
    <row r="369" ht="16.5" spans="1:6">
      <c r="A369" s="119">
        <v>363</v>
      </c>
      <c r="B369" s="177">
        <f>VLOOKUP(ROUNDUP(A369/8,0),Sheet2!A:B,2,FALSE())</f>
        <v>112028</v>
      </c>
      <c r="C369" s="178">
        <f t="shared" si="5"/>
        <v>3</v>
      </c>
      <c r="D369" s="179">
        <f>VLOOKUP(C369,Sheet2!$BK$11:$BN$19,VLOOKUP(B369,Sheet2!B:BC,21,FALSE)+1,FALSE)</f>
        <v>1.2</v>
      </c>
      <c r="E369" s="119">
        <v>0</v>
      </c>
      <c r="F369" s="13" t="s">
        <v>17</v>
      </c>
    </row>
    <row r="370" ht="16.5" spans="1:6">
      <c r="A370" s="119">
        <v>364</v>
      </c>
      <c r="B370" s="177">
        <f>VLOOKUP(ROUNDUP(A370/8,0),Sheet2!A:B,2,FALSE())</f>
        <v>112028</v>
      </c>
      <c r="C370" s="178">
        <f t="shared" si="5"/>
        <v>4</v>
      </c>
      <c r="D370" s="179">
        <f>VLOOKUP(C370,Sheet2!$BK$11:$BN$19,VLOOKUP(B370,Sheet2!B:BC,21,FALSE)+1,FALSE)</f>
        <v>1.5</v>
      </c>
      <c r="E370" s="119">
        <v>0</v>
      </c>
      <c r="F370" s="13" t="s">
        <v>17</v>
      </c>
    </row>
    <row r="371" ht="16.5" spans="1:6">
      <c r="A371" s="119">
        <v>365</v>
      </c>
      <c r="B371" s="177">
        <f>VLOOKUP(ROUNDUP(A371/8,0),Sheet2!A:B,2,FALSE())</f>
        <v>112028</v>
      </c>
      <c r="C371" s="178">
        <f t="shared" si="5"/>
        <v>5</v>
      </c>
      <c r="D371" s="179">
        <f>VLOOKUP(C371,Sheet2!$BK$11:$BN$19,VLOOKUP(B371,Sheet2!B:BC,21,FALSE)+1,FALSE)</f>
        <v>1.5</v>
      </c>
      <c r="E371" s="119">
        <v>0</v>
      </c>
      <c r="F371" s="13" t="s">
        <v>17</v>
      </c>
    </row>
    <row r="372" ht="16.5" spans="1:6">
      <c r="A372" s="119">
        <v>366</v>
      </c>
      <c r="B372" s="177">
        <f>VLOOKUP(ROUNDUP(A372/8,0),Sheet2!A:B,2,FALSE())</f>
        <v>112028</v>
      </c>
      <c r="C372" s="178">
        <f t="shared" si="5"/>
        <v>6</v>
      </c>
      <c r="D372" s="179">
        <f>VLOOKUP(C372,Sheet2!$BK$11:$BN$19,VLOOKUP(B372,Sheet2!B:BC,21,FALSE)+1,FALSE)</f>
        <v>1.7</v>
      </c>
      <c r="E372" s="119">
        <v>0</v>
      </c>
      <c r="F372" s="13" t="s">
        <v>17</v>
      </c>
    </row>
    <row r="373" ht="16.5" spans="1:6">
      <c r="A373" s="119">
        <v>367</v>
      </c>
      <c r="B373" s="177">
        <f>VLOOKUP(ROUNDUP(A373/8,0),Sheet2!A:B,2,FALSE())</f>
        <v>112028</v>
      </c>
      <c r="C373" s="178">
        <f t="shared" si="5"/>
        <v>7</v>
      </c>
      <c r="D373" s="179">
        <f>VLOOKUP(C373,Sheet2!$BK$11:$BN$19,VLOOKUP(B373,Sheet2!B:BC,21,FALSE)+1,FALSE)</f>
        <v>1.7</v>
      </c>
      <c r="E373" s="119">
        <v>0</v>
      </c>
      <c r="F373" s="13" t="s">
        <v>17</v>
      </c>
    </row>
    <row r="374" ht="16.5" spans="1:6">
      <c r="A374" s="119">
        <v>368</v>
      </c>
      <c r="B374" s="177">
        <f>VLOOKUP(ROUNDUP(A374/8,0),Sheet2!A:B,2,FALSE())</f>
        <v>112028</v>
      </c>
      <c r="C374" s="178">
        <f t="shared" si="5"/>
        <v>8</v>
      </c>
      <c r="D374" s="179">
        <f>VLOOKUP(C374,Sheet2!$BK$11:$BN$19,VLOOKUP(B374,Sheet2!B:BC,21,FALSE)+1,FALSE)</f>
        <v>2</v>
      </c>
      <c r="E374" s="119">
        <v>0</v>
      </c>
      <c r="F374" s="13" t="s">
        <v>17</v>
      </c>
    </row>
    <row r="375" ht="16.5" spans="1:6">
      <c r="A375" s="119">
        <v>369</v>
      </c>
      <c r="B375" s="177">
        <f>VLOOKUP(ROUNDUP(A375/8,0),Sheet2!A:B,2,FALSE())</f>
        <v>112029</v>
      </c>
      <c r="C375" s="178">
        <f t="shared" si="5"/>
        <v>1</v>
      </c>
      <c r="D375" s="179">
        <f>VLOOKUP(C375,Sheet2!$BK$11:$BN$19,VLOOKUP(B375,Sheet2!B:BC,21,FALSE)+1,FALSE)</f>
        <v>1</v>
      </c>
      <c r="E375" s="119">
        <v>0</v>
      </c>
      <c r="F375" s="13" t="s">
        <v>19</v>
      </c>
    </row>
    <row r="376" ht="16.5" spans="1:6">
      <c r="A376" s="119">
        <v>370</v>
      </c>
      <c r="B376" s="177">
        <f>VLOOKUP(ROUNDUP(A376/8,0),Sheet2!A:B,2,FALSE())</f>
        <v>112029</v>
      </c>
      <c r="C376" s="178">
        <f t="shared" si="5"/>
        <v>2</v>
      </c>
      <c r="D376" s="179">
        <f>VLOOKUP(C376,Sheet2!$BK$11:$BN$19,VLOOKUP(B376,Sheet2!B:BC,21,FALSE)+1,FALSE)</f>
        <v>1</v>
      </c>
      <c r="E376" s="119">
        <v>0</v>
      </c>
      <c r="F376" s="13" t="s">
        <v>19</v>
      </c>
    </row>
    <row r="377" ht="16.5" spans="1:6">
      <c r="A377" s="119">
        <v>371</v>
      </c>
      <c r="B377" s="177">
        <f>VLOOKUP(ROUNDUP(A377/8,0),Sheet2!A:B,2,FALSE())</f>
        <v>112029</v>
      </c>
      <c r="C377" s="178">
        <f t="shared" si="5"/>
        <v>3</v>
      </c>
      <c r="D377" s="179">
        <f>VLOOKUP(C377,Sheet2!$BK$11:$BN$19,VLOOKUP(B377,Sheet2!B:BC,21,FALSE)+1,FALSE)</f>
        <v>1</v>
      </c>
      <c r="E377" s="119">
        <v>0</v>
      </c>
      <c r="F377" s="13" t="s">
        <v>19</v>
      </c>
    </row>
    <row r="378" ht="16.5" spans="1:6">
      <c r="A378" s="119">
        <v>372</v>
      </c>
      <c r="B378" s="177">
        <f>VLOOKUP(ROUNDUP(A378/8,0),Sheet2!A:B,2,FALSE())</f>
        <v>112029</v>
      </c>
      <c r="C378" s="178">
        <f t="shared" si="5"/>
        <v>4</v>
      </c>
      <c r="D378" s="179">
        <f>VLOOKUP(C378,Sheet2!$BK$11:$BN$19,VLOOKUP(B378,Sheet2!B:BC,21,FALSE)+1,FALSE)</f>
        <v>1.2</v>
      </c>
      <c r="E378" s="119">
        <v>0</v>
      </c>
      <c r="F378" s="13" t="s">
        <v>19</v>
      </c>
    </row>
    <row r="379" ht="16.5" spans="1:6">
      <c r="A379" s="119">
        <v>373</v>
      </c>
      <c r="B379" s="177">
        <f>VLOOKUP(ROUNDUP(A379/8,0),Sheet2!A:B,2,FALSE())</f>
        <v>112029</v>
      </c>
      <c r="C379" s="178">
        <f t="shared" si="5"/>
        <v>5</v>
      </c>
      <c r="D379" s="179">
        <f>VLOOKUP(C379,Sheet2!$BK$11:$BN$19,VLOOKUP(B379,Sheet2!B:BC,21,FALSE)+1,FALSE)</f>
        <v>1.2</v>
      </c>
      <c r="E379" s="119">
        <v>0</v>
      </c>
      <c r="F379" s="13" t="s">
        <v>19</v>
      </c>
    </row>
    <row r="380" ht="16.5" spans="1:6">
      <c r="A380" s="119">
        <v>374</v>
      </c>
      <c r="B380" s="177">
        <f>VLOOKUP(ROUNDUP(A380/8,0),Sheet2!A:B,2,FALSE())</f>
        <v>112029</v>
      </c>
      <c r="C380" s="178">
        <f t="shared" si="5"/>
        <v>6</v>
      </c>
      <c r="D380" s="179">
        <f>VLOOKUP(C380,Sheet2!$BK$11:$BN$19,VLOOKUP(B380,Sheet2!B:BC,21,FALSE)+1,FALSE)</f>
        <v>1.4</v>
      </c>
      <c r="E380" s="119">
        <v>0</v>
      </c>
      <c r="F380" s="13" t="s">
        <v>19</v>
      </c>
    </row>
    <row r="381" ht="16.5" spans="1:6">
      <c r="A381" s="119">
        <v>375</v>
      </c>
      <c r="B381" s="177">
        <f>VLOOKUP(ROUNDUP(A381/8,0),Sheet2!A:B,2,FALSE())</f>
        <v>112029</v>
      </c>
      <c r="C381" s="178">
        <f t="shared" si="5"/>
        <v>7</v>
      </c>
      <c r="D381" s="179">
        <f>VLOOKUP(C381,Sheet2!$BK$11:$BN$19,VLOOKUP(B381,Sheet2!B:BC,21,FALSE)+1,FALSE)</f>
        <v>1.4</v>
      </c>
      <c r="E381" s="119">
        <v>0</v>
      </c>
      <c r="F381" s="13" t="s">
        <v>19</v>
      </c>
    </row>
    <row r="382" ht="16.5" spans="1:6">
      <c r="A382" s="119">
        <v>376</v>
      </c>
      <c r="B382" s="177">
        <f>VLOOKUP(ROUNDUP(A382/8,0),Sheet2!A:B,2,FALSE())</f>
        <v>112029</v>
      </c>
      <c r="C382" s="178">
        <f t="shared" si="5"/>
        <v>8</v>
      </c>
      <c r="D382" s="179">
        <f>VLOOKUP(C382,Sheet2!$BK$11:$BN$19,VLOOKUP(B382,Sheet2!B:BC,21,FALSE)+1,FALSE)</f>
        <v>1.6</v>
      </c>
      <c r="E382" s="119">
        <v>0</v>
      </c>
      <c r="F382" s="13" t="s">
        <v>19</v>
      </c>
    </row>
    <row r="383" ht="16.5" spans="1:6">
      <c r="A383" s="119">
        <v>377</v>
      </c>
      <c r="B383" s="177">
        <f>VLOOKUP(ROUNDUP(A383/8,0),Sheet2!A:B,2,FALSE())</f>
        <v>112030</v>
      </c>
      <c r="C383" s="178">
        <f t="shared" si="5"/>
        <v>1</v>
      </c>
      <c r="D383" s="179">
        <f>VLOOKUP(C383,Sheet2!$BK$11:$BN$19,VLOOKUP(B383,Sheet2!B:BC,21,FALSE)+1,FALSE)</f>
        <v>1</v>
      </c>
      <c r="E383" s="119">
        <v>0</v>
      </c>
      <c r="F383" s="13" t="s">
        <v>19</v>
      </c>
    </row>
    <row r="384" ht="16.5" spans="1:6">
      <c r="A384" s="119">
        <v>378</v>
      </c>
      <c r="B384" s="177">
        <f>VLOOKUP(ROUNDUP(A384/8,0),Sheet2!A:B,2,FALSE())</f>
        <v>112030</v>
      </c>
      <c r="C384" s="178">
        <f t="shared" si="5"/>
        <v>2</v>
      </c>
      <c r="D384" s="179">
        <f>VLOOKUP(C384,Sheet2!$BK$11:$BN$19,VLOOKUP(B384,Sheet2!B:BC,21,FALSE)+1,FALSE)</f>
        <v>1</v>
      </c>
      <c r="E384" s="119">
        <v>0</v>
      </c>
      <c r="F384" s="13" t="s">
        <v>19</v>
      </c>
    </row>
    <row r="385" ht="16.5" spans="1:6">
      <c r="A385" s="119">
        <v>379</v>
      </c>
      <c r="B385" s="177">
        <f>VLOOKUP(ROUNDUP(A385/8,0),Sheet2!A:B,2,FALSE())</f>
        <v>112030</v>
      </c>
      <c r="C385" s="178">
        <f t="shared" si="5"/>
        <v>3</v>
      </c>
      <c r="D385" s="179">
        <f>VLOOKUP(C385,Sheet2!$BK$11:$BN$19,VLOOKUP(B385,Sheet2!B:BC,21,FALSE)+1,FALSE)</f>
        <v>1</v>
      </c>
      <c r="E385" s="119">
        <v>0</v>
      </c>
      <c r="F385" s="13" t="s">
        <v>19</v>
      </c>
    </row>
    <row r="386" ht="16.5" spans="1:6">
      <c r="A386" s="119">
        <v>380</v>
      </c>
      <c r="B386" s="177">
        <f>VLOOKUP(ROUNDUP(A386/8,0),Sheet2!A:B,2,FALSE())</f>
        <v>112030</v>
      </c>
      <c r="C386" s="178">
        <f t="shared" si="5"/>
        <v>4</v>
      </c>
      <c r="D386" s="179">
        <f>VLOOKUP(C386,Sheet2!$BK$11:$BN$19,VLOOKUP(B386,Sheet2!B:BC,21,FALSE)+1,FALSE)</f>
        <v>1.2</v>
      </c>
      <c r="E386" s="119">
        <v>0</v>
      </c>
      <c r="F386" s="13" t="s">
        <v>19</v>
      </c>
    </row>
    <row r="387" ht="16.5" spans="1:6">
      <c r="A387" s="119">
        <v>381</v>
      </c>
      <c r="B387" s="177">
        <f>VLOOKUP(ROUNDUP(A387/8,0),Sheet2!A:B,2,FALSE())</f>
        <v>112030</v>
      </c>
      <c r="C387" s="178">
        <f t="shared" si="5"/>
        <v>5</v>
      </c>
      <c r="D387" s="179">
        <f>VLOOKUP(C387,Sheet2!$BK$11:$BN$19,VLOOKUP(B387,Sheet2!B:BC,21,FALSE)+1,FALSE)</f>
        <v>1.2</v>
      </c>
      <c r="E387" s="119">
        <v>0</v>
      </c>
      <c r="F387" s="13" t="s">
        <v>19</v>
      </c>
    </row>
    <row r="388" ht="16.5" spans="1:6">
      <c r="A388" s="119">
        <v>382</v>
      </c>
      <c r="B388" s="177">
        <f>VLOOKUP(ROUNDUP(A388/8,0),Sheet2!A:B,2,FALSE())</f>
        <v>112030</v>
      </c>
      <c r="C388" s="178">
        <f t="shared" si="5"/>
        <v>6</v>
      </c>
      <c r="D388" s="179">
        <f>VLOOKUP(C388,Sheet2!$BK$11:$BN$19,VLOOKUP(B388,Sheet2!B:BC,21,FALSE)+1,FALSE)</f>
        <v>1.4</v>
      </c>
      <c r="E388" s="119">
        <v>0</v>
      </c>
      <c r="F388" s="13" t="s">
        <v>19</v>
      </c>
    </row>
    <row r="389" ht="16.5" spans="1:6">
      <c r="A389" s="119">
        <v>383</v>
      </c>
      <c r="B389" s="177">
        <f>VLOOKUP(ROUNDUP(A389/8,0),Sheet2!A:B,2,FALSE())</f>
        <v>112030</v>
      </c>
      <c r="C389" s="178">
        <f t="shared" si="5"/>
        <v>7</v>
      </c>
      <c r="D389" s="179">
        <f>VLOOKUP(C389,Sheet2!$BK$11:$BN$19,VLOOKUP(B389,Sheet2!B:BC,21,FALSE)+1,FALSE)</f>
        <v>1.4</v>
      </c>
      <c r="E389" s="119">
        <v>0</v>
      </c>
      <c r="F389" s="13" t="s">
        <v>19</v>
      </c>
    </row>
    <row r="390" ht="16.5" spans="1:6">
      <c r="A390" s="119">
        <v>384</v>
      </c>
      <c r="B390" s="177">
        <f>VLOOKUP(ROUNDUP(A390/8,0),Sheet2!A:B,2,FALSE())</f>
        <v>112030</v>
      </c>
      <c r="C390" s="178">
        <f t="shared" si="5"/>
        <v>8</v>
      </c>
      <c r="D390" s="179">
        <f>VLOOKUP(C390,Sheet2!$BK$11:$BN$19,VLOOKUP(B390,Sheet2!B:BC,21,FALSE)+1,FALSE)</f>
        <v>1.6</v>
      </c>
      <c r="E390" s="119">
        <v>0</v>
      </c>
      <c r="F390" s="13" t="s">
        <v>19</v>
      </c>
    </row>
    <row r="391" ht="16.5" spans="1:6">
      <c r="A391" s="119">
        <v>385</v>
      </c>
      <c r="B391" s="177">
        <f>VLOOKUP(ROUNDUP(A391/8,0),Sheet2!A:B,2,FALSE())</f>
        <v>113001</v>
      </c>
      <c r="C391" s="178">
        <f t="shared" si="5"/>
        <v>1</v>
      </c>
      <c r="D391" s="179">
        <f>VLOOKUP(C391,Sheet2!$BK$11:$BN$19,VLOOKUP(B391,Sheet2!B:BC,21,FALSE)+1,FALSE)</f>
        <v>1.2</v>
      </c>
      <c r="E391" s="119">
        <v>0</v>
      </c>
      <c r="F391" s="13" t="s">
        <v>20</v>
      </c>
    </row>
    <row r="392" ht="16.5" spans="1:6">
      <c r="A392" s="119">
        <v>386</v>
      </c>
      <c r="B392" s="177">
        <f>VLOOKUP(ROUNDUP(A392/8,0),Sheet2!A:B,2,FALSE())</f>
        <v>113001</v>
      </c>
      <c r="C392" s="178">
        <f t="shared" si="5"/>
        <v>2</v>
      </c>
      <c r="D392" s="179">
        <f>VLOOKUP(C392,Sheet2!$BK$11:$BN$19,VLOOKUP(B392,Sheet2!B:BC,21,FALSE)+1,FALSE)</f>
        <v>1.2</v>
      </c>
      <c r="E392" s="119">
        <v>0</v>
      </c>
      <c r="F392" s="13" t="s">
        <v>20</v>
      </c>
    </row>
    <row r="393" ht="16.5" spans="1:6">
      <c r="A393" s="119">
        <v>387</v>
      </c>
      <c r="B393" s="177">
        <f>VLOOKUP(ROUNDUP(A393/8,0),Sheet2!A:B,2,FALSE())</f>
        <v>113001</v>
      </c>
      <c r="C393" s="178">
        <f t="shared" si="5"/>
        <v>3</v>
      </c>
      <c r="D393" s="179">
        <f>VLOOKUP(C393,Sheet2!$BK$11:$BN$19,VLOOKUP(B393,Sheet2!B:BC,21,FALSE)+1,FALSE)</f>
        <v>1.2</v>
      </c>
      <c r="E393" s="119">
        <v>0</v>
      </c>
      <c r="F393" s="13" t="s">
        <v>20</v>
      </c>
    </row>
    <row r="394" ht="16.5" spans="1:6">
      <c r="A394" s="119">
        <v>388</v>
      </c>
      <c r="B394" s="177">
        <f>VLOOKUP(ROUNDUP(A394/8,0),Sheet2!A:B,2,FALSE())</f>
        <v>113001</v>
      </c>
      <c r="C394" s="178">
        <f t="shared" si="5"/>
        <v>4</v>
      </c>
      <c r="D394" s="179">
        <f>VLOOKUP(C394,Sheet2!$BK$11:$BN$19,VLOOKUP(B394,Sheet2!B:BC,21,FALSE)+1,FALSE)</f>
        <v>1.5</v>
      </c>
      <c r="E394" s="119">
        <v>0</v>
      </c>
      <c r="F394" s="13" t="s">
        <v>20</v>
      </c>
    </row>
    <row r="395" ht="16.5" spans="1:6">
      <c r="A395" s="119">
        <v>389</v>
      </c>
      <c r="B395" s="177">
        <f>VLOOKUP(ROUNDUP(A395/8,0),Sheet2!A:B,2,FALSE())</f>
        <v>113001</v>
      </c>
      <c r="C395" s="178">
        <f t="shared" si="5"/>
        <v>5</v>
      </c>
      <c r="D395" s="179">
        <f>VLOOKUP(C395,Sheet2!$BK$11:$BN$19,VLOOKUP(B395,Sheet2!B:BC,21,FALSE)+1,FALSE)</f>
        <v>1.5</v>
      </c>
      <c r="E395" s="119">
        <v>0</v>
      </c>
      <c r="F395" s="13" t="s">
        <v>20</v>
      </c>
    </row>
    <row r="396" ht="16.5" spans="1:6">
      <c r="A396" s="119">
        <v>390</v>
      </c>
      <c r="B396" s="177">
        <f>VLOOKUP(ROUNDUP(A396/8,0),Sheet2!A:B,2,FALSE())</f>
        <v>113001</v>
      </c>
      <c r="C396" s="178">
        <f t="shared" si="5"/>
        <v>6</v>
      </c>
      <c r="D396" s="179">
        <f>VLOOKUP(C396,Sheet2!$BK$11:$BN$19,VLOOKUP(B396,Sheet2!B:BC,21,FALSE)+1,FALSE)</f>
        <v>1.7</v>
      </c>
      <c r="E396" s="119">
        <v>0</v>
      </c>
      <c r="F396" s="13" t="s">
        <v>20</v>
      </c>
    </row>
    <row r="397" ht="16.5" spans="1:6">
      <c r="A397" s="119">
        <v>391</v>
      </c>
      <c r="B397" s="177">
        <f>VLOOKUP(ROUNDUP(A397/8,0),Sheet2!A:B,2,FALSE())</f>
        <v>113001</v>
      </c>
      <c r="C397" s="178">
        <f t="shared" si="5"/>
        <v>7</v>
      </c>
      <c r="D397" s="179">
        <f>VLOOKUP(C397,Sheet2!$BK$11:$BN$19,VLOOKUP(B397,Sheet2!B:BC,21,FALSE)+1,FALSE)</f>
        <v>1.7</v>
      </c>
      <c r="E397" s="119">
        <v>0</v>
      </c>
      <c r="F397" s="13" t="s">
        <v>20</v>
      </c>
    </row>
    <row r="398" ht="16.5" spans="1:6">
      <c r="A398" s="119">
        <v>392</v>
      </c>
      <c r="B398" s="177">
        <f>VLOOKUP(ROUNDUP(A398/8,0),Sheet2!A:B,2,FALSE())</f>
        <v>113001</v>
      </c>
      <c r="C398" s="178">
        <f t="shared" si="5"/>
        <v>8</v>
      </c>
      <c r="D398" s="179">
        <f>VLOOKUP(C398,Sheet2!$BK$11:$BN$19,VLOOKUP(B398,Sheet2!B:BC,21,FALSE)+1,FALSE)</f>
        <v>2</v>
      </c>
      <c r="E398" s="119">
        <v>0</v>
      </c>
      <c r="F398" s="13" t="s">
        <v>20</v>
      </c>
    </row>
    <row r="399" ht="16.5" spans="1:6">
      <c r="A399" s="119">
        <v>393</v>
      </c>
      <c r="B399" s="177">
        <f>VLOOKUP(ROUNDUP(A399/8,0),Sheet2!A:B,2,FALSE())</f>
        <v>113002</v>
      </c>
      <c r="C399" s="178">
        <f t="shared" si="5"/>
        <v>1</v>
      </c>
      <c r="D399" s="179">
        <f>VLOOKUP(C399,Sheet2!$BK$11:$BN$19,VLOOKUP(B399,Sheet2!B:BC,21,FALSE)+1,FALSE)</f>
        <v>1.2</v>
      </c>
      <c r="E399" s="119">
        <v>0</v>
      </c>
      <c r="F399" s="13" t="s">
        <v>20</v>
      </c>
    </row>
    <row r="400" ht="16.5" spans="1:6">
      <c r="A400" s="119">
        <v>394</v>
      </c>
      <c r="B400" s="177">
        <f>VLOOKUP(ROUNDUP(A400/8,0),Sheet2!A:B,2,FALSE())</f>
        <v>113002</v>
      </c>
      <c r="C400" s="178">
        <f t="shared" ref="C400:C463" si="6">C392</f>
        <v>2</v>
      </c>
      <c r="D400" s="179">
        <f>VLOOKUP(C400,Sheet2!$BK$11:$BN$19,VLOOKUP(B400,Sheet2!B:BC,21,FALSE)+1,FALSE)</f>
        <v>1.2</v>
      </c>
      <c r="E400" s="119">
        <v>0</v>
      </c>
      <c r="F400" s="13" t="s">
        <v>20</v>
      </c>
    </row>
    <row r="401" ht="16.5" spans="1:6">
      <c r="A401" s="119">
        <v>395</v>
      </c>
      <c r="B401" s="177">
        <f>VLOOKUP(ROUNDUP(A401/8,0),Sheet2!A:B,2,FALSE())</f>
        <v>113002</v>
      </c>
      <c r="C401" s="178">
        <f t="shared" si="6"/>
        <v>3</v>
      </c>
      <c r="D401" s="179">
        <f>VLOOKUP(C401,Sheet2!$BK$11:$BN$19,VLOOKUP(B401,Sheet2!B:BC,21,FALSE)+1,FALSE)</f>
        <v>1.2</v>
      </c>
      <c r="E401" s="119">
        <v>0</v>
      </c>
      <c r="F401" s="13" t="s">
        <v>20</v>
      </c>
    </row>
    <row r="402" ht="16.5" spans="1:6">
      <c r="A402" s="119">
        <v>396</v>
      </c>
      <c r="B402" s="177">
        <f>VLOOKUP(ROUNDUP(A402/8,0),Sheet2!A:B,2,FALSE())</f>
        <v>113002</v>
      </c>
      <c r="C402" s="178">
        <f t="shared" si="6"/>
        <v>4</v>
      </c>
      <c r="D402" s="179">
        <f>VLOOKUP(C402,Sheet2!$BK$11:$BN$19,VLOOKUP(B402,Sheet2!B:BC,21,FALSE)+1,FALSE)</f>
        <v>1.5</v>
      </c>
      <c r="E402" s="119">
        <v>0</v>
      </c>
      <c r="F402" s="13" t="s">
        <v>20</v>
      </c>
    </row>
    <row r="403" ht="16.5" spans="1:6">
      <c r="A403" s="119">
        <v>397</v>
      </c>
      <c r="B403" s="177">
        <f>VLOOKUP(ROUNDUP(A403/8,0),Sheet2!A:B,2,FALSE())</f>
        <v>113002</v>
      </c>
      <c r="C403" s="178">
        <f t="shared" si="6"/>
        <v>5</v>
      </c>
      <c r="D403" s="179">
        <f>VLOOKUP(C403,Sheet2!$BK$11:$BN$19,VLOOKUP(B403,Sheet2!B:BC,21,FALSE)+1,FALSE)</f>
        <v>1.5</v>
      </c>
      <c r="E403" s="119">
        <v>0</v>
      </c>
      <c r="F403" s="13" t="s">
        <v>20</v>
      </c>
    </row>
    <row r="404" ht="16.5" spans="1:6">
      <c r="A404" s="119">
        <v>398</v>
      </c>
      <c r="B404" s="177">
        <f>VLOOKUP(ROUNDUP(A404/8,0),Sheet2!A:B,2,FALSE())</f>
        <v>113002</v>
      </c>
      <c r="C404" s="178">
        <f t="shared" si="6"/>
        <v>6</v>
      </c>
      <c r="D404" s="179">
        <f>VLOOKUP(C404,Sheet2!$BK$11:$BN$19,VLOOKUP(B404,Sheet2!B:BC,21,FALSE)+1,FALSE)</f>
        <v>1.7</v>
      </c>
      <c r="E404" s="119">
        <v>0</v>
      </c>
      <c r="F404" s="13" t="s">
        <v>20</v>
      </c>
    </row>
    <row r="405" ht="16.5" spans="1:6">
      <c r="A405" s="119">
        <v>399</v>
      </c>
      <c r="B405" s="177">
        <f>VLOOKUP(ROUNDUP(A405/8,0),Sheet2!A:B,2,FALSE())</f>
        <v>113002</v>
      </c>
      <c r="C405" s="178">
        <f t="shared" si="6"/>
        <v>7</v>
      </c>
      <c r="D405" s="179">
        <f>VLOOKUP(C405,Sheet2!$BK$11:$BN$19,VLOOKUP(B405,Sheet2!B:BC,21,FALSE)+1,FALSE)</f>
        <v>1.7</v>
      </c>
      <c r="E405" s="119">
        <v>0</v>
      </c>
      <c r="F405" s="13" t="s">
        <v>20</v>
      </c>
    </row>
    <row r="406" ht="16.5" spans="1:6">
      <c r="A406" s="119">
        <v>400</v>
      </c>
      <c r="B406" s="177">
        <f>VLOOKUP(ROUNDUP(A406/8,0),Sheet2!A:B,2,FALSE())</f>
        <v>113002</v>
      </c>
      <c r="C406" s="178">
        <f t="shared" si="6"/>
        <v>8</v>
      </c>
      <c r="D406" s="179">
        <f>VLOOKUP(C406,Sheet2!$BK$11:$BN$19,VLOOKUP(B406,Sheet2!B:BC,21,FALSE)+1,FALSE)</f>
        <v>2</v>
      </c>
      <c r="E406" s="119">
        <v>0</v>
      </c>
      <c r="F406" s="13" t="s">
        <v>20</v>
      </c>
    </row>
    <row r="407" ht="16.5" spans="1:6">
      <c r="A407" s="119">
        <v>401</v>
      </c>
      <c r="B407" s="177">
        <f>VLOOKUP(ROUNDUP(A407/8,0),Sheet2!A:B,2,FALSE())</f>
        <v>113003</v>
      </c>
      <c r="C407" s="178">
        <f t="shared" si="6"/>
        <v>1</v>
      </c>
      <c r="D407" s="179">
        <f>VLOOKUP(C407,Sheet2!$BK$11:$BN$19,VLOOKUP(B407,Sheet2!B:BC,21,FALSE)+1,FALSE)</f>
        <v>1.2</v>
      </c>
      <c r="E407" s="119">
        <v>0</v>
      </c>
      <c r="F407" s="13" t="s">
        <v>20</v>
      </c>
    </row>
    <row r="408" ht="16.5" spans="1:6">
      <c r="A408" s="119">
        <v>402</v>
      </c>
      <c r="B408" s="177">
        <f>VLOOKUP(ROUNDUP(A408/8,0),Sheet2!A:B,2,FALSE())</f>
        <v>113003</v>
      </c>
      <c r="C408" s="178">
        <f t="shared" si="6"/>
        <v>2</v>
      </c>
      <c r="D408" s="179">
        <f>VLOOKUP(C408,Sheet2!$BK$11:$BN$19,VLOOKUP(B408,Sheet2!B:BC,21,FALSE)+1,FALSE)</f>
        <v>1.2</v>
      </c>
      <c r="E408" s="119">
        <v>0</v>
      </c>
      <c r="F408" s="13" t="s">
        <v>20</v>
      </c>
    </row>
    <row r="409" ht="16.5" spans="1:6">
      <c r="A409" s="119">
        <v>403</v>
      </c>
      <c r="B409" s="177">
        <f>VLOOKUP(ROUNDUP(A409/8,0),Sheet2!A:B,2,FALSE())</f>
        <v>113003</v>
      </c>
      <c r="C409" s="178">
        <f t="shared" si="6"/>
        <v>3</v>
      </c>
      <c r="D409" s="179">
        <f>VLOOKUP(C409,Sheet2!$BK$11:$BN$19,VLOOKUP(B409,Sheet2!B:BC,21,FALSE)+1,FALSE)</f>
        <v>1.2</v>
      </c>
      <c r="E409" s="119">
        <v>0</v>
      </c>
      <c r="F409" s="13" t="s">
        <v>20</v>
      </c>
    </row>
    <row r="410" ht="16.5" spans="1:6">
      <c r="A410" s="119">
        <v>404</v>
      </c>
      <c r="B410" s="177">
        <f>VLOOKUP(ROUNDUP(A410/8,0),Sheet2!A:B,2,FALSE())</f>
        <v>113003</v>
      </c>
      <c r="C410" s="178">
        <f t="shared" si="6"/>
        <v>4</v>
      </c>
      <c r="D410" s="179">
        <f>VLOOKUP(C410,Sheet2!$BK$11:$BN$19,VLOOKUP(B410,Sheet2!B:BC,21,FALSE)+1,FALSE)</f>
        <v>1.5</v>
      </c>
      <c r="E410" s="119">
        <v>0</v>
      </c>
      <c r="F410" s="13" t="s">
        <v>20</v>
      </c>
    </row>
    <row r="411" ht="16.5" spans="1:6">
      <c r="A411" s="119">
        <v>405</v>
      </c>
      <c r="B411" s="177">
        <f>VLOOKUP(ROUNDUP(A411/8,0),Sheet2!A:B,2,FALSE())</f>
        <v>113003</v>
      </c>
      <c r="C411" s="178">
        <f t="shared" si="6"/>
        <v>5</v>
      </c>
      <c r="D411" s="179">
        <f>VLOOKUP(C411,Sheet2!$BK$11:$BN$19,VLOOKUP(B411,Sheet2!B:BC,21,FALSE)+1,FALSE)</f>
        <v>1.5</v>
      </c>
      <c r="E411" s="119">
        <v>0</v>
      </c>
      <c r="F411" s="13" t="s">
        <v>20</v>
      </c>
    </row>
    <row r="412" ht="16.5" spans="1:6">
      <c r="A412" s="119">
        <v>406</v>
      </c>
      <c r="B412" s="177">
        <f>VLOOKUP(ROUNDUP(A412/8,0),Sheet2!A:B,2,FALSE())</f>
        <v>113003</v>
      </c>
      <c r="C412" s="178">
        <f t="shared" si="6"/>
        <v>6</v>
      </c>
      <c r="D412" s="179">
        <f>VLOOKUP(C412,Sheet2!$BK$11:$BN$19,VLOOKUP(B412,Sheet2!B:BC,21,FALSE)+1,FALSE)</f>
        <v>1.7</v>
      </c>
      <c r="E412" s="119">
        <v>0</v>
      </c>
      <c r="F412" s="13" t="s">
        <v>20</v>
      </c>
    </row>
    <row r="413" ht="16.5" spans="1:6">
      <c r="A413" s="119">
        <v>407</v>
      </c>
      <c r="B413" s="177">
        <f>VLOOKUP(ROUNDUP(A413/8,0),Sheet2!A:B,2,FALSE())</f>
        <v>113003</v>
      </c>
      <c r="C413" s="178">
        <f t="shared" si="6"/>
        <v>7</v>
      </c>
      <c r="D413" s="179">
        <f>VLOOKUP(C413,Sheet2!$BK$11:$BN$19,VLOOKUP(B413,Sheet2!B:BC,21,FALSE)+1,FALSE)</f>
        <v>1.7</v>
      </c>
      <c r="E413" s="119">
        <v>0</v>
      </c>
      <c r="F413" s="13" t="s">
        <v>20</v>
      </c>
    </row>
    <row r="414" ht="16.5" spans="1:6">
      <c r="A414" s="119">
        <v>408</v>
      </c>
      <c r="B414" s="177">
        <f>VLOOKUP(ROUNDUP(A414/8,0),Sheet2!A:B,2,FALSE())</f>
        <v>113003</v>
      </c>
      <c r="C414" s="178">
        <f t="shared" si="6"/>
        <v>8</v>
      </c>
      <c r="D414" s="179">
        <f>VLOOKUP(C414,Sheet2!$BK$11:$BN$19,VLOOKUP(B414,Sheet2!B:BC,21,FALSE)+1,FALSE)</f>
        <v>2</v>
      </c>
      <c r="E414" s="119">
        <v>0</v>
      </c>
      <c r="F414" s="13" t="s">
        <v>20</v>
      </c>
    </row>
    <row r="415" ht="16.5" spans="1:6">
      <c r="A415" s="119">
        <v>409</v>
      </c>
      <c r="B415" s="177">
        <f>VLOOKUP(ROUNDUP(A415/8,0),Sheet2!A:B,2,FALSE())</f>
        <v>113004</v>
      </c>
      <c r="C415" s="178">
        <f t="shared" si="6"/>
        <v>1</v>
      </c>
      <c r="D415" s="179">
        <f>VLOOKUP(C415,Sheet2!$BK$11:$BN$19,VLOOKUP(B415,Sheet2!B:BC,21,FALSE)+1,FALSE)</f>
        <v>1.2</v>
      </c>
      <c r="E415" s="119">
        <v>0</v>
      </c>
      <c r="F415" s="13" t="s">
        <v>17</v>
      </c>
    </row>
    <row r="416" ht="16.5" spans="1:6">
      <c r="A416" s="119">
        <v>410</v>
      </c>
      <c r="B416" s="177">
        <f>VLOOKUP(ROUNDUP(A416/8,0),Sheet2!A:B,2,FALSE())</f>
        <v>113004</v>
      </c>
      <c r="C416" s="178">
        <f t="shared" si="6"/>
        <v>2</v>
      </c>
      <c r="D416" s="179">
        <f>VLOOKUP(C416,Sheet2!$BK$11:$BN$19,VLOOKUP(B416,Sheet2!B:BC,21,FALSE)+1,FALSE)</f>
        <v>1.2</v>
      </c>
      <c r="E416" s="119">
        <v>0</v>
      </c>
      <c r="F416" s="13" t="s">
        <v>17</v>
      </c>
    </row>
    <row r="417" ht="16.5" spans="1:6">
      <c r="A417" s="119">
        <v>411</v>
      </c>
      <c r="B417" s="177">
        <f>VLOOKUP(ROUNDUP(A417/8,0),Sheet2!A:B,2,FALSE())</f>
        <v>113004</v>
      </c>
      <c r="C417" s="178">
        <f t="shared" si="6"/>
        <v>3</v>
      </c>
      <c r="D417" s="179">
        <f>VLOOKUP(C417,Sheet2!$BK$11:$BN$19,VLOOKUP(B417,Sheet2!B:BC,21,FALSE)+1,FALSE)</f>
        <v>1.2</v>
      </c>
      <c r="E417" s="119">
        <v>0</v>
      </c>
      <c r="F417" s="13" t="s">
        <v>17</v>
      </c>
    </row>
    <row r="418" ht="16.5" spans="1:6">
      <c r="A418" s="119">
        <v>412</v>
      </c>
      <c r="B418" s="177">
        <f>VLOOKUP(ROUNDUP(A418/8,0),Sheet2!A:B,2,FALSE())</f>
        <v>113004</v>
      </c>
      <c r="C418" s="178">
        <f t="shared" si="6"/>
        <v>4</v>
      </c>
      <c r="D418" s="179">
        <f>VLOOKUP(C418,Sheet2!$BK$11:$BN$19,VLOOKUP(B418,Sheet2!B:BC,21,FALSE)+1,FALSE)</f>
        <v>1.5</v>
      </c>
      <c r="E418" s="119">
        <v>0</v>
      </c>
      <c r="F418" s="13" t="s">
        <v>17</v>
      </c>
    </row>
    <row r="419" ht="16.5" spans="1:6">
      <c r="A419" s="119">
        <v>413</v>
      </c>
      <c r="B419" s="177">
        <f>VLOOKUP(ROUNDUP(A419/8,0),Sheet2!A:B,2,FALSE())</f>
        <v>113004</v>
      </c>
      <c r="C419" s="178">
        <f t="shared" si="6"/>
        <v>5</v>
      </c>
      <c r="D419" s="179">
        <f>VLOOKUP(C419,Sheet2!$BK$11:$BN$19,VLOOKUP(B419,Sheet2!B:BC,21,FALSE)+1,FALSE)</f>
        <v>1.5</v>
      </c>
      <c r="E419" s="119">
        <v>0</v>
      </c>
      <c r="F419" s="13" t="s">
        <v>17</v>
      </c>
    </row>
    <row r="420" ht="16.5" spans="1:6">
      <c r="A420" s="119">
        <v>414</v>
      </c>
      <c r="B420" s="177">
        <f>VLOOKUP(ROUNDUP(A420/8,0),Sheet2!A:B,2,FALSE())</f>
        <v>113004</v>
      </c>
      <c r="C420" s="178">
        <f t="shared" si="6"/>
        <v>6</v>
      </c>
      <c r="D420" s="179">
        <f>VLOOKUP(C420,Sheet2!$BK$11:$BN$19,VLOOKUP(B420,Sheet2!B:BC,21,FALSE)+1,FALSE)</f>
        <v>1.7</v>
      </c>
      <c r="E420" s="119">
        <v>0</v>
      </c>
      <c r="F420" s="13" t="s">
        <v>17</v>
      </c>
    </row>
    <row r="421" ht="16.5" spans="1:6">
      <c r="A421" s="119">
        <v>415</v>
      </c>
      <c r="B421" s="177">
        <f>VLOOKUP(ROUNDUP(A421/8,0),Sheet2!A:B,2,FALSE())</f>
        <v>113004</v>
      </c>
      <c r="C421" s="178">
        <f t="shared" si="6"/>
        <v>7</v>
      </c>
      <c r="D421" s="179">
        <f>VLOOKUP(C421,Sheet2!$BK$11:$BN$19,VLOOKUP(B421,Sheet2!B:BC,21,FALSE)+1,FALSE)</f>
        <v>1.7</v>
      </c>
      <c r="E421" s="119">
        <v>0</v>
      </c>
      <c r="F421" s="13" t="s">
        <v>17</v>
      </c>
    </row>
    <row r="422" ht="16.5" spans="1:6">
      <c r="A422" s="119">
        <v>416</v>
      </c>
      <c r="B422" s="177">
        <f>VLOOKUP(ROUNDUP(A422/8,0),Sheet2!A:B,2,FALSE())</f>
        <v>113004</v>
      </c>
      <c r="C422" s="178">
        <f t="shared" si="6"/>
        <v>8</v>
      </c>
      <c r="D422" s="179">
        <f>VLOOKUP(C422,Sheet2!$BK$11:$BN$19,VLOOKUP(B422,Sheet2!B:BC,21,FALSE)+1,FALSE)</f>
        <v>2</v>
      </c>
      <c r="E422" s="119">
        <v>0</v>
      </c>
      <c r="F422" s="13" t="s">
        <v>17</v>
      </c>
    </row>
    <row r="423" ht="16.5" spans="1:6">
      <c r="A423" s="119">
        <v>417</v>
      </c>
      <c r="B423" s="177">
        <f>VLOOKUP(ROUNDUP(A423/8,0),Sheet2!A:B,2,FALSE())</f>
        <v>113005</v>
      </c>
      <c r="C423" s="178">
        <f t="shared" si="6"/>
        <v>1</v>
      </c>
      <c r="D423" s="179">
        <f>VLOOKUP(C423,Sheet2!$BK$11:$BN$19,VLOOKUP(B423,Sheet2!B:BC,21,FALSE)+1,FALSE)</f>
        <v>1.2</v>
      </c>
      <c r="E423" s="119">
        <v>0</v>
      </c>
      <c r="F423" s="13" t="s">
        <v>20</v>
      </c>
    </row>
    <row r="424" ht="16.5" spans="1:6">
      <c r="A424" s="119">
        <v>418</v>
      </c>
      <c r="B424" s="177">
        <f>VLOOKUP(ROUNDUP(A424/8,0),Sheet2!A:B,2,FALSE())</f>
        <v>113005</v>
      </c>
      <c r="C424" s="178">
        <f t="shared" si="6"/>
        <v>2</v>
      </c>
      <c r="D424" s="179">
        <f>VLOOKUP(C424,Sheet2!$BK$11:$BN$19,VLOOKUP(B424,Sheet2!B:BC,21,FALSE)+1,FALSE)</f>
        <v>1.2</v>
      </c>
      <c r="E424" s="119">
        <v>0</v>
      </c>
      <c r="F424" s="13" t="s">
        <v>20</v>
      </c>
    </row>
    <row r="425" ht="16.5" spans="1:6">
      <c r="A425" s="119">
        <v>419</v>
      </c>
      <c r="B425" s="177">
        <f>VLOOKUP(ROUNDUP(A425/8,0),Sheet2!A:B,2,FALSE())</f>
        <v>113005</v>
      </c>
      <c r="C425" s="178">
        <f t="shared" si="6"/>
        <v>3</v>
      </c>
      <c r="D425" s="179">
        <f>VLOOKUP(C425,Sheet2!$BK$11:$BN$19,VLOOKUP(B425,Sheet2!B:BC,21,FALSE)+1,FALSE)</f>
        <v>1.2</v>
      </c>
      <c r="E425" s="119">
        <v>0</v>
      </c>
      <c r="F425" s="13" t="s">
        <v>20</v>
      </c>
    </row>
    <row r="426" ht="16.5" spans="1:6">
      <c r="A426" s="119">
        <v>420</v>
      </c>
      <c r="B426" s="177">
        <f>VLOOKUP(ROUNDUP(A426/8,0),Sheet2!A:B,2,FALSE())</f>
        <v>113005</v>
      </c>
      <c r="C426" s="178">
        <f t="shared" si="6"/>
        <v>4</v>
      </c>
      <c r="D426" s="179">
        <f>VLOOKUP(C426,Sheet2!$BK$11:$BN$19,VLOOKUP(B426,Sheet2!B:BC,21,FALSE)+1,FALSE)</f>
        <v>1.5</v>
      </c>
      <c r="E426" s="119">
        <v>0</v>
      </c>
      <c r="F426" s="13" t="s">
        <v>20</v>
      </c>
    </row>
    <row r="427" ht="16.5" spans="1:6">
      <c r="A427" s="119">
        <v>421</v>
      </c>
      <c r="B427" s="177">
        <f>VLOOKUP(ROUNDUP(A427/8,0),Sheet2!A:B,2,FALSE())</f>
        <v>113005</v>
      </c>
      <c r="C427" s="178">
        <f t="shared" si="6"/>
        <v>5</v>
      </c>
      <c r="D427" s="179">
        <f>VLOOKUP(C427,Sheet2!$BK$11:$BN$19,VLOOKUP(B427,Sheet2!B:BC,21,FALSE)+1,FALSE)</f>
        <v>1.5</v>
      </c>
      <c r="E427" s="119">
        <v>0</v>
      </c>
      <c r="F427" s="13" t="s">
        <v>20</v>
      </c>
    </row>
    <row r="428" ht="16.5" spans="1:6">
      <c r="A428" s="119">
        <v>422</v>
      </c>
      <c r="B428" s="177">
        <f>VLOOKUP(ROUNDUP(A428/8,0),Sheet2!A:B,2,FALSE())</f>
        <v>113005</v>
      </c>
      <c r="C428" s="178">
        <f t="shared" si="6"/>
        <v>6</v>
      </c>
      <c r="D428" s="179">
        <f>VLOOKUP(C428,Sheet2!$BK$11:$BN$19,VLOOKUP(B428,Sheet2!B:BC,21,FALSE)+1,FALSE)</f>
        <v>1.7</v>
      </c>
      <c r="E428" s="119">
        <v>0</v>
      </c>
      <c r="F428" s="13" t="s">
        <v>20</v>
      </c>
    </row>
    <row r="429" ht="16.5" spans="1:6">
      <c r="A429" s="119">
        <v>423</v>
      </c>
      <c r="B429" s="177">
        <f>VLOOKUP(ROUNDUP(A429/8,0),Sheet2!A:B,2,FALSE())</f>
        <v>113005</v>
      </c>
      <c r="C429" s="178">
        <f t="shared" si="6"/>
        <v>7</v>
      </c>
      <c r="D429" s="179">
        <f>VLOOKUP(C429,Sheet2!$BK$11:$BN$19,VLOOKUP(B429,Sheet2!B:BC,21,FALSE)+1,FALSE)</f>
        <v>1.7</v>
      </c>
      <c r="E429" s="119">
        <v>0</v>
      </c>
      <c r="F429" s="13" t="s">
        <v>20</v>
      </c>
    </row>
    <row r="430" ht="16.5" spans="1:6">
      <c r="A430" s="119">
        <v>424</v>
      </c>
      <c r="B430" s="177">
        <f>VLOOKUP(ROUNDUP(A430/8,0),Sheet2!A:B,2,FALSE())</f>
        <v>113005</v>
      </c>
      <c r="C430" s="178">
        <f t="shared" si="6"/>
        <v>8</v>
      </c>
      <c r="D430" s="179">
        <f>VLOOKUP(C430,Sheet2!$BK$11:$BN$19,VLOOKUP(B430,Sheet2!B:BC,21,FALSE)+1,FALSE)</f>
        <v>2</v>
      </c>
      <c r="E430" s="119">
        <v>0</v>
      </c>
      <c r="F430" s="13" t="s">
        <v>20</v>
      </c>
    </row>
    <row r="431" ht="16.5" spans="1:6">
      <c r="A431" s="119">
        <v>425</v>
      </c>
      <c r="B431" s="177">
        <f>VLOOKUP(ROUNDUP(A431/8,0),Sheet2!A:B,2,FALSE())</f>
        <v>113006</v>
      </c>
      <c r="C431" s="178">
        <f t="shared" si="6"/>
        <v>1</v>
      </c>
      <c r="D431" s="179">
        <f>VLOOKUP(C431,Sheet2!$BK$11:$BN$19,VLOOKUP(B431,Sheet2!B:BC,21,FALSE)+1,FALSE)</f>
        <v>1.2</v>
      </c>
      <c r="E431" s="119">
        <v>0</v>
      </c>
      <c r="F431" s="13" t="s">
        <v>17</v>
      </c>
    </row>
    <row r="432" ht="16.5" spans="1:6">
      <c r="A432" s="119">
        <v>426</v>
      </c>
      <c r="B432" s="177">
        <f>VLOOKUP(ROUNDUP(A432/8,0),Sheet2!A:B,2,FALSE())</f>
        <v>113006</v>
      </c>
      <c r="C432" s="178">
        <f t="shared" si="6"/>
        <v>2</v>
      </c>
      <c r="D432" s="179">
        <f>VLOOKUP(C432,Sheet2!$BK$11:$BN$19,VLOOKUP(B432,Sheet2!B:BC,21,FALSE)+1,FALSE)</f>
        <v>1.2</v>
      </c>
      <c r="E432" s="119">
        <v>0</v>
      </c>
      <c r="F432" s="13" t="s">
        <v>17</v>
      </c>
    </row>
    <row r="433" ht="16.5" spans="1:6">
      <c r="A433" s="119">
        <v>427</v>
      </c>
      <c r="B433" s="177">
        <f>VLOOKUP(ROUNDUP(A433/8,0),Sheet2!A:B,2,FALSE())</f>
        <v>113006</v>
      </c>
      <c r="C433" s="178">
        <f t="shared" si="6"/>
        <v>3</v>
      </c>
      <c r="D433" s="179">
        <f>VLOOKUP(C433,Sheet2!$BK$11:$BN$19,VLOOKUP(B433,Sheet2!B:BC,21,FALSE)+1,FALSE)</f>
        <v>1.2</v>
      </c>
      <c r="E433" s="119">
        <v>0</v>
      </c>
      <c r="F433" s="13" t="s">
        <v>17</v>
      </c>
    </row>
    <row r="434" ht="16.5" spans="1:6">
      <c r="A434" s="119">
        <v>428</v>
      </c>
      <c r="B434" s="177">
        <f>VLOOKUP(ROUNDUP(A434/8,0),Sheet2!A:B,2,FALSE())</f>
        <v>113006</v>
      </c>
      <c r="C434" s="178">
        <f t="shared" si="6"/>
        <v>4</v>
      </c>
      <c r="D434" s="179">
        <f>VLOOKUP(C434,Sheet2!$BK$11:$BN$19,VLOOKUP(B434,Sheet2!B:BC,21,FALSE)+1,FALSE)</f>
        <v>1.5</v>
      </c>
      <c r="E434" s="119">
        <v>0</v>
      </c>
      <c r="F434" s="13" t="s">
        <v>17</v>
      </c>
    </row>
    <row r="435" ht="16.5" spans="1:6">
      <c r="A435" s="119">
        <v>429</v>
      </c>
      <c r="B435" s="177">
        <f>VLOOKUP(ROUNDUP(A435/8,0),Sheet2!A:B,2,FALSE())</f>
        <v>113006</v>
      </c>
      <c r="C435" s="178">
        <f t="shared" si="6"/>
        <v>5</v>
      </c>
      <c r="D435" s="179">
        <f>VLOOKUP(C435,Sheet2!$BK$11:$BN$19,VLOOKUP(B435,Sheet2!B:BC,21,FALSE)+1,FALSE)</f>
        <v>1.5</v>
      </c>
      <c r="E435" s="119">
        <v>0</v>
      </c>
      <c r="F435" s="13" t="s">
        <v>17</v>
      </c>
    </row>
    <row r="436" ht="16.5" spans="1:6">
      <c r="A436" s="119">
        <v>430</v>
      </c>
      <c r="B436" s="177">
        <f>VLOOKUP(ROUNDUP(A436/8,0),Sheet2!A:B,2,FALSE())</f>
        <v>113006</v>
      </c>
      <c r="C436" s="178">
        <f t="shared" si="6"/>
        <v>6</v>
      </c>
      <c r="D436" s="179">
        <f>VLOOKUP(C436,Sheet2!$BK$11:$BN$19,VLOOKUP(B436,Sheet2!B:BC,21,FALSE)+1,FALSE)</f>
        <v>1.7</v>
      </c>
      <c r="E436" s="119">
        <v>0</v>
      </c>
      <c r="F436" s="13" t="s">
        <v>17</v>
      </c>
    </row>
    <row r="437" ht="16.5" spans="1:6">
      <c r="A437" s="119">
        <v>431</v>
      </c>
      <c r="B437" s="177">
        <f>VLOOKUP(ROUNDUP(A437/8,0),Sheet2!A:B,2,FALSE())</f>
        <v>113006</v>
      </c>
      <c r="C437" s="178">
        <f t="shared" si="6"/>
        <v>7</v>
      </c>
      <c r="D437" s="179">
        <f>VLOOKUP(C437,Sheet2!$BK$11:$BN$19,VLOOKUP(B437,Sheet2!B:BC,21,FALSE)+1,FALSE)</f>
        <v>1.7</v>
      </c>
      <c r="E437" s="119">
        <v>0</v>
      </c>
      <c r="F437" s="13" t="s">
        <v>17</v>
      </c>
    </row>
    <row r="438" ht="16.5" spans="1:6">
      <c r="A438" s="119">
        <v>432</v>
      </c>
      <c r="B438" s="177">
        <f>VLOOKUP(ROUNDUP(A438/8,0),Sheet2!A:B,2,FALSE())</f>
        <v>113006</v>
      </c>
      <c r="C438" s="178">
        <f t="shared" si="6"/>
        <v>8</v>
      </c>
      <c r="D438" s="179">
        <f>VLOOKUP(C438,Sheet2!$BK$11:$BN$19,VLOOKUP(B438,Sheet2!B:BC,21,FALSE)+1,FALSE)</f>
        <v>2</v>
      </c>
      <c r="E438" s="119">
        <v>0</v>
      </c>
      <c r="F438" s="13" t="s">
        <v>17</v>
      </c>
    </row>
    <row r="439" ht="16.5" spans="1:6">
      <c r="A439" s="119">
        <v>433</v>
      </c>
      <c r="B439" s="177">
        <f>VLOOKUP(ROUNDUP(A439/8,0),Sheet2!A:B,2,FALSE())</f>
        <v>113007</v>
      </c>
      <c r="C439" s="178">
        <f t="shared" si="6"/>
        <v>1</v>
      </c>
      <c r="D439" s="179">
        <f>VLOOKUP(C439,Sheet2!$BK$11:$BN$19,VLOOKUP(B439,Sheet2!B:BC,21,FALSE)+1,FALSE)</f>
        <v>1.2</v>
      </c>
      <c r="E439" s="119">
        <v>0</v>
      </c>
      <c r="F439" s="13" t="s">
        <v>19</v>
      </c>
    </row>
    <row r="440" ht="16.5" spans="1:6">
      <c r="A440" s="119">
        <v>434</v>
      </c>
      <c r="B440" s="177">
        <f>VLOOKUP(ROUNDUP(A440/8,0),Sheet2!A:B,2,FALSE())</f>
        <v>113007</v>
      </c>
      <c r="C440" s="178">
        <f t="shared" si="6"/>
        <v>2</v>
      </c>
      <c r="D440" s="179">
        <f>VLOOKUP(C440,Sheet2!$BK$11:$BN$19,VLOOKUP(B440,Sheet2!B:BC,21,FALSE)+1,FALSE)</f>
        <v>1.2</v>
      </c>
      <c r="E440" s="119">
        <v>0</v>
      </c>
      <c r="F440" s="13" t="s">
        <v>19</v>
      </c>
    </row>
    <row r="441" ht="16.5" spans="1:6">
      <c r="A441" s="119">
        <v>435</v>
      </c>
      <c r="B441" s="177">
        <f>VLOOKUP(ROUNDUP(A441/8,0),Sheet2!A:B,2,FALSE())</f>
        <v>113007</v>
      </c>
      <c r="C441" s="178">
        <f t="shared" si="6"/>
        <v>3</v>
      </c>
      <c r="D441" s="179">
        <f>VLOOKUP(C441,Sheet2!$BK$11:$BN$19,VLOOKUP(B441,Sheet2!B:BC,21,FALSE)+1,FALSE)</f>
        <v>1.2</v>
      </c>
      <c r="E441" s="119">
        <v>0</v>
      </c>
      <c r="F441" s="13" t="s">
        <v>19</v>
      </c>
    </row>
    <row r="442" ht="16.5" spans="1:6">
      <c r="A442" s="119">
        <v>436</v>
      </c>
      <c r="B442" s="177">
        <f>VLOOKUP(ROUNDUP(A442/8,0),Sheet2!A:B,2,FALSE())</f>
        <v>113007</v>
      </c>
      <c r="C442" s="178">
        <f t="shared" si="6"/>
        <v>4</v>
      </c>
      <c r="D442" s="179">
        <f>VLOOKUP(C442,Sheet2!$BK$11:$BN$19,VLOOKUP(B442,Sheet2!B:BC,21,FALSE)+1,FALSE)</f>
        <v>1.5</v>
      </c>
      <c r="E442" s="119">
        <v>0</v>
      </c>
      <c r="F442" s="13" t="s">
        <v>19</v>
      </c>
    </row>
    <row r="443" ht="16.5" spans="1:6">
      <c r="A443" s="119">
        <v>437</v>
      </c>
      <c r="B443" s="177">
        <f>VLOOKUP(ROUNDUP(A443/8,0),Sheet2!A:B,2,FALSE())</f>
        <v>113007</v>
      </c>
      <c r="C443" s="178">
        <f t="shared" si="6"/>
        <v>5</v>
      </c>
      <c r="D443" s="179">
        <f>VLOOKUP(C443,Sheet2!$BK$11:$BN$19,VLOOKUP(B443,Sheet2!B:BC,21,FALSE)+1,FALSE)</f>
        <v>1.5</v>
      </c>
      <c r="E443" s="119">
        <v>0</v>
      </c>
      <c r="F443" s="13" t="s">
        <v>19</v>
      </c>
    </row>
    <row r="444" ht="16.5" spans="1:6">
      <c r="A444" s="119">
        <v>438</v>
      </c>
      <c r="B444" s="177">
        <f>VLOOKUP(ROUNDUP(A444/8,0),Sheet2!A:B,2,FALSE())</f>
        <v>113007</v>
      </c>
      <c r="C444" s="178">
        <f t="shared" si="6"/>
        <v>6</v>
      </c>
      <c r="D444" s="179">
        <f>VLOOKUP(C444,Sheet2!$BK$11:$BN$19,VLOOKUP(B444,Sheet2!B:BC,21,FALSE)+1,FALSE)</f>
        <v>1.7</v>
      </c>
      <c r="E444" s="119">
        <v>0</v>
      </c>
      <c r="F444" s="13" t="s">
        <v>19</v>
      </c>
    </row>
    <row r="445" ht="16.5" spans="1:6">
      <c r="A445" s="119">
        <v>439</v>
      </c>
      <c r="B445" s="177">
        <f>VLOOKUP(ROUNDUP(A445/8,0),Sheet2!A:B,2,FALSE())</f>
        <v>113007</v>
      </c>
      <c r="C445" s="178">
        <f t="shared" si="6"/>
        <v>7</v>
      </c>
      <c r="D445" s="179">
        <f>VLOOKUP(C445,Sheet2!$BK$11:$BN$19,VLOOKUP(B445,Sheet2!B:BC,21,FALSE)+1,FALSE)</f>
        <v>1.7</v>
      </c>
      <c r="E445" s="119">
        <v>0</v>
      </c>
      <c r="F445" s="13" t="s">
        <v>19</v>
      </c>
    </row>
    <row r="446" ht="16.5" spans="1:6">
      <c r="A446" s="119">
        <v>440</v>
      </c>
      <c r="B446" s="177">
        <f>VLOOKUP(ROUNDUP(A446/8,0),Sheet2!A:B,2,FALSE())</f>
        <v>113007</v>
      </c>
      <c r="C446" s="178">
        <f t="shared" si="6"/>
        <v>8</v>
      </c>
      <c r="D446" s="179">
        <f>VLOOKUP(C446,Sheet2!$BK$11:$BN$19,VLOOKUP(B446,Sheet2!B:BC,21,FALSE)+1,FALSE)</f>
        <v>2</v>
      </c>
      <c r="E446" s="119">
        <v>0</v>
      </c>
      <c r="F446" s="13" t="s">
        <v>19</v>
      </c>
    </row>
    <row r="447" ht="16.5" spans="1:6">
      <c r="A447" s="119">
        <v>441</v>
      </c>
      <c r="B447" s="177">
        <f>VLOOKUP(ROUNDUP(A447/8,0),Sheet2!A:B,2,FALSE())</f>
        <v>113008</v>
      </c>
      <c r="C447" s="178">
        <f t="shared" si="6"/>
        <v>1</v>
      </c>
      <c r="D447" s="179">
        <f>VLOOKUP(C447,Sheet2!$BK$11:$BN$19,VLOOKUP(B447,Sheet2!B:BC,21,FALSE)+1,FALSE)</f>
        <v>1.2</v>
      </c>
      <c r="E447" s="119">
        <v>0</v>
      </c>
      <c r="F447" s="13" t="s">
        <v>19</v>
      </c>
    </row>
    <row r="448" ht="16.5" spans="1:6">
      <c r="A448" s="119">
        <v>442</v>
      </c>
      <c r="B448" s="177">
        <f>VLOOKUP(ROUNDUP(A448/8,0),Sheet2!A:B,2,FALSE())</f>
        <v>113008</v>
      </c>
      <c r="C448" s="178">
        <f t="shared" si="6"/>
        <v>2</v>
      </c>
      <c r="D448" s="179">
        <f>VLOOKUP(C448,Sheet2!$BK$11:$BN$19,VLOOKUP(B448,Sheet2!B:BC,21,FALSE)+1,FALSE)</f>
        <v>1.2</v>
      </c>
      <c r="E448" s="119">
        <v>0</v>
      </c>
      <c r="F448" s="13" t="s">
        <v>19</v>
      </c>
    </row>
    <row r="449" ht="16.5" spans="1:6">
      <c r="A449" s="119">
        <v>443</v>
      </c>
      <c r="B449" s="177">
        <f>VLOOKUP(ROUNDUP(A449/8,0),Sheet2!A:B,2,FALSE())</f>
        <v>113008</v>
      </c>
      <c r="C449" s="178">
        <f t="shared" si="6"/>
        <v>3</v>
      </c>
      <c r="D449" s="179">
        <f>VLOOKUP(C449,Sheet2!$BK$11:$BN$19,VLOOKUP(B449,Sheet2!B:BC,21,FALSE)+1,FALSE)</f>
        <v>1.2</v>
      </c>
      <c r="E449" s="119">
        <v>0</v>
      </c>
      <c r="F449" s="13" t="s">
        <v>19</v>
      </c>
    </row>
    <row r="450" ht="16.5" spans="1:6">
      <c r="A450" s="119">
        <v>444</v>
      </c>
      <c r="B450" s="177">
        <f>VLOOKUP(ROUNDUP(A450/8,0),Sheet2!A:B,2,FALSE())</f>
        <v>113008</v>
      </c>
      <c r="C450" s="178">
        <f t="shared" si="6"/>
        <v>4</v>
      </c>
      <c r="D450" s="179">
        <f>VLOOKUP(C450,Sheet2!$BK$11:$BN$19,VLOOKUP(B450,Sheet2!B:BC,21,FALSE)+1,FALSE)</f>
        <v>1.5</v>
      </c>
      <c r="E450" s="119">
        <v>0</v>
      </c>
      <c r="F450" s="13" t="s">
        <v>19</v>
      </c>
    </row>
    <row r="451" ht="16.5" spans="1:6">
      <c r="A451" s="119">
        <v>445</v>
      </c>
      <c r="B451" s="177">
        <f>VLOOKUP(ROUNDUP(A451/8,0),Sheet2!A:B,2,FALSE())</f>
        <v>113008</v>
      </c>
      <c r="C451" s="178">
        <f t="shared" si="6"/>
        <v>5</v>
      </c>
      <c r="D451" s="179">
        <f>VLOOKUP(C451,Sheet2!$BK$11:$BN$19,VLOOKUP(B451,Sheet2!B:BC,21,FALSE)+1,FALSE)</f>
        <v>1.5</v>
      </c>
      <c r="E451" s="119">
        <v>0</v>
      </c>
      <c r="F451" s="13" t="s">
        <v>19</v>
      </c>
    </row>
    <row r="452" ht="16.5" spans="1:6">
      <c r="A452" s="119">
        <v>446</v>
      </c>
      <c r="B452" s="177">
        <f>VLOOKUP(ROUNDUP(A452/8,0),Sheet2!A:B,2,FALSE())</f>
        <v>113008</v>
      </c>
      <c r="C452" s="178">
        <f t="shared" si="6"/>
        <v>6</v>
      </c>
      <c r="D452" s="179">
        <f>VLOOKUP(C452,Sheet2!$BK$11:$BN$19,VLOOKUP(B452,Sheet2!B:BC,21,FALSE)+1,FALSE)</f>
        <v>1.7</v>
      </c>
      <c r="E452" s="119">
        <v>0</v>
      </c>
      <c r="F452" s="13" t="s">
        <v>19</v>
      </c>
    </row>
    <row r="453" ht="16.5" spans="1:6">
      <c r="A453" s="119">
        <v>447</v>
      </c>
      <c r="B453" s="177">
        <f>VLOOKUP(ROUNDUP(A453/8,0),Sheet2!A:B,2,FALSE())</f>
        <v>113008</v>
      </c>
      <c r="C453" s="178">
        <f t="shared" si="6"/>
        <v>7</v>
      </c>
      <c r="D453" s="179">
        <f>VLOOKUP(C453,Sheet2!$BK$11:$BN$19,VLOOKUP(B453,Sheet2!B:BC,21,FALSE)+1,FALSE)</f>
        <v>1.7</v>
      </c>
      <c r="E453" s="119">
        <v>0</v>
      </c>
      <c r="F453" s="13" t="s">
        <v>19</v>
      </c>
    </row>
    <row r="454" ht="16.5" spans="1:6">
      <c r="A454" s="119">
        <v>448</v>
      </c>
      <c r="B454" s="177">
        <f>VLOOKUP(ROUNDUP(A454/8,0),Sheet2!A:B,2,FALSE())</f>
        <v>113008</v>
      </c>
      <c r="C454" s="178">
        <f t="shared" si="6"/>
        <v>8</v>
      </c>
      <c r="D454" s="179">
        <f>VLOOKUP(C454,Sheet2!$BK$11:$BN$19,VLOOKUP(B454,Sheet2!B:BC,21,FALSE)+1,FALSE)</f>
        <v>2</v>
      </c>
      <c r="E454" s="119">
        <v>0</v>
      </c>
      <c r="F454" s="13" t="s">
        <v>19</v>
      </c>
    </row>
    <row r="455" ht="16.5" spans="1:6">
      <c r="A455" s="119">
        <v>449</v>
      </c>
      <c r="B455" s="177">
        <f>VLOOKUP(ROUNDUP(A455/8,0),Sheet2!A:B,2,FALSE())</f>
        <v>113009</v>
      </c>
      <c r="C455" s="178">
        <f t="shared" si="6"/>
        <v>1</v>
      </c>
      <c r="D455" s="179">
        <f>VLOOKUP(C455,Sheet2!$BK$11:$BN$19,VLOOKUP(B455,Sheet2!B:BC,21,FALSE)+1,FALSE)</f>
        <v>1.2</v>
      </c>
      <c r="E455" s="119">
        <v>0</v>
      </c>
      <c r="F455" s="13" t="s">
        <v>17</v>
      </c>
    </row>
    <row r="456" ht="16.5" spans="1:6">
      <c r="A456" s="119">
        <v>450</v>
      </c>
      <c r="B456" s="177">
        <f>VLOOKUP(ROUNDUP(A456/8,0),Sheet2!A:B,2,FALSE())</f>
        <v>113009</v>
      </c>
      <c r="C456" s="178">
        <f t="shared" si="6"/>
        <v>2</v>
      </c>
      <c r="D456" s="179">
        <f>VLOOKUP(C456,Sheet2!$BK$11:$BN$19,VLOOKUP(B456,Sheet2!B:BC,21,FALSE)+1,FALSE)</f>
        <v>1.2</v>
      </c>
      <c r="E456" s="119">
        <v>0</v>
      </c>
      <c r="F456" s="13" t="s">
        <v>17</v>
      </c>
    </row>
    <row r="457" ht="16.5" spans="1:6">
      <c r="A457" s="119">
        <v>451</v>
      </c>
      <c r="B457" s="177">
        <f>VLOOKUP(ROUNDUP(A457/8,0),Sheet2!A:B,2,FALSE())</f>
        <v>113009</v>
      </c>
      <c r="C457" s="178">
        <f t="shared" si="6"/>
        <v>3</v>
      </c>
      <c r="D457" s="179">
        <f>VLOOKUP(C457,Sheet2!$BK$11:$BN$19,VLOOKUP(B457,Sheet2!B:BC,21,FALSE)+1,FALSE)</f>
        <v>1.2</v>
      </c>
      <c r="E457" s="119">
        <v>0</v>
      </c>
      <c r="F457" s="13" t="s">
        <v>17</v>
      </c>
    </row>
    <row r="458" ht="16.5" spans="1:6">
      <c r="A458" s="119">
        <v>452</v>
      </c>
      <c r="B458" s="177">
        <f>VLOOKUP(ROUNDUP(A458/8,0),Sheet2!A:B,2,FALSE())</f>
        <v>113009</v>
      </c>
      <c r="C458" s="178">
        <f t="shared" si="6"/>
        <v>4</v>
      </c>
      <c r="D458" s="179">
        <f>VLOOKUP(C458,Sheet2!$BK$11:$BN$19,VLOOKUP(B458,Sheet2!B:BC,21,FALSE)+1,FALSE)</f>
        <v>1.5</v>
      </c>
      <c r="E458" s="119">
        <v>0</v>
      </c>
      <c r="F458" s="13" t="s">
        <v>17</v>
      </c>
    </row>
    <row r="459" ht="16.5" spans="1:6">
      <c r="A459" s="119">
        <v>453</v>
      </c>
      <c r="B459" s="177">
        <f>VLOOKUP(ROUNDUP(A459/8,0),Sheet2!A:B,2,FALSE())</f>
        <v>113009</v>
      </c>
      <c r="C459" s="178">
        <f t="shared" si="6"/>
        <v>5</v>
      </c>
      <c r="D459" s="179">
        <f>VLOOKUP(C459,Sheet2!$BK$11:$BN$19,VLOOKUP(B459,Sheet2!B:BC,21,FALSE)+1,FALSE)</f>
        <v>1.5</v>
      </c>
      <c r="E459" s="119">
        <v>0</v>
      </c>
      <c r="F459" s="13" t="s">
        <v>17</v>
      </c>
    </row>
    <row r="460" ht="16.5" spans="1:6">
      <c r="A460" s="119">
        <v>454</v>
      </c>
      <c r="B460" s="177">
        <f>VLOOKUP(ROUNDUP(A460/8,0),Sheet2!A:B,2,FALSE())</f>
        <v>113009</v>
      </c>
      <c r="C460" s="178">
        <f t="shared" si="6"/>
        <v>6</v>
      </c>
      <c r="D460" s="179">
        <f>VLOOKUP(C460,Sheet2!$BK$11:$BN$19,VLOOKUP(B460,Sheet2!B:BC,21,FALSE)+1,FALSE)</f>
        <v>1.7</v>
      </c>
      <c r="E460" s="119">
        <v>0</v>
      </c>
      <c r="F460" s="13" t="s">
        <v>17</v>
      </c>
    </row>
    <row r="461" ht="16.5" spans="1:6">
      <c r="A461" s="119">
        <v>455</v>
      </c>
      <c r="B461" s="177">
        <f>VLOOKUP(ROUNDUP(A461/8,0),Sheet2!A:B,2,FALSE())</f>
        <v>113009</v>
      </c>
      <c r="C461" s="178">
        <f t="shared" si="6"/>
        <v>7</v>
      </c>
      <c r="D461" s="179">
        <f>VLOOKUP(C461,Sheet2!$BK$11:$BN$19,VLOOKUP(B461,Sheet2!B:BC,21,FALSE)+1,FALSE)</f>
        <v>1.7</v>
      </c>
      <c r="E461" s="119">
        <v>0</v>
      </c>
      <c r="F461" s="13" t="s">
        <v>17</v>
      </c>
    </row>
    <row r="462" ht="16.5" spans="1:6">
      <c r="A462" s="119">
        <v>456</v>
      </c>
      <c r="B462" s="177">
        <f>VLOOKUP(ROUNDUP(A462/8,0),Sheet2!A:B,2,FALSE())</f>
        <v>113009</v>
      </c>
      <c r="C462" s="178">
        <f t="shared" si="6"/>
        <v>8</v>
      </c>
      <c r="D462" s="179">
        <f>VLOOKUP(C462,Sheet2!$BK$11:$BN$19,VLOOKUP(B462,Sheet2!B:BC,21,FALSE)+1,FALSE)</f>
        <v>2</v>
      </c>
      <c r="E462" s="119">
        <v>0</v>
      </c>
      <c r="F462" s="13" t="s">
        <v>17</v>
      </c>
    </row>
    <row r="463" ht="16.5" spans="1:6">
      <c r="A463" s="119">
        <v>457</v>
      </c>
      <c r="B463" s="177">
        <f>VLOOKUP(ROUNDUP(A463/8,0),Sheet2!A:B,2,FALSE())</f>
        <v>113010</v>
      </c>
      <c r="C463" s="178">
        <f t="shared" si="6"/>
        <v>1</v>
      </c>
      <c r="D463" s="179">
        <f>VLOOKUP(C463,Sheet2!$BK$11:$BN$19,VLOOKUP(B463,Sheet2!B:BC,21,FALSE)+1,FALSE)</f>
        <v>1.2</v>
      </c>
      <c r="E463" s="119">
        <v>0</v>
      </c>
      <c r="F463" s="13" t="s">
        <v>18</v>
      </c>
    </row>
    <row r="464" ht="16.5" spans="1:6">
      <c r="A464" s="119">
        <v>458</v>
      </c>
      <c r="B464" s="177">
        <f>VLOOKUP(ROUNDUP(A464/8,0),Sheet2!A:B,2,FALSE())</f>
        <v>113010</v>
      </c>
      <c r="C464" s="178">
        <f t="shared" ref="C464:C527" si="7">C456</f>
        <v>2</v>
      </c>
      <c r="D464" s="179">
        <f>VLOOKUP(C464,Sheet2!$BK$11:$BN$19,VLOOKUP(B464,Sheet2!B:BC,21,FALSE)+1,FALSE)</f>
        <v>1.2</v>
      </c>
      <c r="E464" s="119">
        <v>0</v>
      </c>
      <c r="F464" s="13" t="s">
        <v>18</v>
      </c>
    </row>
    <row r="465" ht="16.5" spans="1:6">
      <c r="A465" s="119">
        <v>459</v>
      </c>
      <c r="B465" s="177">
        <f>VLOOKUP(ROUNDUP(A465/8,0),Sheet2!A:B,2,FALSE())</f>
        <v>113010</v>
      </c>
      <c r="C465" s="178">
        <f t="shared" si="7"/>
        <v>3</v>
      </c>
      <c r="D465" s="179">
        <f>VLOOKUP(C465,Sheet2!$BK$11:$BN$19,VLOOKUP(B465,Sheet2!B:BC,21,FALSE)+1,FALSE)</f>
        <v>1.2</v>
      </c>
      <c r="E465" s="119">
        <v>0</v>
      </c>
      <c r="F465" s="13" t="s">
        <v>18</v>
      </c>
    </row>
    <row r="466" ht="16.5" spans="1:6">
      <c r="A466" s="119">
        <v>460</v>
      </c>
      <c r="B466" s="177">
        <f>VLOOKUP(ROUNDUP(A466/8,0),Sheet2!A:B,2,FALSE())</f>
        <v>113010</v>
      </c>
      <c r="C466" s="178">
        <f t="shared" si="7"/>
        <v>4</v>
      </c>
      <c r="D466" s="179">
        <f>VLOOKUP(C466,Sheet2!$BK$11:$BN$19,VLOOKUP(B466,Sheet2!B:BC,21,FALSE)+1,FALSE)</f>
        <v>1.5</v>
      </c>
      <c r="E466" s="119">
        <v>0</v>
      </c>
      <c r="F466" s="13" t="s">
        <v>18</v>
      </c>
    </row>
    <row r="467" ht="16.5" spans="1:6">
      <c r="A467" s="119">
        <v>461</v>
      </c>
      <c r="B467" s="177">
        <f>VLOOKUP(ROUNDUP(A467/8,0),Sheet2!A:B,2,FALSE())</f>
        <v>113010</v>
      </c>
      <c r="C467" s="178">
        <f t="shared" si="7"/>
        <v>5</v>
      </c>
      <c r="D467" s="179">
        <f>VLOOKUP(C467,Sheet2!$BK$11:$BN$19,VLOOKUP(B467,Sheet2!B:BC,21,FALSE)+1,FALSE)</f>
        <v>1.5</v>
      </c>
      <c r="E467" s="119">
        <v>0</v>
      </c>
      <c r="F467" s="13" t="s">
        <v>18</v>
      </c>
    </row>
    <row r="468" ht="16.5" spans="1:6">
      <c r="A468" s="119">
        <v>462</v>
      </c>
      <c r="B468" s="177">
        <f>VLOOKUP(ROUNDUP(A468/8,0),Sheet2!A:B,2,FALSE())</f>
        <v>113010</v>
      </c>
      <c r="C468" s="178">
        <f t="shared" si="7"/>
        <v>6</v>
      </c>
      <c r="D468" s="179">
        <f>VLOOKUP(C468,Sheet2!$BK$11:$BN$19,VLOOKUP(B468,Sheet2!B:BC,21,FALSE)+1,FALSE)</f>
        <v>1.7</v>
      </c>
      <c r="E468" s="119">
        <v>0</v>
      </c>
      <c r="F468" s="13" t="s">
        <v>18</v>
      </c>
    </row>
    <row r="469" ht="16.5" spans="1:6">
      <c r="A469" s="119">
        <v>463</v>
      </c>
      <c r="B469" s="177">
        <f>VLOOKUP(ROUNDUP(A469/8,0),Sheet2!A:B,2,FALSE())</f>
        <v>113010</v>
      </c>
      <c r="C469" s="178">
        <f t="shared" si="7"/>
        <v>7</v>
      </c>
      <c r="D469" s="179">
        <f>VLOOKUP(C469,Sheet2!$BK$11:$BN$19,VLOOKUP(B469,Sheet2!B:BC,21,FALSE)+1,FALSE)</f>
        <v>1.7</v>
      </c>
      <c r="E469" s="119">
        <v>0</v>
      </c>
      <c r="F469" s="13" t="s">
        <v>18</v>
      </c>
    </row>
    <row r="470" ht="16.5" spans="1:6">
      <c r="A470" s="119">
        <v>464</v>
      </c>
      <c r="B470" s="177">
        <f>VLOOKUP(ROUNDUP(A470/8,0),Sheet2!A:B,2,FALSE())</f>
        <v>113010</v>
      </c>
      <c r="C470" s="178">
        <f t="shared" si="7"/>
        <v>8</v>
      </c>
      <c r="D470" s="179">
        <f>VLOOKUP(C470,Sheet2!$BK$11:$BN$19,VLOOKUP(B470,Sheet2!B:BC,21,FALSE)+1,FALSE)</f>
        <v>2</v>
      </c>
      <c r="E470" s="119">
        <v>0</v>
      </c>
      <c r="F470" s="13" t="s">
        <v>18</v>
      </c>
    </row>
    <row r="471" ht="16.5" spans="1:6">
      <c r="A471" s="119">
        <v>465</v>
      </c>
      <c r="B471" s="177">
        <f>VLOOKUP(ROUNDUP(A471/8,0),Sheet2!A:B,2,FALSE())</f>
        <v>113011</v>
      </c>
      <c r="C471" s="178">
        <f t="shared" si="7"/>
        <v>1</v>
      </c>
      <c r="D471" s="179">
        <f>VLOOKUP(C471,Sheet2!$BK$11:$BN$19,VLOOKUP(B471,Sheet2!B:BC,21,FALSE)+1,FALSE)</f>
        <v>1.2</v>
      </c>
      <c r="E471" s="119">
        <v>0</v>
      </c>
      <c r="F471" s="13" t="s">
        <v>18</v>
      </c>
    </row>
    <row r="472" ht="16.5" spans="1:6">
      <c r="A472" s="119">
        <v>466</v>
      </c>
      <c r="B472" s="177">
        <f>VLOOKUP(ROUNDUP(A472/8,0),Sheet2!A:B,2,FALSE())</f>
        <v>113011</v>
      </c>
      <c r="C472" s="178">
        <f t="shared" si="7"/>
        <v>2</v>
      </c>
      <c r="D472" s="179">
        <f>VLOOKUP(C472,Sheet2!$BK$11:$BN$19,VLOOKUP(B472,Sheet2!B:BC,21,FALSE)+1,FALSE)</f>
        <v>1.2</v>
      </c>
      <c r="E472" s="119">
        <v>0</v>
      </c>
      <c r="F472" s="13" t="s">
        <v>18</v>
      </c>
    </row>
    <row r="473" ht="16.5" spans="1:6">
      <c r="A473" s="119">
        <v>467</v>
      </c>
      <c r="B473" s="177">
        <f>VLOOKUP(ROUNDUP(A473/8,0),Sheet2!A:B,2,FALSE())</f>
        <v>113011</v>
      </c>
      <c r="C473" s="178">
        <f t="shared" si="7"/>
        <v>3</v>
      </c>
      <c r="D473" s="179">
        <f>VLOOKUP(C473,Sheet2!$BK$11:$BN$19,VLOOKUP(B473,Sheet2!B:BC,21,FALSE)+1,FALSE)</f>
        <v>1.2</v>
      </c>
      <c r="E473" s="119">
        <v>0</v>
      </c>
      <c r="F473" s="13" t="s">
        <v>18</v>
      </c>
    </row>
    <row r="474" ht="16.5" spans="1:6">
      <c r="A474" s="119">
        <v>468</v>
      </c>
      <c r="B474" s="177">
        <f>VLOOKUP(ROUNDUP(A474/8,0),Sheet2!A:B,2,FALSE())</f>
        <v>113011</v>
      </c>
      <c r="C474" s="178">
        <f t="shared" si="7"/>
        <v>4</v>
      </c>
      <c r="D474" s="179">
        <f>VLOOKUP(C474,Sheet2!$BK$11:$BN$19,VLOOKUP(B474,Sheet2!B:BC,21,FALSE)+1,FALSE)</f>
        <v>1.5</v>
      </c>
      <c r="E474" s="119">
        <v>0</v>
      </c>
      <c r="F474" s="13" t="s">
        <v>18</v>
      </c>
    </row>
    <row r="475" ht="16.5" spans="1:6">
      <c r="A475" s="119">
        <v>469</v>
      </c>
      <c r="B475" s="177">
        <f>VLOOKUP(ROUNDUP(A475/8,0),Sheet2!A:B,2,FALSE())</f>
        <v>113011</v>
      </c>
      <c r="C475" s="178">
        <f t="shared" si="7"/>
        <v>5</v>
      </c>
      <c r="D475" s="179">
        <f>VLOOKUP(C475,Sheet2!$BK$11:$BN$19,VLOOKUP(B475,Sheet2!B:BC,21,FALSE)+1,FALSE)</f>
        <v>1.5</v>
      </c>
      <c r="E475" s="119">
        <v>0</v>
      </c>
      <c r="F475" s="13" t="s">
        <v>18</v>
      </c>
    </row>
    <row r="476" ht="16.5" spans="1:6">
      <c r="A476" s="119">
        <v>470</v>
      </c>
      <c r="B476" s="177">
        <f>VLOOKUP(ROUNDUP(A476/8,0),Sheet2!A:B,2,FALSE())</f>
        <v>113011</v>
      </c>
      <c r="C476" s="178">
        <f t="shared" si="7"/>
        <v>6</v>
      </c>
      <c r="D476" s="179">
        <f>VLOOKUP(C476,Sheet2!$BK$11:$BN$19,VLOOKUP(B476,Sheet2!B:BC,21,FALSE)+1,FALSE)</f>
        <v>1.7</v>
      </c>
      <c r="E476" s="119">
        <v>0</v>
      </c>
      <c r="F476" s="13" t="s">
        <v>18</v>
      </c>
    </row>
    <row r="477" ht="16.5" spans="1:6">
      <c r="A477" s="119">
        <v>471</v>
      </c>
      <c r="B477" s="177">
        <f>VLOOKUP(ROUNDUP(A477/8,0),Sheet2!A:B,2,FALSE())</f>
        <v>113011</v>
      </c>
      <c r="C477" s="178">
        <f t="shared" si="7"/>
        <v>7</v>
      </c>
      <c r="D477" s="179">
        <f>VLOOKUP(C477,Sheet2!$BK$11:$BN$19,VLOOKUP(B477,Sheet2!B:BC,21,FALSE)+1,FALSE)</f>
        <v>1.7</v>
      </c>
      <c r="E477" s="119">
        <v>0</v>
      </c>
      <c r="F477" s="13" t="s">
        <v>18</v>
      </c>
    </row>
    <row r="478" ht="16.5" spans="1:6">
      <c r="A478" s="119">
        <v>472</v>
      </c>
      <c r="B478" s="177">
        <f>VLOOKUP(ROUNDUP(A478/8,0),Sheet2!A:B,2,FALSE())</f>
        <v>113011</v>
      </c>
      <c r="C478" s="178">
        <f t="shared" si="7"/>
        <v>8</v>
      </c>
      <c r="D478" s="179">
        <f>VLOOKUP(C478,Sheet2!$BK$11:$BN$19,VLOOKUP(B478,Sheet2!B:BC,21,FALSE)+1,FALSE)</f>
        <v>2</v>
      </c>
      <c r="E478" s="119">
        <v>0</v>
      </c>
      <c r="F478" s="13" t="s">
        <v>18</v>
      </c>
    </row>
    <row r="479" ht="16.5" spans="1:6">
      <c r="A479" s="119">
        <v>473</v>
      </c>
      <c r="B479" s="177">
        <f>VLOOKUP(ROUNDUP(A479/8,0),Sheet2!A:B,2,FALSE())</f>
        <v>113012</v>
      </c>
      <c r="C479" s="178">
        <f t="shared" si="7"/>
        <v>1</v>
      </c>
      <c r="D479" s="179">
        <f>VLOOKUP(C479,Sheet2!$BK$11:$BN$19,VLOOKUP(B479,Sheet2!B:BC,21,FALSE)+1,FALSE)</f>
        <v>1.2</v>
      </c>
      <c r="E479" s="119">
        <v>0</v>
      </c>
      <c r="F479" s="13" t="s">
        <v>17</v>
      </c>
    </row>
    <row r="480" ht="16.5" spans="1:6">
      <c r="A480" s="119">
        <v>474</v>
      </c>
      <c r="B480" s="177">
        <f>VLOOKUP(ROUNDUP(A480/8,0),Sheet2!A:B,2,FALSE())</f>
        <v>113012</v>
      </c>
      <c r="C480" s="178">
        <f t="shared" si="7"/>
        <v>2</v>
      </c>
      <c r="D480" s="179">
        <f>VLOOKUP(C480,Sheet2!$BK$11:$BN$19,VLOOKUP(B480,Sheet2!B:BC,21,FALSE)+1,FALSE)</f>
        <v>1.2</v>
      </c>
      <c r="E480" s="119">
        <v>0</v>
      </c>
      <c r="F480" s="13" t="s">
        <v>17</v>
      </c>
    </row>
    <row r="481" ht="16.5" spans="1:6">
      <c r="A481" s="119">
        <v>475</v>
      </c>
      <c r="B481" s="177">
        <f>VLOOKUP(ROUNDUP(A481/8,0),Sheet2!A:B,2,FALSE())</f>
        <v>113012</v>
      </c>
      <c r="C481" s="178">
        <f t="shared" si="7"/>
        <v>3</v>
      </c>
      <c r="D481" s="179">
        <f>VLOOKUP(C481,Sheet2!$BK$11:$BN$19,VLOOKUP(B481,Sheet2!B:BC,21,FALSE)+1,FALSE)</f>
        <v>1.2</v>
      </c>
      <c r="E481" s="119">
        <v>0</v>
      </c>
      <c r="F481" s="13" t="s">
        <v>17</v>
      </c>
    </row>
    <row r="482" ht="16.5" spans="1:6">
      <c r="A482" s="119">
        <v>476</v>
      </c>
      <c r="B482" s="177">
        <f>VLOOKUP(ROUNDUP(A482/8,0),Sheet2!A:B,2,FALSE())</f>
        <v>113012</v>
      </c>
      <c r="C482" s="178">
        <f t="shared" si="7"/>
        <v>4</v>
      </c>
      <c r="D482" s="179">
        <f>VLOOKUP(C482,Sheet2!$BK$11:$BN$19,VLOOKUP(B482,Sheet2!B:BC,21,FALSE)+1,FALSE)</f>
        <v>1.5</v>
      </c>
      <c r="E482" s="119">
        <v>0</v>
      </c>
      <c r="F482" s="13" t="s">
        <v>17</v>
      </c>
    </row>
    <row r="483" ht="16.5" spans="1:6">
      <c r="A483" s="119">
        <v>477</v>
      </c>
      <c r="B483" s="177">
        <f>VLOOKUP(ROUNDUP(A483/8,0),Sheet2!A:B,2,FALSE())</f>
        <v>113012</v>
      </c>
      <c r="C483" s="178">
        <f t="shared" si="7"/>
        <v>5</v>
      </c>
      <c r="D483" s="179">
        <f>VLOOKUP(C483,Sheet2!$BK$11:$BN$19,VLOOKUP(B483,Sheet2!B:BC,21,FALSE)+1,FALSE)</f>
        <v>1.5</v>
      </c>
      <c r="E483" s="119">
        <v>0</v>
      </c>
      <c r="F483" s="13" t="s">
        <v>17</v>
      </c>
    </row>
    <row r="484" ht="16.5" spans="1:6">
      <c r="A484" s="119">
        <v>478</v>
      </c>
      <c r="B484" s="177">
        <f>VLOOKUP(ROUNDUP(A484/8,0),Sheet2!A:B,2,FALSE())</f>
        <v>113012</v>
      </c>
      <c r="C484" s="178">
        <f t="shared" si="7"/>
        <v>6</v>
      </c>
      <c r="D484" s="179">
        <f>VLOOKUP(C484,Sheet2!$BK$11:$BN$19,VLOOKUP(B484,Sheet2!B:BC,21,FALSE)+1,FALSE)</f>
        <v>1.7</v>
      </c>
      <c r="E484" s="119">
        <v>0</v>
      </c>
      <c r="F484" s="13" t="s">
        <v>17</v>
      </c>
    </row>
    <row r="485" ht="16.5" spans="1:6">
      <c r="A485" s="119">
        <v>479</v>
      </c>
      <c r="B485" s="177">
        <f>VLOOKUP(ROUNDUP(A485/8,0),Sheet2!A:B,2,FALSE())</f>
        <v>113012</v>
      </c>
      <c r="C485" s="178">
        <f t="shared" si="7"/>
        <v>7</v>
      </c>
      <c r="D485" s="179">
        <f>VLOOKUP(C485,Sheet2!$BK$11:$BN$19,VLOOKUP(B485,Sheet2!B:BC,21,FALSE)+1,FALSE)</f>
        <v>1.7</v>
      </c>
      <c r="E485" s="119">
        <v>0</v>
      </c>
      <c r="F485" s="13" t="s">
        <v>17</v>
      </c>
    </row>
    <row r="486" ht="16.5" spans="1:6">
      <c r="A486" s="119">
        <v>480</v>
      </c>
      <c r="B486" s="177">
        <f>VLOOKUP(ROUNDUP(A486/8,0),Sheet2!A:B,2,FALSE())</f>
        <v>113012</v>
      </c>
      <c r="C486" s="178">
        <f t="shared" si="7"/>
        <v>8</v>
      </c>
      <c r="D486" s="179">
        <f>VLOOKUP(C486,Sheet2!$BK$11:$BN$19,VLOOKUP(B486,Sheet2!B:BC,21,FALSE)+1,FALSE)</f>
        <v>2</v>
      </c>
      <c r="E486" s="119">
        <v>0</v>
      </c>
      <c r="F486" s="13" t="s">
        <v>17</v>
      </c>
    </row>
    <row r="487" ht="16.5" spans="1:6">
      <c r="A487" s="119">
        <v>481</v>
      </c>
      <c r="B487" s="177">
        <f>VLOOKUP(ROUNDUP(A487/8,0),Sheet2!A:B,2,FALSE())</f>
        <v>113013</v>
      </c>
      <c r="C487" s="178">
        <f t="shared" si="7"/>
        <v>1</v>
      </c>
      <c r="D487" s="179">
        <f>VLOOKUP(C487,Sheet2!$BK$11:$BN$19,VLOOKUP(B487,Sheet2!B:BC,21,FALSE)+1,FALSE)</f>
        <v>1.2</v>
      </c>
      <c r="E487" s="119">
        <v>0</v>
      </c>
      <c r="F487" s="13" t="s">
        <v>18</v>
      </c>
    </row>
    <row r="488" ht="16.5" spans="1:6">
      <c r="A488" s="119">
        <v>482</v>
      </c>
      <c r="B488" s="177">
        <f>VLOOKUP(ROUNDUP(A488/8,0),Sheet2!A:B,2,FALSE())</f>
        <v>113013</v>
      </c>
      <c r="C488" s="178">
        <f t="shared" si="7"/>
        <v>2</v>
      </c>
      <c r="D488" s="179">
        <f>VLOOKUP(C488,Sheet2!$BK$11:$BN$19,VLOOKUP(B488,Sheet2!B:BC,21,FALSE)+1,FALSE)</f>
        <v>1.2</v>
      </c>
      <c r="E488" s="119">
        <v>0</v>
      </c>
      <c r="F488" s="13" t="s">
        <v>18</v>
      </c>
    </row>
    <row r="489" ht="16.5" spans="1:6">
      <c r="A489" s="119">
        <v>483</v>
      </c>
      <c r="B489" s="177">
        <f>VLOOKUP(ROUNDUP(A489/8,0),Sheet2!A:B,2,FALSE())</f>
        <v>113013</v>
      </c>
      <c r="C489" s="178">
        <f t="shared" si="7"/>
        <v>3</v>
      </c>
      <c r="D489" s="179">
        <f>VLOOKUP(C489,Sheet2!$BK$11:$BN$19,VLOOKUP(B489,Sheet2!B:BC,21,FALSE)+1,FALSE)</f>
        <v>1.2</v>
      </c>
      <c r="E489" s="119">
        <v>0</v>
      </c>
      <c r="F489" s="13" t="s">
        <v>18</v>
      </c>
    </row>
    <row r="490" ht="16.5" spans="1:6">
      <c r="A490" s="119">
        <v>484</v>
      </c>
      <c r="B490" s="177">
        <f>VLOOKUP(ROUNDUP(A490/8,0),Sheet2!A:B,2,FALSE())</f>
        <v>113013</v>
      </c>
      <c r="C490" s="178">
        <f t="shared" si="7"/>
        <v>4</v>
      </c>
      <c r="D490" s="179">
        <f>VLOOKUP(C490,Sheet2!$BK$11:$BN$19,VLOOKUP(B490,Sheet2!B:BC,21,FALSE)+1,FALSE)</f>
        <v>1.5</v>
      </c>
      <c r="E490" s="119">
        <v>0</v>
      </c>
      <c r="F490" s="13" t="s">
        <v>18</v>
      </c>
    </row>
    <row r="491" ht="16.5" spans="1:6">
      <c r="A491" s="119">
        <v>485</v>
      </c>
      <c r="B491" s="177">
        <f>VLOOKUP(ROUNDUP(A491/8,0),Sheet2!A:B,2,FALSE())</f>
        <v>113013</v>
      </c>
      <c r="C491" s="178">
        <f t="shared" si="7"/>
        <v>5</v>
      </c>
      <c r="D491" s="179">
        <f>VLOOKUP(C491,Sheet2!$BK$11:$BN$19,VLOOKUP(B491,Sheet2!B:BC,21,FALSE)+1,FALSE)</f>
        <v>1.5</v>
      </c>
      <c r="E491" s="119">
        <v>0</v>
      </c>
      <c r="F491" s="13" t="s">
        <v>18</v>
      </c>
    </row>
    <row r="492" ht="16.5" spans="1:6">
      <c r="A492" s="119">
        <v>486</v>
      </c>
      <c r="B492" s="177">
        <f>VLOOKUP(ROUNDUP(A492/8,0),Sheet2!A:B,2,FALSE())</f>
        <v>113013</v>
      </c>
      <c r="C492" s="178">
        <f t="shared" si="7"/>
        <v>6</v>
      </c>
      <c r="D492" s="179">
        <f>VLOOKUP(C492,Sheet2!$BK$11:$BN$19,VLOOKUP(B492,Sheet2!B:BC,21,FALSE)+1,FALSE)</f>
        <v>1.7</v>
      </c>
      <c r="E492" s="119">
        <v>0</v>
      </c>
      <c r="F492" s="13" t="s">
        <v>18</v>
      </c>
    </row>
    <row r="493" ht="16.5" spans="1:6">
      <c r="A493" s="119">
        <v>487</v>
      </c>
      <c r="B493" s="177">
        <f>VLOOKUP(ROUNDUP(A493/8,0),Sheet2!A:B,2,FALSE())</f>
        <v>113013</v>
      </c>
      <c r="C493" s="178">
        <f t="shared" si="7"/>
        <v>7</v>
      </c>
      <c r="D493" s="179">
        <f>VLOOKUP(C493,Sheet2!$BK$11:$BN$19,VLOOKUP(B493,Sheet2!B:BC,21,FALSE)+1,FALSE)</f>
        <v>1.7</v>
      </c>
      <c r="E493" s="119">
        <v>0</v>
      </c>
      <c r="F493" s="13" t="s">
        <v>18</v>
      </c>
    </row>
    <row r="494" ht="16.5" spans="1:6">
      <c r="A494" s="119">
        <v>488</v>
      </c>
      <c r="B494" s="177">
        <f>VLOOKUP(ROUNDUP(A494/8,0),Sheet2!A:B,2,FALSE())</f>
        <v>113013</v>
      </c>
      <c r="C494" s="178">
        <f t="shared" si="7"/>
        <v>8</v>
      </c>
      <c r="D494" s="179">
        <f>VLOOKUP(C494,Sheet2!$BK$11:$BN$19,VLOOKUP(B494,Sheet2!B:BC,21,FALSE)+1,FALSE)</f>
        <v>2</v>
      </c>
      <c r="E494" s="119">
        <v>0</v>
      </c>
      <c r="F494" s="13" t="s">
        <v>18</v>
      </c>
    </row>
    <row r="495" ht="16.5" spans="1:6">
      <c r="A495" s="119">
        <v>489</v>
      </c>
      <c r="B495" s="177">
        <f>VLOOKUP(ROUNDUP(A495/8,0),Sheet2!A:B,2,FALSE())</f>
        <v>113014</v>
      </c>
      <c r="C495" s="178">
        <f t="shared" si="7"/>
        <v>1</v>
      </c>
      <c r="D495" s="179">
        <f>VLOOKUP(C495,Sheet2!$BK$11:$BN$19,VLOOKUP(B495,Sheet2!B:BC,21,FALSE)+1,FALSE)</f>
        <v>1.2</v>
      </c>
      <c r="E495" s="119">
        <v>0</v>
      </c>
      <c r="F495" s="13" t="s">
        <v>18</v>
      </c>
    </row>
    <row r="496" ht="16.5" spans="1:6">
      <c r="A496" s="119">
        <v>490</v>
      </c>
      <c r="B496" s="177">
        <f>VLOOKUP(ROUNDUP(A496/8,0),Sheet2!A:B,2,FALSE())</f>
        <v>113014</v>
      </c>
      <c r="C496" s="178">
        <f t="shared" si="7"/>
        <v>2</v>
      </c>
      <c r="D496" s="179">
        <f>VLOOKUP(C496,Sheet2!$BK$11:$BN$19,VLOOKUP(B496,Sheet2!B:BC,21,FALSE)+1,FALSE)</f>
        <v>1.2</v>
      </c>
      <c r="E496" s="119">
        <v>0</v>
      </c>
      <c r="F496" s="13" t="s">
        <v>18</v>
      </c>
    </row>
    <row r="497" ht="16.5" spans="1:6">
      <c r="A497" s="119">
        <v>491</v>
      </c>
      <c r="B497" s="177">
        <f>VLOOKUP(ROUNDUP(A497/8,0),Sheet2!A:B,2,FALSE())</f>
        <v>113014</v>
      </c>
      <c r="C497" s="178">
        <f t="shared" si="7"/>
        <v>3</v>
      </c>
      <c r="D497" s="179">
        <f>VLOOKUP(C497,Sheet2!$BK$11:$BN$19,VLOOKUP(B497,Sheet2!B:BC,21,FALSE)+1,FALSE)</f>
        <v>1.2</v>
      </c>
      <c r="E497" s="119">
        <v>0</v>
      </c>
      <c r="F497" s="13" t="s">
        <v>18</v>
      </c>
    </row>
    <row r="498" ht="16.5" spans="1:6">
      <c r="A498" s="119">
        <v>492</v>
      </c>
      <c r="B498" s="177">
        <f>VLOOKUP(ROUNDUP(A498/8,0),Sheet2!A:B,2,FALSE())</f>
        <v>113014</v>
      </c>
      <c r="C498" s="178">
        <f t="shared" si="7"/>
        <v>4</v>
      </c>
      <c r="D498" s="179">
        <f>VLOOKUP(C498,Sheet2!$BK$11:$BN$19,VLOOKUP(B498,Sheet2!B:BC,21,FALSE)+1,FALSE)</f>
        <v>1.5</v>
      </c>
      <c r="E498" s="119">
        <v>0</v>
      </c>
      <c r="F498" s="13" t="s">
        <v>18</v>
      </c>
    </row>
    <row r="499" ht="16.5" spans="1:6">
      <c r="A499" s="119">
        <v>493</v>
      </c>
      <c r="B499" s="177">
        <f>VLOOKUP(ROUNDUP(A499/8,0),Sheet2!A:B,2,FALSE())</f>
        <v>113014</v>
      </c>
      <c r="C499" s="178">
        <f t="shared" si="7"/>
        <v>5</v>
      </c>
      <c r="D499" s="179">
        <f>VLOOKUP(C499,Sheet2!$BK$11:$BN$19,VLOOKUP(B499,Sheet2!B:BC,21,FALSE)+1,FALSE)</f>
        <v>1.5</v>
      </c>
      <c r="E499" s="119">
        <v>0</v>
      </c>
      <c r="F499" s="13" t="s">
        <v>18</v>
      </c>
    </row>
    <row r="500" ht="16.5" spans="1:6">
      <c r="A500" s="119">
        <v>494</v>
      </c>
      <c r="B500" s="177">
        <f>VLOOKUP(ROUNDUP(A500/8,0),Sheet2!A:B,2,FALSE())</f>
        <v>113014</v>
      </c>
      <c r="C500" s="178">
        <f t="shared" si="7"/>
        <v>6</v>
      </c>
      <c r="D500" s="179">
        <f>VLOOKUP(C500,Sheet2!$BK$11:$BN$19,VLOOKUP(B500,Sheet2!B:BC,21,FALSE)+1,FALSE)</f>
        <v>1.7</v>
      </c>
      <c r="E500" s="119">
        <v>0</v>
      </c>
      <c r="F500" s="13" t="s">
        <v>18</v>
      </c>
    </row>
    <row r="501" ht="16.5" spans="1:6">
      <c r="A501" s="119">
        <v>495</v>
      </c>
      <c r="B501" s="177">
        <f>VLOOKUP(ROUNDUP(A501/8,0),Sheet2!A:B,2,FALSE())</f>
        <v>113014</v>
      </c>
      <c r="C501" s="178">
        <f t="shared" si="7"/>
        <v>7</v>
      </c>
      <c r="D501" s="179">
        <f>VLOOKUP(C501,Sheet2!$BK$11:$BN$19,VLOOKUP(B501,Sheet2!B:BC,21,FALSE)+1,FALSE)</f>
        <v>1.7</v>
      </c>
      <c r="E501" s="119">
        <v>0</v>
      </c>
      <c r="F501" s="13" t="s">
        <v>18</v>
      </c>
    </row>
    <row r="502" ht="16.5" spans="1:6">
      <c r="A502" s="119">
        <v>496</v>
      </c>
      <c r="B502" s="177">
        <f>VLOOKUP(ROUNDUP(A502/8,0),Sheet2!A:B,2,FALSE())</f>
        <v>113014</v>
      </c>
      <c r="C502" s="178">
        <f t="shared" si="7"/>
        <v>8</v>
      </c>
      <c r="D502" s="179">
        <f>VLOOKUP(C502,Sheet2!$BK$11:$BN$19,VLOOKUP(B502,Sheet2!B:BC,21,FALSE)+1,FALSE)</f>
        <v>2</v>
      </c>
      <c r="E502" s="119">
        <v>0</v>
      </c>
      <c r="F502" s="13" t="s">
        <v>18</v>
      </c>
    </row>
    <row r="503" ht="16.5" spans="1:6">
      <c r="A503" s="119">
        <v>497</v>
      </c>
      <c r="B503" s="177">
        <f>VLOOKUP(ROUNDUP(A503/8,0),Sheet2!A:B,2,FALSE())</f>
        <v>113015</v>
      </c>
      <c r="C503" s="178">
        <f t="shared" si="7"/>
        <v>1</v>
      </c>
      <c r="D503" s="179">
        <f>VLOOKUP(C503,Sheet2!$BK$11:$BN$19,VLOOKUP(B503,Sheet2!B:BC,21,FALSE)+1,FALSE)</f>
        <v>1.2</v>
      </c>
      <c r="E503" s="119">
        <v>0</v>
      </c>
      <c r="F503" s="13" t="s">
        <v>18</v>
      </c>
    </row>
    <row r="504" ht="16.5" spans="1:6">
      <c r="A504" s="119">
        <v>498</v>
      </c>
      <c r="B504" s="177">
        <f>VLOOKUP(ROUNDUP(A504/8,0),Sheet2!A:B,2,FALSE())</f>
        <v>113015</v>
      </c>
      <c r="C504" s="178">
        <f t="shared" si="7"/>
        <v>2</v>
      </c>
      <c r="D504" s="179">
        <f>VLOOKUP(C504,Sheet2!$BK$11:$BN$19,VLOOKUP(B504,Sheet2!B:BC,21,FALSE)+1,FALSE)</f>
        <v>1.2</v>
      </c>
      <c r="E504" s="119">
        <v>0</v>
      </c>
      <c r="F504" s="13" t="s">
        <v>18</v>
      </c>
    </row>
    <row r="505" ht="16.5" spans="1:6">
      <c r="A505" s="119">
        <v>499</v>
      </c>
      <c r="B505" s="177">
        <f>VLOOKUP(ROUNDUP(A505/8,0),Sheet2!A:B,2,FALSE())</f>
        <v>113015</v>
      </c>
      <c r="C505" s="178">
        <f t="shared" si="7"/>
        <v>3</v>
      </c>
      <c r="D505" s="179">
        <f>VLOOKUP(C505,Sheet2!$BK$11:$BN$19,VLOOKUP(B505,Sheet2!B:BC,21,FALSE)+1,FALSE)</f>
        <v>1.2</v>
      </c>
      <c r="E505" s="119">
        <v>0</v>
      </c>
      <c r="F505" s="13" t="s">
        <v>18</v>
      </c>
    </row>
    <row r="506" ht="16.5" spans="1:6">
      <c r="A506" s="119">
        <v>500</v>
      </c>
      <c r="B506" s="177">
        <f>VLOOKUP(ROUNDUP(A506/8,0),Sheet2!A:B,2,FALSE())</f>
        <v>113015</v>
      </c>
      <c r="C506" s="178">
        <f t="shared" si="7"/>
        <v>4</v>
      </c>
      <c r="D506" s="179">
        <f>VLOOKUP(C506,Sheet2!$BK$11:$BN$19,VLOOKUP(B506,Sheet2!B:BC,21,FALSE)+1,FALSE)</f>
        <v>1.5</v>
      </c>
      <c r="E506" s="119">
        <v>0</v>
      </c>
      <c r="F506" s="13" t="s">
        <v>18</v>
      </c>
    </row>
    <row r="507" ht="16.5" spans="1:6">
      <c r="A507" s="119">
        <v>501</v>
      </c>
      <c r="B507" s="177">
        <f>VLOOKUP(ROUNDUP(A507/8,0),Sheet2!A:B,2,FALSE())</f>
        <v>113015</v>
      </c>
      <c r="C507" s="178">
        <f t="shared" si="7"/>
        <v>5</v>
      </c>
      <c r="D507" s="179">
        <f>VLOOKUP(C507,Sheet2!$BK$11:$BN$19,VLOOKUP(B507,Sheet2!B:BC,21,FALSE)+1,FALSE)</f>
        <v>1.5</v>
      </c>
      <c r="E507" s="119">
        <v>0</v>
      </c>
      <c r="F507" s="13" t="s">
        <v>18</v>
      </c>
    </row>
    <row r="508" ht="16.5" spans="1:6">
      <c r="A508" s="119">
        <v>502</v>
      </c>
      <c r="B508" s="177">
        <f>VLOOKUP(ROUNDUP(A508/8,0),Sheet2!A:B,2,FALSE())</f>
        <v>113015</v>
      </c>
      <c r="C508" s="178">
        <f t="shared" si="7"/>
        <v>6</v>
      </c>
      <c r="D508" s="179">
        <f>VLOOKUP(C508,Sheet2!$BK$11:$BN$19,VLOOKUP(B508,Sheet2!B:BC,21,FALSE)+1,FALSE)</f>
        <v>1.7</v>
      </c>
      <c r="E508" s="119">
        <v>0</v>
      </c>
      <c r="F508" s="13" t="s">
        <v>18</v>
      </c>
    </row>
    <row r="509" ht="16.5" spans="1:6">
      <c r="A509" s="119">
        <v>503</v>
      </c>
      <c r="B509" s="177">
        <f>VLOOKUP(ROUNDUP(A509/8,0),Sheet2!A:B,2,FALSE())</f>
        <v>113015</v>
      </c>
      <c r="C509" s="178">
        <f t="shared" si="7"/>
        <v>7</v>
      </c>
      <c r="D509" s="179">
        <f>VLOOKUP(C509,Sheet2!$BK$11:$BN$19,VLOOKUP(B509,Sheet2!B:BC,21,FALSE)+1,FALSE)</f>
        <v>1.7</v>
      </c>
      <c r="E509" s="119">
        <v>0</v>
      </c>
      <c r="F509" s="13" t="s">
        <v>18</v>
      </c>
    </row>
    <row r="510" ht="16.5" spans="1:6">
      <c r="A510" s="119">
        <v>504</v>
      </c>
      <c r="B510" s="177">
        <f>VLOOKUP(ROUNDUP(A510/8,0),Sheet2!A:B,2,FALSE())</f>
        <v>113015</v>
      </c>
      <c r="C510" s="178">
        <f t="shared" si="7"/>
        <v>8</v>
      </c>
      <c r="D510" s="179">
        <f>VLOOKUP(C510,Sheet2!$BK$11:$BN$19,VLOOKUP(B510,Sheet2!B:BC,21,FALSE)+1,FALSE)</f>
        <v>2</v>
      </c>
      <c r="E510" s="119">
        <v>0</v>
      </c>
      <c r="F510" s="13" t="s">
        <v>18</v>
      </c>
    </row>
    <row r="511" ht="16.5" spans="1:6">
      <c r="A511" s="119">
        <v>505</v>
      </c>
      <c r="B511" s="177">
        <f>VLOOKUP(ROUNDUP(A511/8,0),Sheet2!A:B,2,FALSE())</f>
        <v>113016</v>
      </c>
      <c r="C511" s="178">
        <f t="shared" si="7"/>
        <v>1</v>
      </c>
      <c r="D511" s="179">
        <f>VLOOKUP(C511,Sheet2!$BK$11:$BN$19,VLOOKUP(B511,Sheet2!B:BC,21,FALSE)+1,FALSE)</f>
        <v>1.2</v>
      </c>
      <c r="E511" s="119">
        <v>0</v>
      </c>
      <c r="F511" s="13" t="s">
        <v>18</v>
      </c>
    </row>
    <row r="512" ht="16.5" spans="1:6">
      <c r="A512" s="119">
        <v>506</v>
      </c>
      <c r="B512" s="177">
        <f>VLOOKUP(ROUNDUP(A512/8,0),Sheet2!A:B,2,FALSE())</f>
        <v>113016</v>
      </c>
      <c r="C512" s="178">
        <f t="shared" si="7"/>
        <v>2</v>
      </c>
      <c r="D512" s="179">
        <f>VLOOKUP(C512,Sheet2!$BK$11:$BN$19,VLOOKUP(B512,Sheet2!B:BC,21,FALSE)+1,FALSE)</f>
        <v>1.2</v>
      </c>
      <c r="E512" s="119">
        <v>0</v>
      </c>
      <c r="F512" s="13" t="s">
        <v>18</v>
      </c>
    </row>
    <row r="513" ht="16.5" spans="1:6">
      <c r="A513" s="119">
        <v>507</v>
      </c>
      <c r="B513" s="177">
        <f>VLOOKUP(ROUNDUP(A513/8,0),Sheet2!A:B,2,FALSE())</f>
        <v>113016</v>
      </c>
      <c r="C513" s="178">
        <f t="shared" si="7"/>
        <v>3</v>
      </c>
      <c r="D513" s="179">
        <f>VLOOKUP(C513,Sheet2!$BK$11:$BN$19,VLOOKUP(B513,Sheet2!B:BC,21,FALSE)+1,FALSE)</f>
        <v>1.2</v>
      </c>
      <c r="E513" s="119">
        <v>0</v>
      </c>
      <c r="F513" s="13" t="s">
        <v>18</v>
      </c>
    </row>
    <row r="514" ht="16.5" spans="1:6">
      <c r="A514" s="119">
        <v>508</v>
      </c>
      <c r="B514" s="177">
        <f>VLOOKUP(ROUNDUP(A514/8,0),Sheet2!A:B,2,FALSE())</f>
        <v>113016</v>
      </c>
      <c r="C514" s="178">
        <f t="shared" si="7"/>
        <v>4</v>
      </c>
      <c r="D514" s="179">
        <f>VLOOKUP(C514,Sheet2!$BK$11:$BN$19,VLOOKUP(B514,Sheet2!B:BC,21,FALSE)+1,FALSE)</f>
        <v>1.5</v>
      </c>
      <c r="E514" s="119">
        <v>0</v>
      </c>
      <c r="F514" s="13" t="s">
        <v>18</v>
      </c>
    </row>
    <row r="515" ht="16.5" spans="1:6">
      <c r="A515" s="119">
        <v>509</v>
      </c>
      <c r="B515" s="177">
        <f>VLOOKUP(ROUNDUP(A515/8,0),Sheet2!A:B,2,FALSE())</f>
        <v>113016</v>
      </c>
      <c r="C515" s="178">
        <f t="shared" si="7"/>
        <v>5</v>
      </c>
      <c r="D515" s="179">
        <f>VLOOKUP(C515,Sheet2!$BK$11:$BN$19,VLOOKUP(B515,Sheet2!B:BC,21,FALSE)+1,FALSE)</f>
        <v>1.5</v>
      </c>
      <c r="E515" s="119">
        <v>0</v>
      </c>
      <c r="F515" s="13" t="s">
        <v>18</v>
      </c>
    </row>
    <row r="516" ht="16.5" spans="1:6">
      <c r="A516" s="119">
        <v>510</v>
      </c>
      <c r="B516" s="177">
        <f>VLOOKUP(ROUNDUP(A516/8,0),Sheet2!A:B,2,FALSE())</f>
        <v>113016</v>
      </c>
      <c r="C516" s="178">
        <f t="shared" si="7"/>
        <v>6</v>
      </c>
      <c r="D516" s="179">
        <f>VLOOKUP(C516,Sheet2!$BK$11:$BN$19,VLOOKUP(B516,Sheet2!B:BC,21,FALSE)+1,FALSE)</f>
        <v>1.7</v>
      </c>
      <c r="E516" s="119">
        <v>0</v>
      </c>
      <c r="F516" s="13" t="s">
        <v>18</v>
      </c>
    </row>
    <row r="517" ht="16.5" spans="1:6">
      <c r="A517" s="119">
        <v>511</v>
      </c>
      <c r="B517" s="177">
        <f>VLOOKUP(ROUNDUP(A517/8,0),Sheet2!A:B,2,FALSE())</f>
        <v>113016</v>
      </c>
      <c r="C517" s="178">
        <f t="shared" si="7"/>
        <v>7</v>
      </c>
      <c r="D517" s="179">
        <f>VLOOKUP(C517,Sheet2!$BK$11:$BN$19,VLOOKUP(B517,Sheet2!B:BC,21,FALSE)+1,FALSE)</f>
        <v>1.7</v>
      </c>
      <c r="E517" s="119">
        <v>0</v>
      </c>
      <c r="F517" s="13" t="s">
        <v>18</v>
      </c>
    </row>
    <row r="518" ht="16.5" spans="1:6">
      <c r="A518" s="119">
        <v>512</v>
      </c>
      <c r="B518" s="177">
        <f>VLOOKUP(ROUNDUP(A518/8,0),Sheet2!A:B,2,FALSE())</f>
        <v>113016</v>
      </c>
      <c r="C518" s="178">
        <f t="shared" si="7"/>
        <v>8</v>
      </c>
      <c r="D518" s="179">
        <f>VLOOKUP(C518,Sheet2!$BK$11:$BN$19,VLOOKUP(B518,Sheet2!B:BC,21,FALSE)+1,FALSE)</f>
        <v>2</v>
      </c>
      <c r="E518" s="119">
        <v>0</v>
      </c>
      <c r="F518" s="13" t="s">
        <v>18</v>
      </c>
    </row>
    <row r="519" ht="16.5" spans="1:6">
      <c r="A519" s="119">
        <v>513</v>
      </c>
      <c r="B519" s="177">
        <f>VLOOKUP(ROUNDUP(A519/8,0),Sheet2!A:B,2,FALSE())</f>
        <v>113017</v>
      </c>
      <c r="C519" s="178">
        <f t="shared" si="7"/>
        <v>1</v>
      </c>
      <c r="D519" s="179">
        <f>VLOOKUP(C519,Sheet2!$BK$11:$BN$19,VLOOKUP(B519,Sheet2!B:BC,21,FALSE)+1,FALSE)</f>
        <v>1.2</v>
      </c>
      <c r="E519" s="119">
        <v>0</v>
      </c>
      <c r="F519" s="13" t="s">
        <v>17</v>
      </c>
    </row>
    <row r="520" ht="16.5" spans="1:6">
      <c r="A520" s="119">
        <v>514</v>
      </c>
      <c r="B520" s="177">
        <f>VLOOKUP(ROUNDUP(A520/8,0),Sheet2!A:B,2,FALSE())</f>
        <v>113017</v>
      </c>
      <c r="C520" s="178">
        <f t="shared" si="7"/>
        <v>2</v>
      </c>
      <c r="D520" s="179">
        <f>VLOOKUP(C520,Sheet2!$BK$11:$BN$19,VLOOKUP(B520,Sheet2!B:BC,21,FALSE)+1,FALSE)</f>
        <v>1.2</v>
      </c>
      <c r="E520" s="119">
        <v>0</v>
      </c>
      <c r="F520" s="13" t="s">
        <v>17</v>
      </c>
    </row>
    <row r="521" ht="16.5" spans="1:6">
      <c r="A521" s="119">
        <v>515</v>
      </c>
      <c r="B521" s="177">
        <f>VLOOKUP(ROUNDUP(A521/8,0),Sheet2!A:B,2,FALSE())</f>
        <v>113017</v>
      </c>
      <c r="C521" s="178">
        <f t="shared" si="7"/>
        <v>3</v>
      </c>
      <c r="D521" s="179">
        <f>VLOOKUP(C521,Sheet2!$BK$11:$BN$19,VLOOKUP(B521,Sheet2!B:BC,21,FALSE)+1,FALSE)</f>
        <v>1.2</v>
      </c>
      <c r="E521" s="119">
        <v>0</v>
      </c>
      <c r="F521" s="13" t="s">
        <v>17</v>
      </c>
    </row>
    <row r="522" ht="16.5" spans="1:6">
      <c r="A522" s="119">
        <v>516</v>
      </c>
      <c r="B522" s="177">
        <f>VLOOKUP(ROUNDUP(A522/8,0),Sheet2!A:B,2,FALSE())</f>
        <v>113017</v>
      </c>
      <c r="C522" s="178">
        <f t="shared" si="7"/>
        <v>4</v>
      </c>
      <c r="D522" s="179">
        <f>VLOOKUP(C522,Sheet2!$BK$11:$BN$19,VLOOKUP(B522,Sheet2!B:BC,21,FALSE)+1,FALSE)</f>
        <v>1.5</v>
      </c>
      <c r="E522" s="119">
        <v>0</v>
      </c>
      <c r="F522" s="13" t="s">
        <v>17</v>
      </c>
    </row>
    <row r="523" ht="16.5" spans="1:6">
      <c r="A523" s="119">
        <v>517</v>
      </c>
      <c r="B523" s="177">
        <f>VLOOKUP(ROUNDUP(A523/8,0),Sheet2!A:B,2,FALSE())</f>
        <v>113017</v>
      </c>
      <c r="C523" s="178">
        <f t="shared" si="7"/>
        <v>5</v>
      </c>
      <c r="D523" s="179">
        <f>VLOOKUP(C523,Sheet2!$BK$11:$BN$19,VLOOKUP(B523,Sheet2!B:BC,21,FALSE)+1,FALSE)</f>
        <v>1.5</v>
      </c>
      <c r="E523" s="119">
        <v>0</v>
      </c>
      <c r="F523" s="13" t="s">
        <v>17</v>
      </c>
    </row>
    <row r="524" ht="16.5" spans="1:6">
      <c r="A524" s="119">
        <v>518</v>
      </c>
      <c r="B524" s="177">
        <f>VLOOKUP(ROUNDUP(A524/8,0),Sheet2!A:B,2,FALSE())</f>
        <v>113017</v>
      </c>
      <c r="C524" s="178">
        <f t="shared" si="7"/>
        <v>6</v>
      </c>
      <c r="D524" s="179">
        <f>VLOOKUP(C524,Sheet2!$BK$11:$BN$19,VLOOKUP(B524,Sheet2!B:BC,21,FALSE)+1,FALSE)</f>
        <v>1.7</v>
      </c>
      <c r="E524" s="119">
        <v>0</v>
      </c>
      <c r="F524" s="13" t="s">
        <v>17</v>
      </c>
    </row>
    <row r="525" ht="16.5" spans="1:6">
      <c r="A525" s="119">
        <v>519</v>
      </c>
      <c r="B525" s="177">
        <f>VLOOKUP(ROUNDUP(A525/8,0),Sheet2!A:B,2,FALSE())</f>
        <v>113017</v>
      </c>
      <c r="C525" s="178">
        <f t="shared" si="7"/>
        <v>7</v>
      </c>
      <c r="D525" s="179">
        <f>VLOOKUP(C525,Sheet2!$BK$11:$BN$19,VLOOKUP(B525,Sheet2!B:BC,21,FALSE)+1,FALSE)</f>
        <v>1.7</v>
      </c>
      <c r="E525" s="119">
        <v>0</v>
      </c>
      <c r="F525" s="13" t="s">
        <v>17</v>
      </c>
    </row>
    <row r="526" ht="16.5" spans="1:6">
      <c r="A526" s="119">
        <v>520</v>
      </c>
      <c r="B526" s="177">
        <f>VLOOKUP(ROUNDUP(A526/8,0),Sheet2!A:B,2,FALSE())</f>
        <v>113017</v>
      </c>
      <c r="C526" s="178">
        <f t="shared" si="7"/>
        <v>8</v>
      </c>
      <c r="D526" s="179">
        <f>VLOOKUP(C526,Sheet2!$BK$11:$BN$19,VLOOKUP(B526,Sheet2!B:BC,21,FALSE)+1,FALSE)</f>
        <v>2</v>
      </c>
      <c r="E526" s="119">
        <v>0</v>
      </c>
      <c r="F526" s="13" t="s">
        <v>17</v>
      </c>
    </row>
    <row r="527" ht="16.5" spans="1:6">
      <c r="A527" s="119">
        <v>521</v>
      </c>
      <c r="B527" s="177">
        <f>VLOOKUP(ROUNDUP(A527/8,0),Sheet2!A:B,2,FALSE())</f>
        <v>113018</v>
      </c>
      <c r="C527" s="178">
        <f t="shared" si="7"/>
        <v>1</v>
      </c>
      <c r="D527" s="179">
        <f>VLOOKUP(C527,Sheet2!$BK$11:$BN$19,VLOOKUP(B527,Sheet2!B:BC,21,FALSE)+1,FALSE)</f>
        <v>1.2</v>
      </c>
      <c r="E527" s="119">
        <v>0</v>
      </c>
      <c r="F527" s="13" t="s">
        <v>20</v>
      </c>
    </row>
    <row r="528" ht="16.5" spans="1:6">
      <c r="A528" s="119">
        <v>522</v>
      </c>
      <c r="B528" s="177">
        <f>VLOOKUP(ROUNDUP(A528/8,0),Sheet2!A:B,2,FALSE())</f>
        <v>113018</v>
      </c>
      <c r="C528" s="178">
        <f t="shared" ref="C528:C591" si="8">C520</f>
        <v>2</v>
      </c>
      <c r="D528" s="179">
        <f>VLOOKUP(C528,Sheet2!$BK$11:$BN$19,VLOOKUP(B528,Sheet2!B:BC,21,FALSE)+1,FALSE)</f>
        <v>1.2</v>
      </c>
      <c r="E528" s="119">
        <v>0</v>
      </c>
      <c r="F528" s="13" t="s">
        <v>20</v>
      </c>
    </row>
    <row r="529" ht="16.5" spans="1:6">
      <c r="A529" s="119">
        <v>523</v>
      </c>
      <c r="B529" s="177">
        <f>VLOOKUP(ROUNDUP(A529/8,0),Sheet2!A:B,2,FALSE())</f>
        <v>113018</v>
      </c>
      <c r="C529" s="178">
        <f t="shared" si="8"/>
        <v>3</v>
      </c>
      <c r="D529" s="179">
        <f>VLOOKUP(C529,Sheet2!$BK$11:$BN$19,VLOOKUP(B529,Sheet2!B:BC,21,FALSE)+1,FALSE)</f>
        <v>1.2</v>
      </c>
      <c r="E529" s="119">
        <v>0</v>
      </c>
      <c r="F529" s="13" t="s">
        <v>20</v>
      </c>
    </row>
    <row r="530" ht="16.5" spans="1:6">
      <c r="A530" s="119">
        <v>524</v>
      </c>
      <c r="B530" s="177">
        <f>VLOOKUP(ROUNDUP(A530/8,0),Sheet2!A:B,2,FALSE())</f>
        <v>113018</v>
      </c>
      <c r="C530" s="178">
        <f t="shared" si="8"/>
        <v>4</v>
      </c>
      <c r="D530" s="179">
        <f>VLOOKUP(C530,Sheet2!$BK$11:$BN$19,VLOOKUP(B530,Sheet2!B:BC,21,FALSE)+1,FALSE)</f>
        <v>1.5</v>
      </c>
      <c r="E530" s="119">
        <v>0</v>
      </c>
      <c r="F530" s="13" t="s">
        <v>20</v>
      </c>
    </row>
    <row r="531" ht="16.5" spans="1:6">
      <c r="A531" s="119">
        <v>525</v>
      </c>
      <c r="B531" s="177">
        <f>VLOOKUP(ROUNDUP(A531/8,0),Sheet2!A:B,2,FALSE())</f>
        <v>113018</v>
      </c>
      <c r="C531" s="178">
        <f t="shared" si="8"/>
        <v>5</v>
      </c>
      <c r="D531" s="179">
        <f>VLOOKUP(C531,Sheet2!$BK$11:$BN$19,VLOOKUP(B531,Sheet2!B:BC,21,FALSE)+1,FALSE)</f>
        <v>1.5</v>
      </c>
      <c r="E531" s="119">
        <v>0</v>
      </c>
      <c r="F531" s="13" t="s">
        <v>20</v>
      </c>
    </row>
    <row r="532" ht="16.5" spans="1:6">
      <c r="A532" s="119">
        <v>526</v>
      </c>
      <c r="B532" s="177">
        <f>VLOOKUP(ROUNDUP(A532/8,0),Sheet2!A:B,2,FALSE())</f>
        <v>113018</v>
      </c>
      <c r="C532" s="178">
        <f t="shared" si="8"/>
        <v>6</v>
      </c>
      <c r="D532" s="179">
        <f>VLOOKUP(C532,Sheet2!$BK$11:$BN$19,VLOOKUP(B532,Sheet2!B:BC,21,FALSE)+1,FALSE)</f>
        <v>1.7</v>
      </c>
      <c r="E532" s="119">
        <v>0</v>
      </c>
      <c r="F532" s="13" t="s">
        <v>20</v>
      </c>
    </row>
    <row r="533" ht="16.5" spans="1:6">
      <c r="A533" s="119">
        <v>527</v>
      </c>
      <c r="B533" s="177">
        <f>VLOOKUP(ROUNDUP(A533/8,0),Sheet2!A:B,2,FALSE())</f>
        <v>113018</v>
      </c>
      <c r="C533" s="178">
        <f t="shared" si="8"/>
        <v>7</v>
      </c>
      <c r="D533" s="179">
        <f>VLOOKUP(C533,Sheet2!$BK$11:$BN$19,VLOOKUP(B533,Sheet2!B:BC,21,FALSE)+1,FALSE)</f>
        <v>1.7</v>
      </c>
      <c r="E533" s="119">
        <v>0</v>
      </c>
      <c r="F533" s="13" t="s">
        <v>20</v>
      </c>
    </row>
    <row r="534" ht="16.5" spans="1:6">
      <c r="A534" s="119">
        <v>528</v>
      </c>
      <c r="B534" s="177">
        <f>VLOOKUP(ROUNDUP(A534/8,0),Sheet2!A:B,2,FALSE())</f>
        <v>113018</v>
      </c>
      <c r="C534" s="178">
        <f t="shared" si="8"/>
        <v>8</v>
      </c>
      <c r="D534" s="179">
        <f>VLOOKUP(C534,Sheet2!$BK$11:$BN$19,VLOOKUP(B534,Sheet2!B:BC,21,FALSE)+1,FALSE)</f>
        <v>2</v>
      </c>
      <c r="E534" s="119">
        <v>0</v>
      </c>
      <c r="F534" s="13" t="s">
        <v>20</v>
      </c>
    </row>
    <row r="535" ht="16.5" spans="1:6">
      <c r="A535" s="119">
        <v>529</v>
      </c>
      <c r="B535" s="177">
        <f>VLOOKUP(ROUNDUP(A535/8,0),Sheet2!A:B,2,FALSE())</f>
        <v>113019</v>
      </c>
      <c r="C535" s="178">
        <f t="shared" si="8"/>
        <v>1</v>
      </c>
      <c r="D535" s="179">
        <f>VLOOKUP(C535,Sheet2!$BK$11:$BN$19,VLOOKUP(B535,Sheet2!B:BC,21,FALSE)+1,FALSE)</f>
        <v>1.2</v>
      </c>
      <c r="E535" s="119">
        <v>0</v>
      </c>
      <c r="F535" s="13" t="s">
        <v>19</v>
      </c>
    </row>
    <row r="536" ht="16.5" spans="1:6">
      <c r="A536" s="119">
        <v>530</v>
      </c>
      <c r="B536" s="177">
        <f>VLOOKUP(ROUNDUP(A536/8,0),Sheet2!A:B,2,FALSE())</f>
        <v>113019</v>
      </c>
      <c r="C536" s="178">
        <f t="shared" si="8"/>
        <v>2</v>
      </c>
      <c r="D536" s="179">
        <f>VLOOKUP(C536,Sheet2!$BK$11:$BN$19,VLOOKUP(B536,Sheet2!B:BC,21,FALSE)+1,FALSE)</f>
        <v>1.2</v>
      </c>
      <c r="E536" s="119">
        <v>0</v>
      </c>
      <c r="F536" s="13" t="s">
        <v>19</v>
      </c>
    </row>
    <row r="537" ht="16.5" spans="1:6">
      <c r="A537" s="119">
        <v>531</v>
      </c>
      <c r="B537" s="177">
        <f>VLOOKUP(ROUNDUP(A537/8,0),Sheet2!A:B,2,FALSE())</f>
        <v>113019</v>
      </c>
      <c r="C537" s="178">
        <f t="shared" si="8"/>
        <v>3</v>
      </c>
      <c r="D537" s="179">
        <f>VLOOKUP(C537,Sheet2!$BK$11:$BN$19,VLOOKUP(B537,Sheet2!B:BC,21,FALSE)+1,FALSE)</f>
        <v>1.2</v>
      </c>
      <c r="E537" s="119">
        <v>0</v>
      </c>
      <c r="F537" s="13" t="s">
        <v>19</v>
      </c>
    </row>
    <row r="538" ht="16.5" spans="1:6">
      <c r="A538" s="119">
        <v>532</v>
      </c>
      <c r="B538" s="177">
        <f>VLOOKUP(ROUNDUP(A538/8,0),Sheet2!A:B,2,FALSE())</f>
        <v>113019</v>
      </c>
      <c r="C538" s="178">
        <f t="shared" si="8"/>
        <v>4</v>
      </c>
      <c r="D538" s="179">
        <f>VLOOKUP(C538,Sheet2!$BK$11:$BN$19,VLOOKUP(B538,Sheet2!B:BC,21,FALSE)+1,FALSE)</f>
        <v>1.5</v>
      </c>
      <c r="E538" s="119">
        <v>0</v>
      </c>
      <c r="F538" s="13" t="s">
        <v>19</v>
      </c>
    </row>
    <row r="539" ht="16.5" spans="1:6">
      <c r="A539" s="119">
        <v>533</v>
      </c>
      <c r="B539" s="177">
        <f>VLOOKUP(ROUNDUP(A539/8,0),Sheet2!A:B,2,FALSE())</f>
        <v>113019</v>
      </c>
      <c r="C539" s="178">
        <f t="shared" si="8"/>
        <v>5</v>
      </c>
      <c r="D539" s="179">
        <f>VLOOKUP(C539,Sheet2!$BK$11:$BN$19,VLOOKUP(B539,Sheet2!B:BC,21,FALSE)+1,FALSE)</f>
        <v>1.5</v>
      </c>
      <c r="E539" s="119">
        <v>0</v>
      </c>
      <c r="F539" s="13" t="s">
        <v>19</v>
      </c>
    </row>
    <row r="540" ht="16.5" spans="1:6">
      <c r="A540" s="119">
        <v>534</v>
      </c>
      <c r="B540" s="177">
        <f>VLOOKUP(ROUNDUP(A540/8,0),Sheet2!A:B,2,FALSE())</f>
        <v>113019</v>
      </c>
      <c r="C540" s="178">
        <f t="shared" si="8"/>
        <v>6</v>
      </c>
      <c r="D540" s="179">
        <f>VLOOKUP(C540,Sheet2!$BK$11:$BN$19,VLOOKUP(B540,Sheet2!B:BC,21,FALSE)+1,FALSE)</f>
        <v>1.7</v>
      </c>
      <c r="E540" s="119">
        <v>0</v>
      </c>
      <c r="F540" s="13" t="s">
        <v>19</v>
      </c>
    </row>
    <row r="541" ht="16.5" spans="1:6">
      <c r="A541" s="119">
        <v>535</v>
      </c>
      <c r="B541" s="177">
        <f>VLOOKUP(ROUNDUP(A541/8,0),Sheet2!A:B,2,FALSE())</f>
        <v>113019</v>
      </c>
      <c r="C541" s="178">
        <f t="shared" si="8"/>
        <v>7</v>
      </c>
      <c r="D541" s="179">
        <f>VLOOKUP(C541,Sheet2!$BK$11:$BN$19,VLOOKUP(B541,Sheet2!B:BC,21,FALSE)+1,FALSE)</f>
        <v>1.7</v>
      </c>
      <c r="E541" s="119">
        <v>0</v>
      </c>
      <c r="F541" s="13" t="s">
        <v>19</v>
      </c>
    </row>
    <row r="542" ht="16.5" spans="1:6">
      <c r="A542" s="119">
        <v>536</v>
      </c>
      <c r="B542" s="177">
        <f>VLOOKUP(ROUNDUP(A542/8,0),Sheet2!A:B,2,FALSE())</f>
        <v>113019</v>
      </c>
      <c r="C542" s="178">
        <f t="shared" si="8"/>
        <v>8</v>
      </c>
      <c r="D542" s="179">
        <f>VLOOKUP(C542,Sheet2!$BK$11:$BN$19,VLOOKUP(B542,Sheet2!B:BC,21,FALSE)+1,FALSE)</f>
        <v>2</v>
      </c>
      <c r="E542" s="119">
        <v>0</v>
      </c>
      <c r="F542" s="13" t="s">
        <v>19</v>
      </c>
    </row>
    <row r="543" ht="16.5" spans="1:6">
      <c r="A543" s="119">
        <v>537</v>
      </c>
      <c r="B543" s="177">
        <f>VLOOKUP(ROUNDUP(A543/8,0),Sheet2!A:B,2,FALSE())</f>
        <v>113020</v>
      </c>
      <c r="C543" s="178">
        <f t="shared" si="8"/>
        <v>1</v>
      </c>
      <c r="D543" s="179">
        <f>VLOOKUP(C543,Sheet2!$BK$11:$BN$19,VLOOKUP(B543,Sheet2!B:BC,21,FALSE)+1,FALSE)</f>
        <v>1.2</v>
      </c>
      <c r="E543" s="119">
        <v>0</v>
      </c>
      <c r="F543" s="13" t="s">
        <v>17</v>
      </c>
    </row>
    <row r="544" ht="16.5" spans="1:6">
      <c r="A544" s="119">
        <v>538</v>
      </c>
      <c r="B544" s="177">
        <f>VLOOKUP(ROUNDUP(A544/8,0),Sheet2!A:B,2,FALSE())</f>
        <v>113020</v>
      </c>
      <c r="C544" s="178">
        <f t="shared" si="8"/>
        <v>2</v>
      </c>
      <c r="D544" s="179">
        <f>VLOOKUP(C544,Sheet2!$BK$11:$BN$19,VLOOKUP(B544,Sheet2!B:BC,21,FALSE)+1,FALSE)</f>
        <v>1.2</v>
      </c>
      <c r="E544" s="119">
        <v>0</v>
      </c>
      <c r="F544" s="13" t="s">
        <v>17</v>
      </c>
    </row>
    <row r="545" ht="16.5" spans="1:6">
      <c r="A545" s="119">
        <v>539</v>
      </c>
      <c r="B545" s="177">
        <f>VLOOKUP(ROUNDUP(A545/8,0),Sheet2!A:B,2,FALSE())</f>
        <v>113020</v>
      </c>
      <c r="C545" s="178">
        <f t="shared" si="8"/>
        <v>3</v>
      </c>
      <c r="D545" s="179">
        <f>VLOOKUP(C545,Sheet2!$BK$11:$BN$19,VLOOKUP(B545,Sheet2!B:BC,21,FALSE)+1,FALSE)</f>
        <v>1.2</v>
      </c>
      <c r="E545" s="119">
        <v>0</v>
      </c>
      <c r="F545" s="13" t="s">
        <v>17</v>
      </c>
    </row>
    <row r="546" ht="16.5" spans="1:6">
      <c r="A546" s="119">
        <v>540</v>
      </c>
      <c r="B546" s="177">
        <f>VLOOKUP(ROUNDUP(A546/8,0),Sheet2!A:B,2,FALSE())</f>
        <v>113020</v>
      </c>
      <c r="C546" s="178">
        <f t="shared" si="8"/>
        <v>4</v>
      </c>
      <c r="D546" s="179">
        <f>VLOOKUP(C546,Sheet2!$BK$11:$BN$19,VLOOKUP(B546,Sheet2!B:BC,21,FALSE)+1,FALSE)</f>
        <v>1.5</v>
      </c>
      <c r="E546" s="119">
        <v>0</v>
      </c>
      <c r="F546" s="13" t="s">
        <v>17</v>
      </c>
    </row>
    <row r="547" ht="16.5" spans="1:6">
      <c r="A547" s="119">
        <v>541</v>
      </c>
      <c r="B547" s="177">
        <f>VLOOKUP(ROUNDUP(A547/8,0),Sheet2!A:B,2,FALSE())</f>
        <v>113020</v>
      </c>
      <c r="C547" s="178">
        <f t="shared" si="8"/>
        <v>5</v>
      </c>
      <c r="D547" s="179">
        <f>VLOOKUP(C547,Sheet2!$BK$11:$BN$19,VLOOKUP(B547,Sheet2!B:BC,21,FALSE)+1,FALSE)</f>
        <v>1.5</v>
      </c>
      <c r="E547" s="119">
        <v>0</v>
      </c>
      <c r="F547" s="13" t="s">
        <v>17</v>
      </c>
    </row>
    <row r="548" ht="16.5" spans="1:6">
      <c r="A548" s="119">
        <v>542</v>
      </c>
      <c r="B548" s="177">
        <f>VLOOKUP(ROUNDUP(A548/8,0),Sheet2!A:B,2,FALSE())</f>
        <v>113020</v>
      </c>
      <c r="C548" s="178">
        <f t="shared" si="8"/>
        <v>6</v>
      </c>
      <c r="D548" s="179">
        <f>VLOOKUP(C548,Sheet2!$BK$11:$BN$19,VLOOKUP(B548,Sheet2!B:BC,21,FALSE)+1,FALSE)</f>
        <v>1.7</v>
      </c>
      <c r="E548" s="119">
        <v>0</v>
      </c>
      <c r="F548" s="13" t="s">
        <v>17</v>
      </c>
    </row>
    <row r="549" ht="16.5" spans="1:6">
      <c r="A549" s="119">
        <v>543</v>
      </c>
      <c r="B549" s="177">
        <f>VLOOKUP(ROUNDUP(A549/8,0),Sheet2!A:B,2,FALSE())</f>
        <v>113020</v>
      </c>
      <c r="C549" s="178">
        <f t="shared" si="8"/>
        <v>7</v>
      </c>
      <c r="D549" s="179">
        <f>VLOOKUP(C549,Sheet2!$BK$11:$BN$19,VLOOKUP(B549,Sheet2!B:BC,21,FALSE)+1,FALSE)</f>
        <v>1.7</v>
      </c>
      <c r="E549" s="119">
        <v>0</v>
      </c>
      <c r="F549" s="13" t="s">
        <v>17</v>
      </c>
    </row>
    <row r="550" ht="16.5" spans="1:6">
      <c r="A550" s="119">
        <v>544</v>
      </c>
      <c r="B550" s="177">
        <f>VLOOKUP(ROUNDUP(A550/8,0),Sheet2!A:B,2,FALSE())</f>
        <v>113020</v>
      </c>
      <c r="C550" s="178">
        <f t="shared" si="8"/>
        <v>8</v>
      </c>
      <c r="D550" s="179">
        <f>VLOOKUP(C550,Sheet2!$BK$11:$BN$19,VLOOKUP(B550,Sheet2!B:BC,21,FALSE)+1,FALSE)</f>
        <v>2</v>
      </c>
      <c r="E550" s="119">
        <v>0</v>
      </c>
      <c r="F550" s="13" t="s">
        <v>17</v>
      </c>
    </row>
    <row r="551" ht="16.5" spans="1:6">
      <c r="A551" s="119">
        <v>545</v>
      </c>
      <c r="B551" s="177">
        <f>VLOOKUP(ROUNDUP(A551/8,0),Sheet2!A:B,2,FALSE())</f>
        <v>113021</v>
      </c>
      <c r="C551" s="178">
        <f t="shared" si="8"/>
        <v>1</v>
      </c>
      <c r="D551" s="179">
        <f>VLOOKUP(C551,Sheet2!$BK$11:$BN$19,VLOOKUP(B551,Sheet2!B:BC,21,FALSE)+1,FALSE)</f>
        <v>1.2</v>
      </c>
      <c r="E551" s="119">
        <v>0</v>
      </c>
      <c r="F551" s="13" t="s">
        <v>18</v>
      </c>
    </row>
    <row r="552" ht="16.5" spans="1:6">
      <c r="A552" s="119">
        <v>546</v>
      </c>
      <c r="B552" s="177">
        <f>VLOOKUP(ROUNDUP(A552/8,0),Sheet2!A:B,2,FALSE())</f>
        <v>113021</v>
      </c>
      <c r="C552" s="178">
        <f t="shared" si="8"/>
        <v>2</v>
      </c>
      <c r="D552" s="179">
        <f>VLOOKUP(C552,Sheet2!$BK$11:$BN$19,VLOOKUP(B552,Sheet2!B:BC,21,FALSE)+1,FALSE)</f>
        <v>1.2</v>
      </c>
      <c r="E552" s="119">
        <v>0</v>
      </c>
      <c r="F552" s="13" t="s">
        <v>18</v>
      </c>
    </row>
    <row r="553" ht="16.5" spans="1:6">
      <c r="A553" s="119">
        <v>547</v>
      </c>
      <c r="B553" s="177">
        <f>VLOOKUP(ROUNDUP(A553/8,0),Sheet2!A:B,2,FALSE())</f>
        <v>113021</v>
      </c>
      <c r="C553" s="178">
        <f t="shared" si="8"/>
        <v>3</v>
      </c>
      <c r="D553" s="179">
        <f>VLOOKUP(C553,Sheet2!$BK$11:$BN$19,VLOOKUP(B553,Sheet2!B:BC,21,FALSE)+1,FALSE)</f>
        <v>1.2</v>
      </c>
      <c r="E553" s="119">
        <v>0</v>
      </c>
      <c r="F553" s="13" t="s">
        <v>18</v>
      </c>
    </row>
    <row r="554" ht="16.5" spans="1:6">
      <c r="A554" s="119">
        <v>548</v>
      </c>
      <c r="B554" s="177">
        <f>VLOOKUP(ROUNDUP(A554/8,0),Sheet2!A:B,2,FALSE())</f>
        <v>113021</v>
      </c>
      <c r="C554" s="178">
        <f t="shared" si="8"/>
        <v>4</v>
      </c>
      <c r="D554" s="179">
        <f>VLOOKUP(C554,Sheet2!$BK$11:$BN$19,VLOOKUP(B554,Sheet2!B:BC,21,FALSE)+1,FALSE)</f>
        <v>1.5</v>
      </c>
      <c r="E554" s="119">
        <v>0</v>
      </c>
      <c r="F554" s="13" t="s">
        <v>18</v>
      </c>
    </row>
    <row r="555" ht="16.5" spans="1:6">
      <c r="A555" s="119">
        <v>549</v>
      </c>
      <c r="B555" s="177">
        <f>VLOOKUP(ROUNDUP(A555/8,0),Sheet2!A:B,2,FALSE())</f>
        <v>113021</v>
      </c>
      <c r="C555" s="178">
        <f t="shared" si="8"/>
        <v>5</v>
      </c>
      <c r="D555" s="179">
        <f>VLOOKUP(C555,Sheet2!$BK$11:$BN$19,VLOOKUP(B555,Sheet2!B:BC,21,FALSE)+1,FALSE)</f>
        <v>1.5</v>
      </c>
      <c r="E555" s="119">
        <v>0</v>
      </c>
      <c r="F555" s="13" t="s">
        <v>18</v>
      </c>
    </row>
    <row r="556" ht="16.5" spans="1:6">
      <c r="A556" s="119">
        <v>550</v>
      </c>
      <c r="B556" s="177">
        <f>VLOOKUP(ROUNDUP(A556/8,0),Sheet2!A:B,2,FALSE())</f>
        <v>113021</v>
      </c>
      <c r="C556" s="178">
        <f t="shared" si="8"/>
        <v>6</v>
      </c>
      <c r="D556" s="179">
        <f>VLOOKUP(C556,Sheet2!$BK$11:$BN$19,VLOOKUP(B556,Sheet2!B:BC,21,FALSE)+1,FALSE)</f>
        <v>1.7</v>
      </c>
      <c r="E556" s="119">
        <v>0</v>
      </c>
      <c r="F556" s="13" t="s">
        <v>18</v>
      </c>
    </row>
    <row r="557" ht="16.5" spans="1:6">
      <c r="A557" s="119">
        <v>551</v>
      </c>
      <c r="B557" s="177">
        <f>VLOOKUP(ROUNDUP(A557/8,0),Sheet2!A:B,2,FALSE())</f>
        <v>113021</v>
      </c>
      <c r="C557" s="178">
        <f t="shared" si="8"/>
        <v>7</v>
      </c>
      <c r="D557" s="179">
        <f>VLOOKUP(C557,Sheet2!$BK$11:$BN$19,VLOOKUP(B557,Sheet2!B:BC,21,FALSE)+1,FALSE)</f>
        <v>1.7</v>
      </c>
      <c r="E557" s="119">
        <v>0</v>
      </c>
      <c r="F557" s="13" t="s">
        <v>18</v>
      </c>
    </row>
    <row r="558" ht="16.5" spans="1:6">
      <c r="A558" s="119">
        <v>552</v>
      </c>
      <c r="B558" s="177">
        <f>VLOOKUP(ROUNDUP(A558/8,0),Sheet2!A:B,2,FALSE())</f>
        <v>113021</v>
      </c>
      <c r="C558" s="178">
        <f t="shared" si="8"/>
        <v>8</v>
      </c>
      <c r="D558" s="179">
        <f>VLOOKUP(C558,Sheet2!$BK$11:$BN$19,VLOOKUP(B558,Sheet2!B:BC,21,FALSE)+1,FALSE)</f>
        <v>2</v>
      </c>
      <c r="E558" s="119">
        <v>0</v>
      </c>
      <c r="F558" s="13" t="s">
        <v>18</v>
      </c>
    </row>
    <row r="559" ht="16.5" spans="1:6">
      <c r="A559" s="119">
        <v>553</v>
      </c>
      <c r="B559" s="177">
        <f>VLOOKUP(ROUNDUP(A559/8,0),Sheet2!A:B,2,FALSE())</f>
        <v>113022</v>
      </c>
      <c r="C559" s="178">
        <f t="shared" si="8"/>
        <v>1</v>
      </c>
      <c r="D559" s="179">
        <f>VLOOKUP(C559,Sheet2!$BK$11:$BN$19,VLOOKUP(B559,Sheet2!B:BC,21,FALSE)+1,FALSE)</f>
        <v>1.2</v>
      </c>
      <c r="E559" s="119">
        <v>0</v>
      </c>
      <c r="F559" s="13" t="s">
        <v>19</v>
      </c>
    </row>
    <row r="560" ht="16.5" spans="1:6">
      <c r="A560" s="119">
        <v>554</v>
      </c>
      <c r="B560" s="177">
        <f>VLOOKUP(ROUNDUP(A560/8,0),Sheet2!A:B,2,FALSE())</f>
        <v>113022</v>
      </c>
      <c r="C560" s="178">
        <f t="shared" si="8"/>
        <v>2</v>
      </c>
      <c r="D560" s="179">
        <f>VLOOKUP(C560,Sheet2!$BK$11:$BN$19,VLOOKUP(B560,Sheet2!B:BC,21,FALSE)+1,FALSE)</f>
        <v>1.2</v>
      </c>
      <c r="E560" s="119">
        <v>0</v>
      </c>
      <c r="F560" s="13" t="s">
        <v>19</v>
      </c>
    </row>
    <row r="561" ht="16.5" spans="1:6">
      <c r="A561" s="119">
        <v>555</v>
      </c>
      <c r="B561" s="177">
        <f>VLOOKUP(ROUNDUP(A561/8,0),Sheet2!A:B,2,FALSE())</f>
        <v>113022</v>
      </c>
      <c r="C561" s="178">
        <f t="shared" si="8"/>
        <v>3</v>
      </c>
      <c r="D561" s="179">
        <f>VLOOKUP(C561,Sheet2!$BK$11:$BN$19,VLOOKUP(B561,Sheet2!B:BC,21,FALSE)+1,FALSE)</f>
        <v>1.2</v>
      </c>
      <c r="E561" s="119">
        <v>0</v>
      </c>
      <c r="F561" s="13" t="s">
        <v>19</v>
      </c>
    </row>
    <row r="562" ht="16.5" spans="1:6">
      <c r="A562" s="119">
        <v>556</v>
      </c>
      <c r="B562" s="177">
        <f>VLOOKUP(ROUNDUP(A562/8,0),Sheet2!A:B,2,FALSE())</f>
        <v>113022</v>
      </c>
      <c r="C562" s="178">
        <f t="shared" si="8"/>
        <v>4</v>
      </c>
      <c r="D562" s="179">
        <f>VLOOKUP(C562,Sheet2!$BK$11:$BN$19,VLOOKUP(B562,Sheet2!B:BC,21,FALSE)+1,FALSE)</f>
        <v>1.5</v>
      </c>
      <c r="E562" s="119">
        <v>0</v>
      </c>
      <c r="F562" s="13" t="s">
        <v>19</v>
      </c>
    </row>
    <row r="563" ht="16.5" spans="1:6">
      <c r="A563" s="119">
        <v>557</v>
      </c>
      <c r="B563" s="177">
        <f>VLOOKUP(ROUNDUP(A563/8,0),Sheet2!A:B,2,FALSE())</f>
        <v>113022</v>
      </c>
      <c r="C563" s="178">
        <f t="shared" si="8"/>
        <v>5</v>
      </c>
      <c r="D563" s="179">
        <f>VLOOKUP(C563,Sheet2!$BK$11:$BN$19,VLOOKUP(B563,Sheet2!B:BC,21,FALSE)+1,FALSE)</f>
        <v>1.5</v>
      </c>
      <c r="E563" s="119">
        <v>0</v>
      </c>
      <c r="F563" s="13" t="s">
        <v>19</v>
      </c>
    </row>
    <row r="564" ht="16.5" spans="1:6">
      <c r="A564" s="119">
        <v>558</v>
      </c>
      <c r="B564" s="177">
        <f>VLOOKUP(ROUNDUP(A564/8,0),Sheet2!A:B,2,FALSE())</f>
        <v>113022</v>
      </c>
      <c r="C564" s="178">
        <f t="shared" si="8"/>
        <v>6</v>
      </c>
      <c r="D564" s="179">
        <f>VLOOKUP(C564,Sheet2!$BK$11:$BN$19,VLOOKUP(B564,Sheet2!B:BC,21,FALSE)+1,FALSE)</f>
        <v>1.7</v>
      </c>
      <c r="E564" s="119">
        <v>0</v>
      </c>
      <c r="F564" s="13" t="s">
        <v>19</v>
      </c>
    </row>
    <row r="565" ht="16.5" spans="1:6">
      <c r="A565" s="119">
        <v>559</v>
      </c>
      <c r="B565" s="177">
        <f>VLOOKUP(ROUNDUP(A565/8,0),Sheet2!A:B,2,FALSE())</f>
        <v>113022</v>
      </c>
      <c r="C565" s="178">
        <f t="shared" si="8"/>
        <v>7</v>
      </c>
      <c r="D565" s="179">
        <f>VLOOKUP(C565,Sheet2!$BK$11:$BN$19,VLOOKUP(B565,Sheet2!B:BC,21,FALSE)+1,FALSE)</f>
        <v>1.7</v>
      </c>
      <c r="E565" s="119">
        <v>0</v>
      </c>
      <c r="F565" s="13" t="s">
        <v>19</v>
      </c>
    </row>
    <row r="566" ht="16.5" spans="1:6">
      <c r="A566" s="119">
        <v>560</v>
      </c>
      <c r="B566" s="177">
        <f>VLOOKUP(ROUNDUP(A566/8,0),Sheet2!A:B,2,FALSE())</f>
        <v>113022</v>
      </c>
      <c r="C566" s="178">
        <f t="shared" si="8"/>
        <v>8</v>
      </c>
      <c r="D566" s="179">
        <f>VLOOKUP(C566,Sheet2!$BK$11:$BN$19,VLOOKUP(B566,Sheet2!B:BC,21,FALSE)+1,FALSE)</f>
        <v>2</v>
      </c>
      <c r="E566" s="119">
        <v>0</v>
      </c>
      <c r="F566" s="13" t="s">
        <v>19</v>
      </c>
    </row>
    <row r="567" ht="16.5" spans="1:6">
      <c r="A567" s="119">
        <v>561</v>
      </c>
      <c r="B567" s="177">
        <f>VLOOKUP(ROUNDUP(A567/8,0),Sheet2!A:B,2,FALSE())</f>
        <v>113023</v>
      </c>
      <c r="C567" s="178">
        <f t="shared" si="8"/>
        <v>1</v>
      </c>
      <c r="D567" s="179">
        <f>VLOOKUP(C567,Sheet2!$BK$11:$BN$19,VLOOKUP(B567,Sheet2!B:BC,21,FALSE)+1,FALSE)</f>
        <v>1.2</v>
      </c>
      <c r="E567" s="119">
        <v>0</v>
      </c>
      <c r="F567" s="13" t="s">
        <v>19</v>
      </c>
    </row>
    <row r="568" ht="16.5" spans="1:6">
      <c r="A568" s="119">
        <v>562</v>
      </c>
      <c r="B568" s="177">
        <f>VLOOKUP(ROUNDUP(A568/8,0),Sheet2!A:B,2,FALSE())</f>
        <v>113023</v>
      </c>
      <c r="C568" s="178">
        <f t="shared" si="8"/>
        <v>2</v>
      </c>
      <c r="D568" s="179">
        <f>VLOOKUP(C568,Sheet2!$BK$11:$BN$19,VLOOKUP(B568,Sheet2!B:BC,21,FALSE)+1,FALSE)</f>
        <v>1.2</v>
      </c>
      <c r="E568" s="119">
        <v>0</v>
      </c>
      <c r="F568" s="13" t="s">
        <v>19</v>
      </c>
    </row>
    <row r="569" ht="16.5" spans="1:6">
      <c r="A569" s="119">
        <v>563</v>
      </c>
      <c r="B569" s="177">
        <f>VLOOKUP(ROUNDUP(A569/8,0),Sheet2!A:B,2,FALSE())</f>
        <v>113023</v>
      </c>
      <c r="C569" s="178">
        <f t="shared" si="8"/>
        <v>3</v>
      </c>
      <c r="D569" s="179">
        <f>VLOOKUP(C569,Sheet2!$BK$11:$BN$19,VLOOKUP(B569,Sheet2!B:BC,21,FALSE)+1,FALSE)</f>
        <v>1.2</v>
      </c>
      <c r="E569" s="119">
        <v>0</v>
      </c>
      <c r="F569" s="13" t="s">
        <v>19</v>
      </c>
    </row>
    <row r="570" ht="16.5" spans="1:6">
      <c r="A570" s="119">
        <v>564</v>
      </c>
      <c r="B570" s="177">
        <f>VLOOKUP(ROUNDUP(A570/8,0),Sheet2!A:B,2,FALSE())</f>
        <v>113023</v>
      </c>
      <c r="C570" s="178">
        <f t="shared" si="8"/>
        <v>4</v>
      </c>
      <c r="D570" s="179">
        <f>VLOOKUP(C570,Sheet2!$BK$11:$BN$19,VLOOKUP(B570,Sheet2!B:BC,21,FALSE)+1,FALSE)</f>
        <v>1.5</v>
      </c>
      <c r="E570" s="119">
        <v>0</v>
      </c>
      <c r="F570" s="13" t="s">
        <v>19</v>
      </c>
    </row>
    <row r="571" ht="16.5" spans="1:6">
      <c r="A571" s="119">
        <v>565</v>
      </c>
      <c r="B571" s="177">
        <f>VLOOKUP(ROUNDUP(A571/8,0),Sheet2!A:B,2,FALSE())</f>
        <v>113023</v>
      </c>
      <c r="C571" s="178">
        <f t="shared" si="8"/>
        <v>5</v>
      </c>
      <c r="D571" s="179">
        <f>VLOOKUP(C571,Sheet2!$BK$11:$BN$19,VLOOKUP(B571,Sheet2!B:BC,21,FALSE)+1,FALSE)</f>
        <v>1.5</v>
      </c>
      <c r="E571" s="119">
        <v>0</v>
      </c>
      <c r="F571" s="13" t="s">
        <v>19</v>
      </c>
    </row>
    <row r="572" ht="16.5" spans="1:6">
      <c r="A572" s="119">
        <v>566</v>
      </c>
      <c r="B572" s="177">
        <f>VLOOKUP(ROUNDUP(A572/8,0),Sheet2!A:B,2,FALSE())</f>
        <v>113023</v>
      </c>
      <c r="C572" s="178">
        <f t="shared" si="8"/>
        <v>6</v>
      </c>
      <c r="D572" s="179">
        <f>VLOOKUP(C572,Sheet2!$BK$11:$BN$19,VLOOKUP(B572,Sheet2!B:BC,21,FALSE)+1,FALSE)</f>
        <v>1.7</v>
      </c>
      <c r="E572" s="119">
        <v>0</v>
      </c>
      <c r="F572" s="13" t="s">
        <v>19</v>
      </c>
    </row>
    <row r="573" ht="16.5" spans="1:6">
      <c r="A573" s="119">
        <v>567</v>
      </c>
      <c r="B573" s="177">
        <f>VLOOKUP(ROUNDUP(A573/8,0),Sheet2!A:B,2,FALSE())</f>
        <v>113023</v>
      </c>
      <c r="C573" s="178">
        <f t="shared" si="8"/>
        <v>7</v>
      </c>
      <c r="D573" s="179">
        <f>VLOOKUP(C573,Sheet2!$BK$11:$BN$19,VLOOKUP(B573,Sheet2!B:BC,21,FALSE)+1,FALSE)</f>
        <v>1.7</v>
      </c>
      <c r="E573" s="119">
        <v>0</v>
      </c>
      <c r="F573" s="13" t="s">
        <v>19</v>
      </c>
    </row>
    <row r="574" ht="16.5" spans="1:6">
      <c r="A574" s="119">
        <v>568</v>
      </c>
      <c r="B574" s="177">
        <f>VLOOKUP(ROUNDUP(A574/8,0),Sheet2!A:B,2,FALSE())</f>
        <v>113023</v>
      </c>
      <c r="C574" s="178">
        <f t="shared" si="8"/>
        <v>8</v>
      </c>
      <c r="D574" s="179">
        <f>VLOOKUP(C574,Sheet2!$BK$11:$BN$19,VLOOKUP(B574,Sheet2!B:BC,21,FALSE)+1,FALSE)</f>
        <v>2</v>
      </c>
      <c r="E574" s="119">
        <v>0</v>
      </c>
      <c r="F574" s="13" t="s">
        <v>19</v>
      </c>
    </row>
    <row r="575" ht="16.5" spans="1:6">
      <c r="A575" s="119">
        <v>569</v>
      </c>
      <c r="B575" s="177">
        <f>VLOOKUP(ROUNDUP(A575/8,0),Sheet2!A:B,2,FALSE())</f>
        <v>113024</v>
      </c>
      <c r="C575" s="178">
        <f t="shared" si="8"/>
        <v>1</v>
      </c>
      <c r="D575" s="179">
        <f>VLOOKUP(C575,Sheet2!$BK$11:$BN$19,VLOOKUP(B575,Sheet2!B:BC,21,FALSE)+1,FALSE)</f>
        <v>1.2</v>
      </c>
      <c r="E575" s="119">
        <v>0</v>
      </c>
      <c r="F575" s="13" t="s">
        <v>19</v>
      </c>
    </row>
    <row r="576" ht="16.5" spans="1:6">
      <c r="A576" s="119">
        <v>570</v>
      </c>
      <c r="B576" s="177">
        <f>VLOOKUP(ROUNDUP(A576/8,0),Sheet2!A:B,2,FALSE())</f>
        <v>113024</v>
      </c>
      <c r="C576" s="178">
        <f t="shared" si="8"/>
        <v>2</v>
      </c>
      <c r="D576" s="179">
        <f>VLOOKUP(C576,Sheet2!$BK$11:$BN$19,VLOOKUP(B576,Sheet2!B:BC,21,FALSE)+1,FALSE)</f>
        <v>1.2</v>
      </c>
      <c r="E576" s="119">
        <v>0</v>
      </c>
      <c r="F576" s="13" t="s">
        <v>19</v>
      </c>
    </row>
    <row r="577" ht="16.5" spans="1:6">
      <c r="A577" s="119">
        <v>571</v>
      </c>
      <c r="B577" s="177">
        <f>VLOOKUP(ROUNDUP(A577/8,0),Sheet2!A:B,2,FALSE())</f>
        <v>113024</v>
      </c>
      <c r="C577" s="178">
        <f t="shared" si="8"/>
        <v>3</v>
      </c>
      <c r="D577" s="179">
        <f>VLOOKUP(C577,Sheet2!$BK$11:$BN$19,VLOOKUP(B577,Sheet2!B:BC,21,FALSE)+1,FALSE)</f>
        <v>1.2</v>
      </c>
      <c r="E577" s="119">
        <v>0</v>
      </c>
      <c r="F577" s="13" t="s">
        <v>19</v>
      </c>
    </row>
    <row r="578" ht="16.5" spans="1:6">
      <c r="A578" s="119">
        <v>572</v>
      </c>
      <c r="B578" s="177">
        <f>VLOOKUP(ROUNDUP(A578/8,0),Sheet2!A:B,2,FALSE())</f>
        <v>113024</v>
      </c>
      <c r="C578" s="178">
        <f t="shared" si="8"/>
        <v>4</v>
      </c>
      <c r="D578" s="179">
        <f>VLOOKUP(C578,Sheet2!$BK$11:$BN$19,VLOOKUP(B578,Sheet2!B:BC,21,FALSE)+1,FALSE)</f>
        <v>1.5</v>
      </c>
      <c r="E578" s="119">
        <v>0</v>
      </c>
      <c r="F578" s="13" t="s">
        <v>19</v>
      </c>
    </row>
    <row r="579" ht="16.5" spans="1:6">
      <c r="A579" s="119">
        <v>573</v>
      </c>
      <c r="B579" s="177">
        <f>VLOOKUP(ROUNDUP(A579/8,0),Sheet2!A:B,2,FALSE())</f>
        <v>113024</v>
      </c>
      <c r="C579" s="178">
        <f t="shared" si="8"/>
        <v>5</v>
      </c>
      <c r="D579" s="179">
        <f>VLOOKUP(C579,Sheet2!$BK$11:$BN$19,VLOOKUP(B579,Sheet2!B:BC,21,FALSE)+1,FALSE)</f>
        <v>1.5</v>
      </c>
      <c r="E579" s="119">
        <v>0</v>
      </c>
      <c r="F579" s="13" t="s">
        <v>19</v>
      </c>
    </row>
    <row r="580" ht="16.5" spans="1:6">
      <c r="A580" s="119">
        <v>574</v>
      </c>
      <c r="B580" s="177">
        <f>VLOOKUP(ROUNDUP(A580/8,0),Sheet2!A:B,2,FALSE())</f>
        <v>113024</v>
      </c>
      <c r="C580" s="178">
        <f t="shared" si="8"/>
        <v>6</v>
      </c>
      <c r="D580" s="179">
        <f>VLOOKUP(C580,Sheet2!$BK$11:$BN$19,VLOOKUP(B580,Sheet2!B:BC,21,FALSE)+1,FALSE)</f>
        <v>1.7</v>
      </c>
      <c r="E580" s="119">
        <v>0</v>
      </c>
      <c r="F580" s="13" t="s">
        <v>19</v>
      </c>
    </row>
    <row r="581" ht="16.5" spans="1:6">
      <c r="A581" s="119">
        <v>575</v>
      </c>
      <c r="B581" s="177">
        <f>VLOOKUP(ROUNDUP(A581/8,0),Sheet2!A:B,2,FALSE())</f>
        <v>113024</v>
      </c>
      <c r="C581" s="178">
        <f t="shared" si="8"/>
        <v>7</v>
      </c>
      <c r="D581" s="179">
        <f>VLOOKUP(C581,Sheet2!$BK$11:$BN$19,VLOOKUP(B581,Sheet2!B:BC,21,FALSE)+1,FALSE)</f>
        <v>1.7</v>
      </c>
      <c r="E581" s="119">
        <v>0</v>
      </c>
      <c r="F581" s="13" t="s">
        <v>19</v>
      </c>
    </row>
    <row r="582" ht="16.5" spans="1:6">
      <c r="A582" s="119">
        <v>576</v>
      </c>
      <c r="B582" s="177">
        <f>VLOOKUP(ROUNDUP(A582/8,0),Sheet2!A:B,2,FALSE())</f>
        <v>113024</v>
      </c>
      <c r="C582" s="178">
        <f t="shared" si="8"/>
        <v>8</v>
      </c>
      <c r="D582" s="179">
        <f>VLOOKUP(C582,Sheet2!$BK$11:$BN$19,VLOOKUP(B582,Sheet2!B:BC,21,FALSE)+1,FALSE)</f>
        <v>2</v>
      </c>
      <c r="E582" s="119">
        <v>0</v>
      </c>
      <c r="F582" s="13" t="s">
        <v>19</v>
      </c>
    </row>
    <row r="583" ht="16.5" spans="1:6">
      <c r="A583" s="119">
        <v>577</v>
      </c>
      <c r="B583" s="177">
        <f>VLOOKUP(ROUNDUP(A583/8,0),Sheet2!A:B,2,FALSE())</f>
        <v>113025</v>
      </c>
      <c r="C583" s="178">
        <f t="shared" si="8"/>
        <v>1</v>
      </c>
      <c r="D583" s="179">
        <f>VLOOKUP(C583,Sheet2!$BK$11:$BN$19,VLOOKUP(B583,Sheet2!B:BC,21,FALSE)+1,FALSE)</f>
        <v>1.2</v>
      </c>
      <c r="E583" s="119">
        <v>0</v>
      </c>
      <c r="F583" s="13" t="s">
        <v>19</v>
      </c>
    </row>
    <row r="584" ht="16.5" spans="1:6">
      <c r="A584" s="119">
        <v>578</v>
      </c>
      <c r="B584" s="177">
        <f>VLOOKUP(ROUNDUP(A584/8,0),Sheet2!A:B,2,FALSE())</f>
        <v>113025</v>
      </c>
      <c r="C584" s="178">
        <f t="shared" si="8"/>
        <v>2</v>
      </c>
      <c r="D584" s="179">
        <f>VLOOKUP(C584,Sheet2!$BK$11:$BN$19,VLOOKUP(B584,Sheet2!B:BC,21,FALSE)+1,FALSE)</f>
        <v>1.2</v>
      </c>
      <c r="E584" s="119">
        <v>0</v>
      </c>
      <c r="F584" s="13" t="s">
        <v>19</v>
      </c>
    </row>
    <row r="585" ht="16.5" spans="1:6">
      <c r="A585" s="119">
        <v>579</v>
      </c>
      <c r="B585" s="177">
        <f>VLOOKUP(ROUNDUP(A585/8,0),Sheet2!A:B,2,FALSE())</f>
        <v>113025</v>
      </c>
      <c r="C585" s="178">
        <f t="shared" si="8"/>
        <v>3</v>
      </c>
      <c r="D585" s="179">
        <f>VLOOKUP(C585,Sheet2!$BK$11:$BN$19,VLOOKUP(B585,Sheet2!B:BC,21,FALSE)+1,FALSE)</f>
        <v>1.2</v>
      </c>
      <c r="E585" s="119">
        <v>0</v>
      </c>
      <c r="F585" s="13" t="s">
        <v>19</v>
      </c>
    </row>
    <row r="586" ht="16.5" spans="1:6">
      <c r="A586" s="119">
        <v>580</v>
      </c>
      <c r="B586" s="177">
        <f>VLOOKUP(ROUNDUP(A586/8,0),Sheet2!A:B,2,FALSE())</f>
        <v>113025</v>
      </c>
      <c r="C586" s="178">
        <f t="shared" si="8"/>
        <v>4</v>
      </c>
      <c r="D586" s="179">
        <f>VLOOKUP(C586,Sheet2!$BK$11:$BN$19,VLOOKUP(B586,Sheet2!B:BC,21,FALSE)+1,FALSE)</f>
        <v>1.5</v>
      </c>
      <c r="E586" s="119">
        <v>0</v>
      </c>
      <c r="F586" s="13" t="s">
        <v>19</v>
      </c>
    </row>
    <row r="587" ht="16.5" spans="1:6">
      <c r="A587" s="119">
        <v>581</v>
      </c>
      <c r="B587" s="177">
        <f>VLOOKUP(ROUNDUP(A587/8,0),Sheet2!A:B,2,FALSE())</f>
        <v>113025</v>
      </c>
      <c r="C587" s="178">
        <f t="shared" si="8"/>
        <v>5</v>
      </c>
      <c r="D587" s="179">
        <f>VLOOKUP(C587,Sheet2!$BK$11:$BN$19,VLOOKUP(B587,Sheet2!B:BC,21,FALSE)+1,FALSE)</f>
        <v>1.5</v>
      </c>
      <c r="E587" s="119">
        <v>0</v>
      </c>
      <c r="F587" s="13" t="s">
        <v>19</v>
      </c>
    </row>
    <row r="588" ht="16.5" spans="1:6">
      <c r="A588" s="119">
        <v>582</v>
      </c>
      <c r="B588" s="177">
        <f>VLOOKUP(ROUNDUP(A588/8,0),Sheet2!A:B,2,FALSE())</f>
        <v>113025</v>
      </c>
      <c r="C588" s="178">
        <f t="shared" si="8"/>
        <v>6</v>
      </c>
      <c r="D588" s="179">
        <f>VLOOKUP(C588,Sheet2!$BK$11:$BN$19,VLOOKUP(B588,Sheet2!B:BC,21,FALSE)+1,FALSE)</f>
        <v>1.7</v>
      </c>
      <c r="E588" s="119">
        <v>0</v>
      </c>
      <c r="F588" s="13" t="s">
        <v>19</v>
      </c>
    </row>
    <row r="589" ht="16.5" spans="1:6">
      <c r="A589" s="119">
        <v>583</v>
      </c>
      <c r="B589" s="177">
        <f>VLOOKUP(ROUNDUP(A589/8,0),Sheet2!A:B,2,FALSE())</f>
        <v>113025</v>
      </c>
      <c r="C589" s="178">
        <f t="shared" si="8"/>
        <v>7</v>
      </c>
      <c r="D589" s="179">
        <f>VLOOKUP(C589,Sheet2!$BK$11:$BN$19,VLOOKUP(B589,Sheet2!B:BC,21,FALSE)+1,FALSE)</f>
        <v>1.7</v>
      </c>
      <c r="E589" s="119">
        <v>0</v>
      </c>
      <c r="F589" s="13" t="s">
        <v>19</v>
      </c>
    </row>
    <row r="590" ht="16.5" spans="1:6">
      <c r="A590" s="119">
        <v>584</v>
      </c>
      <c r="B590" s="177">
        <f>VLOOKUP(ROUNDUP(A590/8,0),Sheet2!A:B,2,FALSE())</f>
        <v>113025</v>
      </c>
      <c r="C590" s="178">
        <f t="shared" si="8"/>
        <v>8</v>
      </c>
      <c r="D590" s="179">
        <f>VLOOKUP(C590,Sheet2!$BK$11:$BN$19,VLOOKUP(B590,Sheet2!B:BC,21,FALSE)+1,FALSE)</f>
        <v>2</v>
      </c>
      <c r="E590" s="119">
        <v>0</v>
      </c>
      <c r="F590" s="13" t="s">
        <v>19</v>
      </c>
    </row>
    <row r="591" ht="16.5" spans="1:6">
      <c r="A591" s="119">
        <v>585</v>
      </c>
      <c r="B591" s="177">
        <f>VLOOKUP(ROUNDUP(A591/8,0),Sheet2!A:B,2,FALSE())</f>
        <v>113026</v>
      </c>
      <c r="C591" s="178">
        <f t="shared" si="8"/>
        <v>1</v>
      </c>
      <c r="D591" s="179">
        <f>VLOOKUP(C591,Sheet2!$BK$11:$BN$19,VLOOKUP(B591,Sheet2!B:BC,21,FALSE)+1,FALSE)</f>
        <v>1.2</v>
      </c>
      <c r="E591" s="119">
        <v>0</v>
      </c>
      <c r="F591" s="13" t="s">
        <v>18</v>
      </c>
    </row>
    <row r="592" ht="16.5" spans="1:6">
      <c r="A592" s="119">
        <v>586</v>
      </c>
      <c r="B592" s="177">
        <f>VLOOKUP(ROUNDUP(A592/8,0),Sheet2!A:B,2,FALSE())</f>
        <v>113026</v>
      </c>
      <c r="C592" s="178">
        <f t="shared" ref="C592:C655" si="9">C584</f>
        <v>2</v>
      </c>
      <c r="D592" s="179">
        <f>VLOOKUP(C592,Sheet2!$BK$11:$BN$19,VLOOKUP(B592,Sheet2!B:BC,21,FALSE)+1,FALSE)</f>
        <v>1.2</v>
      </c>
      <c r="E592" s="119">
        <v>0</v>
      </c>
      <c r="F592" s="13" t="s">
        <v>18</v>
      </c>
    </row>
    <row r="593" ht="16.5" spans="1:6">
      <c r="A593" s="119">
        <v>587</v>
      </c>
      <c r="B593" s="177">
        <f>VLOOKUP(ROUNDUP(A593/8,0),Sheet2!A:B,2,FALSE())</f>
        <v>113026</v>
      </c>
      <c r="C593" s="178">
        <f t="shared" si="9"/>
        <v>3</v>
      </c>
      <c r="D593" s="179">
        <f>VLOOKUP(C593,Sheet2!$BK$11:$BN$19,VLOOKUP(B593,Sheet2!B:BC,21,FALSE)+1,FALSE)</f>
        <v>1.2</v>
      </c>
      <c r="E593" s="119">
        <v>0</v>
      </c>
      <c r="F593" s="13" t="s">
        <v>18</v>
      </c>
    </row>
    <row r="594" ht="16.5" spans="1:6">
      <c r="A594" s="119">
        <v>588</v>
      </c>
      <c r="B594" s="177">
        <f>VLOOKUP(ROUNDUP(A594/8,0),Sheet2!A:B,2,FALSE())</f>
        <v>113026</v>
      </c>
      <c r="C594" s="178">
        <f t="shared" si="9"/>
        <v>4</v>
      </c>
      <c r="D594" s="179">
        <f>VLOOKUP(C594,Sheet2!$BK$11:$BN$19,VLOOKUP(B594,Sheet2!B:BC,21,FALSE)+1,FALSE)</f>
        <v>1.5</v>
      </c>
      <c r="E594" s="119">
        <v>0</v>
      </c>
      <c r="F594" s="13" t="s">
        <v>18</v>
      </c>
    </row>
    <row r="595" ht="16.5" spans="1:6">
      <c r="A595" s="119">
        <v>589</v>
      </c>
      <c r="B595" s="177">
        <f>VLOOKUP(ROUNDUP(A595/8,0),Sheet2!A:B,2,FALSE())</f>
        <v>113026</v>
      </c>
      <c r="C595" s="178">
        <f t="shared" si="9"/>
        <v>5</v>
      </c>
      <c r="D595" s="179">
        <f>VLOOKUP(C595,Sheet2!$BK$11:$BN$19,VLOOKUP(B595,Sheet2!B:BC,21,FALSE)+1,FALSE)</f>
        <v>1.5</v>
      </c>
      <c r="E595" s="119">
        <v>0</v>
      </c>
      <c r="F595" s="13" t="s">
        <v>18</v>
      </c>
    </row>
    <row r="596" ht="16.5" spans="1:6">
      <c r="A596" s="119">
        <v>590</v>
      </c>
      <c r="B596" s="177">
        <f>VLOOKUP(ROUNDUP(A596/8,0),Sheet2!A:B,2,FALSE())</f>
        <v>113026</v>
      </c>
      <c r="C596" s="178">
        <f t="shared" si="9"/>
        <v>6</v>
      </c>
      <c r="D596" s="179">
        <f>VLOOKUP(C596,Sheet2!$BK$11:$BN$19,VLOOKUP(B596,Sheet2!B:BC,21,FALSE)+1,FALSE)</f>
        <v>1.7</v>
      </c>
      <c r="E596" s="119">
        <v>0</v>
      </c>
      <c r="F596" s="13" t="s">
        <v>18</v>
      </c>
    </row>
    <row r="597" ht="16.5" spans="1:6">
      <c r="A597" s="119">
        <v>591</v>
      </c>
      <c r="B597" s="177">
        <f>VLOOKUP(ROUNDUP(A597/8,0),Sheet2!A:B,2,FALSE())</f>
        <v>113026</v>
      </c>
      <c r="C597" s="178">
        <f t="shared" si="9"/>
        <v>7</v>
      </c>
      <c r="D597" s="179">
        <f>VLOOKUP(C597,Sheet2!$BK$11:$BN$19,VLOOKUP(B597,Sheet2!B:BC,21,FALSE)+1,FALSE)</f>
        <v>1.7</v>
      </c>
      <c r="E597" s="119">
        <v>0</v>
      </c>
      <c r="F597" s="13" t="s">
        <v>18</v>
      </c>
    </row>
    <row r="598" ht="16.5" spans="1:6">
      <c r="A598" s="119">
        <v>592</v>
      </c>
      <c r="B598" s="177">
        <f>VLOOKUP(ROUNDUP(A598/8,0),Sheet2!A:B,2,FALSE())</f>
        <v>113026</v>
      </c>
      <c r="C598" s="178">
        <f t="shared" si="9"/>
        <v>8</v>
      </c>
      <c r="D598" s="179">
        <f>VLOOKUP(C598,Sheet2!$BK$11:$BN$19,VLOOKUP(B598,Sheet2!B:BC,21,FALSE)+1,FALSE)</f>
        <v>2</v>
      </c>
      <c r="E598" s="119">
        <v>0</v>
      </c>
      <c r="F598" s="13" t="s">
        <v>18</v>
      </c>
    </row>
    <row r="599" ht="16.5" spans="1:6">
      <c r="A599" s="119">
        <v>593</v>
      </c>
      <c r="B599" s="177">
        <f>VLOOKUP(ROUNDUP(A599/8,0),Sheet2!A:B,2,FALSE())</f>
        <v>113027</v>
      </c>
      <c r="C599" s="178">
        <f t="shared" si="9"/>
        <v>1</v>
      </c>
      <c r="D599" s="179">
        <f>VLOOKUP(C599,Sheet2!$BK$11:$BN$19,VLOOKUP(B599,Sheet2!B:BC,21,FALSE)+1,FALSE)</f>
        <v>1.2</v>
      </c>
      <c r="E599" s="119">
        <v>0</v>
      </c>
      <c r="F599" s="13" t="s">
        <v>17</v>
      </c>
    </row>
    <row r="600" ht="16.5" spans="1:6">
      <c r="A600" s="119">
        <v>594</v>
      </c>
      <c r="B600" s="177">
        <f>VLOOKUP(ROUNDUP(A600/8,0),Sheet2!A:B,2,FALSE())</f>
        <v>113027</v>
      </c>
      <c r="C600" s="178">
        <f t="shared" si="9"/>
        <v>2</v>
      </c>
      <c r="D600" s="179">
        <f>VLOOKUP(C600,Sheet2!$BK$11:$BN$19,VLOOKUP(B600,Sheet2!B:BC,21,FALSE)+1,FALSE)</f>
        <v>1.2</v>
      </c>
      <c r="E600" s="119">
        <v>0</v>
      </c>
      <c r="F600" s="13" t="s">
        <v>17</v>
      </c>
    </row>
    <row r="601" ht="16.5" spans="1:6">
      <c r="A601" s="119">
        <v>595</v>
      </c>
      <c r="B601" s="177">
        <f>VLOOKUP(ROUNDUP(A601/8,0),Sheet2!A:B,2,FALSE())</f>
        <v>113027</v>
      </c>
      <c r="C601" s="178">
        <f t="shared" si="9"/>
        <v>3</v>
      </c>
      <c r="D601" s="179">
        <f>VLOOKUP(C601,Sheet2!$BK$11:$BN$19,VLOOKUP(B601,Sheet2!B:BC,21,FALSE)+1,FALSE)</f>
        <v>1.2</v>
      </c>
      <c r="E601" s="119">
        <v>0</v>
      </c>
      <c r="F601" s="13" t="s">
        <v>17</v>
      </c>
    </row>
    <row r="602" ht="16.5" spans="1:6">
      <c r="A602" s="119">
        <v>596</v>
      </c>
      <c r="B602" s="177">
        <f>VLOOKUP(ROUNDUP(A602/8,0),Sheet2!A:B,2,FALSE())</f>
        <v>113027</v>
      </c>
      <c r="C602" s="178">
        <f t="shared" si="9"/>
        <v>4</v>
      </c>
      <c r="D602" s="179">
        <f>VLOOKUP(C602,Sheet2!$BK$11:$BN$19,VLOOKUP(B602,Sheet2!B:BC,21,FALSE)+1,FALSE)</f>
        <v>1.5</v>
      </c>
      <c r="E602" s="119">
        <v>0</v>
      </c>
      <c r="F602" s="13" t="s">
        <v>17</v>
      </c>
    </row>
    <row r="603" ht="16.5" spans="1:6">
      <c r="A603" s="119">
        <v>597</v>
      </c>
      <c r="B603" s="177">
        <f>VLOOKUP(ROUNDUP(A603/8,0),Sheet2!A:B,2,FALSE())</f>
        <v>113027</v>
      </c>
      <c r="C603" s="178">
        <f t="shared" si="9"/>
        <v>5</v>
      </c>
      <c r="D603" s="179">
        <f>VLOOKUP(C603,Sheet2!$BK$11:$BN$19,VLOOKUP(B603,Sheet2!B:BC,21,FALSE)+1,FALSE)</f>
        <v>1.5</v>
      </c>
      <c r="E603" s="119">
        <v>0</v>
      </c>
      <c r="F603" s="13" t="s">
        <v>17</v>
      </c>
    </row>
    <row r="604" ht="16.5" spans="1:6">
      <c r="A604" s="119">
        <v>598</v>
      </c>
      <c r="B604" s="177">
        <f>VLOOKUP(ROUNDUP(A604/8,0),Sheet2!A:B,2,FALSE())</f>
        <v>113027</v>
      </c>
      <c r="C604" s="178">
        <f t="shared" si="9"/>
        <v>6</v>
      </c>
      <c r="D604" s="179">
        <f>VLOOKUP(C604,Sheet2!$BK$11:$BN$19,VLOOKUP(B604,Sheet2!B:BC,21,FALSE)+1,FALSE)</f>
        <v>1.7</v>
      </c>
      <c r="E604" s="119">
        <v>0</v>
      </c>
      <c r="F604" s="13" t="s">
        <v>17</v>
      </c>
    </row>
    <row r="605" ht="16.5" spans="1:6">
      <c r="A605" s="119">
        <v>599</v>
      </c>
      <c r="B605" s="177">
        <f>VLOOKUP(ROUNDUP(A605/8,0),Sheet2!A:B,2,FALSE())</f>
        <v>113027</v>
      </c>
      <c r="C605" s="178">
        <f t="shared" si="9"/>
        <v>7</v>
      </c>
      <c r="D605" s="179">
        <f>VLOOKUP(C605,Sheet2!$BK$11:$BN$19,VLOOKUP(B605,Sheet2!B:BC,21,FALSE)+1,FALSE)</f>
        <v>1.7</v>
      </c>
      <c r="E605" s="119">
        <v>0</v>
      </c>
      <c r="F605" s="13" t="s">
        <v>17</v>
      </c>
    </row>
    <row r="606" ht="16.5" spans="1:6">
      <c r="A606" s="119">
        <v>600</v>
      </c>
      <c r="B606" s="177">
        <f>VLOOKUP(ROUNDUP(A606/8,0),Sheet2!A:B,2,FALSE())</f>
        <v>113027</v>
      </c>
      <c r="C606" s="178">
        <f t="shared" si="9"/>
        <v>8</v>
      </c>
      <c r="D606" s="179">
        <f>VLOOKUP(C606,Sheet2!$BK$11:$BN$19,VLOOKUP(B606,Sheet2!B:BC,21,FALSE)+1,FALSE)</f>
        <v>2</v>
      </c>
      <c r="E606" s="119">
        <v>0</v>
      </c>
      <c r="F606" s="13" t="s">
        <v>17</v>
      </c>
    </row>
    <row r="607" ht="16.5" spans="1:6">
      <c r="A607" s="119">
        <v>601</v>
      </c>
      <c r="B607" s="177">
        <f>VLOOKUP(ROUNDUP(A607/8,0),Sheet2!A:B,2,FALSE())</f>
        <v>113028</v>
      </c>
      <c r="C607" s="178">
        <f t="shared" si="9"/>
        <v>1</v>
      </c>
      <c r="D607" s="179">
        <f>VLOOKUP(C607,Sheet2!$BK$11:$BN$19,VLOOKUP(B607,Sheet2!B:BC,21,FALSE)+1,FALSE)</f>
        <v>1.2</v>
      </c>
      <c r="E607" s="119">
        <v>0</v>
      </c>
      <c r="F607" s="13" t="s">
        <v>20</v>
      </c>
    </row>
    <row r="608" ht="16.5" spans="1:6">
      <c r="A608" s="119">
        <v>602</v>
      </c>
      <c r="B608" s="177">
        <f>VLOOKUP(ROUNDUP(A608/8,0),Sheet2!A:B,2,FALSE())</f>
        <v>113028</v>
      </c>
      <c r="C608" s="178">
        <f t="shared" si="9"/>
        <v>2</v>
      </c>
      <c r="D608" s="179">
        <f>VLOOKUP(C608,Sheet2!$BK$11:$BN$19,VLOOKUP(B608,Sheet2!B:BC,21,FALSE)+1,FALSE)</f>
        <v>1.2</v>
      </c>
      <c r="E608" s="119">
        <v>0</v>
      </c>
      <c r="F608" s="13" t="s">
        <v>20</v>
      </c>
    </row>
    <row r="609" ht="16.5" spans="1:6">
      <c r="A609" s="119">
        <v>603</v>
      </c>
      <c r="B609" s="177">
        <f>VLOOKUP(ROUNDUP(A609/8,0),Sheet2!A:B,2,FALSE())</f>
        <v>113028</v>
      </c>
      <c r="C609" s="178">
        <f t="shared" si="9"/>
        <v>3</v>
      </c>
      <c r="D609" s="179">
        <f>VLOOKUP(C609,Sheet2!$BK$11:$BN$19,VLOOKUP(B609,Sheet2!B:BC,21,FALSE)+1,FALSE)</f>
        <v>1.2</v>
      </c>
      <c r="E609" s="119">
        <v>0</v>
      </c>
      <c r="F609" s="13" t="s">
        <v>20</v>
      </c>
    </row>
    <row r="610" ht="16.5" spans="1:6">
      <c r="A610" s="119">
        <v>604</v>
      </c>
      <c r="B610" s="177">
        <f>VLOOKUP(ROUNDUP(A610/8,0),Sheet2!A:B,2,FALSE())</f>
        <v>113028</v>
      </c>
      <c r="C610" s="178">
        <f t="shared" si="9"/>
        <v>4</v>
      </c>
      <c r="D610" s="179">
        <f>VLOOKUP(C610,Sheet2!$BK$11:$BN$19,VLOOKUP(B610,Sheet2!B:BC,21,FALSE)+1,FALSE)</f>
        <v>1.5</v>
      </c>
      <c r="E610" s="119">
        <v>0</v>
      </c>
      <c r="F610" s="13" t="s">
        <v>20</v>
      </c>
    </row>
    <row r="611" ht="16.5" spans="1:6">
      <c r="A611" s="119">
        <v>605</v>
      </c>
      <c r="B611" s="177">
        <f>VLOOKUP(ROUNDUP(A611/8,0),Sheet2!A:B,2,FALSE())</f>
        <v>113028</v>
      </c>
      <c r="C611" s="178">
        <f t="shared" si="9"/>
        <v>5</v>
      </c>
      <c r="D611" s="179">
        <f>VLOOKUP(C611,Sheet2!$BK$11:$BN$19,VLOOKUP(B611,Sheet2!B:BC,21,FALSE)+1,FALSE)</f>
        <v>1.5</v>
      </c>
      <c r="E611" s="119">
        <v>0</v>
      </c>
      <c r="F611" s="13" t="s">
        <v>20</v>
      </c>
    </row>
    <row r="612" ht="16.5" spans="1:6">
      <c r="A612" s="119">
        <v>606</v>
      </c>
      <c r="B612" s="177">
        <f>VLOOKUP(ROUNDUP(A612/8,0),Sheet2!A:B,2,FALSE())</f>
        <v>113028</v>
      </c>
      <c r="C612" s="178">
        <f t="shared" si="9"/>
        <v>6</v>
      </c>
      <c r="D612" s="179">
        <f>VLOOKUP(C612,Sheet2!$BK$11:$BN$19,VLOOKUP(B612,Sheet2!B:BC,21,FALSE)+1,FALSE)</f>
        <v>1.7</v>
      </c>
      <c r="E612" s="119">
        <v>0</v>
      </c>
      <c r="F612" s="13" t="s">
        <v>20</v>
      </c>
    </row>
    <row r="613" ht="16.5" spans="1:6">
      <c r="A613" s="119">
        <v>607</v>
      </c>
      <c r="B613" s="177">
        <f>VLOOKUP(ROUNDUP(A613/8,0),Sheet2!A:B,2,FALSE())</f>
        <v>113028</v>
      </c>
      <c r="C613" s="178">
        <f t="shared" si="9"/>
        <v>7</v>
      </c>
      <c r="D613" s="179">
        <f>VLOOKUP(C613,Sheet2!$BK$11:$BN$19,VLOOKUP(B613,Sheet2!B:BC,21,FALSE)+1,FALSE)</f>
        <v>1.7</v>
      </c>
      <c r="E613" s="119">
        <v>0</v>
      </c>
      <c r="F613" s="13" t="s">
        <v>20</v>
      </c>
    </row>
    <row r="614" ht="16.5" spans="1:6">
      <c r="A614" s="119">
        <v>608</v>
      </c>
      <c r="B614" s="177">
        <f>VLOOKUP(ROUNDUP(A614/8,0),Sheet2!A:B,2,FALSE())</f>
        <v>113028</v>
      </c>
      <c r="C614" s="178">
        <f t="shared" si="9"/>
        <v>8</v>
      </c>
      <c r="D614" s="179">
        <f>VLOOKUP(C614,Sheet2!$BK$11:$BN$19,VLOOKUP(B614,Sheet2!B:BC,21,FALSE)+1,FALSE)</f>
        <v>2</v>
      </c>
      <c r="E614" s="119">
        <v>0</v>
      </c>
      <c r="F614" s="13" t="s">
        <v>20</v>
      </c>
    </row>
    <row r="615" ht="16.5" spans="1:6">
      <c r="A615" s="119">
        <v>609</v>
      </c>
      <c r="B615" s="177">
        <f>VLOOKUP(ROUNDUP(A615/8,0),Sheet2!A:B,2,FALSE())</f>
        <v>113029</v>
      </c>
      <c r="C615" s="178">
        <f t="shared" si="9"/>
        <v>1</v>
      </c>
      <c r="D615" s="179">
        <f>VLOOKUP(C615,Sheet2!$BK$11:$BN$19,VLOOKUP(B615,Sheet2!B:BC,21,FALSE)+1,FALSE)</f>
        <v>1.2</v>
      </c>
      <c r="E615" s="119">
        <v>0</v>
      </c>
      <c r="F615" s="13" t="s">
        <v>19</v>
      </c>
    </row>
    <row r="616" ht="16.5" spans="1:6">
      <c r="A616" s="119">
        <v>610</v>
      </c>
      <c r="B616" s="177">
        <f>VLOOKUP(ROUNDUP(A616/8,0),Sheet2!A:B,2,FALSE())</f>
        <v>113029</v>
      </c>
      <c r="C616" s="178">
        <f t="shared" si="9"/>
        <v>2</v>
      </c>
      <c r="D616" s="179">
        <f>VLOOKUP(C616,Sheet2!$BK$11:$BN$19,VLOOKUP(B616,Sheet2!B:BC,21,FALSE)+1,FALSE)</f>
        <v>1.2</v>
      </c>
      <c r="E616" s="119">
        <v>0</v>
      </c>
      <c r="F616" s="13" t="s">
        <v>19</v>
      </c>
    </row>
    <row r="617" ht="16.5" spans="1:6">
      <c r="A617" s="119">
        <v>611</v>
      </c>
      <c r="B617" s="177">
        <f>VLOOKUP(ROUNDUP(A617/8,0),Sheet2!A:B,2,FALSE())</f>
        <v>113029</v>
      </c>
      <c r="C617" s="178">
        <f t="shared" si="9"/>
        <v>3</v>
      </c>
      <c r="D617" s="179">
        <f>VLOOKUP(C617,Sheet2!$BK$11:$BN$19,VLOOKUP(B617,Sheet2!B:BC,21,FALSE)+1,FALSE)</f>
        <v>1.2</v>
      </c>
      <c r="E617" s="119">
        <v>0</v>
      </c>
      <c r="F617" s="13" t="s">
        <v>19</v>
      </c>
    </row>
    <row r="618" ht="16.5" spans="1:6">
      <c r="A618" s="119">
        <v>612</v>
      </c>
      <c r="B618" s="177">
        <f>VLOOKUP(ROUNDUP(A618/8,0),Sheet2!A:B,2,FALSE())</f>
        <v>113029</v>
      </c>
      <c r="C618" s="178">
        <f t="shared" si="9"/>
        <v>4</v>
      </c>
      <c r="D618" s="179">
        <f>VLOOKUP(C618,Sheet2!$BK$11:$BN$19,VLOOKUP(B618,Sheet2!B:BC,21,FALSE)+1,FALSE)</f>
        <v>1.5</v>
      </c>
      <c r="E618" s="119">
        <v>0</v>
      </c>
      <c r="F618" s="13" t="s">
        <v>19</v>
      </c>
    </row>
    <row r="619" ht="16.5" spans="1:6">
      <c r="A619" s="119">
        <v>613</v>
      </c>
      <c r="B619" s="177">
        <f>VLOOKUP(ROUNDUP(A619/8,0),Sheet2!A:B,2,FALSE())</f>
        <v>113029</v>
      </c>
      <c r="C619" s="178">
        <f t="shared" si="9"/>
        <v>5</v>
      </c>
      <c r="D619" s="179">
        <f>VLOOKUP(C619,Sheet2!$BK$11:$BN$19,VLOOKUP(B619,Sheet2!B:BC,21,FALSE)+1,FALSE)</f>
        <v>1.5</v>
      </c>
      <c r="E619" s="119">
        <v>0</v>
      </c>
      <c r="F619" s="13" t="s">
        <v>19</v>
      </c>
    </row>
    <row r="620" ht="16.5" spans="1:6">
      <c r="A620" s="119">
        <v>614</v>
      </c>
      <c r="B620" s="177">
        <f>VLOOKUP(ROUNDUP(A620/8,0),Sheet2!A:B,2,FALSE())</f>
        <v>113029</v>
      </c>
      <c r="C620" s="178">
        <f t="shared" si="9"/>
        <v>6</v>
      </c>
      <c r="D620" s="179">
        <f>VLOOKUP(C620,Sheet2!$BK$11:$BN$19,VLOOKUP(B620,Sheet2!B:BC,21,FALSE)+1,FALSE)</f>
        <v>1.7</v>
      </c>
      <c r="E620" s="119">
        <v>0</v>
      </c>
      <c r="F620" s="13" t="s">
        <v>19</v>
      </c>
    </row>
    <row r="621" ht="16.5" spans="1:6">
      <c r="A621" s="119">
        <v>615</v>
      </c>
      <c r="B621" s="177">
        <f>VLOOKUP(ROUNDUP(A621/8,0),Sheet2!A:B,2,FALSE())</f>
        <v>113029</v>
      </c>
      <c r="C621" s="178">
        <f t="shared" si="9"/>
        <v>7</v>
      </c>
      <c r="D621" s="179">
        <f>VLOOKUP(C621,Sheet2!$BK$11:$BN$19,VLOOKUP(B621,Sheet2!B:BC,21,FALSE)+1,FALSE)</f>
        <v>1.7</v>
      </c>
      <c r="E621" s="119">
        <v>0</v>
      </c>
      <c r="F621" s="13" t="s">
        <v>19</v>
      </c>
    </row>
    <row r="622" ht="16.5" spans="1:6">
      <c r="A622" s="119">
        <v>616</v>
      </c>
      <c r="B622" s="177">
        <f>VLOOKUP(ROUNDUP(A622/8,0),Sheet2!A:B,2,FALSE())</f>
        <v>113029</v>
      </c>
      <c r="C622" s="178">
        <f t="shared" si="9"/>
        <v>8</v>
      </c>
      <c r="D622" s="179">
        <f>VLOOKUP(C622,Sheet2!$BK$11:$BN$19,VLOOKUP(B622,Sheet2!B:BC,21,FALSE)+1,FALSE)</f>
        <v>2</v>
      </c>
      <c r="E622" s="119">
        <v>0</v>
      </c>
      <c r="F622" s="13" t="s">
        <v>19</v>
      </c>
    </row>
    <row r="623" ht="16.5" spans="1:6">
      <c r="A623" s="119">
        <v>617</v>
      </c>
      <c r="B623" s="177">
        <f>VLOOKUP(ROUNDUP(A623/8,0),Sheet2!A:B,2,FALSE())</f>
        <v>113030</v>
      </c>
      <c r="C623" s="178">
        <f t="shared" si="9"/>
        <v>1</v>
      </c>
      <c r="D623" s="179">
        <f>VLOOKUP(C623,Sheet2!$BK$11:$BN$19,VLOOKUP(B623,Sheet2!B:BC,21,FALSE)+1,FALSE)</f>
        <v>1.2</v>
      </c>
      <c r="E623" s="119">
        <v>0</v>
      </c>
      <c r="F623" s="13" t="s">
        <v>19</v>
      </c>
    </row>
    <row r="624" ht="16.5" spans="1:6">
      <c r="A624" s="119">
        <v>618</v>
      </c>
      <c r="B624" s="177">
        <f>VLOOKUP(ROUNDUP(A624/8,0),Sheet2!A:B,2,FALSE())</f>
        <v>113030</v>
      </c>
      <c r="C624" s="178">
        <f t="shared" si="9"/>
        <v>2</v>
      </c>
      <c r="D624" s="179">
        <f>VLOOKUP(C624,Sheet2!$BK$11:$BN$19,VLOOKUP(B624,Sheet2!B:BC,21,FALSE)+1,FALSE)</f>
        <v>1.2</v>
      </c>
      <c r="E624" s="119">
        <v>0</v>
      </c>
      <c r="F624" s="13" t="s">
        <v>19</v>
      </c>
    </row>
    <row r="625" ht="16.5" spans="1:6">
      <c r="A625" s="119">
        <v>619</v>
      </c>
      <c r="B625" s="177">
        <f>VLOOKUP(ROUNDUP(A625/8,0),Sheet2!A:B,2,FALSE())</f>
        <v>113030</v>
      </c>
      <c r="C625" s="178">
        <f t="shared" si="9"/>
        <v>3</v>
      </c>
      <c r="D625" s="179">
        <f>VLOOKUP(C625,Sheet2!$BK$11:$BN$19,VLOOKUP(B625,Sheet2!B:BC,21,FALSE)+1,FALSE)</f>
        <v>1.2</v>
      </c>
      <c r="E625" s="119">
        <v>0</v>
      </c>
      <c r="F625" s="13" t="s">
        <v>19</v>
      </c>
    </row>
    <row r="626" ht="16.5" spans="1:6">
      <c r="A626" s="119">
        <v>620</v>
      </c>
      <c r="B626" s="177">
        <f>VLOOKUP(ROUNDUP(A626/8,0),Sheet2!A:B,2,FALSE())</f>
        <v>113030</v>
      </c>
      <c r="C626" s="178">
        <f t="shared" si="9"/>
        <v>4</v>
      </c>
      <c r="D626" s="179">
        <f>VLOOKUP(C626,Sheet2!$BK$11:$BN$19,VLOOKUP(B626,Sheet2!B:BC,21,FALSE)+1,FALSE)</f>
        <v>1.5</v>
      </c>
      <c r="E626" s="119">
        <v>0</v>
      </c>
      <c r="F626" s="13" t="s">
        <v>19</v>
      </c>
    </row>
    <row r="627" ht="16.5" spans="1:6">
      <c r="A627" s="119">
        <v>621</v>
      </c>
      <c r="B627" s="177">
        <f>VLOOKUP(ROUNDUP(A627/8,0),Sheet2!A:B,2,FALSE())</f>
        <v>113030</v>
      </c>
      <c r="C627" s="178">
        <f t="shared" si="9"/>
        <v>5</v>
      </c>
      <c r="D627" s="179">
        <f>VLOOKUP(C627,Sheet2!$BK$11:$BN$19,VLOOKUP(B627,Sheet2!B:BC,21,FALSE)+1,FALSE)</f>
        <v>1.5</v>
      </c>
      <c r="E627" s="119">
        <v>0</v>
      </c>
      <c r="F627" s="13" t="s">
        <v>19</v>
      </c>
    </row>
    <row r="628" ht="16.5" spans="1:6">
      <c r="A628" s="119">
        <v>622</v>
      </c>
      <c r="B628" s="177">
        <f>VLOOKUP(ROUNDUP(A628/8,0),Sheet2!A:B,2,FALSE())</f>
        <v>113030</v>
      </c>
      <c r="C628" s="178">
        <f t="shared" si="9"/>
        <v>6</v>
      </c>
      <c r="D628" s="179">
        <f>VLOOKUP(C628,Sheet2!$BK$11:$BN$19,VLOOKUP(B628,Sheet2!B:BC,21,FALSE)+1,FALSE)</f>
        <v>1.7</v>
      </c>
      <c r="E628" s="119">
        <v>0</v>
      </c>
      <c r="F628" s="13" t="s">
        <v>19</v>
      </c>
    </row>
    <row r="629" ht="16.5" spans="1:6">
      <c r="A629" s="119">
        <v>623</v>
      </c>
      <c r="B629" s="177">
        <f>VLOOKUP(ROUNDUP(A629/8,0),Sheet2!A:B,2,FALSE())</f>
        <v>113030</v>
      </c>
      <c r="C629" s="178">
        <f t="shared" si="9"/>
        <v>7</v>
      </c>
      <c r="D629" s="179">
        <f>VLOOKUP(C629,Sheet2!$BK$11:$BN$19,VLOOKUP(B629,Sheet2!B:BC,21,FALSE)+1,FALSE)</f>
        <v>1.7</v>
      </c>
      <c r="E629" s="119">
        <v>0</v>
      </c>
      <c r="F629" s="13" t="s">
        <v>19</v>
      </c>
    </row>
    <row r="630" ht="16.5" spans="1:6">
      <c r="A630" s="119">
        <v>624</v>
      </c>
      <c r="B630" s="177">
        <f>VLOOKUP(ROUNDUP(A630/8,0),Sheet2!A:B,2,FALSE())</f>
        <v>113030</v>
      </c>
      <c r="C630" s="178">
        <f t="shared" si="9"/>
        <v>8</v>
      </c>
      <c r="D630" s="179">
        <f>VLOOKUP(C630,Sheet2!$BK$11:$BN$19,VLOOKUP(B630,Sheet2!B:BC,21,FALSE)+1,FALSE)</f>
        <v>2</v>
      </c>
      <c r="E630" s="119">
        <v>0</v>
      </c>
      <c r="F630" s="13" t="s">
        <v>19</v>
      </c>
    </row>
    <row r="631" ht="16.5" spans="1:6">
      <c r="A631" s="119">
        <v>625</v>
      </c>
      <c r="B631" s="177">
        <f>VLOOKUP(ROUNDUP(A631/8,0),Sheet2!A:B,2,FALSE())</f>
        <v>113031</v>
      </c>
      <c r="C631" s="178">
        <f t="shared" si="9"/>
        <v>1</v>
      </c>
      <c r="D631" s="179">
        <f>VLOOKUP(C631,Sheet2!$BK$11:$BN$19,VLOOKUP(B631,Sheet2!B:BC,21,FALSE)+1,FALSE)</f>
        <v>1.2</v>
      </c>
      <c r="E631" s="119">
        <v>0.3</v>
      </c>
      <c r="F631" s="13" t="s">
        <v>18</v>
      </c>
    </row>
    <row r="632" ht="16.5" spans="1:6">
      <c r="A632" s="119">
        <v>626</v>
      </c>
      <c r="B632" s="177">
        <f>VLOOKUP(ROUNDUP(A632/8,0),Sheet2!A:B,2,FALSE())</f>
        <v>113031</v>
      </c>
      <c r="C632" s="178">
        <f t="shared" si="9"/>
        <v>2</v>
      </c>
      <c r="D632" s="179">
        <f>VLOOKUP(C632,Sheet2!$BK$11:$BN$19,VLOOKUP(B632,Sheet2!B:BC,21,FALSE)+1,FALSE)</f>
        <v>1.2</v>
      </c>
      <c r="E632" s="119">
        <v>0.3</v>
      </c>
      <c r="F632" s="13" t="s">
        <v>18</v>
      </c>
    </row>
    <row r="633" ht="16.5" spans="1:6">
      <c r="A633" s="119">
        <v>627</v>
      </c>
      <c r="B633" s="177">
        <f>VLOOKUP(ROUNDUP(A633/8,0),Sheet2!A:B,2,FALSE())</f>
        <v>113031</v>
      </c>
      <c r="C633" s="178">
        <f t="shared" si="9"/>
        <v>3</v>
      </c>
      <c r="D633" s="179">
        <f>VLOOKUP(C633,Sheet2!$BK$11:$BN$19,VLOOKUP(B633,Sheet2!B:BC,21,FALSE)+1,FALSE)</f>
        <v>1.2</v>
      </c>
      <c r="E633" s="119">
        <v>0.3</v>
      </c>
      <c r="F633" s="13" t="s">
        <v>18</v>
      </c>
    </row>
    <row r="634" ht="16.5" spans="1:6">
      <c r="A634" s="119">
        <v>628</v>
      </c>
      <c r="B634" s="177">
        <f>VLOOKUP(ROUNDUP(A634/8,0),Sheet2!A:B,2,FALSE())</f>
        <v>113031</v>
      </c>
      <c r="C634" s="178">
        <f t="shared" si="9"/>
        <v>4</v>
      </c>
      <c r="D634" s="179">
        <f>VLOOKUP(C634,Sheet2!$BK$11:$BN$19,VLOOKUP(B634,Sheet2!B:BC,21,FALSE)+1,FALSE)</f>
        <v>1.5</v>
      </c>
      <c r="E634" s="119">
        <v>0.3</v>
      </c>
      <c r="F634" s="13" t="s">
        <v>18</v>
      </c>
    </row>
    <row r="635" ht="16.5" spans="1:6">
      <c r="A635" s="119">
        <v>629</v>
      </c>
      <c r="B635" s="177">
        <f>VLOOKUP(ROUNDUP(A635/8,0),Sheet2!A:B,2,FALSE())</f>
        <v>113031</v>
      </c>
      <c r="C635" s="178">
        <f t="shared" si="9"/>
        <v>5</v>
      </c>
      <c r="D635" s="179">
        <f>VLOOKUP(C635,Sheet2!$BK$11:$BN$19,VLOOKUP(B635,Sheet2!B:BC,21,FALSE)+1,FALSE)</f>
        <v>1.5</v>
      </c>
      <c r="E635" s="119">
        <v>0.3</v>
      </c>
      <c r="F635" s="13" t="s">
        <v>18</v>
      </c>
    </row>
    <row r="636" ht="16.5" spans="1:6">
      <c r="A636" s="119">
        <v>630</v>
      </c>
      <c r="B636" s="177">
        <f>VLOOKUP(ROUNDUP(A636/8,0),Sheet2!A:B,2,FALSE())</f>
        <v>113031</v>
      </c>
      <c r="C636" s="178">
        <f t="shared" si="9"/>
        <v>6</v>
      </c>
      <c r="D636" s="179">
        <f>VLOOKUP(C636,Sheet2!$BK$11:$BN$19,VLOOKUP(B636,Sheet2!B:BC,21,FALSE)+1,FALSE)</f>
        <v>1.7</v>
      </c>
      <c r="E636" s="119">
        <v>0.3</v>
      </c>
      <c r="F636" s="13" t="s">
        <v>18</v>
      </c>
    </row>
    <row r="637" ht="16.5" spans="1:6">
      <c r="A637" s="119">
        <v>631</v>
      </c>
      <c r="B637" s="177">
        <f>VLOOKUP(ROUNDUP(A637/8,0),Sheet2!A:B,2,FALSE())</f>
        <v>113031</v>
      </c>
      <c r="C637" s="178">
        <f t="shared" si="9"/>
        <v>7</v>
      </c>
      <c r="D637" s="179">
        <f>VLOOKUP(C637,Sheet2!$BK$11:$BN$19,VLOOKUP(B637,Sheet2!B:BC,21,FALSE)+1,FALSE)</f>
        <v>1.7</v>
      </c>
      <c r="E637" s="119">
        <v>0.3</v>
      </c>
      <c r="F637" s="13" t="s">
        <v>18</v>
      </c>
    </row>
    <row r="638" ht="16.5" spans="1:6">
      <c r="A638" s="119">
        <v>632</v>
      </c>
      <c r="B638" s="177">
        <f>VLOOKUP(ROUNDUP(A638/8,0),Sheet2!A:B,2,FALSE())</f>
        <v>113031</v>
      </c>
      <c r="C638" s="178">
        <f t="shared" si="9"/>
        <v>8</v>
      </c>
      <c r="D638" s="179">
        <f>VLOOKUP(C638,Sheet2!$BK$11:$BN$19,VLOOKUP(B638,Sheet2!B:BC,21,FALSE)+1,FALSE)</f>
        <v>2</v>
      </c>
      <c r="E638" s="119">
        <v>0.3</v>
      </c>
      <c r="F638" s="13" t="s">
        <v>18</v>
      </c>
    </row>
    <row r="639" ht="16.5" spans="1:6">
      <c r="A639" s="119">
        <v>633</v>
      </c>
      <c r="B639" s="177">
        <f>VLOOKUP(ROUNDUP(A639/8,0),Sheet2!A:B,2,FALSE())</f>
        <v>113032</v>
      </c>
      <c r="C639" s="178">
        <f t="shared" si="9"/>
        <v>1</v>
      </c>
      <c r="D639" s="179">
        <f>VLOOKUP(C639,Sheet2!$BK$11:$BN$19,VLOOKUP(B639,Sheet2!B:BC,21,FALSE)+1,FALSE)</f>
        <v>1.2</v>
      </c>
      <c r="E639" s="119">
        <v>0</v>
      </c>
      <c r="F639" s="13" t="s">
        <v>17</v>
      </c>
    </row>
    <row r="640" ht="16.5" spans="1:6">
      <c r="A640" s="119">
        <v>634</v>
      </c>
      <c r="B640" s="177">
        <f>VLOOKUP(ROUNDUP(A640/8,0),Sheet2!A:B,2,FALSE())</f>
        <v>113032</v>
      </c>
      <c r="C640" s="178">
        <f t="shared" si="9"/>
        <v>2</v>
      </c>
      <c r="D640" s="179">
        <f>VLOOKUP(C640,Sheet2!$BK$11:$BN$19,VLOOKUP(B640,Sheet2!B:BC,21,FALSE)+1,FALSE)</f>
        <v>1.2</v>
      </c>
      <c r="E640" s="119">
        <v>0</v>
      </c>
      <c r="F640" s="13" t="s">
        <v>17</v>
      </c>
    </row>
    <row r="641" ht="16.5" spans="1:6">
      <c r="A641" s="119">
        <v>635</v>
      </c>
      <c r="B641" s="177">
        <f>VLOOKUP(ROUNDUP(A641/8,0),Sheet2!A:B,2,FALSE())</f>
        <v>113032</v>
      </c>
      <c r="C641" s="178">
        <f t="shared" si="9"/>
        <v>3</v>
      </c>
      <c r="D641" s="179">
        <f>VLOOKUP(C641,Sheet2!$BK$11:$BN$19,VLOOKUP(B641,Sheet2!B:BC,21,FALSE)+1,FALSE)</f>
        <v>1.2</v>
      </c>
      <c r="E641" s="119">
        <v>0</v>
      </c>
      <c r="F641" s="13" t="s">
        <v>17</v>
      </c>
    </row>
    <row r="642" ht="16.5" spans="1:6">
      <c r="A642" s="119">
        <v>636</v>
      </c>
      <c r="B642" s="177">
        <f>VLOOKUP(ROUNDUP(A642/8,0),Sheet2!A:B,2,FALSE())</f>
        <v>113032</v>
      </c>
      <c r="C642" s="178">
        <f t="shared" si="9"/>
        <v>4</v>
      </c>
      <c r="D642" s="179">
        <f>VLOOKUP(C642,Sheet2!$BK$11:$BN$19,VLOOKUP(B642,Sheet2!B:BC,21,FALSE)+1,FALSE)</f>
        <v>1.5</v>
      </c>
      <c r="E642" s="119">
        <v>0</v>
      </c>
      <c r="F642" s="13" t="s">
        <v>17</v>
      </c>
    </row>
    <row r="643" ht="16.5" spans="1:6">
      <c r="A643" s="119">
        <v>637</v>
      </c>
      <c r="B643" s="177">
        <f>VLOOKUP(ROUNDUP(A643/8,0),Sheet2!A:B,2,FALSE())</f>
        <v>113032</v>
      </c>
      <c r="C643" s="178">
        <f t="shared" si="9"/>
        <v>5</v>
      </c>
      <c r="D643" s="179">
        <f>VLOOKUP(C643,Sheet2!$BK$11:$BN$19,VLOOKUP(B643,Sheet2!B:BC,21,FALSE)+1,FALSE)</f>
        <v>1.5</v>
      </c>
      <c r="E643" s="119">
        <v>0</v>
      </c>
      <c r="F643" s="13" t="s">
        <v>17</v>
      </c>
    </row>
    <row r="644" ht="16.5" spans="1:6">
      <c r="A644" s="119">
        <v>638</v>
      </c>
      <c r="B644" s="177">
        <f>VLOOKUP(ROUNDUP(A644/8,0),Sheet2!A:B,2,FALSE())</f>
        <v>113032</v>
      </c>
      <c r="C644" s="178">
        <f t="shared" si="9"/>
        <v>6</v>
      </c>
      <c r="D644" s="179">
        <f>VLOOKUP(C644,Sheet2!$BK$11:$BN$19,VLOOKUP(B644,Sheet2!B:BC,21,FALSE)+1,FALSE)</f>
        <v>1.7</v>
      </c>
      <c r="E644" s="119">
        <v>0</v>
      </c>
      <c r="F644" s="13" t="s">
        <v>17</v>
      </c>
    </row>
    <row r="645" ht="16.5" spans="1:6">
      <c r="A645" s="119">
        <v>639</v>
      </c>
      <c r="B645" s="177">
        <f>VLOOKUP(ROUNDUP(A645/8,0),Sheet2!A:B,2,FALSE())</f>
        <v>113032</v>
      </c>
      <c r="C645" s="178">
        <f t="shared" si="9"/>
        <v>7</v>
      </c>
      <c r="D645" s="179">
        <f>VLOOKUP(C645,Sheet2!$BK$11:$BN$19,VLOOKUP(B645,Sheet2!B:BC,21,FALSE)+1,FALSE)</f>
        <v>1.7</v>
      </c>
      <c r="E645" s="119">
        <v>0</v>
      </c>
      <c r="F645" s="13" t="s">
        <v>17</v>
      </c>
    </row>
    <row r="646" ht="16.5" spans="1:6">
      <c r="A646" s="119">
        <v>640</v>
      </c>
      <c r="B646" s="177">
        <f>VLOOKUP(ROUNDUP(A646/8,0),Sheet2!A:B,2,FALSE())</f>
        <v>113032</v>
      </c>
      <c r="C646" s="178">
        <f t="shared" si="9"/>
        <v>8</v>
      </c>
      <c r="D646" s="179">
        <f>VLOOKUP(C646,Sheet2!$BK$11:$BN$19,VLOOKUP(B646,Sheet2!B:BC,21,FALSE)+1,FALSE)</f>
        <v>2</v>
      </c>
      <c r="E646" s="119">
        <v>0</v>
      </c>
      <c r="F646" s="13" t="s">
        <v>17</v>
      </c>
    </row>
    <row r="647" ht="16.5" spans="1:6">
      <c r="A647" s="119">
        <v>641</v>
      </c>
      <c r="B647" s="177">
        <f>VLOOKUP(ROUNDUP(A647/8,0),Sheet2!A:B,2,FALSE())</f>
        <v>113033</v>
      </c>
      <c r="C647" s="178">
        <f t="shared" si="9"/>
        <v>1</v>
      </c>
      <c r="D647" s="179">
        <f>VLOOKUP(C647,Sheet2!$BK$11:$BN$19,VLOOKUP(B647,Sheet2!B:BC,21,FALSE)+1,FALSE)</f>
        <v>1.2</v>
      </c>
      <c r="E647" s="119">
        <v>0</v>
      </c>
      <c r="F647" s="13" t="s">
        <v>20</v>
      </c>
    </row>
    <row r="648" ht="16.5" spans="1:6">
      <c r="A648" s="119">
        <v>642</v>
      </c>
      <c r="B648" s="177">
        <f>VLOOKUP(ROUNDUP(A648/8,0),Sheet2!A:B,2,FALSE())</f>
        <v>113033</v>
      </c>
      <c r="C648" s="178">
        <f t="shared" si="9"/>
        <v>2</v>
      </c>
      <c r="D648" s="179">
        <f>VLOOKUP(C648,Sheet2!$BK$11:$BN$19,VLOOKUP(B648,Sheet2!B:BC,21,FALSE)+1,FALSE)</f>
        <v>1.2</v>
      </c>
      <c r="E648" s="119">
        <v>0</v>
      </c>
      <c r="F648" s="13" t="s">
        <v>20</v>
      </c>
    </row>
    <row r="649" ht="16.5" spans="1:6">
      <c r="A649" s="119">
        <v>643</v>
      </c>
      <c r="B649" s="177">
        <f>VLOOKUP(ROUNDUP(A649/8,0),Sheet2!A:B,2,FALSE())</f>
        <v>113033</v>
      </c>
      <c r="C649" s="178">
        <f t="shared" si="9"/>
        <v>3</v>
      </c>
      <c r="D649" s="179">
        <f>VLOOKUP(C649,Sheet2!$BK$11:$BN$19,VLOOKUP(B649,Sheet2!B:BC,21,FALSE)+1,FALSE)</f>
        <v>1.2</v>
      </c>
      <c r="E649" s="119">
        <v>0</v>
      </c>
      <c r="F649" s="13" t="s">
        <v>20</v>
      </c>
    </row>
    <row r="650" ht="16.5" spans="1:6">
      <c r="A650" s="119">
        <v>644</v>
      </c>
      <c r="B650" s="177">
        <f>VLOOKUP(ROUNDUP(A650/8,0),Sheet2!A:B,2,FALSE())</f>
        <v>113033</v>
      </c>
      <c r="C650" s="178">
        <f t="shared" si="9"/>
        <v>4</v>
      </c>
      <c r="D650" s="179">
        <f>VLOOKUP(C650,Sheet2!$BK$11:$BN$19,VLOOKUP(B650,Sheet2!B:BC,21,FALSE)+1,FALSE)</f>
        <v>1.5</v>
      </c>
      <c r="E650" s="119">
        <v>0</v>
      </c>
      <c r="F650" s="13" t="s">
        <v>20</v>
      </c>
    </row>
    <row r="651" ht="16.5" spans="1:6">
      <c r="A651" s="119">
        <v>645</v>
      </c>
      <c r="B651" s="177">
        <f>VLOOKUP(ROUNDUP(A651/8,0),Sheet2!A:B,2,FALSE())</f>
        <v>113033</v>
      </c>
      <c r="C651" s="178">
        <f t="shared" si="9"/>
        <v>5</v>
      </c>
      <c r="D651" s="179">
        <f>VLOOKUP(C651,Sheet2!$BK$11:$BN$19,VLOOKUP(B651,Sheet2!B:BC,21,FALSE)+1,FALSE)</f>
        <v>1.5</v>
      </c>
      <c r="E651" s="119">
        <v>0</v>
      </c>
      <c r="F651" s="13" t="s">
        <v>20</v>
      </c>
    </row>
    <row r="652" ht="16.5" spans="1:6">
      <c r="A652" s="119">
        <v>646</v>
      </c>
      <c r="B652" s="177">
        <f>VLOOKUP(ROUNDUP(A652/8,0),Sheet2!A:B,2,FALSE())</f>
        <v>113033</v>
      </c>
      <c r="C652" s="178">
        <f t="shared" si="9"/>
        <v>6</v>
      </c>
      <c r="D652" s="179">
        <f>VLOOKUP(C652,Sheet2!$BK$11:$BN$19,VLOOKUP(B652,Sheet2!B:BC,21,FALSE)+1,FALSE)</f>
        <v>1.7</v>
      </c>
      <c r="E652" s="119">
        <v>0</v>
      </c>
      <c r="F652" s="13" t="s">
        <v>20</v>
      </c>
    </row>
    <row r="653" ht="16.5" spans="1:6">
      <c r="A653" s="119">
        <v>647</v>
      </c>
      <c r="B653" s="177">
        <f>VLOOKUP(ROUNDUP(A653/8,0),Sheet2!A:B,2,FALSE())</f>
        <v>113033</v>
      </c>
      <c r="C653" s="178">
        <f t="shared" si="9"/>
        <v>7</v>
      </c>
      <c r="D653" s="179">
        <f>VLOOKUP(C653,Sheet2!$BK$11:$BN$19,VLOOKUP(B653,Sheet2!B:BC,21,FALSE)+1,FALSE)</f>
        <v>1.7</v>
      </c>
      <c r="E653" s="119">
        <v>0</v>
      </c>
      <c r="F653" s="13" t="s">
        <v>20</v>
      </c>
    </row>
    <row r="654" ht="16.5" spans="1:6">
      <c r="A654" s="119">
        <v>648</v>
      </c>
      <c r="B654" s="177">
        <f>VLOOKUP(ROUNDUP(A654/8,0),Sheet2!A:B,2,FALSE())</f>
        <v>113033</v>
      </c>
      <c r="C654" s="178">
        <f t="shared" si="9"/>
        <v>8</v>
      </c>
      <c r="D654" s="179">
        <f>VLOOKUP(C654,Sheet2!$BK$11:$BN$19,VLOOKUP(B654,Sheet2!B:BC,21,FALSE)+1,FALSE)</f>
        <v>2</v>
      </c>
      <c r="E654" s="119">
        <v>0</v>
      </c>
      <c r="F654" s="13" t="s">
        <v>20</v>
      </c>
    </row>
    <row r="655" ht="16.5" spans="1:6">
      <c r="A655" s="119">
        <v>649</v>
      </c>
      <c r="B655" s="177">
        <f>VLOOKUP(ROUNDUP(A655/8,0),Sheet2!A:B,2,FALSE())</f>
        <v>113034</v>
      </c>
      <c r="C655" s="178">
        <f t="shared" si="9"/>
        <v>1</v>
      </c>
      <c r="D655" s="179">
        <f>VLOOKUP(C655,Sheet2!$BK$11:$BN$19,VLOOKUP(B655,Sheet2!B:BC,21,FALSE)+1,FALSE)</f>
        <v>1.2</v>
      </c>
      <c r="E655" s="119">
        <v>0</v>
      </c>
      <c r="F655" s="13" t="s">
        <v>17</v>
      </c>
    </row>
    <row r="656" ht="16.5" spans="1:6">
      <c r="A656" s="119">
        <v>650</v>
      </c>
      <c r="B656" s="177">
        <f>VLOOKUP(ROUNDUP(A656/8,0),Sheet2!A:B,2,FALSE())</f>
        <v>113034</v>
      </c>
      <c r="C656" s="178">
        <f t="shared" ref="C656:C719" si="10">C648</f>
        <v>2</v>
      </c>
      <c r="D656" s="179">
        <f>VLOOKUP(C656,Sheet2!$BK$11:$BN$19,VLOOKUP(B656,Sheet2!B:BC,21,FALSE)+1,FALSE)</f>
        <v>1.2</v>
      </c>
      <c r="E656" s="119">
        <v>0</v>
      </c>
      <c r="F656" s="13" t="s">
        <v>17</v>
      </c>
    </row>
    <row r="657" ht="16.5" spans="1:6">
      <c r="A657" s="119">
        <v>651</v>
      </c>
      <c r="B657" s="177">
        <f>VLOOKUP(ROUNDUP(A657/8,0),Sheet2!A:B,2,FALSE())</f>
        <v>113034</v>
      </c>
      <c r="C657" s="178">
        <f t="shared" si="10"/>
        <v>3</v>
      </c>
      <c r="D657" s="179">
        <f>VLOOKUP(C657,Sheet2!$BK$11:$BN$19,VLOOKUP(B657,Sheet2!B:BC,21,FALSE)+1,FALSE)</f>
        <v>1.2</v>
      </c>
      <c r="E657" s="119">
        <v>0</v>
      </c>
      <c r="F657" s="13" t="s">
        <v>17</v>
      </c>
    </row>
    <row r="658" ht="16.5" spans="1:6">
      <c r="A658" s="119">
        <v>652</v>
      </c>
      <c r="B658" s="177">
        <f>VLOOKUP(ROUNDUP(A658/8,0),Sheet2!A:B,2,FALSE())</f>
        <v>113034</v>
      </c>
      <c r="C658" s="178">
        <f t="shared" si="10"/>
        <v>4</v>
      </c>
      <c r="D658" s="179">
        <f>VLOOKUP(C658,Sheet2!$BK$11:$BN$19,VLOOKUP(B658,Sheet2!B:BC,21,FALSE)+1,FALSE)</f>
        <v>1.5</v>
      </c>
      <c r="E658" s="119">
        <v>0</v>
      </c>
      <c r="F658" s="13" t="s">
        <v>17</v>
      </c>
    </row>
    <row r="659" ht="16.5" spans="1:6">
      <c r="A659" s="119">
        <v>653</v>
      </c>
      <c r="B659" s="177">
        <f>VLOOKUP(ROUNDUP(A659/8,0),Sheet2!A:B,2,FALSE())</f>
        <v>113034</v>
      </c>
      <c r="C659" s="178">
        <f t="shared" si="10"/>
        <v>5</v>
      </c>
      <c r="D659" s="179">
        <f>VLOOKUP(C659,Sheet2!$BK$11:$BN$19,VLOOKUP(B659,Sheet2!B:BC,21,FALSE)+1,FALSE)</f>
        <v>1.5</v>
      </c>
      <c r="E659" s="119">
        <v>0</v>
      </c>
      <c r="F659" s="13" t="s">
        <v>17</v>
      </c>
    </row>
    <row r="660" ht="16.5" spans="1:6">
      <c r="A660" s="119">
        <v>654</v>
      </c>
      <c r="B660" s="177">
        <f>VLOOKUP(ROUNDUP(A660/8,0),Sheet2!A:B,2,FALSE())</f>
        <v>113034</v>
      </c>
      <c r="C660" s="178">
        <f t="shared" si="10"/>
        <v>6</v>
      </c>
      <c r="D660" s="179">
        <f>VLOOKUP(C660,Sheet2!$BK$11:$BN$19,VLOOKUP(B660,Sheet2!B:BC,21,FALSE)+1,FALSE)</f>
        <v>1.7</v>
      </c>
      <c r="E660" s="119">
        <v>0</v>
      </c>
      <c r="F660" s="13" t="s">
        <v>17</v>
      </c>
    </row>
    <row r="661" ht="16.5" spans="1:6">
      <c r="A661" s="119">
        <v>655</v>
      </c>
      <c r="B661" s="177">
        <f>VLOOKUP(ROUNDUP(A661/8,0),Sheet2!A:B,2,FALSE())</f>
        <v>113034</v>
      </c>
      <c r="C661" s="178">
        <f t="shared" si="10"/>
        <v>7</v>
      </c>
      <c r="D661" s="179">
        <f>VLOOKUP(C661,Sheet2!$BK$11:$BN$19,VLOOKUP(B661,Sheet2!B:BC,21,FALSE)+1,FALSE)</f>
        <v>1.7</v>
      </c>
      <c r="E661" s="119">
        <v>0</v>
      </c>
      <c r="F661" s="13" t="s">
        <v>17</v>
      </c>
    </row>
    <row r="662" ht="16.5" spans="1:6">
      <c r="A662" s="119">
        <v>656</v>
      </c>
      <c r="B662" s="177">
        <f>VLOOKUP(ROUNDUP(A662/8,0),Sheet2!A:B,2,FALSE())</f>
        <v>113034</v>
      </c>
      <c r="C662" s="178">
        <f t="shared" si="10"/>
        <v>8</v>
      </c>
      <c r="D662" s="179">
        <f>VLOOKUP(C662,Sheet2!$BK$11:$BN$19,VLOOKUP(B662,Sheet2!B:BC,21,FALSE)+1,FALSE)</f>
        <v>2</v>
      </c>
      <c r="E662" s="119">
        <v>0</v>
      </c>
      <c r="F662" s="13" t="s">
        <v>17</v>
      </c>
    </row>
    <row r="663" ht="16.5" spans="1:6">
      <c r="A663" s="119">
        <v>657</v>
      </c>
      <c r="B663" s="177">
        <f>VLOOKUP(ROUNDUP(A663/8,0),Sheet2!A:B,2,FALSE())</f>
        <v>113035</v>
      </c>
      <c r="C663" s="178">
        <f t="shared" si="10"/>
        <v>1</v>
      </c>
      <c r="D663" s="179">
        <f>VLOOKUP(C663,Sheet2!$BK$11:$BN$19,VLOOKUP(B663,Sheet2!B:BC,21,FALSE)+1,FALSE)</f>
        <v>1.2</v>
      </c>
      <c r="E663" s="119">
        <v>0</v>
      </c>
      <c r="F663" s="13" t="s">
        <v>17</v>
      </c>
    </row>
    <row r="664" ht="16.5" spans="1:6">
      <c r="A664" s="119">
        <v>658</v>
      </c>
      <c r="B664" s="177">
        <f>VLOOKUP(ROUNDUP(A664/8,0),Sheet2!A:B,2,FALSE())</f>
        <v>113035</v>
      </c>
      <c r="C664" s="178">
        <f t="shared" si="10"/>
        <v>2</v>
      </c>
      <c r="D664" s="179">
        <f>VLOOKUP(C664,Sheet2!$BK$11:$BN$19,VLOOKUP(B664,Sheet2!B:BC,21,FALSE)+1,FALSE)</f>
        <v>1.2</v>
      </c>
      <c r="E664" s="119">
        <v>0</v>
      </c>
      <c r="F664" s="13" t="s">
        <v>17</v>
      </c>
    </row>
    <row r="665" ht="16.5" spans="1:6">
      <c r="A665" s="119">
        <v>659</v>
      </c>
      <c r="B665" s="177">
        <f>VLOOKUP(ROUNDUP(A665/8,0),Sheet2!A:B,2,FALSE())</f>
        <v>113035</v>
      </c>
      <c r="C665" s="178">
        <f t="shared" si="10"/>
        <v>3</v>
      </c>
      <c r="D665" s="179">
        <f>VLOOKUP(C665,Sheet2!$BK$11:$BN$19,VLOOKUP(B665,Sheet2!B:BC,21,FALSE)+1,FALSE)</f>
        <v>1.2</v>
      </c>
      <c r="E665" s="119">
        <v>0</v>
      </c>
      <c r="F665" s="13" t="s">
        <v>17</v>
      </c>
    </row>
    <row r="666" ht="16.5" spans="1:6">
      <c r="A666" s="119">
        <v>660</v>
      </c>
      <c r="B666" s="177">
        <f>VLOOKUP(ROUNDUP(A666/8,0),Sheet2!A:B,2,FALSE())</f>
        <v>113035</v>
      </c>
      <c r="C666" s="178">
        <f t="shared" si="10"/>
        <v>4</v>
      </c>
      <c r="D666" s="179">
        <f>VLOOKUP(C666,Sheet2!$BK$11:$BN$19,VLOOKUP(B666,Sheet2!B:BC,21,FALSE)+1,FALSE)</f>
        <v>1.5</v>
      </c>
      <c r="E666" s="119">
        <v>0</v>
      </c>
      <c r="F666" s="13" t="s">
        <v>17</v>
      </c>
    </row>
    <row r="667" ht="16.5" spans="1:6">
      <c r="A667" s="119">
        <v>661</v>
      </c>
      <c r="B667" s="177">
        <f>VLOOKUP(ROUNDUP(A667/8,0),Sheet2!A:B,2,FALSE())</f>
        <v>113035</v>
      </c>
      <c r="C667" s="178">
        <f t="shared" si="10"/>
        <v>5</v>
      </c>
      <c r="D667" s="179">
        <f>VLOOKUP(C667,Sheet2!$BK$11:$BN$19,VLOOKUP(B667,Sheet2!B:BC,21,FALSE)+1,FALSE)</f>
        <v>1.5</v>
      </c>
      <c r="E667" s="119">
        <v>0</v>
      </c>
      <c r="F667" s="13" t="s">
        <v>17</v>
      </c>
    </row>
    <row r="668" ht="16.5" spans="1:6">
      <c r="A668" s="119">
        <v>662</v>
      </c>
      <c r="B668" s="177">
        <f>VLOOKUP(ROUNDUP(A668/8,0),Sheet2!A:B,2,FALSE())</f>
        <v>113035</v>
      </c>
      <c r="C668" s="178">
        <f t="shared" si="10"/>
        <v>6</v>
      </c>
      <c r="D668" s="179">
        <f>VLOOKUP(C668,Sheet2!$BK$11:$BN$19,VLOOKUP(B668,Sheet2!B:BC,21,FALSE)+1,FALSE)</f>
        <v>1.7</v>
      </c>
      <c r="E668" s="119">
        <v>0</v>
      </c>
      <c r="F668" s="13" t="s">
        <v>17</v>
      </c>
    </row>
    <row r="669" ht="16.5" spans="1:6">
      <c r="A669" s="119">
        <v>663</v>
      </c>
      <c r="B669" s="177">
        <f>VLOOKUP(ROUNDUP(A669/8,0),Sheet2!A:B,2,FALSE())</f>
        <v>113035</v>
      </c>
      <c r="C669" s="178">
        <f t="shared" si="10"/>
        <v>7</v>
      </c>
      <c r="D669" s="179">
        <f>VLOOKUP(C669,Sheet2!$BK$11:$BN$19,VLOOKUP(B669,Sheet2!B:BC,21,FALSE)+1,FALSE)</f>
        <v>1.7</v>
      </c>
      <c r="E669" s="119">
        <v>0</v>
      </c>
      <c r="F669" s="13" t="s">
        <v>17</v>
      </c>
    </row>
    <row r="670" ht="16.5" spans="1:6">
      <c r="A670" s="119">
        <v>664</v>
      </c>
      <c r="B670" s="177">
        <f>VLOOKUP(ROUNDUP(A670/8,0),Sheet2!A:B,2,FALSE())</f>
        <v>113035</v>
      </c>
      <c r="C670" s="178">
        <f t="shared" si="10"/>
        <v>8</v>
      </c>
      <c r="D670" s="179">
        <f>VLOOKUP(C670,Sheet2!$BK$11:$BN$19,VLOOKUP(B670,Sheet2!B:BC,21,FALSE)+1,FALSE)</f>
        <v>2</v>
      </c>
      <c r="E670" s="119">
        <v>0</v>
      </c>
      <c r="F670" s="13" t="s">
        <v>17</v>
      </c>
    </row>
    <row r="671" ht="16.5" spans="1:6">
      <c r="A671" s="119">
        <v>665</v>
      </c>
      <c r="B671" s="177">
        <f>VLOOKUP(ROUNDUP(A671/8,0),Sheet2!A:B,2,FALSE())</f>
        <v>113036</v>
      </c>
      <c r="C671" s="178">
        <f t="shared" si="10"/>
        <v>1</v>
      </c>
      <c r="D671" s="179">
        <f>VLOOKUP(C671,Sheet2!$BK$11:$BN$19,VLOOKUP(B671,Sheet2!B:BC,21,FALSE)+1,FALSE)</f>
        <v>1.2</v>
      </c>
      <c r="E671" s="119">
        <v>0</v>
      </c>
      <c r="F671" s="13" t="s">
        <v>19</v>
      </c>
    </row>
    <row r="672" ht="16.5" spans="1:6">
      <c r="A672" s="119">
        <v>666</v>
      </c>
      <c r="B672" s="177">
        <f>VLOOKUP(ROUNDUP(A672/8,0),Sheet2!A:B,2,FALSE())</f>
        <v>113036</v>
      </c>
      <c r="C672" s="178">
        <f t="shared" si="10"/>
        <v>2</v>
      </c>
      <c r="D672" s="179">
        <f>VLOOKUP(C672,Sheet2!$BK$11:$BN$19,VLOOKUP(B672,Sheet2!B:BC,21,FALSE)+1,FALSE)</f>
        <v>1.2</v>
      </c>
      <c r="E672" s="119">
        <v>0</v>
      </c>
      <c r="F672" s="13" t="s">
        <v>19</v>
      </c>
    </row>
    <row r="673" ht="16.5" spans="1:6">
      <c r="A673" s="119">
        <v>667</v>
      </c>
      <c r="B673" s="177">
        <f>VLOOKUP(ROUNDUP(A673/8,0),Sheet2!A:B,2,FALSE())</f>
        <v>113036</v>
      </c>
      <c r="C673" s="178">
        <f t="shared" si="10"/>
        <v>3</v>
      </c>
      <c r="D673" s="179">
        <f>VLOOKUP(C673,Sheet2!$BK$11:$BN$19,VLOOKUP(B673,Sheet2!B:BC,21,FALSE)+1,FALSE)</f>
        <v>1.2</v>
      </c>
      <c r="E673" s="119">
        <v>0</v>
      </c>
      <c r="F673" s="13" t="s">
        <v>19</v>
      </c>
    </row>
    <row r="674" ht="16.5" spans="1:6">
      <c r="A674" s="119">
        <v>668</v>
      </c>
      <c r="B674" s="177">
        <f>VLOOKUP(ROUNDUP(A674/8,0),Sheet2!A:B,2,FALSE())</f>
        <v>113036</v>
      </c>
      <c r="C674" s="178">
        <f t="shared" si="10"/>
        <v>4</v>
      </c>
      <c r="D674" s="179">
        <f>VLOOKUP(C674,Sheet2!$BK$11:$BN$19,VLOOKUP(B674,Sheet2!B:BC,21,FALSE)+1,FALSE)</f>
        <v>1.5</v>
      </c>
      <c r="E674" s="119">
        <v>0</v>
      </c>
      <c r="F674" s="13" t="s">
        <v>19</v>
      </c>
    </row>
    <row r="675" ht="16.5" spans="1:6">
      <c r="A675" s="119">
        <v>669</v>
      </c>
      <c r="B675" s="177">
        <f>VLOOKUP(ROUNDUP(A675/8,0),Sheet2!A:B,2,FALSE())</f>
        <v>113036</v>
      </c>
      <c r="C675" s="178">
        <f t="shared" si="10"/>
        <v>5</v>
      </c>
      <c r="D675" s="179">
        <f>VLOOKUP(C675,Sheet2!$BK$11:$BN$19,VLOOKUP(B675,Sheet2!B:BC,21,FALSE)+1,FALSE)</f>
        <v>1.5</v>
      </c>
      <c r="E675" s="119">
        <v>0</v>
      </c>
      <c r="F675" s="13" t="s">
        <v>19</v>
      </c>
    </row>
    <row r="676" ht="16.5" spans="1:6">
      <c r="A676" s="119">
        <v>670</v>
      </c>
      <c r="B676" s="177">
        <f>VLOOKUP(ROUNDUP(A676/8,0),Sheet2!A:B,2,FALSE())</f>
        <v>113036</v>
      </c>
      <c r="C676" s="178">
        <f t="shared" si="10"/>
        <v>6</v>
      </c>
      <c r="D676" s="179">
        <f>VLOOKUP(C676,Sheet2!$BK$11:$BN$19,VLOOKUP(B676,Sheet2!B:BC,21,FALSE)+1,FALSE)</f>
        <v>1.7</v>
      </c>
      <c r="E676" s="119">
        <v>0</v>
      </c>
      <c r="F676" s="13" t="s">
        <v>19</v>
      </c>
    </row>
    <row r="677" ht="16.5" spans="1:6">
      <c r="A677" s="119">
        <v>671</v>
      </c>
      <c r="B677" s="177">
        <f>VLOOKUP(ROUNDUP(A677/8,0),Sheet2!A:B,2,FALSE())</f>
        <v>113036</v>
      </c>
      <c r="C677" s="178">
        <f t="shared" si="10"/>
        <v>7</v>
      </c>
      <c r="D677" s="179">
        <f>VLOOKUP(C677,Sheet2!$BK$11:$BN$19,VLOOKUP(B677,Sheet2!B:BC,21,FALSE)+1,FALSE)</f>
        <v>1.7</v>
      </c>
      <c r="E677" s="119">
        <v>0</v>
      </c>
      <c r="F677" s="13" t="s">
        <v>19</v>
      </c>
    </row>
    <row r="678" ht="16.5" spans="1:6">
      <c r="A678" s="119">
        <v>672</v>
      </c>
      <c r="B678" s="177">
        <f>VLOOKUP(ROUNDUP(A678/8,0),Sheet2!A:B,2,FALSE())</f>
        <v>113036</v>
      </c>
      <c r="C678" s="178">
        <f t="shared" si="10"/>
        <v>8</v>
      </c>
      <c r="D678" s="179">
        <f>VLOOKUP(C678,Sheet2!$BK$11:$BN$19,VLOOKUP(B678,Sheet2!B:BC,21,FALSE)+1,FALSE)</f>
        <v>2</v>
      </c>
      <c r="E678" s="119">
        <v>0</v>
      </c>
      <c r="F678" s="13" t="s">
        <v>19</v>
      </c>
    </row>
    <row r="679" ht="16.5" spans="1:6">
      <c r="A679" s="119">
        <v>673</v>
      </c>
      <c r="B679" s="177">
        <f>VLOOKUP(ROUNDUP(A679/8,0),Sheet2!A:B,2,FALSE())</f>
        <v>113037</v>
      </c>
      <c r="C679" s="178">
        <f t="shared" si="10"/>
        <v>1</v>
      </c>
      <c r="D679" s="179">
        <f>VLOOKUP(C679,Sheet2!$BK$11:$BN$19,VLOOKUP(B679,Sheet2!B:BC,21,FALSE)+1,FALSE)</f>
        <v>1.2</v>
      </c>
      <c r="E679" s="119">
        <v>0</v>
      </c>
      <c r="F679" s="13" t="s">
        <v>18</v>
      </c>
    </row>
    <row r="680" ht="16.5" spans="1:6">
      <c r="A680" s="119">
        <v>674</v>
      </c>
      <c r="B680" s="177">
        <f>VLOOKUP(ROUNDUP(A680/8,0),Sheet2!A:B,2,FALSE())</f>
        <v>113037</v>
      </c>
      <c r="C680" s="178">
        <f t="shared" si="10"/>
        <v>2</v>
      </c>
      <c r="D680" s="179">
        <f>VLOOKUP(C680,Sheet2!$BK$11:$BN$19,VLOOKUP(B680,Sheet2!B:BC,21,FALSE)+1,FALSE)</f>
        <v>1.2</v>
      </c>
      <c r="E680" s="119">
        <v>0</v>
      </c>
      <c r="F680" s="13" t="s">
        <v>18</v>
      </c>
    </row>
    <row r="681" ht="16.5" spans="1:6">
      <c r="A681" s="119">
        <v>675</v>
      </c>
      <c r="B681" s="177">
        <f>VLOOKUP(ROUNDUP(A681/8,0),Sheet2!A:B,2,FALSE())</f>
        <v>113037</v>
      </c>
      <c r="C681" s="178">
        <f t="shared" si="10"/>
        <v>3</v>
      </c>
      <c r="D681" s="179">
        <f>VLOOKUP(C681,Sheet2!$BK$11:$BN$19,VLOOKUP(B681,Sheet2!B:BC,21,FALSE)+1,FALSE)</f>
        <v>1.2</v>
      </c>
      <c r="E681" s="119">
        <v>0</v>
      </c>
      <c r="F681" s="13" t="s">
        <v>18</v>
      </c>
    </row>
    <row r="682" ht="16.5" spans="1:6">
      <c r="A682" s="119">
        <v>676</v>
      </c>
      <c r="B682" s="177">
        <f>VLOOKUP(ROUNDUP(A682/8,0),Sheet2!A:B,2,FALSE())</f>
        <v>113037</v>
      </c>
      <c r="C682" s="178">
        <f t="shared" si="10"/>
        <v>4</v>
      </c>
      <c r="D682" s="179">
        <f>VLOOKUP(C682,Sheet2!$BK$11:$BN$19,VLOOKUP(B682,Sheet2!B:BC,21,FALSE)+1,FALSE)</f>
        <v>1.5</v>
      </c>
      <c r="E682" s="119">
        <v>0</v>
      </c>
      <c r="F682" s="13" t="s">
        <v>18</v>
      </c>
    </row>
    <row r="683" ht="16.5" spans="1:6">
      <c r="A683" s="119">
        <v>677</v>
      </c>
      <c r="B683" s="177">
        <f>VLOOKUP(ROUNDUP(A683/8,0),Sheet2!A:B,2,FALSE())</f>
        <v>113037</v>
      </c>
      <c r="C683" s="178">
        <f t="shared" si="10"/>
        <v>5</v>
      </c>
      <c r="D683" s="179">
        <f>VLOOKUP(C683,Sheet2!$BK$11:$BN$19,VLOOKUP(B683,Sheet2!B:BC,21,FALSE)+1,FALSE)</f>
        <v>1.5</v>
      </c>
      <c r="E683" s="119">
        <v>0</v>
      </c>
      <c r="F683" s="13" t="s">
        <v>18</v>
      </c>
    </row>
    <row r="684" ht="16.5" spans="1:6">
      <c r="A684" s="119">
        <v>678</v>
      </c>
      <c r="B684" s="177">
        <f>VLOOKUP(ROUNDUP(A684/8,0),Sheet2!A:B,2,FALSE())</f>
        <v>113037</v>
      </c>
      <c r="C684" s="178">
        <f t="shared" si="10"/>
        <v>6</v>
      </c>
      <c r="D684" s="179">
        <f>VLOOKUP(C684,Sheet2!$BK$11:$BN$19,VLOOKUP(B684,Sheet2!B:BC,21,FALSE)+1,FALSE)</f>
        <v>1.7</v>
      </c>
      <c r="E684" s="119">
        <v>0</v>
      </c>
      <c r="F684" s="13" t="s">
        <v>18</v>
      </c>
    </row>
    <row r="685" ht="16.5" spans="1:6">
      <c r="A685" s="119">
        <v>679</v>
      </c>
      <c r="B685" s="177">
        <f>VLOOKUP(ROUNDUP(A685/8,0),Sheet2!A:B,2,FALSE())</f>
        <v>113037</v>
      </c>
      <c r="C685" s="178">
        <f t="shared" si="10"/>
        <v>7</v>
      </c>
      <c r="D685" s="179">
        <f>VLOOKUP(C685,Sheet2!$BK$11:$BN$19,VLOOKUP(B685,Sheet2!B:BC,21,FALSE)+1,FALSE)</f>
        <v>1.7</v>
      </c>
      <c r="E685" s="119">
        <v>0</v>
      </c>
      <c r="F685" s="13" t="s">
        <v>18</v>
      </c>
    </row>
    <row r="686" ht="16.5" spans="1:6">
      <c r="A686" s="119">
        <v>680</v>
      </c>
      <c r="B686" s="177">
        <f>VLOOKUP(ROUNDUP(A686/8,0),Sheet2!A:B,2,FALSE())</f>
        <v>113037</v>
      </c>
      <c r="C686" s="178">
        <f t="shared" si="10"/>
        <v>8</v>
      </c>
      <c r="D686" s="179">
        <f>VLOOKUP(C686,Sheet2!$BK$11:$BN$19,VLOOKUP(B686,Sheet2!B:BC,21,FALSE)+1,FALSE)</f>
        <v>2</v>
      </c>
      <c r="E686" s="119">
        <v>0</v>
      </c>
      <c r="F686" s="13" t="s">
        <v>18</v>
      </c>
    </row>
    <row r="687" ht="16.5" spans="1:6">
      <c r="A687" s="119">
        <v>681</v>
      </c>
      <c r="B687" s="177">
        <f>VLOOKUP(ROUNDUP(A687/8,0),Sheet2!A:B,2,FALSE())</f>
        <v>113038</v>
      </c>
      <c r="C687" s="178">
        <f t="shared" si="10"/>
        <v>1</v>
      </c>
      <c r="D687" s="179">
        <f>VLOOKUP(C687,Sheet2!$BK$11:$BN$19,VLOOKUP(B687,Sheet2!B:BC,21,FALSE)+1,FALSE)</f>
        <v>1.2</v>
      </c>
      <c r="E687" s="119">
        <v>0</v>
      </c>
      <c r="F687" s="13" t="s">
        <v>18</v>
      </c>
    </row>
    <row r="688" ht="16.5" spans="1:6">
      <c r="A688" s="119">
        <v>682</v>
      </c>
      <c r="B688" s="177">
        <f>VLOOKUP(ROUNDUP(A688/8,0),Sheet2!A:B,2,FALSE())</f>
        <v>113038</v>
      </c>
      <c r="C688" s="178">
        <f t="shared" si="10"/>
        <v>2</v>
      </c>
      <c r="D688" s="179">
        <f>VLOOKUP(C688,Sheet2!$BK$11:$BN$19,VLOOKUP(B688,Sheet2!B:BC,21,FALSE)+1,FALSE)</f>
        <v>1.2</v>
      </c>
      <c r="E688" s="119">
        <v>0</v>
      </c>
      <c r="F688" s="13" t="s">
        <v>18</v>
      </c>
    </row>
    <row r="689" ht="16.5" spans="1:6">
      <c r="A689" s="119">
        <v>683</v>
      </c>
      <c r="B689" s="177">
        <f>VLOOKUP(ROUNDUP(A689/8,0),Sheet2!A:B,2,FALSE())</f>
        <v>113038</v>
      </c>
      <c r="C689" s="178">
        <f t="shared" si="10"/>
        <v>3</v>
      </c>
      <c r="D689" s="179">
        <f>VLOOKUP(C689,Sheet2!$BK$11:$BN$19,VLOOKUP(B689,Sheet2!B:BC,21,FALSE)+1,FALSE)</f>
        <v>1.2</v>
      </c>
      <c r="E689" s="119">
        <v>0</v>
      </c>
      <c r="F689" s="13" t="s">
        <v>18</v>
      </c>
    </row>
    <row r="690" ht="16.5" spans="1:6">
      <c r="A690" s="119">
        <v>684</v>
      </c>
      <c r="B690" s="177">
        <f>VLOOKUP(ROUNDUP(A690/8,0),Sheet2!A:B,2,FALSE())</f>
        <v>113038</v>
      </c>
      <c r="C690" s="178">
        <f t="shared" si="10"/>
        <v>4</v>
      </c>
      <c r="D690" s="179">
        <f>VLOOKUP(C690,Sheet2!$BK$11:$BN$19,VLOOKUP(B690,Sheet2!B:BC,21,FALSE)+1,FALSE)</f>
        <v>1.5</v>
      </c>
      <c r="E690" s="119">
        <v>0</v>
      </c>
      <c r="F690" s="13" t="s">
        <v>18</v>
      </c>
    </row>
    <row r="691" ht="16.5" spans="1:6">
      <c r="A691" s="119">
        <v>685</v>
      </c>
      <c r="B691" s="177">
        <f>VLOOKUP(ROUNDUP(A691/8,0),Sheet2!A:B,2,FALSE())</f>
        <v>113038</v>
      </c>
      <c r="C691" s="178">
        <f t="shared" si="10"/>
        <v>5</v>
      </c>
      <c r="D691" s="179">
        <f>VLOOKUP(C691,Sheet2!$BK$11:$BN$19,VLOOKUP(B691,Sheet2!B:BC,21,FALSE)+1,FALSE)</f>
        <v>1.5</v>
      </c>
      <c r="E691" s="119">
        <v>0</v>
      </c>
      <c r="F691" s="13" t="s">
        <v>18</v>
      </c>
    </row>
    <row r="692" ht="16.5" spans="1:6">
      <c r="A692" s="119">
        <v>686</v>
      </c>
      <c r="B692" s="177">
        <f>VLOOKUP(ROUNDUP(A692/8,0),Sheet2!A:B,2,FALSE())</f>
        <v>113038</v>
      </c>
      <c r="C692" s="178">
        <f t="shared" si="10"/>
        <v>6</v>
      </c>
      <c r="D692" s="179">
        <f>VLOOKUP(C692,Sheet2!$BK$11:$BN$19,VLOOKUP(B692,Sheet2!B:BC,21,FALSE)+1,FALSE)</f>
        <v>1.7</v>
      </c>
      <c r="E692" s="119">
        <v>0</v>
      </c>
      <c r="F692" s="13" t="s">
        <v>18</v>
      </c>
    </row>
    <row r="693" ht="16.5" spans="1:6">
      <c r="A693" s="119">
        <v>687</v>
      </c>
      <c r="B693" s="177">
        <f>VLOOKUP(ROUNDUP(A693/8,0),Sheet2!A:B,2,FALSE())</f>
        <v>113038</v>
      </c>
      <c r="C693" s="178">
        <f t="shared" si="10"/>
        <v>7</v>
      </c>
      <c r="D693" s="179">
        <f>VLOOKUP(C693,Sheet2!$BK$11:$BN$19,VLOOKUP(B693,Sheet2!B:BC,21,FALSE)+1,FALSE)</f>
        <v>1.7</v>
      </c>
      <c r="E693" s="119">
        <v>0</v>
      </c>
      <c r="F693" s="13" t="s">
        <v>18</v>
      </c>
    </row>
    <row r="694" ht="16.5" spans="1:6">
      <c r="A694" s="119">
        <v>688</v>
      </c>
      <c r="B694" s="177">
        <f>VLOOKUP(ROUNDUP(A694/8,0),Sheet2!A:B,2,FALSE())</f>
        <v>113038</v>
      </c>
      <c r="C694" s="178">
        <f t="shared" si="10"/>
        <v>8</v>
      </c>
      <c r="D694" s="179">
        <f>VLOOKUP(C694,Sheet2!$BK$11:$BN$19,VLOOKUP(B694,Sheet2!B:BC,21,FALSE)+1,FALSE)</f>
        <v>2</v>
      </c>
      <c r="E694" s="119">
        <v>0</v>
      </c>
      <c r="F694" s="13" t="s">
        <v>18</v>
      </c>
    </row>
    <row r="695" ht="16.5" spans="1:6">
      <c r="A695" s="119">
        <v>689</v>
      </c>
      <c r="B695" s="177">
        <f>VLOOKUP(ROUNDUP(A695/8,0),Sheet2!A:B,2,FALSE())</f>
        <v>113039</v>
      </c>
      <c r="C695" s="178">
        <f t="shared" si="10"/>
        <v>1</v>
      </c>
      <c r="D695" s="179">
        <f>VLOOKUP(C695,Sheet2!$BK$11:$BN$19,VLOOKUP(B695,Sheet2!B:BC,21,FALSE)+1,FALSE)</f>
        <v>1.2</v>
      </c>
      <c r="E695" s="119">
        <v>0</v>
      </c>
      <c r="F695" s="13" t="s">
        <v>18</v>
      </c>
    </row>
    <row r="696" ht="16.5" spans="1:6">
      <c r="A696" s="119">
        <v>690</v>
      </c>
      <c r="B696" s="177">
        <f>VLOOKUP(ROUNDUP(A696/8,0),Sheet2!A:B,2,FALSE())</f>
        <v>113039</v>
      </c>
      <c r="C696" s="178">
        <f t="shared" si="10"/>
        <v>2</v>
      </c>
      <c r="D696" s="179">
        <f>VLOOKUP(C696,Sheet2!$BK$11:$BN$19,VLOOKUP(B696,Sheet2!B:BC,21,FALSE)+1,FALSE)</f>
        <v>1.2</v>
      </c>
      <c r="E696" s="119">
        <v>0</v>
      </c>
      <c r="F696" s="13" t="s">
        <v>18</v>
      </c>
    </row>
    <row r="697" ht="16.5" spans="1:6">
      <c r="A697" s="119">
        <v>691</v>
      </c>
      <c r="B697" s="177">
        <f>VLOOKUP(ROUNDUP(A697/8,0),Sheet2!A:B,2,FALSE())</f>
        <v>113039</v>
      </c>
      <c r="C697" s="178">
        <f t="shared" si="10"/>
        <v>3</v>
      </c>
      <c r="D697" s="179">
        <f>VLOOKUP(C697,Sheet2!$BK$11:$BN$19,VLOOKUP(B697,Sheet2!B:BC,21,FALSE)+1,FALSE)</f>
        <v>1.2</v>
      </c>
      <c r="E697" s="119">
        <v>0</v>
      </c>
      <c r="F697" s="13" t="s">
        <v>18</v>
      </c>
    </row>
    <row r="698" ht="16.5" spans="1:6">
      <c r="A698" s="119">
        <v>692</v>
      </c>
      <c r="B698" s="177">
        <f>VLOOKUP(ROUNDUP(A698/8,0),Sheet2!A:B,2,FALSE())</f>
        <v>113039</v>
      </c>
      <c r="C698" s="178">
        <f t="shared" si="10"/>
        <v>4</v>
      </c>
      <c r="D698" s="179">
        <f>VLOOKUP(C698,Sheet2!$BK$11:$BN$19,VLOOKUP(B698,Sheet2!B:BC,21,FALSE)+1,FALSE)</f>
        <v>1.5</v>
      </c>
      <c r="E698" s="119">
        <v>0</v>
      </c>
      <c r="F698" s="13" t="s">
        <v>18</v>
      </c>
    </row>
    <row r="699" ht="16.5" spans="1:6">
      <c r="A699" s="119">
        <v>693</v>
      </c>
      <c r="B699" s="177">
        <f>VLOOKUP(ROUNDUP(A699/8,0),Sheet2!A:B,2,FALSE())</f>
        <v>113039</v>
      </c>
      <c r="C699" s="178">
        <f t="shared" si="10"/>
        <v>5</v>
      </c>
      <c r="D699" s="179">
        <f>VLOOKUP(C699,Sheet2!$BK$11:$BN$19,VLOOKUP(B699,Sheet2!B:BC,21,FALSE)+1,FALSE)</f>
        <v>1.5</v>
      </c>
      <c r="E699" s="119">
        <v>0</v>
      </c>
      <c r="F699" s="13" t="s">
        <v>18</v>
      </c>
    </row>
    <row r="700" ht="16.5" spans="1:6">
      <c r="A700" s="119">
        <v>694</v>
      </c>
      <c r="B700" s="177">
        <f>VLOOKUP(ROUNDUP(A700/8,0),Sheet2!A:B,2,FALSE())</f>
        <v>113039</v>
      </c>
      <c r="C700" s="178">
        <f t="shared" si="10"/>
        <v>6</v>
      </c>
      <c r="D700" s="179">
        <f>VLOOKUP(C700,Sheet2!$BK$11:$BN$19,VLOOKUP(B700,Sheet2!B:BC,21,FALSE)+1,FALSE)</f>
        <v>1.7</v>
      </c>
      <c r="E700" s="119">
        <v>0</v>
      </c>
      <c r="F700" s="13" t="s">
        <v>18</v>
      </c>
    </row>
    <row r="701" ht="16.5" spans="1:6">
      <c r="A701" s="119">
        <v>695</v>
      </c>
      <c r="B701" s="177">
        <f>VLOOKUP(ROUNDUP(A701/8,0),Sheet2!A:B,2,FALSE())</f>
        <v>113039</v>
      </c>
      <c r="C701" s="178">
        <f t="shared" si="10"/>
        <v>7</v>
      </c>
      <c r="D701" s="179">
        <f>VLOOKUP(C701,Sheet2!$BK$11:$BN$19,VLOOKUP(B701,Sheet2!B:BC,21,FALSE)+1,FALSE)</f>
        <v>1.7</v>
      </c>
      <c r="E701" s="119">
        <v>0</v>
      </c>
      <c r="F701" s="13" t="s">
        <v>18</v>
      </c>
    </row>
    <row r="702" ht="16.5" spans="1:6">
      <c r="A702" s="119">
        <v>696</v>
      </c>
      <c r="B702" s="177">
        <f>VLOOKUP(ROUNDUP(A702/8,0),Sheet2!A:B,2,FALSE())</f>
        <v>113039</v>
      </c>
      <c r="C702" s="178">
        <f t="shared" si="10"/>
        <v>8</v>
      </c>
      <c r="D702" s="179">
        <f>VLOOKUP(C702,Sheet2!$BK$11:$BN$19,VLOOKUP(B702,Sheet2!B:BC,21,FALSE)+1,FALSE)</f>
        <v>2</v>
      </c>
      <c r="E702" s="119">
        <v>0</v>
      </c>
      <c r="F702" s="13" t="s">
        <v>18</v>
      </c>
    </row>
    <row r="703" ht="16.5" spans="1:6">
      <c r="A703" s="119">
        <v>697</v>
      </c>
      <c r="B703" s="177">
        <f>VLOOKUP(ROUNDUP(A703/8,0),Sheet2!A:B,2,FALSE())</f>
        <v>113040</v>
      </c>
      <c r="C703" s="178">
        <f t="shared" si="10"/>
        <v>1</v>
      </c>
      <c r="D703" s="179">
        <f>VLOOKUP(C703,Sheet2!$BK$11:$BN$19,VLOOKUP(B703,Sheet2!B:BC,21,FALSE)+1,FALSE)</f>
        <v>1.2</v>
      </c>
      <c r="E703" s="119">
        <v>0</v>
      </c>
      <c r="F703" s="13" t="s">
        <v>18</v>
      </c>
    </row>
    <row r="704" ht="16.5" spans="1:6">
      <c r="A704" s="119">
        <v>698</v>
      </c>
      <c r="B704" s="177">
        <f>VLOOKUP(ROUNDUP(A704/8,0),Sheet2!A:B,2,FALSE())</f>
        <v>113040</v>
      </c>
      <c r="C704" s="178">
        <f t="shared" si="10"/>
        <v>2</v>
      </c>
      <c r="D704" s="179">
        <f>VLOOKUP(C704,Sheet2!$BK$11:$BN$19,VLOOKUP(B704,Sheet2!B:BC,21,FALSE)+1,FALSE)</f>
        <v>1.2</v>
      </c>
      <c r="E704" s="119">
        <v>0</v>
      </c>
      <c r="F704" s="13" t="s">
        <v>18</v>
      </c>
    </row>
    <row r="705" ht="16.5" spans="1:6">
      <c r="A705" s="119">
        <v>699</v>
      </c>
      <c r="B705" s="177">
        <f>VLOOKUP(ROUNDUP(A705/8,0),Sheet2!A:B,2,FALSE())</f>
        <v>113040</v>
      </c>
      <c r="C705" s="178">
        <f t="shared" si="10"/>
        <v>3</v>
      </c>
      <c r="D705" s="179">
        <f>VLOOKUP(C705,Sheet2!$BK$11:$BN$19,VLOOKUP(B705,Sheet2!B:BC,21,FALSE)+1,FALSE)</f>
        <v>1.2</v>
      </c>
      <c r="E705" s="119">
        <v>0</v>
      </c>
      <c r="F705" s="13" t="s">
        <v>18</v>
      </c>
    </row>
    <row r="706" ht="16.5" spans="1:6">
      <c r="A706" s="119">
        <v>700</v>
      </c>
      <c r="B706" s="177">
        <f>VLOOKUP(ROUNDUP(A706/8,0),Sheet2!A:B,2,FALSE())</f>
        <v>113040</v>
      </c>
      <c r="C706" s="178">
        <f t="shared" si="10"/>
        <v>4</v>
      </c>
      <c r="D706" s="179">
        <f>VLOOKUP(C706,Sheet2!$BK$11:$BN$19,VLOOKUP(B706,Sheet2!B:BC,21,FALSE)+1,FALSE)</f>
        <v>1.5</v>
      </c>
      <c r="E706" s="119">
        <v>0</v>
      </c>
      <c r="F706" s="13" t="s">
        <v>18</v>
      </c>
    </row>
    <row r="707" ht="16.5" spans="1:6">
      <c r="A707" s="119">
        <v>701</v>
      </c>
      <c r="B707" s="177">
        <f>VLOOKUP(ROUNDUP(A707/8,0),Sheet2!A:B,2,FALSE())</f>
        <v>113040</v>
      </c>
      <c r="C707" s="178">
        <f t="shared" si="10"/>
        <v>5</v>
      </c>
      <c r="D707" s="179">
        <f>VLOOKUP(C707,Sheet2!$BK$11:$BN$19,VLOOKUP(B707,Sheet2!B:BC,21,FALSE)+1,FALSE)</f>
        <v>1.5</v>
      </c>
      <c r="E707" s="119">
        <v>0</v>
      </c>
      <c r="F707" s="13" t="s">
        <v>18</v>
      </c>
    </row>
    <row r="708" ht="16.5" spans="1:6">
      <c r="A708" s="119">
        <v>702</v>
      </c>
      <c r="B708" s="177">
        <f>VLOOKUP(ROUNDUP(A708/8,0),Sheet2!A:B,2,FALSE())</f>
        <v>113040</v>
      </c>
      <c r="C708" s="178">
        <f t="shared" si="10"/>
        <v>6</v>
      </c>
      <c r="D708" s="179">
        <f>VLOOKUP(C708,Sheet2!$BK$11:$BN$19,VLOOKUP(B708,Sheet2!B:BC,21,FALSE)+1,FALSE)</f>
        <v>1.7</v>
      </c>
      <c r="E708" s="119">
        <v>0</v>
      </c>
      <c r="F708" s="13" t="s">
        <v>18</v>
      </c>
    </row>
    <row r="709" ht="16.5" spans="1:6">
      <c r="A709" s="119">
        <v>703</v>
      </c>
      <c r="B709" s="177">
        <f>VLOOKUP(ROUNDUP(A709/8,0),Sheet2!A:B,2,FALSE())</f>
        <v>113040</v>
      </c>
      <c r="C709" s="178">
        <f t="shared" si="10"/>
        <v>7</v>
      </c>
      <c r="D709" s="179">
        <f>VLOOKUP(C709,Sheet2!$BK$11:$BN$19,VLOOKUP(B709,Sheet2!B:BC,21,FALSE)+1,FALSE)</f>
        <v>1.7</v>
      </c>
      <c r="E709" s="119">
        <v>0</v>
      </c>
      <c r="F709" s="13" t="s">
        <v>18</v>
      </c>
    </row>
    <row r="710" ht="16.5" spans="1:6">
      <c r="A710" s="119">
        <v>704</v>
      </c>
      <c r="B710" s="177">
        <f>VLOOKUP(ROUNDUP(A710/8,0),Sheet2!A:B,2,FALSE())</f>
        <v>113040</v>
      </c>
      <c r="C710" s="178">
        <f t="shared" si="10"/>
        <v>8</v>
      </c>
      <c r="D710" s="179">
        <f>VLOOKUP(C710,Sheet2!$BK$11:$BN$19,VLOOKUP(B710,Sheet2!B:BC,21,FALSE)+1,FALSE)</f>
        <v>2</v>
      </c>
      <c r="E710" s="119">
        <v>0</v>
      </c>
      <c r="F710" s="13" t="s">
        <v>18</v>
      </c>
    </row>
    <row r="711" ht="16.5" spans="1:6">
      <c r="A711" s="119">
        <v>705</v>
      </c>
      <c r="B711" s="177">
        <f>VLOOKUP(ROUNDUP(A711/8,0),Sheet2!A:B,2,FALSE())</f>
        <v>113041</v>
      </c>
      <c r="C711" s="178">
        <f t="shared" si="10"/>
        <v>1</v>
      </c>
      <c r="D711" s="179">
        <f>VLOOKUP(C711,Sheet2!$BK$11:$BN$19,VLOOKUP(B711,Sheet2!B:BC,21,FALSE)+1,FALSE)</f>
        <v>1.2</v>
      </c>
      <c r="E711" s="119">
        <v>0</v>
      </c>
      <c r="F711" s="13" t="s">
        <v>18</v>
      </c>
    </row>
    <row r="712" ht="16.5" spans="1:6">
      <c r="A712" s="119">
        <v>706</v>
      </c>
      <c r="B712" s="177">
        <f>VLOOKUP(ROUNDUP(A712/8,0),Sheet2!A:B,2,FALSE())</f>
        <v>113041</v>
      </c>
      <c r="C712" s="178">
        <f t="shared" si="10"/>
        <v>2</v>
      </c>
      <c r="D712" s="179">
        <f>VLOOKUP(C712,Sheet2!$BK$11:$BN$19,VLOOKUP(B712,Sheet2!B:BC,21,FALSE)+1,FALSE)</f>
        <v>1.2</v>
      </c>
      <c r="E712" s="119">
        <v>0</v>
      </c>
      <c r="F712" s="13" t="s">
        <v>18</v>
      </c>
    </row>
    <row r="713" ht="16.5" spans="1:6">
      <c r="A713" s="119">
        <v>707</v>
      </c>
      <c r="B713" s="177">
        <f>VLOOKUP(ROUNDUP(A713/8,0),Sheet2!A:B,2,FALSE())</f>
        <v>113041</v>
      </c>
      <c r="C713" s="178">
        <f t="shared" si="10"/>
        <v>3</v>
      </c>
      <c r="D713" s="179">
        <f>VLOOKUP(C713,Sheet2!$BK$11:$BN$19,VLOOKUP(B713,Sheet2!B:BC,21,FALSE)+1,FALSE)</f>
        <v>1.2</v>
      </c>
      <c r="E713" s="119">
        <v>0</v>
      </c>
      <c r="F713" s="13" t="s">
        <v>18</v>
      </c>
    </row>
    <row r="714" ht="16.5" spans="1:6">
      <c r="A714" s="119">
        <v>708</v>
      </c>
      <c r="B714" s="177">
        <f>VLOOKUP(ROUNDUP(A714/8,0),Sheet2!A:B,2,FALSE())</f>
        <v>113041</v>
      </c>
      <c r="C714" s="178">
        <f t="shared" si="10"/>
        <v>4</v>
      </c>
      <c r="D714" s="179">
        <f>VLOOKUP(C714,Sheet2!$BK$11:$BN$19,VLOOKUP(B714,Sheet2!B:BC,21,FALSE)+1,FALSE)</f>
        <v>1.5</v>
      </c>
      <c r="E714" s="119">
        <v>0</v>
      </c>
      <c r="F714" s="13" t="s">
        <v>18</v>
      </c>
    </row>
    <row r="715" ht="16.5" spans="1:6">
      <c r="A715" s="119">
        <v>709</v>
      </c>
      <c r="B715" s="177">
        <f>VLOOKUP(ROUNDUP(A715/8,0),Sheet2!A:B,2,FALSE())</f>
        <v>113041</v>
      </c>
      <c r="C715" s="178">
        <f t="shared" si="10"/>
        <v>5</v>
      </c>
      <c r="D715" s="179">
        <f>VLOOKUP(C715,Sheet2!$BK$11:$BN$19,VLOOKUP(B715,Sheet2!B:BC,21,FALSE)+1,FALSE)</f>
        <v>1.5</v>
      </c>
      <c r="E715" s="119">
        <v>0</v>
      </c>
      <c r="F715" s="13" t="s">
        <v>18</v>
      </c>
    </row>
    <row r="716" ht="16.5" spans="1:6">
      <c r="A716" s="119">
        <v>710</v>
      </c>
      <c r="B716" s="177">
        <f>VLOOKUP(ROUNDUP(A716/8,0),Sheet2!A:B,2,FALSE())</f>
        <v>113041</v>
      </c>
      <c r="C716" s="178">
        <f t="shared" si="10"/>
        <v>6</v>
      </c>
      <c r="D716" s="179">
        <f>VLOOKUP(C716,Sheet2!$BK$11:$BN$19,VLOOKUP(B716,Sheet2!B:BC,21,FALSE)+1,FALSE)</f>
        <v>1.7</v>
      </c>
      <c r="E716" s="119">
        <v>0</v>
      </c>
      <c r="F716" s="13" t="s">
        <v>18</v>
      </c>
    </row>
    <row r="717" ht="16.5" spans="1:6">
      <c r="A717" s="119">
        <v>711</v>
      </c>
      <c r="B717" s="177">
        <f>VLOOKUP(ROUNDUP(A717/8,0),Sheet2!A:B,2,FALSE())</f>
        <v>113041</v>
      </c>
      <c r="C717" s="178">
        <f t="shared" si="10"/>
        <v>7</v>
      </c>
      <c r="D717" s="179">
        <f>VLOOKUP(C717,Sheet2!$BK$11:$BN$19,VLOOKUP(B717,Sheet2!B:BC,21,FALSE)+1,FALSE)</f>
        <v>1.7</v>
      </c>
      <c r="E717" s="119">
        <v>0</v>
      </c>
      <c r="F717" s="13" t="s">
        <v>18</v>
      </c>
    </row>
    <row r="718" ht="16.5" spans="1:6">
      <c r="A718" s="119">
        <v>712</v>
      </c>
      <c r="B718" s="177">
        <f>VLOOKUP(ROUNDUP(A718/8,0),Sheet2!A:B,2,FALSE())</f>
        <v>113041</v>
      </c>
      <c r="C718" s="178">
        <f t="shared" si="10"/>
        <v>8</v>
      </c>
      <c r="D718" s="179">
        <f>VLOOKUP(C718,Sheet2!$BK$11:$BN$19,VLOOKUP(B718,Sheet2!B:BC,21,FALSE)+1,FALSE)</f>
        <v>2</v>
      </c>
      <c r="E718" s="119">
        <v>0</v>
      </c>
      <c r="F718" s="13" t="s">
        <v>18</v>
      </c>
    </row>
    <row r="719" ht="16.5" spans="1:6">
      <c r="A719" s="119">
        <v>713</v>
      </c>
      <c r="B719" s="177">
        <f>VLOOKUP(ROUNDUP(A719/8,0),Sheet2!A:B,2,FALSE())</f>
        <v>113042</v>
      </c>
      <c r="C719" s="178">
        <f t="shared" si="10"/>
        <v>1</v>
      </c>
      <c r="D719" s="179">
        <f>VLOOKUP(C719,Sheet2!$BK$11:$BN$19,VLOOKUP(B719,Sheet2!B:BC,21,FALSE)+1,FALSE)</f>
        <v>1.2</v>
      </c>
      <c r="E719" s="119">
        <v>0</v>
      </c>
      <c r="F719" s="13" t="s">
        <v>21</v>
      </c>
    </row>
    <row r="720" ht="16.5" spans="1:6">
      <c r="A720" s="119">
        <v>714</v>
      </c>
      <c r="B720" s="177">
        <f>VLOOKUP(ROUNDUP(A720/8,0),Sheet2!A:B,2,FALSE())</f>
        <v>113042</v>
      </c>
      <c r="C720" s="178">
        <f t="shared" ref="C720:C783" si="11">C712</f>
        <v>2</v>
      </c>
      <c r="D720" s="179">
        <f>VLOOKUP(C720,Sheet2!$BK$11:$BN$19,VLOOKUP(B720,Sheet2!B:BC,21,FALSE)+1,FALSE)</f>
        <v>1.2</v>
      </c>
      <c r="E720" s="119">
        <v>0</v>
      </c>
      <c r="F720" s="13" t="s">
        <v>21</v>
      </c>
    </row>
    <row r="721" ht="16.5" spans="1:6">
      <c r="A721" s="119">
        <v>715</v>
      </c>
      <c r="B721" s="177">
        <f>VLOOKUP(ROUNDUP(A721/8,0),Sheet2!A:B,2,FALSE())</f>
        <v>113042</v>
      </c>
      <c r="C721" s="178">
        <f t="shared" si="11"/>
        <v>3</v>
      </c>
      <c r="D721" s="179">
        <f>VLOOKUP(C721,Sheet2!$BK$11:$BN$19,VLOOKUP(B721,Sheet2!B:BC,21,FALSE)+1,FALSE)</f>
        <v>1.2</v>
      </c>
      <c r="E721" s="119">
        <v>0</v>
      </c>
      <c r="F721" s="13" t="s">
        <v>21</v>
      </c>
    </row>
    <row r="722" ht="16.5" spans="1:6">
      <c r="A722" s="119">
        <v>716</v>
      </c>
      <c r="B722" s="177">
        <f>VLOOKUP(ROUNDUP(A722/8,0),Sheet2!A:B,2,FALSE())</f>
        <v>113042</v>
      </c>
      <c r="C722" s="178">
        <f t="shared" si="11"/>
        <v>4</v>
      </c>
      <c r="D722" s="179">
        <f>VLOOKUP(C722,Sheet2!$BK$11:$BN$19,VLOOKUP(B722,Sheet2!B:BC,21,FALSE)+1,FALSE)</f>
        <v>1.5</v>
      </c>
      <c r="E722" s="119">
        <v>0</v>
      </c>
      <c r="F722" s="13" t="s">
        <v>21</v>
      </c>
    </row>
    <row r="723" ht="16.5" spans="1:6">
      <c r="A723" s="119">
        <v>717</v>
      </c>
      <c r="B723" s="177">
        <f>VLOOKUP(ROUNDUP(A723/8,0),Sheet2!A:B,2,FALSE())</f>
        <v>113042</v>
      </c>
      <c r="C723" s="178">
        <f t="shared" si="11"/>
        <v>5</v>
      </c>
      <c r="D723" s="179">
        <f>VLOOKUP(C723,Sheet2!$BK$11:$BN$19,VLOOKUP(B723,Sheet2!B:BC,21,FALSE)+1,FALSE)</f>
        <v>1.5</v>
      </c>
      <c r="E723" s="119">
        <v>0</v>
      </c>
      <c r="F723" s="13" t="s">
        <v>21</v>
      </c>
    </row>
    <row r="724" ht="16.5" spans="1:6">
      <c r="A724" s="119">
        <v>718</v>
      </c>
      <c r="B724" s="177">
        <f>VLOOKUP(ROUNDUP(A724/8,0),Sheet2!A:B,2,FALSE())</f>
        <v>113042</v>
      </c>
      <c r="C724" s="178">
        <f t="shared" si="11"/>
        <v>6</v>
      </c>
      <c r="D724" s="179">
        <f>VLOOKUP(C724,Sheet2!$BK$11:$BN$19,VLOOKUP(B724,Sheet2!B:BC,21,FALSE)+1,FALSE)</f>
        <v>1.7</v>
      </c>
      <c r="E724" s="119">
        <v>0</v>
      </c>
      <c r="F724" s="13" t="s">
        <v>21</v>
      </c>
    </row>
    <row r="725" ht="16.5" spans="1:6">
      <c r="A725" s="119">
        <v>719</v>
      </c>
      <c r="B725" s="177">
        <f>VLOOKUP(ROUNDUP(A725/8,0),Sheet2!A:B,2,FALSE())</f>
        <v>113042</v>
      </c>
      <c r="C725" s="178">
        <f t="shared" si="11"/>
        <v>7</v>
      </c>
      <c r="D725" s="179">
        <f>VLOOKUP(C725,Sheet2!$BK$11:$BN$19,VLOOKUP(B725,Sheet2!B:BC,21,FALSE)+1,FALSE)</f>
        <v>1.7</v>
      </c>
      <c r="E725" s="119">
        <v>0</v>
      </c>
      <c r="F725" s="13" t="s">
        <v>21</v>
      </c>
    </row>
    <row r="726" ht="16.5" spans="1:6">
      <c r="A726" s="119">
        <v>720</v>
      </c>
      <c r="B726" s="177">
        <f>VLOOKUP(ROUNDUP(A726/8,0),Sheet2!A:B,2,FALSE())</f>
        <v>113042</v>
      </c>
      <c r="C726" s="178">
        <f t="shared" si="11"/>
        <v>8</v>
      </c>
      <c r="D726" s="179">
        <f>VLOOKUP(C726,Sheet2!$BK$11:$BN$19,VLOOKUP(B726,Sheet2!B:BC,21,FALSE)+1,FALSE)</f>
        <v>2</v>
      </c>
      <c r="E726" s="119">
        <v>0</v>
      </c>
      <c r="F726" s="13" t="s">
        <v>21</v>
      </c>
    </row>
    <row r="727" ht="16.5" spans="1:6">
      <c r="A727" s="119">
        <v>721</v>
      </c>
      <c r="B727" s="177">
        <f>VLOOKUP(ROUNDUP(A727/8,0),Sheet2!A:B,2,FALSE())</f>
        <v>113043</v>
      </c>
      <c r="C727" s="178">
        <f t="shared" si="11"/>
        <v>1</v>
      </c>
      <c r="D727" s="179">
        <f>VLOOKUP(C727,Sheet2!$BK$11:$BN$19,VLOOKUP(B727,Sheet2!B:BC,21,FALSE)+1,FALSE)</f>
        <v>1.2</v>
      </c>
      <c r="E727" s="119">
        <v>0</v>
      </c>
      <c r="F727" s="13" t="s">
        <v>21</v>
      </c>
    </row>
    <row r="728" ht="16.5" spans="1:6">
      <c r="A728" s="119">
        <v>722</v>
      </c>
      <c r="B728" s="177">
        <f>VLOOKUP(ROUNDUP(A728/8,0),Sheet2!A:B,2,FALSE())</f>
        <v>113043</v>
      </c>
      <c r="C728" s="178">
        <f t="shared" si="11"/>
        <v>2</v>
      </c>
      <c r="D728" s="179">
        <f>VLOOKUP(C728,Sheet2!$BK$11:$BN$19,VLOOKUP(B728,Sheet2!B:BC,21,FALSE)+1,FALSE)</f>
        <v>1.2</v>
      </c>
      <c r="E728" s="119">
        <v>0</v>
      </c>
      <c r="F728" s="13" t="s">
        <v>21</v>
      </c>
    </row>
    <row r="729" ht="16.5" spans="1:6">
      <c r="A729" s="119">
        <v>723</v>
      </c>
      <c r="B729" s="177">
        <f>VLOOKUP(ROUNDUP(A729/8,0),Sheet2!A:B,2,FALSE())</f>
        <v>113043</v>
      </c>
      <c r="C729" s="178">
        <f t="shared" si="11"/>
        <v>3</v>
      </c>
      <c r="D729" s="179">
        <f>VLOOKUP(C729,Sheet2!$BK$11:$BN$19,VLOOKUP(B729,Sheet2!B:BC,21,FALSE)+1,FALSE)</f>
        <v>1.2</v>
      </c>
      <c r="E729" s="119">
        <v>0</v>
      </c>
      <c r="F729" s="13" t="s">
        <v>21</v>
      </c>
    </row>
    <row r="730" ht="16.5" spans="1:6">
      <c r="A730" s="119">
        <v>724</v>
      </c>
      <c r="B730" s="177">
        <f>VLOOKUP(ROUNDUP(A730/8,0),Sheet2!A:B,2,FALSE())</f>
        <v>113043</v>
      </c>
      <c r="C730" s="178">
        <f t="shared" si="11"/>
        <v>4</v>
      </c>
      <c r="D730" s="179">
        <f>VLOOKUP(C730,Sheet2!$BK$11:$BN$19,VLOOKUP(B730,Sheet2!B:BC,21,FALSE)+1,FALSE)</f>
        <v>1.5</v>
      </c>
      <c r="E730" s="119">
        <v>0</v>
      </c>
      <c r="F730" s="13" t="s">
        <v>21</v>
      </c>
    </row>
    <row r="731" ht="16.5" spans="1:6">
      <c r="A731" s="119">
        <v>725</v>
      </c>
      <c r="B731" s="177">
        <f>VLOOKUP(ROUNDUP(A731/8,0),Sheet2!A:B,2,FALSE())</f>
        <v>113043</v>
      </c>
      <c r="C731" s="178">
        <f t="shared" si="11"/>
        <v>5</v>
      </c>
      <c r="D731" s="179">
        <f>VLOOKUP(C731,Sheet2!$BK$11:$BN$19,VLOOKUP(B731,Sheet2!B:BC,21,FALSE)+1,FALSE)</f>
        <v>1.5</v>
      </c>
      <c r="E731" s="119">
        <v>0</v>
      </c>
      <c r="F731" s="13" t="s">
        <v>21</v>
      </c>
    </row>
    <row r="732" ht="16.5" spans="1:6">
      <c r="A732" s="119">
        <v>726</v>
      </c>
      <c r="B732" s="177">
        <f>VLOOKUP(ROUNDUP(A732/8,0),Sheet2!A:B,2,FALSE())</f>
        <v>113043</v>
      </c>
      <c r="C732" s="178">
        <f t="shared" si="11"/>
        <v>6</v>
      </c>
      <c r="D732" s="179">
        <f>VLOOKUP(C732,Sheet2!$BK$11:$BN$19,VLOOKUP(B732,Sheet2!B:BC,21,FALSE)+1,FALSE)</f>
        <v>1.7</v>
      </c>
      <c r="E732" s="119">
        <v>0</v>
      </c>
      <c r="F732" s="13" t="s">
        <v>21</v>
      </c>
    </row>
    <row r="733" ht="16.5" spans="1:6">
      <c r="A733" s="119">
        <v>727</v>
      </c>
      <c r="B733" s="177">
        <f>VLOOKUP(ROUNDUP(A733/8,0),Sheet2!A:B,2,FALSE())</f>
        <v>113043</v>
      </c>
      <c r="C733" s="178">
        <f t="shared" si="11"/>
        <v>7</v>
      </c>
      <c r="D733" s="179">
        <f>VLOOKUP(C733,Sheet2!$BK$11:$BN$19,VLOOKUP(B733,Sheet2!B:BC,21,FALSE)+1,FALSE)</f>
        <v>1.7</v>
      </c>
      <c r="E733" s="119">
        <v>0</v>
      </c>
      <c r="F733" s="13" t="s">
        <v>21</v>
      </c>
    </row>
    <row r="734" ht="16.5" spans="1:6">
      <c r="A734" s="119">
        <v>728</v>
      </c>
      <c r="B734" s="177">
        <f>VLOOKUP(ROUNDUP(A734/8,0),Sheet2!A:B,2,FALSE())</f>
        <v>113043</v>
      </c>
      <c r="C734" s="178">
        <f t="shared" si="11"/>
        <v>8</v>
      </c>
      <c r="D734" s="179">
        <f>VLOOKUP(C734,Sheet2!$BK$11:$BN$19,VLOOKUP(B734,Sheet2!B:BC,21,FALSE)+1,FALSE)</f>
        <v>2</v>
      </c>
      <c r="E734" s="119">
        <v>0</v>
      </c>
      <c r="F734" s="13" t="s">
        <v>21</v>
      </c>
    </row>
    <row r="735" ht="16.5" spans="1:6">
      <c r="A735" s="119">
        <v>729</v>
      </c>
      <c r="B735" s="177">
        <f>VLOOKUP(ROUNDUP(A735/8,0),Sheet2!A:B,2,FALSE())</f>
        <v>113044</v>
      </c>
      <c r="C735" s="178">
        <f t="shared" si="11"/>
        <v>1</v>
      </c>
      <c r="D735" s="179">
        <f>VLOOKUP(C735,Sheet2!$BK$11:$BN$19,VLOOKUP(B735,Sheet2!B:BC,21,FALSE)+1,FALSE)</f>
        <v>1.2</v>
      </c>
      <c r="E735" s="119">
        <v>0</v>
      </c>
      <c r="F735" s="13" t="s">
        <v>21</v>
      </c>
    </row>
    <row r="736" ht="16.5" spans="1:6">
      <c r="A736" s="119">
        <v>730</v>
      </c>
      <c r="B736" s="177">
        <f>VLOOKUP(ROUNDUP(A736/8,0),Sheet2!A:B,2,FALSE())</f>
        <v>113044</v>
      </c>
      <c r="C736" s="178">
        <f t="shared" si="11"/>
        <v>2</v>
      </c>
      <c r="D736" s="179">
        <f>VLOOKUP(C736,Sheet2!$BK$11:$BN$19,VLOOKUP(B736,Sheet2!B:BC,21,FALSE)+1,FALSE)</f>
        <v>1.2</v>
      </c>
      <c r="E736" s="119">
        <v>0</v>
      </c>
      <c r="F736" s="13" t="s">
        <v>21</v>
      </c>
    </row>
    <row r="737" ht="16.5" spans="1:6">
      <c r="A737" s="119">
        <v>731</v>
      </c>
      <c r="B737" s="177">
        <f>VLOOKUP(ROUNDUP(A737/8,0),Sheet2!A:B,2,FALSE())</f>
        <v>113044</v>
      </c>
      <c r="C737" s="178">
        <f t="shared" si="11"/>
        <v>3</v>
      </c>
      <c r="D737" s="179">
        <f>VLOOKUP(C737,Sheet2!$BK$11:$BN$19,VLOOKUP(B737,Sheet2!B:BC,21,FALSE)+1,FALSE)</f>
        <v>1.2</v>
      </c>
      <c r="E737" s="119">
        <v>0</v>
      </c>
      <c r="F737" s="13" t="s">
        <v>21</v>
      </c>
    </row>
    <row r="738" ht="16.5" spans="1:6">
      <c r="A738" s="119">
        <v>732</v>
      </c>
      <c r="B738" s="177">
        <f>VLOOKUP(ROUNDUP(A738/8,0),Sheet2!A:B,2,FALSE())</f>
        <v>113044</v>
      </c>
      <c r="C738" s="178">
        <f t="shared" si="11"/>
        <v>4</v>
      </c>
      <c r="D738" s="179">
        <f>VLOOKUP(C738,Sheet2!$BK$11:$BN$19,VLOOKUP(B738,Sheet2!B:BC,21,FALSE)+1,FALSE)</f>
        <v>1.5</v>
      </c>
      <c r="E738" s="119">
        <v>0</v>
      </c>
      <c r="F738" s="13" t="s">
        <v>21</v>
      </c>
    </row>
    <row r="739" ht="16.5" spans="1:6">
      <c r="A739" s="119">
        <v>733</v>
      </c>
      <c r="B739" s="177">
        <f>VLOOKUP(ROUNDUP(A739/8,0),Sheet2!A:B,2,FALSE())</f>
        <v>113044</v>
      </c>
      <c r="C739" s="178">
        <f t="shared" si="11"/>
        <v>5</v>
      </c>
      <c r="D739" s="179">
        <f>VLOOKUP(C739,Sheet2!$BK$11:$BN$19,VLOOKUP(B739,Sheet2!B:BC,21,FALSE)+1,FALSE)</f>
        <v>1.5</v>
      </c>
      <c r="E739" s="119">
        <v>0</v>
      </c>
      <c r="F739" s="13" t="s">
        <v>21</v>
      </c>
    </row>
    <row r="740" ht="16.5" spans="1:6">
      <c r="A740" s="119">
        <v>734</v>
      </c>
      <c r="B740" s="177">
        <f>VLOOKUP(ROUNDUP(A740/8,0),Sheet2!A:B,2,FALSE())</f>
        <v>113044</v>
      </c>
      <c r="C740" s="178">
        <f t="shared" si="11"/>
        <v>6</v>
      </c>
      <c r="D740" s="179">
        <f>VLOOKUP(C740,Sheet2!$BK$11:$BN$19,VLOOKUP(B740,Sheet2!B:BC,21,FALSE)+1,FALSE)</f>
        <v>1.7</v>
      </c>
      <c r="E740" s="119">
        <v>0</v>
      </c>
      <c r="F740" s="13" t="s">
        <v>21</v>
      </c>
    </row>
    <row r="741" ht="16.5" spans="1:6">
      <c r="A741" s="119">
        <v>735</v>
      </c>
      <c r="B741" s="177">
        <f>VLOOKUP(ROUNDUP(A741/8,0),Sheet2!A:B,2,FALSE())</f>
        <v>113044</v>
      </c>
      <c r="C741" s="178">
        <f t="shared" si="11"/>
        <v>7</v>
      </c>
      <c r="D741" s="179">
        <f>VLOOKUP(C741,Sheet2!$BK$11:$BN$19,VLOOKUP(B741,Sheet2!B:BC,21,FALSE)+1,FALSE)</f>
        <v>1.7</v>
      </c>
      <c r="E741" s="119">
        <v>0</v>
      </c>
      <c r="F741" s="13" t="s">
        <v>21</v>
      </c>
    </row>
    <row r="742" ht="16.5" spans="1:6">
      <c r="A742" s="119">
        <v>736</v>
      </c>
      <c r="B742" s="177">
        <f>VLOOKUP(ROUNDUP(A742/8,0),Sheet2!A:B,2,FALSE())</f>
        <v>113044</v>
      </c>
      <c r="C742" s="178">
        <f t="shared" si="11"/>
        <v>8</v>
      </c>
      <c r="D742" s="179">
        <f>VLOOKUP(C742,Sheet2!$BK$11:$BN$19,VLOOKUP(B742,Sheet2!B:BC,21,FALSE)+1,FALSE)</f>
        <v>2</v>
      </c>
      <c r="E742" s="119">
        <v>0</v>
      </c>
      <c r="F742" s="13" t="s">
        <v>21</v>
      </c>
    </row>
    <row r="743" ht="16.5" spans="1:6">
      <c r="A743" s="119">
        <v>737</v>
      </c>
      <c r="B743" s="177">
        <f>VLOOKUP(ROUNDUP(A743/8,0),Sheet2!A:B,2,FALSE())</f>
        <v>113045</v>
      </c>
      <c r="C743" s="178">
        <f t="shared" si="11"/>
        <v>1</v>
      </c>
      <c r="D743" s="179">
        <f>VLOOKUP(C743,Sheet2!$BK$11:$BN$19,VLOOKUP(B743,Sheet2!B:BC,21,FALSE)+1,FALSE)</f>
        <v>1.2</v>
      </c>
      <c r="E743" s="119">
        <v>0</v>
      </c>
      <c r="F743" s="13" t="s">
        <v>21</v>
      </c>
    </row>
    <row r="744" ht="16.5" spans="1:6">
      <c r="A744" s="119">
        <v>738</v>
      </c>
      <c r="B744" s="177">
        <f>VLOOKUP(ROUNDUP(A744/8,0),Sheet2!A:B,2,FALSE())</f>
        <v>113045</v>
      </c>
      <c r="C744" s="178">
        <f t="shared" si="11"/>
        <v>2</v>
      </c>
      <c r="D744" s="179">
        <f>VLOOKUP(C744,Sheet2!$BK$11:$BN$19,VLOOKUP(B744,Sheet2!B:BC,21,FALSE)+1,FALSE)</f>
        <v>1.2</v>
      </c>
      <c r="E744" s="119">
        <v>0</v>
      </c>
      <c r="F744" s="13" t="s">
        <v>21</v>
      </c>
    </row>
    <row r="745" ht="16.5" spans="1:6">
      <c r="A745" s="119">
        <v>739</v>
      </c>
      <c r="B745" s="177">
        <f>VLOOKUP(ROUNDUP(A745/8,0),Sheet2!A:B,2,FALSE())</f>
        <v>113045</v>
      </c>
      <c r="C745" s="178">
        <f t="shared" si="11"/>
        <v>3</v>
      </c>
      <c r="D745" s="179">
        <f>VLOOKUP(C745,Sheet2!$BK$11:$BN$19,VLOOKUP(B745,Sheet2!B:BC,21,FALSE)+1,FALSE)</f>
        <v>1.2</v>
      </c>
      <c r="E745" s="119">
        <v>0</v>
      </c>
      <c r="F745" s="13" t="s">
        <v>21</v>
      </c>
    </row>
    <row r="746" ht="16.5" spans="1:6">
      <c r="A746" s="119">
        <v>740</v>
      </c>
      <c r="B746" s="177">
        <f>VLOOKUP(ROUNDUP(A746/8,0),Sheet2!A:B,2,FALSE())</f>
        <v>113045</v>
      </c>
      <c r="C746" s="178">
        <f t="shared" si="11"/>
        <v>4</v>
      </c>
      <c r="D746" s="179">
        <f>VLOOKUP(C746,Sheet2!$BK$11:$BN$19,VLOOKUP(B746,Sheet2!B:BC,21,FALSE)+1,FALSE)</f>
        <v>1.5</v>
      </c>
      <c r="E746" s="119">
        <v>0</v>
      </c>
      <c r="F746" s="13" t="s">
        <v>21</v>
      </c>
    </row>
    <row r="747" ht="16.5" spans="1:6">
      <c r="A747" s="119">
        <v>741</v>
      </c>
      <c r="B747" s="177">
        <f>VLOOKUP(ROUNDUP(A747/8,0),Sheet2!A:B,2,FALSE())</f>
        <v>113045</v>
      </c>
      <c r="C747" s="178">
        <f t="shared" si="11"/>
        <v>5</v>
      </c>
      <c r="D747" s="179">
        <f>VLOOKUP(C747,Sheet2!$BK$11:$BN$19,VLOOKUP(B747,Sheet2!B:BC,21,FALSE)+1,FALSE)</f>
        <v>1.5</v>
      </c>
      <c r="E747" s="119">
        <v>0</v>
      </c>
      <c r="F747" s="13" t="s">
        <v>21</v>
      </c>
    </row>
    <row r="748" ht="16.5" spans="1:6">
      <c r="A748" s="119">
        <v>742</v>
      </c>
      <c r="B748" s="177">
        <f>VLOOKUP(ROUNDUP(A748/8,0),Sheet2!A:B,2,FALSE())</f>
        <v>113045</v>
      </c>
      <c r="C748" s="178">
        <f t="shared" si="11"/>
        <v>6</v>
      </c>
      <c r="D748" s="179">
        <f>VLOOKUP(C748,Sheet2!$BK$11:$BN$19,VLOOKUP(B748,Sheet2!B:BC,21,FALSE)+1,FALSE)</f>
        <v>1.7</v>
      </c>
      <c r="E748" s="119">
        <v>0</v>
      </c>
      <c r="F748" s="13" t="s">
        <v>21</v>
      </c>
    </row>
    <row r="749" ht="16.5" spans="1:6">
      <c r="A749" s="119">
        <v>743</v>
      </c>
      <c r="B749" s="177">
        <f>VLOOKUP(ROUNDUP(A749/8,0),Sheet2!A:B,2,FALSE())</f>
        <v>113045</v>
      </c>
      <c r="C749" s="178">
        <f t="shared" si="11"/>
        <v>7</v>
      </c>
      <c r="D749" s="179">
        <f>VLOOKUP(C749,Sheet2!$BK$11:$BN$19,VLOOKUP(B749,Sheet2!B:BC,21,FALSE)+1,FALSE)</f>
        <v>1.7</v>
      </c>
      <c r="E749" s="119">
        <v>0</v>
      </c>
      <c r="F749" s="13" t="s">
        <v>21</v>
      </c>
    </row>
    <row r="750" ht="16.5" spans="1:6">
      <c r="A750" s="119">
        <v>744</v>
      </c>
      <c r="B750" s="177">
        <f>VLOOKUP(ROUNDUP(A750/8,0),Sheet2!A:B,2,FALSE())</f>
        <v>113045</v>
      </c>
      <c r="C750" s="178">
        <f t="shared" si="11"/>
        <v>8</v>
      </c>
      <c r="D750" s="179">
        <f>VLOOKUP(C750,Sheet2!$BK$11:$BN$19,VLOOKUP(B750,Sheet2!B:BC,21,FALSE)+1,FALSE)</f>
        <v>2</v>
      </c>
      <c r="E750" s="119">
        <v>0</v>
      </c>
      <c r="F750" s="13" t="s">
        <v>21</v>
      </c>
    </row>
    <row r="751" ht="16.5" spans="1:6">
      <c r="A751" s="119">
        <v>745</v>
      </c>
      <c r="B751" s="177">
        <f>VLOOKUP(ROUNDUP(A751/8,0),Sheet2!A:B,2,FALSE())</f>
        <v>113046</v>
      </c>
      <c r="C751" s="178">
        <f t="shared" si="11"/>
        <v>1</v>
      </c>
      <c r="D751" s="179">
        <f>VLOOKUP(C751,Sheet2!$BK$11:$BN$19,VLOOKUP(B751,Sheet2!B:BC,21,FALSE)+1,FALSE)</f>
        <v>1.2</v>
      </c>
      <c r="E751" s="119">
        <v>0</v>
      </c>
      <c r="F751" s="13" t="s">
        <v>21</v>
      </c>
    </row>
    <row r="752" ht="16.5" spans="1:6">
      <c r="A752" s="119">
        <v>746</v>
      </c>
      <c r="B752" s="177">
        <f>VLOOKUP(ROUNDUP(A752/8,0),Sheet2!A:B,2,FALSE())</f>
        <v>113046</v>
      </c>
      <c r="C752" s="178">
        <f t="shared" si="11"/>
        <v>2</v>
      </c>
      <c r="D752" s="179">
        <f>VLOOKUP(C752,Sheet2!$BK$11:$BN$19,VLOOKUP(B752,Sheet2!B:BC,21,FALSE)+1,FALSE)</f>
        <v>1.2</v>
      </c>
      <c r="E752" s="119">
        <v>0</v>
      </c>
      <c r="F752" s="13" t="s">
        <v>21</v>
      </c>
    </row>
    <row r="753" ht="16.5" spans="1:6">
      <c r="A753" s="119">
        <v>747</v>
      </c>
      <c r="B753" s="177">
        <f>VLOOKUP(ROUNDUP(A753/8,0),Sheet2!A:B,2,FALSE())</f>
        <v>113046</v>
      </c>
      <c r="C753" s="178">
        <f t="shared" si="11"/>
        <v>3</v>
      </c>
      <c r="D753" s="179">
        <f>VLOOKUP(C753,Sheet2!$BK$11:$BN$19,VLOOKUP(B753,Sheet2!B:BC,21,FALSE)+1,FALSE)</f>
        <v>1.2</v>
      </c>
      <c r="E753" s="119">
        <v>0</v>
      </c>
      <c r="F753" s="13" t="s">
        <v>21</v>
      </c>
    </row>
    <row r="754" ht="16.5" spans="1:6">
      <c r="A754" s="119">
        <v>748</v>
      </c>
      <c r="B754" s="177">
        <f>VLOOKUP(ROUNDUP(A754/8,0),Sheet2!A:B,2,FALSE())</f>
        <v>113046</v>
      </c>
      <c r="C754" s="178">
        <f t="shared" si="11"/>
        <v>4</v>
      </c>
      <c r="D754" s="179">
        <f>VLOOKUP(C754,Sheet2!$BK$11:$BN$19,VLOOKUP(B754,Sheet2!B:BC,21,FALSE)+1,FALSE)</f>
        <v>1.5</v>
      </c>
      <c r="E754" s="119">
        <v>0</v>
      </c>
      <c r="F754" s="13" t="s">
        <v>21</v>
      </c>
    </row>
    <row r="755" ht="16.5" spans="1:6">
      <c r="A755" s="119">
        <v>749</v>
      </c>
      <c r="B755" s="177">
        <f>VLOOKUP(ROUNDUP(A755/8,0),Sheet2!A:B,2,FALSE())</f>
        <v>113046</v>
      </c>
      <c r="C755" s="178">
        <f t="shared" si="11"/>
        <v>5</v>
      </c>
      <c r="D755" s="179">
        <f>VLOOKUP(C755,Sheet2!$BK$11:$BN$19,VLOOKUP(B755,Sheet2!B:BC,21,FALSE)+1,FALSE)</f>
        <v>1.5</v>
      </c>
      <c r="E755" s="119">
        <v>0</v>
      </c>
      <c r="F755" s="13" t="s">
        <v>21</v>
      </c>
    </row>
    <row r="756" ht="16.5" spans="1:6">
      <c r="A756" s="119">
        <v>750</v>
      </c>
      <c r="B756" s="177">
        <f>VLOOKUP(ROUNDUP(A756/8,0),Sheet2!A:B,2,FALSE())</f>
        <v>113046</v>
      </c>
      <c r="C756" s="178">
        <f t="shared" si="11"/>
        <v>6</v>
      </c>
      <c r="D756" s="179">
        <f>VLOOKUP(C756,Sheet2!$BK$11:$BN$19,VLOOKUP(B756,Sheet2!B:BC,21,FALSE)+1,FALSE)</f>
        <v>1.7</v>
      </c>
      <c r="E756" s="119">
        <v>0</v>
      </c>
      <c r="F756" s="13" t="s">
        <v>21</v>
      </c>
    </row>
    <row r="757" ht="16.5" spans="1:6">
      <c r="A757" s="119">
        <v>751</v>
      </c>
      <c r="B757" s="177">
        <f>VLOOKUP(ROUNDUP(A757/8,0),Sheet2!A:B,2,FALSE())</f>
        <v>113046</v>
      </c>
      <c r="C757" s="178">
        <f t="shared" si="11"/>
        <v>7</v>
      </c>
      <c r="D757" s="179">
        <f>VLOOKUP(C757,Sheet2!$BK$11:$BN$19,VLOOKUP(B757,Sheet2!B:BC,21,FALSE)+1,FALSE)</f>
        <v>1.7</v>
      </c>
      <c r="E757" s="119">
        <v>0</v>
      </c>
      <c r="F757" s="13" t="s">
        <v>21</v>
      </c>
    </row>
    <row r="758" ht="16.5" spans="1:6">
      <c r="A758" s="119">
        <v>752</v>
      </c>
      <c r="B758" s="177">
        <f>VLOOKUP(ROUNDUP(A758/8,0),Sheet2!A:B,2,FALSE())</f>
        <v>113046</v>
      </c>
      <c r="C758" s="178">
        <f t="shared" si="11"/>
        <v>8</v>
      </c>
      <c r="D758" s="179">
        <f>VLOOKUP(C758,Sheet2!$BK$11:$BN$19,VLOOKUP(B758,Sheet2!B:BC,21,FALSE)+1,FALSE)</f>
        <v>2</v>
      </c>
      <c r="E758" s="119">
        <v>0</v>
      </c>
      <c r="F758" s="13" t="s">
        <v>21</v>
      </c>
    </row>
    <row r="759" ht="16.5" spans="1:6">
      <c r="A759" s="119">
        <v>753</v>
      </c>
      <c r="B759" s="177">
        <f>VLOOKUP(ROUNDUP(A759/8,0),Sheet2!A:B,2,FALSE())</f>
        <v>113047</v>
      </c>
      <c r="C759" s="178">
        <f t="shared" si="11"/>
        <v>1</v>
      </c>
      <c r="D759" s="179">
        <f>VLOOKUP(C759,Sheet2!$BK$11:$BN$19,VLOOKUP(B759,Sheet2!B:BC,21,FALSE)+1,FALSE)</f>
        <v>1.2</v>
      </c>
      <c r="E759" s="119">
        <v>0</v>
      </c>
      <c r="F759" s="13" t="s">
        <v>21</v>
      </c>
    </row>
    <row r="760" ht="16.5" spans="1:6">
      <c r="A760" s="119">
        <v>754</v>
      </c>
      <c r="B760" s="177">
        <f>VLOOKUP(ROUNDUP(A760/8,0),Sheet2!A:B,2,FALSE())</f>
        <v>113047</v>
      </c>
      <c r="C760" s="178">
        <f t="shared" si="11"/>
        <v>2</v>
      </c>
      <c r="D760" s="179">
        <f>VLOOKUP(C760,Sheet2!$BK$11:$BN$19,VLOOKUP(B760,Sheet2!B:BC,21,FALSE)+1,FALSE)</f>
        <v>1.2</v>
      </c>
      <c r="E760" s="119">
        <v>0</v>
      </c>
      <c r="F760" s="13" t="s">
        <v>21</v>
      </c>
    </row>
    <row r="761" ht="16.5" spans="1:6">
      <c r="A761" s="119">
        <v>755</v>
      </c>
      <c r="B761" s="177">
        <f>VLOOKUP(ROUNDUP(A761/8,0),Sheet2!A:B,2,FALSE())</f>
        <v>113047</v>
      </c>
      <c r="C761" s="178">
        <f t="shared" si="11"/>
        <v>3</v>
      </c>
      <c r="D761" s="179">
        <f>VLOOKUP(C761,Sheet2!$BK$11:$BN$19,VLOOKUP(B761,Sheet2!B:BC,21,FALSE)+1,FALSE)</f>
        <v>1.2</v>
      </c>
      <c r="E761" s="119">
        <v>0</v>
      </c>
      <c r="F761" s="13" t="s">
        <v>21</v>
      </c>
    </row>
    <row r="762" ht="16.5" spans="1:6">
      <c r="A762" s="119">
        <v>756</v>
      </c>
      <c r="B762" s="177">
        <f>VLOOKUP(ROUNDUP(A762/8,0),Sheet2!A:B,2,FALSE())</f>
        <v>113047</v>
      </c>
      <c r="C762" s="178">
        <f t="shared" si="11"/>
        <v>4</v>
      </c>
      <c r="D762" s="179">
        <f>VLOOKUP(C762,Sheet2!$BK$11:$BN$19,VLOOKUP(B762,Sheet2!B:BC,21,FALSE)+1,FALSE)</f>
        <v>1.5</v>
      </c>
      <c r="E762" s="119">
        <v>0</v>
      </c>
      <c r="F762" s="13" t="s">
        <v>21</v>
      </c>
    </row>
    <row r="763" ht="16.5" spans="1:6">
      <c r="A763" s="119">
        <v>757</v>
      </c>
      <c r="B763" s="177">
        <f>VLOOKUP(ROUNDUP(A763/8,0),Sheet2!A:B,2,FALSE())</f>
        <v>113047</v>
      </c>
      <c r="C763" s="178">
        <f t="shared" si="11"/>
        <v>5</v>
      </c>
      <c r="D763" s="179">
        <f>VLOOKUP(C763,Sheet2!$BK$11:$BN$19,VLOOKUP(B763,Sheet2!B:BC,21,FALSE)+1,FALSE)</f>
        <v>1.5</v>
      </c>
      <c r="E763" s="119">
        <v>0</v>
      </c>
      <c r="F763" s="13" t="s">
        <v>21</v>
      </c>
    </row>
    <row r="764" ht="16.5" spans="1:6">
      <c r="A764" s="119">
        <v>758</v>
      </c>
      <c r="B764" s="177">
        <f>VLOOKUP(ROUNDUP(A764/8,0),Sheet2!A:B,2,FALSE())</f>
        <v>113047</v>
      </c>
      <c r="C764" s="178">
        <f t="shared" si="11"/>
        <v>6</v>
      </c>
      <c r="D764" s="179">
        <f>VLOOKUP(C764,Sheet2!$BK$11:$BN$19,VLOOKUP(B764,Sheet2!B:BC,21,FALSE)+1,FALSE)</f>
        <v>1.7</v>
      </c>
      <c r="E764" s="119">
        <v>0</v>
      </c>
      <c r="F764" s="13" t="s">
        <v>21</v>
      </c>
    </row>
    <row r="765" ht="16.5" spans="1:6">
      <c r="A765" s="119">
        <v>759</v>
      </c>
      <c r="B765" s="177">
        <f>VLOOKUP(ROUNDUP(A765/8,0),Sheet2!A:B,2,FALSE())</f>
        <v>113047</v>
      </c>
      <c r="C765" s="178">
        <f t="shared" si="11"/>
        <v>7</v>
      </c>
      <c r="D765" s="179">
        <f>VLOOKUP(C765,Sheet2!$BK$11:$BN$19,VLOOKUP(B765,Sheet2!B:BC,21,FALSE)+1,FALSE)</f>
        <v>1.7</v>
      </c>
      <c r="E765" s="119">
        <v>0</v>
      </c>
      <c r="F765" s="13" t="s">
        <v>21</v>
      </c>
    </row>
    <row r="766" ht="16.5" spans="1:6">
      <c r="A766" s="119">
        <v>760</v>
      </c>
      <c r="B766" s="177">
        <f>VLOOKUP(ROUNDUP(A766/8,0),Sheet2!A:B,2,FALSE())</f>
        <v>113047</v>
      </c>
      <c r="C766" s="178">
        <f t="shared" si="11"/>
        <v>8</v>
      </c>
      <c r="D766" s="179">
        <f>VLOOKUP(C766,Sheet2!$BK$11:$BN$19,VLOOKUP(B766,Sheet2!B:BC,21,FALSE)+1,FALSE)</f>
        <v>2</v>
      </c>
      <c r="E766" s="119">
        <v>0</v>
      </c>
      <c r="F766" s="13" t="s">
        <v>21</v>
      </c>
    </row>
    <row r="767" ht="16.5" spans="1:6">
      <c r="A767" s="119">
        <v>761</v>
      </c>
      <c r="B767" s="177">
        <f>VLOOKUP(ROUNDUP(A767/8,0),Sheet2!A:B,2,FALSE())</f>
        <v>113048</v>
      </c>
      <c r="C767" s="178">
        <f t="shared" si="11"/>
        <v>1</v>
      </c>
      <c r="D767" s="179">
        <f>VLOOKUP(C767,Sheet2!$BK$11:$BN$19,VLOOKUP(B767,Sheet2!B:BC,21,FALSE)+1,FALSE)</f>
        <v>1.2</v>
      </c>
      <c r="E767" s="119">
        <v>0</v>
      </c>
      <c r="F767" s="13" t="s">
        <v>21</v>
      </c>
    </row>
    <row r="768" ht="16.5" spans="1:6">
      <c r="A768" s="119">
        <v>762</v>
      </c>
      <c r="B768" s="177">
        <f>VLOOKUP(ROUNDUP(A768/8,0),Sheet2!A:B,2,FALSE())</f>
        <v>113048</v>
      </c>
      <c r="C768" s="178">
        <f t="shared" si="11"/>
        <v>2</v>
      </c>
      <c r="D768" s="179">
        <f>VLOOKUP(C768,Sheet2!$BK$11:$BN$19,VLOOKUP(B768,Sheet2!B:BC,21,FALSE)+1,FALSE)</f>
        <v>1.2</v>
      </c>
      <c r="E768" s="119">
        <v>0</v>
      </c>
      <c r="F768" s="13" t="s">
        <v>21</v>
      </c>
    </row>
    <row r="769" ht="16.5" spans="1:6">
      <c r="A769" s="119">
        <v>763</v>
      </c>
      <c r="B769" s="177">
        <f>VLOOKUP(ROUNDUP(A769/8,0),Sheet2!A:B,2,FALSE())</f>
        <v>113048</v>
      </c>
      <c r="C769" s="178">
        <f t="shared" si="11"/>
        <v>3</v>
      </c>
      <c r="D769" s="179">
        <f>VLOOKUP(C769,Sheet2!$BK$11:$BN$19,VLOOKUP(B769,Sheet2!B:BC,21,FALSE)+1,FALSE)</f>
        <v>1.2</v>
      </c>
      <c r="E769" s="119">
        <v>0</v>
      </c>
      <c r="F769" s="13" t="s">
        <v>21</v>
      </c>
    </row>
    <row r="770" ht="16.5" spans="1:6">
      <c r="A770" s="119">
        <v>764</v>
      </c>
      <c r="B770" s="177">
        <f>VLOOKUP(ROUNDUP(A770/8,0),Sheet2!A:B,2,FALSE())</f>
        <v>113048</v>
      </c>
      <c r="C770" s="178">
        <f t="shared" si="11"/>
        <v>4</v>
      </c>
      <c r="D770" s="179">
        <f>VLOOKUP(C770,Sheet2!$BK$11:$BN$19,VLOOKUP(B770,Sheet2!B:BC,21,FALSE)+1,FALSE)</f>
        <v>1.5</v>
      </c>
      <c r="E770" s="119">
        <v>0</v>
      </c>
      <c r="F770" s="13" t="s">
        <v>21</v>
      </c>
    </row>
    <row r="771" ht="16.5" spans="1:6">
      <c r="A771" s="119">
        <v>765</v>
      </c>
      <c r="B771" s="177">
        <f>VLOOKUP(ROUNDUP(A771/8,0),Sheet2!A:B,2,FALSE())</f>
        <v>113048</v>
      </c>
      <c r="C771" s="178">
        <f t="shared" si="11"/>
        <v>5</v>
      </c>
      <c r="D771" s="179">
        <f>VLOOKUP(C771,Sheet2!$BK$11:$BN$19,VLOOKUP(B771,Sheet2!B:BC,21,FALSE)+1,FALSE)</f>
        <v>1.5</v>
      </c>
      <c r="E771" s="119">
        <v>0</v>
      </c>
      <c r="F771" s="13" t="s">
        <v>21</v>
      </c>
    </row>
    <row r="772" ht="16.5" spans="1:6">
      <c r="A772" s="119">
        <v>766</v>
      </c>
      <c r="B772" s="177">
        <f>VLOOKUP(ROUNDUP(A772/8,0),Sheet2!A:B,2,FALSE())</f>
        <v>113048</v>
      </c>
      <c r="C772" s="178">
        <f t="shared" si="11"/>
        <v>6</v>
      </c>
      <c r="D772" s="179">
        <f>VLOOKUP(C772,Sheet2!$BK$11:$BN$19,VLOOKUP(B772,Sheet2!B:BC,21,FALSE)+1,FALSE)</f>
        <v>1.7</v>
      </c>
      <c r="E772" s="119">
        <v>0</v>
      </c>
      <c r="F772" s="13" t="s">
        <v>21</v>
      </c>
    </row>
    <row r="773" ht="16.5" spans="1:6">
      <c r="A773" s="119">
        <v>767</v>
      </c>
      <c r="B773" s="177">
        <f>VLOOKUP(ROUNDUP(A773/8,0),Sheet2!A:B,2,FALSE())</f>
        <v>113048</v>
      </c>
      <c r="C773" s="178">
        <f t="shared" si="11"/>
        <v>7</v>
      </c>
      <c r="D773" s="179">
        <f>VLOOKUP(C773,Sheet2!$BK$11:$BN$19,VLOOKUP(B773,Sheet2!B:BC,21,FALSE)+1,FALSE)</f>
        <v>1.7</v>
      </c>
      <c r="E773" s="119">
        <v>0</v>
      </c>
      <c r="F773" s="13" t="s">
        <v>21</v>
      </c>
    </row>
    <row r="774" ht="16.5" spans="1:6">
      <c r="A774" s="119">
        <v>768</v>
      </c>
      <c r="B774" s="177">
        <f>VLOOKUP(ROUNDUP(A774/8,0),Sheet2!A:B,2,FALSE())</f>
        <v>113048</v>
      </c>
      <c r="C774" s="178">
        <f t="shared" si="11"/>
        <v>8</v>
      </c>
      <c r="D774" s="179">
        <f>VLOOKUP(C774,Sheet2!$BK$11:$BN$19,VLOOKUP(B774,Sheet2!B:BC,21,FALSE)+1,FALSE)</f>
        <v>2</v>
      </c>
      <c r="E774" s="119">
        <v>0</v>
      </c>
      <c r="F774" s="13" t="s">
        <v>21</v>
      </c>
    </row>
    <row r="775" ht="16.5" spans="1:6">
      <c r="A775" s="119">
        <v>769</v>
      </c>
      <c r="B775" s="177">
        <f>VLOOKUP(ROUNDUP(A775/8,0),Sheet2!A:B,2,FALSE())</f>
        <v>113049</v>
      </c>
      <c r="C775" s="178">
        <f t="shared" si="11"/>
        <v>1</v>
      </c>
      <c r="D775" s="179">
        <f>VLOOKUP(C775,Sheet2!$BK$11:$BN$19,VLOOKUP(B775,Sheet2!B:BC,21,FALSE)+1,FALSE)</f>
        <v>1.2</v>
      </c>
      <c r="E775" s="119">
        <v>0</v>
      </c>
      <c r="F775" s="13" t="s">
        <v>21</v>
      </c>
    </row>
    <row r="776" ht="16.5" spans="1:6">
      <c r="A776" s="119">
        <v>770</v>
      </c>
      <c r="B776" s="177">
        <f>VLOOKUP(ROUNDUP(A776/8,0),Sheet2!A:B,2,FALSE())</f>
        <v>113049</v>
      </c>
      <c r="C776" s="178">
        <f t="shared" si="11"/>
        <v>2</v>
      </c>
      <c r="D776" s="179">
        <f>VLOOKUP(C776,Sheet2!$BK$11:$BN$19,VLOOKUP(B776,Sheet2!B:BC,21,FALSE)+1,FALSE)</f>
        <v>1.2</v>
      </c>
      <c r="E776" s="119">
        <v>0</v>
      </c>
      <c r="F776" s="13" t="s">
        <v>21</v>
      </c>
    </row>
    <row r="777" ht="16.5" spans="1:6">
      <c r="A777" s="119">
        <v>771</v>
      </c>
      <c r="B777" s="177">
        <f>VLOOKUP(ROUNDUP(A777/8,0),Sheet2!A:B,2,FALSE())</f>
        <v>113049</v>
      </c>
      <c r="C777" s="178">
        <f t="shared" si="11"/>
        <v>3</v>
      </c>
      <c r="D777" s="179">
        <f>VLOOKUP(C777,Sheet2!$BK$11:$BN$19,VLOOKUP(B777,Sheet2!B:BC,21,FALSE)+1,FALSE)</f>
        <v>1.2</v>
      </c>
      <c r="E777" s="119">
        <v>0</v>
      </c>
      <c r="F777" s="13" t="s">
        <v>21</v>
      </c>
    </row>
    <row r="778" ht="16.5" spans="1:6">
      <c r="A778" s="119">
        <v>772</v>
      </c>
      <c r="B778" s="177">
        <f>VLOOKUP(ROUNDUP(A778/8,0),Sheet2!A:B,2,FALSE())</f>
        <v>113049</v>
      </c>
      <c r="C778" s="178">
        <f t="shared" si="11"/>
        <v>4</v>
      </c>
      <c r="D778" s="179">
        <f>VLOOKUP(C778,Sheet2!$BK$11:$BN$19,VLOOKUP(B778,Sheet2!B:BC,21,FALSE)+1,FALSE)</f>
        <v>1.5</v>
      </c>
      <c r="E778" s="119">
        <v>0</v>
      </c>
      <c r="F778" s="13" t="s">
        <v>21</v>
      </c>
    </row>
    <row r="779" ht="16.5" spans="1:6">
      <c r="A779" s="119">
        <v>773</v>
      </c>
      <c r="B779" s="177">
        <f>VLOOKUP(ROUNDUP(A779/8,0),Sheet2!A:B,2,FALSE())</f>
        <v>113049</v>
      </c>
      <c r="C779" s="178">
        <f t="shared" si="11"/>
        <v>5</v>
      </c>
      <c r="D779" s="179">
        <f>VLOOKUP(C779,Sheet2!$BK$11:$BN$19,VLOOKUP(B779,Sheet2!B:BC,21,FALSE)+1,FALSE)</f>
        <v>1.5</v>
      </c>
      <c r="E779" s="119">
        <v>0</v>
      </c>
      <c r="F779" s="13" t="s">
        <v>21</v>
      </c>
    </row>
    <row r="780" ht="16.5" spans="1:6">
      <c r="A780" s="119">
        <v>774</v>
      </c>
      <c r="B780" s="177">
        <f>VLOOKUP(ROUNDUP(A780/8,0),Sheet2!A:B,2,FALSE())</f>
        <v>113049</v>
      </c>
      <c r="C780" s="178">
        <f t="shared" si="11"/>
        <v>6</v>
      </c>
      <c r="D780" s="179">
        <f>VLOOKUP(C780,Sheet2!$BK$11:$BN$19,VLOOKUP(B780,Sheet2!B:BC,21,FALSE)+1,FALSE)</f>
        <v>1.7</v>
      </c>
      <c r="E780" s="119">
        <v>0</v>
      </c>
      <c r="F780" s="13" t="s">
        <v>21</v>
      </c>
    </row>
    <row r="781" ht="16.5" spans="1:6">
      <c r="A781" s="119">
        <v>775</v>
      </c>
      <c r="B781" s="177">
        <f>VLOOKUP(ROUNDUP(A781/8,0),Sheet2!A:B,2,FALSE())</f>
        <v>113049</v>
      </c>
      <c r="C781" s="178">
        <f t="shared" si="11"/>
        <v>7</v>
      </c>
      <c r="D781" s="179">
        <f>VLOOKUP(C781,Sheet2!$BK$11:$BN$19,VLOOKUP(B781,Sheet2!B:BC,21,FALSE)+1,FALSE)</f>
        <v>1.7</v>
      </c>
      <c r="E781" s="119">
        <v>0</v>
      </c>
      <c r="F781" s="13" t="s">
        <v>21</v>
      </c>
    </row>
    <row r="782" ht="16.5" spans="1:6">
      <c r="A782" s="119">
        <v>776</v>
      </c>
      <c r="B782" s="177">
        <f>VLOOKUP(ROUNDUP(A782/8,0),Sheet2!A:B,2,FALSE())</f>
        <v>113049</v>
      </c>
      <c r="C782" s="178">
        <f t="shared" si="11"/>
        <v>8</v>
      </c>
      <c r="D782" s="179">
        <f>VLOOKUP(C782,Sheet2!$BK$11:$BN$19,VLOOKUP(B782,Sheet2!B:BC,21,FALSE)+1,FALSE)</f>
        <v>2</v>
      </c>
      <c r="E782" s="119">
        <v>0</v>
      </c>
      <c r="F782" s="13" t="s">
        <v>21</v>
      </c>
    </row>
    <row r="783" ht="16.5" spans="1:6">
      <c r="A783" s="119">
        <v>777</v>
      </c>
      <c r="B783" s="177">
        <f>VLOOKUP(ROUNDUP(A783/8,0),Sheet2!A:B,2,FALSE())</f>
        <v>113050</v>
      </c>
      <c r="C783" s="178">
        <f t="shared" si="11"/>
        <v>1</v>
      </c>
      <c r="D783" s="179">
        <f>VLOOKUP(C783,Sheet2!$BK$11:$BN$19,VLOOKUP(B783,Sheet2!B:BC,21,FALSE)+1,FALSE)</f>
        <v>1.2</v>
      </c>
      <c r="E783" s="119">
        <v>0</v>
      </c>
      <c r="F783" s="13" t="s">
        <v>21</v>
      </c>
    </row>
    <row r="784" ht="16.5" spans="1:6">
      <c r="A784" s="119">
        <v>778</v>
      </c>
      <c r="B784" s="177">
        <f>VLOOKUP(ROUNDUP(A784/8,0),Sheet2!A:B,2,FALSE())</f>
        <v>113050</v>
      </c>
      <c r="C784" s="178">
        <f t="shared" ref="C784:C847" si="12">C776</f>
        <v>2</v>
      </c>
      <c r="D784" s="179">
        <f>VLOOKUP(C784,Sheet2!$BK$11:$BN$19,VLOOKUP(B784,Sheet2!B:BC,21,FALSE)+1,FALSE)</f>
        <v>1.2</v>
      </c>
      <c r="E784" s="119">
        <v>0</v>
      </c>
      <c r="F784" s="13" t="s">
        <v>21</v>
      </c>
    </row>
    <row r="785" ht="16.5" spans="1:6">
      <c r="A785" s="119">
        <v>779</v>
      </c>
      <c r="B785" s="177">
        <f>VLOOKUP(ROUNDUP(A785/8,0),Sheet2!A:B,2,FALSE())</f>
        <v>113050</v>
      </c>
      <c r="C785" s="178">
        <f t="shared" si="12"/>
        <v>3</v>
      </c>
      <c r="D785" s="179">
        <f>VLOOKUP(C785,Sheet2!$BK$11:$BN$19,VLOOKUP(B785,Sheet2!B:BC,21,FALSE)+1,FALSE)</f>
        <v>1.2</v>
      </c>
      <c r="E785" s="119">
        <v>0</v>
      </c>
      <c r="F785" s="13" t="s">
        <v>21</v>
      </c>
    </row>
    <row r="786" ht="16.5" spans="1:6">
      <c r="A786" s="119">
        <v>780</v>
      </c>
      <c r="B786" s="177">
        <f>VLOOKUP(ROUNDUP(A786/8,0),Sheet2!A:B,2,FALSE())</f>
        <v>113050</v>
      </c>
      <c r="C786" s="178">
        <f t="shared" si="12"/>
        <v>4</v>
      </c>
      <c r="D786" s="179">
        <f>VLOOKUP(C786,Sheet2!$BK$11:$BN$19,VLOOKUP(B786,Sheet2!B:BC,21,FALSE)+1,FALSE)</f>
        <v>1.5</v>
      </c>
      <c r="E786" s="119">
        <v>0</v>
      </c>
      <c r="F786" s="13" t="s">
        <v>21</v>
      </c>
    </row>
    <row r="787" ht="16.5" spans="1:6">
      <c r="A787" s="119">
        <v>781</v>
      </c>
      <c r="B787" s="177">
        <f>VLOOKUP(ROUNDUP(A787/8,0),Sheet2!A:B,2,FALSE())</f>
        <v>113050</v>
      </c>
      <c r="C787" s="178">
        <f t="shared" si="12"/>
        <v>5</v>
      </c>
      <c r="D787" s="179">
        <f>VLOOKUP(C787,Sheet2!$BK$11:$BN$19,VLOOKUP(B787,Sheet2!B:BC,21,FALSE)+1,FALSE)</f>
        <v>1.5</v>
      </c>
      <c r="E787" s="119">
        <v>0</v>
      </c>
      <c r="F787" s="13" t="s">
        <v>21</v>
      </c>
    </row>
    <row r="788" ht="16.5" spans="1:6">
      <c r="A788" s="119">
        <v>782</v>
      </c>
      <c r="B788" s="177">
        <f>VLOOKUP(ROUNDUP(A788/8,0),Sheet2!A:B,2,FALSE())</f>
        <v>113050</v>
      </c>
      <c r="C788" s="178">
        <f t="shared" si="12"/>
        <v>6</v>
      </c>
      <c r="D788" s="179">
        <f>VLOOKUP(C788,Sheet2!$BK$11:$BN$19,VLOOKUP(B788,Sheet2!B:BC,21,FALSE)+1,FALSE)</f>
        <v>1.7</v>
      </c>
      <c r="E788" s="119">
        <v>0</v>
      </c>
      <c r="F788" s="13" t="s">
        <v>21</v>
      </c>
    </row>
    <row r="789" ht="16.5" spans="1:6">
      <c r="A789" s="119">
        <v>783</v>
      </c>
      <c r="B789" s="177">
        <f>VLOOKUP(ROUNDUP(A789/8,0),Sheet2!A:B,2,FALSE())</f>
        <v>113050</v>
      </c>
      <c r="C789" s="178">
        <f t="shared" si="12"/>
        <v>7</v>
      </c>
      <c r="D789" s="179">
        <f>VLOOKUP(C789,Sheet2!$BK$11:$BN$19,VLOOKUP(B789,Sheet2!B:BC,21,FALSE)+1,FALSE)</f>
        <v>1.7</v>
      </c>
      <c r="E789" s="119">
        <v>0</v>
      </c>
      <c r="F789" s="13" t="s">
        <v>21</v>
      </c>
    </row>
    <row r="790" ht="16.5" spans="1:6">
      <c r="A790" s="119">
        <v>784</v>
      </c>
      <c r="B790" s="177">
        <f>VLOOKUP(ROUNDUP(A790/8,0),Sheet2!A:B,2,FALSE())</f>
        <v>113050</v>
      </c>
      <c r="C790" s="178">
        <f t="shared" si="12"/>
        <v>8</v>
      </c>
      <c r="D790" s="179">
        <f>VLOOKUP(C790,Sheet2!$BK$11:$BN$19,VLOOKUP(B790,Sheet2!B:BC,21,FALSE)+1,FALSE)</f>
        <v>2</v>
      </c>
      <c r="E790" s="119">
        <v>0</v>
      </c>
      <c r="F790" s="13" t="s">
        <v>21</v>
      </c>
    </row>
    <row r="791" ht="16.5" spans="1:6">
      <c r="A791" s="119">
        <v>785</v>
      </c>
      <c r="B791" s="177">
        <f>VLOOKUP(ROUNDUP(A791/8,0),Sheet2!A:B,2,FALSE())</f>
        <v>113051</v>
      </c>
      <c r="C791" s="178">
        <f t="shared" si="12"/>
        <v>1</v>
      </c>
      <c r="D791" s="179">
        <f>VLOOKUP(C791,Sheet2!$BK$11:$BN$19,VLOOKUP(B791,Sheet2!B:BC,21,FALSE)+1,FALSE)</f>
        <v>1.2</v>
      </c>
      <c r="E791" s="119">
        <v>0</v>
      </c>
      <c r="F791" s="13" t="s">
        <v>21</v>
      </c>
    </row>
    <row r="792" ht="16.5" spans="1:6">
      <c r="A792" s="119">
        <v>786</v>
      </c>
      <c r="B792" s="177">
        <f>VLOOKUP(ROUNDUP(A792/8,0),Sheet2!A:B,2,FALSE())</f>
        <v>113051</v>
      </c>
      <c r="C792" s="178">
        <f t="shared" si="12"/>
        <v>2</v>
      </c>
      <c r="D792" s="179">
        <f>VLOOKUP(C792,Sheet2!$BK$11:$BN$19,VLOOKUP(B792,Sheet2!B:BC,21,FALSE)+1,FALSE)</f>
        <v>1.2</v>
      </c>
      <c r="E792" s="119">
        <v>0</v>
      </c>
      <c r="F792" s="13" t="s">
        <v>21</v>
      </c>
    </row>
    <row r="793" ht="16.5" spans="1:6">
      <c r="A793" s="119">
        <v>787</v>
      </c>
      <c r="B793" s="177">
        <f>VLOOKUP(ROUNDUP(A793/8,0),Sheet2!A:B,2,FALSE())</f>
        <v>113051</v>
      </c>
      <c r="C793" s="178">
        <f t="shared" si="12"/>
        <v>3</v>
      </c>
      <c r="D793" s="179">
        <f>VLOOKUP(C793,Sheet2!$BK$11:$BN$19,VLOOKUP(B793,Sheet2!B:BC,21,FALSE)+1,FALSE)</f>
        <v>1.2</v>
      </c>
      <c r="E793" s="119">
        <v>0</v>
      </c>
      <c r="F793" s="13" t="s">
        <v>21</v>
      </c>
    </row>
    <row r="794" ht="16.5" spans="1:6">
      <c r="A794" s="119">
        <v>788</v>
      </c>
      <c r="B794" s="177">
        <f>VLOOKUP(ROUNDUP(A794/8,0),Sheet2!A:B,2,FALSE())</f>
        <v>113051</v>
      </c>
      <c r="C794" s="178">
        <f t="shared" si="12"/>
        <v>4</v>
      </c>
      <c r="D794" s="179">
        <f>VLOOKUP(C794,Sheet2!$BK$11:$BN$19,VLOOKUP(B794,Sheet2!B:BC,21,FALSE)+1,FALSE)</f>
        <v>1.5</v>
      </c>
      <c r="E794" s="119">
        <v>0</v>
      </c>
      <c r="F794" s="13" t="s">
        <v>21</v>
      </c>
    </row>
    <row r="795" ht="16.5" spans="1:6">
      <c r="A795" s="119">
        <v>789</v>
      </c>
      <c r="B795" s="177">
        <f>VLOOKUP(ROUNDUP(A795/8,0),Sheet2!A:B,2,FALSE())</f>
        <v>113051</v>
      </c>
      <c r="C795" s="178">
        <f t="shared" si="12"/>
        <v>5</v>
      </c>
      <c r="D795" s="179">
        <f>VLOOKUP(C795,Sheet2!$BK$11:$BN$19,VLOOKUP(B795,Sheet2!B:BC,21,FALSE)+1,FALSE)</f>
        <v>1.5</v>
      </c>
      <c r="E795" s="119">
        <v>0</v>
      </c>
      <c r="F795" s="13" t="s">
        <v>21</v>
      </c>
    </row>
    <row r="796" ht="16.5" spans="1:6">
      <c r="A796" s="119">
        <v>790</v>
      </c>
      <c r="B796" s="177">
        <f>VLOOKUP(ROUNDUP(A796/8,0),Sheet2!A:B,2,FALSE())</f>
        <v>113051</v>
      </c>
      <c r="C796" s="178">
        <f t="shared" si="12"/>
        <v>6</v>
      </c>
      <c r="D796" s="179">
        <f>VLOOKUP(C796,Sheet2!$BK$11:$BN$19,VLOOKUP(B796,Sheet2!B:BC,21,FALSE)+1,FALSE)</f>
        <v>1.7</v>
      </c>
      <c r="E796" s="119">
        <v>0</v>
      </c>
      <c r="F796" s="13" t="s">
        <v>21</v>
      </c>
    </row>
    <row r="797" ht="16.5" spans="1:6">
      <c r="A797" s="119">
        <v>791</v>
      </c>
      <c r="B797" s="177">
        <f>VLOOKUP(ROUNDUP(A797/8,0),Sheet2!A:B,2,FALSE())</f>
        <v>113051</v>
      </c>
      <c r="C797" s="178">
        <f t="shared" si="12"/>
        <v>7</v>
      </c>
      <c r="D797" s="179">
        <f>VLOOKUP(C797,Sheet2!$BK$11:$BN$19,VLOOKUP(B797,Sheet2!B:BC,21,FALSE)+1,FALSE)</f>
        <v>1.7</v>
      </c>
      <c r="E797" s="119">
        <v>0</v>
      </c>
      <c r="F797" s="13" t="s">
        <v>21</v>
      </c>
    </row>
    <row r="798" ht="16.5" spans="1:6">
      <c r="A798" s="119">
        <v>792</v>
      </c>
      <c r="B798" s="177">
        <f>VLOOKUP(ROUNDUP(A798/8,0),Sheet2!A:B,2,FALSE())</f>
        <v>113051</v>
      </c>
      <c r="C798" s="178">
        <f t="shared" si="12"/>
        <v>8</v>
      </c>
      <c r="D798" s="179">
        <f>VLOOKUP(C798,Sheet2!$BK$11:$BN$19,VLOOKUP(B798,Sheet2!B:BC,21,FALSE)+1,FALSE)</f>
        <v>2</v>
      </c>
      <c r="E798" s="119">
        <v>0</v>
      </c>
      <c r="F798" s="13" t="s">
        <v>21</v>
      </c>
    </row>
    <row r="799" ht="16.5" spans="1:6">
      <c r="A799" s="119">
        <v>793</v>
      </c>
      <c r="B799" s="177">
        <f>VLOOKUP(ROUNDUP(A799/8,0),Sheet2!A:B,2,FALSE())</f>
        <v>113052</v>
      </c>
      <c r="C799" s="178">
        <f t="shared" si="12"/>
        <v>1</v>
      </c>
      <c r="D799" s="179">
        <f>VLOOKUP(C799,Sheet2!$BK$11:$BN$19,VLOOKUP(B799,Sheet2!B:BC,21,FALSE)+1,FALSE)</f>
        <v>1.2</v>
      </c>
      <c r="E799" s="119">
        <v>0</v>
      </c>
      <c r="F799" s="13" t="s">
        <v>21</v>
      </c>
    </row>
    <row r="800" ht="16.5" spans="1:6">
      <c r="A800" s="119">
        <v>794</v>
      </c>
      <c r="B800" s="177">
        <f>VLOOKUP(ROUNDUP(A800/8,0),Sheet2!A:B,2,FALSE())</f>
        <v>113052</v>
      </c>
      <c r="C800" s="178">
        <f t="shared" si="12"/>
        <v>2</v>
      </c>
      <c r="D800" s="179">
        <f>VLOOKUP(C800,Sheet2!$BK$11:$BN$19,VLOOKUP(B800,Sheet2!B:BC,21,FALSE)+1,FALSE)</f>
        <v>1.2</v>
      </c>
      <c r="E800" s="119">
        <v>0</v>
      </c>
      <c r="F800" s="13" t="s">
        <v>21</v>
      </c>
    </row>
    <row r="801" ht="16.5" spans="1:6">
      <c r="A801" s="119">
        <v>795</v>
      </c>
      <c r="B801" s="177">
        <f>VLOOKUP(ROUNDUP(A801/8,0),Sheet2!A:B,2,FALSE())</f>
        <v>113052</v>
      </c>
      <c r="C801" s="178">
        <f t="shared" si="12"/>
        <v>3</v>
      </c>
      <c r="D801" s="179">
        <f>VLOOKUP(C801,Sheet2!$BK$11:$BN$19,VLOOKUP(B801,Sheet2!B:BC,21,FALSE)+1,FALSE)</f>
        <v>1.2</v>
      </c>
      <c r="E801" s="119">
        <v>0</v>
      </c>
      <c r="F801" s="13" t="s">
        <v>21</v>
      </c>
    </row>
    <row r="802" ht="16.5" spans="1:6">
      <c r="A802" s="119">
        <v>796</v>
      </c>
      <c r="B802" s="177">
        <f>VLOOKUP(ROUNDUP(A802/8,0),Sheet2!A:B,2,FALSE())</f>
        <v>113052</v>
      </c>
      <c r="C802" s="178">
        <f t="shared" si="12"/>
        <v>4</v>
      </c>
      <c r="D802" s="179">
        <f>VLOOKUP(C802,Sheet2!$BK$11:$BN$19,VLOOKUP(B802,Sheet2!B:BC,21,FALSE)+1,FALSE)</f>
        <v>1.5</v>
      </c>
      <c r="E802" s="119">
        <v>0</v>
      </c>
      <c r="F802" s="13" t="s">
        <v>21</v>
      </c>
    </row>
    <row r="803" ht="16.5" spans="1:6">
      <c r="A803" s="119">
        <v>797</v>
      </c>
      <c r="B803" s="177">
        <f>VLOOKUP(ROUNDUP(A803/8,0),Sheet2!A:B,2,FALSE())</f>
        <v>113052</v>
      </c>
      <c r="C803" s="178">
        <f t="shared" si="12"/>
        <v>5</v>
      </c>
      <c r="D803" s="179">
        <f>VLOOKUP(C803,Sheet2!$BK$11:$BN$19,VLOOKUP(B803,Sheet2!B:BC,21,FALSE)+1,FALSE)</f>
        <v>1.5</v>
      </c>
      <c r="E803" s="119">
        <v>0</v>
      </c>
      <c r="F803" s="13" t="s">
        <v>21</v>
      </c>
    </row>
    <row r="804" ht="16.5" spans="1:6">
      <c r="A804" s="119">
        <v>798</v>
      </c>
      <c r="B804" s="177">
        <f>VLOOKUP(ROUNDUP(A804/8,0),Sheet2!A:B,2,FALSE())</f>
        <v>113052</v>
      </c>
      <c r="C804" s="178">
        <f t="shared" si="12"/>
        <v>6</v>
      </c>
      <c r="D804" s="179">
        <f>VLOOKUP(C804,Sheet2!$BK$11:$BN$19,VLOOKUP(B804,Sheet2!B:BC,21,FALSE)+1,FALSE)</f>
        <v>1.7</v>
      </c>
      <c r="E804" s="119">
        <v>0</v>
      </c>
      <c r="F804" s="13" t="s">
        <v>21</v>
      </c>
    </row>
    <row r="805" ht="16.5" spans="1:6">
      <c r="A805" s="119">
        <v>799</v>
      </c>
      <c r="B805" s="177">
        <f>VLOOKUP(ROUNDUP(A805/8,0),Sheet2!A:B,2,FALSE())</f>
        <v>113052</v>
      </c>
      <c r="C805" s="178">
        <f t="shared" si="12"/>
        <v>7</v>
      </c>
      <c r="D805" s="179">
        <f>VLOOKUP(C805,Sheet2!$BK$11:$BN$19,VLOOKUP(B805,Sheet2!B:BC,21,FALSE)+1,FALSE)</f>
        <v>1.7</v>
      </c>
      <c r="E805" s="119">
        <v>0</v>
      </c>
      <c r="F805" s="13" t="s">
        <v>21</v>
      </c>
    </row>
    <row r="806" ht="16.5" spans="1:6">
      <c r="A806" s="119">
        <v>800</v>
      </c>
      <c r="B806" s="177">
        <f>VLOOKUP(ROUNDUP(A806/8,0),Sheet2!A:B,2,FALSE())</f>
        <v>113052</v>
      </c>
      <c r="C806" s="178">
        <f t="shared" si="12"/>
        <v>8</v>
      </c>
      <c r="D806" s="179">
        <f>VLOOKUP(C806,Sheet2!$BK$11:$BN$19,VLOOKUP(B806,Sheet2!B:BC,21,FALSE)+1,FALSE)</f>
        <v>2</v>
      </c>
      <c r="E806" s="119">
        <v>0</v>
      </c>
      <c r="F806" s="13" t="s">
        <v>21</v>
      </c>
    </row>
    <row r="807" ht="16.5" spans="1:6">
      <c r="A807" s="119">
        <v>801</v>
      </c>
      <c r="B807" s="177">
        <f>VLOOKUP(ROUNDUP(A807/8,0),Sheet2!A:B,2,FALSE())</f>
        <v>113053</v>
      </c>
      <c r="C807" s="178">
        <f t="shared" si="12"/>
        <v>1</v>
      </c>
      <c r="D807" s="179">
        <f>VLOOKUP(C807,Sheet2!$BK$11:$BN$19,VLOOKUP(B807,Sheet2!B:BC,21,FALSE)+1,FALSE)</f>
        <v>1.2</v>
      </c>
      <c r="E807" s="119">
        <v>0</v>
      </c>
      <c r="F807" s="13" t="s">
        <v>21</v>
      </c>
    </row>
    <row r="808" ht="16.5" spans="1:6">
      <c r="A808" s="119">
        <v>802</v>
      </c>
      <c r="B808" s="177">
        <f>VLOOKUP(ROUNDUP(A808/8,0),Sheet2!A:B,2,FALSE())</f>
        <v>113053</v>
      </c>
      <c r="C808" s="178">
        <f t="shared" si="12"/>
        <v>2</v>
      </c>
      <c r="D808" s="179">
        <f>VLOOKUP(C808,Sheet2!$BK$11:$BN$19,VLOOKUP(B808,Sheet2!B:BC,21,FALSE)+1,FALSE)</f>
        <v>1.2</v>
      </c>
      <c r="E808" s="119">
        <v>0</v>
      </c>
      <c r="F808" s="13" t="s">
        <v>21</v>
      </c>
    </row>
    <row r="809" ht="16.5" spans="1:6">
      <c r="A809" s="119">
        <v>803</v>
      </c>
      <c r="B809" s="177">
        <f>VLOOKUP(ROUNDUP(A809/8,0),Sheet2!A:B,2,FALSE())</f>
        <v>113053</v>
      </c>
      <c r="C809" s="178">
        <f t="shared" si="12"/>
        <v>3</v>
      </c>
      <c r="D809" s="179">
        <f>VLOOKUP(C809,Sheet2!$BK$11:$BN$19,VLOOKUP(B809,Sheet2!B:BC,21,FALSE)+1,FALSE)</f>
        <v>1.2</v>
      </c>
      <c r="E809" s="119">
        <v>0</v>
      </c>
      <c r="F809" s="13" t="s">
        <v>21</v>
      </c>
    </row>
    <row r="810" ht="16.5" spans="1:6">
      <c r="A810" s="119">
        <v>804</v>
      </c>
      <c r="B810" s="177">
        <f>VLOOKUP(ROUNDUP(A810/8,0),Sheet2!A:B,2,FALSE())</f>
        <v>113053</v>
      </c>
      <c r="C810" s="178">
        <f t="shared" si="12"/>
        <v>4</v>
      </c>
      <c r="D810" s="179">
        <f>VLOOKUP(C810,Sheet2!$BK$11:$BN$19,VLOOKUP(B810,Sheet2!B:BC,21,FALSE)+1,FALSE)</f>
        <v>1.5</v>
      </c>
      <c r="E810" s="119">
        <v>0</v>
      </c>
      <c r="F810" s="13" t="s">
        <v>21</v>
      </c>
    </row>
    <row r="811" ht="16.5" spans="1:6">
      <c r="A811" s="119">
        <v>805</v>
      </c>
      <c r="B811" s="177">
        <f>VLOOKUP(ROUNDUP(A811/8,0),Sheet2!A:B,2,FALSE())</f>
        <v>113053</v>
      </c>
      <c r="C811" s="178">
        <f t="shared" si="12"/>
        <v>5</v>
      </c>
      <c r="D811" s="179">
        <f>VLOOKUP(C811,Sheet2!$BK$11:$BN$19,VLOOKUP(B811,Sheet2!B:BC,21,FALSE)+1,FALSE)</f>
        <v>1.5</v>
      </c>
      <c r="E811" s="119">
        <v>0</v>
      </c>
      <c r="F811" s="13" t="s">
        <v>21</v>
      </c>
    </row>
    <row r="812" ht="16.5" spans="1:6">
      <c r="A812" s="119">
        <v>806</v>
      </c>
      <c r="B812" s="177">
        <f>VLOOKUP(ROUNDUP(A812/8,0),Sheet2!A:B,2,FALSE())</f>
        <v>113053</v>
      </c>
      <c r="C812" s="178">
        <f t="shared" si="12"/>
        <v>6</v>
      </c>
      <c r="D812" s="179">
        <f>VLOOKUP(C812,Sheet2!$BK$11:$BN$19,VLOOKUP(B812,Sheet2!B:BC,21,FALSE)+1,FALSE)</f>
        <v>1.7</v>
      </c>
      <c r="E812" s="119">
        <v>0</v>
      </c>
      <c r="F812" s="13" t="s">
        <v>21</v>
      </c>
    </row>
    <row r="813" ht="16.5" spans="1:6">
      <c r="A813" s="119">
        <v>807</v>
      </c>
      <c r="B813" s="177">
        <f>VLOOKUP(ROUNDUP(A813/8,0),Sheet2!A:B,2,FALSE())</f>
        <v>113053</v>
      </c>
      <c r="C813" s="178">
        <f t="shared" si="12"/>
        <v>7</v>
      </c>
      <c r="D813" s="179">
        <f>VLOOKUP(C813,Sheet2!$BK$11:$BN$19,VLOOKUP(B813,Sheet2!B:BC,21,FALSE)+1,FALSE)</f>
        <v>1.7</v>
      </c>
      <c r="E813" s="119">
        <v>0</v>
      </c>
      <c r="F813" s="13" t="s">
        <v>21</v>
      </c>
    </row>
    <row r="814" ht="16.5" spans="1:6">
      <c r="A814" s="119">
        <v>808</v>
      </c>
      <c r="B814" s="177">
        <f>VLOOKUP(ROUNDUP(A814/8,0),Sheet2!A:B,2,FALSE())</f>
        <v>113053</v>
      </c>
      <c r="C814" s="178">
        <f t="shared" si="12"/>
        <v>8</v>
      </c>
      <c r="D814" s="179">
        <f>VLOOKUP(C814,Sheet2!$BK$11:$BN$19,VLOOKUP(B814,Sheet2!B:BC,21,FALSE)+1,FALSE)</f>
        <v>2</v>
      </c>
      <c r="E814" s="119">
        <v>0</v>
      </c>
      <c r="F814" s="13" t="s">
        <v>21</v>
      </c>
    </row>
    <row r="815" ht="16.5" spans="1:6">
      <c r="A815" s="119">
        <v>809</v>
      </c>
      <c r="B815" s="177">
        <f>VLOOKUP(ROUNDUP(A815/8,0),Sheet2!A:B,2,FALSE())</f>
        <v>113054</v>
      </c>
      <c r="C815" s="178">
        <f t="shared" si="12"/>
        <v>1</v>
      </c>
      <c r="D815" s="179">
        <f>VLOOKUP(C815,Sheet2!$BK$11:$BN$19,VLOOKUP(B815,Sheet2!B:BC,21,FALSE)+1,FALSE)</f>
        <v>1.2</v>
      </c>
      <c r="E815" s="119">
        <v>0</v>
      </c>
      <c r="F815" s="13" t="s">
        <v>21</v>
      </c>
    </row>
    <row r="816" ht="16.5" spans="1:6">
      <c r="A816" s="119">
        <v>810</v>
      </c>
      <c r="B816" s="177">
        <f>VLOOKUP(ROUNDUP(A816/8,0),Sheet2!A:B,2,FALSE())</f>
        <v>113054</v>
      </c>
      <c r="C816" s="178">
        <f t="shared" si="12"/>
        <v>2</v>
      </c>
      <c r="D816" s="179">
        <f>VLOOKUP(C816,Sheet2!$BK$11:$BN$19,VLOOKUP(B816,Sheet2!B:BC,21,FALSE)+1,FALSE)</f>
        <v>1.2</v>
      </c>
      <c r="E816" s="119">
        <v>0</v>
      </c>
      <c r="F816" s="13" t="s">
        <v>21</v>
      </c>
    </row>
    <row r="817" ht="16.5" spans="1:6">
      <c r="A817" s="119">
        <v>811</v>
      </c>
      <c r="B817" s="177">
        <f>VLOOKUP(ROUNDUP(A817/8,0),Sheet2!A:B,2,FALSE())</f>
        <v>113054</v>
      </c>
      <c r="C817" s="178">
        <f t="shared" si="12"/>
        <v>3</v>
      </c>
      <c r="D817" s="179">
        <f>VLOOKUP(C817,Sheet2!$BK$11:$BN$19,VLOOKUP(B817,Sheet2!B:BC,21,FALSE)+1,FALSE)</f>
        <v>1.2</v>
      </c>
      <c r="E817" s="119">
        <v>0</v>
      </c>
      <c r="F817" s="13" t="s">
        <v>21</v>
      </c>
    </row>
    <row r="818" ht="16.5" spans="1:6">
      <c r="A818" s="119">
        <v>812</v>
      </c>
      <c r="B818" s="177">
        <f>VLOOKUP(ROUNDUP(A818/8,0),Sheet2!A:B,2,FALSE())</f>
        <v>113054</v>
      </c>
      <c r="C818" s="178">
        <f t="shared" si="12"/>
        <v>4</v>
      </c>
      <c r="D818" s="179">
        <f>VLOOKUP(C818,Sheet2!$BK$11:$BN$19,VLOOKUP(B818,Sheet2!B:BC,21,FALSE)+1,FALSE)</f>
        <v>1.5</v>
      </c>
      <c r="E818" s="119">
        <v>0</v>
      </c>
      <c r="F818" s="13" t="s">
        <v>21</v>
      </c>
    </row>
    <row r="819" ht="16.5" spans="1:6">
      <c r="A819" s="119">
        <v>813</v>
      </c>
      <c r="B819" s="177">
        <f>VLOOKUP(ROUNDUP(A819/8,0),Sheet2!A:B,2,FALSE())</f>
        <v>113054</v>
      </c>
      <c r="C819" s="178">
        <f t="shared" si="12"/>
        <v>5</v>
      </c>
      <c r="D819" s="179">
        <f>VLOOKUP(C819,Sheet2!$BK$11:$BN$19,VLOOKUP(B819,Sheet2!B:BC,21,FALSE)+1,FALSE)</f>
        <v>1.5</v>
      </c>
      <c r="E819" s="119">
        <v>0</v>
      </c>
      <c r="F819" s="13" t="s">
        <v>21</v>
      </c>
    </row>
    <row r="820" ht="16.5" spans="1:6">
      <c r="A820" s="119">
        <v>814</v>
      </c>
      <c r="B820" s="177">
        <f>VLOOKUP(ROUNDUP(A820/8,0),Sheet2!A:B,2,FALSE())</f>
        <v>113054</v>
      </c>
      <c r="C820" s="178">
        <f t="shared" si="12"/>
        <v>6</v>
      </c>
      <c r="D820" s="179">
        <f>VLOOKUP(C820,Sheet2!$BK$11:$BN$19,VLOOKUP(B820,Sheet2!B:BC,21,FALSE)+1,FALSE)</f>
        <v>1.7</v>
      </c>
      <c r="E820" s="119">
        <v>0</v>
      </c>
      <c r="F820" s="13" t="s">
        <v>21</v>
      </c>
    </row>
    <row r="821" ht="16.5" spans="1:6">
      <c r="A821" s="119">
        <v>815</v>
      </c>
      <c r="B821" s="177">
        <f>VLOOKUP(ROUNDUP(A821/8,0),Sheet2!A:B,2,FALSE())</f>
        <v>113054</v>
      </c>
      <c r="C821" s="178">
        <f t="shared" si="12"/>
        <v>7</v>
      </c>
      <c r="D821" s="179">
        <f>VLOOKUP(C821,Sheet2!$BK$11:$BN$19,VLOOKUP(B821,Sheet2!B:BC,21,FALSE)+1,FALSE)</f>
        <v>1.7</v>
      </c>
      <c r="E821" s="119">
        <v>0</v>
      </c>
      <c r="F821" s="13" t="s">
        <v>21</v>
      </c>
    </row>
    <row r="822" ht="16.5" spans="1:6">
      <c r="A822" s="119">
        <v>816</v>
      </c>
      <c r="B822" s="177">
        <f>VLOOKUP(ROUNDUP(A822/8,0),Sheet2!A:B,2,FALSE())</f>
        <v>113054</v>
      </c>
      <c r="C822" s="178">
        <f t="shared" si="12"/>
        <v>8</v>
      </c>
      <c r="D822" s="179">
        <f>VLOOKUP(C822,Sheet2!$BK$11:$BN$19,VLOOKUP(B822,Sheet2!B:BC,21,FALSE)+1,FALSE)</f>
        <v>2</v>
      </c>
      <c r="E822" s="119">
        <v>0</v>
      </c>
      <c r="F822" s="13" t="s">
        <v>21</v>
      </c>
    </row>
    <row r="823" ht="16.5" spans="1:6">
      <c r="A823" s="119">
        <v>817</v>
      </c>
      <c r="B823" s="177">
        <f>VLOOKUP(ROUNDUP(A823/8,0),Sheet2!A:B,2,FALSE())</f>
        <v>113055</v>
      </c>
      <c r="C823" s="178">
        <f t="shared" si="12"/>
        <v>1</v>
      </c>
      <c r="D823" s="179">
        <f>VLOOKUP(C823,Sheet2!$BK$11:$BN$19,VLOOKUP(B823,Sheet2!B:BC,21,FALSE)+1,FALSE)</f>
        <v>1.2</v>
      </c>
      <c r="E823" s="119">
        <v>0</v>
      </c>
      <c r="F823" s="13" t="s">
        <v>21</v>
      </c>
    </row>
    <row r="824" ht="16.5" spans="1:6">
      <c r="A824" s="119">
        <v>818</v>
      </c>
      <c r="B824" s="177">
        <f>VLOOKUP(ROUNDUP(A824/8,0),Sheet2!A:B,2,FALSE())</f>
        <v>113055</v>
      </c>
      <c r="C824" s="178">
        <f t="shared" si="12"/>
        <v>2</v>
      </c>
      <c r="D824" s="179">
        <f>VLOOKUP(C824,Sheet2!$BK$11:$BN$19,VLOOKUP(B824,Sheet2!B:BC,21,FALSE)+1,FALSE)</f>
        <v>1.2</v>
      </c>
      <c r="E824" s="119">
        <v>0</v>
      </c>
      <c r="F824" s="13" t="s">
        <v>21</v>
      </c>
    </row>
    <row r="825" ht="16.5" spans="1:6">
      <c r="A825" s="119">
        <v>819</v>
      </c>
      <c r="B825" s="177">
        <f>VLOOKUP(ROUNDUP(A825/8,0),Sheet2!A:B,2,FALSE())</f>
        <v>113055</v>
      </c>
      <c r="C825" s="178">
        <f t="shared" si="12"/>
        <v>3</v>
      </c>
      <c r="D825" s="179">
        <f>VLOOKUP(C825,Sheet2!$BK$11:$BN$19,VLOOKUP(B825,Sheet2!B:BC,21,FALSE)+1,FALSE)</f>
        <v>1.2</v>
      </c>
      <c r="E825" s="119">
        <v>0</v>
      </c>
      <c r="F825" s="13" t="s">
        <v>21</v>
      </c>
    </row>
    <row r="826" ht="16.5" spans="1:6">
      <c r="A826" s="119">
        <v>820</v>
      </c>
      <c r="B826" s="177">
        <f>VLOOKUP(ROUNDUP(A826/8,0),Sheet2!A:B,2,FALSE())</f>
        <v>113055</v>
      </c>
      <c r="C826" s="178">
        <f t="shared" si="12"/>
        <v>4</v>
      </c>
      <c r="D826" s="179">
        <f>VLOOKUP(C826,Sheet2!$BK$11:$BN$19,VLOOKUP(B826,Sheet2!B:BC,21,FALSE)+1,FALSE)</f>
        <v>1.5</v>
      </c>
      <c r="E826" s="119">
        <v>0</v>
      </c>
      <c r="F826" s="13" t="s">
        <v>21</v>
      </c>
    </row>
    <row r="827" ht="16.5" spans="1:6">
      <c r="A827" s="119">
        <v>821</v>
      </c>
      <c r="B827" s="177">
        <f>VLOOKUP(ROUNDUP(A827/8,0),Sheet2!A:B,2,FALSE())</f>
        <v>113055</v>
      </c>
      <c r="C827" s="178">
        <f t="shared" si="12"/>
        <v>5</v>
      </c>
      <c r="D827" s="179">
        <f>VLOOKUP(C827,Sheet2!$BK$11:$BN$19,VLOOKUP(B827,Sheet2!B:BC,21,FALSE)+1,FALSE)</f>
        <v>1.5</v>
      </c>
      <c r="E827" s="119">
        <v>0</v>
      </c>
      <c r="F827" s="13" t="s">
        <v>21</v>
      </c>
    </row>
    <row r="828" ht="16.5" spans="1:6">
      <c r="A828" s="119">
        <v>822</v>
      </c>
      <c r="B828" s="177">
        <f>VLOOKUP(ROUNDUP(A828/8,0),Sheet2!A:B,2,FALSE())</f>
        <v>113055</v>
      </c>
      <c r="C828" s="178">
        <f t="shared" si="12"/>
        <v>6</v>
      </c>
      <c r="D828" s="179">
        <f>VLOOKUP(C828,Sheet2!$BK$11:$BN$19,VLOOKUP(B828,Sheet2!B:BC,21,FALSE)+1,FALSE)</f>
        <v>1.7</v>
      </c>
      <c r="E828" s="119">
        <v>0</v>
      </c>
      <c r="F828" s="13" t="s">
        <v>21</v>
      </c>
    </row>
    <row r="829" ht="16.5" spans="1:6">
      <c r="A829" s="119">
        <v>823</v>
      </c>
      <c r="B829" s="177">
        <f>VLOOKUP(ROUNDUP(A829/8,0),Sheet2!A:B,2,FALSE())</f>
        <v>113055</v>
      </c>
      <c r="C829" s="178">
        <f t="shared" si="12"/>
        <v>7</v>
      </c>
      <c r="D829" s="179">
        <f>VLOOKUP(C829,Sheet2!$BK$11:$BN$19,VLOOKUP(B829,Sheet2!B:BC,21,FALSE)+1,FALSE)</f>
        <v>1.7</v>
      </c>
      <c r="E829" s="119">
        <v>0</v>
      </c>
      <c r="F829" s="13" t="s">
        <v>21</v>
      </c>
    </row>
    <row r="830" ht="16.5" spans="1:6">
      <c r="A830" s="119">
        <v>824</v>
      </c>
      <c r="B830" s="177">
        <f>VLOOKUP(ROUNDUP(A830/8,0),Sheet2!A:B,2,FALSE())</f>
        <v>113055</v>
      </c>
      <c r="C830" s="178">
        <f t="shared" si="12"/>
        <v>8</v>
      </c>
      <c r="D830" s="179">
        <f>VLOOKUP(C830,Sheet2!$BK$11:$BN$19,VLOOKUP(B830,Sheet2!B:BC,21,FALSE)+1,FALSE)</f>
        <v>2</v>
      </c>
      <c r="E830" s="119">
        <v>0</v>
      </c>
      <c r="F830" s="13" t="s">
        <v>21</v>
      </c>
    </row>
    <row r="831" ht="16.5" spans="1:6">
      <c r="A831" s="119">
        <v>825</v>
      </c>
      <c r="B831" s="177">
        <f>VLOOKUP(ROUNDUP(A831/8,0),Sheet2!A:B,2,FALSE())</f>
        <v>113056</v>
      </c>
      <c r="C831" s="178">
        <f t="shared" si="12"/>
        <v>1</v>
      </c>
      <c r="D831" s="179">
        <f>VLOOKUP(C831,Sheet2!$BK$11:$BN$19,VLOOKUP(B831,Sheet2!B:BC,21,FALSE)+1,FALSE)</f>
        <v>1.2</v>
      </c>
      <c r="E831" s="119">
        <v>0</v>
      </c>
      <c r="F831" s="13" t="s">
        <v>21</v>
      </c>
    </row>
    <row r="832" ht="16.5" spans="1:6">
      <c r="A832" s="119">
        <v>826</v>
      </c>
      <c r="B832" s="177">
        <f>VLOOKUP(ROUNDUP(A832/8,0),Sheet2!A:B,2,FALSE())</f>
        <v>113056</v>
      </c>
      <c r="C832" s="178">
        <f t="shared" si="12"/>
        <v>2</v>
      </c>
      <c r="D832" s="179">
        <f>VLOOKUP(C832,Sheet2!$BK$11:$BN$19,VLOOKUP(B832,Sheet2!B:BC,21,FALSE)+1,FALSE)</f>
        <v>1.2</v>
      </c>
      <c r="E832" s="119">
        <v>0</v>
      </c>
      <c r="F832" s="13" t="s">
        <v>21</v>
      </c>
    </row>
    <row r="833" ht="16.5" spans="1:6">
      <c r="A833" s="119">
        <v>827</v>
      </c>
      <c r="B833" s="177">
        <f>VLOOKUP(ROUNDUP(A833/8,0),Sheet2!A:B,2,FALSE())</f>
        <v>113056</v>
      </c>
      <c r="C833" s="178">
        <f t="shared" si="12"/>
        <v>3</v>
      </c>
      <c r="D833" s="179">
        <f>VLOOKUP(C833,Sheet2!$BK$11:$BN$19,VLOOKUP(B833,Sheet2!B:BC,21,FALSE)+1,FALSE)</f>
        <v>1.2</v>
      </c>
      <c r="E833" s="119">
        <v>0</v>
      </c>
      <c r="F833" s="13" t="s">
        <v>21</v>
      </c>
    </row>
    <row r="834" ht="16.5" spans="1:6">
      <c r="A834" s="119">
        <v>828</v>
      </c>
      <c r="B834" s="177">
        <f>VLOOKUP(ROUNDUP(A834/8,0),Sheet2!A:B,2,FALSE())</f>
        <v>113056</v>
      </c>
      <c r="C834" s="178">
        <f t="shared" si="12"/>
        <v>4</v>
      </c>
      <c r="D834" s="179">
        <f>VLOOKUP(C834,Sheet2!$BK$11:$BN$19,VLOOKUP(B834,Sheet2!B:BC,21,FALSE)+1,FALSE)</f>
        <v>1.5</v>
      </c>
      <c r="E834" s="119">
        <v>0</v>
      </c>
      <c r="F834" s="13" t="s">
        <v>21</v>
      </c>
    </row>
    <row r="835" ht="16.5" spans="1:6">
      <c r="A835" s="119">
        <v>829</v>
      </c>
      <c r="B835" s="177">
        <f>VLOOKUP(ROUNDUP(A835/8,0),Sheet2!A:B,2,FALSE())</f>
        <v>113056</v>
      </c>
      <c r="C835" s="178">
        <f t="shared" si="12"/>
        <v>5</v>
      </c>
      <c r="D835" s="179">
        <f>VLOOKUP(C835,Sheet2!$BK$11:$BN$19,VLOOKUP(B835,Sheet2!B:BC,21,FALSE)+1,FALSE)</f>
        <v>1.5</v>
      </c>
      <c r="E835" s="119">
        <v>0</v>
      </c>
      <c r="F835" s="13" t="s">
        <v>21</v>
      </c>
    </row>
    <row r="836" ht="16.5" spans="1:6">
      <c r="A836" s="119">
        <v>830</v>
      </c>
      <c r="B836" s="177">
        <f>VLOOKUP(ROUNDUP(A836/8,0),Sheet2!A:B,2,FALSE())</f>
        <v>113056</v>
      </c>
      <c r="C836" s="178">
        <f t="shared" si="12"/>
        <v>6</v>
      </c>
      <c r="D836" s="179">
        <f>VLOOKUP(C836,Sheet2!$BK$11:$BN$19,VLOOKUP(B836,Sheet2!B:BC,21,FALSE)+1,FALSE)</f>
        <v>1.7</v>
      </c>
      <c r="E836" s="119">
        <v>0</v>
      </c>
      <c r="F836" s="13" t="s">
        <v>21</v>
      </c>
    </row>
    <row r="837" ht="16.5" spans="1:6">
      <c r="A837" s="119">
        <v>831</v>
      </c>
      <c r="B837" s="177">
        <f>VLOOKUP(ROUNDUP(A837/8,0),Sheet2!A:B,2,FALSE())</f>
        <v>113056</v>
      </c>
      <c r="C837" s="178">
        <f t="shared" si="12"/>
        <v>7</v>
      </c>
      <c r="D837" s="179">
        <f>VLOOKUP(C837,Sheet2!$BK$11:$BN$19,VLOOKUP(B837,Sheet2!B:BC,21,FALSE)+1,FALSE)</f>
        <v>1.7</v>
      </c>
      <c r="E837" s="119">
        <v>0</v>
      </c>
      <c r="F837" s="13" t="s">
        <v>21</v>
      </c>
    </row>
    <row r="838" ht="16.5" spans="1:6">
      <c r="A838" s="119">
        <v>832</v>
      </c>
      <c r="B838" s="177">
        <f>VLOOKUP(ROUNDUP(A838/8,0),Sheet2!A:B,2,FALSE())</f>
        <v>113056</v>
      </c>
      <c r="C838" s="178">
        <f t="shared" si="12"/>
        <v>8</v>
      </c>
      <c r="D838" s="179">
        <f>VLOOKUP(C838,Sheet2!$BK$11:$BN$19,VLOOKUP(B838,Sheet2!B:BC,21,FALSE)+1,FALSE)</f>
        <v>2</v>
      </c>
      <c r="E838" s="119">
        <v>0</v>
      </c>
      <c r="F838" s="13" t="s">
        <v>21</v>
      </c>
    </row>
    <row r="839" ht="16.5" spans="1:6">
      <c r="A839" s="119">
        <v>833</v>
      </c>
      <c r="B839" s="177">
        <f>VLOOKUP(ROUNDUP(A839/8,0),Sheet2!A:B,2,FALSE())</f>
        <v>113057</v>
      </c>
      <c r="C839" s="178">
        <f t="shared" si="12"/>
        <v>1</v>
      </c>
      <c r="D839" s="179">
        <f>VLOOKUP(C839,Sheet2!$BK$11:$BN$19,VLOOKUP(B839,Sheet2!B:BC,21,FALSE)+1,FALSE)</f>
        <v>1.2</v>
      </c>
      <c r="E839" s="119">
        <v>0</v>
      </c>
      <c r="F839" s="13" t="s">
        <v>21</v>
      </c>
    </row>
    <row r="840" ht="16.5" spans="1:6">
      <c r="A840" s="119">
        <v>834</v>
      </c>
      <c r="B840" s="177">
        <f>VLOOKUP(ROUNDUP(A840/8,0),Sheet2!A:B,2,FALSE())</f>
        <v>113057</v>
      </c>
      <c r="C840" s="178">
        <f t="shared" si="12"/>
        <v>2</v>
      </c>
      <c r="D840" s="179">
        <f>VLOOKUP(C840,Sheet2!$BK$11:$BN$19,VLOOKUP(B840,Sheet2!B:BC,21,FALSE)+1,FALSE)</f>
        <v>1.2</v>
      </c>
      <c r="E840" s="119">
        <v>0</v>
      </c>
      <c r="F840" s="13" t="s">
        <v>21</v>
      </c>
    </row>
    <row r="841" ht="16.5" spans="1:6">
      <c r="A841" s="119">
        <v>835</v>
      </c>
      <c r="B841" s="177">
        <f>VLOOKUP(ROUNDUP(A841/8,0),Sheet2!A:B,2,FALSE())</f>
        <v>113057</v>
      </c>
      <c r="C841" s="178">
        <f t="shared" si="12"/>
        <v>3</v>
      </c>
      <c r="D841" s="179">
        <f>VLOOKUP(C841,Sheet2!$BK$11:$BN$19,VLOOKUP(B841,Sheet2!B:BC,21,FALSE)+1,FALSE)</f>
        <v>1.2</v>
      </c>
      <c r="E841" s="119">
        <v>0</v>
      </c>
      <c r="F841" s="13" t="s">
        <v>21</v>
      </c>
    </row>
    <row r="842" ht="16.5" spans="1:6">
      <c r="A842" s="119">
        <v>836</v>
      </c>
      <c r="B842" s="177">
        <f>VLOOKUP(ROUNDUP(A842/8,0),Sheet2!A:B,2,FALSE())</f>
        <v>113057</v>
      </c>
      <c r="C842" s="178">
        <f t="shared" si="12"/>
        <v>4</v>
      </c>
      <c r="D842" s="179">
        <f>VLOOKUP(C842,Sheet2!$BK$11:$BN$19,VLOOKUP(B842,Sheet2!B:BC,21,FALSE)+1,FALSE)</f>
        <v>1.5</v>
      </c>
      <c r="E842" s="119">
        <v>0</v>
      </c>
      <c r="F842" s="13" t="s">
        <v>21</v>
      </c>
    </row>
    <row r="843" ht="16.5" spans="1:6">
      <c r="A843" s="119">
        <v>837</v>
      </c>
      <c r="B843" s="177">
        <f>VLOOKUP(ROUNDUP(A843/8,0),Sheet2!A:B,2,FALSE())</f>
        <v>113057</v>
      </c>
      <c r="C843" s="178">
        <f t="shared" si="12"/>
        <v>5</v>
      </c>
      <c r="D843" s="179">
        <f>VLOOKUP(C843,Sheet2!$BK$11:$BN$19,VLOOKUP(B843,Sheet2!B:BC,21,FALSE)+1,FALSE)</f>
        <v>1.5</v>
      </c>
      <c r="E843" s="119">
        <v>0</v>
      </c>
      <c r="F843" s="13" t="s">
        <v>21</v>
      </c>
    </row>
    <row r="844" ht="16.5" spans="1:6">
      <c r="A844" s="119">
        <v>838</v>
      </c>
      <c r="B844" s="177">
        <f>VLOOKUP(ROUNDUP(A844/8,0),Sheet2!A:B,2,FALSE())</f>
        <v>113057</v>
      </c>
      <c r="C844" s="178">
        <f t="shared" si="12"/>
        <v>6</v>
      </c>
      <c r="D844" s="179">
        <f>VLOOKUP(C844,Sheet2!$BK$11:$BN$19,VLOOKUP(B844,Sheet2!B:BC,21,FALSE)+1,FALSE)</f>
        <v>1.7</v>
      </c>
      <c r="E844" s="119">
        <v>0</v>
      </c>
      <c r="F844" s="13" t="s">
        <v>21</v>
      </c>
    </row>
    <row r="845" ht="16.5" spans="1:6">
      <c r="A845" s="119">
        <v>839</v>
      </c>
      <c r="B845" s="177">
        <f>VLOOKUP(ROUNDUP(A845/8,0),Sheet2!A:B,2,FALSE())</f>
        <v>113057</v>
      </c>
      <c r="C845" s="178">
        <f t="shared" si="12"/>
        <v>7</v>
      </c>
      <c r="D845" s="179">
        <f>VLOOKUP(C845,Sheet2!$BK$11:$BN$19,VLOOKUP(B845,Sheet2!B:BC,21,FALSE)+1,FALSE)</f>
        <v>1.7</v>
      </c>
      <c r="E845" s="119">
        <v>0</v>
      </c>
      <c r="F845" s="13" t="s">
        <v>21</v>
      </c>
    </row>
    <row r="846" ht="16.5" spans="1:6">
      <c r="A846" s="119">
        <v>840</v>
      </c>
      <c r="B846" s="177">
        <f>VLOOKUP(ROUNDUP(A846/8,0),Sheet2!A:B,2,FALSE())</f>
        <v>113057</v>
      </c>
      <c r="C846" s="178">
        <f t="shared" si="12"/>
        <v>8</v>
      </c>
      <c r="D846" s="179">
        <f>VLOOKUP(C846,Sheet2!$BK$11:$BN$19,VLOOKUP(B846,Sheet2!B:BC,21,FALSE)+1,FALSE)</f>
        <v>2</v>
      </c>
      <c r="E846" s="119">
        <v>0</v>
      </c>
      <c r="F846" s="13" t="s">
        <v>21</v>
      </c>
    </row>
    <row r="847" ht="16.5" spans="1:6">
      <c r="A847" s="119">
        <v>841</v>
      </c>
      <c r="B847" s="177">
        <f>VLOOKUP(ROUNDUP(A847/8,0),Sheet2!A:B,2,FALSE())</f>
        <v>113058</v>
      </c>
      <c r="C847" s="178">
        <f t="shared" si="12"/>
        <v>1</v>
      </c>
      <c r="D847" s="179">
        <f>VLOOKUP(C847,Sheet2!$BK$11:$BN$19,VLOOKUP(B847,Sheet2!B:BC,21,FALSE)+1,FALSE)</f>
        <v>1.2</v>
      </c>
      <c r="E847" s="119">
        <v>0</v>
      </c>
      <c r="F847" s="13" t="s">
        <v>21</v>
      </c>
    </row>
    <row r="848" ht="16.5" spans="1:6">
      <c r="A848" s="119">
        <v>842</v>
      </c>
      <c r="B848" s="177">
        <f>VLOOKUP(ROUNDUP(A848/8,0),Sheet2!A:B,2,FALSE())</f>
        <v>113058</v>
      </c>
      <c r="C848" s="178">
        <f t="shared" ref="C848:C911" si="13">C840</f>
        <v>2</v>
      </c>
      <c r="D848" s="179">
        <f>VLOOKUP(C848,Sheet2!$BK$11:$BN$19,VLOOKUP(B848,Sheet2!B:BC,21,FALSE)+1,FALSE)</f>
        <v>1.2</v>
      </c>
      <c r="E848" s="119">
        <v>0</v>
      </c>
      <c r="F848" s="13" t="s">
        <v>21</v>
      </c>
    </row>
    <row r="849" ht="16.5" spans="1:6">
      <c r="A849" s="119">
        <v>843</v>
      </c>
      <c r="B849" s="177">
        <f>VLOOKUP(ROUNDUP(A849/8,0),Sheet2!A:B,2,FALSE())</f>
        <v>113058</v>
      </c>
      <c r="C849" s="178">
        <f t="shared" si="13"/>
        <v>3</v>
      </c>
      <c r="D849" s="179">
        <f>VLOOKUP(C849,Sheet2!$BK$11:$BN$19,VLOOKUP(B849,Sheet2!B:BC,21,FALSE)+1,FALSE)</f>
        <v>1.2</v>
      </c>
      <c r="E849" s="119">
        <v>0</v>
      </c>
      <c r="F849" s="13" t="s">
        <v>21</v>
      </c>
    </row>
    <row r="850" ht="16.5" spans="1:6">
      <c r="A850" s="119">
        <v>844</v>
      </c>
      <c r="B850" s="177">
        <f>VLOOKUP(ROUNDUP(A850/8,0),Sheet2!A:B,2,FALSE())</f>
        <v>113058</v>
      </c>
      <c r="C850" s="178">
        <f t="shared" si="13"/>
        <v>4</v>
      </c>
      <c r="D850" s="179">
        <f>VLOOKUP(C850,Sheet2!$BK$11:$BN$19,VLOOKUP(B850,Sheet2!B:BC,21,FALSE)+1,FALSE)</f>
        <v>1.5</v>
      </c>
      <c r="E850" s="119">
        <v>0</v>
      </c>
      <c r="F850" s="13" t="s">
        <v>21</v>
      </c>
    </row>
    <row r="851" ht="16.5" spans="1:6">
      <c r="A851" s="119">
        <v>845</v>
      </c>
      <c r="B851" s="177">
        <f>VLOOKUP(ROUNDUP(A851/8,0),Sheet2!A:B,2,FALSE())</f>
        <v>113058</v>
      </c>
      <c r="C851" s="178">
        <f t="shared" si="13"/>
        <v>5</v>
      </c>
      <c r="D851" s="179">
        <f>VLOOKUP(C851,Sheet2!$BK$11:$BN$19,VLOOKUP(B851,Sheet2!B:BC,21,FALSE)+1,FALSE)</f>
        <v>1.5</v>
      </c>
      <c r="E851" s="119">
        <v>0</v>
      </c>
      <c r="F851" s="13" t="s">
        <v>21</v>
      </c>
    </row>
    <row r="852" ht="16.5" spans="1:6">
      <c r="A852" s="119">
        <v>846</v>
      </c>
      <c r="B852" s="177">
        <f>VLOOKUP(ROUNDUP(A852/8,0),Sheet2!A:B,2,FALSE())</f>
        <v>113058</v>
      </c>
      <c r="C852" s="178">
        <f t="shared" si="13"/>
        <v>6</v>
      </c>
      <c r="D852" s="179">
        <f>VLOOKUP(C852,Sheet2!$BK$11:$BN$19,VLOOKUP(B852,Sheet2!B:BC,21,FALSE)+1,FALSE)</f>
        <v>1.7</v>
      </c>
      <c r="E852" s="119">
        <v>0</v>
      </c>
      <c r="F852" s="13" t="s">
        <v>21</v>
      </c>
    </row>
    <row r="853" ht="16.5" spans="1:6">
      <c r="A853" s="119">
        <v>847</v>
      </c>
      <c r="B853" s="177">
        <f>VLOOKUP(ROUNDUP(A853/8,0),Sheet2!A:B,2,FALSE())</f>
        <v>113058</v>
      </c>
      <c r="C853" s="178">
        <f t="shared" si="13"/>
        <v>7</v>
      </c>
      <c r="D853" s="179">
        <f>VLOOKUP(C853,Sheet2!$BK$11:$BN$19,VLOOKUP(B853,Sheet2!B:BC,21,FALSE)+1,FALSE)</f>
        <v>1.7</v>
      </c>
      <c r="E853" s="119">
        <v>0</v>
      </c>
      <c r="F853" s="13" t="s">
        <v>21</v>
      </c>
    </row>
    <row r="854" ht="16.5" spans="1:6">
      <c r="A854" s="119">
        <v>848</v>
      </c>
      <c r="B854" s="177">
        <f>VLOOKUP(ROUNDUP(A854/8,0),Sheet2!A:B,2,FALSE())</f>
        <v>113058</v>
      </c>
      <c r="C854" s="178">
        <f t="shared" si="13"/>
        <v>8</v>
      </c>
      <c r="D854" s="179">
        <f>VLOOKUP(C854,Sheet2!$BK$11:$BN$19,VLOOKUP(B854,Sheet2!B:BC,21,FALSE)+1,FALSE)</f>
        <v>2</v>
      </c>
      <c r="E854" s="119">
        <v>0</v>
      </c>
      <c r="F854" s="13" t="s">
        <v>21</v>
      </c>
    </row>
    <row r="855" ht="16.5" spans="1:6">
      <c r="A855" s="119">
        <v>849</v>
      </c>
      <c r="B855" s="177">
        <f>VLOOKUP(ROUNDUP(A855/8,0),Sheet2!A:B,2,FALSE())</f>
        <v>113059</v>
      </c>
      <c r="C855" s="178">
        <f t="shared" si="13"/>
        <v>1</v>
      </c>
      <c r="D855" s="179">
        <f>VLOOKUP(C855,Sheet2!$BK$11:$BN$19,VLOOKUP(B855,Sheet2!B:BC,21,FALSE)+1,FALSE)</f>
        <v>1.2</v>
      </c>
      <c r="E855" s="119">
        <v>0</v>
      </c>
      <c r="F855" s="13" t="s">
        <v>21</v>
      </c>
    </row>
    <row r="856" ht="16.5" spans="1:6">
      <c r="A856" s="119">
        <v>850</v>
      </c>
      <c r="B856" s="177">
        <f>VLOOKUP(ROUNDUP(A856/8,0),Sheet2!A:B,2,FALSE())</f>
        <v>113059</v>
      </c>
      <c r="C856" s="178">
        <f t="shared" si="13"/>
        <v>2</v>
      </c>
      <c r="D856" s="179">
        <f>VLOOKUP(C856,Sheet2!$BK$11:$BN$19,VLOOKUP(B856,Sheet2!B:BC,21,FALSE)+1,FALSE)</f>
        <v>1.2</v>
      </c>
      <c r="E856" s="119">
        <v>0</v>
      </c>
      <c r="F856" s="13" t="s">
        <v>21</v>
      </c>
    </row>
    <row r="857" ht="16.5" spans="1:6">
      <c r="A857" s="119">
        <v>851</v>
      </c>
      <c r="B857" s="177">
        <f>VLOOKUP(ROUNDUP(A857/8,0),Sheet2!A:B,2,FALSE())</f>
        <v>113059</v>
      </c>
      <c r="C857" s="178">
        <f t="shared" si="13"/>
        <v>3</v>
      </c>
      <c r="D857" s="179">
        <f>VLOOKUP(C857,Sheet2!$BK$11:$BN$19,VLOOKUP(B857,Sheet2!B:BC,21,FALSE)+1,FALSE)</f>
        <v>1.2</v>
      </c>
      <c r="E857" s="119">
        <v>0.5</v>
      </c>
      <c r="F857" s="13" t="s">
        <v>21</v>
      </c>
    </row>
    <row r="858" ht="16.5" spans="1:6">
      <c r="A858" s="119">
        <v>852</v>
      </c>
      <c r="B858" s="177">
        <f>VLOOKUP(ROUNDUP(A858/8,0),Sheet2!A:B,2,FALSE())</f>
        <v>113059</v>
      </c>
      <c r="C858" s="178">
        <f t="shared" si="13"/>
        <v>4</v>
      </c>
      <c r="D858" s="179">
        <f>VLOOKUP(C858,Sheet2!$BK$11:$BN$19,VLOOKUP(B858,Sheet2!B:BC,21,FALSE)+1,FALSE)</f>
        <v>1.5</v>
      </c>
      <c r="E858" s="119">
        <v>0</v>
      </c>
      <c r="F858" s="13" t="s">
        <v>21</v>
      </c>
    </row>
    <row r="859" ht="16.5" spans="1:6">
      <c r="A859" s="119">
        <v>853</v>
      </c>
      <c r="B859" s="177">
        <f>VLOOKUP(ROUNDUP(A859/8,0),Sheet2!A:B,2,FALSE())</f>
        <v>113059</v>
      </c>
      <c r="C859" s="178">
        <f t="shared" si="13"/>
        <v>5</v>
      </c>
      <c r="D859" s="179">
        <f>VLOOKUP(C859,Sheet2!$BK$11:$BN$19,VLOOKUP(B859,Sheet2!B:BC,21,FALSE)+1,FALSE)</f>
        <v>1.5</v>
      </c>
      <c r="E859" s="119">
        <v>0</v>
      </c>
      <c r="F859" s="13" t="s">
        <v>21</v>
      </c>
    </row>
    <row r="860" ht="16.5" spans="1:6">
      <c r="A860" s="119">
        <v>854</v>
      </c>
      <c r="B860" s="177">
        <f>VLOOKUP(ROUNDUP(A860/8,0),Sheet2!A:B,2,FALSE())</f>
        <v>113059</v>
      </c>
      <c r="C860" s="178">
        <f t="shared" si="13"/>
        <v>6</v>
      </c>
      <c r="D860" s="179">
        <f>VLOOKUP(C860,Sheet2!$BK$11:$BN$19,VLOOKUP(B860,Sheet2!B:BC,21,FALSE)+1,FALSE)</f>
        <v>1.7</v>
      </c>
      <c r="E860" s="119">
        <v>0</v>
      </c>
      <c r="F860" s="13" t="s">
        <v>21</v>
      </c>
    </row>
    <row r="861" ht="16.5" spans="1:6">
      <c r="A861" s="119">
        <v>855</v>
      </c>
      <c r="B861" s="177">
        <f>VLOOKUP(ROUNDUP(A861/8,0),Sheet2!A:B,2,FALSE())</f>
        <v>113059</v>
      </c>
      <c r="C861" s="178">
        <f t="shared" si="13"/>
        <v>7</v>
      </c>
      <c r="D861" s="179">
        <f>VLOOKUP(C861,Sheet2!$BK$11:$BN$19,VLOOKUP(B861,Sheet2!B:BC,21,FALSE)+1,FALSE)</f>
        <v>1.7</v>
      </c>
      <c r="E861" s="119">
        <v>0</v>
      </c>
      <c r="F861" s="13" t="s">
        <v>21</v>
      </c>
    </row>
    <row r="862" ht="16.5" spans="1:6">
      <c r="A862" s="119">
        <v>856</v>
      </c>
      <c r="B862" s="177">
        <f>VLOOKUP(ROUNDUP(A862/8,0),Sheet2!A:B,2,FALSE())</f>
        <v>113059</v>
      </c>
      <c r="C862" s="178">
        <f t="shared" si="13"/>
        <v>8</v>
      </c>
      <c r="D862" s="179">
        <f>VLOOKUP(C862,Sheet2!$BK$11:$BN$19,VLOOKUP(B862,Sheet2!B:BC,21,FALSE)+1,FALSE)</f>
        <v>2</v>
      </c>
      <c r="E862" s="119">
        <v>2</v>
      </c>
      <c r="F862" s="13" t="s">
        <v>21</v>
      </c>
    </row>
    <row r="863" ht="16.5" spans="1:6">
      <c r="A863" s="119">
        <v>857</v>
      </c>
      <c r="B863" s="177">
        <f>VLOOKUP(ROUNDUP(A863/8,0),Sheet2!A:B,2,FALSE())</f>
        <v>113060</v>
      </c>
      <c r="C863" s="178">
        <f t="shared" si="13"/>
        <v>1</v>
      </c>
      <c r="D863" s="179">
        <v>1</v>
      </c>
      <c r="E863" s="119">
        <v>0</v>
      </c>
      <c r="F863" s="13" t="s">
        <v>21</v>
      </c>
    </row>
    <row r="864" ht="16.5" spans="1:6">
      <c r="A864" s="119">
        <v>858</v>
      </c>
      <c r="B864" s="177">
        <f>VLOOKUP(ROUNDUP(A864/8,0),Sheet2!A:B,2,FALSE())</f>
        <v>113060</v>
      </c>
      <c r="C864" s="178">
        <f t="shared" si="13"/>
        <v>2</v>
      </c>
      <c r="D864" s="179">
        <v>1</v>
      </c>
      <c r="E864" s="119">
        <v>0</v>
      </c>
      <c r="F864" s="13" t="s">
        <v>21</v>
      </c>
    </row>
    <row r="865" ht="16.5" spans="1:6">
      <c r="A865" s="119">
        <v>859</v>
      </c>
      <c r="B865" s="177">
        <f>VLOOKUP(ROUNDUP(A865/8,0),Sheet2!A:B,2,FALSE())</f>
        <v>113060</v>
      </c>
      <c r="C865" s="178">
        <f t="shared" si="13"/>
        <v>3</v>
      </c>
      <c r="D865" s="179">
        <v>1</v>
      </c>
      <c r="E865" s="119">
        <v>0</v>
      </c>
      <c r="F865" s="13" t="s">
        <v>21</v>
      </c>
    </row>
    <row r="866" ht="16.5" spans="1:6">
      <c r="A866" s="119">
        <v>860</v>
      </c>
      <c r="B866" s="177">
        <f>VLOOKUP(ROUNDUP(A866/8,0),Sheet2!A:B,2,FALSE())</f>
        <v>113060</v>
      </c>
      <c r="C866" s="178">
        <f t="shared" si="13"/>
        <v>4</v>
      </c>
      <c r="D866" s="179">
        <v>2</v>
      </c>
      <c r="E866" s="119">
        <v>0</v>
      </c>
      <c r="F866" s="13" t="s">
        <v>21</v>
      </c>
    </row>
    <row r="867" ht="16.5" spans="1:6">
      <c r="A867" s="119">
        <v>861</v>
      </c>
      <c r="B867" s="177">
        <f>VLOOKUP(ROUNDUP(A867/8,0),Sheet2!A:B,2,FALSE())</f>
        <v>113060</v>
      </c>
      <c r="C867" s="178">
        <f t="shared" si="13"/>
        <v>5</v>
      </c>
      <c r="D867" s="179">
        <v>2</v>
      </c>
      <c r="E867" s="119">
        <v>0</v>
      </c>
      <c r="F867" s="13" t="s">
        <v>21</v>
      </c>
    </row>
    <row r="868" ht="16.5" spans="1:6">
      <c r="A868" s="119">
        <v>862</v>
      </c>
      <c r="B868" s="177">
        <f>VLOOKUP(ROUNDUP(A868/8,0),Sheet2!A:B,2,FALSE())</f>
        <v>113060</v>
      </c>
      <c r="C868" s="178">
        <f t="shared" si="13"/>
        <v>6</v>
      </c>
      <c r="D868" s="179">
        <v>4</v>
      </c>
      <c r="E868" s="119">
        <v>0</v>
      </c>
      <c r="F868" s="13" t="s">
        <v>21</v>
      </c>
    </row>
    <row r="869" ht="16.5" spans="1:6">
      <c r="A869" s="119">
        <v>863</v>
      </c>
      <c r="B869" s="177">
        <f>VLOOKUP(ROUNDUP(A869/8,0),Sheet2!A:B,2,FALSE())</f>
        <v>113060</v>
      </c>
      <c r="C869" s="178">
        <f t="shared" si="13"/>
        <v>7</v>
      </c>
      <c r="D869" s="179">
        <v>4</v>
      </c>
      <c r="E869" s="119">
        <v>0</v>
      </c>
      <c r="F869" s="13" t="s">
        <v>21</v>
      </c>
    </row>
    <row r="870" ht="16.5" spans="1:6">
      <c r="A870" s="119">
        <v>864</v>
      </c>
      <c r="B870" s="177">
        <f>VLOOKUP(ROUNDUP(A870/8,0),Sheet2!A:B,2,FALSE())</f>
        <v>113060</v>
      </c>
      <c r="C870" s="178">
        <f t="shared" si="13"/>
        <v>8</v>
      </c>
      <c r="D870" s="179">
        <v>8</v>
      </c>
      <c r="E870" s="119">
        <v>0</v>
      </c>
      <c r="F870" s="13" t="s">
        <v>21</v>
      </c>
    </row>
    <row r="871" ht="16.5" spans="1:6">
      <c r="A871" s="119">
        <v>865</v>
      </c>
      <c r="B871" s="177">
        <f>VLOOKUP(ROUNDUP(A871/8,0),Sheet2!A:B,2,FALSE())</f>
        <v>113061</v>
      </c>
      <c r="C871" s="178">
        <f t="shared" si="13"/>
        <v>1</v>
      </c>
      <c r="D871" s="179">
        <f>VLOOKUP(C871,Sheet2!$BK$11:$BN$19,VLOOKUP(B871,Sheet2!B:BC,21,FALSE)+1,FALSE)</f>
        <v>1.2</v>
      </c>
      <c r="E871" s="119">
        <v>0</v>
      </c>
      <c r="F871" s="13" t="s">
        <v>21</v>
      </c>
    </row>
    <row r="872" ht="16.5" spans="1:6">
      <c r="A872" s="119">
        <v>866</v>
      </c>
      <c r="B872" s="177">
        <f>VLOOKUP(ROUNDUP(A872/8,0),Sheet2!A:B,2,FALSE())</f>
        <v>113061</v>
      </c>
      <c r="C872" s="178">
        <f t="shared" si="13"/>
        <v>2</v>
      </c>
      <c r="D872" s="179">
        <f>VLOOKUP(C872,Sheet2!$BK$11:$BN$19,VLOOKUP(B872,Sheet2!B:BC,21,FALSE)+1,FALSE)</f>
        <v>1.2</v>
      </c>
      <c r="E872" s="119">
        <v>0</v>
      </c>
      <c r="F872" s="13" t="s">
        <v>21</v>
      </c>
    </row>
    <row r="873" ht="16.5" spans="1:6">
      <c r="A873" s="119">
        <v>867</v>
      </c>
      <c r="B873" s="177">
        <f>VLOOKUP(ROUNDUP(A873/8,0),Sheet2!A:B,2,FALSE())</f>
        <v>113061</v>
      </c>
      <c r="C873" s="178">
        <f t="shared" si="13"/>
        <v>3</v>
      </c>
      <c r="D873" s="179">
        <f>VLOOKUP(C873,Sheet2!$BK$11:$BN$19,VLOOKUP(B873,Sheet2!B:BC,21,FALSE)+1,FALSE)</f>
        <v>1.2</v>
      </c>
      <c r="E873" s="119">
        <v>0</v>
      </c>
      <c r="F873" s="13" t="s">
        <v>21</v>
      </c>
    </row>
    <row r="874" ht="16.5" spans="1:6">
      <c r="A874" s="119">
        <v>868</v>
      </c>
      <c r="B874" s="177">
        <f>VLOOKUP(ROUNDUP(A874/8,0),Sheet2!A:B,2,FALSE())</f>
        <v>113061</v>
      </c>
      <c r="C874" s="178">
        <f t="shared" si="13"/>
        <v>4</v>
      </c>
      <c r="D874" s="179">
        <f>VLOOKUP(C874,Sheet2!$BK$11:$BN$19,VLOOKUP(B874,Sheet2!B:BC,21,FALSE)+1,FALSE)</f>
        <v>1.5</v>
      </c>
      <c r="E874" s="119">
        <v>0</v>
      </c>
      <c r="F874" s="13" t="s">
        <v>21</v>
      </c>
    </row>
    <row r="875" ht="16.5" spans="1:6">
      <c r="A875" s="119">
        <v>869</v>
      </c>
      <c r="B875" s="177">
        <f>VLOOKUP(ROUNDUP(A875/8,0),Sheet2!A:B,2,FALSE())</f>
        <v>113061</v>
      </c>
      <c r="C875" s="178">
        <f t="shared" si="13"/>
        <v>5</v>
      </c>
      <c r="D875" s="179">
        <f>VLOOKUP(C875,Sheet2!$BK$11:$BN$19,VLOOKUP(B875,Sheet2!B:BC,21,FALSE)+1,FALSE)</f>
        <v>1.5</v>
      </c>
      <c r="E875" s="119">
        <v>0</v>
      </c>
      <c r="F875" s="13" t="s">
        <v>21</v>
      </c>
    </row>
    <row r="876" ht="16.5" spans="1:6">
      <c r="A876" s="119">
        <v>870</v>
      </c>
      <c r="B876" s="177">
        <f>VLOOKUP(ROUNDUP(A876/8,0),Sheet2!A:B,2,FALSE())</f>
        <v>113061</v>
      </c>
      <c r="C876" s="178">
        <f t="shared" si="13"/>
        <v>6</v>
      </c>
      <c r="D876" s="179">
        <f>VLOOKUP(C876,Sheet2!$BK$11:$BN$19,VLOOKUP(B876,Sheet2!B:BC,21,FALSE)+1,FALSE)</f>
        <v>1.7</v>
      </c>
      <c r="E876" s="119">
        <v>0</v>
      </c>
      <c r="F876" s="13" t="s">
        <v>21</v>
      </c>
    </row>
    <row r="877" ht="16.5" spans="1:6">
      <c r="A877" s="119">
        <v>871</v>
      </c>
      <c r="B877" s="177">
        <f>VLOOKUP(ROUNDUP(A877/8,0),Sheet2!A:B,2,FALSE())</f>
        <v>113061</v>
      </c>
      <c r="C877" s="178">
        <f t="shared" si="13"/>
        <v>7</v>
      </c>
      <c r="D877" s="179">
        <f>VLOOKUP(C877,Sheet2!$BK$11:$BN$19,VLOOKUP(B877,Sheet2!B:BC,21,FALSE)+1,FALSE)</f>
        <v>1.7</v>
      </c>
      <c r="E877" s="119">
        <v>0</v>
      </c>
      <c r="F877" s="13" t="s">
        <v>21</v>
      </c>
    </row>
    <row r="878" ht="16.5" spans="1:6">
      <c r="A878" s="119">
        <v>872</v>
      </c>
      <c r="B878" s="177">
        <f>VLOOKUP(ROUNDUP(A878/8,0),Sheet2!A:B,2,FALSE())</f>
        <v>113061</v>
      </c>
      <c r="C878" s="178">
        <f t="shared" si="13"/>
        <v>8</v>
      </c>
      <c r="D878" s="179">
        <f>VLOOKUP(C878,Sheet2!$BK$11:$BN$19,VLOOKUP(B878,Sheet2!B:BC,21,FALSE)+1,FALSE)</f>
        <v>2</v>
      </c>
      <c r="E878" s="119">
        <v>0</v>
      </c>
      <c r="F878" s="13" t="s">
        <v>21</v>
      </c>
    </row>
    <row r="879" ht="16.5" spans="1:6">
      <c r="A879" s="119">
        <v>873</v>
      </c>
      <c r="B879" s="177">
        <f>VLOOKUP(ROUNDUP(A879/8,0),Sheet2!A:B,2,FALSE())</f>
        <v>113062</v>
      </c>
      <c r="C879" s="178">
        <f t="shared" si="13"/>
        <v>1</v>
      </c>
      <c r="D879" s="179">
        <f>VLOOKUP(C879,Sheet2!$BK$11:$BN$19,VLOOKUP(B879,Sheet2!B:BC,21,FALSE)+1,FALSE)</f>
        <v>1.2</v>
      </c>
      <c r="E879" s="119">
        <v>0</v>
      </c>
      <c r="F879" s="13" t="s">
        <v>21</v>
      </c>
    </row>
    <row r="880" ht="16.5" spans="1:6">
      <c r="A880" s="119">
        <v>874</v>
      </c>
      <c r="B880" s="177">
        <f>VLOOKUP(ROUNDUP(A880/8,0),Sheet2!A:B,2,FALSE())</f>
        <v>113062</v>
      </c>
      <c r="C880" s="178">
        <f t="shared" si="13"/>
        <v>2</v>
      </c>
      <c r="D880" s="179">
        <f>VLOOKUP(C880,Sheet2!$BK$11:$BN$19,VLOOKUP(B880,Sheet2!B:BC,21,FALSE)+1,FALSE)</f>
        <v>1.2</v>
      </c>
      <c r="E880" s="119">
        <v>0</v>
      </c>
      <c r="F880" s="13" t="s">
        <v>21</v>
      </c>
    </row>
    <row r="881" ht="16.5" spans="1:6">
      <c r="A881" s="119">
        <v>875</v>
      </c>
      <c r="B881" s="177">
        <f>VLOOKUP(ROUNDUP(A881/8,0),Sheet2!A:B,2,FALSE())</f>
        <v>113062</v>
      </c>
      <c r="C881" s="178">
        <f t="shared" si="13"/>
        <v>3</v>
      </c>
      <c r="D881" s="179">
        <f>VLOOKUP(C881,Sheet2!$BK$11:$BN$19,VLOOKUP(B881,Sheet2!B:BC,21,FALSE)+1,FALSE)</f>
        <v>1.2</v>
      </c>
      <c r="E881" s="119">
        <v>0</v>
      </c>
      <c r="F881" s="13" t="s">
        <v>21</v>
      </c>
    </row>
    <row r="882" ht="16.5" spans="1:6">
      <c r="A882" s="119">
        <v>876</v>
      </c>
      <c r="B882" s="177">
        <f>VLOOKUP(ROUNDUP(A882/8,0),Sheet2!A:B,2,FALSE())</f>
        <v>113062</v>
      </c>
      <c r="C882" s="178">
        <f t="shared" si="13"/>
        <v>4</v>
      </c>
      <c r="D882" s="179">
        <f>VLOOKUP(C882,Sheet2!$BK$11:$BN$19,VLOOKUP(B882,Sheet2!B:BC,21,FALSE)+1,FALSE)</f>
        <v>1.5</v>
      </c>
      <c r="E882" s="119">
        <v>0</v>
      </c>
      <c r="F882" s="13" t="s">
        <v>21</v>
      </c>
    </row>
    <row r="883" ht="16.5" spans="1:6">
      <c r="A883" s="119">
        <v>877</v>
      </c>
      <c r="B883" s="177">
        <f>VLOOKUP(ROUNDUP(A883/8,0),Sheet2!A:B,2,FALSE())</f>
        <v>113062</v>
      </c>
      <c r="C883" s="178">
        <f t="shared" si="13"/>
        <v>5</v>
      </c>
      <c r="D883" s="179">
        <f>VLOOKUP(C883,Sheet2!$BK$11:$BN$19,VLOOKUP(B883,Sheet2!B:BC,21,FALSE)+1,FALSE)</f>
        <v>1.5</v>
      </c>
      <c r="E883" s="119">
        <v>0</v>
      </c>
      <c r="F883" s="13" t="s">
        <v>21</v>
      </c>
    </row>
    <row r="884" ht="16.5" spans="1:6">
      <c r="A884" s="119">
        <v>878</v>
      </c>
      <c r="B884" s="177">
        <f>VLOOKUP(ROUNDUP(A884/8,0),Sheet2!A:B,2,FALSE())</f>
        <v>113062</v>
      </c>
      <c r="C884" s="178">
        <f t="shared" si="13"/>
        <v>6</v>
      </c>
      <c r="D884" s="179">
        <f>VLOOKUP(C884,Sheet2!$BK$11:$BN$19,VLOOKUP(B884,Sheet2!B:BC,21,FALSE)+1,FALSE)</f>
        <v>1.7</v>
      </c>
      <c r="E884" s="119">
        <v>0</v>
      </c>
      <c r="F884" s="13" t="s">
        <v>21</v>
      </c>
    </row>
    <row r="885" ht="16.5" spans="1:6">
      <c r="A885" s="119">
        <v>879</v>
      </c>
      <c r="B885" s="177">
        <f>VLOOKUP(ROUNDUP(A885/8,0),Sheet2!A:B,2,FALSE())</f>
        <v>113062</v>
      </c>
      <c r="C885" s="178">
        <f t="shared" si="13"/>
        <v>7</v>
      </c>
      <c r="D885" s="179">
        <f>VLOOKUP(C885,Sheet2!$BK$11:$BN$19,VLOOKUP(B885,Sheet2!B:BC,21,FALSE)+1,FALSE)</f>
        <v>1.7</v>
      </c>
      <c r="E885" s="119">
        <v>0</v>
      </c>
      <c r="F885" s="13" t="s">
        <v>21</v>
      </c>
    </row>
    <row r="886" ht="16.5" spans="1:6">
      <c r="A886" s="119">
        <v>880</v>
      </c>
      <c r="B886" s="177">
        <f>VLOOKUP(ROUNDUP(A886/8,0),Sheet2!A:B,2,FALSE())</f>
        <v>113062</v>
      </c>
      <c r="C886" s="178">
        <f t="shared" si="13"/>
        <v>8</v>
      </c>
      <c r="D886" s="179">
        <f>VLOOKUP(C886,Sheet2!$BK$11:$BN$19,VLOOKUP(B886,Sheet2!B:BC,21,FALSE)+1,FALSE)</f>
        <v>2</v>
      </c>
      <c r="E886" s="119">
        <v>0</v>
      </c>
      <c r="F886" s="13" t="s">
        <v>21</v>
      </c>
    </row>
    <row r="887" ht="16.5" spans="1:6">
      <c r="A887" s="119">
        <v>881</v>
      </c>
      <c r="B887" s="177">
        <f>VLOOKUP(ROUNDUP(A887/8,0),Sheet2!A:B,2,FALSE())</f>
        <v>113063</v>
      </c>
      <c r="C887" s="178">
        <f t="shared" si="13"/>
        <v>1</v>
      </c>
      <c r="D887" s="179">
        <f>VLOOKUP(C887,Sheet2!$BK$11:$BN$19,VLOOKUP(B887,Sheet2!B:BC,21,FALSE)+1,FALSE)</f>
        <v>1.2</v>
      </c>
      <c r="E887" s="119">
        <v>0</v>
      </c>
      <c r="F887" s="13" t="s">
        <v>21</v>
      </c>
    </row>
    <row r="888" ht="16.5" spans="1:6">
      <c r="A888" s="119">
        <v>882</v>
      </c>
      <c r="B888" s="177">
        <f>VLOOKUP(ROUNDUP(A888/8,0),Sheet2!A:B,2,FALSE())</f>
        <v>113063</v>
      </c>
      <c r="C888" s="178">
        <f t="shared" si="13"/>
        <v>2</v>
      </c>
      <c r="D888" s="179">
        <f>VLOOKUP(C888,Sheet2!$BK$11:$BN$19,VLOOKUP(B888,Sheet2!B:BC,21,FALSE)+1,FALSE)</f>
        <v>1.2</v>
      </c>
      <c r="E888" s="119">
        <v>0</v>
      </c>
      <c r="F888" s="13" t="s">
        <v>21</v>
      </c>
    </row>
    <row r="889" ht="16.5" spans="1:6">
      <c r="A889" s="119">
        <v>883</v>
      </c>
      <c r="B889" s="177">
        <f>VLOOKUP(ROUNDUP(A889/8,0),Sheet2!A:B,2,FALSE())</f>
        <v>113063</v>
      </c>
      <c r="C889" s="178">
        <f t="shared" si="13"/>
        <v>3</v>
      </c>
      <c r="D889" s="179">
        <f>VLOOKUP(C889,Sheet2!$BK$11:$BN$19,VLOOKUP(B889,Sheet2!B:BC,21,FALSE)+1,FALSE)</f>
        <v>1.2</v>
      </c>
      <c r="E889" s="119">
        <v>0</v>
      </c>
      <c r="F889" s="13" t="s">
        <v>21</v>
      </c>
    </row>
    <row r="890" ht="16.5" spans="1:6">
      <c r="A890" s="119">
        <v>884</v>
      </c>
      <c r="B890" s="177">
        <f>VLOOKUP(ROUNDUP(A890/8,0),Sheet2!A:B,2,FALSE())</f>
        <v>113063</v>
      </c>
      <c r="C890" s="178">
        <f t="shared" si="13"/>
        <v>4</v>
      </c>
      <c r="D890" s="179">
        <f>VLOOKUP(C890,Sheet2!$BK$11:$BN$19,VLOOKUP(B890,Sheet2!B:BC,21,FALSE)+1,FALSE)</f>
        <v>1.5</v>
      </c>
      <c r="E890" s="119">
        <v>0</v>
      </c>
      <c r="F890" s="13" t="s">
        <v>21</v>
      </c>
    </row>
    <row r="891" ht="16.5" spans="1:6">
      <c r="A891" s="119">
        <v>885</v>
      </c>
      <c r="B891" s="177">
        <f>VLOOKUP(ROUNDUP(A891/8,0),Sheet2!A:B,2,FALSE())</f>
        <v>113063</v>
      </c>
      <c r="C891" s="178">
        <f t="shared" si="13"/>
        <v>5</v>
      </c>
      <c r="D891" s="179">
        <f>VLOOKUP(C891,Sheet2!$BK$11:$BN$19,VLOOKUP(B891,Sheet2!B:BC,21,FALSE)+1,FALSE)</f>
        <v>1.5</v>
      </c>
      <c r="E891" s="119">
        <v>0</v>
      </c>
      <c r="F891" s="13" t="s">
        <v>21</v>
      </c>
    </row>
    <row r="892" ht="16.5" spans="1:6">
      <c r="A892" s="119">
        <v>886</v>
      </c>
      <c r="B892" s="177">
        <f>VLOOKUP(ROUNDUP(A892/8,0),Sheet2!A:B,2,FALSE())</f>
        <v>113063</v>
      </c>
      <c r="C892" s="178">
        <f t="shared" si="13"/>
        <v>6</v>
      </c>
      <c r="D892" s="179">
        <f>VLOOKUP(C892,Sheet2!$BK$11:$BN$19,VLOOKUP(B892,Sheet2!B:BC,21,FALSE)+1,FALSE)</f>
        <v>1.7</v>
      </c>
      <c r="E892" s="119">
        <v>0</v>
      </c>
      <c r="F892" s="13" t="s">
        <v>21</v>
      </c>
    </row>
    <row r="893" ht="16.5" spans="1:6">
      <c r="A893" s="119">
        <v>887</v>
      </c>
      <c r="B893" s="177">
        <f>VLOOKUP(ROUNDUP(A893/8,0),Sheet2!A:B,2,FALSE())</f>
        <v>113063</v>
      </c>
      <c r="C893" s="178">
        <f t="shared" si="13"/>
        <v>7</v>
      </c>
      <c r="D893" s="179">
        <f>VLOOKUP(C893,Sheet2!$BK$11:$BN$19,VLOOKUP(B893,Sheet2!B:BC,21,FALSE)+1,FALSE)</f>
        <v>1.7</v>
      </c>
      <c r="E893" s="119">
        <v>0</v>
      </c>
      <c r="F893" s="13" t="s">
        <v>21</v>
      </c>
    </row>
    <row r="894" ht="16.5" spans="1:6">
      <c r="A894" s="119">
        <v>888</v>
      </c>
      <c r="B894" s="177">
        <f>VLOOKUP(ROUNDUP(A894/8,0),Sheet2!A:B,2,FALSE())</f>
        <v>113063</v>
      </c>
      <c r="C894" s="178">
        <f t="shared" si="13"/>
        <v>8</v>
      </c>
      <c r="D894" s="179">
        <f>VLOOKUP(C894,Sheet2!$BK$11:$BN$19,VLOOKUP(B894,Sheet2!B:BC,21,FALSE)+1,FALSE)</f>
        <v>2</v>
      </c>
      <c r="E894" s="119">
        <v>0</v>
      </c>
      <c r="F894" s="13" t="s">
        <v>21</v>
      </c>
    </row>
    <row r="895" ht="16.5" spans="1:6">
      <c r="A895" s="119">
        <v>889</v>
      </c>
      <c r="B895" s="177">
        <f>VLOOKUP(ROUNDUP(A895/8,0),Sheet2!A:B,2,FALSE())</f>
        <v>113064</v>
      </c>
      <c r="C895" s="178">
        <f t="shared" si="13"/>
        <v>1</v>
      </c>
      <c r="D895" s="179">
        <f>VLOOKUP(C895,Sheet2!$BK$11:$BN$19,VLOOKUP(B895,Sheet2!B:BC,21,FALSE)+1,FALSE)</f>
        <v>1.2</v>
      </c>
      <c r="E895" s="119">
        <v>0</v>
      </c>
      <c r="F895" s="13" t="s">
        <v>21</v>
      </c>
    </row>
    <row r="896" ht="16.5" spans="1:6">
      <c r="A896" s="119">
        <v>890</v>
      </c>
      <c r="B896" s="177">
        <f>VLOOKUP(ROUNDUP(A896/8,0),Sheet2!A:B,2,FALSE())</f>
        <v>113064</v>
      </c>
      <c r="C896" s="178">
        <f t="shared" si="13"/>
        <v>2</v>
      </c>
      <c r="D896" s="179">
        <f>VLOOKUP(C896,Sheet2!$BK$11:$BN$19,VLOOKUP(B896,Sheet2!B:BC,21,FALSE)+1,FALSE)</f>
        <v>1.2</v>
      </c>
      <c r="E896" s="119">
        <v>0</v>
      </c>
      <c r="F896" s="13" t="s">
        <v>21</v>
      </c>
    </row>
    <row r="897" ht="16.5" spans="1:6">
      <c r="A897" s="119">
        <v>891</v>
      </c>
      <c r="B897" s="177">
        <f>VLOOKUP(ROUNDUP(A897/8,0),Sheet2!A:B,2,FALSE())</f>
        <v>113064</v>
      </c>
      <c r="C897" s="178">
        <f t="shared" si="13"/>
        <v>3</v>
      </c>
      <c r="D897" s="179">
        <f>VLOOKUP(C897,Sheet2!$BK$11:$BN$19,VLOOKUP(B897,Sheet2!B:BC,21,FALSE)+1,FALSE)</f>
        <v>1.2</v>
      </c>
      <c r="E897" s="119">
        <v>0</v>
      </c>
      <c r="F897" s="13" t="s">
        <v>21</v>
      </c>
    </row>
    <row r="898" ht="16.5" spans="1:6">
      <c r="A898" s="119">
        <v>892</v>
      </c>
      <c r="B898" s="177">
        <f>VLOOKUP(ROUNDUP(A898/8,0),Sheet2!A:B,2,FALSE())</f>
        <v>113064</v>
      </c>
      <c r="C898" s="178">
        <f t="shared" si="13"/>
        <v>4</v>
      </c>
      <c r="D898" s="179">
        <f>VLOOKUP(C898,Sheet2!$BK$11:$BN$19,VLOOKUP(B898,Sheet2!B:BC,21,FALSE)+1,FALSE)</f>
        <v>1.5</v>
      </c>
      <c r="E898" s="119">
        <v>0</v>
      </c>
      <c r="F898" s="13" t="s">
        <v>21</v>
      </c>
    </row>
    <row r="899" ht="16.5" spans="1:6">
      <c r="A899" s="119">
        <v>893</v>
      </c>
      <c r="B899" s="177">
        <f>VLOOKUP(ROUNDUP(A899/8,0),Sheet2!A:B,2,FALSE())</f>
        <v>113064</v>
      </c>
      <c r="C899" s="178">
        <f t="shared" si="13"/>
        <v>5</v>
      </c>
      <c r="D899" s="179">
        <f>VLOOKUP(C899,Sheet2!$BK$11:$BN$19,VLOOKUP(B899,Sheet2!B:BC,21,FALSE)+1,FALSE)</f>
        <v>1.5</v>
      </c>
      <c r="E899" s="119">
        <v>0</v>
      </c>
      <c r="F899" s="13" t="s">
        <v>21</v>
      </c>
    </row>
    <row r="900" ht="16.5" spans="1:6">
      <c r="A900" s="119">
        <v>894</v>
      </c>
      <c r="B900" s="177">
        <f>VLOOKUP(ROUNDUP(A900/8,0),Sheet2!A:B,2,FALSE())</f>
        <v>113064</v>
      </c>
      <c r="C900" s="178">
        <f t="shared" si="13"/>
        <v>6</v>
      </c>
      <c r="D900" s="179">
        <f>VLOOKUP(C900,Sheet2!$BK$11:$BN$19,VLOOKUP(B900,Sheet2!B:BC,21,FALSE)+1,FALSE)</f>
        <v>1.7</v>
      </c>
      <c r="E900" s="119">
        <v>0</v>
      </c>
      <c r="F900" s="13" t="s">
        <v>21</v>
      </c>
    </row>
    <row r="901" ht="16.5" spans="1:6">
      <c r="A901" s="119">
        <v>895</v>
      </c>
      <c r="B901" s="177">
        <f>VLOOKUP(ROUNDUP(A901/8,0),Sheet2!A:B,2,FALSE())</f>
        <v>113064</v>
      </c>
      <c r="C901" s="178">
        <f t="shared" si="13"/>
        <v>7</v>
      </c>
      <c r="D901" s="179">
        <f>VLOOKUP(C901,Sheet2!$BK$11:$BN$19,VLOOKUP(B901,Sheet2!B:BC,21,FALSE)+1,FALSE)</f>
        <v>1.7</v>
      </c>
      <c r="E901" s="119">
        <v>0</v>
      </c>
      <c r="F901" s="13" t="s">
        <v>21</v>
      </c>
    </row>
    <row r="902" ht="16.5" spans="1:6">
      <c r="A902" s="119">
        <v>896</v>
      </c>
      <c r="B902" s="177">
        <f>VLOOKUP(ROUNDUP(A902/8,0),Sheet2!A:B,2,FALSE())</f>
        <v>113064</v>
      </c>
      <c r="C902" s="178">
        <f t="shared" si="13"/>
        <v>8</v>
      </c>
      <c r="D902" s="179">
        <f>VLOOKUP(C902,Sheet2!$BK$11:$BN$19,VLOOKUP(B902,Sheet2!B:BC,21,FALSE)+1,FALSE)</f>
        <v>2</v>
      </c>
      <c r="E902" s="119">
        <v>0</v>
      </c>
      <c r="F902" s="13" t="s">
        <v>21</v>
      </c>
    </row>
    <row r="903" ht="16.5" spans="1:6">
      <c r="A903" s="119">
        <v>897</v>
      </c>
      <c r="B903" s="177">
        <f>VLOOKUP(ROUNDUP(A903/8,0),Sheet2!A:B,2,FALSE())</f>
        <v>113065</v>
      </c>
      <c r="C903" s="178">
        <f t="shared" si="13"/>
        <v>1</v>
      </c>
      <c r="D903" s="179">
        <f>VLOOKUP(C903,Sheet2!$BK$11:$BN$19,VLOOKUP(B903,Sheet2!B:BC,21,FALSE)+1,FALSE)</f>
        <v>1.2</v>
      </c>
      <c r="E903" s="119">
        <v>0</v>
      </c>
      <c r="F903" s="13" t="s">
        <v>21</v>
      </c>
    </row>
    <row r="904" ht="16.5" spans="1:6">
      <c r="A904" s="119">
        <v>898</v>
      </c>
      <c r="B904" s="177">
        <f>VLOOKUP(ROUNDUP(A904/8,0),Sheet2!A:B,2,FALSE())</f>
        <v>113065</v>
      </c>
      <c r="C904" s="178">
        <f t="shared" si="13"/>
        <v>2</v>
      </c>
      <c r="D904" s="179">
        <f>VLOOKUP(C904,Sheet2!$BK$11:$BN$19,VLOOKUP(B904,Sheet2!B:BC,21,FALSE)+1,FALSE)</f>
        <v>1.2</v>
      </c>
      <c r="E904" s="119">
        <v>0</v>
      </c>
      <c r="F904" s="13" t="s">
        <v>21</v>
      </c>
    </row>
    <row r="905" ht="16.5" spans="1:6">
      <c r="A905" s="119">
        <v>899</v>
      </c>
      <c r="B905" s="177">
        <f>VLOOKUP(ROUNDUP(A905/8,0),Sheet2!A:B,2,FALSE())</f>
        <v>113065</v>
      </c>
      <c r="C905" s="178">
        <f t="shared" si="13"/>
        <v>3</v>
      </c>
      <c r="D905" s="179">
        <f>VLOOKUP(C905,Sheet2!$BK$11:$BN$19,VLOOKUP(B905,Sheet2!B:BC,21,FALSE)+1,FALSE)</f>
        <v>1.2</v>
      </c>
      <c r="E905" s="119">
        <v>0</v>
      </c>
      <c r="F905" s="13" t="s">
        <v>21</v>
      </c>
    </row>
    <row r="906" ht="16.5" spans="1:6">
      <c r="A906" s="119">
        <v>900</v>
      </c>
      <c r="B906" s="177">
        <f>VLOOKUP(ROUNDUP(A906/8,0),Sheet2!A:B,2,FALSE())</f>
        <v>113065</v>
      </c>
      <c r="C906" s="178">
        <f t="shared" si="13"/>
        <v>4</v>
      </c>
      <c r="D906" s="179">
        <f>VLOOKUP(C906,Sheet2!$BK$11:$BN$19,VLOOKUP(B906,Sheet2!B:BC,21,FALSE)+1,FALSE)</f>
        <v>1.5</v>
      </c>
      <c r="E906" s="119">
        <v>0</v>
      </c>
      <c r="F906" s="13" t="s">
        <v>21</v>
      </c>
    </row>
    <row r="907" ht="16.5" spans="1:6">
      <c r="A907" s="119">
        <v>901</v>
      </c>
      <c r="B907" s="177">
        <f>VLOOKUP(ROUNDUP(A907/8,0),Sheet2!A:B,2,FALSE())</f>
        <v>113065</v>
      </c>
      <c r="C907" s="178">
        <f t="shared" si="13"/>
        <v>5</v>
      </c>
      <c r="D907" s="179">
        <f>VLOOKUP(C907,Sheet2!$BK$11:$BN$19,VLOOKUP(B907,Sheet2!B:BC,21,FALSE)+1,FALSE)</f>
        <v>1.5</v>
      </c>
      <c r="E907" s="119">
        <v>0</v>
      </c>
      <c r="F907" s="13" t="s">
        <v>21</v>
      </c>
    </row>
    <row r="908" ht="16.5" spans="1:6">
      <c r="A908" s="119">
        <v>902</v>
      </c>
      <c r="B908" s="177">
        <f>VLOOKUP(ROUNDUP(A908/8,0),Sheet2!A:B,2,FALSE())</f>
        <v>113065</v>
      </c>
      <c r="C908" s="178">
        <f t="shared" si="13"/>
        <v>6</v>
      </c>
      <c r="D908" s="179">
        <f>VLOOKUP(C908,Sheet2!$BK$11:$BN$19,VLOOKUP(B908,Sheet2!B:BC,21,FALSE)+1,FALSE)</f>
        <v>1.7</v>
      </c>
      <c r="E908" s="119">
        <v>0</v>
      </c>
      <c r="F908" s="13" t="s">
        <v>21</v>
      </c>
    </row>
    <row r="909" ht="16.5" spans="1:6">
      <c r="A909" s="119">
        <v>903</v>
      </c>
      <c r="B909" s="177">
        <f>VLOOKUP(ROUNDUP(A909/8,0),Sheet2!A:B,2,FALSE())</f>
        <v>113065</v>
      </c>
      <c r="C909" s="178">
        <f t="shared" si="13"/>
        <v>7</v>
      </c>
      <c r="D909" s="179">
        <f>VLOOKUP(C909,Sheet2!$BK$11:$BN$19,VLOOKUP(B909,Sheet2!B:BC,21,FALSE)+1,FALSE)</f>
        <v>1.7</v>
      </c>
      <c r="E909" s="119">
        <v>0</v>
      </c>
      <c r="F909" s="13" t="s">
        <v>21</v>
      </c>
    </row>
    <row r="910" ht="16.5" spans="1:6">
      <c r="A910" s="119">
        <v>904</v>
      </c>
      <c r="B910" s="177">
        <f>VLOOKUP(ROUNDUP(A910/8,0),Sheet2!A:B,2,FALSE())</f>
        <v>113065</v>
      </c>
      <c r="C910" s="178">
        <f t="shared" si="13"/>
        <v>8</v>
      </c>
      <c r="D910" s="179">
        <f>VLOOKUP(C910,Sheet2!$BK$11:$BN$19,VLOOKUP(B910,Sheet2!B:BC,21,FALSE)+1,FALSE)</f>
        <v>2</v>
      </c>
      <c r="E910" s="119">
        <v>0</v>
      </c>
      <c r="F910" s="13" t="s">
        <v>21</v>
      </c>
    </row>
    <row r="911" ht="16.5" spans="1:6">
      <c r="A911" s="119">
        <v>905</v>
      </c>
      <c r="B911" s="177">
        <f>VLOOKUP(ROUNDUP(A911/8,0),Sheet2!A:B,2,FALSE())</f>
        <v>113066</v>
      </c>
      <c r="C911" s="178">
        <f t="shared" si="13"/>
        <v>1</v>
      </c>
      <c r="D911" s="179">
        <f>VLOOKUP(C911,Sheet2!$BK$11:$BN$19,VLOOKUP(B911,Sheet2!B:BC,21,FALSE)+1,FALSE)</f>
        <v>1.2</v>
      </c>
      <c r="E911" s="119">
        <v>0</v>
      </c>
      <c r="F911" s="13" t="s">
        <v>21</v>
      </c>
    </row>
    <row r="912" ht="16.5" spans="1:6">
      <c r="A912" s="119">
        <v>906</v>
      </c>
      <c r="B912" s="177">
        <f>VLOOKUP(ROUNDUP(A912/8,0),Sheet2!A:B,2,FALSE())</f>
        <v>113066</v>
      </c>
      <c r="C912" s="178">
        <f t="shared" ref="C912:C918" si="14">C904</f>
        <v>2</v>
      </c>
      <c r="D912" s="179">
        <f>VLOOKUP(C912,Sheet2!$BK$11:$BN$19,VLOOKUP(B912,Sheet2!B:BC,21,FALSE)+1,FALSE)</f>
        <v>1.2</v>
      </c>
      <c r="E912" s="119">
        <v>0</v>
      </c>
      <c r="F912" s="13" t="s">
        <v>21</v>
      </c>
    </row>
    <row r="913" ht="16.5" spans="1:6">
      <c r="A913" s="119">
        <v>907</v>
      </c>
      <c r="B913" s="177">
        <f>VLOOKUP(ROUNDUP(A913/8,0),Sheet2!A:B,2,FALSE())</f>
        <v>113066</v>
      </c>
      <c r="C913" s="178">
        <f t="shared" si="14"/>
        <v>3</v>
      </c>
      <c r="D913" s="179">
        <f>VLOOKUP(C913,Sheet2!$BK$11:$BN$19,VLOOKUP(B913,Sheet2!B:BC,21,FALSE)+1,FALSE)</f>
        <v>1.2</v>
      </c>
      <c r="E913" s="119">
        <v>0</v>
      </c>
      <c r="F913" s="13" t="s">
        <v>21</v>
      </c>
    </row>
    <row r="914" ht="16.5" spans="1:6">
      <c r="A914" s="119">
        <v>908</v>
      </c>
      <c r="B914" s="177">
        <f>VLOOKUP(ROUNDUP(A914/8,0),Sheet2!A:B,2,FALSE())</f>
        <v>113066</v>
      </c>
      <c r="C914" s="178">
        <f t="shared" si="14"/>
        <v>4</v>
      </c>
      <c r="D914" s="179">
        <f>VLOOKUP(C914,Sheet2!$BK$11:$BN$19,VLOOKUP(B914,Sheet2!B:BC,21,FALSE)+1,FALSE)</f>
        <v>1.5</v>
      </c>
      <c r="E914" s="119">
        <v>0</v>
      </c>
      <c r="F914" s="13" t="s">
        <v>21</v>
      </c>
    </row>
    <row r="915" ht="16.5" spans="1:6">
      <c r="A915" s="119">
        <v>909</v>
      </c>
      <c r="B915" s="177">
        <f>VLOOKUP(ROUNDUP(A915/8,0),Sheet2!A:B,2,FALSE())</f>
        <v>113066</v>
      </c>
      <c r="C915" s="178">
        <f t="shared" si="14"/>
        <v>5</v>
      </c>
      <c r="D915" s="179">
        <f>VLOOKUP(C915,Sheet2!$BK$11:$BN$19,VLOOKUP(B915,Sheet2!B:BC,21,FALSE)+1,FALSE)</f>
        <v>1.5</v>
      </c>
      <c r="E915" s="119">
        <v>0</v>
      </c>
      <c r="F915" s="13" t="s">
        <v>21</v>
      </c>
    </row>
    <row r="916" ht="16.5" spans="1:6">
      <c r="A916" s="119">
        <v>910</v>
      </c>
      <c r="B916" s="177">
        <f>VLOOKUP(ROUNDUP(A916/8,0),Sheet2!A:B,2,FALSE())</f>
        <v>113066</v>
      </c>
      <c r="C916" s="178">
        <f t="shared" si="14"/>
        <v>6</v>
      </c>
      <c r="D916" s="179">
        <f>VLOOKUP(C916,Sheet2!$BK$11:$BN$19,VLOOKUP(B916,Sheet2!B:BC,21,FALSE)+1,FALSE)</f>
        <v>1.7</v>
      </c>
      <c r="E916" s="119">
        <v>0</v>
      </c>
      <c r="F916" s="13" t="s">
        <v>21</v>
      </c>
    </row>
    <row r="917" ht="16.5" spans="1:6">
      <c r="A917" s="119">
        <v>911</v>
      </c>
      <c r="B917" s="177">
        <f>VLOOKUP(ROUNDUP(A917/8,0),Sheet2!A:B,2,FALSE())</f>
        <v>113066</v>
      </c>
      <c r="C917" s="178">
        <f t="shared" si="14"/>
        <v>7</v>
      </c>
      <c r="D917" s="179">
        <f>VLOOKUP(C917,Sheet2!$BK$11:$BN$19,VLOOKUP(B917,Sheet2!B:BC,21,FALSE)+1,FALSE)</f>
        <v>1.7</v>
      </c>
      <c r="E917" s="119">
        <v>0</v>
      </c>
      <c r="F917" s="13" t="s">
        <v>21</v>
      </c>
    </row>
    <row r="918" ht="16.5" spans="1:6">
      <c r="A918" s="119">
        <v>912</v>
      </c>
      <c r="B918" s="177">
        <f>VLOOKUP(ROUNDUP(A918/8,0),Sheet2!A:B,2,FALSE())</f>
        <v>113066</v>
      </c>
      <c r="C918" s="178">
        <f t="shared" si="14"/>
        <v>8</v>
      </c>
      <c r="D918" s="179">
        <f>VLOOKUP(C918,Sheet2!$BK$11:$BN$19,VLOOKUP(B918,Sheet2!B:BC,21,FALSE)+1,FALSE)</f>
        <v>2</v>
      </c>
      <c r="E918" s="119">
        <v>0</v>
      </c>
      <c r="F918" s="13" t="s">
        <v>21</v>
      </c>
    </row>
  </sheetData>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627"/>
  <sheetViews>
    <sheetView topLeftCell="AR1" workbookViewId="0">
      <selection activeCell="AY51" sqref="AY51"/>
    </sheetView>
  </sheetViews>
  <sheetFormatPr defaultColWidth="9" defaultRowHeight="14.25"/>
  <cols>
    <col min="2" max="2" width="11.725" customWidth="1"/>
    <col min="3" max="3" width="15" customWidth="1"/>
    <col min="4" max="4" width="19.2666666666667" customWidth="1"/>
    <col min="5" max="6" width="17.4583333333333" customWidth="1"/>
    <col min="7" max="7" width="11.725" customWidth="1"/>
    <col min="8" max="8" width="24" customWidth="1"/>
    <col min="9" max="9" width="25.4583333333333" customWidth="1"/>
    <col min="10" max="12" width="9.725" customWidth="1"/>
    <col min="13" max="13" width="27.2666666666667" customWidth="1"/>
    <col min="14" max="14" width="11.725" customWidth="1"/>
    <col min="15" max="15" width="13.9083333333333" customWidth="1"/>
    <col min="16" max="16" width="9.44166666666667" style="13" customWidth="1"/>
    <col min="17" max="17" width="24.725" style="14" customWidth="1"/>
    <col min="18" max="18" width="11.725" customWidth="1"/>
    <col min="19" max="19" width="20.3666666666667" customWidth="1"/>
    <col min="20" max="23" width="11.725" customWidth="1"/>
    <col min="24" max="24" width="14.2666666666667" customWidth="1"/>
    <col min="25" max="25" width="20.375" customWidth="1"/>
    <col min="26" max="30" width="11.725" customWidth="1"/>
    <col min="31" max="38" width="11.725" style="15" customWidth="1"/>
    <col min="39" max="39" width="34.9083333333333" style="16" customWidth="1"/>
    <col min="40" max="40" width="28.2666666666667" customWidth="1"/>
    <col min="41" max="41" width="32.6333333333333" customWidth="1"/>
    <col min="42" max="44" width="18.2666666666667" customWidth="1"/>
    <col min="45" max="45" width="19.6333333333333" style="17" customWidth="1"/>
    <col min="46" max="46" width="16.3666666666667" style="17" customWidth="1"/>
    <col min="47" max="47" width="17.0916666666667" style="17" customWidth="1"/>
    <col min="48" max="48" width="15.6333333333333" style="18" customWidth="1"/>
    <col min="49" max="50" width="17.0916666666667" customWidth="1"/>
    <col min="51" max="51" width="38.2666666666667" style="13" customWidth="1"/>
    <col min="53" max="53" width="13.125" customWidth="1"/>
    <col min="54" max="54" width="15.7583333333333" customWidth="1"/>
    <col min="55" max="55" width="12.625" customWidth="1"/>
    <col min="56" max="56" width="13.7583333333333" customWidth="1"/>
  </cols>
  <sheetData>
    <row r="1" s="1" customFormat="1" spans="2:51">
      <c r="B1" s="19">
        <v>7</v>
      </c>
      <c r="C1" s="19">
        <v>1</v>
      </c>
      <c r="D1" s="19">
        <v>9999</v>
      </c>
      <c r="E1" s="19">
        <v>56</v>
      </c>
      <c r="F1" s="19"/>
      <c r="H1" s="19"/>
      <c r="P1" s="29"/>
      <c r="Q1" s="43"/>
      <c r="R1" s="19"/>
      <c r="S1" s="19"/>
      <c r="AE1" s="48"/>
      <c r="AF1" s="48"/>
      <c r="AG1" s="48"/>
      <c r="AH1" s="48"/>
      <c r="AI1" s="48"/>
      <c r="AJ1" s="48"/>
      <c r="AK1" s="48"/>
      <c r="AL1" s="48"/>
      <c r="AM1" s="56"/>
      <c r="AS1" s="17"/>
      <c r="AT1" s="17"/>
      <c r="AU1" s="17"/>
      <c r="AV1" s="18"/>
      <c r="AW1" s="19"/>
      <c r="AX1" s="19"/>
      <c r="AY1" s="13"/>
    </row>
    <row r="2" ht="93" customHeight="1" spans="2:56">
      <c r="B2" t="s">
        <v>22</v>
      </c>
      <c r="C2" t="s">
        <v>23</v>
      </c>
      <c r="D2" t="s">
        <v>24</v>
      </c>
      <c r="F2" s="20" t="s">
        <v>25</v>
      </c>
      <c r="G2" s="21" t="s">
        <v>26</v>
      </c>
      <c r="H2" t="s">
        <v>27</v>
      </c>
      <c r="I2" t="s">
        <v>28</v>
      </c>
      <c r="J2" t="s">
        <v>29</v>
      </c>
      <c r="K2" t="s">
        <v>30</v>
      </c>
      <c r="L2" t="s">
        <v>31</v>
      </c>
      <c r="M2" t="s">
        <v>32</v>
      </c>
      <c r="N2" t="s">
        <v>33</v>
      </c>
      <c r="O2" t="s">
        <v>34</v>
      </c>
      <c r="P2" s="13" t="s">
        <v>35</v>
      </c>
      <c r="Q2" s="44" t="s">
        <v>36</v>
      </c>
      <c r="R2" t="s">
        <v>37</v>
      </c>
      <c r="S2" t="s">
        <v>38</v>
      </c>
      <c r="T2" t="s">
        <v>39</v>
      </c>
      <c r="U2" t="s">
        <v>40</v>
      </c>
      <c r="V2" s="20" t="s">
        <v>41</v>
      </c>
      <c r="W2" t="s">
        <v>42</v>
      </c>
      <c r="X2" t="s">
        <v>43</v>
      </c>
      <c r="Y2" t="s">
        <v>44</v>
      </c>
      <c r="Z2" t="s">
        <v>45</v>
      </c>
      <c r="AA2" t="s">
        <v>46</v>
      </c>
      <c r="AB2" t="s">
        <v>47</v>
      </c>
      <c r="AC2" t="s">
        <v>48</v>
      </c>
      <c r="AD2" t="s">
        <v>49</v>
      </c>
      <c r="AE2" s="15" t="s">
        <v>50</v>
      </c>
      <c r="AF2" s="15" t="s">
        <v>51</v>
      </c>
      <c r="AG2" s="15" t="s">
        <v>52</v>
      </c>
      <c r="AH2" s="15" t="s">
        <v>53</v>
      </c>
      <c r="AI2" s="15" t="s">
        <v>54</v>
      </c>
      <c r="AJ2" s="15" t="s">
        <v>55</v>
      </c>
      <c r="AK2" s="15" t="s">
        <v>56</v>
      </c>
      <c r="AL2" s="15" t="s">
        <v>57</v>
      </c>
      <c r="AM2" s="16" t="s">
        <v>58</v>
      </c>
      <c r="AN2" s="9" t="s">
        <v>59</v>
      </c>
      <c r="AO2" s="9" t="s">
        <v>60</v>
      </c>
      <c r="AP2" s="9" t="s">
        <v>61</v>
      </c>
      <c r="AQ2" s="9" t="s">
        <v>62</v>
      </c>
      <c r="AR2" s="64" t="s">
        <v>63</v>
      </c>
      <c r="AS2" s="65" t="s">
        <v>64</v>
      </c>
      <c r="AT2" s="66" t="s">
        <v>65</v>
      </c>
      <c r="AU2" s="66" t="s">
        <v>66</v>
      </c>
      <c r="AV2" s="67" t="s">
        <v>67</v>
      </c>
      <c r="AW2" t="s">
        <v>68</v>
      </c>
      <c r="AX2" s="13" t="s">
        <v>69</v>
      </c>
      <c r="AY2" s="13" t="s">
        <v>70</v>
      </c>
      <c r="BA2" s="20" t="s">
        <v>71</v>
      </c>
      <c r="BB2" s="20" t="s">
        <v>72</v>
      </c>
      <c r="BC2" t="s">
        <v>73</v>
      </c>
      <c r="BD2" t="s">
        <v>74</v>
      </c>
    </row>
    <row r="3" ht="15.75" spans="2:56">
      <c r="B3" t="s">
        <v>7</v>
      </c>
      <c r="C3" t="s">
        <v>75</v>
      </c>
      <c r="D3" t="s">
        <v>76</v>
      </c>
      <c r="G3" t="s">
        <v>77</v>
      </c>
      <c r="H3" s="22" t="s">
        <v>78</v>
      </c>
      <c r="I3" s="22" t="s">
        <v>79</v>
      </c>
      <c r="J3" s="22" t="s">
        <v>80</v>
      </c>
      <c r="K3" s="22" t="s">
        <v>81</v>
      </c>
      <c r="L3" s="22" t="s">
        <v>82</v>
      </c>
      <c r="M3" s="22" t="s">
        <v>83</v>
      </c>
      <c r="N3" t="s">
        <v>84</v>
      </c>
      <c r="O3" t="s">
        <v>85</v>
      </c>
      <c r="P3" s="13" t="s">
        <v>86</v>
      </c>
      <c r="Q3" s="14" t="s">
        <v>87</v>
      </c>
      <c r="R3" t="s">
        <v>88</v>
      </c>
      <c r="S3" t="s">
        <v>89</v>
      </c>
      <c r="T3" t="s">
        <v>90</v>
      </c>
      <c r="U3" t="s">
        <v>91</v>
      </c>
      <c r="V3" t="s">
        <v>92</v>
      </c>
      <c r="W3" t="s">
        <v>93</v>
      </c>
      <c r="X3" t="s">
        <v>94</v>
      </c>
      <c r="Y3" s="22" t="s">
        <v>95</v>
      </c>
      <c r="Z3" t="s">
        <v>96</v>
      </c>
      <c r="AA3" t="s">
        <v>97</v>
      </c>
      <c r="AB3" t="s">
        <v>98</v>
      </c>
      <c r="AC3" t="s">
        <v>99</v>
      </c>
      <c r="AD3" t="s">
        <v>100</v>
      </c>
      <c r="AE3" s="15" t="s">
        <v>101</v>
      </c>
      <c r="AF3" s="15" t="s">
        <v>102</v>
      </c>
      <c r="AG3" s="15" t="s">
        <v>103</v>
      </c>
      <c r="AH3" s="15" t="s">
        <v>104</v>
      </c>
      <c r="AI3" s="15" t="s">
        <v>105</v>
      </c>
      <c r="AJ3" s="15" t="s">
        <v>106</v>
      </c>
      <c r="AK3" s="15" t="s">
        <v>107</v>
      </c>
      <c r="AL3" s="15" t="s">
        <v>108</v>
      </c>
      <c r="AM3" s="16" t="s">
        <v>109</v>
      </c>
      <c r="AN3" s="57" t="s">
        <v>110</v>
      </c>
      <c r="AO3" s="9" t="s">
        <v>111</v>
      </c>
      <c r="AP3" s="9" t="s">
        <v>112</v>
      </c>
      <c r="AQ3" s="9" t="s">
        <v>113</v>
      </c>
      <c r="AR3" s="9" t="s">
        <v>114</v>
      </c>
      <c r="AS3" s="66" t="s">
        <v>115</v>
      </c>
      <c r="AT3" s="66" t="s">
        <v>116</v>
      </c>
      <c r="AU3" s="66" t="s">
        <v>117</v>
      </c>
      <c r="AV3" s="67" t="s">
        <v>118</v>
      </c>
      <c r="AW3" t="s">
        <v>119</v>
      </c>
      <c r="AX3" s="13"/>
      <c r="AY3" s="74" t="s">
        <v>120</v>
      </c>
      <c r="BA3" t="s">
        <v>121</v>
      </c>
      <c r="BB3" t="s">
        <v>122</v>
      </c>
      <c r="BC3" t="s">
        <v>123</v>
      </c>
      <c r="BD3" t="s">
        <v>124</v>
      </c>
    </row>
    <row r="4" spans="2:56">
      <c r="B4" t="s">
        <v>13</v>
      </c>
      <c r="C4" t="s">
        <v>13</v>
      </c>
      <c r="D4" t="s">
        <v>125</v>
      </c>
      <c r="F4" t="s">
        <v>13</v>
      </c>
      <c r="G4" t="s">
        <v>13</v>
      </c>
      <c r="H4" t="s">
        <v>14</v>
      </c>
      <c r="I4" t="s">
        <v>14</v>
      </c>
      <c r="J4" t="s">
        <v>125</v>
      </c>
      <c r="K4" t="s">
        <v>125</v>
      </c>
      <c r="L4" t="s">
        <v>125</v>
      </c>
      <c r="M4" t="s">
        <v>126</v>
      </c>
      <c r="N4" t="s">
        <v>12</v>
      </c>
      <c r="O4" t="s">
        <v>13</v>
      </c>
      <c r="P4" s="13" t="s">
        <v>13</v>
      </c>
      <c r="Q4" s="14" t="s">
        <v>127</v>
      </c>
      <c r="R4" t="s">
        <v>13</v>
      </c>
      <c r="S4" s="22" t="s">
        <v>125</v>
      </c>
      <c r="T4" t="s">
        <v>13</v>
      </c>
      <c r="U4" t="s">
        <v>12</v>
      </c>
      <c r="V4" t="s">
        <v>13</v>
      </c>
      <c r="W4" t="s">
        <v>12</v>
      </c>
      <c r="X4" t="s">
        <v>125</v>
      </c>
      <c r="Y4" t="s">
        <v>14</v>
      </c>
      <c r="Z4" t="s">
        <v>12</v>
      </c>
      <c r="AA4" t="s">
        <v>12</v>
      </c>
      <c r="AB4" t="s">
        <v>12</v>
      </c>
      <c r="AC4" t="s">
        <v>13</v>
      </c>
      <c r="AD4" t="s">
        <v>12</v>
      </c>
      <c r="AE4" s="15" t="s">
        <v>128</v>
      </c>
      <c r="AF4" s="15" t="s">
        <v>128</v>
      </c>
      <c r="AG4" s="15" t="s">
        <v>128</v>
      </c>
      <c r="AH4" s="15" t="s">
        <v>128</v>
      </c>
      <c r="AI4" s="15" t="s">
        <v>128</v>
      </c>
      <c r="AJ4" s="15" t="s">
        <v>128</v>
      </c>
      <c r="AK4" s="15" t="s">
        <v>128</v>
      </c>
      <c r="AL4" s="15" t="s">
        <v>128</v>
      </c>
      <c r="AM4" s="16" t="s">
        <v>125</v>
      </c>
      <c r="AN4" s="57" t="s">
        <v>125</v>
      </c>
      <c r="AO4" s="9" t="s">
        <v>125</v>
      </c>
      <c r="AP4" s="9" t="s">
        <v>14</v>
      </c>
      <c r="AQ4" s="9" t="s">
        <v>14</v>
      </c>
      <c r="AR4" s="9" t="s">
        <v>13</v>
      </c>
      <c r="AS4" s="68" t="s">
        <v>125</v>
      </c>
      <c r="AT4" s="66" t="s">
        <v>125</v>
      </c>
      <c r="AU4" s="68" t="s">
        <v>125</v>
      </c>
      <c r="AV4" s="18" t="s">
        <v>12</v>
      </c>
      <c r="AW4" s="75" t="s">
        <v>14</v>
      </c>
      <c r="AX4" s="13"/>
      <c r="AY4" s="13" t="s">
        <v>13</v>
      </c>
      <c r="BA4" t="s">
        <v>13</v>
      </c>
      <c r="BB4" t="s">
        <v>13</v>
      </c>
      <c r="BC4" t="s">
        <v>13</v>
      </c>
      <c r="BD4" t="s">
        <v>13</v>
      </c>
    </row>
    <row r="5" spans="2:56">
      <c r="B5" t="s">
        <v>15</v>
      </c>
      <c r="C5" t="s">
        <v>16</v>
      </c>
      <c r="D5" t="s">
        <v>16</v>
      </c>
      <c r="F5" t="s">
        <v>16</v>
      </c>
      <c r="G5" t="s">
        <v>16</v>
      </c>
      <c r="H5" t="s">
        <v>16</v>
      </c>
      <c r="I5" t="s">
        <v>16</v>
      </c>
      <c r="J5" t="s">
        <v>16</v>
      </c>
      <c r="K5" t="s">
        <v>16</v>
      </c>
      <c r="L5" t="s">
        <v>16</v>
      </c>
      <c r="M5" t="s">
        <v>16</v>
      </c>
      <c r="N5" t="s">
        <v>129</v>
      </c>
      <c r="O5" t="s">
        <v>16</v>
      </c>
      <c r="P5" s="13" t="s">
        <v>16</v>
      </c>
      <c r="Q5" s="14" t="s">
        <v>16</v>
      </c>
      <c r="R5" t="s">
        <v>16</v>
      </c>
      <c r="S5" t="s">
        <v>16</v>
      </c>
      <c r="T5" t="s">
        <v>16</v>
      </c>
      <c r="U5" t="s">
        <v>129</v>
      </c>
      <c r="V5" t="s">
        <v>16</v>
      </c>
      <c r="W5" t="s">
        <v>129</v>
      </c>
      <c r="X5" t="s">
        <v>16</v>
      </c>
      <c r="Y5" t="s">
        <v>16</v>
      </c>
      <c r="Z5" t="s">
        <v>129</v>
      </c>
      <c r="AA5" t="s">
        <v>129</v>
      </c>
      <c r="AB5" t="s">
        <v>129</v>
      </c>
      <c r="AC5" t="s">
        <v>16</v>
      </c>
      <c r="AD5" t="s">
        <v>129</v>
      </c>
      <c r="AE5" s="15" t="s">
        <v>16</v>
      </c>
      <c r="AF5" s="15" t="s">
        <v>16</v>
      </c>
      <c r="AG5" s="15" t="s">
        <v>16</v>
      </c>
      <c r="AH5" s="15" t="s">
        <v>16</v>
      </c>
      <c r="AI5" s="15" t="s">
        <v>16</v>
      </c>
      <c r="AJ5" s="15" t="s">
        <v>16</v>
      </c>
      <c r="AK5" s="15" t="s">
        <v>16</v>
      </c>
      <c r="AL5" s="15" t="s">
        <v>16</v>
      </c>
      <c r="AM5" s="16" t="s">
        <v>129</v>
      </c>
      <c r="AN5" s="9" t="s">
        <v>16</v>
      </c>
      <c r="AO5" s="9" t="s">
        <v>16</v>
      </c>
      <c r="AP5" s="9" t="s">
        <v>16</v>
      </c>
      <c r="AQ5" s="9" t="s">
        <v>16</v>
      </c>
      <c r="AR5" s="9" t="s">
        <v>16</v>
      </c>
      <c r="AS5" s="66" t="s">
        <v>16</v>
      </c>
      <c r="AT5" s="66" t="s">
        <v>129</v>
      </c>
      <c r="AU5" s="66" t="s">
        <v>129</v>
      </c>
      <c r="AV5" s="67" t="s">
        <v>129</v>
      </c>
      <c r="AW5" s="76" t="s">
        <v>16</v>
      </c>
      <c r="AX5" s="13"/>
      <c r="AY5" s="76" t="s">
        <v>16</v>
      </c>
      <c r="BA5" t="s">
        <v>16</v>
      </c>
      <c r="BB5" t="s">
        <v>16</v>
      </c>
      <c r="BC5" t="s">
        <v>16</v>
      </c>
      <c r="BD5" t="s">
        <v>16</v>
      </c>
    </row>
    <row r="6" ht="15.75" spans="2:56">
      <c r="B6" t="s">
        <v>7</v>
      </c>
      <c r="C6" t="s">
        <v>75</v>
      </c>
      <c r="D6" t="s">
        <v>76</v>
      </c>
      <c r="F6" t="s">
        <v>130</v>
      </c>
      <c r="G6" t="s">
        <v>77</v>
      </c>
      <c r="H6" t="s">
        <v>78</v>
      </c>
      <c r="J6" s="22"/>
      <c r="K6" s="22"/>
      <c r="L6" s="22"/>
      <c r="M6" s="22"/>
      <c r="N6" t="s">
        <v>84</v>
      </c>
      <c r="O6" t="s">
        <v>85</v>
      </c>
      <c r="P6" s="13" t="s">
        <v>86</v>
      </c>
      <c r="Q6" s="14" t="s">
        <v>87</v>
      </c>
      <c r="R6" t="s">
        <v>88</v>
      </c>
      <c r="T6" t="s">
        <v>90</v>
      </c>
      <c r="U6" t="s">
        <v>91</v>
      </c>
      <c r="V6" t="s">
        <v>92</v>
      </c>
      <c r="W6" t="s">
        <v>93</v>
      </c>
      <c r="X6" t="s">
        <v>94</v>
      </c>
      <c r="Z6" t="s">
        <v>96</v>
      </c>
      <c r="AA6" t="s">
        <v>97</v>
      </c>
      <c r="AB6" t="s">
        <v>98</v>
      </c>
      <c r="AC6" t="s">
        <v>99</v>
      </c>
      <c r="AD6" t="s">
        <v>100</v>
      </c>
      <c r="AE6" s="15" t="s">
        <v>101</v>
      </c>
      <c r="AF6" s="15" t="s">
        <v>102</v>
      </c>
      <c r="AG6" s="15" t="s">
        <v>103</v>
      </c>
      <c r="AH6" s="15" t="s">
        <v>104</v>
      </c>
      <c r="AI6" s="15" t="s">
        <v>105</v>
      </c>
      <c r="AJ6" s="15" t="s">
        <v>106</v>
      </c>
      <c r="AK6" s="15" t="s">
        <v>107</v>
      </c>
      <c r="AL6" s="15" t="s">
        <v>108</v>
      </c>
      <c r="AM6" s="16" t="s">
        <v>109</v>
      </c>
      <c r="AN6" s="9"/>
      <c r="AO6" s="9"/>
      <c r="AP6" s="9"/>
      <c r="AQ6" s="9"/>
      <c r="AR6" s="9"/>
      <c r="AW6" t="s">
        <v>119</v>
      </c>
      <c r="AX6" s="13" t="s">
        <v>131</v>
      </c>
      <c r="AY6" s="74" t="s">
        <v>120</v>
      </c>
      <c r="BC6" t="s">
        <v>123</v>
      </c>
      <c r="BD6" t="s">
        <v>124</v>
      </c>
    </row>
    <row r="7" s="2" customFormat="1" spans="1:54">
      <c r="A7" s="2">
        <v>1</v>
      </c>
      <c r="B7" s="23">
        <v>111001</v>
      </c>
      <c r="C7" s="23">
        <v>111001</v>
      </c>
      <c r="D7" s="24" t="s">
        <v>132</v>
      </c>
      <c r="E7" s="23" t="s">
        <v>132</v>
      </c>
      <c r="F7" s="23"/>
      <c r="G7" s="23">
        <v>0</v>
      </c>
      <c r="H7" s="2" t="s">
        <v>133</v>
      </c>
      <c r="I7" s="2" t="s">
        <v>134</v>
      </c>
      <c r="J7" s="2" t="s">
        <v>135</v>
      </c>
      <c r="K7" s="2" t="s">
        <v>136</v>
      </c>
      <c r="L7" s="2" t="s">
        <v>137</v>
      </c>
      <c r="M7" s="30" t="s">
        <v>138</v>
      </c>
      <c r="N7" s="31">
        <v>1</v>
      </c>
      <c r="O7" s="6">
        <v>1</v>
      </c>
      <c r="P7" s="32">
        <v>4</v>
      </c>
      <c r="Q7" s="32">
        <v>4</v>
      </c>
      <c r="R7" s="45">
        <v>2</v>
      </c>
      <c r="S7" s="31" t="s">
        <v>139</v>
      </c>
      <c r="T7" s="2">
        <v>2</v>
      </c>
      <c r="U7" s="2">
        <v>6</v>
      </c>
      <c r="V7" s="2">
        <v>1</v>
      </c>
      <c r="W7" s="2">
        <v>23</v>
      </c>
      <c r="X7" s="31" t="s">
        <v>140</v>
      </c>
      <c r="Y7" s="31" t="s">
        <v>141</v>
      </c>
      <c r="Z7" s="49">
        <v>610001</v>
      </c>
      <c r="AA7" s="49">
        <v>214005</v>
      </c>
      <c r="AB7" s="49">
        <v>10</v>
      </c>
      <c r="AC7" s="49">
        <v>10</v>
      </c>
      <c r="AD7" s="49">
        <v>10</v>
      </c>
      <c r="AE7" s="50">
        <v>98</v>
      </c>
      <c r="AF7" s="50">
        <v>13</v>
      </c>
      <c r="AG7" s="50">
        <v>237</v>
      </c>
      <c r="AH7" s="50">
        <v>25</v>
      </c>
      <c r="AI7" s="50">
        <v>0.0072</v>
      </c>
      <c r="AJ7" s="58">
        <v>0.0096</v>
      </c>
      <c r="AK7" s="58">
        <v>1.0096</v>
      </c>
      <c r="AL7" s="58">
        <v>0.0024</v>
      </c>
      <c r="AM7" s="59" t="s">
        <v>142</v>
      </c>
      <c r="AR7" s="2">
        <v>8</v>
      </c>
      <c r="AS7" s="2" t="s">
        <v>143</v>
      </c>
      <c r="AT7" s="69" t="s">
        <v>144</v>
      </c>
      <c r="AU7" s="31" t="s">
        <v>145</v>
      </c>
      <c r="AV7" s="30">
        <v>184</v>
      </c>
      <c r="AW7" s="45"/>
      <c r="AX7" s="45">
        <v>1</v>
      </c>
      <c r="AY7" s="34">
        <v>1</v>
      </c>
      <c r="AZ7" s="2">
        <v>163</v>
      </c>
      <c r="BA7" s="2">
        <v>2</v>
      </c>
      <c r="BB7" s="2">
        <v>10001</v>
      </c>
    </row>
    <row r="8" s="2" customFormat="1" spans="1:54">
      <c r="A8" s="2">
        <v>2</v>
      </c>
      <c r="B8" s="23">
        <v>111002</v>
      </c>
      <c r="C8" s="23">
        <v>111002</v>
      </c>
      <c r="D8" s="24" t="s">
        <v>146</v>
      </c>
      <c r="E8" s="23" t="s">
        <v>147</v>
      </c>
      <c r="F8" s="23"/>
      <c r="G8" s="23">
        <v>0</v>
      </c>
      <c r="H8" s="2" t="s">
        <v>148</v>
      </c>
      <c r="I8" s="2" t="s">
        <v>149</v>
      </c>
      <c r="J8" s="2" t="s">
        <v>150</v>
      </c>
      <c r="K8" s="2" t="s">
        <v>136</v>
      </c>
      <c r="L8" s="2" t="s">
        <v>137</v>
      </c>
      <c r="M8" s="33" t="s">
        <v>151</v>
      </c>
      <c r="N8" s="31">
        <v>1</v>
      </c>
      <c r="O8" s="6">
        <v>1</v>
      </c>
      <c r="P8" s="32">
        <v>4</v>
      </c>
      <c r="Q8" s="32">
        <v>4</v>
      </c>
      <c r="R8" s="45">
        <v>2</v>
      </c>
      <c r="S8" s="31" t="s">
        <v>139</v>
      </c>
      <c r="T8" s="2">
        <v>2</v>
      </c>
      <c r="U8" s="2">
        <v>6</v>
      </c>
      <c r="V8" s="2">
        <v>1</v>
      </c>
      <c r="W8" s="2">
        <v>18</v>
      </c>
      <c r="X8" s="31" t="s">
        <v>152</v>
      </c>
      <c r="Y8" s="31" t="s">
        <v>153</v>
      </c>
      <c r="Z8" s="49">
        <v>610002</v>
      </c>
      <c r="AA8" s="49">
        <v>214005</v>
      </c>
      <c r="AB8" s="49">
        <v>10</v>
      </c>
      <c r="AC8" s="49">
        <v>10</v>
      </c>
      <c r="AD8" s="49">
        <v>10</v>
      </c>
      <c r="AE8" s="50">
        <v>84</v>
      </c>
      <c r="AF8" s="50">
        <v>13</v>
      </c>
      <c r="AG8" s="50">
        <v>269</v>
      </c>
      <c r="AH8" s="50">
        <v>20</v>
      </c>
      <c r="AI8" s="50" t="s">
        <v>154</v>
      </c>
      <c r="AJ8" s="58">
        <v>0.012</v>
      </c>
      <c r="AK8" s="58">
        <v>1.006</v>
      </c>
      <c r="AL8" s="58">
        <v>0.006</v>
      </c>
      <c r="AM8" s="59" t="s">
        <v>155</v>
      </c>
      <c r="AR8" s="2">
        <v>8</v>
      </c>
      <c r="AS8" s="2" t="s">
        <v>156</v>
      </c>
      <c r="AT8" s="69" t="s">
        <v>157</v>
      </c>
      <c r="AU8" s="31" t="s">
        <v>158</v>
      </c>
      <c r="AV8" s="30">
        <v>166</v>
      </c>
      <c r="AW8" s="45"/>
      <c r="AX8" s="2">
        <v>1</v>
      </c>
      <c r="AY8" s="34">
        <v>2</v>
      </c>
      <c r="AZ8" s="2">
        <v>141</v>
      </c>
      <c r="BA8" s="2">
        <v>2</v>
      </c>
      <c r="BB8" s="2">
        <v>10002</v>
      </c>
    </row>
    <row r="9" s="2" customFormat="1" spans="1:54">
      <c r="A9" s="2">
        <v>3</v>
      </c>
      <c r="B9" s="23">
        <v>111003</v>
      </c>
      <c r="C9" s="23">
        <v>111003</v>
      </c>
      <c r="D9" s="24" t="s">
        <v>159</v>
      </c>
      <c r="E9" s="23" t="s">
        <v>159</v>
      </c>
      <c r="F9" s="23"/>
      <c r="G9" s="23">
        <v>0</v>
      </c>
      <c r="H9" s="2" t="s">
        <v>160</v>
      </c>
      <c r="I9" s="2" t="s">
        <v>161</v>
      </c>
      <c r="J9" s="2" t="s">
        <v>162</v>
      </c>
      <c r="K9" s="2" t="s">
        <v>136</v>
      </c>
      <c r="L9" s="2" t="s">
        <v>137</v>
      </c>
      <c r="M9" s="33" t="s">
        <v>163</v>
      </c>
      <c r="N9" s="31">
        <v>1</v>
      </c>
      <c r="O9" s="6">
        <v>1</v>
      </c>
      <c r="P9" s="32">
        <v>5</v>
      </c>
      <c r="Q9" s="32">
        <v>5</v>
      </c>
      <c r="R9" s="45">
        <v>3</v>
      </c>
      <c r="S9" s="31" t="s">
        <v>164</v>
      </c>
      <c r="T9" s="2">
        <v>2</v>
      </c>
      <c r="U9" s="2">
        <v>6</v>
      </c>
      <c r="V9" s="2">
        <v>1</v>
      </c>
      <c r="W9" s="2">
        <v>24</v>
      </c>
      <c r="X9" s="31" t="s">
        <v>165</v>
      </c>
      <c r="Y9" s="31" t="s">
        <v>166</v>
      </c>
      <c r="Z9" s="49">
        <v>610003</v>
      </c>
      <c r="AA9" s="49">
        <v>214005</v>
      </c>
      <c r="AB9" s="49">
        <v>10</v>
      </c>
      <c r="AC9" s="49">
        <v>10</v>
      </c>
      <c r="AD9" s="49">
        <v>10</v>
      </c>
      <c r="AE9" s="50">
        <v>127</v>
      </c>
      <c r="AF9" s="50">
        <v>9</v>
      </c>
      <c r="AG9" s="50">
        <v>123</v>
      </c>
      <c r="AH9" s="50">
        <v>50</v>
      </c>
      <c r="AI9" s="50">
        <v>0.012</v>
      </c>
      <c r="AJ9" s="58" t="s">
        <v>154</v>
      </c>
      <c r="AK9" s="58">
        <v>1.006</v>
      </c>
      <c r="AL9" s="58">
        <v>0.0064</v>
      </c>
      <c r="AM9" s="59" t="s">
        <v>167</v>
      </c>
      <c r="AR9" s="2">
        <v>8</v>
      </c>
      <c r="AS9" s="2" t="s">
        <v>168</v>
      </c>
      <c r="AT9" s="69" t="s">
        <v>169</v>
      </c>
      <c r="AU9" s="31" t="s">
        <v>170</v>
      </c>
      <c r="AV9" s="30">
        <v>188</v>
      </c>
      <c r="AW9" s="45"/>
      <c r="AX9" s="45">
        <v>2</v>
      </c>
      <c r="AY9" s="34">
        <v>3</v>
      </c>
      <c r="AZ9" s="2">
        <v>167</v>
      </c>
      <c r="BA9" s="2">
        <v>3</v>
      </c>
      <c r="BB9" s="2">
        <v>10003</v>
      </c>
    </row>
    <row r="10" s="2" customFormat="1" spans="1:54">
      <c r="A10" s="2">
        <v>4</v>
      </c>
      <c r="B10" s="23">
        <v>111004</v>
      </c>
      <c r="C10" s="23">
        <v>111004</v>
      </c>
      <c r="D10" s="24" t="s">
        <v>171</v>
      </c>
      <c r="E10" s="25" t="s">
        <v>171</v>
      </c>
      <c r="F10" s="25"/>
      <c r="G10" s="23">
        <v>0</v>
      </c>
      <c r="H10" s="2" t="s">
        <v>172</v>
      </c>
      <c r="I10" s="2" t="s">
        <v>173</v>
      </c>
      <c r="J10" s="2" t="s">
        <v>162</v>
      </c>
      <c r="K10" s="2" t="s">
        <v>136</v>
      </c>
      <c r="L10" s="2" t="s">
        <v>137</v>
      </c>
      <c r="M10" s="33" t="s">
        <v>174</v>
      </c>
      <c r="N10" s="31">
        <v>1</v>
      </c>
      <c r="O10" s="6">
        <v>1</v>
      </c>
      <c r="P10" s="32">
        <v>4</v>
      </c>
      <c r="Q10" s="32">
        <v>4</v>
      </c>
      <c r="R10" s="45">
        <v>3</v>
      </c>
      <c r="S10" s="31" t="s">
        <v>175</v>
      </c>
      <c r="T10" s="2">
        <v>2</v>
      </c>
      <c r="U10" s="2">
        <v>6</v>
      </c>
      <c r="V10" s="2">
        <v>1</v>
      </c>
      <c r="W10" s="2">
        <v>19</v>
      </c>
      <c r="X10" s="31" t="s">
        <v>176</v>
      </c>
      <c r="Y10" s="31" t="s">
        <v>177</v>
      </c>
      <c r="Z10" s="49">
        <v>610004</v>
      </c>
      <c r="AA10" s="49">
        <v>214005</v>
      </c>
      <c r="AB10" s="49">
        <v>10</v>
      </c>
      <c r="AC10" s="49">
        <v>10</v>
      </c>
      <c r="AD10" s="49">
        <v>10</v>
      </c>
      <c r="AE10" s="50">
        <v>148</v>
      </c>
      <c r="AF10" s="50">
        <v>7</v>
      </c>
      <c r="AG10" s="50">
        <v>100</v>
      </c>
      <c r="AH10" s="50">
        <v>56</v>
      </c>
      <c r="AI10" s="50">
        <v>0.012</v>
      </c>
      <c r="AJ10" s="58" t="s">
        <v>154</v>
      </c>
      <c r="AK10" s="58">
        <v>1.006</v>
      </c>
      <c r="AL10" s="58">
        <v>0.0064</v>
      </c>
      <c r="AM10" s="59" t="s">
        <v>167</v>
      </c>
      <c r="AN10" s="2" t="s">
        <v>178</v>
      </c>
      <c r="AO10" s="2" t="s">
        <v>179</v>
      </c>
      <c r="AR10" s="2">
        <v>8</v>
      </c>
      <c r="AS10" s="2" t="s">
        <v>180</v>
      </c>
      <c r="AT10" s="69" t="s">
        <v>169</v>
      </c>
      <c r="AU10" s="31" t="s">
        <v>181</v>
      </c>
      <c r="AV10" s="30" t="s">
        <v>182</v>
      </c>
      <c r="AW10" s="45"/>
      <c r="AX10" s="45">
        <v>2</v>
      </c>
      <c r="AY10" s="34">
        <v>4</v>
      </c>
      <c r="AZ10" s="2">
        <v>168</v>
      </c>
      <c r="BA10" s="2">
        <v>3</v>
      </c>
      <c r="BB10" s="2">
        <v>10004</v>
      </c>
    </row>
    <row r="11" s="2" customFormat="1" spans="1:66">
      <c r="A11" s="2">
        <v>5</v>
      </c>
      <c r="B11" s="23">
        <v>111005</v>
      </c>
      <c r="C11" s="23">
        <v>111005</v>
      </c>
      <c r="D11" s="24" t="s">
        <v>183</v>
      </c>
      <c r="E11" s="26" t="s">
        <v>183</v>
      </c>
      <c r="F11" s="26"/>
      <c r="G11" s="23">
        <v>0</v>
      </c>
      <c r="H11" s="2" t="s">
        <v>184</v>
      </c>
      <c r="I11" s="2" t="s">
        <v>185</v>
      </c>
      <c r="J11" s="2" t="s">
        <v>186</v>
      </c>
      <c r="K11" s="2" t="s">
        <v>136</v>
      </c>
      <c r="L11" s="2" t="s">
        <v>137</v>
      </c>
      <c r="M11" s="33" t="s">
        <v>187</v>
      </c>
      <c r="N11" s="31">
        <v>1</v>
      </c>
      <c r="O11" s="6">
        <v>1</v>
      </c>
      <c r="P11" s="32">
        <v>6</v>
      </c>
      <c r="Q11" s="32">
        <v>6</v>
      </c>
      <c r="R11" s="45">
        <v>3</v>
      </c>
      <c r="S11" s="31" t="s">
        <v>139</v>
      </c>
      <c r="T11" s="2">
        <v>2</v>
      </c>
      <c r="U11" s="2">
        <v>6</v>
      </c>
      <c r="V11" s="2">
        <v>1</v>
      </c>
      <c r="W11" s="2">
        <v>8</v>
      </c>
      <c r="X11" s="31" t="s">
        <v>188</v>
      </c>
      <c r="Y11" s="31" t="s">
        <v>189</v>
      </c>
      <c r="Z11" s="49">
        <v>610005</v>
      </c>
      <c r="AA11" s="49">
        <v>214005</v>
      </c>
      <c r="AB11" s="49">
        <v>10</v>
      </c>
      <c r="AC11" s="49">
        <v>10</v>
      </c>
      <c r="AD11" s="49">
        <v>10</v>
      </c>
      <c r="AE11" s="50">
        <v>81</v>
      </c>
      <c r="AF11" s="50">
        <v>12</v>
      </c>
      <c r="AG11" s="50">
        <v>199</v>
      </c>
      <c r="AH11" s="50">
        <v>35</v>
      </c>
      <c r="AI11" s="50">
        <v>0.009</v>
      </c>
      <c r="AJ11" s="58">
        <v>0.0096</v>
      </c>
      <c r="AK11" s="58">
        <v>1.0024</v>
      </c>
      <c r="AL11" s="58">
        <v>0.006</v>
      </c>
      <c r="AM11" s="59" t="s">
        <v>190</v>
      </c>
      <c r="AN11" s="2" t="s">
        <v>191</v>
      </c>
      <c r="AO11" s="2" t="s">
        <v>192</v>
      </c>
      <c r="AR11" s="2">
        <v>8</v>
      </c>
      <c r="AS11" s="2" t="s">
        <v>193</v>
      </c>
      <c r="AT11" s="69" t="s">
        <v>194</v>
      </c>
      <c r="AU11" s="31" t="s">
        <v>195</v>
      </c>
      <c r="AV11" s="30">
        <v>89</v>
      </c>
      <c r="AW11" s="45"/>
      <c r="AX11" s="45">
        <v>2</v>
      </c>
      <c r="AY11" s="34">
        <v>1</v>
      </c>
      <c r="AZ11" s="2">
        <v>62</v>
      </c>
      <c r="BA11" s="2">
        <v>3</v>
      </c>
      <c r="BB11" s="2">
        <v>10005</v>
      </c>
      <c r="BK11"/>
      <c r="BL11" s="9">
        <v>1</v>
      </c>
      <c r="BM11" s="9">
        <v>2</v>
      </c>
      <c r="BN11" s="53">
        <v>3</v>
      </c>
    </row>
    <row r="12" s="2" customFormat="1" spans="1:66">
      <c r="A12" s="2">
        <v>6</v>
      </c>
      <c r="B12" s="23">
        <v>111006</v>
      </c>
      <c r="C12" s="23">
        <v>111006</v>
      </c>
      <c r="D12" s="24" t="s">
        <v>196</v>
      </c>
      <c r="E12" s="25" t="s">
        <v>196</v>
      </c>
      <c r="F12" s="25"/>
      <c r="G12" s="23">
        <v>0</v>
      </c>
      <c r="H12" s="2" t="s">
        <v>197</v>
      </c>
      <c r="I12" s="2" t="s">
        <v>198</v>
      </c>
      <c r="J12" s="2" t="s">
        <v>150</v>
      </c>
      <c r="K12" s="2" t="s">
        <v>136</v>
      </c>
      <c r="L12" s="2" t="s">
        <v>137</v>
      </c>
      <c r="M12" s="33" t="s">
        <v>199</v>
      </c>
      <c r="N12" s="31">
        <v>1</v>
      </c>
      <c r="O12" s="6">
        <v>1</v>
      </c>
      <c r="P12" s="32">
        <v>6</v>
      </c>
      <c r="Q12" s="32">
        <v>6</v>
      </c>
      <c r="R12" s="45">
        <v>3</v>
      </c>
      <c r="S12" s="31" t="s">
        <v>200</v>
      </c>
      <c r="T12" s="2">
        <v>2</v>
      </c>
      <c r="U12" s="2">
        <v>6</v>
      </c>
      <c r="V12" s="2">
        <v>1</v>
      </c>
      <c r="W12" s="2">
        <v>21</v>
      </c>
      <c r="X12" s="31" t="s">
        <v>201</v>
      </c>
      <c r="Y12" s="31" t="s">
        <v>202</v>
      </c>
      <c r="Z12" s="49">
        <v>610006</v>
      </c>
      <c r="AA12" s="49">
        <v>214005</v>
      </c>
      <c r="AB12" s="49">
        <v>10</v>
      </c>
      <c r="AC12" s="49">
        <v>10</v>
      </c>
      <c r="AD12" s="49">
        <v>10</v>
      </c>
      <c r="AE12" s="50">
        <v>49</v>
      </c>
      <c r="AF12" s="50">
        <v>13</v>
      </c>
      <c r="AG12" s="50">
        <v>264</v>
      </c>
      <c r="AH12" s="50">
        <v>18</v>
      </c>
      <c r="AI12" s="50" t="s">
        <v>154</v>
      </c>
      <c r="AJ12" s="58">
        <v>0.012</v>
      </c>
      <c r="AK12" s="58">
        <v>1.006</v>
      </c>
      <c r="AL12" s="58">
        <v>0.006</v>
      </c>
      <c r="AM12" s="59" t="s">
        <v>155</v>
      </c>
      <c r="AN12" s="2" t="s">
        <v>203</v>
      </c>
      <c r="AO12" s="2" t="s">
        <v>204</v>
      </c>
      <c r="AR12" s="2">
        <v>8</v>
      </c>
      <c r="AS12" s="2" t="s">
        <v>205</v>
      </c>
      <c r="AT12" s="69" t="s">
        <v>206</v>
      </c>
      <c r="AU12" s="31" t="s">
        <v>207</v>
      </c>
      <c r="AV12" s="30" t="s">
        <v>208</v>
      </c>
      <c r="AW12" s="45"/>
      <c r="AX12" s="45">
        <v>2</v>
      </c>
      <c r="AY12" s="34">
        <v>2</v>
      </c>
      <c r="AZ12" s="2">
        <v>154</v>
      </c>
      <c r="BA12" s="2">
        <v>3</v>
      </c>
      <c r="BB12" s="2">
        <v>10006</v>
      </c>
      <c r="BK12">
        <v>1</v>
      </c>
      <c r="BL12" s="9">
        <v>1</v>
      </c>
      <c r="BM12" s="9">
        <v>1</v>
      </c>
      <c r="BN12" s="53">
        <v>1.2</v>
      </c>
    </row>
    <row r="13" s="2" customFormat="1" spans="1:66">
      <c r="A13" s="2">
        <v>7</v>
      </c>
      <c r="B13" s="23">
        <v>111007</v>
      </c>
      <c r="C13" s="23">
        <v>111007</v>
      </c>
      <c r="D13" s="24" t="s">
        <v>209</v>
      </c>
      <c r="E13" s="26" t="s">
        <v>209</v>
      </c>
      <c r="F13" s="26"/>
      <c r="G13" s="23">
        <v>0</v>
      </c>
      <c r="H13" s="2" t="s">
        <v>210</v>
      </c>
      <c r="I13" s="2" t="s">
        <v>211</v>
      </c>
      <c r="J13" s="2" t="s">
        <v>150</v>
      </c>
      <c r="K13" s="2" t="s">
        <v>136</v>
      </c>
      <c r="L13" s="2" t="s">
        <v>137</v>
      </c>
      <c r="M13" s="33" t="s">
        <v>212</v>
      </c>
      <c r="N13" s="31">
        <v>1</v>
      </c>
      <c r="O13" s="6">
        <v>1</v>
      </c>
      <c r="P13" s="32">
        <v>4</v>
      </c>
      <c r="Q13" s="32">
        <v>4</v>
      </c>
      <c r="R13" s="45">
        <v>3</v>
      </c>
      <c r="S13" s="31" t="s">
        <v>200</v>
      </c>
      <c r="T13" s="2">
        <v>2</v>
      </c>
      <c r="U13" s="2">
        <v>6</v>
      </c>
      <c r="V13" s="2">
        <v>1</v>
      </c>
      <c r="W13" s="2">
        <v>22</v>
      </c>
      <c r="X13" s="31" t="s">
        <v>213</v>
      </c>
      <c r="Y13" s="31" t="s">
        <v>214</v>
      </c>
      <c r="Z13" s="49">
        <v>610007</v>
      </c>
      <c r="AA13" s="49">
        <v>214005</v>
      </c>
      <c r="AB13" s="49">
        <v>10</v>
      </c>
      <c r="AC13" s="49">
        <v>10</v>
      </c>
      <c r="AD13" s="49">
        <v>10</v>
      </c>
      <c r="AE13" s="50">
        <v>124</v>
      </c>
      <c r="AF13" s="50">
        <v>12</v>
      </c>
      <c r="AG13" s="50">
        <v>176</v>
      </c>
      <c r="AH13" s="50">
        <v>26</v>
      </c>
      <c r="AI13" s="50">
        <v>0.0072</v>
      </c>
      <c r="AJ13" s="58">
        <v>0.0096</v>
      </c>
      <c r="AK13" s="58">
        <v>1.0096</v>
      </c>
      <c r="AL13" s="58">
        <v>0.0024</v>
      </c>
      <c r="AM13" s="59" t="s">
        <v>142</v>
      </c>
      <c r="AN13" s="2" t="s">
        <v>215</v>
      </c>
      <c r="AO13" s="2" t="s">
        <v>216</v>
      </c>
      <c r="AR13" s="2">
        <v>8</v>
      </c>
      <c r="AS13" s="2" t="s">
        <v>217</v>
      </c>
      <c r="AT13" s="69" t="s">
        <v>206</v>
      </c>
      <c r="AU13" s="31" t="s">
        <v>218</v>
      </c>
      <c r="AV13" s="30">
        <v>181</v>
      </c>
      <c r="AW13" s="45"/>
      <c r="AX13" s="45">
        <v>2</v>
      </c>
      <c r="AY13" s="34">
        <v>3</v>
      </c>
      <c r="AZ13" s="2">
        <v>160</v>
      </c>
      <c r="BA13" s="2">
        <v>3</v>
      </c>
      <c r="BB13" s="2">
        <v>10007</v>
      </c>
      <c r="BK13">
        <v>2</v>
      </c>
      <c r="BL13" s="9">
        <v>1</v>
      </c>
      <c r="BM13" s="9">
        <v>1</v>
      </c>
      <c r="BN13" s="53">
        <v>1.2</v>
      </c>
    </row>
    <row r="14" s="2" customFormat="1" spans="1:66">
      <c r="A14" s="2">
        <v>8</v>
      </c>
      <c r="B14" s="23">
        <v>111008</v>
      </c>
      <c r="C14" s="23">
        <v>111008</v>
      </c>
      <c r="D14" s="24" t="s">
        <v>219</v>
      </c>
      <c r="E14" s="23" t="s">
        <v>219</v>
      </c>
      <c r="F14" s="23"/>
      <c r="G14" s="23">
        <v>0</v>
      </c>
      <c r="H14" s="2" t="s">
        <v>220</v>
      </c>
      <c r="I14" s="2" t="s">
        <v>221</v>
      </c>
      <c r="J14" s="2" t="s">
        <v>222</v>
      </c>
      <c r="K14" s="2" t="s">
        <v>136</v>
      </c>
      <c r="L14" s="2" t="s">
        <v>137</v>
      </c>
      <c r="M14" s="33" t="s">
        <v>223</v>
      </c>
      <c r="N14" s="31">
        <v>1</v>
      </c>
      <c r="O14" s="6">
        <v>1</v>
      </c>
      <c r="P14" s="32">
        <v>4</v>
      </c>
      <c r="Q14" s="32">
        <v>4</v>
      </c>
      <c r="R14" s="45">
        <v>3</v>
      </c>
      <c r="S14" s="31" t="s">
        <v>224</v>
      </c>
      <c r="T14" s="2">
        <v>2</v>
      </c>
      <c r="U14" s="2">
        <v>6</v>
      </c>
      <c r="V14" s="2">
        <v>1</v>
      </c>
      <c r="W14" s="2">
        <v>32</v>
      </c>
      <c r="X14" s="31" t="s">
        <v>225</v>
      </c>
      <c r="Y14" s="31" t="s">
        <v>226</v>
      </c>
      <c r="Z14" s="49">
        <v>610008</v>
      </c>
      <c r="AA14" s="49">
        <v>214005</v>
      </c>
      <c r="AB14" s="49">
        <v>10</v>
      </c>
      <c r="AC14" s="49">
        <v>10</v>
      </c>
      <c r="AD14" s="49">
        <v>10</v>
      </c>
      <c r="AE14" s="50">
        <v>81</v>
      </c>
      <c r="AF14" s="50">
        <v>13</v>
      </c>
      <c r="AG14" s="50">
        <v>275</v>
      </c>
      <c r="AH14" s="50">
        <v>17</v>
      </c>
      <c r="AI14" s="50" t="s">
        <v>154</v>
      </c>
      <c r="AJ14" s="58">
        <v>0.012</v>
      </c>
      <c r="AK14" s="58">
        <v>1.006</v>
      </c>
      <c r="AL14" s="58">
        <v>0.006</v>
      </c>
      <c r="AM14" s="59" t="s">
        <v>155</v>
      </c>
      <c r="AR14" s="2">
        <v>8</v>
      </c>
      <c r="AS14" s="2" t="s">
        <v>227</v>
      </c>
      <c r="AT14" s="69" t="s">
        <v>144</v>
      </c>
      <c r="AU14" s="31" t="s">
        <v>228</v>
      </c>
      <c r="AV14" s="30">
        <v>298</v>
      </c>
      <c r="AW14" s="45"/>
      <c r="AX14" s="45">
        <v>2</v>
      </c>
      <c r="AY14" s="34">
        <v>4</v>
      </c>
      <c r="AZ14" s="2">
        <v>298</v>
      </c>
      <c r="BA14" s="2">
        <v>3</v>
      </c>
      <c r="BB14" s="2">
        <v>10008</v>
      </c>
      <c r="BK14">
        <v>3</v>
      </c>
      <c r="BL14" s="9">
        <v>1</v>
      </c>
      <c r="BM14" s="9">
        <v>1</v>
      </c>
      <c r="BN14" s="53">
        <v>1.2</v>
      </c>
    </row>
    <row r="15" s="2" customFormat="1" spans="1:66">
      <c r="A15" s="2">
        <v>9</v>
      </c>
      <c r="B15" s="23">
        <v>111009</v>
      </c>
      <c r="C15" s="23">
        <v>111009</v>
      </c>
      <c r="D15" s="24" t="s">
        <v>229</v>
      </c>
      <c r="E15" s="23" t="s">
        <v>229</v>
      </c>
      <c r="F15" s="23"/>
      <c r="G15" s="23">
        <v>0</v>
      </c>
      <c r="H15" s="2" t="s">
        <v>230</v>
      </c>
      <c r="I15" s="2" t="s">
        <v>231</v>
      </c>
      <c r="J15" s="2" t="s">
        <v>150</v>
      </c>
      <c r="K15" s="2" t="s">
        <v>136</v>
      </c>
      <c r="L15" s="2" t="s">
        <v>137</v>
      </c>
      <c r="M15" s="33" t="s">
        <v>232</v>
      </c>
      <c r="N15" s="31">
        <v>1</v>
      </c>
      <c r="O15" s="6">
        <v>1</v>
      </c>
      <c r="P15" s="32">
        <v>4</v>
      </c>
      <c r="Q15" s="32">
        <v>4</v>
      </c>
      <c r="R15" s="45">
        <v>3</v>
      </c>
      <c r="S15" s="31" t="s">
        <v>233</v>
      </c>
      <c r="T15" s="2">
        <v>2</v>
      </c>
      <c r="U15" s="2">
        <v>6</v>
      </c>
      <c r="V15" s="2">
        <v>1</v>
      </c>
      <c r="W15" s="2">
        <v>20</v>
      </c>
      <c r="X15" s="31" t="s">
        <v>234</v>
      </c>
      <c r="Y15" s="31" t="s">
        <v>235</v>
      </c>
      <c r="Z15" s="49">
        <v>610009</v>
      </c>
      <c r="AA15" s="49">
        <v>214005</v>
      </c>
      <c r="AB15" s="49">
        <v>10</v>
      </c>
      <c r="AC15" s="49">
        <v>10</v>
      </c>
      <c r="AD15" s="49">
        <v>10</v>
      </c>
      <c r="AE15" s="50">
        <v>93</v>
      </c>
      <c r="AF15" s="50">
        <v>13</v>
      </c>
      <c r="AG15" s="50">
        <v>246</v>
      </c>
      <c r="AH15" s="50">
        <v>24</v>
      </c>
      <c r="AI15" s="50">
        <v>0.0096</v>
      </c>
      <c r="AJ15" s="58">
        <v>0.006</v>
      </c>
      <c r="AK15" s="58">
        <v>1.012</v>
      </c>
      <c r="AL15" s="58" t="s">
        <v>154</v>
      </c>
      <c r="AM15" s="59" t="s">
        <v>236</v>
      </c>
      <c r="AR15" s="2">
        <v>8</v>
      </c>
      <c r="AS15" s="2" t="s">
        <v>237</v>
      </c>
      <c r="AT15" s="69" t="s">
        <v>206</v>
      </c>
      <c r="AU15" s="31" t="s">
        <v>238</v>
      </c>
      <c r="AV15" s="30" t="s">
        <v>239</v>
      </c>
      <c r="AW15" s="45"/>
      <c r="AX15" s="45">
        <v>2</v>
      </c>
      <c r="AY15" s="34">
        <v>1</v>
      </c>
      <c r="AZ15" s="2">
        <v>172</v>
      </c>
      <c r="BA15" s="2">
        <v>3</v>
      </c>
      <c r="BB15" s="2">
        <v>10009</v>
      </c>
      <c r="BK15">
        <v>4</v>
      </c>
      <c r="BL15" s="9">
        <v>1</v>
      </c>
      <c r="BM15" s="9">
        <v>1.2</v>
      </c>
      <c r="BN15" s="2">
        <v>1.5</v>
      </c>
    </row>
    <row r="16" s="2" customFormat="1" spans="1:66">
      <c r="A16" s="2">
        <v>10</v>
      </c>
      <c r="B16" s="23">
        <v>111010</v>
      </c>
      <c r="C16" s="23">
        <v>111010</v>
      </c>
      <c r="D16" s="24" t="s">
        <v>240</v>
      </c>
      <c r="E16" s="23" t="s">
        <v>240</v>
      </c>
      <c r="F16" s="23"/>
      <c r="G16" s="23">
        <v>0</v>
      </c>
      <c r="H16" s="2" t="s">
        <v>241</v>
      </c>
      <c r="I16" s="2" t="s">
        <v>242</v>
      </c>
      <c r="J16" s="2" t="s">
        <v>150</v>
      </c>
      <c r="K16" s="2" t="s">
        <v>136</v>
      </c>
      <c r="L16" s="2" t="s">
        <v>137</v>
      </c>
      <c r="M16" s="33" t="s">
        <v>243</v>
      </c>
      <c r="N16" s="31">
        <v>1</v>
      </c>
      <c r="O16" s="6">
        <v>1</v>
      </c>
      <c r="P16" s="32">
        <v>5</v>
      </c>
      <c r="Q16" s="32">
        <v>5</v>
      </c>
      <c r="R16" s="45">
        <v>3</v>
      </c>
      <c r="S16" s="31" t="s">
        <v>233</v>
      </c>
      <c r="T16" s="2">
        <v>2</v>
      </c>
      <c r="U16" s="2">
        <v>6</v>
      </c>
      <c r="V16" s="2">
        <v>1</v>
      </c>
      <c r="W16" s="2">
        <v>29</v>
      </c>
      <c r="X16" s="31" t="s">
        <v>244</v>
      </c>
      <c r="Y16" s="31" t="s">
        <v>245</v>
      </c>
      <c r="Z16" s="49">
        <v>610010</v>
      </c>
      <c r="AA16" s="49">
        <v>214005</v>
      </c>
      <c r="AB16" s="49">
        <v>10</v>
      </c>
      <c r="AC16" s="49">
        <v>10</v>
      </c>
      <c r="AD16" s="49">
        <v>10</v>
      </c>
      <c r="AE16" s="50">
        <v>85</v>
      </c>
      <c r="AF16" s="50">
        <v>12</v>
      </c>
      <c r="AG16" s="50">
        <v>278</v>
      </c>
      <c r="AH16" s="50">
        <v>22</v>
      </c>
      <c r="AI16" s="50" t="s">
        <v>154</v>
      </c>
      <c r="AJ16" s="58">
        <v>0.012</v>
      </c>
      <c r="AK16" s="58">
        <v>1.006</v>
      </c>
      <c r="AL16" s="58">
        <v>0.006</v>
      </c>
      <c r="AM16" s="59" t="s">
        <v>155</v>
      </c>
      <c r="AR16" s="2">
        <v>8</v>
      </c>
      <c r="AS16" s="2" t="s">
        <v>246</v>
      </c>
      <c r="AT16" s="69" t="s">
        <v>144</v>
      </c>
      <c r="AU16" s="31" t="s">
        <v>247</v>
      </c>
      <c r="AV16" s="30">
        <v>222</v>
      </c>
      <c r="AW16" s="45"/>
      <c r="AX16" s="45">
        <v>2</v>
      </c>
      <c r="AY16" s="34">
        <v>2</v>
      </c>
      <c r="AZ16" s="2">
        <v>205</v>
      </c>
      <c r="BA16" s="2">
        <v>3</v>
      </c>
      <c r="BB16" s="2">
        <v>10010</v>
      </c>
      <c r="BK16">
        <v>5</v>
      </c>
      <c r="BL16" s="9">
        <v>1</v>
      </c>
      <c r="BM16" s="9">
        <v>1.2</v>
      </c>
      <c r="BN16" s="2">
        <v>1.5</v>
      </c>
    </row>
    <row r="17" s="2" customFormat="1" spans="1:66">
      <c r="A17" s="2">
        <v>11</v>
      </c>
      <c r="B17" s="23">
        <v>111011</v>
      </c>
      <c r="C17" s="23">
        <v>111011</v>
      </c>
      <c r="D17" s="24" t="s">
        <v>248</v>
      </c>
      <c r="E17" s="25" t="s">
        <v>248</v>
      </c>
      <c r="F17" s="25"/>
      <c r="G17" s="23">
        <v>1</v>
      </c>
      <c r="H17" s="2" t="s">
        <v>249</v>
      </c>
      <c r="I17" s="2" t="s">
        <v>250</v>
      </c>
      <c r="J17" s="2" t="s">
        <v>251</v>
      </c>
      <c r="K17" s="2" t="s">
        <v>136</v>
      </c>
      <c r="L17" s="2" t="s">
        <v>137</v>
      </c>
      <c r="M17" s="33" t="s">
        <v>252</v>
      </c>
      <c r="N17" s="31">
        <v>1</v>
      </c>
      <c r="O17" s="6">
        <v>1</v>
      </c>
      <c r="P17" s="34">
        <v>6</v>
      </c>
      <c r="Q17" s="34">
        <v>6</v>
      </c>
      <c r="R17" s="45">
        <v>8</v>
      </c>
      <c r="S17" s="31" t="s">
        <v>253</v>
      </c>
      <c r="T17" s="2">
        <v>2</v>
      </c>
      <c r="U17" s="2">
        <v>6</v>
      </c>
      <c r="V17" s="2">
        <v>1</v>
      </c>
      <c r="W17" s="2">
        <v>45</v>
      </c>
      <c r="X17" s="31" t="s">
        <v>254</v>
      </c>
      <c r="Y17" s="31" t="s">
        <v>255</v>
      </c>
      <c r="Z17" s="49">
        <v>610011</v>
      </c>
      <c r="AA17" s="49">
        <v>214005</v>
      </c>
      <c r="AB17" s="49">
        <v>10</v>
      </c>
      <c r="AC17" s="49">
        <v>10</v>
      </c>
      <c r="AD17" s="49">
        <v>10</v>
      </c>
      <c r="AE17" s="50">
        <v>83</v>
      </c>
      <c r="AF17" s="50">
        <v>13</v>
      </c>
      <c r="AG17" s="50">
        <v>187</v>
      </c>
      <c r="AH17" s="50">
        <v>36</v>
      </c>
      <c r="AI17" s="50">
        <v>0.009</v>
      </c>
      <c r="AJ17" s="58">
        <v>0.0096</v>
      </c>
      <c r="AK17" s="58">
        <v>1.0024</v>
      </c>
      <c r="AL17" s="58">
        <v>0.006</v>
      </c>
      <c r="AM17" s="59" t="s">
        <v>190</v>
      </c>
      <c r="AO17" s="2" t="s">
        <v>256</v>
      </c>
      <c r="AR17" s="2">
        <v>8</v>
      </c>
      <c r="AS17" s="2" t="s">
        <v>257</v>
      </c>
      <c r="AT17" s="69" t="s">
        <v>169</v>
      </c>
      <c r="AU17" s="31" t="s">
        <v>258</v>
      </c>
      <c r="AV17" s="2">
        <v>318</v>
      </c>
      <c r="AW17" s="45"/>
      <c r="AX17" s="45">
        <v>4</v>
      </c>
      <c r="AY17" s="34">
        <v>3</v>
      </c>
      <c r="AZ17" s="2">
        <v>318</v>
      </c>
      <c r="BA17" s="2">
        <v>4</v>
      </c>
      <c r="BB17" s="2">
        <v>10011</v>
      </c>
      <c r="BK17">
        <v>6</v>
      </c>
      <c r="BL17" s="9">
        <v>1.2</v>
      </c>
      <c r="BM17" s="9">
        <v>1.4</v>
      </c>
      <c r="BN17" s="2">
        <v>1.7</v>
      </c>
    </row>
    <row r="18" s="2" customFormat="1" spans="1:66">
      <c r="A18" s="2">
        <v>12</v>
      </c>
      <c r="B18" s="23">
        <v>111012</v>
      </c>
      <c r="C18" s="23">
        <v>111012</v>
      </c>
      <c r="D18" s="24" t="s">
        <v>259</v>
      </c>
      <c r="E18" s="23" t="s">
        <v>259</v>
      </c>
      <c r="F18" s="23"/>
      <c r="G18" s="23">
        <v>0</v>
      </c>
      <c r="H18" s="2" t="s">
        <v>260</v>
      </c>
      <c r="I18" s="2" t="s">
        <v>261</v>
      </c>
      <c r="J18" s="2" t="s">
        <v>262</v>
      </c>
      <c r="K18" s="2" t="s">
        <v>136</v>
      </c>
      <c r="L18" s="2" t="s">
        <v>263</v>
      </c>
      <c r="M18" s="33" t="s">
        <v>264</v>
      </c>
      <c r="N18" s="31">
        <v>1</v>
      </c>
      <c r="O18" s="6">
        <v>1</v>
      </c>
      <c r="P18" s="34">
        <v>3</v>
      </c>
      <c r="Q18" s="34">
        <v>3</v>
      </c>
      <c r="R18" s="45">
        <v>5</v>
      </c>
      <c r="S18" s="31" t="s">
        <v>253</v>
      </c>
      <c r="T18" s="2">
        <v>2</v>
      </c>
      <c r="U18" s="2">
        <v>6</v>
      </c>
      <c r="V18" s="2">
        <v>1</v>
      </c>
      <c r="W18" s="2">
        <v>31</v>
      </c>
      <c r="X18" s="31" t="s">
        <v>265</v>
      </c>
      <c r="Y18" s="31" t="s">
        <v>266</v>
      </c>
      <c r="Z18" s="49">
        <v>610012</v>
      </c>
      <c r="AA18" s="49">
        <v>214005</v>
      </c>
      <c r="AB18" s="49">
        <v>10</v>
      </c>
      <c r="AC18" s="49">
        <v>10</v>
      </c>
      <c r="AD18" s="49">
        <v>10</v>
      </c>
      <c r="AE18" s="50">
        <v>138</v>
      </c>
      <c r="AF18" s="50">
        <v>10</v>
      </c>
      <c r="AG18" s="50">
        <v>176</v>
      </c>
      <c r="AH18" s="50">
        <v>29</v>
      </c>
      <c r="AI18" s="50">
        <v>0.0108</v>
      </c>
      <c r="AJ18" s="58" t="s">
        <v>154</v>
      </c>
      <c r="AK18" s="58">
        <v>1.0096</v>
      </c>
      <c r="AL18" s="58" t="s">
        <v>154</v>
      </c>
      <c r="AM18" s="59" t="s">
        <v>267</v>
      </c>
      <c r="AR18" s="2">
        <v>8</v>
      </c>
      <c r="AS18" s="2" t="s">
        <v>268</v>
      </c>
      <c r="AT18" s="69" t="s">
        <v>169</v>
      </c>
      <c r="AU18" s="31" t="s">
        <v>269</v>
      </c>
      <c r="AV18" s="2" t="s">
        <v>270</v>
      </c>
      <c r="AW18" s="45"/>
      <c r="AX18" s="45">
        <v>4</v>
      </c>
      <c r="AY18" s="34">
        <v>4</v>
      </c>
      <c r="AZ18" s="2">
        <v>212</v>
      </c>
      <c r="BA18" s="2">
        <v>4</v>
      </c>
      <c r="BB18" s="2">
        <v>10012</v>
      </c>
      <c r="BK18">
        <v>7</v>
      </c>
      <c r="BL18" s="2">
        <v>1.2</v>
      </c>
      <c r="BM18" s="2">
        <v>1.4</v>
      </c>
      <c r="BN18" s="2">
        <v>1.7</v>
      </c>
    </row>
    <row r="19" s="2" customFormat="1" spans="1:66">
      <c r="A19" s="2">
        <v>13</v>
      </c>
      <c r="B19" s="23">
        <v>111013</v>
      </c>
      <c r="C19" s="23">
        <v>111013</v>
      </c>
      <c r="D19" s="24" t="s">
        <v>271</v>
      </c>
      <c r="E19" s="23" t="s">
        <v>271</v>
      </c>
      <c r="F19" s="23"/>
      <c r="G19" s="23">
        <v>0</v>
      </c>
      <c r="H19" s="2" t="s">
        <v>272</v>
      </c>
      <c r="I19" s="2" t="s">
        <v>273</v>
      </c>
      <c r="J19" s="2" t="s">
        <v>222</v>
      </c>
      <c r="K19" s="2" t="s">
        <v>136</v>
      </c>
      <c r="L19" s="2" t="s">
        <v>274</v>
      </c>
      <c r="M19" s="33" t="s">
        <v>275</v>
      </c>
      <c r="N19" s="31">
        <v>1</v>
      </c>
      <c r="O19" s="6">
        <v>1</v>
      </c>
      <c r="P19" s="34">
        <v>3</v>
      </c>
      <c r="Q19" s="34">
        <v>3</v>
      </c>
      <c r="R19" s="45">
        <v>3</v>
      </c>
      <c r="S19" s="31" t="s">
        <v>276</v>
      </c>
      <c r="T19" s="2">
        <v>2</v>
      </c>
      <c r="U19" s="2">
        <v>6</v>
      </c>
      <c r="V19" s="2">
        <v>1</v>
      </c>
      <c r="W19" s="2">
        <v>44</v>
      </c>
      <c r="X19" s="31" t="s">
        <v>277</v>
      </c>
      <c r="Y19" s="31" t="s">
        <v>278</v>
      </c>
      <c r="Z19" s="49">
        <v>610013</v>
      </c>
      <c r="AA19" s="49">
        <v>214005</v>
      </c>
      <c r="AB19" s="49">
        <v>10</v>
      </c>
      <c r="AC19" s="49">
        <v>10</v>
      </c>
      <c r="AD19" s="49">
        <v>10</v>
      </c>
      <c r="AE19" s="50">
        <v>84</v>
      </c>
      <c r="AF19" s="50">
        <v>13</v>
      </c>
      <c r="AG19" s="50">
        <v>272</v>
      </c>
      <c r="AH19" s="50">
        <v>16</v>
      </c>
      <c r="AI19" s="50" t="s">
        <v>154</v>
      </c>
      <c r="AJ19" s="58">
        <v>0.012</v>
      </c>
      <c r="AK19" s="58">
        <v>1.006</v>
      </c>
      <c r="AL19" s="58">
        <v>0.006</v>
      </c>
      <c r="AM19" s="59" t="s">
        <v>155</v>
      </c>
      <c r="AR19" s="2">
        <v>8</v>
      </c>
      <c r="AS19" s="2" t="s">
        <v>279</v>
      </c>
      <c r="AT19" s="69" t="s">
        <v>169</v>
      </c>
      <c r="AU19" s="31" t="s">
        <v>280</v>
      </c>
      <c r="AV19" s="2">
        <v>233</v>
      </c>
      <c r="AW19" s="45"/>
      <c r="AX19" s="45">
        <v>2</v>
      </c>
      <c r="AY19" s="34">
        <v>1</v>
      </c>
      <c r="AZ19" s="2">
        <v>216</v>
      </c>
      <c r="BA19" s="2">
        <v>3</v>
      </c>
      <c r="BB19" s="2">
        <v>10013</v>
      </c>
      <c r="BK19">
        <v>8</v>
      </c>
      <c r="BL19" s="2">
        <v>1.2</v>
      </c>
      <c r="BM19" s="2">
        <v>1.6</v>
      </c>
      <c r="BN19" s="2">
        <v>2</v>
      </c>
    </row>
    <row r="20" s="2" customFormat="1" spans="1:54">
      <c r="A20" s="2">
        <v>14</v>
      </c>
      <c r="B20" s="23">
        <v>111014</v>
      </c>
      <c r="C20" s="23">
        <v>111014</v>
      </c>
      <c r="D20" s="24" t="s">
        <v>281</v>
      </c>
      <c r="E20" s="23" t="s">
        <v>281</v>
      </c>
      <c r="F20" s="23"/>
      <c r="G20" s="23">
        <v>0</v>
      </c>
      <c r="H20" s="2" t="s">
        <v>282</v>
      </c>
      <c r="I20" s="2" t="s">
        <v>283</v>
      </c>
      <c r="J20" s="2" t="s">
        <v>162</v>
      </c>
      <c r="K20" s="2" t="s">
        <v>136</v>
      </c>
      <c r="L20" s="2" t="s">
        <v>137</v>
      </c>
      <c r="M20" s="33" t="s">
        <v>284</v>
      </c>
      <c r="N20" s="31">
        <v>1</v>
      </c>
      <c r="O20" s="6">
        <v>1</v>
      </c>
      <c r="P20" s="34">
        <v>6</v>
      </c>
      <c r="Q20" s="34">
        <v>6</v>
      </c>
      <c r="R20" s="45">
        <v>5</v>
      </c>
      <c r="S20" s="31" t="s">
        <v>253</v>
      </c>
      <c r="T20" s="2">
        <v>2</v>
      </c>
      <c r="U20" s="2">
        <v>6</v>
      </c>
      <c r="V20" s="2">
        <v>1</v>
      </c>
      <c r="W20" s="2">
        <v>30</v>
      </c>
      <c r="X20" s="31" t="s">
        <v>285</v>
      </c>
      <c r="Y20" s="31" t="s">
        <v>286</v>
      </c>
      <c r="Z20" s="49">
        <v>610014</v>
      </c>
      <c r="AA20" s="49">
        <v>214005</v>
      </c>
      <c r="AB20" s="49">
        <v>10</v>
      </c>
      <c r="AC20" s="49">
        <v>10</v>
      </c>
      <c r="AD20" s="49">
        <v>10</v>
      </c>
      <c r="AE20" s="50">
        <v>116</v>
      </c>
      <c r="AF20" s="50">
        <v>9</v>
      </c>
      <c r="AG20" s="50">
        <v>152</v>
      </c>
      <c r="AH20" s="50">
        <v>40</v>
      </c>
      <c r="AI20" s="50">
        <v>0.0108</v>
      </c>
      <c r="AJ20" s="58" t="s">
        <v>154</v>
      </c>
      <c r="AK20" s="58">
        <v>1.0096</v>
      </c>
      <c r="AL20" s="58" t="s">
        <v>154</v>
      </c>
      <c r="AM20" s="59" t="s">
        <v>267</v>
      </c>
      <c r="AR20" s="2">
        <v>8</v>
      </c>
      <c r="AS20" s="2" t="s">
        <v>287</v>
      </c>
      <c r="AT20" s="69" t="s">
        <v>169</v>
      </c>
      <c r="AU20" s="31" t="s">
        <v>288</v>
      </c>
      <c r="AV20" s="2">
        <v>226</v>
      </c>
      <c r="AW20" s="45"/>
      <c r="AX20" s="45">
        <v>4</v>
      </c>
      <c r="AY20" s="34">
        <v>2</v>
      </c>
      <c r="AZ20" s="2">
        <v>209</v>
      </c>
      <c r="BA20" s="2">
        <v>4</v>
      </c>
      <c r="BB20" s="2">
        <v>10014</v>
      </c>
    </row>
    <row r="21" s="2" customFormat="1" spans="1:54">
      <c r="A21" s="2">
        <v>15</v>
      </c>
      <c r="B21" s="23">
        <v>111015</v>
      </c>
      <c r="C21" s="23">
        <v>111015</v>
      </c>
      <c r="D21" s="24" t="s">
        <v>289</v>
      </c>
      <c r="E21" s="23" t="s">
        <v>290</v>
      </c>
      <c r="F21" s="23"/>
      <c r="G21" s="23">
        <v>1</v>
      </c>
      <c r="H21" s="2" t="s">
        <v>291</v>
      </c>
      <c r="I21" s="2" t="s">
        <v>292</v>
      </c>
      <c r="J21" s="2" t="s">
        <v>251</v>
      </c>
      <c r="K21" s="2" t="s">
        <v>136</v>
      </c>
      <c r="L21" s="2" t="s">
        <v>137</v>
      </c>
      <c r="M21" s="33" t="s">
        <v>293</v>
      </c>
      <c r="N21" s="31">
        <v>1</v>
      </c>
      <c r="O21" s="6">
        <v>1</v>
      </c>
      <c r="P21" s="34">
        <v>6</v>
      </c>
      <c r="Q21" s="34">
        <v>6</v>
      </c>
      <c r="R21" s="45">
        <v>5</v>
      </c>
      <c r="S21" s="31" t="s">
        <v>253</v>
      </c>
      <c r="T21" s="2">
        <v>2</v>
      </c>
      <c r="U21" s="2">
        <v>6</v>
      </c>
      <c r="V21" s="2">
        <v>1</v>
      </c>
      <c r="W21" s="2">
        <v>33</v>
      </c>
      <c r="X21" s="31" t="s">
        <v>294</v>
      </c>
      <c r="Y21" s="31" t="s">
        <v>295</v>
      </c>
      <c r="Z21" s="49">
        <v>610015</v>
      </c>
      <c r="AA21" s="49">
        <v>214005</v>
      </c>
      <c r="AB21" s="49">
        <v>10</v>
      </c>
      <c r="AC21" s="49">
        <v>10</v>
      </c>
      <c r="AD21" s="49">
        <v>10</v>
      </c>
      <c r="AE21" s="50">
        <v>67</v>
      </c>
      <c r="AF21" s="50">
        <v>13</v>
      </c>
      <c r="AG21" s="50">
        <v>217</v>
      </c>
      <c r="AH21" s="50">
        <v>23</v>
      </c>
      <c r="AI21" s="50">
        <v>0.009</v>
      </c>
      <c r="AJ21" s="58">
        <v>0.0096</v>
      </c>
      <c r="AK21" s="58">
        <v>1.0024</v>
      </c>
      <c r="AL21" s="58">
        <v>0.006</v>
      </c>
      <c r="AM21" s="59" t="s">
        <v>190</v>
      </c>
      <c r="AR21" s="2">
        <v>8</v>
      </c>
      <c r="AS21" s="2" t="s">
        <v>296</v>
      </c>
      <c r="AT21" s="69" t="s">
        <v>169</v>
      </c>
      <c r="AU21" s="31" t="s">
        <v>297</v>
      </c>
      <c r="AV21" s="2">
        <v>237</v>
      </c>
      <c r="AW21" s="45"/>
      <c r="AX21" s="45">
        <v>4</v>
      </c>
      <c r="AY21" s="34">
        <v>3</v>
      </c>
      <c r="AZ21" s="2">
        <v>220</v>
      </c>
      <c r="BA21" s="2">
        <v>4</v>
      </c>
      <c r="BB21" s="2">
        <v>10015</v>
      </c>
    </row>
    <row r="22" s="2" customFormat="1" spans="1:54">
      <c r="A22" s="2">
        <v>16</v>
      </c>
      <c r="B22" s="23">
        <v>111016</v>
      </c>
      <c r="C22" s="23">
        <v>111016</v>
      </c>
      <c r="D22" s="24" t="s">
        <v>298</v>
      </c>
      <c r="E22" s="23" t="s">
        <v>298</v>
      </c>
      <c r="F22" s="23"/>
      <c r="G22" s="23">
        <v>0</v>
      </c>
      <c r="H22" s="2" t="s">
        <v>299</v>
      </c>
      <c r="J22" s="2">
        <v>0</v>
      </c>
      <c r="K22" s="2">
        <v>0</v>
      </c>
      <c r="L22" s="2">
        <v>0</v>
      </c>
      <c r="M22" s="33"/>
      <c r="N22" s="31">
        <v>0</v>
      </c>
      <c r="O22" s="6">
        <v>1</v>
      </c>
      <c r="P22" s="34">
        <v>4</v>
      </c>
      <c r="Q22" s="34">
        <v>4</v>
      </c>
      <c r="R22" s="45">
        <v>4</v>
      </c>
      <c r="S22" s="31" t="s">
        <v>300</v>
      </c>
      <c r="T22" s="2">
        <v>2</v>
      </c>
      <c r="U22" s="2">
        <v>6</v>
      </c>
      <c r="V22" s="2">
        <v>1</v>
      </c>
      <c r="W22" s="2">
        <v>49</v>
      </c>
      <c r="X22" s="31" t="s">
        <v>301</v>
      </c>
      <c r="Z22" s="49">
        <v>9999</v>
      </c>
      <c r="AA22" s="49">
        <v>214005</v>
      </c>
      <c r="AB22" s="49">
        <v>10</v>
      </c>
      <c r="AC22" s="49">
        <v>10</v>
      </c>
      <c r="AD22" s="49">
        <v>10</v>
      </c>
      <c r="AE22" s="50">
        <v>40</v>
      </c>
      <c r="AF22" s="50">
        <v>12</v>
      </c>
      <c r="AG22" s="50">
        <v>302</v>
      </c>
      <c r="AH22" s="50">
        <v>10</v>
      </c>
      <c r="AI22" s="50" t="s">
        <v>154</v>
      </c>
      <c r="AJ22" s="58">
        <v>0.012</v>
      </c>
      <c r="AK22" s="58">
        <v>1.006</v>
      </c>
      <c r="AL22" s="58">
        <v>0.006</v>
      </c>
      <c r="AM22" s="59" t="s">
        <v>155</v>
      </c>
      <c r="AR22" s="2">
        <v>8</v>
      </c>
      <c r="AT22" s="69" t="s">
        <v>169</v>
      </c>
      <c r="AU22" s="31" t="s">
        <v>297</v>
      </c>
      <c r="AW22" s="45"/>
      <c r="AX22" s="45">
        <v>4</v>
      </c>
      <c r="AY22" s="34">
        <v>4</v>
      </c>
      <c r="BB22" s="38">
        <v>90001</v>
      </c>
    </row>
    <row r="23" s="2" customFormat="1" spans="1:54">
      <c r="A23" s="2">
        <v>17</v>
      </c>
      <c r="B23" s="23">
        <v>111017</v>
      </c>
      <c r="C23" s="23">
        <v>111017</v>
      </c>
      <c r="D23" s="24" t="s">
        <v>302</v>
      </c>
      <c r="E23" s="23" t="s">
        <v>302</v>
      </c>
      <c r="F23" s="23"/>
      <c r="G23" s="23">
        <v>0</v>
      </c>
      <c r="H23" s="2" t="s">
        <v>303</v>
      </c>
      <c r="J23" s="2">
        <v>0</v>
      </c>
      <c r="K23" s="2">
        <v>0</v>
      </c>
      <c r="L23" s="2">
        <v>0</v>
      </c>
      <c r="M23" s="33"/>
      <c r="N23" s="31">
        <v>0</v>
      </c>
      <c r="O23" s="6">
        <v>1</v>
      </c>
      <c r="P23" s="34">
        <v>4</v>
      </c>
      <c r="Q23" s="34">
        <v>4</v>
      </c>
      <c r="R23" s="45">
        <v>4</v>
      </c>
      <c r="S23" s="31" t="s">
        <v>300</v>
      </c>
      <c r="T23" s="2">
        <v>2</v>
      </c>
      <c r="U23" s="2">
        <v>6</v>
      </c>
      <c r="V23" s="2">
        <v>1</v>
      </c>
      <c r="W23" s="2">
        <v>1089</v>
      </c>
      <c r="X23" s="31" t="s">
        <v>304</v>
      </c>
      <c r="Z23" s="49">
        <v>9999</v>
      </c>
      <c r="AA23" s="49">
        <v>214005</v>
      </c>
      <c r="AB23" s="49">
        <v>10</v>
      </c>
      <c r="AC23" s="49">
        <v>10</v>
      </c>
      <c r="AD23" s="49">
        <v>10</v>
      </c>
      <c r="AE23" s="50">
        <v>40</v>
      </c>
      <c r="AF23" s="50">
        <v>12</v>
      </c>
      <c r="AG23" s="50">
        <v>302</v>
      </c>
      <c r="AH23" s="50">
        <v>10</v>
      </c>
      <c r="AI23" s="50" t="s">
        <v>154</v>
      </c>
      <c r="AJ23" s="58">
        <v>0.012</v>
      </c>
      <c r="AK23" s="58">
        <v>1.006</v>
      </c>
      <c r="AL23" s="58">
        <v>0.006</v>
      </c>
      <c r="AM23" s="59" t="s">
        <v>155</v>
      </c>
      <c r="AR23" s="2">
        <v>8</v>
      </c>
      <c r="AT23" s="69" t="s">
        <v>169</v>
      </c>
      <c r="AU23" s="31" t="s">
        <v>297</v>
      </c>
      <c r="AW23" s="45"/>
      <c r="AX23" s="45">
        <v>4</v>
      </c>
      <c r="AY23" s="34"/>
      <c r="BB23" s="38">
        <v>90002</v>
      </c>
    </row>
    <row r="24" s="2" customFormat="1" spans="1:54">
      <c r="A24" s="2">
        <v>18</v>
      </c>
      <c r="B24" s="23">
        <v>111018</v>
      </c>
      <c r="C24" s="23">
        <v>111018</v>
      </c>
      <c r="D24" s="24" t="s">
        <v>305</v>
      </c>
      <c r="E24" s="25" t="s">
        <v>305</v>
      </c>
      <c r="F24" s="25"/>
      <c r="G24" s="23">
        <v>0</v>
      </c>
      <c r="H24" s="2" t="s">
        <v>299</v>
      </c>
      <c r="I24" s="2" t="s">
        <v>306</v>
      </c>
      <c r="J24" s="2" t="s">
        <v>150</v>
      </c>
      <c r="K24" s="2" t="s">
        <v>136</v>
      </c>
      <c r="L24" s="2" t="s">
        <v>137</v>
      </c>
      <c r="M24" s="33" t="s">
        <v>307</v>
      </c>
      <c r="N24" s="31">
        <v>1</v>
      </c>
      <c r="O24" s="6">
        <v>1</v>
      </c>
      <c r="P24" s="34">
        <v>5</v>
      </c>
      <c r="Q24" s="34">
        <v>5</v>
      </c>
      <c r="R24" s="45">
        <v>8</v>
      </c>
      <c r="S24" s="31" t="s">
        <v>308</v>
      </c>
      <c r="T24" s="2">
        <v>2</v>
      </c>
      <c r="U24" s="2">
        <v>6</v>
      </c>
      <c r="V24" s="2">
        <v>1</v>
      </c>
      <c r="W24" s="2">
        <v>2015</v>
      </c>
      <c r="X24" s="31" t="s">
        <v>309</v>
      </c>
      <c r="Y24" s="31" t="s">
        <v>310</v>
      </c>
      <c r="Z24" s="49">
        <v>610018</v>
      </c>
      <c r="AA24" s="49">
        <v>214005</v>
      </c>
      <c r="AB24" s="49">
        <v>10</v>
      </c>
      <c r="AC24" s="49">
        <v>10</v>
      </c>
      <c r="AD24" s="49">
        <v>10</v>
      </c>
      <c r="AE24" s="50">
        <v>116</v>
      </c>
      <c r="AF24" s="50">
        <v>11</v>
      </c>
      <c r="AG24" s="50">
        <v>211</v>
      </c>
      <c r="AH24" s="50">
        <v>30</v>
      </c>
      <c r="AI24" s="50" t="s">
        <v>154</v>
      </c>
      <c r="AJ24" s="58">
        <v>0.012</v>
      </c>
      <c r="AK24" s="58">
        <v>1.006</v>
      </c>
      <c r="AL24" s="58">
        <v>0.006</v>
      </c>
      <c r="AM24" s="59" t="s">
        <v>155</v>
      </c>
      <c r="AN24" s="2" t="s">
        <v>311</v>
      </c>
      <c r="AO24" s="2" t="s">
        <v>312</v>
      </c>
      <c r="AR24" s="2">
        <v>8</v>
      </c>
      <c r="AS24" s="2" t="s">
        <v>313</v>
      </c>
      <c r="AT24" s="69" t="s">
        <v>169</v>
      </c>
      <c r="AU24" s="31" t="s">
        <v>297</v>
      </c>
      <c r="AW24" s="45"/>
      <c r="AX24" s="45">
        <v>2</v>
      </c>
      <c r="AY24" s="34"/>
      <c r="BA24" s="2">
        <v>3</v>
      </c>
      <c r="BB24" s="2">
        <v>10016</v>
      </c>
    </row>
    <row r="25" s="3" customFormat="1" spans="1:54">
      <c r="A25" s="2">
        <v>19</v>
      </c>
      <c r="B25" s="27">
        <v>112001</v>
      </c>
      <c r="C25" s="27">
        <v>112001</v>
      </c>
      <c r="D25" s="24" t="s">
        <v>314</v>
      </c>
      <c r="E25" s="27" t="s">
        <v>314</v>
      </c>
      <c r="F25" s="27"/>
      <c r="G25" s="27">
        <v>0</v>
      </c>
      <c r="H25" s="2" t="s">
        <v>315</v>
      </c>
      <c r="I25" s="2" t="s">
        <v>316</v>
      </c>
      <c r="J25" s="2" t="s">
        <v>150</v>
      </c>
      <c r="K25" s="2" t="s">
        <v>136</v>
      </c>
      <c r="L25" s="2" t="s">
        <v>317</v>
      </c>
      <c r="M25" s="35" t="s">
        <v>318</v>
      </c>
      <c r="N25" s="24">
        <v>1</v>
      </c>
      <c r="O25" s="6">
        <v>1</v>
      </c>
      <c r="P25" s="36">
        <v>3</v>
      </c>
      <c r="Q25" s="36">
        <v>3</v>
      </c>
      <c r="R25" s="46">
        <v>1</v>
      </c>
      <c r="S25" s="31" t="s">
        <v>319</v>
      </c>
      <c r="T25" s="3">
        <v>3</v>
      </c>
      <c r="U25" s="3">
        <v>7</v>
      </c>
      <c r="V25" s="3">
        <v>2</v>
      </c>
      <c r="W25" s="3">
        <v>1</v>
      </c>
      <c r="X25" s="24" t="s">
        <v>320</v>
      </c>
      <c r="Y25" s="24" t="s">
        <v>321</v>
      </c>
      <c r="Z25" s="51">
        <v>620001</v>
      </c>
      <c r="AA25" s="51">
        <v>214005</v>
      </c>
      <c r="AB25" s="51">
        <v>30</v>
      </c>
      <c r="AC25" s="51">
        <v>30</v>
      </c>
      <c r="AD25" s="51">
        <v>30</v>
      </c>
      <c r="AE25" s="52">
        <v>97</v>
      </c>
      <c r="AF25" s="52">
        <v>15</v>
      </c>
      <c r="AG25" s="52">
        <v>314</v>
      </c>
      <c r="AH25" s="52">
        <v>45</v>
      </c>
      <c r="AI25" s="52" t="s">
        <v>154</v>
      </c>
      <c r="AJ25" s="60">
        <v>0.016</v>
      </c>
      <c r="AK25" s="60">
        <v>1.008</v>
      </c>
      <c r="AL25" s="60">
        <v>0.008</v>
      </c>
      <c r="AM25" s="61" t="s">
        <v>322</v>
      </c>
      <c r="AN25" s="3" t="s">
        <v>323</v>
      </c>
      <c r="AO25" s="3" t="s">
        <v>324</v>
      </c>
      <c r="AR25" s="3">
        <v>8</v>
      </c>
      <c r="AS25" s="3" t="s">
        <v>325</v>
      </c>
      <c r="AT25" s="70" t="s">
        <v>206</v>
      </c>
      <c r="AU25" s="35" t="s">
        <v>326</v>
      </c>
      <c r="AV25" s="71">
        <v>5</v>
      </c>
      <c r="AW25" s="46">
        <v>9</v>
      </c>
      <c r="AX25" s="45">
        <v>2</v>
      </c>
      <c r="AY25" s="39"/>
      <c r="AZ25" s="3">
        <v>5</v>
      </c>
      <c r="BA25" s="3">
        <v>1</v>
      </c>
      <c r="BB25" s="3">
        <v>1001</v>
      </c>
    </row>
    <row r="26" s="3" customFormat="1" spans="1:54">
      <c r="A26" s="2">
        <v>20</v>
      </c>
      <c r="B26" s="27">
        <v>112002</v>
      </c>
      <c r="C26" s="27">
        <v>112002</v>
      </c>
      <c r="D26" s="24" t="s">
        <v>327</v>
      </c>
      <c r="E26" s="27" t="s">
        <v>327</v>
      </c>
      <c r="F26" s="27"/>
      <c r="G26" s="27">
        <v>0</v>
      </c>
      <c r="H26" s="2" t="s">
        <v>328</v>
      </c>
      <c r="I26" s="2" t="s">
        <v>329</v>
      </c>
      <c r="J26" s="2" t="s">
        <v>162</v>
      </c>
      <c r="K26" s="2" t="s">
        <v>136</v>
      </c>
      <c r="L26" s="2" t="s">
        <v>137</v>
      </c>
      <c r="M26" s="35" t="s">
        <v>330</v>
      </c>
      <c r="N26" s="24">
        <v>1</v>
      </c>
      <c r="O26" s="6">
        <v>1</v>
      </c>
      <c r="P26" s="36">
        <v>5</v>
      </c>
      <c r="Q26" s="36">
        <v>5</v>
      </c>
      <c r="R26" s="46">
        <v>1</v>
      </c>
      <c r="S26" s="31" t="s">
        <v>319</v>
      </c>
      <c r="T26" s="3">
        <v>3</v>
      </c>
      <c r="U26" s="3">
        <v>7</v>
      </c>
      <c r="V26" s="3">
        <v>2</v>
      </c>
      <c r="W26" s="3">
        <v>2</v>
      </c>
      <c r="X26" s="24" t="s">
        <v>331</v>
      </c>
      <c r="Y26" s="24" t="s">
        <v>332</v>
      </c>
      <c r="Z26" s="51">
        <v>620002</v>
      </c>
      <c r="AA26" s="51">
        <v>214005</v>
      </c>
      <c r="AB26" s="51">
        <v>30</v>
      </c>
      <c r="AC26" s="51">
        <v>30</v>
      </c>
      <c r="AD26" s="51">
        <v>30</v>
      </c>
      <c r="AE26" s="52">
        <v>127</v>
      </c>
      <c r="AF26" s="52">
        <v>12</v>
      </c>
      <c r="AG26" s="52">
        <v>276</v>
      </c>
      <c r="AH26" s="52">
        <v>55</v>
      </c>
      <c r="AI26" s="52">
        <v>0.0128</v>
      </c>
      <c r="AJ26" s="60">
        <v>0.008</v>
      </c>
      <c r="AK26" s="60">
        <v>1.016</v>
      </c>
      <c r="AL26" s="60" t="s">
        <v>154</v>
      </c>
      <c r="AM26" s="61" t="s">
        <v>333</v>
      </c>
      <c r="AN26" s="3" t="s">
        <v>334</v>
      </c>
      <c r="AO26" s="3" t="s">
        <v>335</v>
      </c>
      <c r="AR26" s="3">
        <v>8</v>
      </c>
      <c r="AS26" s="3" t="s">
        <v>336</v>
      </c>
      <c r="AT26" s="70" t="s">
        <v>206</v>
      </c>
      <c r="AU26" s="35" t="s">
        <v>337</v>
      </c>
      <c r="AV26" s="71">
        <v>31</v>
      </c>
      <c r="AW26" s="46">
        <v>9</v>
      </c>
      <c r="AX26" s="45">
        <v>2</v>
      </c>
      <c r="AY26" s="39"/>
      <c r="AZ26" s="3">
        <v>16</v>
      </c>
      <c r="BA26" s="3">
        <v>1</v>
      </c>
      <c r="BB26" s="3">
        <v>1002</v>
      </c>
    </row>
    <row r="27" s="3" customFormat="1" spans="1:54">
      <c r="A27" s="2">
        <v>21</v>
      </c>
      <c r="B27" s="27">
        <v>112003</v>
      </c>
      <c r="C27" s="27">
        <v>112003</v>
      </c>
      <c r="D27" s="24" t="s">
        <v>338</v>
      </c>
      <c r="E27" s="27" t="s">
        <v>338</v>
      </c>
      <c r="F27" s="27"/>
      <c r="G27" s="27">
        <v>1</v>
      </c>
      <c r="H27" s="2" t="s">
        <v>339</v>
      </c>
      <c r="I27" s="2" t="s">
        <v>340</v>
      </c>
      <c r="J27" s="2" t="s">
        <v>186</v>
      </c>
      <c r="K27" s="2" t="s">
        <v>136</v>
      </c>
      <c r="L27" s="2" t="s">
        <v>137</v>
      </c>
      <c r="M27" s="35" t="s">
        <v>341</v>
      </c>
      <c r="N27" s="24">
        <v>1</v>
      </c>
      <c r="O27" s="6">
        <v>1</v>
      </c>
      <c r="P27" s="36">
        <v>6</v>
      </c>
      <c r="Q27" s="36">
        <v>6</v>
      </c>
      <c r="R27" s="46">
        <v>1</v>
      </c>
      <c r="S27" s="31" t="s">
        <v>319</v>
      </c>
      <c r="T27" s="3">
        <v>3</v>
      </c>
      <c r="U27" s="3">
        <v>7</v>
      </c>
      <c r="V27" s="3">
        <v>2</v>
      </c>
      <c r="W27" s="3">
        <v>5</v>
      </c>
      <c r="X27" s="24" t="s">
        <v>342</v>
      </c>
      <c r="Y27" s="24" t="s">
        <v>343</v>
      </c>
      <c r="Z27" s="51">
        <v>620003</v>
      </c>
      <c r="AA27" s="51">
        <v>214005</v>
      </c>
      <c r="AB27" s="51">
        <v>30</v>
      </c>
      <c r="AC27" s="51">
        <v>30</v>
      </c>
      <c r="AD27" s="51">
        <v>30</v>
      </c>
      <c r="AE27" s="52">
        <v>155</v>
      </c>
      <c r="AF27" s="52">
        <v>12</v>
      </c>
      <c r="AG27" s="52">
        <v>200</v>
      </c>
      <c r="AH27" s="52">
        <v>60</v>
      </c>
      <c r="AI27" s="52">
        <v>0.0144</v>
      </c>
      <c r="AJ27" s="60" t="s">
        <v>154</v>
      </c>
      <c r="AK27" s="60">
        <v>1.0128</v>
      </c>
      <c r="AL27" s="60" t="s">
        <v>154</v>
      </c>
      <c r="AM27" s="61" t="s">
        <v>344</v>
      </c>
      <c r="AN27" s="3" t="s">
        <v>345</v>
      </c>
      <c r="AO27" s="3" t="s">
        <v>346</v>
      </c>
      <c r="AR27" s="3">
        <v>8</v>
      </c>
      <c r="AS27" s="3" t="s">
        <v>347</v>
      </c>
      <c r="AT27" s="70" t="s">
        <v>169</v>
      </c>
      <c r="AU27" s="35" t="s">
        <v>348</v>
      </c>
      <c r="AV27" s="71" t="s">
        <v>349</v>
      </c>
      <c r="AW27" s="46"/>
      <c r="AX27" s="45">
        <v>2</v>
      </c>
      <c r="AY27" s="39"/>
      <c r="AZ27" s="3">
        <v>37</v>
      </c>
      <c r="BA27" s="3">
        <v>1</v>
      </c>
      <c r="BB27" s="3">
        <v>1003</v>
      </c>
    </row>
    <row r="28" s="3" customFormat="1" spans="1:54">
      <c r="A28" s="2">
        <v>22</v>
      </c>
      <c r="B28" s="27">
        <v>112004</v>
      </c>
      <c r="C28" s="27">
        <v>112004</v>
      </c>
      <c r="D28" s="24" t="s">
        <v>350</v>
      </c>
      <c r="E28" s="27" t="s">
        <v>350</v>
      </c>
      <c r="F28" s="27"/>
      <c r="G28" s="27">
        <v>0</v>
      </c>
      <c r="H28" s="2" t="s">
        <v>351</v>
      </c>
      <c r="I28" s="2" t="s">
        <v>352</v>
      </c>
      <c r="J28" s="2" t="s">
        <v>353</v>
      </c>
      <c r="K28" s="2" t="s">
        <v>354</v>
      </c>
      <c r="L28" s="2" t="s">
        <v>137</v>
      </c>
      <c r="M28" s="35" t="s">
        <v>355</v>
      </c>
      <c r="N28" s="24">
        <v>1</v>
      </c>
      <c r="O28" s="6">
        <v>1</v>
      </c>
      <c r="P28" s="36">
        <v>6</v>
      </c>
      <c r="Q28" s="36">
        <v>6</v>
      </c>
      <c r="R28" s="46">
        <v>1</v>
      </c>
      <c r="S28" s="31" t="s">
        <v>319</v>
      </c>
      <c r="T28" s="3">
        <v>3</v>
      </c>
      <c r="U28" s="3">
        <v>7</v>
      </c>
      <c r="V28" s="3">
        <v>2</v>
      </c>
      <c r="W28" s="3">
        <v>4</v>
      </c>
      <c r="X28" s="24" t="s">
        <v>356</v>
      </c>
      <c r="Y28" s="24" t="s">
        <v>357</v>
      </c>
      <c r="Z28" s="51">
        <v>620004</v>
      </c>
      <c r="AA28" s="51">
        <v>214005</v>
      </c>
      <c r="AB28" s="51">
        <v>30</v>
      </c>
      <c r="AC28" s="51">
        <v>30</v>
      </c>
      <c r="AD28" s="51">
        <v>30</v>
      </c>
      <c r="AE28" s="52">
        <v>145</v>
      </c>
      <c r="AF28" s="52">
        <v>11</v>
      </c>
      <c r="AG28" s="52">
        <v>156</v>
      </c>
      <c r="AH28" s="52">
        <v>90</v>
      </c>
      <c r="AI28" s="52">
        <v>0.0112</v>
      </c>
      <c r="AJ28" s="60" t="s">
        <v>154</v>
      </c>
      <c r="AK28" s="60">
        <v>1.016</v>
      </c>
      <c r="AL28" s="60">
        <v>0.0048</v>
      </c>
      <c r="AM28" s="61" t="s">
        <v>358</v>
      </c>
      <c r="AN28" s="3" t="s">
        <v>359</v>
      </c>
      <c r="AO28" s="3" t="s">
        <v>360</v>
      </c>
      <c r="AR28" s="3">
        <v>8</v>
      </c>
      <c r="AS28" s="3" t="s">
        <v>361</v>
      </c>
      <c r="AT28" s="70" t="s">
        <v>169</v>
      </c>
      <c r="AU28" s="35" t="s">
        <v>362</v>
      </c>
      <c r="AV28" s="71">
        <v>62</v>
      </c>
      <c r="AW28" s="46"/>
      <c r="AX28" s="45">
        <v>2</v>
      </c>
      <c r="AY28" s="39"/>
      <c r="AZ28" s="3">
        <v>32</v>
      </c>
      <c r="BA28" s="3">
        <v>1</v>
      </c>
      <c r="BB28" s="3">
        <v>1004</v>
      </c>
    </row>
    <row r="29" s="3" customFormat="1" spans="1:54">
      <c r="A29" s="2">
        <v>23</v>
      </c>
      <c r="B29" s="27">
        <v>112005</v>
      </c>
      <c r="C29" s="27">
        <v>112005</v>
      </c>
      <c r="D29" s="24" t="s">
        <v>363</v>
      </c>
      <c r="E29" s="27" t="s">
        <v>363</v>
      </c>
      <c r="F29" s="27"/>
      <c r="G29" s="27">
        <v>0</v>
      </c>
      <c r="H29" s="2" t="s">
        <v>364</v>
      </c>
      <c r="I29" s="2" t="s">
        <v>365</v>
      </c>
      <c r="J29" s="2" t="s">
        <v>366</v>
      </c>
      <c r="K29" s="2" t="s">
        <v>367</v>
      </c>
      <c r="L29" s="2" t="s">
        <v>137</v>
      </c>
      <c r="M29" s="35" t="s">
        <v>368</v>
      </c>
      <c r="N29" s="24">
        <v>1</v>
      </c>
      <c r="O29" s="6">
        <v>1</v>
      </c>
      <c r="P29" s="36">
        <v>4</v>
      </c>
      <c r="Q29" s="36">
        <v>4</v>
      </c>
      <c r="R29" s="46">
        <v>1</v>
      </c>
      <c r="S29" s="31" t="s">
        <v>319</v>
      </c>
      <c r="T29" s="3">
        <v>3</v>
      </c>
      <c r="U29" s="3">
        <v>7</v>
      </c>
      <c r="V29" s="3">
        <v>2</v>
      </c>
      <c r="W29" s="3">
        <v>3</v>
      </c>
      <c r="X29" s="24" t="s">
        <v>369</v>
      </c>
      <c r="Y29" s="24" t="s">
        <v>370</v>
      </c>
      <c r="Z29" s="51">
        <v>620005</v>
      </c>
      <c r="AA29" s="51">
        <v>214005</v>
      </c>
      <c r="AB29" s="51">
        <v>30</v>
      </c>
      <c r="AC29" s="51">
        <v>30</v>
      </c>
      <c r="AD29" s="51">
        <v>30</v>
      </c>
      <c r="AE29" s="52">
        <v>169</v>
      </c>
      <c r="AF29" s="52">
        <v>9</v>
      </c>
      <c r="AG29" s="52">
        <v>124</v>
      </c>
      <c r="AH29" s="52">
        <v>105</v>
      </c>
      <c r="AI29" s="52">
        <v>0.016</v>
      </c>
      <c r="AJ29" s="60" t="s">
        <v>154</v>
      </c>
      <c r="AK29" s="60">
        <v>1.008</v>
      </c>
      <c r="AL29" s="60">
        <v>0.0102</v>
      </c>
      <c r="AM29" s="61" t="s">
        <v>371</v>
      </c>
      <c r="AN29" s="3" t="s">
        <v>372</v>
      </c>
      <c r="AO29" s="3" t="s">
        <v>373</v>
      </c>
      <c r="AR29" s="3">
        <v>8</v>
      </c>
      <c r="AS29" s="3" t="s">
        <v>374</v>
      </c>
      <c r="AT29" s="70" t="s">
        <v>169</v>
      </c>
      <c r="AU29" s="35" t="s">
        <v>375</v>
      </c>
      <c r="AV29" s="71">
        <v>51</v>
      </c>
      <c r="AW29" s="46"/>
      <c r="AX29" s="45">
        <v>2</v>
      </c>
      <c r="AY29" s="39"/>
      <c r="AZ29" s="3">
        <v>21</v>
      </c>
      <c r="BA29" s="3">
        <v>1</v>
      </c>
      <c r="BB29" s="3">
        <v>1005</v>
      </c>
    </row>
    <row r="30" s="3" customFormat="1" spans="1:54">
      <c r="A30" s="2">
        <v>24</v>
      </c>
      <c r="B30" s="27">
        <v>112006</v>
      </c>
      <c r="C30" s="27">
        <v>112006</v>
      </c>
      <c r="D30" s="24" t="s">
        <v>376</v>
      </c>
      <c r="E30" s="27" t="s">
        <v>376</v>
      </c>
      <c r="F30" s="27"/>
      <c r="G30" s="27">
        <v>0</v>
      </c>
      <c r="H30" s="2" t="s">
        <v>377</v>
      </c>
      <c r="I30" s="2" t="s">
        <v>378</v>
      </c>
      <c r="J30" s="2" t="s">
        <v>379</v>
      </c>
      <c r="K30" s="2" t="s">
        <v>380</v>
      </c>
      <c r="L30" s="2" t="s">
        <v>381</v>
      </c>
      <c r="M30" s="35" t="s">
        <v>382</v>
      </c>
      <c r="N30" s="24">
        <v>1</v>
      </c>
      <c r="O30" s="6">
        <v>1</v>
      </c>
      <c r="P30" s="36">
        <v>1</v>
      </c>
      <c r="Q30" s="36">
        <v>1</v>
      </c>
      <c r="R30" s="46">
        <v>1</v>
      </c>
      <c r="S30" s="31" t="s">
        <v>319</v>
      </c>
      <c r="T30" s="3">
        <v>3</v>
      </c>
      <c r="U30" s="3">
        <v>7</v>
      </c>
      <c r="V30" s="3">
        <v>2</v>
      </c>
      <c r="W30" s="3">
        <v>7</v>
      </c>
      <c r="X30" s="24" t="s">
        <v>383</v>
      </c>
      <c r="Y30" s="24" t="s">
        <v>384</v>
      </c>
      <c r="Z30" s="51">
        <v>620006</v>
      </c>
      <c r="AA30" s="51">
        <v>214005</v>
      </c>
      <c r="AB30" s="51">
        <v>30</v>
      </c>
      <c r="AC30" s="51">
        <v>30</v>
      </c>
      <c r="AD30" s="51">
        <v>30</v>
      </c>
      <c r="AE30" s="52">
        <v>87</v>
      </c>
      <c r="AF30" s="52">
        <v>14</v>
      </c>
      <c r="AG30" s="52">
        <v>256</v>
      </c>
      <c r="AH30" s="52">
        <v>60</v>
      </c>
      <c r="AI30" s="52">
        <v>0.012</v>
      </c>
      <c r="AJ30" s="60">
        <v>0.0128</v>
      </c>
      <c r="AK30" s="60">
        <v>1.0032</v>
      </c>
      <c r="AL30" s="60">
        <v>0.008</v>
      </c>
      <c r="AM30" s="61" t="s">
        <v>385</v>
      </c>
      <c r="AN30" s="3" t="s">
        <v>386</v>
      </c>
      <c r="AO30" s="3" t="s">
        <v>387</v>
      </c>
      <c r="AR30" s="3">
        <v>8</v>
      </c>
      <c r="AS30" s="3" t="s">
        <v>388</v>
      </c>
      <c r="AT30" s="70" t="s">
        <v>169</v>
      </c>
      <c r="AU30" s="35" t="s">
        <v>389</v>
      </c>
      <c r="AV30" s="71" t="s">
        <v>390</v>
      </c>
      <c r="AW30" s="46"/>
      <c r="AX30" s="45">
        <v>2</v>
      </c>
      <c r="AY30" s="39"/>
      <c r="AZ30" s="3">
        <v>53</v>
      </c>
      <c r="BA30" s="3">
        <v>1</v>
      </c>
      <c r="BB30" s="3">
        <v>1006</v>
      </c>
    </row>
    <row r="31" s="3" customFormat="1" spans="1:54">
      <c r="A31" s="2">
        <v>25</v>
      </c>
      <c r="B31" s="27">
        <v>112007</v>
      </c>
      <c r="C31" s="27">
        <v>112007</v>
      </c>
      <c r="D31" s="24" t="s">
        <v>391</v>
      </c>
      <c r="E31" s="27" t="s">
        <v>391</v>
      </c>
      <c r="F31" s="27"/>
      <c r="G31" s="27">
        <v>1</v>
      </c>
      <c r="H31" s="2" t="s">
        <v>392</v>
      </c>
      <c r="I31" s="2" t="s">
        <v>393</v>
      </c>
      <c r="J31" s="2" t="s">
        <v>394</v>
      </c>
      <c r="K31" s="2" t="s">
        <v>354</v>
      </c>
      <c r="L31" s="2" t="s">
        <v>395</v>
      </c>
      <c r="M31" s="35" t="s">
        <v>396</v>
      </c>
      <c r="N31" s="24">
        <v>1</v>
      </c>
      <c r="O31" s="6">
        <v>1</v>
      </c>
      <c r="P31" s="36">
        <v>3</v>
      </c>
      <c r="Q31" s="36">
        <v>3</v>
      </c>
      <c r="R31" s="46">
        <v>1</v>
      </c>
      <c r="S31" s="31" t="s">
        <v>319</v>
      </c>
      <c r="T31" s="3">
        <v>3</v>
      </c>
      <c r="U31" s="3">
        <v>7</v>
      </c>
      <c r="V31" s="3">
        <v>2</v>
      </c>
      <c r="W31" s="3">
        <v>47</v>
      </c>
      <c r="X31" s="24" t="s">
        <v>397</v>
      </c>
      <c r="Y31" s="24" t="s">
        <v>398</v>
      </c>
      <c r="Z31" s="51">
        <v>620007</v>
      </c>
      <c r="AA31" s="51">
        <v>214005</v>
      </c>
      <c r="AB31" s="51">
        <v>30</v>
      </c>
      <c r="AC31" s="51">
        <v>30</v>
      </c>
      <c r="AD31" s="51">
        <v>30</v>
      </c>
      <c r="AE31" s="52">
        <v>117</v>
      </c>
      <c r="AF31" s="52">
        <v>14</v>
      </c>
      <c r="AG31" s="52">
        <v>187</v>
      </c>
      <c r="AH31" s="52">
        <v>50</v>
      </c>
      <c r="AI31" s="52">
        <v>0.0144</v>
      </c>
      <c r="AJ31" s="60" t="s">
        <v>154</v>
      </c>
      <c r="AK31" s="60">
        <v>1.0128</v>
      </c>
      <c r="AL31" s="60" t="s">
        <v>154</v>
      </c>
      <c r="AM31" s="61" t="s">
        <v>344</v>
      </c>
      <c r="AN31" s="3" t="s">
        <v>399</v>
      </c>
      <c r="AO31" s="3" t="s">
        <v>400</v>
      </c>
      <c r="AR31" s="3">
        <v>8</v>
      </c>
      <c r="AS31" s="3" t="s">
        <v>401</v>
      </c>
      <c r="AT31" s="70" t="s">
        <v>169</v>
      </c>
      <c r="AU31" s="35" t="s">
        <v>402</v>
      </c>
      <c r="AV31" s="71">
        <v>328</v>
      </c>
      <c r="AW31" s="46"/>
      <c r="AX31" s="45">
        <v>2</v>
      </c>
      <c r="AY31" s="39"/>
      <c r="AZ31" s="3">
        <v>328</v>
      </c>
      <c r="BA31" s="3">
        <v>1</v>
      </c>
      <c r="BB31" s="3">
        <v>1007</v>
      </c>
    </row>
    <row r="32" s="3" customFormat="1" spans="1:54">
      <c r="A32" s="2">
        <v>26</v>
      </c>
      <c r="B32" s="27">
        <v>112008</v>
      </c>
      <c r="C32" s="27">
        <v>112008</v>
      </c>
      <c r="D32" s="24" t="s">
        <v>403</v>
      </c>
      <c r="E32" s="27" t="s">
        <v>403</v>
      </c>
      <c r="F32" s="27"/>
      <c r="G32" s="27">
        <v>0</v>
      </c>
      <c r="H32" s="2" t="s">
        <v>404</v>
      </c>
      <c r="I32" s="2" t="s">
        <v>405</v>
      </c>
      <c r="J32" s="2" t="s">
        <v>222</v>
      </c>
      <c r="K32" s="2" t="s">
        <v>136</v>
      </c>
      <c r="L32" s="2" t="s">
        <v>137</v>
      </c>
      <c r="M32" s="35" t="s">
        <v>406</v>
      </c>
      <c r="N32" s="24">
        <v>1</v>
      </c>
      <c r="O32" s="6">
        <v>1</v>
      </c>
      <c r="P32" s="36">
        <v>6</v>
      </c>
      <c r="Q32" s="36">
        <v>6</v>
      </c>
      <c r="R32" s="46">
        <v>1</v>
      </c>
      <c r="S32" s="31" t="s">
        <v>319</v>
      </c>
      <c r="T32" s="3">
        <v>3</v>
      </c>
      <c r="U32" s="3">
        <v>7</v>
      </c>
      <c r="V32" s="3">
        <v>2</v>
      </c>
      <c r="W32" s="3">
        <v>6</v>
      </c>
      <c r="X32" s="24" t="s">
        <v>407</v>
      </c>
      <c r="Y32" s="24" t="s">
        <v>408</v>
      </c>
      <c r="Z32" s="51">
        <v>620008</v>
      </c>
      <c r="AA32" s="51">
        <v>214005</v>
      </c>
      <c r="AB32" s="51">
        <v>30</v>
      </c>
      <c r="AC32" s="51">
        <v>30</v>
      </c>
      <c r="AD32" s="51">
        <v>30</v>
      </c>
      <c r="AE32" s="52">
        <v>88</v>
      </c>
      <c r="AF32" s="52">
        <v>15</v>
      </c>
      <c r="AG32" s="52">
        <v>332</v>
      </c>
      <c r="AH32" s="52">
        <v>40</v>
      </c>
      <c r="AI32" s="52" t="s">
        <v>154</v>
      </c>
      <c r="AJ32" s="60">
        <v>0.016</v>
      </c>
      <c r="AK32" s="60">
        <v>1.008</v>
      </c>
      <c r="AL32" s="60">
        <v>0.008</v>
      </c>
      <c r="AM32" s="61" t="s">
        <v>322</v>
      </c>
      <c r="AN32" s="3" t="s">
        <v>409</v>
      </c>
      <c r="AO32" s="3" t="s">
        <v>410</v>
      </c>
      <c r="AR32" s="3">
        <v>8</v>
      </c>
      <c r="AS32" s="3" t="s">
        <v>411</v>
      </c>
      <c r="AT32" s="70" t="s">
        <v>169</v>
      </c>
      <c r="AU32" s="35" t="s">
        <v>412</v>
      </c>
      <c r="AV32" s="71" t="s">
        <v>413</v>
      </c>
      <c r="AW32" s="46"/>
      <c r="AX32" s="45">
        <v>2</v>
      </c>
      <c r="AY32" s="39"/>
      <c r="AZ32" s="3">
        <v>47</v>
      </c>
      <c r="BA32" s="3">
        <v>1</v>
      </c>
      <c r="BB32" s="3">
        <v>1008</v>
      </c>
    </row>
    <row r="33" s="3" customFormat="1" spans="1:54">
      <c r="A33" s="2">
        <v>27</v>
      </c>
      <c r="B33" s="27">
        <v>112009</v>
      </c>
      <c r="C33" s="27">
        <v>112009</v>
      </c>
      <c r="D33" s="24" t="s">
        <v>414</v>
      </c>
      <c r="E33" s="27" t="s">
        <v>414</v>
      </c>
      <c r="F33" s="27"/>
      <c r="G33" s="27">
        <v>0</v>
      </c>
      <c r="H33" s="2" t="s">
        <v>415</v>
      </c>
      <c r="I33" s="2" t="s">
        <v>416</v>
      </c>
      <c r="J33" s="2" t="s">
        <v>162</v>
      </c>
      <c r="K33" s="2" t="s">
        <v>367</v>
      </c>
      <c r="L33" s="2" t="s">
        <v>417</v>
      </c>
      <c r="M33" s="37" t="s">
        <v>418</v>
      </c>
      <c r="N33" s="24">
        <v>1</v>
      </c>
      <c r="O33" s="6">
        <v>1</v>
      </c>
      <c r="P33" s="36">
        <v>3</v>
      </c>
      <c r="Q33" s="36">
        <v>3</v>
      </c>
      <c r="R33" s="47">
        <v>1</v>
      </c>
      <c r="S33" s="31" t="s">
        <v>319</v>
      </c>
      <c r="T33" s="3">
        <v>3</v>
      </c>
      <c r="U33" s="3">
        <v>7</v>
      </c>
      <c r="V33" s="3">
        <v>2</v>
      </c>
      <c r="W33" s="3">
        <v>10</v>
      </c>
      <c r="X33" s="24" t="s">
        <v>419</v>
      </c>
      <c r="Y33" s="24" t="s">
        <v>420</v>
      </c>
      <c r="Z33" s="51">
        <v>620009</v>
      </c>
      <c r="AA33" s="51">
        <v>214005</v>
      </c>
      <c r="AB33" s="51">
        <v>30</v>
      </c>
      <c r="AC33" s="51">
        <v>30</v>
      </c>
      <c r="AD33" s="51">
        <v>30</v>
      </c>
      <c r="AE33" s="52">
        <v>158</v>
      </c>
      <c r="AF33" s="52">
        <v>9</v>
      </c>
      <c r="AG33" s="52">
        <v>145</v>
      </c>
      <c r="AH33" s="52">
        <v>100</v>
      </c>
      <c r="AI33" s="52">
        <v>0.0112</v>
      </c>
      <c r="AJ33" s="60">
        <v>0.0048</v>
      </c>
      <c r="AK33" s="60">
        <v>1</v>
      </c>
      <c r="AL33" s="60">
        <v>0.023</v>
      </c>
      <c r="AM33" s="61" t="s">
        <v>421</v>
      </c>
      <c r="AN33" s="3" t="s">
        <v>422</v>
      </c>
      <c r="AO33" s="3" t="s">
        <v>423</v>
      </c>
      <c r="AR33" s="3">
        <v>8</v>
      </c>
      <c r="AS33" s="3" t="s">
        <v>424</v>
      </c>
      <c r="AT33" s="70" t="s">
        <v>169</v>
      </c>
      <c r="AU33" s="35" t="s">
        <v>425</v>
      </c>
      <c r="AV33" s="71" t="s">
        <v>413</v>
      </c>
      <c r="AW33" s="47"/>
      <c r="AX33" s="45">
        <v>2</v>
      </c>
      <c r="AY33" s="39"/>
      <c r="BA33" s="3">
        <v>1</v>
      </c>
      <c r="BB33" s="3">
        <v>1009</v>
      </c>
    </row>
    <row r="34" s="3" customFormat="1" spans="1:54">
      <c r="A34" s="2">
        <v>28</v>
      </c>
      <c r="B34" s="27">
        <v>112010</v>
      </c>
      <c r="C34" s="27">
        <v>112010</v>
      </c>
      <c r="D34" s="24" t="s">
        <v>426</v>
      </c>
      <c r="E34" s="25" t="s">
        <v>426</v>
      </c>
      <c r="F34" s="25"/>
      <c r="G34" s="27">
        <v>0</v>
      </c>
      <c r="H34" s="2" t="s">
        <v>427</v>
      </c>
      <c r="I34" s="2" t="s">
        <v>428</v>
      </c>
      <c r="J34" s="2" t="s">
        <v>262</v>
      </c>
      <c r="K34" s="2" t="s">
        <v>136</v>
      </c>
      <c r="L34" s="2" t="s">
        <v>429</v>
      </c>
      <c r="M34" s="35" t="s">
        <v>430</v>
      </c>
      <c r="N34" s="24">
        <v>1</v>
      </c>
      <c r="O34" s="6">
        <v>1</v>
      </c>
      <c r="P34" s="36">
        <v>3</v>
      </c>
      <c r="Q34" s="36">
        <v>3</v>
      </c>
      <c r="R34" s="46">
        <v>3</v>
      </c>
      <c r="S34" s="31" t="s">
        <v>164</v>
      </c>
      <c r="T34" s="3">
        <v>3</v>
      </c>
      <c r="U34" s="3">
        <v>7</v>
      </c>
      <c r="V34" s="3">
        <v>2</v>
      </c>
      <c r="W34" s="3">
        <v>9</v>
      </c>
      <c r="X34" s="24" t="s">
        <v>431</v>
      </c>
      <c r="Y34" s="24" t="s">
        <v>432</v>
      </c>
      <c r="Z34" s="51">
        <v>620010</v>
      </c>
      <c r="AA34" s="51">
        <v>214005</v>
      </c>
      <c r="AB34" s="51">
        <v>30</v>
      </c>
      <c r="AC34" s="51">
        <v>30</v>
      </c>
      <c r="AD34" s="51">
        <v>30</v>
      </c>
      <c r="AE34" s="52">
        <v>152</v>
      </c>
      <c r="AF34" s="52">
        <v>9</v>
      </c>
      <c r="AG34" s="52">
        <v>166</v>
      </c>
      <c r="AH34" s="52">
        <v>95</v>
      </c>
      <c r="AI34" s="52">
        <v>0.0112</v>
      </c>
      <c r="AJ34" s="60">
        <v>0.0048</v>
      </c>
      <c r="AK34" s="60">
        <v>1</v>
      </c>
      <c r="AL34" s="60">
        <v>0.023</v>
      </c>
      <c r="AM34" s="61" t="s">
        <v>421</v>
      </c>
      <c r="AN34" s="3" t="s">
        <v>433</v>
      </c>
      <c r="AO34" s="3" t="s">
        <v>434</v>
      </c>
      <c r="AR34" s="3">
        <v>8</v>
      </c>
      <c r="AS34" s="3" t="s">
        <v>435</v>
      </c>
      <c r="AT34" s="70" t="s">
        <v>169</v>
      </c>
      <c r="AU34" s="35" t="s">
        <v>436</v>
      </c>
      <c r="AV34" s="71">
        <v>98</v>
      </c>
      <c r="AW34" s="46"/>
      <c r="AX34" s="45">
        <v>2</v>
      </c>
      <c r="AY34" s="39"/>
      <c r="AZ34" s="3">
        <v>73</v>
      </c>
      <c r="BA34" s="3">
        <v>3</v>
      </c>
      <c r="BB34" s="3">
        <v>1010</v>
      </c>
    </row>
    <row r="35" s="3" customFormat="1" spans="1:54">
      <c r="A35" s="2">
        <v>29</v>
      </c>
      <c r="B35" s="27">
        <v>112011</v>
      </c>
      <c r="C35" s="27">
        <v>112011</v>
      </c>
      <c r="D35" s="24" t="s">
        <v>437</v>
      </c>
      <c r="E35" s="26" t="s">
        <v>437</v>
      </c>
      <c r="F35" s="26"/>
      <c r="G35" s="27">
        <v>0</v>
      </c>
      <c r="H35" s="2" t="s">
        <v>438</v>
      </c>
      <c r="I35" s="2" t="s">
        <v>439</v>
      </c>
      <c r="J35" s="2" t="s">
        <v>150</v>
      </c>
      <c r="K35" s="2" t="s">
        <v>136</v>
      </c>
      <c r="L35" s="2" t="s">
        <v>440</v>
      </c>
      <c r="M35" s="35" t="s">
        <v>441</v>
      </c>
      <c r="N35" s="24">
        <v>1</v>
      </c>
      <c r="O35" s="6">
        <v>1</v>
      </c>
      <c r="P35" s="36">
        <v>2</v>
      </c>
      <c r="Q35" s="36">
        <v>2</v>
      </c>
      <c r="R35" s="46">
        <v>2</v>
      </c>
      <c r="S35" s="31" t="s">
        <v>139</v>
      </c>
      <c r="T35" s="3">
        <v>3</v>
      </c>
      <c r="U35" s="3">
        <v>7</v>
      </c>
      <c r="V35" s="3">
        <v>2</v>
      </c>
      <c r="W35" s="3">
        <v>11</v>
      </c>
      <c r="X35" s="24" t="s">
        <v>442</v>
      </c>
      <c r="Y35" s="24" t="s">
        <v>443</v>
      </c>
      <c r="Z35" s="51">
        <v>620011</v>
      </c>
      <c r="AA35" s="51">
        <v>214005</v>
      </c>
      <c r="AB35" s="51">
        <v>30</v>
      </c>
      <c r="AC35" s="51">
        <v>30</v>
      </c>
      <c r="AD35" s="51">
        <v>30</v>
      </c>
      <c r="AE35" s="52">
        <v>121</v>
      </c>
      <c r="AF35" s="52">
        <v>14</v>
      </c>
      <c r="AG35" s="52">
        <v>259</v>
      </c>
      <c r="AH35" s="52">
        <v>54</v>
      </c>
      <c r="AI35" s="52">
        <v>0.0096</v>
      </c>
      <c r="AJ35" s="60">
        <v>0.0128</v>
      </c>
      <c r="AK35" s="60">
        <v>1.0128</v>
      </c>
      <c r="AL35" s="60">
        <v>0.0032</v>
      </c>
      <c r="AM35" s="61" t="s">
        <v>444</v>
      </c>
      <c r="AN35" s="3" t="s">
        <v>445</v>
      </c>
      <c r="AO35" s="3" t="s">
        <v>446</v>
      </c>
      <c r="AR35" s="3">
        <v>8</v>
      </c>
      <c r="AS35" s="3" t="s">
        <v>447</v>
      </c>
      <c r="AT35" s="70" t="s">
        <v>206</v>
      </c>
      <c r="AU35" s="35" t="s">
        <v>448</v>
      </c>
      <c r="AV35" s="71">
        <v>115</v>
      </c>
      <c r="AW35" s="46"/>
      <c r="AX35" s="46">
        <v>1</v>
      </c>
      <c r="AY35" s="39"/>
      <c r="AZ35" s="3">
        <v>90</v>
      </c>
      <c r="BA35" s="3">
        <v>2</v>
      </c>
      <c r="BB35" s="3">
        <v>1011</v>
      </c>
    </row>
    <row r="36" s="3" customFormat="1" spans="1:54">
      <c r="A36" s="2">
        <v>30</v>
      </c>
      <c r="B36" s="27">
        <v>112012</v>
      </c>
      <c r="C36" s="27">
        <v>112012</v>
      </c>
      <c r="D36" s="24" t="s">
        <v>449</v>
      </c>
      <c r="E36" s="25" t="s">
        <v>449</v>
      </c>
      <c r="F36" s="25"/>
      <c r="G36" s="27">
        <v>1</v>
      </c>
      <c r="H36" s="2" t="s">
        <v>450</v>
      </c>
      <c r="I36" s="2" t="s">
        <v>451</v>
      </c>
      <c r="J36" s="2" t="s">
        <v>262</v>
      </c>
      <c r="K36" s="2" t="s">
        <v>136</v>
      </c>
      <c r="L36" s="2" t="s">
        <v>137</v>
      </c>
      <c r="M36" s="35" t="s">
        <v>452</v>
      </c>
      <c r="N36" s="24">
        <v>1</v>
      </c>
      <c r="O36" s="6">
        <v>1</v>
      </c>
      <c r="P36" s="36">
        <v>5</v>
      </c>
      <c r="Q36" s="36">
        <v>5</v>
      </c>
      <c r="R36" s="46">
        <v>2</v>
      </c>
      <c r="S36" s="31" t="s">
        <v>139</v>
      </c>
      <c r="T36" s="3">
        <v>3</v>
      </c>
      <c r="U36" s="3">
        <v>7</v>
      </c>
      <c r="V36" s="3">
        <v>2</v>
      </c>
      <c r="W36" s="3">
        <v>13</v>
      </c>
      <c r="X36" s="24" t="s">
        <v>453</v>
      </c>
      <c r="Y36" s="24" t="s">
        <v>454</v>
      </c>
      <c r="Z36" s="51">
        <v>620012</v>
      </c>
      <c r="AA36" s="51">
        <v>214005</v>
      </c>
      <c r="AB36" s="51">
        <v>30</v>
      </c>
      <c r="AC36" s="51">
        <v>30</v>
      </c>
      <c r="AD36" s="51">
        <v>30</v>
      </c>
      <c r="AE36" s="52">
        <v>127</v>
      </c>
      <c r="AF36" s="52">
        <v>14</v>
      </c>
      <c r="AG36" s="52">
        <v>242</v>
      </c>
      <c r="AH36" s="52">
        <v>53</v>
      </c>
      <c r="AI36" s="52">
        <v>0.0128</v>
      </c>
      <c r="AJ36" s="60">
        <v>0.008</v>
      </c>
      <c r="AK36" s="60">
        <v>1.016</v>
      </c>
      <c r="AL36" s="60" t="s">
        <v>154</v>
      </c>
      <c r="AM36" s="61" t="s">
        <v>333</v>
      </c>
      <c r="AR36" s="3">
        <v>8</v>
      </c>
      <c r="AS36" s="3" t="s">
        <v>455</v>
      </c>
      <c r="AT36" s="70" t="s">
        <v>206</v>
      </c>
      <c r="AU36" s="35" t="s">
        <v>456</v>
      </c>
      <c r="AV36" s="71">
        <v>131</v>
      </c>
      <c r="AW36" s="46"/>
      <c r="AX36" s="46">
        <v>1</v>
      </c>
      <c r="AY36" s="39"/>
      <c r="AZ36" s="3">
        <v>106</v>
      </c>
      <c r="BA36" s="3">
        <v>2</v>
      </c>
      <c r="BB36" s="3">
        <v>1012</v>
      </c>
    </row>
    <row r="37" s="3" customFormat="1" spans="1:54">
      <c r="A37" s="2">
        <v>31</v>
      </c>
      <c r="B37" s="27">
        <v>112013</v>
      </c>
      <c r="C37" s="27">
        <v>112013</v>
      </c>
      <c r="D37" s="24" t="s">
        <v>457</v>
      </c>
      <c r="E37" s="27" t="s">
        <v>457</v>
      </c>
      <c r="F37" s="27"/>
      <c r="G37" s="27">
        <v>0</v>
      </c>
      <c r="H37" s="2" t="s">
        <v>458</v>
      </c>
      <c r="I37" s="2" t="s">
        <v>459</v>
      </c>
      <c r="J37" s="2" t="s">
        <v>460</v>
      </c>
      <c r="K37" s="2" t="s">
        <v>136</v>
      </c>
      <c r="L37" s="38" t="s">
        <v>461</v>
      </c>
      <c r="M37" s="35" t="s">
        <v>462</v>
      </c>
      <c r="N37" s="24">
        <v>1</v>
      </c>
      <c r="O37" s="6">
        <v>1</v>
      </c>
      <c r="P37" s="36">
        <v>3</v>
      </c>
      <c r="Q37" s="36">
        <v>3</v>
      </c>
      <c r="R37" s="24">
        <v>5</v>
      </c>
      <c r="S37" s="31" t="s">
        <v>253</v>
      </c>
      <c r="T37" s="3">
        <v>3</v>
      </c>
      <c r="U37" s="3">
        <v>7</v>
      </c>
      <c r="V37" s="3">
        <v>2</v>
      </c>
      <c r="W37" s="3">
        <v>12</v>
      </c>
      <c r="X37" s="24" t="s">
        <v>463</v>
      </c>
      <c r="Y37" s="24" t="s">
        <v>464</v>
      </c>
      <c r="Z37" s="51">
        <v>620013</v>
      </c>
      <c r="AA37" s="51">
        <v>214005</v>
      </c>
      <c r="AB37" s="51">
        <v>30</v>
      </c>
      <c r="AC37" s="51">
        <v>30</v>
      </c>
      <c r="AD37" s="51">
        <v>30</v>
      </c>
      <c r="AE37" s="52">
        <v>125</v>
      </c>
      <c r="AF37" s="52">
        <v>16</v>
      </c>
      <c r="AG37" s="52">
        <v>221</v>
      </c>
      <c r="AH37" s="52">
        <v>50</v>
      </c>
      <c r="AI37" s="52" t="s">
        <v>154</v>
      </c>
      <c r="AJ37" s="60">
        <v>0.016</v>
      </c>
      <c r="AK37" s="60">
        <v>1.008</v>
      </c>
      <c r="AL37" s="60">
        <v>0.008</v>
      </c>
      <c r="AM37" s="61" t="s">
        <v>322</v>
      </c>
      <c r="AR37" s="3">
        <v>8</v>
      </c>
      <c r="AS37" s="3" t="s">
        <v>465</v>
      </c>
      <c r="AT37" s="70" t="s">
        <v>169</v>
      </c>
      <c r="AU37" s="35" t="s">
        <v>466</v>
      </c>
      <c r="AV37" s="71">
        <v>123</v>
      </c>
      <c r="AW37" s="24"/>
      <c r="AX37" s="46">
        <v>4</v>
      </c>
      <c r="AY37" s="39"/>
      <c r="AZ37" s="3">
        <v>98</v>
      </c>
      <c r="BA37" s="3">
        <v>4</v>
      </c>
      <c r="BB37" s="3">
        <v>1013</v>
      </c>
    </row>
    <row r="38" s="3" customFormat="1" spans="1:54">
      <c r="A38" s="2">
        <v>32</v>
      </c>
      <c r="B38" s="27">
        <v>112014</v>
      </c>
      <c r="C38" s="27">
        <v>112014</v>
      </c>
      <c r="D38" s="24" t="s">
        <v>467</v>
      </c>
      <c r="E38" s="26" t="s">
        <v>467</v>
      </c>
      <c r="F38" s="26"/>
      <c r="G38" s="27">
        <v>2</v>
      </c>
      <c r="H38" s="2" t="s">
        <v>468</v>
      </c>
      <c r="I38" s="2" t="s">
        <v>469</v>
      </c>
      <c r="J38" s="2" t="s">
        <v>162</v>
      </c>
      <c r="K38" s="2" t="s">
        <v>367</v>
      </c>
      <c r="L38" s="2" t="s">
        <v>470</v>
      </c>
      <c r="M38" s="35" t="s">
        <v>471</v>
      </c>
      <c r="N38" s="24">
        <v>1</v>
      </c>
      <c r="O38" s="6">
        <v>1</v>
      </c>
      <c r="P38" s="36">
        <v>3</v>
      </c>
      <c r="Q38" s="36">
        <v>3</v>
      </c>
      <c r="R38" s="24">
        <v>5</v>
      </c>
      <c r="S38" s="31" t="s">
        <v>253</v>
      </c>
      <c r="T38" s="3">
        <v>3</v>
      </c>
      <c r="U38" s="3">
        <v>7</v>
      </c>
      <c r="V38" s="3">
        <v>2</v>
      </c>
      <c r="W38" s="3">
        <v>15</v>
      </c>
      <c r="X38" s="24" t="s">
        <v>472</v>
      </c>
      <c r="Y38" s="24" t="s">
        <v>473</v>
      </c>
      <c r="Z38" s="51">
        <v>620014</v>
      </c>
      <c r="AA38" s="51">
        <v>214005</v>
      </c>
      <c r="AB38" s="51">
        <v>30</v>
      </c>
      <c r="AC38" s="51">
        <v>30</v>
      </c>
      <c r="AD38" s="51">
        <v>30</v>
      </c>
      <c r="AE38" s="52">
        <v>158</v>
      </c>
      <c r="AF38" s="52">
        <v>10</v>
      </c>
      <c r="AG38" s="52">
        <v>138</v>
      </c>
      <c r="AH38" s="52">
        <v>90</v>
      </c>
      <c r="AI38" s="52">
        <v>0.016</v>
      </c>
      <c r="AJ38" s="60" t="s">
        <v>154</v>
      </c>
      <c r="AK38" s="60">
        <v>1.008</v>
      </c>
      <c r="AL38" s="60">
        <v>0.0102</v>
      </c>
      <c r="AM38" s="61" t="s">
        <v>371</v>
      </c>
      <c r="AN38" s="3" t="s">
        <v>474</v>
      </c>
      <c r="AO38" s="3" t="s">
        <v>475</v>
      </c>
      <c r="AR38" s="3">
        <v>8</v>
      </c>
      <c r="AS38" s="3" t="s">
        <v>476</v>
      </c>
      <c r="AT38" s="70" t="s">
        <v>169</v>
      </c>
      <c r="AU38" s="35" t="s">
        <v>477</v>
      </c>
      <c r="AV38" s="71" t="s">
        <v>478</v>
      </c>
      <c r="AW38" s="24"/>
      <c r="AX38" s="46">
        <v>4</v>
      </c>
      <c r="AY38" s="39"/>
      <c r="AZ38" s="3">
        <v>120</v>
      </c>
      <c r="BA38" s="3">
        <v>4</v>
      </c>
      <c r="BB38" s="3">
        <v>1014</v>
      </c>
    </row>
    <row r="39" s="3" customFormat="1" spans="1:54">
      <c r="A39" s="2">
        <v>33</v>
      </c>
      <c r="B39" s="27">
        <v>112015</v>
      </c>
      <c r="C39" s="27">
        <v>112015</v>
      </c>
      <c r="D39" s="24" t="s">
        <v>479</v>
      </c>
      <c r="E39" s="27" t="s">
        <v>479</v>
      </c>
      <c r="F39" s="27"/>
      <c r="G39" s="27">
        <v>0</v>
      </c>
      <c r="H39" s="2" t="s">
        <v>480</v>
      </c>
      <c r="I39" s="2" t="s">
        <v>481</v>
      </c>
      <c r="J39" s="2" t="s">
        <v>186</v>
      </c>
      <c r="K39" s="2" t="s">
        <v>354</v>
      </c>
      <c r="L39" s="38" t="s">
        <v>482</v>
      </c>
      <c r="M39" s="35" t="s">
        <v>483</v>
      </c>
      <c r="N39" s="24">
        <v>1</v>
      </c>
      <c r="O39" s="6">
        <v>1</v>
      </c>
      <c r="P39" s="36">
        <v>3</v>
      </c>
      <c r="Q39" s="36">
        <v>3</v>
      </c>
      <c r="R39" s="24">
        <v>5</v>
      </c>
      <c r="S39" s="31" t="s">
        <v>253</v>
      </c>
      <c r="T39" s="3">
        <v>3</v>
      </c>
      <c r="U39" s="3">
        <v>7</v>
      </c>
      <c r="V39" s="3">
        <v>2</v>
      </c>
      <c r="W39" s="3">
        <v>14</v>
      </c>
      <c r="X39" s="24" t="s">
        <v>484</v>
      </c>
      <c r="Y39" s="24" t="s">
        <v>485</v>
      </c>
      <c r="Z39" s="51">
        <v>620015</v>
      </c>
      <c r="AA39" s="51">
        <v>214005</v>
      </c>
      <c r="AB39" s="51">
        <v>30</v>
      </c>
      <c r="AC39" s="51">
        <v>30</v>
      </c>
      <c r="AD39" s="51">
        <v>30</v>
      </c>
      <c r="AE39" s="52">
        <v>88</v>
      </c>
      <c r="AF39" s="52">
        <v>16</v>
      </c>
      <c r="AG39" s="52">
        <v>318</v>
      </c>
      <c r="AH39" s="52">
        <v>41</v>
      </c>
      <c r="AI39" s="52">
        <v>0.012</v>
      </c>
      <c r="AJ39" s="60">
        <v>0.0128</v>
      </c>
      <c r="AK39" s="60">
        <v>1.0032</v>
      </c>
      <c r="AL39" s="60">
        <v>0.008</v>
      </c>
      <c r="AM39" s="61" t="s">
        <v>385</v>
      </c>
      <c r="AR39" s="3">
        <v>8</v>
      </c>
      <c r="AS39" s="3" t="s">
        <v>486</v>
      </c>
      <c r="AT39" s="70" t="s">
        <v>169</v>
      </c>
      <c r="AU39" s="35" t="s">
        <v>487</v>
      </c>
      <c r="AV39" s="71">
        <v>137</v>
      </c>
      <c r="AW39" s="24"/>
      <c r="AX39" s="46">
        <v>4</v>
      </c>
      <c r="AY39" s="39"/>
      <c r="AZ39" s="3">
        <v>112</v>
      </c>
      <c r="BA39" s="3">
        <v>4</v>
      </c>
      <c r="BB39" s="3">
        <v>1015</v>
      </c>
    </row>
    <row r="40" s="3" customFormat="1" spans="1:54">
      <c r="A40" s="2">
        <v>34</v>
      </c>
      <c r="B40" s="27">
        <v>112016</v>
      </c>
      <c r="C40" s="27">
        <v>112016</v>
      </c>
      <c r="D40" s="24" t="s">
        <v>488</v>
      </c>
      <c r="E40" s="26" t="s">
        <v>489</v>
      </c>
      <c r="F40" s="26"/>
      <c r="G40" s="27">
        <v>1</v>
      </c>
      <c r="H40" s="2" t="s">
        <v>490</v>
      </c>
      <c r="I40" s="2" t="s">
        <v>491</v>
      </c>
      <c r="J40" s="2" t="s">
        <v>460</v>
      </c>
      <c r="K40" s="2" t="s">
        <v>136</v>
      </c>
      <c r="L40" s="2" t="s">
        <v>492</v>
      </c>
      <c r="M40" s="35" t="s">
        <v>493</v>
      </c>
      <c r="N40" s="24">
        <v>1</v>
      </c>
      <c r="O40" s="6">
        <v>1</v>
      </c>
      <c r="P40" s="36">
        <v>3</v>
      </c>
      <c r="Q40" s="36">
        <v>3</v>
      </c>
      <c r="R40" s="24">
        <v>5</v>
      </c>
      <c r="S40" s="31" t="s">
        <v>253</v>
      </c>
      <c r="T40" s="3">
        <v>3</v>
      </c>
      <c r="U40" s="3">
        <v>7</v>
      </c>
      <c r="V40" s="3">
        <v>2</v>
      </c>
      <c r="W40" s="3">
        <v>46</v>
      </c>
      <c r="X40" s="24" t="s">
        <v>494</v>
      </c>
      <c r="Y40" s="24" t="s">
        <v>495</v>
      </c>
      <c r="Z40" s="51">
        <v>620016</v>
      </c>
      <c r="AA40" s="51">
        <v>214005</v>
      </c>
      <c r="AB40" s="51">
        <v>30</v>
      </c>
      <c r="AC40" s="51">
        <v>30</v>
      </c>
      <c r="AD40" s="51">
        <v>30</v>
      </c>
      <c r="AE40" s="52">
        <v>164</v>
      </c>
      <c r="AF40" s="52">
        <v>10</v>
      </c>
      <c r="AG40" s="52">
        <v>121</v>
      </c>
      <c r="AH40" s="52">
        <v>84</v>
      </c>
      <c r="AI40" s="52">
        <v>0.016</v>
      </c>
      <c r="AJ40" s="60" t="s">
        <v>154</v>
      </c>
      <c r="AK40" s="60">
        <v>1.008</v>
      </c>
      <c r="AL40" s="60">
        <v>0.0102</v>
      </c>
      <c r="AM40" s="61" t="s">
        <v>371</v>
      </c>
      <c r="AN40" s="3" t="s">
        <v>496</v>
      </c>
      <c r="AO40" s="3" t="s">
        <v>497</v>
      </c>
      <c r="AR40" s="3">
        <v>8</v>
      </c>
      <c r="AS40" s="3" t="s">
        <v>498</v>
      </c>
      <c r="AT40" s="70" t="s">
        <v>169</v>
      </c>
      <c r="AU40" s="35" t="s">
        <v>499</v>
      </c>
      <c r="AV40" s="71" t="s">
        <v>500</v>
      </c>
      <c r="AW40" s="24"/>
      <c r="AX40" s="46">
        <v>4</v>
      </c>
      <c r="AY40" s="39"/>
      <c r="AZ40" s="3">
        <v>316</v>
      </c>
      <c r="BA40" s="3">
        <v>4</v>
      </c>
      <c r="BB40" s="3">
        <v>1016</v>
      </c>
    </row>
    <row r="41" s="3" customFormat="1" spans="1:54">
      <c r="A41" s="2">
        <v>35</v>
      </c>
      <c r="B41" s="27">
        <v>112017</v>
      </c>
      <c r="C41" s="27">
        <v>112017</v>
      </c>
      <c r="D41" s="24" t="s">
        <v>501</v>
      </c>
      <c r="E41" s="27" t="s">
        <v>501</v>
      </c>
      <c r="F41" s="27"/>
      <c r="G41" s="27">
        <v>0</v>
      </c>
      <c r="H41" s="2" t="s">
        <v>502</v>
      </c>
      <c r="I41" s="2" t="s">
        <v>503</v>
      </c>
      <c r="J41" s="2" t="s">
        <v>162</v>
      </c>
      <c r="K41" s="2" t="s">
        <v>367</v>
      </c>
      <c r="L41" s="2" t="s">
        <v>504</v>
      </c>
      <c r="M41" s="35" t="s">
        <v>505</v>
      </c>
      <c r="N41" s="24">
        <v>1</v>
      </c>
      <c r="O41" s="6">
        <v>1</v>
      </c>
      <c r="P41" s="36">
        <v>3</v>
      </c>
      <c r="Q41" s="36">
        <v>3</v>
      </c>
      <c r="R41" s="24">
        <v>3</v>
      </c>
      <c r="S41" s="31" t="s">
        <v>506</v>
      </c>
      <c r="T41" s="3">
        <v>3</v>
      </c>
      <c r="U41" s="3">
        <v>7</v>
      </c>
      <c r="V41" s="3">
        <v>2</v>
      </c>
      <c r="W41" s="3">
        <v>28</v>
      </c>
      <c r="X41" s="24" t="s">
        <v>507</v>
      </c>
      <c r="Y41" s="24" t="s">
        <v>508</v>
      </c>
      <c r="Z41" s="51">
        <v>620017</v>
      </c>
      <c r="AA41" s="51">
        <v>214005</v>
      </c>
      <c r="AB41" s="51">
        <v>30</v>
      </c>
      <c r="AC41" s="51">
        <v>30</v>
      </c>
      <c r="AD41" s="51">
        <v>30</v>
      </c>
      <c r="AE41" s="52">
        <v>172</v>
      </c>
      <c r="AF41" s="52">
        <v>7</v>
      </c>
      <c r="AG41" s="52">
        <v>138</v>
      </c>
      <c r="AH41" s="52">
        <v>98</v>
      </c>
      <c r="AI41" s="52">
        <v>0.016</v>
      </c>
      <c r="AJ41" s="60" t="s">
        <v>154</v>
      </c>
      <c r="AK41" s="60">
        <v>1.008</v>
      </c>
      <c r="AL41" s="60">
        <v>0.0102</v>
      </c>
      <c r="AM41" s="61" t="s">
        <v>371</v>
      </c>
      <c r="AR41" s="3">
        <v>8</v>
      </c>
      <c r="AS41" s="3" t="s">
        <v>509</v>
      </c>
      <c r="AT41" s="70" t="s">
        <v>169</v>
      </c>
      <c r="AU41" s="35" t="s">
        <v>510</v>
      </c>
      <c r="AV41" s="71" t="s">
        <v>511</v>
      </c>
      <c r="AW41" s="24"/>
      <c r="AX41" s="24">
        <v>2</v>
      </c>
      <c r="AY41" s="39"/>
      <c r="AZ41" s="3">
        <v>203</v>
      </c>
      <c r="BA41" s="3">
        <v>3</v>
      </c>
      <c r="BB41" s="3">
        <v>1017</v>
      </c>
    </row>
    <row r="42" s="3" customFormat="1" spans="1:54">
      <c r="A42" s="2">
        <v>36</v>
      </c>
      <c r="B42" s="27">
        <v>112018</v>
      </c>
      <c r="C42" s="27">
        <v>112018</v>
      </c>
      <c r="D42" s="24" t="s">
        <v>512</v>
      </c>
      <c r="E42" s="27" t="s">
        <v>512</v>
      </c>
      <c r="F42" s="27"/>
      <c r="G42" s="27">
        <v>0</v>
      </c>
      <c r="H42" s="2" t="s">
        <v>513</v>
      </c>
      <c r="I42" s="2" t="s">
        <v>514</v>
      </c>
      <c r="J42" s="2" t="s">
        <v>162</v>
      </c>
      <c r="K42" s="2">
        <v>0</v>
      </c>
      <c r="L42" s="2">
        <v>0</v>
      </c>
      <c r="M42" s="35"/>
      <c r="N42" s="24">
        <v>0</v>
      </c>
      <c r="O42" s="6">
        <v>1</v>
      </c>
      <c r="P42" s="36">
        <v>4</v>
      </c>
      <c r="Q42" s="36">
        <v>4</v>
      </c>
      <c r="R42" s="24">
        <v>8</v>
      </c>
      <c r="S42" s="31" t="s">
        <v>515</v>
      </c>
      <c r="T42" s="3">
        <v>3</v>
      </c>
      <c r="U42" s="3">
        <v>7</v>
      </c>
      <c r="V42" s="3">
        <v>2</v>
      </c>
      <c r="W42" s="3">
        <v>48</v>
      </c>
      <c r="X42" s="24" t="s">
        <v>516</v>
      </c>
      <c r="Y42" s="24"/>
      <c r="Z42" s="51">
        <v>9999</v>
      </c>
      <c r="AA42" s="51">
        <v>214005</v>
      </c>
      <c r="AB42" s="51">
        <v>30</v>
      </c>
      <c r="AC42" s="51">
        <v>30</v>
      </c>
      <c r="AD42" s="51">
        <v>30</v>
      </c>
      <c r="AE42" s="52">
        <v>132</v>
      </c>
      <c r="AF42" s="52">
        <v>12</v>
      </c>
      <c r="AG42" s="52">
        <v>173</v>
      </c>
      <c r="AH42" s="52">
        <v>85</v>
      </c>
      <c r="AI42" s="52">
        <v>0.0112</v>
      </c>
      <c r="AJ42" s="60" t="s">
        <v>154</v>
      </c>
      <c r="AK42" s="60">
        <v>1.016</v>
      </c>
      <c r="AL42" s="60">
        <v>0.0048</v>
      </c>
      <c r="AM42" s="61" t="s">
        <v>358</v>
      </c>
      <c r="AR42" s="3">
        <v>8</v>
      </c>
      <c r="AT42" s="70"/>
      <c r="AU42" s="35"/>
      <c r="AV42" s="71">
        <v>334</v>
      </c>
      <c r="AW42" s="24"/>
      <c r="AX42" s="24">
        <v>4</v>
      </c>
      <c r="AY42" s="39"/>
      <c r="AZ42" s="3">
        <v>293</v>
      </c>
      <c r="BB42" s="77">
        <v>9001</v>
      </c>
    </row>
    <row r="43" s="3" customFormat="1" spans="1:54">
      <c r="A43" s="2">
        <v>37</v>
      </c>
      <c r="B43" s="27">
        <v>112019</v>
      </c>
      <c r="C43" s="27">
        <v>112019</v>
      </c>
      <c r="D43" s="24" t="s">
        <v>517</v>
      </c>
      <c r="E43" s="27" t="s">
        <v>518</v>
      </c>
      <c r="F43" s="27"/>
      <c r="G43" s="27">
        <v>0</v>
      </c>
      <c r="H43" s="2" t="s">
        <v>519</v>
      </c>
      <c r="I43" s="2" t="s">
        <v>520</v>
      </c>
      <c r="J43" s="2" t="s">
        <v>150</v>
      </c>
      <c r="K43" s="2" t="s">
        <v>136</v>
      </c>
      <c r="L43" s="2" t="s">
        <v>521</v>
      </c>
      <c r="M43" s="35" t="s">
        <v>522</v>
      </c>
      <c r="N43" s="24">
        <v>1</v>
      </c>
      <c r="O43" s="6">
        <v>1</v>
      </c>
      <c r="P43" s="36">
        <v>1</v>
      </c>
      <c r="Q43" s="36">
        <v>1</v>
      </c>
      <c r="R43" s="24">
        <v>4</v>
      </c>
      <c r="S43" s="31" t="s">
        <v>523</v>
      </c>
      <c r="T43" s="3">
        <v>3</v>
      </c>
      <c r="U43" s="3">
        <v>7</v>
      </c>
      <c r="V43" s="3">
        <v>2</v>
      </c>
      <c r="W43" s="3">
        <v>30003</v>
      </c>
      <c r="X43" s="24" t="s">
        <v>524</v>
      </c>
      <c r="Y43" s="24" t="s">
        <v>525</v>
      </c>
      <c r="Z43" s="51">
        <v>620019</v>
      </c>
      <c r="AA43" s="51">
        <v>214005</v>
      </c>
      <c r="AB43" s="51">
        <v>30</v>
      </c>
      <c r="AC43" s="51">
        <v>30</v>
      </c>
      <c r="AD43" s="51">
        <v>30</v>
      </c>
      <c r="AE43" s="52">
        <v>96</v>
      </c>
      <c r="AF43" s="52">
        <v>14</v>
      </c>
      <c r="AG43" s="52">
        <v>325</v>
      </c>
      <c r="AH43" s="52">
        <v>42</v>
      </c>
      <c r="AI43" s="52" t="s">
        <v>154</v>
      </c>
      <c r="AJ43" s="60">
        <v>0.016</v>
      </c>
      <c r="AK43" s="60">
        <v>1.008</v>
      </c>
      <c r="AL43" s="60">
        <v>0.008</v>
      </c>
      <c r="AM43" s="61" t="s">
        <v>322</v>
      </c>
      <c r="AR43" s="3">
        <v>8</v>
      </c>
      <c r="AS43" s="3" t="s">
        <v>526</v>
      </c>
      <c r="AT43" s="70"/>
      <c r="AU43" s="35"/>
      <c r="AV43" s="71"/>
      <c r="AW43" s="24"/>
      <c r="AX43" s="24">
        <v>4</v>
      </c>
      <c r="AY43" s="39"/>
      <c r="BA43" s="3">
        <v>4</v>
      </c>
      <c r="BB43" s="3">
        <v>1018</v>
      </c>
    </row>
    <row r="44" s="3" customFormat="1" spans="1:54">
      <c r="A44" s="2">
        <v>38</v>
      </c>
      <c r="B44" s="27">
        <v>112020</v>
      </c>
      <c r="C44" s="27">
        <v>112020</v>
      </c>
      <c r="D44" s="24" t="s">
        <v>527</v>
      </c>
      <c r="E44" s="25" t="s">
        <v>527</v>
      </c>
      <c r="F44" s="25"/>
      <c r="G44" s="27">
        <v>1</v>
      </c>
      <c r="H44" s="2" t="s">
        <v>528</v>
      </c>
      <c r="I44" s="2" t="s">
        <v>529</v>
      </c>
      <c r="J44" s="2" t="s">
        <v>394</v>
      </c>
      <c r="K44" s="2" t="s">
        <v>136</v>
      </c>
      <c r="L44" s="2" t="s">
        <v>530</v>
      </c>
      <c r="M44" s="35" t="s">
        <v>531</v>
      </c>
      <c r="N44" s="24">
        <v>1</v>
      </c>
      <c r="O44" s="6">
        <v>1</v>
      </c>
      <c r="P44" s="36">
        <v>3</v>
      </c>
      <c r="Q44" s="36">
        <v>3</v>
      </c>
      <c r="R44" s="24">
        <v>4</v>
      </c>
      <c r="S44" s="31" t="s">
        <v>523</v>
      </c>
      <c r="T44" s="3">
        <v>3</v>
      </c>
      <c r="U44" s="3">
        <v>7</v>
      </c>
      <c r="V44" s="3">
        <v>2</v>
      </c>
      <c r="W44" s="3">
        <v>41</v>
      </c>
      <c r="X44" s="24" t="s">
        <v>532</v>
      </c>
      <c r="Y44" s="24" t="s">
        <v>533</v>
      </c>
      <c r="Z44" s="51">
        <v>620020</v>
      </c>
      <c r="AA44" s="51">
        <v>214005</v>
      </c>
      <c r="AB44" s="51">
        <v>30</v>
      </c>
      <c r="AC44" s="51">
        <v>30</v>
      </c>
      <c r="AD44" s="51">
        <v>30</v>
      </c>
      <c r="AE44" s="52">
        <v>92</v>
      </c>
      <c r="AF44" s="52">
        <v>14</v>
      </c>
      <c r="AG44" s="52">
        <v>242</v>
      </c>
      <c r="AH44" s="52">
        <v>70</v>
      </c>
      <c r="AI44" s="52">
        <v>0.012</v>
      </c>
      <c r="AJ44" s="60">
        <v>0.0128</v>
      </c>
      <c r="AK44" s="60">
        <v>1.0032</v>
      </c>
      <c r="AL44" s="60">
        <v>0.008</v>
      </c>
      <c r="AM44" s="61" t="s">
        <v>385</v>
      </c>
      <c r="AN44" s="3" t="s">
        <v>534</v>
      </c>
      <c r="AO44" s="3" t="s">
        <v>535</v>
      </c>
      <c r="AR44" s="3">
        <v>8</v>
      </c>
      <c r="AS44" s="3" t="s">
        <v>536</v>
      </c>
      <c r="AT44" s="70"/>
      <c r="AU44" s="35"/>
      <c r="AV44" s="71"/>
      <c r="AW44" s="24"/>
      <c r="AX44" s="24">
        <v>4</v>
      </c>
      <c r="AY44" s="39"/>
      <c r="BA44" s="3">
        <v>4</v>
      </c>
      <c r="BB44" s="3">
        <v>1019</v>
      </c>
    </row>
    <row r="45" s="4" customFormat="1" spans="1:54">
      <c r="A45" s="2">
        <v>39</v>
      </c>
      <c r="B45" s="27">
        <v>112021</v>
      </c>
      <c r="C45" s="27">
        <v>112021</v>
      </c>
      <c r="D45" s="24" t="s">
        <v>537</v>
      </c>
      <c r="E45" s="26" t="s">
        <v>537</v>
      </c>
      <c r="F45" s="26"/>
      <c r="G45" s="27">
        <v>0</v>
      </c>
      <c r="H45" s="2" t="s">
        <v>538</v>
      </c>
      <c r="I45" s="2" t="s">
        <v>539</v>
      </c>
      <c r="J45" s="2" t="s">
        <v>150</v>
      </c>
      <c r="K45" s="2" t="s">
        <v>136</v>
      </c>
      <c r="L45" s="2" t="s">
        <v>540</v>
      </c>
      <c r="M45" s="35" t="s">
        <v>541</v>
      </c>
      <c r="N45" s="24">
        <v>1</v>
      </c>
      <c r="O45" s="6">
        <v>1</v>
      </c>
      <c r="P45" s="36">
        <v>1</v>
      </c>
      <c r="Q45" s="36">
        <v>1</v>
      </c>
      <c r="R45" s="24">
        <v>4</v>
      </c>
      <c r="S45" s="31" t="s">
        <v>523</v>
      </c>
      <c r="T45" s="3">
        <v>3</v>
      </c>
      <c r="U45" s="3">
        <v>7</v>
      </c>
      <c r="V45" s="3">
        <v>2</v>
      </c>
      <c r="W45" s="3">
        <v>43</v>
      </c>
      <c r="X45" s="24" t="s">
        <v>542</v>
      </c>
      <c r="Y45" s="24" t="s">
        <v>543</v>
      </c>
      <c r="Z45" s="51">
        <v>620021</v>
      </c>
      <c r="AA45" s="51">
        <v>214005</v>
      </c>
      <c r="AB45" s="51">
        <v>30</v>
      </c>
      <c r="AC45" s="51">
        <v>30</v>
      </c>
      <c r="AD45" s="51">
        <v>30</v>
      </c>
      <c r="AE45" s="52">
        <v>119</v>
      </c>
      <c r="AF45" s="52">
        <v>13</v>
      </c>
      <c r="AG45" s="52">
        <v>283</v>
      </c>
      <c r="AH45" s="52">
        <v>60</v>
      </c>
      <c r="AI45" s="52">
        <v>0</v>
      </c>
      <c r="AJ45" s="60">
        <v>0</v>
      </c>
      <c r="AK45" s="60">
        <v>1</v>
      </c>
      <c r="AL45" s="60">
        <v>0</v>
      </c>
      <c r="AM45" s="61" t="s">
        <v>371</v>
      </c>
      <c r="AN45" s="3" t="s">
        <v>544</v>
      </c>
      <c r="AO45" s="3" t="s">
        <v>545</v>
      </c>
      <c r="AP45" s="3"/>
      <c r="AQ45" s="3"/>
      <c r="AR45" s="3">
        <v>8</v>
      </c>
      <c r="AS45" s="3" t="s">
        <v>546</v>
      </c>
      <c r="AT45" s="70" t="s">
        <v>169</v>
      </c>
      <c r="AU45" s="35" t="s">
        <v>499</v>
      </c>
      <c r="AV45" s="71" t="s">
        <v>500</v>
      </c>
      <c r="AW45" s="24"/>
      <c r="AX45" s="24">
        <v>4</v>
      </c>
      <c r="AY45" s="39"/>
      <c r="AZ45" s="4">
        <v>316</v>
      </c>
      <c r="BA45" s="3">
        <v>4</v>
      </c>
      <c r="BB45" s="3">
        <v>1020</v>
      </c>
    </row>
    <row r="46" s="4" customFormat="1" spans="1:54">
      <c r="A46" s="2">
        <v>40</v>
      </c>
      <c r="B46" s="27">
        <v>112022</v>
      </c>
      <c r="C46" s="27">
        <v>112022</v>
      </c>
      <c r="D46" s="24" t="s">
        <v>547</v>
      </c>
      <c r="E46" s="27" t="s">
        <v>548</v>
      </c>
      <c r="F46" s="27"/>
      <c r="G46" s="27">
        <v>0</v>
      </c>
      <c r="H46" s="2" t="s">
        <v>549</v>
      </c>
      <c r="I46" s="2"/>
      <c r="J46" s="2" t="s">
        <v>162</v>
      </c>
      <c r="K46" s="2">
        <v>0</v>
      </c>
      <c r="L46" s="2" t="s">
        <v>550</v>
      </c>
      <c r="M46" s="35"/>
      <c r="N46" s="24">
        <v>0</v>
      </c>
      <c r="O46" s="24">
        <v>0</v>
      </c>
      <c r="P46" s="36">
        <v>1</v>
      </c>
      <c r="Q46" s="36">
        <v>1</v>
      </c>
      <c r="R46" s="24">
        <v>4</v>
      </c>
      <c r="S46" s="31" t="s">
        <v>300</v>
      </c>
      <c r="T46" s="3">
        <v>3</v>
      </c>
      <c r="U46" s="3">
        <v>7</v>
      </c>
      <c r="V46" s="3">
        <v>2</v>
      </c>
      <c r="W46" s="3">
        <v>17</v>
      </c>
      <c r="X46" s="24" t="s">
        <v>551</v>
      </c>
      <c r="Y46" s="24"/>
      <c r="Z46" s="51">
        <v>9999</v>
      </c>
      <c r="AA46" s="51">
        <v>214005</v>
      </c>
      <c r="AB46" s="51">
        <v>30</v>
      </c>
      <c r="AC46" s="51">
        <v>30</v>
      </c>
      <c r="AD46" s="51">
        <v>30</v>
      </c>
      <c r="AE46" s="52">
        <v>62</v>
      </c>
      <c r="AF46" s="52">
        <v>15</v>
      </c>
      <c r="AG46" s="52">
        <v>308</v>
      </c>
      <c r="AH46" s="52">
        <v>44</v>
      </c>
      <c r="AI46" s="52">
        <v>0</v>
      </c>
      <c r="AJ46" s="60">
        <v>0</v>
      </c>
      <c r="AK46" s="60">
        <v>1</v>
      </c>
      <c r="AL46" s="60">
        <v>0</v>
      </c>
      <c r="AM46" s="61" t="s">
        <v>371</v>
      </c>
      <c r="AN46" s="3"/>
      <c r="AO46" s="3"/>
      <c r="AP46" s="3"/>
      <c r="AQ46" s="3"/>
      <c r="AR46" s="3">
        <v>8</v>
      </c>
      <c r="AS46" s="3" t="s">
        <v>552</v>
      </c>
      <c r="AT46" s="70" t="s">
        <v>169</v>
      </c>
      <c r="AU46" s="35" t="s">
        <v>510</v>
      </c>
      <c r="AV46" s="71" t="s">
        <v>511</v>
      </c>
      <c r="AW46" s="24"/>
      <c r="AX46" s="24">
        <v>4</v>
      </c>
      <c r="AY46" s="39"/>
      <c r="AZ46" s="4">
        <v>203</v>
      </c>
      <c r="BA46" s="3"/>
      <c r="BB46" s="77">
        <v>9002</v>
      </c>
    </row>
    <row r="47" s="4" customFormat="1" spans="1:54">
      <c r="A47" s="2">
        <v>41</v>
      </c>
      <c r="B47" s="27">
        <v>112023</v>
      </c>
      <c r="C47" s="27">
        <v>112023</v>
      </c>
      <c r="D47" s="24" t="s">
        <v>553</v>
      </c>
      <c r="E47" s="27" t="s">
        <v>553</v>
      </c>
      <c r="F47" s="27"/>
      <c r="G47" s="27">
        <v>0</v>
      </c>
      <c r="H47" s="2" t="s">
        <v>554</v>
      </c>
      <c r="I47" s="2" t="s">
        <v>555</v>
      </c>
      <c r="J47" s="2" t="s">
        <v>162</v>
      </c>
      <c r="K47" s="2" t="s">
        <v>136</v>
      </c>
      <c r="L47" s="2" t="s">
        <v>556</v>
      </c>
      <c r="M47" s="35" t="s">
        <v>557</v>
      </c>
      <c r="N47" s="24">
        <v>1</v>
      </c>
      <c r="O47" s="6">
        <v>1</v>
      </c>
      <c r="P47" s="36">
        <v>3</v>
      </c>
      <c r="Q47" s="36">
        <v>3</v>
      </c>
      <c r="R47" s="24">
        <v>5</v>
      </c>
      <c r="S47" s="31" t="s">
        <v>558</v>
      </c>
      <c r="T47" s="3">
        <v>3</v>
      </c>
      <c r="U47" s="3">
        <v>7</v>
      </c>
      <c r="V47" s="3">
        <v>2</v>
      </c>
      <c r="W47" s="3">
        <v>27</v>
      </c>
      <c r="X47" s="24" t="s">
        <v>559</v>
      </c>
      <c r="Y47" s="24" t="s">
        <v>560</v>
      </c>
      <c r="Z47" s="51">
        <v>620023</v>
      </c>
      <c r="AA47" s="51">
        <v>214005</v>
      </c>
      <c r="AB47" s="51">
        <v>30</v>
      </c>
      <c r="AC47" s="51">
        <v>30</v>
      </c>
      <c r="AD47" s="51">
        <v>30</v>
      </c>
      <c r="AE47" s="52">
        <v>132</v>
      </c>
      <c r="AF47" s="52">
        <v>12</v>
      </c>
      <c r="AG47" s="52">
        <v>173</v>
      </c>
      <c r="AH47" s="52">
        <v>89</v>
      </c>
      <c r="AI47" s="52">
        <v>0</v>
      </c>
      <c r="AJ47" s="60">
        <v>0</v>
      </c>
      <c r="AK47" s="60">
        <v>1</v>
      </c>
      <c r="AL47" s="60">
        <v>0.007</v>
      </c>
      <c r="AM47" s="61" t="s">
        <v>371</v>
      </c>
      <c r="AN47" s="3"/>
      <c r="AO47" s="3"/>
      <c r="AP47" s="3"/>
      <c r="AQ47" s="3"/>
      <c r="AR47" s="3">
        <v>8</v>
      </c>
      <c r="AS47" s="70" t="s">
        <v>561</v>
      </c>
      <c r="AT47" s="70" t="s">
        <v>169</v>
      </c>
      <c r="AU47" s="35" t="s">
        <v>510</v>
      </c>
      <c r="AV47" s="71" t="s">
        <v>511</v>
      </c>
      <c r="AW47" s="24"/>
      <c r="AX47" s="24">
        <v>2</v>
      </c>
      <c r="AY47" s="39"/>
      <c r="AZ47" s="4">
        <v>203</v>
      </c>
      <c r="BA47" s="3">
        <v>3</v>
      </c>
      <c r="BB47" s="3">
        <v>1021</v>
      </c>
    </row>
    <row r="48" s="3" customFormat="1" spans="1:54">
      <c r="A48" s="2">
        <v>42</v>
      </c>
      <c r="B48" s="27">
        <v>112024</v>
      </c>
      <c r="C48" s="27">
        <v>112024</v>
      </c>
      <c r="D48" s="24" t="s">
        <v>562</v>
      </c>
      <c r="E48" s="27" t="s">
        <v>562</v>
      </c>
      <c r="F48" s="27"/>
      <c r="G48" s="27">
        <v>0</v>
      </c>
      <c r="H48" s="2" t="s">
        <v>563</v>
      </c>
      <c r="I48" s="2" t="s">
        <v>564</v>
      </c>
      <c r="J48" s="2" t="s">
        <v>379</v>
      </c>
      <c r="K48" s="2" t="s">
        <v>380</v>
      </c>
      <c r="L48" s="2" t="s">
        <v>137</v>
      </c>
      <c r="M48" s="35" t="s">
        <v>565</v>
      </c>
      <c r="N48" s="24">
        <v>1</v>
      </c>
      <c r="O48" s="6">
        <v>1</v>
      </c>
      <c r="P48" s="37" t="s">
        <v>566</v>
      </c>
      <c r="Q48" s="39">
        <v>4</v>
      </c>
      <c r="R48" s="3">
        <v>5</v>
      </c>
      <c r="S48" s="31" t="s">
        <v>558</v>
      </c>
      <c r="T48" s="24">
        <v>3</v>
      </c>
      <c r="U48" s="3">
        <v>7</v>
      </c>
      <c r="V48" s="3">
        <v>2</v>
      </c>
      <c r="W48" s="3">
        <v>51</v>
      </c>
      <c r="X48" s="24" t="s">
        <v>567</v>
      </c>
      <c r="Y48" s="24" t="s">
        <v>568</v>
      </c>
      <c r="Z48" s="51">
        <v>620024</v>
      </c>
      <c r="AA48" s="51">
        <v>214005</v>
      </c>
      <c r="AB48" s="51">
        <v>30</v>
      </c>
      <c r="AC48" s="51">
        <v>30</v>
      </c>
      <c r="AD48" s="51">
        <v>30</v>
      </c>
      <c r="AE48" s="52">
        <v>106</v>
      </c>
      <c r="AF48" s="52">
        <v>14</v>
      </c>
      <c r="AG48" s="52">
        <v>207</v>
      </c>
      <c r="AH48" s="52">
        <v>58</v>
      </c>
      <c r="AI48" s="52">
        <v>0.012</v>
      </c>
      <c r="AJ48" s="60">
        <v>0.0128</v>
      </c>
      <c r="AK48" s="60">
        <v>1.0032</v>
      </c>
      <c r="AL48" s="60">
        <v>0.008</v>
      </c>
      <c r="AM48" s="61" t="s">
        <v>385</v>
      </c>
      <c r="AN48" s="3" t="s">
        <v>569</v>
      </c>
      <c r="AO48" s="3" t="s">
        <v>570</v>
      </c>
      <c r="AR48" s="3">
        <v>8</v>
      </c>
      <c r="AS48" s="70" t="s">
        <v>571</v>
      </c>
      <c r="AX48" s="3">
        <v>2</v>
      </c>
      <c r="AY48" s="39"/>
      <c r="BA48" s="3">
        <v>3</v>
      </c>
      <c r="BB48" s="3">
        <v>1022</v>
      </c>
    </row>
    <row r="49" s="3" customFormat="1" spans="1:54">
      <c r="A49" s="2">
        <v>43</v>
      </c>
      <c r="B49" s="27">
        <v>112025</v>
      </c>
      <c r="C49" s="27">
        <v>112025</v>
      </c>
      <c r="D49" s="24" t="s">
        <v>572</v>
      </c>
      <c r="E49" s="27" t="s">
        <v>572</v>
      </c>
      <c r="F49" s="27"/>
      <c r="G49" s="27">
        <v>1</v>
      </c>
      <c r="H49" s="2" t="s">
        <v>573</v>
      </c>
      <c r="I49" s="2" t="s">
        <v>574</v>
      </c>
      <c r="J49" s="2" t="s">
        <v>186</v>
      </c>
      <c r="K49" s="2" t="s">
        <v>354</v>
      </c>
      <c r="L49" s="2" t="s">
        <v>575</v>
      </c>
      <c r="M49" s="35" t="s">
        <v>576</v>
      </c>
      <c r="N49" s="24">
        <v>1</v>
      </c>
      <c r="O49" s="6">
        <v>1</v>
      </c>
      <c r="P49" s="36">
        <v>3</v>
      </c>
      <c r="Q49" s="36">
        <v>3</v>
      </c>
      <c r="R49" s="24">
        <v>5</v>
      </c>
      <c r="S49" s="31" t="s">
        <v>558</v>
      </c>
      <c r="T49" s="3">
        <v>3</v>
      </c>
      <c r="U49" s="3">
        <v>7</v>
      </c>
      <c r="V49" s="3">
        <v>2</v>
      </c>
      <c r="W49" s="3">
        <v>25</v>
      </c>
      <c r="X49" s="24" t="s">
        <v>577</v>
      </c>
      <c r="Y49" s="24" t="s">
        <v>578</v>
      </c>
      <c r="Z49" s="51">
        <v>620025</v>
      </c>
      <c r="AA49" s="51">
        <v>214005</v>
      </c>
      <c r="AB49" s="51">
        <v>30</v>
      </c>
      <c r="AC49" s="51">
        <v>30</v>
      </c>
      <c r="AD49" s="51">
        <v>30</v>
      </c>
      <c r="AE49" s="52">
        <v>114</v>
      </c>
      <c r="AF49" s="52">
        <v>13</v>
      </c>
      <c r="AG49" s="52">
        <v>204</v>
      </c>
      <c r="AH49" s="52">
        <v>100</v>
      </c>
      <c r="AI49" s="52">
        <v>0.0144</v>
      </c>
      <c r="AJ49" s="60" t="s">
        <v>154</v>
      </c>
      <c r="AK49" s="60">
        <v>1.0128</v>
      </c>
      <c r="AL49" s="60" t="s">
        <v>154</v>
      </c>
      <c r="AM49" s="61" t="s">
        <v>344</v>
      </c>
      <c r="AN49" s="3" t="s">
        <v>579</v>
      </c>
      <c r="AO49" s="3" t="s">
        <v>580</v>
      </c>
      <c r="AR49" s="3">
        <v>8</v>
      </c>
      <c r="AS49" s="70" t="s">
        <v>581</v>
      </c>
      <c r="AT49" s="70"/>
      <c r="AU49" s="35"/>
      <c r="AV49" s="71"/>
      <c r="AW49" s="24"/>
      <c r="AX49" s="24">
        <v>2</v>
      </c>
      <c r="AY49" s="39"/>
      <c r="BA49" s="3">
        <v>3</v>
      </c>
      <c r="BB49" s="3">
        <v>1023</v>
      </c>
    </row>
    <row r="50" s="3" customFormat="1" spans="1:54">
      <c r="A50" s="2">
        <v>44</v>
      </c>
      <c r="B50" s="27">
        <v>112026</v>
      </c>
      <c r="C50" s="27">
        <v>112026</v>
      </c>
      <c r="D50" s="24" t="s">
        <v>582</v>
      </c>
      <c r="E50" s="27" t="s">
        <v>582</v>
      </c>
      <c r="F50" s="27"/>
      <c r="G50" s="27">
        <v>0</v>
      </c>
      <c r="H50" s="2" t="s">
        <v>583</v>
      </c>
      <c r="I50" s="2" t="s">
        <v>584</v>
      </c>
      <c r="J50" s="2" t="s">
        <v>150</v>
      </c>
      <c r="K50" s="2" t="s">
        <v>367</v>
      </c>
      <c r="L50" s="2" t="s">
        <v>137</v>
      </c>
      <c r="M50" s="37" t="s">
        <v>585</v>
      </c>
      <c r="N50" s="24">
        <v>1</v>
      </c>
      <c r="O50" s="6">
        <v>1</v>
      </c>
      <c r="P50" s="39">
        <v>5</v>
      </c>
      <c r="Q50" s="36">
        <v>5</v>
      </c>
      <c r="R50" s="3">
        <v>5</v>
      </c>
      <c r="S50" s="31" t="s">
        <v>558</v>
      </c>
      <c r="T50" s="3">
        <v>3</v>
      </c>
      <c r="U50" s="3">
        <v>7</v>
      </c>
      <c r="V50" s="3">
        <v>2</v>
      </c>
      <c r="W50" s="3">
        <v>26</v>
      </c>
      <c r="X50" s="24" t="s">
        <v>586</v>
      </c>
      <c r="Y50" s="24" t="s">
        <v>587</v>
      </c>
      <c r="Z50" s="51">
        <v>620026</v>
      </c>
      <c r="AA50" s="51">
        <v>214005</v>
      </c>
      <c r="AB50" s="51">
        <v>30</v>
      </c>
      <c r="AC50" s="51">
        <v>30</v>
      </c>
      <c r="AD50" s="51">
        <v>30</v>
      </c>
      <c r="AE50" s="52">
        <v>129</v>
      </c>
      <c r="AF50" s="52">
        <v>11</v>
      </c>
      <c r="AG50" s="52">
        <v>197</v>
      </c>
      <c r="AH50" s="52">
        <v>76</v>
      </c>
      <c r="AI50" s="52">
        <v>0.0144</v>
      </c>
      <c r="AJ50" s="60" t="s">
        <v>154</v>
      </c>
      <c r="AK50" s="60">
        <v>1.0128</v>
      </c>
      <c r="AL50" s="60"/>
      <c r="AM50" s="61" t="s">
        <v>344</v>
      </c>
      <c r="AN50" s="3" t="s">
        <v>588</v>
      </c>
      <c r="AO50" s="3" t="s">
        <v>589</v>
      </c>
      <c r="AR50" s="3">
        <v>8</v>
      </c>
      <c r="AS50" s="70" t="s">
        <v>590</v>
      </c>
      <c r="AX50" s="24">
        <v>2</v>
      </c>
      <c r="AY50" s="39"/>
      <c r="BA50" s="3">
        <v>3</v>
      </c>
      <c r="BB50" s="3">
        <v>1024</v>
      </c>
    </row>
    <row r="51" s="3" customFormat="1" spans="1:54">
      <c r="A51" s="2">
        <v>45</v>
      </c>
      <c r="B51" s="27">
        <v>112027</v>
      </c>
      <c r="C51" s="27">
        <v>112027</v>
      </c>
      <c r="D51" s="24" t="s">
        <v>591</v>
      </c>
      <c r="E51" s="27" t="s">
        <v>591</v>
      </c>
      <c r="F51" s="27"/>
      <c r="G51" s="27">
        <v>0</v>
      </c>
      <c r="H51" s="2" t="s">
        <v>592</v>
      </c>
      <c r="I51" s="2" t="s">
        <v>593</v>
      </c>
      <c r="J51" s="2" t="s">
        <v>162</v>
      </c>
      <c r="K51" s="2" t="s">
        <v>136</v>
      </c>
      <c r="L51" s="2" t="s">
        <v>137</v>
      </c>
      <c r="M51" s="37" t="s">
        <v>594</v>
      </c>
      <c r="N51" s="24">
        <v>1</v>
      </c>
      <c r="O51" s="6">
        <v>1</v>
      </c>
      <c r="P51" s="39">
        <v>4</v>
      </c>
      <c r="Q51" s="36">
        <v>4</v>
      </c>
      <c r="R51" s="3">
        <v>3</v>
      </c>
      <c r="S51" s="31" t="s">
        <v>595</v>
      </c>
      <c r="T51" s="3">
        <v>3</v>
      </c>
      <c r="U51" s="3">
        <v>7</v>
      </c>
      <c r="V51" s="3">
        <v>2</v>
      </c>
      <c r="W51" s="3">
        <v>58</v>
      </c>
      <c r="X51" s="24" t="s">
        <v>596</v>
      </c>
      <c r="Y51" s="24" t="s">
        <v>597</v>
      </c>
      <c r="Z51" s="51">
        <v>620027</v>
      </c>
      <c r="AA51" s="53">
        <v>214005</v>
      </c>
      <c r="AB51" s="53">
        <v>30</v>
      </c>
      <c r="AC51" s="53">
        <v>30</v>
      </c>
      <c r="AD51" s="53">
        <v>30</v>
      </c>
      <c r="AE51" s="13">
        <v>106</v>
      </c>
      <c r="AF51" s="13">
        <v>14</v>
      </c>
      <c r="AG51" s="13">
        <v>207</v>
      </c>
      <c r="AH51" s="13">
        <v>85</v>
      </c>
      <c r="AI51" s="52">
        <v>0.0128</v>
      </c>
      <c r="AJ51" s="60">
        <v>0.008</v>
      </c>
      <c r="AK51" s="60">
        <v>1.016</v>
      </c>
      <c r="AL51" s="60" t="s">
        <v>154</v>
      </c>
      <c r="AM51" s="61" t="s">
        <v>333</v>
      </c>
      <c r="AN51" s="3" t="s">
        <v>598</v>
      </c>
      <c r="AO51" s="3" t="s">
        <v>599</v>
      </c>
      <c r="AR51" s="3">
        <v>8</v>
      </c>
      <c r="AS51" s="70" t="s">
        <v>600</v>
      </c>
      <c r="AX51" s="24">
        <v>2</v>
      </c>
      <c r="AY51" s="39"/>
      <c r="BA51" s="3">
        <v>3</v>
      </c>
      <c r="BB51" s="3">
        <v>1025</v>
      </c>
    </row>
    <row r="52" s="5" customFormat="1" spans="1:54">
      <c r="A52" s="2">
        <v>46</v>
      </c>
      <c r="B52" s="28">
        <v>112028</v>
      </c>
      <c r="C52" s="28">
        <v>112028</v>
      </c>
      <c r="D52" s="28" t="s">
        <v>601</v>
      </c>
      <c r="E52" s="28" t="s">
        <v>601</v>
      </c>
      <c r="F52" s="28"/>
      <c r="G52" s="28">
        <v>0</v>
      </c>
      <c r="H52" s="2" t="s">
        <v>602</v>
      </c>
      <c r="I52" s="2" t="s">
        <v>603</v>
      </c>
      <c r="J52" s="2" t="s">
        <v>222</v>
      </c>
      <c r="K52" s="2" t="s">
        <v>136</v>
      </c>
      <c r="L52" s="2" t="s">
        <v>137</v>
      </c>
      <c r="M52" s="40" t="s">
        <v>604</v>
      </c>
      <c r="N52" s="41">
        <v>1</v>
      </c>
      <c r="O52" s="6">
        <v>1</v>
      </c>
      <c r="P52" s="42">
        <v>4</v>
      </c>
      <c r="Q52" s="42">
        <v>4</v>
      </c>
      <c r="R52" s="41">
        <v>2</v>
      </c>
      <c r="S52" s="31" t="s">
        <v>139</v>
      </c>
      <c r="T52" s="5">
        <v>3</v>
      </c>
      <c r="U52" s="5">
        <v>8</v>
      </c>
      <c r="V52" s="5">
        <v>3</v>
      </c>
      <c r="W52" s="5">
        <v>59</v>
      </c>
      <c r="X52" s="41" t="s">
        <v>605</v>
      </c>
      <c r="Y52" s="41" t="s">
        <v>606</v>
      </c>
      <c r="Z52" s="54">
        <v>620028</v>
      </c>
      <c r="AA52" s="54">
        <v>215005</v>
      </c>
      <c r="AB52" s="54">
        <v>50</v>
      </c>
      <c r="AC52" s="54">
        <v>50</v>
      </c>
      <c r="AD52" s="54">
        <v>50</v>
      </c>
      <c r="AE52" s="55">
        <v>120</v>
      </c>
      <c r="AF52" s="55">
        <v>25</v>
      </c>
      <c r="AG52" s="55">
        <v>365</v>
      </c>
      <c r="AH52" s="55">
        <v>80</v>
      </c>
      <c r="AI52" s="62" t="s">
        <v>154</v>
      </c>
      <c r="AJ52" s="62">
        <v>0.02</v>
      </c>
      <c r="AK52" s="62">
        <v>1.01</v>
      </c>
      <c r="AL52" s="62">
        <v>0.01</v>
      </c>
      <c r="AM52" s="63" t="s">
        <v>607</v>
      </c>
      <c r="AN52" s="5" t="s">
        <v>608</v>
      </c>
      <c r="AO52" s="5" t="s">
        <v>609</v>
      </c>
      <c r="AR52" s="5">
        <v>8</v>
      </c>
      <c r="AS52" s="5" t="s">
        <v>610</v>
      </c>
      <c r="AT52" s="72"/>
      <c r="AU52" s="41"/>
      <c r="AV52" s="73"/>
      <c r="AW52" s="41"/>
      <c r="AX52" s="41">
        <v>1</v>
      </c>
      <c r="AY52" s="78">
        <v>1</v>
      </c>
      <c r="BA52" s="5">
        <v>2</v>
      </c>
      <c r="BB52" s="5">
        <v>118</v>
      </c>
    </row>
    <row r="53" s="3" customFormat="1" spans="1:54">
      <c r="A53" s="2">
        <v>47</v>
      </c>
      <c r="B53" s="27">
        <v>112029</v>
      </c>
      <c r="C53" s="27">
        <v>112029</v>
      </c>
      <c r="D53" s="27" t="s">
        <v>611</v>
      </c>
      <c r="E53" s="27" t="s">
        <v>611</v>
      </c>
      <c r="F53" s="27"/>
      <c r="G53" s="27">
        <v>1</v>
      </c>
      <c r="H53" s="3" t="s">
        <v>612</v>
      </c>
      <c r="I53" s="3" t="s">
        <v>613</v>
      </c>
      <c r="K53" s="3" t="s">
        <v>136</v>
      </c>
      <c r="L53" s="3" t="s">
        <v>614</v>
      </c>
      <c r="M53" s="35" t="s">
        <v>615</v>
      </c>
      <c r="N53" s="24">
        <v>1</v>
      </c>
      <c r="O53" s="3">
        <v>0</v>
      </c>
      <c r="P53" s="36">
        <v>3</v>
      </c>
      <c r="Q53" s="36">
        <v>3</v>
      </c>
      <c r="R53" s="24">
        <v>5</v>
      </c>
      <c r="S53" s="24" t="s">
        <v>616</v>
      </c>
      <c r="T53" s="3">
        <v>3</v>
      </c>
      <c r="U53" s="3">
        <v>7</v>
      </c>
      <c r="V53" s="3">
        <v>2</v>
      </c>
      <c r="W53" s="3">
        <v>86</v>
      </c>
      <c r="X53" s="24" t="s">
        <v>617</v>
      </c>
      <c r="Y53" s="24"/>
      <c r="Z53" s="51">
        <v>620029</v>
      </c>
      <c r="AA53" s="51">
        <v>214005</v>
      </c>
      <c r="AB53" s="51">
        <v>30</v>
      </c>
      <c r="AC53" s="51">
        <v>30</v>
      </c>
      <c r="AD53" s="51">
        <v>30</v>
      </c>
      <c r="AE53" s="52">
        <v>139</v>
      </c>
      <c r="AF53" s="52">
        <v>11</v>
      </c>
      <c r="AG53" s="52">
        <v>173</v>
      </c>
      <c r="AH53" s="52">
        <v>105</v>
      </c>
      <c r="AI53" s="60">
        <v>0.0144</v>
      </c>
      <c r="AJ53" s="60" t="s">
        <v>154</v>
      </c>
      <c r="AK53" s="60">
        <v>1.0128</v>
      </c>
      <c r="AL53" s="60"/>
      <c r="AM53" s="61" t="s">
        <v>344</v>
      </c>
      <c r="AS53" s="35" t="s">
        <v>618</v>
      </c>
      <c r="AT53" s="70"/>
      <c r="AU53" s="24"/>
      <c r="AV53" s="71"/>
      <c r="AW53" s="24"/>
      <c r="AX53" s="24">
        <v>3</v>
      </c>
      <c r="AY53" s="39">
        <v>3</v>
      </c>
      <c r="BA53" s="3">
        <v>3</v>
      </c>
      <c r="BB53" s="3">
        <v>1026</v>
      </c>
    </row>
    <row r="54" s="3" customFormat="1" spans="1:54">
      <c r="A54" s="2">
        <v>48</v>
      </c>
      <c r="B54" s="27">
        <v>112030</v>
      </c>
      <c r="C54" s="27">
        <v>112030</v>
      </c>
      <c r="D54" s="27" t="s">
        <v>619</v>
      </c>
      <c r="E54" s="27" t="s">
        <v>619</v>
      </c>
      <c r="F54" s="27"/>
      <c r="G54" s="27">
        <v>1</v>
      </c>
      <c r="M54" s="35"/>
      <c r="N54" s="24">
        <v>1</v>
      </c>
      <c r="O54" s="3">
        <v>0</v>
      </c>
      <c r="P54" s="36">
        <v>5</v>
      </c>
      <c r="Q54" s="36">
        <v>5</v>
      </c>
      <c r="R54" s="24">
        <v>8</v>
      </c>
      <c r="S54" s="24" t="s">
        <v>620</v>
      </c>
      <c r="T54" s="3">
        <v>3</v>
      </c>
      <c r="U54" s="3">
        <v>7</v>
      </c>
      <c r="V54" s="3">
        <v>2</v>
      </c>
      <c r="W54" s="3">
        <v>91</v>
      </c>
      <c r="X54" s="24" t="s">
        <v>617</v>
      </c>
      <c r="Y54" s="24"/>
      <c r="Z54" s="51">
        <v>620030</v>
      </c>
      <c r="AA54" s="51">
        <v>214005</v>
      </c>
      <c r="AB54" s="51">
        <v>30</v>
      </c>
      <c r="AC54" s="51">
        <v>30</v>
      </c>
      <c r="AD54" s="51">
        <v>30</v>
      </c>
      <c r="AE54" s="52">
        <v>139</v>
      </c>
      <c r="AF54" s="52">
        <v>11</v>
      </c>
      <c r="AG54" s="52">
        <v>173</v>
      </c>
      <c r="AH54" s="52">
        <v>105</v>
      </c>
      <c r="AI54" s="60">
        <v>0.0144</v>
      </c>
      <c r="AJ54" s="60" t="s">
        <v>154</v>
      </c>
      <c r="AK54" s="60">
        <v>1.0128</v>
      </c>
      <c r="AL54" s="60"/>
      <c r="AM54" s="61" t="s">
        <v>344</v>
      </c>
      <c r="AS54" s="35" t="s">
        <v>618</v>
      </c>
      <c r="AT54" s="70"/>
      <c r="AU54" s="24"/>
      <c r="AV54" s="71"/>
      <c r="AW54" s="24"/>
      <c r="AX54" s="24">
        <v>3</v>
      </c>
      <c r="AY54" s="39">
        <v>3</v>
      </c>
      <c r="BA54" s="3">
        <v>4</v>
      </c>
      <c r="BB54" s="3">
        <v>1027</v>
      </c>
    </row>
    <row r="55" s="5" customFormat="1" spans="1:54">
      <c r="A55" s="2">
        <v>49</v>
      </c>
      <c r="B55" s="28">
        <v>113001</v>
      </c>
      <c r="C55" s="28">
        <v>113001</v>
      </c>
      <c r="D55" s="28" t="s">
        <v>621</v>
      </c>
      <c r="E55" s="28" t="s">
        <v>621</v>
      </c>
      <c r="F55" s="28"/>
      <c r="G55" s="28">
        <v>0</v>
      </c>
      <c r="H55" s="2" t="s">
        <v>622</v>
      </c>
      <c r="I55" s="2" t="s">
        <v>623</v>
      </c>
      <c r="J55" s="2" t="s">
        <v>624</v>
      </c>
      <c r="K55" s="2" t="s">
        <v>136</v>
      </c>
      <c r="L55" s="38" t="s">
        <v>625</v>
      </c>
      <c r="M55" s="40" t="s">
        <v>626</v>
      </c>
      <c r="N55" s="41">
        <v>1</v>
      </c>
      <c r="O55" s="6">
        <v>1</v>
      </c>
      <c r="P55" s="42">
        <v>2</v>
      </c>
      <c r="Q55" s="42">
        <v>2</v>
      </c>
      <c r="R55" s="41">
        <v>5</v>
      </c>
      <c r="S55" s="31" t="s">
        <v>253</v>
      </c>
      <c r="T55" s="5">
        <v>3</v>
      </c>
      <c r="U55" s="5">
        <v>8</v>
      </c>
      <c r="V55" s="5">
        <v>3</v>
      </c>
      <c r="W55" s="5">
        <v>35</v>
      </c>
      <c r="X55" s="41" t="s">
        <v>627</v>
      </c>
      <c r="Y55" s="41" t="s">
        <v>628</v>
      </c>
      <c r="Z55" s="54">
        <v>630001</v>
      </c>
      <c r="AA55" s="54">
        <v>215005</v>
      </c>
      <c r="AB55" s="54">
        <v>50</v>
      </c>
      <c r="AC55" s="54">
        <v>50</v>
      </c>
      <c r="AD55" s="54">
        <v>50</v>
      </c>
      <c r="AE55" s="55">
        <v>187</v>
      </c>
      <c r="AF55" s="55">
        <v>17</v>
      </c>
      <c r="AG55" s="55">
        <v>313</v>
      </c>
      <c r="AH55" s="55">
        <v>64</v>
      </c>
      <c r="AI55" s="62">
        <v>0</v>
      </c>
      <c r="AJ55" s="62" t="s">
        <v>154</v>
      </c>
      <c r="AK55" s="62">
        <v>1.016</v>
      </c>
      <c r="AL55" s="62" t="s">
        <v>154</v>
      </c>
      <c r="AM55" s="63" t="s">
        <v>629</v>
      </c>
      <c r="AN55" s="5" t="s">
        <v>630</v>
      </c>
      <c r="AO55" s="5" t="s">
        <v>631</v>
      </c>
      <c r="AR55" s="5">
        <v>8</v>
      </c>
      <c r="AS55" s="5" t="s">
        <v>632</v>
      </c>
      <c r="AT55" s="72" t="s">
        <v>169</v>
      </c>
      <c r="AU55" s="41" t="s">
        <v>633</v>
      </c>
      <c r="AV55" s="73">
        <v>246</v>
      </c>
      <c r="AW55" s="41"/>
      <c r="AX55" s="41">
        <v>2</v>
      </c>
      <c r="AY55" s="78">
        <v>4</v>
      </c>
      <c r="AZ55" s="5">
        <v>232</v>
      </c>
      <c r="BA55" s="5">
        <v>3</v>
      </c>
      <c r="BB55" s="5">
        <v>101</v>
      </c>
    </row>
    <row r="56" s="5" customFormat="1" spans="1:54">
      <c r="A56" s="2">
        <v>50</v>
      </c>
      <c r="B56" s="28">
        <v>113002</v>
      </c>
      <c r="C56" s="28">
        <v>113002</v>
      </c>
      <c r="D56" s="28" t="s">
        <v>634</v>
      </c>
      <c r="E56" s="28" t="s">
        <v>634</v>
      </c>
      <c r="F56" s="28"/>
      <c r="G56" s="28">
        <v>0</v>
      </c>
      <c r="H56" s="2" t="s">
        <v>635</v>
      </c>
      <c r="I56" s="2" t="s">
        <v>636</v>
      </c>
      <c r="J56" s="2" t="s">
        <v>637</v>
      </c>
      <c r="K56" s="2" t="s">
        <v>354</v>
      </c>
      <c r="L56" s="38" t="s">
        <v>638</v>
      </c>
      <c r="M56" s="40" t="s">
        <v>639</v>
      </c>
      <c r="N56" s="41">
        <v>1</v>
      </c>
      <c r="O56" s="6">
        <v>1</v>
      </c>
      <c r="P56" s="42">
        <v>2</v>
      </c>
      <c r="Q56" s="42">
        <v>2</v>
      </c>
      <c r="R56" s="41">
        <v>8</v>
      </c>
      <c r="S56" s="31" t="s">
        <v>640</v>
      </c>
      <c r="T56" s="5">
        <v>3</v>
      </c>
      <c r="U56" s="5">
        <v>8</v>
      </c>
      <c r="V56" s="5">
        <v>3</v>
      </c>
      <c r="W56" s="5">
        <v>36</v>
      </c>
      <c r="X56" s="41" t="s">
        <v>641</v>
      </c>
      <c r="Y56" s="41" t="s">
        <v>642</v>
      </c>
      <c r="Z56" s="54">
        <v>630002</v>
      </c>
      <c r="AA56" s="54">
        <v>215005</v>
      </c>
      <c r="AB56" s="54">
        <v>50</v>
      </c>
      <c r="AC56" s="54">
        <v>50</v>
      </c>
      <c r="AD56" s="54">
        <v>50</v>
      </c>
      <c r="AE56" s="55">
        <v>223</v>
      </c>
      <c r="AF56" s="55">
        <v>15</v>
      </c>
      <c r="AG56" s="55">
        <v>251</v>
      </c>
      <c r="AH56" s="55">
        <v>125</v>
      </c>
      <c r="AI56" s="62">
        <v>0.014</v>
      </c>
      <c r="AJ56" s="62" t="s">
        <v>154</v>
      </c>
      <c r="AK56" s="62">
        <v>1.02</v>
      </c>
      <c r="AL56" s="62">
        <v>0.006</v>
      </c>
      <c r="AM56" s="63" t="s">
        <v>643</v>
      </c>
      <c r="AN56" s="5" t="s">
        <v>644</v>
      </c>
      <c r="AO56" s="5" t="s">
        <v>645</v>
      </c>
      <c r="AR56" s="5">
        <v>8</v>
      </c>
      <c r="AS56" s="5" t="s">
        <v>646</v>
      </c>
      <c r="AT56" s="72" t="s">
        <v>169</v>
      </c>
      <c r="AU56" s="41" t="s">
        <v>647</v>
      </c>
      <c r="AV56" s="73">
        <v>252</v>
      </c>
      <c r="AW56" s="41"/>
      <c r="AX56" s="41">
        <v>4</v>
      </c>
      <c r="AY56" s="78">
        <v>4</v>
      </c>
      <c r="AZ56" s="5">
        <v>238</v>
      </c>
      <c r="BA56" s="5">
        <v>4</v>
      </c>
      <c r="BB56" s="5">
        <v>102</v>
      </c>
    </row>
    <row r="57" s="5" customFormat="1" spans="1:54">
      <c r="A57" s="2">
        <v>51</v>
      </c>
      <c r="B57" s="28">
        <v>113003</v>
      </c>
      <c r="C57" s="28">
        <v>113003</v>
      </c>
      <c r="D57" s="28" t="s">
        <v>648</v>
      </c>
      <c r="E57" s="28" t="s">
        <v>648</v>
      </c>
      <c r="F57" s="28"/>
      <c r="G57" s="28">
        <v>0</v>
      </c>
      <c r="H57" s="2" t="s">
        <v>649</v>
      </c>
      <c r="I57" s="2" t="s">
        <v>650</v>
      </c>
      <c r="J57" s="2" t="s">
        <v>186</v>
      </c>
      <c r="K57" s="2" t="s">
        <v>136</v>
      </c>
      <c r="L57" s="2" t="s">
        <v>651</v>
      </c>
      <c r="M57" s="40" t="s">
        <v>652</v>
      </c>
      <c r="N57" s="41">
        <v>1</v>
      </c>
      <c r="O57" s="6">
        <v>1</v>
      </c>
      <c r="P57" s="42">
        <v>2</v>
      </c>
      <c r="Q57" s="42">
        <v>2</v>
      </c>
      <c r="R57" s="41">
        <v>2</v>
      </c>
      <c r="S57" s="31" t="s">
        <v>139</v>
      </c>
      <c r="T57" s="5">
        <v>3</v>
      </c>
      <c r="U57" s="5">
        <v>8</v>
      </c>
      <c r="V57" s="5">
        <v>3</v>
      </c>
      <c r="W57" s="5">
        <v>16</v>
      </c>
      <c r="X57" s="41" t="s">
        <v>653</v>
      </c>
      <c r="Y57" s="41" t="s">
        <v>654</v>
      </c>
      <c r="Z57" s="54">
        <v>630003</v>
      </c>
      <c r="AA57" s="54">
        <v>215005</v>
      </c>
      <c r="AB57" s="54">
        <v>50</v>
      </c>
      <c r="AC57" s="54">
        <v>50</v>
      </c>
      <c r="AD57" s="54">
        <v>50</v>
      </c>
      <c r="AE57" s="55">
        <v>228</v>
      </c>
      <c r="AF57" s="55">
        <v>18</v>
      </c>
      <c r="AG57" s="55">
        <v>277</v>
      </c>
      <c r="AH57" s="55">
        <v>110</v>
      </c>
      <c r="AI57" s="62">
        <v>0.018</v>
      </c>
      <c r="AJ57" s="62" t="s">
        <v>154</v>
      </c>
      <c r="AK57" s="62">
        <v>1.016</v>
      </c>
      <c r="AL57" s="62" t="s">
        <v>154</v>
      </c>
      <c r="AM57" s="63" t="s">
        <v>629</v>
      </c>
      <c r="AN57" s="5" t="s">
        <v>655</v>
      </c>
      <c r="AO57" s="5" t="s">
        <v>656</v>
      </c>
      <c r="AR57" s="5">
        <v>8</v>
      </c>
      <c r="AS57" s="5" t="s">
        <v>657</v>
      </c>
      <c r="AT57" s="72" t="s">
        <v>169</v>
      </c>
      <c r="AU57" s="41"/>
      <c r="AV57" s="73">
        <v>155</v>
      </c>
      <c r="AW57" s="41"/>
      <c r="AX57" s="41">
        <v>1</v>
      </c>
      <c r="AY57" s="78">
        <v>4</v>
      </c>
      <c r="AZ57" s="5">
        <v>130</v>
      </c>
      <c r="BA57" s="5">
        <v>2</v>
      </c>
      <c r="BB57" s="5">
        <v>103</v>
      </c>
    </row>
    <row r="58" s="5" customFormat="1" spans="1:54">
      <c r="A58" s="2">
        <v>52</v>
      </c>
      <c r="B58" s="28">
        <v>113004</v>
      </c>
      <c r="C58" s="28">
        <v>113004</v>
      </c>
      <c r="D58" s="28" t="s">
        <v>658</v>
      </c>
      <c r="E58" s="28" t="s">
        <v>658</v>
      </c>
      <c r="F58" s="28"/>
      <c r="G58" s="28">
        <v>0</v>
      </c>
      <c r="H58" s="2" t="s">
        <v>659</v>
      </c>
      <c r="I58" s="2" t="s">
        <v>660</v>
      </c>
      <c r="J58" s="2" t="s">
        <v>222</v>
      </c>
      <c r="K58" s="2" t="s">
        <v>136</v>
      </c>
      <c r="L58" s="2" t="s">
        <v>137</v>
      </c>
      <c r="M58" s="40" t="s">
        <v>661</v>
      </c>
      <c r="N58" s="41">
        <v>1</v>
      </c>
      <c r="O58" s="6">
        <v>1</v>
      </c>
      <c r="P58" s="42">
        <v>4</v>
      </c>
      <c r="Q58" s="42">
        <v>4</v>
      </c>
      <c r="R58" s="41">
        <v>2</v>
      </c>
      <c r="S58" s="31" t="s">
        <v>139</v>
      </c>
      <c r="T58" s="5">
        <v>3</v>
      </c>
      <c r="U58" s="5">
        <v>8</v>
      </c>
      <c r="V58" s="5">
        <v>3</v>
      </c>
      <c r="W58" s="5">
        <v>42</v>
      </c>
      <c r="X58" s="41" t="s">
        <v>662</v>
      </c>
      <c r="Y58" s="41" t="s">
        <v>663</v>
      </c>
      <c r="Z58" s="54">
        <v>630004</v>
      </c>
      <c r="AA58" s="54">
        <v>215005</v>
      </c>
      <c r="AB58" s="54">
        <v>50</v>
      </c>
      <c r="AC58" s="54">
        <v>50</v>
      </c>
      <c r="AD58" s="54">
        <v>50</v>
      </c>
      <c r="AE58" s="55">
        <v>140</v>
      </c>
      <c r="AF58" s="55">
        <v>22</v>
      </c>
      <c r="AG58" s="55">
        <v>365</v>
      </c>
      <c r="AH58" s="55">
        <v>65</v>
      </c>
      <c r="AI58" s="62" t="s">
        <v>154</v>
      </c>
      <c r="AJ58" s="62">
        <v>0.02</v>
      </c>
      <c r="AK58" s="62">
        <v>1.01</v>
      </c>
      <c r="AL58" s="62">
        <v>0.01</v>
      </c>
      <c r="AM58" s="63" t="s">
        <v>607</v>
      </c>
      <c r="AN58" s="5" t="s">
        <v>664</v>
      </c>
      <c r="AO58" s="5" t="s">
        <v>665</v>
      </c>
      <c r="AR58" s="5">
        <v>8</v>
      </c>
      <c r="AS58" s="5" t="s">
        <v>666</v>
      </c>
      <c r="AT58" s="72" t="s">
        <v>157</v>
      </c>
      <c r="AU58" s="41"/>
      <c r="AV58" s="73">
        <v>292</v>
      </c>
      <c r="AW58" s="41"/>
      <c r="AX58" s="41">
        <v>1</v>
      </c>
      <c r="AY58" s="78">
        <v>1</v>
      </c>
      <c r="AZ58" s="5">
        <v>278</v>
      </c>
      <c r="BA58" s="5">
        <v>2</v>
      </c>
      <c r="BB58" s="5">
        <v>104</v>
      </c>
    </row>
    <row r="59" s="5" customFormat="1" spans="1:56">
      <c r="A59" s="2">
        <v>53</v>
      </c>
      <c r="B59" s="28">
        <v>113005</v>
      </c>
      <c r="C59" s="28">
        <v>113005</v>
      </c>
      <c r="D59" s="28" t="s">
        <v>667</v>
      </c>
      <c r="E59" s="28" t="s">
        <v>667</v>
      </c>
      <c r="F59" s="28"/>
      <c r="G59" s="28">
        <v>0</v>
      </c>
      <c r="H59" s="2" t="s">
        <v>668</v>
      </c>
      <c r="I59" s="2" t="s">
        <v>669</v>
      </c>
      <c r="J59" s="2" t="s">
        <v>670</v>
      </c>
      <c r="K59" s="2" t="s">
        <v>671</v>
      </c>
      <c r="L59" s="38" t="s">
        <v>672</v>
      </c>
      <c r="M59" s="40" t="s">
        <v>673</v>
      </c>
      <c r="N59" s="41">
        <v>1</v>
      </c>
      <c r="O59" s="6">
        <v>1</v>
      </c>
      <c r="P59" s="42">
        <v>3</v>
      </c>
      <c r="Q59" s="42">
        <v>3</v>
      </c>
      <c r="R59" s="41">
        <v>5</v>
      </c>
      <c r="S59" s="31" t="s">
        <v>558</v>
      </c>
      <c r="T59" s="5">
        <v>3</v>
      </c>
      <c r="U59" s="5">
        <v>8</v>
      </c>
      <c r="V59" s="5">
        <v>3</v>
      </c>
      <c r="W59" s="5">
        <v>53</v>
      </c>
      <c r="X59" s="41" t="s">
        <v>674</v>
      </c>
      <c r="Y59" s="41" t="s">
        <v>675</v>
      </c>
      <c r="Z59" s="54">
        <v>630005</v>
      </c>
      <c r="AA59" s="54">
        <v>215005</v>
      </c>
      <c r="AB59" s="54">
        <v>50</v>
      </c>
      <c r="AC59" s="54">
        <v>50</v>
      </c>
      <c r="AD59" s="54">
        <v>50</v>
      </c>
      <c r="AE59" s="55">
        <v>152</v>
      </c>
      <c r="AF59" s="55">
        <v>21</v>
      </c>
      <c r="AG59" s="55">
        <v>345</v>
      </c>
      <c r="AH59" s="55">
        <v>85</v>
      </c>
      <c r="AI59" s="62">
        <v>0</v>
      </c>
      <c r="AJ59" s="62">
        <v>0</v>
      </c>
      <c r="AK59" s="62">
        <v>1</v>
      </c>
      <c r="AL59" s="62">
        <v>0</v>
      </c>
      <c r="AM59" s="63" t="s">
        <v>676</v>
      </c>
      <c r="AN59" s="5" t="s">
        <v>677</v>
      </c>
      <c r="AO59" s="5" t="s">
        <v>678</v>
      </c>
      <c r="AR59" s="5">
        <v>8</v>
      </c>
      <c r="AS59" s="5" t="s">
        <v>679</v>
      </c>
      <c r="AT59" s="72" t="s">
        <v>169</v>
      </c>
      <c r="AU59" s="41"/>
      <c r="AV59" s="73"/>
      <c r="AW59" s="41"/>
      <c r="AX59" s="41">
        <v>3</v>
      </c>
      <c r="AY59" s="78">
        <v>4</v>
      </c>
      <c r="BA59" s="5">
        <v>3</v>
      </c>
      <c r="BB59" s="5">
        <v>111</v>
      </c>
      <c r="BC59" s="5">
        <v>615004</v>
      </c>
      <c r="BD59" s="5">
        <v>30</v>
      </c>
    </row>
    <row r="60" s="5" customFormat="1" spans="1:54">
      <c r="A60" s="2">
        <v>54</v>
      </c>
      <c r="B60" s="28">
        <v>113006</v>
      </c>
      <c r="C60" s="28">
        <v>113006</v>
      </c>
      <c r="D60" s="28" t="s">
        <v>680</v>
      </c>
      <c r="E60" s="28" t="s">
        <v>680</v>
      </c>
      <c r="F60" s="28"/>
      <c r="G60" s="28">
        <v>0</v>
      </c>
      <c r="H60" s="2" t="s">
        <v>681</v>
      </c>
      <c r="I60" s="2" t="s">
        <v>682</v>
      </c>
      <c r="J60" s="2" t="s">
        <v>683</v>
      </c>
      <c r="K60" s="2" t="s">
        <v>136</v>
      </c>
      <c r="L60" s="2" t="s">
        <v>684</v>
      </c>
      <c r="M60" s="40" t="s">
        <v>685</v>
      </c>
      <c r="N60" s="41">
        <v>1</v>
      </c>
      <c r="O60" s="6">
        <v>1</v>
      </c>
      <c r="P60" s="42">
        <v>3</v>
      </c>
      <c r="Q60" s="42">
        <v>3</v>
      </c>
      <c r="R60" s="41">
        <v>5</v>
      </c>
      <c r="S60" s="31" t="s">
        <v>686</v>
      </c>
      <c r="T60" s="5">
        <v>3</v>
      </c>
      <c r="U60" s="5">
        <v>8</v>
      </c>
      <c r="V60" s="5">
        <v>3</v>
      </c>
      <c r="W60" s="5">
        <v>39</v>
      </c>
      <c r="X60" s="41" t="s">
        <v>687</v>
      </c>
      <c r="Y60" s="41" t="s">
        <v>688</v>
      </c>
      <c r="Z60" s="54">
        <v>630006</v>
      </c>
      <c r="AA60" s="54">
        <v>215005</v>
      </c>
      <c r="AB60" s="54">
        <v>50</v>
      </c>
      <c r="AC60" s="54">
        <v>50</v>
      </c>
      <c r="AD60" s="54">
        <v>50</v>
      </c>
      <c r="AE60" s="55">
        <v>146</v>
      </c>
      <c r="AF60" s="55">
        <v>20</v>
      </c>
      <c r="AG60" s="55">
        <v>381</v>
      </c>
      <c r="AH60" s="55">
        <v>90</v>
      </c>
      <c r="AI60" s="62">
        <v>0.015</v>
      </c>
      <c r="AJ60" s="62">
        <v>0.016</v>
      </c>
      <c r="AK60" s="62">
        <v>1.004</v>
      </c>
      <c r="AL60" s="62">
        <v>0.01</v>
      </c>
      <c r="AM60" s="63" t="s">
        <v>689</v>
      </c>
      <c r="AN60" s="5" t="s">
        <v>690</v>
      </c>
      <c r="AO60" s="5" t="s">
        <v>691</v>
      </c>
      <c r="AR60" s="5">
        <v>8</v>
      </c>
      <c r="AS60" s="5" t="s">
        <v>692</v>
      </c>
      <c r="AT60" s="72" t="s">
        <v>169</v>
      </c>
      <c r="AU60" s="41" t="s">
        <v>693</v>
      </c>
      <c r="AV60" s="73" t="s">
        <v>694</v>
      </c>
      <c r="AW60" s="41"/>
      <c r="AX60" s="41">
        <v>3</v>
      </c>
      <c r="AY60" s="78">
        <v>1</v>
      </c>
      <c r="AZ60" s="5">
        <v>256</v>
      </c>
      <c r="BA60" s="5">
        <v>3</v>
      </c>
      <c r="BB60" s="5">
        <v>105</v>
      </c>
    </row>
    <row r="61" s="5" customFormat="1" spans="1:54">
      <c r="A61" s="2">
        <v>55</v>
      </c>
      <c r="B61" s="28">
        <v>113007</v>
      </c>
      <c r="C61" s="28">
        <v>113007</v>
      </c>
      <c r="D61" s="28" t="s">
        <v>695</v>
      </c>
      <c r="E61" s="28" t="s">
        <v>696</v>
      </c>
      <c r="F61" s="28"/>
      <c r="G61" s="28">
        <v>0</v>
      </c>
      <c r="H61" s="2" t="s">
        <v>697</v>
      </c>
      <c r="I61" s="2" t="s">
        <v>698</v>
      </c>
      <c r="J61" s="2" t="s">
        <v>162</v>
      </c>
      <c r="K61" s="2" t="s">
        <v>354</v>
      </c>
      <c r="L61" s="38" t="s">
        <v>699</v>
      </c>
      <c r="M61" s="40" t="s">
        <v>700</v>
      </c>
      <c r="N61" s="41">
        <v>1</v>
      </c>
      <c r="O61" s="6">
        <v>1</v>
      </c>
      <c r="P61" s="42">
        <v>2</v>
      </c>
      <c r="Q61" s="42">
        <v>2</v>
      </c>
      <c r="R61" s="41">
        <v>2</v>
      </c>
      <c r="S61" s="31" t="s">
        <v>139</v>
      </c>
      <c r="T61" s="5">
        <v>3</v>
      </c>
      <c r="U61" s="5">
        <v>8</v>
      </c>
      <c r="V61" s="5">
        <v>3</v>
      </c>
      <c r="W61" s="5">
        <v>52</v>
      </c>
      <c r="X61" s="41" t="s">
        <v>701</v>
      </c>
      <c r="Y61" s="41" t="s">
        <v>702</v>
      </c>
      <c r="Z61" s="54">
        <v>630007</v>
      </c>
      <c r="AA61" s="54">
        <v>215005</v>
      </c>
      <c r="AB61" s="54">
        <v>50</v>
      </c>
      <c r="AC61" s="54">
        <v>50</v>
      </c>
      <c r="AD61" s="54">
        <v>50</v>
      </c>
      <c r="AE61" s="55">
        <v>215</v>
      </c>
      <c r="AF61" s="55">
        <v>15</v>
      </c>
      <c r="AG61" s="55">
        <v>261</v>
      </c>
      <c r="AH61" s="55">
        <v>120</v>
      </c>
      <c r="AI61" s="62">
        <v>0.014</v>
      </c>
      <c r="AJ61" s="62" t="s">
        <v>154</v>
      </c>
      <c r="AK61" s="62">
        <v>1.02</v>
      </c>
      <c r="AL61" s="62"/>
      <c r="AM61" s="63" t="s">
        <v>676</v>
      </c>
      <c r="AN61" s="5" t="s">
        <v>703</v>
      </c>
      <c r="AO61" s="5" t="s">
        <v>704</v>
      </c>
      <c r="AR61" s="5">
        <v>8</v>
      </c>
      <c r="AS61" s="5" t="s">
        <v>705</v>
      </c>
      <c r="AT61" s="72" t="s">
        <v>169</v>
      </c>
      <c r="AU61" s="41"/>
      <c r="AV61" s="73"/>
      <c r="AW61" s="41"/>
      <c r="AX61" s="41">
        <v>1</v>
      </c>
      <c r="AY61" s="78">
        <v>3</v>
      </c>
      <c r="BA61" s="5">
        <v>2</v>
      </c>
      <c r="BB61" s="5">
        <v>106</v>
      </c>
    </row>
    <row r="62" s="5" customFormat="1" spans="1:54">
      <c r="A62" s="2">
        <v>56</v>
      </c>
      <c r="B62" s="28">
        <v>113008</v>
      </c>
      <c r="C62" s="28">
        <v>113008</v>
      </c>
      <c r="D62" s="28" t="s">
        <v>706</v>
      </c>
      <c r="E62" s="28" t="s">
        <v>706</v>
      </c>
      <c r="F62" s="28"/>
      <c r="G62" s="28">
        <v>0</v>
      </c>
      <c r="H62" s="2" t="s">
        <v>707</v>
      </c>
      <c r="I62" s="2" t="s">
        <v>708</v>
      </c>
      <c r="J62" s="2" t="s">
        <v>262</v>
      </c>
      <c r="K62" s="2" t="s">
        <v>136</v>
      </c>
      <c r="L62" s="38" t="s">
        <v>709</v>
      </c>
      <c r="M62" s="40" t="s">
        <v>710</v>
      </c>
      <c r="N62" s="41">
        <v>1</v>
      </c>
      <c r="O62" s="6">
        <v>1</v>
      </c>
      <c r="P62" s="42">
        <v>2</v>
      </c>
      <c r="Q62" s="42">
        <v>2</v>
      </c>
      <c r="R62" s="41">
        <v>3</v>
      </c>
      <c r="S62" s="31" t="s">
        <v>711</v>
      </c>
      <c r="T62" s="5">
        <v>3</v>
      </c>
      <c r="U62" s="5">
        <v>8</v>
      </c>
      <c r="V62" s="5">
        <v>3</v>
      </c>
      <c r="W62" s="5">
        <v>50</v>
      </c>
      <c r="X62" s="41" t="s">
        <v>712</v>
      </c>
      <c r="Y62" s="41" t="s">
        <v>713</v>
      </c>
      <c r="Z62" s="54">
        <v>630008</v>
      </c>
      <c r="AA62" s="54">
        <v>215005</v>
      </c>
      <c r="AB62" s="54">
        <v>50</v>
      </c>
      <c r="AC62" s="54">
        <v>50</v>
      </c>
      <c r="AD62" s="54">
        <v>50</v>
      </c>
      <c r="AE62" s="55">
        <v>234</v>
      </c>
      <c r="AF62" s="55">
        <v>17</v>
      </c>
      <c r="AG62" s="55">
        <v>282</v>
      </c>
      <c r="AH62" s="55">
        <v>76</v>
      </c>
      <c r="AI62" s="62">
        <v>0.018</v>
      </c>
      <c r="AJ62" s="62" t="s">
        <v>154</v>
      </c>
      <c r="AK62" s="62">
        <v>1.016</v>
      </c>
      <c r="AL62" s="62" t="s">
        <v>154</v>
      </c>
      <c r="AM62" s="63" t="s">
        <v>714</v>
      </c>
      <c r="AN62" s="5" t="s">
        <v>715</v>
      </c>
      <c r="AO62" s="5" t="s">
        <v>716</v>
      </c>
      <c r="AR62" s="5">
        <v>8</v>
      </c>
      <c r="AS62" s="5" t="s">
        <v>717</v>
      </c>
      <c r="AT62" s="72" t="s">
        <v>169</v>
      </c>
      <c r="AU62" s="41"/>
      <c r="AV62" s="73"/>
      <c r="AW62" s="41"/>
      <c r="AX62" s="41">
        <v>2</v>
      </c>
      <c r="AY62" s="78">
        <v>3</v>
      </c>
      <c r="BA62" s="5">
        <v>3</v>
      </c>
      <c r="BB62" s="5">
        <v>107</v>
      </c>
    </row>
    <row r="63" s="5" customFormat="1" spans="1:54">
      <c r="A63" s="2">
        <v>57</v>
      </c>
      <c r="B63" s="28">
        <v>113009</v>
      </c>
      <c r="C63" s="28">
        <v>113009</v>
      </c>
      <c r="D63" s="28" t="s">
        <v>718</v>
      </c>
      <c r="E63" s="28" t="s">
        <v>719</v>
      </c>
      <c r="F63" s="28"/>
      <c r="G63" s="28">
        <v>0</v>
      </c>
      <c r="H63" s="2" t="s">
        <v>720</v>
      </c>
      <c r="I63" s="2" t="s">
        <v>721</v>
      </c>
      <c r="J63" s="2" t="s">
        <v>722</v>
      </c>
      <c r="K63" s="2" t="s">
        <v>136</v>
      </c>
      <c r="L63" s="2" t="s">
        <v>723</v>
      </c>
      <c r="M63" s="40" t="s">
        <v>724</v>
      </c>
      <c r="N63" s="41">
        <v>1</v>
      </c>
      <c r="O63" s="6">
        <v>1</v>
      </c>
      <c r="P63" s="42">
        <v>2</v>
      </c>
      <c r="Q63" s="42">
        <v>2</v>
      </c>
      <c r="R63" s="41">
        <v>2</v>
      </c>
      <c r="S63" s="31" t="s">
        <v>139</v>
      </c>
      <c r="T63" s="5">
        <v>3</v>
      </c>
      <c r="U63" s="5">
        <v>8</v>
      </c>
      <c r="V63" s="5">
        <v>3</v>
      </c>
      <c r="W63" s="5">
        <v>40</v>
      </c>
      <c r="X63" s="41" t="s">
        <v>725</v>
      </c>
      <c r="Y63" s="41" t="s">
        <v>726</v>
      </c>
      <c r="Z63" s="54">
        <v>630009</v>
      </c>
      <c r="AA63" s="54">
        <v>215005</v>
      </c>
      <c r="AB63" s="54">
        <v>50</v>
      </c>
      <c r="AC63" s="54">
        <v>50</v>
      </c>
      <c r="AD63" s="54">
        <v>50</v>
      </c>
      <c r="AE63" s="55">
        <v>185</v>
      </c>
      <c r="AF63" s="55">
        <v>19</v>
      </c>
      <c r="AG63" s="55">
        <v>381</v>
      </c>
      <c r="AH63" s="55">
        <v>75</v>
      </c>
      <c r="AI63" s="62">
        <v>0.016</v>
      </c>
      <c r="AJ63" s="62">
        <v>0.01</v>
      </c>
      <c r="AK63" s="62">
        <v>1.02</v>
      </c>
      <c r="AL63" s="62" t="s">
        <v>154</v>
      </c>
      <c r="AM63" s="63" t="s">
        <v>727</v>
      </c>
      <c r="AN63" s="5" t="s">
        <v>728</v>
      </c>
      <c r="AO63" s="5" t="s">
        <v>729</v>
      </c>
      <c r="AR63" s="5">
        <v>8</v>
      </c>
      <c r="AS63" s="5" t="s">
        <v>730</v>
      </c>
      <c r="AT63" s="72" t="s">
        <v>169</v>
      </c>
      <c r="AU63" s="41"/>
      <c r="AV63" s="73">
        <v>277</v>
      </c>
      <c r="AW63" s="41"/>
      <c r="AX63" s="41">
        <v>1</v>
      </c>
      <c r="AY63" s="78">
        <v>1</v>
      </c>
      <c r="AZ63" s="5">
        <v>263</v>
      </c>
      <c r="BA63" s="5">
        <v>2</v>
      </c>
      <c r="BB63" s="5">
        <v>108</v>
      </c>
    </row>
    <row r="64" s="5" customFormat="1" spans="1:54">
      <c r="A64" s="2">
        <v>58</v>
      </c>
      <c r="B64" s="28">
        <v>113010</v>
      </c>
      <c r="C64" s="28">
        <v>113010</v>
      </c>
      <c r="D64" s="28" t="s">
        <v>731</v>
      </c>
      <c r="E64" s="28" t="s">
        <v>732</v>
      </c>
      <c r="F64" s="28"/>
      <c r="G64" s="28">
        <v>0</v>
      </c>
      <c r="H64" s="2" t="s">
        <v>733</v>
      </c>
      <c r="I64" s="2" t="s">
        <v>734</v>
      </c>
      <c r="J64" s="2" t="s">
        <v>150</v>
      </c>
      <c r="K64" s="2" t="s">
        <v>136</v>
      </c>
      <c r="L64" s="2" t="s">
        <v>137</v>
      </c>
      <c r="M64" s="40" t="s">
        <v>735</v>
      </c>
      <c r="N64" s="41">
        <v>1</v>
      </c>
      <c r="O64" s="6">
        <v>1</v>
      </c>
      <c r="P64" s="42">
        <v>5</v>
      </c>
      <c r="Q64" s="42">
        <v>5</v>
      </c>
      <c r="R64" s="41">
        <v>5</v>
      </c>
      <c r="S64" s="31" t="s">
        <v>736</v>
      </c>
      <c r="T64" s="5">
        <v>3</v>
      </c>
      <c r="U64" s="5">
        <v>8</v>
      </c>
      <c r="V64" s="5">
        <v>3</v>
      </c>
      <c r="W64" s="5">
        <v>34</v>
      </c>
      <c r="X64" s="41" t="s">
        <v>737</v>
      </c>
      <c r="Y64" s="41" t="s">
        <v>738</v>
      </c>
      <c r="Z64" s="54">
        <v>630010</v>
      </c>
      <c r="AA64" s="54">
        <v>215005</v>
      </c>
      <c r="AB64" s="54">
        <v>50</v>
      </c>
      <c r="AC64" s="54">
        <v>50</v>
      </c>
      <c r="AD64" s="54">
        <v>50</v>
      </c>
      <c r="AE64" s="55">
        <v>187</v>
      </c>
      <c r="AF64" s="55">
        <v>17</v>
      </c>
      <c r="AG64" s="55">
        <v>313</v>
      </c>
      <c r="AH64" s="55">
        <v>80</v>
      </c>
      <c r="AI64" s="62">
        <v>0.016</v>
      </c>
      <c r="AJ64" s="62">
        <v>0.01</v>
      </c>
      <c r="AK64" s="62">
        <v>1.02</v>
      </c>
      <c r="AL64" s="62" t="s">
        <v>154</v>
      </c>
      <c r="AM64" s="63" t="s">
        <v>727</v>
      </c>
      <c r="AN64" s="5" t="s">
        <v>739</v>
      </c>
      <c r="AO64" s="5" t="s">
        <v>740</v>
      </c>
      <c r="AR64" s="5">
        <v>8</v>
      </c>
      <c r="AS64" s="5" t="s">
        <v>741</v>
      </c>
      <c r="AT64" s="72" t="s">
        <v>157</v>
      </c>
      <c r="AU64" s="41" t="s">
        <v>742</v>
      </c>
      <c r="AV64" s="73">
        <v>306</v>
      </c>
      <c r="AW64" s="41"/>
      <c r="AX64" s="41">
        <v>3</v>
      </c>
      <c r="AY64" s="78">
        <v>2</v>
      </c>
      <c r="AZ64" s="5">
        <v>306</v>
      </c>
      <c r="BA64" s="5">
        <v>3</v>
      </c>
      <c r="BB64" s="5">
        <v>109</v>
      </c>
    </row>
    <row r="65" s="5" customFormat="1" spans="1:54">
      <c r="A65" s="2">
        <v>59</v>
      </c>
      <c r="B65" s="28">
        <v>113011</v>
      </c>
      <c r="C65" s="28">
        <v>113011</v>
      </c>
      <c r="D65" s="28" t="s">
        <v>547</v>
      </c>
      <c r="E65" s="28" t="s">
        <v>548</v>
      </c>
      <c r="F65" s="28"/>
      <c r="G65" s="28">
        <v>0</v>
      </c>
      <c r="H65" s="2" t="s">
        <v>549</v>
      </c>
      <c r="I65" s="2" t="s">
        <v>743</v>
      </c>
      <c r="J65" s="2" t="s">
        <v>162</v>
      </c>
      <c r="K65" s="2" t="s">
        <v>367</v>
      </c>
      <c r="L65" s="2" t="s">
        <v>550</v>
      </c>
      <c r="M65" s="40" t="s">
        <v>744</v>
      </c>
      <c r="N65" s="41">
        <v>1</v>
      </c>
      <c r="O65" s="6">
        <v>1</v>
      </c>
      <c r="P65" s="42">
        <v>1</v>
      </c>
      <c r="Q65" s="42">
        <v>1</v>
      </c>
      <c r="R65" s="41">
        <v>4</v>
      </c>
      <c r="S65" s="31" t="s">
        <v>300</v>
      </c>
      <c r="T65" s="5">
        <v>3</v>
      </c>
      <c r="U65" s="5">
        <v>8</v>
      </c>
      <c r="V65" s="5">
        <v>3</v>
      </c>
      <c r="W65" s="5">
        <v>17</v>
      </c>
      <c r="X65" s="41" t="s">
        <v>745</v>
      </c>
      <c r="Y65" s="41" t="s">
        <v>746</v>
      </c>
      <c r="Z65" s="54">
        <v>630011</v>
      </c>
      <c r="AA65" s="54">
        <v>215005</v>
      </c>
      <c r="AB65" s="54">
        <v>50</v>
      </c>
      <c r="AC65" s="54">
        <v>50</v>
      </c>
      <c r="AD65" s="54">
        <v>50</v>
      </c>
      <c r="AE65" s="55">
        <v>185</v>
      </c>
      <c r="AF65" s="55">
        <v>17</v>
      </c>
      <c r="AG65" s="55">
        <v>308</v>
      </c>
      <c r="AH65" s="55">
        <v>85</v>
      </c>
      <c r="AI65" s="62">
        <v>0.016</v>
      </c>
      <c r="AJ65" s="62">
        <v>0.01</v>
      </c>
      <c r="AK65" s="62">
        <v>1.02</v>
      </c>
      <c r="AL65" s="62">
        <v>0</v>
      </c>
      <c r="AM65" s="63" t="s">
        <v>371</v>
      </c>
      <c r="AN65" s="5" t="s">
        <v>747</v>
      </c>
      <c r="AO65" s="5" t="s">
        <v>748</v>
      </c>
      <c r="AR65" s="5">
        <v>8</v>
      </c>
      <c r="AS65" s="5" t="s">
        <v>552</v>
      </c>
      <c r="AT65" s="72" t="s">
        <v>169</v>
      </c>
      <c r="AU65" s="41" t="s">
        <v>510</v>
      </c>
      <c r="AV65" s="73" t="s">
        <v>511</v>
      </c>
      <c r="AW65" s="41"/>
      <c r="AX65" s="41">
        <v>3</v>
      </c>
      <c r="AY65" s="78">
        <v>2</v>
      </c>
      <c r="AZ65" s="5">
        <v>203</v>
      </c>
      <c r="BA65" s="5">
        <v>4</v>
      </c>
      <c r="BB65" s="5">
        <v>110</v>
      </c>
    </row>
    <row r="66" s="5" customFormat="1" spans="1:54">
      <c r="A66" s="2">
        <v>60</v>
      </c>
      <c r="B66" s="28">
        <v>113012</v>
      </c>
      <c r="C66" s="28">
        <v>113012</v>
      </c>
      <c r="D66" s="28" t="s">
        <v>749</v>
      </c>
      <c r="E66" s="28" t="s">
        <v>749</v>
      </c>
      <c r="F66" s="28"/>
      <c r="G66" s="28">
        <v>0</v>
      </c>
      <c r="H66" s="2" t="s">
        <v>750</v>
      </c>
      <c r="I66" s="2" t="s">
        <v>751</v>
      </c>
      <c r="J66" s="2" t="s">
        <v>752</v>
      </c>
      <c r="K66" s="2" t="s">
        <v>136</v>
      </c>
      <c r="L66" s="2" t="s">
        <v>137</v>
      </c>
      <c r="M66" s="40" t="s">
        <v>753</v>
      </c>
      <c r="N66" s="41">
        <v>1</v>
      </c>
      <c r="O66" s="6">
        <v>1</v>
      </c>
      <c r="P66" s="42">
        <v>4</v>
      </c>
      <c r="Q66" s="42">
        <v>4</v>
      </c>
      <c r="R66" s="41">
        <v>5</v>
      </c>
      <c r="S66" s="31" t="s">
        <v>736</v>
      </c>
      <c r="T66" s="5">
        <v>3</v>
      </c>
      <c r="U66" s="5">
        <v>8</v>
      </c>
      <c r="V66" s="5">
        <v>3</v>
      </c>
      <c r="W66" s="5">
        <v>54</v>
      </c>
      <c r="X66" s="41" t="s">
        <v>754</v>
      </c>
      <c r="Y66" s="41" t="s">
        <v>755</v>
      </c>
      <c r="Z66" s="54">
        <v>630012</v>
      </c>
      <c r="AA66" s="54">
        <v>215005</v>
      </c>
      <c r="AB66" s="54">
        <v>50</v>
      </c>
      <c r="AC66" s="54">
        <v>50</v>
      </c>
      <c r="AD66" s="54">
        <v>50</v>
      </c>
      <c r="AE66" s="55">
        <v>160</v>
      </c>
      <c r="AF66" s="55">
        <v>17</v>
      </c>
      <c r="AG66" s="55">
        <v>376</v>
      </c>
      <c r="AH66" s="55">
        <v>88</v>
      </c>
      <c r="AI66" s="62">
        <v>0.016</v>
      </c>
      <c r="AJ66" s="62">
        <v>0.01</v>
      </c>
      <c r="AK66" s="62">
        <v>1.02</v>
      </c>
      <c r="AL66" s="62">
        <v>0</v>
      </c>
      <c r="AM66" s="63" t="s">
        <v>371</v>
      </c>
      <c r="AN66" s="5" t="s">
        <v>756</v>
      </c>
      <c r="AO66" s="5" t="s">
        <v>757</v>
      </c>
      <c r="AR66" s="5">
        <v>8</v>
      </c>
      <c r="AS66" s="5" t="s">
        <v>758</v>
      </c>
      <c r="AT66" s="72" t="s">
        <v>169</v>
      </c>
      <c r="AU66" s="41" t="s">
        <v>510</v>
      </c>
      <c r="AV66" s="73" t="s">
        <v>511</v>
      </c>
      <c r="AW66" s="41"/>
      <c r="AX66" s="41">
        <v>3</v>
      </c>
      <c r="AY66" s="78">
        <v>1</v>
      </c>
      <c r="AZ66" s="5">
        <v>203</v>
      </c>
      <c r="BA66" s="5">
        <v>3</v>
      </c>
      <c r="BB66" s="5">
        <v>112</v>
      </c>
    </row>
    <row r="67" s="5" customFormat="1" spans="1:54">
      <c r="A67" s="2">
        <v>61</v>
      </c>
      <c r="B67" s="28">
        <v>113013</v>
      </c>
      <c r="C67" s="28">
        <v>113013</v>
      </c>
      <c r="D67" s="28" t="s">
        <v>759</v>
      </c>
      <c r="E67" s="28" t="s">
        <v>760</v>
      </c>
      <c r="F67" s="28"/>
      <c r="G67" s="28">
        <v>1</v>
      </c>
      <c r="H67" s="2" t="s">
        <v>761</v>
      </c>
      <c r="I67" s="2" t="s">
        <v>762</v>
      </c>
      <c r="J67" s="2" t="s">
        <v>763</v>
      </c>
      <c r="K67" s="2" t="s">
        <v>367</v>
      </c>
      <c r="L67" s="2" t="s">
        <v>764</v>
      </c>
      <c r="M67" s="40" t="s">
        <v>765</v>
      </c>
      <c r="N67" s="41">
        <v>1</v>
      </c>
      <c r="O67" s="6">
        <v>1</v>
      </c>
      <c r="P67" s="42">
        <v>3</v>
      </c>
      <c r="Q67" s="42">
        <v>3</v>
      </c>
      <c r="R67" s="41">
        <v>5</v>
      </c>
      <c r="S67" s="31" t="s">
        <v>736</v>
      </c>
      <c r="T67" s="5">
        <v>3</v>
      </c>
      <c r="U67" s="5">
        <v>8</v>
      </c>
      <c r="V67" s="5">
        <v>3</v>
      </c>
      <c r="W67" s="5">
        <v>56</v>
      </c>
      <c r="X67" s="41" t="s">
        <v>766</v>
      </c>
      <c r="Y67" s="41" t="s">
        <v>767</v>
      </c>
      <c r="Z67" s="54">
        <v>630013</v>
      </c>
      <c r="AA67" s="54">
        <v>215005</v>
      </c>
      <c r="AB67" s="54">
        <v>50</v>
      </c>
      <c r="AC67" s="54">
        <v>50</v>
      </c>
      <c r="AD67" s="54">
        <v>50</v>
      </c>
      <c r="AE67" s="55">
        <v>217</v>
      </c>
      <c r="AF67" s="55">
        <v>16</v>
      </c>
      <c r="AG67" s="55">
        <v>251</v>
      </c>
      <c r="AH67" s="55">
        <v>120</v>
      </c>
      <c r="AI67" s="62">
        <v>0.016</v>
      </c>
      <c r="AJ67" s="62" t="s">
        <v>154</v>
      </c>
      <c r="AK67" s="62">
        <v>1.008</v>
      </c>
      <c r="AL67" s="62">
        <v>0.0102</v>
      </c>
      <c r="AM67" s="61" t="s">
        <v>371</v>
      </c>
      <c r="AN67" s="5" t="s">
        <v>768</v>
      </c>
      <c r="AO67" s="5" t="s">
        <v>769</v>
      </c>
      <c r="AR67" s="5">
        <v>8</v>
      </c>
      <c r="AS67" s="5" t="s">
        <v>770</v>
      </c>
      <c r="AT67" s="72"/>
      <c r="AU67" s="41"/>
      <c r="AV67" s="73"/>
      <c r="AW67" s="41"/>
      <c r="AX67" s="41">
        <v>3</v>
      </c>
      <c r="AY67" s="78">
        <v>2</v>
      </c>
      <c r="BA67" s="5">
        <v>3</v>
      </c>
      <c r="BB67" s="5">
        <v>113</v>
      </c>
    </row>
    <row r="68" s="5" customFormat="1" spans="1:54">
      <c r="A68" s="2">
        <v>62</v>
      </c>
      <c r="B68" s="28">
        <v>113014</v>
      </c>
      <c r="C68" s="28">
        <v>113014</v>
      </c>
      <c r="D68" s="28" t="s">
        <v>771</v>
      </c>
      <c r="E68" s="28" t="s">
        <v>771</v>
      </c>
      <c r="F68" s="28"/>
      <c r="G68" s="28">
        <v>0</v>
      </c>
      <c r="H68" s="2" t="s">
        <v>772</v>
      </c>
      <c r="I68" s="2" t="s">
        <v>773</v>
      </c>
      <c r="J68" s="2" t="s">
        <v>150</v>
      </c>
      <c r="K68" s="2" t="s">
        <v>136</v>
      </c>
      <c r="L68" s="2" t="s">
        <v>774</v>
      </c>
      <c r="M68" s="40" t="s">
        <v>775</v>
      </c>
      <c r="N68" s="41">
        <v>1</v>
      </c>
      <c r="O68" s="41">
        <v>1</v>
      </c>
      <c r="P68" s="42">
        <v>3</v>
      </c>
      <c r="Q68" s="42">
        <v>3</v>
      </c>
      <c r="R68" s="41">
        <v>9</v>
      </c>
      <c r="S68" s="31" t="s">
        <v>595</v>
      </c>
      <c r="T68" s="5">
        <v>3</v>
      </c>
      <c r="U68" s="5">
        <v>8</v>
      </c>
      <c r="V68" s="5">
        <v>3</v>
      </c>
      <c r="W68" s="5">
        <v>55</v>
      </c>
      <c r="X68" s="41" t="s">
        <v>776</v>
      </c>
      <c r="Y68" s="41" t="s">
        <v>777</v>
      </c>
      <c r="Z68" s="54">
        <v>630014</v>
      </c>
      <c r="AA68" s="54">
        <v>215005</v>
      </c>
      <c r="AB68" s="54">
        <v>50</v>
      </c>
      <c r="AC68" s="54">
        <v>50</v>
      </c>
      <c r="AD68" s="54">
        <v>50</v>
      </c>
      <c r="AE68" s="55">
        <v>187</v>
      </c>
      <c r="AF68" s="55">
        <v>18</v>
      </c>
      <c r="AG68" s="55">
        <v>292</v>
      </c>
      <c r="AH68" s="55">
        <v>88</v>
      </c>
      <c r="AI68" s="62">
        <v>0.016</v>
      </c>
      <c r="AJ68" s="62" t="s">
        <v>154</v>
      </c>
      <c r="AK68" s="62">
        <v>1.008</v>
      </c>
      <c r="AL68" s="62">
        <v>0.0102</v>
      </c>
      <c r="AM68" s="61" t="s">
        <v>371</v>
      </c>
      <c r="AN68" s="5" t="s">
        <v>778</v>
      </c>
      <c r="AO68" s="5" t="s">
        <v>779</v>
      </c>
      <c r="AR68" s="5">
        <v>8</v>
      </c>
      <c r="AS68" s="5" t="s">
        <v>780</v>
      </c>
      <c r="AT68" s="72"/>
      <c r="AU68" s="41"/>
      <c r="AV68" s="73"/>
      <c r="AW68" s="41"/>
      <c r="AX68" s="41">
        <v>2</v>
      </c>
      <c r="AY68" s="78">
        <v>2</v>
      </c>
      <c r="BA68" s="5">
        <v>3</v>
      </c>
      <c r="BB68" s="5">
        <v>114</v>
      </c>
    </row>
    <row r="69" s="5" customFormat="1" spans="1:54">
      <c r="A69" s="2">
        <v>63</v>
      </c>
      <c r="B69" s="28">
        <v>113015</v>
      </c>
      <c r="C69" s="28">
        <v>113015</v>
      </c>
      <c r="D69" s="28" t="s">
        <v>781</v>
      </c>
      <c r="E69" s="28" t="s">
        <v>781</v>
      </c>
      <c r="F69" s="28"/>
      <c r="G69" s="28">
        <v>0</v>
      </c>
      <c r="H69" s="2" t="s">
        <v>782</v>
      </c>
      <c r="I69" s="2" t="s">
        <v>783</v>
      </c>
      <c r="J69" s="2" t="s">
        <v>150</v>
      </c>
      <c r="K69" s="2" t="s">
        <v>136</v>
      </c>
      <c r="L69" s="2" t="s">
        <v>784</v>
      </c>
      <c r="M69" s="40" t="s">
        <v>785</v>
      </c>
      <c r="N69" s="41">
        <v>1</v>
      </c>
      <c r="O69" s="41">
        <v>1</v>
      </c>
      <c r="P69" s="42">
        <v>3</v>
      </c>
      <c r="Q69" s="42">
        <v>3</v>
      </c>
      <c r="R69" s="41">
        <v>9</v>
      </c>
      <c r="S69" s="31" t="s">
        <v>786</v>
      </c>
      <c r="T69" s="5">
        <v>3</v>
      </c>
      <c r="U69" s="5">
        <v>8</v>
      </c>
      <c r="V69" s="5">
        <v>3</v>
      </c>
      <c r="W69" s="5">
        <v>57</v>
      </c>
      <c r="X69" s="41" t="s">
        <v>787</v>
      </c>
      <c r="Y69" s="41" t="s">
        <v>788</v>
      </c>
      <c r="Z69" s="54">
        <v>630015</v>
      </c>
      <c r="AA69" s="54">
        <v>215005</v>
      </c>
      <c r="AB69" s="54">
        <v>50</v>
      </c>
      <c r="AC69" s="54">
        <v>50</v>
      </c>
      <c r="AD69" s="54">
        <v>50</v>
      </c>
      <c r="AE69" s="55">
        <v>140</v>
      </c>
      <c r="AF69" s="55">
        <v>22</v>
      </c>
      <c r="AG69" s="55">
        <v>365</v>
      </c>
      <c r="AH69" s="55">
        <v>80</v>
      </c>
      <c r="AI69" s="62">
        <v>0.016</v>
      </c>
      <c r="AJ69" s="62">
        <v>0.01</v>
      </c>
      <c r="AK69" s="62">
        <v>1.02</v>
      </c>
      <c r="AL69" s="62" t="s">
        <v>154</v>
      </c>
      <c r="AM69" s="63" t="s">
        <v>727</v>
      </c>
      <c r="AN69" s="5" t="s">
        <v>789</v>
      </c>
      <c r="AO69" s="5" t="s">
        <v>790</v>
      </c>
      <c r="AR69" s="5">
        <v>8</v>
      </c>
      <c r="AS69" s="5" t="s">
        <v>791</v>
      </c>
      <c r="AT69" s="72"/>
      <c r="AU69" s="41"/>
      <c r="AV69" s="73"/>
      <c r="AW69" s="41"/>
      <c r="AX69" s="41">
        <v>2</v>
      </c>
      <c r="AY69" s="78">
        <v>2</v>
      </c>
      <c r="BA69" s="5">
        <v>3</v>
      </c>
      <c r="BB69" s="5">
        <v>115</v>
      </c>
    </row>
    <row r="70" s="5" customFormat="1" spans="1:54">
      <c r="A70" s="2">
        <v>64</v>
      </c>
      <c r="B70" s="28">
        <v>113016</v>
      </c>
      <c r="C70" s="28">
        <v>113016</v>
      </c>
      <c r="D70" s="28" t="s">
        <v>792</v>
      </c>
      <c r="E70" s="28" t="s">
        <v>792</v>
      </c>
      <c r="F70" s="28"/>
      <c r="G70" s="28">
        <v>0</v>
      </c>
      <c r="H70" s="2" t="s">
        <v>793</v>
      </c>
      <c r="I70" s="2" t="s">
        <v>794</v>
      </c>
      <c r="J70" s="2" t="s">
        <v>366</v>
      </c>
      <c r="K70" s="2" t="s">
        <v>367</v>
      </c>
      <c r="L70" s="2" t="s">
        <v>137</v>
      </c>
      <c r="M70" s="40" t="s">
        <v>795</v>
      </c>
      <c r="N70" s="41">
        <v>1</v>
      </c>
      <c r="O70" s="41">
        <v>1</v>
      </c>
      <c r="P70" s="42">
        <v>5</v>
      </c>
      <c r="Q70" s="42">
        <v>5</v>
      </c>
      <c r="R70" s="41">
        <v>3</v>
      </c>
      <c r="S70" s="31" t="s">
        <v>796</v>
      </c>
      <c r="T70" s="5">
        <v>3</v>
      </c>
      <c r="U70" s="5">
        <v>8</v>
      </c>
      <c r="V70" s="5">
        <v>3</v>
      </c>
      <c r="W70" s="5">
        <v>60</v>
      </c>
      <c r="X70" s="41" t="s">
        <v>797</v>
      </c>
      <c r="Y70" s="41" t="s">
        <v>798</v>
      </c>
      <c r="Z70" s="54">
        <v>630016</v>
      </c>
      <c r="AA70" s="54">
        <v>215005</v>
      </c>
      <c r="AB70" s="54">
        <v>50</v>
      </c>
      <c r="AC70" s="54">
        <v>50</v>
      </c>
      <c r="AD70" s="54">
        <v>50</v>
      </c>
      <c r="AE70" s="55">
        <v>191</v>
      </c>
      <c r="AF70" s="55">
        <v>16</v>
      </c>
      <c r="AG70" s="55">
        <v>313</v>
      </c>
      <c r="AH70" s="55">
        <v>85</v>
      </c>
      <c r="AI70" s="62">
        <v>0.018</v>
      </c>
      <c r="AJ70" s="62" t="s">
        <v>154</v>
      </c>
      <c r="AK70" s="62">
        <v>1.016</v>
      </c>
      <c r="AL70" s="62" t="s">
        <v>154</v>
      </c>
      <c r="AM70" s="63" t="s">
        <v>714</v>
      </c>
      <c r="AN70" s="5" t="s">
        <v>799</v>
      </c>
      <c r="AO70" s="5" t="s">
        <v>800</v>
      </c>
      <c r="AR70" s="5">
        <v>8</v>
      </c>
      <c r="AS70" s="5" t="s">
        <v>801</v>
      </c>
      <c r="AT70" s="72"/>
      <c r="AU70" s="41"/>
      <c r="AV70" s="73"/>
      <c r="AW70" s="41"/>
      <c r="AX70" s="41">
        <v>2</v>
      </c>
      <c r="AY70" s="78">
        <v>2</v>
      </c>
      <c r="BA70" s="5">
        <v>3</v>
      </c>
      <c r="BB70" s="5">
        <v>116</v>
      </c>
    </row>
    <row r="71" s="5" customFormat="1" spans="1:54">
      <c r="A71" s="2">
        <v>65</v>
      </c>
      <c r="B71" s="28">
        <v>113017</v>
      </c>
      <c r="C71" s="28">
        <v>113017</v>
      </c>
      <c r="D71" s="28" t="s">
        <v>802</v>
      </c>
      <c r="E71" s="28" t="s">
        <v>802</v>
      </c>
      <c r="F71" s="28"/>
      <c r="G71" s="28">
        <v>0</v>
      </c>
      <c r="H71" s="2" t="s">
        <v>803</v>
      </c>
      <c r="I71" s="2" t="s">
        <v>804</v>
      </c>
      <c r="J71" s="2" t="s">
        <v>150</v>
      </c>
      <c r="K71" s="2" t="s">
        <v>136</v>
      </c>
      <c r="L71" s="2" t="s">
        <v>381</v>
      </c>
      <c r="M71" s="40" t="s">
        <v>805</v>
      </c>
      <c r="N71" s="41">
        <v>1</v>
      </c>
      <c r="O71" s="41">
        <v>1</v>
      </c>
      <c r="P71" s="42">
        <v>1</v>
      </c>
      <c r="Q71" s="42">
        <v>1</v>
      </c>
      <c r="R71" s="41">
        <v>2</v>
      </c>
      <c r="S71" s="31" t="s">
        <v>139</v>
      </c>
      <c r="T71" s="5">
        <v>3</v>
      </c>
      <c r="U71" s="5">
        <v>8</v>
      </c>
      <c r="V71" s="5">
        <v>3</v>
      </c>
      <c r="W71" s="5">
        <v>61</v>
      </c>
      <c r="X71" s="41" t="s">
        <v>806</v>
      </c>
      <c r="Y71" s="41" t="s">
        <v>807</v>
      </c>
      <c r="Z71" s="54">
        <v>630017</v>
      </c>
      <c r="AA71" s="54">
        <v>215005</v>
      </c>
      <c r="AB71" s="54">
        <v>50</v>
      </c>
      <c r="AC71" s="54">
        <v>50</v>
      </c>
      <c r="AD71" s="54">
        <v>50</v>
      </c>
      <c r="AE71" s="55">
        <v>171</v>
      </c>
      <c r="AF71" s="55">
        <v>16</v>
      </c>
      <c r="AG71" s="55">
        <v>365</v>
      </c>
      <c r="AH71" s="55">
        <v>89</v>
      </c>
      <c r="AI71" s="62" t="s">
        <v>154</v>
      </c>
      <c r="AJ71" s="62">
        <v>0.02</v>
      </c>
      <c r="AK71" s="62">
        <v>1.01</v>
      </c>
      <c r="AL71" s="62">
        <v>0.01</v>
      </c>
      <c r="AM71" s="63" t="s">
        <v>607</v>
      </c>
      <c r="AN71" s="5" t="s">
        <v>808</v>
      </c>
      <c r="AO71" s="5" t="s">
        <v>809</v>
      </c>
      <c r="AR71" s="5">
        <v>8</v>
      </c>
      <c r="AS71" s="5" t="s">
        <v>810</v>
      </c>
      <c r="AT71" s="72"/>
      <c r="AU71" s="41"/>
      <c r="AV71" s="73"/>
      <c r="AW71" s="41"/>
      <c r="AX71" s="41">
        <v>1</v>
      </c>
      <c r="AY71" s="78">
        <v>1</v>
      </c>
      <c r="BA71" s="5">
        <v>2</v>
      </c>
      <c r="BB71" s="5">
        <v>117</v>
      </c>
    </row>
    <row r="72" s="5" customFormat="1" spans="1:54">
      <c r="A72" s="2">
        <v>66</v>
      </c>
      <c r="B72" s="28">
        <v>113018</v>
      </c>
      <c r="C72" s="28">
        <v>113018</v>
      </c>
      <c r="D72" s="28" t="s">
        <v>811</v>
      </c>
      <c r="E72" s="28" t="s">
        <v>811</v>
      </c>
      <c r="F72" s="28"/>
      <c r="G72" s="28">
        <v>0</v>
      </c>
      <c r="H72" s="2" t="s">
        <v>812</v>
      </c>
      <c r="I72" s="2" t="s">
        <v>813</v>
      </c>
      <c r="J72" s="2" t="s">
        <v>814</v>
      </c>
      <c r="K72" s="2" t="s">
        <v>136</v>
      </c>
      <c r="L72" s="2" t="s">
        <v>815</v>
      </c>
      <c r="M72" s="40" t="s">
        <v>816</v>
      </c>
      <c r="N72" s="41">
        <v>1</v>
      </c>
      <c r="O72" s="41">
        <v>1</v>
      </c>
      <c r="P72" s="42">
        <v>3</v>
      </c>
      <c r="Q72" s="42">
        <v>3</v>
      </c>
      <c r="R72" s="41">
        <v>4</v>
      </c>
      <c r="S72" s="31" t="s">
        <v>817</v>
      </c>
      <c r="T72" s="5">
        <v>3</v>
      </c>
      <c r="U72" s="5">
        <v>8</v>
      </c>
      <c r="V72" s="5">
        <v>3</v>
      </c>
      <c r="W72" s="5">
        <v>62</v>
      </c>
      <c r="X72" s="41" t="s">
        <v>818</v>
      </c>
      <c r="Y72" s="41" t="s">
        <v>819</v>
      </c>
      <c r="Z72" s="54">
        <v>630018</v>
      </c>
      <c r="AA72" s="54">
        <v>215005</v>
      </c>
      <c r="AB72" s="54">
        <v>50</v>
      </c>
      <c r="AC72" s="54">
        <v>50</v>
      </c>
      <c r="AD72" s="54">
        <v>50</v>
      </c>
      <c r="AE72" s="55">
        <v>161</v>
      </c>
      <c r="AF72" s="55">
        <v>18</v>
      </c>
      <c r="AG72" s="55">
        <v>355</v>
      </c>
      <c r="AH72" s="55">
        <v>115</v>
      </c>
      <c r="AI72" s="62" t="s">
        <v>154</v>
      </c>
      <c r="AJ72" s="62">
        <v>0.02</v>
      </c>
      <c r="AK72" s="62">
        <v>1.01</v>
      </c>
      <c r="AL72" s="62">
        <v>0.01</v>
      </c>
      <c r="AM72" s="63" t="s">
        <v>607</v>
      </c>
      <c r="AN72" s="5" t="s">
        <v>820</v>
      </c>
      <c r="AO72" s="5" t="s">
        <v>821</v>
      </c>
      <c r="AR72" s="5">
        <v>8</v>
      </c>
      <c r="AS72" s="5" t="s">
        <v>822</v>
      </c>
      <c r="AT72" s="72"/>
      <c r="AU72" s="41"/>
      <c r="AV72" s="73"/>
      <c r="AW72" s="41"/>
      <c r="AX72" s="41">
        <v>1</v>
      </c>
      <c r="AY72" s="78">
        <v>4</v>
      </c>
      <c r="BA72" s="5">
        <v>4</v>
      </c>
      <c r="BB72" s="5">
        <v>119</v>
      </c>
    </row>
    <row r="73" s="5" customFormat="1" spans="1:54">
      <c r="A73" s="2">
        <v>67</v>
      </c>
      <c r="B73" s="28">
        <v>113019</v>
      </c>
      <c r="C73" s="28">
        <v>113019</v>
      </c>
      <c r="D73" s="28" t="s">
        <v>823</v>
      </c>
      <c r="E73" s="28" t="s">
        <v>823</v>
      </c>
      <c r="F73" s="28"/>
      <c r="G73" s="28">
        <v>2</v>
      </c>
      <c r="H73" s="2" t="s">
        <v>824</v>
      </c>
      <c r="I73" s="2" t="s">
        <v>825</v>
      </c>
      <c r="J73" s="2" t="s">
        <v>826</v>
      </c>
      <c r="K73" s="2" t="s">
        <v>136</v>
      </c>
      <c r="L73" s="2" t="s">
        <v>827</v>
      </c>
      <c r="M73" s="40" t="s">
        <v>828</v>
      </c>
      <c r="N73" s="41">
        <v>1</v>
      </c>
      <c r="O73" s="41">
        <v>1</v>
      </c>
      <c r="P73" s="42">
        <v>3</v>
      </c>
      <c r="Q73" s="42">
        <v>3</v>
      </c>
      <c r="R73" s="41">
        <v>8</v>
      </c>
      <c r="S73" s="31" t="s">
        <v>829</v>
      </c>
      <c r="T73" s="5">
        <v>3</v>
      </c>
      <c r="U73" s="5">
        <v>8</v>
      </c>
      <c r="V73" s="5">
        <v>3</v>
      </c>
      <c r="W73" s="5">
        <v>63</v>
      </c>
      <c r="X73" s="41" t="s">
        <v>830</v>
      </c>
      <c r="Y73" s="41" t="s">
        <v>831</v>
      </c>
      <c r="Z73" s="54">
        <v>630019</v>
      </c>
      <c r="AA73" s="54">
        <v>215005</v>
      </c>
      <c r="AB73" s="54">
        <v>50</v>
      </c>
      <c r="AC73" s="54">
        <v>50</v>
      </c>
      <c r="AD73" s="54">
        <v>50</v>
      </c>
      <c r="AE73" s="55">
        <v>156</v>
      </c>
      <c r="AF73" s="55">
        <v>21</v>
      </c>
      <c r="AG73" s="55">
        <v>339</v>
      </c>
      <c r="AH73" s="55">
        <v>105</v>
      </c>
      <c r="AI73" s="62">
        <v>0.015</v>
      </c>
      <c r="AJ73" s="62">
        <v>0.016</v>
      </c>
      <c r="AK73" s="62">
        <v>1.004</v>
      </c>
      <c r="AL73" s="62">
        <v>0.01</v>
      </c>
      <c r="AM73" s="63" t="s">
        <v>689</v>
      </c>
      <c r="AN73" s="5" t="s">
        <v>832</v>
      </c>
      <c r="AO73" s="5" t="s">
        <v>833</v>
      </c>
      <c r="AR73" s="5">
        <v>8</v>
      </c>
      <c r="AS73" s="5" t="s">
        <v>834</v>
      </c>
      <c r="AT73" s="72"/>
      <c r="AU73" s="41"/>
      <c r="AV73" s="73"/>
      <c r="AW73" s="41"/>
      <c r="AX73" s="41">
        <v>2</v>
      </c>
      <c r="AY73" s="78">
        <v>3</v>
      </c>
      <c r="BA73" s="5">
        <v>4</v>
      </c>
      <c r="BB73" s="5">
        <v>120</v>
      </c>
    </row>
    <row r="74" s="5" customFormat="1" spans="1:54">
      <c r="A74" s="2">
        <v>68</v>
      </c>
      <c r="B74" s="28">
        <v>113020</v>
      </c>
      <c r="C74" s="28">
        <v>113020</v>
      </c>
      <c r="D74" s="28" t="s">
        <v>835</v>
      </c>
      <c r="E74" s="28" t="s">
        <v>835</v>
      </c>
      <c r="F74" s="28"/>
      <c r="G74" s="28">
        <v>0</v>
      </c>
      <c r="H74" s="2" t="s">
        <v>836</v>
      </c>
      <c r="I74" s="2" t="s">
        <v>837</v>
      </c>
      <c r="J74" s="2" t="s">
        <v>222</v>
      </c>
      <c r="K74" s="2" t="s">
        <v>136</v>
      </c>
      <c r="L74" s="2" t="s">
        <v>838</v>
      </c>
      <c r="M74" s="40" t="s">
        <v>839</v>
      </c>
      <c r="N74" s="41">
        <v>1</v>
      </c>
      <c r="O74" s="41">
        <v>1</v>
      </c>
      <c r="P74" s="42">
        <v>3</v>
      </c>
      <c r="Q74" s="42">
        <v>3</v>
      </c>
      <c r="R74" s="41">
        <v>3</v>
      </c>
      <c r="S74" s="31" t="s">
        <v>711</v>
      </c>
      <c r="T74" s="5">
        <v>3</v>
      </c>
      <c r="U74" s="5">
        <v>8</v>
      </c>
      <c r="V74" s="5">
        <v>3</v>
      </c>
      <c r="W74" s="5">
        <v>64</v>
      </c>
      <c r="X74" s="41" t="s">
        <v>840</v>
      </c>
      <c r="Y74" s="41" t="s">
        <v>841</v>
      </c>
      <c r="Z74" s="54">
        <v>630020</v>
      </c>
      <c r="AA74" s="54">
        <v>215005</v>
      </c>
      <c r="AB74" s="54">
        <v>50</v>
      </c>
      <c r="AC74" s="54">
        <v>50</v>
      </c>
      <c r="AD74" s="54">
        <v>50</v>
      </c>
      <c r="AE74" s="55">
        <v>160</v>
      </c>
      <c r="AF74" s="55">
        <v>22</v>
      </c>
      <c r="AG74" s="55">
        <v>313</v>
      </c>
      <c r="AH74" s="55">
        <v>118</v>
      </c>
      <c r="AI74" s="62" t="s">
        <v>154</v>
      </c>
      <c r="AJ74" s="62">
        <v>0.02</v>
      </c>
      <c r="AK74" s="62">
        <v>1.01</v>
      </c>
      <c r="AL74" s="62">
        <v>0.01</v>
      </c>
      <c r="AM74" s="63" t="s">
        <v>607</v>
      </c>
      <c r="AN74" s="5" t="s">
        <v>842</v>
      </c>
      <c r="AO74" s="5" t="s">
        <v>843</v>
      </c>
      <c r="AR74" s="5">
        <v>8</v>
      </c>
      <c r="AS74" s="5" t="s">
        <v>844</v>
      </c>
      <c r="AT74" s="72"/>
      <c r="AU74" s="41"/>
      <c r="AV74" s="73"/>
      <c r="AW74" s="41"/>
      <c r="AX74" s="41">
        <v>2</v>
      </c>
      <c r="AY74" s="78">
        <v>1</v>
      </c>
      <c r="BA74" s="5">
        <v>3</v>
      </c>
      <c r="BB74" s="5">
        <v>121</v>
      </c>
    </row>
    <row r="75" s="5" customFormat="1" spans="1:54">
      <c r="A75" s="2">
        <v>69</v>
      </c>
      <c r="B75" s="28">
        <v>113021</v>
      </c>
      <c r="C75" s="28">
        <v>113021</v>
      </c>
      <c r="D75" s="28" t="s">
        <v>845</v>
      </c>
      <c r="E75" s="28" t="s">
        <v>845</v>
      </c>
      <c r="F75" s="28"/>
      <c r="G75" s="28">
        <v>0</v>
      </c>
      <c r="H75" s="2" t="s">
        <v>846</v>
      </c>
      <c r="I75" s="2" t="s">
        <v>847</v>
      </c>
      <c r="J75" s="2" t="s">
        <v>366</v>
      </c>
      <c r="K75" s="2" t="s">
        <v>136</v>
      </c>
      <c r="L75" s="2" t="s">
        <v>848</v>
      </c>
      <c r="M75" s="40" t="s">
        <v>849</v>
      </c>
      <c r="N75" s="41">
        <v>1</v>
      </c>
      <c r="O75" s="41">
        <v>1</v>
      </c>
      <c r="P75" s="42">
        <v>3</v>
      </c>
      <c r="Q75" s="42">
        <v>3</v>
      </c>
      <c r="R75" s="41">
        <v>3</v>
      </c>
      <c r="S75" s="31" t="s">
        <v>711</v>
      </c>
      <c r="T75" s="5">
        <v>3</v>
      </c>
      <c r="U75" s="5">
        <v>8</v>
      </c>
      <c r="V75" s="5">
        <v>3</v>
      </c>
      <c r="W75" s="5">
        <v>65</v>
      </c>
      <c r="X75" s="41" t="s">
        <v>850</v>
      </c>
      <c r="Y75" s="41" t="s">
        <v>851</v>
      </c>
      <c r="Z75" s="54">
        <v>630021</v>
      </c>
      <c r="AA75" s="54">
        <v>215005</v>
      </c>
      <c r="AB75" s="54">
        <v>50</v>
      </c>
      <c r="AC75" s="54">
        <v>50</v>
      </c>
      <c r="AD75" s="54">
        <v>50</v>
      </c>
      <c r="AE75" s="55">
        <v>188</v>
      </c>
      <c r="AF75" s="55">
        <v>15</v>
      </c>
      <c r="AG75" s="55">
        <v>339</v>
      </c>
      <c r="AH75" s="55">
        <v>100</v>
      </c>
      <c r="AI75" s="62">
        <v>0.016</v>
      </c>
      <c r="AJ75" s="62">
        <v>0.01</v>
      </c>
      <c r="AK75" s="62">
        <v>1.02</v>
      </c>
      <c r="AL75" s="62" t="s">
        <v>154</v>
      </c>
      <c r="AM75" s="63" t="s">
        <v>727</v>
      </c>
      <c r="AN75" s="5" t="s">
        <v>852</v>
      </c>
      <c r="AO75" s="5" t="s">
        <v>853</v>
      </c>
      <c r="AR75" s="5">
        <v>8</v>
      </c>
      <c r="AS75" s="5" t="s">
        <v>854</v>
      </c>
      <c r="AT75" s="72"/>
      <c r="AU75" s="41"/>
      <c r="AV75" s="73"/>
      <c r="AW75" s="41">
        <v>7</v>
      </c>
      <c r="AX75" s="41">
        <v>2</v>
      </c>
      <c r="AY75" s="78">
        <v>2</v>
      </c>
      <c r="BA75" s="5">
        <v>3</v>
      </c>
      <c r="BB75" s="5">
        <v>123</v>
      </c>
    </row>
    <row r="76" s="5" customFormat="1" spans="1:54">
      <c r="A76" s="2">
        <v>70</v>
      </c>
      <c r="B76" s="28">
        <v>113022</v>
      </c>
      <c r="C76" s="28">
        <v>113022</v>
      </c>
      <c r="D76" s="28" t="s">
        <v>855</v>
      </c>
      <c r="E76" s="28" t="s">
        <v>855</v>
      </c>
      <c r="F76" s="28"/>
      <c r="G76" s="28">
        <v>0</v>
      </c>
      <c r="H76" s="2" t="s">
        <v>856</v>
      </c>
      <c r="I76" s="2" t="s">
        <v>857</v>
      </c>
      <c r="J76" s="2" t="s">
        <v>162</v>
      </c>
      <c r="K76" s="2" t="s">
        <v>367</v>
      </c>
      <c r="L76" s="2" t="s">
        <v>858</v>
      </c>
      <c r="M76" s="40" t="s">
        <v>859</v>
      </c>
      <c r="N76" s="41">
        <v>1</v>
      </c>
      <c r="O76" s="41">
        <v>1</v>
      </c>
      <c r="P76" s="42">
        <v>1</v>
      </c>
      <c r="Q76" s="42">
        <v>1</v>
      </c>
      <c r="R76" s="41">
        <v>3</v>
      </c>
      <c r="S76" s="31" t="s">
        <v>711</v>
      </c>
      <c r="T76" s="5">
        <v>3</v>
      </c>
      <c r="U76" s="5">
        <v>8</v>
      </c>
      <c r="V76" s="5">
        <v>3</v>
      </c>
      <c r="W76" s="5">
        <v>66</v>
      </c>
      <c r="X76" s="41" t="s">
        <v>860</v>
      </c>
      <c r="Y76" s="41" t="s">
        <v>861</v>
      </c>
      <c r="Z76" s="54">
        <v>630022</v>
      </c>
      <c r="AA76" s="54">
        <v>215005</v>
      </c>
      <c r="AB76" s="54">
        <v>50</v>
      </c>
      <c r="AC76" s="54">
        <v>50</v>
      </c>
      <c r="AD76" s="54">
        <v>50</v>
      </c>
      <c r="AE76" s="55">
        <v>193</v>
      </c>
      <c r="AF76" s="55">
        <v>15</v>
      </c>
      <c r="AG76" s="55">
        <v>329</v>
      </c>
      <c r="AH76" s="55">
        <v>120</v>
      </c>
      <c r="AI76" s="62">
        <v>0.018</v>
      </c>
      <c r="AJ76" s="62" t="s">
        <v>154</v>
      </c>
      <c r="AK76" s="62">
        <v>1.016</v>
      </c>
      <c r="AL76" s="62" t="s">
        <v>154</v>
      </c>
      <c r="AM76" s="63" t="s">
        <v>629</v>
      </c>
      <c r="AN76" s="5" t="s">
        <v>862</v>
      </c>
      <c r="AO76" s="5" t="s">
        <v>863</v>
      </c>
      <c r="AR76" s="5">
        <v>8</v>
      </c>
      <c r="AS76" s="5" t="s">
        <v>864</v>
      </c>
      <c r="AT76" s="72"/>
      <c r="AU76" s="41"/>
      <c r="AV76" s="73"/>
      <c r="AW76" s="41"/>
      <c r="AX76" s="41">
        <v>2</v>
      </c>
      <c r="AY76" s="78">
        <v>3</v>
      </c>
      <c r="BA76" s="5">
        <v>3</v>
      </c>
      <c r="BB76" s="5">
        <v>122</v>
      </c>
    </row>
    <row r="77" s="5" customFormat="1" spans="1:54">
      <c r="A77" s="2">
        <v>71</v>
      </c>
      <c r="B77" s="28">
        <v>113023</v>
      </c>
      <c r="C77" s="28">
        <v>113023</v>
      </c>
      <c r="D77" s="28" t="s">
        <v>865</v>
      </c>
      <c r="E77" s="28" t="s">
        <v>865</v>
      </c>
      <c r="F77" s="28"/>
      <c r="G77" s="28">
        <v>0</v>
      </c>
      <c r="H77" s="2" t="s">
        <v>866</v>
      </c>
      <c r="I77" s="2" t="s">
        <v>867</v>
      </c>
      <c r="J77" s="2" t="s">
        <v>262</v>
      </c>
      <c r="K77" s="2" t="s">
        <v>367</v>
      </c>
      <c r="L77" s="2" t="s">
        <v>137</v>
      </c>
      <c r="M77" s="40" t="s">
        <v>868</v>
      </c>
      <c r="N77" s="41">
        <v>1</v>
      </c>
      <c r="O77" s="41">
        <v>1</v>
      </c>
      <c r="P77" s="42">
        <v>5</v>
      </c>
      <c r="Q77" s="42">
        <v>5</v>
      </c>
      <c r="R77" s="41">
        <v>3</v>
      </c>
      <c r="S77" s="31" t="s">
        <v>711</v>
      </c>
      <c r="T77" s="5">
        <v>3</v>
      </c>
      <c r="U77" s="5">
        <v>8</v>
      </c>
      <c r="V77" s="5">
        <v>3</v>
      </c>
      <c r="W77" s="5">
        <v>67</v>
      </c>
      <c r="X77" s="41" t="s">
        <v>869</v>
      </c>
      <c r="Y77" s="41" t="s">
        <v>870</v>
      </c>
      <c r="Z77" s="54">
        <v>630023</v>
      </c>
      <c r="AA77" s="54">
        <v>215005</v>
      </c>
      <c r="AB77" s="54">
        <v>50</v>
      </c>
      <c r="AC77" s="54">
        <v>50</v>
      </c>
      <c r="AD77" s="54">
        <v>50</v>
      </c>
      <c r="AE77" s="55">
        <v>223</v>
      </c>
      <c r="AF77" s="55">
        <v>15</v>
      </c>
      <c r="AG77" s="55">
        <v>251</v>
      </c>
      <c r="AH77" s="55">
        <v>120</v>
      </c>
      <c r="AI77" s="62">
        <v>0.018</v>
      </c>
      <c r="AJ77" s="62" t="s">
        <v>154</v>
      </c>
      <c r="AK77" s="62">
        <v>1.016</v>
      </c>
      <c r="AL77" s="62" t="s">
        <v>154</v>
      </c>
      <c r="AM77" s="63" t="s">
        <v>629</v>
      </c>
      <c r="AN77" s="5" t="s">
        <v>871</v>
      </c>
      <c r="AO77" s="5" t="s">
        <v>872</v>
      </c>
      <c r="AR77" s="5">
        <v>8</v>
      </c>
      <c r="AS77" s="5" t="s">
        <v>873</v>
      </c>
      <c r="AT77" s="72"/>
      <c r="AU77" s="41"/>
      <c r="AV77" s="73"/>
      <c r="AW77" s="41"/>
      <c r="AX77" s="41">
        <v>2</v>
      </c>
      <c r="AY77" s="78">
        <v>3</v>
      </c>
      <c r="BA77" s="5">
        <v>3</v>
      </c>
      <c r="BB77" s="5">
        <v>124</v>
      </c>
    </row>
    <row r="78" s="5" customFormat="1" spans="1:56">
      <c r="A78" s="2">
        <v>72</v>
      </c>
      <c r="B78" s="28">
        <v>113024</v>
      </c>
      <c r="C78" s="28">
        <v>113024</v>
      </c>
      <c r="D78" s="28" t="s">
        <v>874</v>
      </c>
      <c r="E78" s="28" t="s">
        <v>874</v>
      </c>
      <c r="F78" s="28"/>
      <c r="G78" s="28">
        <v>0</v>
      </c>
      <c r="H78" s="2" t="s">
        <v>875</v>
      </c>
      <c r="I78" s="2" t="s">
        <v>876</v>
      </c>
      <c r="J78" s="2" t="s">
        <v>162</v>
      </c>
      <c r="K78" s="2" t="s">
        <v>136</v>
      </c>
      <c r="L78" s="2" t="s">
        <v>137</v>
      </c>
      <c r="M78" s="40" t="s">
        <v>877</v>
      </c>
      <c r="N78" s="41">
        <v>1</v>
      </c>
      <c r="O78" s="41">
        <v>1</v>
      </c>
      <c r="P78" s="42">
        <v>5</v>
      </c>
      <c r="Q78" s="42">
        <v>5</v>
      </c>
      <c r="R78" s="41">
        <v>3</v>
      </c>
      <c r="S78" s="31" t="s">
        <v>175</v>
      </c>
      <c r="T78" s="5">
        <v>3</v>
      </c>
      <c r="U78" s="5">
        <v>8</v>
      </c>
      <c r="V78" s="5">
        <v>3</v>
      </c>
      <c r="W78" s="5">
        <v>68</v>
      </c>
      <c r="X78" s="41" t="s">
        <v>878</v>
      </c>
      <c r="Y78" s="41" t="s">
        <v>879</v>
      </c>
      <c r="Z78" s="54">
        <v>630024</v>
      </c>
      <c r="AA78" s="54">
        <v>215005</v>
      </c>
      <c r="AB78" s="54">
        <v>50</v>
      </c>
      <c r="AC78" s="54">
        <v>50</v>
      </c>
      <c r="AD78" s="54">
        <v>50</v>
      </c>
      <c r="AE78" s="55">
        <v>184</v>
      </c>
      <c r="AF78" s="55">
        <v>16</v>
      </c>
      <c r="AG78" s="55">
        <v>329</v>
      </c>
      <c r="AH78" s="55">
        <v>110</v>
      </c>
      <c r="AI78" s="62">
        <v>0.016</v>
      </c>
      <c r="AJ78" s="62">
        <v>0.01</v>
      </c>
      <c r="AK78" s="62">
        <v>1.02</v>
      </c>
      <c r="AL78" s="62">
        <v>0</v>
      </c>
      <c r="AM78" s="63" t="s">
        <v>371</v>
      </c>
      <c r="AN78" s="5" t="s">
        <v>880</v>
      </c>
      <c r="AO78" s="5" t="s">
        <v>881</v>
      </c>
      <c r="AR78" s="5">
        <v>8</v>
      </c>
      <c r="AS78" s="5" t="s">
        <v>854</v>
      </c>
      <c r="AT78" s="72"/>
      <c r="AU78" s="41"/>
      <c r="AV78" s="73"/>
      <c r="AW78" s="41">
        <v>7</v>
      </c>
      <c r="AX78" s="41">
        <v>2</v>
      </c>
      <c r="AY78" s="78">
        <v>3</v>
      </c>
      <c r="BA78" s="5">
        <v>3</v>
      </c>
      <c r="BB78" s="5">
        <v>125</v>
      </c>
      <c r="BC78" s="5">
        <v>615001</v>
      </c>
      <c r="BD78" s="5">
        <v>30</v>
      </c>
    </row>
    <row r="79" s="5" customFormat="1" spans="1:54">
      <c r="A79" s="2">
        <v>73</v>
      </c>
      <c r="B79" s="28">
        <v>113025</v>
      </c>
      <c r="C79" s="79">
        <v>112004</v>
      </c>
      <c r="D79" s="28" t="s">
        <v>882</v>
      </c>
      <c r="E79" s="28" t="s">
        <v>883</v>
      </c>
      <c r="F79" s="28"/>
      <c r="G79" s="28">
        <v>0</v>
      </c>
      <c r="H79" s="2" t="s">
        <v>884</v>
      </c>
      <c r="I79" s="2" t="s">
        <v>885</v>
      </c>
      <c r="J79" s="2" t="s">
        <v>886</v>
      </c>
      <c r="K79" s="2" t="s">
        <v>671</v>
      </c>
      <c r="L79" s="2" t="s">
        <v>137</v>
      </c>
      <c r="M79" s="40" t="s">
        <v>887</v>
      </c>
      <c r="N79" s="41">
        <v>1</v>
      </c>
      <c r="O79" s="41">
        <v>1</v>
      </c>
      <c r="P79" s="42">
        <v>6</v>
      </c>
      <c r="Q79" s="42">
        <v>6</v>
      </c>
      <c r="R79" s="41">
        <v>1</v>
      </c>
      <c r="S79" s="31" t="s">
        <v>319</v>
      </c>
      <c r="T79" s="5">
        <v>3</v>
      </c>
      <c r="U79" s="5">
        <v>8</v>
      </c>
      <c r="V79" s="5">
        <v>3</v>
      </c>
      <c r="W79" s="5">
        <v>69</v>
      </c>
      <c r="X79" s="41" t="s">
        <v>888</v>
      </c>
      <c r="Y79" s="41" t="s">
        <v>889</v>
      </c>
      <c r="Z79" s="54">
        <v>630025</v>
      </c>
      <c r="AA79" s="54">
        <v>215005</v>
      </c>
      <c r="AB79" s="54">
        <v>50</v>
      </c>
      <c r="AC79" s="54">
        <v>50</v>
      </c>
      <c r="AD79" s="54">
        <v>50</v>
      </c>
      <c r="AE79" s="55">
        <v>227</v>
      </c>
      <c r="AF79" s="55">
        <v>15</v>
      </c>
      <c r="AG79" s="55">
        <v>235</v>
      </c>
      <c r="AH79" s="55">
        <v>130</v>
      </c>
      <c r="AI79" s="62">
        <v>0.018</v>
      </c>
      <c r="AJ79" s="62" t="s">
        <v>154</v>
      </c>
      <c r="AK79" s="62">
        <v>1.016</v>
      </c>
      <c r="AL79" s="62" t="s">
        <v>154</v>
      </c>
      <c r="AM79" s="63" t="s">
        <v>629</v>
      </c>
      <c r="AN79" s="5" t="s">
        <v>890</v>
      </c>
      <c r="AO79" s="5" t="s">
        <v>891</v>
      </c>
      <c r="AR79" s="5">
        <v>8</v>
      </c>
      <c r="AS79" s="5" t="s">
        <v>892</v>
      </c>
      <c r="AT79" s="72"/>
      <c r="AU79" s="41"/>
      <c r="AV79" s="73"/>
      <c r="AW79" s="41"/>
      <c r="AX79" s="41">
        <v>2</v>
      </c>
      <c r="AY79" s="78">
        <v>3</v>
      </c>
      <c r="BA79" s="5">
        <v>1</v>
      </c>
      <c r="BB79" s="5">
        <v>131</v>
      </c>
    </row>
    <row r="80" s="5" customFormat="1" spans="1:54">
      <c r="A80" s="2">
        <v>74</v>
      </c>
      <c r="B80" s="28">
        <v>113026</v>
      </c>
      <c r="C80" s="79">
        <v>112002</v>
      </c>
      <c r="D80" s="28" t="s">
        <v>893</v>
      </c>
      <c r="E80" s="28" t="s">
        <v>894</v>
      </c>
      <c r="F80" s="28"/>
      <c r="G80" s="28">
        <v>0</v>
      </c>
      <c r="H80" s="2" t="s">
        <v>895</v>
      </c>
      <c r="I80" s="2" t="s">
        <v>896</v>
      </c>
      <c r="J80" s="2" t="s">
        <v>150</v>
      </c>
      <c r="K80" s="2" t="s">
        <v>136</v>
      </c>
      <c r="L80" s="2" t="s">
        <v>137</v>
      </c>
      <c r="M80" s="40" t="s">
        <v>897</v>
      </c>
      <c r="N80" s="41">
        <v>1</v>
      </c>
      <c r="O80" s="41">
        <v>1</v>
      </c>
      <c r="P80" s="42">
        <v>5</v>
      </c>
      <c r="Q80" s="42">
        <v>5</v>
      </c>
      <c r="R80" s="41">
        <v>1</v>
      </c>
      <c r="S80" s="31" t="s">
        <v>319</v>
      </c>
      <c r="T80" s="5">
        <v>3</v>
      </c>
      <c r="U80" s="5">
        <v>8</v>
      </c>
      <c r="V80" s="5">
        <v>3</v>
      </c>
      <c r="W80" s="5">
        <v>70</v>
      </c>
      <c r="X80" s="41" t="s">
        <v>898</v>
      </c>
      <c r="Y80" s="41" t="s">
        <v>899</v>
      </c>
      <c r="Z80" s="54">
        <v>630026</v>
      </c>
      <c r="AA80" s="54">
        <v>215005</v>
      </c>
      <c r="AB80" s="54">
        <v>50</v>
      </c>
      <c r="AC80" s="54">
        <v>50</v>
      </c>
      <c r="AD80" s="54">
        <v>50</v>
      </c>
      <c r="AE80" s="55">
        <v>186</v>
      </c>
      <c r="AF80" s="55">
        <v>16</v>
      </c>
      <c r="AG80" s="55">
        <v>326</v>
      </c>
      <c r="AH80" s="55">
        <v>105</v>
      </c>
      <c r="AI80" s="62">
        <v>0.018</v>
      </c>
      <c r="AJ80" s="62" t="s">
        <v>154</v>
      </c>
      <c r="AK80" s="62">
        <v>1.016</v>
      </c>
      <c r="AL80" s="62" t="s">
        <v>154</v>
      </c>
      <c r="AM80" s="63" t="s">
        <v>629</v>
      </c>
      <c r="AN80" s="5" t="s">
        <v>900</v>
      </c>
      <c r="AO80" s="5" t="s">
        <v>901</v>
      </c>
      <c r="AR80" s="5">
        <v>8</v>
      </c>
      <c r="AS80" s="5" t="s">
        <v>902</v>
      </c>
      <c r="AT80" s="72"/>
      <c r="AU80" s="41"/>
      <c r="AV80" s="73"/>
      <c r="AW80" s="41">
        <v>9</v>
      </c>
      <c r="AX80" s="41">
        <v>2</v>
      </c>
      <c r="AY80" s="78">
        <v>2</v>
      </c>
      <c r="BA80" s="5">
        <v>1</v>
      </c>
      <c r="BB80" s="5">
        <v>129</v>
      </c>
    </row>
    <row r="81" s="5" customFormat="1" spans="1:56">
      <c r="A81" s="2">
        <v>75</v>
      </c>
      <c r="B81" s="28">
        <v>113027</v>
      </c>
      <c r="C81" s="28">
        <v>113027</v>
      </c>
      <c r="D81" s="28" t="s">
        <v>903</v>
      </c>
      <c r="E81" s="28" t="s">
        <v>903</v>
      </c>
      <c r="F81" s="28"/>
      <c r="G81" s="28">
        <v>0</v>
      </c>
      <c r="H81" s="2" t="s">
        <v>904</v>
      </c>
      <c r="I81" s="2" t="s">
        <v>905</v>
      </c>
      <c r="J81" s="2" t="s">
        <v>222</v>
      </c>
      <c r="K81" s="2" t="s">
        <v>136</v>
      </c>
      <c r="L81" s="2" t="s">
        <v>906</v>
      </c>
      <c r="M81" s="40" t="s">
        <v>907</v>
      </c>
      <c r="N81" s="41">
        <v>1</v>
      </c>
      <c r="O81" s="41">
        <v>1</v>
      </c>
      <c r="P81" s="42">
        <v>2</v>
      </c>
      <c r="Q81" s="42">
        <v>2</v>
      </c>
      <c r="R81" s="41">
        <v>3</v>
      </c>
      <c r="S81" s="31" t="s">
        <v>908</v>
      </c>
      <c r="T81" s="5">
        <v>3</v>
      </c>
      <c r="U81" s="5">
        <v>8</v>
      </c>
      <c r="V81" s="5">
        <v>3</v>
      </c>
      <c r="W81" s="5">
        <v>78</v>
      </c>
      <c r="X81" s="41" t="s">
        <v>909</v>
      </c>
      <c r="Y81" s="41" t="s">
        <v>910</v>
      </c>
      <c r="Z81" s="54">
        <v>630027</v>
      </c>
      <c r="AA81" s="54">
        <v>215005</v>
      </c>
      <c r="AB81" s="54">
        <v>50</v>
      </c>
      <c r="AC81" s="54">
        <v>50</v>
      </c>
      <c r="AD81" s="54">
        <v>50</v>
      </c>
      <c r="AE81" s="55">
        <v>187</v>
      </c>
      <c r="AF81" s="55">
        <v>15</v>
      </c>
      <c r="AG81" s="55">
        <v>339</v>
      </c>
      <c r="AH81" s="55">
        <v>103</v>
      </c>
      <c r="AI81" s="62" t="s">
        <v>154</v>
      </c>
      <c r="AJ81" s="62">
        <v>0.02</v>
      </c>
      <c r="AK81" s="62">
        <v>1.01</v>
      </c>
      <c r="AL81" s="62">
        <v>0.01</v>
      </c>
      <c r="AM81" s="63" t="s">
        <v>607</v>
      </c>
      <c r="AN81" s="5" t="s">
        <v>911</v>
      </c>
      <c r="AO81" s="5" t="s">
        <v>912</v>
      </c>
      <c r="AR81" s="5">
        <v>8</v>
      </c>
      <c r="AS81" s="5" t="s">
        <v>854</v>
      </c>
      <c r="AT81" s="72"/>
      <c r="AU81" s="41"/>
      <c r="AV81" s="73"/>
      <c r="AW81" s="41">
        <v>7</v>
      </c>
      <c r="AX81" s="41"/>
      <c r="AY81" s="78">
        <v>1</v>
      </c>
      <c r="BA81" s="5">
        <v>3</v>
      </c>
      <c r="BB81" s="5">
        <v>126</v>
      </c>
      <c r="BC81" s="5">
        <v>615003</v>
      </c>
      <c r="BD81" s="5">
        <v>30</v>
      </c>
    </row>
    <row r="82" s="5" customFormat="1" spans="1:54">
      <c r="A82" s="2">
        <v>76</v>
      </c>
      <c r="B82" s="28">
        <v>113028</v>
      </c>
      <c r="C82" s="79">
        <v>112003</v>
      </c>
      <c r="D82" s="28" t="s">
        <v>913</v>
      </c>
      <c r="E82" s="28" t="s">
        <v>913</v>
      </c>
      <c r="F82" s="28"/>
      <c r="G82" s="28">
        <v>1</v>
      </c>
      <c r="H82" s="2" t="s">
        <v>914</v>
      </c>
      <c r="I82" s="2" t="s">
        <v>915</v>
      </c>
      <c r="J82" s="2" t="s">
        <v>886</v>
      </c>
      <c r="K82" s="2" t="s">
        <v>136</v>
      </c>
      <c r="L82" s="2" t="s">
        <v>137</v>
      </c>
      <c r="M82" s="40" t="s">
        <v>916</v>
      </c>
      <c r="N82" s="41">
        <v>1</v>
      </c>
      <c r="O82" s="41">
        <v>1</v>
      </c>
      <c r="P82" s="42">
        <v>6</v>
      </c>
      <c r="Q82" s="42">
        <v>6</v>
      </c>
      <c r="R82" s="41">
        <v>1</v>
      </c>
      <c r="S82" s="31" t="s">
        <v>319</v>
      </c>
      <c r="T82" s="5">
        <v>3</v>
      </c>
      <c r="U82" s="5">
        <v>8</v>
      </c>
      <c r="V82" s="5">
        <v>3</v>
      </c>
      <c r="W82" s="5">
        <v>72</v>
      </c>
      <c r="X82" s="41" t="s">
        <v>917</v>
      </c>
      <c r="Y82" s="41" t="s">
        <v>918</v>
      </c>
      <c r="Z82" s="54">
        <v>630028</v>
      </c>
      <c r="AA82" s="54">
        <v>215005</v>
      </c>
      <c r="AB82" s="54">
        <v>50</v>
      </c>
      <c r="AC82" s="54">
        <v>50</v>
      </c>
      <c r="AD82" s="54">
        <v>50</v>
      </c>
      <c r="AE82" s="55">
        <v>223</v>
      </c>
      <c r="AF82" s="55">
        <v>15</v>
      </c>
      <c r="AG82" s="55">
        <v>240</v>
      </c>
      <c r="AH82" s="55">
        <v>130</v>
      </c>
      <c r="AI82" s="62">
        <v>0.018</v>
      </c>
      <c r="AJ82" s="62" t="s">
        <v>154</v>
      </c>
      <c r="AK82" s="62">
        <v>1.016</v>
      </c>
      <c r="AL82" s="62" t="s">
        <v>154</v>
      </c>
      <c r="AM82" s="63" t="s">
        <v>629</v>
      </c>
      <c r="AN82" s="5" t="s">
        <v>919</v>
      </c>
      <c r="AO82" s="5" t="s">
        <v>920</v>
      </c>
      <c r="AR82" s="5">
        <v>8</v>
      </c>
      <c r="AS82" s="5" t="s">
        <v>921</v>
      </c>
      <c r="AT82" s="72"/>
      <c r="AU82" s="41"/>
      <c r="AV82" s="73"/>
      <c r="AW82" s="41"/>
      <c r="AX82" s="41"/>
      <c r="AY82" s="78">
        <v>4</v>
      </c>
      <c r="BA82" s="5">
        <v>1</v>
      </c>
      <c r="BB82" s="5">
        <v>130</v>
      </c>
    </row>
    <row r="83" s="5" customFormat="1" spans="1:54">
      <c r="A83" s="2">
        <v>77</v>
      </c>
      <c r="B83" s="28">
        <v>113029</v>
      </c>
      <c r="C83" s="79">
        <v>112007</v>
      </c>
      <c r="D83" s="28" t="s">
        <v>922</v>
      </c>
      <c r="E83" s="28" t="s">
        <v>922</v>
      </c>
      <c r="F83" s="28"/>
      <c r="G83" s="28">
        <v>1</v>
      </c>
      <c r="H83" s="2" t="s">
        <v>923</v>
      </c>
      <c r="I83" s="2" t="s">
        <v>924</v>
      </c>
      <c r="J83" s="2" t="s">
        <v>925</v>
      </c>
      <c r="K83" s="2" t="s">
        <v>354</v>
      </c>
      <c r="L83" s="2" t="s">
        <v>395</v>
      </c>
      <c r="M83" s="40" t="s">
        <v>926</v>
      </c>
      <c r="N83" s="41">
        <v>1</v>
      </c>
      <c r="O83" s="41">
        <v>1</v>
      </c>
      <c r="P83" s="42">
        <v>3</v>
      </c>
      <c r="Q83" s="42">
        <v>3</v>
      </c>
      <c r="R83" s="41">
        <v>1</v>
      </c>
      <c r="S83" s="31" t="s">
        <v>319</v>
      </c>
      <c r="T83" s="5">
        <v>3</v>
      </c>
      <c r="U83" s="5">
        <v>8</v>
      </c>
      <c r="V83" s="5">
        <v>3</v>
      </c>
      <c r="W83" s="5">
        <v>75</v>
      </c>
      <c r="X83" s="41" t="s">
        <v>927</v>
      </c>
      <c r="Y83" s="41" t="s">
        <v>928</v>
      </c>
      <c r="Z83" s="54">
        <v>630029</v>
      </c>
      <c r="AA83" s="54">
        <v>215005</v>
      </c>
      <c r="AB83" s="54">
        <v>50</v>
      </c>
      <c r="AC83" s="54">
        <v>50</v>
      </c>
      <c r="AD83" s="54">
        <v>50</v>
      </c>
      <c r="AE83" s="55">
        <v>215</v>
      </c>
      <c r="AF83" s="55">
        <v>16</v>
      </c>
      <c r="AG83" s="55">
        <v>245</v>
      </c>
      <c r="AH83" s="55">
        <v>130</v>
      </c>
      <c r="AI83" s="62">
        <v>0.018</v>
      </c>
      <c r="AJ83" s="62" t="s">
        <v>154</v>
      </c>
      <c r="AK83" s="62">
        <v>1.016</v>
      </c>
      <c r="AL83" s="62" t="s">
        <v>154</v>
      </c>
      <c r="AM83" s="63" t="s">
        <v>629</v>
      </c>
      <c r="AN83" s="5" t="s">
        <v>929</v>
      </c>
      <c r="AO83" s="5" t="s">
        <v>930</v>
      </c>
      <c r="AR83" s="5">
        <v>8</v>
      </c>
      <c r="AS83" s="5" t="s">
        <v>931</v>
      </c>
      <c r="AT83" s="72"/>
      <c r="AU83" s="41"/>
      <c r="AV83" s="73"/>
      <c r="AW83" s="41"/>
      <c r="AX83" s="41"/>
      <c r="AY83" s="78">
        <v>3</v>
      </c>
      <c r="BA83" s="5">
        <v>1</v>
      </c>
      <c r="BB83" s="5">
        <v>134</v>
      </c>
    </row>
    <row r="84" s="5" customFormat="1" spans="1:54">
      <c r="A84" s="2">
        <v>78</v>
      </c>
      <c r="B84" s="28">
        <v>113030</v>
      </c>
      <c r="C84" s="28">
        <v>113030</v>
      </c>
      <c r="D84" s="28" t="s">
        <v>932</v>
      </c>
      <c r="E84" s="28" t="s">
        <v>932</v>
      </c>
      <c r="F84" s="28"/>
      <c r="G84" s="28">
        <v>0</v>
      </c>
      <c r="H84" s="2" t="s">
        <v>933</v>
      </c>
      <c r="I84" s="2" t="s">
        <v>934</v>
      </c>
      <c r="J84" s="2" t="s">
        <v>150</v>
      </c>
      <c r="K84" s="2" t="s">
        <v>367</v>
      </c>
      <c r="L84" s="2" t="s">
        <v>935</v>
      </c>
      <c r="M84" s="40" t="s">
        <v>936</v>
      </c>
      <c r="N84" s="41">
        <v>1</v>
      </c>
      <c r="O84" s="41">
        <v>1</v>
      </c>
      <c r="P84" s="42">
        <v>3</v>
      </c>
      <c r="Q84" s="42">
        <v>3</v>
      </c>
      <c r="R84" s="41">
        <v>5</v>
      </c>
      <c r="S84" s="31" t="s">
        <v>736</v>
      </c>
      <c r="T84" s="5">
        <v>3</v>
      </c>
      <c r="U84" s="5">
        <v>8</v>
      </c>
      <c r="V84" s="5">
        <v>3</v>
      </c>
      <c r="W84" s="5">
        <v>2174</v>
      </c>
      <c r="X84" s="41" t="s">
        <v>937</v>
      </c>
      <c r="Y84" s="41" t="s">
        <v>938</v>
      </c>
      <c r="Z84" s="54">
        <v>630030</v>
      </c>
      <c r="AA84" s="54">
        <v>215005</v>
      </c>
      <c r="AB84" s="54">
        <v>50</v>
      </c>
      <c r="AC84" s="54">
        <v>50</v>
      </c>
      <c r="AD84" s="54">
        <v>50</v>
      </c>
      <c r="AE84" s="55">
        <v>185</v>
      </c>
      <c r="AF84" s="55">
        <v>16</v>
      </c>
      <c r="AG84" s="55">
        <v>324</v>
      </c>
      <c r="AH84" s="55">
        <v>115</v>
      </c>
      <c r="AI84" s="62">
        <v>0.016</v>
      </c>
      <c r="AJ84" s="62">
        <v>0.01</v>
      </c>
      <c r="AK84" s="62">
        <v>1.02</v>
      </c>
      <c r="AL84" s="62" t="s">
        <v>154</v>
      </c>
      <c r="AM84" s="63" t="s">
        <v>727</v>
      </c>
      <c r="AN84" s="5" t="s">
        <v>939</v>
      </c>
      <c r="AO84" s="5" t="s">
        <v>940</v>
      </c>
      <c r="AR84" s="5">
        <v>8</v>
      </c>
      <c r="AS84" s="5" t="s">
        <v>941</v>
      </c>
      <c r="AT84" s="72"/>
      <c r="AU84" s="41"/>
      <c r="AV84" s="73"/>
      <c r="AW84" s="41"/>
      <c r="AX84" s="41"/>
      <c r="AY84" s="78">
        <v>3</v>
      </c>
      <c r="BA84" s="5">
        <v>3</v>
      </c>
      <c r="BB84" s="5">
        <v>127</v>
      </c>
    </row>
    <row r="85" s="5" customFormat="1" spans="1:56">
      <c r="A85" s="2">
        <v>79</v>
      </c>
      <c r="B85" s="28">
        <v>113031</v>
      </c>
      <c r="C85" s="79">
        <v>112001</v>
      </c>
      <c r="D85" s="28" t="s">
        <v>942</v>
      </c>
      <c r="E85" s="28" t="s">
        <v>942</v>
      </c>
      <c r="F85" s="28"/>
      <c r="G85" s="28">
        <v>0</v>
      </c>
      <c r="H85" s="2" t="s">
        <v>943</v>
      </c>
      <c r="I85" s="2" t="s">
        <v>944</v>
      </c>
      <c r="J85" s="2" t="s">
        <v>150</v>
      </c>
      <c r="K85" s="2" t="s">
        <v>136</v>
      </c>
      <c r="L85" s="2" t="s">
        <v>317</v>
      </c>
      <c r="M85" s="40" t="s">
        <v>945</v>
      </c>
      <c r="N85" s="41">
        <v>1</v>
      </c>
      <c r="O85" s="41">
        <v>1</v>
      </c>
      <c r="P85" s="42">
        <v>3</v>
      </c>
      <c r="Q85" s="42">
        <v>3</v>
      </c>
      <c r="R85" s="41">
        <v>1</v>
      </c>
      <c r="S85" s="31" t="s">
        <v>319</v>
      </c>
      <c r="T85" s="5">
        <v>3</v>
      </c>
      <c r="U85" s="5">
        <v>8</v>
      </c>
      <c r="V85" s="5">
        <v>3</v>
      </c>
      <c r="W85" s="5">
        <v>71</v>
      </c>
      <c r="X85" s="41" t="s">
        <v>946</v>
      </c>
      <c r="Y85" s="41" t="s">
        <v>947</v>
      </c>
      <c r="Z85" s="54">
        <v>630031</v>
      </c>
      <c r="AA85" s="54">
        <v>215005</v>
      </c>
      <c r="AB85" s="54">
        <v>50</v>
      </c>
      <c r="AC85" s="54">
        <v>50</v>
      </c>
      <c r="AD85" s="54">
        <v>50</v>
      </c>
      <c r="AE85" s="55">
        <v>197</v>
      </c>
      <c r="AF85" s="55">
        <v>13</v>
      </c>
      <c r="AG85" s="55">
        <v>334</v>
      </c>
      <c r="AH85" s="55">
        <v>101</v>
      </c>
      <c r="AI85" s="62">
        <v>0.016</v>
      </c>
      <c r="AJ85" s="62">
        <v>0.01</v>
      </c>
      <c r="AK85" s="62">
        <v>1.02</v>
      </c>
      <c r="AL85" s="62" t="s">
        <v>154</v>
      </c>
      <c r="AM85" s="63" t="s">
        <v>727</v>
      </c>
      <c r="AN85" s="5" t="s">
        <v>948</v>
      </c>
      <c r="AO85" s="5" t="s">
        <v>949</v>
      </c>
      <c r="AR85" s="5">
        <v>8</v>
      </c>
      <c r="AS85" s="5" t="s">
        <v>854</v>
      </c>
      <c r="AT85" s="72"/>
      <c r="AU85" s="41"/>
      <c r="AV85" s="73"/>
      <c r="AW85" s="41">
        <v>9</v>
      </c>
      <c r="AX85" s="41"/>
      <c r="AY85" s="78">
        <v>2</v>
      </c>
      <c r="BA85" s="5">
        <v>1</v>
      </c>
      <c r="BB85" s="5">
        <v>128</v>
      </c>
      <c r="BC85" s="5">
        <v>615005</v>
      </c>
      <c r="BD85" s="5">
        <v>30</v>
      </c>
    </row>
    <row r="86" s="5" customFormat="1" spans="1:54">
      <c r="A86" s="2">
        <v>80</v>
      </c>
      <c r="B86" s="28">
        <v>113032</v>
      </c>
      <c r="C86" s="79">
        <v>112011</v>
      </c>
      <c r="D86" s="28" t="s">
        <v>950</v>
      </c>
      <c r="E86" s="28" t="s">
        <v>950</v>
      </c>
      <c r="F86" s="28"/>
      <c r="G86" s="28">
        <v>0</v>
      </c>
      <c r="H86" s="2" t="s">
        <v>951</v>
      </c>
      <c r="I86" s="2" t="s">
        <v>952</v>
      </c>
      <c r="J86" s="2" t="s">
        <v>683</v>
      </c>
      <c r="K86" s="2" t="s">
        <v>136</v>
      </c>
      <c r="L86" s="2" t="s">
        <v>440</v>
      </c>
      <c r="M86" s="40" t="s">
        <v>953</v>
      </c>
      <c r="N86" s="41">
        <v>1</v>
      </c>
      <c r="O86" s="41">
        <v>1</v>
      </c>
      <c r="P86" s="42">
        <v>2</v>
      </c>
      <c r="Q86" s="42">
        <v>2</v>
      </c>
      <c r="R86" s="41">
        <v>2</v>
      </c>
      <c r="S86" s="31" t="s">
        <v>139</v>
      </c>
      <c r="T86" s="5">
        <v>3</v>
      </c>
      <c r="U86" s="5">
        <v>8</v>
      </c>
      <c r="V86" s="5">
        <v>3</v>
      </c>
      <c r="W86" s="5">
        <v>79</v>
      </c>
      <c r="X86" s="41" t="s">
        <v>954</v>
      </c>
      <c r="Y86" s="41" t="s">
        <v>955</v>
      </c>
      <c r="Z86" s="54">
        <v>630032</v>
      </c>
      <c r="AA86" s="54">
        <v>215005</v>
      </c>
      <c r="AB86" s="54">
        <v>50</v>
      </c>
      <c r="AC86" s="54">
        <v>50</v>
      </c>
      <c r="AD86" s="54">
        <v>50</v>
      </c>
      <c r="AE86" s="55">
        <v>169</v>
      </c>
      <c r="AF86" s="55">
        <v>16</v>
      </c>
      <c r="AG86" s="55">
        <v>376</v>
      </c>
      <c r="AH86" s="55">
        <v>106</v>
      </c>
      <c r="AI86" s="62">
        <v>0.016</v>
      </c>
      <c r="AJ86" s="62">
        <v>0.01</v>
      </c>
      <c r="AK86" s="62">
        <v>1.02</v>
      </c>
      <c r="AL86" s="62" t="s">
        <v>154</v>
      </c>
      <c r="AM86" s="63" t="s">
        <v>607</v>
      </c>
      <c r="AN86" s="5" t="s">
        <v>956</v>
      </c>
      <c r="AO86" s="5" t="s">
        <v>957</v>
      </c>
      <c r="AR86" s="5">
        <v>8</v>
      </c>
      <c r="AS86" s="5" t="s">
        <v>958</v>
      </c>
      <c r="AT86" s="72"/>
      <c r="AU86" s="41"/>
      <c r="AV86" s="73"/>
      <c r="AW86" s="41"/>
      <c r="AX86" s="41">
        <v>1</v>
      </c>
      <c r="AY86" s="78">
        <v>1</v>
      </c>
      <c r="BA86" s="5">
        <v>2</v>
      </c>
      <c r="BB86" s="5">
        <v>137</v>
      </c>
    </row>
    <row r="87" s="5" customFormat="1" spans="1:54">
      <c r="A87" s="2">
        <v>81</v>
      </c>
      <c r="B87" s="28">
        <v>113033</v>
      </c>
      <c r="C87" s="79">
        <v>112012</v>
      </c>
      <c r="D87" s="28" t="s">
        <v>959</v>
      </c>
      <c r="E87" s="28" t="s">
        <v>959</v>
      </c>
      <c r="F87" s="28"/>
      <c r="G87" s="28">
        <v>1</v>
      </c>
      <c r="H87" s="2" t="s">
        <v>960</v>
      </c>
      <c r="I87" s="2" t="s">
        <v>961</v>
      </c>
      <c r="J87" s="2" t="s">
        <v>886</v>
      </c>
      <c r="K87" s="2" t="s">
        <v>136</v>
      </c>
      <c r="L87" s="2" t="s">
        <v>137</v>
      </c>
      <c r="M87" s="40" t="s">
        <v>962</v>
      </c>
      <c r="N87" s="41">
        <v>1</v>
      </c>
      <c r="O87" s="41">
        <v>1</v>
      </c>
      <c r="P87" s="42">
        <v>5</v>
      </c>
      <c r="Q87" s="42">
        <v>5</v>
      </c>
      <c r="R87" s="41">
        <v>2</v>
      </c>
      <c r="S87" s="31" t="s">
        <v>139</v>
      </c>
      <c r="T87" s="5">
        <v>3</v>
      </c>
      <c r="U87" s="5">
        <v>8</v>
      </c>
      <c r="V87" s="5">
        <v>3</v>
      </c>
      <c r="W87" s="5">
        <v>80</v>
      </c>
      <c r="X87" s="41" t="s">
        <v>963</v>
      </c>
      <c r="Y87" s="41" t="s">
        <v>964</v>
      </c>
      <c r="Z87" s="54">
        <v>630033</v>
      </c>
      <c r="AA87" s="54">
        <v>215005</v>
      </c>
      <c r="AB87" s="54">
        <v>50</v>
      </c>
      <c r="AC87" s="54">
        <v>50</v>
      </c>
      <c r="AD87" s="54">
        <v>50</v>
      </c>
      <c r="AE87" s="55">
        <v>213</v>
      </c>
      <c r="AF87" s="55">
        <v>16</v>
      </c>
      <c r="AG87" s="55">
        <v>256</v>
      </c>
      <c r="AH87" s="55">
        <v>125</v>
      </c>
      <c r="AI87" s="62">
        <v>0.018</v>
      </c>
      <c r="AJ87" s="62" t="s">
        <v>154</v>
      </c>
      <c r="AK87" s="62">
        <v>1.016</v>
      </c>
      <c r="AL87" s="62" t="s">
        <v>154</v>
      </c>
      <c r="AM87" s="63" t="s">
        <v>629</v>
      </c>
      <c r="AR87" s="5">
        <v>8</v>
      </c>
      <c r="AS87" s="5" t="s">
        <v>965</v>
      </c>
      <c r="AT87" s="72"/>
      <c r="AU87" s="41"/>
      <c r="AV87" s="73"/>
      <c r="AW87" s="41"/>
      <c r="AX87" s="41"/>
      <c r="AY87" s="78">
        <v>4</v>
      </c>
      <c r="BA87" s="5">
        <v>2</v>
      </c>
      <c r="BB87" s="5">
        <v>138</v>
      </c>
    </row>
    <row r="88" s="5" customFormat="1" spans="1:54">
      <c r="A88" s="2">
        <v>82</v>
      </c>
      <c r="B88" s="28">
        <v>113034</v>
      </c>
      <c r="C88" s="28">
        <v>113034</v>
      </c>
      <c r="D88" s="28" t="s">
        <v>966</v>
      </c>
      <c r="E88" s="28" t="s">
        <v>966</v>
      </c>
      <c r="F88" s="28"/>
      <c r="G88" s="28">
        <v>0</v>
      </c>
      <c r="H88" s="2" t="s">
        <v>967</v>
      </c>
      <c r="I88" s="2" t="s">
        <v>968</v>
      </c>
      <c r="J88" s="2" t="s">
        <v>162</v>
      </c>
      <c r="K88" s="2" t="s">
        <v>136</v>
      </c>
      <c r="L88" s="2" t="s">
        <v>969</v>
      </c>
      <c r="M88" s="40" t="s">
        <v>970</v>
      </c>
      <c r="N88" s="41">
        <v>1</v>
      </c>
      <c r="O88" s="41">
        <v>1</v>
      </c>
      <c r="P88" s="42">
        <v>3</v>
      </c>
      <c r="Q88" s="42">
        <v>3</v>
      </c>
      <c r="R88" s="41">
        <v>8</v>
      </c>
      <c r="S88" s="31" t="s">
        <v>971</v>
      </c>
      <c r="T88" s="5">
        <v>3</v>
      </c>
      <c r="U88" s="5">
        <v>8</v>
      </c>
      <c r="V88" s="5">
        <v>3</v>
      </c>
      <c r="W88" s="5">
        <v>81</v>
      </c>
      <c r="X88" s="41" t="s">
        <v>972</v>
      </c>
      <c r="Y88" s="41" t="s">
        <v>973</v>
      </c>
      <c r="Z88" s="54">
        <v>630034</v>
      </c>
      <c r="AA88" s="54">
        <v>215005</v>
      </c>
      <c r="AB88" s="54">
        <v>50</v>
      </c>
      <c r="AC88" s="54">
        <v>50</v>
      </c>
      <c r="AD88" s="54">
        <v>50</v>
      </c>
      <c r="AE88" s="55">
        <v>193</v>
      </c>
      <c r="AF88" s="55">
        <v>14</v>
      </c>
      <c r="AG88" s="55">
        <v>334</v>
      </c>
      <c r="AH88" s="55">
        <v>97</v>
      </c>
      <c r="AI88" s="62" t="s">
        <v>154</v>
      </c>
      <c r="AJ88" s="62">
        <v>0.02</v>
      </c>
      <c r="AK88" s="62">
        <v>1.01</v>
      </c>
      <c r="AL88" s="62">
        <v>0.01</v>
      </c>
      <c r="AM88" s="63" t="s">
        <v>607</v>
      </c>
      <c r="AR88" s="5">
        <v>8</v>
      </c>
      <c r="AS88" s="5" t="s">
        <v>974</v>
      </c>
      <c r="AT88" s="72"/>
      <c r="AU88" s="41"/>
      <c r="AV88" s="73"/>
      <c r="AW88" s="41"/>
      <c r="AX88" s="41"/>
      <c r="AY88" s="78">
        <v>1</v>
      </c>
      <c r="BA88" s="5">
        <v>4</v>
      </c>
      <c r="BB88" s="5">
        <v>141</v>
      </c>
    </row>
    <row r="89" s="5" customFormat="1" spans="1:54">
      <c r="A89" s="2">
        <v>83</v>
      </c>
      <c r="B89" s="28">
        <v>113035</v>
      </c>
      <c r="C89" s="28">
        <v>112008</v>
      </c>
      <c r="D89" s="28" t="s">
        <v>975</v>
      </c>
      <c r="E89" s="28" t="s">
        <v>975</v>
      </c>
      <c r="F89" s="28"/>
      <c r="G89" s="28">
        <v>0</v>
      </c>
      <c r="H89" s="2" t="s">
        <v>976</v>
      </c>
      <c r="I89" s="2" t="s">
        <v>977</v>
      </c>
      <c r="J89" s="2" t="s">
        <v>150</v>
      </c>
      <c r="K89" s="2" t="s">
        <v>136</v>
      </c>
      <c r="L89" s="2" t="s">
        <v>137</v>
      </c>
      <c r="M89" s="40" t="s">
        <v>978</v>
      </c>
      <c r="N89" s="41">
        <v>1</v>
      </c>
      <c r="O89" s="41">
        <v>1</v>
      </c>
      <c r="P89" s="42">
        <v>4</v>
      </c>
      <c r="Q89" s="42">
        <v>4</v>
      </c>
      <c r="R89" s="41">
        <v>1</v>
      </c>
      <c r="S89" s="31" t="s">
        <v>319</v>
      </c>
      <c r="T89" s="5">
        <v>3</v>
      </c>
      <c r="U89" s="5">
        <v>8</v>
      </c>
      <c r="V89" s="5">
        <v>3</v>
      </c>
      <c r="W89" s="5">
        <v>76</v>
      </c>
      <c r="X89" s="41" t="s">
        <v>979</v>
      </c>
      <c r="Y89" s="41" t="s">
        <v>980</v>
      </c>
      <c r="Z89" s="54">
        <v>630035</v>
      </c>
      <c r="AA89" s="54">
        <v>215005</v>
      </c>
      <c r="AB89" s="54">
        <v>50</v>
      </c>
      <c r="AC89" s="54">
        <v>50</v>
      </c>
      <c r="AD89" s="54">
        <v>50</v>
      </c>
      <c r="AE89" s="55">
        <v>180</v>
      </c>
      <c r="AF89" s="55">
        <v>15</v>
      </c>
      <c r="AG89" s="55">
        <v>360</v>
      </c>
      <c r="AH89" s="55">
        <v>110</v>
      </c>
      <c r="AI89" s="62" t="s">
        <v>154</v>
      </c>
      <c r="AJ89" s="62">
        <v>0.02</v>
      </c>
      <c r="AK89" s="62">
        <v>1.01</v>
      </c>
      <c r="AL89" s="62">
        <v>0.01</v>
      </c>
      <c r="AM89" s="63" t="s">
        <v>607</v>
      </c>
      <c r="AR89" s="5">
        <v>8</v>
      </c>
      <c r="AS89" s="5" t="s">
        <v>981</v>
      </c>
      <c r="AT89" s="72"/>
      <c r="AU89" s="41"/>
      <c r="AV89" s="73"/>
      <c r="AW89" s="41"/>
      <c r="AX89" s="41"/>
      <c r="AY89" s="78">
        <v>1</v>
      </c>
      <c r="BA89" s="5">
        <v>1</v>
      </c>
      <c r="BB89" s="5">
        <v>135</v>
      </c>
    </row>
    <row r="90" s="5" customFormat="1" spans="1:54">
      <c r="A90" s="2">
        <v>84</v>
      </c>
      <c r="B90" s="28">
        <v>113036</v>
      </c>
      <c r="C90" s="28">
        <v>112009</v>
      </c>
      <c r="D90" s="28" t="s">
        <v>982</v>
      </c>
      <c r="E90" s="28" t="s">
        <v>982</v>
      </c>
      <c r="F90" s="28"/>
      <c r="G90" s="28">
        <v>0</v>
      </c>
      <c r="H90" s="2" t="s">
        <v>983</v>
      </c>
      <c r="I90" s="2" t="s">
        <v>984</v>
      </c>
      <c r="J90" s="2" t="s">
        <v>886</v>
      </c>
      <c r="K90" s="2" t="s">
        <v>367</v>
      </c>
      <c r="L90" s="2" t="s">
        <v>417</v>
      </c>
      <c r="M90" s="40" t="s">
        <v>985</v>
      </c>
      <c r="N90" s="41">
        <v>1</v>
      </c>
      <c r="O90" s="41">
        <v>1</v>
      </c>
      <c r="P90" s="42">
        <v>3</v>
      </c>
      <c r="Q90" s="42">
        <v>3</v>
      </c>
      <c r="R90" s="41">
        <v>1</v>
      </c>
      <c r="S90" s="31" t="s">
        <v>319</v>
      </c>
      <c r="T90" s="5">
        <v>3</v>
      </c>
      <c r="U90" s="5">
        <v>8</v>
      </c>
      <c r="V90" s="5">
        <v>3</v>
      </c>
      <c r="W90" s="5">
        <v>77</v>
      </c>
      <c r="X90" s="41" t="s">
        <v>986</v>
      </c>
      <c r="Y90" s="41" t="s">
        <v>987</v>
      </c>
      <c r="Z90" s="54">
        <v>630036</v>
      </c>
      <c r="AA90" s="54">
        <v>215005</v>
      </c>
      <c r="AB90" s="54">
        <v>50</v>
      </c>
      <c r="AC90" s="54">
        <v>50</v>
      </c>
      <c r="AD90" s="54">
        <v>50</v>
      </c>
      <c r="AE90" s="55">
        <v>189</v>
      </c>
      <c r="AF90" s="55">
        <v>15</v>
      </c>
      <c r="AG90" s="55">
        <v>337</v>
      </c>
      <c r="AH90" s="55">
        <v>130</v>
      </c>
      <c r="AI90" s="62">
        <v>0.016</v>
      </c>
      <c r="AJ90" s="62">
        <v>0.01</v>
      </c>
      <c r="AK90" s="62">
        <v>1.02</v>
      </c>
      <c r="AL90" s="62">
        <v>0</v>
      </c>
      <c r="AM90" s="63" t="s">
        <v>371</v>
      </c>
      <c r="AR90" s="5">
        <v>8</v>
      </c>
      <c r="AS90" s="5" t="s">
        <v>988</v>
      </c>
      <c r="AT90" s="72"/>
      <c r="AU90" s="41"/>
      <c r="AV90" s="73"/>
      <c r="AW90" s="41"/>
      <c r="AX90" s="41"/>
      <c r="AY90" s="78">
        <v>3</v>
      </c>
      <c r="BA90" s="5">
        <v>1</v>
      </c>
      <c r="BB90" s="5">
        <v>136</v>
      </c>
    </row>
    <row r="91" s="5" customFormat="1" spans="1:54">
      <c r="A91" s="2">
        <v>85</v>
      </c>
      <c r="B91" s="28">
        <v>113037</v>
      </c>
      <c r="C91" s="28">
        <v>112005</v>
      </c>
      <c r="D91" s="28" t="s">
        <v>989</v>
      </c>
      <c r="E91" s="28" t="s">
        <v>989</v>
      </c>
      <c r="F91" s="28"/>
      <c r="G91" s="28">
        <v>0</v>
      </c>
      <c r="H91" s="2" t="s">
        <v>990</v>
      </c>
      <c r="I91" s="2" t="s">
        <v>991</v>
      </c>
      <c r="J91" s="2" t="s">
        <v>162</v>
      </c>
      <c r="K91" s="2" t="s">
        <v>367</v>
      </c>
      <c r="L91" s="2" t="s">
        <v>137</v>
      </c>
      <c r="M91" s="40" t="s">
        <v>992</v>
      </c>
      <c r="N91" s="41">
        <v>1</v>
      </c>
      <c r="O91" s="41">
        <v>1</v>
      </c>
      <c r="P91" s="42">
        <v>4</v>
      </c>
      <c r="Q91" s="42">
        <v>4</v>
      </c>
      <c r="R91" s="41">
        <v>1</v>
      </c>
      <c r="S91" s="31" t="s">
        <v>319</v>
      </c>
      <c r="T91" s="5">
        <v>3</v>
      </c>
      <c r="U91" s="5">
        <v>8</v>
      </c>
      <c r="V91" s="5">
        <v>3</v>
      </c>
      <c r="W91" s="5">
        <v>73</v>
      </c>
      <c r="X91" s="41" t="s">
        <v>993</v>
      </c>
      <c r="Y91" s="41" t="s">
        <v>994</v>
      </c>
      <c r="Z91" s="54">
        <v>630037</v>
      </c>
      <c r="AA91" s="54">
        <v>215005</v>
      </c>
      <c r="AB91" s="54">
        <v>50</v>
      </c>
      <c r="AC91" s="54">
        <v>50</v>
      </c>
      <c r="AD91" s="54">
        <v>50</v>
      </c>
      <c r="AE91" s="55">
        <v>183</v>
      </c>
      <c r="AF91" s="55">
        <v>16</v>
      </c>
      <c r="AG91" s="55">
        <v>334</v>
      </c>
      <c r="AH91" s="55">
        <v>130</v>
      </c>
      <c r="AI91" s="62">
        <v>0.018</v>
      </c>
      <c r="AJ91" s="62" t="s">
        <v>154</v>
      </c>
      <c r="AK91" s="62">
        <v>1.016</v>
      </c>
      <c r="AL91" s="62" t="s">
        <v>154</v>
      </c>
      <c r="AM91" s="63" t="s">
        <v>629</v>
      </c>
      <c r="AR91" s="5">
        <v>8</v>
      </c>
      <c r="AS91" s="5" t="s">
        <v>995</v>
      </c>
      <c r="AT91" s="72"/>
      <c r="AU91" s="41"/>
      <c r="AV91" s="73"/>
      <c r="AW91" s="41"/>
      <c r="AX91" s="41">
        <v>2</v>
      </c>
      <c r="AY91" s="78">
        <v>2</v>
      </c>
      <c r="BA91" s="5">
        <v>1</v>
      </c>
      <c r="BB91" s="5">
        <v>132</v>
      </c>
    </row>
    <row r="92" s="5" customFormat="1" spans="1:54">
      <c r="A92" s="2">
        <v>86</v>
      </c>
      <c r="B92" s="28">
        <v>113038</v>
      </c>
      <c r="C92" s="28">
        <v>112006</v>
      </c>
      <c r="D92" s="28" t="s">
        <v>996</v>
      </c>
      <c r="E92" s="28" t="s">
        <v>996</v>
      </c>
      <c r="F92" s="28"/>
      <c r="G92" s="28">
        <v>0</v>
      </c>
      <c r="H92" s="2" t="s">
        <v>997</v>
      </c>
      <c r="I92" s="2" t="s">
        <v>998</v>
      </c>
      <c r="J92" s="2" t="s">
        <v>379</v>
      </c>
      <c r="K92" s="2" t="s">
        <v>136</v>
      </c>
      <c r="L92" s="2" t="s">
        <v>381</v>
      </c>
      <c r="M92" s="40" t="s">
        <v>999</v>
      </c>
      <c r="N92" s="41">
        <v>1</v>
      </c>
      <c r="O92" s="41">
        <v>1</v>
      </c>
      <c r="P92" s="42">
        <v>1</v>
      </c>
      <c r="Q92" s="42">
        <v>1</v>
      </c>
      <c r="R92" s="41">
        <v>1</v>
      </c>
      <c r="S92" s="31" t="s">
        <v>319</v>
      </c>
      <c r="T92" s="5">
        <v>3</v>
      </c>
      <c r="U92" s="5">
        <v>8</v>
      </c>
      <c r="V92" s="5">
        <v>3</v>
      </c>
      <c r="W92" s="5">
        <v>74</v>
      </c>
      <c r="X92" s="41" t="s">
        <v>1000</v>
      </c>
      <c r="Y92" s="41" t="s">
        <v>1001</v>
      </c>
      <c r="Z92" s="54">
        <v>630038</v>
      </c>
      <c r="AA92" s="54">
        <v>215005</v>
      </c>
      <c r="AB92" s="54">
        <v>50</v>
      </c>
      <c r="AC92" s="54">
        <v>50</v>
      </c>
      <c r="AD92" s="54">
        <v>50</v>
      </c>
      <c r="AE92" s="55">
        <v>135</v>
      </c>
      <c r="AF92" s="55">
        <v>18</v>
      </c>
      <c r="AG92" s="55">
        <v>430</v>
      </c>
      <c r="AH92" s="55">
        <v>105</v>
      </c>
      <c r="AI92" s="62">
        <v>0.015</v>
      </c>
      <c r="AJ92" s="62">
        <v>0.016</v>
      </c>
      <c r="AK92" s="62">
        <v>1.004</v>
      </c>
      <c r="AL92" s="62">
        <v>0.01</v>
      </c>
      <c r="AM92" s="63" t="s">
        <v>689</v>
      </c>
      <c r="AR92" s="5">
        <v>8</v>
      </c>
      <c r="AS92" s="5" t="s">
        <v>1002</v>
      </c>
      <c r="AT92" s="72"/>
      <c r="AU92" s="41"/>
      <c r="AV92" s="73"/>
      <c r="AW92" s="41"/>
      <c r="AX92" s="41"/>
      <c r="AY92" s="78">
        <v>2</v>
      </c>
      <c r="BA92" s="5">
        <v>1</v>
      </c>
      <c r="BB92" s="5">
        <v>133</v>
      </c>
    </row>
    <row r="93" s="5" customFormat="1" spans="1:54">
      <c r="A93" s="2">
        <v>87</v>
      </c>
      <c r="B93" s="28">
        <v>113039</v>
      </c>
      <c r="C93" s="28">
        <v>113014</v>
      </c>
      <c r="D93" s="28" t="s">
        <v>1003</v>
      </c>
      <c r="E93" s="28" t="s">
        <v>1003</v>
      </c>
      <c r="F93" s="28"/>
      <c r="G93" s="28">
        <v>0</v>
      </c>
      <c r="H93" s="2" t="s">
        <v>1004</v>
      </c>
      <c r="I93" s="2" t="s">
        <v>1005</v>
      </c>
      <c r="J93" s="2" t="s">
        <v>1006</v>
      </c>
      <c r="K93" s="2" t="s">
        <v>136</v>
      </c>
      <c r="L93" s="2" t="s">
        <v>774</v>
      </c>
      <c r="M93" s="40" t="s">
        <v>1007</v>
      </c>
      <c r="N93" s="41">
        <v>1</v>
      </c>
      <c r="O93" s="41">
        <v>1</v>
      </c>
      <c r="P93" s="42">
        <v>3</v>
      </c>
      <c r="Q93" s="42">
        <v>3</v>
      </c>
      <c r="R93" s="41">
        <v>9</v>
      </c>
      <c r="S93" s="31" t="s">
        <v>595</v>
      </c>
      <c r="T93" s="5">
        <v>3</v>
      </c>
      <c r="U93" s="5">
        <v>8</v>
      </c>
      <c r="V93" s="5">
        <v>3</v>
      </c>
      <c r="W93" s="5">
        <v>82</v>
      </c>
      <c r="X93" s="41" t="s">
        <v>1008</v>
      </c>
      <c r="Y93" s="41" t="s">
        <v>1009</v>
      </c>
      <c r="Z93" s="54">
        <v>630039</v>
      </c>
      <c r="AA93" s="54">
        <v>215005</v>
      </c>
      <c r="AB93" s="54">
        <v>50</v>
      </c>
      <c r="AC93" s="54">
        <v>50</v>
      </c>
      <c r="AD93" s="54">
        <v>50</v>
      </c>
      <c r="AE93" s="55">
        <v>167</v>
      </c>
      <c r="AF93" s="55">
        <v>16</v>
      </c>
      <c r="AG93" s="55">
        <v>376</v>
      </c>
      <c r="AH93" s="55">
        <v>130</v>
      </c>
      <c r="AI93" s="62">
        <v>0.016</v>
      </c>
      <c r="AJ93" s="62">
        <v>0.01</v>
      </c>
      <c r="AK93" s="62">
        <v>1.02</v>
      </c>
      <c r="AL93" s="62" t="s">
        <v>154</v>
      </c>
      <c r="AM93" s="63" t="s">
        <v>629</v>
      </c>
      <c r="AR93" s="5">
        <v>8</v>
      </c>
      <c r="AS93" s="5" t="s">
        <v>1010</v>
      </c>
      <c r="AT93" s="72"/>
      <c r="AU93" s="41"/>
      <c r="AV93" s="73"/>
      <c r="AW93" s="41" t="s">
        <v>1011</v>
      </c>
      <c r="AX93" s="41">
        <v>2</v>
      </c>
      <c r="AY93" s="78">
        <v>2</v>
      </c>
      <c r="BA93" s="5">
        <v>3</v>
      </c>
      <c r="BB93" s="5">
        <v>139</v>
      </c>
    </row>
    <row r="94" s="5" customFormat="1" spans="1:54">
      <c r="A94" s="2">
        <v>88</v>
      </c>
      <c r="B94" s="28">
        <v>113040</v>
      </c>
      <c r="C94" s="28">
        <v>113040</v>
      </c>
      <c r="D94" s="28" t="s">
        <v>1012</v>
      </c>
      <c r="E94" s="28" t="s">
        <v>1012</v>
      </c>
      <c r="F94" s="28"/>
      <c r="G94" s="28">
        <v>0</v>
      </c>
      <c r="H94" s="2" t="s">
        <v>1013</v>
      </c>
      <c r="I94" s="2" t="s">
        <v>1014</v>
      </c>
      <c r="J94" s="2" t="s">
        <v>150</v>
      </c>
      <c r="K94" s="2" t="s">
        <v>136</v>
      </c>
      <c r="L94" s="2" t="s">
        <v>1015</v>
      </c>
      <c r="M94" s="40" t="s">
        <v>1016</v>
      </c>
      <c r="N94" s="41">
        <v>1</v>
      </c>
      <c r="O94" s="41">
        <v>1</v>
      </c>
      <c r="P94" s="42">
        <v>3</v>
      </c>
      <c r="Q94" s="42">
        <v>3</v>
      </c>
      <c r="R94" s="41">
        <v>3</v>
      </c>
      <c r="S94" s="41" t="s">
        <v>1017</v>
      </c>
      <c r="T94" s="5">
        <v>3</v>
      </c>
      <c r="U94" s="5">
        <v>8</v>
      </c>
      <c r="V94" s="5">
        <v>3</v>
      </c>
      <c r="W94" s="5">
        <v>83</v>
      </c>
      <c r="X94" s="41" t="s">
        <v>1018</v>
      </c>
      <c r="Y94" s="41" t="s">
        <v>1019</v>
      </c>
      <c r="Z94" s="54">
        <v>630040</v>
      </c>
      <c r="AA94" s="54">
        <v>215005</v>
      </c>
      <c r="AB94" s="54">
        <v>50</v>
      </c>
      <c r="AC94" s="54">
        <v>50</v>
      </c>
      <c r="AD94" s="54">
        <v>50</v>
      </c>
      <c r="AE94" s="55">
        <v>201</v>
      </c>
      <c r="AF94" s="55">
        <v>14</v>
      </c>
      <c r="AG94" s="55">
        <v>313</v>
      </c>
      <c r="AH94" s="55">
        <v>120</v>
      </c>
      <c r="AI94" s="62">
        <v>0.016</v>
      </c>
      <c r="AJ94" s="62">
        <v>0.01</v>
      </c>
      <c r="AK94" s="62">
        <v>1.02</v>
      </c>
      <c r="AL94" s="62" t="s">
        <v>154</v>
      </c>
      <c r="AM94" s="63" t="s">
        <v>727</v>
      </c>
      <c r="AR94" s="5">
        <v>8</v>
      </c>
      <c r="AS94" s="5" t="s">
        <v>1020</v>
      </c>
      <c r="AT94" s="72"/>
      <c r="AU94" s="41"/>
      <c r="AV94" s="73"/>
      <c r="AW94" s="41"/>
      <c r="AX94" s="41"/>
      <c r="AY94" s="78">
        <v>2</v>
      </c>
      <c r="BA94" s="5">
        <v>3</v>
      </c>
      <c r="BB94" s="5">
        <v>142</v>
      </c>
    </row>
    <row r="95" s="5" customFormat="1" spans="1:54">
      <c r="A95" s="2">
        <v>89</v>
      </c>
      <c r="B95" s="5">
        <v>113041</v>
      </c>
      <c r="C95" s="5">
        <v>113041</v>
      </c>
      <c r="D95" s="5" t="s">
        <v>1021</v>
      </c>
      <c r="E95" s="5" t="s">
        <v>1021</v>
      </c>
      <c r="G95" s="5">
        <v>0</v>
      </c>
      <c r="H95" s="2" t="s">
        <v>1022</v>
      </c>
      <c r="I95" s="2" t="s">
        <v>1023</v>
      </c>
      <c r="J95" s="2" t="s">
        <v>1024</v>
      </c>
      <c r="K95" s="2" t="s">
        <v>136</v>
      </c>
      <c r="L95" s="2" t="s">
        <v>1025</v>
      </c>
      <c r="M95" s="40" t="s">
        <v>1026</v>
      </c>
      <c r="N95" s="5">
        <v>1</v>
      </c>
      <c r="O95" s="5">
        <v>1</v>
      </c>
      <c r="P95" s="78">
        <v>2</v>
      </c>
      <c r="Q95" s="78">
        <v>2</v>
      </c>
      <c r="R95" s="5">
        <v>8</v>
      </c>
      <c r="S95" s="5" t="s">
        <v>300</v>
      </c>
      <c r="T95" s="5">
        <v>3</v>
      </c>
      <c r="U95" s="5">
        <v>8</v>
      </c>
      <c r="V95" s="5">
        <v>3</v>
      </c>
      <c r="W95" s="5">
        <v>90</v>
      </c>
      <c r="X95" s="5" t="s">
        <v>1027</v>
      </c>
      <c r="Y95" s="41" t="s">
        <v>1028</v>
      </c>
      <c r="Z95" s="54">
        <v>630041</v>
      </c>
      <c r="AA95" s="54">
        <v>215005</v>
      </c>
      <c r="AB95" s="54">
        <v>50</v>
      </c>
      <c r="AC95" s="54">
        <v>50</v>
      </c>
      <c r="AD95" s="54">
        <v>50</v>
      </c>
      <c r="AE95" s="55">
        <v>201</v>
      </c>
      <c r="AF95" s="55">
        <v>14</v>
      </c>
      <c r="AG95" s="55">
        <v>313</v>
      </c>
      <c r="AH95" s="55">
        <v>120</v>
      </c>
      <c r="AI95" s="62">
        <v>0.018</v>
      </c>
      <c r="AJ95" s="62" t="s">
        <v>154</v>
      </c>
      <c r="AK95" s="62">
        <v>1.016</v>
      </c>
      <c r="AL95" s="62" t="s">
        <v>154</v>
      </c>
      <c r="AM95" s="63" t="s">
        <v>629</v>
      </c>
      <c r="AR95" s="5">
        <v>8</v>
      </c>
      <c r="AS95" s="5" t="s">
        <v>1029</v>
      </c>
      <c r="AT95" s="72"/>
      <c r="AU95" s="41"/>
      <c r="AV95" s="73"/>
      <c r="AW95" s="41"/>
      <c r="AX95" s="41"/>
      <c r="AY95" s="78">
        <v>2</v>
      </c>
      <c r="BA95" s="5">
        <v>4</v>
      </c>
      <c r="BB95" s="5">
        <v>145</v>
      </c>
    </row>
    <row r="96" s="5" customFormat="1" spans="1:54">
      <c r="A96" s="2">
        <v>90</v>
      </c>
      <c r="B96" s="5">
        <v>113042</v>
      </c>
      <c r="C96" s="5">
        <v>113042</v>
      </c>
      <c r="D96" s="5" t="s">
        <v>1030</v>
      </c>
      <c r="E96" s="5" t="s">
        <v>1030</v>
      </c>
      <c r="G96" s="5">
        <v>0</v>
      </c>
      <c r="H96" s="2" t="s">
        <v>1031</v>
      </c>
      <c r="I96" s="2" t="s">
        <v>1032</v>
      </c>
      <c r="J96" s="2" t="s">
        <v>150</v>
      </c>
      <c r="K96" s="2" t="s">
        <v>136</v>
      </c>
      <c r="L96" s="2" t="s">
        <v>709</v>
      </c>
      <c r="M96" s="40" t="s">
        <v>1033</v>
      </c>
      <c r="N96" s="5">
        <v>1</v>
      </c>
      <c r="O96" s="5">
        <v>1</v>
      </c>
      <c r="P96" s="78">
        <v>2</v>
      </c>
      <c r="Q96" s="78">
        <v>2</v>
      </c>
      <c r="R96" s="5">
        <v>3</v>
      </c>
      <c r="S96" s="5" t="s">
        <v>829</v>
      </c>
      <c r="T96" s="5">
        <v>3</v>
      </c>
      <c r="U96" s="5">
        <v>8</v>
      </c>
      <c r="V96" s="5">
        <v>3</v>
      </c>
      <c r="W96" s="5">
        <v>84</v>
      </c>
      <c r="X96" s="5" t="s">
        <v>1034</v>
      </c>
      <c r="Y96" s="41" t="s">
        <v>1035</v>
      </c>
      <c r="Z96" s="54">
        <v>630042</v>
      </c>
      <c r="AA96" s="54">
        <v>215005</v>
      </c>
      <c r="AB96" s="54">
        <v>50</v>
      </c>
      <c r="AC96" s="54">
        <v>50</v>
      </c>
      <c r="AD96" s="54">
        <v>50</v>
      </c>
      <c r="AE96" s="55">
        <v>183</v>
      </c>
      <c r="AF96" s="55">
        <v>15</v>
      </c>
      <c r="AG96" s="55">
        <v>350</v>
      </c>
      <c r="AH96" s="55">
        <v>130</v>
      </c>
      <c r="AI96" s="62">
        <v>0.016</v>
      </c>
      <c r="AJ96" s="62">
        <v>0.01</v>
      </c>
      <c r="AK96" s="62">
        <v>1.02</v>
      </c>
      <c r="AL96" s="62" t="s">
        <v>154</v>
      </c>
      <c r="AM96" s="63" t="s">
        <v>727</v>
      </c>
      <c r="AN96" s="5" t="s">
        <v>1036</v>
      </c>
      <c r="AO96" s="5" t="s">
        <v>1037</v>
      </c>
      <c r="AR96" s="5">
        <v>8</v>
      </c>
      <c r="AS96" s="5" t="s">
        <v>1038</v>
      </c>
      <c r="AT96" s="72"/>
      <c r="AU96" s="41"/>
      <c r="AV96" s="73"/>
      <c r="AW96" s="41"/>
      <c r="AX96" s="41"/>
      <c r="AY96" s="78"/>
      <c r="BA96" s="5">
        <v>4</v>
      </c>
      <c r="BB96" s="5">
        <v>143</v>
      </c>
    </row>
    <row r="97" s="5" customFormat="1" spans="1:54">
      <c r="A97" s="2">
        <v>91</v>
      </c>
      <c r="B97" s="5">
        <v>113043</v>
      </c>
      <c r="C97" s="5">
        <v>113043</v>
      </c>
      <c r="D97" s="5" t="s">
        <v>1039</v>
      </c>
      <c r="E97" s="5" t="s">
        <v>1039</v>
      </c>
      <c r="G97" s="5">
        <v>0</v>
      </c>
      <c r="H97" s="2" t="s">
        <v>1040</v>
      </c>
      <c r="I97" s="2" t="s">
        <v>1041</v>
      </c>
      <c r="J97" s="2" t="s">
        <v>886</v>
      </c>
      <c r="K97" s="2" t="s">
        <v>136</v>
      </c>
      <c r="L97" s="2" t="s">
        <v>1042</v>
      </c>
      <c r="M97" s="40" t="s">
        <v>1043</v>
      </c>
      <c r="N97" s="5">
        <v>1</v>
      </c>
      <c r="O97" s="5">
        <v>1</v>
      </c>
      <c r="P97" s="78">
        <v>3</v>
      </c>
      <c r="Q97" s="78">
        <v>3</v>
      </c>
      <c r="R97" s="5">
        <v>2</v>
      </c>
      <c r="S97" s="5" t="s">
        <v>139</v>
      </c>
      <c r="T97" s="5">
        <v>3</v>
      </c>
      <c r="U97" s="5">
        <v>8</v>
      </c>
      <c r="V97" s="5">
        <v>3</v>
      </c>
      <c r="W97" s="5">
        <v>85</v>
      </c>
      <c r="X97" s="5" t="s">
        <v>1044</v>
      </c>
      <c r="Y97" s="41" t="s">
        <v>1045</v>
      </c>
      <c r="Z97" s="54">
        <v>630043</v>
      </c>
      <c r="AA97" s="54">
        <v>215005</v>
      </c>
      <c r="AB97" s="54">
        <v>50</v>
      </c>
      <c r="AC97" s="54">
        <v>50</v>
      </c>
      <c r="AD97" s="54">
        <v>50</v>
      </c>
      <c r="AE97" s="55">
        <v>197</v>
      </c>
      <c r="AF97" s="55">
        <v>15</v>
      </c>
      <c r="AG97" s="55">
        <v>318</v>
      </c>
      <c r="AH97" s="55">
        <v>129</v>
      </c>
      <c r="AI97" s="62" t="s">
        <v>154</v>
      </c>
      <c r="AJ97" s="62">
        <v>0.02</v>
      </c>
      <c r="AK97" s="62">
        <v>1.01</v>
      </c>
      <c r="AL97" s="62">
        <v>0.01</v>
      </c>
      <c r="AM97" s="63" t="s">
        <v>607</v>
      </c>
      <c r="AN97" s="95"/>
      <c r="AO97" s="95"/>
      <c r="AR97" s="5">
        <v>8</v>
      </c>
      <c r="AS97" s="5" t="s">
        <v>854</v>
      </c>
      <c r="AT97" s="72"/>
      <c r="AU97" s="41"/>
      <c r="AV97" s="73"/>
      <c r="AW97" s="41"/>
      <c r="AX97" s="41"/>
      <c r="AY97" s="78"/>
      <c r="BA97" s="5">
        <v>2</v>
      </c>
      <c r="BB97" s="5">
        <v>140</v>
      </c>
    </row>
    <row r="98" s="5" customFormat="1" spans="1:54">
      <c r="A98" s="2">
        <v>92</v>
      </c>
      <c r="B98" s="5">
        <v>113044</v>
      </c>
      <c r="C98" s="5">
        <v>113044</v>
      </c>
      <c r="D98" s="5" t="s">
        <v>1046</v>
      </c>
      <c r="E98" s="5" t="s">
        <v>1046</v>
      </c>
      <c r="G98" s="5">
        <v>1</v>
      </c>
      <c r="H98" s="2" t="s">
        <v>1047</v>
      </c>
      <c r="I98" s="2" t="s">
        <v>1048</v>
      </c>
      <c r="J98" s="2" t="s">
        <v>150</v>
      </c>
      <c r="K98" s="2" t="s">
        <v>136</v>
      </c>
      <c r="L98" s="2" t="s">
        <v>1049</v>
      </c>
      <c r="M98" s="40" t="s">
        <v>1050</v>
      </c>
      <c r="N98" s="5">
        <v>1</v>
      </c>
      <c r="O98" s="5">
        <v>1</v>
      </c>
      <c r="P98" s="78">
        <v>3</v>
      </c>
      <c r="Q98" s="78">
        <v>3</v>
      </c>
      <c r="R98" s="5">
        <v>3</v>
      </c>
      <c r="S98" s="5" t="s">
        <v>1017</v>
      </c>
      <c r="T98" s="5">
        <v>3</v>
      </c>
      <c r="U98" s="5">
        <v>8</v>
      </c>
      <c r="V98" s="5">
        <v>3</v>
      </c>
      <c r="W98" s="5">
        <v>87</v>
      </c>
      <c r="X98" s="5" t="s">
        <v>1051</v>
      </c>
      <c r="Y98" s="41" t="s">
        <v>1052</v>
      </c>
      <c r="Z98" s="54">
        <v>630044</v>
      </c>
      <c r="AA98" s="54">
        <v>215005</v>
      </c>
      <c r="AB98" s="54">
        <v>50</v>
      </c>
      <c r="AC98" s="54">
        <v>50</v>
      </c>
      <c r="AD98" s="54">
        <v>50</v>
      </c>
      <c r="AE98" s="55">
        <v>140</v>
      </c>
      <c r="AF98" s="55">
        <v>18</v>
      </c>
      <c r="AG98" s="55">
        <v>412</v>
      </c>
      <c r="AH98" s="55">
        <v>105</v>
      </c>
      <c r="AI98" s="62" t="s">
        <v>154</v>
      </c>
      <c r="AJ98" s="62">
        <v>0.02</v>
      </c>
      <c r="AK98" s="62">
        <v>1.01</v>
      </c>
      <c r="AL98" s="62">
        <v>0.01</v>
      </c>
      <c r="AM98" s="63" t="s">
        <v>607</v>
      </c>
      <c r="AN98" s="95" t="s">
        <v>1053</v>
      </c>
      <c r="AO98" s="95" t="s">
        <v>1054</v>
      </c>
      <c r="AR98" s="5">
        <v>8</v>
      </c>
      <c r="AS98" s="5" t="s">
        <v>854</v>
      </c>
      <c r="AT98" s="72"/>
      <c r="AU98" s="41"/>
      <c r="AV98" s="73"/>
      <c r="AW98" s="41">
        <v>7</v>
      </c>
      <c r="AX98" s="41"/>
      <c r="AY98" s="78"/>
      <c r="BA98" s="5">
        <v>3</v>
      </c>
      <c r="BB98" s="5">
        <v>144</v>
      </c>
    </row>
    <row r="99" s="5" customFormat="1" spans="1:54">
      <c r="A99" s="2">
        <v>93</v>
      </c>
      <c r="B99" s="5">
        <v>113045</v>
      </c>
      <c r="C99" s="5">
        <v>113045</v>
      </c>
      <c r="D99" s="5" t="s">
        <v>1055</v>
      </c>
      <c r="E99" s="5" t="s">
        <v>1055</v>
      </c>
      <c r="G99" s="5">
        <v>0</v>
      </c>
      <c r="H99" s="2" t="s">
        <v>1056</v>
      </c>
      <c r="I99" s="2" t="s">
        <v>1057</v>
      </c>
      <c r="J99" s="2" t="s">
        <v>150</v>
      </c>
      <c r="K99" s="2" t="s">
        <v>136</v>
      </c>
      <c r="L99" s="2" t="s">
        <v>1058</v>
      </c>
      <c r="M99" s="40" t="s">
        <v>1059</v>
      </c>
      <c r="N99" s="5">
        <v>1</v>
      </c>
      <c r="O99" s="5">
        <v>1</v>
      </c>
      <c r="P99" s="78">
        <v>3</v>
      </c>
      <c r="Q99" s="78">
        <v>3</v>
      </c>
      <c r="R99" s="5">
        <v>3</v>
      </c>
      <c r="S99" s="5" t="s">
        <v>1017</v>
      </c>
      <c r="T99" s="5">
        <v>3</v>
      </c>
      <c r="U99" s="5">
        <v>8</v>
      </c>
      <c r="V99" s="5">
        <v>3</v>
      </c>
      <c r="W99" s="5">
        <v>88</v>
      </c>
      <c r="X99" s="5" t="s">
        <v>1060</v>
      </c>
      <c r="Y99" s="41" t="s">
        <v>1061</v>
      </c>
      <c r="Z99" s="54">
        <v>630045</v>
      </c>
      <c r="AA99" s="54">
        <v>215005</v>
      </c>
      <c r="AB99" s="54">
        <v>50</v>
      </c>
      <c r="AC99" s="54">
        <v>50</v>
      </c>
      <c r="AD99" s="54">
        <v>50</v>
      </c>
      <c r="AE99" s="55">
        <v>179</v>
      </c>
      <c r="AF99" s="55">
        <v>13</v>
      </c>
      <c r="AG99" s="55">
        <v>392</v>
      </c>
      <c r="AH99" s="55">
        <v>109</v>
      </c>
      <c r="AI99" s="62">
        <v>0.016</v>
      </c>
      <c r="AJ99" s="62">
        <v>0.01</v>
      </c>
      <c r="AK99" s="62">
        <v>1.02</v>
      </c>
      <c r="AL99" s="62" t="s">
        <v>154</v>
      </c>
      <c r="AM99" s="63" t="s">
        <v>727</v>
      </c>
      <c r="AN99" s="95"/>
      <c r="AO99" s="95"/>
      <c r="AR99" s="5">
        <v>8</v>
      </c>
      <c r="AS99" s="5" t="s">
        <v>1062</v>
      </c>
      <c r="AT99" s="72"/>
      <c r="AU99" s="41"/>
      <c r="AV99" s="73"/>
      <c r="AW99" s="41"/>
      <c r="AX99" s="41"/>
      <c r="AY99" s="78"/>
      <c r="BA99" s="5">
        <v>3</v>
      </c>
      <c r="BB99" s="5">
        <v>146</v>
      </c>
    </row>
    <row r="100" s="5" customFormat="1" spans="1:54">
      <c r="A100" s="2">
        <v>94</v>
      </c>
      <c r="B100" s="5">
        <v>113046</v>
      </c>
      <c r="C100" s="5">
        <v>113046</v>
      </c>
      <c r="D100" s="5" t="s">
        <v>1063</v>
      </c>
      <c r="E100" s="5" t="s">
        <v>1063</v>
      </c>
      <c r="G100" s="5">
        <v>1</v>
      </c>
      <c r="H100" s="2" t="s">
        <v>1064</v>
      </c>
      <c r="I100" s="2" t="s">
        <v>1065</v>
      </c>
      <c r="J100" s="2" t="s">
        <v>262</v>
      </c>
      <c r="K100" s="2" t="s">
        <v>136</v>
      </c>
      <c r="L100" s="2" t="s">
        <v>1066</v>
      </c>
      <c r="M100" s="40" t="s">
        <v>1067</v>
      </c>
      <c r="N100" s="5">
        <v>1</v>
      </c>
      <c r="O100" s="5">
        <v>1</v>
      </c>
      <c r="P100" s="78">
        <v>3</v>
      </c>
      <c r="Q100" s="78">
        <v>3</v>
      </c>
      <c r="R100" s="5">
        <v>3</v>
      </c>
      <c r="S100" s="5" t="s">
        <v>1017</v>
      </c>
      <c r="T100" s="5">
        <v>3</v>
      </c>
      <c r="U100" s="5">
        <v>8</v>
      </c>
      <c r="V100" s="5">
        <v>3</v>
      </c>
      <c r="W100" s="5">
        <v>89</v>
      </c>
      <c r="X100" s="5" t="s">
        <v>1068</v>
      </c>
      <c r="Y100" s="41" t="s">
        <v>1069</v>
      </c>
      <c r="Z100" s="54">
        <v>630046</v>
      </c>
      <c r="AA100" s="54">
        <v>215005</v>
      </c>
      <c r="AB100" s="54">
        <v>50</v>
      </c>
      <c r="AC100" s="54">
        <v>50</v>
      </c>
      <c r="AD100" s="54">
        <v>50</v>
      </c>
      <c r="AE100" s="55">
        <v>169</v>
      </c>
      <c r="AF100" s="55">
        <v>12</v>
      </c>
      <c r="AG100" s="55">
        <v>428</v>
      </c>
      <c r="AH100" s="55">
        <v>125</v>
      </c>
      <c r="AI100" s="62" t="s">
        <v>154</v>
      </c>
      <c r="AJ100" s="62">
        <v>0.02</v>
      </c>
      <c r="AK100" s="62">
        <v>1.01</v>
      </c>
      <c r="AL100" s="62">
        <v>0.01</v>
      </c>
      <c r="AM100" s="63" t="s">
        <v>607</v>
      </c>
      <c r="AN100" s="95"/>
      <c r="AO100" s="95"/>
      <c r="AR100" s="5">
        <v>8</v>
      </c>
      <c r="AS100" s="5" t="s">
        <v>1070</v>
      </c>
      <c r="AT100" s="72"/>
      <c r="AU100" s="41"/>
      <c r="AV100" s="73"/>
      <c r="AW100" s="41"/>
      <c r="AX100" s="41"/>
      <c r="AY100" s="78"/>
      <c r="BA100" s="5">
        <v>3</v>
      </c>
      <c r="BB100" s="5">
        <v>148</v>
      </c>
    </row>
    <row r="101" s="5" customFormat="1" spans="1:54">
      <c r="A101" s="2">
        <v>95</v>
      </c>
      <c r="B101" s="5">
        <v>113047</v>
      </c>
      <c r="C101" s="5">
        <v>113047</v>
      </c>
      <c r="D101" s="5" t="s">
        <v>1071</v>
      </c>
      <c r="E101" s="5" t="s">
        <v>1071</v>
      </c>
      <c r="G101" s="5">
        <v>0</v>
      </c>
      <c r="H101" s="2" t="s">
        <v>1072</v>
      </c>
      <c r="I101" s="2" t="s">
        <v>1073</v>
      </c>
      <c r="J101" s="2" t="s">
        <v>150</v>
      </c>
      <c r="K101" s="2" t="s">
        <v>136</v>
      </c>
      <c r="L101" s="2" t="s">
        <v>1074</v>
      </c>
      <c r="M101" s="40" t="s">
        <v>1075</v>
      </c>
      <c r="N101" s="5">
        <v>1</v>
      </c>
      <c r="O101" s="5">
        <v>1</v>
      </c>
      <c r="P101" s="78">
        <v>1</v>
      </c>
      <c r="Q101" s="78">
        <v>1</v>
      </c>
      <c r="R101" s="5">
        <v>3</v>
      </c>
      <c r="S101" s="5" t="s">
        <v>1076</v>
      </c>
      <c r="T101" s="5">
        <v>3</v>
      </c>
      <c r="U101" s="5">
        <v>8</v>
      </c>
      <c r="V101" s="5">
        <v>3</v>
      </c>
      <c r="W101" s="5">
        <v>93</v>
      </c>
      <c r="X101" s="5" t="s">
        <v>1077</v>
      </c>
      <c r="Y101" s="41" t="s">
        <v>1078</v>
      </c>
      <c r="Z101" s="54">
        <v>630047</v>
      </c>
      <c r="AA101" s="54">
        <v>215005</v>
      </c>
      <c r="AB101" s="54">
        <v>50</v>
      </c>
      <c r="AC101" s="54">
        <v>50</v>
      </c>
      <c r="AD101" s="54">
        <v>50</v>
      </c>
      <c r="AE101" s="55">
        <v>191</v>
      </c>
      <c r="AF101" s="55">
        <v>9</v>
      </c>
      <c r="AG101" s="55">
        <v>407</v>
      </c>
      <c r="AH101" s="55">
        <v>108</v>
      </c>
      <c r="AI101" s="62">
        <v>0.016</v>
      </c>
      <c r="AJ101" s="62">
        <v>0.01</v>
      </c>
      <c r="AK101" s="62">
        <v>1.02</v>
      </c>
      <c r="AL101" s="62" t="s">
        <v>154</v>
      </c>
      <c r="AM101" s="63" t="s">
        <v>727</v>
      </c>
      <c r="AN101" s="95" t="s">
        <v>1079</v>
      </c>
      <c r="AO101" s="95" t="s">
        <v>1080</v>
      </c>
      <c r="AR101" s="5">
        <v>8</v>
      </c>
      <c r="AS101" s="5" t="s">
        <v>854</v>
      </c>
      <c r="AT101" s="72"/>
      <c r="AU101" s="41"/>
      <c r="AV101" s="73"/>
      <c r="AW101" s="41">
        <v>7</v>
      </c>
      <c r="AX101" s="41"/>
      <c r="AY101" s="78"/>
      <c r="BA101" s="5">
        <v>3</v>
      </c>
      <c r="BB101" s="5">
        <v>147</v>
      </c>
    </row>
    <row r="102" s="6" customFormat="1" ht="15" customHeight="1" spans="1:54">
      <c r="A102" s="2">
        <v>96</v>
      </c>
      <c r="B102" s="6">
        <v>113048</v>
      </c>
      <c r="C102" s="6">
        <v>113048</v>
      </c>
      <c r="D102" s="6" t="s">
        <v>1081</v>
      </c>
      <c r="E102" s="6" t="s">
        <v>1082</v>
      </c>
      <c r="G102" s="6">
        <v>0</v>
      </c>
      <c r="N102" s="6">
        <v>1</v>
      </c>
      <c r="O102" s="6">
        <v>0</v>
      </c>
      <c r="P102" s="84">
        <v>5</v>
      </c>
      <c r="Q102" s="84">
        <v>5</v>
      </c>
      <c r="R102" s="6">
        <v>2</v>
      </c>
      <c r="S102" s="6" t="s">
        <v>1083</v>
      </c>
      <c r="T102" s="6">
        <v>3</v>
      </c>
      <c r="U102" s="6">
        <v>8</v>
      </c>
      <c r="V102" s="6">
        <v>3</v>
      </c>
      <c r="W102" s="6">
        <v>92</v>
      </c>
      <c r="X102" s="6" t="s">
        <v>1084</v>
      </c>
      <c r="Z102" s="90">
        <v>630048</v>
      </c>
      <c r="AA102" s="90">
        <v>215005</v>
      </c>
      <c r="AB102" s="90">
        <v>50</v>
      </c>
      <c r="AC102" s="90">
        <v>50</v>
      </c>
      <c r="AD102" s="90">
        <v>50</v>
      </c>
      <c r="AE102" s="91">
        <v>185</v>
      </c>
      <c r="AF102" s="91">
        <v>16</v>
      </c>
      <c r="AG102" s="91">
        <v>324</v>
      </c>
      <c r="AH102" s="91">
        <v>115</v>
      </c>
      <c r="AI102" s="96">
        <v>0.016</v>
      </c>
      <c r="AJ102" s="96">
        <v>0.01</v>
      </c>
      <c r="AK102" s="96">
        <v>1.02</v>
      </c>
      <c r="AL102" s="96" t="s">
        <v>154</v>
      </c>
      <c r="AM102" s="97" t="s">
        <v>727</v>
      </c>
      <c r="AT102" s="99"/>
      <c r="AU102" s="100"/>
      <c r="AV102" s="101"/>
      <c r="AW102" s="100"/>
      <c r="AX102" s="100"/>
      <c r="AY102" s="84"/>
      <c r="BB102" s="6">
        <v>149</v>
      </c>
    </row>
    <row r="103" s="5" customFormat="1" spans="1:54">
      <c r="A103" s="2">
        <v>97</v>
      </c>
      <c r="B103" s="5">
        <v>113049</v>
      </c>
      <c r="C103" s="80">
        <v>113003</v>
      </c>
      <c r="D103" s="5" t="s">
        <v>1085</v>
      </c>
      <c r="E103" s="5" t="s">
        <v>1085</v>
      </c>
      <c r="G103" s="5">
        <v>0</v>
      </c>
      <c r="H103" s="2" t="s">
        <v>1086</v>
      </c>
      <c r="I103" s="2" t="s">
        <v>1087</v>
      </c>
      <c r="J103" s="2" t="s">
        <v>1088</v>
      </c>
      <c r="K103" s="2" t="s">
        <v>367</v>
      </c>
      <c r="L103" s="2" t="s">
        <v>651</v>
      </c>
      <c r="M103" s="40" t="s">
        <v>1089</v>
      </c>
      <c r="N103" s="5">
        <v>1</v>
      </c>
      <c r="O103" s="5">
        <v>1</v>
      </c>
      <c r="P103" s="78">
        <v>2</v>
      </c>
      <c r="Q103" s="78">
        <v>2</v>
      </c>
      <c r="R103" s="5">
        <v>8</v>
      </c>
      <c r="S103" s="5" t="s">
        <v>139</v>
      </c>
      <c r="T103" s="5">
        <v>3</v>
      </c>
      <c r="U103" s="5">
        <v>8</v>
      </c>
      <c r="V103" s="5">
        <v>3</v>
      </c>
      <c r="W103" s="5">
        <v>94</v>
      </c>
      <c r="X103" s="5" t="s">
        <v>1090</v>
      </c>
      <c r="Y103" s="41" t="s">
        <v>1091</v>
      </c>
      <c r="Z103" s="54">
        <v>630049</v>
      </c>
      <c r="AA103" s="54">
        <v>215005</v>
      </c>
      <c r="AB103" s="54">
        <v>50</v>
      </c>
      <c r="AC103" s="54">
        <v>50</v>
      </c>
      <c r="AD103" s="54">
        <v>50</v>
      </c>
      <c r="AE103" s="55">
        <v>233</v>
      </c>
      <c r="AF103" s="55">
        <v>13</v>
      </c>
      <c r="AG103" s="55">
        <v>245</v>
      </c>
      <c r="AH103" s="55">
        <v>129</v>
      </c>
      <c r="AI103" s="62">
        <v>0.018</v>
      </c>
      <c r="AJ103" s="62" t="s">
        <v>154</v>
      </c>
      <c r="AK103" s="62">
        <v>1.016</v>
      </c>
      <c r="AL103" s="62" t="s">
        <v>154</v>
      </c>
      <c r="AM103" s="63" t="s">
        <v>629</v>
      </c>
      <c r="AN103" s="5" t="s">
        <v>1092</v>
      </c>
      <c r="AO103" s="5" t="s">
        <v>1093</v>
      </c>
      <c r="AR103" s="5">
        <v>8</v>
      </c>
      <c r="AS103" s="5" t="s">
        <v>854</v>
      </c>
      <c r="AT103" s="72"/>
      <c r="AU103" s="41"/>
      <c r="AV103" s="73"/>
      <c r="AW103" s="41"/>
      <c r="AX103" s="41"/>
      <c r="AY103" s="78"/>
      <c r="BA103" s="5">
        <v>4</v>
      </c>
      <c r="BB103" s="5">
        <v>150</v>
      </c>
    </row>
    <row r="104" s="5" customFormat="1" spans="1:54">
      <c r="A104" s="2">
        <v>98</v>
      </c>
      <c r="B104" s="5">
        <v>113050</v>
      </c>
      <c r="C104" s="80">
        <v>113009</v>
      </c>
      <c r="D104" s="5" t="s">
        <v>1094</v>
      </c>
      <c r="E104" s="5" t="s">
        <v>1094</v>
      </c>
      <c r="G104" s="5">
        <v>0</v>
      </c>
      <c r="H104" s="2" t="s">
        <v>1095</v>
      </c>
      <c r="I104" s="2" t="s">
        <v>1096</v>
      </c>
      <c r="J104" s="2" t="s">
        <v>150</v>
      </c>
      <c r="K104" s="2" t="s">
        <v>136</v>
      </c>
      <c r="L104" s="2" t="s">
        <v>723</v>
      </c>
      <c r="M104" s="40" t="s">
        <v>1097</v>
      </c>
      <c r="N104" s="5">
        <v>1</v>
      </c>
      <c r="O104" s="5">
        <v>1</v>
      </c>
      <c r="P104" s="78">
        <v>2</v>
      </c>
      <c r="Q104" s="78">
        <v>2</v>
      </c>
      <c r="R104" s="41">
        <v>2</v>
      </c>
      <c r="S104" s="5" t="s">
        <v>139</v>
      </c>
      <c r="T104" s="5">
        <v>3</v>
      </c>
      <c r="U104" s="5">
        <v>8</v>
      </c>
      <c r="V104" s="5">
        <v>3</v>
      </c>
      <c r="W104" s="5">
        <v>95</v>
      </c>
      <c r="X104" s="5" t="s">
        <v>1098</v>
      </c>
      <c r="Y104" s="41" t="s">
        <v>1099</v>
      </c>
      <c r="Z104" s="54">
        <v>630050</v>
      </c>
      <c r="AA104" s="54">
        <v>215005</v>
      </c>
      <c r="AB104" s="54">
        <v>50</v>
      </c>
      <c r="AC104" s="54">
        <v>50</v>
      </c>
      <c r="AD104" s="54">
        <v>50</v>
      </c>
      <c r="AE104" s="55">
        <v>152</v>
      </c>
      <c r="AF104" s="55">
        <v>18</v>
      </c>
      <c r="AG104" s="55">
        <v>392</v>
      </c>
      <c r="AH104" s="55">
        <v>109</v>
      </c>
      <c r="AI104" s="62" t="s">
        <v>154</v>
      </c>
      <c r="AJ104" s="62">
        <v>0.02</v>
      </c>
      <c r="AK104" s="62">
        <v>1.01</v>
      </c>
      <c r="AL104" s="62">
        <v>0.01</v>
      </c>
      <c r="AM104" s="63" t="s">
        <v>607</v>
      </c>
      <c r="AN104" s="5" t="s">
        <v>1100</v>
      </c>
      <c r="AO104" s="5" t="s">
        <v>1101</v>
      </c>
      <c r="AR104" s="5">
        <v>8</v>
      </c>
      <c r="AS104" s="5" t="s">
        <v>854</v>
      </c>
      <c r="AT104" s="72"/>
      <c r="AU104" s="41"/>
      <c r="AV104" s="73"/>
      <c r="AW104" s="41"/>
      <c r="AX104" s="41"/>
      <c r="AY104" s="78"/>
      <c r="BA104" s="5">
        <v>2</v>
      </c>
      <c r="BB104" s="5">
        <v>151</v>
      </c>
    </row>
    <row r="105" s="5" customFormat="1" spans="1:54">
      <c r="A105" s="2">
        <v>99</v>
      </c>
      <c r="B105" s="5">
        <v>113051</v>
      </c>
      <c r="C105" s="5">
        <v>113051</v>
      </c>
      <c r="D105" s="5" t="s">
        <v>1102</v>
      </c>
      <c r="E105" s="5" t="s">
        <v>1102</v>
      </c>
      <c r="G105" s="5">
        <v>1</v>
      </c>
      <c r="H105" s="2" t="s">
        <v>1103</v>
      </c>
      <c r="I105" s="2" t="s">
        <v>1104</v>
      </c>
      <c r="J105" s="2" t="s">
        <v>1006</v>
      </c>
      <c r="K105" s="2" t="s">
        <v>367</v>
      </c>
      <c r="L105" s="2" t="s">
        <v>137</v>
      </c>
      <c r="M105" s="40" t="s">
        <v>1105</v>
      </c>
      <c r="N105" s="5">
        <v>1</v>
      </c>
      <c r="O105" s="5">
        <v>1</v>
      </c>
      <c r="P105" s="78">
        <v>2</v>
      </c>
      <c r="Q105" s="78">
        <v>2</v>
      </c>
      <c r="R105" s="41">
        <v>8</v>
      </c>
      <c r="S105" s="5" t="s">
        <v>1106</v>
      </c>
      <c r="T105" s="5">
        <v>3</v>
      </c>
      <c r="U105" s="5">
        <v>8</v>
      </c>
      <c r="V105" s="5">
        <v>3</v>
      </c>
      <c r="W105" s="5">
        <v>96</v>
      </c>
      <c r="X105" s="5" t="s">
        <v>1107</v>
      </c>
      <c r="Y105" s="41" t="s">
        <v>1108</v>
      </c>
      <c r="Z105" s="54">
        <v>630051</v>
      </c>
      <c r="AA105" s="54">
        <v>215005</v>
      </c>
      <c r="AB105" s="54">
        <v>50</v>
      </c>
      <c r="AC105" s="54">
        <v>50</v>
      </c>
      <c r="AD105" s="54">
        <v>50</v>
      </c>
      <c r="AE105" s="55">
        <v>181</v>
      </c>
      <c r="AF105" s="55">
        <v>18</v>
      </c>
      <c r="AG105" s="55">
        <v>308</v>
      </c>
      <c r="AH105" s="55">
        <v>127</v>
      </c>
      <c r="AI105" s="62">
        <v>0.018</v>
      </c>
      <c r="AJ105" s="62" t="s">
        <v>154</v>
      </c>
      <c r="AK105" s="62">
        <v>1.016</v>
      </c>
      <c r="AL105" s="62" t="s">
        <v>154</v>
      </c>
      <c r="AM105" s="63" t="s">
        <v>629</v>
      </c>
      <c r="AR105" s="5">
        <v>8</v>
      </c>
      <c r="AS105" s="5" t="s">
        <v>1109</v>
      </c>
      <c r="AT105" s="72"/>
      <c r="AU105" s="41"/>
      <c r="AV105" s="73"/>
      <c r="AW105" s="41"/>
      <c r="AX105" s="41"/>
      <c r="AY105" s="78"/>
      <c r="BA105" s="5">
        <v>4</v>
      </c>
      <c r="BB105" s="5">
        <v>152</v>
      </c>
    </row>
    <row r="106" s="5" customFormat="1" ht="15" customHeight="1" spans="1:54">
      <c r="A106" s="2">
        <v>100</v>
      </c>
      <c r="B106" s="5">
        <v>113052</v>
      </c>
      <c r="C106" s="28">
        <v>113011</v>
      </c>
      <c r="D106" s="5" t="s">
        <v>1110</v>
      </c>
      <c r="E106" s="5" t="s">
        <v>1110</v>
      </c>
      <c r="G106" s="5">
        <v>0</v>
      </c>
      <c r="H106" s="2" t="s">
        <v>1111</v>
      </c>
      <c r="I106" s="2" t="s">
        <v>1112</v>
      </c>
      <c r="J106" s="2" t="s">
        <v>162</v>
      </c>
      <c r="K106" s="2" t="s">
        <v>367</v>
      </c>
      <c r="L106" s="2" t="s">
        <v>550</v>
      </c>
      <c r="M106" s="40" t="s">
        <v>1113</v>
      </c>
      <c r="N106" s="5">
        <v>1</v>
      </c>
      <c r="O106" s="5">
        <v>1</v>
      </c>
      <c r="P106" s="78">
        <v>1</v>
      </c>
      <c r="Q106" s="78">
        <v>1</v>
      </c>
      <c r="R106" s="41">
        <v>4</v>
      </c>
      <c r="S106" s="5" t="s">
        <v>300</v>
      </c>
      <c r="T106" s="5">
        <v>3</v>
      </c>
      <c r="U106" s="5">
        <v>8</v>
      </c>
      <c r="V106" s="5">
        <v>3</v>
      </c>
      <c r="W106" s="5">
        <v>97</v>
      </c>
      <c r="X106" s="5" t="s">
        <v>1114</v>
      </c>
      <c r="Y106" s="41" t="s">
        <v>1115</v>
      </c>
      <c r="Z106" s="54">
        <v>630052</v>
      </c>
      <c r="AA106" s="54">
        <v>215005</v>
      </c>
      <c r="AB106" s="54">
        <v>50</v>
      </c>
      <c r="AC106" s="54">
        <v>50</v>
      </c>
      <c r="AD106" s="54">
        <v>50</v>
      </c>
      <c r="AE106" s="55">
        <v>191</v>
      </c>
      <c r="AF106" s="55">
        <v>10</v>
      </c>
      <c r="AG106" s="55">
        <v>397</v>
      </c>
      <c r="AH106" s="55">
        <v>126</v>
      </c>
      <c r="AI106" s="62">
        <v>0.016</v>
      </c>
      <c r="AJ106" s="62">
        <v>0.01</v>
      </c>
      <c r="AK106" s="62">
        <v>1.02</v>
      </c>
      <c r="AL106" s="62" t="s">
        <v>154</v>
      </c>
      <c r="AM106" s="63" t="s">
        <v>727</v>
      </c>
      <c r="AN106" s="5" t="s">
        <v>1116</v>
      </c>
      <c r="AO106" s="5" t="s">
        <v>1117</v>
      </c>
      <c r="AR106" s="5">
        <v>8</v>
      </c>
      <c r="AS106" s="5" t="s">
        <v>1118</v>
      </c>
      <c r="AT106" s="72"/>
      <c r="AU106" s="41"/>
      <c r="AV106" s="73"/>
      <c r="AW106" s="41"/>
      <c r="AX106" s="41"/>
      <c r="AY106" s="78"/>
      <c r="BA106" s="5">
        <v>4</v>
      </c>
      <c r="BB106" s="5">
        <v>153</v>
      </c>
    </row>
    <row r="107" s="5" customFormat="1" ht="15" customHeight="1" spans="1:54">
      <c r="A107" s="2">
        <v>101</v>
      </c>
      <c r="B107" s="5">
        <v>113053</v>
      </c>
      <c r="C107" s="28">
        <v>113013</v>
      </c>
      <c r="D107" s="5" t="s">
        <v>1119</v>
      </c>
      <c r="E107" s="5" t="s">
        <v>1119</v>
      </c>
      <c r="G107" s="5">
        <v>1</v>
      </c>
      <c r="H107" s="2" t="s">
        <v>1120</v>
      </c>
      <c r="I107" s="2" t="s">
        <v>1121</v>
      </c>
      <c r="J107" s="2" t="s">
        <v>886</v>
      </c>
      <c r="K107" s="2" t="s">
        <v>367</v>
      </c>
      <c r="L107" s="2" t="s">
        <v>764</v>
      </c>
      <c r="M107" s="40" t="s">
        <v>1122</v>
      </c>
      <c r="N107" s="5">
        <v>1</v>
      </c>
      <c r="O107" s="5">
        <v>1</v>
      </c>
      <c r="P107" s="78">
        <v>3</v>
      </c>
      <c r="Q107" s="78">
        <v>3</v>
      </c>
      <c r="R107" s="41">
        <v>5</v>
      </c>
      <c r="S107" s="5" t="s">
        <v>736</v>
      </c>
      <c r="T107" s="5">
        <v>3</v>
      </c>
      <c r="U107" s="5">
        <v>8</v>
      </c>
      <c r="V107" s="5">
        <v>3</v>
      </c>
      <c r="W107" s="5">
        <v>98</v>
      </c>
      <c r="X107" s="5" t="s">
        <v>1123</v>
      </c>
      <c r="Y107" s="41" t="s">
        <v>1124</v>
      </c>
      <c r="Z107" s="54">
        <v>630053</v>
      </c>
      <c r="AA107" s="54">
        <v>215005</v>
      </c>
      <c r="AB107" s="54">
        <v>50</v>
      </c>
      <c r="AC107" s="54">
        <v>50</v>
      </c>
      <c r="AD107" s="54">
        <v>50</v>
      </c>
      <c r="AE107" s="55">
        <v>194</v>
      </c>
      <c r="AF107" s="55">
        <v>15</v>
      </c>
      <c r="AG107" s="55">
        <v>324</v>
      </c>
      <c r="AH107" s="55">
        <v>130</v>
      </c>
      <c r="AI107" s="62">
        <v>0.018</v>
      </c>
      <c r="AJ107" s="62"/>
      <c r="AK107" s="62">
        <v>1.016</v>
      </c>
      <c r="AL107" s="62"/>
      <c r="AM107" s="63" t="s">
        <v>629</v>
      </c>
      <c r="AR107" s="5">
        <v>8</v>
      </c>
      <c r="AS107" s="5" t="s">
        <v>1125</v>
      </c>
      <c r="AT107" s="72"/>
      <c r="AU107" s="41"/>
      <c r="AV107" s="73"/>
      <c r="AW107" s="41"/>
      <c r="AX107" s="41"/>
      <c r="AY107" s="78"/>
      <c r="BA107" s="5">
        <v>3</v>
      </c>
      <c r="BB107" s="5">
        <v>154</v>
      </c>
    </row>
    <row r="108" s="5" customFormat="1" ht="15" customHeight="1" spans="1:54">
      <c r="A108" s="2">
        <v>102</v>
      </c>
      <c r="B108" s="5">
        <v>113054</v>
      </c>
      <c r="C108" s="5">
        <v>113054</v>
      </c>
      <c r="D108" s="5" t="s">
        <v>1126</v>
      </c>
      <c r="E108" s="5" t="s">
        <v>1126</v>
      </c>
      <c r="G108" s="5">
        <v>0</v>
      </c>
      <c r="H108" s="2" t="s">
        <v>1127</v>
      </c>
      <c r="I108" s="2" t="s">
        <v>1128</v>
      </c>
      <c r="J108" s="2" t="s">
        <v>683</v>
      </c>
      <c r="K108" s="2" t="s">
        <v>136</v>
      </c>
      <c r="L108" s="2" t="s">
        <v>1129</v>
      </c>
      <c r="M108" s="40" t="s">
        <v>1130</v>
      </c>
      <c r="N108" s="5">
        <v>1</v>
      </c>
      <c r="O108" s="5">
        <v>1</v>
      </c>
      <c r="P108" s="78">
        <v>3</v>
      </c>
      <c r="Q108" s="78">
        <v>3</v>
      </c>
      <c r="R108" s="41">
        <v>3</v>
      </c>
      <c r="S108" s="5" t="s">
        <v>1131</v>
      </c>
      <c r="T108" s="5">
        <v>3</v>
      </c>
      <c r="U108" s="5">
        <v>8</v>
      </c>
      <c r="V108" s="5">
        <v>3</v>
      </c>
      <c r="W108" s="5">
        <v>2270</v>
      </c>
      <c r="X108" s="5" t="s">
        <v>1132</v>
      </c>
      <c r="Y108" s="41" t="s">
        <v>1133</v>
      </c>
      <c r="Z108" s="54">
        <v>630054</v>
      </c>
      <c r="AA108" s="54">
        <v>215005</v>
      </c>
      <c r="AB108" s="54">
        <v>50</v>
      </c>
      <c r="AC108" s="54">
        <v>50</v>
      </c>
      <c r="AD108" s="54">
        <v>50</v>
      </c>
      <c r="AE108" s="55">
        <v>181</v>
      </c>
      <c r="AF108" s="55">
        <v>11</v>
      </c>
      <c r="AG108" s="55">
        <v>418</v>
      </c>
      <c r="AH108" s="55">
        <v>121</v>
      </c>
      <c r="AI108" s="62">
        <v>0.016</v>
      </c>
      <c r="AJ108" s="62">
        <v>0.01</v>
      </c>
      <c r="AK108" s="62">
        <v>1.02</v>
      </c>
      <c r="AL108" s="62" t="s">
        <v>154</v>
      </c>
      <c r="AM108" s="63" t="s">
        <v>727</v>
      </c>
      <c r="AN108" s="5" t="s">
        <v>1134</v>
      </c>
      <c r="AO108" s="5" t="s">
        <v>1135</v>
      </c>
      <c r="AR108" s="5">
        <v>8</v>
      </c>
      <c r="AS108" s="5" t="s">
        <v>1136</v>
      </c>
      <c r="AT108" s="72"/>
      <c r="AU108" s="41"/>
      <c r="AV108" s="73"/>
      <c r="AW108" s="41"/>
      <c r="AX108" s="41"/>
      <c r="AY108" s="78"/>
      <c r="BA108" s="5">
        <v>3</v>
      </c>
      <c r="BB108" s="5">
        <v>155</v>
      </c>
    </row>
    <row r="109" s="5" customFormat="1" ht="15" customHeight="1" spans="1:54">
      <c r="A109" s="2">
        <v>103</v>
      </c>
      <c r="B109" s="5">
        <v>113055</v>
      </c>
      <c r="C109" s="5">
        <v>113022</v>
      </c>
      <c r="D109" s="5" t="s">
        <v>1137</v>
      </c>
      <c r="E109" s="5" t="s">
        <v>1137</v>
      </c>
      <c r="G109" s="5">
        <v>0</v>
      </c>
      <c r="H109" s="2" t="s">
        <v>1138</v>
      </c>
      <c r="I109" s="2" t="s">
        <v>1139</v>
      </c>
      <c r="J109" s="2" t="s">
        <v>1140</v>
      </c>
      <c r="K109" s="2" t="s">
        <v>367</v>
      </c>
      <c r="L109" s="2" t="s">
        <v>858</v>
      </c>
      <c r="M109" s="40" t="s">
        <v>1141</v>
      </c>
      <c r="N109" s="5">
        <v>1</v>
      </c>
      <c r="O109" s="5">
        <v>1</v>
      </c>
      <c r="P109" s="78">
        <v>1</v>
      </c>
      <c r="Q109" s="78">
        <v>1</v>
      </c>
      <c r="R109" s="41">
        <v>3</v>
      </c>
      <c r="S109" s="5" t="s">
        <v>711</v>
      </c>
      <c r="T109" s="5">
        <v>3</v>
      </c>
      <c r="U109" s="5">
        <v>8</v>
      </c>
      <c r="V109" s="5">
        <v>3</v>
      </c>
      <c r="W109" s="5">
        <v>99</v>
      </c>
      <c r="X109" s="5" t="s">
        <v>1142</v>
      </c>
      <c r="Y109" s="41" t="s">
        <v>1143</v>
      </c>
      <c r="Z109" s="54">
        <v>630055</v>
      </c>
      <c r="AA109" s="54">
        <v>215005</v>
      </c>
      <c r="AB109" s="54">
        <v>50</v>
      </c>
      <c r="AC109" s="54">
        <v>50</v>
      </c>
      <c r="AD109" s="54">
        <v>50</v>
      </c>
      <c r="AE109" s="55">
        <v>177</v>
      </c>
      <c r="AF109" s="55">
        <v>10</v>
      </c>
      <c r="AG109" s="55">
        <v>433</v>
      </c>
      <c r="AH109" s="55">
        <v>130</v>
      </c>
      <c r="AI109" s="62">
        <v>0.016</v>
      </c>
      <c r="AJ109" s="62">
        <v>0.01</v>
      </c>
      <c r="AK109" s="62">
        <v>1.02</v>
      </c>
      <c r="AL109" s="62" t="s">
        <v>154</v>
      </c>
      <c r="AM109" s="63" t="s">
        <v>727</v>
      </c>
      <c r="AR109" s="5">
        <v>8</v>
      </c>
      <c r="AS109" s="5" t="s">
        <v>1144</v>
      </c>
      <c r="AT109" s="72"/>
      <c r="AU109" s="41"/>
      <c r="AV109" s="73"/>
      <c r="AW109" s="41"/>
      <c r="AX109" s="41"/>
      <c r="AY109" s="78"/>
      <c r="BA109" s="104">
        <v>3</v>
      </c>
      <c r="BB109" s="5">
        <v>156</v>
      </c>
    </row>
    <row r="110" s="5" customFormat="1" ht="15" customHeight="1" spans="1:54">
      <c r="A110" s="2">
        <v>104</v>
      </c>
      <c r="B110" s="5">
        <v>113056</v>
      </c>
      <c r="C110" s="5">
        <v>113010</v>
      </c>
      <c r="D110" s="5" t="s">
        <v>1145</v>
      </c>
      <c r="E110" s="5" t="s">
        <v>1145</v>
      </c>
      <c r="G110" s="5">
        <v>0</v>
      </c>
      <c r="H110" s="2" t="s">
        <v>1146</v>
      </c>
      <c r="I110" s="2" t="s">
        <v>1147</v>
      </c>
      <c r="J110" s="2" t="s">
        <v>150</v>
      </c>
      <c r="K110" s="2" t="s">
        <v>367</v>
      </c>
      <c r="L110" s="2" t="s">
        <v>137</v>
      </c>
      <c r="M110" s="40" t="s">
        <v>1148</v>
      </c>
      <c r="N110" s="5">
        <v>1</v>
      </c>
      <c r="O110" s="5">
        <v>1</v>
      </c>
      <c r="P110" s="78">
        <v>5</v>
      </c>
      <c r="Q110" s="78">
        <v>5</v>
      </c>
      <c r="R110" s="41">
        <v>5</v>
      </c>
      <c r="S110" s="5" t="s">
        <v>736</v>
      </c>
      <c r="T110" s="5">
        <v>3</v>
      </c>
      <c r="U110" s="5">
        <v>8</v>
      </c>
      <c r="V110" s="5">
        <v>3</v>
      </c>
      <c r="W110" s="5">
        <v>100</v>
      </c>
      <c r="X110" s="41" t="s">
        <v>1149</v>
      </c>
      <c r="Y110" s="41" t="s">
        <v>1150</v>
      </c>
      <c r="Z110" s="54">
        <v>630056</v>
      </c>
      <c r="AA110" s="54">
        <v>215005</v>
      </c>
      <c r="AB110" s="54">
        <v>50</v>
      </c>
      <c r="AC110" s="54">
        <v>50</v>
      </c>
      <c r="AD110" s="54">
        <v>50</v>
      </c>
      <c r="AE110" s="55">
        <v>191</v>
      </c>
      <c r="AF110" s="55">
        <v>9</v>
      </c>
      <c r="AG110" s="55">
        <v>412</v>
      </c>
      <c r="AH110" s="55">
        <v>115</v>
      </c>
      <c r="AI110" s="62">
        <v>0.016</v>
      </c>
      <c r="AJ110" s="62">
        <v>0.01</v>
      </c>
      <c r="AK110" s="62">
        <v>1.02</v>
      </c>
      <c r="AL110" s="62" t="s">
        <v>154</v>
      </c>
      <c r="AM110" s="63" t="s">
        <v>727</v>
      </c>
      <c r="AN110" s="5" t="s">
        <v>1151</v>
      </c>
      <c r="AO110" s="5" t="s">
        <v>1152</v>
      </c>
      <c r="AR110" s="5">
        <v>8</v>
      </c>
      <c r="AS110" s="5" t="s">
        <v>1153</v>
      </c>
      <c r="AT110" s="72"/>
      <c r="AU110" s="41"/>
      <c r="AV110" s="73"/>
      <c r="AW110" s="41"/>
      <c r="AX110" s="41"/>
      <c r="AY110" s="78"/>
      <c r="BA110" s="104">
        <v>3</v>
      </c>
      <c r="BB110" s="5">
        <v>157</v>
      </c>
    </row>
    <row r="111" s="5" customFormat="1" ht="15" customHeight="1" spans="1:54">
      <c r="A111" s="2">
        <v>105</v>
      </c>
      <c r="B111" s="5">
        <v>113057</v>
      </c>
      <c r="C111" s="28">
        <v>113057</v>
      </c>
      <c r="D111" s="5" t="s">
        <v>1154</v>
      </c>
      <c r="E111" s="5" t="s">
        <v>1155</v>
      </c>
      <c r="G111" s="5">
        <v>1</v>
      </c>
      <c r="H111" s="2" t="s">
        <v>1156</v>
      </c>
      <c r="I111" s="2" t="s">
        <v>1157</v>
      </c>
      <c r="J111" s="2" t="s">
        <v>1158</v>
      </c>
      <c r="K111" s="2" t="s">
        <v>367</v>
      </c>
      <c r="L111" s="2" t="s">
        <v>1159</v>
      </c>
      <c r="M111" s="40" t="s">
        <v>1160</v>
      </c>
      <c r="N111" s="5">
        <v>1</v>
      </c>
      <c r="O111" s="5">
        <v>1</v>
      </c>
      <c r="P111" s="78">
        <v>3</v>
      </c>
      <c r="Q111" s="78">
        <v>3</v>
      </c>
      <c r="R111" s="41">
        <v>3</v>
      </c>
      <c r="S111" s="5" t="s">
        <v>1161</v>
      </c>
      <c r="T111" s="5">
        <v>3</v>
      </c>
      <c r="U111" s="5">
        <v>8</v>
      </c>
      <c r="V111" s="5">
        <v>3</v>
      </c>
      <c r="W111" s="5">
        <v>101</v>
      </c>
      <c r="X111" s="41" t="s">
        <v>1162</v>
      </c>
      <c r="Y111" s="41" t="s">
        <v>1163</v>
      </c>
      <c r="Z111" s="54">
        <v>630057</v>
      </c>
      <c r="AA111" s="54">
        <v>215005</v>
      </c>
      <c r="AB111" s="54">
        <v>50</v>
      </c>
      <c r="AC111" s="54">
        <v>50</v>
      </c>
      <c r="AD111" s="54">
        <v>50</v>
      </c>
      <c r="AE111" s="55">
        <v>120</v>
      </c>
      <c r="AF111" s="55">
        <v>21</v>
      </c>
      <c r="AG111" s="55">
        <v>423</v>
      </c>
      <c r="AH111" s="55">
        <v>109</v>
      </c>
      <c r="AI111" s="62">
        <v>0.015</v>
      </c>
      <c r="AJ111" s="62">
        <v>0.016</v>
      </c>
      <c r="AK111" s="62">
        <v>1.004</v>
      </c>
      <c r="AL111" s="62">
        <v>0.01</v>
      </c>
      <c r="AM111" s="63" t="s">
        <v>689</v>
      </c>
      <c r="AN111" s="5" t="s">
        <v>1164</v>
      </c>
      <c r="AO111" s="5" t="s">
        <v>1164</v>
      </c>
      <c r="AR111" s="5">
        <v>8</v>
      </c>
      <c r="AS111" s="5" t="s">
        <v>1165</v>
      </c>
      <c r="AT111" s="72"/>
      <c r="AU111" s="41"/>
      <c r="AV111" s="73"/>
      <c r="AW111" s="41"/>
      <c r="AX111" s="41"/>
      <c r="AY111" s="78"/>
      <c r="BA111" s="104">
        <v>3</v>
      </c>
      <c r="BB111" s="5">
        <v>158</v>
      </c>
    </row>
    <row r="112" s="5" customFormat="1" ht="15" customHeight="1" spans="1:54">
      <c r="A112" s="2">
        <v>106</v>
      </c>
      <c r="B112" s="5">
        <v>113058</v>
      </c>
      <c r="C112" s="28">
        <v>113058</v>
      </c>
      <c r="D112" s="5" t="s">
        <v>1081</v>
      </c>
      <c r="E112" s="5" t="s">
        <v>1166</v>
      </c>
      <c r="G112" s="5">
        <v>0</v>
      </c>
      <c r="H112" s="2" t="s">
        <v>1167</v>
      </c>
      <c r="I112" s="2" t="s">
        <v>1168</v>
      </c>
      <c r="J112" s="2" t="s">
        <v>262</v>
      </c>
      <c r="K112" s="2" t="s">
        <v>367</v>
      </c>
      <c r="L112" s="2" t="s">
        <v>137</v>
      </c>
      <c r="M112" s="40" t="s">
        <v>1169</v>
      </c>
      <c r="N112" s="5">
        <v>1</v>
      </c>
      <c r="O112" s="5">
        <v>1</v>
      </c>
      <c r="P112" s="78">
        <v>5</v>
      </c>
      <c r="Q112" s="78">
        <v>5</v>
      </c>
      <c r="R112" s="41">
        <v>3</v>
      </c>
      <c r="S112" s="5" t="s">
        <v>1083</v>
      </c>
      <c r="T112" s="5">
        <v>3</v>
      </c>
      <c r="U112" s="5">
        <v>8</v>
      </c>
      <c r="V112" s="5">
        <v>3</v>
      </c>
      <c r="W112" s="5">
        <v>102</v>
      </c>
      <c r="X112" s="5" t="s">
        <v>1084</v>
      </c>
      <c r="Y112" s="41" t="s">
        <v>1170</v>
      </c>
      <c r="Z112" s="54">
        <v>630058</v>
      </c>
      <c r="AA112" s="54">
        <v>215005</v>
      </c>
      <c r="AB112" s="54">
        <v>50</v>
      </c>
      <c r="AC112" s="54">
        <v>50</v>
      </c>
      <c r="AD112" s="54">
        <v>50</v>
      </c>
      <c r="AE112" s="55">
        <v>219</v>
      </c>
      <c r="AF112" s="55">
        <v>8</v>
      </c>
      <c r="AG112" s="55">
        <v>360</v>
      </c>
      <c r="AH112" s="55">
        <v>128</v>
      </c>
      <c r="AI112" s="62">
        <v>0.018</v>
      </c>
      <c r="AJ112" s="62"/>
      <c r="AK112" s="62">
        <v>1.016</v>
      </c>
      <c r="AL112" s="62"/>
      <c r="AM112" s="63" t="s">
        <v>629</v>
      </c>
      <c r="AR112" s="5">
        <v>8</v>
      </c>
      <c r="AS112" s="5" t="s">
        <v>1171</v>
      </c>
      <c r="AT112" s="72"/>
      <c r="AU112" s="41"/>
      <c r="AV112" s="73"/>
      <c r="AW112" s="41"/>
      <c r="AX112" s="41"/>
      <c r="AY112" s="78"/>
      <c r="BA112" s="104">
        <v>3</v>
      </c>
      <c r="BB112" s="5">
        <v>159</v>
      </c>
    </row>
    <row r="113" s="5" customFormat="1" ht="15" customHeight="1" spans="1:54">
      <c r="A113" s="2">
        <v>107</v>
      </c>
      <c r="B113" s="5">
        <v>113059</v>
      </c>
      <c r="C113" s="28">
        <v>113059</v>
      </c>
      <c r="D113" s="81" t="s">
        <v>1172</v>
      </c>
      <c r="E113" s="81" t="s">
        <v>1172</v>
      </c>
      <c r="G113" s="5">
        <v>0</v>
      </c>
      <c r="H113" s="2" t="s">
        <v>1173</v>
      </c>
      <c r="I113" s="2" t="s">
        <v>1174</v>
      </c>
      <c r="J113" s="2" t="s">
        <v>150</v>
      </c>
      <c r="K113" s="2" t="s">
        <v>367</v>
      </c>
      <c r="L113" s="2" t="s">
        <v>137</v>
      </c>
      <c r="M113" s="40" t="s">
        <v>1175</v>
      </c>
      <c r="N113" s="5">
        <v>1</v>
      </c>
      <c r="O113" s="5">
        <v>1</v>
      </c>
      <c r="P113" s="78">
        <v>5</v>
      </c>
      <c r="Q113" s="78">
        <v>5</v>
      </c>
      <c r="R113" s="41">
        <v>3</v>
      </c>
      <c r="S113" s="5" t="s">
        <v>796</v>
      </c>
      <c r="T113" s="5">
        <v>3</v>
      </c>
      <c r="U113" s="5">
        <v>8</v>
      </c>
      <c r="V113" s="5">
        <v>3</v>
      </c>
      <c r="W113" s="5">
        <v>103</v>
      </c>
      <c r="X113" s="5" t="s">
        <v>1176</v>
      </c>
      <c r="Y113" s="41" t="s">
        <v>1177</v>
      </c>
      <c r="Z113" s="54">
        <v>630059</v>
      </c>
      <c r="AA113" s="54">
        <v>215005</v>
      </c>
      <c r="AB113" s="54">
        <v>50</v>
      </c>
      <c r="AC113" s="54">
        <v>50</v>
      </c>
      <c r="AD113" s="54">
        <v>50</v>
      </c>
      <c r="AE113" s="55">
        <v>201</v>
      </c>
      <c r="AF113" s="55">
        <v>9</v>
      </c>
      <c r="AG113" s="55">
        <v>386</v>
      </c>
      <c r="AH113" s="55">
        <v>120</v>
      </c>
      <c r="AI113" s="62">
        <v>0.02</v>
      </c>
      <c r="AJ113" s="62">
        <v>0.02</v>
      </c>
      <c r="AK113" s="62">
        <v>1.01</v>
      </c>
      <c r="AL113" s="62">
        <v>0.01</v>
      </c>
      <c r="AM113" s="63" t="s">
        <v>629</v>
      </c>
      <c r="AN113" s="5" t="s">
        <v>1178</v>
      </c>
      <c r="AO113" s="5" t="s">
        <v>1179</v>
      </c>
      <c r="AR113" s="5">
        <v>8</v>
      </c>
      <c r="AS113" s="5" t="s">
        <v>854</v>
      </c>
      <c r="AT113" s="72"/>
      <c r="AU113" s="41"/>
      <c r="AV113" s="73"/>
      <c r="AW113" s="41"/>
      <c r="AX113" s="41"/>
      <c r="AY113" s="78"/>
      <c r="BA113" s="104">
        <v>3</v>
      </c>
      <c r="BB113" s="5">
        <v>160</v>
      </c>
    </row>
    <row r="114" s="5" customFormat="1" ht="15" customHeight="1" spans="1:54">
      <c r="A114" s="2">
        <v>108</v>
      </c>
      <c r="B114" s="5">
        <v>113060</v>
      </c>
      <c r="C114" s="28">
        <v>113016</v>
      </c>
      <c r="D114" s="82" t="s">
        <v>1180</v>
      </c>
      <c r="E114" s="82" t="s">
        <v>1180</v>
      </c>
      <c r="G114" s="5">
        <v>0</v>
      </c>
      <c r="H114" s="2" t="s">
        <v>1181</v>
      </c>
      <c r="I114" s="2" t="s">
        <v>1182</v>
      </c>
      <c r="J114" s="2" t="s">
        <v>162</v>
      </c>
      <c r="K114" s="2" t="s">
        <v>367</v>
      </c>
      <c r="L114" s="2" t="s">
        <v>137</v>
      </c>
      <c r="M114" s="40" t="s">
        <v>1183</v>
      </c>
      <c r="N114" s="5">
        <v>1</v>
      </c>
      <c r="O114" s="5">
        <v>1</v>
      </c>
      <c r="P114" s="78">
        <v>5</v>
      </c>
      <c r="Q114" s="78">
        <v>5</v>
      </c>
      <c r="R114" s="41">
        <v>3</v>
      </c>
      <c r="S114" s="5" t="s">
        <v>796</v>
      </c>
      <c r="T114" s="5">
        <v>3</v>
      </c>
      <c r="U114" s="5">
        <v>8</v>
      </c>
      <c r="V114" s="5">
        <v>3</v>
      </c>
      <c r="W114" s="5">
        <v>104</v>
      </c>
      <c r="X114" s="5" t="s">
        <v>1184</v>
      </c>
      <c r="Y114" s="41" t="s">
        <v>1185</v>
      </c>
      <c r="Z114" s="54">
        <v>630060</v>
      </c>
      <c r="AA114" s="54">
        <v>215005</v>
      </c>
      <c r="AB114" s="54">
        <v>50</v>
      </c>
      <c r="AC114" s="54">
        <v>50</v>
      </c>
      <c r="AD114" s="54">
        <v>50</v>
      </c>
      <c r="AE114" s="55">
        <v>193</v>
      </c>
      <c r="AF114" s="55">
        <v>14</v>
      </c>
      <c r="AG114" s="55">
        <v>339</v>
      </c>
      <c r="AH114" s="55">
        <v>127</v>
      </c>
      <c r="AI114" s="62">
        <v>0.02</v>
      </c>
      <c r="AJ114" s="62">
        <v>0.02</v>
      </c>
      <c r="AK114" s="62">
        <v>1.01</v>
      </c>
      <c r="AL114" s="62">
        <v>0.01</v>
      </c>
      <c r="AM114" s="63" t="s">
        <v>629</v>
      </c>
      <c r="AN114" s="5" t="s">
        <v>1186</v>
      </c>
      <c r="AR114" s="5">
        <v>8</v>
      </c>
      <c r="AS114" s="5" t="s">
        <v>1187</v>
      </c>
      <c r="AT114" s="72"/>
      <c r="AU114" s="41"/>
      <c r="AV114" s="73"/>
      <c r="AW114" s="41"/>
      <c r="AX114" s="41"/>
      <c r="AY114" s="78"/>
      <c r="BA114" s="104">
        <v>3</v>
      </c>
      <c r="BB114" s="5">
        <v>161</v>
      </c>
    </row>
    <row r="115" s="5" customFormat="1" ht="15" customHeight="1" spans="1:54">
      <c r="A115" s="2">
        <v>109</v>
      </c>
      <c r="B115" s="5">
        <v>113061</v>
      </c>
      <c r="C115" s="28">
        <v>113061</v>
      </c>
      <c r="D115" s="82" t="s">
        <v>1188</v>
      </c>
      <c r="E115" s="82" t="s">
        <v>1188</v>
      </c>
      <c r="G115" s="5">
        <v>1</v>
      </c>
      <c r="H115" s="2" t="s">
        <v>1189</v>
      </c>
      <c r="I115" s="2" t="s">
        <v>1190</v>
      </c>
      <c r="J115" s="2" t="s">
        <v>886</v>
      </c>
      <c r="K115" s="2" t="s">
        <v>367</v>
      </c>
      <c r="L115" s="2" t="s">
        <v>137</v>
      </c>
      <c r="M115" s="40" t="s">
        <v>1191</v>
      </c>
      <c r="N115" s="5">
        <v>1</v>
      </c>
      <c r="O115" s="5">
        <v>1</v>
      </c>
      <c r="P115" s="78">
        <v>4</v>
      </c>
      <c r="Q115" s="78">
        <v>4</v>
      </c>
      <c r="R115" s="41">
        <v>8</v>
      </c>
      <c r="S115" s="5" t="s">
        <v>1192</v>
      </c>
      <c r="T115" s="5">
        <v>3</v>
      </c>
      <c r="U115" s="5">
        <v>8</v>
      </c>
      <c r="V115" s="5">
        <v>3</v>
      </c>
      <c r="W115" s="5">
        <v>105</v>
      </c>
      <c r="X115" s="5" t="s">
        <v>1193</v>
      </c>
      <c r="Y115" s="41" t="s">
        <v>1194</v>
      </c>
      <c r="Z115" s="54">
        <v>630061</v>
      </c>
      <c r="AA115" s="54">
        <v>215005</v>
      </c>
      <c r="AB115" s="54">
        <v>50</v>
      </c>
      <c r="AC115" s="54">
        <v>50</v>
      </c>
      <c r="AD115" s="54">
        <v>50</v>
      </c>
      <c r="AE115" s="55">
        <v>219</v>
      </c>
      <c r="AF115" s="55">
        <v>13</v>
      </c>
      <c r="AG115" s="55">
        <v>277</v>
      </c>
      <c r="AH115" s="55">
        <v>128</v>
      </c>
      <c r="AI115" s="62">
        <v>0.02</v>
      </c>
      <c r="AJ115" s="62">
        <v>0.02</v>
      </c>
      <c r="AK115" s="62">
        <v>1.01</v>
      </c>
      <c r="AL115" s="62">
        <v>0.01</v>
      </c>
      <c r="AM115" s="63" t="s">
        <v>629</v>
      </c>
      <c r="AN115" s="5" t="s">
        <v>1195</v>
      </c>
      <c r="AO115" s="5" t="s">
        <v>1196</v>
      </c>
      <c r="AR115" s="5">
        <v>8</v>
      </c>
      <c r="AS115" s="5" t="s">
        <v>1197</v>
      </c>
      <c r="AT115" s="72"/>
      <c r="AU115" s="41"/>
      <c r="AV115" s="73"/>
      <c r="AW115" s="41"/>
      <c r="AX115" s="41"/>
      <c r="AY115" s="78"/>
      <c r="BA115" s="104">
        <v>4</v>
      </c>
      <c r="BB115" s="5">
        <v>162</v>
      </c>
    </row>
    <row r="116" s="5" customFormat="1" ht="15" customHeight="1" spans="1:54">
      <c r="A116" s="2">
        <v>110</v>
      </c>
      <c r="B116" s="5">
        <v>113062</v>
      </c>
      <c r="C116" s="28">
        <v>113062</v>
      </c>
      <c r="D116" s="82" t="s">
        <v>1198</v>
      </c>
      <c r="E116" s="82" t="s">
        <v>1198</v>
      </c>
      <c r="G116" s="5">
        <v>0</v>
      </c>
      <c r="H116" s="2" t="s">
        <v>1199</v>
      </c>
      <c r="I116" s="2" t="s">
        <v>1200</v>
      </c>
      <c r="J116" s="2" t="s">
        <v>162</v>
      </c>
      <c r="K116" s="2" t="s">
        <v>367</v>
      </c>
      <c r="L116" s="2" t="s">
        <v>137</v>
      </c>
      <c r="M116" s="40" t="s">
        <v>1201</v>
      </c>
      <c r="N116" s="5">
        <v>1</v>
      </c>
      <c r="O116" s="5">
        <v>1</v>
      </c>
      <c r="P116" s="78">
        <v>5</v>
      </c>
      <c r="Q116" s="78">
        <v>5</v>
      </c>
      <c r="R116" s="41">
        <v>8</v>
      </c>
      <c r="S116" s="5" t="s">
        <v>971</v>
      </c>
      <c r="T116" s="5">
        <v>3</v>
      </c>
      <c r="U116" s="5">
        <v>8</v>
      </c>
      <c r="V116" s="5">
        <v>3</v>
      </c>
      <c r="W116" s="5">
        <v>106</v>
      </c>
      <c r="X116" s="5" t="s">
        <v>1202</v>
      </c>
      <c r="Y116" s="41" t="s">
        <v>1203</v>
      </c>
      <c r="Z116" s="54">
        <v>630062</v>
      </c>
      <c r="AA116" s="54">
        <v>215005</v>
      </c>
      <c r="AB116" s="54">
        <v>50</v>
      </c>
      <c r="AC116" s="54">
        <v>50</v>
      </c>
      <c r="AD116" s="54">
        <v>50</v>
      </c>
      <c r="AE116" s="55">
        <v>225</v>
      </c>
      <c r="AF116" s="55">
        <v>7</v>
      </c>
      <c r="AG116" s="55">
        <v>350</v>
      </c>
      <c r="AH116" s="55">
        <v>130</v>
      </c>
      <c r="AI116" s="62">
        <v>0.02</v>
      </c>
      <c r="AJ116" s="62">
        <v>0.02</v>
      </c>
      <c r="AK116" s="62">
        <v>1.01</v>
      </c>
      <c r="AL116" s="62">
        <v>0.01</v>
      </c>
      <c r="AM116" s="63" t="s">
        <v>371</v>
      </c>
      <c r="AN116" s="5" t="s">
        <v>1204</v>
      </c>
      <c r="AO116" s="5" t="s">
        <v>1205</v>
      </c>
      <c r="AR116" s="5">
        <v>8</v>
      </c>
      <c r="AS116" s="5" t="s">
        <v>1206</v>
      </c>
      <c r="AT116" s="72"/>
      <c r="AU116" s="41"/>
      <c r="AV116" s="73"/>
      <c r="AW116" s="41"/>
      <c r="AX116" s="41"/>
      <c r="AY116" s="78"/>
      <c r="BA116" s="104">
        <v>4</v>
      </c>
      <c r="BB116" s="5">
        <v>163</v>
      </c>
    </row>
    <row r="117" s="5" customFormat="1" ht="15" customHeight="1" spans="1:54">
      <c r="A117" s="2">
        <v>111</v>
      </c>
      <c r="B117" s="5">
        <v>113063</v>
      </c>
      <c r="C117" s="28">
        <v>113063</v>
      </c>
      <c r="D117" s="82" t="s">
        <v>611</v>
      </c>
      <c r="E117" s="82" t="s">
        <v>611</v>
      </c>
      <c r="G117" s="5">
        <v>1</v>
      </c>
      <c r="H117" s="2" t="s">
        <v>1207</v>
      </c>
      <c r="I117" s="2" t="s">
        <v>1208</v>
      </c>
      <c r="J117" s="2" t="s">
        <v>1209</v>
      </c>
      <c r="K117" s="2" t="s">
        <v>367</v>
      </c>
      <c r="L117" s="2" t="s">
        <v>614</v>
      </c>
      <c r="M117" s="40" t="s">
        <v>1210</v>
      </c>
      <c r="N117" s="5">
        <v>1</v>
      </c>
      <c r="O117" s="5">
        <v>1</v>
      </c>
      <c r="P117" s="78">
        <v>3</v>
      </c>
      <c r="Q117" s="78">
        <v>3</v>
      </c>
      <c r="R117" s="41">
        <v>3</v>
      </c>
      <c r="S117" s="31" t="s">
        <v>616</v>
      </c>
      <c r="T117" s="5">
        <v>3</v>
      </c>
      <c r="U117" s="5">
        <v>8</v>
      </c>
      <c r="V117" s="5">
        <v>3</v>
      </c>
      <c r="W117" s="5">
        <v>107</v>
      </c>
      <c r="X117" s="5" t="s">
        <v>1211</v>
      </c>
      <c r="Y117" s="41" t="s">
        <v>1212</v>
      </c>
      <c r="Z117" s="54">
        <v>630063</v>
      </c>
      <c r="AA117" s="54">
        <v>215005</v>
      </c>
      <c r="AB117" s="54">
        <v>50</v>
      </c>
      <c r="AC117" s="54">
        <v>50</v>
      </c>
      <c r="AD117" s="54">
        <v>50</v>
      </c>
      <c r="AE117" s="55">
        <v>211</v>
      </c>
      <c r="AF117" s="55">
        <v>17</v>
      </c>
      <c r="AG117" s="55">
        <v>245</v>
      </c>
      <c r="AH117" s="55">
        <v>115</v>
      </c>
      <c r="AI117" s="62">
        <v>0.018</v>
      </c>
      <c r="AJ117" s="62" t="s">
        <v>154</v>
      </c>
      <c r="AK117" s="62">
        <v>1.016</v>
      </c>
      <c r="AL117" s="62" t="s">
        <v>154</v>
      </c>
      <c r="AM117" s="63" t="s">
        <v>629</v>
      </c>
      <c r="AR117" s="5">
        <v>8</v>
      </c>
      <c r="AS117" s="5" t="s">
        <v>1213</v>
      </c>
      <c r="AT117" s="72"/>
      <c r="AU117" s="41"/>
      <c r="AV117" s="73"/>
      <c r="AW117" s="41"/>
      <c r="AX117" s="41"/>
      <c r="AY117" s="78"/>
      <c r="BA117" s="104">
        <v>3</v>
      </c>
      <c r="BB117" s="5">
        <v>164</v>
      </c>
    </row>
    <row r="118" s="5" customFormat="1" ht="15" customHeight="1" spans="1:54">
      <c r="A118" s="2">
        <v>112</v>
      </c>
      <c r="B118" s="5">
        <v>113064</v>
      </c>
      <c r="C118" s="28">
        <v>113021</v>
      </c>
      <c r="D118" s="82" t="s">
        <v>1214</v>
      </c>
      <c r="E118" s="82" t="s">
        <v>1214</v>
      </c>
      <c r="G118" s="5">
        <v>0</v>
      </c>
      <c r="H118" s="2" t="s">
        <v>1215</v>
      </c>
      <c r="I118" s="2" t="s">
        <v>1216</v>
      </c>
      <c r="J118" s="2" t="s">
        <v>150</v>
      </c>
      <c r="K118" s="2" t="s">
        <v>136</v>
      </c>
      <c r="L118" s="2" t="s">
        <v>848</v>
      </c>
      <c r="M118" s="40" t="s">
        <v>1217</v>
      </c>
      <c r="N118" s="5">
        <v>1</v>
      </c>
      <c r="O118" s="5">
        <v>1</v>
      </c>
      <c r="P118" s="78">
        <v>3</v>
      </c>
      <c r="Q118" s="78">
        <v>3</v>
      </c>
      <c r="R118" s="41">
        <v>3</v>
      </c>
      <c r="S118" s="31" t="s">
        <v>711</v>
      </c>
      <c r="T118" s="5">
        <v>3</v>
      </c>
      <c r="U118" s="5">
        <v>8</v>
      </c>
      <c r="V118" s="5">
        <v>3</v>
      </c>
      <c r="W118" s="5">
        <v>108</v>
      </c>
      <c r="X118" s="5" t="s">
        <v>1218</v>
      </c>
      <c r="Y118" s="5" t="s">
        <v>1219</v>
      </c>
      <c r="Z118" s="54">
        <v>630064</v>
      </c>
      <c r="AA118" s="54">
        <v>215005</v>
      </c>
      <c r="AB118" s="54">
        <v>50</v>
      </c>
      <c r="AC118" s="54">
        <v>50</v>
      </c>
      <c r="AD118" s="54">
        <v>50</v>
      </c>
      <c r="AE118" s="55">
        <v>219</v>
      </c>
      <c r="AF118" s="55">
        <v>10</v>
      </c>
      <c r="AG118" s="55">
        <v>329</v>
      </c>
      <c r="AH118" s="55">
        <v>125</v>
      </c>
      <c r="AI118" s="62">
        <v>0.016</v>
      </c>
      <c r="AJ118" s="62">
        <v>0.01</v>
      </c>
      <c r="AK118" s="62">
        <v>1.02</v>
      </c>
      <c r="AL118" s="62" t="s">
        <v>154</v>
      </c>
      <c r="AM118" s="63" t="s">
        <v>727</v>
      </c>
      <c r="AN118" s="5" t="s">
        <v>1220</v>
      </c>
      <c r="AO118" s="5" t="s">
        <v>1221</v>
      </c>
      <c r="AR118" s="5">
        <v>8</v>
      </c>
      <c r="AS118" s="5" t="s">
        <v>854</v>
      </c>
      <c r="AT118" s="72"/>
      <c r="AU118" s="41"/>
      <c r="AV118" s="73"/>
      <c r="AW118" s="41"/>
      <c r="AX118" s="41"/>
      <c r="AY118" s="78"/>
      <c r="BA118" s="104">
        <v>3</v>
      </c>
      <c r="BB118" s="5">
        <v>165</v>
      </c>
    </row>
    <row r="119" s="5" customFormat="1" ht="15" customHeight="1" spans="1:54">
      <c r="A119" s="2">
        <v>113</v>
      </c>
      <c r="B119" s="5">
        <v>113065</v>
      </c>
      <c r="C119" s="28">
        <v>112025</v>
      </c>
      <c r="D119" s="82" t="s">
        <v>1222</v>
      </c>
      <c r="E119" s="82" t="s">
        <v>1222</v>
      </c>
      <c r="G119" s="5">
        <v>1</v>
      </c>
      <c r="H119" s="5" t="s">
        <v>1223</v>
      </c>
      <c r="I119" s="5" t="s">
        <v>1224</v>
      </c>
      <c r="J119" s="5" t="s">
        <v>1225</v>
      </c>
      <c r="K119" s="5" t="s">
        <v>367</v>
      </c>
      <c r="L119" s="5" t="s">
        <v>575</v>
      </c>
      <c r="M119" s="40" t="s">
        <v>1226</v>
      </c>
      <c r="N119" s="5">
        <v>1</v>
      </c>
      <c r="O119" s="5">
        <v>1</v>
      </c>
      <c r="P119" s="78">
        <v>3</v>
      </c>
      <c r="Q119" s="78">
        <v>3</v>
      </c>
      <c r="R119" s="41">
        <v>3</v>
      </c>
      <c r="S119" s="31" t="s">
        <v>558</v>
      </c>
      <c r="T119" s="5">
        <v>3</v>
      </c>
      <c r="U119" s="5">
        <v>8</v>
      </c>
      <c r="V119" s="5">
        <v>3</v>
      </c>
      <c r="W119" s="5">
        <v>109</v>
      </c>
      <c r="X119" s="5" t="s">
        <v>1227</v>
      </c>
      <c r="Y119" s="5" t="s">
        <v>1228</v>
      </c>
      <c r="Z119" s="54">
        <v>630065</v>
      </c>
      <c r="AA119" s="54">
        <v>215005</v>
      </c>
      <c r="AB119" s="54">
        <v>50</v>
      </c>
      <c r="AC119" s="54">
        <v>50</v>
      </c>
      <c r="AD119" s="54">
        <v>50</v>
      </c>
      <c r="AE119" s="55">
        <v>205</v>
      </c>
      <c r="AF119" s="55">
        <v>14</v>
      </c>
      <c r="AG119" s="55">
        <v>308</v>
      </c>
      <c r="AH119" s="55">
        <v>131</v>
      </c>
      <c r="AI119" s="62">
        <v>0.018</v>
      </c>
      <c r="AJ119" s="62" t="s">
        <v>154</v>
      </c>
      <c r="AK119" s="62">
        <v>1.016</v>
      </c>
      <c r="AL119" s="62" t="s">
        <v>154</v>
      </c>
      <c r="AM119" s="63" t="s">
        <v>629</v>
      </c>
      <c r="AN119" s="5" t="s">
        <v>1229</v>
      </c>
      <c r="AO119" s="5" t="s">
        <v>1230</v>
      </c>
      <c r="AR119" s="5">
        <v>8</v>
      </c>
      <c r="AS119" s="5" t="s">
        <v>1231</v>
      </c>
      <c r="AT119" s="72"/>
      <c r="AU119" s="41"/>
      <c r="AV119" s="73"/>
      <c r="AW119" s="41"/>
      <c r="AX119" s="41"/>
      <c r="AY119" s="78"/>
      <c r="BA119" s="104">
        <v>3</v>
      </c>
      <c r="BB119" s="5">
        <v>166</v>
      </c>
    </row>
    <row r="120" s="7" customFormat="1" spans="1:54">
      <c r="A120" s="2">
        <v>114</v>
      </c>
      <c r="B120" s="7">
        <v>113066</v>
      </c>
      <c r="C120" s="83">
        <v>113004</v>
      </c>
      <c r="D120" s="83" t="s">
        <v>1232</v>
      </c>
      <c r="E120" s="83" t="s">
        <v>1232</v>
      </c>
      <c r="F120" s="83"/>
      <c r="G120" s="83">
        <v>0</v>
      </c>
      <c r="H120" s="7" t="s">
        <v>1233</v>
      </c>
      <c r="I120" s="7" t="s">
        <v>1234</v>
      </c>
      <c r="J120" s="7" t="s">
        <v>222</v>
      </c>
      <c r="K120" s="7" t="s">
        <v>136</v>
      </c>
      <c r="L120" s="7" t="s">
        <v>137</v>
      </c>
      <c r="M120" s="85" t="s">
        <v>1235</v>
      </c>
      <c r="N120" s="86">
        <v>1</v>
      </c>
      <c r="O120" s="7">
        <v>0</v>
      </c>
      <c r="P120" s="87">
        <v>4</v>
      </c>
      <c r="Q120" s="87">
        <v>4</v>
      </c>
      <c r="R120" s="86">
        <v>2</v>
      </c>
      <c r="S120" s="31" t="s">
        <v>139</v>
      </c>
      <c r="T120" s="7">
        <v>3</v>
      </c>
      <c r="U120" s="7">
        <v>8</v>
      </c>
      <c r="V120" s="7">
        <v>3</v>
      </c>
      <c r="W120" s="7">
        <v>110</v>
      </c>
      <c r="X120" s="86" t="s">
        <v>1236</v>
      </c>
      <c r="Y120" s="86" t="s">
        <v>1237</v>
      </c>
      <c r="Z120" s="92">
        <v>630066</v>
      </c>
      <c r="AA120" s="92">
        <v>215005</v>
      </c>
      <c r="AB120" s="92">
        <v>50</v>
      </c>
      <c r="AC120" s="92">
        <v>50</v>
      </c>
      <c r="AD120" s="92">
        <v>50</v>
      </c>
      <c r="AE120" s="93">
        <v>86</v>
      </c>
      <c r="AF120" s="93">
        <v>24</v>
      </c>
      <c r="AG120" s="93">
        <v>470</v>
      </c>
      <c r="AH120" s="93">
        <v>115</v>
      </c>
      <c r="AI120" s="62">
        <v>0.016</v>
      </c>
      <c r="AJ120" s="62">
        <v>0.01</v>
      </c>
      <c r="AK120" s="62">
        <v>1.02</v>
      </c>
      <c r="AL120" s="62" t="s">
        <v>154</v>
      </c>
      <c r="AM120" s="63" t="s">
        <v>727</v>
      </c>
      <c r="AN120" s="7" t="s">
        <v>1238</v>
      </c>
      <c r="AR120" s="7">
        <v>8</v>
      </c>
      <c r="AS120" s="5" t="s">
        <v>854</v>
      </c>
      <c r="AT120" s="102"/>
      <c r="AU120" s="86"/>
      <c r="AV120" s="103"/>
      <c r="AW120" s="86"/>
      <c r="AX120" s="86"/>
      <c r="AY120" s="105"/>
      <c r="BA120" s="7">
        <v>2</v>
      </c>
      <c r="BB120" s="7">
        <v>167</v>
      </c>
    </row>
    <row r="121" s="7" customFormat="1" spans="3:51">
      <c r="C121" s="83"/>
      <c r="D121" s="83"/>
      <c r="E121" s="83"/>
      <c r="F121" s="83"/>
      <c r="G121" s="83"/>
      <c r="M121" s="85"/>
      <c r="N121" s="86"/>
      <c r="P121" s="87"/>
      <c r="Q121" s="87"/>
      <c r="R121" s="86"/>
      <c r="S121" s="31"/>
      <c r="X121" s="86"/>
      <c r="Y121" s="86"/>
      <c r="Z121" s="92"/>
      <c r="AA121" s="92"/>
      <c r="AB121" s="92"/>
      <c r="AC121" s="92"/>
      <c r="AD121" s="92"/>
      <c r="AE121" s="93"/>
      <c r="AF121" s="93"/>
      <c r="AG121" s="93"/>
      <c r="AH121" s="93"/>
      <c r="AI121" s="62"/>
      <c r="AJ121" s="62"/>
      <c r="AK121" s="62"/>
      <c r="AL121" s="62"/>
      <c r="AM121" s="63"/>
      <c r="AS121" s="5"/>
      <c r="AT121" s="102"/>
      <c r="AU121" s="86"/>
      <c r="AV121" s="103"/>
      <c r="AW121" s="86"/>
      <c r="AX121" s="86"/>
      <c r="AY121" s="105"/>
    </row>
    <row r="122" spans="2:50">
      <c r="B122" s="9">
        <v>121001</v>
      </c>
      <c r="C122" s="9">
        <v>121001</v>
      </c>
      <c r="D122" s="24" t="s">
        <v>1239</v>
      </c>
      <c r="E122" s="9" t="s">
        <v>1240</v>
      </c>
      <c r="F122" s="9"/>
      <c r="G122" s="9">
        <v>0</v>
      </c>
      <c r="H122" s="2"/>
      <c r="I122" s="2"/>
      <c r="J122" s="2"/>
      <c r="K122" s="2"/>
      <c r="L122" s="2"/>
      <c r="M122" s="17"/>
      <c r="N122" s="88">
        <v>0</v>
      </c>
      <c r="O122" s="88">
        <v>0</v>
      </c>
      <c r="P122" s="32">
        <v>1</v>
      </c>
      <c r="Q122" s="32">
        <v>1</v>
      </c>
      <c r="R122" s="88">
        <v>3</v>
      </c>
      <c r="S122" s="31" t="s">
        <v>558</v>
      </c>
      <c r="T122">
        <v>1</v>
      </c>
      <c r="U122">
        <v>1</v>
      </c>
      <c r="V122">
        <v>1</v>
      </c>
      <c r="W122">
        <v>1003</v>
      </c>
      <c r="X122" s="89" t="s">
        <v>1241</v>
      </c>
      <c r="Y122" s="89"/>
      <c r="Z122" s="53">
        <v>9999</v>
      </c>
      <c r="AA122" s="53"/>
      <c r="AB122" s="53">
        <v>1</v>
      </c>
      <c r="AC122" s="53">
        <v>30</v>
      </c>
      <c r="AD122" s="53">
        <v>30</v>
      </c>
      <c r="AE122" s="94">
        <v>50</v>
      </c>
      <c r="AF122" s="94">
        <v>20</v>
      </c>
      <c r="AG122" s="94">
        <v>4000</v>
      </c>
      <c r="AH122" s="94">
        <v>50</v>
      </c>
      <c r="AI122" s="94">
        <v>0</v>
      </c>
      <c r="AJ122" s="94">
        <v>0</v>
      </c>
      <c r="AK122" s="94">
        <v>1</v>
      </c>
      <c r="AL122" s="94">
        <v>0</v>
      </c>
      <c r="AM122" s="98" t="s">
        <v>676</v>
      </c>
      <c r="AW122" s="88"/>
      <c r="AX122" s="88"/>
    </row>
    <row r="123" spans="2:50">
      <c r="B123" s="9">
        <v>121002</v>
      </c>
      <c r="C123" s="9">
        <v>121002</v>
      </c>
      <c r="D123" s="24" t="s">
        <v>1242</v>
      </c>
      <c r="E123" s="9" t="s">
        <v>1243</v>
      </c>
      <c r="F123" s="9"/>
      <c r="G123" s="9">
        <v>0</v>
      </c>
      <c r="H123" s="2"/>
      <c r="I123" s="2"/>
      <c r="J123" s="2"/>
      <c r="K123" s="2"/>
      <c r="L123" s="2"/>
      <c r="M123" s="17"/>
      <c r="N123" s="88">
        <v>0</v>
      </c>
      <c r="O123" s="88">
        <v>0</v>
      </c>
      <c r="P123" s="32">
        <v>1</v>
      </c>
      <c r="Q123" s="32">
        <v>1</v>
      </c>
      <c r="R123" s="88">
        <v>3</v>
      </c>
      <c r="S123" s="31" t="s">
        <v>595</v>
      </c>
      <c r="T123">
        <v>1</v>
      </c>
      <c r="U123">
        <v>1</v>
      </c>
      <c r="V123">
        <v>1</v>
      </c>
      <c r="W123">
        <v>1004</v>
      </c>
      <c r="X123" s="89" t="s">
        <v>1244</v>
      </c>
      <c r="Y123" s="89"/>
      <c r="Z123" s="53">
        <v>9999</v>
      </c>
      <c r="AA123" s="53"/>
      <c r="AB123" s="53">
        <v>30</v>
      </c>
      <c r="AC123" s="53">
        <v>30</v>
      </c>
      <c r="AD123" s="53">
        <v>30</v>
      </c>
      <c r="AE123" s="94">
        <v>50</v>
      </c>
      <c r="AF123" s="94">
        <v>20</v>
      </c>
      <c r="AG123" s="94">
        <v>4000</v>
      </c>
      <c r="AH123" s="94">
        <v>50</v>
      </c>
      <c r="AI123" s="94">
        <v>0</v>
      </c>
      <c r="AJ123" s="94">
        <v>0</v>
      </c>
      <c r="AK123" s="94">
        <v>1</v>
      </c>
      <c r="AL123" s="94">
        <v>0</v>
      </c>
      <c r="AM123" s="98" t="s">
        <v>676</v>
      </c>
      <c r="AW123" s="88"/>
      <c r="AX123" s="88"/>
    </row>
    <row r="124" spans="2:50">
      <c r="B124" s="9">
        <v>121003</v>
      </c>
      <c r="C124" s="9">
        <v>121003</v>
      </c>
      <c r="D124" s="24" t="s">
        <v>1245</v>
      </c>
      <c r="E124" s="9" t="s">
        <v>1245</v>
      </c>
      <c r="F124" s="9"/>
      <c r="G124" s="9">
        <v>0</v>
      </c>
      <c r="H124" s="2"/>
      <c r="I124" s="2"/>
      <c r="J124" s="2"/>
      <c r="K124" s="2"/>
      <c r="L124" s="2"/>
      <c r="M124" s="17"/>
      <c r="N124" s="88">
        <v>0</v>
      </c>
      <c r="O124" s="6">
        <v>1</v>
      </c>
      <c r="P124" s="32">
        <v>1</v>
      </c>
      <c r="Q124" s="32">
        <v>1</v>
      </c>
      <c r="R124" s="88">
        <v>3</v>
      </c>
      <c r="S124" s="31" t="s">
        <v>139</v>
      </c>
      <c r="T124">
        <v>1</v>
      </c>
      <c r="U124">
        <v>1</v>
      </c>
      <c r="V124">
        <v>1</v>
      </c>
      <c r="W124">
        <v>1001</v>
      </c>
      <c r="X124" s="89" t="s">
        <v>1246</v>
      </c>
      <c r="Y124" s="89"/>
      <c r="Z124" s="53">
        <v>9999</v>
      </c>
      <c r="AA124" s="53"/>
      <c r="AB124" s="53">
        <v>30</v>
      </c>
      <c r="AC124" s="53">
        <v>30</v>
      </c>
      <c r="AD124" s="53">
        <v>30</v>
      </c>
      <c r="AE124" s="94">
        <v>50</v>
      </c>
      <c r="AF124" s="94">
        <v>20</v>
      </c>
      <c r="AG124" s="94">
        <v>4000</v>
      </c>
      <c r="AH124" s="94">
        <v>50</v>
      </c>
      <c r="AI124" s="94">
        <v>0</v>
      </c>
      <c r="AJ124" s="94">
        <v>0</v>
      </c>
      <c r="AK124" s="94">
        <v>1</v>
      </c>
      <c r="AL124" s="94">
        <v>0</v>
      </c>
      <c r="AM124" s="98" t="s">
        <v>676</v>
      </c>
      <c r="AW124" s="88"/>
      <c r="AX124" s="88"/>
    </row>
    <row r="125" spans="2:50">
      <c r="B125" s="9">
        <v>121004</v>
      </c>
      <c r="C125" s="9">
        <v>121004</v>
      </c>
      <c r="D125" s="24" t="s">
        <v>1247</v>
      </c>
      <c r="E125" s="9" t="s">
        <v>1247</v>
      </c>
      <c r="F125" s="9"/>
      <c r="G125" s="9">
        <v>0</v>
      </c>
      <c r="H125" s="2"/>
      <c r="I125" s="2"/>
      <c r="J125" s="2"/>
      <c r="K125" s="2"/>
      <c r="L125" s="2"/>
      <c r="M125" s="17"/>
      <c r="N125" s="88">
        <v>0</v>
      </c>
      <c r="O125" s="6">
        <v>1</v>
      </c>
      <c r="P125" s="32">
        <v>1</v>
      </c>
      <c r="Q125" s="32">
        <v>1</v>
      </c>
      <c r="R125" s="88">
        <v>3</v>
      </c>
      <c r="S125" s="31" t="s">
        <v>616</v>
      </c>
      <c r="T125">
        <v>1</v>
      </c>
      <c r="U125">
        <v>1</v>
      </c>
      <c r="V125">
        <v>1</v>
      </c>
      <c r="W125">
        <v>1002</v>
      </c>
      <c r="X125" s="89" t="s">
        <v>1248</v>
      </c>
      <c r="Y125" s="89"/>
      <c r="Z125" s="53">
        <v>9999</v>
      </c>
      <c r="AA125" s="53"/>
      <c r="AB125" s="53">
        <v>30</v>
      </c>
      <c r="AC125" s="53">
        <v>30</v>
      </c>
      <c r="AD125" s="53">
        <v>30</v>
      </c>
      <c r="AE125" s="94">
        <v>50</v>
      </c>
      <c r="AF125" s="94">
        <v>20</v>
      </c>
      <c r="AG125" s="94">
        <v>4000</v>
      </c>
      <c r="AH125" s="94">
        <v>50</v>
      </c>
      <c r="AI125" s="94">
        <v>0</v>
      </c>
      <c r="AJ125" s="94">
        <v>0</v>
      </c>
      <c r="AK125" s="94">
        <v>1</v>
      </c>
      <c r="AL125" s="94">
        <v>0</v>
      </c>
      <c r="AM125" s="98" t="s">
        <v>676</v>
      </c>
      <c r="AW125" s="88"/>
      <c r="AX125" s="88"/>
    </row>
    <row r="126" spans="2:50">
      <c r="B126" s="9">
        <v>121005</v>
      </c>
      <c r="C126" s="9">
        <v>121005</v>
      </c>
      <c r="D126" s="24" t="s">
        <v>1249</v>
      </c>
      <c r="E126" s="9" t="s">
        <v>1249</v>
      </c>
      <c r="F126" s="9"/>
      <c r="G126" s="9">
        <v>0</v>
      </c>
      <c r="H126" s="2"/>
      <c r="I126" s="2"/>
      <c r="J126" s="2"/>
      <c r="K126" s="2"/>
      <c r="L126" s="2"/>
      <c r="M126" s="17"/>
      <c r="N126" s="88">
        <v>0</v>
      </c>
      <c r="O126" s="6">
        <v>1</v>
      </c>
      <c r="P126" s="32">
        <v>1</v>
      </c>
      <c r="Q126" s="32">
        <v>1</v>
      </c>
      <c r="R126" s="88">
        <v>3</v>
      </c>
      <c r="S126" s="31" t="s">
        <v>620</v>
      </c>
      <c r="T126">
        <v>1</v>
      </c>
      <c r="U126">
        <v>1</v>
      </c>
      <c r="V126">
        <v>1</v>
      </c>
      <c r="W126">
        <v>1005</v>
      </c>
      <c r="X126" s="89" t="s">
        <v>1250</v>
      </c>
      <c r="Y126" s="89"/>
      <c r="Z126" s="53">
        <v>9999</v>
      </c>
      <c r="AA126" s="53"/>
      <c r="AB126" s="53">
        <v>30</v>
      </c>
      <c r="AC126" s="53">
        <v>30</v>
      </c>
      <c r="AD126" s="53">
        <v>30</v>
      </c>
      <c r="AE126" s="94">
        <v>50</v>
      </c>
      <c r="AF126" s="94">
        <v>20</v>
      </c>
      <c r="AG126" s="94">
        <v>4000</v>
      </c>
      <c r="AH126" s="94">
        <v>50</v>
      </c>
      <c r="AI126" s="94">
        <v>0</v>
      </c>
      <c r="AJ126" s="94">
        <v>0</v>
      </c>
      <c r="AK126" s="94">
        <v>1</v>
      </c>
      <c r="AL126" s="94">
        <v>0</v>
      </c>
      <c r="AM126" s="98" t="s">
        <v>676</v>
      </c>
      <c r="AW126" s="88"/>
      <c r="AX126" s="88"/>
    </row>
    <row r="127" spans="2:50">
      <c r="B127" s="9">
        <v>121006</v>
      </c>
      <c r="C127" s="9">
        <v>121006</v>
      </c>
      <c r="D127" s="24" t="s">
        <v>1251</v>
      </c>
      <c r="E127" s="9" t="s">
        <v>1251</v>
      </c>
      <c r="F127" s="9"/>
      <c r="G127" s="9">
        <v>0</v>
      </c>
      <c r="H127" s="2"/>
      <c r="I127" s="2"/>
      <c r="J127" s="2"/>
      <c r="K127" s="2"/>
      <c r="L127" s="2"/>
      <c r="M127" s="17"/>
      <c r="N127" s="88">
        <v>0</v>
      </c>
      <c r="O127" s="6">
        <v>1</v>
      </c>
      <c r="P127" s="32">
        <v>1</v>
      </c>
      <c r="Q127" s="32">
        <v>1</v>
      </c>
      <c r="R127" s="88">
        <v>3</v>
      </c>
      <c r="S127" s="31" t="s">
        <v>253</v>
      </c>
      <c r="T127">
        <v>1</v>
      </c>
      <c r="U127">
        <v>1</v>
      </c>
      <c r="V127">
        <v>1</v>
      </c>
      <c r="W127">
        <v>1006</v>
      </c>
      <c r="X127" s="89" t="s">
        <v>1252</v>
      </c>
      <c r="Y127" s="89"/>
      <c r="Z127" s="53">
        <v>9999</v>
      </c>
      <c r="AA127" s="53"/>
      <c r="AB127" s="53">
        <v>30</v>
      </c>
      <c r="AC127" s="53">
        <v>30</v>
      </c>
      <c r="AD127" s="53">
        <v>30</v>
      </c>
      <c r="AE127" s="94">
        <v>50</v>
      </c>
      <c r="AF127" s="94">
        <v>20</v>
      </c>
      <c r="AG127" s="94">
        <v>4000</v>
      </c>
      <c r="AH127" s="94">
        <v>50</v>
      </c>
      <c r="AI127" s="94">
        <v>0</v>
      </c>
      <c r="AJ127" s="94">
        <v>0</v>
      </c>
      <c r="AK127" s="94">
        <v>1</v>
      </c>
      <c r="AL127" s="94">
        <v>0</v>
      </c>
      <c r="AM127" s="98" t="s">
        <v>676</v>
      </c>
      <c r="AW127" s="88"/>
      <c r="AX127" s="88"/>
    </row>
    <row r="128" spans="2:50">
      <c r="B128" s="9">
        <v>121007</v>
      </c>
      <c r="C128" s="9">
        <v>121007</v>
      </c>
      <c r="D128" s="24" t="s">
        <v>1253</v>
      </c>
      <c r="E128" s="9" t="s">
        <v>1254</v>
      </c>
      <c r="F128" s="9"/>
      <c r="G128" s="9">
        <v>0</v>
      </c>
      <c r="H128" s="2"/>
      <c r="I128" s="2"/>
      <c r="J128" s="2"/>
      <c r="K128" s="2"/>
      <c r="L128" s="2"/>
      <c r="M128" s="17"/>
      <c r="N128" s="88">
        <v>0</v>
      </c>
      <c r="O128" s="88">
        <v>0</v>
      </c>
      <c r="P128" s="32">
        <v>1</v>
      </c>
      <c r="Q128" s="32">
        <v>1</v>
      </c>
      <c r="R128" s="88">
        <v>3</v>
      </c>
      <c r="S128" s="31" t="s">
        <v>640</v>
      </c>
      <c r="T128">
        <v>1</v>
      </c>
      <c r="U128">
        <v>1</v>
      </c>
      <c r="V128">
        <v>1</v>
      </c>
      <c r="W128">
        <v>1007</v>
      </c>
      <c r="X128" s="89" t="s">
        <v>1255</v>
      </c>
      <c r="Y128" s="89"/>
      <c r="Z128" s="53">
        <v>9999</v>
      </c>
      <c r="AA128" s="53"/>
      <c r="AB128" s="53">
        <v>30</v>
      </c>
      <c r="AC128" s="53">
        <v>30</v>
      </c>
      <c r="AD128" s="53">
        <v>30</v>
      </c>
      <c r="AE128" s="94">
        <v>50</v>
      </c>
      <c r="AF128" s="94">
        <v>20</v>
      </c>
      <c r="AG128" s="94">
        <v>4000</v>
      </c>
      <c r="AH128" s="94">
        <v>50</v>
      </c>
      <c r="AI128" s="94">
        <v>0</v>
      </c>
      <c r="AJ128" s="94">
        <v>0</v>
      </c>
      <c r="AK128" s="94">
        <v>1</v>
      </c>
      <c r="AL128" s="94">
        <v>0</v>
      </c>
      <c r="AM128" s="98" t="s">
        <v>676</v>
      </c>
      <c r="AW128" s="88"/>
      <c r="AX128" s="88"/>
    </row>
    <row r="129" s="8" customFormat="1" spans="2:51">
      <c r="B129" s="106">
        <v>121008</v>
      </c>
      <c r="C129" s="106">
        <v>121008</v>
      </c>
      <c r="D129" s="24" t="s">
        <v>1256</v>
      </c>
      <c r="E129" s="106" t="s">
        <v>1256</v>
      </c>
      <c r="F129" s="106"/>
      <c r="G129" s="106">
        <v>0</v>
      </c>
      <c r="H129" s="2"/>
      <c r="I129" s="2"/>
      <c r="J129" s="2"/>
      <c r="K129" s="2"/>
      <c r="L129" s="2"/>
      <c r="M129" s="108"/>
      <c r="N129" s="109">
        <v>0</v>
      </c>
      <c r="O129" s="109">
        <v>0</v>
      </c>
      <c r="P129" s="32">
        <v>1</v>
      </c>
      <c r="Q129" s="32">
        <v>1</v>
      </c>
      <c r="R129" s="109">
        <v>2</v>
      </c>
      <c r="S129" s="31" t="s">
        <v>139</v>
      </c>
      <c r="T129" s="8">
        <v>1</v>
      </c>
      <c r="U129" s="8">
        <v>1</v>
      </c>
      <c r="V129" s="8">
        <v>1</v>
      </c>
      <c r="W129" s="8">
        <v>1008</v>
      </c>
      <c r="X129" s="110" t="s">
        <v>1257</v>
      </c>
      <c r="Y129" s="110"/>
      <c r="Z129" s="111">
        <v>9999</v>
      </c>
      <c r="AA129" s="111"/>
      <c r="AB129" s="111">
        <v>30</v>
      </c>
      <c r="AC129" s="111">
        <v>30</v>
      </c>
      <c r="AD129" s="111">
        <v>30</v>
      </c>
      <c r="AE129" s="112">
        <v>50</v>
      </c>
      <c r="AF129" s="112">
        <v>20</v>
      </c>
      <c r="AG129" s="112">
        <v>4000</v>
      </c>
      <c r="AH129" s="112">
        <v>50</v>
      </c>
      <c r="AI129" s="112">
        <v>0</v>
      </c>
      <c r="AJ129" s="112">
        <v>0</v>
      </c>
      <c r="AK129" s="112">
        <v>1</v>
      </c>
      <c r="AL129" s="112">
        <v>0</v>
      </c>
      <c r="AM129" s="113" t="s">
        <v>676</v>
      </c>
      <c r="AS129" s="108"/>
      <c r="AT129" s="108"/>
      <c r="AU129" s="108"/>
      <c r="AV129" s="114"/>
      <c r="AW129" s="109"/>
      <c r="AX129" s="109"/>
      <c r="AY129" s="115"/>
    </row>
    <row r="130" spans="2:50">
      <c r="B130" s="9">
        <v>121009</v>
      </c>
      <c r="C130" s="9">
        <v>121009</v>
      </c>
      <c r="D130" s="24" t="s">
        <v>1258</v>
      </c>
      <c r="E130" s="9" t="s">
        <v>1258</v>
      </c>
      <c r="F130" s="9"/>
      <c r="G130" s="9">
        <v>0</v>
      </c>
      <c r="H130" s="2"/>
      <c r="I130" s="2"/>
      <c r="J130" s="2"/>
      <c r="K130" s="2"/>
      <c r="L130" s="2"/>
      <c r="M130" s="17"/>
      <c r="N130" s="88">
        <v>0</v>
      </c>
      <c r="O130" s="88">
        <v>0</v>
      </c>
      <c r="P130" s="32">
        <v>1</v>
      </c>
      <c r="Q130" s="32">
        <v>1</v>
      </c>
      <c r="R130" s="88">
        <v>2</v>
      </c>
      <c r="S130" s="31" t="s">
        <v>139</v>
      </c>
      <c r="T130">
        <v>1</v>
      </c>
      <c r="U130">
        <v>1</v>
      </c>
      <c r="V130">
        <v>1</v>
      </c>
      <c r="W130">
        <v>1009</v>
      </c>
      <c r="X130" s="89" t="s">
        <v>1259</v>
      </c>
      <c r="Y130" s="89"/>
      <c r="Z130" s="53">
        <v>9999</v>
      </c>
      <c r="AA130" s="53"/>
      <c r="AB130" s="53">
        <v>30</v>
      </c>
      <c r="AC130" s="53">
        <v>30</v>
      </c>
      <c r="AD130" s="53">
        <v>30</v>
      </c>
      <c r="AE130" s="94">
        <v>50</v>
      </c>
      <c r="AF130" s="94">
        <v>20</v>
      </c>
      <c r="AG130" s="94">
        <v>4000</v>
      </c>
      <c r="AH130" s="94">
        <v>50</v>
      </c>
      <c r="AI130" s="94">
        <v>0</v>
      </c>
      <c r="AJ130" s="94">
        <v>0</v>
      </c>
      <c r="AK130" s="94">
        <v>1</v>
      </c>
      <c r="AL130" s="94">
        <v>0</v>
      </c>
      <c r="AM130" s="98" t="s">
        <v>676</v>
      </c>
      <c r="AW130" s="88"/>
      <c r="AX130" s="88"/>
    </row>
    <row r="131" spans="2:50">
      <c r="B131" s="9">
        <v>121010</v>
      </c>
      <c r="C131" s="9">
        <v>121010</v>
      </c>
      <c r="D131" s="24" t="s">
        <v>1260</v>
      </c>
      <c r="E131" s="9" t="s">
        <v>1260</v>
      </c>
      <c r="F131" s="9"/>
      <c r="G131" s="9">
        <v>0</v>
      </c>
      <c r="H131" s="2"/>
      <c r="I131" s="2"/>
      <c r="J131" s="2"/>
      <c r="K131" s="2"/>
      <c r="L131" s="2"/>
      <c r="M131" s="17"/>
      <c r="N131" s="88">
        <v>0</v>
      </c>
      <c r="O131" s="6">
        <v>1</v>
      </c>
      <c r="P131" s="32">
        <v>1</v>
      </c>
      <c r="Q131" s="32">
        <v>1</v>
      </c>
      <c r="R131" s="88">
        <v>2</v>
      </c>
      <c r="S131" s="31" t="s">
        <v>558</v>
      </c>
      <c r="T131">
        <v>1</v>
      </c>
      <c r="U131">
        <v>1</v>
      </c>
      <c r="V131">
        <v>1</v>
      </c>
      <c r="W131">
        <v>1010</v>
      </c>
      <c r="X131" s="89" t="s">
        <v>1261</v>
      </c>
      <c r="Y131" s="89"/>
      <c r="Z131" s="53">
        <v>9999</v>
      </c>
      <c r="AA131" s="53"/>
      <c r="AB131" s="53">
        <v>30</v>
      </c>
      <c r="AC131" s="53">
        <v>30</v>
      </c>
      <c r="AD131" s="53">
        <v>30</v>
      </c>
      <c r="AE131" s="94">
        <v>50</v>
      </c>
      <c r="AF131" s="94">
        <v>20</v>
      </c>
      <c r="AG131" s="94">
        <v>4000</v>
      </c>
      <c r="AH131" s="94">
        <v>50</v>
      </c>
      <c r="AI131" s="94">
        <v>0</v>
      </c>
      <c r="AJ131" s="94">
        <v>0</v>
      </c>
      <c r="AK131" s="94">
        <v>1</v>
      </c>
      <c r="AL131" s="94">
        <v>0</v>
      </c>
      <c r="AM131" s="98" t="s">
        <v>676</v>
      </c>
      <c r="AW131" s="88"/>
      <c r="AX131" s="88"/>
    </row>
    <row r="132" spans="2:50">
      <c r="B132" s="9">
        <v>121011</v>
      </c>
      <c r="C132" s="9">
        <v>121011</v>
      </c>
      <c r="D132" s="24" t="s">
        <v>1262</v>
      </c>
      <c r="E132" s="9" t="s">
        <v>1263</v>
      </c>
      <c r="F132" s="9"/>
      <c r="G132" s="9">
        <v>0</v>
      </c>
      <c r="H132" s="2"/>
      <c r="I132" s="2"/>
      <c r="J132" s="2"/>
      <c r="K132" s="2"/>
      <c r="L132" s="2"/>
      <c r="M132" s="17"/>
      <c r="N132" s="88">
        <v>0</v>
      </c>
      <c r="O132" s="6">
        <v>1</v>
      </c>
      <c r="P132" s="32">
        <v>1</v>
      </c>
      <c r="Q132" s="32">
        <v>1</v>
      </c>
      <c r="R132" s="88">
        <v>8</v>
      </c>
      <c r="S132" s="31" t="s">
        <v>686</v>
      </c>
      <c r="T132">
        <v>1</v>
      </c>
      <c r="U132">
        <v>1</v>
      </c>
      <c r="V132">
        <v>1</v>
      </c>
      <c r="W132">
        <v>1011</v>
      </c>
      <c r="X132" s="89" t="s">
        <v>1264</v>
      </c>
      <c r="Y132" s="89"/>
      <c r="Z132" s="53">
        <v>9999</v>
      </c>
      <c r="AA132" s="53"/>
      <c r="AB132" s="53">
        <v>30</v>
      </c>
      <c r="AC132" s="53">
        <v>30</v>
      </c>
      <c r="AD132" s="53">
        <v>30</v>
      </c>
      <c r="AE132" s="94">
        <v>50</v>
      </c>
      <c r="AF132" s="94">
        <v>20</v>
      </c>
      <c r="AG132" s="94">
        <v>4000</v>
      </c>
      <c r="AH132" s="94">
        <v>50</v>
      </c>
      <c r="AI132" s="58">
        <v>0</v>
      </c>
      <c r="AJ132" s="58">
        <v>0</v>
      </c>
      <c r="AK132" s="58">
        <v>1</v>
      </c>
      <c r="AL132" s="58">
        <v>0</v>
      </c>
      <c r="AM132" s="59" t="s">
        <v>676</v>
      </c>
      <c r="AW132" s="88"/>
      <c r="AX132" s="88"/>
    </row>
    <row r="133" spans="2:50">
      <c r="B133" s="9">
        <v>121012</v>
      </c>
      <c r="C133" s="9">
        <v>121012</v>
      </c>
      <c r="D133" s="24" t="s">
        <v>1265</v>
      </c>
      <c r="E133" s="9" t="s">
        <v>1265</v>
      </c>
      <c r="F133" s="9"/>
      <c r="G133" s="9">
        <v>0</v>
      </c>
      <c r="H133" s="2"/>
      <c r="I133" s="2"/>
      <c r="J133" s="2"/>
      <c r="K133" s="2"/>
      <c r="L133" s="2"/>
      <c r="M133" s="17"/>
      <c r="N133" s="88">
        <v>0</v>
      </c>
      <c r="O133" s="6">
        <v>1</v>
      </c>
      <c r="P133" s="32">
        <v>1</v>
      </c>
      <c r="Q133" s="32">
        <v>1</v>
      </c>
      <c r="R133" s="88">
        <v>8</v>
      </c>
      <c r="S133" s="31" t="s">
        <v>139</v>
      </c>
      <c r="T133">
        <v>1</v>
      </c>
      <c r="U133">
        <v>1</v>
      </c>
      <c r="V133">
        <v>1</v>
      </c>
      <c r="W133">
        <v>1012</v>
      </c>
      <c r="X133" s="89" t="s">
        <v>1266</v>
      </c>
      <c r="Y133" s="89"/>
      <c r="Z133" s="53">
        <v>9999</v>
      </c>
      <c r="AA133" s="53"/>
      <c r="AB133" s="53">
        <v>30</v>
      </c>
      <c r="AC133" s="53">
        <v>30</v>
      </c>
      <c r="AD133" s="53">
        <v>30</v>
      </c>
      <c r="AE133" s="94">
        <v>50</v>
      </c>
      <c r="AF133" s="94">
        <v>20</v>
      </c>
      <c r="AG133" s="94">
        <v>4000</v>
      </c>
      <c r="AH133" s="94">
        <v>50</v>
      </c>
      <c r="AI133" s="58">
        <v>0</v>
      </c>
      <c r="AJ133" s="58">
        <v>0</v>
      </c>
      <c r="AK133" s="58">
        <v>1</v>
      </c>
      <c r="AL133" s="58">
        <v>0</v>
      </c>
      <c r="AM133" s="59" t="s">
        <v>676</v>
      </c>
      <c r="AW133" s="88"/>
      <c r="AX133" s="88"/>
    </row>
    <row r="134" spans="2:50">
      <c r="B134" s="9">
        <v>121013</v>
      </c>
      <c r="C134" s="9">
        <v>121013</v>
      </c>
      <c r="D134" s="24" t="s">
        <v>1267</v>
      </c>
      <c r="E134" s="9" t="s">
        <v>1267</v>
      </c>
      <c r="F134" s="9"/>
      <c r="G134" s="9">
        <v>0</v>
      </c>
      <c r="H134" s="2"/>
      <c r="I134" s="2"/>
      <c r="J134" s="2"/>
      <c r="K134" s="2"/>
      <c r="L134" s="2"/>
      <c r="M134" s="17"/>
      <c r="N134" s="88">
        <v>0</v>
      </c>
      <c r="O134" s="88">
        <v>0</v>
      </c>
      <c r="P134" s="32">
        <v>1</v>
      </c>
      <c r="Q134" s="32">
        <v>1</v>
      </c>
      <c r="R134" s="88">
        <v>2</v>
      </c>
      <c r="S134" s="31" t="s">
        <v>711</v>
      </c>
      <c r="T134">
        <v>1</v>
      </c>
      <c r="U134">
        <v>1</v>
      </c>
      <c r="V134">
        <v>1</v>
      </c>
      <c r="W134">
        <v>1020</v>
      </c>
      <c r="X134" s="89" t="s">
        <v>1268</v>
      </c>
      <c r="Y134" s="89"/>
      <c r="Z134" s="53">
        <v>9999</v>
      </c>
      <c r="AA134" s="53"/>
      <c r="AB134" s="53">
        <v>30</v>
      </c>
      <c r="AC134" s="53">
        <v>30</v>
      </c>
      <c r="AD134" s="53">
        <v>30</v>
      </c>
      <c r="AE134" s="94">
        <v>50</v>
      </c>
      <c r="AF134" s="94">
        <v>20</v>
      </c>
      <c r="AG134" s="94">
        <v>4000</v>
      </c>
      <c r="AH134" s="94">
        <v>50</v>
      </c>
      <c r="AI134" s="58">
        <v>0</v>
      </c>
      <c r="AJ134" s="58">
        <v>0</v>
      </c>
      <c r="AK134" s="58">
        <v>1</v>
      </c>
      <c r="AL134" s="58">
        <v>0</v>
      </c>
      <c r="AM134" s="59" t="s">
        <v>676</v>
      </c>
      <c r="AW134" s="88"/>
      <c r="AX134" s="88"/>
    </row>
    <row r="135" spans="2:50">
      <c r="B135" s="9">
        <v>121014</v>
      </c>
      <c r="C135" s="9">
        <v>121014</v>
      </c>
      <c r="D135" s="24" t="s">
        <v>1269</v>
      </c>
      <c r="E135" s="9" t="s">
        <v>1270</v>
      </c>
      <c r="F135" s="9"/>
      <c r="G135" s="9">
        <v>0</v>
      </c>
      <c r="H135" s="2"/>
      <c r="I135" s="2"/>
      <c r="J135" s="2"/>
      <c r="K135" s="2"/>
      <c r="L135" s="2"/>
      <c r="M135" s="17"/>
      <c r="N135" s="88">
        <v>0</v>
      </c>
      <c r="O135" s="88">
        <v>0</v>
      </c>
      <c r="P135" s="32">
        <v>1</v>
      </c>
      <c r="Q135" s="32">
        <v>1</v>
      </c>
      <c r="R135" s="88">
        <v>3</v>
      </c>
      <c r="S135" s="31" t="s">
        <v>139</v>
      </c>
      <c r="T135">
        <v>1</v>
      </c>
      <c r="U135">
        <v>1</v>
      </c>
      <c r="V135">
        <v>1</v>
      </c>
      <c r="W135">
        <v>1013</v>
      </c>
      <c r="X135" s="89" t="s">
        <v>1271</v>
      </c>
      <c r="Y135" s="89"/>
      <c r="Z135" s="53">
        <v>9999</v>
      </c>
      <c r="AA135" s="53"/>
      <c r="AB135" s="53">
        <v>30</v>
      </c>
      <c r="AC135" s="53">
        <v>30</v>
      </c>
      <c r="AD135" s="53">
        <v>30</v>
      </c>
      <c r="AE135" s="94">
        <v>50</v>
      </c>
      <c r="AF135" s="94">
        <v>20</v>
      </c>
      <c r="AG135" s="94">
        <v>4000</v>
      </c>
      <c r="AH135" s="94">
        <v>50</v>
      </c>
      <c r="AI135" s="58">
        <v>0</v>
      </c>
      <c r="AJ135" s="58">
        <v>0</v>
      </c>
      <c r="AK135" s="58">
        <v>1</v>
      </c>
      <c r="AL135" s="58">
        <v>0</v>
      </c>
      <c r="AM135" s="59" t="s">
        <v>676</v>
      </c>
      <c r="AW135" s="88"/>
      <c r="AX135" s="88"/>
    </row>
    <row r="136" spans="2:50">
      <c r="B136" s="9">
        <v>121015</v>
      </c>
      <c r="C136" s="9">
        <v>121015</v>
      </c>
      <c r="D136" s="24" t="s">
        <v>1272</v>
      </c>
      <c r="E136" s="9" t="s">
        <v>1273</v>
      </c>
      <c r="F136" s="9"/>
      <c r="G136" s="9">
        <v>0</v>
      </c>
      <c r="H136" s="2"/>
      <c r="I136" s="2"/>
      <c r="J136" s="2"/>
      <c r="K136" s="2"/>
      <c r="L136" s="2"/>
      <c r="M136" s="17"/>
      <c r="N136" s="88">
        <v>0</v>
      </c>
      <c r="O136" s="88">
        <v>0</v>
      </c>
      <c r="P136" s="32">
        <v>1</v>
      </c>
      <c r="Q136" s="32">
        <v>1</v>
      </c>
      <c r="R136" s="88">
        <v>3</v>
      </c>
      <c r="S136" s="31" t="s">
        <v>736</v>
      </c>
      <c r="T136">
        <v>1</v>
      </c>
      <c r="U136">
        <v>1</v>
      </c>
      <c r="V136">
        <v>1</v>
      </c>
      <c r="W136">
        <v>1014</v>
      </c>
      <c r="X136" s="89" t="s">
        <v>1274</v>
      </c>
      <c r="Y136" s="89"/>
      <c r="Z136" s="53">
        <v>9999</v>
      </c>
      <c r="AA136" s="53"/>
      <c r="AB136" s="53">
        <v>30</v>
      </c>
      <c r="AC136" s="53">
        <v>30</v>
      </c>
      <c r="AD136" s="53">
        <v>30</v>
      </c>
      <c r="AE136" s="94">
        <v>50</v>
      </c>
      <c r="AF136" s="94">
        <v>20</v>
      </c>
      <c r="AG136" s="94">
        <v>4000</v>
      </c>
      <c r="AH136" s="94">
        <v>50</v>
      </c>
      <c r="AI136" s="58">
        <v>0</v>
      </c>
      <c r="AJ136" s="58">
        <v>0</v>
      </c>
      <c r="AK136" s="58">
        <v>1</v>
      </c>
      <c r="AL136" s="58">
        <v>0</v>
      </c>
      <c r="AM136" s="59" t="s">
        <v>676</v>
      </c>
      <c r="AW136" s="88"/>
      <c r="AX136" s="88"/>
    </row>
    <row r="137" spans="2:50">
      <c r="B137" s="9">
        <v>121016</v>
      </c>
      <c r="C137" s="9">
        <v>121016</v>
      </c>
      <c r="D137" s="24" t="s">
        <v>1275</v>
      </c>
      <c r="E137" s="9" t="s">
        <v>1276</v>
      </c>
      <c r="F137" s="9"/>
      <c r="G137" s="9">
        <v>0</v>
      </c>
      <c r="H137" s="2"/>
      <c r="I137" s="2"/>
      <c r="J137" s="2"/>
      <c r="K137" s="2"/>
      <c r="L137" s="2"/>
      <c r="M137" s="17"/>
      <c r="N137" s="88">
        <v>0</v>
      </c>
      <c r="O137" s="88">
        <v>0</v>
      </c>
      <c r="P137" s="32">
        <v>1</v>
      </c>
      <c r="Q137" s="32">
        <v>1</v>
      </c>
      <c r="R137" s="88">
        <v>3</v>
      </c>
      <c r="S137" s="31" t="s">
        <v>300</v>
      </c>
      <c r="T137">
        <v>1</v>
      </c>
      <c r="U137">
        <v>1</v>
      </c>
      <c r="V137">
        <v>1</v>
      </c>
      <c r="W137">
        <v>1015</v>
      </c>
      <c r="X137" s="89" t="s">
        <v>1277</v>
      </c>
      <c r="Y137" s="89"/>
      <c r="Z137" s="53">
        <v>9999</v>
      </c>
      <c r="AA137" s="53"/>
      <c r="AB137" s="53">
        <v>30</v>
      </c>
      <c r="AC137" s="53">
        <v>30</v>
      </c>
      <c r="AD137" s="53">
        <v>30</v>
      </c>
      <c r="AE137" s="94">
        <v>50</v>
      </c>
      <c r="AF137" s="94">
        <v>20</v>
      </c>
      <c r="AG137" s="94">
        <v>4000</v>
      </c>
      <c r="AH137" s="94">
        <v>50</v>
      </c>
      <c r="AI137" s="58">
        <v>0</v>
      </c>
      <c r="AJ137" s="58">
        <v>0</v>
      </c>
      <c r="AK137" s="58">
        <v>1</v>
      </c>
      <c r="AL137" s="58">
        <v>0</v>
      </c>
      <c r="AM137" s="59" t="s">
        <v>676</v>
      </c>
      <c r="AW137" s="88"/>
      <c r="AX137" s="88"/>
    </row>
    <row r="138" s="8" customFormat="1" spans="2:51">
      <c r="B138" s="106">
        <v>121017</v>
      </c>
      <c r="C138" s="106">
        <v>121017</v>
      </c>
      <c r="D138" s="24" t="s">
        <v>1278</v>
      </c>
      <c r="E138" s="106" t="s">
        <v>1279</v>
      </c>
      <c r="F138" s="106"/>
      <c r="G138" s="106">
        <v>0</v>
      </c>
      <c r="H138" s="2"/>
      <c r="I138" s="2"/>
      <c r="J138" s="2"/>
      <c r="K138" s="2"/>
      <c r="L138" s="2"/>
      <c r="M138" s="108"/>
      <c r="N138" s="109">
        <v>0</v>
      </c>
      <c r="O138" s="109">
        <v>0</v>
      </c>
      <c r="P138" s="32">
        <v>1</v>
      </c>
      <c r="Q138" s="32">
        <v>1</v>
      </c>
      <c r="R138" s="109">
        <v>3</v>
      </c>
      <c r="S138" s="31" t="s">
        <v>736</v>
      </c>
      <c r="T138" s="8">
        <v>1</v>
      </c>
      <c r="U138" s="8">
        <v>1</v>
      </c>
      <c r="V138" s="8">
        <v>1</v>
      </c>
      <c r="W138" s="8">
        <v>1023</v>
      </c>
      <c r="X138" s="110" t="s">
        <v>1280</v>
      </c>
      <c r="Y138" s="110"/>
      <c r="Z138" s="111">
        <v>9999</v>
      </c>
      <c r="AA138" s="111"/>
      <c r="AB138" s="111">
        <v>30</v>
      </c>
      <c r="AC138" s="111">
        <v>30</v>
      </c>
      <c r="AD138" s="111">
        <v>30</v>
      </c>
      <c r="AE138" s="112">
        <v>50</v>
      </c>
      <c r="AF138" s="112">
        <v>20</v>
      </c>
      <c r="AG138" s="112">
        <v>4000</v>
      </c>
      <c r="AH138" s="112">
        <v>50</v>
      </c>
      <c r="AI138" s="112">
        <v>0</v>
      </c>
      <c r="AJ138" s="112">
        <v>0</v>
      </c>
      <c r="AK138" s="112">
        <v>1</v>
      </c>
      <c r="AL138" s="112">
        <v>0</v>
      </c>
      <c r="AM138" s="113" t="s">
        <v>676</v>
      </c>
      <c r="AS138" s="108"/>
      <c r="AT138" s="108"/>
      <c r="AU138" s="108"/>
      <c r="AV138" s="114"/>
      <c r="AW138" s="109"/>
      <c r="AX138" s="109"/>
      <c r="AY138" s="115"/>
    </row>
    <row r="139" spans="2:50">
      <c r="B139" s="9">
        <v>121018</v>
      </c>
      <c r="C139" s="9">
        <v>121018</v>
      </c>
      <c r="D139" s="24" t="s">
        <v>1281</v>
      </c>
      <c r="E139" s="9" t="s">
        <v>1282</v>
      </c>
      <c r="F139" s="9"/>
      <c r="G139" s="9">
        <v>0</v>
      </c>
      <c r="H139" s="2"/>
      <c r="I139" s="2"/>
      <c r="J139" s="2"/>
      <c r="K139" s="2"/>
      <c r="L139" s="2"/>
      <c r="M139" s="17"/>
      <c r="N139" s="88">
        <v>0</v>
      </c>
      <c r="O139" s="88">
        <v>0</v>
      </c>
      <c r="P139" s="32">
        <v>1</v>
      </c>
      <c r="Q139" s="32">
        <v>1</v>
      </c>
      <c r="R139" s="88">
        <v>3</v>
      </c>
      <c r="S139" s="31" t="s">
        <v>736</v>
      </c>
      <c r="T139">
        <v>1</v>
      </c>
      <c r="U139">
        <v>1</v>
      </c>
      <c r="V139">
        <v>1</v>
      </c>
      <c r="W139">
        <v>1021</v>
      </c>
      <c r="X139" s="89" t="s">
        <v>1283</v>
      </c>
      <c r="Y139" s="89"/>
      <c r="Z139" s="53">
        <v>9999</v>
      </c>
      <c r="AA139" s="53"/>
      <c r="AB139" s="53">
        <v>30</v>
      </c>
      <c r="AC139" s="53">
        <v>30</v>
      </c>
      <c r="AD139" s="53">
        <v>30</v>
      </c>
      <c r="AE139" s="94">
        <v>50</v>
      </c>
      <c r="AF139" s="94">
        <v>20</v>
      </c>
      <c r="AG139" s="94">
        <v>4000</v>
      </c>
      <c r="AH139" s="94">
        <v>50</v>
      </c>
      <c r="AI139" s="58">
        <v>0</v>
      </c>
      <c r="AJ139" s="58">
        <v>0</v>
      </c>
      <c r="AK139" s="58">
        <v>1</v>
      </c>
      <c r="AL139" s="58">
        <v>0</v>
      </c>
      <c r="AM139" s="59" t="s">
        <v>676</v>
      </c>
      <c r="AW139" s="88"/>
      <c r="AX139" s="88"/>
    </row>
    <row r="140" spans="2:50">
      <c r="B140" s="9">
        <v>121019</v>
      </c>
      <c r="C140" s="9">
        <v>121019</v>
      </c>
      <c r="D140" s="24" t="s">
        <v>1284</v>
      </c>
      <c r="E140" s="9" t="s">
        <v>1285</v>
      </c>
      <c r="F140" s="9"/>
      <c r="G140" s="9">
        <v>0</v>
      </c>
      <c r="H140" s="2"/>
      <c r="I140" s="2"/>
      <c r="J140" s="2"/>
      <c r="K140" s="2"/>
      <c r="L140" s="2"/>
      <c r="M140" s="17"/>
      <c r="N140" s="88">
        <v>0</v>
      </c>
      <c r="O140" s="88">
        <v>0</v>
      </c>
      <c r="P140" s="32">
        <v>1</v>
      </c>
      <c r="Q140" s="32">
        <v>1</v>
      </c>
      <c r="R140" s="88">
        <v>3</v>
      </c>
      <c r="S140" s="31" t="s">
        <v>595</v>
      </c>
      <c r="T140">
        <v>1</v>
      </c>
      <c r="U140">
        <v>1</v>
      </c>
      <c r="V140">
        <v>1</v>
      </c>
      <c r="W140">
        <v>1022</v>
      </c>
      <c r="X140" s="89" t="s">
        <v>1283</v>
      </c>
      <c r="Y140" s="89"/>
      <c r="Z140" s="53">
        <v>9999</v>
      </c>
      <c r="AA140" s="53"/>
      <c r="AB140" s="53">
        <v>30</v>
      </c>
      <c r="AC140" s="53">
        <v>30</v>
      </c>
      <c r="AD140" s="53">
        <v>30</v>
      </c>
      <c r="AE140" s="94">
        <v>50</v>
      </c>
      <c r="AF140" s="94">
        <v>20</v>
      </c>
      <c r="AG140" s="94">
        <v>4000</v>
      </c>
      <c r="AH140" s="94">
        <v>50</v>
      </c>
      <c r="AI140" s="58">
        <v>0</v>
      </c>
      <c r="AJ140" s="58">
        <v>0</v>
      </c>
      <c r="AK140" s="58">
        <v>1</v>
      </c>
      <c r="AL140" s="58">
        <v>0</v>
      </c>
      <c r="AM140" s="59" t="s">
        <v>676</v>
      </c>
      <c r="AW140" s="88"/>
      <c r="AX140" s="88"/>
    </row>
    <row r="141" spans="2:50">
      <c r="B141" s="9">
        <v>121020</v>
      </c>
      <c r="C141" s="9">
        <v>121020</v>
      </c>
      <c r="D141" s="24" t="s">
        <v>1286</v>
      </c>
      <c r="E141" s="9" t="s">
        <v>1287</v>
      </c>
      <c r="F141" s="9"/>
      <c r="G141" s="9">
        <v>0</v>
      </c>
      <c r="H141" s="2"/>
      <c r="I141" s="2"/>
      <c r="J141" s="2"/>
      <c r="K141" s="2"/>
      <c r="L141" s="2"/>
      <c r="M141" s="17"/>
      <c r="N141" s="88">
        <v>0</v>
      </c>
      <c r="O141" s="88">
        <v>0</v>
      </c>
      <c r="P141" s="32">
        <v>1</v>
      </c>
      <c r="Q141" s="32">
        <v>1</v>
      </c>
      <c r="R141" s="88">
        <v>3</v>
      </c>
      <c r="S141" s="31" t="s">
        <v>786</v>
      </c>
      <c r="T141">
        <v>1</v>
      </c>
      <c r="U141">
        <v>1</v>
      </c>
      <c r="V141">
        <v>1</v>
      </c>
      <c r="W141">
        <v>1025</v>
      </c>
      <c r="X141" s="89" t="s">
        <v>1288</v>
      </c>
      <c r="Y141" s="89"/>
      <c r="Z141" s="53">
        <v>9999</v>
      </c>
      <c r="AA141" s="53"/>
      <c r="AB141" s="53">
        <v>30</v>
      </c>
      <c r="AC141" s="53">
        <v>30</v>
      </c>
      <c r="AD141" s="53">
        <v>30</v>
      </c>
      <c r="AE141" s="94">
        <v>50</v>
      </c>
      <c r="AF141" s="94">
        <v>20</v>
      </c>
      <c r="AG141" s="94">
        <v>4000</v>
      </c>
      <c r="AH141" s="94">
        <v>50</v>
      </c>
      <c r="AI141" s="58">
        <v>0</v>
      </c>
      <c r="AJ141" s="58">
        <v>0</v>
      </c>
      <c r="AK141" s="58">
        <v>1</v>
      </c>
      <c r="AL141" s="58">
        <v>0</v>
      </c>
      <c r="AM141" s="59" t="s">
        <v>676</v>
      </c>
      <c r="AW141" s="88"/>
      <c r="AX141" s="88"/>
    </row>
    <row r="142" spans="2:50">
      <c r="B142" s="9">
        <v>121021</v>
      </c>
      <c r="C142" s="9">
        <v>121021</v>
      </c>
      <c r="D142" s="24" t="s">
        <v>1289</v>
      </c>
      <c r="E142" s="9" t="s">
        <v>1289</v>
      </c>
      <c r="F142" s="9"/>
      <c r="G142" s="9">
        <v>0</v>
      </c>
      <c r="H142" s="2"/>
      <c r="I142" s="2"/>
      <c r="J142" s="2"/>
      <c r="K142" s="2"/>
      <c r="L142" s="2"/>
      <c r="M142" s="17"/>
      <c r="N142" s="88">
        <v>0</v>
      </c>
      <c r="O142" s="6">
        <v>1</v>
      </c>
      <c r="P142" s="32">
        <v>1</v>
      </c>
      <c r="Q142" s="32">
        <v>1</v>
      </c>
      <c r="R142" s="88">
        <v>3</v>
      </c>
      <c r="S142" s="31" t="s">
        <v>796</v>
      </c>
      <c r="T142">
        <v>1</v>
      </c>
      <c r="U142">
        <v>1</v>
      </c>
      <c r="V142">
        <v>1</v>
      </c>
      <c r="W142">
        <v>1017</v>
      </c>
      <c r="X142" s="89" t="s">
        <v>1290</v>
      </c>
      <c r="Y142" s="89"/>
      <c r="Z142" s="53">
        <v>9999</v>
      </c>
      <c r="AA142" s="53"/>
      <c r="AB142" s="53">
        <v>30</v>
      </c>
      <c r="AC142" s="53">
        <v>30</v>
      </c>
      <c r="AD142" s="53">
        <v>30</v>
      </c>
      <c r="AE142" s="94">
        <v>50</v>
      </c>
      <c r="AF142" s="94">
        <v>20</v>
      </c>
      <c r="AG142" s="94">
        <v>4000</v>
      </c>
      <c r="AH142" s="94">
        <v>50</v>
      </c>
      <c r="AI142" s="58">
        <v>0</v>
      </c>
      <c r="AJ142" s="58">
        <v>0</v>
      </c>
      <c r="AK142" s="58">
        <v>1</v>
      </c>
      <c r="AL142" s="58">
        <v>0</v>
      </c>
      <c r="AM142" s="59" t="s">
        <v>676</v>
      </c>
      <c r="AW142" s="88"/>
      <c r="AX142" s="88"/>
    </row>
    <row r="143" spans="2:50">
      <c r="B143" s="9">
        <v>121022</v>
      </c>
      <c r="C143" s="9">
        <v>121022</v>
      </c>
      <c r="D143" s="24" t="s">
        <v>1291</v>
      </c>
      <c r="E143" s="9" t="s">
        <v>1291</v>
      </c>
      <c r="F143" s="9"/>
      <c r="G143" s="9">
        <v>0</v>
      </c>
      <c r="H143" s="2"/>
      <c r="I143" s="2"/>
      <c r="J143" s="2"/>
      <c r="K143" s="2"/>
      <c r="L143" s="2"/>
      <c r="M143" s="17"/>
      <c r="N143" s="88">
        <v>0</v>
      </c>
      <c r="O143" s="6">
        <v>1</v>
      </c>
      <c r="P143" s="32">
        <v>1</v>
      </c>
      <c r="Q143" s="32">
        <v>1</v>
      </c>
      <c r="R143" s="88">
        <v>3</v>
      </c>
      <c r="S143" s="31" t="s">
        <v>139</v>
      </c>
      <c r="T143">
        <v>1</v>
      </c>
      <c r="U143">
        <v>1</v>
      </c>
      <c r="V143">
        <v>1</v>
      </c>
      <c r="W143">
        <v>1016</v>
      </c>
      <c r="X143" s="89" t="s">
        <v>1292</v>
      </c>
      <c r="Y143" s="89"/>
      <c r="Z143" s="53">
        <v>9999</v>
      </c>
      <c r="AA143" s="53"/>
      <c r="AB143" s="53">
        <v>30</v>
      </c>
      <c r="AC143" s="53">
        <v>30</v>
      </c>
      <c r="AD143" s="53">
        <v>30</v>
      </c>
      <c r="AE143" s="94">
        <v>50</v>
      </c>
      <c r="AF143" s="94">
        <v>20</v>
      </c>
      <c r="AG143" s="94">
        <v>4000</v>
      </c>
      <c r="AH143" s="94">
        <v>50</v>
      </c>
      <c r="AI143" s="58">
        <v>0</v>
      </c>
      <c r="AJ143" s="58">
        <v>0</v>
      </c>
      <c r="AK143" s="58">
        <v>1</v>
      </c>
      <c r="AL143" s="58">
        <v>0</v>
      </c>
      <c r="AM143" s="59" t="s">
        <v>676</v>
      </c>
      <c r="AW143" s="88"/>
      <c r="AX143" s="88"/>
    </row>
    <row r="144" spans="2:50">
      <c r="B144" s="9">
        <v>121023</v>
      </c>
      <c r="C144" s="9">
        <v>121023</v>
      </c>
      <c r="D144" s="24" t="s">
        <v>1293</v>
      </c>
      <c r="E144" s="9" t="s">
        <v>1293</v>
      </c>
      <c r="F144" s="9"/>
      <c r="G144" s="9">
        <v>0</v>
      </c>
      <c r="H144" s="2"/>
      <c r="I144" s="2"/>
      <c r="J144" s="2"/>
      <c r="K144" s="2"/>
      <c r="L144" s="2"/>
      <c r="M144" s="17"/>
      <c r="N144" s="88">
        <v>0</v>
      </c>
      <c r="O144" s="6">
        <v>1</v>
      </c>
      <c r="P144" s="32">
        <v>1</v>
      </c>
      <c r="Q144" s="32">
        <v>1</v>
      </c>
      <c r="R144" s="88">
        <v>3</v>
      </c>
      <c r="S144" s="31" t="s">
        <v>817</v>
      </c>
      <c r="T144">
        <v>1</v>
      </c>
      <c r="U144">
        <v>1</v>
      </c>
      <c r="V144">
        <v>1</v>
      </c>
      <c r="W144">
        <v>1019</v>
      </c>
      <c r="X144" s="89" t="s">
        <v>1294</v>
      </c>
      <c r="Y144" s="89"/>
      <c r="Z144" s="53">
        <v>9999</v>
      </c>
      <c r="AA144" s="53"/>
      <c r="AB144" s="53">
        <v>30</v>
      </c>
      <c r="AC144" s="53">
        <v>30</v>
      </c>
      <c r="AD144" s="53">
        <v>30</v>
      </c>
      <c r="AE144" s="94">
        <v>50</v>
      </c>
      <c r="AF144" s="94">
        <v>20</v>
      </c>
      <c r="AG144" s="94">
        <v>4000</v>
      </c>
      <c r="AH144" s="94">
        <v>50</v>
      </c>
      <c r="AI144" s="58">
        <v>0</v>
      </c>
      <c r="AJ144" s="58">
        <v>0</v>
      </c>
      <c r="AK144" s="58">
        <v>1</v>
      </c>
      <c r="AL144" s="58">
        <v>0</v>
      </c>
      <c r="AM144" s="59" t="s">
        <v>676</v>
      </c>
      <c r="AW144" s="88"/>
      <c r="AX144" s="88"/>
    </row>
    <row r="145" spans="2:50">
      <c r="B145" s="107">
        <v>121025</v>
      </c>
      <c r="C145" s="107">
        <v>121025</v>
      </c>
      <c r="D145" s="24" t="s">
        <v>1295</v>
      </c>
      <c r="E145" s="107" t="s">
        <v>1295</v>
      </c>
      <c r="F145" s="107"/>
      <c r="G145" s="9">
        <v>0</v>
      </c>
      <c r="H145" s="2"/>
      <c r="I145" s="2"/>
      <c r="J145" s="2"/>
      <c r="K145" s="2"/>
      <c r="L145" s="2"/>
      <c r="M145" s="17"/>
      <c r="N145" s="88">
        <v>0</v>
      </c>
      <c r="O145" s="88">
        <v>0</v>
      </c>
      <c r="P145" s="32">
        <v>1</v>
      </c>
      <c r="Q145" s="32">
        <v>1</v>
      </c>
      <c r="R145" s="88">
        <v>3</v>
      </c>
      <c r="S145" s="31" t="s">
        <v>829</v>
      </c>
      <c r="T145">
        <v>1</v>
      </c>
      <c r="U145">
        <v>1</v>
      </c>
      <c r="V145">
        <v>1</v>
      </c>
      <c r="W145">
        <v>1031</v>
      </c>
      <c r="X145" s="89" t="s">
        <v>1296</v>
      </c>
      <c r="Y145" s="89"/>
      <c r="Z145" s="53">
        <v>9999</v>
      </c>
      <c r="AA145" s="53"/>
      <c r="AB145" s="53">
        <v>30</v>
      </c>
      <c r="AC145" s="53">
        <v>30</v>
      </c>
      <c r="AD145" s="53">
        <v>30</v>
      </c>
      <c r="AE145" s="94">
        <v>50</v>
      </c>
      <c r="AF145" s="94">
        <v>20</v>
      </c>
      <c r="AG145" s="94">
        <v>4000</v>
      </c>
      <c r="AH145" s="94">
        <v>50</v>
      </c>
      <c r="AI145" s="58">
        <v>0</v>
      </c>
      <c r="AJ145" s="58">
        <v>0</v>
      </c>
      <c r="AK145" s="58">
        <v>1</v>
      </c>
      <c r="AL145" s="58">
        <v>0</v>
      </c>
      <c r="AM145" s="59" t="s">
        <v>676</v>
      </c>
      <c r="AW145" s="88"/>
      <c r="AX145" s="88"/>
    </row>
    <row r="146" spans="2:50">
      <c r="B146" s="107">
        <v>121026</v>
      </c>
      <c r="C146" s="107">
        <v>121026</v>
      </c>
      <c r="D146" s="24" t="s">
        <v>1297</v>
      </c>
      <c r="E146" s="107" t="s">
        <v>1297</v>
      </c>
      <c r="F146" s="107"/>
      <c r="G146" s="9">
        <v>0</v>
      </c>
      <c r="H146" s="2"/>
      <c r="I146" s="2"/>
      <c r="J146" s="2"/>
      <c r="K146" s="2"/>
      <c r="L146" s="2"/>
      <c r="M146" s="17"/>
      <c r="N146" s="88">
        <v>0</v>
      </c>
      <c r="O146" s="88">
        <v>0</v>
      </c>
      <c r="P146" s="32">
        <v>1</v>
      </c>
      <c r="Q146" s="32">
        <v>1</v>
      </c>
      <c r="R146" s="88">
        <v>3</v>
      </c>
      <c r="S146" s="31" t="s">
        <v>711</v>
      </c>
      <c r="T146">
        <v>1</v>
      </c>
      <c r="U146">
        <v>1</v>
      </c>
      <c r="V146">
        <v>1</v>
      </c>
      <c r="W146">
        <v>1032</v>
      </c>
      <c r="X146" s="89" t="s">
        <v>1298</v>
      </c>
      <c r="Y146" s="89"/>
      <c r="Z146" s="53">
        <v>9999</v>
      </c>
      <c r="AA146" s="53"/>
      <c r="AB146" s="53">
        <v>30</v>
      </c>
      <c r="AC146" s="53">
        <v>30</v>
      </c>
      <c r="AD146" s="53">
        <v>30</v>
      </c>
      <c r="AE146" s="94">
        <v>50</v>
      </c>
      <c r="AF146" s="94">
        <v>20</v>
      </c>
      <c r="AG146" s="94">
        <v>4000</v>
      </c>
      <c r="AH146" s="94">
        <v>50</v>
      </c>
      <c r="AI146" s="58">
        <v>0</v>
      </c>
      <c r="AJ146" s="58">
        <v>0</v>
      </c>
      <c r="AK146" s="58">
        <v>1</v>
      </c>
      <c r="AL146" s="58">
        <v>0</v>
      </c>
      <c r="AM146" s="59" t="s">
        <v>676</v>
      </c>
      <c r="AW146" s="88"/>
      <c r="AX146" s="88"/>
    </row>
    <row r="147" spans="2:50">
      <c r="B147" s="107">
        <v>121027</v>
      </c>
      <c r="C147" s="107">
        <v>121027</v>
      </c>
      <c r="D147" s="24" t="s">
        <v>1299</v>
      </c>
      <c r="E147" s="107" t="s">
        <v>1299</v>
      </c>
      <c r="F147" s="107"/>
      <c r="G147" s="9">
        <v>0</v>
      </c>
      <c r="H147" s="2"/>
      <c r="I147" s="2"/>
      <c r="J147" s="2"/>
      <c r="K147" s="2"/>
      <c r="L147" s="2"/>
      <c r="M147" s="17"/>
      <c r="N147" s="88">
        <v>0</v>
      </c>
      <c r="O147" s="88">
        <v>0</v>
      </c>
      <c r="P147" s="32">
        <v>1</v>
      </c>
      <c r="Q147" s="32">
        <v>1</v>
      </c>
      <c r="R147" s="88">
        <v>3</v>
      </c>
      <c r="S147" s="31" t="s">
        <v>711</v>
      </c>
      <c r="T147">
        <v>1</v>
      </c>
      <c r="U147">
        <v>1</v>
      </c>
      <c r="V147">
        <v>1</v>
      </c>
      <c r="W147">
        <v>1027</v>
      </c>
      <c r="X147" s="89" t="s">
        <v>1300</v>
      </c>
      <c r="Y147" s="89"/>
      <c r="Z147" s="53">
        <v>9999</v>
      </c>
      <c r="AA147" s="53"/>
      <c r="AB147" s="53">
        <v>30</v>
      </c>
      <c r="AC147" s="53">
        <v>30</v>
      </c>
      <c r="AD147" s="53">
        <v>30</v>
      </c>
      <c r="AE147" s="94">
        <v>50</v>
      </c>
      <c r="AF147" s="94">
        <v>20</v>
      </c>
      <c r="AG147" s="94">
        <v>4000</v>
      </c>
      <c r="AH147" s="94">
        <v>50</v>
      </c>
      <c r="AI147" s="58">
        <v>0</v>
      </c>
      <c r="AJ147" s="58">
        <v>0</v>
      </c>
      <c r="AK147" s="58">
        <v>1</v>
      </c>
      <c r="AL147" s="58">
        <v>0</v>
      </c>
      <c r="AM147" s="59" t="s">
        <v>676</v>
      </c>
      <c r="AW147" s="88"/>
      <c r="AX147" s="88"/>
    </row>
    <row r="148" spans="2:50">
      <c r="B148" s="107">
        <v>121028</v>
      </c>
      <c r="C148" s="107">
        <v>121028</v>
      </c>
      <c r="D148" s="24" t="s">
        <v>1301</v>
      </c>
      <c r="E148" s="107" t="s">
        <v>1301</v>
      </c>
      <c r="F148" s="107"/>
      <c r="G148" s="9">
        <v>0</v>
      </c>
      <c r="H148" s="2"/>
      <c r="I148" s="2"/>
      <c r="J148" s="2"/>
      <c r="K148" s="2"/>
      <c r="L148" s="2"/>
      <c r="M148" s="17"/>
      <c r="N148" s="88">
        <v>0</v>
      </c>
      <c r="O148" s="88">
        <v>0</v>
      </c>
      <c r="P148" s="32">
        <v>1</v>
      </c>
      <c r="Q148" s="32">
        <v>1</v>
      </c>
      <c r="R148" s="88">
        <v>3</v>
      </c>
      <c r="S148" s="31" t="s">
        <v>711</v>
      </c>
      <c r="T148">
        <v>1</v>
      </c>
      <c r="U148">
        <v>1</v>
      </c>
      <c r="V148">
        <v>1</v>
      </c>
      <c r="W148">
        <v>1033</v>
      </c>
      <c r="X148" s="89" t="s">
        <v>1302</v>
      </c>
      <c r="Y148" s="89"/>
      <c r="Z148" s="53">
        <v>9999</v>
      </c>
      <c r="AA148" s="53"/>
      <c r="AB148" s="53">
        <v>30</v>
      </c>
      <c r="AC148" s="53">
        <v>30</v>
      </c>
      <c r="AD148" s="53">
        <v>30</v>
      </c>
      <c r="AE148" s="94">
        <v>50</v>
      </c>
      <c r="AF148" s="94">
        <v>20</v>
      </c>
      <c r="AG148" s="94">
        <v>4000</v>
      </c>
      <c r="AH148" s="94">
        <v>50</v>
      </c>
      <c r="AI148" s="58">
        <v>0</v>
      </c>
      <c r="AJ148" s="58">
        <v>0</v>
      </c>
      <c r="AK148" s="58">
        <v>1</v>
      </c>
      <c r="AL148" s="58">
        <v>0</v>
      </c>
      <c r="AM148" s="59" t="s">
        <v>676</v>
      </c>
      <c r="AW148" s="88"/>
      <c r="AX148" s="88"/>
    </row>
    <row r="149" spans="2:50">
      <c r="B149" s="9">
        <v>121032</v>
      </c>
      <c r="C149" s="9">
        <v>121032</v>
      </c>
      <c r="D149" s="24" t="s">
        <v>1303</v>
      </c>
      <c r="E149" t="s">
        <v>1303</v>
      </c>
      <c r="G149" s="9">
        <v>0</v>
      </c>
      <c r="H149" s="2"/>
      <c r="I149" s="2"/>
      <c r="J149" s="2"/>
      <c r="K149" s="2"/>
      <c r="L149" s="2"/>
      <c r="M149" s="17"/>
      <c r="N149" s="88">
        <v>0</v>
      </c>
      <c r="O149" s="88">
        <v>0</v>
      </c>
      <c r="P149" s="32">
        <v>1</v>
      </c>
      <c r="Q149" s="32">
        <v>1</v>
      </c>
      <c r="R149" s="88">
        <v>3</v>
      </c>
      <c r="S149" s="31" t="s">
        <v>711</v>
      </c>
      <c r="T149">
        <v>1</v>
      </c>
      <c r="U149">
        <v>1</v>
      </c>
      <c r="V149">
        <v>1</v>
      </c>
      <c r="W149">
        <v>1018</v>
      </c>
      <c r="X149" s="89" t="s">
        <v>1304</v>
      </c>
      <c r="Y149" s="89"/>
      <c r="Z149" s="53">
        <v>9999</v>
      </c>
      <c r="AA149" s="53"/>
      <c r="AB149" s="53">
        <v>30</v>
      </c>
      <c r="AC149" s="53">
        <v>30</v>
      </c>
      <c r="AD149" s="53">
        <v>30</v>
      </c>
      <c r="AE149" s="94">
        <v>50</v>
      </c>
      <c r="AF149" s="94">
        <v>20</v>
      </c>
      <c r="AG149" s="94">
        <v>4000</v>
      </c>
      <c r="AH149" s="94">
        <v>50</v>
      </c>
      <c r="AI149" s="58">
        <v>0</v>
      </c>
      <c r="AJ149" s="58">
        <v>0</v>
      </c>
      <c r="AK149" s="58">
        <v>1</v>
      </c>
      <c r="AL149" s="58">
        <v>0</v>
      </c>
      <c r="AM149" s="59" t="s">
        <v>676</v>
      </c>
      <c r="AW149" s="88"/>
      <c r="AX149" s="88"/>
    </row>
    <row r="150" spans="2:50">
      <c r="B150" s="9">
        <v>121033</v>
      </c>
      <c r="C150" s="9">
        <v>121033</v>
      </c>
      <c r="D150" s="24" t="s">
        <v>1305</v>
      </c>
      <c r="E150" s="9" t="s">
        <v>1306</v>
      </c>
      <c r="F150" s="9"/>
      <c r="G150" s="9">
        <v>0</v>
      </c>
      <c r="H150" s="2"/>
      <c r="I150" s="2"/>
      <c r="J150" s="2"/>
      <c r="K150" s="2"/>
      <c r="L150" s="2"/>
      <c r="M150" s="88"/>
      <c r="N150" s="88">
        <v>0</v>
      </c>
      <c r="O150" s="88">
        <v>0</v>
      </c>
      <c r="P150" s="32">
        <v>1</v>
      </c>
      <c r="Q150" s="32">
        <v>1</v>
      </c>
      <c r="R150" s="88">
        <v>3</v>
      </c>
      <c r="S150" s="31" t="s">
        <v>175</v>
      </c>
      <c r="T150">
        <v>1</v>
      </c>
      <c r="U150">
        <v>1</v>
      </c>
      <c r="V150">
        <v>1</v>
      </c>
      <c r="W150">
        <v>1024</v>
      </c>
      <c r="X150" s="89" t="s">
        <v>1280</v>
      </c>
      <c r="Y150" s="89"/>
      <c r="Z150" s="53">
        <v>9999</v>
      </c>
      <c r="AA150" s="53"/>
      <c r="AB150" s="53">
        <v>30</v>
      </c>
      <c r="AC150" s="53">
        <v>30</v>
      </c>
      <c r="AD150" s="53">
        <v>30</v>
      </c>
      <c r="AE150" s="94">
        <v>50</v>
      </c>
      <c r="AF150" s="94">
        <v>20</v>
      </c>
      <c r="AG150" s="94">
        <v>4000</v>
      </c>
      <c r="AH150" s="94">
        <v>50</v>
      </c>
      <c r="AI150" s="58">
        <v>0</v>
      </c>
      <c r="AJ150" s="58">
        <v>0</v>
      </c>
      <c r="AK150" s="58">
        <v>1</v>
      </c>
      <c r="AL150" s="58">
        <v>0</v>
      </c>
      <c r="AM150" s="59" t="s">
        <v>676</v>
      </c>
      <c r="AW150" s="88"/>
      <c r="AX150" s="88"/>
    </row>
    <row r="151" spans="2:50">
      <c r="B151" s="9">
        <v>121034</v>
      </c>
      <c r="C151" s="9">
        <v>121034</v>
      </c>
      <c r="D151" s="24" t="s">
        <v>1307</v>
      </c>
      <c r="E151" s="9" t="s">
        <v>1307</v>
      </c>
      <c r="F151" s="9"/>
      <c r="G151" s="9">
        <v>0</v>
      </c>
      <c r="H151" s="2"/>
      <c r="I151" s="2"/>
      <c r="J151" s="2"/>
      <c r="K151" s="2"/>
      <c r="L151" s="2"/>
      <c r="M151" s="88"/>
      <c r="N151" s="88">
        <v>0</v>
      </c>
      <c r="O151" s="88">
        <v>0</v>
      </c>
      <c r="P151" s="32">
        <v>1</v>
      </c>
      <c r="Q151" s="32">
        <v>1</v>
      </c>
      <c r="R151" s="88">
        <v>3</v>
      </c>
      <c r="S151" s="31" t="s">
        <v>319</v>
      </c>
      <c r="T151">
        <v>1</v>
      </c>
      <c r="U151">
        <v>1</v>
      </c>
      <c r="V151">
        <v>1</v>
      </c>
      <c r="W151">
        <v>1026</v>
      </c>
      <c r="X151" s="89" t="s">
        <v>1288</v>
      </c>
      <c r="Y151" s="89"/>
      <c r="Z151" s="53">
        <v>9999</v>
      </c>
      <c r="AA151" s="53"/>
      <c r="AB151" s="53">
        <v>30</v>
      </c>
      <c r="AC151" s="53">
        <v>30</v>
      </c>
      <c r="AD151" s="53">
        <v>30</v>
      </c>
      <c r="AE151" s="94">
        <v>50</v>
      </c>
      <c r="AF151" s="94">
        <v>20</v>
      </c>
      <c r="AG151" s="94">
        <v>4000</v>
      </c>
      <c r="AH151" s="94">
        <v>50</v>
      </c>
      <c r="AI151" s="94">
        <v>0</v>
      </c>
      <c r="AJ151" s="94">
        <v>0</v>
      </c>
      <c r="AK151" s="94">
        <v>1</v>
      </c>
      <c r="AL151" s="94">
        <v>0</v>
      </c>
      <c r="AM151" s="98" t="s">
        <v>676</v>
      </c>
      <c r="AW151" s="88"/>
      <c r="AX151" s="88"/>
    </row>
    <row r="152" spans="2:50">
      <c r="B152" s="9">
        <v>121035</v>
      </c>
      <c r="C152" s="9">
        <v>121035</v>
      </c>
      <c r="D152" s="24" t="s">
        <v>1308</v>
      </c>
      <c r="E152" s="9" t="s">
        <v>1308</v>
      </c>
      <c r="F152" s="9"/>
      <c r="G152" s="9">
        <v>0</v>
      </c>
      <c r="H152" s="2"/>
      <c r="I152" s="2"/>
      <c r="J152" s="2"/>
      <c r="K152" s="2"/>
      <c r="L152" s="2"/>
      <c r="M152" s="88"/>
      <c r="N152" s="88">
        <v>0</v>
      </c>
      <c r="O152" s="88">
        <v>0</v>
      </c>
      <c r="P152" s="32">
        <v>1</v>
      </c>
      <c r="Q152" s="32">
        <v>1</v>
      </c>
      <c r="R152" s="88">
        <v>3</v>
      </c>
      <c r="S152" s="31" t="s">
        <v>319</v>
      </c>
      <c r="T152">
        <v>1</v>
      </c>
      <c r="U152">
        <v>1</v>
      </c>
      <c r="V152">
        <v>1</v>
      </c>
      <c r="W152">
        <v>1029</v>
      </c>
      <c r="X152" s="89" t="s">
        <v>1309</v>
      </c>
      <c r="Y152" s="89"/>
      <c r="Z152" s="53">
        <v>9999</v>
      </c>
      <c r="AA152" s="53"/>
      <c r="AB152" s="53">
        <v>30</v>
      </c>
      <c r="AC152" s="53">
        <v>30</v>
      </c>
      <c r="AD152" s="53">
        <v>30</v>
      </c>
      <c r="AE152" s="94">
        <v>50</v>
      </c>
      <c r="AF152" s="94">
        <v>20</v>
      </c>
      <c r="AG152" s="94">
        <v>4000</v>
      </c>
      <c r="AH152" s="94">
        <v>50</v>
      </c>
      <c r="AI152" s="94">
        <v>0</v>
      </c>
      <c r="AJ152" s="94">
        <v>0</v>
      </c>
      <c r="AK152" s="94">
        <v>1</v>
      </c>
      <c r="AL152" s="94">
        <v>0</v>
      </c>
      <c r="AM152" s="98" t="s">
        <v>676</v>
      </c>
      <c r="AW152" s="88"/>
      <c r="AX152" s="88"/>
    </row>
    <row r="153" spans="2:50">
      <c r="B153" s="9">
        <v>121036</v>
      </c>
      <c r="C153" s="9">
        <v>121036</v>
      </c>
      <c r="D153" s="24" t="s">
        <v>1310</v>
      </c>
      <c r="E153" s="9" t="s">
        <v>1310</v>
      </c>
      <c r="F153" s="9"/>
      <c r="G153" s="9">
        <v>0</v>
      </c>
      <c r="H153" s="2"/>
      <c r="I153" s="2"/>
      <c r="J153" s="2"/>
      <c r="K153" s="2"/>
      <c r="L153" s="2"/>
      <c r="M153" s="88"/>
      <c r="N153" s="88">
        <v>0</v>
      </c>
      <c r="O153" s="88">
        <v>0</v>
      </c>
      <c r="P153" s="32">
        <v>1</v>
      </c>
      <c r="Q153" s="32">
        <v>1</v>
      </c>
      <c r="R153" s="88">
        <v>3</v>
      </c>
      <c r="S153" s="31" t="s">
        <v>908</v>
      </c>
      <c r="T153">
        <v>1</v>
      </c>
      <c r="U153">
        <v>1</v>
      </c>
      <c r="V153">
        <v>1</v>
      </c>
      <c r="W153">
        <v>1030</v>
      </c>
      <c r="X153" s="89" t="s">
        <v>1309</v>
      </c>
      <c r="Y153" s="89"/>
      <c r="Z153" s="53">
        <v>9999</v>
      </c>
      <c r="AA153" s="53"/>
      <c r="AB153" s="53">
        <v>30</v>
      </c>
      <c r="AC153" s="53">
        <v>30</v>
      </c>
      <c r="AD153" s="53">
        <v>30</v>
      </c>
      <c r="AE153" s="94">
        <v>50</v>
      </c>
      <c r="AF153" s="94">
        <v>20</v>
      </c>
      <c r="AG153" s="94">
        <v>4000</v>
      </c>
      <c r="AH153" s="94">
        <v>50</v>
      </c>
      <c r="AI153" s="94">
        <v>0</v>
      </c>
      <c r="AJ153" s="94">
        <v>0</v>
      </c>
      <c r="AK153" s="94">
        <v>1</v>
      </c>
      <c r="AL153" s="94">
        <v>0</v>
      </c>
      <c r="AM153" s="98" t="s">
        <v>676</v>
      </c>
      <c r="AW153" s="88"/>
      <c r="AX153" s="88"/>
    </row>
    <row r="154" spans="2:50">
      <c r="B154" s="9">
        <v>121037</v>
      </c>
      <c r="C154" s="9">
        <v>121037</v>
      </c>
      <c r="D154" s="24" t="s">
        <v>1311</v>
      </c>
      <c r="E154" s="9" t="s">
        <v>1311</v>
      </c>
      <c r="F154" s="9"/>
      <c r="G154" s="9">
        <v>0</v>
      </c>
      <c r="H154" s="2"/>
      <c r="I154" s="2"/>
      <c r="J154" s="2"/>
      <c r="K154" s="2"/>
      <c r="L154" s="2"/>
      <c r="M154" s="88"/>
      <c r="N154" s="88">
        <v>0</v>
      </c>
      <c r="O154" s="6">
        <v>1</v>
      </c>
      <c r="P154" s="32">
        <v>1</v>
      </c>
      <c r="Q154" s="32">
        <v>1</v>
      </c>
      <c r="R154" s="88">
        <v>8</v>
      </c>
      <c r="S154" s="31" t="s">
        <v>319</v>
      </c>
      <c r="T154">
        <v>1</v>
      </c>
      <c r="U154">
        <v>1</v>
      </c>
      <c r="V154">
        <v>1</v>
      </c>
      <c r="W154">
        <v>1040</v>
      </c>
      <c r="X154" s="89" t="s">
        <v>1312</v>
      </c>
      <c r="Y154" s="89"/>
      <c r="Z154" s="53">
        <v>9999</v>
      </c>
      <c r="AA154" s="53"/>
      <c r="AB154" s="53">
        <v>30</v>
      </c>
      <c r="AC154" s="53">
        <v>30</v>
      </c>
      <c r="AD154" s="53">
        <v>30</v>
      </c>
      <c r="AE154" s="94">
        <v>50</v>
      </c>
      <c r="AF154" s="94">
        <v>20</v>
      </c>
      <c r="AG154" s="94">
        <v>4000</v>
      </c>
      <c r="AH154" s="94">
        <v>50</v>
      </c>
      <c r="AI154" s="94">
        <v>0</v>
      </c>
      <c r="AJ154" s="94">
        <v>0</v>
      </c>
      <c r="AK154" s="94">
        <v>1</v>
      </c>
      <c r="AL154" s="94">
        <v>0</v>
      </c>
      <c r="AM154" s="98" t="s">
        <v>676</v>
      </c>
      <c r="AW154" s="88"/>
      <c r="AX154" s="88"/>
    </row>
    <row r="155" spans="2:50">
      <c r="B155" s="9">
        <v>121038</v>
      </c>
      <c r="C155" s="9">
        <v>121038</v>
      </c>
      <c r="D155" s="24" t="s">
        <v>1313</v>
      </c>
      <c r="E155" s="9" t="s">
        <v>1313</v>
      </c>
      <c r="F155" s="9"/>
      <c r="G155" s="9">
        <v>1</v>
      </c>
      <c r="H155" s="2"/>
      <c r="I155" s="2"/>
      <c r="J155" s="2"/>
      <c r="K155" s="2"/>
      <c r="L155" s="2"/>
      <c r="M155" s="88"/>
      <c r="N155" s="88">
        <v>0</v>
      </c>
      <c r="O155" s="6">
        <v>1</v>
      </c>
      <c r="P155" s="32">
        <v>1</v>
      </c>
      <c r="Q155" s="32">
        <v>1</v>
      </c>
      <c r="R155" s="88">
        <v>8</v>
      </c>
      <c r="S155" s="31" t="s">
        <v>319</v>
      </c>
      <c r="T155">
        <v>1</v>
      </c>
      <c r="U155">
        <v>1</v>
      </c>
      <c r="V155">
        <v>1</v>
      </c>
      <c r="W155">
        <v>1044</v>
      </c>
      <c r="X155" s="89" t="s">
        <v>1314</v>
      </c>
      <c r="Y155" s="89"/>
      <c r="Z155" s="53">
        <v>9999</v>
      </c>
      <c r="AA155" s="53"/>
      <c r="AB155" s="53">
        <v>30</v>
      </c>
      <c r="AC155" s="53">
        <v>30</v>
      </c>
      <c r="AD155" s="53">
        <v>30</v>
      </c>
      <c r="AE155" s="94">
        <v>50</v>
      </c>
      <c r="AF155" s="94">
        <v>20</v>
      </c>
      <c r="AG155" s="94">
        <v>4000</v>
      </c>
      <c r="AH155" s="94">
        <v>50</v>
      </c>
      <c r="AI155" s="94">
        <v>0</v>
      </c>
      <c r="AJ155" s="94">
        <v>0</v>
      </c>
      <c r="AK155" s="94">
        <v>1</v>
      </c>
      <c r="AL155" s="94">
        <v>0</v>
      </c>
      <c r="AM155" s="98" t="s">
        <v>676</v>
      </c>
      <c r="AW155" s="88"/>
      <c r="AX155" s="88"/>
    </row>
    <row r="156" spans="2:50">
      <c r="B156" s="9">
        <v>121039</v>
      </c>
      <c r="C156" s="9">
        <v>121039</v>
      </c>
      <c r="D156" s="24" t="s">
        <v>1315</v>
      </c>
      <c r="E156" s="9" t="s">
        <v>1315</v>
      </c>
      <c r="F156" s="9"/>
      <c r="G156" s="9">
        <v>0</v>
      </c>
      <c r="H156" s="2"/>
      <c r="I156" s="2"/>
      <c r="J156" s="2"/>
      <c r="K156" s="2"/>
      <c r="L156" s="2"/>
      <c r="M156" s="88"/>
      <c r="N156" s="88">
        <v>0</v>
      </c>
      <c r="O156" s="6">
        <v>1</v>
      </c>
      <c r="P156" s="32">
        <v>1</v>
      </c>
      <c r="Q156" s="32">
        <v>1</v>
      </c>
      <c r="R156" s="88">
        <v>8</v>
      </c>
      <c r="S156" s="31" t="s">
        <v>736</v>
      </c>
      <c r="T156">
        <v>1</v>
      </c>
      <c r="U156">
        <v>1</v>
      </c>
      <c r="V156">
        <v>1</v>
      </c>
      <c r="W156">
        <v>1038</v>
      </c>
      <c r="X156" s="89" t="s">
        <v>1316</v>
      </c>
      <c r="Y156" s="89"/>
      <c r="Z156" s="53">
        <v>9999</v>
      </c>
      <c r="AA156" s="53"/>
      <c r="AB156" s="53">
        <v>30</v>
      </c>
      <c r="AC156" s="53">
        <v>30</v>
      </c>
      <c r="AD156" s="53">
        <v>30</v>
      </c>
      <c r="AE156" s="94">
        <v>50</v>
      </c>
      <c r="AF156" s="94">
        <v>20</v>
      </c>
      <c r="AG156" s="94">
        <v>4000</v>
      </c>
      <c r="AH156" s="94">
        <v>50</v>
      </c>
      <c r="AI156" s="94">
        <v>0</v>
      </c>
      <c r="AJ156" s="94">
        <v>0</v>
      </c>
      <c r="AK156" s="94">
        <v>1</v>
      </c>
      <c r="AL156" s="94">
        <v>0</v>
      </c>
      <c r="AM156" s="98" t="s">
        <v>676</v>
      </c>
      <c r="AW156" s="88"/>
      <c r="AX156" s="88"/>
    </row>
    <row r="157" spans="2:50">
      <c r="B157" s="9">
        <v>121040</v>
      </c>
      <c r="C157" s="9">
        <v>121040</v>
      </c>
      <c r="D157" s="24" t="s">
        <v>1317</v>
      </c>
      <c r="E157" s="9" t="s">
        <v>1317</v>
      </c>
      <c r="F157" s="9"/>
      <c r="G157" s="9">
        <v>1</v>
      </c>
      <c r="H157" s="2"/>
      <c r="I157" s="2"/>
      <c r="J157" s="2"/>
      <c r="K157" s="2"/>
      <c r="L157" s="2"/>
      <c r="M157" s="88"/>
      <c r="N157" s="88">
        <v>0</v>
      </c>
      <c r="O157" s="100">
        <v>1</v>
      </c>
      <c r="P157" s="32">
        <v>1</v>
      </c>
      <c r="Q157" s="32">
        <v>1</v>
      </c>
      <c r="R157" s="88">
        <v>8</v>
      </c>
      <c r="S157" s="31" t="s">
        <v>319</v>
      </c>
      <c r="T157">
        <v>1</v>
      </c>
      <c r="U157">
        <v>1</v>
      </c>
      <c r="V157">
        <v>1</v>
      </c>
      <c r="W157">
        <v>1043</v>
      </c>
      <c r="X157" s="89" t="s">
        <v>1318</v>
      </c>
      <c r="Y157" s="89"/>
      <c r="Z157" s="53">
        <v>9999</v>
      </c>
      <c r="AA157" s="53"/>
      <c r="AB157" s="53">
        <v>30</v>
      </c>
      <c r="AC157" s="53">
        <v>30</v>
      </c>
      <c r="AD157" s="53">
        <v>30</v>
      </c>
      <c r="AE157" s="94">
        <v>50</v>
      </c>
      <c r="AF157" s="94">
        <v>20</v>
      </c>
      <c r="AG157" s="94">
        <v>4000</v>
      </c>
      <c r="AH157" s="94">
        <v>50</v>
      </c>
      <c r="AI157" s="94">
        <v>0</v>
      </c>
      <c r="AJ157" s="94">
        <v>0</v>
      </c>
      <c r="AK157" s="94">
        <v>1</v>
      </c>
      <c r="AL157" s="94">
        <v>0</v>
      </c>
      <c r="AM157" s="98" t="s">
        <v>676</v>
      </c>
      <c r="AW157" s="88"/>
      <c r="AX157" s="88"/>
    </row>
    <row r="158" spans="2:50">
      <c r="B158" s="9">
        <v>121041</v>
      </c>
      <c r="C158" s="9">
        <v>121041</v>
      </c>
      <c r="D158" s="24" t="s">
        <v>1319</v>
      </c>
      <c r="E158" s="9" t="s">
        <v>1320</v>
      </c>
      <c r="F158" s="9"/>
      <c r="G158" s="9">
        <v>0</v>
      </c>
      <c r="H158" s="2"/>
      <c r="I158" s="2"/>
      <c r="J158" s="2"/>
      <c r="K158" s="2"/>
      <c r="L158" s="2"/>
      <c r="M158" s="88"/>
      <c r="N158" s="88">
        <v>0</v>
      </c>
      <c r="O158" s="100">
        <v>1</v>
      </c>
      <c r="P158" s="32">
        <v>1</v>
      </c>
      <c r="Q158" s="32">
        <v>1</v>
      </c>
      <c r="R158" s="88">
        <v>8</v>
      </c>
      <c r="S158" s="31" t="s">
        <v>139</v>
      </c>
      <c r="T158">
        <v>1</v>
      </c>
      <c r="U158">
        <v>1</v>
      </c>
      <c r="V158">
        <v>1</v>
      </c>
      <c r="W158">
        <v>1042</v>
      </c>
      <c r="X158" s="89" t="s">
        <v>1321</v>
      </c>
      <c r="Y158" s="89"/>
      <c r="Z158" s="53">
        <v>9999</v>
      </c>
      <c r="AA158" s="53"/>
      <c r="AB158" s="53">
        <v>30</v>
      </c>
      <c r="AC158" s="53">
        <v>30</v>
      </c>
      <c r="AD158" s="53">
        <v>30</v>
      </c>
      <c r="AE158" s="94">
        <v>50</v>
      </c>
      <c r="AF158" s="94">
        <v>20</v>
      </c>
      <c r="AG158" s="94">
        <v>4000</v>
      </c>
      <c r="AH158" s="94">
        <v>50</v>
      </c>
      <c r="AI158" s="94">
        <v>0</v>
      </c>
      <c r="AJ158" s="94">
        <v>0</v>
      </c>
      <c r="AK158" s="94">
        <v>1</v>
      </c>
      <c r="AL158" s="94">
        <v>0</v>
      </c>
      <c r="AM158" s="98" t="s">
        <v>676</v>
      </c>
      <c r="AW158" s="88"/>
      <c r="AX158" s="88"/>
    </row>
    <row r="159" spans="2:50">
      <c r="B159" s="9">
        <v>121042</v>
      </c>
      <c r="C159" s="9">
        <v>121042</v>
      </c>
      <c r="D159" s="24" t="s">
        <v>1322</v>
      </c>
      <c r="E159" s="9" t="s">
        <v>1322</v>
      </c>
      <c r="F159" s="9"/>
      <c r="G159" s="9">
        <v>0</v>
      </c>
      <c r="H159" s="2"/>
      <c r="I159" s="2"/>
      <c r="J159" s="2"/>
      <c r="K159" s="2"/>
      <c r="L159" s="2"/>
      <c r="M159" s="88"/>
      <c r="N159" s="88">
        <v>0</v>
      </c>
      <c r="O159" s="100">
        <v>1</v>
      </c>
      <c r="P159" s="32">
        <v>1</v>
      </c>
      <c r="Q159" s="32">
        <v>1</v>
      </c>
      <c r="R159" s="88">
        <v>8</v>
      </c>
      <c r="S159" s="31" t="s">
        <v>139</v>
      </c>
      <c r="T159">
        <v>1</v>
      </c>
      <c r="U159">
        <v>1</v>
      </c>
      <c r="V159">
        <v>1</v>
      </c>
      <c r="W159">
        <v>1039</v>
      </c>
      <c r="X159" s="89" t="s">
        <v>1323</v>
      </c>
      <c r="Y159" s="89"/>
      <c r="Z159" s="53">
        <v>9999</v>
      </c>
      <c r="AA159" s="53"/>
      <c r="AB159" s="53">
        <v>30</v>
      </c>
      <c r="AC159" s="53">
        <v>30</v>
      </c>
      <c r="AD159" s="53">
        <v>30</v>
      </c>
      <c r="AE159" s="94">
        <v>50</v>
      </c>
      <c r="AF159" s="94">
        <v>20</v>
      </c>
      <c r="AG159" s="94">
        <v>4000</v>
      </c>
      <c r="AH159" s="94">
        <v>50</v>
      </c>
      <c r="AI159" s="94">
        <v>0</v>
      </c>
      <c r="AJ159" s="94">
        <v>0</v>
      </c>
      <c r="AK159" s="94">
        <v>1</v>
      </c>
      <c r="AL159" s="94">
        <v>0</v>
      </c>
      <c r="AM159" s="98" t="s">
        <v>676</v>
      </c>
      <c r="AW159" s="88"/>
      <c r="AX159" s="88"/>
    </row>
    <row r="160" spans="2:50">
      <c r="B160" s="9">
        <v>121043</v>
      </c>
      <c r="C160" s="9">
        <v>121043</v>
      </c>
      <c r="D160" s="24" t="s">
        <v>1324</v>
      </c>
      <c r="E160" s="9" t="s">
        <v>1324</v>
      </c>
      <c r="F160" s="9"/>
      <c r="G160" s="9">
        <v>0</v>
      </c>
      <c r="H160" s="2"/>
      <c r="I160" s="2"/>
      <c r="J160" s="2"/>
      <c r="K160" s="2"/>
      <c r="L160" s="2"/>
      <c r="M160" s="88"/>
      <c r="N160" s="88">
        <v>0</v>
      </c>
      <c r="O160" s="100">
        <v>1</v>
      </c>
      <c r="P160" s="32">
        <v>1</v>
      </c>
      <c r="Q160" s="32">
        <v>1</v>
      </c>
      <c r="R160" s="88">
        <v>3</v>
      </c>
      <c r="S160" s="31" t="s">
        <v>971</v>
      </c>
      <c r="T160">
        <v>1</v>
      </c>
      <c r="U160">
        <v>1</v>
      </c>
      <c r="V160">
        <v>1</v>
      </c>
      <c r="W160">
        <v>1045</v>
      </c>
      <c r="X160" s="89" t="s">
        <v>1325</v>
      </c>
      <c r="Y160" s="89"/>
      <c r="Z160" s="53">
        <v>9999</v>
      </c>
      <c r="AA160" s="53"/>
      <c r="AB160" s="53">
        <v>30</v>
      </c>
      <c r="AC160" s="53">
        <v>30</v>
      </c>
      <c r="AD160" s="53">
        <v>30</v>
      </c>
      <c r="AE160" s="94">
        <v>50</v>
      </c>
      <c r="AF160" s="94">
        <v>20</v>
      </c>
      <c r="AG160" s="94">
        <v>4000</v>
      </c>
      <c r="AH160" s="94">
        <v>50</v>
      </c>
      <c r="AI160" s="94">
        <v>0</v>
      </c>
      <c r="AJ160" s="94">
        <v>0</v>
      </c>
      <c r="AK160" s="94">
        <v>1</v>
      </c>
      <c r="AL160" s="94">
        <v>0</v>
      </c>
      <c r="AM160" s="98" t="s">
        <v>676</v>
      </c>
      <c r="AW160" s="88"/>
      <c r="AX160" s="88"/>
    </row>
    <row r="161" spans="2:50">
      <c r="B161" s="9">
        <v>121044</v>
      </c>
      <c r="C161" s="9">
        <v>121044</v>
      </c>
      <c r="D161" s="24" t="s">
        <v>1326</v>
      </c>
      <c r="E161" s="9" t="s">
        <v>1326</v>
      </c>
      <c r="F161" s="9"/>
      <c r="G161" s="9">
        <v>0</v>
      </c>
      <c r="H161" s="2"/>
      <c r="I161" s="2"/>
      <c r="J161" s="2"/>
      <c r="K161" s="2"/>
      <c r="L161" s="2"/>
      <c r="M161" s="88"/>
      <c r="N161" s="88">
        <v>0</v>
      </c>
      <c r="O161" s="88">
        <v>0</v>
      </c>
      <c r="P161" s="32">
        <v>1</v>
      </c>
      <c r="Q161" s="32">
        <v>1</v>
      </c>
      <c r="R161" s="88">
        <v>8</v>
      </c>
      <c r="S161" s="31" t="s">
        <v>319</v>
      </c>
      <c r="T161">
        <v>1</v>
      </c>
      <c r="U161">
        <v>1</v>
      </c>
      <c r="V161">
        <v>1</v>
      </c>
      <c r="W161">
        <v>1046</v>
      </c>
      <c r="X161" s="89" t="s">
        <v>1327</v>
      </c>
      <c r="Y161" s="89"/>
      <c r="Z161" s="53">
        <v>9999</v>
      </c>
      <c r="AA161" s="53"/>
      <c r="AB161" s="53">
        <v>30</v>
      </c>
      <c r="AC161" s="53">
        <v>30</v>
      </c>
      <c r="AD161" s="53">
        <v>30</v>
      </c>
      <c r="AE161" s="94">
        <v>50</v>
      </c>
      <c r="AF161" s="94">
        <v>20</v>
      </c>
      <c r="AG161" s="94">
        <v>4000</v>
      </c>
      <c r="AH161" s="94">
        <v>50</v>
      </c>
      <c r="AI161" s="94">
        <v>0</v>
      </c>
      <c r="AJ161" s="94">
        <v>0</v>
      </c>
      <c r="AK161" s="94">
        <v>1</v>
      </c>
      <c r="AL161" s="94">
        <v>0</v>
      </c>
      <c r="AM161" s="98" t="s">
        <v>676</v>
      </c>
      <c r="AW161" s="88"/>
      <c r="AX161" s="88"/>
    </row>
    <row r="162" spans="2:50">
      <c r="B162" s="9">
        <v>121045</v>
      </c>
      <c r="C162" s="9">
        <v>121045</v>
      </c>
      <c r="D162" s="24" t="s">
        <v>1328</v>
      </c>
      <c r="E162" s="9" t="s">
        <v>1328</v>
      </c>
      <c r="F162" s="9"/>
      <c r="G162" s="9">
        <v>0</v>
      </c>
      <c r="H162" s="2"/>
      <c r="I162" s="2"/>
      <c r="J162" s="2"/>
      <c r="K162" s="2"/>
      <c r="L162" s="2"/>
      <c r="M162" s="88"/>
      <c r="N162" s="88">
        <v>0</v>
      </c>
      <c r="O162" s="88">
        <v>0</v>
      </c>
      <c r="P162" s="32">
        <v>1</v>
      </c>
      <c r="Q162" s="32">
        <v>1</v>
      </c>
      <c r="R162" s="88">
        <v>8</v>
      </c>
      <c r="S162" s="31" t="s">
        <v>319</v>
      </c>
      <c r="T162">
        <v>1</v>
      </c>
      <c r="U162">
        <v>1</v>
      </c>
      <c r="V162">
        <v>1</v>
      </c>
      <c r="W162">
        <v>1048</v>
      </c>
      <c r="X162" s="89" t="s">
        <v>1329</v>
      </c>
      <c r="Y162" s="89"/>
      <c r="Z162" s="53">
        <v>9999</v>
      </c>
      <c r="AA162" s="53"/>
      <c r="AB162" s="53">
        <v>30</v>
      </c>
      <c r="AC162" s="53">
        <v>30</v>
      </c>
      <c r="AD162" s="53">
        <v>30</v>
      </c>
      <c r="AE162" s="94">
        <v>50</v>
      </c>
      <c r="AF162" s="94">
        <v>20</v>
      </c>
      <c r="AG162" s="94">
        <v>4000</v>
      </c>
      <c r="AH162" s="94">
        <v>50</v>
      </c>
      <c r="AI162" s="94">
        <v>0</v>
      </c>
      <c r="AJ162" s="94">
        <v>0</v>
      </c>
      <c r="AK162" s="94">
        <v>1</v>
      </c>
      <c r="AL162" s="94">
        <v>0</v>
      </c>
      <c r="AM162" s="98" t="s">
        <v>676</v>
      </c>
      <c r="AW162" s="88"/>
      <c r="AX162" s="88"/>
    </row>
    <row r="163" spans="2:50">
      <c r="B163" s="9">
        <v>121046</v>
      </c>
      <c r="C163" s="9">
        <v>121046</v>
      </c>
      <c r="D163" s="24" t="s">
        <v>1330</v>
      </c>
      <c r="E163" s="9" t="s">
        <v>1330</v>
      </c>
      <c r="F163" s="9"/>
      <c r="G163" s="9">
        <v>0</v>
      </c>
      <c r="H163" s="2"/>
      <c r="I163" s="2"/>
      <c r="J163" s="2"/>
      <c r="K163" s="2"/>
      <c r="L163" s="2"/>
      <c r="M163" s="88"/>
      <c r="N163" s="88">
        <v>0</v>
      </c>
      <c r="O163" s="88">
        <v>0</v>
      </c>
      <c r="P163" s="32">
        <v>1</v>
      </c>
      <c r="Q163" s="32">
        <v>1</v>
      </c>
      <c r="R163" s="88">
        <v>8</v>
      </c>
      <c r="S163" s="31" t="s">
        <v>319</v>
      </c>
      <c r="T163">
        <v>1</v>
      </c>
      <c r="U163">
        <v>1</v>
      </c>
      <c r="V163">
        <v>1</v>
      </c>
      <c r="W163">
        <v>1035</v>
      </c>
      <c r="X163" s="89" t="s">
        <v>1331</v>
      </c>
      <c r="Y163" s="89"/>
      <c r="Z163" s="53">
        <v>9999</v>
      </c>
      <c r="AA163" s="53"/>
      <c r="AB163" s="53">
        <v>30</v>
      </c>
      <c r="AC163" s="53">
        <v>30</v>
      </c>
      <c r="AD163" s="53">
        <v>30</v>
      </c>
      <c r="AE163" s="94">
        <v>50</v>
      </c>
      <c r="AF163" s="94">
        <v>20</v>
      </c>
      <c r="AG163" s="94">
        <v>4000</v>
      </c>
      <c r="AH163" s="94">
        <v>50</v>
      </c>
      <c r="AI163" s="94">
        <v>0</v>
      </c>
      <c r="AJ163" s="94">
        <v>0</v>
      </c>
      <c r="AK163" s="94">
        <v>1</v>
      </c>
      <c r="AL163" s="94">
        <v>0</v>
      </c>
      <c r="AM163" s="98" t="s">
        <v>676</v>
      </c>
      <c r="AW163" s="88"/>
      <c r="AX163" s="88"/>
    </row>
    <row r="164" spans="2:50">
      <c r="B164" s="9">
        <v>121047</v>
      </c>
      <c r="C164" s="9">
        <v>121047</v>
      </c>
      <c r="D164" s="24" t="s">
        <v>1332</v>
      </c>
      <c r="E164" s="9" t="s">
        <v>1332</v>
      </c>
      <c r="F164" s="9"/>
      <c r="G164" s="9">
        <v>0</v>
      </c>
      <c r="H164" s="2"/>
      <c r="I164" s="2"/>
      <c r="J164" s="2"/>
      <c r="K164" s="2"/>
      <c r="L164" s="2"/>
      <c r="M164" s="88"/>
      <c r="N164" s="88">
        <v>0</v>
      </c>
      <c r="O164" s="88">
        <v>0</v>
      </c>
      <c r="P164" s="32">
        <v>1</v>
      </c>
      <c r="Q164" s="32">
        <v>1</v>
      </c>
      <c r="R164" s="88">
        <v>8</v>
      </c>
      <c r="S164" s="31" t="s">
        <v>319</v>
      </c>
      <c r="T164">
        <v>1</v>
      </c>
      <c r="U164">
        <v>1</v>
      </c>
      <c r="V164">
        <v>1</v>
      </c>
      <c r="W164">
        <v>1036</v>
      </c>
      <c r="X164" s="89" t="s">
        <v>1333</v>
      </c>
      <c r="Y164" s="89"/>
      <c r="Z164" s="53">
        <v>9999</v>
      </c>
      <c r="AA164" s="53"/>
      <c r="AB164" s="53">
        <v>30</v>
      </c>
      <c r="AC164" s="53">
        <v>30</v>
      </c>
      <c r="AD164" s="53">
        <v>30</v>
      </c>
      <c r="AE164" s="94">
        <v>50</v>
      </c>
      <c r="AF164" s="94">
        <v>20</v>
      </c>
      <c r="AG164" s="94">
        <v>4000</v>
      </c>
      <c r="AH164" s="94">
        <v>50</v>
      </c>
      <c r="AI164" s="94">
        <v>0</v>
      </c>
      <c r="AJ164" s="94">
        <v>0</v>
      </c>
      <c r="AK164" s="94">
        <v>1</v>
      </c>
      <c r="AL164" s="94">
        <v>0</v>
      </c>
      <c r="AM164" s="98" t="s">
        <v>676</v>
      </c>
      <c r="AW164" s="88"/>
      <c r="AX164" s="88"/>
    </row>
    <row r="165" spans="2:50">
      <c r="B165" s="9">
        <v>121048</v>
      </c>
      <c r="C165" s="9">
        <v>121048</v>
      </c>
      <c r="D165" s="24" t="s">
        <v>1334</v>
      </c>
      <c r="E165" s="9" t="s">
        <v>1334</v>
      </c>
      <c r="F165" s="9"/>
      <c r="G165" s="9">
        <v>0</v>
      </c>
      <c r="H165" s="2"/>
      <c r="I165" s="2"/>
      <c r="J165" s="2"/>
      <c r="K165" s="2"/>
      <c r="L165" s="2"/>
      <c r="M165" s="88"/>
      <c r="N165" s="88">
        <v>0</v>
      </c>
      <c r="O165" s="100">
        <v>1</v>
      </c>
      <c r="P165" s="32">
        <v>1</v>
      </c>
      <c r="Q165" s="32">
        <v>1</v>
      </c>
      <c r="R165" s="88">
        <v>8</v>
      </c>
      <c r="S165" s="31" t="s">
        <v>595</v>
      </c>
      <c r="T165">
        <v>1</v>
      </c>
      <c r="U165">
        <v>1</v>
      </c>
      <c r="V165">
        <v>1</v>
      </c>
      <c r="W165">
        <v>1037</v>
      </c>
      <c r="X165" s="89" t="s">
        <v>1335</v>
      </c>
      <c r="Y165" s="89"/>
      <c r="Z165" s="53">
        <v>9999</v>
      </c>
      <c r="AA165" s="53"/>
      <c r="AB165" s="53">
        <v>30</v>
      </c>
      <c r="AC165" s="53">
        <v>30</v>
      </c>
      <c r="AD165" s="53">
        <v>30</v>
      </c>
      <c r="AE165" s="94">
        <v>50</v>
      </c>
      <c r="AF165" s="94">
        <v>20</v>
      </c>
      <c r="AG165" s="94">
        <v>4000</v>
      </c>
      <c r="AH165" s="94">
        <v>50</v>
      </c>
      <c r="AI165" s="94">
        <v>0</v>
      </c>
      <c r="AJ165" s="94">
        <v>0</v>
      </c>
      <c r="AK165" s="94">
        <v>1</v>
      </c>
      <c r="AL165" s="94">
        <v>0</v>
      </c>
      <c r="AM165" s="98" t="s">
        <v>676</v>
      </c>
      <c r="AW165" s="88"/>
      <c r="AX165" s="88"/>
    </row>
    <row r="166" spans="2:50">
      <c r="B166" s="9">
        <v>121049</v>
      </c>
      <c r="C166" s="9">
        <v>121049</v>
      </c>
      <c r="D166" s="24" t="s">
        <v>1336</v>
      </c>
      <c r="E166" s="9" t="s">
        <v>1336</v>
      </c>
      <c r="F166" s="9"/>
      <c r="G166" s="9">
        <v>0</v>
      </c>
      <c r="H166" s="2"/>
      <c r="I166" s="2"/>
      <c r="J166" s="2"/>
      <c r="K166" s="2"/>
      <c r="L166" s="2"/>
      <c r="M166" s="88"/>
      <c r="N166" s="88">
        <v>0</v>
      </c>
      <c r="O166" s="100">
        <v>1</v>
      </c>
      <c r="P166" s="32">
        <v>1</v>
      </c>
      <c r="Q166" s="32">
        <v>1</v>
      </c>
      <c r="R166" s="88">
        <v>8</v>
      </c>
      <c r="S166" s="31" t="s">
        <v>1017</v>
      </c>
      <c r="T166">
        <v>1</v>
      </c>
      <c r="U166">
        <v>1</v>
      </c>
      <c r="V166">
        <v>1</v>
      </c>
      <c r="W166">
        <v>1047</v>
      </c>
      <c r="X166" s="89" t="s">
        <v>1337</v>
      </c>
      <c r="Y166" s="89"/>
      <c r="Z166" s="53">
        <v>9999</v>
      </c>
      <c r="AA166" s="53"/>
      <c r="AB166" s="53">
        <v>30</v>
      </c>
      <c r="AC166" s="53">
        <v>30</v>
      </c>
      <c r="AD166" s="53">
        <v>30</v>
      </c>
      <c r="AE166" s="94">
        <v>50</v>
      </c>
      <c r="AF166" s="94">
        <v>20</v>
      </c>
      <c r="AG166" s="94">
        <v>4000</v>
      </c>
      <c r="AH166" s="94">
        <v>50</v>
      </c>
      <c r="AI166" s="94">
        <v>0</v>
      </c>
      <c r="AJ166" s="94">
        <v>0</v>
      </c>
      <c r="AK166" s="94">
        <v>1</v>
      </c>
      <c r="AL166" s="94">
        <v>0</v>
      </c>
      <c r="AM166" s="98" t="s">
        <v>676</v>
      </c>
      <c r="AW166" s="88"/>
      <c r="AX166" s="88"/>
    </row>
    <row r="167" spans="2:50">
      <c r="B167" s="9">
        <v>121050</v>
      </c>
      <c r="C167" s="9">
        <v>121050</v>
      </c>
      <c r="D167" s="24" t="s">
        <v>1338</v>
      </c>
      <c r="E167" s="9" t="s">
        <v>1338</v>
      </c>
      <c r="F167" s="9"/>
      <c r="G167" s="9">
        <v>0</v>
      </c>
      <c r="H167" s="2"/>
      <c r="I167" s="2"/>
      <c r="J167" s="2"/>
      <c r="K167" s="2"/>
      <c r="L167" s="2"/>
      <c r="M167" s="88"/>
      <c r="N167" s="88">
        <v>0</v>
      </c>
      <c r="O167" s="88">
        <v>0</v>
      </c>
      <c r="P167" s="32">
        <v>1</v>
      </c>
      <c r="Q167" s="32">
        <v>1</v>
      </c>
      <c r="R167" s="88">
        <v>6</v>
      </c>
      <c r="S167" s="31" t="s">
        <v>300</v>
      </c>
      <c r="T167">
        <v>1</v>
      </c>
      <c r="U167">
        <v>1</v>
      </c>
      <c r="V167">
        <v>1</v>
      </c>
      <c r="W167">
        <v>1049</v>
      </c>
      <c r="X167" s="89" t="s">
        <v>1339</v>
      </c>
      <c r="Y167" s="89"/>
      <c r="Z167" s="53">
        <v>9999</v>
      </c>
      <c r="AA167" s="53"/>
      <c r="AB167" s="53">
        <v>30</v>
      </c>
      <c r="AC167" s="53">
        <v>30</v>
      </c>
      <c r="AD167" s="53">
        <v>30</v>
      </c>
      <c r="AE167" s="94">
        <v>50</v>
      </c>
      <c r="AF167" s="94">
        <v>20</v>
      </c>
      <c r="AG167" s="94">
        <v>4000</v>
      </c>
      <c r="AH167" s="94">
        <v>50</v>
      </c>
      <c r="AI167" s="94">
        <v>0</v>
      </c>
      <c r="AJ167" s="94">
        <v>0</v>
      </c>
      <c r="AK167" s="94">
        <v>1</v>
      </c>
      <c r="AL167" s="94">
        <v>0</v>
      </c>
      <c r="AM167" s="98" t="s">
        <v>676</v>
      </c>
      <c r="AW167" s="88"/>
      <c r="AX167" s="88"/>
    </row>
    <row r="168" spans="2:50">
      <c r="B168" s="9">
        <v>121051</v>
      </c>
      <c r="C168" s="9">
        <v>121051</v>
      </c>
      <c r="D168" s="24" t="s">
        <v>1340</v>
      </c>
      <c r="E168" s="9" t="s">
        <v>1340</v>
      </c>
      <c r="F168" s="9"/>
      <c r="G168" s="9">
        <v>0</v>
      </c>
      <c r="H168" s="2"/>
      <c r="I168" s="2"/>
      <c r="J168" s="2"/>
      <c r="K168" s="2"/>
      <c r="L168" s="2"/>
      <c r="M168" s="88"/>
      <c r="N168" s="88">
        <v>0</v>
      </c>
      <c r="O168" s="88">
        <v>0</v>
      </c>
      <c r="P168" s="32">
        <v>1</v>
      </c>
      <c r="Q168" s="32">
        <v>1</v>
      </c>
      <c r="R168" s="88">
        <v>6</v>
      </c>
      <c r="S168" s="31" t="s">
        <v>829</v>
      </c>
      <c r="T168">
        <v>1</v>
      </c>
      <c r="U168">
        <v>1</v>
      </c>
      <c r="V168">
        <v>1</v>
      </c>
      <c r="W168">
        <v>1050</v>
      </c>
      <c r="X168" s="89" t="s">
        <v>1341</v>
      </c>
      <c r="Y168" s="89"/>
      <c r="Z168" s="53">
        <v>9999</v>
      </c>
      <c r="AA168" s="53"/>
      <c r="AB168" s="53">
        <v>30</v>
      </c>
      <c r="AC168" s="53">
        <v>30</v>
      </c>
      <c r="AD168" s="53">
        <v>30</v>
      </c>
      <c r="AE168" s="94">
        <v>50</v>
      </c>
      <c r="AF168" s="94">
        <v>20</v>
      </c>
      <c r="AG168" s="94">
        <v>4000</v>
      </c>
      <c r="AH168" s="94">
        <v>50</v>
      </c>
      <c r="AI168" s="94">
        <v>0</v>
      </c>
      <c r="AJ168" s="94">
        <v>0</v>
      </c>
      <c r="AK168" s="94">
        <v>1</v>
      </c>
      <c r="AL168" s="94">
        <v>0</v>
      </c>
      <c r="AM168" s="98" t="s">
        <v>676</v>
      </c>
      <c r="AW168" s="88"/>
      <c r="AX168" s="88"/>
    </row>
    <row r="169" spans="2:50">
      <c r="B169" s="9">
        <v>121052</v>
      </c>
      <c r="C169" s="9">
        <v>121052</v>
      </c>
      <c r="D169" s="24" t="s">
        <v>1342</v>
      </c>
      <c r="E169" s="9" t="s">
        <v>1342</v>
      </c>
      <c r="F169" s="9"/>
      <c r="G169" s="9">
        <v>0</v>
      </c>
      <c r="H169" s="2"/>
      <c r="I169" s="2"/>
      <c r="J169" s="2"/>
      <c r="K169" s="2"/>
      <c r="L169" s="2"/>
      <c r="M169" s="88"/>
      <c r="N169" s="88">
        <v>0</v>
      </c>
      <c r="O169" s="88">
        <v>0</v>
      </c>
      <c r="P169" s="32">
        <v>1</v>
      </c>
      <c r="Q169" s="32">
        <v>1</v>
      </c>
      <c r="R169" s="88">
        <v>6</v>
      </c>
      <c r="S169" s="31" t="s">
        <v>139</v>
      </c>
      <c r="T169">
        <v>1</v>
      </c>
      <c r="U169">
        <v>1</v>
      </c>
      <c r="V169">
        <v>1</v>
      </c>
      <c r="W169">
        <v>1051</v>
      </c>
      <c r="X169" s="89" t="s">
        <v>1343</v>
      </c>
      <c r="Y169" s="89"/>
      <c r="Z169" s="53">
        <v>9999</v>
      </c>
      <c r="AA169" s="53"/>
      <c r="AB169" s="53">
        <v>30</v>
      </c>
      <c r="AC169" s="53">
        <v>30</v>
      </c>
      <c r="AD169" s="53">
        <v>30</v>
      </c>
      <c r="AE169" s="94">
        <v>50</v>
      </c>
      <c r="AF169" s="94">
        <v>20</v>
      </c>
      <c r="AG169" s="94">
        <v>4000</v>
      </c>
      <c r="AH169" s="94">
        <v>50</v>
      </c>
      <c r="AI169" s="94">
        <v>0</v>
      </c>
      <c r="AJ169" s="94">
        <v>0</v>
      </c>
      <c r="AK169" s="94">
        <v>1</v>
      </c>
      <c r="AL169" s="94">
        <v>0</v>
      </c>
      <c r="AM169" s="98" t="s">
        <v>676</v>
      </c>
      <c r="AW169" s="88"/>
      <c r="AX169" s="88"/>
    </row>
    <row r="170" spans="2:50">
      <c r="B170" s="9">
        <v>121053</v>
      </c>
      <c r="C170" s="9">
        <v>121053</v>
      </c>
      <c r="D170" s="24" t="s">
        <v>1344</v>
      </c>
      <c r="E170" s="9" t="s">
        <v>1344</v>
      </c>
      <c r="F170" s="9"/>
      <c r="G170" s="9">
        <v>0</v>
      </c>
      <c r="H170" s="2"/>
      <c r="I170" s="2"/>
      <c r="J170" s="2"/>
      <c r="K170" s="2"/>
      <c r="L170" s="2"/>
      <c r="M170" s="88"/>
      <c r="N170" s="88">
        <v>0</v>
      </c>
      <c r="O170" s="88">
        <v>0</v>
      </c>
      <c r="P170" s="32">
        <v>1</v>
      </c>
      <c r="Q170" s="32">
        <v>1</v>
      </c>
      <c r="R170" s="88">
        <v>6</v>
      </c>
      <c r="S170" s="31" t="s">
        <v>1017</v>
      </c>
      <c r="T170">
        <v>1</v>
      </c>
      <c r="U170">
        <v>1</v>
      </c>
      <c r="V170">
        <v>1</v>
      </c>
      <c r="W170">
        <v>1052</v>
      </c>
      <c r="X170" s="89" t="s">
        <v>1345</v>
      </c>
      <c r="Y170" s="89"/>
      <c r="Z170" s="53">
        <v>9999</v>
      </c>
      <c r="AA170" s="53"/>
      <c r="AB170" s="53">
        <v>30</v>
      </c>
      <c r="AC170" s="53">
        <v>30</v>
      </c>
      <c r="AD170" s="53">
        <v>30</v>
      </c>
      <c r="AE170" s="94">
        <v>50</v>
      </c>
      <c r="AF170" s="94">
        <v>20</v>
      </c>
      <c r="AG170" s="94">
        <v>4000</v>
      </c>
      <c r="AH170" s="94">
        <v>50</v>
      </c>
      <c r="AI170" s="94">
        <v>0</v>
      </c>
      <c r="AJ170" s="94">
        <v>0</v>
      </c>
      <c r="AK170" s="94">
        <v>1</v>
      </c>
      <c r="AL170" s="94">
        <v>0</v>
      </c>
      <c r="AM170" s="98" t="s">
        <v>676</v>
      </c>
      <c r="AW170" s="88"/>
      <c r="AX170" s="88"/>
    </row>
    <row r="171" spans="2:50">
      <c r="B171" s="9">
        <v>121054</v>
      </c>
      <c r="C171" s="9">
        <v>121054</v>
      </c>
      <c r="D171" s="24" t="s">
        <v>1346</v>
      </c>
      <c r="E171" s="9" t="s">
        <v>1346</v>
      </c>
      <c r="F171" s="9"/>
      <c r="G171" s="9">
        <v>0</v>
      </c>
      <c r="H171" s="2"/>
      <c r="I171" s="2"/>
      <c r="J171" s="2"/>
      <c r="K171" s="2"/>
      <c r="L171" s="2"/>
      <c r="M171" s="88"/>
      <c r="N171" s="88">
        <v>0</v>
      </c>
      <c r="O171" s="88">
        <v>0</v>
      </c>
      <c r="P171" s="32">
        <v>1</v>
      </c>
      <c r="Q171" s="32">
        <v>1</v>
      </c>
      <c r="R171" s="88">
        <v>2</v>
      </c>
      <c r="S171" s="31" t="s">
        <v>1017</v>
      </c>
      <c r="T171">
        <v>1</v>
      </c>
      <c r="U171">
        <v>1</v>
      </c>
      <c r="V171">
        <v>1</v>
      </c>
      <c r="W171">
        <v>1053</v>
      </c>
      <c r="X171" s="89" t="s">
        <v>1347</v>
      </c>
      <c r="Y171" s="89"/>
      <c r="Z171" s="53">
        <v>9999</v>
      </c>
      <c r="AA171" s="53"/>
      <c r="AB171" s="53">
        <v>30</v>
      </c>
      <c r="AC171" s="53">
        <v>30</v>
      </c>
      <c r="AD171" s="53">
        <v>30</v>
      </c>
      <c r="AE171" s="94">
        <v>50</v>
      </c>
      <c r="AF171" s="94">
        <v>20</v>
      </c>
      <c r="AG171" s="94">
        <v>4000</v>
      </c>
      <c r="AH171" s="94">
        <v>50</v>
      </c>
      <c r="AI171" s="94">
        <v>0</v>
      </c>
      <c r="AJ171" s="94">
        <v>0</v>
      </c>
      <c r="AK171" s="94">
        <v>1</v>
      </c>
      <c r="AL171" s="94">
        <v>0</v>
      </c>
      <c r="AM171" s="98" t="s">
        <v>676</v>
      </c>
      <c r="AW171" s="88"/>
      <c r="AX171" s="88"/>
    </row>
    <row r="172" spans="2:50">
      <c r="B172" s="9">
        <v>121055</v>
      </c>
      <c r="C172" s="9">
        <v>121055</v>
      </c>
      <c r="D172" s="24" t="s">
        <v>1348</v>
      </c>
      <c r="E172" s="9" t="s">
        <v>1348</v>
      </c>
      <c r="F172" s="9"/>
      <c r="G172" s="9">
        <v>0</v>
      </c>
      <c r="H172" s="2"/>
      <c r="I172" s="2"/>
      <c r="J172" s="2"/>
      <c r="K172" s="2"/>
      <c r="L172" s="2"/>
      <c r="M172" s="88"/>
      <c r="N172" s="88">
        <v>0</v>
      </c>
      <c r="O172" s="6">
        <v>1</v>
      </c>
      <c r="P172" s="32">
        <v>1</v>
      </c>
      <c r="Q172" s="32">
        <v>1</v>
      </c>
      <c r="R172" s="88">
        <v>3</v>
      </c>
      <c r="S172" s="31" t="s">
        <v>1017</v>
      </c>
      <c r="T172">
        <v>1</v>
      </c>
      <c r="U172">
        <v>1</v>
      </c>
      <c r="V172">
        <v>1</v>
      </c>
      <c r="W172">
        <v>1054</v>
      </c>
      <c r="X172" s="89" t="s">
        <v>1349</v>
      </c>
      <c r="Y172" s="89"/>
      <c r="Z172" s="53">
        <v>9999</v>
      </c>
      <c r="AA172" s="53"/>
      <c r="AB172" s="53">
        <v>30</v>
      </c>
      <c r="AC172" s="53">
        <v>30</v>
      </c>
      <c r="AD172" s="53">
        <v>30</v>
      </c>
      <c r="AE172" s="94">
        <v>50</v>
      </c>
      <c r="AF172" s="94">
        <v>20</v>
      </c>
      <c r="AG172" s="94">
        <v>4000</v>
      </c>
      <c r="AH172" s="94">
        <v>50</v>
      </c>
      <c r="AI172" s="94">
        <v>0</v>
      </c>
      <c r="AJ172" s="94">
        <v>0</v>
      </c>
      <c r="AK172" s="94">
        <v>1</v>
      </c>
      <c r="AL172" s="94">
        <v>0</v>
      </c>
      <c r="AM172" s="98" t="s">
        <v>676</v>
      </c>
      <c r="AW172" s="88"/>
      <c r="AX172" s="88"/>
    </row>
    <row r="173" spans="2:50">
      <c r="B173" s="9">
        <v>121056</v>
      </c>
      <c r="C173" s="9">
        <v>121056</v>
      </c>
      <c r="D173" s="24" t="s">
        <v>1350</v>
      </c>
      <c r="E173" s="9" t="s">
        <v>1350</v>
      </c>
      <c r="F173" s="9"/>
      <c r="G173" s="9">
        <v>0</v>
      </c>
      <c r="H173" s="2"/>
      <c r="I173" s="2"/>
      <c r="J173" s="2"/>
      <c r="K173" s="2"/>
      <c r="L173" s="2"/>
      <c r="M173" s="88"/>
      <c r="N173" s="88">
        <v>0</v>
      </c>
      <c r="O173" s="6">
        <v>1</v>
      </c>
      <c r="P173" s="32">
        <v>1</v>
      </c>
      <c r="Q173" s="32">
        <v>1</v>
      </c>
      <c r="R173" s="88">
        <v>3</v>
      </c>
      <c r="S173" s="31" t="s">
        <v>1076</v>
      </c>
      <c r="T173">
        <v>1</v>
      </c>
      <c r="U173">
        <v>1</v>
      </c>
      <c r="V173">
        <v>1</v>
      </c>
      <c r="W173">
        <v>1055</v>
      </c>
      <c r="X173" s="89" t="s">
        <v>1351</v>
      </c>
      <c r="Y173" s="89"/>
      <c r="Z173" s="53">
        <v>9999</v>
      </c>
      <c r="AA173" s="53"/>
      <c r="AB173" s="53">
        <v>30</v>
      </c>
      <c r="AC173" s="53">
        <v>30</v>
      </c>
      <c r="AD173" s="53">
        <v>30</v>
      </c>
      <c r="AE173" s="94">
        <v>50</v>
      </c>
      <c r="AF173" s="94">
        <v>20</v>
      </c>
      <c r="AG173" s="94">
        <v>4000</v>
      </c>
      <c r="AH173" s="94">
        <v>50</v>
      </c>
      <c r="AI173" s="94">
        <v>0</v>
      </c>
      <c r="AJ173" s="94">
        <v>0</v>
      </c>
      <c r="AK173" s="94">
        <v>1</v>
      </c>
      <c r="AL173" s="94">
        <v>0</v>
      </c>
      <c r="AM173" s="98" t="s">
        <v>676</v>
      </c>
      <c r="AW173" s="88"/>
      <c r="AX173" s="88"/>
    </row>
    <row r="174" spans="2:50">
      <c r="B174" s="9">
        <v>121057</v>
      </c>
      <c r="C174" s="9">
        <v>121057</v>
      </c>
      <c r="D174" s="24" t="s">
        <v>1352</v>
      </c>
      <c r="E174" s="9" t="s">
        <v>1353</v>
      </c>
      <c r="F174" s="9"/>
      <c r="G174" s="9">
        <v>0</v>
      </c>
      <c r="H174" s="2"/>
      <c r="I174" s="2"/>
      <c r="J174" s="2"/>
      <c r="K174" s="2"/>
      <c r="L174" s="2"/>
      <c r="M174" s="88"/>
      <c r="N174" s="88">
        <v>0</v>
      </c>
      <c r="O174" s="88">
        <v>0</v>
      </c>
      <c r="P174" s="32">
        <v>1</v>
      </c>
      <c r="Q174" s="32">
        <v>1</v>
      </c>
      <c r="R174" s="88">
        <v>3</v>
      </c>
      <c r="S174" s="31" t="s">
        <v>1083</v>
      </c>
      <c r="T174">
        <v>1</v>
      </c>
      <c r="U174">
        <v>1</v>
      </c>
      <c r="V174">
        <v>1</v>
      </c>
      <c r="W174">
        <v>1056</v>
      </c>
      <c r="X174" s="89" t="s">
        <v>1354</v>
      </c>
      <c r="Y174" s="89"/>
      <c r="Z174" s="53">
        <v>9999</v>
      </c>
      <c r="AA174" s="53"/>
      <c r="AB174" s="53">
        <v>30</v>
      </c>
      <c r="AC174" s="53">
        <v>30</v>
      </c>
      <c r="AD174" s="53">
        <v>30</v>
      </c>
      <c r="AE174" s="94">
        <v>50</v>
      </c>
      <c r="AF174" s="94">
        <v>20</v>
      </c>
      <c r="AG174" s="94">
        <v>4000</v>
      </c>
      <c r="AH174" s="94">
        <v>50</v>
      </c>
      <c r="AI174" s="94">
        <v>0</v>
      </c>
      <c r="AJ174" s="94">
        <v>0</v>
      </c>
      <c r="AK174" s="94">
        <v>1</v>
      </c>
      <c r="AL174" s="94">
        <v>0</v>
      </c>
      <c r="AM174" s="98" t="s">
        <v>676</v>
      </c>
      <c r="AW174" s="88"/>
      <c r="AX174" s="88"/>
    </row>
    <row r="175" spans="2:50">
      <c r="B175" s="9">
        <v>121058</v>
      </c>
      <c r="C175" s="9">
        <v>121058</v>
      </c>
      <c r="D175" s="24" t="s">
        <v>1355</v>
      </c>
      <c r="E175" s="9" t="s">
        <v>1356</v>
      </c>
      <c r="F175" s="9"/>
      <c r="G175" s="9">
        <v>0</v>
      </c>
      <c r="H175" s="2"/>
      <c r="I175" s="2"/>
      <c r="J175" s="2"/>
      <c r="K175" s="2"/>
      <c r="L175" s="2"/>
      <c r="M175" s="88"/>
      <c r="N175" s="88">
        <v>0</v>
      </c>
      <c r="O175" s="88">
        <v>0</v>
      </c>
      <c r="P175" s="32">
        <v>1</v>
      </c>
      <c r="Q175" s="32">
        <v>1</v>
      </c>
      <c r="R175" s="88">
        <v>3</v>
      </c>
      <c r="S175" s="31" t="s">
        <v>139</v>
      </c>
      <c r="T175">
        <v>1</v>
      </c>
      <c r="U175">
        <v>1</v>
      </c>
      <c r="V175">
        <v>1</v>
      </c>
      <c r="W175">
        <v>1057</v>
      </c>
      <c r="X175" s="89" t="s">
        <v>1357</v>
      </c>
      <c r="Y175" s="89"/>
      <c r="Z175" s="53">
        <v>9999</v>
      </c>
      <c r="AA175" s="53"/>
      <c r="AB175" s="53">
        <v>30</v>
      </c>
      <c r="AC175" s="53">
        <v>30</v>
      </c>
      <c r="AD175" s="53">
        <v>30</v>
      </c>
      <c r="AE175" s="94">
        <v>50</v>
      </c>
      <c r="AF175" s="94">
        <v>20</v>
      </c>
      <c r="AG175" s="94">
        <v>4000</v>
      </c>
      <c r="AH175" s="94">
        <v>50</v>
      </c>
      <c r="AI175" s="94">
        <v>0</v>
      </c>
      <c r="AJ175" s="94">
        <v>0</v>
      </c>
      <c r="AK175" s="94">
        <v>1</v>
      </c>
      <c r="AL175" s="94">
        <v>0</v>
      </c>
      <c r="AM175" s="98" t="s">
        <v>676</v>
      </c>
      <c r="AW175" s="88"/>
      <c r="AX175" s="88"/>
    </row>
    <row r="176" spans="2:50">
      <c r="B176" s="9">
        <v>121059</v>
      </c>
      <c r="C176" s="9">
        <v>121059</v>
      </c>
      <c r="D176" s="24" t="s">
        <v>1358</v>
      </c>
      <c r="E176" s="9" t="s">
        <v>1358</v>
      </c>
      <c r="F176" s="9"/>
      <c r="G176" s="9">
        <v>0</v>
      </c>
      <c r="H176" s="2"/>
      <c r="I176" s="2"/>
      <c r="J176" s="2"/>
      <c r="K176" s="2"/>
      <c r="L176" s="2"/>
      <c r="M176" s="88"/>
      <c r="N176" s="88">
        <v>0</v>
      </c>
      <c r="O176" s="88">
        <v>0</v>
      </c>
      <c r="P176" s="32">
        <v>1</v>
      </c>
      <c r="Q176" s="32">
        <v>1</v>
      </c>
      <c r="R176" s="88">
        <v>5</v>
      </c>
      <c r="S176" s="31" t="s">
        <v>139</v>
      </c>
      <c r="T176">
        <v>1</v>
      </c>
      <c r="U176">
        <v>1</v>
      </c>
      <c r="V176">
        <v>1</v>
      </c>
      <c r="W176">
        <v>1067</v>
      </c>
      <c r="X176" s="89" t="s">
        <v>1359</v>
      </c>
      <c r="Y176" s="89"/>
      <c r="Z176" s="53">
        <v>9999</v>
      </c>
      <c r="AA176" s="53"/>
      <c r="AB176" s="53">
        <v>30</v>
      </c>
      <c r="AC176" s="53">
        <v>30</v>
      </c>
      <c r="AD176" s="53">
        <v>30</v>
      </c>
      <c r="AE176" s="94">
        <v>50</v>
      </c>
      <c r="AF176" s="94">
        <v>20</v>
      </c>
      <c r="AG176" s="94">
        <v>4000</v>
      </c>
      <c r="AH176" s="94">
        <v>50</v>
      </c>
      <c r="AI176" s="94">
        <v>0</v>
      </c>
      <c r="AJ176" s="94">
        <v>0</v>
      </c>
      <c r="AK176" s="94">
        <v>1</v>
      </c>
      <c r="AL176" s="94">
        <v>0</v>
      </c>
      <c r="AM176" s="98" t="s">
        <v>676</v>
      </c>
      <c r="AW176" s="88"/>
      <c r="AX176" s="88"/>
    </row>
    <row r="177" spans="2:50">
      <c r="B177" s="9">
        <v>121060</v>
      </c>
      <c r="C177" s="9">
        <v>121060</v>
      </c>
      <c r="D177" s="24" t="s">
        <v>1360</v>
      </c>
      <c r="E177" s="9" t="s">
        <v>1360</v>
      </c>
      <c r="F177" s="9"/>
      <c r="G177" s="9">
        <v>0</v>
      </c>
      <c r="H177" s="2"/>
      <c r="I177" s="2"/>
      <c r="J177" s="2"/>
      <c r="K177" s="2"/>
      <c r="L177" s="2"/>
      <c r="M177" s="88"/>
      <c r="N177" s="88">
        <v>0</v>
      </c>
      <c r="O177" s="100">
        <v>1</v>
      </c>
      <c r="P177" s="32">
        <v>1</v>
      </c>
      <c r="Q177" s="32">
        <v>1</v>
      </c>
      <c r="R177" s="88">
        <v>8</v>
      </c>
      <c r="S177" s="31" t="s">
        <v>1106</v>
      </c>
      <c r="T177">
        <v>1</v>
      </c>
      <c r="U177">
        <v>1</v>
      </c>
      <c r="V177">
        <v>1</v>
      </c>
      <c r="W177">
        <v>1041</v>
      </c>
      <c r="X177" s="89" t="s">
        <v>1361</v>
      </c>
      <c r="Y177" s="89"/>
      <c r="Z177" s="53">
        <v>9999</v>
      </c>
      <c r="AA177" s="53"/>
      <c r="AB177" s="53">
        <v>30</v>
      </c>
      <c r="AC177" s="53">
        <v>30</v>
      </c>
      <c r="AD177" s="53">
        <v>30</v>
      </c>
      <c r="AE177" s="94">
        <v>50</v>
      </c>
      <c r="AF177" s="94">
        <v>20</v>
      </c>
      <c r="AG177" s="94">
        <v>4000</v>
      </c>
      <c r="AH177" s="94">
        <v>50</v>
      </c>
      <c r="AI177" s="94">
        <v>0</v>
      </c>
      <c r="AJ177" s="94">
        <v>0</v>
      </c>
      <c r="AK177" s="94">
        <v>1</v>
      </c>
      <c r="AL177" s="94">
        <v>0</v>
      </c>
      <c r="AM177" s="98" t="s">
        <v>676</v>
      </c>
      <c r="AW177" s="88"/>
      <c r="AX177" s="88"/>
    </row>
    <row r="178" spans="2:50">
      <c r="B178" s="9">
        <v>121061</v>
      </c>
      <c r="C178" s="9">
        <v>121061</v>
      </c>
      <c r="D178" s="24" t="s">
        <v>1362</v>
      </c>
      <c r="E178" s="9" t="s">
        <v>1362</v>
      </c>
      <c r="F178" s="9"/>
      <c r="G178" s="9">
        <v>1</v>
      </c>
      <c r="H178" s="2"/>
      <c r="I178" s="2"/>
      <c r="J178" s="2"/>
      <c r="K178" s="2"/>
      <c r="L178" s="2"/>
      <c r="M178" s="88"/>
      <c r="N178" s="88">
        <v>0</v>
      </c>
      <c r="O178" s="88">
        <v>0</v>
      </c>
      <c r="P178" s="32">
        <v>1</v>
      </c>
      <c r="Q178" s="32">
        <v>1</v>
      </c>
      <c r="R178" s="88">
        <v>3</v>
      </c>
      <c r="S178" s="31" t="s">
        <v>300</v>
      </c>
      <c r="T178">
        <v>1</v>
      </c>
      <c r="U178">
        <v>1</v>
      </c>
      <c r="V178">
        <v>1</v>
      </c>
      <c r="W178">
        <v>1034</v>
      </c>
      <c r="X178" s="89" t="s">
        <v>1363</v>
      </c>
      <c r="Y178" s="89"/>
      <c r="Z178" s="53">
        <v>9999</v>
      </c>
      <c r="AA178" s="53"/>
      <c r="AB178" s="53">
        <v>30</v>
      </c>
      <c r="AC178" s="53">
        <v>30</v>
      </c>
      <c r="AD178" s="53">
        <v>30</v>
      </c>
      <c r="AE178" s="94">
        <v>50</v>
      </c>
      <c r="AF178" s="94">
        <v>20</v>
      </c>
      <c r="AG178" s="94">
        <v>4000</v>
      </c>
      <c r="AH178" s="94">
        <v>50</v>
      </c>
      <c r="AI178" s="94">
        <v>0</v>
      </c>
      <c r="AJ178" s="94">
        <v>0</v>
      </c>
      <c r="AK178" s="94">
        <v>1</v>
      </c>
      <c r="AL178" s="94">
        <v>0</v>
      </c>
      <c r="AM178" s="98" t="s">
        <v>676</v>
      </c>
      <c r="AW178" s="88"/>
      <c r="AX178" s="88"/>
    </row>
    <row r="179" spans="2:50">
      <c r="B179" s="9">
        <v>121062</v>
      </c>
      <c r="C179" s="9">
        <v>121062</v>
      </c>
      <c r="D179" s="24" t="s">
        <v>1364</v>
      </c>
      <c r="E179" s="9" t="s">
        <v>1364</v>
      </c>
      <c r="F179" s="9"/>
      <c r="G179" s="9">
        <v>0</v>
      </c>
      <c r="H179" s="2"/>
      <c r="I179" s="2"/>
      <c r="J179" s="2"/>
      <c r="K179" s="2"/>
      <c r="L179" s="2"/>
      <c r="M179" s="88"/>
      <c r="N179" s="88">
        <v>0</v>
      </c>
      <c r="O179" s="88">
        <v>0</v>
      </c>
      <c r="P179" s="32">
        <v>1</v>
      </c>
      <c r="Q179" s="32">
        <v>1</v>
      </c>
      <c r="R179" s="88">
        <v>3</v>
      </c>
      <c r="S179" s="31" t="s">
        <v>736</v>
      </c>
      <c r="T179">
        <v>1</v>
      </c>
      <c r="U179">
        <v>1</v>
      </c>
      <c r="V179">
        <v>1</v>
      </c>
      <c r="W179">
        <v>2018</v>
      </c>
      <c r="X179" s="89" t="s">
        <v>1365</v>
      </c>
      <c r="Y179" s="89"/>
      <c r="Z179" s="53">
        <v>9999</v>
      </c>
      <c r="AA179" s="53"/>
      <c r="AB179" s="53">
        <v>30</v>
      </c>
      <c r="AC179" s="53">
        <v>30</v>
      </c>
      <c r="AD179" s="53">
        <v>30</v>
      </c>
      <c r="AE179" s="94">
        <v>50</v>
      </c>
      <c r="AF179" s="94">
        <v>20</v>
      </c>
      <c r="AG179" s="94">
        <v>4000</v>
      </c>
      <c r="AH179" s="94">
        <v>50</v>
      </c>
      <c r="AI179" s="94">
        <v>0</v>
      </c>
      <c r="AJ179" s="94">
        <v>0</v>
      </c>
      <c r="AK179" s="94">
        <v>1</v>
      </c>
      <c r="AL179" s="94">
        <v>0</v>
      </c>
      <c r="AM179" s="98" t="s">
        <v>676</v>
      </c>
      <c r="AW179" s="88"/>
      <c r="AX179" s="88"/>
    </row>
    <row r="180" spans="2:50">
      <c r="B180" s="9">
        <v>121063</v>
      </c>
      <c r="C180" s="9">
        <v>121063</v>
      </c>
      <c r="D180" s="24" t="s">
        <v>1366</v>
      </c>
      <c r="E180" s="9" t="s">
        <v>1366</v>
      </c>
      <c r="F180" s="9"/>
      <c r="G180" s="9">
        <v>0</v>
      </c>
      <c r="H180" s="2"/>
      <c r="I180" s="2"/>
      <c r="J180" s="2"/>
      <c r="K180" s="2"/>
      <c r="L180" s="2"/>
      <c r="M180" s="88"/>
      <c r="N180" s="88">
        <v>0</v>
      </c>
      <c r="O180" s="88">
        <v>0</v>
      </c>
      <c r="P180" s="32">
        <v>1</v>
      </c>
      <c r="Q180" s="32">
        <v>1</v>
      </c>
      <c r="R180" s="88">
        <v>3</v>
      </c>
      <c r="S180" s="31" t="s">
        <v>1131</v>
      </c>
      <c r="T180">
        <v>1</v>
      </c>
      <c r="U180">
        <v>1</v>
      </c>
      <c r="V180">
        <v>1</v>
      </c>
      <c r="W180">
        <v>2019</v>
      </c>
      <c r="X180" s="89" t="s">
        <v>1367</v>
      </c>
      <c r="Y180" s="89"/>
      <c r="Z180" s="53">
        <v>9999</v>
      </c>
      <c r="AA180" s="53"/>
      <c r="AB180" s="53">
        <v>30</v>
      </c>
      <c r="AC180" s="53">
        <v>30</v>
      </c>
      <c r="AD180" s="53">
        <v>30</v>
      </c>
      <c r="AE180" s="94">
        <v>50</v>
      </c>
      <c r="AF180" s="94">
        <v>20</v>
      </c>
      <c r="AG180" s="94">
        <v>4000</v>
      </c>
      <c r="AH180" s="94">
        <v>50</v>
      </c>
      <c r="AI180" s="94">
        <v>0</v>
      </c>
      <c r="AJ180" s="94">
        <v>0</v>
      </c>
      <c r="AK180" s="94">
        <v>1</v>
      </c>
      <c r="AL180" s="94">
        <v>0</v>
      </c>
      <c r="AM180" s="98" t="s">
        <v>676</v>
      </c>
      <c r="AW180" s="88"/>
      <c r="AX180" s="88"/>
    </row>
    <row r="181" spans="2:50">
      <c r="B181" s="9">
        <v>121064</v>
      </c>
      <c r="C181" s="9">
        <v>121064</v>
      </c>
      <c r="D181" s="24" t="s">
        <v>1368</v>
      </c>
      <c r="E181" s="9" t="s">
        <v>1368</v>
      </c>
      <c r="F181" s="9"/>
      <c r="G181" s="9">
        <v>0</v>
      </c>
      <c r="H181" s="2"/>
      <c r="I181" s="2"/>
      <c r="J181" s="2"/>
      <c r="K181" s="2"/>
      <c r="L181" s="2"/>
      <c r="M181" s="88"/>
      <c r="N181" s="88">
        <v>0</v>
      </c>
      <c r="O181" s="88">
        <v>0</v>
      </c>
      <c r="P181" s="32">
        <v>1</v>
      </c>
      <c r="Q181" s="32">
        <v>1</v>
      </c>
      <c r="R181" s="88">
        <v>3</v>
      </c>
      <c r="S181" s="31" t="s">
        <v>711</v>
      </c>
      <c r="T181">
        <v>1</v>
      </c>
      <c r="U181">
        <v>1</v>
      </c>
      <c r="V181">
        <v>1</v>
      </c>
      <c r="W181">
        <v>2020</v>
      </c>
      <c r="X181" s="89" t="s">
        <v>1369</v>
      </c>
      <c r="Y181" s="89"/>
      <c r="Z181" s="53">
        <v>9999</v>
      </c>
      <c r="AA181" s="53"/>
      <c r="AB181" s="53">
        <v>30</v>
      </c>
      <c r="AC181" s="53">
        <v>30</v>
      </c>
      <c r="AD181" s="53">
        <v>30</v>
      </c>
      <c r="AE181" s="94">
        <v>50</v>
      </c>
      <c r="AF181" s="94">
        <v>20</v>
      </c>
      <c r="AG181" s="94">
        <v>4000</v>
      </c>
      <c r="AH181" s="94">
        <v>50</v>
      </c>
      <c r="AI181" s="94">
        <v>0</v>
      </c>
      <c r="AJ181" s="94">
        <v>0</v>
      </c>
      <c r="AK181" s="94">
        <v>1</v>
      </c>
      <c r="AL181" s="94">
        <v>0</v>
      </c>
      <c r="AM181" s="98" t="s">
        <v>676</v>
      </c>
      <c r="AW181" s="88"/>
      <c r="AX181" s="88"/>
    </row>
    <row r="182" spans="2:50">
      <c r="B182" s="9">
        <v>121065</v>
      </c>
      <c r="C182" s="9">
        <v>121065</v>
      </c>
      <c r="D182" s="24" t="s">
        <v>1370</v>
      </c>
      <c r="E182" s="9" t="s">
        <v>1370</v>
      </c>
      <c r="F182" s="9"/>
      <c r="G182" s="9">
        <v>0</v>
      </c>
      <c r="H182" s="2"/>
      <c r="I182" s="2"/>
      <c r="J182" s="2"/>
      <c r="K182" s="2"/>
      <c r="L182" s="2"/>
      <c r="M182" s="88"/>
      <c r="N182" s="88">
        <v>0</v>
      </c>
      <c r="O182" s="88">
        <v>0</v>
      </c>
      <c r="P182" s="32">
        <v>1</v>
      </c>
      <c r="Q182" s="32">
        <v>1</v>
      </c>
      <c r="R182" s="88">
        <v>8</v>
      </c>
      <c r="S182" s="31" t="s">
        <v>736</v>
      </c>
      <c r="T182">
        <v>1</v>
      </c>
      <c r="U182">
        <v>1</v>
      </c>
      <c r="V182">
        <v>1</v>
      </c>
      <c r="W182" s="9">
        <v>1058</v>
      </c>
      <c r="X182" s="89" t="s">
        <v>1371</v>
      </c>
      <c r="Y182" s="89"/>
      <c r="Z182" s="53">
        <v>9999</v>
      </c>
      <c r="AA182" s="53"/>
      <c r="AB182" s="53">
        <v>30</v>
      </c>
      <c r="AC182" s="53">
        <v>30</v>
      </c>
      <c r="AD182" s="53">
        <v>30</v>
      </c>
      <c r="AE182" s="94">
        <v>50</v>
      </c>
      <c r="AF182" s="94">
        <v>20</v>
      </c>
      <c r="AG182" s="94">
        <v>4000</v>
      </c>
      <c r="AH182" s="94">
        <v>50</v>
      </c>
      <c r="AI182" s="94">
        <v>0</v>
      </c>
      <c r="AJ182" s="94">
        <v>0</v>
      </c>
      <c r="AK182" s="94">
        <v>1</v>
      </c>
      <c r="AL182" s="94">
        <v>0</v>
      </c>
      <c r="AM182" s="98" t="s">
        <v>676</v>
      </c>
      <c r="AW182" s="88"/>
      <c r="AX182" s="88"/>
    </row>
    <row r="183" spans="2:50">
      <c r="B183" s="9">
        <v>121066</v>
      </c>
      <c r="C183" s="9">
        <v>121066</v>
      </c>
      <c r="D183" s="24" t="s">
        <v>1372</v>
      </c>
      <c r="E183" s="9" t="s">
        <v>1372</v>
      </c>
      <c r="F183" s="9"/>
      <c r="G183" s="9">
        <v>0</v>
      </c>
      <c r="H183" s="2"/>
      <c r="I183" s="2"/>
      <c r="J183" s="2"/>
      <c r="K183" s="2"/>
      <c r="L183" s="2"/>
      <c r="M183" s="88"/>
      <c r="N183" s="88">
        <v>0</v>
      </c>
      <c r="O183" s="88">
        <v>0</v>
      </c>
      <c r="P183" s="32">
        <v>1</v>
      </c>
      <c r="Q183" s="32">
        <v>1</v>
      </c>
      <c r="R183" s="88">
        <v>8</v>
      </c>
      <c r="S183" s="31" t="s">
        <v>1161</v>
      </c>
      <c r="T183">
        <v>1</v>
      </c>
      <c r="U183">
        <v>1</v>
      </c>
      <c r="V183">
        <v>1</v>
      </c>
      <c r="W183" s="9">
        <v>1059</v>
      </c>
      <c r="X183" s="89" t="s">
        <v>1373</v>
      </c>
      <c r="Y183" s="89"/>
      <c r="Z183" s="53">
        <v>9999</v>
      </c>
      <c r="AA183" s="53"/>
      <c r="AB183" s="53">
        <v>30</v>
      </c>
      <c r="AC183" s="53">
        <v>30</v>
      </c>
      <c r="AD183" s="53">
        <v>30</v>
      </c>
      <c r="AE183" s="94">
        <v>50</v>
      </c>
      <c r="AF183" s="94">
        <v>20</v>
      </c>
      <c r="AG183" s="94">
        <v>4000</v>
      </c>
      <c r="AH183" s="94">
        <v>50</v>
      </c>
      <c r="AI183" s="94">
        <v>0</v>
      </c>
      <c r="AJ183" s="94">
        <v>0</v>
      </c>
      <c r="AK183" s="94">
        <v>1</v>
      </c>
      <c r="AL183" s="94">
        <v>0</v>
      </c>
      <c r="AM183" s="98" t="s">
        <v>676</v>
      </c>
      <c r="AW183" s="88"/>
      <c r="AX183" s="88"/>
    </row>
    <row r="184" spans="2:50">
      <c r="B184" s="9">
        <v>121067</v>
      </c>
      <c r="C184" s="9">
        <v>121067</v>
      </c>
      <c r="D184" s="24" t="s">
        <v>1374</v>
      </c>
      <c r="E184" s="9" t="s">
        <v>1374</v>
      </c>
      <c r="F184" s="9"/>
      <c r="G184" s="9">
        <v>0</v>
      </c>
      <c r="H184" s="2"/>
      <c r="I184" s="2"/>
      <c r="J184" s="2"/>
      <c r="K184" s="2"/>
      <c r="L184" s="2"/>
      <c r="M184" s="88"/>
      <c r="N184" s="88">
        <v>0</v>
      </c>
      <c r="O184" s="88">
        <v>0</v>
      </c>
      <c r="P184" s="32">
        <v>1</v>
      </c>
      <c r="Q184" s="32">
        <v>1</v>
      </c>
      <c r="R184" s="88">
        <v>8</v>
      </c>
      <c r="S184" s="31" t="s">
        <v>1083</v>
      </c>
      <c r="T184">
        <v>1</v>
      </c>
      <c r="U184">
        <v>1</v>
      </c>
      <c r="V184">
        <v>1</v>
      </c>
      <c r="W184" s="9">
        <v>1060</v>
      </c>
      <c r="X184" s="89" t="s">
        <v>1375</v>
      </c>
      <c r="Y184" s="89"/>
      <c r="Z184" s="53">
        <v>9999</v>
      </c>
      <c r="AA184" s="53"/>
      <c r="AB184" s="53">
        <v>30</v>
      </c>
      <c r="AC184" s="53">
        <v>30</v>
      </c>
      <c r="AD184" s="53">
        <v>30</v>
      </c>
      <c r="AE184" s="94">
        <v>50</v>
      </c>
      <c r="AF184" s="94">
        <v>20</v>
      </c>
      <c r="AG184" s="94">
        <v>4000</v>
      </c>
      <c r="AH184" s="94">
        <v>50</v>
      </c>
      <c r="AI184" s="94">
        <v>0</v>
      </c>
      <c r="AJ184" s="94">
        <v>0</v>
      </c>
      <c r="AK184" s="94">
        <v>1</v>
      </c>
      <c r="AL184" s="94">
        <v>0</v>
      </c>
      <c r="AM184" s="98" t="s">
        <v>676</v>
      </c>
      <c r="AW184" s="88"/>
      <c r="AX184" s="88"/>
    </row>
    <row r="185" spans="2:50">
      <c r="B185" s="9">
        <v>121068</v>
      </c>
      <c r="C185" s="9">
        <v>121068</v>
      </c>
      <c r="D185" s="24" t="s">
        <v>1376</v>
      </c>
      <c r="E185" s="9" t="s">
        <v>1376</v>
      </c>
      <c r="F185" s="9"/>
      <c r="G185" s="9">
        <v>0</v>
      </c>
      <c r="H185" s="2"/>
      <c r="I185" s="2"/>
      <c r="J185" s="2"/>
      <c r="K185" s="2"/>
      <c r="L185" s="2"/>
      <c r="M185" s="88"/>
      <c r="N185" s="88">
        <v>0</v>
      </c>
      <c r="O185" s="88">
        <v>0</v>
      </c>
      <c r="P185" s="32">
        <v>1</v>
      </c>
      <c r="Q185" s="32">
        <v>1</v>
      </c>
      <c r="R185" s="88">
        <v>8</v>
      </c>
      <c r="S185" s="31" t="s">
        <v>796</v>
      </c>
      <c r="T185">
        <v>1</v>
      </c>
      <c r="U185">
        <v>1</v>
      </c>
      <c r="V185">
        <v>1</v>
      </c>
      <c r="W185" s="9">
        <v>1061</v>
      </c>
      <c r="X185" s="89" t="s">
        <v>1377</v>
      </c>
      <c r="Y185" s="89"/>
      <c r="Z185" s="53">
        <v>9999</v>
      </c>
      <c r="AA185" s="53"/>
      <c r="AB185" s="53">
        <v>30</v>
      </c>
      <c r="AC185" s="53">
        <v>30</v>
      </c>
      <c r="AD185" s="53">
        <v>30</v>
      </c>
      <c r="AE185" s="94">
        <v>50</v>
      </c>
      <c r="AF185" s="94">
        <v>20</v>
      </c>
      <c r="AG185" s="94">
        <v>4000</v>
      </c>
      <c r="AH185" s="94">
        <v>50</v>
      </c>
      <c r="AI185" s="94">
        <v>0</v>
      </c>
      <c r="AJ185" s="94">
        <v>0</v>
      </c>
      <c r="AK185" s="94">
        <v>1</v>
      </c>
      <c r="AL185" s="94">
        <v>0</v>
      </c>
      <c r="AM185" s="98" t="s">
        <v>676</v>
      </c>
      <c r="AW185" s="88"/>
      <c r="AX185" s="88"/>
    </row>
    <row r="186" spans="2:50">
      <c r="B186" s="9">
        <v>121069</v>
      </c>
      <c r="C186" s="9">
        <v>121069</v>
      </c>
      <c r="D186" s="24" t="s">
        <v>1378</v>
      </c>
      <c r="E186" s="9" t="s">
        <v>1378</v>
      </c>
      <c r="F186" s="9"/>
      <c r="G186" s="9">
        <v>0</v>
      </c>
      <c r="H186" s="2"/>
      <c r="I186" s="2"/>
      <c r="J186" s="2"/>
      <c r="K186" s="2"/>
      <c r="L186" s="2"/>
      <c r="M186" s="88"/>
      <c r="N186" s="88">
        <v>0</v>
      </c>
      <c r="O186" s="6">
        <v>1</v>
      </c>
      <c r="P186" s="32">
        <v>1</v>
      </c>
      <c r="Q186" s="32">
        <v>1</v>
      </c>
      <c r="R186" s="88">
        <v>8</v>
      </c>
      <c r="S186" s="31" t="s">
        <v>796</v>
      </c>
      <c r="T186">
        <v>1</v>
      </c>
      <c r="U186">
        <v>1</v>
      </c>
      <c r="V186">
        <v>1</v>
      </c>
      <c r="W186" s="9">
        <v>1062</v>
      </c>
      <c r="X186" s="89" t="s">
        <v>1379</v>
      </c>
      <c r="Y186" s="89"/>
      <c r="Z186" s="53">
        <v>9999</v>
      </c>
      <c r="AA186" s="53"/>
      <c r="AB186" s="53">
        <v>30</v>
      </c>
      <c r="AC186" s="53">
        <v>30</v>
      </c>
      <c r="AD186" s="53">
        <v>30</v>
      </c>
      <c r="AE186" s="94">
        <v>50</v>
      </c>
      <c r="AF186" s="94">
        <v>20</v>
      </c>
      <c r="AG186" s="94">
        <v>4000</v>
      </c>
      <c r="AH186" s="94">
        <v>50</v>
      </c>
      <c r="AI186" s="94">
        <v>0</v>
      </c>
      <c r="AJ186" s="94">
        <v>0</v>
      </c>
      <c r="AK186" s="94">
        <v>1</v>
      </c>
      <c r="AL186" s="94">
        <v>0</v>
      </c>
      <c r="AM186" s="98" t="s">
        <v>676</v>
      </c>
      <c r="AW186" s="88"/>
      <c r="AX186" s="88"/>
    </row>
    <row r="187" spans="2:50">
      <c r="B187" s="9">
        <v>121070</v>
      </c>
      <c r="C187" s="9">
        <v>121070</v>
      </c>
      <c r="D187" s="24" t="s">
        <v>1380</v>
      </c>
      <c r="E187" s="9" t="s">
        <v>1380</v>
      </c>
      <c r="F187" s="9"/>
      <c r="G187" s="9">
        <v>0</v>
      </c>
      <c r="H187" s="2"/>
      <c r="I187" s="2"/>
      <c r="J187" s="2"/>
      <c r="K187" s="2"/>
      <c r="L187" s="2"/>
      <c r="M187" s="88"/>
      <c r="N187" s="88">
        <v>0</v>
      </c>
      <c r="O187" s="6">
        <v>1</v>
      </c>
      <c r="P187" s="32">
        <v>1</v>
      </c>
      <c r="Q187" s="32">
        <v>1</v>
      </c>
      <c r="R187" s="88">
        <v>8</v>
      </c>
      <c r="S187" s="31" t="s">
        <v>1192</v>
      </c>
      <c r="T187">
        <v>1</v>
      </c>
      <c r="U187">
        <v>1</v>
      </c>
      <c r="V187">
        <v>1</v>
      </c>
      <c r="W187" s="9">
        <v>1063</v>
      </c>
      <c r="X187" s="89" t="s">
        <v>1381</v>
      </c>
      <c r="Y187" s="89"/>
      <c r="Z187" s="53">
        <v>9999</v>
      </c>
      <c r="AA187" s="53"/>
      <c r="AB187" s="53">
        <v>30</v>
      </c>
      <c r="AC187" s="53">
        <v>30</v>
      </c>
      <c r="AD187" s="53">
        <v>30</v>
      </c>
      <c r="AE187" s="94">
        <v>50</v>
      </c>
      <c r="AF187" s="94">
        <v>20</v>
      </c>
      <c r="AG187" s="94">
        <v>4000</v>
      </c>
      <c r="AH187" s="94">
        <v>50</v>
      </c>
      <c r="AI187" s="94">
        <v>0</v>
      </c>
      <c r="AJ187" s="94">
        <v>0</v>
      </c>
      <c r="AK187" s="94">
        <v>1</v>
      </c>
      <c r="AL187" s="94">
        <v>0</v>
      </c>
      <c r="AM187" s="98" t="s">
        <v>676</v>
      </c>
      <c r="AW187" s="88"/>
      <c r="AX187" s="88"/>
    </row>
    <row r="188" spans="2:50">
      <c r="B188" s="9">
        <v>121071</v>
      </c>
      <c r="C188" s="9">
        <v>121071</v>
      </c>
      <c r="D188" s="24" t="s">
        <v>1382</v>
      </c>
      <c r="E188" s="9" t="s">
        <v>1382</v>
      </c>
      <c r="F188" s="9"/>
      <c r="G188" s="9">
        <v>0</v>
      </c>
      <c r="H188" s="2"/>
      <c r="I188" s="2"/>
      <c r="J188" s="2"/>
      <c r="K188" s="2"/>
      <c r="L188" s="2"/>
      <c r="M188" s="88"/>
      <c r="N188" s="88">
        <v>0</v>
      </c>
      <c r="O188" s="6">
        <v>1</v>
      </c>
      <c r="P188" s="32">
        <v>1</v>
      </c>
      <c r="Q188" s="32">
        <v>1</v>
      </c>
      <c r="R188" s="88">
        <v>8</v>
      </c>
      <c r="S188" s="31" t="s">
        <v>971</v>
      </c>
      <c r="T188">
        <v>1</v>
      </c>
      <c r="U188">
        <v>1</v>
      </c>
      <c r="V188">
        <v>1</v>
      </c>
      <c r="W188" s="9">
        <v>1064</v>
      </c>
      <c r="X188" s="89" t="s">
        <v>1383</v>
      </c>
      <c r="Y188" s="89"/>
      <c r="Z188" s="53">
        <v>9999</v>
      </c>
      <c r="AA188" s="53"/>
      <c r="AB188" s="53">
        <v>30</v>
      </c>
      <c r="AC188" s="53">
        <v>30</v>
      </c>
      <c r="AD188" s="53">
        <v>30</v>
      </c>
      <c r="AE188" s="94">
        <v>50</v>
      </c>
      <c r="AF188" s="94">
        <v>20</v>
      </c>
      <c r="AG188" s="94">
        <v>4000</v>
      </c>
      <c r="AH188" s="94">
        <v>50</v>
      </c>
      <c r="AI188" s="94">
        <v>0</v>
      </c>
      <c r="AJ188" s="94">
        <v>0</v>
      </c>
      <c r="AK188" s="94">
        <v>1</v>
      </c>
      <c r="AL188" s="94">
        <v>0</v>
      </c>
      <c r="AM188" s="98" t="s">
        <v>676</v>
      </c>
      <c r="AW188" s="88"/>
      <c r="AX188" s="88"/>
    </row>
    <row r="189" spans="2:50">
      <c r="B189" s="9">
        <v>121072</v>
      </c>
      <c r="C189" s="9">
        <v>121072</v>
      </c>
      <c r="D189" s="24" t="s">
        <v>1384</v>
      </c>
      <c r="E189" s="9" t="s">
        <v>1384</v>
      </c>
      <c r="F189" s="9"/>
      <c r="G189" s="9">
        <v>0</v>
      </c>
      <c r="H189" s="2"/>
      <c r="I189" s="2"/>
      <c r="J189" s="2"/>
      <c r="K189" s="2"/>
      <c r="L189" s="2"/>
      <c r="M189" s="88"/>
      <c r="N189" s="88">
        <v>0</v>
      </c>
      <c r="O189" s="6">
        <v>1</v>
      </c>
      <c r="P189" s="32">
        <v>1</v>
      </c>
      <c r="Q189" s="32">
        <v>1</v>
      </c>
      <c r="R189" s="88">
        <v>8</v>
      </c>
      <c r="S189" s="31" t="s">
        <v>616</v>
      </c>
      <c r="T189">
        <v>1</v>
      </c>
      <c r="U189">
        <v>1</v>
      </c>
      <c r="V189">
        <v>1</v>
      </c>
      <c r="W189" s="9">
        <v>1065</v>
      </c>
      <c r="X189" s="89" t="s">
        <v>1385</v>
      </c>
      <c r="Y189" s="89"/>
      <c r="Z189" s="53">
        <v>9999</v>
      </c>
      <c r="AA189" s="53"/>
      <c r="AB189" s="53">
        <v>30</v>
      </c>
      <c r="AC189" s="53">
        <v>30</v>
      </c>
      <c r="AD189" s="53">
        <v>30</v>
      </c>
      <c r="AE189" s="94">
        <v>50</v>
      </c>
      <c r="AF189" s="94">
        <v>20</v>
      </c>
      <c r="AG189" s="94">
        <v>4000</v>
      </c>
      <c r="AH189" s="94">
        <v>50</v>
      </c>
      <c r="AI189" s="94">
        <v>0</v>
      </c>
      <c r="AJ189" s="94">
        <v>0</v>
      </c>
      <c r="AK189" s="94">
        <v>1</v>
      </c>
      <c r="AL189" s="94">
        <v>0</v>
      </c>
      <c r="AM189" s="98" t="s">
        <v>676</v>
      </c>
      <c r="AW189" s="88"/>
      <c r="AX189" s="88"/>
    </row>
    <row r="190" spans="2:50">
      <c r="B190" s="9">
        <v>121073</v>
      </c>
      <c r="C190" s="9">
        <v>121073</v>
      </c>
      <c r="D190" s="24" t="s">
        <v>1386</v>
      </c>
      <c r="E190" s="9" t="s">
        <v>1386</v>
      </c>
      <c r="F190" s="9"/>
      <c r="G190" s="9">
        <v>0</v>
      </c>
      <c r="H190" s="2"/>
      <c r="I190" s="2"/>
      <c r="J190" s="2"/>
      <c r="K190" s="2"/>
      <c r="L190" s="2"/>
      <c r="M190" s="88"/>
      <c r="N190" s="88">
        <v>0</v>
      </c>
      <c r="O190" s="6">
        <v>1</v>
      </c>
      <c r="P190" s="32">
        <v>1</v>
      </c>
      <c r="Q190" s="32">
        <v>1</v>
      </c>
      <c r="R190" s="88">
        <v>8</v>
      </c>
      <c r="S190" s="31" t="s">
        <v>711</v>
      </c>
      <c r="T190" s="88">
        <v>1</v>
      </c>
      <c r="U190" s="88">
        <v>1</v>
      </c>
      <c r="V190" s="88">
        <v>1</v>
      </c>
      <c r="W190" s="9">
        <v>1066</v>
      </c>
      <c r="X190" s="89" t="s">
        <v>1387</v>
      </c>
      <c r="Y190" s="89"/>
      <c r="Z190" s="53">
        <v>9999</v>
      </c>
      <c r="AA190" s="53"/>
      <c r="AB190" s="53">
        <v>30</v>
      </c>
      <c r="AC190" s="53">
        <v>30</v>
      </c>
      <c r="AD190" s="53">
        <v>30</v>
      </c>
      <c r="AE190" s="94">
        <v>50</v>
      </c>
      <c r="AF190" s="94">
        <v>20</v>
      </c>
      <c r="AG190" s="94">
        <v>4000</v>
      </c>
      <c r="AH190" s="94">
        <v>50</v>
      </c>
      <c r="AI190" s="94">
        <v>0</v>
      </c>
      <c r="AJ190" s="94">
        <v>0</v>
      </c>
      <c r="AK190" s="94">
        <v>1</v>
      </c>
      <c r="AL190" s="94">
        <v>0</v>
      </c>
      <c r="AM190" s="98" t="s">
        <v>676</v>
      </c>
      <c r="AW190" s="88"/>
      <c r="AX190" s="88"/>
    </row>
    <row r="191" spans="2:50">
      <c r="B191" s="9">
        <v>121074</v>
      </c>
      <c r="C191" s="9">
        <v>121074</v>
      </c>
      <c r="D191" s="24" t="s">
        <v>1388</v>
      </c>
      <c r="E191" s="9" t="s">
        <v>1388</v>
      </c>
      <c r="F191" s="9"/>
      <c r="G191" s="9">
        <v>0</v>
      </c>
      <c r="H191" s="2"/>
      <c r="I191" s="2"/>
      <c r="J191" s="2"/>
      <c r="K191" s="2"/>
      <c r="L191" s="2"/>
      <c r="M191" s="88"/>
      <c r="N191" s="88">
        <v>0</v>
      </c>
      <c r="O191" s="88">
        <v>0</v>
      </c>
      <c r="P191" s="32">
        <v>1</v>
      </c>
      <c r="Q191" s="32">
        <v>1</v>
      </c>
      <c r="R191" s="88">
        <v>2</v>
      </c>
      <c r="S191" s="31" t="s">
        <v>558</v>
      </c>
      <c r="T191" s="88">
        <v>1</v>
      </c>
      <c r="U191" s="88">
        <v>1</v>
      </c>
      <c r="V191" s="88">
        <v>1</v>
      </c>
      <c r="W191" s="9">
        <v>1068</v>
      </c>
      <c r="X191" s="89" t="s">
        <v>1389</v>
      </c>
      <c r="Y191" s="89"/>
      <c r="Z191" s="53">
        <v>9999</v>
      </c>
      <c r="AA191" s="53"/>
      <c r="AB191" s="53">
        <v>30</v>
      </c>
      <c r="AC191" s="53">
        <v>30</v>
      </c>
      <c r="AD191" s="53">
        <v>30</v>
      </c>
      <c r="AE191" s="94">
        <v>50</v>
      </c>
      <c r="AF191" s="94">
        <v>20</v>
      </c>
      <c r="AG191" s="94">
        <v>4000</v>
      </c>
      <c r="AH191" s="94">
        <v>50</v>
      </c>
      <c r="AI191" s="94">
        <v>0</v>
      </c>
      <c r="AJ191" s="94">
        <v>0</v>
      </c>
      <c r="AK191" s="94">
        <v>1</v>
      </c>
      <c r="AL191" s="94">
        <v>0</v>
      </c>
      <c r="AM191" s="98" t="s">
        <v>676</v>
      </c>
      <c r="AW191" s="88"/>
      <c r="AX191" s="88"/>
    </row>
    <row r="192" spans="2:50">
      <c r="B192" s="9">
        <v>121075</v>
      </c>
      <c r="C192" s="9">
        <v>121075</v>
      </c>
      <c r="D192" s="24" t="s">
        <v>1390</v>
      </c>
      <c r="E192" s="9" t="s">
        <v>1390</v>
      </c>
      <c r="F192" s="9"/>
      <c r="G192" s="9">
        <v>0</v>
      </c>
      <c r="H192" s="2"/>
      <c r="I192" s="2"/>
      <c r="J192" s="2"/>
      <c r="K192" s="2"/>
      <c r="L192" s="2"/>
      <c r="M192" s="88"/>
      <c r="N192" s="88">
        <v>0</v>
      </c>
      <c r="O192" s="88">
        <v>0</v>
      </c>
      <c r="P192" s="32">
        <v>1</v>
      </c>
      <c r="Q192" s="32">
        <v>1</v>
      </c>
      <c r="R192" s="88">
        <v>2</v>
      </c>
      <c r="S192" s="31" t="s">
        <v>139</v>
      </c>
      <c r="T192" s="88">
        <v>1</v>
      </c>
      <c r="U192" s="88">
        <v>1</v>
      </c>
      <c r="V192" s="88">
        <v>1</v>
      </c>
      <c r="W192" s="9">
        <v>1069</v>
      </c>
      <c r="X192" s="89" t="s">
        <v>1391</v>
      </c>
      <c r="Y192" s="89"/>
      <c r="Z192" s="53">
        <v>9999</v>
      </c>
      <c r="AA192" s="53"/>
      <c r="AB192" s="53">
        <v>30</v>
      </c>
      <c r="AC192" s="53">
        <v>30</v>
      </c>
      <c r="AD192" s="53">
        <v>30</v>
      </c>
      <c r="AE192" s="94">
        <v>50</v>
      </c>
      <c r="AF192" s="94">
        <v>20</v>
      </c>
      <c r="AG192" s="94">
        <v>4000</v>
      </c>
      <c r="AH192" s="94">
        <v>50</v>
      </c>
      <c r="AI192" s="94">
        <v>0</v>
      </c>
      <c r="AJ192" s="94">
        <v>0</v>
      </c>
      <c r="AK192" s="94">
        <v>1</v>
      </c>
      <c r="AL192" s="94">
        <v>0</v>
      </c>
      <c r="AM192" s="98" t="s">
        <v>676</v>
      </c>
      <c r="AW192" s="88"/>
      <c r="AX192" s="88"/>
    </row>
    <row r="193" spans="2:50">
      <c r="B193" s="9">
        <v>121076</v>
      </c>
      <c r="C193" s="9">
        <v>121076</v>
      </c>
      <c r="D193" s="24" t="s">
        <v>1392</v>
      </c>
      <c r="E193" s="9" t="s">
        <v>1392</v>
      </c>
      <c r="F193" s="9"/>
      <c r="G193" s="9">
        <v>0</v>
      </c>
      <c r="H193" s="2"/>
      <c r="I193" s="2"/>
      <c r="J193" s="2"/>
      <c r="K193" s="2"/>
      <c r="L193" s="2"/>
      <c r="M193" s="88"/>
      <c r="N193" s="88">
        <v>0</v>
      </c>
      <c r="O193" s="88">
        <v>0</v>
      </c>
      <c r="P193" s="32">
        <v>1</v>
      </c>
      <c r="Q193" s="32">
        <v>1</v>
      </c>
      <c r="R193" s="88">
        <v>2</v>
      </c>
      <c r="S193" s="31"/>
      <c r="T193" s="88">
        <v>1</v>
      </c>
      <c r="U193" s="88">
        <v>1</v>
      </c>
      <c r="V193" s="88">
        <v>1</v>
      </c>
      <c r="W193" s="9">
        <v>1070</v>
      </c>
      <c r="X193" s="89" t="s">
        <v>1393</v>
      </c>
      <c r="Y193" s="89"/>
      <c r="Z193" s="53">
        <v>9999</v>
      </c>
      <c r="AA193" s="53"/>
      <c r="AB193" s="53">
        <v>30</v>
      </c>
      <c r="AC193" s="53">
        <v>30</v>
      </c>
      <c r="AD193" s="53">
        <v>30</v>
      </c>
      <c r="AE193" s="94">
        <v>50</v>
      </c>
      <c r="AF193" s="94">
        <v>20</v>
      </c>
      <c r="AG193" s="94">
        <v>4000</v>
      </c>
      <c r="AH193" s="94">
        <v>50</v>
      </c>
      <c r="AI193" s="94">
        <v>0</v>
      </c>
      <c r="AJ193" s="94">
        <v>0</v>
      </c>
      <c r="AK193" s="94">
        <v>1</v>
      </c>
      <c r="AL193" s="94">
        <v>0</v>
      </c>
      <c r="AM193" s="98" t="s">
        <v>676</v>
      </c>
      <c r="AW193" s="88"/>
      <c r="AX193" s="88"/>
    </row>
    <row r="194" spans="2:50">
      <c r="B194" s="9">
        <v>121077</v>
      </c>
      <c r="C194" s="9">
        <v>121077</v>
      </c>
      <c r="D194" s="24" t="s">
        <v>1394</v>
      </c>
      <c r="E194" s="9" t="s">
        <v>1394</v>
      </c>
      <c r="F194" s="9"/>
      <c r="G194" s="9">
        <v>0</v>
      </c>
      <c r="H194" s="2"/>
      <c r="I194" s="2"/>
      <c r="J194" s="2"/>
      <c r="K194" s="2"/>
      <c r="L194" s="2"/>
      <c r="M194" s="88"/>
      <c r="N194" s="88">
        <v>0</v>
      </c>
      <c r="O194" s="88">
        <v>0</v>
      </c>
      <c r="P194" s="32">
        <v>1</v>
      </c>
      <c r="Q194" s="32">
        <v>1</v>
      </c>
      <c r="R194" s="88">
        <v>2</v>
      </c>
      <c r="S194" s="31"/>
      <c r="T194" s="88">
        <v>1</v>
      </c>
      <c r="U194" s="88">
        <v>1</v>
      </c>
      <c r="V194" s="88">
        <v>1</v>
      </c>
      <c r="W194" s="9">
        <v>1071</v>
      </c>
      <c r="X194" s="89" t="s">
        <v>1395</v>
      </c>
      <c r="Y194" s="89"/>
      <c r="Z194" s="53">
        <v>9999</v>
      </c>
      <c r="AA194" s="53"/>
      <c r="AB194" s="53">
        <v>30</v>
      </c>
      <c r="AC194" s="53">
        <v>30</v>
      </c>
      <c r="AD194" s="53">
        <v>30</v>
      </c>
      <c r="AE194" s="94">
        <v>50</v>
      </c>
      <c r="AF194" s="94">
        <v>20</v>
      </c>
      <c r="AG194" s="94">
        <v>4000</v>
      </c>
      <c r="AH194" s="94">
        <v>50</v>
      </c>
      <c r="AI194" s="94">
        <v>0</v>
      </c>
      <c r="AJ194" s="94">
        <v>0</v>
      </c>
      <c r="AK194" s="94">
        <v>1</v>
      </c>
      <c r="AL194" s="94">
        <v>0</v>
      </c>
      <c r="AM194" s="98" t="s">
        <v>676</v>
      </c>
      <c r="AW194" s="88"/>
      <c r="AX194" s="88"/>
    </row>
    <row r="195" spans="2:50">
      <c r="B195" s="9">
        <v>121078</v>
      </c>
      <c r="C195" s="9">
        <v>121078</v>
      </c>
      <c r="D195" s="24" t="s">
        <v>1396</v>
      </c>
      <c r="E195" s="9" t="s">
        <v>1396</v>
      </c>
      <c r="F195" s="9"/>
      <c r="G195" s="9">
        <v>0</v>
      </c>
      <c r="H195" s="2"/>
      <c r="I195" s="2"/>
      <c r="J195" s="2"/>
      <c r="K195" s="2"/>
      <c r="L195" s="2"/>
      <c r="M195" s="88"/>
      <c r="N195" s="88">
        <v>0</v>
      </c>
      <c r="O195" s="88">
        <v>0</v>
      </c>
      <c r="P195" s="32">
        <v>1</v>
      </c>
      <c r="Q195" s="32">
        <v>1</v>
      </c>
      <c r="R195" s="88">
        <v>2</v>
      </c>
      <c r="S195" s="31"/>
      <c r="T195" s="88">
        <v>1</v>
      </c>
      <c r="U195" s="88">
        <v>1</v>
      </c>
      <c r="V195" s="88">
        <v>1</v>
      </c>
      <c r="W195" s="9">
        <v>1072</v>
      </c>
      <c r="X195" s="89" t="s">
        <v>1397</v>
      </c>
      <c r="Y195" s="89"/>
      <c r="Z195" s="53">
        <v>9999</v>
      </c>
      <c r="AA195" s="53"/>
      <c r="AB195" s="53">
        <v>30</v>
      </c>
      <c r="AC195" s="53">
        <v>30</v>
      </c>
      <c r="AD195" s="53">
        <v>30</v>
      </c>
      <c r="AE195" s="94">
        <v>50</v>
      </c>
      <c r="AF195" s="94">
        <v>20</v>
      </c>
      <c r="AG195" s="94">
        <v>4000</v>
      </c>
      <c r="AH195" s="94">
        <v>50</v>
      </c>
      <c r="AI195" s="94">
        <v>0</v>
      </c>
      <c r="AJ195" s="94">
        <v>0</v>
      </c>
      <c r="AK195" s="94">
        <v>1</v>
      </c>
      <c r="AL195" s="94">
        <v>0</v>
      </c>
      <c r="AM195" s="98" t="s">
        <v>676</v>
      </c>
      <c r="AW195" s="88"/>
      <c r="AX195" s="88"/>
    </row>
    <row r="196" spans="2:50">
      <c r="B196" s="9">
        <v>121079</v>
      </c>
      <c r="C196" s="9">
        <v>121079</v>
      </c>
      <c r="D196" s="24" t="s">
        <v>1398</v>
      </c>
      <c r="E196" s="9" t="s">
        <v>1398</v>
      </c>
      <c r="F196" s="9"/>
      <c r="G196" s="9">
        <v>0</v>
      </c>
      <c r="H196" s="2"/>
      <c r="I196" s="2"/>
      <c r="J196" s="2"/>
      <c r="K196" s="2"/>
      <c r="L196" s="2"/>
      <c r="M196" s="88"/>
      <c r="N196" s="88">
        <v>0</v>
      </c>
      <c r="O196" s="88">
        <v>0</v>
      </c>
      <c r="P196" s="32">
        <v>1</v>
      </c>
      <c r="Q196" s="32">
        <v>1</v>
      </c>
      <c r="R196" s="88">
        <v>2</v>
      </c>
      <c r="S196" s="31"/>
      <c r="T196" s="88">
        <v>1</v>
      </c>
      <c r="U196" s="88">
        <v>1</v>
      </c>
      <c r="V196" s="88">
        <v>1</v>
      </c>
      <c r="W196" s="9">
        <v>1073</v>
      </c>
      <c r="X196" s="89" t="s">
        <v>1399</v>
      </c>
      <c r="Y196" s="89"/>
      <c r="Z196" s="53">
        <v>9999</v>
      </c>
      <c r="AA196" s="53"/>
      <c r="AB196" s="53">
        <v>30</v>
      </c>
      <c r="AC196" s="53">
        <v>30</v>
      </c>
      <c r="AD196" s="53">
        <v>30</v>
      </c>
      <c r="AE196" s="94">
        <v>50</v>
      </c>
      <c r="AF196" s="94">
        <v>20</v>
      </c>
      <c r="AG196" s="94">
        <v>4000</v>
      </c>
      <c r="AH196" s="94">
        <v>50</v>
      </c>
      <c r="AI196" s="94">
        <v>0</v>
      </c>
      <c r="AJ196" s="94">
        <v>0</v>
      </c>
      <c r="AK196" s="94">
        <v>1</v>
      </c>
      <c r="AL196" s="94">
        <v>0</v>
      </c>
      <c r="AM196" s="98" t="s">
        <v>676</v>
      </c>
      <c r="AW196" s="88"/>
      <c r="AX196" s="88"/>
    </row>
    <row r="197" s="9" customFormat="1" spans="2:51">
      <c r="B197" s="9">
        <v>121080</v>
      </c>
      <c r="C197" s="9">
        <v>121080</v>
      </c>
      <c r="D197" s="24" t="s">
        <v>1400</v>
      </c>
      <c r="E197" s="9" t="s">
        <v>1401</v>
      </c>
      <c r="G197" s="9">
        <v>1</v>
      </c>
      <c r="H197" s="2"/>
      <c r="I197" s="2"/>
      <c r="J197" s="2"/>
      <c r="K197" s="2"/>
      <c r="L197" s="2"/>
      <c r="N197" s="88">
        <v>0</v>
      </c>
      <c r="O197" s="9">
        <v>0</v>
      </c>
      <c r="P197" s="32">
        <v>1</v>
      </c>
      <c r="Q197" s="32">
        <v>1</v>
      </c>
      <c r="R197" s="9">
        <v>8</v>
      </c>
      <c r="S197" s="31" t="s">
        <v>1402</v>
      </c>
      <c r="T197" s="9">
        <v>2</v>
      </c>
      <c r="U197" s="9">
        <v>6</v>
      </c>
      <c r="V197" s="9">
        <v>1</v>
      </c>
      <c r="W197" s="9">
        <v>45</v>
      </c>
      <c r="X197" s="9" t="s">
        <v>254</v>
      </c>
      <c r="Z197" s="53">
        <v>9999</v>
      </c>
      <c r="AA197" s="9">
        <v>214005</v>
      </c>
      <c r="AB197" s="9">
        <v>10</v>
      </c>
      <c r="AC197" s="9">
        <v>10</v>
      </c>
      <c r="AD197" s="9">
        <v>10</v>
      </c>
      <c r="AE197" s="117">
        <v>16</v>
      </c>
      <c r="AF197" s="117">
        <v>6</v>
      </c>
      <c r="AG197" s="117">
        <v>117</v>
      </c>
      <c r="AH197" s="117">
        <v>10</v>
      </c>
      <c r="AI197" s="117">
        <v>0</v>
      </c>
      <c r="AJ197" s="117">
        <v>0</v>
      </c>
      <c r="AK197" s="117">
        <v>1</v>
      </c>
      <c r="AL197" s="117">
        <v>0</v>
      </c>
      <c r="AM197" s="9" t="s">
        <v>676</v>
      </c>
      <c r="AN197" s="2"/>
      <c r="AO197" s="2" t="s">
        <v>256</v>
      </c>
      <c r="AP197" s="2" t="s">
        <v>256</v>
      </c>
      <c r="AQ197" s="2"/>
      <c r="AR197" s="2"/>
      <c r="AS197" s="116"/>
      <c r="AT197" s="116"/>
      <c r="AU197" s="116"/>
      <c r="AV197" s="118"/>
      <c r="AY197" s="117"/>
    </row>
    <row r="198" s="9" customFormat="1" spans="2:51">
      <c r="B198" s="9">
        <v>121081</v>
      </c>
      <c r="C198" s="9">
        <v>121081</v>
      </c>
      <c r="D198" s="24" t="s">
        <v>479</v>
      </c>
      <c r="E198" s="9" t="s">
        <v>1403</v>
      </c>
      <c r="G198" s="9">
        <v>0</v>
      </c>
      <c r="H198" s="2"/>
      <c r="I198" s="2"/>
      <c r="J198" s="2"/>
      <c r="K198" s="2"/>
      <c r="L198" s="2"/>
      <c r="N198" s="88">
        <v>0</v>
      </c>
      <c r="O198" s="9">
        <v>0</v>
      </c>
      <c r="P198" s="32">
        <v>1</v>
      </c>
      <c r="Q198" s="32">
        <v>1</v>
      </c>
      <c r="R198" s="9">
        <v>2</v>
      </c>
      <c r="S198" s="31" t="s">
        <v>1402</v>
      </c>
      <c r="T198" s="9">
        <v>1</v>
      </c>
      <c r="U198" s="9">
        <v>1</v>
      </c>
      <c r="V198" s="9">
        <v>1</v>
      </c>
      <c r="W198" s="9">
        <v>1120</v>
      </c>
      <c r="X198" s="9" t="s">
        <v>1404</v>
      </c>
      <c r="Z198" s="53">
        <v>9999</v>
      </c>
      <c r="AB198" s="53">
        <v>30</v>
      </c>
      <c r="AC198" s="53">
        <v>30</v>
      </c>
      <c r="AD198" s="53">
        <v>30</v>
      </c>
      <c r="AE198" s="94">
        <v>50</v>
      </c>
      <c r="AF198" s="94">
        <v>20</v>
      </c>
      <c r="AG198" s="94">
        <v>4000</v>
      </c>
      <c r="AH198" s="94">
        <v>50</v>
      </c>
      <c r="AI198" s="94">
        <v>0</v>
      </c>
      <c r="AJ198" s="94">
        <v>0</v>
      </c>
      <c r="AK198" s="94">
        <v>1</v>
      </c>
      <c r="AL198" s="94">
        <v>0</v>
      </c>
      <c r="AM198" s="98" t="s">
        <v>676</v>
      </c>
      <c r="AO198" s="2"/>
      <c r="AP198" s="2"/>
      <c r="AQ198" s="2"/>
      <c r="AR198" s="2"/>
      <c r="AS198" s="116"/>
      <c r="AT198" s="116"/>
      <c r="AU198" s="116"/>
      <c r="AV198" s="118"/>
      <c r="AY198" s="117"/>
    </row>
    <row r="199" s="9" customFormat="1" spans="2:51">
      <c r="B199" s="9">
        <v>121082</v>
      </c>
      <c r="C199" s="9">
        <v>121082</v>
      </c>
      <c r="D199" s="24" t="s">
        <v>1405</v>
      </c>
      <c r="E199" s="9" t="s">
        <v>1406</v>
      </c>
      <c r="G199" s="9">
        <v>0</v>
      </c>
      <c r="H199" s="2"/>
      <c r="I199" s="2"/>
      <c r="J199" s="2"/>
      <c r="K199" s="2"/>
      <c r="L199" s="2"/>
      <c r="N199" s="88">
        <v>0</v>
      </c>
      <c r="O199" s="6">
        <v>1</v>
      </c>
      <c r="P199" s="32">
        <v>1</v>
      </c>
      <c r="Q199" s="32">
        <v>1</v>
      </c>
      <c r="R199" s="88">
        <v>2</v>
      </c>
      <c r="S199" s="31" t="s">
        <v>515</v>
      </c>
      <c r="T199" s="88">
        <v>1</v>
      </c>
      <c r="U199" s="88">
        <v>1</v>
      </c>
      <c r="V199" s="88">
        <v>1</v>
      </c>
      <c r="W199" s="9">
        <v>1074</v>
      </c>
      <c r="X199" s="89" t="s">
        <v>1407</v>
      </c>
      <c r="Y199" s="89"/>
      <c r="Z199" s="53">
        <v>9999</v>
      </c>
      <c r="AA199" s="53"/>
      <c r="AB199" s="53">
        <v>30</v>
      </c>
      <c r="AC199" s="53">
        <v>30</v>
      </c>
      <c r="AD199" s="53">
        <v>30</v>
      </c>
      <c r="AE199" s="94">
        <v>50</v>
      </c>
      <c r="AF199" s="94">
        <v>20</v>
      </c>
      <c r="AG199" s="94">
        <v>4000</v>
      </c>
      <c r="AH199" s="94">
        <v>50</v>
      </c>
      <c r="AI199" s="94">
        <v>0</v>
      </c>
      <c r="AJ199" s="94">
        <v>0</v>
      </c>
      <c r="AK199" s="94">
        <v>1</v>
      </c>
      <c r="AL199" s="94">
        <v>0</v>
      </c>
      <c r="AM199" s="98" t="s">
        <v>676</v>
      </c>
      <c r="AS199" s="17"/>
      <c r="AT199" s="17"/>
      <c r="AU199" s="17"/>
      <c r="AV199" s="18"/>
      <c r="AW199" s="88"/>
      <c r="AX199" s="88"/>
      <c r="AY199" s="13"/>
    </row>
    <row r="200" s="9" customFormat="1" spans="2:51">
      <c r="B200" s="9">
        <v>121083</v>
      </c>
      <c r="C200" s="9">
        <v>121083</v>
      </c>
      <c r="D200" s="24" t="s">
        <v>1408</v>
      </c>
      <c r="E200" s="9" t="s">
        <v>1409</v>
      </c>
      <c r="G200" s="9">
        <v>0</v>
      </c>
      <c r="H200" s="2"/>
      <c r="I200" s="2"/>
      <c r="J200" s="2"/>
      <c r="K200" s="2"/>
      <c r="L200" s="2"/>
      <c r="N200" s="88">
        <v>0</v>
      </c>
      <c r="O200" s="88">
        <v>0</v>
      </c>
      <c r="P200" s="32">
        <v>1</v>
      </c>
      <c r="Q200" s="32">
        <v>1</v>
      </c>
      <c r="R200" s="88">
        <v>2</v>
      </c>
      <c r="S200" s="31"/>
      <c r="T200" s="88">
        <v>1</v>
      </c>
      <c r="U200" s="88">
        <v>1</v>
      </c>
      <c r="V200" s="88">
        <v>1</v>
      </c>
      <c r="W200" s="9">
        <v>1092</v>
      </c>
      <c r="X200" s="89" t="s">
        <v>1410</v>
      </c>
      <c r="Y200" s="89"/>
      <c r="Z200" s="53">
        <v>9999</v>
      </c>
      <c r="AA200" s="53"/>
      <c r="AB200" s="53">
        <v>30</v>
      </c>
      <c r="AC200" s="53">
        <v>30</v>
      </c>
      <c r="AD200" s="53">
        <v>30</v>
      </c>
      <c r="AE200" s="94">
        <v>50</v>
      </c>
      <c r="AF200" s="94">
        <v>20</v>
      </c>
      <c r="AG200" s="94">
        <v>4000</v>
      </c>
      <c r="AH200" s="94">
        <v>50</v>
      </c>
      <c r="AI200" s="94">
        <v>0</v>
      </c>
      <c r="AJ200" s="94">
        <v>0</v>
      </c>
      <c r="AK200" s="94">
        <v>1</v>
      </c>
      <c r="AL200" s="94">
        <v>0</v>
      </c>
      <c r="AM200" s="98" t="s">
        <v>676</v>
      </c>
      <c r="AS200" s="17"/>
      <c r="AT200" s="17"/>
      <c r="AU200" s="17"/>
      <c r="AV200" s="18"/>
      <c r="AW200" s="88"/>
      <c r="AX200" s="88"/>
      <c r="AY200" s="13"/>
    </row>
    <row r="201" s="9" customFormat="1" spans="2:51">
      <c r="B201" s="9">
        <v>121084</v>
      </c>
      <c r="C201" s="9">
        <v>121084</v>
      </c>
      <c r="D201" s="24" t="s">
        <v>1408</v>
      </c>
      <c r="E201" s="9" t="s">
        <v>1411</v>
      </c>
      <c r="G201" s="9">
        <v>0</v>
      </c>
      <c r="H201" s="2"/>
      <c r="I201" s="2"/>
      <c r="J201" s="2"/>
      <c r="K201" s="2"/>
      <c r="L201" s="2"/>
      <c r="N201" s="88">
        <v>0</v>
      </c>
      <c r="O201" s="88">
        <v>0</v>
      </c>
      <c r="P201" s="32">
        <v>1</v>
      </c>
      <c r="Q201" s="32">
        <v>1</v>
      </c>
      <c r="R201" s="88">
        <v>2</v>
      </c>
      <c r="S201" s="31"/>
      <c r="T201" s="88">
        <v>1</v>
      </c>
      <c r="U201" s="88">
        <v>1</v>
      </c>
      <c r="V201" s="88">
        <v>1</v>
      </c>
      <c r="W201" s="9">
        <v>1093</v>
      </c>
      <c r="X201" s="89" t="s">
        <v>1412</v>
      </c>
      <c r="Y201" s="89"/>
      <c r="Z201" s="53">
        <v>9999</v>
      </c>
      <c r="AA201" s="53"/>
      <c r="AB201" s="53">
        <v>30</v>
      </c>
      <c r="AC201" s="53">
        <v>30</v>
      </c>
      <c r="AD201" s="53">
        <v>30</v>
      </c>
      <c r="AE201" s="94">
        <v>50</v>
      </c>
      <c r="AF201" s="94">
        <v>20</v>
      </c>
      <c r="AG201" s="94">
        <v>4000</v>
      </c>
      <c r="AH201" s="94">
        <v>50</v>
      </c>
      <c r="AI201" s="94">
        <v>0</v>
      </c>
      <c r="AJ201" s="94">
        <v>0</v>
      </c>
      <c r="AK201" s="94">
        <v>1</v>
      </c>
      <c r="AL201" s="94">
        <v>0</v>
      </c>
      <c r="AM201" s="98" t="s">
        <v>676</v>
      </c>
      <c r="AS201" s="17"/>
      <c r="AT201" s="17"/>
      <c r="AU201" s="17"/>
      <c r="AV201" s="18"/>
      <c r="AW201" s="88"/>
      <c r="AX201" s="88"/>
      <c r="AY201" s="13"/>
    </row>
    <row r="202" s="9" customFormat="1" spans="2:51">
      <c r="B202" s="9">
        <v>121085</v>
      </c>
      <c r="C202" s="9">
        <v>121085</v>
      </c>
      <c r="D202" s="24" t="s">
        <v>1413</v>
      </c>
      <c r="E202" s="9" t="s">
        <v>1414</v>
      </c>
      <c r="G202" s="9">
        <v>0</v>
      </c>
      <c r="H202" s="2"/>
      <c r="I202" s="2"/>
      <c r="J202" s="2"/>
      <c r="K202" s="2"/>
      <c r="L202" s="2"/>
      <c r="N202" s="88">
        <v>0</v>
      </c>
      <c r="O202" s="6">
        <v>1</v>
      </c>
      <c r="P202" s="32">
        <v>1</v>
      </c>
      <c r="Q202" s="32">
        <v>1</v>
      </c>
      <c r="R202" s="88">
        <v>2</v>
      </c>
      <c r="S202" s="31" t="s">
        <v>1415</v>
      </c>
      <c r="T202" s="88">
        <v>1</v>
      </c>
      <c r="U202" s="88">
        <v>1</v>
      </c>
      <c r="V202" s="88">
        <v>1</v>
      </c>
      <c r="W202" s="9">
        <v>1075</v>
      </c>
      <c r="X202" s="89" t="s">
        <v>1416</v>
      </c>
      <c r="Y202" s="89"/>
      <c r="Z202" s="53">
        <v>9999</v>
      </c>
      <c r="AA202" s="53"/>
      <c r="AB202" s="53">
        <v>30</v>
      </c>
      <c r="AC202" s="53">
        <v>30</v>
      </c>
      <c r="AD202" s="53">
        <v>30</v>
      </c>
      <c r="AE202" s="94">
        <v>50</v>
      </c>
      <c r="AF202" s="94">
        <v>20</v>
      </c>
      <c r="AG202" s="94">
        <v>4000</v>
      </c>
      <c r="AH202" s="94">
        <v>50</v>
      </c>
      <c r="AI202" s="94">
        <v>0</v>
      </c>
      <c r="AJ202" s="94">
        <v>0</v>
      </c>
      <c r="AK202" s="94">
        <v>1</v>
      </c>
      <c r="AL202" s="94">
        <v>0</v>
      </c>
      <c r="AM202" s="98" t="s">
        <v>676</v>
      </c>
      <c r="AS202" s="17"/>
      <c r="AT202" s="17"/>
      <c r="AU202" s="17"/>
      <c r="AV202" s="18"/>
      <c r="AW202" s="88"/>
      <c r="AX202" s="88"/>
      <c r="AY202" s="13"/>
    </row>
    <row r="203" s="9" customFormat="1" spans="2:51">
      <c r="B203" s="9">
        <v>121086</v>
      </c>
      <c r="C203" s="9">
        <v>121086</v>
      </c>
      <c r="D203" s="24" t="s">
        <v>1417</v>
      </c>
      <c r="E203" s="9" t="s">
        <v>1418</v>
      </c>
      <c r="G203" s="9">
        <v>0</v>
      </c>
      <c r="H203" s="2"/>
      <c r="I203" s="2"/>
      <c r="J203" s="2"/>
      <c r="K203" s="2"/>
      <c r="L203" s="2"/>
      <c r="N203" s="88">
        <v>0</v>
      </c>
      <c r="O203" s="6">
        <v>1</v>
      </c>
      <c r="P203" s="32">
        <v>1</v>
      </c>
      <c r="Q203" s="32">
        <v>1</v>
      </c>
      <c r="R203" s="88">
        <v>2</v>
      </c>
      <c r="S203" s="31" t="s">
        <v>515</v>
      </c>
      <c r="T203" s="88">
        <v>1</v>
      </c>
      <c r="U203" s="88">
        <v>1</v>
      </c>
      <c r="V203" s="88">
        <v>1</v>
      </c>
      <c r="W203" s="9">
        <v>1121</v>
      </c>
      <c r="X203" s="89" t="s">
        <v>1419</v>
      </c>
      <c r="Y203" s="89"/>
      <c r="Z203" s="53">
        <v>9999</v>
      </c>
      <c r="AA203" s="53"/>
      <c r="AB203" s="53">
        <v>30</v>
      </c>
      <c r="AC203" s="53">
        <v>30</v>
      </c>
      <c r="AD203" s="53">
        <v>30</v>
      </c>
      <c r="AE203" s="94">
        <v>50</v>
      </c>
      <c r="AF203" s="94">
        <v>20</v>
      </c>
      <c r="AG203" s="94">
        <v>4000</v>
      </c>
      <c r="AH203" s="94">
        <v>50</v>
      </c>
      <c r="AI203" s="94">
        <v>0</v>
      </c>
      <c r="AJ203" s="94">
        <v>0</v>
      </c>
      <c r="AK203" s="94">
        <v>1</v>
      </c>
      <c r="AL203" s="94">
        <v>0</v>
      </c>
      <c r="AM203" s="98" t="s">
        <v>676</v>
      </c>
      <c r="AS203" s="17"/>
      <c r="AT203" s="17"/>
      <c r="AU203" s="17"/>
      <c r="AV203" s="18"/>
      <c r="AW203" s="88"/>
      <c r="AX203" s="88"/>
      <c r="AY203" s="13"/>
    </row>
    <row r="204" s="9" customFormat="1" spans="2:51">
      <c r="B204" s="9">
        <v>121087</v>
      </c>
      <c r="C204" s="9">
        <v>121087</v>
      </c>
      <c r="D204" s="24" t="s">
        <v>1420</v>
      </c>
      <c r="E204" s="9" t="s">
        <v>1420</v>
      </c>
      <c r="G204" s="9">
        <v>0</v>
      </c>
      <c r="H204" s="2"/>
      <c r="I204" s="2"/>
      <c r="J204" s="2"/>
      <c r="K204" s="2"/>
      <c r="L204" s="2"/>
      <c r="N204" s="88">
        <v>0</v>
      </c>
      <c r="O204" s="6">
        <v>1</v>
      </c>
      <c r="P204" s="32">
        <v>1</v>
      </c>
      <c r="Q204" s="32">
        <v>1</v>
      </c>
      <c r="R204" s="88">
        <v>2</v>
      </c>
      <c r="S204" s="31" t="s">
        <v>1421</v>
      </c>
      <c r="T204" s="88">
        <v>1</v>
      </c>
      <c r="U204" s="88">
        <v>1</v>
      </c>
      <c r="V204" s="88">
        <v>1</v>
      </c>
      <c r="W204" s="9">
        <v>1076</v>
      </c>
      <c r="X204" s="89" t="s">
        <v>1422</v>
      </c>
      <c r="Y204" s="89"/>
      <c r="Z204" s="53">
        <v>9999</v>
      </c>
      <c r="AA204" s="53"/>
      <c r="AB204" s="53">
        <v>30</v>
      </c>
      <c r="AC204" s="53">
        <v>30</v>
      </c>
      <c r="AD204" s="53">
        <v>30</v>
      </c>
      <c r="AE204" s="94">
        <v>50</v>
      </c>
      <c r="AF204" s="94">
        <v>20</v>
      </c>
      <c r="AG204" s="94">
        <v>4000</v>
      </c>
      <c r="AH204" s="94">
        <v>50</v>
      </c>
      <c r="AI204" s="94">
        <v>0</v>
      </c>
      <c r="AJ204" s="94">
        <v>0</v>
      </c>
      <c r="AK204" s="94">
        <v>1</v>
      </c>
      <c r="AL204" s="94">
        <v>0</v>
      </c>
      <c r="AM204" s="98" t="s">
        <v>676</v>
      </c>
      <c r="AS204" s="17"/>
      <c r="AT204" s="17"/>
      <c r="AU204" s="17"/>
      <c r="AV204" s="18"/>
      <c r="AW204" s="88"/>
      <c r="AX204" s="88"/>
      <c r="AY204" s="13"/>
    </row>
    <row r="205" s="9" customFormat="1" spans="2:51">
      <c r="B205" s="9">
        <v>121088</v>
      </c>
      <c r="C205" s="9">
        <v>121088</v>
      </c>
      <c r="D205" s="24" t="s">
        <v>1423</v>
      </c>
      <c r="E205" s="9" t="s">
        <v>1423</v>
      </c>
      <c r="G205" s="9">
        <v>0</v>
      </c>
      <c r="H205" s="2"/>
      <c r="I205" s="2"/>
      <c r="J205" s="2"/>
      <c r="K205" s="2"/>
      <c r="L205" s="2"/>
      <c r="N205" s="88">
        <v>0</v>
      </c>
      <c r="O205" s="6">
        <v>1</v>
      </c>
      <c r="P205" s="32">
        <v>1</v>
      </c>
      <c r="Q205" s="32">
        <v>1</v>
      </c>
      <c r="R205" s="88">
        <v>2</v>
      </c>
      <c r="S205" s="31" t="s">
        <v>1421</v>
      </c>
      <c r="T205" s="88">
        <v>1</v>
      </c>
      <c r="U205" s="88">
        <v>1</v>
      </c>
      <c r="V205" s="88">
        <v>1</v>
      </c>
      <c r="W205" s="9">
        <v>1077</v>
      </c>
      <c r="X205" s="89" t="s">
        <v>1424</v>
      </c>
      <c r="Y205" s="89"/>
      <c r="Z205" s="53">
        <v>9999</v>
      </c>
      <c r="AA205" s="53"/>
      <c r="AB205" s="53">
        <v>30</v>
      </c>
      <c r="AC205" s="53">
        <v>30</v>
      </c>
      <c r="AD205" s="53">
        <v>30</v>
      </c>
      <c r="AE205" s="94">
        <v>50</v>
      </c>
      <c r="AF205" s="94">
        <v>20</v>
      </c>
      <c r="AG205" s="94">
        <v>4000</v>
      </c>
      <c r="AH205" s="94">
        <v>50</v>
      </c>
      <c r="AI205" s="94">
        <v>0</v>
      </c>
      <c r="AJ205" s="94">
        <v>0</v>
      </c>
      <c r="AK205" s="94">
        <v>1</v>
      </c>
      <c r="AL205" s="94">
        <v>0</v>
      </c>
      <c r="AM205" s="98" t="s">
        <v>676</v>
      </c>
      <c r="AS205" s="17"/>
      <c r="AT205" s="17"/>
      <c r="AU205" s="17"/>
      <c r="AV205" s="18"/>
      <c r="AW205" s="88"/>
      <c r="AX205" s="88"/>
      <c r="AY205" s="13"/>
    </row>
    <row r="206" s="9" customFormat="1" spans="2:51">
      <c r="B206" s="9">
        <v>121089</v>
      </c>
      <c r="C206" s="9">
        <v>121089</v>
      </c>
      <c r="D206" s="24" t="s">
        <v>1425</v>
      </c>
      <c r="E206" s="9" t="s">
        <v>1425</v>
      </c>
      <c r="G206" s="9">
        <v>0</v>
      </c>
      <c r="H206" s="2"/>
      <c r="I206" s="2"/>
      <c r="J206" s="2"/>
      <c r="K206" s="2"/>
      <c r="L206" s="2"/>
      <c r="N206" s="88">
        <v>0</v>
      </c>
      <c r="O206" s="6">
        <v>1</v>
      </c>
      <c r="P206" s="32">
        <v>1</v>
      </c>
      <c r="Q206" s="32">
        <v>1</v>
      </c>
      <c r="R206" s="88">
        <v>2</v>
      </c>
      <c r="S206" s="31" t="s">
        <v>1421</v>
      </c>
      <c r="T206" s="88">
        <v>1</v>
      </c>
      <c r="U206" s="88">
        <v>1</v>
      </c>
      <c r="V206" s="88">
        <v>1</v>
      </c>
      <c r="W206" s="9">
        <v>1078</v>
      </c>
      <c r="X206" s="89" t="s">
        <v>1426</v>
      </c>
      <c r="Y206" s="89"/>
      <c r="Z206" s="53">
        <v>9999</v>
      </c>
      <c r="AA206" s="53"/>
      <c r="AB206" s="53">
        <v>30</v>
      </c>
      <c r="AC206" s="53">
        <v>30</v>
      </c>
      <c r="AD206" s="53">
        <v>30</v>
      </c>
      <c r="AE206" s="94">
        <v>50</v>
      </c>
      <c r="AF206" s="94">
        <v>20</v>
      </c>
      <c r="AG206" s="94">
        <v>4000</v>
      </c>
      <c r="AH206" s="94">
        <v>50</v>
      </c>
      <c r="AI206" s="94">
        <v>0</v>
      </c>
      <c r="AJ206" s="94">
        <v>0</v>
      </c>
      <c r="AK206" s="94">
        <v>1</v>
      </c>
      <c r="AL206" s="94">
        <v>0</v>
      </c>
      <c r="AM206" s="98" t="s">
        <v>676</v>
      </c>
      <c r="AS206" s="17"/>
      <c r="AT206" s="17"/>
      <c r="AU206" s="17"/>
      <c r="AV206" s="18"/>
      <c r="AW206" s="88"/>
      <c r="AX206" s="88"/>
      <c r="AY206" s="13"/>
    </row>
    <row r="207" s="9" customFormat="1" spans="2:51">
      <c r="B207" s="9">
        <v>121090</v>
      </c>
      <c r="C207" s="9">
        <v>121090</v>
      </c>
      <c r="D207" s="24" t="s">
        <v>1427</v>
      </c>
      <c r="E207" s="9" t="s">
        <v>1427</v>
      </c>
      <c r="G207" s="9">
        <v>0</v>
      </c>
      <c r="H207" s="2"/>
      <c r="I207" s="2"/>
      <c r="J207" s="2"/>
      <c r="K207" s="2"/>
      <c r="L207" s="2"/>
      <c r="N207" s="88">
        <v>0</v>
      </c>
      <c r="O207" s="6">
        <v>1</v>
      </c>
      <c r="P207" s="32">
        <v>1</v>
      </c>
      <c r="Q207" s="32">
        <v>1</v>
      </c>
      <c r="R207" s="88">
        <v>2</v>
      </c>
      <c r="S207" s="31" t="s">
        <v>300</v>
      </c>
      <c r="T207" s="88">
        <v>1</v>
      </c>
      <c r="U207" s="88">
        <v>1</v>
      </c>
      <c r="V207" s="88">
        <v>1</v>
      </c>
      <c r="W207" s="9">
        <v>1079</v>
      </c>
      <c r="X207" s="89" t="s">
        <v>1428</v>
      </c>
      <c r="Y207" s="89"/>
      <c r="Z207" s="53">
        <v>9999</v>
      </c>
      <c r="AA207" s="53"/>
      <c r="AB207" s="53">
        <v>30</v>
      </c>
      <c r="AC207" s="53">
        <v>30</v>
      </c>
      <c r="AD207" s="53">
        <v>30</v>
      </c>
      <c r="AE207" s="94">
        <v>50</v>
      </c>
      <c r="AF207" s="94">
        <v>20</v>
      </c>
      <c r="AG207" s="94">
        <v>4000</v>
      </c>
      <c r="AH207" s="94">
        <v>50</v>
      </c>
      <c r="AI207" s="94">
        <v>0</v>
      </c>
      <c r="AJ207" s="94">
        <v>0</v>
      </c>
      <c r="AK207" s="94">
        <v>1</v>
      </c>
      <c r="AL207" s="94">
        <v>0</v>
      </c>
      <c r="AM207" s="98" t="s">
        <v>676</v>
      </c>
      <c r="AS207" s="17"/>
      <c r="AT207" s="17"/>
      <c r="AU207" s="17"/>
      <c r="AV207" s="18"/>
      <c r="AW207" s="88"/>
      <c r="AX207" s="88"/>
      <c r="AY207" s="13"/>
    </row>
    <row r="208" s="9" customFormat="1" spans="2:51">
      <c r="B208" s="9">
        <v>121091</v>
      </c>
      <c r="C208" s="9">
        <v>121091</v>
      </c>
      <c r="D208" s="24" t="s">
        <v>1429</v>
      </c>
      <c r="E208" s="9" t="s">
        <v>1429</v>
      </c>
      <c r="G208" s="9">
        <v>0</v>
      </c>
      <c r="H208" s="2"/>
      <c r="I208" s="2"/>
      <c r="J208" s="2"/>
      <c r="K208" s="2"/>
      <c r="L208" s="2"/>
      <c r="N208" s="88">
        <v>0</v>
      </c>
      <c r="O208" s="6">
        <v>1</v>
      </c>
      <c r="P208" s="32">
        <v>1</v>
      </c>
      <c r="Q208" s="32">
        <v>1</v>
      </c>
      <c r="R208" s="88">
        <v>2</v>
      </c>
      <c r="S208" s="31" t="s">
        <v>300</v>
      </c>
      <c r="T208" s="88">
        <v>1</v>
      </c>
      <c r="U208" s="88">
        <v>1</v>
      </c>
      <c r="V208" s="88">
        <v>1</v>
      </c>
      <c r="W208" s="9">
        <v>1080</v>
      </c>
      <c r="X208" s="89" t="s">
        <v>1430</v>
      </c>
      <c r="Y208" s="89"/>
      <c r="Z208" s="53">
        <v>9999</v>
      </c>
      <c r="AA208" s="53"/>
      <c r="AB208" s="53">
        <v>30</v>
      </c>
      <c r="AC208" s="53">
        <v>30</v>
      </c>
      <c r="AD208" s="53">
        <v>30</v>
      </c>
      <c r="AE208" s="94">
        <v>50</v>
      </c>
      <c r="AF208" s="94">
        <v>20</v>
      </c>
      <c r="AG208" s="94">
        <v>4000</v>
      </c>
      <c r="AH208" s="94">
        <v>50</v>
      </c>
      <c r="AI208" s="94">
        <v>0</v>
      </c>
      <c r="AJ208" s="94">
        <v>0</v>
      </c>
      <c r="AK208" s="94">
        <v>1</v>
      </c>
      <c r="AL208" s="94">
        <v>0</v>
      </c>
      <c r="AM208" s="98" t="s">
        <v>676</v>
      </c>
      <c r="AS208" s="17"/>
      <c r="AT208" s="17"/>
      <c r="AU208" s="17"/>
      <c r="AV208" s="18"/>
      <c r="AW208" s="88"/>
      <c r="AX208" s="88"/>
      <c r="AY208" s="13"/>
    </row>
    <row r="209" s="9" customFormat="1" spans="2:51">
      <c r="B209" s="9">
        <v>121092</v>
      </c>
      <c r="C209" s="9">
        <v>121092</v>
      </c>
      <c r="D209" s="24" t="s">
        <v>1431</v>
      </c>
      <c r="E209" s="9" t="s">
        <v>1431</v>
      </c>
      <c r="G209" s="9">
        <v>0</v>
      </c>
      <c r="H209" s="2"/>
      <c r="I209" s="2"/>
      <c r="J209" s="2"/>
      <c r="K209" s="2"/>
      <c r="L209" s="2"/>
      <c r="N209" s="88">
        <v>0</v>
      </c>
      <c r="O209" s="6">
        <v>1</v>
      </c>
      <c r="P209" s="32">
        <v>1</v>
      </c>
      <c r="Q209" s="32">
        <v>1</v>
      </c>
      <c r="R209" s="88">
        <v>2</v>
      </c>
      <c r="S209" s="31" t="s">
        <v>300</v>
      </c>
      <c r="T209" s="88">
        <v>1</v>
      </c>
      <c r="U209" s="88">
        <v>1</v>
      </c>
      <c r="V209" s="88">
        <v>1</v>
      </c>
      <c r="W209" s="9">
        <v>1082</v>
      </c>
      <c r="X209" s="89" t="s">
        <v>1432</v>
      </c>
      <c r="Y209" s="89"/>
      <c r="Z209" s="53">
        <v>9999</v>
      </c>
      <c r="AA209" s="53"/>
      <c r="AB209" s="53">
        <v>30</v>
      </c>
      <c r="AC209" s="53">
        <v>30</v>
      </c>
      <c r="AD209" s="53">
        <v>30</v>
      </c>
      <c r="AE209" s="94">
        <v>50</v>
      </c>
      <c r="AF209" s="94">
        <v>20</v>
      </c>
      <c r="AG209" s="94">
        <v>4000</v>
      </c>
      <c r="AH209" s="94">
        <v>50</v>
      </c>
      <c r="AI209" s="94">
        <v>0</v>
      </c>
      <c r="AJ209" s="94">
        <v>0</v>
      </c>
      <c r="AK209" s="94">
        <v>1</v>
      </c>
      <c r="AL209" s="94">
        <v>0</v>
      </c>
      <c r="AM209" s="98" t="s">
        <v>676</v>
      </c>
      <c r="AS209" s="17"/>
      <c r="AT209" s="17"/>
      <c r="AU209" s="17"/>
      <c r="AV209" s="18"/>
      <c r="AW209" s="88"/>
      <c r="AX209" s="88"/>
      <c r="AY209" s="13"/>
    </row>
    <row r="210" s="9" customFormat="1" spans="2:51">
      <c r="B210" s="9">
        <v>121093</v>
      </c>
      <c r="C210" s="9">
        <v>121093</v>
      </c>
      <c r="D210" s="24" t="s">
        <v>1433</v>
      </c>
      <c r="E210" s="9" t="s">
        <v>1433</v>
      </c>
      <c r="G210" s="9">
        <v>0</v>
      </c>
      <c r="H210" s="2"/>
      <c r="I210" s="2"/>
      <c r="J210" s="2"/>
      <c r="K210" s="2"/>
      <c r="L210" s="2"/>
      <c r="N210" s="88">
        <v>0</v>
      </c>
      <c r="O210" s="6">
        <v>1</v>
      </c>
      <c r="P210" s="32">
        <v>1</v>
      </c>
      <c r="Q210" s="32">
        <v>1</v>
      </c>
      <c r="R210" s="88">
        <v>2</v>
      </c>
      <c r="S210" s="31" t="s">
        <v>300</v>
      </c>
      <c r="T210" s="88">
        <v>1</v>
      </c>
      <c r="U210" s="88">
        <v>1</v>
      </c>
      <c r="V210" s="88">
        <v>1</v>
      </c>
      <c r="W210" s="9">
        <v>1083</v>
      </c>
      <c r="X210" s="89" t="s">
        <v>1434</v>
      </c>
      <c r="Y210" s="89"/>
      <c r="Z210" s="53">
        <v>9999</v>
      </c>
      <c r="AA210" s="53"/>
      <c r="AB210" s="53">
        <v>30</v>
      </c>
      <c r="AC210" s="53">
        <v>30</v>
      </c>
      <c r="AD210" s="53">
        <v>30</v>
      </c>
      <c r="AE210" s="94">
        <v>50</v>
      </c>
      <c r="AF210" s="94">
        <v>20</v>
      </c>
      <c r="AG210" s="94">
        <v>4000</v>
      </c>
      <c r="AH210" s="94">
        <v>50</v>
      </c>
      <c r="AI210" s="94">
        <v>0</v>
      </c>
      <c r="AJ210" s="94">
        <v>0</v>
      </c>
      <c r="AK210" s="94">
        <v>1</v>
      </c>
      <c r="AL210" s="94">
        <v>0</v>
      </c>
      <c r="AM210" s="98" t="s">
        <v>676</v>
      </c>
      <c r="AS210" s="17"/>
      <c r="AT210" s="17"/>
      <c r="AU210" s="17"/>
      <c r="AV210" s="18"/>
      <c r="AW210" s="88"/>
      <c r="AX210" s="88"/>
      <c r="AY210" s="13"/>
    </row>
    <row r="211" s="9" customFormat="1" spans="2:51">
      <c r="B211" s="9">
        <v>121094</v>
      </c>
      <c r="C211" s="9">
        <v>121094</v>
      </c>
      <c r="D211" s="24" t="s">
        <v>132</v>
      </c>
      <c r="E211" s="9" t="s">
        <v>1435</v>
      </c>
      <c r="G211" s="9">
        <v>0</v>
      </c>
      <c r="H211" s="2"/>
      <c r="I211" s="2"/>
      <c r="J211" s="2"/>
      <c r="K211" s="2"/>
      <c r="L211" s="2"/>
      <c r="N211" s="88">
        <v>0</v>
      </c>
      <c r="O211" s="6">
        <v>1</v>
      </c>
      <c r="P211" s="32">
        <v>1</v>
      </c>
      <c r="Q211" s="32">
        <v>1</v>
      </c>
      <c r="R211" s="88">
        <v>2</v>
      </c>
      <c r="S211" s="31" t="s">
        <v>139</v>
      </c>
      <c r="T211" s="88">
        <v>1</v>
      </c>
      <c r="U211" s="88">
        <v>1</v>
      </c>
      <c r="V211" s="88">
        <v>1</v>
      </c>
      <c r="W211" s="9">
        <v>1084</v>
      </c>
      <c r="X211" s="89" t="s">
        <v>1436</v>
      </c>
      <c r="Y211" s="89"/>
      <c r="Z211" s="53">
        <v>9999</v>
      </c>
      <c r="AA211" s="53"/>
      <c r="AB211" s="53">
        <v>30</v>
      </c>
      <c r="AC211" s="53">
        <v>30</v>
      </c>
      <c r="AD211" s="53">
        <v>30</v>
      </c>
      <c r="AE211" s="94">
        <v>50</v>
      </c>
      <c r="AF211" s="94">
        <v>20</v>
      </c>
      <c r="AG211" s="94">
        <v>4000</v>
      </c>
      <c r="AH211" s="94">
        <v>50</v>
      </c>
      <c r="AI211" s="94">
        <v>0</v>
      </c>
      <c r="AJ211" s="94">
        <v>0</v>
      </c>
      <c r="AK211" s="94">
        <v>1</v>
      </c>
      <c r="AL211" s="94">
        <v>0</v>
      </c>
      <c r="AM211" s="98" t="s">
        <v>676</v>
      </c>
      <c r="AS211" s="17"/>
      <c r="AT211" s="17"/>
      <c r="AU211" s="17"/>
      <c r="AV211" s="18"/>
      <c r="AW211" s="88"/>
      <c r="AX211" s="88"/>
      <c r="AY211" s="13"/>
    </row>
    <row r="212" s="9" customFormat="1" spans="2:51">
      <c r="B212" s="9">
        <v>121095</v>
      </c>
      <c r="C212" s="9">
        <v>121095</v>
      </c>
      <c r="D212" s="24" t="s">
        <v>1260</v>
      </c>
      <c r="E212" s="9" t="s">
        <v>1437</v>
      </c>
      <c r="G212" s="9">
        <v>0</v>
      </c>
      <c r="H212" s="2"/>
      <c r="I212" s="2"/>
      <c r="J212" s="2"/>
      <c r="K212" s="2"/>
      <c r="L212" s="2"/>
      <c r="N212" s="88">
        <v>0</v>
      </c>
      <c r="O212" s="6">
        <v>1</v>
      </c>
      <c r="P212" s="32">
        <v>1</v>
      </c>
      <c r="Q212" s="32">
        <v>1</v>
      </c>
      <c r="R212" s="88">
        <v>2</v>
      </c>
      <c r="S212" s="31" t="s">
        <v>139</v>
      </c>
      <c r="T212" s="88">
        <v>1</v>
      </c>
      <c r="U212" s="88">
        <v>1</v>
      </c>
      <c r="V212" s="88">
        <v>1</v>
      </c>
      <c r="W212" s="9">
        <v>1085</v>
      </c>
      <c r="X212" s="89" t="s">
        <v>1438</v>
      </c>
      <c r="Y212" s="89"/>
      <c r="Z212" s="53">
        <v>9999</v>
      </c>
      <c r="AA212" s="53"/>
      <c r="AB212" s="53">
        <v>30</v>
      </c>
      <c r="AC212" s="53">
        <v>30</v>
      </c>
      <c r="AD212" s="53">
        <v>30</v>
      </c>
      <c r="AE212" s="94">
        <v>50</v>
      </c>
      <c r="AF212" s="94">
        <v>20</v>
      </c>
      <c r="AG212" s="94">
        <v>4000</v>
      </c>
      <c r="AH212" s="94">
        <v>50</v>
      </c>
      <c r="AI212" s="94">
        <v>0</v>
      </c>
      <c r="AJ212" s="94">
        <v>0</v>
      </c>
      <c r="AK212" s="94">
        <v>1</v>
      </c>
      <c r="AL212" s="94">
        <v>0</v>
      </c>
      <c r="AM212" s="98" t="s">
        <v>676</v>
      </c>
      <c r="AS212" s="17"/>
      <c r="AT212" s="17"/>
      <c r="AU212" s="17"/>
      <c r="AV212" s="18"/>
      <c r="AW212" s="88"/>
      <c r="AX212" s="88"/>
      <c r="AY212" s="13"/>
    </row>
    <row r="213" s="9" customFormat="1" spans="2:51">
      <c r="B213" s="9">
        <v>121096</v>
      </c>
      <c r="C213" s="9">
        <v>121096</v>
      </c>
      <c r="D213" s="24" t="s">
        <v>1439</v>
      </c>
      <c r="E213" s="9" t="s">
        <v>1439</v>
      </c>
      <c r="G213" s="9">
        <v>0</v>
      </c>
      <c r="H213" s="2"/>
      <c r="I213" s="2"/>
      <c r="J213" s="2"/>
      <c r="K213" s="2"/>
      <c r="L213" s="2"/>
      <c r="N213" s="88">
        <v>0</v>
      </c>
      <c r="O213" s="88">
        <v>0</v>
      </c>
      <c r="P213" s="32">
        <v>1</v>
      </c>
      <c r="Q213" s="32">
        <v>1</v>
      </c>
      <c r="R213" s="88">
        <v>2</v>
      </c>
      <c r="S213" s="31" t="s">
        <v>1421</v>
      </c>
      <c r="T213" s="88">
        <v>1</v>
      </c>
      <c r="U213" s="88">
        <v>1</v>
      </c>
      <c r="V213" s="88">
        <v>1</v>
      </c>
      <c r="W213" s="9">
        <v>1087</v>
      </c>
      <c r="X213" s="89" t="s">
        <v>1440</v>
      </c>
      <c r="Y213" s="89"/>
      <c r="Z213" s="53">
        <v>9999</v>
      </c>
      <c r="AA213" s="53"/>
      <c r="AB213" s="53">
        <v>30</v>
      </c>
      <c r="AC213" s="53">
        <v>30</v>
      </c>
      <c r="AD213" s="53">
        <v>30</v>
      </c>
      <c r="AE213" s="94">
        <v>50</v>
      </c>
      <c r="AF213" s="94">
        <v>20</v>
      </c>
      <c r="AG213" s="94">
        <v>4000</v>
      </c>
      <c r="AH213" s="94">
        <v>50</v>
      </c>
      <c r="AI213" s="94">
        <v>0</v>
      </c>
      <c r="AJ213" s="94">
        <v>0</v>
      </c>
      <c r="AK213" s="94">
        <v>1</v>
      </c>
      <c r="AL213" s="94">
        <v>0</v>
      </c>
      <c r="AM213" s="98" t="s">
        <v>676</v>
      </c>
      <c r="AS213" s="17"/>
      <c r="AT213" s="17"/>
      <c r="AU213" s="17"/>
      <c r="AV213" s="18"/>
      <c r="AW213" s="88"/>
      <c r="AX213" s="88"/>
      <c r="AY213" s="13"/>
    </row>
    <row r="214" s="9" customFormat="1" spans="2:51">
      <c r="B214" s="9">
        <v>121097</v>
      </c>
      <c r="C214" s="9">
        <v>121097</v>
      </c>
      <c r="D214" s="24" t="s">
        <v>1441</v>
      </c>
      <c r="E214" s="9" t="s">
        <v>1441</v>
      </c>
      <c r="G214" s="9">
        <v>0</v>
      </c>
      <c r="H214" s="2"/>
      <c r="I214" s="2"/>
      <c r="J214" s="2"/>
      <c r="K214" s="2"/>
      <c r="L214" s="2"/>
      <c r="N214" s="88">
        <v>0</v>
      </c>
      <c r="O214" s="88">
        <v>0</v>
      </c>
      <c r="P214" s="32">
        <v>1</v>
      </c>
      <c r="Q214" s="32">
        <v>1</v>
      </c>
      <c r="R214" s="88">
        <v>2</v>
      </c>
      <c r="S214" s="31" t="s">
        <v>1421</v>
      </c>
      <c r="T214" s="88">
        <v>1</v>
      </c>
      <c r="U214" s="88">
        <v>1</v>
      </c>
      <c r="V214" s="88">
        <v>1</v>
      </c>
      <c r="W214" s="9">
        <v>1088</v>
      </c>
      <c r="X214" s="89" t="s">
        <v>1442</v>
      </c>
      <c r="Y214" s="89"/>
      <c r="Z214" s="53">
        <v>9999</v>
      </c>
      <c r="AA214" s="53"/>
      <c r="AB214" s="53">
        <v>30</v>
      </c>
      <c r="AC214" s="53">
        <v>30</v>
      </c>
      <c r="AD214" s="53">
        <v>30</v>
      </c>
      <c r="AE214" s="94">
        <v>50</v>
      </c>
      <c r="AF214" s="94">
        <v>20</v>
      </c>
      <c r="AG214" s="94">
        <v>4000</v>
      </c>
      <c r="AH214" s="94">
        <v>50</v>
      </c>
      <c r="AI214" s="94">
        <v>0</v>
      </c>
      <c r="AJ214" s="94">
        <v>0</v>
      </c>
      <c r="AK214" s="94">
        <v>1</v>
      </c>
      <c r="AL214" s="94">
        <v>0</v>
      </c>
      <c r="AM214" s="98" t="s">
        <v>676</v>
      </c>
      <c r="AS214" s="17"/>
      <c r="AT214" s="17"/>
      <c r="AU214" s="17"/>
      <c r="AV214" s="18"/>
      <c r="AW214" s="88"/>
      <c r="AX214" s="88"/>
      <c r="AY214" s="13"/>
    </row>
    <row r="215" s="9" customFormat="1" spans="2:51">
      <c r="B215" s="9">
        <v>121098</v>
      </c>
      <c r="C215" s="9">
        <v>121098</v>
      </c>
      <c r="D215" s="24" t="s">
        <v>302</v>
      </c>
      <c r="E215" s="9" t="s">
        <v>302</v>
      </c>
      <c r="G215" s="9">
        <v>0</v>
      </c>
      <c r="H215" s="2"/>
      <c r="I215" s="2"/>
      <c r="J215" s="2"/>
      <c r="K215" s="2"/>
      <c r="L215" s="2"/>
      <c r="N215" s="88">
        <v>0</v>
      </c>
      <c r="O215" s="88">
        <v>0</v>
      </c>
      <c r="P215" s="32">
        <v>1</v>
      </c>
      <c r="Q215" s="32">
        <v>1</v>
      </c>
      <c r="R215" s="88">
        <v>2</v>
      </c>
      <c r="S215" s="31" t="s">
        <v>300</v>
      </c>
      <c r="T215" s="88">
        <v>1</v>
      </c>
      <c r="U215" s="88">
        <v>1</v>
      </c>
      <c r="V215" s="88">
        <v>1</v>
      </c>
      <c r="W215" s="9">
        <v>1089</v>
      </c>
      <c r="X215" s="89" t="s">
        <v>1443</v>
      </c>
      <c r="Y215" s="89"/>
      <c r="Z215" s="53">
        <v>9999</v>
      </c>
      <c r="AA215" s="53"/>
      <c r="AB215" s="53">
        <v>30</v>
      </c>
      <c r="AC215" s="53">
        <v>30</v>
      </c>
      <c r="AD215" s="53">
        <v>30</v>
      </c>
      <c r="AE215" s="94">
        <v>50</v>
      </c>
      <c r="AF215" s="94">
        <v>20</v>
      </c>
      <c r="AG215" s="94">
        <v>4000</v>
      </c>
      <c r="AH215" s="94">
        <v>50</v>
      </c>
      <c r="AI215" s="94">
        <v>0</v>
      </c>
      <c r="AJ215" s="94">
        <v>0</v>
      </c>
      <c r="AK215" s="94">
        <v>1</v>
      </c>
      <c r="AL215" s="94">
        <v>0</v>
      </c>
      <c r="AM215" s="98" t="s">
        <v>676</v>
      </c>
      <c r="AS215" s="17"/>
      <c r="AT215" s="17"/>
      <c r="AU215" s="17"/>
      <c r="AV215" s="18"/>
      <c r="AW215" s="88"/>
      <c r="AX215" s="88"/>
      <c r="AY215" s="13"/>
    </row>
    <row r="216" s="9" customFormat="1" spans="2:51">
      <c r="B216" s="9">
        <v>121099</v>
      </c>
      <c r="C216" s="9">
        <v>121099</v>
      </c>
      <c r="D216" s="24" t="s">
        <v>1444</v>
      </c>
      <c r="E216" s="9" t="s">
        <v>1445</v>
      </c>
      <c r="G216" s="9">
        <v>0</v>
      </c>
      <c r="H216" s="2"/>
      <c r="I216" s="2"/>
      <c r="J216" s="2"/>
      <c r="K216" s="2"/>
      <c r="L216" s="2"/>
      <c r="N216" s="88">
        <v>0</v>
      </c>
      <c r="O216" s="88">
        <v>0</v>
      </c>
      <c r="P216" s="32">
        <v>1</v>
      </c>
      <c r="Q216" s="32">
        <v>1</v>
      </c>
      <c r="R216" s="88">
        <v>2</v>
      </c>
      <c r="S216" s="31"/>
      <c r="T216" s="88">
        <v>1</v>
      </c>
      <c r="U216" s="88">
        <v>1</v>
      </c>
      <c r="V216" s="88">
        <v>1</v>
      </c>
      <c r="W216" s="9">
        <v>1090</v>
      </c>
      <c r="X216" s="89" t="s">
        <v>1446</v>
      </c>
      <c r="Y216" s="89"/>
      <c r="Z216" s="53">
        <v>9999</v>
      </c>
      <c r="AA216" s="53"/>
      <c r="AB216" s="53">
        <v>30</v>
      </c>
      <c r="AC216" s="53">
        <v>30</v>
      </c>
      <c r="AD216" s="53">
        <v>30</v>
      </c>
      <c r="AE216" s="94">
        <v>50</v>
      </c>
      <c r="AF216" s="94">
        <v>20</v>
      </c>
      <c r="AG216" s="94">
        <v>4000</v>
      </c>
      <c r="AH216" s="94">
        <v>50</v>
      </c>
      <c r="AI216" s="94">
        <v>0</v>
      </c>
      <c r="AJ216" s="94">
        <v>0</v>
      </c>
      <c r="AK216" s="94">
        <v>1</v>
      </c>
      <c r="AL216" s="94">
        <v>0</v>
      </c>
      <c r="AM216" s="98" t="s">
        <v>676</v>
      </c>
      <c r="AS216" s="17"/>
      <c r="AT216" s="17"/>
      <c r="AU216" s="17"/>
      <c r="AV216" s="18"/>
      <c r="AW216" s="88"/>
      <c r="AX216" s="88"/>
      <c r="AY216" s="13"/>
    </row>
    <row r="217" s="9" customFormat="1" spans="2:51">
      <c r="B217" s="9">
        <v>121100</v>
      </c>
      <c r="C217" s="9">
        <v>121100</v>
      </c>
      <c r="D217" s="24" t="s">
        <v>1444</v>
      </c>
      <c r="E217" s="9" t="s">
        <v>1447</v>
      </c>
      <c r="G217" s="9">
        <v>0</v>
      </c>
      <c r="H217" s="2"/>
      <c r="I217" s="2"/>
      <c r="J217" s="2"/>
      <c r="K217" s="2"/>
      <c r="L217" s="2"/>
      <c r="N217" s="88">
        <v>0</v>
      </c>
      <c r="O217" s="88">
        <v>0</v>
      </c>
      <c r="P217" s="32">
        <v>1</v>
      </c>
      <c r="Q217" s="32">
        <v>1</v>
      </c>
      <c r="R217" s="88">
        <v>2</v>
      </c>
      <c r="S217" s="31"/>
      <c r="T217" s="88">
        <v>1</v>
      </c>
      <c r="U217" s="88">
        <v>1</v>
      </c>
      <c r="V217" s="88">
        <v>1</v>
      </c>
      <c r="W217" s="9">
        <v>1091</v>
      </c>
      <c r="X217" s="89" t="s">
        <v>1448</v>
      </c>
      <c r="Y217" s="89"/>
      <c r="Z217" s="53">
        <v>9999</v>
      </c>
      <c r="AA217" s="53"/>
      <c r="AB217" s="53">
        <v>30</v>
      </c>
      <c r="AC217" s="53">
        <v>30</v>
      </c>
      <c r="AD217" s="53">
        <v>30</v>
      </c>
      <c r="AE217" s="94">
        <v>50</v>
      </c>
      <c r="AF217" s="94">
        <v>20</v>
      </c>
      <c r="AG217" s="94">
        <v>4000</v>
      </c>
      <c r="AH217" s="94">
        <v>50</v>
      </c>
      <c r="AI217" s="94">
        <v>0</v>
      </c>
      <c r="AJ217" s="94">
        <v>0</v>
      </c>
      <c r="AK217" s="94">
        <v>1</v>
      </c>
      <c r="AL217" s="94">
        <v>0</v>
      </c>
      <c r="AM217" s="98" t="s">
        <v>676</v>
      </c>
      <c r="AS217" s="17"/>
      <c r="AT217" s="17"/>
      <c r="AU217" s="17"/>
      <c r="AV217" s="18"/>
      <c r="AW217" s="88"/>
      <c r="AX217" s="88"/>
      <c r="AY217" s="13"/>
    </row>
    <row r="218" s="9" customFormat="1" spans="2:51">
      <c r="B218" s="9">
        <v>121101</v>
      </c>
      <c r="C218" s="9">
        <v>121101</v>
      </c>
      <c r="D218" s="24" t="s">
        <v>1449</v>
      </c>
      <c r="E218" s="9" t="s">
        <v>1449</v>
      </c>
      <c r="G218" s="9">
        <v>0</v>
      </c>
      <c r="H218" s="2"/>
      <c r="I218" s="2"/>
      <c r="J218" s="2"/>
      <c r="K218" s="2"/>
      <c r="L218" s="2"/>
      <c r="N218" s="88">
        <v>0</v>
      </c>
      <c r="O218" s="88">
        <v>0</v>
      </c>
      <c r="P218" s="32">
        <v>1</v>
      </c>
      <c r="Q218" s="32">
        <v>1</v>
      </c>
      <c r="R218" s="88">
        <v>2</v>
      </c>
      <c r="S218" s="31"/>
      <c r="T218" s="88">
        <v>1</v>
      </c>
      <c r="U218" s="88">
        <v>1</v>
      </c>
      <c r="V218" s="88">
        <v>1</v>
      </c>
      <c r="W218" s="9">
        <v>1094</v>
      </c>
      <c r="X218" s="89" t="s">
        <v>1450</v>
      </c>
      <c r="Y218" s="89"/>
      <c r="Z218" s="53">
        <v>9999</v>
      </c>
      <c r="AA218" s="53"/>
      <c r="AB218" s="53">
        <v>30</v>
      </c>
      <c r="AC218" s="53">
        <v>30</v>
      </c>
      <c r="AD218" s="53">
        <v>30</v>
      </c>
      <c r="AE218" s="94">
        <v>50</v>
      </c>
      <c r="AF218" s="94">
        <v>20</v>
      </c>
      <c r="AG218" s="94">
        <v>4000</v>
      </c>
      <c r="AH218" s="94">
        <v>50</v>
      </c>
      <c r="AI218" s="94">
        <v>0</v>
      </c>
      <c r="AJ218" s="94">
        <v>0</v>
      </c>
      <c r="AK218" s="94">
        <v>1</v>
      </c>
      <c r="AL218" s="94">
        <v>0</v>
      </c>
      <c r="AM218" s="98" t="s">
        <v>676</v>
      </c>
      <c r="AS218" s="17"/>
      <c r="AT218" s="17"/>
      <c r="AU218" s="17"/>
      <c r="AV218" s="18"/>
      <c r="AW218" s="88"/>
      <c r="AX218" s="88"/>
      <c r="AY218" s="13"/>
    </row>
    <row r="219" s="9" customFormat="1" spans="2:51">
      <c r="B219" s="9">
        <v>121102</v>
      </c>
      <c r="C219" s="9">
        <v>121102</v>
      </c>
      <c r="D219" s="24" t="s">
        <v>1451</v>
      </c>
      <c r="E219" s="9" t="s">
        <v>1452</v>
      </c>
      <c r="G219" s="9">
        <v>0</v>
      </c>
      <c r="H219" s="2"/>
      <c r="I219" s="2"/>
      <c r="J219" s="2"/>
      <c r="K219" s="2"/>
      <c r="L219" s="2"/>
      <c r="N219" s="88">
        <v>0</v>
      </c>
      <c r="O219" s="88">
        <v>0</v>
      </c>
      <c r="P219" s="32">
        <v>1</v>
      </c>
      <c r="Q219" s="32">
        <v>1</v>
      </c>
      <c r="R219" s="88">
        <v>2</v>
      </c>
      <c r="S219" s="31"/>
      <c r="T219" s="88">
        <v>1</v>
      </c>
      <c r="U219" s="88">
        <v>1</v>
      </c>
      <c r="V219" s="88">
        <v>1</v>
      </c>
      <c r="W219" s="9">
        <v>1095</v>
      </c>
      <c r="X219" s="89" t="s">
        <v>1453</v>
      </c>
      <c r="Y219" s="89"/>
      <c r="Z219" s="53">
        <v>9999</v>
      </c>
      <c r="AA219" s="53"/>
      <c r="AB219" s="53">
        <v>30</v>
      </c>
      <c r="AC219" s="53">
        <v>30</v>
      </c>
      <c r="AD219" s="53">
        <v>30</v>
      </c>
      <c r="AE219" s="94">
        <v>50</v>
      </c>
      <c r="AF219" s="94">
        <v>20</v>
      </c>
      <c r="AG219" s="94">
        <v>4000</v>
      </c>
      <c r="AH219" s="94">
        <v>50</v>
      </c>
      <c r="AI219" s="94">
        <v>0</v>
      </c>
      <c r="AJ219" s="94">
        <v>0</v>
      </c>
      <c r="AK219" s="94">
        <v>1</v>
      </c>
      <c r="AL219" s="94">
        <v>0</v>
      </c>
      <c r="AM219" s="98" t="s">
        <v>676</v>
      </c>
      <c r="AS219" s="17"/>
      <c r="AT219" s="17"/>
      <c r="AU219" s="17"/>
      <c r="AV219" s="18"/>
      <c r="AW219" s="88"/>
      <c r="AX219" s="88"/>
      <c r="AY219" s="13"/>
    </row>
    <row r="220" s="9" customFormat="1" spans="2:51">
      <c r="B220" s="9">
        <v>121103</v>
      </c>
      <c r="C220" s="9">
        <v>121103</v>
      </c>
      <c r="D220" s="24" t="s">
        <v>1451</v>
      </c>
      <c r="E220" s="9" t="s">
        <v>1454</v>
      </c>
      <c r="G220" s="9">
        <v>0</v>
      </c>
      <c r="H220" s="2"/>
      <c r="I220" s="2"/>
      <c r="J220" s="2"/>
      <c r="K220" s="2"/>
      <c r="L220" s="2"/>
      <c r="N220" s="88">
        <v>0</v>
      </c>
      <c r="O220" s="88">
        <v>0</v>
      </c>
      <c r="P220" s="32">
        <v>1</v>
      </c>
      <c r="Q220" s="32">
        <v>1</v>
      </c>
      <c r="R220" s="88">
        <v>2</v>
      </c>
      <c r="S220" s="31"/>
      <c r="T220" s="88">
        <v>1</v>
      </c>
      <c r="U220" s="88">
        <v>1</v>
      </c>
      <c r="V220" s="88">
        <v>1</v>
      </c>
      <c r="W220" s="9">
        <v>1096</v>
      </c>
      <c r="X220" s="89" t="s">
        <v>1455</v>
      </c>
      <c r="Y220" s="89"/>
      <c r="Z220" s="53">
        <v>9999</v>
      </c>
      <c r="AA220" s="53"/>
      <c r="AB220" s="53">
        <v>30</v>
      </c>
      <c r="AC220" s="53">
        <v>30</v>
      </c>
      <c r="AD220" s="53">
        <v>30</v>
      </c>
      <c r="AE220" s="94">
        <v>50</v>
      </c>
      <c r="AF220" s="94">
        <v>20</v>
      </c>
      <c r="AG220" s="94">
        <v>4000</v>
      </c>
      <c r="AH220" s="94">
        <v>50</v>
      </c>
      <c r="AI220" s="94">
        <v>0</v>
      </c>
      <c r="AJ220" s="94">
        <v>0</v>
      </c>
      <c r="AK220" s="94">
        <v>1</v>
      </c>
      <c r="AL220" s="94">
        <v>0</v>
      </c>
      <c r="AM220" s="98" t="s">
        <v>676</v>
      </c>
      <c r="AS220" s="17"/>
      <c r="AT220" s="17"/>
      <c r="AU220" s="17"/>
      <c r="AV220" s="18"/>
      <c r="AW220" s="88"/>
      <c r="AX220" s="88"/>
      <c r="AY220" s="13"/>
    </row>
    <row r="221" s="9" customFormat="1" spans="2:51">
      <c r="B221" s="9">
        <v>121104</v>
      </c>
      <c r="C221" s="9">
        <v>121104</v>
      </c>
      <c r="D221" s="24" t="s">
        <v>1451</v>
      </c>
      <c r="E221" s="9" t="s">
        <v>1456</v>
      </c>
      <c r="G221" s="9">
        <v>0</v>
      </c>
      <c r="H221" s="2"/>
      <c r="I221" s="2"/>
      <c r="J221" s="2"/>
      <c r="K221" s="2"/>
      <c r="L221" s="2"/>
      <c r="N221" s="88">
        <v>0</v>
      </c>
      <c r="O221" s="88">
        <v>0</v>
      </c>
      <c r="P221" s="32">
        <v>1</v>
      </c>
      <c r="Q221" s="32">
        <v>1</v>
      </c>
      <c r="R221" s="88">
        <v>2</v>
      </c>
      <c r="S221" s="31"/>
      <c r="T221" s="88">
        <v>1</v>
      </c>
      <c r="U221" s="88">
        <v>1</v>
      </c>
      <c r="V221" s="88">
        <v>1</v>
      </c>
      <c r="W221" s="9">
        <v>1097</v>
      </c>
      <c r="X221" s="89" t="s">
        <v>1457</v>
      </c>
      <c r="Y221" s="89"/>
      <c r="Z221" s="53">
        <v>9999</v>
      </c>
      <c r="AA221" s="53"/>
      <c r="AB221" s="53">
        <v>30</v>
      </c>
      <c r="AC221" s="53">
        <v>30</v>
      </c>
      <c r="AD221" s="53">
        <v>30</v>
      </c>
      <c r="AE221" s="94">
        <v>50</v>
      </c>
      <c r="AF221" s="94">
        <v>20</v>
      </c>
      <c r="AG221" s="94">
        <v>4000</v>
      </c>
      <c r="AH221" s="94">
        <v>50</v>
      </c>
      <c r="AI221" s="94">
        <v>0</v>
      </c>
      <c r="AJ221" s="94">
        <v>0</v>
      </c>
      <c r="AK221" s="94">
        <v>1</v>
      </c>
      <c r="AL221" s="94">
        <v>0</v>
      </c>
      <c r="AM221" s="98" t="s">
        <v>676</v>
      </c>
      <c r="AS221" s="17"/>
      <c r="AT221" s="17"/>
      <c r="AU221" s="17"/>
      <c r="AV221" s="18"/>
      <c r="AW221" s="88"/>
      <c r="AX221" s="88"/>
      <c r="AY221" s="13"/>
    </row>
    <row r="222" s="9" customFormat="1" spans="2:51">
      <c r="B222" s="9">
        <v>121105</v>
      </c>
      <c r="C222" s="9">
        <v>121105</v>
      </c>
      <c r="D222" s="24" t="s">
        <v>1458</v>
      </c>
      <c r="E222" s="9" t="s">
        <v>1458</v>
      </c>
      <c r="G222" s="9">
        <v>0</v>
      </c>
      <c r="H222" s="2"/>
      <c r="I222" s="2"/>
      <c r="J222" s="2"/>
      <c r="K222" s="2"/>
      <c r="L222" s="2"/>
      <c r="N222" s="88">
        <v>0</v>
      </c>
      <c r="O222" s="88">
        <v>0</v>
      </c>
      <c r="P222" s="32">
        <v>1</v>
      </c>
      <c r="Q222" s="32">
        <v>1</v>
      </c>
      <c r="R222" s="88">
        <v>2</v>
      </c>
      <c r="S222" s="31"/>
      <c r="T222" s="88">
        <v>1</v>
      </c>
      <c r="U222" s="88">
        <v>1</v>
      </c>
      <c r="V222" s="88">
        <v>1</v>
      </c>
      <c r="W222" s="9">
        <v>1098</v>
      </c>
      <c r="X222" s="89" t="s">
        <v>1459</v>
      </c>
      <c r="Y222" s="89"/>
      <c r="Z222" s="53">
        <v>9999</v>
      </c>
      <c r="AA222" s="53"/>
      <c r="AB222" s="53">
        <v>30</v>
      </c>
      <c r="AC222" s="53">
        <v>30</v>
      </c>
      <c r="AD222" s="53">
        <v>30</v>
      </c>
      <c r="AE222" s="94">
        <v>50</v>
      </c>
      <c r="AF222" s="94">
        <v>20</v>
      </c>
      <c r="AG222" s="94">
        <v>4000</v>
      </c>
      <c r="AH222" s="94">
        <v>50</v>
      </c>
      <c r="AI222" s="94">
        <v>0</v>
      </c>
      <c r="AJ222" s="94">
        <v>0</v>
      </c>
      <c r="AK222" s="94">
        <v>1</v>
      </c>
      <c r="AL222" s="94">
        <v>0</v>
      </c>
      <c r="AM222" s="98" t="s">
        <v>676</v>
      </c>
      <c r="AS222" s="17"/>
      <c r="AT222" s="17"/>
      <c r="AU222" s="17"/>
      <c r="AV222" s="18"/>
      <c r="AW222" s="88"/>
      <c r="AX222" s="88"/>
      <c r="AY222" s="13"/>
    </row>
    <row r="223" s="9" customFormat="1" spans="2:51">
      <c r="B223" s="9">
        <v>121106</v>
      </c>
      <c r="C223" s="9">
        <v>121106</v>
      </c>
      <c r="D223" s="24" t="s">
        <v>1460</v>
      </c>
      <c r="E223" s="9" t="s">
        <v>1460</v>
      </c>
      <c r="G223" s="9">
        <v>0</v>
      </c>
      <c r="H223" s="2"/>
      <c r="I223" s="2"/>
      <c r="J223" s="2"/>
      <c r="K223" s="2"/>
      <c r="L223" s="2"/>
      <c r="N223" s="88">
        <v>0</v>
      </c>
      <c r="O223" s="88">
        <v>0</v>
      </c>
      <c r="P223" s="32">
        <v>1</v>
      </c>
      <c r="Q223" s="32">
        <v>1</v>
      </c>
      <c r="R223" s="88">
        <v>2</v>
      </c>
      <c r="S223" s="31"/>
      <c r="T223" s="88">
        <v>1</v>
      </c>
      <c r="U223" s="88">
        <v>1</v>
      </c>
      <c r="V223" s="88">
        <v>1</v>
      </c>
      <c r="W223" s="9">
        <v>1099</v>
      </c>
      <c r="X223" s="89" t="s">
        <v>1461</v>
      </c>
      <c r="Y223" s="89"/>
      <c r="Z223" s="53">
        <v>9999</v>
      </c>
      <c r="AA223" s="53"/>
      <c r="AB223" s="53">
        <v>30</v>
      </c>
      <c r="AC223" s="53">
        <v>30</v>
      </c>
      <c r="AD223" s="53">
        <v>30</v>
      </c>
      <c r="AE223" s="94">
        <v>50</v>
      </c>
      <c r="AF223" s="94">
        <v>20</v>
      </c>
      <c r="AG223" s="94">
        <v>4000</v>
      </c>
      <c r="AH223" s="94">
        <v>50</v>
      </c>
      <c r="AI223" s="94">
        <v>0</v>
      </c>
      <c r="AJ223" s="94">
        <v>0</v>
      </c>
      <c r="AK223" s="94">
        <v>1</v>
      </c>
      <c r="AL223" s="94">
        <v>0</v>
      </c>
      <c r="AM223" s="98" t="s">
        <v>676</v>
      </c>
      <c r="AS223" s="17"/>
      <c r="AT223" s="17"/>
      <c r="AU223" s="17"/>
      <c r="AV223" s="18"/>
      <c r="AW223" s="88"/>
      <c r="AX223" s="88"/>
      <c r="AY223" s="13"/>
    </row>
    <row r="224" s="9" customFormat="1" spans="2:51">
      <c r="B224" s="9">
        <v>121107</v>
      </c>
      <c r="C224" s="9">
        <v>121107</v>
      </c>
      <c r="D224" s="24" t="s">
        <v>523</v>
      </c>
      <c r="E224" s="9" t="s">
        <v>1462</v>
      </c>
      <c r="G224" s="9">
        <v>0</v>
      </c>
      <c r="H224" s="2"/>
      <c r="I224" s="2"/>
      <c r="J224" s="2"/>
      <c r="K224" s="2"/>
      <c r="L224" s="2"/>
      <c r="N224" s="88">
        <v>0</v>
      </c>
      <c r="O224" s="88">
        <v>0</v>
      </c>
      <c r="P224" s="32">
        <v>1</v>
      </c>
      <c r="Q224" s="32">
        <v>1</v>
      </c>
      <c r="R224" s="88">
        <v>2</v>
      </c>
      <c r="S224" s="31"/>
      <c r="T224" s="88">
        <v>1</v>
      </c>
      <c r="U224" s="88">
        <v>1</v>
      </c>
      <c r="V224" s="88">
        <v>1</v>
      </c>
      <c r="W224" s="9">
        <v>1100</v>
      </c>
      <c r="X224" s="89" t="s">
        <v>1463</v>
      </c>
      <c r="Y224" s="89"/>
      <c r="Z224" s="53">
        <v>9999</v>
      </c>
      <c r="AA224" s="53"/>
      <c r="AB224" s="53">
        <v>30</v>
      </c>
      <c r="AC224" s="53">
        <v>30</v>
      </c>
      <c r="AD224" s="53">
        <v>30</v>
      </c>
      <c r="AE224" s="94">
        <v>50</v>
      </c>
      <c r="AF224" s="94">
        <v>20</v>
      </c>
      <c r="AG224" s="94">
        <v>4000</v>
      </c>
      <c r="AH224" s="94">
        <v>50</v>
      </c>
      <c r="AI224" s="94">
        <v>0</v>
      </c>
      <c r="AJ224" s="94">
        <v>0</v>
      </c>
      <c r="AK224" s="94">
        <v>1</v>
      </c>
      <c r="AL224" s="94">
        <v>0</v>
      </c>
      <c r="AM224" s="98" t="s">
        <v>676</v>
      </c>
      <c r="AS224" s="17"/>
      <c r="AT224" s="17"/>
      <c r="AU224" s="17"/>
      <c r="AV224" s="18"/>
      <c r="AW224" s="88"/>
      <c r="AX224" s="88"/>
      <c r="AY224" s="13"/>
    </row>
    <row r="225" s="9" customFormat="1" spans="2:51">
      <c r="B225" s="9">
        <v>121108</v>
      </c>
      <c r="C225" s="9">
        <v>121108</v>
      </c>
      <c r="D225" s="24" t="s">
        <v>523</v>
      </c>
      <c r="E225" s="9" t="s">
        <v>1464</v>
      </c>
      <c r="G225" s="9">
        <v>0</v>
      </c>
      <c r="H225" s="2"/>
      <c r="I225" s="2"/>
      <c r="J225" s="2"/>
      <c r="K225" s="2"/>
      <c r="L225" s="2"/>
      <c r="N225" s="88">
        <v>0</v>
      </c>
      <c r="O225" s="88">
        <v>0</v>
      </c>
      <c r="P225" s="32">
        <v>1</v>
      </c>
      <c r="Q225" s="32">
        <v>1</v>
      </c>
      <c r="R225" s="88">
        <v>2</v>
      </c>
      <c r="S225" s="31"/>
      <c r="T225" s="88">
        <v>1</v>
      </c>
      <c r="U225" s="88">
        <v>1</v>
      </c>
      <c r="V225" s="88">
        <v>1</v>
      </c>
      <c r="W225" s="9">
        <v>1101</v>
      </c>
      <c r="X225" s="89" t="s">
        <v>1465</v>
      </c>
      <c r="Y225" s="89"/>
      <c r="Z225" s="53">
        <v>9999</v>
      </c>
      <c r="AA225" s="53"/>
      <c r="AB225" s="53">
        <v>30</v>
      </c>
      <c r="AC225" s="53">
        <v>30</v>
      </c>
      <c r="AD225" s="53">
        <v>30</v>
      </c>
      <c r="AE225" s="94">
        <v>50</v>
      </c>
      <c r="AF225" s="94">
        <v>20</v>
      </c>
      <c r="AG225" s="94">
        <v>4000</v>
      </c>
      <c r="AH225" s="94">
        <v>50</v>
      </c>
      <c r="AI225" s="94">
        <v>0</v>
      </c>
      <c r="AJ225" s="94">
        <v>0</v>
      </c>
      <c r="AK225" s="94">
        <v>1</v>
      </c>
      <c r="AL225" s="94">
        <v>0</v>
      </c>
      <c r="AM225" s="98" t="s">
        <v>676</v>
      </c>
      <c r="AS225" s="17"/>
      <c r="AT225" s="17"/>
      <c r="AU225" s="17"/>
      <c r="AV225" s="18"/>
      <c r="AW225" s="88"/>
      <c r="AX225" s="88"/>
      <c r="AY225" s="13"/>
    </row>
    <row r="226" s="9" customFormat="1" spans="2:51">
      <c r="B226" s="9">
        <v>121109</v>
      </c>
      <c r="C226" s="9">
        <v>121109</v>
      </c>
      <c r="D226" s="24" t="s">
        <v>1466</v>
      </c>
      <c r="E226" s="9" t="s">
        <v>1467</v>
      </c>
      <c r="G226" s="9">
        <v>0</v>
      </c>
      <c r="H226" s="2"/>
      <c r="I226" s="2"/>
      <c r="J226" s="2"/>
      <c r="K226" s="2"/>
      <c r="L226" s="2"/>
      <c r="N226" s="88">
        <v>0</v>
      </c>
      <c r="O226" s="88">
        <v>0</v>
      </c>
      <c r="P226" s="32">
        <v>1</v>
      </c>
      <c r="Q226" s="32">
        <v>1</v>
      </c>
      <c r="R226" s="88">
        <v>2</v>
      </c>
      <c r="S226" s="31"/>
      <c r="T226" s="88">
        <v>1</v>
      </c>
      <c r="U226" s="88">
        <v>1</v>
      </c>
      <c r="V226" s="88">
        <v>1</v>
      </c>
      <c r="W226" s="9">
        <v>1102</v>
      </c>
      <c r="X226" s="89" t="s">
        <v>1468</v>
      </c>
      <c r="Y226" s="89"/>
      <c r="Z226" s="53">
        <v>9999</v>
      </c>
      <c r="AA226" s="53"/>
      <c r="AB226" s="53">
        <v>30</v>
      </c>
      <c r="AC226" s="53">
        <v>30</v>
      </c>
      <c r="AD226" s="53">
        <v>30</v>
      </c>
      <c r="AE226" s="94">
        <v>50</v>
      </c>
      <c r="AF226" s="94">
        <v>20</v>
      </c>
      <c r="AG226" s="94">
        <v>4000</v>
      </c>
      <c r="AH226" s="94">
        <v>50</v>
      </c>
      <c r="AI226" s="94">
        <v>0</v>
      </c>
      <c r="AJ226" s="94">
        <v>0</v>
      </c>
      <c r="AK226" s="94">
        <v>1</v>
      </c>
      <c r="AL226" s="94">
        <v>0</v>
      </c>
      <c r="AM226" s="98" t="s">
        <v>676</v>
      </c>
      <c r="AS226" s="17"/>
      <c r="AT226" s="17"/>
      <c r="AU226" s="17"/>
      <c r="AV226" s="18"/>
      <c r="AW226" s="88"/>
      <c r="AX226" s="88"/>
      <c r="AY226" s="13"/>
    </row>
    <row r="227" s="9" customFormat="1" spans="2:51">
      <c r="B227" s="9">
        <v>121110</v>
      </c>
      <c r="C227" s="9">
        <v>121110</v>
      </c>
      <c r="D227" s="24" t="s">
        <v>1466</v>
      </c>
      <c r="E227" s="9" t="s">
        <v>1469</v>
      </c>
      <c r="G227" s="9">
        <v>0</v>
      </c>
      <c r="H227" s="2"/>
      <c r="I227" s="2"/>
      <c r="J227" s="2"/>
      <c r="K227" s="2"/>
      <c r="L227" s="2"/>
      <c r="N227" s="88">
        <v>0</v>
      </c>
      <c r="O227" s="88">
        <v>0</v>
      </c>
      <c r="P227" s="32">
        <v>1</v>
      </c>
      <c r="Q227" s="32">
        <v>1</v>
      </c>
      <c r="R227" s="88">
        <v>2</v>
      </c>
      <c r="S227" s="31"/>
      <c r="T227" s="88">
        <v>1</v>
      </c>
      <c r="U227" s="88">
        <v>1</v>
      </c>
      <c r="V227" s="88">
        <v>1</v>
      </c>
      <c r="W227" s="9">
        <v>1103</v>
      </c>
      <c r="X227" s="89" t="s">
        <v>1470</v>
      </c>
      <c r="Y227" s="89"/>
      <c r="Z227" s="53">
        <v>9999</v>
      </c>
      <c r="AA227" s="53"/>
      <c r="AB227" s="53">
        <v>30</v>
      </c>
      <c r="AC227" s="53">
        <v>30</v>
      </c>
      <c r="AD227" s="53">
        <v>30</v>
      </c>
      <c r="AE227" s="94">
        <v>50</v>
      </c>
      <c r="AF227" s="94">
        <v>20</v>
      </c>
      <c r="AG227" s="94">
        <v>4000</v>
      </c>
      <c r="AH227" s="94">
        <v>50</v>
      </c>
      <c r="AI227" s="94">
        <v>0</v>
      </c>
      <c r="AJ227" s="94">
        <v>0</v>
      </c>
      <c r="AK227" s="94">
        <v>1</v>
      </c>
      <c r="AL227" s="94">
        <v>0</v>
      </c>
      <c r="AM227" s="98" t="s">
        <v>676</v>
      </c>
      <c r="AS227" s="17"/>
      <c r="AT227" s="17"/>
      <c r="AU227" s="17"/>
      <c r="AV227" s="18"/>
      <c r="AW227" s="88"/>
      <c r="AX227" s="88"/>
      <c r="AY227" s="13"/>
    </row>
    <row r="228" s="9" customFormat="1" spans="2:51">
      <c r="B228" s="9">
        <v>121111</v>
      </c>
      <c r="C228" s="9">
        <v>121111</v>
      </c>
      <c r="D228" s="24" t="s">
        <v>1471</v>
      </c>
      <c r="E228" s="9" t="s">
        <v>1471</v>
      </c>
      <c r="G228" s="9">
        <v>0</v>
      </c>
      <c r="H228" s="2"/>
      <c r="I228" s="2"/>
      <c r="J228" s="2"/>
      <c r="K228" s="2"/>
      <c r="L228" s="2"/>
      <c r="N228" s="88">
        <v>0</v>
      </c>
      <c r="O228" s="88">
        <v>0</v>
      </c>
      <c r="P228" s="32">
        <v>3</v>
      </c>
      <c r="Q228" s="32">
        <v>1</v>
      </c>
      <c r="R228" s="88">
        <v>2</v>
      </c>
      <c r="S228" s="31" t="s">
        <v>1472</v>
      </c>
      <c r="T228" s="88">
        <v>1</v>
      </c>
      <c r="U228" s="88">
        <v>1</v>
      </c>
      <c r="V228" s="88">
        <v>1</v>
      </c>
      <c r="W228" s="9">
        <v>2107</v>
      </c>
      <c r="X228" s="89" t="s">
        <v>1473</v>
      </c>
      <c r="Y228" s="89"/>
      <c r="Z228" s="53">
        <v>9999</v>
      </c>
      <c r="AA228" s="53"/>
      <c r="AB228" s="53">
        <v>30</v>
      </c>
      <c r="AC228" s="53">
        <v>30</v>
      </c>
      <c r="AD228" s="53">
        <v>30</v>
      </c>
      <c r="AE228" s="94">
        <v>50</v>
      </c>
      <c r="AF228" s="94">
        <v>20</v>
      </c>
      <c r="AG228" s="94">
        <v>4000</v>
      </c>
      <c r="AH228" s="94">
        <v>50</v>
      </c>
      <c r="AI228" s="94">
        <v>0</v>
      </c>
      <c r="AJ228" s="94">
        <v>0</v>
      </c>
      <c r="AK228" s="94">
        <v>1</v>
      </c>
      <c r="AL228" s="94">
        <v>0</v>
      </c>
      <c r="AM228" s="98" t="s">
        <v>676</v>
      </c>
      <c r="AS228" s="17"/>
      <c r="AT228" s="17"/>
      <c r="AU228" s="17"/>
      <c r="AV228" s="18"/>
      <c r="AW228" s="88"/>
      <c r="AX228" s="88"/>
      <c r="AY228" s="13"/>
    </row>
    <row r="229" s="9" customFormat="1" spans="2:51">
      <c r="B229" s="9">
        <v>121112</v>
      </c>
      <c r="C229" s="9">
        <v>121112</v>
      </c>
      <c r="D229" s="24" t="s">
        <v>1474</v>
      </c>
      <c r="E229" s="24" t="s">
        <v>1474</v>
      </c>
      <c r="F229" s="24"/>
      <c r="G229" s="9">
        <v>1</v>
      </c>
      <c r="H229" s="2"/>
      <c r="I229" s="2"/>
      <c r="J229" s="2"/>
      <c r="K229" s="2"/>
      <c r="L229" s="2"/>
      <c r="N229" s="88">
        <v>0</v>
      </c>
      <c r="O229" s="88">
        <v>0</v>
      </c>
      <c r="P229" s="32">
        <v>1</v>
      </c>
      <c r="Q229" s="32">
        <v>1</v>
      </c>
      <c r="R229" s="88">
        <v>2</v>
      </c>
      <c r="S229" s="31" t="s">
        <v>1472</v>
      </c>
      <c r="T229" s="88">
        <v>1</v>
      </c>
      <c r="U229" s="88">
        <v>1</v>
      </c>
      <c r="V229" s="88">
        <v>1</v>
      </c>
      <c r="W229" s="9">
        <v>2108</v>
      </c>
      <c r="X229" s="89" t="s">
        <v>1475</v>
      </c>
      <c r="Y229" s="89"/>
      <c r="Z229" s="53">
        <v>9999</v>
      </c>
      <c r="AA229" s="53"/>
      <c r="AB229" s="53">
        <v>30</v>
      </c>
      <c r="AC229" s="53">
        <v>30</v>
      </c>
      <c r="AD229" s="53">
        <v>30</v>
      </c>
      <c r="AE229" s="94">
        <v>50</v>
      </c>
      <c r="AF229" s="94">
        <v>20</v>
      </c>
      <c r="AG229" s="94">
        <v>4000</v>
      </c>
      <c r="AH229" s="94">
        <v>50</v>
      </c>
      <c r="AI229" s="94">
        <v>0</v>
      </c>
      <c r="AJ229" s="94">
        <v>0</v>
      </c>
      <c r="AK229" s="94">
        <v>1</v>
      </c>
      <c r="AL229" s="94">
        <v>0</v>
      </c>
      <c r="AM229" s="98" t="s">
        <v>676</v>
      </c>
      <c r="AS229" s="17"/>
      <c r="AT229" s="17"/>
      <c r="AU229" s="17"/>
      <c r="AV229" s="18"/>
      <c r="AW229" s="88"/>
      <c r="AX229" s="88"/>
      <c r="AY229" s="13"/>
    </row>
    <row r="230" s="9" customFormat="1" spans="2:51">
      <c r="B230" s="9">
        <v>121113</v>
      </c>
      <c r="C230" s="9">
        <v>121113</v>
      </c>
      <c r="D230" s="24" t="s">
        <v>1476</v>
      </c>
      <c r="E230" s="9" t="s">
        <v>1476</v>
      </c>
      <c r="G230" s="9">
        <v>0</v>
      </c>
      <c r="H230" s="2"/>
      <c r="I230" s="2"/>
      <c r="J230" s="2"/>
      <c r="K230" s="2"/>
      <c r="L230" s="2"/>
      <c r="N230" s="88">
        <v>0</v>
      </c>
      <c r="O230" s="88">
        <v>0</v>
      </c>
      <c r="P230" s="32">
        <v>1</v>
      </c>
      <c r="Q230" s="32">
        <v>1</v>
      </c>
      <c r="R230" s="88">
        <v>2</v>
      </c>
      <c r="S230" s="31" t="s">
        <v>1472</v>
      </c>
      <c r="T230" s="88">
        <v>1</v>
      </c>
      <c r="U230" s="88">
        <v>1</v>
      </c>
      <c r="V230" s="88">
        <v>1</v>
      </c>
      <c r="W230" s="9">
        <v>2109</v>
      </c>
      <c r="X230" s="89" t="s">
        <v>1477</v>
      </c>
      <c r="Y230" s="89"/>
      <c r="Z230" s="53">
        <v>9999</v>
      </c>
      <c r="AA230" s="53"/>
      <c r="AB230" s="53">
        <v>30</v>
      </c>
      <c r="AC230" s="53">
        <v>30</v>
      </c>
      <c r="AD230" s="53">
        <v>30</v>
      </c>
      <c r="AE230" s="94">
        <v>50</v>
      </c>
      <c r="AF230" s="94">
        <v>20</v>
      </c>
      <c r="AG230" s="94">
        <v>4000</v>
      </c>
      <c r="AH230" s="94">
        <v>50</v>
      </c>
      <c r="AI230" s="94">
        <v>0</v>
      </c>
      <c r="AJ230" s="94">
        <v>0</v>
      </c>
      <c r="AK230" s="94">
        <v>1</v>
      </c>
      <c r="AL230" s="94">
        <v>0</v>
      </c>
      <c r="AM230" s="98" t="s">
        <v>676</v>
      </c>
      <c r="AS230" s="17"/>
      <c r="AT230" s="17"/>
      <c r="AU230" s="17"/>
      <c r="AV230" s="18"/>
      <c r="AW230" s="88"/>
      <c r="AX230" s="88"/>
      <c r="AY230" s="13"/>
    </row>
    <row r="231" s="9" customFormat="1" spans="2:51">
      <c r="B231" s="9">
        <v>121114</v>
      </c>
      <c r="C231" s="9">
        <v>121114</v>
      </c>
      <c r="D231" s="24" t="s">
        <v>1478</v>
      </c>
      <c r="E231" s="9" t="s">
        <v>1478</v>
      </c>
      <c r="G231" s="9">
        <v>0</v>
      </c>
      <c r="H231" s="2"/>
      <c r="I231" s="2"/>
      <c r="J231" s="2"/>
      <c r="K231" s="2"/>
      <c r="L231" s="2"/>
      <c r="N231" s="88">
        <v>0</v>
      </c>
      <c r="O231" s="88">
        <v>0</v>
      </c>
      <c r="P231" s="32">
        <v>1</v>
      </c>
      <c r="Q231" s="32">
        <v>1</v>
      </c>
      <c r="R231" s="88">
        <v>2</v>
      </c>
      <c r="S231" s="31" t="s">
        <v>1472</v>
      </c>
      <c r="T231" s="88">
        <v>1</v>
      </c>
      <c r="U231" s="88">
        <v>1</v>
      </c>
      <c r="V231" s="88">
        <v>1</v>
      </c>
      <c r="W231" s="9">
        <v>2112</v>
      </c>
      <c r="X231" s="89" t="s">
        <v>1479</v>
      </c>
      <c r="Y231" s="89"/>
      <c r="Z231" s="53">
        <v>9999</v>
      </c>
      <c r="AA231" s="53"/>
      <c r="AB231" s="53">
        <v>30</v>
      </c>
      <c r="AC231" s="53">
        <v>30</v>
      </c>
      <c r="AD231" s="53">
        <v>30</v>
      </c>
      <c r="AE231" s="94">
        <v>50</v>
      </c>
      <c r="AF231" s="94">
        <v>20</v>
      </c>
      <c r="AG231" s="94">
        <v>4000</v>
      </c>
      <c r="AH231" s="94">
        <v>50</v>
      </c>
      <c r="AI231" s="94">
        <v>0</v>
      </c>
      <c r="AJ231" s="94">
        <v>0</v>
      </c>
      <c r="AK231" s="94">
        <v>1</v>
      </c>
      <c r="AL231" s="94">
        <v>0</v>
      </c>
      <c r="AM231" s="98" t="s">
        <v>676</v>
      </c>
      <c r="AS231" s="17"/>
      <c r="AT231" s="17"/>
      <c r="AU231" s="17"/>
      <c r="AV231" s="18"/>
      <c r="AW231" s="88"/>
      <c r="AX231" s="88"/>
      <c r="AY231" s="13"/>
    </row>
    <row r="232" s="9" customFormat="1" spans="2:51">
      <c r="B232" s="9">
        <v>121115</v>
      </c>
      <c r="C232" s="9">
        <v>121115</v>
      </c>
      <c r="D232" s="24" t="s">
        <v>1480</v>
      </c>
      <c r="E232" s="9" t="s">
        <v>1480</v>
      </c>
      <c r="G232" s="9">
        <v>0</v>
      </c>
      <c r="H232" s="2"/>
      <c r="I232" s="2"/>
      <c r="J232" s="2"/>
      <c r="K232" s="2"/>
      <c r="L232" s="2"/>
      <c r="N232" s="88">
        <v>0</v>
      </c>
      <c r="O232" s="88">
        <v>0</v>
      </c>
      <c r="P232" s="32">
        <v>1</v>
      </c>
      <c r="Q232" s="32">
        <v>1</v>
      </c>
      <c r="R232" s="88">
        <v>5</v>
      </c>
      <c r="S232" s="31"/>
      <c r="T232" s="88">
        <v>1</v>
      </c>
      <c r="U232" s="88">
        <v>1</v>
      </c>
      <c r="V232" s="88">
        <v>1</v>
      </c>
      <c r="W232" s="9">
        <v>1105</v>
      </c>
      <c r="X232" s="89" t="s">
        <v>1481</v>
      </c>
      <c r="Y232" s="89"/>
      <c r="Z232" s="53">
        <v>9999</v>
      </c>
      <c r="AA232" s="53"/>
      <c r="AB232" s="53">
        <v>30</v>
      </c>
      <c r="AC232" s="53">
        <v>30</v>
      </c>
      <c r="AD232" s="53">
        <v>30</v>
      </c>
      <c r="AE232" s="94">
        <v>50</v>
      </c>
      <c r="AF232" s="94">
        <v>20</v>
      </c>
      <c r="AG232" s="94">
        <v>4000</v>
      </c>
      <c r="AH232" s="94">
        <v>50</v>
      </c>
      <c r="AI232" s="94">
        <v>0</v>
      </c>
      <c r="AJ232" s="94">
        <v>0</v>
      </c>
      <c r="AK232" s="94">
        <v>1</v>
      </c>
      <c r="AL232" s="94">
        <v>0</v>
      </c>
      <c r="AM232" s="98" t="s">
        <v>676</v>
      </c>
      <c r="AS232" s="17"/>
      <c r="AT232" s="17"/>
      <c r="AU232" s="17"/>
      <c r="AV232" s="18"/>
      <c r="AW232" s="88"/>
      <c r="AX232" s="88"/>
      <c r="AY232" s="13"/>
    </row>
    <row r="233" s="9" customFormat="1" spans="2:51">
      <c r="B233" s="9">
        <v>121116</v>
      </c>
      <c r="C233" s="9">
        <v>121116</v>
      </c>
      <c r="D233" s="24" t="s">
        <v>1482</v>
      </c>
      <c r="E233" s="9" t="s">
        <v>1482</v>
      </c>
      <c r="G233" s="9">
        <v>0</v>
      </c>
      <c r="H233" s="2"/>
      <c r="I233" s="2"/>
      <c r="J233" s="2"/>
      <c r="K233" s="2"/>
      <c r="L233" s="2"/>
      <c r="N233" s="88">
        <v>0</v>
      </c>
      <c r="O233" s="88">
        <v>0</v>
      </c>
      <c r="P233" s="32">
        <v>1</v>
      </c>
      <c r="Q233" s="32">
        <v>1</v>
      </c>
      <c r="R233" s="88">
        <v>5</v>
      </c>
      <c r="S233" s="31"/>
      <c r="T233" s="88">
        <v>1</v>
      </c>
      <c r="U233" s="88">
        <v>1</v>
      </c>
      <c r="V233" s="88">
        <v>1</v>
      </c>
      <c r="W233" s="9">
        <v>1106</v>
      </c>
      <c r="X233" s="89" t="s">
        <v>1483</v>
      </c>
      <c r="Y233" s="89"/>
      <c r="Z233" s="53">
        <v>9999</v>
      </c>
      <c r="AA233" s="53"/>
      <c r="AB233" s="53">
        <v>30</v>
      </c>
      <c r="AC233" s="53">
        <v>30</v>
      </c>
      <c r="AD233" s="53">
        <v>30</v>
      </c>
      <c r="AE233" s="94">
        <v>50</v>
      </c>
      <c r="AF233" s="94">
        <v>20</v>
      </c>
      <c r="AG233" s="94">
        <v>4000</v>
      </c>
      <c r="AH233" s="94">
        <v>50</v>
      </c>
      <c r="AI233" s="94">
        <v>0</v>
      </c>
      <c r="AJ233" s="94">
        <v>0</v>
      </c>
      <c r="AK233" s="94">
        <v>1</v>
      </c>
      <c r="AL233" s="94">
        <v>0</v>
      </c>
      <c r="AM233" s="98" t="s">
        <v>676</v>
      </c>
      <c r="AS233" s="17"/>
      <c r="AT233" s="17"/>
      <c r="AU233" s="17"/>
      <c r="AV233" s="18"/>
      <c r="AW233" s="88"/>
      <c r="AX233" s="88"/>
      <c r="AY233" s="13"/>
    </row>
    <row r="234" s="9" customFormat="1" spans="2:51">
      <c r="B234" s="9">
        <v>121117</v>
      </c>
      <c r="C234" s="9">
        <v>121117</v>
      </c>
      <c r="D234" s="24" t="s">
        <v>1484</v>
      </c>
      <c r="E234" s="9" t="s">
        <v>1484</v>
      </c>
      <c r="G234" s="9">
        <v>0</v>
      </c>
      <c r="H234" s="2"/>
      <c r="I234" s="2"/>
      <c r="J234" s="2"/>
      <c r="K234" s="2"/>
      <c r="L234" s="2"/>
      <c r="N234" s="88">
        <v>0</v>
      </c>
      <c r="O234" s="88">
        <v>0</v>
      </c>
      <c r="P234" s="32">
        <v>1</v>
      </c>
      <c r="Q234" s="32">
        <v>1</v>
      </c>
      <c r="R234" s="88">
        <v>5</v>
      </c>
      <c r="S234" s="31"/>
      <c r="T234" s="88">
        <v>1</v>
      </c>
      <c r="U234" s="88">
        <v>1</v>
      </c>
      <c r="V234" s="88">
        <v>1</v>
      </c>
      <c r="W234" s="9">
        <v>1107</v>
      </c>
      <c r="X234" s="89" t="s">
        <v>1485</v>
      </c>
      <c r="Y234" s="89"/>
      <c r="Z234" s="53">
        <v>9999</v>
      </c>
      <c r="AA234" s="53"/>
      <c r="AB234" s="53">
        <v>30</v>
      </c>
      <c r="AC234" s="53">
        <v>30</v>
      </c>
      <c r="AD234" s="53">
        <v>30</v>
      </c>
      <c r="AE234" s="94">
        <v>50</v>
      </c>
      <c r="AF234" s="94">
        <v>20</v>
      </c>
      <c r="AG234" s="94">
        <v>4000</v>
      </c>
      <c r="AH234" s="94">
        <v>50</v>
      </c>
      <c r="AI234" s="94">
        <v>0</v>
      </c>
      <c r="AJ234" s="94">
        <v>0</v>
      </c>
      <c r="AK234" s="94">
        <v>1</v>
      </c>
      <c r="AL234" s="94">
        <v>0</v>
      </c>
      <c r="AM234" s="98" t="s">
        <v>676</v>
      </c>
      <c r="AS234" s="17"/>
      <c r="AT234" s="17"/>
      <c r="AU234" s="17"/>
      <c r="AV234" s="18"/>
      <c r="AW234" s="88"/>
      <c r="AX234" s="88"/>
      <c r="AY234" s="13"/>
    </row>
    <row r="235" s="9" customFormat="1" spans="2:51">
      <c r="B235" s="9">
        <v>121118</v>
      </c>
      <c r="C235" s="9">
        <v>121118</v>
      </c>
      <c r="D235" s="24" t="s">
        <v>1486</v>
      </c>
      <c r="E235" s="9" t="s">
        <v>1486</v>
      </c>
      <c r="G235" s="9">
        <v>0</v>
      </c>
      <c r="H235" s="2"/>
      <c r="I235" s="2"/>
      <c r="J235" s="2"/>
      <c r="K235" s="2"/>
      <c r="L235" s="2"/>
      <c r="N235" s="88">
        <v>0</v>
      </c>
      <c r="O235" s="88">
        <v>0</v>
      </c>
      <c r="P235" s="32">
        <v>1</v>
      </c>
      <c r="Q235" s="32">
        <v>1</v>
      </c>
      <c r="R235" s="88">
        <v>5</v>
      </c>
      <c r="S235" s="31"/>
      <c r="T235" s="88">
        <v>1</v>
      </c>
      <c r="U235" s="88">
        <v>1</v>
      </c>
      <c r="V235" s="88">
        <v>1</v>
      </c>
      <c r="W235" s="9">
        <v>1108</v>
      </c>
      <c r="X235" s="89" t="s">
        <v>1487</v>
      </c>
      <c r="Y235" s="89"/>
      <c r="Z235" s="53">
        <v>9999</v>
      </c>
      <c r="AA235" s="53"/>
      <c r="AB235" s="53">
        <v>30</v>
      </c>
      <c r="AC235" s="53">
        <v>30</v>
      </c>
      <c r="AD235" s="53">
        <v>30</v>
      </c>
      <c r="AE235" s="94">
        <v>50</v>
      </c>
      <c r="AF235" s="94">
        <v>20</v>
      </c>
      <c r="AG235" s="94">
        <v>4000</v>
      </c>
      <c r="AH235" s="94">
        <v>50</v>
      </c>
      <c r="AI235" s="94">
        <v>0</v>
      </c>
      <c r="AJ235" s="94">
        <v>0</v>
      </c>
      <c r="AK235" s="94">
        <v>1</v>
      </c>
      <c r="AL235" s="94">
        <v>0</v>
      </c>
      <c r="AM235" s="98" t="s">
        <v>676</v>
      </c>
      <c r="AS235" s="17"/>
      <c r="AT235" s="17"/>
      <c r="AU235" s="17"/>
      <c r="AV235" s="18"/>
      <c r="AW235" s="88"/>
      <c r="AX235" s="88"/>
      <c r="AY235" s="13"/>
    </row>
    <row r="236" s="9" customFormat="1" spans="2:51">
      <c r="B236" s="9">
        <v>121119</v>
      </c>
      <c r="C236" s="9">
        <v>121119</v>
      </c>
      <c r="D236" s="24" t="s">
        <v>1488</v>
      </c>
      <c r="E236" s="9" t="s">
        <v>1488</v>
      </c>
      <c r="G236" s="9">
        <v>0</v>
      </c>
      <c r="H236" s="2"/>
      <c r="I236" s="2"/>
      <c r="J236" s="2"/>
      <c r="K236" s="2"/>
      <c r="L236" s="2"/>
      <c r="N236" s="88">
        <v>0</v>
      </c>
      <c r="O236" s="88">
        <v>0</v>
      </c>
      <c r="P236" s="32">
        <v>1</v>
      </c>
      <c r="Q236" s="32">
        <v>1</v>
      </c>
      <c r="R236" s="88">
        <v>5</v>
      </c>
      <c r="S236" s="31"/>
      <c r="T236" s="88">
        <v>1</v>
      </c>
      <c r="U236" s="88">
        <v>1</v>
      </c>
      <c r="V236" s="88">
        <v>1</v>
      </c>
      <c r="W236" s="9">
        <v>1110</v>
      </c>
      <c r="X236" s="89" t="s">
        <v>1489</v>
      </c>
      <c r="Y236" s="89"/>
      <c r="Z236" s="53">
        <v>9999</v>
      </c>
      <c r="AA236" s="53"/>
      <c r="AB236" s="53">
        <v>30</v>
      </c>
      <c r="AC236" s="53">
        <v>30</v>
      </c>
      <c r="AD236" s="53">
        <v>30</v>
      </c>
      <c r="AE236" s="94">
        <v>50</v>
      </c>
      <c r="AF236" s="94">
        <v>20</v>
      </c>
      <c r="AG236" s="94">
        <v>4000</v>
      </c>
      <c r="AH236" s="94">
        <v>50</v>
      </c>
      <c r="AI236" s="94">
        <v>0</v>
      </c>
      <c r="AJ236" s="94">
        <v>0</v>
      </c>
      <c r="AK236" s="94">
        <v>1</v>
      </c>
      <c r="AL236" s="94">
        <v>0</v>
      </c>
      <c r="AM236" s="98" t="s">
        <v>676</v>
      </c>
      <c r="AS236" s="17"/>
      <c r="AT236" s="17"/>
      <c r="AU236" s="17"/>
      <c r="AV236" s="18"/>
      <c r="AW236" s="88"/>
      <c r="AX236" s="88"/>
      <c r="AY236" s="13"/>
    </row>
    <row r="237" s="9" customFormat="1" spans="2:51">
      <c r="B237" s="9">
        <v>121120</v>
      </c>
      <c r="C237" s="9">
        <v>121120</v>
      </c>
      <c r="D237" s="24" t="s">
        <v>1490</v>
      </c>
      <c r="E237" s="9" t="s">
        <v>1490</v>
      </c>
      <c r="G237" s="9">
        <v>0</v>
      </c>
      <c r="H237" s="2"/>
      <c r="I237" s="2"/>
      <c r="J237" s="2"/>
      <c r="K237" s="2"/>
      <c r="L237" s="2"/>
      <c r="N237" s="88">
        <v>0</v>
      </c>
      <c r="O237" s="88">
        <v>0</v>
      </c>
      <c r="P237" s="32">
        <v>1</v>
      </c>
      <c r="Q237" s="32">
        <v>1</v>
      </c>
      <c r="R237" s="88">
        <v>5</v>
      </c>
      <c r="S237" s="31"/>
      <c r="T237" s="88">
        <v>1</v>
      </c>
      <c r="U237" s="88">
        <v>1</v>
      </c>
      <c r="V237" s="88">
        <v>1</v>
      </c>
      <c r="W237" s="9">
        <v>1111</v>
      </c>
      <c r="X237" s="89" t="s">
        <v>1491</v>
      </c>
      <c r="Y237" s="89"/>
      <c r="Z237" s="53">
        <v>9999</v>
      </c>
      <c r="AA237" s="53"/>
      <c r="AB237" s="53">
        <v>30</v>
      </c>
      <c r="AC237" s="53">
        <v>30</v>
      </c>
      <c r="AD237" s="53">
        <v>30</v>
      </c>
      <c r="AE237" s="94">
        <v>50</v>
      </c>
      <c r="AF237" s="94">
        <v>20</v>
      </c>
      <c r="AG237" s="94">
        <v>4000</v>
      </c>
      <c r="AH237" s="94">
        <v>50</v>
      </c>
      <c r="AI237" s="94">
        <v>0</v>
      </c>
      <c r="AJ237" s="94">
        <v>0</v>
      </c>
      <c r="AK237" s="94">
        <v>1</v>
      </c>
      <c r="AL237" s="94">
        <v>0</v>
      </c>
      <c r="AM237" s="98" t="s">
        <v>676</v>
      </c>
      <c r="AS237" s="17"/>
      <c r="AT237" s="17"/>
      <c r="AU237" s="17"/>
      <c r="AV237" s="18"/>
      <c r="AW237" s="88"/>
      <c r="AX237" s="88"/>
      <c r="AY237" s="13"/>
    </row>
    <row r="238" s="9" customFormat="1" spans="2:51">
      <c r="B238" s="9">
        <v>121121</v>
      </c>
      <c r="C238" s="9">
        <v>121121</v>
      </c>
      <c r="D238" s="24" t="s">
        <v>1492</v>
      </c>
      <c r="E238" s="9" t="s">
        <v>1492</v>
      </c>
      <c r="G238" s="9">
        <v>0</v>
      </c>
      <c r="H238" s="2"/>
      <c r="I238" s="2"/>
      <c r="J238" s="2"/>
      <c r="K238" s="2"/>
      <c r="L238" s="2"/>
      <c r="N238" s="88">
        <v>0</v>
      </c>
      <c r="O238" s="88">
        <v>0</v>
      </c>
      <c r="P238" s="32">
        <v>1</v>
      </c>
      <c r="Q238" s="32">
        <v>1</v>
      </c>
      <c r="R238" s="88">
        <v>5</v>
      </c>
      <c r="S238" s="31"/>
      <c r="T238" s="88">
        <v>1</v>
      </c>
      <c r="U238" s="88">
        <v>1</v>
      </c>
      <c r="V238" s="88">
        <v>1</v>
      </c>
      <c r="W238" s="9">
        <v>1112</v>
      </c>
      <c r="X238" s="89" t="s">
        <v>1493</v>
      </c>
      <c r="Y238" s="89"/>
      <c r="Z238" s="53">
        <v>9999</v>
      </c>
      <c r="AA238" s="53"/>
      <c r="AB238" s="53">
        <v>30</v>
      </c>
      <c r="AC238" s="53">
        <v>30</v>
      </c>
      <c r="AD238" s="53">
        <v>30</v>
      </c>
      <c r="AE238" s="94">
        <v>50</v>
      </c>
      <c r="AF238" s="94">
        <v>20</v>
      </c>
      <c r="AG238" s="94">
        <v>4000</v>
      </c>
      <c r="AH238" s="94">
        <v>50</v>
      </c>
      <c r="AI238" s="94">
        <v>0</v>
      </c>
      <c r="AJ238" s="94">
        <v>0</v>
      </c>
      <c r="AK238" s="94">
        <v>1</v>
      </c>
      <c r="AL238" s="94">
        <v>0</v>
      </c>
      <c r="AM238" s="98" t="s">
        <v>676</v>
      </c>
      <c r="AS238" s="17"/>
      <c r="AT238" s="17"/>
      <c r="AU238" s="17"/>
      <c r="AV238" s="18"/>
      <c r="AW238" s="88"/>
      <c r="AX238" s="88"/>
      <c r="AY238" s="13"/>
    </row>
    <row r="239" s="9" customFormat="1" spans="2:51">
      <c r="B239" s="9">
        <v>121122</v>
      </c>
      <c r="C239" s="9">
        <v>121122</v>
      </c>
      <c r="D239" s="24" t="s">
        <v>1494</v>
      </c>
      <c r="E239" s="9" t="s">
        <v>1494</v>
      </c>
      <c r="G239" s="9">
        <v>0</v>
      </c>
      <c r="H239" s="2"/>
      <c r="I239" s="2"/>
      <c r="J239" s="2"/>
      <c r="K239" s="2"/>
      <c r="L239" s="2"/>
      <c r="N239" s="88">
        <v>0</v>
      </c>
      <c r="O239" s="88">
        <v>0</v>
      </c>
      <c r="P239" s="32">
        <v>1</v>
      </c>
      <c r="Q239" s="32">
        <v>1</v>
      </c>
      <c r="R239" s="88">
        <v>5</v>
      </c>
      <c r="S239" s="31" t="s">
        <v>558</v>
      </c>
      <c r="T239" s="88">
        <v>1</v>
      </c>
      <c r="U239" s="88">
        <v>1</v>
      </c>
      <c r="V239" s="88">
        <v>1</v>
      </c>
      <c r="W239" s="9">
        <v>1118</v>
      </c>
      <c r="X239" s="89" t="s">
        <v>1495</v>
      </c>
      <c r="Y239" s="89"/>
      <c r="Z239" s="53">
        <v>9999</v>
      </c>
      <c r="AA239" s="53"/>
      <c r="AB239" s="53">
        <v>30</v>
      </c>
      <c r="AC239" s="53">
        <v>30</v>
      </c>
      <c r="AD239" s="53">
        <v>30</v>
      </c>
      <c r="AE239" s="94">
        <v>50</v>
      </c>
      <c r="AF239" s="94">
        <v>20</v>
      </c>
      <c r="AG239" s="94">
        <v>4000</v>
      </c>
      <c r="AH239" s="94">
        <v>50</v>
      </c>
      <c r="AI239" s="94">
        <v>0</v>
      </c>
      <c r="AJ239" s="94">
        <v>0</v>
      </c>
      <c r="AK239" s="94">
        <v>1</v>
      </c>
      <c r="AL239" s="94">
        <v>0</v>
      </c>
      <c r="AM239" s="98" t="s">
        <v>676</v>
      </c>
      <c r="AS239" s="17"/>
      <c r="AT239" s="17"/>
      <c r="AU239" s="17"/>
      <c r="AV239" s="18"/>
      <c r="AW239" s="88"/>
      <c r="AX239" s="88"/>
      <c r="AY239" s="13"/>
    </row>
    <row r="240" s="9" customFormat="1" spans="2:51">
      <c r="B240" s="9">
        <v>121123</v>
      </c>
      <c r="C240" s="9">
        <v>121123</v>
      </c>
      <c r="D240" s="24" t="s">
        <v>1496</v>
      </c>
      <c r="E240" s="9" t="s">
        <v>1497</v>
      </c>
      <c r="G240" s="9">
        <v>0</v>
      </c>
      <c r="H240" s="2"/>
      <c r="I240" s="2"/>
      <c r="J240" s="2"/>
      <c r="K240" s="2"/>
      <c r="L240" s="2"/>
      <c r="N240" s="88">
        <v>0</v>
      </c>
      <c r="O240" s="88">
        <v>0</v>
      </c>
      <c r="P240" s="32">
        <v>1</v>
      </c>
      <c r="Q240" s="32">
        <v>1</v>
      </c>
      <c r="R240" s="88">
        <v>5</v>
      </c>
      <c r="S240" s="31" t="s">
        <v>558</v>
      </c>
      <c r="T240" s="88">
        <v>1</v>
      </c>
      <c r="U240" s="88">
        <v>1</v>
      </c>
      <c r="V240" s="88">
        <v>1</v>
      </c>
      <c r="W240" s="9">
        <v>1114</v>
      </c>
      <c r="X240" s="89" t="s">
        <v>1498</v>
      </c>
      <c r="Y240" s="89"/>
      <c r="Z240" s="53">
        <v>9999</v>
      </c>
      <c r="AA240" s="53"/>
      <c r="AB240" s="53">
        <v>30</v>
      </c>
      <c r="AC240" s="53">
        <v>30</v>
      </c>
      <c r="AD240" s="53">
        <v>30</v>
      </c>
      <c r="AE240" s="94">
        <v>50</v>
      </c>
      <c r="AF240" s="94">
        <v>20</v>
      </c>
      <c r="AG240" s="94">
        <v>4000</v>
      </c>
      <c r="AH240" s="94">
        <v>50</v>
      </c>
      <c r="AI240" s="94">
        <v>0</v>
      </c>
      <c r="AJ240" s="94">
        <v>0</v>
      </c>
      <c r="AK240" s="94">
        <v>1</v>
      </c>
      <c r="AL240" s="94">
        <v>0</v>
      </c>
      <c r="AM240" s="98" t="s">
        <v>676</v>
      </c>
      <c r="AS240" s="17"/>
      <c r="AT240" s="17"/>
      <c r="AU240" s="17"/>
      <c r="AV240" s="18"/>
      <c r="AW240" s="88"/>
      <c r="AX240" s="88"/>
      <c r="AY240" s="13"/>
    </row>
    <row r="241" s="9" customFormat="1" spans="2:51">
      <c r="B241" s="9">
        <v>121124</v>
      </c>
      <c r="C241" s="9">
        <v>121124</v>
      </c>
      <c r="D241" s="24" t="s">
        <v>1499</v>
      </c>
      <c r="E241" s="9" t="s">
        <v>1500</v>
      </c>
      <c r="G241" s="9">
        <v>0</v>
      </c>
      <c r="H241" s="2"/>
      <c r="I241" s="2"/>
      <c r="J241" s="2"/>
      <c r="K241" s="2"/>
      <c r="L241" s="2"/>
      <c r="N241" s="88">
        <v>0</v>
      </c>
      <c r="O241" s="88">
        <v>0</v>
      </c>
      <c r="P241" s="32">
        <v>1</v>
      </c>
      <c r="Q241" s="32">
        <v>1</v>
      </c>
      <c r="R241" s="88">
        <v>5</v>
      </c>
      <c r="S241" s="31" t="s">
        <v>558</v>
      </c>
      <c r="T241" s="88">
        <v>1</v>
      </c>
      <c r="U241" s="88">
        <v>1</v>
      </c>
      <c r="V241" s="88">
        <v>1</v>
      </c>
      <c r="W241" s="9">
        <v>1115</v>
      </c>
      <c r="X241" s="89" t="s">
        <v>1501</v>
      </c>
      <c r="Y241" s="89"/>
      <c r="Z241" s="53">
        <v>9999</v>
      </c>
      <c r="AA241" s="53"/>
      <c r="AB241" s="53">
        <v>30</v>
      </c>
      <c r="AC241" s="53">
        <v>30</v>
      </c>
      <c r="AD241" s="53">
        <v>30</v>
      </c>
      <c r="AE241" s="94">
        <v>50</v>
      </c>
      <c r="AF241" s="94">
        <v>20</v>
      </c>
      <c r="AG241" s="94">
        <v>4000</v>
      </c>
      <c r="AH241" s="94">
        <v>50</v>
      </c>
      <c r="AI241" s="94">
        <v>0</v>
      </c>
      <c r="AJ241" s="94">
        <v>0</v>
      </c>
      <c r="AK241" s="94">
        <v>1</v>
      </c>
      <c r="AL241" s="94">
        <v>0</v>
      </c>
      <c r="AM241" s="98" t="s">
        <v>676</v>
      </c>
      <c r="AS241" s="17"/>
      <c r="AT241" s="17"/>
      <c r="AU241" s="17"/>
      <c r="AV241" s="18"/>
      <c r="AW241" s="88"/>
      <c r="AX241" s="88"/>
      <c r="AY241" s="13"/>
    </row>
    <row r="242" s="9" customFormat="1" spans="2:51">
      <c r="B242" s="9">
        <v>121125</v>
      </c>
      <c r="C242" s="9">
        <v>121125</v>
      </c>
      <c r="D242" s="24" t="s">
        <v>1502</v>
      </c>
      <c r="E242" s="9" t="s">
        <v>1502</v>
      </c>
      <c r="G242" s="9">
        <v>0</v>
      </c>
      <c r="H242" s="2"/>
      <c r="I242" s="2"/>
      <c r="J242" s="2"/>
      <c r="K242" s="2"/>
      <c r="L242" s="2"/>
      <c r="N242" s="88">
        <v>0</v>
      </c>
      <c r="O242" s="88">
        <v>0</v>
      </c>
      <c r="P242" s="32">
        <v>1</v>
      </c>
      <c r="Q242" s="32">
        <v>1</v>
      </c>
      <c r="R242" s="88">
        <v>5</v>
      </c>
      <c r="S242" s="31" t="s">
        <v>558</v>
      </c>
      <c r="T242" s="88">
        <v>1</v>
      </c>
      <c r="U242" s="88">
        <v>1</v>
      </c>
      <c r="V242" s="88">
        <v>1</v>
      </c>
      <c r="W242" s="9">
        <v>1116</v>
      </c>
      <c r="X242" s="89" t="s">
        <v>1503</v>
      </c>
      <c r="Y242" s="89"/>
      <c r="Z242" s="53">
        <v>9999</v>
      </c>
      <c r="AA242" s="53"/>
      <c r="AB242" s="53">
        <v>30</v>
      </c>
      <c r="AC242" s="53">
        <v>30</v>
      </c>
      <c r="AD242" s="53">
        <v>30</v>
      </c>
      <c r="AE242" s="94">
        <v>50</v>
      </c>
      <c r="AF242" s="94">
        <v>20</v>
      </c>
      <c r="AG242" s="94">
        <v>4000</v>
      </c>
      <c r="AH242" s="94">
        <v>50</v>
      </c>
      <c r="AI242" s="94">
        <v>0</v>
      </c>
      <c r="AJ242" s="94">
        <v>0</v>
      </c>
      <c r="AK242" s="94">
        <v>1</v>
      </c>
      <c r="AL242" s="94">
        <v>0</v>
      </c>
      <c r="AM242" s="98" t="s">
        <v>676</v>
      </c>
      <c r="AS242" s="17"/>
      <c r="AT242" s="17"/>
      <c r="AU242" s="17"/>
      <c r="AV242" s="18"/>
      <c r="AW242" s="88"/>
      <c r="AX242" s="88"/>
      <c r="AY242" s="13"/>
    </row>
    <row r="243" s="9" customFormat="1" spans="2:51">
      <c r="B243" s="9">
        <v>121126</v>
      </c>
      <c r="C243" s="9">
        <v>121126</v>
      </c>
      <c r="D243" s="24" t="s">
        <v>1504</v>
      </c>
      <c r="E243" s="9" t="s">
        <v>1504</v>
      </c>
      <c r="G243" s="9">
        <v>0</v>
      </c>
      <c r="H243" s="2"/>
      <c r="I243" s="2"/>
      <c r="J243" s="2"/>
      <c r="K243" s="2"/>
      <c r="L243" s="2"/>
      <c r="N243" s="88">
        <v>0</v>
      </c>
      <c r="O243" s="88">
        <v>0</v>
      </c>
      <c r="P243" s="32">
        <v>1</v>
      </c>
      <c r="Q243" s="32">
        <v>1</v>
      </c>
      <c r="R243" s="88">
        <v>5</v>
      </c>
      <c r="S243" s="31" t="s">
        <v>558</v>
      </c>
      <c r="T243" s="88">
        <v>1</v>
      </c>
      <c r="U243" s="88">
        <v>1</v>
      </c>
      <c r="V243" s="88">
        <v>1</v>
      </c>
      <c r="W243" s="9">
        <v>1117</v>
      </c>
      <c r="X243" s="89" t="s">
        <v>1505</v>
      </c>
      <c r="Y243" s="89"/>
      <c r="Z243" s="53">
        <v>9999</v>
      </c>
      <c r="AA243" s="53"/>
      <c r="AB243" s="53">
        <v>30</v>
      </c>
      <c r="AC243" s="53">
        <v>30</v>
      </c>
      <c r="AD243" s="53">
        <v>30</v>
      </c>
      <c r="AE243" s="94">
        <v>50</v>
      </c>
      <c r="AF243" s="94">
        <v>20</v>
      </c>
      <c r="AG243" s="94">
        <v>4000</v>
      </c>
      <c r="AH243" s="94">
        <v>50</v>
      </c>
      <c r="AI243" s="94">
        <v>0</v>
      </c>
      <c r="AJ243" s="94">
        <v>0</v>
      </c>
      <c r="AK243" s="94">
        <v>1</v>
      </c>
      <c r="AL243" s="94">
        <v>0</v>
      </c>
      <c r="AM243" s="98" t="s">
        <v>676</v>
      </c>
      <c r="AS243" s="17"/>
      <c r="AT243" s="17"/>
      <c r="AU243" s="17"/>
      <c r="AV243" s="18"/>
      <c r="AW243" s="88"/>
      <c r="AX243" s="88"/>
      <c r="AY243" s="13"/>
    </row>
    <row r="244" s="9" customFormat="1" spans="2:51">
      <c r="B244" s="9">
        <v>121127</v>
      </c>
      <c r="C244" s="9">
        <v>121127</v>
      </c>
      <c r="D244" s="24" t="s">
        <v>1506</v>
      </c>
      <c r="E244" s="9" t="s">
        <v>1507</v>
      </c>
      <c r="G244" s="9">
        <v>0</v>
      </c>
      <c r="H244" s="2"/>
      <c r="I244" s="2"/>
      <c r="J244" s="2"/>
      <c r="K244" s="2"/>
      <c r="L244" s="2"/>
      <c r="N244" s="88">
        <v>0</v>
      </c>
      <c r="O244" s="100">
        <v>1</v>
      </c>
      <c r="P244" s="32">
        <v>1</v>
      </c>
      <c r="Q244" s="32">
        <v>1</v>
      </c>
      <c r="R244" s="88">
        <v>5</v>
      </c>
      <c r="S244" s="31" t="s">
        <v>558</v>
      </c>
      <c r="T244" s="88">
        <v>1</v>
      </c>
      <c r="U244" s="88">
        <v>1</v>
      </c>
      <c r="V244" s="88">
        <v>1</v>
      </c>
      <c r="W244" s="9">
        <v>1113</v>
      </c>
      <c r="X244" s="89" t="s">
        <v>1508</v>
      </c>
      <c r="Y244" s="89"/>
      <c r="Z244" s="53">
        <v>9999</v>
      </c>
      <c r="AA244" s="53"/>
      <c r="AB244" s="53">
        <v>30</v>
      </c>
      <c r="AC244" s="53">
        <v>30</v>
      </c>
      <c r="AD244" s="53">
        <v>30</v>
      </c>
      <c r="AE244" s="94">
        <v>50</v>
      </c>
      <c r="AF244" s="94">
        <v>20</v>
      </c>
      <c r="AG244" s="94">
        <v>4000</v>
      </c>
      <c r="AH244" s="94">
        <v>50</v>
      </c>
      <c r="AI244" s="94">
        <v>0</v>
      </c>
      <c r="AJ244" s="94">
        <v>0</v>
      </c>
      <c r="AK244" s="94">
        <v>1</v>
      </c>
      <c r="AL244" s="94">
        <v>0</v>
      </c>
      <c r="AM244" s="98" t="s">
        <v>676</v>
      </c>
      <c r="AS244" s="17"/>
      <c r="AT244" s="17"/>
      <c r="AU244" s="17"/>
      <c r="AV244" s="18"/>
      <c r="AW244" s="88"/>
      <c r="AX244" s="88"/>
      <c r="AY244" s="13"/>
    </row>
    <row r="245" s="9" customFormat="1" spans="2:51">
      <c r="B245" s="9">
        <v>121128</v>
      </c>
      <c r="C245" s="9">
        <v>121128</v>
      </c>
      <c r="D245" s="24" t="s">
        <v>1509</v>
      </c>
      <c r="E245" s="9" t="s">
        <v>1510</v>
      </c>
      <c r="G245" s="9">
        <v>0</v>
      </c>
      <c r="H245" s="2"/>
      <c r="I245" s="2"/>
      <c r="J245" s="2"/>
      <c r="K245" s="2"/>
      <c r="L245" s="2"/>
      <c r="N245" s="88">
        <v>0</v>
      </c>
      <c r="O245" s="88">
        <v>0</v>
      </c>
      <c r="P245" s="32">
        <v>1</v>
      </c>
      <c r="Q245" s="32">
        <v>1</v>
      </c>
      <c r="R245" s="88">
        <v>5</v>
      </c>
      <c r="S245" s="31" t="s">
        <v>558</v>
      </c>
      <c r="T245" s="88">
        <v>1</v>
      </c>
      <c r="U245" s="88">
        <v>1</v>
      </c>
      <c r="V245" s="88">
        <v>1</v>
      </c>
      <c r="W245" s="9">
        <v>1119</v>
      </c>
      <c r="X245" s="89" t="s">
        <v>1511</v>
      </c>
      <c r="Y245" s="89"/>
      <c r="Z245" s="53">
        <v>9999</v>
      </c>
      <c r="AA245" s="53"/>
      <c r="AB245" s="53">
        <v>30</v>
      </c>
      <c r="AC245" s="53">
        <v>30</v>
      </c>
      <c r="AD245" s="53">
        <v>30</v>
      </c>
      <c r="AE245" s="94">
        <v>50</v>
      </c>
      <c r="AF245" s="94">
        <v>20</v>
      </c>
      <c r="AG245" s="94">
        <v>4000</v>
      </c>
      <c r="AH245" s="94">
        <v>50</v>
      </c>
      <c r="AI245" s="94">
        <v>0</v>
      </c>
      <c r="AJ245" s="94">
        <v>0</v>
      </c>
      <c r="AK245" s="94">
        <v>1</v>
      </c>
      <c r="AL245" s="94">
        <v>0</v>
      </c>
      <c r="AM245" s="98" t="s">
        <v>676</v>
      </c>
      <c r="AS245" s="17"/>
      <c r="AT245" s="17"/>
      <c r="AU245" s="17"/>
      <c r="AV245" s="18"/>
      <c r="AW245" s="88"/>
      <c r="AX245" s="88"/>
      <c r="AY245" s="13"/>
    </row>
    <row r="246" s="9" customFormat="1" spans="2:51">
      <c r="B246" s="9">
        <v>121129</v>
      </c>
      <c r="C246" s="9">
        <v>121129</v>
      </c>
      <c r="D246" s="9" t="s">
        <v>1512</v>
      </c>
      <c r="E246" s="9" t="s">
        <v>1512</v>
      </c>
      <c r="G246" s="9">
        <v>0</v>
      </c>
      <c r="H246" s="2"/>
      <c r="I246" s="2"/>
      <c r="J246" s="2"/>
      <c r="K246" s="2"/>
      <c r="L246" s="2"/>
      <c r="N246" s="88">
        <v>0</v>
      </c>
      <c r="O246" s="88">
        <v>0</v>
      </c>
      <c r="P246" s="32">
        <v>1</v>
      </c>
      <c r="Q246" s="32">
        <v>1</v>
      </c>
      <c r="R246" s="88">
        <v>5</v>
      </c>
      <c r="S246" s="31" t="s">
        <v>558</v>
      </c>
      <c r="T246" s="88">
        <v>1</v>
      </c>
      <c r="U246" s="88">
        <v>1</v>
      </c>
      <c r="V246" s="88">
        <v>1</v>
      </c>
      <c r="W246" s="9">
        <v>30002</v>
      </c>
      <c r="X246" s="89" t="s">
        <v>1513</v>
      </c>
      <c r="Y246" s="89"/>
      <c r="Z246" s="53">
        <v>9999</v>
      </c>
      <c r="AA246" s="53"/>
      <c r="AB246" s="53">
        <v>30</v>
      </c>
      <c r="AC246" s="53">
        <v>30</v>
      </c>
      <c r="AD246" s="53">
        <v>30</v>
      </c>
      <c r="AE246" s="94">
        <v>50</v>
      </c>
      <c r="AF246" s="94">
        <v>20</v>
      </c>
      <c r="AG246" s="94">
        <v>4000</v>
      </c>
      <c r="AH246" s="94">
        <v>50</v>
      </c>
      <c r="AI246" s="94">
        <v>0</v>
      </c>
      <c r="AJ246" s="94">
        <v>0</v>
      </c>
      <c r="AK246" s="94">
        <v>1</v>
      </c>
      <c r="AL246" s="94">
        <v>0</v>
      </c>
      <c r="AM246" s="98" t="s">
        <v>676</v>
      </c>
      <c r="AS246" s="17"/>
      <c r="AT246" s="17"/>
      <c r="AU246" s="17"/>
      <c r="AV246" s="18"/>
      <c r="AW246" s="88"/>
      <c r="AX246" s="88"/>
      <c r="AY246" s="13"/>
    </row>
    <row r="247" spans="2:44">
      <c r="B247" s="9">
        <v>121130</v>
      </c>
      <c r="C247" s="9">
        <v>121130</v>
      </c>
      <c r="D247" s="24" t="s">
        <v>537</v>
      </c>
      <c r="E247" t="s">
        <v>1514</v>
      </c>
      <c r="G247">
        <v>0</v>
      </c>
      <c r="H247" s="2"/>
      <c r="I247" s="2"/>
      <c r="J247" s="2"/>
      <c r="K247" s="2"/>
      <c r="L247" s="2"/>
      <c r="N247" s="88">
        <v>0</v>
      </c>
      <c r="O247" s="88">
        <v>0</v>
      </c>
      <c r="P247" s="13">
        <v>3</v>
      </c>
      <c r="Q247" s="14">
        <v>3</v>
      </c>
      <c r="R247">
        <v>4</v>
      </c>
      <c r="S247" s="31" t="s">
        <v>300</v>
      </c>
      <c r="T247" s="88">
        <v>2</v>
      </c>
      <c r="U247">
        <v>7</v>
      </c>
      <c r="V247">
        <v>2</v>
      </c>
      <c r="W247" s="116" t="s">
        <v>1515</v>
      </c>
      <c r="X247" t="s">
        <v>1516</v>
      </c>
      <c r="Z247" s="53">
        <v>9999</v>
      </c>
      <c r="AA247">
        <v>214005</v>
      </c>
      <c r="AB247">
        <v>30</v>
      </c>
      <c r="AC247">
        <v>30</v>
      </c>
      <c r="AD247">
        <v>30</v>
      </c>
      <c r="AE247" s="13">
        <v>119</v>
      </c>
      <c r="AF247" s="13">
        <v>12</v>
      </c>
      <c r="AG247" s="13">
        <v>207</v>
      </c>
      <c r="AH247" s="13">
        <v>5</v>
      </c>
      <c r="AI247" s="13">
        <v>0</v>
      </c>
      <c r="AJ247" s="15">
        <v>0</v>
      </c>
      <c r="AK247" s="15">
        <v>1</v>
      </c>
      <c r="AL247" s="15">
        <v>0</v>
      </c>
      <c r="AM247" s="16" t="s">
        <v>676</v>
      </c>
      <c r="AN247" s="3" t="s">
        <v>544</v>
      </c>
      <c r="AO247" s="3" t="s">
        <v>545</v>
      </c>
      <c r="AP247" s="3"/>
      <c r="AQ247" s="3"/>
      <c r="AR247" s="3"/>
    </row>
    <row r="248" spans="2:39">
      <c r="B248" s="9">
        <v>121131</v>
      </c>
      <c r="C248" s="9">
        <v>121131</v>
      </c>
      <c r="D248" s="24" t="s">
        <v>1517</v>
      </c>
      <c r="E248" t="s">
        <v>1518</v>
      </c>
      <c r="G248">
        <v>1</v>
      </c>
      <c r="H248" s="2"/>
      <c r="I248" s="2"/>
      <c r="J248" s="2"/>
      <c r="K248" s="2"/>
      <c r="L248" s="2"/>
      <c r="N248" s="88">
        <v>0</v>
      </c>
      <c r="O248" s="100">
        <v>1</v>
      </c>
      <c r="P248" s="13">
        <v>1</v>
      </c>
      <c r="Q248" s="14">
        <v>1</v>
      </c>
      <c r="R248">
        <v>5</v>
      </c>
      <c r="S248" s="31" t="s">
        <v>558</v>
      </c>
      <c r="T248" s="88">
        <v>1</v>
      </c>
      <c r="U248">
        <v>1</v>
      </c>
      <c r="V248">
        <v>1</v>
      </c>
      <c r="W248" s="116" t="s">
        <v>1519</v>
      </c>
      <c r="X248" t="s">
        <v>1520</v>
      </c>
      <c r="Z248" s="53">
        <v>9999</v>
      </c>
      <c r="AB248" s="53">
        <v>30</v>
      </c>
      <c r="AC248" s="53">
        <v>30</v>
      </c>
      <c r="AD248" s="53">
        <v>30</v>
      </c>
      <c r="AE248" s="94">
        <v>50</v>
      </c>
      <c r="AF248" s="94">
        <v>20</v>
      </c>
      <c r="AG248" s="94">
        <v>4000</v>
      </c>
      <c r="AH248" s="94">
        <v>50</v>
      </c>
      <c r="AI248" s="94">
        <v>0</v>
      </c>
      <c r="AJ248" s="94">
        <v>0</v>
      </c>
      <c r="AK248" s="94">
        <v>1</v>
      </c>
      <c r="AL248" s="94">
        <v>0</v>
      </c>
      <c r="AM248" s="98" t="s">
        <v>676</v>
      </c>
    </row>
    <row r="249" s="9" customFormat="1" spans="2:51">
      <c r="B249" s="9">
        <v>121132</v>
      </c>
      <c r="C249" s="9">
        <v>121132</v>
      </c>
      <c r="D249" s="24" t="s">
        <v>1480</v>
      </c>
      <c r="E249" s="9" t="s">
        <v>1480</v>
      </c>
      <c r="G249" s="9">
        <v>0</v>
      </c>
      <c r="H249" s="2"/>
      <c r="I249" s="2"/>
      <c r="J249" s="2"/>
      <c r="K249" s="2"/>
      <c r="L249" s="2"/>
      <c r="N249" s="88">
        <v>0</v>
      </c>
      <c r="O249" s="88">
        <v>0</v>
      </c>
      <c r="P249" s="32">
        <v>1</v>
      </c>
      <c r="Q249" s="32">
        <v>1</v>
      </c>
      <c r="R249" s="88">
        <v>5</v>
      </c>
      <c r="S249" s="31" t="s">
        <v>558</v>
      </c>
      <c r="T249" s="88">
        <v>1</v>
      </c>
      <c r="U249" s="88">
        <v>1</v>
      </c>
      <c r="V249" s="88">
        <v>1</v>
      </c>
      <c r="W249" s="9">
        <v>1125</v>
      </c>
      <c r="X249" s="89" t="s">
        <v>1481</v>
      </c>
      <c r="Y249" s="89"/>
      <c r="Z249" s="53">
        <v>9999</v>
      </c>
      <c r="AA249" s="53"/>
      <c r="AB249" s="53">
        <v>30</v>
      </c>
      <c r="AC249" s="53">
        <v>30</v>
      </c>
      <c r="AD249" s="53">
        <v>30</v>
      </c>
      <c r="AE249" s="94">
        <v>50</v>
      </c>
      <c r="AF249" s="94">
        <v>20</v>
      </c>
      <c r="AG249" s="94">
        <v>4000</v>
      </c>
      <c r="AH249" s="94">
        <v>50</v>
      </c>
      <c r="AI249" s="94">
        <v>0</v>
      </c>
      <c r="AJ249" s="94">
        <v>0</v>
      </c>
      <c r="AK249" s="94">
        <v>1</v>
      </c>
      <c r="AL249" s="94">
        <v>0</v>
      </c>
      <c r="AM249" s="98" t="s">
        <v>676</v>
      </c>
      <c r="AS249" s="17"/>
      <c r="AT249" s="17"/>
      <c r="AU249" s="17"/>
      <c r="AV249" s="18"/>
      <c r="AW249" s="88"/>
      <c r="AX249" s="88"/>
      <c r="AY249" s="13"/>
    </row>
    <row r="250" s="9" customFormat="1" spans="2:51">
      <c r="B250" s="9">
        <v>121133</v>
      </c>
      <c r="C250" s="9">
        <v>121133</v>
      </c>
      <c r="D250" s="24" t="s">
        <v>1521</v>
      </c>
      <c r="E250" s="9" t="s">
        <v>1521</v>
      </c>
      <c r="G250" s="9">
        <v>0</v>
      </c>
      <c r="H250" s="2"/>
      <c r="I250" s="2"/>
      <c r="J250" s="2"/>
      <c r="K250" s="2"/>
      <c r="L250" s="2"/>
      <c r="N250" s="88">
        <v>0</v>
      </c>
      <c r="O250" s="100">
        <v>1</v>
      </c>
      <c r="P250" s="32">
        <v>1</v>
      </c>
      <c r="Q250" s="32">
        <v>1</v>
      </c>
      <c r="R250" s="88">
        <v>5</v>
      </c>
      <c r="S250" s="31" t="s">
        <v>558</v>
      </c>
      <c r="T250" s="88">
        <v>1</v>
      </c>
      <c r="U250" s="88">
        <v>1</v>
      </c>
      <c r="V250" s="88">
        <v>1</v>
      </c>
      <c r="W250" s="9">
        <v>1126</v>
      </c>
      <c r="X250" s="89" t="s">
        <v>1522</v>
      </c>
      <c r="Y250" s="89"/>
      <c r="Z250" s="53">
        <v>9999</v>
      </c>
      <c r="AA250" s="53"/>
      <c r="AB250" s="53">
        <v>30</v>
      </c>
      <c r="AC250" s="53">
        <v>30</v>
      </c>
      <c r="AD250" s="53">
        <v>30</v>
      </c>
      <c r="AE250" s="94">
        <v>50</v>
      </c>
      <c r="AF250" s="94">
        <v>20</v>
      </c>
      <c r="AG250" s="94">
        <v>4000</v>
      </c>
      <c r="AH250" s="94">
        <v>50</v>
      </c>
      <c r="AI250" s="94">
        <v>0</v>
      </c>
      <c r="AJ250" s="94">
        <v>0</v>
      </c>
      <c r="AK250" s="94">
        <v>1</v>
      </c>
      <c r="AL250" s="94">
        <v>0</v>
      </c>
      <c r="AM250" s="98" t="s">
        <v>676</v>
      </c>
      <c r="AS250" s="17"/>
      <c r="AT250" s="17"/>
      <c r="AU250" s="17"/>
      <c r="AV250" s="18"/>
      <c r="AW250" s="88"/>
      <c r="AX250" s="88"/>
      <c r="AY250" s="13"/>
    </row>
    <row r="251" s="9" customFormat="1" spans="2:51">
      <c r="B251" s="9">
        <v>121134</v>
      </c>
      <c r="C251" s="9">
        <v>121134</v>
      </c>
      <c r="D251" s="24" t="s">
        <v>1523</v>
      </c>
      <c r="E251" s="9" t="s">
        <v>1524</v>
      </c>
      <c r="G251" s="9">
        <v>1</v>
      </c>
      <c r="H251" s="2"/>
      <c r="I251" s="2"/>
      <c r="J251" s="2"/>
      <c r="K251" s="2"/>
      <c r="L251" s="2"/>
      <c r="N251" s="88">
        <v>0</v>
      </c>
      <c r="O251" s="88">
        <v>0</v>
      </c>
      <c r="P251" s="32">
        <v>1</v>
      </c>
      <c r="Q251" s="32">
        <v>1</v>
      </c>
      <c r="R251" s="88">
        <v>5</v>
      </c>
      <c r="S251" s="31" t="s">
        <v>558</v>
      </c>
      <c r="T251" s="88">
        <v>1</v>
      </c>
      <c r="U251" s="88">
        <v>1</v>
      </c>
      <c r="V251" s="88">
        <v>1</v>
      </c>
      <c r="W251" s="9">
        <v>1127</v>
      </c>
      <c r="X251" s="89" t="s">
        <v>1525</v>
      </c>
      <c r="Y251" s="89"/>
      <c r="Z251" s="53">
        <v>9999</v>
      </c>
      <c r="AA251" s="53"/>
      <c r="AB251" s="53">
        <v>30</v>
      </c>
      <c r="AC251" s="53">
        <v>30</v>
      </c>
      <c r="AD251" s="53">
        <v>30</v>
      </c>
      <c r="AE251" s="94">
        <v>50</v>
      </c>
      <c r="AF251" s="94">
        <v>20</v>
      </c>
      <c r="AG251" s="94">
        <v>4000</v>
      </c>
      <c r="AH251" s="94">
        <v>50</v>
      </c>
      <c r="AI251" s="94">
        <v>0</v>
      </c>
      <c r="AJ251" s="94">
        <v>0</v>
      </c>
      <c r="AK251" s="94">
        <v>1</v>
      </c>
      <c r="AL251" s="94">
        <v>0</v>
      </c>
      <c r="AM251" s="98" t="s">
        <v>676</v>
      </c>
      <c r="AS251" s="17"/>
      <c r="AT251" s="17"/>
      <c r="AU251" s="17"/>
      <c r="AV251" s="18"/>
      <c r="AW251" s="88"/>
      <c r="AX251" s="88"/>
      <c r="AY251" s="13"/>
    </row>
    <row r="252" s="9" customFormat="1" spans="2:51">
      <c r="B252" s="9">
        <v>121135</v>
      </c>
      <c r="C252" s="9">
        <v>121135</v>
      </c>
      <c r="D252" s="24" t="s">
        <v>1526</v>
      </c>
      <c r="E252" s="9" t="s">
        <v>1527</v>
      </c>
      <c r="G252" s="9">
        <v>0</v>
      </c>
      <c r="H252" s="2"/>
      <c r="I252" s="2"/>
      <c r="J252" s="2"/>
      <c r="K252" s="2"/>
      <c r="L252" s="2"/>
      <c r="N252" s="88">
        <v>0</v>
      </c>
      <c r="O252" s="100">
        <v>1</v>
      </c>
      <c r="P252" s="32">
        <v>1</v>
      </c>
      <c r="Q252" s="32">
        <v>1</v>
      </c>
      <c r="R252" s="88">
        <v>5</v>
      </c>
      <c r="S252" s="31" t="s">
        <v>558</v>
      </c>
      <c r="T252" s="88">
        <v>1</v>
      </c>
      <c r="U252" s="88">
        <v>1</v>
      </c>
      <c r="V252" s="88">
        <v>1</v>
      </c>
      <c r="W252" s="9">
        <v>1128</v>
      </c>
      <c r="X252" s="89" t="s">
        <v>1528</v>
      </c>
      <c r="Y252" s="89"/>
      <c r="Z252" s="53">
        <v>9999</v>
      </c>
      <c r="AA252" s="53"/>
      <c r="AB252" s="53">
        <v>30</v>
      </c>
      <c r="AC252" s="53">
        <v>30</v>
      </c>
      <c r="AD252" s="53">
        <v>30</v>
      </c>
      <c r="AE252" s="94">
        <v>50</v>
      </c>
      <c r="AF252" s="94">
        <v>20</v>
      </c>
      <c r="AG252" s="94">
        <v>4000</v>
      </c>
      <c r="AH252" s="94">
        <v>50</v>
      </c>
      <c r="AI252" s="94">
        <v>0</v>
      </c>
      <c r="AJ252" s="94">
        <v>0</v>
      </c>
      <c r="AK252" s="94">
        <v>1</v>
      </c>
      <c r="AL252" s="94">
        <v>0</v>
      </c>
      <c r="AM252" s="98" t="s">
        <v>676</v>
      </c>
      <c r="AS252" s="17"/>
      <c r="AT252" s="17"/>
      <c r="AU252" s="17"/>
      <c r="AV252" s="18"/>
      <c r="AW252" s="88"/>
      <c r="AX252" s="88"/>
      <c r="AY252" s="13"/>
    </row>
    <row r="253" s="9" customFormat="1" spans="2:51">
      <c r="B253" s="9">
        <v>121136</v>
      </c>
      <c r="C253" s="9">
        <v>121136</v>
      </c>
      <c r="D253" s="24" t="s">
        <v>1529</v>
      </c>
      <c r="E253" s="9" t="s">
        <v>1530</v>
      </c>
      <c r="G253" s="9">
        <v>0</v>
      </c>
      <c r="H253" s="2"/>
      <c r="I253" s="2"/>
      <c r="J253" s="2"/>
      <c r="K253" s="2"/>
      <c r="L253" s="2"/>
      <c r="N253" s="88">
        <v>0</v>
      </c>
      <c r="O253" s="100">
        <v>1</v>
      </c>
      <c r="P253" s="32">
        <v>1</v>
      </c>
      <c r="Q253" s="32">
        <v>1</v>
      </c>
      <c r="R253" s="88">
        <v>5</v>
      </c>
      <c r="S253" s="31" t="s">
        <v>558</v>
      </c>
      <c r="T253" s="88">
        <v>1</v>
      </c>
      <c r="U253" s="88">
        <v>1</v>
      </c>
      <c r="V253" s="88">
        <v>1</v>
      </c>
      <c r="W253" s="9">
        <v>1129</v>
      </c>
      <c r="X253" s="89" t="s">
        <v>1531</v>
      </c>
      <c r="Y253" s="89"/>
      <c r="Z253" s="53">
        <v>9999</v>
      </c>
      <c r="AA253" s="53"/>
      <c r="AB253" s="53">
        <v>30</v>
      </c>
      <c r="AC253" s="53">
        <v>30</v>
      </c>
      <c r="AD253" s="53">
        <v>30</v>
      </c>
      <c r="AE253" s="94">
        <v>50</v>
      </c>
      <c r="AF253" s="94">
        <v>20</v>
      </c>
      <c r="AG253" s="94">
        <v>4000</v>
      </c>
      <c r="AH253" s="94">
        <v>50</v>
      </c>
      <c r="AI253" s="94">
        <v>0</v>
      </c>
      <c r="AJ253" s="94">
        <v>0</v>
      </c>
      <c r="AK253" s="94">
        <v>1</v>
      </c>
      <c r="AL253" s="94">
        <v>0</v>
      </c>
      <c r="AM253" s="98" t="s">
        <v>676</v>
      </c>
      <c r="AS253" s="17"/>
      <c r="AT253" s="17"/>
      <c r="AU253" s="17"/>
      <c r="AV253" s="18"/>
      <c r="AW253" s="88"/>
      <c r="AX253" s="88"/>
      <c r="AY253" s="13"/>
    </row>
    <row r="254" s="9" customFormat="1" spans="2:51">
      <c r="B254" s="9">
        <v>121137</v>
      </c>
      <c r="C254" s="9">
        <v>121137</v>
      </c>
      <c r="D254" s="24" t="s">
        <v>1532</v>
      </c>
      <c r="E254" s="9" t="s">
        <v>1532</v>
      </c>
      <c r="G254" s="9">
        <v>0</v>
      </c>
      <c r="H254" s="2"/>
      <c r="I254" s="2"/>
      <c r="J254" s="2"/>
      <c r="K254" s="2"/>
      <c r="L254" s="2"/>
      <c r="N254" s="88">
        <v>0</v>
      </c>
      <c r="O254" s="100">
        <v>1</v>
      </c>
      <c r="P254" s="32">
        <v>1</v>
      </c>
      <c r="Q254" s="32">
        <v>1</v>
      </c>
      <c r="R254" s="88">
        <v>5</v>
      </c>
      <c r="S254" s="31" t="s">
        <v>558</v>
      </c>
      <c r="T254" s="88">
        <v>1</v>
      </c>
      <c r="U254" s="88">
        <v>1</v>
      </c>
      <c r="V254" s="88">
        <v>1</v>
      </c>
      <c r="W254" s="9">
        <v>1130</v>
      </c>
      <c r="X254" s="9" t="s">
        <v>1533</v>
      </c>
      <c r="Y254" s="89"/>
      <c r="Z254" s="53">
        <v>9999</v>
      </c>
      <c r="AA254" s="53"/>
      <c r="AB254" s="53">
        <v>30</v>
      </c>
      <c r="AC254" s="53">
        <v>30</v>
      </c>
      <c r="AD254" s="53">
        <v>30</v>
      </c>
      <c r="AE254" s="94">
        <v>50</v>
      </c>
      <c r="AF254" s="94">
        <v>20</v>
      </c>
      <c r="AG254" s="94">
        <v>4000</v>
      </c>
      <c r="AH254" s="94">
        <v>50</v>
      </c>
      <c r="AI254" s="94">
        <v>0</v>
      </c>
      <c r="AJ254" s="94">
        <v>0</v>
      </c>
      <c r="AK254" s="94">
        <v>1</v>
      </c>
      <c r="AL254" s="94">
        <v>0</v>
      </c>
      <c r="AM254" s="98" t="s">
        <v>676</v>
      </c>
      <c r="AS254" s="17"/>
      <c r="AT254" s="17"/>
      <c r="AU254" s="17"/>
      <c r="AV254" s="18"/>
      <c r="AW254" s="88"/>
      <c r="AX254" s="88"/>
      <c r="AY254" s="13"/>
    </row>
    <row r="255" s="9" customFormat="1" spans="2:51">
      <c r="B255" s="9">
        <v>121138</v>
      </c>
      <c r="C255" s="9">
        <v>121138</v>
      </c>
      <c r="D255" s="24" t="s">
        <v>1534</v>
      </c>
      <c r="E255" s="9" t="s">
        <v>1535</v>
      </c>
      <c r="G255" s="9">
        <v>0</v>
      </c>
      <c r="H255" s="2"/>
      <c r="I255" s="2"/>
      <c r="J255" s="2"/>
      <c r="K255" s="2"/>
      <c r="L255" s="2"/>
      <c r="N255" s="88">
        <v>0</v>
      </c>
      <c r="O255" s="88">
        <v>0</v>
      </c>
      <c r="P255" s="32">
        <v>1</v>
      </c>
      <c r="Q255" s="32">
        <v>1</v>
      </c>
      <c r="R255" s="88">
        <v>3</v>
      </c>
      <c r="S255" s="31"/>
      <c r="T255" s="88">
        <v>1</v>
      </c>
      <c r="U255" s="88">
        <v>1</v>
      </c>
      <c r="V255" s="88">
        <v>1</v>
      </c>
      <c r="W255" s="9">
        <v>1131</v>
      </c>
      <c r="X255" s="9" t="s">
        <v>1536</v>
      </c>
      <c r="Y255" s="89"/>
      <c r="Z255" s="53">
        <v>9999</v>
      </c>
      <c r="AA255" s="53"/>
      <c r="AB255" s="53">
        <v>30</v>
      </c>
      <c r="AC255" s="53">
        <v>30</v>
      </c>
      <c r="AD255" s="53">
        <v>30</v>
      </c>
      <c r="AE255" s="94">
        <v>50</v>
      </c>
      <c r="AF255" s="94">
        <v>20</v>
      </c>
      <c r="AG255" s="94">
        <v>4000</v>
      </c>
      <c r="AH255" s="94">
        <v>50</v>
      </c>
      <c r="AI255" s="94">
        <v>0</v>
      </c>
      <c r="AJ255" s="94">
        <v>0</v>
      </c>
      <c r="AK255" s="94">
        <v>1</v>
      </c>
      <c r="AL255" s="94">
        <v>0</v>
      </c>
      <c r="AM255" s="98" t="s">
        <v>676</v>
      </c>
      <c r="AS255" s="17"/>
      <c r="AT255" s="17"/>
      <c r="AU255" s="17"/>
      <c r="AV255" s="18"/>
      <c r="AW255" s="88"/>
      <c r="AX255" s="88"/>
      <c r="AY255" s="13"/>
    </row>
    <row r="256" s="9" customFormat="1" spans="2:51">
      <c r="B256" s="9">
        <v>121139</v>
      </c>
      <c r="C256" s="9">
        <v>121139</v>
      </c>
      <c r="D256" s="24" t="s">
        <v>1537</v>
      </c>
      <c r="E256" s="9" t="s">
        <v>1538</v>
      </c>
      <c r="G256" s="9">
        <v>0</v>
      </c>
      <c r="H256" s="2"/>
      <c r="I256" s="2"/>
      <c r="J256" s="2"/>
      <c r="K256" s="2"/>
      <c r="L256" s="2"/>
      <c r="N256" s="88">
        <v>0</v>
      </c>
      <c r="O256" s="88">
        <v>0</v>
      </c>
      <c r="P256" s="32">
        <v>1</v>
      </c>
      <c r="Q256" s="32">
        <v>1</v>
      </c>
      <c r="R256" s="88">
        <v>3</v>
      </c>
      <c r="S256" s="31"/>
      <c r="T256" s="88">
        <v>1</v>
      </c>
      <c r="U256" s="88">
        <v>1</v>
      </c>
      <c r="V256" s="88">
        <v>1</v>
      </c>
      <c r="W256" s="9">
        <v>1132</v>
      </c>
      <c r="X256" s="9" t="s">
        <v>1539</v>
      </c>
      <c r="Y256" s="89"/>
      <c r="Z256" s="53">
        <v>9999</v>
      </c>
      <c r="AA256" s="53"/>
      <c r="AB256" s="53">
        <v>30</v>
      </c>
      <c r="AC256" s="53">
        <v>30</v>
      </c>
      <c r="AD256" s="53">
        <v>30</v>
      </c>
      <c r="AE256" s="94">
        <v>50</v>
      </c>
      <c r="AF256" s="94">
        <v>20</v>
      </c>
      <c r="AG256" s="94">
        <v>4000</v>
      </c>
      <c r="AH256" s="94">
        <v>50</v>
      </c>
      <c r="AI256" s="94">
        <v>0</v>
      </c>
      <c r="AJ256" s="94">
        <v>0</v>
      </c>
      <c r="AK256" s="94">
        <v>1</v>
      </c>
      <c r="AL256" s="94">
        <v>0</v>
      </c>
      <c r="AM256" s="98" t="s">
        <v>676</v>
      </c>
      <c r="AS256" s="17"/>
      <c r="AT256" s="17"/>
      <c r="AU256" s="17"/>
      <c r="AV256" s="18"/>
      <c r="AW256" s="88"/>
      <c r="AX256" s="88"/>
      <c r="AY256" s="13"/>
    </row>
    <row r="257" s="9" customFormat="1" spans="2:51">
      <c r="B257" s="9">
        <v>121140</v>
      </c>
      <c r="C257" s="9">
        <v>121140</v>
      </c>
      <c r="D257" s="24" t="s">
        <v>1540</v>
      </c>
      <c r="E257" s="13" t="s">
        <v>1541</v>
      </c>
      <c r="F257" s="13"/>
      <c r="G257" s="9">
        <v>0</v>
      </c>
      <c r="H257" s="2"/>
      <c r="I257" s="2"/>
      <c r="J257" s="2"/>
      <c r="K257" s="2"/>
      <c r="L257" s="2"/>
      <c r="N257" s="88">
        <v>0</v>
      </c>
      <c r="O257" s="88">
        <v>0</v>
      </c>
      <c r="P257" s="32">
        <v>1</v>
      </c>
      <c r="Q257" s="32">
        <v>1</v>
      </c>
      <c r="R257" s="88">
        <v>3</v>
      </c>
      <c r="S257" s="31"/>
      <c r="T257" s="88">
        <v>1</v>
      </c>
      <c r="U257" s="88">
        <v>1</v>
      </c>
      <c r="V257" s="88">
        <v>1</v>
      </c>
      <c r="W257" s="9">
        <v>1133</v>
      </c>
      <c r="X257" s="9" t="s">
        <v>1542</v>
      </c>
      <c r="Y257" s="89"/>
      <c r="Z257" s="53">
        <v>9999</v>
      </c>
      <c r="AA257" s="53"/>
      <c r="AB257" s="53">
        <v>30</v>
      </c>
      <c r="AC257" s="53">
        <v>30</v>
      </c>
      <c r="AD257" s="53">
        <v>30</v>
      </c>
      <c r="AE257" s="94">
        <v>50</v>
      </c>
      <c r="AF257" s="94">
        <v>20</v>
      </c>
      <c r="AG257" s="94">
        <v>4000</v>
      </c>
      <c r="AH257" s="94">
        <v>50</v>
      </c>
      <c r="AI257" s="94">
        <v>0</v>
      </c>
      <c r="AJ257" s="94">
        <v>0</v>
      </c>
      <c r="AK257" s="94">
        <v>1</v>
      </c>
      <c r="AL257" s="94">
        <v>0</v>
      </c>
      <c r="AM257" s="98" t="s">
        <v>676</v>
      </c>
      <c r="AS257" s="17"/>
      <c r="AT257" s="17"/>
      <c r="AU257" s="17"/>
      <c r="AV257" s="18"/>
      <c r="AW257" s="88"/>
      <c r="AX257" s="88"/>
      <c r="AY257" s="13"/>
    </row>
    <row r="258" s="9" customFormat="1" spans="2:51">
      <c r="B258" s="9">
        <v>121141</v>
      </c>
      <c r="C258" s="9">
        <v>121141</v>
      </c>
      <c r="D258" s="24" t="s">
        <v>1543</v>
      </c>
      <c r="E258" s="13" t="s">
        <v>1544</v>
      </c>
      <c r="F258" s="13"/>
      <c r="G258" s="9">
        <v>0</v>
      </c>
      <c r="H258" s="2"/>
      <c r="I258" s="2"/>
      <c r="J258" s="2"/>
      <c r="K258" s="2"/>
      <c r="L258" s="2"/>
      <c r="N258" s="88">
        <v>0</v>
      </c>
      <c r="O258" s="88">
        <v>0</v>
      </c>
      <c r="P258" s="32">
        <v>1</v>
      </c>
      <c r="Q258" s="32">
        <v>1</v>
      </c>
      <c r="R258" s="88">
        <v>3</v>
      </c>
      <c r="S258" s="31"/>
      <c r="T258" s="88">
        <v>1</v>
      </c>
      <c r="U258" s="88">
        <v>1</v>
      </c>
      <c r="V258" s="88">
        <v>1</v>
      </c>
      <c r="W258" s="9">
        <v>1134</v>
      </c>
      <c r="X258" s="9" t="s">
        <v>1545</v>
      </c>
      <c r="Y258" s="89"/>
      <c r="Z258" s="53">
        <v>9999</v>
      </c>
      <c r="AA258" s="53"/>
      <c r="AB258" s="53">
        <v>30</v>
      </c>
      <c r="AC258" s="53">
        <v>30</v>
      </c>
      <c r="AD258" s="53">
        <v>30</v>
      </c>
      <c r="AE258" s="94">
        <v>50</v>
      </c>
      <c r="AF258" s="94">
        <v>20</v>
      </c>
      <c r="AG258" s="94">
        <v>4000</v>
      </c>
      <c r="AH258" s="94">
        <v>50</v>
      </c>
      <c r="AI258" s="94">
        <v>0</v>
      </c>
      <c r="AJ258" s="94">
        <v>0</v>
      </c>
      <c r="AK258" s="94">
        <v>1</v>
      </c>
      <c r="AL258" s="94">
        <v>0</v>
      </c>
      <c r="AM258" s="98" t="s">
        <v>676</v>
      </c>
      <c r="AS258" s="17"/>
      <c r="AT258" s="17"/>
      <c r="AU258" s="17"/>
      <c r="AV258" s="18"/>
      <c r="AW258" s="88"/>
      <c r="AX258" s="88"/>
      <c r="AY258" s="13"/>
    </row>
    <row r="259" s="9" customFormat="1" spans="2:51">
      <c r="B259" s="9">
        <v>121142</v>
      </c>
      <c r="C259" s="9">
        <v>121142</v>
      </c>
      <c r="D259" s="24" t="s">
        <v>1546</v>
      </c>
      <c r="E259" s="13" t="s">
        <v>1547</v>
      </c>
      <c r="F259" s="13"/>
      <c r="G259" s="9">
        <v>0</v>
      </c>
      <c r="H259" s="2"/>
      <c r="I259" s="2"/>
      <c r="J259" s="2"/>
      <c r="K259" s="2"/>
      <c r="L259" s="2"/>
      <c r="N259" s="88">
        <v>0</v>
      </c>
      <c r="O259" s="88">
        <v>0</v>
      </c>
      <c r="P259" s="32">
        <v>1</v>
      </c>
      <c r="Q259" s="32">
        <v>1</v>
      </c>
      <c r="R259" s="88">
        <v>3</v>
      </c>
      <c r="S259" s="31"/>
      <c r="T259" s="88">
        <v>1</v>
      </c>
      <c r="U259" s="88">
        <v>1</v>
      </c>
      <c r="V259" s="88">
        <v>1</v>
      </c>
      <c r="W259" s="9">
        <v>1135</v>
      </c>
      <c r="X259" s="9" t="s">
        <v>1548</v>
      </c>
      <c r="Y259" s="89"/>
      <c r="Z259" s="53">
        <v>9999</v>
      </c>
      <c r="AA259" s="53"/>
      <c r="AB259" s="53">
        <v>30</v>
      </c>
      <c r="AC259" s="53">
        <v>30</v>
      </c>
      <c r="AD259" s="53">
        <v>30</v>
      </c>
      <c r="AE259" s="94">
        <v>50</v>
      </c>
      <c r="AF259" s="94">
        <v>20</v>
      </c>
      <c r="AG259" s="94">
        <v>4000</v>
      </c>
      <c r="AH259" s="94">
        <v>50</v>
      </c>
      <c r="AI259" s="94">
        <v>0</v>
      </c>
      <c r="AJ259" s="94">
        <v>0</v>
      </c>
      <c r="AK259" s="94">
        <v>1</v>
      </c>
      <c r="AL259" s="94">
        <v>0</v>
      </c>
      <c r="AM259" s="98" t="s">
        <v>676</v>
      </c>
      <c r="AS259" s="17"/>
      <c r="AT259" s="17"/>
      <c r="AU259" s="17"/>
      <c r="AV259" s="18"/>
      <c r="AW259" s="88"/>
      <c r="AX259" s="88"/>
      <c r="AY259" s="13"/>
    </row>
    <row r="260" s="9" customFormat="1" spans="2:51">
      <c r="B260" s="9">
        <v>121143</v>
      </c>
      <c r="C260" s="9">
        <v>121143</v>
      </c>
      <c r="D260" s="24" t="s">
        <v>1549</v>
      </c>
      <c r="E260" s="13" t="s">
        <v>1550</v>
      </c>
      <c r="F260" s="13"/>
      <c r="G260" s="9">
        <v>0</v>
      </c>
      <c r="H260" s="2"/>
      <c r="I260" s="2"/>
      <c r="J260" s="2"/>
      <c r="K260" s="2"/>
      <c r="L260" s="2"/>
      <c r="N260" s="88">
        <v>0</v>
      </c>
      <c r="O260" s="88">
        <v>0</v>
      </c>
      <c r="P260" s="32">
        <v>1</v>
      </c>
      <c r="Q260" s="32">
        <v>1</v>
      </c>
      <c r="R260" s="88">
        <v>3</v>
      </c>
      <c r="S260" s="31"/>
      <c r="T260" s="88">
        <v>1</v>
      </c>
      <c r="U260" s="88">
        <v>1</v>
      </c>
      <c r="V260" s="88">
        <v>1</v>
      </c>
      <c r="W260" s="9">
        <v>1136</v>
      </c>
      <c r="X260" s="9" t="s">
        <v>1551</v>
      </c>
      <c r="Y260" s="89"/>
      <c r="Z260" s="53">
        <v>9999</v>
      </c>
      <c r="AA260" s="53"/>
      <c r="AB260" s="53">
        <v>30</v>
      </c>
      <c r="AC260" s="53">
        <v>30</v>
      </c>
      <c r="AD260" s="53">
        <v>30</v>
      </c>
      <c r="AE260" s="94">
        <v>50</v>
      </c>
      <c r="AF260" s="94">
        <v>20</v>
      </c>
      <c r="AG260" s="94">
        <v>4000</v>
      </c>
      <c r="AH260" s="94">
        <v>50</v>
      </c>
      <c r="AI260" s="94">
        <v>0</v>
      </c>
      <c r="AJ260" s="94">
        <v>0</v>
      </c>
      <c r="AK260" s="94">
        <v>1</v>
      </c>
      <c r="AL260" s="94">
        <v>0</v>
      </c>
      <c r="AM260" s="98" t="s">
        <v>676</v>
      </c>
      <c r="AS260" s="17"/>
      <c r="AT260" s="17"/>
      <c r="AU260" s="17"/>
      <c r="AV260" s="18"/>
      <c r="AW260" s="88"/>
      <c r="AX260" s="88"/>
      <c r="AY260" s="13"/>
    </row>
    <row r="261" s="9" customFormat="1" spans="2:51">
      <c r="B261" s="9">
        <v>121144</v>
      </c>
      <c r="C261" s="9">
        <v>121144</v>
      </c>
      <c r="D261" s="24" t="s">
        <v>1552</v>
      </c>
      <c r="E261" s="9" t="s">
        <v>1553</v>
      </c>
      <c r="G261" s="9">
        <v>3</v>
      </c>
      <c r="H261" s="2"/>
      <c r="I261" s="2"/>
      <c r="J261" s="2"/>
      <c r="K261" s="2"/>
      <c r="L261" s="2"/>
      <c r="N261" s="88">
        <v>0</v>
      </c>
      <c r="O261" s="88">
        <v>0</v>
      </c>
      <c r="P261" s="32">
        <v>1</v>
      </c>
      <c r="Q261" s="32">
        <v>1</v>
      </c>
      <c r="R261" s="88">
        <v>5</v>
      </c>
      <c r="S261" s="31"/>
      <c r="T261" s="88">
        <v>1</v>
      </c>
      <c r="U261" s="88">
        <v>1</v>
      </c>
      <c r="V261" s="88">
        <v>1</v>
      </c>
      <c r="W261" s="9">
        <v>30004</v>
      </c>
      <c r="X261" s="89" t="s">
        <v>1554</v>
      </c>
      <c r="Y261" s="89"/>
      <c r="Z261" s="53">
        <v>9999</v>
      </c>
      <c r="AA261" s="53"/>
      <c r="AB261" s="53">
        <v>30</v>
      </c>
      <c r="AC261" s="53">
        <v>30</v>
      </c>
      <c r="AD261" s="53">
        <v>30</v>
      </c>
      <c r="AE261" s="94">
        <v>50</v>
      </c>
      <c r="AF261" s="94">
        <v>20</v>
      </c>
      <c r="AG261" s="94">
        <v>4000</v>
      </c>
      <c r="AH261" s="94">
        <v>50</v>
      </c>
      <c r="AI261" s="94">
        <v>0</v>
      </c>
      <c r="AJ261" s="94">
        <v>0</v>
      </c>
      <c r="AK261" s="94">
        <v>1</v>
      </c>
      <c r="AL261" s="94">
        <v>0</v>
      </c>
      <c r="AM261" s="98" t="s">
        <v>676</v>
      </c>
      <c r="AS261" s="17"/>
      <c r="AT261" s="17"/>
      <c r="AU261" s="17"/>
      <c r="AV261" s="18"/>
      <c r="AW261" s="88"/>
      <c r="AX261" s="88"/>
      <c r="AY261" s="13"/>
    </row>
    <row r="262" s="9" customFormat="1" spans="2:51">
      <c r="B262" s="9">
        <v>121145</v>
      </c>
      <c r="C262" s="9">
        <v>121145</v>
      </c>
      <c r="D262" s="24" t="s">
        <v>1555</v>
      </c>
      <c r="E262" s="9" t="s">
        <v>1555</v>
      </c>
      <c r="G262" s="9">
        <v>0</v>
      </c>
      <c r="H262" s="2"/>
      <c r="I262" s="2"/>
      <c r="J262" s="2"/>
      <c r="K262" s="2"/>
      <c r="L262" s="2"/>
      <c r="N262" s="88">
        <v>0</v>
      </c>
      <c r="O262" s="100">
        <v>1</v>
      </c>
      <c r="P262" s="32">
        <v>1</v>
      </c>
      <c r="Q262" s="32">
        <v>1</v>
      </c>
      <c r="R262" s="88">
        <v>3</v>
      </c>
      <c r="S262" s="31"/>
      <c r="T262" s="88">
        <v>1</v>
      </c>
      <c r="U262" s="88">
        <v>1</v>
      </c>
      <c r="V262" s="88">
        <v>1</v>
      </c>
      <c r="W262" s="9">
        <v>1137</v>
      </c>
      <c r="X262" s="89" t="s">
        <v>1556</v>
      </c>
      <c r="Y262" s="89"/>
      <c r="Z262" s="53">
        <v>9999</v>
      </c>
      <c r="AA262" s="53"/>
      <c r="AB262" s="53">
        <v>30</v>
      </c>
      <c r="AC262" s="53">
        <v>30</v>
      </c>
      <c r="AD262" s="53">
        <v>30</v>
      </c>
      <c r="AE262" s="94">
        <v>50</v>
      </c>
      <c r="AF262" s="94">
        <v>20</v>
      </c>
      <c r="AG262" s="94">
        <v>4000</v>
      </c>
      <c r="AH262" s="94">
        <v>50</v>
      </c>
      <c r="AI262" s="94">
        <v>0</v>
      </c>
      <c r="AJ262" s="94">
        <v>0</v>
      </c>
      <c r="AK262" s="94">
        <v>1</v>
      </c>
      <c r="AL262" s="94">
        <v>0</v>
      </c>
      <c r="AM262" s="98" t="s">
        <v>676</v>
      </c>
      <c r="AS262" s="17"/>
      <c r="AT262" s="17"/>
      <c r="AU262" s="17"/>
      <c r="AV262" s="18"/>
      <c r="AW262" s="88"/>
      <c r="AX262" s="88"/>
      <c r="AY262" s="13"/>
    </row>
    <row r="263" s="9" customFormat="1" spans="2:51">
      <c r="B263" s="9">
        <v>121146</v>
      </c>
      <c r="C263" s="9">
        <v>121146</v>
      </c>
      <c r="D263" s="24" t="s">
        <v>1557</v>
      </c>
      <c r="E263" s="13" t="s">
        <v>1558</v>
      </c>
      <c r="F263" s="13"/>
      <c r="G263" s="9">
        <v>0</v>
      </c>
      <c r="H263" s="2"/>
      <c r="I263" s="2"/>
      <c r="J263" s="2"/>
      <c r="K263" s="2"/>
      <c r="L263" s="2"/>
      <c r="N263" s="88">
        <v>0</v>
      </c>
      <c r="O263" s="88">
        <v>0</v>
      </c>
      <c r="P263" s="32">
        <v>1</v>
      </c>
      <c r="Q263" s="32">
        <v>1</v>
      </c>
      <c r="R263" s="88">
        <v>3</v>
      </c>
      <c r="S263" s="31"/>
      <c r="T263" s="88">
        <v>1</v>
      </c>
      <c r="U263" s="88">
        <v>1</v>
      </c>
      <c r="V263" s="88">
        <v>1</v>
      </c>
      <c r="W263" s="9">
        <v>1138</v>
      </c>
      <c r="X263" s="9" t="s">
        <v>1542</v>
      </c>
      <c r="Y263" s="89"/>
      <c r="Z263" s="53">
        <v>9999</v>
      </c>
      <c r="AA263" s="53"/>
      <c r="AB263" s="53">
        <v>30</v>
      </c>
      <c r="AC263" s="53">
        <v>30</v>
      </c>
      <c r="AD263" s="53">
        <v>30</v>
      </c>
      <c r="AE263" s="94">
        <v>50</v>
      </c>
      <c r="AF263" s="94">
        <v>20</v>
      </c>
      <c r="AG263" s="94">
        <v>4000</v>
      </c>
      <c r="AH263" s="94">
        <v>50</v>
      </c>
      <c r="AI263" s="94">
        <v>0</v>
      </c>
      <c r="AJ263" s="94">
        <v>0</v>
      </c>
      <c r="AK263" s="94">
        <v>1</v>
      </c>
      <c r="AL263" s="94">
        <v>0</v>
      </c>
      <c r="AM263" s="98" t="s">
        <v>676</v>
      </c>
      <c r="AS263" s="17"/>
      <c r="AT263" s="17"/>
      <c r="AU263" s="17"/>
      <c r="AV263" s="18"/>
      <c r="AW263" s="88"/>
      <c r="AX263" s="88"/>
      <c r="AY263" s="13"/>
    </row>
    <row r="264" s="9" customFormat="1" spans="2:51">
      <c r="B264" s="9">
        <v>121147</v>
      </c>
      <c r="C264" s="9">
        <v>121147</v>
      </c>
      <c r="D264" s="24" t="s">
        <v>1559</v>
      </c>
      <c r="E264" s="13" t="s">
        <v>1560</v>
      </c>
      <c r="F264" s="13"/>
      <c r="G264" s="9">
        <v>0</v>
      </c>
      <c r="H264" s="2"/>
      <c r="I264" s="2"/>
      <c r="J264" s="2"/>
      <c r="K264" s="2"/>
      <c r="L264" s="2"/>
      <c r="N264" s="88">
        <v>0</v>
      </c>
      <c r="O264" s="88">
        <v>0</v>
      </c>
      <c r="P264" s="32">
        <v>1</v>
      </c>
      <c r="Q264" s="32">
        <v>1</v>
      </c>
      <c r="R264" s="88">
        <v>3</v>
      </c>
      <c r="S264" s="31"/>
      <c r="T264" s="88">
        <v>1</v>
      </c>
      <c r="U264" s="88">
        <v>1</v>
      </c>
      <c r="V264" s="88">
        <v>1</v>
      </c>
      <c r="W264" s="9">
        <v>1139</v>
      </c>
      <c r="X264" s="9" t="s">
        <v>1545</v>
      </c>
      <c r="Y264" s="89"/>
      <c r="Z264" s="53">
        <v>9999</v>
      </c>
      <c r="AA264" s="53"/>
      <c r="AB264" s="53">
        <v>30</v>
      </c>
      <c r="AC264" s="53">
        <v>30</v>
      </c>
      <c r="AD264" s="53">
        <v>30</v>
      </c>
      <c r="AE264" s="94">
        <v>50</v>
      </c>
      <c r="AF264" s="94">
        <v>20</v>
      </c>
      <c r="AG264" s="94">
        <v>4000</v>
      </c>
      <c r="AH264" s="94">
        <v>50</v>
      </c>
      <c r="AI264" s="94">
        <v>0</v>
      </c>
      <c r="AJ264" s="94">
        <v>0</v>
      </c>
      <c r="AK264" s="94">
        <v>1</v>
      </c>
      <c r="AL264" s="94">
        <v>0</v>
      </c>
      <c r="AM264" s="98" t="s">
        <v>676</v>
      </c>
      <c r="AS264" s="17"/>
      <c r="AT264" s="17"/>
      <c r="AU264" s="17"/>
      <c r="AV264" s="18"/>
      <c r="AW264" s="88"/>
      <c r="AX264" s="88"/>
      <c r="AY264" s="13"/>
    </row>
    <row r="265" s="9" customFormat="1" spans="2:51">
      <c r="B265" s="9">
        <v>121148</v>
      </c>
      <c r="C265" s="9">
        <v>121148</v>
      </c>
      <c r="D265" s="24" t="s">
        <v>1561</v>
      </c>
      <c r="E265" s="13" t="s">
        <v>1562</v>
      </c>
      <c r="F265" s="13"/>
      <c r="G265" s="9">
        <v>0</v>
      </c>
      <c r="H265" s="2"/>
      <c r="I265" s="2"/>
      <c r="J265" s="2"/>
      <c r="K265" s="2"/>
      <c r="L265" s="2"/>
      <c r="N265" s="88">
        <v>0</v>
      </c>
      <c r="O265" s="88">
        <v>0</v>
      </c>
      <c r="P265" s="32">
        <v>1</v>
      </c>
      <c r="Q265" s="32">
        <v>1</v>
      </c>
      <c r="R265" s="88">
        <v>3</v>
      </c>
      <c r="S265" s="31"/>
      <c r="T265" s="88">
        <v>1</v>
      </c>
      <c r="U265" s="88">
        <v>1</v>
      </c>
      <c r="V265" s="88">
        <v>1</v>
      </c>
      <c r="W265" s="9">
        <v>1140</v>
      </c>
      <c r="X265" s="9" t="s">
        <v>1548</v>
      </c>
      <c r="Y265" s="89"/>
      <c r="Z265" s="53">
        <v>9999</v>
      </c>
      <c r="AA265" s="53"/>
      <c r="AB265" s="53">
        <v>30</v>
      </c>
      <c r="AC265" s="53">
        <v>30</v>
      </c>
      <c r="AD265" s="53">
        <v>30</v>
      </c>
      <c r="AE265" s="94">
        <v>50</v>
      </c>
      <c r="AF265" s="94">
        <v>20</v>
      </c>
      <c r="AG265" s="94">
        <v>4000</v>
      </c>
      <c r="AH265" s="94">
        <v>50</v>
      </c>
      <c r="AI265" s="94">
        <v>0</v>
      </c>
      <c r="AJ265" s="94">
        <v>0</v>
      </c>
      <c r="AK265" s="94">
        <v>1</v>
      </c>
      <c r="AL265" s="94">
        <v>0</v>
      </c>
      <c r="AM265" s="98" t="s">
        <v>676</v>
      </c>
      <c r="AS265" s="17"/>
      <c r="AT265" s="17"/>
      <c r="AU265" s="17"/>
      <c r="AV265" s="18"/>
      <c r="AW265" s="88"/>
      <c r="AX265" s="88"/>
      <c r="AY265" s="13"/>
    </row>
    <row r="266" s="9" customFormat="1" spans="2:51">
      <c r="B266" s="9">
        <v>121149</v>
      </c>
      <c r="C266" s="9">
        <v>121149</v>
      </c>
      <c r="D266" s="24" t="s">
        <v>1563</v>
      </c>
      <c r="E266" s="13" t="s">
        <v>1564</v>
      </c>
      <c r="F266" s="13"/>
      <c r="G266" s="9">
        <v>0</v>
      </c>
      <c r="H266" s="2"/>
      <c r="I266" s="2"/>
      <c r="J266" s="2"/>
      <c r="K266" s="2"/>
      <c r="L266" s="2"/>
      <c r="N266" s="88">
        <v>0</v>
      </c>
      <c r="O266" s="88">
        <v>0</v>
      </c>
      <c r="P266" s="32">
        <v>1</v>
      </c>
      <c r="Q266" s="32">
        <v>1</v>
      </c>
      <c r="R266" s="88">
        <v>3</v>
      </c>
      <c r="S266" s="31"/>
      <c r="T266" s="88">
        <v>1</v>
      </c>
      <c r="U266" s="88">
        <v>1</v>
      </c>
      <c r="V266" s="88">
        <v>1</v>
      </c>
      <c r="W266" s="9">
        <v>1141</v>
      </c>
      <c r="X266" s="9" t="s">
        <v>1551</v>
      </c>
      <c r="Y266" s="89"/>
      <c r="Z266" s="53">
        <v>9999</v>
      </c>
      <c r="AA266" s="53"/>
      <c r="AB266" s="53">
        <v>30</v>
      </c>
      <c r="AC266" s="53">
        <v>30</v>
      </c>
      <c r="AD266" s="53">
        <v>30</v>
      </c>
      <c r="AE266" s="94">
        <v>50</v>
      </c>
      <c r="AF266" s="94">
        <v>20</v>
      </c>
      <c r="AG266" s="94">
        <v>4000</v>
      </c>
      <c r="AH266" s="94">
        <v>50</v>
      </c>
      <c r="AI266" s="94">
        <v>0</v>
      </c>
      <c r="AJ266" s="94">
        <v>0</v>
      </c>
      <c r="AK266" s="94">
        <v>1</v>
      </c>
      <c r="AL266" s="94">
        <v>0</v>
      </c>
      <c r="AM266" s="98" t="s">
        <v>676</v>
      </c>
      <c r="AS266" s="17"/>
      <c r="AT266" s="17"/>
      <c r="AU266" s="17"/>
      <c r="AV266" s="18"/>
      <c r="AW266" s="88"/>
      <c r="AX266" s="88"/>
      <c r="AY266" s="13"/>
    </row>
    <row r="267" s="9" customFormat="1" spans="2:51">
      <c r="B267" s="9">
        <v>121150</v>
      </c>
      <c r="C267" s="9">
        <v>121150</v>
      </c>
      <c r="D267" s="24" t="s">
        <v>1565</v>
      </c>
      <c r="E267" s="13" t="s">
        <v>1566</v>
      </c>
      <c r="F267" s="13"/>
      <c r="G267" s="9">
        <v>0</v>
      </c>
      <c r="H267" s="2"/>
      <c r="I267" s="2"/>
      <c r="J267" s="2"/>
      <c r="K267" s="2"/>
      <c r="L267" s="2"/>
      <c r="N267" s="88">
        <v>0</v>
      </c>
      <c r="O267" s="88">
        <v>0</v>
      </c>
      <c r="P267" s="32">
        <v>1</v>
      </c>
      <c r="Q267" s="32">
        <v>1</v>
      </c>
      <c r="R267" s="88">
        <v>3</v>
      </c>
      <c r="S267" s="31"/>
      <c r="T267" s="88">
        <v>1</v>
      </c>
      <c r="U267" s="88">
        <v>1</v>
      </c>
      <c r="V267" s="88">
        <v>1</v>
      </c>
      <c r="W267" s="9">
        <v>1142</v>
      </c>
      <c r="X267" s="89" t="s">
        <v>1567</v>
      </c>
      <c r="Y267" s="89"/>
      <c r="Z267" s="53">
        <v>9999</v>
      </c>
      <c r="AA267" s="53"/>
      <c r="AB267" s="53">
        <v>30</v>
      </c>
      <c r="AC267" s="53">
        <v>30</v>
      </c>
      <c r="AD267" s="53">
        <v>30</v>
      </c>
      <c r="AE267" s="94">
        <v>50</v>
      </c>
      <c r="AF267" s="94">
        <v>20</v>
      </c>
      <c r="AG267" s="94">
        <v>4000</v>
      </c>
      <c r="AH267" s="94">
        <v>50</v>
      </c>
      <c r="AI267" s="94">
        <v>0</v>
      </c>
      <c r="AJ267" s="94">
        <v>0</v>
      </c>
      <c r="AK267" s="94">
        <v>1</v>
      </c>
      <c r="AL267" s="94">
        <v>0</v>
      </c>
      <c r="AM267" s="98" t="s">
        <v>676</v>
      </c>
      <c r="AS267" s="17"/>
      <c r="AT267" s="17"/>
      <c r="AU267" s="17"/>
      <c r="AV267" s="18"/>
      <c r="AW267" s="88"/>
      <c r="AX267" s="88"/>
      <c r="AY267" s="13"/>
    </row>
    <row r="268" s="9" customFormat="1" spans="2:51">
      <c r="B268" s="9">
        <v>121151</v>
      </c>
      <c r="C268" s="9">
        <v>121151</v>
      </c>
      <c r="D268" s="24" t="s">
        <v>1568</v>
      </c>
      <c r="E268" s="13" t="s">
        <v>1569</v>
      </c>
      <c r="F268" s="13"/>
      <c r="G268" s="9">
        <v>0</v>
      </c>
      <c r="H268" s="2"/>
      <c r="I268" s="2"/>
      <c r="J268" s="2"/>
      <c r="K268" s="2"/>
      <c r="L268" s="2"/>
      <c r="N268" s="88">
        <v>0</v>
      </c>
      <c r="O268" s="100">
        <v>1</v>
      </c>
      <c r="P268" s="32">
        <v>1</v>
      </c>
      <c r="Q268" s="32">
        <v>1</v>
      </c>
      <c r="R268" s="88">
        <v>3</v>
      </c>
      <c r="S268" s="31"/>
      <c r="T268" s="88">
        <v>1</v>
      </c>
      <c r="U268" s="88">
        <v>1</v>
      </c>
      <c r="V268" s="88">
        <v>1</v>
      </c>
      <c r="W268" s="9">
        <v>1143</v>
      </c>
      <c r="X268" s="89" t="s">
        <v>1570</v>
      </c>
      <c r="Y268" s="89"/>
      <c r="Z268" s="53">
        <v>9999</v>
      </c>
      <c r="AA268" s="53"/>
      <c r="AB268" s="53">
        <v>30</v>
      </c>
      <c r="AC268" s="53">
        <v>30</v>
      </c>
      <c r="AD268" s="53">
        <v>30</v>
      </c>
      <c r="AE268" s="94">
        <v>50</v>
      </c>
      <c r="AF268" s="94">
        <v>20</v>
      </c>
      <c r="AG268" s="94">
        <v>4000</v>
      </c>
      <c r="AH268" s="94">
        <v>50</v>
      </c>
      <c r="AI268" s="94">
        <v>0</v>
      </c>
      <c r="AJ268" s="94">
        <v>0</v>
      </c>
      <c r="AK268" s="94">
        <v>1</v>
      </c>
      <c r="AL268" s="94">
        <v>0</v>
      </c>
      <c r="AM268" s="98" t="s">
        <v>676</v>
      </c>
      <c r="AS268" s="17"/>
      <c r="AT268" s="17"/>
      <c r="AU268" s="17"/>
      <c r="AV268" s="18"/>
      <c r="AW268" s="88"/>
      <c r="AX268" s="88"/>
      <c r="AY268" s="13"/>
    </row>
    <row r="269" s="9" customFormat="1" spans="2:51">
      <c r="B269" s="9">
        <v>121152</v>
      </c>
      <c r="C269" s="9">
        <v>121152</v>
      </c>
      <c r="D269" s="24" t="s">
        <v>1571</v>
      </c>
      <c r="E269" s="13" t="s">
        <v>1571</v>
      </c>
      <c r="F269" s="13"/>
      <c r="G269" s="9">
        <v>1</v>
      </c>
      <c r="H269" s="2"/>
      <c r="I269" s="2"/>
      <c r="J269" s="2"/>
      <c r="K269" s="2"/>
      <c r="L269" s="2"/>
      <c r="N269" s="88">
        <v>0</v>
      </c>
      <c r="O269" s="100">
        <v>1</v>
      </c>
      <c r="P269" s="32">
        <v>1</v>
      </c>
      <c r="Q269" s="32">
        <v>1</v>
      </c>
      <c r="R269" s="88">
        <v>5</v>
      </c>
      <c r="S269" s="31" t="s">
        <v>1572</v>
      </c>
      <c r="T269" s="88">
        <v>1</v>
      </c>
      <c r="U269" s="88">
        <v>1</v>
      </c>
      <c r="V269" s="88">
        <v>1</v>
      </c>
      <c r="W269" s="9">
        <v>1144</v>
      </c>
      <c r="X269" s="89" t="s">
        <v>1573</v>
      </c>
      <c r="Y269" s="89"/>
      <c r="Z269" s="53">
        <v>9999</v>
      </c>
      <c r="AA269" s="53"/>
      <c r="AB269" s="53">
        <v>30</v>
      </c>
      <c r="AC269" s="53">
        <v>30</v>
      </c>
      <c r="AD269" s="53">
        <v>30</v>
      </c>
      <c r="AE269" s="94">
        <v>50</v>
      </c>
      <c r="AF269" s="94">
        <v>20</v>
      </c>
      <c r="AG269" s="94">
        <v>4000</v>
      </c>
      <c r="AH269" s="94">
        <v>50</v>
      </c>
      <c r="AI269" s="94">
        <v>0</v>
      </c>
      <c r="AJ269" s="94">
        <v>0</v>
      </c>
      <c r="AK269" s="94">
        <v>1</v>
      </c>
      <c r="AL269" s="94">
        <v>0</v>
      </c>
      <c r="AM269" s="98" t="s">
        <v>676</v>
      </c>
      <c r="AS269" s="17"/>
      <c r="AT269" s="17"/>
      <c r="AU269" s="17"/>
      <c r="AV269" s="18"/>
      <c r="AW269" s="88"/>
      <c r="AX269" s="88"/>
      <c r="AY269" s="13"/>
    </row>
    <row r="270" s="9" customFormat="1" spans="2:51">
      <c r="B270" s="9">
        <v>121153</v>
      </c>
      <c r="C270" s="9">
        <v>121153</v>
      </c>
      <c r="D270" s="24" t="s">
        <v>1574</v>
      </c>
      <c r="E270" s="13" t="s">
        <v>1574</v>
      </c>
      <c r="F270" s="13"/>
      <c r="G270" s="9">
        <v>1</v>
      </c>
      <c r="H270" s="2"/>
      <c r="I270" s="2"/>
      <c r="J270" s="2"/>
      <c r="K270" s="2"/>
      <c r="L270" s="2"/>
      <c r="N270" s="88">
        <v>0</v>
      </c>
      <c r="O270" s="100">
        <v>1</v>
      </c>
      <c r="P270" s="32">
        <v>1</v>
      </c>
      <c r="Q270" s="32">
        <v>1</v>
      </c>
      <c r="R270" s="88">
        <v>5</v>
      </c>
      <c r="S270" s="31" t="s">
        <v>1572</v>
      </c>
      <c r="T270" s="88">
        <v>1</v>
      </c>
      <c r="U270" s="88">
        <v>1</v>
      </c>
      <c r="V270" s="88">
        <v>1</v>
      </c>
      <c r="W270" s="9">
        <v>1145</v>
      </c>
      <c r="X270" s="89" t="s">
        <v>1575</v>
      </c>
      <c r="Y270" s="89"/>
      <c r="Z270" s="53">
        <v>9999</v>
      </c>
      <c r="AA270" s="53"/>
      <c r="AB270" s="53">
        <v>30</v>
      </c>
      <c r="AC270" s="53">
        <v>30</v>
      </c>
      <c r="AD270" s="53">
        <v>30</v>
      </c>
      <c r="AE270" s="94">
        <v>50</v>
      </c>
      <c r="AF270" s="94">
        <v>20</v>
      </c>
      <c r="AG270" s="94">
        <v>4000</v>
      </c>
      <c r="AH270" s="94">
        <v>50</v>
      </c>
      <c r="AI270" s="94">
        <v>0</v>
      </c>
      <c r="AJ270" s="94">
        <v>0</v>
      </c>
      <c r="AK270" s="94">
        <v>1</v>
      </c>
      <c r="AL270" s="94">
        <v>0</v>
      </c>
      <c r="AM270" s="98" t="s">
        <v>676</v>
      </c>
      <c r="AS270" s="17"/>
      <c r="AT270" s="17"/>
      <c r="AU270" s="17"/>
      <c r="AV270" s="18"/>
      <c r="AW270" s="88"/>
      <c r="AX270" s="88"/>
      <c r="AY270" s="13"/>
    </row>
    <row r="271" s="9" customFormat="1" spans="2:51">
      <c r="B271" s="9">
        <v>121154</v>
      </c>
      <c r="C271" s="9">
        <v>121154</v>
      </c>
      <c r="D271" s="24" t="s">
        <v>1576</v>
      </c>
      <c r="E271" s="13" t="s">
        <v>1576</v>
      </c>
      <c r="F271" s="13"/>
      <c r="G271" s="9">
        <v>0</v>
      </c>
      <c r="H271" s="2"/>
      <c r="I271" s="2"/>
      <c r="J271" s="2"/>
      <c r="K271" s="2"/>
      <c r="L271" s="2"/>
      <c r="N271" s="88">
        <v>0</v>
      </c>
      <c r="O271" s="88">
        <v>0</v>
      </c>
      <c r="P271" s="32">
        <v>1</v>
      </c>
      <c r="Q271" s="32">
        <v>1</v>
      </c>
      <c r="R271" s="88">
        <v>3</v>
      </c>
      <c r="S271" s="31"/>
      <c r="T271" s="88">
        <v>1</v>
      </c>
      <c r="U271" s="88">
        <v>1</v>
      </c>
      <c r="V271" s="88">
        <v>1</v>
      </c>
      <c r="W271" s="9">
        <v>1146</v>
      </c>
      <c r="X271" s="6" t="s">
        <v>687</v>
      </c>
      <c r="Y271" s="89"/>
      <c r="Z271" s="53">
        <v>9999</v>
      </c>
      <c r="AA271" s="53"/>
      <c r="AB271" s="53">
        <v>30</v>
      </c>
      <c r="AC271" s="53">
        <v>30</v>
      </c>
      <c r="AD271" s="53">
        <v>30</v>
      </c>
      <c r="AE271" s="94">
        <v>50</v>
      </c>
      <c r="AF271" s="94">
        <v>20</v>
      </c>
      <c r="AG271" s="94">
        <v>4000</v>
      </c>
      <c r="AH271" s="94">
        <v>50</v>
      </c>
      <c r="AI271" s="94">
        <v>0</v>
      </c>
      <c r="AJ271" s="94">
        <v>0</v>
      </c>
      <c r="AK271" s="94">
        <v>1</v>
      </c>
      <c r="AL271" s="94">
        <v>0</v>
      </c>
      <c r="AM271" s="98" t="s">
        <v>676</v>
      </c>
      <c r="AS271" s="17"/>
      <c r="AT271" s="17"/>
      <c r="AU271" s="17"/>
      <c r="AV271" s="18"/>
      <c r="AW271" s="88"/>
      <c r="AX271" s="88"/>
      <c r="AY271" s="13"/>
    </row>
    <row r="272" s="9" customFormat="1" spans="2:51">
      <c r="B272" s="9">
        <v>121155</v>
      </c>
      <c r="C272" s="9">
        <v>121155</v>
      </c>
      <c r="D272" s="24" t="s">
        <v>1577</v>
      </c>
      <c r="E272" s="13" t="s">
        <v>1578</v>
      </c>
      <c r="F272" s="13"/>
      <c r="G272" s="9">
        <v>0</v>
      </c>
      <c r="H272" s="2"/>
      <c r="I272" s="2"/>
      <c r="J272" s="2"/>
      <c r="K272" s="2"/>
      <c r="L272" s="2"/>
      <c r="N272" s="88">
        <v>0</v>
      </c>
      <c r="O272" s="88">
        <v>0</v>
      </c>
      <c r="P272" s="32">
        <v>1</v>
      </c>
      <c r="Q272" s="32">
        <v>1</v>
      </c>
      <c r="R272" s="88">
        <v>3</v>
      </c>
      <c r="S272" s="31"/>
      <c r="T272" s="88">
        <v>1</v>
      </c>
      <c r="U272" s="88">
        <v>1</v>
      </c>
      <c r="V272" s="88">
        <v>1</v>
      </c>
      <c r="W272" s="9">
        <v>1147</v>
      </c>
      <c r="X272" s="9" t="s">
        <v>1579</v>
      </c>
      <c r="Y272" s="89"/>
      <c r="Z272" s="53">
        <v>9999</v>
      </c>
      <c r="AA272" s="53"/>
      <c r="AB272" s="53">
        <v>30</v>
      </c>
      <c r="AC272" s="53">
        <v>30</v>
      </c>
      <c r="AD272" s="53">
        <v>30</v>
      </c>
      <c r="AE272" s="94">
        <v>50</v>
      </c>
      <c r="AF272" s="94">
        <v>20</v>
      </c>
      <c r="AG272" s="94">
        <v>4000</v>
      </c>
      <c r="AH272" s="94">
        <v>50</v>
      </c>
      <c r="AI272" s="94">
        <v>0</v>
      </c>
      <c r="AJ272" s="94">
        <v>0</v>
      </c>
      <c r="AK272" s="94">
        <v>1</v>
      </c>
      <c r="AL272" s="94">
        <v>0</v>
      </c>
      <c r="AM272" s="98" t="s">
        <v>676</v>
      </c>
      <c r="AS272" s="17"/>
      <c r="AT272" s="17"/>
      <c r="AU272" s="17"/>
      <c r="AV272" s="18"/>
      <c r="AW272" s="88"/>
      <c r="AX272" s="88"/>
      <c r="AY272" s="13"/>
    </row>
    <row r="273" s="9" customFormat="1" spans="2:51">
      <c r="B273" s="9">
        <v>121156</v>
      </c>
      <c r="C273" s="9">
        <v>121156</v>
      </c>
      <c r="D273" s="24" t="s">
        <v>1580</v>
      </c>
      <c r="E273" s="13" t="s">
        <v>1581</v>
      </c>
      <c r="F273" s="13"/>
      <c r="G273" s="9">
        <v>0</v>
      </c>
      <c r="H273" s="2"/>
      <c r="I273" s="2"/>
      <c r="J273" s="2"/>
      <c r="K273" s="2"/>
      <c r="L273" s="2"/>
      <c r="N273" s="88">
        <v>0</v>
      </c>
      <c r="O273" s="88">
        <v>0</v>
      </c>
      <c r="P273" s="32">
        <v>1</v>
      </c>
      <c r="Q273" s="32">
        <v>1</v>
      </c>
      <c r="R273" s="88">
        <v>3</v>
      </c>
      <c r="S273" s="31"/>
      <c r="T273" s="88">
        <v>1</v>
      </c>
      <c r="U273" s="88">
        <v>1</v>
      </c>
      <c r="V273" s="88">
        <v>1</v>
      </c>
      <c r="W273" s="9">
        <v>1148</v>
      </c>
      <c r="X273" s="9" t="s">
        <v>1579</v>
      </c>
      <c r="Y273" s="89"/>
      <c r="Z273" s="53">
        <v>9999</v>
      </c>
      <c r="AA273" s="53"/>
      <c r="AB273" s="53">
        <v>30</v>
      </c>
      <c r="AC273" s="53">
        <v>30</v>
      </c>
      <c r="AD273" s="53">
        <v>30</v>
      </c>
      <c r="AE273" s="94">
        <v>50</v>
      </c>
      <c r="AF273" s="94">
        <v>20</v>
      </c>
      <c r="AG273" s="94">
        <v>4000</v>
      </c>
      <c r="AH273" s="94">
        <v>50</v>
      </c>
      <c r="AI273" s="94">
        <v>0</v>
      </c>
      <c r="AJ273" s="94">
        <v>0</v>
      </c>
      <c r="AK273" s="94">
        <v>1</v>
      </c>
      <c r="AL273" s="94">
        <v>0</v>
      </c>
      <c r="AM273" s="98" t="s">
        <v>676</v>
      </c>
      <c r="AS273" s="17"/>
      <c r="AT273" s="17"/>
      <c r="AU273" s="17"/>
      <c r="AV273" s="18"/>
      <c r="AW273" s="88"/>
      <c r="AX273" s="88"/>
      <c r="AY273" s="13"/>
    </row>
    <row r="274" s="9" customFormat="1" spans="2:51">
      <c r="B274" s="9">
        <v>121157</v>
      </c>
      <c r="C274" s="9">
        <v>121157</v>
      </c>
      <c r="D274" s="24" t="s">
        <v>1582</v>
      </c>
      <c r="E274" s="13" t="s">
        <v>1582</v>
      </c>
      <c r="F274" s="13"/>
      <c r="G274" s="9">
        <v>1</v>
      </c>
      <c r="H274" s="2"/>
      <c r="I274" s="2"/>
      <c r="J274" s="2"/>
      <c r="K274" s="2"/>
      <c r="L274" s="2"/>
      <c r="N274" s="88">
        <v>0</v>
      </c>
      <c r="O274" s="100">
        <v>1</v>
      </c>
      <c r="P274" s="32">
        <v>1</v>
      </c>
      <c r="Q274" s="32">
        <v>1</v>
      </c>
      <c r="R274" s="88">
        <v>3</v>
      </c>
      <c r="S274" s="31"/>
      <c r="T274" s="88">
        <v>1</v>
      </c>
      <c r="U274" s="88">
        <v>1</v>
      </c>
      <c r="V274" s="88">
        <v>1</v>
      </c>
      <c r="W274" s="9">
        <v>1149</v>
      </c>
      <c r="X274" s="9" t="s">
        <v>1583</v>
      </c>
      <c r="Y274" s="89"/>
      <c r="Z274" s="53">
        <v>9999</v>
      </c>
      <c r="AA274" s="53"/>
      <c r="AB274" s="53">
        <v>30</v>
      </c>
      <c r="AC274" s="53">
        <v>30</v>
      </c>
      <c r="AD274" s="53">
        <v>30</v>
      </c>
      <c r="AE274" s="94">
        <v>50</v>
      </c>
      <c r="AF274" s="94">
        <v>20</v>
      </c>
      <c r="AG274" s="94">
        <v>4000</v>
      </c>
      <c r="AH274" s="94">
        <v>50</v>
      </c>
      <c r="AI274" s="94">
        <v>0</v>
      </c>
      <c r="AJ274" s="94">
        <v>0</v>
      </c>
      <c r="AK274" s="94">
        <v>1</v>
      </c>
      <c r="AL274" s="94">
        <v>0</v>
      </c>
      <c r="AM274" s="98" t="s">
        <v>676</v>
      </c>
      <c r="AS274" s="17"/>
      <c r="AT274" s="17"/>
      <c r="AU274" s="17"/>
      <c r="AV274" s="18"/>
      <c r="AW274" s="88"/>
      <c r="AX274" s="88"/>
      <c r="AY274" s="13"/>
    </row>
    <row r="275" s="9" customFormat="1" spans="2:51">
      <c r="B275" s="9">
        <v>121158</v>
      </c>
      <c r="C275" s="9">
        <v>121158</v>
      </c>
      <c r="D275" s="24" t="s">
        <v>1584</v>
      </c>
      <c r="E275" s="13" t="s">
        <v>1585</v>
      </c>
      <c r="F275" s="13"/>
      <c r="G275" s="9">
        <v>1</v>
      </c>
      <c r="H275" s="2"/>
      <c r="I275" s="2"/>
      <c r="J275" s="2"/>
      <c r="K275" s="2"/>
      <c r="L275" s="2"/>
      <c r="N275" s="88">
        <v>0</v>
      </c>
      <c r="O275" s="88">
        <v>0</v>
      </c>
      <c r="P275" s="32">
        <v>1</v>
      </c>
      <c r="Q275" s="32">
        <v>1</v>
      </c>
      <c r="R275" s="88">
        <v>3</v>
      </c>
      <c r="S275" s="31"/>
      <c r="T275" s="88">
        <v>1</v>
      </c>
      <c r="U275" s="88">
        <v>1</v>
      </c>
      <c r="V275" s="88">
        <v>1</v>
      </c>
      <c r="W275" s="9">
        <v>1150</v>
      </c>
      <c r="X275" s="9" t="s">
        <v>1586</v>
      </c>
      <c r="Y275" s="89"/>
      <c r="Z275" s="53">
        <v>9999</v>
      </c>
      <c r="AA275" s="53"/>
      <c r="AB275" s="53">
        <v>30</v>
      </c>
      <c r="AC275" s="53">
        <v>30</v>
      </c>
      <c r="AD275" s="53">
        <v>30</v>
      </c>
      <c r="AE275" s="94">
        <v>50</v>
      </c>
      <c r="AF275" s="94">
        <v>20</v>
      </c>
      <c r="AG275" s="94">
        <v>4000</v>
      </c>
      <c r="AH275" s="94">
        <v>50</v>
      </c>
      <c r="AI275" s="94">
        <v>0</v>
      </c>
      <c r="AJ275" s="94">
        <v>0</v>
      </c>
      <c r="AK275" s="94">
        <v>1</v>
      </c>
      <c r="AL275" s="94">
        <v>0</v>
      </c>
      <c r="AM275" s="98" t="s">
        <v>676</v>
      </c>
      <c r="AS275" s="17"/>
      <c r="AT275" s="17"/>
      <c r="AU275" s="17"/>
      <c r="AV275" s="18"/>
      <c r="AW275" s="88"/>
      <c r="AX275" s="88"/>
      <c r="AY275" s="13"/>
    </row>
    <row r="276" s="9" customFormat="1" spans="2:51">
      <c r="B276" s="9">
        <v>121159</v>
      </c>
      <c r="C276" s="9">
        <v>121159</v>
      </c>
      <c r="D276" s="24" t="s">
        <v>1587</v>
      </c>
      <c r="E276" s="13" t="s">
        <v>1588</v>
      </c>
      <c r="F276" s="13"/>
      <c r="G276" s="9">
        <v>1</v>
      </c>
      <c r="H276" s="2"/>
      <c r="I276" s="2"/>
      <c r="J276" s="2"/>
      <c r="K276" s="2"/>
      <c r="L276" s="2"/>
      <c r="N276" s="88">
        <v>0</v>
      </c>
      <c r="O276" s="88">
        <v>0</v>
      </c>
      <c r="P276" s="32">
        <v>1</v>
      </c>
      <c r="Q276" s="32">
        <v>1</v>
      </c>
      <c r="R276" s="88">
        <v>3</v>
      </c>
      <c r="S276" s="31"/>
      <c r="T276" s="88">
        <v>1</v>
      </c>
      <c r="U276" s="88">
        <v>1</v>
      </c>
      <c r="V276" s="88">
        <v>1</v>
      </c>
      <c r="W276" s="9">
        <v>1151</v>
      </c>
      <c r="X276" s="9" t="s">
        <v>1589</v>
      </c>
      <c r="Y276" s="89"/>
      <c r="Z276" s="53">
        <v>9999</v>
      </c>
      <c r="AA276" s="53"/>
      <c r="AB276" s="53">
        <v>30</v>
      </c>
      <c r="AC276" s="53">
        <v>30</v>
      </c>
      <c r="AD276" s="53">
        <v>30</v>
      </c>
      <c r="AE276" s="94">
        <v>50</v>
      </c>
      <c r="AF276" s="94">
        <v>20</v>
      </c>
      <c r="AG276" s="94">
        <v>4000</v>
      </c>
      <c r="AH276" s="94">
        <v>50</v>
      </c>
      <c r="AI276" s="94">
        <v>0</v>
      </c>
      <c r="AJ276" s="94">
        <v>0</v>
      </c>
      <c r="AK276" s="94">
        <v>1</v>
      </c>
      <c r="AL276" s="94">
        <v>0</v>
      </c>
      <c r="AM276" s="98" t="s">
        <v>676</v>
      </c>
      <c r="AS276" s="17"/>
      <c r="AT276" s="17"/>
      <c r="AU276" s="17"/>
      <c r="AV276" s="18"/>
      <c r="AW276" s="88"/>
      <c r="AX276" s="88"/>
      <c r="AY276" s="13"/>
    </row>
    <row r="277" s="9" customFormat="1" spans="2:51">
      <c r="B277" s="9">
        <v>121160</v>
      </c>
      <c r="C277" s="9">
        <v>121160</v>
      </c>
      <c r="D277" s="24" t="s">
        <v>1590</v>
      </c>
      <c r="E277" s="13" t="s">
        <v>1590</v>
      </c>
      <c r="F277" s="13"/>
      <c r="G277" s="9">
        <v>0</v>
      </c>
      <c r="H277" s="2"/>
      <c r="I277" s="2"/>
      <c r="J277" s="2"/>
      <c r="K277" s="2"/>
      <c r="L277" s="2"/>
      <c r="N277" s="88">
        <v>0</v>
      </c>
      <c r="O277" s="88">
        <v>0</v>
      </c>
      <c r="P277" s="32">
        <v>1</v>
      </c>
      <c r="Q277" s="32">
        <v>1</v>
      </c>
      <c r="R277" s="88">
        <v>3</v>
      </c>
      <c r="S277" s="31"/>
      <c r="T277" s="88">
        <v>1</v>
      </c>
      <c r="U277" s="88">
        <v>1</v>
      </c>
      <c r="V277" s="88">
        <v>1</v>
      </c>
      <c r="W277" s="9">
        <v>1152</v>
      </c>
      <c r="X277" s="9" t="s">
        <v>1591</v>
      </c>
      <c r="Y277" s="89"/>
      <c r="Z277" s="53">
        <v>9999</v>
      </c>
      <c r="AA277" s="53"/>
      <c r="AB277" s="53">
        <v>30</v>
      </c>
      <c r="AC277" s="53">
        <v>30</v>
      </c>
      <c r="AD277" s="53">
        <v>30</v>
      </c>
      <c r="AE277" s="94">
        <v>50</v>
      </c>
      <c r="AF277" s="94">
        <v>20</v>
      </c>
      <c r="AG277" s="94">
        <v>4000</v>
      </c>
      <c r="AH277" s="94">
        <v>50</v>
      </c>
      <c r="AI277" s="94">
        <v>0</v>
      </c>
      <c r="AJ277" s="94">
        <v>0</v>
      </c>
      <c r="AK277" s="94">
        <v>1</v>
      </c>
      <c r="AL277" s="94">
        <v>0</v>
      </c>
      <c r="AM277" s="98" t="s">
        <v>676</v>
      </c>
      <c r="AS277" s="17"/>
      <c r="AT277" s="17"/>
      <c r="AU277" s="17"/>
      <c r="AV277" s="18"/>
      <c r="AW277" s="88"/>
      <c r="AX277" s="88"/>
      <c r="AY277" s="13"/>
    </row>
    <row r="278" s="9" customFormat="1" spans="2:51">
      <c r="B278" s="9">
        <v>121161</v>
      </c>
      <c r="C278" s="9">
        <v>121161</v>
      </c>
      <c r="D278" s="24" t="s">
        <v>1592</v>
      </c>
      <c r="E278" s="13" t="s">
        <v>1592</v>
      </c>
      <c r="F278" s="13"/>
      <c r="G278" s="9">
        <v>0</v>
      </c>
      <c r="H278" s="2"/>
      <c r="I278" s="2"/>
      <c r="J278" s="2"/>
      <c r="K278" s="2"/>
      <c r="L278" s="2"/>
      <c r="N278" s="88">
        <v>0</v>
      </c>
      <c r="O278" s="88">
        <v>0</v>
      </c>
      <c r="P278" s="32">
        <v>1</v>
      </c>
      <c r="Q278" s="32">
        <v>1</v>
      </c>
      <c r="R278" s="88">
        <v>3</v>
      </c>
      <c r="S278" s="31"/>
      <c r="T278" s="88">
        <v>1</v>
      </c>
      <c r="U278" s="88">
        <v>1</v>
      </c>
      <c r="V278" s="88">
        <v>1</v>
      </c>
      <c r="W278" s="9">
        <v>1153</v>
      </c>
      <c r="X278" s="9" t="s">
        <v>1593</v>
      </c>
      <c r="Y278" s="89"/>
      <c r="Z278" s="53">
        <v>9999</v>
      </c>
      <c r="AA278" s="53"/>
      <c r="AB278" s="53">
        <v>30</v>
      </c>
      <c r="AC278" s="53">
        <v>30</v>
      </c>
      <c r="AD278" s="53">
        <v>30</v>
      </c>
      <c r="AE278" s="94">
        <v>50</v>
      </c>
      <c r="AF278" s="94">
        <v>20</v>
      </c>
      <c r="AG278" s="94">
        <v>4000</v>
      </c>
      <c r="AH278" s="94">
        <v>50</v>
      </c>
      <c r="AI278" s="94">
        <v>0</v>
      </c>
      <c r="AJ278" s="94">
        <v>0</v>
      </c>
      <c r="AK278" s="94">
        <v>1</v>
      </c>
      <c r="AL278" s="94">
        <v>0</v>
      </c>
      <c r="AM278" s="98" t="s">
        <v>676</v>
      </c>
      <c r="AS278" s="17"/>
      <c r="AT278" s="17"/>
      <c r="AU278" s="17"/>
      <c r="AV278" s="18"/>
      <c r="AW278" s="88"/>
      <c r="AX278" s="88"/>
      <c r="AY278" s="13"/>
    </row>
    <row r="279" s="9" customFormat="1" spans="2:51">
      <c r="B279" s="9">
        <v>121162</v>
      </c>
      <c r="C279" s="9">
        <v>121162</v>
      </c>
      <c r="D279" s="24" t="s">
        <v>1594</v>
      </c>
      <c r="E279" s="13" t="s">
        <v>1594</v>
      </c>
      <c r="F279" s="13"/>
      <c r="G279" s="9">
        <v>0</v>
      </c>
      <c r="H279" s="2"/>
      <c r="I279" s="2"/>
      <c r="J279" s="2"/>
      <c r="K279" s="2"/>
      <c r="L279" s="2"/>
      <c r="N279" s="88">
        <v>0</v>
      </c>
      <c r="O279" s="88">
        <v>0</v>
      </c>
      <c r="P279" s="32">
        <v>1</v>
      </c>
      <c r="Q279" s="32">
        <v>1</v>
      </c>
      <c r="R279" s="88">
        <v>3</v>
      </c>
      <c r="S279" s="31"/>
      <c r="T279" s="88">
        <v>1</v>
      </c>
      <c r="U279" s="88">
        <v>1</v>
      </c>
      <c r="V279" s="88">
        <v>1</v>
      </c>
      <c r="W279" s="9">
        <v>1154</v>
      </c>
      <c r="X279" s="9" t="s">
        <v>1595</v>
      </c>
      <c r="Y279" s="89"/>
      <c r="Z279" s="53">
        <v>9999</v>
      </c>
      <c r="AA279" s="53"/>
      <c r="AB279" s="53">
        <v>30</v>
      </c>
      <c r="AC279" s="53">
        <v>30</v>
      </c>
      <c r="AD279" s="53">
        <v>30</v>
      </c>
      <c r="AE279" s="94">
        <v>50</v>
      </c>
      <c r="AF279" s="94">
        <v>20</v>
      </c>
      <c r="AG279" s="94">
        <v>4000</v>
      </c>
      <c r="AH279" s="94">
        <v>50</v>
      </c>
      <c r="AI279" s="94">
        <v>0</v>
      </c>
      <c r="AJ279" s="94">
        <v>0</v>
      </c>
      <c r="AK279" s="94">
        <v>1</v>
      </c>
      <c r="AL279" s="94">
        <v>0</v>
      </c>
      <c r="AM279" s="98" t="s">
        <v>676</v>
      </c>
      <c r="AS279" s="17"/>
      <c r="AT279" s="17"/>
      <c r="AU279" s="17"/>
      <c r="AV279" s="18"/>
      <c r="AW279" s="88"/>
      <c r="AX279" s="88"/>
      <c r="AY279" s="13"/>
    </row>
    <row r="280" s="9" customFormat="1" spans="2:51">
      <c r="B280" s="9">
        <v>121163</v>
      </c>
      <c r="C280" s="9">
        <v>121163</v>
      </c>
      <c r="D280" s="24" t="s">
        <v>1596</v>
      </c>
      <c r="E280" s="13" t="s">
        <v>1597</v>
      </c>
      <c r="F280" s="13"/>
      <c r="G280" s="9">
        <v>0</v>
      </c>
      <c r="H280" s="2"/>
      <c r="I280" s="2"/>
      <c r="J280" s="2"/>
      <c r="K280" s="2"/>
      <c r="L280" s="2"/>
      <c r="N280" s="88">
        <v>0</v>
      </c>
      <c r="O280" s="88">
        <v>0</v>
      </c>
      <c r="P280" s="32">
        <v>1</v>
      </c>
      <c r="Q280" s="32">
        <v>1</v>
      </c>
      <c r="R280" s="88">
        <v>3</v>
      </c>
      <c r="S280" s="31"/>
      <c r="T280" s="88">
        <v>1</v>
      </c>
      <c r="U280" s="88">
        <v>1</v>
      </c>
      <c r="V280" s="88">
        <v>1</v>
      </c>
      <c r="W280" s="9">
        <v>1155</v>
      </c>
      <c r="X280" s="9" t="s">
        <v>1598</v>
      </c>
      <c r="Y280" s="89"/>
      <c r="Z280" s="53">
        <v>9999</v>
      </c>
      <c r="AA280" s="53"/>
      <c r="AB280" s="53">
        <v>30</v>
      </c>
      <c r="AC280" s="53">
        <v>30</v>
      </c>
      <c r="AD280" s="53">
        <v>30</v>
      </c>
      <c r="AE280" s="94">
        <v>50</v>
      </c>
      <c r="AF280" s="94">
        <v>20</v>
      </c>
      <c r="AG280" s="94">
        <v>4000</v>
      </c>
      <c r="AH280" s="94">
        <v>50</v>
      </c>
      <c r="AI280" s="94">
        <v>0</v>
      </c>
      <c r="AJ280" s="94">
        <v>0</v>
      </c>
      <c r="AK280" s="94">
        <v>1</v>
      </c>
      <c r="AL280" s="94">
        <v>0</v>
      </c>
      <c r="AM280" s="98" t="s">
        <v>676</v>
      </c>
      <c r="AS280" s="17"/>
      <c r="AT280" s="17"/>
      <c r="AU280" s="17"/>
      <c r="AV280" s="18"/>
      <c r="AW280" s="88"/>
      <c r="AX280" s="88"/>
      <c r="AY280" s="13"/>
    </row>
    <row r="281" s="9" customFormat="1" spans="2:51">
      <c r="B281" s="9">
        <v>121164</v>
      </c>
      <c r="C281" s="9">
        <v>121164</v>
      </c>
      <c r="D281" s="24" t="s">
        <v>1599</v>
      </c>
      <c r="E281" s="13" t="s">
        <v>1600</v>
      </c>
      <c r="F281" s="13"/>
      <c r="G281" s="9">
        <v>0</v>
      </c>
      <c r="H281" s="2"/>
      <c r="I281" s="2"/>
      <c r="J281" s="2"/>
      <c r="K281" s="2"/>
      <c r="L281" s="2"/>
      <c r="N281" s="88">
        <v>0</v>
      </c>
      <c r="O281" s="88">
        <v>0</v>
      </c>
      <c r="P281" s="32">
        <v>1</v>
      </c>
      <c r="Q281" s="32">
        <v>1</v>
      </c>
      <c r="R281" s="88">
        <v>3</v>
      </c>
      <c r="S281" s="31"/>
      <c r="T281" s="88">
        <v>1</v>
      </c>
      <c r="U281" s="88">
        <v>1</v>
      </c>
      <c r="V281" s="88">
        <v>1</v>
      </c>
      <c r="W281" s="9">
        <v>1156</v>
      </c>
      <c r="X281" s="9" t="s">
        <v>1601</v>
      </c>
      <c r="Y281" s="89"/>
      <c r="Z281" s="53">
        <v>9999</v>
      </c>
      <c r="AA281" s="53"/>
      <c r="AB281" s="53">
        <v>30</v>
      </c>
      <c r="AC281" s="53">
        <v>30</v>
      </c>
      <c r="AD281" s="53">
        <v>30</v>
      </c>
      <c r="AE281" s="94">
        <v>50</v>
      </c>
      <c r="AF281" s="94">
        <v>20</v>
      </c>
      <c r="AG281" s="94">
        <v>4000</v>
      </c>
      <c r="AH281" s="94">
        <v>50</v>
      </c>
      <c r="AI281" s="94">
        <v>0</v>
      </c>
      <c r="AJ281" s="94">
        <v>0</v>
      </c>
      <c r="AK281" s="94">
        <v>1</v>
      </c>
      <c r="AL281" s="94">
        <v>0</v>
      </c>
      <c r="AM281" s="98" t="s">
        <v>676</v>
      </c>
      <c r="AS281" s="17"/>
      <c r="AT281" s="17"/>
      <c r="AU281" s="17"/>
      <c r="AV281" s="18"/>
      <c r="AW281" s="88"/>
      <c r="AX281" s="88"/>
      <c r="AY281" s="13"/>
    </row>
    <row r="282" s="9" customFormat="1" spans="2:51">
      <c r="B282" s="9">
        <v>121165</v>
      </c>
      <c r="C282" s="9">
        <v>121165</v>
      </c>
      <c r="D282" s="24" t="s">
        <v>1584</v>
      </c>
      <c r="E282" s="13" t="s">
        <v>1602</v>
      </c>
      <c r="F282" s="13"/>
      <c r="G282" s="9">
        <v>1</v>
      </c>
      <c r="H282" s="2"/>
      <c r="I282" s="2"/>
      <c r="J282" s="2"/>
      <c r="K282" s="2"/>
      <c r="L282" s="2"/>
      <c r="N282" s="88">
        <v>0</v>
      </c>
      <c r="O282" s="88">
        <v>0</v>
      </c>
      <c r="P282" s="32">
        <v>1</v>
      </c>
      <c r="Q282" s="32">
        <v>1</v>
      </c>
      <c r="R282" s="88">
        <v>3</v>
      </c>
      <c r="S282" s="31"/>
      <c r="T282" s="88">
        <v>1</v>
      </c>
      <c r="U282" s="88">
        <v>1</v>
      </c>
      <c r="V282" s="88">
        <v>1</v>
      </c>
      <c r="W282" s="9">
        <v>1157</v>
      </c>
      <c r="X282" s="9" t="s">
        <v>1603</v>
      </c>
      <c r="Y282" s="89"/>
      <c r="Z282" s="53">
        <v>9999</v>
      </c>
      <c r="AA282" s="53"/>
      <c r="AB282" s="53">
        <v>30</v>
      </c>
      <c r="AC282" s="53">
        <v>30</v>
      </c>
      <c r="AD282" s="53">
        <v>30</v>
      </c>
      <c r="AE282" s="94">
        <v>50</v>
      </c>
      <c r="AF282" s="94">
        <v>20</v>
      </c>
      <c r="AG282" s="94">
        <v>4000</v>
      </c>
      <c r="AH282" s="94">
        <v>50</v>
      </c>
      <c r="AI282" s="94">
        <v>0</v>
      </c>
      <c r="AJ282" s="94">
        <v>0</v>
      </c>
      <c r="AK282" s="94">
        <v>1</v>
      </c>
      <c r="AL282" s="94">
        <v>0</v>
      </c>
      <c r="AM282" s="98" t="s">
        <v>676</v>
      </c>
      <c r="AS282" s="17"/>
      <c r="AT282" s="17"/>
      <c r="AU282" s="17"/>
      <c r="AV282" s="18"/>
      <c r="AW282" s="88"/>
      <c r="AX282" s="88"/>
      <c r="AY282" s="13"/>
    </row>
    <row r="283" s="9" customFormat="1" spans="2:51">
      <c r="B283" s="9">
        <v>121166</v>
      </c>
      <c r="C283" s="9">
        <v>121166</v>
      </c>
      <c r="D283" s="24" t="s">
        <v>1587</v>
      </c>
      <c r="E283" s="13" t="s">
        <v>1604</v>
      </c>
      <c r="F283" s="13"/>
      <c r="G283" s="9">
        <v>1</v>
      </c>
      <c r="H283" s="2"/>
      <c r="I283" s="2"/>
      <c r="J283" s="2"/>
      <c r="K283" s="2"/>
      <c r="L283" s="2"/>
      <c r="N283" s="88">
        <v>0</v>
      </c>
      <c r="O283" s="88">
        <v>0</v>
      </c>
      <c r="P283" s="32">
        <v>1</v>
      </c>
      <c r="Q283" s="32">
        <v>1</v>
      </c>
      <c r="R283" s="88">
        <v>3</v>
      </c>
      <c r="S283" s="31"/>
      <c r="T283" s="88">
        <v>1</v>
      </c>
      <c r="U283" s="88">
        <v>1</v>
      </c>
      <c r="V283" s="88">
        <v>1</v>
      </c>
      <c r="W283" s="9">
        <v>1158</v>
      </c>
      <c r="X283" s="9" t="s">
        <v>1605</v>
      </c>
      <c r="Y283" s="89"/>
      <c r="Z283" s="53">
        <v>9999</v>
      </c>
      <c r="AA283" s="53"/>
      <c r="AB283" s="53">
        <v>30</v>
      </c>
      <c r="AC283" s="53">
        <v>30</v>
      </c>
      <c r="AD283" s="53">
        <v>30</v>
      </c>
      <c r="AE283" s="94">
        <v>50</v>
      </c>
      <c r="AF283" s="94">
        <v>20</v>
      </c>
      <c r="AG283" s="94">
        <v>4000</v>
      </c>
      <c r="AH283" s="94">
        <v>50</v>
      </c>
      <c r="AI283" s="94">
        <v>0</v>
      </c>
      <c r="AJ283" s="94">
        <v>0</v>
      </c>
      <c r="AK283" s="94">
        <v>1</v>
      </c>
      <c r="AL283" s="94">
        <v>0</v>
      </c>
      <c r="AM283" s="98" t="s">
        <v>676</v>
      </c>
      <c r="AS283" s="17"/>
      <c r="AT283" s="17"/>
      <c r="AU283" s="17"/>
      <c r="AV283" s="18"/>
      <c r="AW283" s="88"/>
      <c r="AX283" s="88"/>
      <c r="AY283" s="13"/>
    </row>
    <row r="284" s="9" customFormat="1" spans="2:51">
      <c r="B284" s="9">
        <v>121167</v>
      </c>
      <c r="C284" s="9">
        <v>121167</v>
      </c>
      <c r="D284" s="24" t="s">
        <v>1584</v>
      </c>
      <c r="E284" s="13" t="s">
        <v>1606</v>
      </c>
      <c r="F284" s="13"/>
      <c r="G284" s="9">
        <v>1</v>
      </c>
      <c r="H284" s="2"/>
      <c r="I284" s="2"/>
      <c r="J284" s="2"/>
      <c r="K284" s="2"/>
      <c r="L284" s="2"/>
      <c r="N284" s="88">
        <v>0</v>
      </c>
      <c r="O284" s="88">
        <v>0</v>
      </c>
      <c r="P284" s="32">
        <v>1</v>
      </c>
      <c r="Q284" s="32">
        <v>1</v>
      </c>
      <c r="R284" s="88">
        <v>3</v>
      </c>
      <c r="S284" s="31"/>
      <c r="T284" s="88">
        <v>1</v>
      </c>
      <c r="U284" s="88">
        <v>1</v>
      </c>
      <c r="V284" s="88">
        <v>1</v>
      </c>
      <c r="W284" s="9">
        <v>1159</v>
      </c>
      <c r="X284" s="9" t="s">
        <v>1607</v>
      </c>
      <c r="Y284" s="89"/>
      <c r="Z284" s="53">
        <v>9999</v>
      </c>
      <c r="AA284" s="53"/>
      <c r="AB284" s="53">
        <v>30</v>
      </c>
      <c r="AC284" s="53">
        <v>30</v>
      </c>
      <c r="AD284" s="53">
        <v>30</v>
      </c>
      <c r="AE284" s="94">
        <v>50</v>
      </c>
      <c r="AF284" s="94">
        <v>20</v>
      </c>
      <c r="AG284" s="94">
        <v>4000</v>
      </c>
      <c r="AH284" s="94">
        <v>50</v>
      </c>
      <c r="AI284" s="94">
        <v>0</v>
      </c>
      <c r="AJ284" s="94">
        <v>0</v>
      </c>
      <c r="AK284" s="94">
        <v>1</v>
      </c>
      <c r="AL284" s="94">
        <v>0</v>
      </c>
      <c r="AM284" s="98" t="s">
        <v>676</v>
      </c>
      <c r="AS284" s="17"/>
      <c r="AT284" s="17"/>
      <c r="AU284" s="17"/>
      <c r="AV284" s="18"/>
      <c r="AW284" s="88"/>
      <c r="AX284" s="88"/>
      <c r="AY284" s="13"/>
    </row>
    <row r="285" s="9" customFormat="1" spans="2:51">
      <c r="B285" s="9">
        <v>121168</v>
      </c>
      <c r="C285" s="9">
        <v>121168</v>
      </c>
      <c r="D285" s="24" t="s">
        <v>1587</v>
      </c>
      <c r="E285" s="13" t="s">
        <v>1608</v>
      </c>
      <c r="F285" s="13"/>
      <c r="G285" s="9">
        <v>1</v>
      </c>
      <c r="H285" s="2"/>
      <c r="I285" s="2"/>
      <c r="J285" s="2"/>
      <c r="K285" s="2"/>
      <c r="L285" s="2"/>
      <c r="N285" s="88">
        <v>0</v>
      </c>
      <c r="O285" s="88">
        <v>0</v>
      </c>
      <c r="P285" s="32">
        <v>1</v>
      </c>
      <c r="Q285" s="32">
        <v>1</v>
      </c>
      <c r="R285" s="88">
        <v>3</v>
      </c>
      <c r="S285" s="31"/>
      <c r="T285" s="88">
        <v>1</v>
      </c>
      <c r="U285" s="88">
        <v>1</v>
      </c>
      <c r="V285" s="88">
        <v>1</v>
      </c>
      <c r="W285" s="9">
        <v>1160</v>
      </c>
      <c r="X285" s="9" t="s">
        <v>1609</v>
      </c>
      <c r="Y285" s="89"/>
      <c r="Z285" s="53">
        <v>9999</v>
      </c>
      <c r="AA285" s="53"/>
      <c r="AB285" s="53">
        <v>30</v>
      </c>
      <c r="AC285" s="53">
        <v>30</v>
      </c>
      <c r="AD285" s="53">
        <v>30</v>
      </c>
      <c r="AE285" s="94">
        <v>50</v>
      </c>
      <c r="AF285" s="94">
        <v>20</v>
      </c>
      <c r="AG285" s="94">
        <v>4000</v>
      </c>
      <c r="AH285" s="94">
        <v>50</v>
      </c>
      <c r="AI285" s="94">
        <v>0</v>
      </c>
      <c r="AJ285" s="94">
        <v>0</v>
      </c>
      <c r="AK285" s="94">
        <v>1</v>
      </c>
      <c r="AL285" s="94">
        <v>0</v>
      </c>
      <c r="AM285" s="98" t="s">
        <v>676</v>
      </c>
      <c r="AS285" s="17"/>
      <c r="AT285" s="17"/>
      <c r="AU285" s="17"/>
      <c r="AV285" s="18"/>
      <c r="AW285" s="88"/>
      <c r="AX285" s="88"/>
      <c r="AY285" s="13"/>
    </row>
    <row r="286" s="9" customFormat="1" spans="2:51">
      <c r="B286" s="9">
        <v>121169</v>
      </c>
      <c r="C286" s="9">
        <v>121169</v>
      </c>
      <c r="D286" s="119" t="s">
        <v>1610</v>
      </c>
      <c r="E286" s="119" t="s">
        <v>1610</v>
      </c>
      <c r="F286" s="119"/>
      <c r="G286" s="9">
        <v>0</v>
      </c>
      <c r="H286" s="2"/>
      <c r="I286" s="2"/>
      <c r="J286" s="2"/>
      <c r="K286" s="2"/>
      <c r="L286" s="2"/>
      <c r="N286" s="88">
        <v>0</v>
      </c>
      <c r="O286" s="88">
        <v>0</v>
      </c>
      <c r="P286" s="32">
        <v>1</v>
      </c>
      <c r="Q286" s="32">
        <v>1</v>
      </c>
      <c r="R286" s="88">
        <v>4</v>
      </c>
      <c r="S286" s="31"/>
      <c r="T286" s="88">
        <v>1</v>
      </c>
      <c r="U286" s="88">
        <v>1</v>
      </c>
      <c r="V286" s="88">
        <v>1</v>
      </c>
      <c r="W286" s="122">
        <v>1161</v>
      </c>
      <c r="X286" s="9" t="s">
        <v>1611</v>
      </c>
      <c r="Y286" s="89"/>
      <c r="Z286" s="53">
        <v>9999</v>
      </c>
      <c r="AA286" s="53"/>
      <c r="AB286" s="53">
        <v>30</v>
      </c>
      <c r="AC286" s="53">
        <v>30</v>
      </c>
      <c r="AD286" s="53">
        <v>30</v>
      </c>
      <c r="AE286" s="94">
        <v>2000</v>
      </c>
      <c r="AF286" s="94">
        <v>300</v>
      </c>
      <c r="AG286" s="94">
        <v>35000</v>
      </c>
      <c r="AH286" s="94">
        <v>50</v>
      </c>
      <c r="AI286" s="94">
        <v>0</v>
      </c>
      <c r="AJ286" s="94">
        <v>0</v>
      </c>
      <c r="AK286" s="94">
        <v>1</v>
      </c>
      <c r="AL286" s="94">
        <v>0</v>
      </c>
      <c r="AM286" s="98" t="s">
        <v>676</v>
      </c>
      <c r="AS286" s="17"/>
      <c r="AT286" s="17"/>
      <c r="AU286" s="17"/>
      <c r="AV286" s="18"/>
      <c r="AW286" s="88"/>
      <c r="AX286" s="88"/>
      <c r="AY286" s="13"/>
    </row>
    <row r="287" s="9" customFormat="1" spans="2:51">
      <c r="B287" s="9">
        <v>121170</v>
      </c>
      <c r="C287" s="9">
        <v>121170</v>
      </c>
      <c r="D287" s="119" t="s">
        <v>1612</v>
      </c>
      <c r="E287" s="120" t="s">
        <v>1612</v>
      </c>
      <c r="F287" s="120"/>
      <c r="G287" s="9">
        <v>0</v>
      </c>
      <c r="H287" s="2"/>
      <c r="I287" s="2"/>
      <c r="J287" s="2"/>
      <c r="K287" s="2"/>
      <c r="L287" s="2"/>
      <c r="N287" s="88">
        <v>0</v>
      </c>
      <c r="O287" s="88">
        <v>0</v>
      </c>
      <c r="P287" s="32">
        <v>1</v>
      </c>
      <c r="Q287" s="32">
        <v>1</v>
      </c>
      <c r="R287" s="88">
        <v>4</v>
      </c>
      <c r="S287" s="31"/>
      <c r="T287" s="88">
        <v>1</v>
      </c>
      <c r="U287" s="88">
        <v>1</v>
      </c>
      <c r="V287" s="88">
        <v>1</v>
      </c>
      <c r="W287" s="122">
        <v>1162</v>
      </c>
      <c r="X287" s="9" t="s">
        <v>1613</v>
      </c>
      <c r="Y287" s="89"/>
      <c r="Z287" s="53">
        <v>9999</v>
      </c>
      <c r="AA287" s="53"/>
      <c r="AB287" s="53">
        <v>30</v>
      </c>
      <c r="AC287" s="53">
        <v>30</v>
      </c>
      <c r="AD287" s="53">
        <v>30</v>
      </c>
      <c r="AE287" s="94">
        <v>2000</v>
      </c>
      <c r="AF287" s="94">
        <v>300</v>
      </c>
      <c r="AG287" s="94">
        <v>35000</v>
      </c>
      <c r="AH287" s="94">
        <v>50</v>
      </c>
      <c r="AI287" s="94">
        <v>0</v>
      </c>
      <c r="AJ287" s="94">
        <v>0</v>
      </c>
      <c r="AK287" s="94">
        <v>1</v>
      </c>
      <c r="AL287" s="94">
        <v>0</v>
      </c>
      <c r="AM287" s="98" t="s">
        <v>676</v>
      </c>
      <c r="AS287" s="17"/>
      <c r="AT287" s="17"/>
      <c r="AU287" s="17"/>
      <c r="AV287" s="18"/>
      <c r="AW287" s="88"/>
      <c r="AX287" s="88"/>
      <c r="AY287" s="13"/>
    </row>
    <row r="288" s="9" customFormat="1" spans="2:51">
      <c r="B288" s="9">
        <v>121171</v>
      </c>
      <c r="C288" s="9">
        <v>121171</v>
      </c>
      <c r="D288" s="119" t="s">
        <v>1614</v>
      </c>
      <c r="E288" s="119" t="s">
        <v>1614</v>
      </c>
      <c r="F288" s="119"/>
      <c r="G288" s="9">
        <v>0</v>
      </c>
      <c r="H288" s="2"/>
      <c r="I288" s="2"/>
      <c r="J288" s="2"/>
      <c r="K288" s="2"/>
      <c r="L288" s="2"/>
      <c r="N288" s="88">
        <v>0</v>
      </c>
      <c r="O288" s="88">
        <v>1</v>
      </c>
      <c r="P288" s="32">
        <v>1</v>
      </c>
      <c r="Q288" s="32">
        <v>1</v>
      </c>
      <c r="R288" s="88">
        <v>4</v>
      </c>
      <c r="S288" s="31"/>
      <c r="T288" s="88">
        <v>1</v>
      </c>
      <c r="U288" s="88">
        <v>1</v>
      </c>
      <c r="V288" s="88">
        <v>1</v>
      </c>
      <c r="W288" s="122">
        <v>1163</v>
      </c>
      <c r="X288" s="9" t="s">
        <v>1615</v>
      </c>
      <c r="Y288" s="89"/>
      <c r="Z288" s="53">
        <v>9999</v>
      </c>
      <c r="AA288" s="53"/>
      <c r="AB288" s="53">
        <v>30</v>
      </c>
      <c r="AC288" s="53">
        <v>30</v>
      </c>
      <c r="AD288" s="53">
        <v>30</v>
      </c>
      <c r="AE288" s="94">
        <v>2000</v>
      </c>
      <c r="AF288" s="94">
        <v>300</v>
      </c>
      <c r="AG288" s="94">
        <v>35000</v>
      </c>
      <c r="AH288" s="94">
        <v>50</v>
      </c>
      <c r="AI288" s="94">
        <v>0</v>
      </c>
      <c r="AJ288" s="94">
        <v>0</v>
      </c>
      <c r="AK288" s="94">
        <v>1</v>
      </c>
      <c r="AL288" s="94">
        <v>0</v>
      </c>
      <c r="AM288" s="98" t="s">
        <v>676</v>
      </c>
      <c r="AS288" s="17"/>
      <c r="AT288" s="17"/>
      <c r="AU288" s="17"/>
      <c r="AV288" s="18"/>
      <c r="AW288" s="88"/>
      <c r="AX288" s="88"/>
      <c r="AY288" s="13"/>
    </row>
    <row r="289" s="9" customFormat="1" spans="2:51">
      <c r="B289" s="9">
        <v>121172</v>
      </c>
      <c r="C289" s="9">
        <v>121172</v>
      </c>
      <c r="D289" s="119" t="s">
        <v>1616</v>
      </c>
      <c r="E289" s="119" t="s">
        <v>1616</v>
      </c>
      <c r="F289" s="119"/>
      <c r="G289" s="9">
        <v>0</v>
      </c>
      <c r="H289" s="2"/>
      <c r="I289" s="2"/>
      <c r="J289" s="2"/>
      <c r="K289" s="2"/>
      <c r="L289" s="2"/>
      <c r="N289" s="88">
        <v>0</v>
      </c>
      <c r="O289" s="88">
        <v>1</v>
      </c>
      <c r="P289" s="32">
        <v>1</v>
      </c>
      <c r="Q289" s="32">
        <v>1</v>
      </c>
      <c r="R289" s="88">
        <v>4</v>
      </c>
      <c r="S289" s="31"/>
      <c r="T289" s="88">
        <v>1</v>
      </c>
      <c r="U289" s="88">
        <v>1</v>
      </c>
      <c r="V289" s="88">
        <v>1</v>
      </c>
      <c r="W289" s="122">
        <v>1164</v>
      </c>
      <c r="X289" s="9" t="s">
        <v>1617</v>
      </c>
      <c r="Y289" s="89"/>
      <c r="Z289" s="53">
        <v>9999</v>
      </c>
      <c r="AA289" s="53"/>
      <c r="AB289" s="53">
        <v>30</v>
      </c>
      <c r="AC289" s="53">
        <v>30</v>
      </c>
      <c r="AD289" s="53">
        <v>30</v>
      </c>
      <c r="AE289" s="94">
        <v>2000</v>
      </c>
      <c r="AF289" s="94">
        <v>300</v>
      </c>
      <c r="AG289" s="94">
        <v>35000</v>
      </c>
      <c r="AH289" s="94">
        <v>50</v>
      </c>
      <c r="AI289" s="94">
        <v>0</v>
      </c>
      <c r="AJ289" s="94">
        <v>0</v>
      </c>
      <c r="AK289" s="94">
        <v>1</v>
      </c>
      <c r="AL289" s="94">
        <v>0</v>
      </c>
      <c r="AM289" s="98" t="s">
        <v>676</v>
      </c>
      <c r="AS289" s="17"/>
      <c r="AT289" s="17"/>
      <c r="AU289" s="17"/>
      <c r="AV289" s="18"/>
      <c r="AW289" s="88"/>
      <c r="AX289" s="88"/>
      <c r="AY289" s="13"/>
    </row>
    <row r="290" s="9" customFormat="1" spans="2:51">
      <c r="B290" s="9">
        <v>121173</v>
      </c>
      <c r="C290" s="9">
        <v>121173</v>
      </c>
      <c r="D290" s="119" t="s">
        <v>1618</v>
      </c>
      <c r="E290" s="119" t="s">
        <v>1618</v>
      </c>
      <c r="F290" s="119"/>
      <c r="G290" s="9">
        <v>0</v>
      </c>
      <c r="H290" s="2"/>
      <c r="I290" s="2"/>
      <c r="J290" s="2"/>
      <c r="K290" s="2"/>
      <c r="L290" s="2"/>
      <c r="N290" s="88">
        <v>0</v>
      </c>
      <c r="O290" s="88">
        <v>0</v>
      </c>
      <c r="P290" s="32">
        <v>1</v>
      </c>
      <c r="Q290" s="32">
        <v>1</v>
      </c>
      <c r="R290" s="88">
        <v>4</v>
      </c>
      <c r="S290" s="31"/>
      <c r="T290" s="88">
        <v>1</v>
      </c>
      <c r="U290" s="88">
        <v>1</v>
      </c>
      <c r="V290" s="88">
        <v>1</v>
      </c>
      <c r="W290" s="122">
        <v>1165</v>
      </c>
      <c r="X290" s="9" t="s">
        <v>1619</v>
      </c>
      <c r="Y290" s="89"/>
      <c r="Z290" s="53">
        <v>9999</v>
      </c>
      <c r="AA290" s="53"/>
      <c r="AB290" s="53">
        <v>30</v>
      </c>
      <c r="AC290" s="53">
        <v>30</v>
      </c>
      <c r="AD290" s="53">
        <v>30</v>
      </c>
      <c r="AE290" s="94">
        <v>2000</v>
      </c>
      <c r="AF290" s="94">
        <v>300</v>
      </c>
      <c r="AG290" s="94">
        <v>35000</v>
      </c>
      <c r="AH290" s="94">
        <v>50</v>
      </c>
      <c r="AI290" s="94">
        <v>0</v>
      </c>
      <c r="AJ290" s="94">
        <v>0</v>
      </c>
      <c r="AK290" s="94">
        <v>1</v>
      </c>
      <c r="AL290" s="94">
        <v>0</v>
      </c>
      <c r="AM290" s="98" t="s">
        <v>676</v>
      </c>
      <c r="AS290" s="17"/>
      <c r="AT290" s="17"/>
      <c r="AU290" s="17"/>
      <c r="AV290" s="18"/>
      <c r="AW290" s="88"/>
      <c r="AX290" s="88"/>
      <c r="AY290" s="13"/>
    </row>
    <row r="291" s="9" customFormat="1" spans="2:51">
      <c r="B291" s="9">
        <v>121174</v>
      </c>
      <c r="C291" s="9">
        <v>121174</v>
      </c>
      <c r="D291" s="119" t="s">
        <v>1620</v>
      </c>
      <c r="E291" s="119" t="s">
        <v>1620</v>
      </c>
      <c r="F291" s="119"/>
      <c r="G291" s="9">
        <v>1</v>
      </c>
      <c r="H291" s="2"/>
      <c r="I291" s="2"/>
      <c r="J291" s="2"/>
      <c r="K291" s="2"/>
      <c r="L291" s="2"/>
      <c r="N291" s="88">
        <v>0</v>
      </c>
      <c r="O291" s="88">
        <v>1</v>
      </c>
      <c r="P291" s="32">
        <v>1</v>
      </c>
      <c r="Q291" s="32">
        <v>1</v>
      </c>
      <c r="R291" s="88">
        <v>4</v>
      </c>
      <c r="S291" s="31"/>
      <c r="T291" s="88">
        <v>1</v>
      </c>
      <c r="U291" s="88">
        <v>1</v>
      </c>
      <c r="V291" s="88">
        <v>1</v>
      </c>
      <c r="W291" s="122">
        <v>1166</v>
      </c>
      <c r="X291" s="9" t="s">
        <v>1621</v>
      </c>
      <c r="Y291" s="89"/>
      <c r="Z291" s="53">
        <v>9999</v>
      </c>
      <c r="AA291" s="53"/>
      <c r="AB291" s="53">
        <v>30</v>
      </c>
      <c r="AC291" s="53">
        <v>30</v>
      </c>
      <c r="AD291" s="53">
        <v>30</v>
      </c>
      <c r="AE291" s="94">
        <v>2000</v>
      </c>
      <c r="AF291" s="94">
        <v>300</v>
      </c>
      <c r="AG291" s="94">
        <v>35000</v>
      </c>
      <c r="AH291" s="94">
        <v>50</v>
      </c>
      <c r="AI291" s="94">
        <v>0</v>
      </c>
      <c r="AJ291" s="94">
        <v>0</v>
      </c>
      <c r="AK291" s="94">
        <v>1</v>
      </c>
      <c r="AL291" s="94">
        <v>0</v>
      </c>
      <c r="AM291" s="98" t="s">
        <v>676</v>
      </c>
      <c r="AS291" s="17"/>
      <c r="AT291" s="17"/>
      <c r="AU291" s="17"/>
      <c r="AV291" s="18"/>
      <c r="AW291" s="88"/>
      <c r="AX291" s="88"/>
      <c r="AY291" s="13"/>
    </row>
    <row r="292" s="9" customFormat="1" spans="2:51">
      <c r="B292" s="9">
        <v>121175</v>
      </c>
      <c r="C292" s="9">
        <v>121175</v>
      </c>
      <c r="D292" s="119" t="s">
        <v>1622</v>
      </c>
      <c r="E292" s="119" t="s">
        <v>1622</v>
      </c>
      <c r="F292" s="119"/>
      <c r="G292" s="9">
        <v>0</v>
      </c>
      <c r="H292" s="2"/>
      <c r="I292" s="2"/>
      <c r="J292" s="2"/>
      <c r="K292" s="2"/>
      <c r="L292" s="2"/>
      <c r="N292" s="88">
        <v>0</v>
      </c>
      <c r="O292" s="88">
        <v>0</v>
      </c>
      <c r="P292" s="32">
        <v>1</v>
      </c>
      <c r="Q292" s="32">
        <v>1</v>
      </c>
      <c r="R292" s="88">
        <v>4</v>
      </c>
      <c r="S292" s="31"/>
      <c r="T292" s="88">
        <v>1</v>
      </c>
      <c r="U292" s="88">
        <v>1</v>
      </c>
      <c r="V292" s="88">
        <v>1</v>
      </c>
      <c r="W292" s="122">
        <v>1167</v>
      </c>
      <c r="X292" s="9" t="s">
        <v>1623</v>
      </c>
      <c r="Y292" s="89"/>
      <c r="Z292" s="53">
        <v>9999</v>
      </c>
      <c r="AA292" s="53"/>
      <c r="AB292" s="53">
        <v>30</v>
      </c>
      <c r="AC292" s="53">
        <v>30</v>
      </c>
      <c r="AD292" s="53">
        <v>30</v>
      </c>
      <c r="AE292" s="94">
        <v>2000</v>
      </c>
      <c r="AF292" s="94">
        <v>300</v>
      </c>
      <c r="AG292" s="94">
        <v>35000</v>
      </c>
      <c r="AH292" s="94">
        <v>50</v>
      </c>
      <c r="AI292" s="94">
        <v>0</v>
      </c>
      <c r="AJ292" s="94">
        <v>0</v>
      </c>
      <c r="AK292" s="94">
        <v>1</v>
      </c>
      <c r="AL292" s="94">
        <v>0</v>
      </c>
      <c r="AM292" s="98" t="s">
        <v>676</v>
      </c>
      <c r="AS292" s="17"/>
      <c r="AT292" s="17"/>
      <c r="AU292" s="17"/>
      <c r="AV292" s="18"/>
      <c r="AW292" s="88"/>
      <c r="AX292" s="88"/>
      <c r="AY292" s="13"/>
    </row>
    <row r="293" s="9" customFormat="1" spans="2:51">
      <c r="B293" s="9">
        <v>121176</v>
      </c>
      <c r="C293" s="9">
        <v>121176</v>
      </c>
      <c r="D293" s="119" t="s">
        <v>1624</v>
      </c>
      <c r="E293" s="119" t="s">
        <v>1624</v>
      </c>
      <c r="F293" s="119"/>
      <c r="G293" s="9">
        <v>0</v>
      </c>
      <c r="H293" s="2"/>
      <c r="I293" s="2"/>
      <c r="J293" s="2"/>
      <c r="K293" s="2"/>
      <c r="L293" s="2"/>
      <c r="N293" s="88">
        <v>0</v>
      </c>
      <c r="O293" s="88">
        <v>0</v>
      </c>
      <c r="P293" s="32">
        <v>1</v>
      </c>
      <c r="Q293" s="32">
        <v>1</v>
      </c>
      <c r="R293" s="88">
        <v>4</v>
      </c>
      <c r="S293" s="31"/>
      <c r="T293" s="88">
        <v>1</v>
      </c>
      <c r="U293" s="88">
        <v>1</v>
      </c>
      <c r="V293" s="88">
        <v>1</v>
      </c>
      <c r="W293" s="122">
        <v>1168</v>
      </c>
      <c r="X293" s="9" t="s">
        <v>1625</v>
      </c>
      <c r="Y293" s="89"/>
      <c r="Z293" s="53">
        <v>9999</v>
      </c>
      <c r="AA293" s="53"/>
      <c r="AB293" s="53">
        <v>30</v>
      </c>
      <c r="AC293" s="53">
        <v>30</v>
      </c>
      <c r="AD293" s="53">
        <v>30</v>
      </c>
      <c r="AE293" s="94">
        <v>2000</v>
      </c>
      <c r="AF293" s="94">
        <v>300</v>
      </c>
      <c r="AG293" s="94">
        <v>35000</v>
      </c>
      <c r="AH293" s="94">
        <v>50</v>
      </c>
      <c r="AI293" s="94">
        <v>0</v>
      </c>
      <c r="AJ293" s="94">
        <v>0</v>
      </c>
      <c r="AK293" s="94">
        <v>1</v>
      </c>
      <c r="AL293" s="94">
        <v>0</v>
      </c>
      <c r="AM293" s="98" t="s">
        <v>676</v>
      </c>
      <c r="AS293" s="17"/>
      <c r="AT293" s="17"/>
      <c r="AU293" s="17"/>
      <c r="AV293" s="18"/>
      <c r="AW293" s="88"/>
      <c r="AX293" s="88"/>
      <c r="AY293" s="13"/>
    </row>
    <row r="294" s="9" customFormat="1" spans="2:51">
      <c r="B294" s="9">
        <v>121177</v>
      </c>
      <c r="C294" s="9">
        <v>121177</v>
      </c>
      <c r="D294" s="119" t="s">
        <v>1626</v>
      </c>
      <c r="E294" s="119" t="s">
        <v>1626</v>
      </c>
      <c r="F294" s="119"/>
      <c r="G294" s="9">
        <v>0</v>
      </c>
      <c r="H294" s="2"/>
      <c r="I294" s="2"/>
      <c r="J294" s="2"/>
      <c r="K294" s="2"/>
      <c r="L294" s="2"/>
      <c r="N294" s="88">
        <v>0</v>
      </c>
      <c r="O294" s="88">
        <v>1</v>
      </c>
      <c r="P294" s="32">
        <v>1</v>
      </c>
      <c r="Q294" s="32">
        <v>1</v>
      </c>
      <c r="R294" s="88">
        <v>4</v>
      </c>
      <c r="S294" s="31"/>
      <c r="T294" s="88">
        <v>1</v>
      </c>
      <c r="U294" s="88">
        <v>1</v>
      </c>
      <c r="V294" s="88">
        <v>1</v>
      </c>
      <c r="W294" s="122">
        <v>1169</v>
      </c>
      <c r="X294" s="9" t="s">
        <v>1627</v>
      </c>
      <c r="Y294" s="89"/>
      <c r="Z294" s="53">
        <v>9999</v>
      </c>
      <c r="AA294" s="53"/>
      <c r="AB294" s="53">
        <v>30</v>
      </c>
      <c r="AC294" s="53">
        <v>30</v>
      </c>
      <c r="AD294" s="53">
        <v>30</v>
      </c>
      <c r="AE294" s="94">
        <v>2000</v>
      </c>
      <c r="AF294" s="94">
        <v>300</v>
      </c>
      <c r="AG294" s="94">
        <v>35000</v>
      </c>
      <c r="AH294" s="94">
        <v>50</v>
      </c>
      <c r="AI294" s="94">
        <v>0</v>
      </c>
      <c r="AJ294" s="94">
        <v>0</v>
      </c>
      <c r="AK294" s="94">
        <v>1</v>
      </c>
      <c r="AL294" s="94">
        <v>0</v>
      </c>
      <c r="AM294" s="98" t="s">
        <v>676</v>
      </c>
      <c r="AS294" s="17"/>
      <c r="AT294" s="17"/>
      <c r="AU294" s="17"/>
      <c r="AV294" s="18"/>
      <c r="AW294" s="88"/>
      <c r="AX294" s="88"/>
      <c r="AY294" s="13"/>
    </row>
    <row r="295" s="9" customFormat="1" spans="2:51">
      <c r="B295" s="9">
        <v>121178</v>
      </c>
      <c r="C295" s="9">
        <v>121178</v>
      </c>
      <c r="D295" s="119" t="s">
        <v>1628</v>
      </c>
      <c r="E295" s="119" t="s">
        <v>1628</v>
      </c>
      <c r="F295" s="119"/>
      <c r="G295" s="9">
        <v>0</v>
      </c>
      <c r="H295" s="2"/>
      <c r="I295" s="2"/>
      <c r="J295" s="2"/>
      <c r="K295" s="2"/>
      <c r="L295" s="2"/>
      <c r="N295" s="88">
        <v>0</v>
      </c>
      <c r="O295" s="88">
        <v>0</v>
      </c>
      <c r="P295" s="32">
        <v>1</v>
      </c>
      <c r="Q295" s="32">
        <v>1</v>
      </c>
      <c r="R295" s="88">
        <v>4</v>
      </c>
      <c r="S295" s="31"/>
      <c r="T295" s="88">
        <v>1</v>
      </c>
      <c r="U295" s="88">
        <v>1</v>
      </c>
      <c r="V295" s="88">
        <v>1</v>
      </c>
      <c r="W295" s="122">
        <v>1170</v>
      </c>
      <c r="X295" s="9" t="s">
        <v>1629</v>
      </c>
      <c r="Y295" s="89"/>
      <c r="Z295" s="53">
        <v>9999</v>
      </c>
      <c r="AA295" s="53"/>
      <c r="AB295" s="53">
        <v>30</v>
      </c>
      <c r="AC295" s="53">
        <v>30</v>
      </c>
      <c r="AD295" s="53">
        <v>30</v>
      </c>
      <c r="AE295" s="94">
        <v>2000</v>
      </c>
      <c r="AF295" s="94">
        <v>300</v>
      </c>
      <c r="AG295" s="94">
        <v>35000</v>
      </c>
      <c r="AH295" s="94">
        <v>50</v>
      </c>
      <c r="AI295" s="94">
        <v>0</v>
      </c>
      <c r="AJ295" s="94">
        <v>0</v>
      </c>
      <c r="AK295" s="94">
        <v>1</v>
      </c>
      <c r="AL295" s="94">
        <v>0</v>
      </c>
      <c r="AM295" s="98" t="s">
        <v>676</v>
      </c>
      <c r="AS295" s="17"/>
      <c r="AT295" s="17"/>
      <c r="AU295" s="17"/>
      <c r="AV295" s="18"/>
      <c r="AW295" s="88"/>
      <c r="AX295" s="88"/>
      <c r="AY295" s="13"/>
    </row>
    <row r="296" s="9" customFormat="1" spans="2:51">
      <c r="B296" s="9">
        <v>121179</v>
      </c>
      <c r="C296" s="9">
        <v>121179</v>
      </c>
      <c r="D296" s="119" t="s">
        <v>1630</v>
      </c>
      <c r="E296" s="119" t="s">
        <v>1630</v>
      </c>
      <c r="F296" s="119"/>
      <c r="G296" s="9">
        <v>0</v>
      </c>
      <c r="H296" s="2"/>
      <c r="I296" s="2"/>
      <c r="J296" s="2"/>
      <c r="K296" s="2"/>
      <c r="L296" s="2"/>
      <c r="N296" s="88">
        <v>0</v>
      </c>
      <c r="O296" s="88">
        <v>1</v>
      </c>
      <c r="P296" s="32">
        <v>1</v>
      </c>
      <c r="Q296" s="32">
        <v>1</v>
      </c>
      <c r="R296" s="88">
        <v>4</v>
      </c>
      <c r="S296" s="31"/>
      <c r="T296" s="88">
        <v>1</v>
      </c>
      <c r="U296" s="88">
        <v>1</v>
      </c>
      <c r="V296" s="88">
        <v>1</v>
      </c>
      <c r="W296" s="122">
        <v>1171</v>
      </c>
      <c r="X296" s="9" t="s">
        <v>1631</v>
      </c>
      <c r="Y296" s="89"/>
      <c r="Z296" s="53">
        <v>9999</v>
      </c>
      <c r="AA296" s="53"/>
      <c r="AB296" s="53">
        <v>30</v>
      </c>
      <c r="AC296" s="53">
        <v>30</v>
      </c>
      <c r="AD296" s="53">
        <v>30</v>
      </c>
      <c r="AE296" s="94">
        <v>2000</v>
      </c>
      <c r="AF296" s="94">
        <v>300</v>
      </c>
      <c r="AG296" s="94">
        <v>35000</v>
      </c>
      <c r="AH296" s="94">
        <v>50</v>
      </c>
      <c r="AI296" s="94">
        <v>0</v>
      </c>
      <c r="AJ296" s="94">
        <v>0</v>
      </c>
      <c r="AK296" s="94">
        <v>1</v>
      </c>
      <c r="AL296" s="94">
        <v>0</v>
      </c>
      <c r="AM296" s="98" t="s">
        <v>676</v>
      </c>
      <c r="AS296" s="17"/>
      <c r="AT296" s="17"/>
      <c r="AU296" s="17"/>
      <c r="AV296" s="18"/>
      <c r="AW296" s="88"/>
      <c r="AX296" s="88"/>
      <c r="AY296" s="13"/>
    </row>
    <row r="297" s="9" customFormat="1" spans="2:51">
      <c r="B297" s="9">
        <v>121180</v>
      </c>
      <c r="C297" s="9">
        <v>121180</v>
      </c>
      <c r="D297" s="119" t="s">
        <v>1632</v>
      </c>
      <c r="E297" s="119" t="s">
        <v>1632</v>
      </c>
      <c r="F297" s="119"/>
      <c r="G297" s="9">
        <v>0</v>
      </c>
      <c r="H297" s="2"/>
      <c r="I297" s="2"/>
      <c r="J297" s="2"/>
      <c r="K297" s="2"/>
      <c r="L297" s="2"/>
      <c r="N297" s="88">
        <v>0</v>
      </c>
      <c r="O297" s="88">
        <v>0</v>
      </c>
      <c r="P297" s="32">
        <v>1</v>
      </c>
      <c r="Q297" s="32">
        <v>1</v>
      </c>
      <c r="R297" s="88">
        <v>4</v>
      </c>
      <c r="S297" s="31"/>
      <c r="T297" s="88">
        <v>1</v>
      </c>
      <c r="U297" s="88">
        <v>1</v>
      </c>
      <c r="V297" s="88">
        <v>1</v>
      </c>
      <c r="W297" s="122">
        <v>1172</v>
      </c>
      <c r="X297" s="9" t="s">
        <v>1633</v>
      </c>
      <c r="Y297" s="89"/>
      <c r="Z297" s="53">
        <v>9999</v>
      </c>
      <c r="AA297" s="53"/>
      <c r="AB297" s="53">
        <v>30</v>
      </c>
      <c r="AC297" s="53">
        <v>30</v>
      </c>
      <c r="AD297" s="53">
        <v>30</v>
      </c>
      <c r="AE297" s="94">
        <v>2000</v>
      </c>
      <c r="AF297" s="94">
        <v>300</v>
      </c>
      <c r="AG297" s="94">
        <v>35000</v>
      </c>
      <c r="AH297" s="94">
        <v>50</v>
      </c>
      <c r="AI297" s="94">
        <v>0</v>
      </c>
      <c r="AJ297" s="94">
        <v>0</v>
      </c>
      <c r="AK297" s="94">
        <v>1</v>
      </c>
      <c r="AL297" s="94">
        <v>0</v>
      </c>
      <c r="AM297" s="98" t="s">
        <v>676</v>
      </c>
      <c r="AS297" s="17"/>
      <c r="AT297" s="17"/>
      <c r="AU297" s="17"/>
      <c r="AV297" s="18"/>
      <c r="AW297" s="88"/>
      <c r="AX297" s="88"/>
      <c r="AY297" s="13"/>
    </row>
    <row r="298" s="9" customFormat="1" spans="2:51">
      <c r="B298" s="9">
        <v>121181</v>
      </c>
      <c r="C298" s="9">
        <v>121181</v>
      </c>
      <c r="D298" s="119" t="s">
        <v>1634</v>
      </c>
      <c r="E298" s="119" t="s">
        <v>1634</v>
      </c>
      <c r="F298" s="119"/>
      <c r="G298" s="9">
        <v>0</v>
      </c>
      <c r="H298" s="2"/>
      <c r="I298" s="2"/>
      <c r="J298" s="2"/>
      <c r="K298" s="2"/>
      <c r="L298" s="2"/>
      <c r="N298" s="88">
        <v>0</v>
      </c>
      <c r="O298" s="88">
        <v>1</v>
      </c>
      <c r="P298" s="32">
        <v>1</v>
      </c>
      <c r="Q298" s="32">
        <v>1</v>
      </c>
      <c r="R298" s="88">
        <v>4</v>
      </c>
      <c r="S298" s="31"/>
      <c r="T298" s="88">
        <v>1</v>
      </c>
      <c r="U298" s="88">
        <v>1</v>
      </c>
      <c r="V298" s="88">
        <v>1</v>
      </c>
      <c r="W298" s="122">
        <v>1173</v>
      </c>
      <c r="X298" s="9" t="s">
        <v>1635</v>
      </c>
      <c r="Y298" s="89"/>
      <c r="Z298" s="53">
        <v>9999</v>
      </c>
      <c r="AA298" s="53"/>
      <c r="AB298" s="53">
        <v>30</v>
      </c>
      <c r="AC298" s="53">
        <v>30</v>
      </c>
      <c r="AD298" s="53">
        <v>30</v>
      </c>
      <c r="AE298" s="94">
        <v>2000</v>
      </c>
      <c r="AF298" s="94">
        <v>300</v>
      </c>
      <c r="AG298" s="94">
        <v>35000</v>
      </c>
      <c r="AH298" s="94">
        <v>50</v>
      </c>
      <c r="AI298" s="94">
        <v>0</v>
      </c>
      <c r="AJ298" s="94">
        <v>0</v>
      </c>
      <c r="AK298" s="94">
        <v>1</v>
      </c>
      <c r="AL298" s="94">
        <v>0</v>
      </c>
      <c r="AM298" s="98" t="s">
        <v>676</v>
      </c>
      <c r="AS298" s="17"/>
      <c r="AT298" s="17"/>
      <c r="AU298" s="17"/>
      <c r="AV298" s="18"/>
      <c r="AW298" s="88"/>
      <c r="AX298" s="88"/>
      <c r="AY298" s="13"/>
    </row>
    <row r="299" s="9" customFormat="1" spans="2:51">
      <c r="B299" s="9">
        <v>121182</v>
      </c>
      <c r="C299" s="9">
        <v>121182</v>
      </c>
      <c r="D299" s="119" t="s">
        <v>1636</v>
      </c>
      <c r="E299" s="119" t="s">
        <v>1636</v>
      </c>
      <c r="F299" s="119"/>
      <c r="G299" s="9">
        <v>0</v>
      </c>
      <c r="H299" s="2"/>
      <c r="I299" s="2"/>
      <c r="J299" s="2"/>
      <c r="K299" s="2"/>
      <c r="L299" s="2"/>
      <c r="N299" s="88">
        <v>0</v>
      </c>
      <c r="O299" s="88">
        <v>1</v>
      </c>
      <c r="P299" s="32">
        <v>1</v>
      </c>
      <c r="Q299" s="32">
        <v>1</v>
      </c>
      <c r="R299" s="88">
        <v>4</v>
      </c>
      <c r="S299" s="31"/>
      <c r="T299" s="88">
        <v>1</v>
      </c>
      <c r="U299" s="88">
        <v>1</v>
      </c>
      <c r="V299" s="88">
        <v>1</v>
      </c>
      <c r="W299" s="122">
        <v>1174</v>
      </c>
      <c r="X299" s="9" t="s">
        <v>1637</v>
      </c>
      <c r="Y299" s="89"/>
      <c r="Z299" s="53">
        <v>9999</v>
      </c>
      <c r="AA299" s="53"/>
      <c r="AB299" s="53">
        <v>30</v>
      </c>
      <c r="AC299" s="53">
        <v>30</v>
      </c>
      <c r="AD299" s="53">
        <v>30</v>
      </c>
      <c r="AE299" s="94">
        <v>2000</v>
      </c>
      <c r="AF299" s="94">
        <v>300</v>
      </c>
      <c r="AG299" s="94">
        <v>35000</v>
      </c>
      <c r="AH299" s="94">
        <v>50</v>
      </c>
      <c r="AI299" s="94">
        <v>0</v>
      </c>
      <c r="AJ299" s="94">
        <v>0</v>
      </c>
      <c r="AK299" s="94">
        <v>1</v>
      </c>
      <c r="AL299" s="94">
        <v>0</v>
      </c>
      <c r="AM299" s="98" t="s">
        <v>676</v>
      </c>
      <c r="AS299" s="17"/>
      <c r="AT299" s="17"/>
      <c r="AU299" s="17"/>
      <c r="AV299" s="18"/>
      <c r="AW299" s="88"/>
      <c r="AX299" s="88"/>
      <c r="AY299" s="13"/>
    </row>
    <row r="300" s="9" customFormat="1" spans="2:51">
      <c r="B300" s="9">
        <v>121183</v>
      </c>
      <c r="C300" s="9">
        <v>121183</v>
      </c>
      <c r="D300" s="119" t="s">
        <v>1638</v>
      </c>
      <c r="E300" s="119" t="s">
        <v>1639</v>
      </c>
      <c r="F300" s="119"/>
      <c r="G300" s="9">
        <v>0</v>
      </c>
      <c r="H300" s="2"/>
      <c r="I300" s="2"/>
      <c r="J300" s="2"/>
      <c r="K300" s="2"/>
      <c r="L300" s="2"/>
      <c r="N300" s="88">
        <v>0</v>
      </c>
      <c r="O300" s="88">
        <v>0</v>
      </c>
      <c r="P300" s="32">
        <v>1</v>
      </c>
      <c r="Q300" s="32">
        <v>1</v>
      </c>
      <c r="R300" s="88">
        <v>3</v>
      </c>
      <c r="S300" s="31"/>
      <c r="T300" s="88">
        <v>1</v>
      </c>
      <c r="U300" s="88">
        <v>1</v>
      </c>
      <c r="V300" s="88">
        <v>1</v>
      </c>
      <c r="W300" s="122">
        <v>1175</v>
      </c>
      <c r="X300" s="9" t="s">
        <v>1354</v>
      </c>
      <c r="Y300" s="89"/>
      <c r="Z300" s="53">
        <v>9999</v>
      </c>
      <c r="AA300" s="53"/>
      <c r="AB300" s="53">
        <v>30</v>
      </c>
      <c r="AC300" s="53">
        <v>30</v>
      </c>
      <c r="AD300" s="53">
        <v>30</v>
      </c>
      <c r="AE300" s="94">
        <v>2000</v>
      </c>
      <c r="AF300" s="94">
        <v>300</v>
      </c>
      <c r="AG300" s="94">
        <v>35000</v>
      </c>
      <c r="AH300" s="94">
        <v>50</v>
      </c>
      <c r="AI300" s="94">
        <v>0</v>
      </c>
      <c r="AJ300" s="94">
        <v>0</v>
      </c>
      <c r="AK300" s="94">
        <v>1</v>
      </c>
      <c r="AL300" s="94">
        <v>0</v>
      </c>
      <c r="AM300" s="98" t="s">
        <v>676</v>
      </c>
      <c r="AS300" s="17"/>
      <c r="AT300" s="17"/>
      <c r="AU300" s="17"/>
      <c r="AV300" s="18"/>
      <c r="AW300" s="88"/>
      <c r="AX300" s="88"/>
      <c r="AY300" s="13"/>
    </row>
    <row r="301" s="9" customFormat="1" spans="2:51">
      <c r="B301" s="9">
        <v>121184</v>
      </c>
      <c r="C301" s="9">
        <v>121184</v>
      </c>
      <c r="D301" s="119" t="s">
        <v>1640</v>
      </c>
      <c r="E301" s="119" t="s">
        <v>1641</v>
      </c>
      <c r="F301" s="119"/>
      <c r="G301" s="9">
        <v>0</v>
      </c>
      <c r="H301" s="2"/>
      <c r="I301" s="2"/>
      <c r="J301" s="2"/>
      <c r="K301" s="2"/>
      <c r="L301" s="2"/>
      <c r="N301" s="88">
        <v>0</v>
      </c>
      <c r="O301" s="88">
        <v>0</v>
      </c>
      <c r="P301" s="32">
        <v>1</v>
      </c>
      <c r="Q301" s="32">
        <v>1</v>
      </c>
      <c r="R301" s="88">
        <v>3</v>
      </c>
      <c r="S301" s="31"/>
      <c r="T301" s="88">
        <v>1</v>
      </c>
      <c r="U301" s="88">
        <v>1</v>
      </c>
      <c r="V301" s="88">
        <v>1</v>
      </c>
      <c r="W301" s="122">
        <v>1176</v>
      </c>
      <c r="X301" s="9" t="s">
        <v>1283</v>
      </c>
      <c r="Y301" s="89"/>
      <c r="Z301" s="53">
        <v>9999</v>
      </c>
      <c r="AA301" s="53"/>
      <c r="AB301" s="53">
        <v>30</v>
      </c>
      <c r="AC301" s="53">
        <v>30</v>
      </c>
      <c r="AD301" s="53">
        <v>30</v>
      </c>
      <c r="AE301" s="94">
        <v>2000</v>
      </c>
      <c r="AF301" s="94">
        <v>300</v>
      </c>
      <c r="AG301" s="94">
        <v>35000</v>
      </c>
      <c r="AH301" s="94">
        <v>50</v>
      </c>
      <c r="AI301" s="94">
        <v>0</v>
      </c>
      <c r="AJ301" s="94">
        <v>0</v>
      </c>
      <c r="AK301" s="94">
        <v>1</v>
      </c>
      <c r="AL301" s="94">
        <v>0</v>
      </c>
      <c r="AM301" s="98" t="s">
        <v>676</v>
      </c>
      <c r="AS301" s="17"/>
      <c r="AT301" s="17"/>
      <c r="AU301" s="17"/>
      <c r="AV301" s="18"/>
      <c r="AW301" s="88"/>
      <c r="AX301" s="88"/>
      <c r="AY301" s="13"/>
    </row>
    <row r="302" s="9" customFormat="1" spans="2:51">
      <c r="B302" s="9">
        <v>121185</v>
      </c>
      <c r="C302" s="9">
        <v>121185</v>
      </c>
      <c r="D302" s="119" t="s">
        <v>1642</v>
      </c>
      <c r="E302" s="119" t="s">
        <v>1643</v>
      </c>
      <c r="F302" s="119"/>
      <c r="G302" s="9">
        <v>0</v>
      </c>
      <c r="H302" s="2"/>
      <c r="I302" s="2"/>
      <c r="J302" s="2"/>
      <c r="K302" s="2"/>
      <c r="L302" s="2"/>
      <c r="N302" s="88">
        <v>0</v>
      </c>
      <c r="O302" s="88">
        <v>0</v>
      </c>
      <c r="P302" s="32">
        <v>1</v>
      </c>
      <c r="Q302" s="32">
        <v>1</v>
      </c>
      <c r="R302" s="88">
        <v>3</v>
      </c>
      <c r="S302" s="31"/>
      <c r="T302" s="88">
        <v>1</v>
      </c>
      <c r="U302" s="88">
        <v>1</v>
      </c>
      <c r="V302" s="88">
        <v>1</v>
      </c>
      <c r="W302" s="122">
        <v>1177</v>
      </c>
      <c r="X302" s="9" t="s">
        <v>1542</v>
      </c>
      <c r="Y302" s="89"/>
      <c r="Z302" s="53">
        <v>9999</v>
      </c>
      <c r="AA302" s="53"/>
      <c r="AB302" s="53">
        <v>30</v>
      </c>
      <c r="AC302" s="53">
        <v>30</v>
      </c>
      <c r="AD302" s="53">
        <v>30</v>
      </c>
      <c r="AE302" s="94">
        <v>2000</v>
      </c>
      <c r="AF302" s="94">
        <v>300</v>
      </c>
      <c r="AG302" s="94">
        <v>35000</v>
      </c>
      <c r="AH302" s="94">
        <v>50</v>
      </c>
      <c r="AI302" s="94">
        <v>0</v>
      </c>
      <c r="AJ302" s="94">
        <v>0</v>
      </c>
      <c r="AK302" s="94">
        <v>1</v>
      </c>
      <c r="AL302" s="94">
        <v>0</v>
      </c>
      <c r="AM302" s="98" t="s">
        <v>676</v>
      </c>
      <c r="AS302" s="17"/>
      <c r="AT302" s="17"/>
      <c r="AU302" s="17"/>
      <c r="AV302" s="18"/>
      <c r="AW302" s="88"/>
      <c r="AX302" s="88"/>
      <c r="AY302" s="13"/>
    </row>
    <row r="303" s="9" customFormat="1" spans="2:51">
      <c r="B303" s="9">
        <v>121186</v>
      </c>
      <c r="C303" s="9">
        <v>121186</v>
      </c>
      <c r="D303" s="119" t="s">
        <v>1644</v>
      </c>
      <c r="E303" s="119" t="s">
        <v>1645</v>
      </c>
      <c r="F303" s="119"/>
      <c r="G303" s="9">
        <v>0</v>
      </c>
      <c r="H303" s="2"/>
      <c r="I303" s="2"/>
      <c r="J303" s="2"/>
      <c r="K303" s="2"/>
      <c r="L303" s="2"/>
      <c r="N303" s="88">
        <v>0</v>
      </c>
      <c r="O303" s="88">
        <v>0</v>
      </c>
      <c r="P303" s="32">
        <v>1</v>
      </c>
      <c r="Q303" s="32">
        <v>1</v>
      </c>
      <c r="R303" s="88">
        <v>2</v>
      </c>
      <c r="S303" s="31"/>
      <c r="T303" s="88">
        <v>1</v>
      </c>
      <c r="U303" s="88">
        <v>1</v>
      </c>
      <c r="V303" s="88">
        <v>1</v>
      </c>
      <c r="W303" s="122">
        <v>1178</v>
      </c>
      <c r="X303" s="9" t="s">
        <v>1446</v>
      </c>
      <c r="Y303" s="89"/>
      <c r="Z303" s="53">
        <v>9999</v>
      </c>
      <c r="AA303" s="53"/>
      <c r="AB303" s="53">
        <v>30</v>
      </c>
      <c r="AC303" s="53">
        <v>30</v>
      </c>
      <c r="AD303" s="53">
        <v>30</v>
      </c>
      <c r="AE303" s="94">
        <v>2000</v>
      </c>
      <c r="AF303" s="94">
        <v>300</v>
      </c>
      <c r="AG303" s="94">
        <v>35000</v>
      </c>
      <c r="AH303" s="94">
        <v>50</v>
      </c>
      <c r="AI303" s="94">
        <v>0</v>
      </c>
      <c r="AJ303" s="94">
        <v>0</v>
      </c>
      <c r="AK303" s="94">
        <v>1</v>
      </c>
      <c r="AL303" s="94">
        <v>0</v>
      </c>
      <c r="AM303" s="98" t="s">
        <v>676</v>
      </c>
      <c r="AS303" s="17"/>
      <c r="AT303" s="17"/>
      <c r="AU303" s="17"/>
      <c r="AV303" s="18"/>
      <c r="AW303" s="88"/>
      <c r="AX303" s="88"/>
      <c r="AY303" s="13"/>
    </row>
    <row r="304" s="9" customFormat="1" spans="2:51">
      <c r="B304" s="9">
        <v>121187</v>
      </c>
      <c r="C304" s="9">
        <v>121187</v>
      </c>
      <c r="D304" s="119" t="s">
        <v>1646</v>
      </c>
      <c r="E304" s="119" t="s">
        <v>1647</v>
      </c>
      <c r="F304" s="119"/>
      <c r="G304" s="9">
        <v>0</v>
      </c>
      <c r="H304" s="2"/>
      <c r="I304" s="2"/>
      <c r="J304" s="2"/>
      <c r="K304" s="2"/>
      <c r="L304" s="2"/>
      <c r="N304" s="88">
        <v>0</v>
      </c>
      <c r="O304" s="88">
        <v>0</v>
      </c>
      <c r="P304" s="32">
        <v>1</v>
      </c>
      <c r="Q304" s="32">
        <v>1</v>
      </c>
      <c r="R304" s="88">
        <v>2</v>
      </c>
      <c r="S304" s="31"/>
      <c r="T304" s="88">
        <v>1</v>
      </c>
      <c r="U304" s="88">
        <v>1</v>
      </c>
      <c r="V304" s="88">
        <v>1</v>
      </c>
      <c r="W304" s="122">
        <v>1179</v>
      </c>
      <c r="X304" s="9" t="s">
        <v>1468</v>
      </c>
      <c r="Y304" s="89"/>
      <c r="Z304" s="53">
        <v>9999</v>
      </c>
      <c r="AA304" s="53"/>
      <c r="AB304" s="53">
        <v>30</v>
      </c>
      <c r="AC304" s="53">
        <v>30</v>
      </c>
      <c r="AD304" s="53">
        <v>30</v>
      </c>
      <c r="AE304" s="94">
        <v>2000</v>
      </c>
      <c r="AF304" s="94">
        <v>300</v>
      </c>
      <c r="AG304" s="94">
        <v>35000</v>
      </c>
      <c r="AH304" s="94">
        <v>50</v>
      </c>
      <c r="AI304" s="94">
        <v>0</v>
      </c>
      <c r="AJ304" s="94">
        <v>0</v>
      </c>
      <c r="AK304" s="94">
        <v>1</v>
      </c>
      <c r="AL304" s="94">
        <v>0</v>
      </c>
      <c r="AM304" s="98" t="s">
        <v>676</v>
      </c>
      <c r="AS304" s="17"/>
      <c r="AT304" s="17"/>
      <c r="AU304" s="17"/>
      <c r="AV304" s="18"/>
      <c r="AW304" s="88"/>
      <c r="AX304" s="88"/>
      <c r="AY304" s="13"/>
    </row>
    <row r="305" s="9" customFormat="1" ht="16.5" spans="2:51">
      <c r="B305" s="9">
        <v>121188</v>
      </c>
      <c r="C305" s="9">
        <v>121188</v>
      </c>
      <c r="D305" s="121" t="s">
        <v>1648</v>
      </c>
      <c r="E305" s="121" t="s">
        <v>1648</v>
      </c>
      <c r="F305" s="121"/>
      <c r="G305" s="9">
        <v>0</v>
      </c>
      <c r="H305" s="2"/>
      <c r="I305" s="2"/>
      <c r="J305" s="2"/>
      <c r="K305" s="2"/>
      <c r="L305" s="2"/>
      <c r="N305" s="88">
        <v>0</v>
      </c>
      <c r="O305" s="88">
        <v>0</v>
      </c>
      <c r="P305" s="32">
        <v>1</v>
      </c>
      <c r="Q305" s="32">
        <v>1</v>
      </c>
      <c r="R305" s="88">
        <v>4</v>
      </c>
      <c r="S305" s="31"/>
      <c r="T305" s="88">
        <v>1</v>
      </c>
      <c r="U305" s="88">
        <v>1</v>
      </c>
      <c r="V305" s="88">
        <v>1</v>
      </c>
      <c r="W305" s="122">
        <v>1180</v>
      </c>
      <c r="X305" s="9" t="s">
        <v>1629</v>
      </c>
      <c r="Y305" s="89"/>
      <c r="Z305" s="53">
        <v>9999</v>
      </c>
      <c r="AA305" s="53"/>
      <c r="AB305" s="53">
        <v>30</v>
      </c>
      <c r="AC305" s="53">
        <v>30</v>
      </c>
      <c r="AD305" s="53">
        <v>30</v>
      </c>
      <c r="AE305" s="94">
        <v>2000</v>
      </c>
      <c r="AF305" s="94">
        <v>300</v>
      </c>
      <c r="AG305" s="94">
        <v>35000</v>
      </c>
      <c r="AH305" s="94">
        <v>50</v>
      </c>
      <c r="AI305" s="94">
        <v>0</v>
      </c>
      <c r="AJ305" s="94">
        <v>0</v>
      </c>
      <c r="AK305" s="94">
        <v>1</v>
      </c>
      <c r="AL305" s="94">
        <v>0</v>
      </c>
      <c r="AM305" s="98" t="s">
        <v>676</v>
      </c>
      <c r="AS305" s="17"/>
      <c r="AT305" s="17"/>
      <c r="AU305" s="17"/>
      <c r="AV305" s="18"/>
      <c r="AW305" s="88"/>
      <c r="AX305" s="88"/>
      <c r="AY305" s="13"/>
    </row>
    <row r="306" s="9" customFormat="1" ht="16.5" spans="2:51">
      <c r="B306" s="9">
        <v>121189</v>
      </c>
      <c r="C306" s="9">
        <v>121189</v>
      </c>
      <c r="D306" s="121" t="s">
        <v>1649</v>
      </c>
      <c r="E306" s="121" t="s">
        <v>1649</v>
      </c>
      <c r="F306" s="121"/>
      <c r="G306" s="9">
        <v>0</v>
      </c>
      <c r="H306" s="2"/>
      <c r="I306" s="2"/>
      <c r="J306" s="2"/>
      <c r="K306" s="2"/>
      <c r="L306" s="2"/>
      <c r="N306" s="88">
        <v>0</v>
      </c>
      <c r="O306" s="88">
        <v>0</v>
      </c>
      <c r="P306" s="32">
        <v>1</v>
      </c>
      <c r="Q306" s="32">
        <v>1</v>
      </c>
      <c r="R306" s="88">
        <v>4</v>
      </c>
      <c r="S306" s="31"/>
      <c r="T306" s="88">
        <v>1</v>
      </c>
      <c r="U306" s="88">
        <v>1</v>
      </c>
      <c r="V306" s="88">
        <v>1</v>
      </c>
      <c r="W306" s="122">
        <v>1181</v>
      </c>
      <c r="X306" s="9" t="s">
        <v>1633</v>
      </c>
      <c r="Y306" s="89"/>
      <c r="Z306" s="53">
        <v>9999</v>
      </c>
      <c r="AA306" s="53"/>
      <c r="AB306" s="53">
        <v>30</v>
      </c>
      <c r="AC306" s="53">
        <v>30</v>
      </c>
      <c r="AD306" s="53">
        <v>30</v>
      </c>
      <c r="AE306" s="94">
        <v>2000</v>
      </c>
      <c r="AF306" s="94">
        <v>300</v>
      </c>
      <c r="AG306" s="94">
        <v>35000</v>
      </c>
      <c r="AH306" s="94">
        <v>50</v>
      </c>
      <c r="AI306" s="94">
        <v>0</v>
      </c>
      <c r="AJ306" s="94">
        <v>0</v>
      </c>
      <c r="AK306" s="94">
        <v>1</v>
      </c>
      <c r="AL306" s="94">
        <v>0</v>
      </c>
      <c r="AM306" s="98" t="s">
        <v>676</v>
      </c>
      <c r="AS306" s="17"/>
      <c r="AT306" s="17"/>
      <c r="AU306" s="17"/>
      <c r="AV306" s="18"/>
      <c r="AW306" s="88"/>
      <c r="AX306" s="88"/>
      <c r="AY306" s="13"/>
    </row>
    <row r="307" s="9" customFormat="1" spans="2:51">
      <c r="B307" s="9">
        <v>121190</v>
      </c>
      <c r="C307" s="9">
        <v>121190</v>
      </c>
      <c r="D307" s="119" t="s">
        <v>1650</v>
      </c>
      <c r="E307" s="119" t="s">
        <v>1650</v>
      </c>
      <c r="F307" s="119"/>
      <c r="G307" s="9">
        <v>1</v>
      </c>
      <c r="H307" s="2"/>
      <c r="I307" s="2"/>
      <c r="J307" s="2"/>
      <c r="K307" s="2"/>
      <c r="L307" s="2"/>
      <c r="N307" s="88">
        <v>0</v>
      </c>
      <c r="O307" s="88">
        <v>1</v>
      </c>
      <c r="P307" s="32">
        <v>1</v>
      </c>
      <c r="Q307" s="32">
        <v>1</v>
      </c>
      <c r="R307" s="88">
        <v>2</v>
      </c>
      <c r="S307" s="31"/>
      <c r="T307" s="88">
        <v>1</v>
      </c>
      <c r="U307" s="88">
        <v>1</v>
      </c>
      <c r="V307" s="88">
        <v>1</v>
      </c>
      <c r="W307" s="122">
        <v>1182</v>
      </c>
      <c r="X307" s="9" t="s">
        <v>1651</v>
      </c>
      <c r="Y307" s="89"/>
      <c r="Z307" s="53">
        <v>9999</v>
      </c>
      <c r="AA307" s="53"/>
      <c r="AB307" s="53">
        <v>30</v>
      </c>
      <c r="AC307" s="53">
        <v>30</v>
      </c>
      <c r="AD307" s="53">
        <v>30</v>
      </c>
      <c r="AE307" s="94">
        <v>2000</v>
      </c>
      <c r="AF307" s="94">
        <v>300</v>
      </c>
      <c r="AG307" s="94">
        <v>35000</v>
      </c>
      <c r="AH307" s="94">
        <v>50</v>
      </c>
      <c r="AI307" s="94">
        <v>0</v>
      </c>
      <c r="AJ307" s="94">
        <v>0</v>
      </c>
      <c r="AK307" s="94">
        <v>1</v>
      </c>
      <c r="AL307" s="94">
        <v>0</v>
      </c>
      <c r="AM307" s="98" t="s">
        <v>676</v>
      </c>
      <c r="AS307" s="17"/>
      <c r="AT307" s="17"/>
      <c r="AU307" s="17"/>
      <c r="AV307" s="18"/>
      <c r="AW307" s="88"/>
      <c r="AX307" s="88"/>
      <c r="AY307" s="13"/>
    </row>
    <row r="308" s="9" customFormat="1" spans="2:51">
      <c r="B308" s="9">
        <v>121191</v>
      </c>
      <c r="C308" s="9">
        <v>121191</v>
      </c>
      <c r="D308" s="119" t="s">
        <v>1652</v>
      </c>
      <c r="E308" s="119" t="s">
        <v>1652</v>
      </c>
      <c r="F308" s="119"/>
      <c r="G308" s="9">
        <v>0</v>
      </c>
      <c r="H308" s="2"/>
      <c r="I308" s="2"/>
      <c r="J308" s="2"/>
      <c r="K308" s="2"/>
      <c r="L308" s="2"/>
      <c r="N308" s="88">
        <v>0</v>
      </c>
      <c r="O308" s="88">
        <v>0</v>
      </c>
      <c r="P308" s="32">
        <v>1</v>
      </c>
      <c r="Q308" s="32">
        <v>1</v>
      </c>
      <c r="R308" s="88">
        <v>2</v>
      </c>
      <c r="S308" s="31"/>
      <c r="T308" s="88">
        <v>1</v>
      </c>
      <c r="U308" s="88">
        <v>1</v>
      </c>
      <c r="V308" s="88">
        <v>1</v>
      </c>
      <c r="W308" s="122">
        <v>1183</v>
      </c>
      <c r="X308" s="9" t="s">
        <v>1653</v>
      </c>
      <c r="Y308" s="89"/>
      <c r="Z308" s="53">
        <v>9999</v>
      </c>
      <c r="AA308" s="53"/>
      <c r="AB308" s="53">
        <v>30</v>
      </c>
      <c r="AC308" s="53">
        <v>30</v>
      </c>
      <c r="AD308" s="53">
        <v>30</v>
      </c>
      <c r="AE308" s="94">
        <v>2000</v>
      </c>
      <c r="AF308" s="94">
        <v>300</v>
      </c>
      <c r="AG308" s="94">
        <v>35000</v>
      </c>
      <c r="AH308" s="94">
        <v>50</v>
      </c>
      <c r="AI308" s="94">
        <v>0</v>
      </c>
      <c r="AJ308" s="94">
        <v>0</v>
      </c>
      <c r="AK308" s="94">
        <v>1</v>
      </c>
      <c r="AL308" s="94">
        <v>0</v>
      </c>
      <c r="AM308" s="98" t="s">
        <v>676</v>
      </c>
      <c r="AS308" s="17"/>
      <c r="AT308" s="17"/>
      <c r="AU308" s="17"/>
      <c r="AV308" s="18"/>
      <c r="AW308" s="88"/>
      <c r="AX308" s="88"/>
      <c r="AY308" s="13"/>
    </row>
    <row r="309" s="9" customFormat="1" spans="2:51">
      <c r="B309" s="9">
        <v>121192</v>
      </c>
      <c r="C309" s="9">
        <v>121192</v>
      </c>
      <c r="D309" s="119" t="s">
        <v>1654</v>
      </c>
      <c r="E309" s="119" t="s">
        <v>1654</v>
      </c>
      <c r="F309" s="119"/>
      <c r="G309" s="9">
        <v>0</v>
      </c>
      <c r="H309" s="2"/>
      <c r="I309" s="2"/>
      <c r="J309" s="2"/>
      <c r="K309" s="2"/>
      <c r="L309" s="2"/>
      <c r="N309" s="88">
        <v>0</v>
      </c>
      <c r="O309" s="88">
        <v>0</v>
      </c>
      <c r="P309" s="32">
        <v>1</v>
      </c>
      <c r="Q309" s="32">
        <v>1</v>
      </c>
      <c r="R309" s="88">
        <v>2</v>
      </c>
      <c r="S309" s="31"/>
      <c r="T309" s="88">
        <v>1</v>
      </c>
      <c r="U309" s="88">
        <v>1</v>
      </c>
      <c r="V309" s="88">
        <v>1</v>
      </c>
      <c r="W309" s="122">
        <v>1184</v>
      </c>
      <c r="X309" s="9" t="s">
        <v>1655</v>
      </c>
      <c r="Y309" s="89"/>
      <c r="Z309" s="53">
        <v>9999</v>
      </c>
      <c r="AA309" s="53"/>
      <c r="AB309" s="53">
        <v>30</v>
      </c>
      <c r="AC309" s="53">
        <v>30</v>
      </c>
      <c r="AD309" s="53">
        <v>30</v>
      </c>
      <c r="AE309" s="94">
        <v>2000</v>
      </c>
      <c r="AF309" s="94">
        <v>300</v>
      </c>
      <c r="AG309" s="94">
        <v>35000</v>
      </c>
      <c r="AH309" s="94">
        <v>50</v>
      </c>
      <c r="AI309" s="94">
        <v>0</v>
      </c>
      <c r="AJ309" s="94">
        <v>0</v>
      </c>
      <c r="AK309" s="94">
        <v>1</v>
      </c>
      <c r="AL309" s="94">
        <v>0</v>
      </c>
      <c r="AM309" s="98" t="s">
        <v>676</v>
      </c>
      <c r="AS309" s="17"/>
      <c r="AT309" s="17"/>
      <c r="AU309" s="17"/>
      <c r="AV309" s="18"/>
      <c r="AW309" s="88"/>
      <c r="AX309" s="88"/>
      <c r="AY309" s="13"/>
    </row>
    <row r="310" s="9" customFormat="1" spans="2:51">
      <c r="B310" s="9">
        <v>121193</v>
      </c>
      <c r="C310" s="9">
        <v>121193</v>
      </c>
      <c r="D310" s="119" t="s">
        <v>1656</v>
      </c>
      <c r="E310" s="119" t="s">
        <v>1656</v>
      </c>
      <c r="F310" s="119"/>
      <c r="G310" s="9">
        <v>0</v>
      </c>
      <c r="H310" s="2"/>
      <c r="I310" s="2"/>
      <c r="J310" s="2"/>
      <c r="K310" s="2"/>
      <c r="L310" s="2"/>
      <c r="N310" s="88">
        <v>0</v>
      </c>
      <c r="O310" s="88">
        <v>1</v>
      </c>
      <c r="P310" s="32">
        <v>1</v>
      </c>
      <c r="Q310" s="32">
        <v>1</v>
      </c>
      <c r="R310" s="88">
        <v>2</v>
      </c>
      <c r="S310" s="31"/>
      <c r="T310" s="88">
        <v>1</v>
      </c>
      <c r="U310" s="88">
        <v>1</v>
      </c>
      <c r="V310" s="88">
        <v>1</v>
      </c>
      <c r="W310" s="122">
        <v>1185</v>
      </c>
      <c r="X310" s="9" t="s">
        <v>1657</v>
      </c>
      <c r="Y310" s="89"/>
      <c r="Z310" s="53">
        <v>9999</v>
      </c>
      <c r="AA310" s="53"/>
      <c r="AB310" s="53">
        <v>30</v>
      </c>
      <c r="AC310" s="53">
        <v>30</v>
      </c>
      <c r="AD310" s="53">
        <v>30</v>
      </c>
      <c r="AE310" s="94">
        <v>2000</v>
      </c>
      <c r="AF310" s="94">
        <v>300</v>
      </c>
      <c r="AG310" s="94">
        <v>35000</v>
      </c>
      <c r="AH310" s="94">
        <v>50</v>
      </c>
      <c r="AI310" s="94">
        <v>0</v>
      </c>
      <c r="AJ310" s="94">
        <v>0</v>
      </c>
      <c r="AK310" s="94">
        <v>1</v>
      </c>
      <c r="AL310" s="94">
        <v>0</v>
      </c>
      <c r="AM310" s="98" t="s">
        <v>676</v>
      </c>
      <c r="AS310" s="17"/>
      <c r="AT310" s="17"/>
      <c r="AU310" s="17"/>
      <c r="AV310" s="18"/>
      <c r="AW310" s="88"/>
      <c r="AX310" s="88"/>
      <c r="AY310" s="13"/>
    </row>
    <row r="311" s="9" customFormat="1" spans="2:51">
      <c r="B311" s="9">
        <v>121194</v>
      </c>
      <c r="C311" s="9">
        <v>121194</v>
      </c>
      <c r="D311" s="119" t="s">
        <v>1654</v>
      </c>
      <c r="E311" s="119" t="s">
        <v>1658</v>
      </c>
      <c r="F311" s="119"/>
      <c r="G311" s="9">
        <v>0</v>
      </c>
      <c r="H311" s="2"/>
      <c r="I311" s="2"/>
      <c r="J311" s="2"/>
      <c r="K311" s="2"/>
      <c r="L311" s="2"/>
      <c r="N311" s="88">
        <v>0</v>
      </c>
      <c r="O311" s="88">
        <v>1</v>
      </c>
      <c r="P311" s="32">
        <v>1</v>
      </c>
      <c r="Q311" s="32">
        <v>1</v>
      </c>
      <c r="R311" s="88">
        <v>2</v>
      </c>
      <c r="S311" s="31"/>
      <c r="T311" s="88">
        <v>1</v>
      </c>
      <c r="U311" s="88">
        <v>1</v>
      </c>
      <c r="V311" s="88">
        <v>1</v>
      </c>
      <c r="W311" s="122">
        <v>1186</v>
      </c>
      <c r="X311" s="9" t="s">
        <v>1655</v>
      </c>
      <c r="Y311" s="89"/>
      <c r="Z311" s="53">
        <v>9999</v>
      </c>
      <c r="AA311" s="53"/>
      <c r="AB311" s="53">
        <v>30</v>
      </c>
      <c r="AC311" s="53">
        <v>30</v>
      </c>
      <c r="AD311" s="53">
        <v>30</v>
      </c>
      <c r="AE311" s="94">
        <v>2000</v>
      </c>
      <c r="AF311" s="94">
        <v>300</v>
      </c>
      <c r="AG311" s="94">
        <v>35000</v>
      </c>
      <c r="AH311" s="94">
        <v>50</v>
      </c>
      <c r="AI311" s="94">
        <v>0</v>
      </c>
      <c r="AJ311" s="94">
        <v>0</v>
      </c>
      <c r="AK311" s="94">
        <v>1</v>
      </c>
      <c r="AL311" s="94">
        <v>0</v>
      </c>
      <c r="AM311" s="98" t="s">
        <v>676</v>
      </c>
      <c r="AS311" s="17"/>
      <c r="AT311" s="17"/>
      <c r="AU311" s="17"/>
      <c r="AV311" s="18"/>
      <c r="AW311" s="88"/>
      <c r="AX311" s="88"/>
      <c r="AY311" s="13"/>
    </row>
    <row r="312" s="9" customFormat="1" spans="2:51">
      <c r="B312" s="9">
        <v>121195</v>
      </c>
      <c r="C312" s="9">
        <v>121195</v>
      </c>
      <c r="D312" s="119" t="s">
        <v>621</v>
      </c>
      <c r="E312" s="119" t="s">
        <v>1659</v>
      </c>
      <c r="F312" s="119"/>
      <c r="G312" s="9">
        <v>0</v>
      </c>
      <c r="H312" s="2"/>
      <c r="I312" s="2"/>
      <c r="J312" s="2"/>
      <c r="K312" s="2"/>
      <c r="L312" s="2"/>
      <c r="N312" s="88">
        <v>0</v>
      </c>
      <c r="O312" s="88">
        <v>0</v>
      </c>
      <c r="P312" s="32">
        <v>2</v>
      </c>
      <c r="Q312" s="32">
        <v>1</v>
      </c>
      <c r="R312" s="88">
        <v>2</v>
      </c>
      <c r="S312" s="31"/>
      <c r="T312" s="88">
        <v>1</v>
      </c>
      <c r="U312" s="88">
        <v>1</v>
      </c>
      <c r="V312" s="88">
        <v>1</v>
      </c>
      <c r="W312" s="122">
        <v>403501</v>
      </c>
      <c r="X312" s="9" t="s">
        <v>1660</v>
      </c>
      <c r="Y312" s="89"/>
      <c r="Z312" s="53">
        <v>9999</v>
      </c>
      <c r="AA312" s="53"/>
      <c r="AB312" s="53">
        <v>30</v>
      </c>
      <c r="AC312" s="53">
        <v>30</v>
      </c>
      <c r="AD312" s="53">
        <v>30</v>
      </c>
      <c r="AE312" s="94">
        <v>2000</v>
      </c>
      <c r="AF312" s="94">
        <v>300</v>
      </c>
      <c r="AG312" s="94">
        <v>35000</v>
      </c>
      <c r="AH312" s="94">
        <v>50</v>
      </c>
      <c r="AI312" s="94">
        <v>0</v>
      </c>
      <c r="AJ312" s="94">
        <v>0</v>
      </c>
      <c r="AK312" s="94">
        <v>1</v>
      </c>
      <c r="AL312" s="94">
        <v>0</v>
      </c>
      <c r="AM312" s="98" t="s">
        <v>676</v>
      </c>
      <c r="AS312" s="17"/>
      <c r="AT312" s="17"/>
      <c r="AU312" s="17"/>
      <c r="AV312" s="18"/>
      <c r="AW312" s="88"/>
      <c r="AX312" s="88"/>
      <c r="AY312" s="13"/>
    </row>
    <row r="313" s="9" customFormat="1" spans="2:51">
      <c r="B313" s="9">
        <v>121196</v>
      </c>
      <c r="C313" s="9">
        <v>121196</v>
      </c>
      <c r="D313" s="119" t="s">
        <v>759</v>
      </c>
      <c r="E313" s="119" t="s">
        <v>1661</v>
      </c>
      <c r="F313" s="119"/>
      <c r="G313" s="9">
        <v>1</v>
      </c>
      <c r="H313" s="2"/>
      <c r="I313" s="2"/>
      <c r="J313" s="2"/>
      <c r="K313" s="2"/>
      <c r="L313" s="2"/>
      <c r="N313" s="88">
        <v>0</v>
      </c>
      <c r="O313" s="88">
        <v>0</v>
      </c>
      <c r="P313" s="32">
        <v>3</v>
      </c>
      <c r="Q313" s="32">
        <v>1</v>
      </c>
      <c r="R313" s="88">
        <v>2</v>
      </c>
      <c r="S313" s="31"/>
      <c r="T313" s="88">
        <v>1</v>
      </c>
      <c r="U313" s="88">
        <v>1</v>
      </c>
      <c r="V313" s="88">
        <v>1</v>
      </c>
      <c r="W313" s="122">
        <v>405601</v>
      </c>
      <c r="X313" s="9" t="s">
        <v>1662</v>
      </c>
      <c r="Y313" s="89"/>
      <c r="Z313" s="53">
        <v>9999</v>
      </c>
      <c r="AA313" s="53"/>
      <c r="AB313" s="53">
        <v>30</v>
      </c>
      <c r="AC313" s="53">
        <v>30</v>
      </c>
      <c r="AD313" s="53">
        <v>30</v>
      </c>
      <c r="AE313" s="94">
        <v>2000</v>
      </c>
      <c r="AF313" s="94">
        <v>300</v>
      </c>
      <c r="AG313" s="94">
        <v>35000</v>
      </c>
      <c r="AH313" s="94">
        <v>50</v>
      </c>
      <c r="AI313" s="94">
        <v>0</v>
      </c>
      <c r="AJ313" s="94">
        <v>0</v>
      </c>
      <c r="AK313" s="94">
        <v>1</v>
      </c>
      <c r="AL313" s="94">
        <v>0</v>
      </c>
      <c r="AM313" s="98" t="s">
        <v>676</v>
      </c>
      <c r="AS313" s="17"/>
      <c r="AT313" s="17"/>
      <c r="AU313" s="17"/>
      <c r="AV313" s="18"/>
      <c r="AW313" s="88"/>
      <c r="AX313" s="88"/>
      <c r="AY313" s="13"/>
    </row>
    <row r="314" s="9" customFormat="1" spans="2:51">
      <c r="B314" s="9">
        <v>121197</v>
      </c>
      <c r="C314" s="9">
        <v>121197</v>
      </c>
      <c r="D314" s="119" t="s">
        <v>1663</v>
      </c>
      <c r="E314" s="119" t="s">
        <v>1664</v>
      </c>
      <c r="F314" s="119"/>
      <c r="G314" s="9">
        <v>0</v>
      </c>
      <c r="H314" s="2"/>
      <c r="I314" s="2"/>
      <c r="J314" s="2"/>
      <c r="K314" s="2"/>
      <c r="L314" s="2"/>
      <c r="N314" s="88">
        <v>0</v>
      </c>
      <c r="O314" s="88">
        <v>0</v>
      </c>
      <c r="P314" s="32">
        <v>5</v>
      </c>
      <c r="Q314" s="32">
        <v>1</v>
      </c>
      <c r="R314" s="88">
        <v>2</v>
      </c>
      <c r="S314" s="31"/>
      <c r="T314" s="88">
        <v>1</v>
      </c>
      <c r="U314" s="88">
        <v>1</v>
      </c>
      <c r="V314" s="88">
        <v>1</v>
      </c>
      <c r="W314" s="122">
        <v>3013</v>
      </c>
      <c r="X314" s="9" t="s">
        <v>1665</v>
      </c>
      <c r="Y314" s="89"/>
      <c r="Z314" s="53">
        <v>9999</v>
      </c>
      <c r="AA314" s="53"/>
      <c r="AB314" s="53">
        <v>30</v>
      </c>
      <c r="AC314" s="53">
        <v>30</v>
      </c>
      <c r="AD314" s="53">
        <v>30</v>
      </c>
      <c r="AE314" s="94">
        <v>2000</v>
      </c>
      <c r="AF314" s="94">
        <v>300</v>
      </c>
      <c r="AG314" s="94">
        <v>35000</v>
      </c>
      <c r="AH314" s="94">
        <v>50</v>
      </c>
      <c r="AI314" s="94">
        <v>0</v>
      </c>
      <c r="AJ314" s="94">
        <v>0</v>
      </c>
      <c r="AK314" s="94">
        <v>1</v>
      </c>
      <c r="AL314" s="94">
        <v>0</v>
      </c>
      <c r="AM314" s="98" t="s">
        <v>676</v>
      </c>
      <c r="AS314" s="17"/>
      <c r="AT314" s="17"/>
      <c r="AU314" s="17"/>
      <c r="AV314" s="18"/>
      <c r="AW314" s="88"/>
      <c r="AX314" s="88"/>
      <c r="AY314" s="13"/>
    </row>
    <row r="315" s="9" customFormat="1" spans="2:51">
      <c r="B315" s="9">
        <v>121198</v>
      </c>
      <c r="C315" s="9">
        <v>121198</v>
      </c>
      <c r="D315" s="119" t="s">
        <v>1666</v>
      </c>
      <c r="E315" s="119" t="s">
        <v>1667</v>
      </c>
      <c r="F315" s="119"/>
      <c r="G315" s="9">
        <v>0</v>
      </c>
      <c r="H315" s="2"/>
      <c r="I315" s="2"/>
      <c r="J315" s="2"/>
      <c r="K315" s="2"/>
      <c r="L315" s="2"/>
      <c r="N315" s="88">
        <v>0</v>
      </c>
      <c r="O315" s="88">
        <v>0</v>
      </c>
      <c r="P315" s="32">
        <v>6</v>
      </c>
      <c r="Q315" s="32">
        <v>6</v>
      </c>
      <c r="R315" s="88">
        <v>2</v>
      </c>
      <c r="S315" s="31"/>
      <c r="T315" s="88">
        <v>1</v>
      </c>
      <c r="U315" s="88">
        <v>1</v>
      </c>
      <c r="V315" s="88">
        <v>1</v>
      </c>
      <c r="W315" s="9">
        <v>1187</v>
      </c>
      <c r="X315" s="9" t="s">
        <v>1668</v>
      </c>
      <c r="Y315" s="89"/>
      <c r="Z315" s="53">
        <v>9999</v>
      </c>
      <c r="AA315" s="53"/>
      <c r="AB315" s="53">
        <v>30</v>
      </c>
      <c r="AC315" s="53">
        <v>30</v>
      </c>
      <c r="AD315" s="53">
        <v>30</v>
      </c>
      <c r="AE315" s="94">
        <v>2000</v>
      </c>
      <c r="AF315" s="94">
        <v>300</v>
      </c>
      <c r="AG315" s="94">
        <v>35000</v>
      </c>
      <c r="AH315" s="94">
        <v>50</v>
      </c>
      <c r="AI315" s="94">
        <v>0</v>
      </c>
      <c r="AJ315" s="94">
        <v>0</v>
      </c>
      <c r="AK315" s="94">
        <v>1</v>
      </c>
      <c r="AL315" s="94">
        <v>0</v>
      </c>
      <c r="AM315" s="98" t="s">
        <v>676</v>
      </c>
      <c r="AS315" s="17"/>
      <c r="AT315" s="17"/>
      <c r="AU315" s="17"/>
      <c r="AV315" s="18"/>
      <c r="AW315" s="88"/>
      <c r="AX315" s="88"/>
      <c r="AY315" s="13"/>
    </row>
    <row r="316" s="9" customFormat="1" spans="2:51">
      <c r="B316" s="9">
        <v>121199</v>
      </c>
      <c r="C316" s="9">
        <v>121199</v>
      </c>
      <c r="D316" s="119" t="s">
        <v>1669</v>
      </c>
      <c r="E316" s="119" t="s">
        <v>1670</v>
      </c>
      <c r="F316" s="119"/>
      <c r="G316" s="9">
        <v>1</v>
      </c>
      <c r="H316" s="2"/>
      <c r="I316" s="2"/>
      <c r="J316" s="2"/>
      <c r="K316" s="2"/>
      <c r="L316" s="2"/>
      <c r="N316" s="88">
        <v>0</v>
      </c>
      <c r="O316" s="88">
        <v>0</v>
      </c>
      <c r="P316" s="32">
        <v>6</v>
      </c>
      <c r="Q316" s="32">
        <v>6</v>
      </c>
      <c r="R316" s="88">
        <v>2</v>
      </c>
      <c r="S316" s="31"/>
      <c r="T316" s="88">
        <v>1</v>
      </c>
      <c r="U316" s="88">
        <v>1</v>
      </c>
      <c r="V316" s="88">
        <v>1</v>
      </c>
      <c r="W316" s="9">
        <v>1188</v>
      </c>
      <c r="X316" s="9" t="s">
        <v>1671</v>
      </c>
      <c r="Y316" s="89"/>
      <c r="Z316" s="53">
        <v>9999</v>
      </c>
      <c r="AA316" s="53"/>
      <c r="AB316" s="53">
        <v>30</v>
      </c>
      <c r="AC316" s="53">
        <v>30</v>
      </c>
      <c r="AD316" s="53">
        <v>30</v>
      </c>
      <c r="AE316" s="94">
        <v>2000</v>
      </c>
      <c r="AF316" s="94">
        <v>300</v>
      </c>
      <c r="AG316" s="94">
        <v>35000</v>
      </c>
      <c r="AH316" s="94">
        <v>50</v>
      </c>
      <c r="AI316" s="94">
        <v>0</v>
      </c>
      <c r="AJ316" s="94">
        <v>0</v>
      </c>
      <c r="AK316" s="94">
        <v>1</v>
      </c>
      <c r="AL316" s="94">
        <v>0</v>
      </c>
      <c r="AM316" s="98" t="s">
        <v>676</v>
      </c>
      <c r="AS316" s="17"/>
      <c r="AT316" s="17"/>
      <c r="AU316" s="17"/>
      <c r="AV316" s="18"/>
      <c r="AW316" s="88"/>
      <c r="AX316" s="88"/>
      <c r="AY316" s="13"/>
    </row>
    <row r="317" s="9" customFormat="1" spans="2:51">
      <c r="B317" s="9">
        <v>121200</v>
      </c>
      <c r="C317" s="9">
        <v>121200</v>
      </c>
      <c r="D317" s="119" t="s">
        <v>1672</v>
      </c>
      <c r="E317" s="119" t="s">
        <v>1673</v>
      </c>
      <c r="F317" s="119"/>
      <c r="G317" s="9">
        <v>0</v>
      </c>
      <c r="H317" s="2"/>
      <c r="I317" s="2"/>
      <c r="J317" s="2"/>
      <c r="K317" s="2"/>
      <c r="L317" s="2"/>
      <c r="N317" s="88">
        <v>0</v>
      </c>
      <c r="O317" s="88">
        <v>0</v>
      </c>
      <c r="P317" s="32">
        <v>6</v>
      </c>
      <c r="Q317" s="32">
        <v>6</v>
      </c>
      <c r="R317" s="88">
        <v>2</v>
      </c>
      <c r="S317" s="31"/>
      <c r="T317" s="88">
        <v>1</v>
      </c>
      <c r="U317" s="88">
        <v>1</v>
      </c>
      <c r="V317" s="88">
        <v>1</v>
      </c>
      <c r="W317" s="9">
        <v>1189</v>
      </c>
      <c r="X317" s="9" t="s">
        <v>1674</v>
      </c>
      <c r="Y317" s="89"/>
      <c r="Z317" s="53">
        <v>9999</v>
      </c>
      <c r="AA317" s="53"/>
      <c r="AB317" s="53">
        <v>30</v>
      </c>
      <c r="AC317" s="53">
        <v>30</v>
      </c>
      <c r="AD317" s="53">
        <v>30</v>
      </c>
      <c r="AE317" s="94">
        <v>2000</v>
      </c>
      <c r="AF317" s="94">
        <v>300</v>
      </c>
      <c r="AG317" s="94">
        <v>35000</v>
      </c>
      <c r="AH317" s="94">
        <v>50</v>
      </c>
      <c r="AI317" s="94">
        <v>0</v>
      </c>
      <c r="AJ317" s="94">
        <v>0</v>
      </c>
      <c r="AK317" s="94">
        <v>1</v>
      </c>
      <c r="AL317" s="94">
        <v>0</v>
      </c>
      <c r="AM317" s="98" t="s">
        <v>676</v>
      </c>
      <c r="AS317" s="17"/>
      <c r="AT317" s="17"/>
      <c r="AU317" s="17"/>
      <c r="AV317" s="18"/>
      <c r="AW317" s="88"/>
      <c r="AX317" s="88"/>
      <c r="AY317" s="13"/>
    </row>
    <row r="318" s="9" customFormat="1" spans="2:51">
      <c r="B318" s="9">
        <v>121201</v>
      </c>
      <c r="C318" s="9">
        <v>121201</v>
      </c>
      <c r="D318" s="119" t="s">
        <v>523</v>
      </c>
      <c r="E318" s="119" t="s">
        <v>1462</v>
      </c>
      <c r="F318" s="119"/>
      <c r="G318" s="9">
        <v>0</v>
      </c>
      <c r="H318" s="2"/>
      <c r="I318" s="2"/>
      <c r="J318" s="2"/>
      <c r="K318" s="2"/>
      <c r="L318" s="2"/>
      <c r="N318" s="88">
        <v>0</v>
      </c>
      <c r="O318" s="88">
        <v>0</v>
      </c>
      <c r="P318" s="32">
        <v>1</v>
      </c>
      <c r="Q318" s="32">
        <v>1</v>
      </c>
      <c r="R318" s="88">
        <v>2</v>
      </c>
      <c r="S318" s="31"/>
      <c r="T318" s="88">
        <v>1</v>
      </c>
      <c r="U318" s="88">
        <v>1</v>
      </c>
      <c r="V318" s="88">
        <v>1</v>
      </c>
      <c r="W318" s="9">
        <v>1100</v>
      </c>
      <c r="X318" s="89" t="s">
        <v>1463</v>
      </c>
      <c r="Y318" s="89"/>
      <c r="Z318" s="53">
        <v>9999</v>
      </c>
      <c r="AA318" s="53"/>
      <c r="AB318" s="53">
        <v>30</v>
      </c>
      <c r="AC318" s="53">
        <v>30</v>
      </c>
      <c r="AD318" s="53">
        <v>30</v>
      </c>
      <c r="AE318" s="94">
        <v>50</v>
      </c>
      <c r="AF318" s="94">
        <v>20</v>
      </c>
      <c r="AG318" s="94">
        <v>4000</v>
      </c>
      <c r="AH318" s="94">
        <v>50</v>
      </c>
      <c r="AI318" s="94">
        <v>0</v>
      </c>
      <c r="AJ318" s="94">
        <v>0</v>
      </c>
      <c r="AK318" s="94">
        <v>1</v>
      </c>
      <c r="AL318" s="94">
        <v>0</v>
      </c>
      <c r="AM318" s="98" t="s">
        <v>676</v>
      </c>
      <c r="AS318" s="17"/>
      <c r="AT318" s="17"/>
      <c r="AU318" s="17"/>
      <c r="AV318" s="18"/>
      <c r="AW318" s="88"/>
      <c r="AX318" s="88"/>
      <c r="AY318" s="13"/>
    </row>
    <row r="319" s="9" customFormat="1" spans="2:51">
      <c r="B319" s="9">
        <v>121202</v>
      </c>
      <c r="C319" s="9">
        <v>121202</v>
      </c>
      <c r="D319" s="119" t="s">
        <v>523</v>
      </c>
      <c r="E319" s="119" t="s">
        <v>1464</v>
      </c>
      <c r="F319" s="119"/>
      <c r="G319" s="9">
        <v>0</v>
      </c>
      <c r="H319" s="2"/>
      <c r="I319" s="2"/>
      <c r="J319" s="2"/>
      <c r="K319" s="2"/>
      <c r="L319" s="2"/>
      <c r="N319" s="88">
        <v>0</v>
      </c>
      <c r="O319" s="88">
        <v>0</v>
      </c>
      <c r="P319" s="32">
        <v>1</v>
      </c>
      <c r="Q319" s="32">
        <v>1</v>
      </c>
      <c r="R319" s="88">
        <v>2</v>
      </c>
      <c r="S319" s="31"/>
      <c r="T319" s="88">
        <v>1</v>
      </c>
      <c r="U319" s="88">
        <v>1</v>
      </c>
      <c r="V319" s="88">
        <v>1</v>
      </c>
      <c r="W319" s="9">
        <v>1101</v>
      </c>
      <c r="X319" s="89" t="s">
        <v>1465</v>
      </c>
      <c r="Y319" s="89"/>
      <c r="Z319" s="53">
        <v>9999</v>
      </c>
      <c r="AA319" s="53"/>
      <c r="AB319" s="53">
        <v>30</v>
      </c>
      <c r="AC319" s="53">
        <v>30</v>
      </c>
      <c r="AD319" s="53">
        <v>30</v>
      </c>
      <c r="AE319" s="94">
        <v>50</v>
      </c>
      <c r="AF319" s="94">
        <v>20</v>
      </c>
      <c r="AG319" s="94">
        <v>4000</v>
      </c>
      <c r="AH319" s="94">
        <v>50</v>
      </c>
      <c r="AI319" s="94">
        <v>0</v>
      </c>
      <c r="AJ319" s="94">
        <v>0</v>
      </c>
      <c r="AK319" s="94">
        <v>1</v>
      </c>
      <c r="AL319" s="94">
        <v>0</v>
      </c>
      <c r="AM319" s="98" t="s">
        <v>676</v>
      </c>
      <c r="AS319" s="17"/>
      <c r="AT319" s="17"/>
      <c r="AU319" s="17"/>
      <c r="AV319" s="18"/>
      <c r="AW319" s="88"/>
      <c r="AX319" s="88"/>
      <c r="AY319" s="13"/>
    </row>
    <row r="320" s="9" customFormat="1" spans="2:51">
      <c r="B320" s="9">
        <v>121203</v>
      </c>
      <c r="C320" s="9">
        <v>121203</v>
      </c>
      <c r="D320" s="119" t="s">
        <v>1675</v>
      </c>
      <c r="E320" s="119" t="s">
        <v>1675</v>
      </c>
      <c r="F320" s="119"/>
      <c r="G320" s="9">
        <v>0</v>
      </c>
      <c r="H320" s="2"/>
      <c r="I320" s="2"/>
      <c r="J320" s="2"/>
      <c r="K320" s="2"/>
      <c r="L320" s="2"/>
      <c r="N320" s="88">
        <v>0</v>
      </c>
      <c r="O320" s="88">
        <v>1</v>
      </c>
      <c r="P320" s="32">
        <v>3</v>
      </c>
      <c r="Q320" s="32">
        <v>3</v>
      </c>
      <c r="R320" s="88">
        <v>2</v>
      </c>
      <c r="S320" s="31"/>
      <c r="T320" s="88">
        <v>1</v>
      </c>
      <c r="U320" s="88">
        <v>1</v>
      </c>
      <c r="V320" s="88">
        <v>1</v>
      </c>
      <c r="W320" s="9">
        <v>1190</v>
      </c>
      <c r="X320" s="9" t="s">
        <v>1676</v>
      </c>
      <c r="Y320" s="89"/>
      <c r="Z320" s="53">
        <v>9999</v>
      </c>
      <c r="AA320" s="53"/>
      <c r="AB320" s="53">
        <v>30</v>
      </c>
      <c r="AC320" s="53">
        <v>30</v>
      </c>
      <c r="AD320" s="53">
        <v>30</v>
      </c>
      <c r="AE320" s="94">
        <v>50</v>
      </c>
      <c r="AF320" s="94">
        <v>20</v>
      </c>
      <c r="AG320" s="94">
        <v>4000</v>
      </c>
      <c r="AH320" s="94">
        <v>50</v>
      </c>
      <c r="AI320" s="94">
        <v>0</v>
      </c>
      <c r="AJ320" s="94">
        <v>0</v>
      </c>
      <c r="AK320" s="94">
        <v>1</v>
      </c>
      <c r="AL320" s="94">
        <v>0</v>
      </c>
      <c r="AM320" s="98" t="s">
        <v>676</v>
      </c>
      <c r="AS320" s="17"/>
      <c r="AT320" s="17"/>
      <c r="AU320" s="17"/>
      <c r="AV320" s="18"/>
      <c r="AW320" s="88"/>
      <c r="AX320" s="88"/>
      <c r="AY320" s="13"/>
    </row>
    <row r="321" s="9" customFormat="1" spans="2:51">
      <c r="B321" s="9">
        <v>121204</v>
      </c>
      <c r="C321" s="9">
        <v>121204</v>
      </c>
      <c r="D321" s="18" t="s">
        <v>1677</v>
      </c>
      <c r="E321" s="18" t="s">
        <v>1677</v>
      </c>
      <c r="F321" s="18"/>
      <c r="G321" s="9">
        <v>0</v>
      </c>
      <c r="H321" s="2"/>
      <c r="I321" s="2"/>
      <c r="J321" s="2"/>
      <c r="K321" s="2"/>
      <c r="L321" s="2"/>
      <c r="N321" s="88">
        <v>0</v>
      </c>
      <c r="O321" s="88">
        <v>0</v>
      </c>
      <c r="P321" s="32">
        <v>4</v>
      </c>
      <c r="Q321" s="32">
        <v>4</v>
      </c>
      <c r="R321" s="88">
        <v>2</v>
      </c>
      <c r="S321" s="31"/>
      <c r="T321" s="88">
        <v>1</v>
      </c>
      <c r="U321" s="88">
        <v>1</v>
      </c>
      <c r="V321" s="88">
        <v>1</v>
      </c>
      <c r="W321" s="9">
        <v>2225</v>
      </c>
      <c r="X321" s="89" t="s">
        <v>1678</v>
      </c>
      <c r="Y321" s="89"/>
      <c r="Z321" s="53">
        <v>9999</v>
      </c>
      <c r="AA321" s="53"/>
      <c r="AB321" s="53">
        <v>30</v>
      </c>
      <c r="AC321" s="53">
        <v>30</v>
      </c>
      <c r="AD321" s="53">
        <v>30</v>
      </c>
      <c r="AE321" s="94">
        <v>50</v>
      </c>
      <c r="AF321" s="94">
        <v>20</v>
      </c>
      <c r="AG321" s="94">
        <v>4000</v>
      </c>
      <c r="AH321" s="94">
        <v>50</v>
      </c>
      <c r="AI321" s="94">
        <v>0</v>
      </c>
      <c r="AJ321" s="94">
        <v>0</v>
      </c>
      <c r="AK321" s="94">
        <v>1</v>
      </c>
      <c r="AL321" s="94">
        <v>0</v>
      </c>
      <c r="AM321" s="98" t="s">
        <v>676</v>
      </c>
      <c r="AS321" s="17"/>
      <c r="AT321" s="17"/>
      <c r="AU321" s="17"/>
      <c r="AV321" s="18"/>
      <c r="AW321" s="88"/>
      <c r="AX321" s="88"/>
      <c r="AY321" s="13"/>
    </row>
    <row r="322" s="9" customFormat="1" spans="2:51">
      <c r="B322" s="9">
        <v>121205</v>
      </c>
      <c r="C322" s="9">
        <v>121205</v>
      </c>
      <c r="D322" s="18" t="s">
        <v>1679</v>
      </c>
      <c r="E322" s="18" t="s">
        <v>1679</v>
      </c>
      <c r="F322" s="18"/>
      <c r="G322" s="9">
        <v>0</v>
      </c>
      <c r="H322" s="2"/>
      <c r="I322" s="2"/>
      <c r="J322" s="2"/>
      <c r="K322" s="2"/>
      <c r="L322" s="2"/>
      <c r="N322" s="88">
        <v>0</v>
      </c>
      <c r="O322" s="88">
        <v>0</v>
      </c>
      <c r="P322" s="32">
        <v>4</v>
      </c>
      <c r="Q322" s="32">
        <v>4</v>
      </c>
      <c r="R322" s="88">
        <v>2</v>
      </c>
      <c r="S322" s="31"/>
      <c r="T322" s="88">
        <v>1</v>
      </c>
      <c r="U322" s="88">
        <v>1</v>
      </c>
      <c r="V322" s="88">
        <v>1</v>
      </c>
      <c r="W322" s="9">
        <v>2226</v>
      </c>
      <c r="X322" s="89" t="s">
        <v>1680</v>
      </c>
      <c r="Y322" s="89"/>
      <c r="Z322" s="53">
        <v>9999</v>
      </c>
      <c r="AA322" s="53"/>
      <c r="AB322" s="53">
        <v>30</v>
      </c>
      <c r="AC322" s="53">
        <v>30</v>
      </c>
      <c r="AD322" s="53">
        <v>30</v>
      </c>
      <c r="AE322" s="94">
        <v>50</v>
      </c>
      <c r="AF322" s="94">
        <v>20</v>
      </c>
      <c r="AG322" s="94">
        <v>4000</v>
      </c>
      <c r="AH322" s="94">
        <v>50</v>
      </c>
      <c r="AI322" s="94">
        <v>0</v>
      </c>
      <c r="AJ322" s="94">
        <v>0</v>
      </c>
      <c r="AK322" s="94">
        <v>1</v>
      </c>
      <c r="AL322" s="94">
        <v>0</v>
      </c>
      <c r="AM322" s="98" t="s">
        <v>676</v>
      </c>
      <c r="AS322" s="17"/>
      <c r="AT322" s="17"/>
      <c r="AU322" s="17"/>
      <c r="AV322" s="18"/>
      <c r="AW322" s="88"/>
      <c r="AX322" s="88"/>
      <c r="AY322" s="13"/>
    </row>
    <row r="323" s="9" customFormat="1" spans="2:51">
      <c r="B323" s="9">
        <v>121206</v>
      </c>
      <c r="C323" s="9">
        <v>121206</v>
      </c>
      <c r="D323" s="18" t="s">
        <v>1681</v>
      </c>
      <c r="E323" s="18" t="s">
        <v>1681</v>
      </c>
      <c r="F323" s="18"/>
      <c r="G323" s="9">
        <v>0</v>
      </c>
      <c r="H323" s="2"/>
      <c r="I323" s="2"/>
      <c r="J323" s="2"/>
      <c r="K323" s="2"/>
      <c r="L323" s="2"/>
      <c r="N323" s="88">
        <v>0</v>
      </c>
      <c r="O323" s="88">
        <v>0</v>
      </c>
      <c r="P323" s="32">
        <v>4</v>
      </c>
      <c r="Q323" s="32">
        <v>4</v>
      </c>
      <c r="R323" s="88">
        <v>2</v>
      </c>
      <c r="S323" s="31"/>
      <c r="T323" s="88">
        <v>1</v>
      </c>
      <c r="U323" s="88">
        <v>1</v>
      </c>
      <c r="V323" s="88">
        <v>1</v>
      </c>
      <c r="W323" s="9">
        <v>1191</v>
      </c>
      <c r="X323" s="89" t="s">
        <v>1682</v>
      </c>
      <c r="Y323" s="89"/>
      <c r="Z323" s="53">
        <v>9999</v>
      </c>
      <c r="AA323" s="53"/>
      <c r="AB323" s="53">
        <v>30</v>
      </c>
      <c r="AC323" s="53">
        <v>30</v>
      </c>
      <c r="AD323" s="53">
        <v>30</v>
      </c>
      <c r="AE323" s="94">
        <v>50</v>
      </c>
      <c r="AF323" s="94">
        <v>20</v>
      </c>
      <c r="AG323" s="94">
        <v>4000</v>
      </c>
      <c r="AH323" s="94">
        <v>50</v>
      </c>
      <c r="AI323" s="94">
        <v>0</v>
      </c>
      <c r="AJ323" s="94">
        <v>0</v>
      </c>
      <c r="AK323" s="94">
        <v>1</v>
      </c>
      <c r="AL323" s="94">
        <v>0</v>
      </c>
      <c r="AM323" s="98" t="s">
        <v>676</v>
      </c>
      <c r="AS323" s="17"/>
      <c r="AT323" s="17"/>
      <c r="AU323" s="17"/>
      <c r="AV323" s="18"/>
      <c r="AW323" s="88"/>
      <c r="AX323" s="88"/>
      <c r="AY323" s="13"/>
    </row>
    <row r="324" s="9" customFormat="1" spans="2:51">
      <c r="B324" s="9">
        <v>121207</v>
      </c>
      <c r="C324" s="9">
        <v>121207</v>
      </c>
      <c r="D324" s="18" t="s">
        <v>1683</v>
      </c>
      <c r="E324" s="18" t="s">
        <v>1683</v>
      </c>
      <c r="F324" s="18"/>
      <c r="G324" s="9">
        <v>0</v>
      </c>
      <c r="H324" s="2"/>
      <c r="I324" s="2"/>
      <c r="J324" s="2"/>
      <c r="K324" s="2"/>
      <c r="L324" s="2"/>
      <c r="N324" s="88">
        <v>0</v>
      </c>
      <c r="O324" s="88">
        <v>0</v>
      </c>
      <c r="P324" s="32">
        <v>4</v>
      </c>
      <c r="Q324" s="32">
        <v>4</v>
      </c>
      <c r="R324" s="88">
        <v>2</v>
      </c>
      <c r="S324" s="31"/>
      <c r="T324" s="88">
        <v>1</v>
      </c>
      <c r="U324" s="88">
        <v>1</v>
      </c>
      <c r="V324" s="88">
        <v>1</v>
      </c>
      <c r="W324" s="9">
        <v>1192</v>
      </c>
      <c r="X324" s="89" t="s">
        <v>1684</v>
      </c>
      <c r="Y324" s="89"/>
      <c r="Z324" s="53">
        <v>9999</v>
      </c>
      <c r="AA324" s="53"/>
      <c r="AB324" s="53">
        <v>30</v>
      </c>
      <c r="AC324" s="53">
        <v>30</v>
      </c>
      <c r="AD324" s="53">
        <v>30</v>
      </c>
      <c r="AE324" s="94">
        <v>50</v>
      </c>
      <c r="AF324" s="94">
        <v>20</v>
      </c>
      <c r="AG324" s="94">
        <v>4000</v>
      </c>
      <c r="AH324" s="94">
        <v>50</v>
      </c>
      <c r="AI324" s="94">
        <v>0</v>
      </c>
      <c r="AJ324" s="94">
        <v>0</v>
      </c>
      <c r="AK324" s="94">
        <v>1</v>
      </c>
      <c r="AL324" s="94">
        <v>0</v>
      </c>
      <c r="AM324" s="98" t="s">
        <v>676</v>
      </c>
      <c r="AS324" s="17"/>
      <c r="AT324" s="17"/>
      <c r="AU324" s="17"/>
      <c r="AV324" s="18"/>
      <c r="AW324" s="88"/>
      <c r="AX324" s="88"/>
      <c r="AY324" s="13"/>
    </row>
    <row r="325" s="9" customFormat="1" spans="2:51">
      <c r="B325" s="9">
        <v>121208</v>
      </c>
      <c r="C325" s="9">
        <v>121208</v>
      </c>
      <c r="D325" s="18" t="s">
        <v>1685</v>
      </c>
      <c r="E325" s="18" t="s">
        <v>1685</v>
      </c>
      <c r="F325" s="18"/>
      <c r="G325" s="9">
        <v>0</v>
      </c>
      <c r="H325" s="2"/>
      <c r="I325" s="2"/>
      <c r="J325" s="2"/>
      <c r="K325" s="2"/>
      <c r="L325" s="2"/>
      <c r="N325" s="88">
        <v>0</v>
      </c>
      <c r="O325" s="88">
        <v>1</v>
      </c>
      <c r="P325" s="32">
        <v>4</v>
      </c>
      <c r="Q325" s="32">
        <v>4</v>
      </c>
      <c r="R325" s="88">
        <v>2</v>
      </c>
      <c r="S325" s="31"/>
      <c r="T325" s="88">
        <v>1</v>
      </c>
      <c r="U325" s="88">
        <v>1</v>
      </c>
      <c r="V325" s="88">
        <v>1</v>
      </c>
      <c r="W325" s="9">
        <v>1193</v>
      </c>
      <c r="X325" s="89" t="s">
        <v>1686</v>
      </c>
      <c r="Y325" s="89"/>
      <c r="Z325" s="53">
        <v>9999</v>
      </c>
      <c r="AA325" s="53"/>
      <c r="AB325" s="53">
        <v>30</v>
      </c>
      <c r="AC325" s="53">
        <v>30</v>
      </c>
      <c r="AD325" s="53">
        <v>30</v>
      </c>
      <c r="AE325" s="94">
        <v>50</v>
      </c>
      <c r="AF325" s="94">
        <v>20</v>
      </c>
      <c r="AG325" s="94">
        <v>4000</v>
      </c>
      <c r="AH325" s="94">
        <v>50</v>
      </c>
      <c r="AI325" s="94">
        <v>0</v>
      </c>
      <c r="AJ325" s="94">
        <v>0</v>
      </c>
      <c r="AK325" s="94">
        <v>1</v>
      </c>
      <c r="AL325" s="94">
        <v>0</v>
      </c>
      <c r="AM325" s="98" t="s">
        <v>676</v>
      </c>
      <c r="AS325" s="17"/>
      <c r="AT325" s="17"/>
      <c r="AU325" s="17"/>
      <c r="AV325" s="18"/>
      <c r="AW325" s="88"/>
      <c r="AX325" s="88"/>
      <c r="AY325" s="13"/>
    </row>
    <row r="326" s="9" customFormat="1" spans="2:51">
      <c r="B326" s="9">
        <v>121209</v>
      </c>
      <c r="C326" s="9">
        <v>121209</v>
      </c>
      <c r="D326" s="18" t="s">
        <v>1687</v>
      </c>
      <c r="E326" s="18" t="s">
        <v>1687</v>
      </c>
      <c r="F326" s="18"/>
      <c r="G326" s="9">
        <v>0</v>
      </c>
      <c r="H326" s="2"/>
      <c r="I326" s="2"/>
      <c r="J326" s="2"/>
      <c r="K326" s="2"/>
      <c r="L326" s="2"/>
      <c r="N326" s="88">
        <v>0</v>
      </c>
      <c r="O326" s="88">
        <v>1</v>
      </c>
      <c r="P326" s="32">
        <v>4</v>
      </c>
      <c r="Q326" s="32">
        <v>4</v>
      </c>
      <c r="R326" s="88">
        <v>2</v>
      </c>
      <c r="S326" s="31"/>
      <c r="T326" s="88">
        <v>1</v>
      </c>
      <c r="U326" s="88">
        <v>1</v>
      </c>
      <c r="V326" s="88">
        <v>1</v>
      </c>
      <c r="W326" s="9">
        <v>1194</v>
      </c>
      <c r="X326" s="89" t="s">
        <v>1688</v>
      </c>
      <c r="Y326" s="89"/>
      <c r="Z326" s="53">
        <v>9999</v>
      </c>
      <c r="AA326" s="53"/>
      <c r="AB326" s="53">
        <v>30</v>
      </c>
      <c r="AC326" s="53">
        <v>30</v>
      </c>
      <c r="AD326" s="53">
        <v>30</v>
      </c>
      <c r="AE326" s="94">
        <v>50</v>
      </c>
      <c r="AF326" s="94">
        <v>20</v>
      </c>
      <c r="AG326" s="94">
        <v>4000</v>
      </c>
      <c r="AH326" s="94">
        <v>50</v>
      </c>
      <c r="AI326" s="94">
        <v>0</v>
      </c>
      <c r="AJ326" s="94">
        <v>0</v>
      </c>
      <c r="AK326" s="94">
        <v>1</v>
      </c>
      <c r="AL326" s="94">
        <v>0</v>
      </c>
      <c r="AM326" s="98" t="s">
        <v>676</v>
      </c>
      <c r="AS326" s="17"/>
      <c r="AT326" s="17"/>
      <c r="AU326" s="17"/>
      <c r="AV326" s="18"/>
      <c r="AW326" s="88"/>
      <c r="AX326" s="88"/>
      <c r="AY326" s="13"/>
    </row>
    <row r="327" s="9" customFormat="1" spans="2:51">
      <c r="B327" s="9">
        <v>121210</v>
      </c>
      <c r="C327" s="9">
        <v>121210</v>
      </c>
      <c r="D327" s="18" t="s">
        <v>1689</v>
      </c>
      <c r="E327" s="18" t="s">
        <v>1689</v>
      </c>
      <c r="F327" s="18"/>
      <c r="G327" s="9">
        <v>0</v>
      </c>
      <c r="H327" s="2"/>
      <c r="I327" s="2"/>
      <c r="J327" s="2"/>
      <c r="K327" s="2"/>
      <c r="L327" s="2"/>
      <c r="N327" s="88">
        <v>0</v>
      </c>
      <c r="O327" s="88">
        <v>1</v>
      </c>
      <c r="P327" s="32">
        <v>4</v>
      </c>
      <c r="Q327" s="32">
        <v>4</v>
      </c>
      <c r="R327" s="88">
        <v>2</v>
      </c>
      <c r="S327" s="31"/>
      <c r="T327" s="88">
        <v>1</v>
      </c>
      <c r="U327" s="88">
        <v>1</v>
      </c>
      <c r="V327" s="88">
        <v>1</v>
      </c>
      <c r="W327" s="9">
        <v>1195</v>
      </c>
      <c r="X327" s="89" t="s">
        <v>1690</v>
      </c>
      <c r="Y327" s="89"/>
      <c r="Z327" s="53">
        <v>9999</v>
      </c>
      <c r="AA327" s="53"/>
      <c r="AB327" s="53">
        <v>30</v>
      </c>
      <c r="AC327" s="53">
        <v>30</v>
      </c>
      <c r="AD327" s="53">
        <v>30</v>
      </c>
      <c r="AE327" s="94">
        <v>50</v>
      </c>
      <c r="AF327" s="94">
        <v>20</v>
      </c>
      <c r="AG327" s="94">
        <v>4000</v>
      </c>
      <c r="AH327" s="94">
        <v>50</v>
      </c>
      <c r="AI327" s="94">
        <v>0</v>
      </c>
      <c r="AJ327" s="94">
        <v>0</v>
      </c>
      <c r="AK327" s="94">
        <v>1</v>
      </c>
      <c r="AL327" s="94">
        <v>0</v>
      </c>
      <c r="AM327" s="98" t="s">
        <v>676</v>
      </c>
      <c r="AS327" s="17"/>
      <c r="AT327" s="17"/>
      <c r="AU327" s="17"/>
      <c r="AV327" s="18"/>
      <c r="AW327" s="88"/>
      <c r="AX327" s="88"/>
      <c r="AY327" s="13"/>
    </row>
    <row r="328" s="9" customFormat="1" spans="2:51">
      <c r="B328" s="9">
        <v>121211</v>
      </c>
      <c r="C328" s="9">
        <v>121211</v>
      </c>
      <c r="D328" s="18" t="s">
        <v>1691</v>
      </c>
      <c r="E328" s="18" t="s">
        <v>1691</v>
      </c>
      <c r="F328" s="18"/>
      <c r="G328" s="9">
        <v>0</v>
      </c>
      <c r="H328" s="2"/>
      <c r="I328" s="2"/>
      <c r="J328" s="2"/>
      <c r="K328" s="2"/>
      <c r="L328" s="2"/>
      <c r="N328" s="88">
        <v>0</v>
      </c>
      <c r="O328" s="88">
        <v>0</v>
      </c>
      <c r="P328" s="32">
        <v>4</v>
      </c>
      <c r="Q328" s="32">
        <v>4</v>
      </c>
      <c r="R328" s="88">
        <v>2</v>
      </c>
      <c r="S328" s="31"/>
      <c r="T328" s="88">
        <v>1</v>
      </c>
      <c r="U328" s="88">
        <v>1</v>
      </c>
      <c r="V328" s="88">
        <v>1</v>
      </c>
      <c r="W328" s="9">
        <v>1196</v>
      </c>
      <c r="X328" s="89" t="s">
        <v>1692</v>
      </c>
      <c r="Y328" s="89"/>
      <c r="Z328" s="53">
        <v>9999</v>
      </c>
      <c r="AA328" s="53"/>
      <c r="AB328" s="53">
        <v>30</v>
      </c>
      <c r="AC328" s="53">
        <v>30</v>
      </c>
      <c r="AD328" s="53">
        <v>30</v>
      </c>
      <c r="AE328" s="94">
        <v>50</v>
      </c>
      <c r="AF328" s="94">
        <v>20</v>
      </c>
      <c r="AG328" s="94">
        <v>4000</v>
      </c>
      <c r="AH328" s="94">
        <v>50</v>
      </c>
      <c r="AI328" s="94">
        <v>0</v>
      </c>
      <c r="AJ328" s="94">
        <v>0</v>
      </c>
      <c r="AK328" s="94">
        <v>1</v>
      </c>
      <c r="AL328" s="94">
        <v>0</v>
      </c>
      <c r="AM328" s="98" t="s">
        <v>676</v>
      </c>
      <c r="AS328" s="17"/>
      <c r="AT328" s="17"/>
      <c r="AU328" s="17"/>
      <c r="AV328" s="18"/>
      <c r="AW328" s="88"/>
      <c r="AX328" s="88"/>
      <c r="AY328" s="13"/>
    </row>
    <row r="329" s="9" customFormat="1" spans="2:51">
      <c r="B329" s="9">
        <v>121212</v>
      </c>
      <c r="C329" s="9">
        <v>121212</v>
      </c>
      <c r="D329" s="18" t="s">
        <v>1693</v>
      </c>
      <c r="E329" s="18" t="s">
        <v>1693</v>
      </c>
      <c r="F329" s="18"/>
      <c r="G329" s="9">
        <v>0</v>
      </c>
      <c r="H329" s="2"/>
      <c r="I329" s="2"/>
      <c r="J329" s="2"/>
      <c r="K329" s="2"/>
      <c r="L329" s="2"/>
      <c r="N329" s="88">
        <v>0</v>
      </c>
      <c r="O329" s="88">
        <v>0</v>
      </c>
      <c r="P329" s="32">
        <v>4</v>
      </c>
      <c r="Q329" s="32">
        <v>4</v>
      </c>
      <c r="R329" s="88">
        <v>2</v>
      </c>
      <c r="S329" s="31"/>
      <c r="T329" s="88">
        <v>1</v>
      </c>
      <c r="U329" s="88">
        <v>1</v>
      </c>
      <c r="V329" s="88">
        <v>1</v>
      </c>
      <c r="W329" s="9">
        <v>1197</v>
      </c>
      <c r="X329" s="89" t="s">
        <v>1694</v>
      </c>
      <c r="Y329" s="89"/>
      <c r="Z329" s="53">
        <v>9999</v>
      </c>
      <c r="AA329" s="53"/>
      <c r="AB329" s="53">
        <v>30</v>
      </c>
      <c r="AC329" s="53">
        <v>30</v>
      </c>
      <c r="AD329" s="53">
        <v>30</v>
      </c>
      <c r="AE329" s="94">
        <v>50</v>
      </c>
      <c r="AF329" s="94">
        <v>20</v>
      </c>
      <c r="AG329" s="94">
        <v>4000</v>
      </c>
      <c r="AH329" s="94">
        <v>50</v>
      </c>
      <c r="AI329" s="94">
        <v>0</v>
      </c>
      <c r="AJ329" s="94">
        <v>0</v>
      </c>
      <c r="AK329" s="94">
        <v>1</v>
      </c>
      <c r="AL329" s="94">
        <v>0</v>
      </c>
      <c r="AM329" s="98" t="s">
        <v>676</v>
      </c>
      <c r="AS329" s="17"/>
      <c r="AT329" s="17"/>
      <c r="AU329" s="17"/>
      <c r="AV329" s="18"/>
      <c r="AW329" s="88"/>
      <c r="AX329" s="88"/>
      <c r="AY329" s="13"/>
    </row>
    <row r="330" s="9" customFormat="1" spans="2:51">
      <c r="B330" s="9">
        <v>121213</v>
      </c>
      <c r="C330" s="9">
        <v>121213</v>
      </c>
      <c r="D330" s="18" t="s">
        <v>1695</v>
      </c>
      <c r="E330" s="18" t="s">
        <v>1695</v>
      </c>
      <c r="F330" s="18"/>
      <c r="G330" s="9">
        <v>0</v>
      </c>
      <c r="H330" s="2"/>
      <c r="I330" s="2"/>
      <c r="J330" s="2"/>
      <c r="K330" s="2"/>
      <c r="L330" s="2"/>
      <c r="N330" s="88">
        <v>0</v>
      </c>
      <c r="O330" s="88">
        <v>0</v>
      </c>
      <c r="P330" s="32">
        <v>4</v>
      </c>
      <c r="Q330" s="32">
        <v>4</v>
      </c>
      <c r="R330" s="88">
        <v>2</v>
      </c>
      <c r="S330" s="31"/>
      <c r="T330" s="88">
        <v>1</v>
      </c>
      <c r="U330" s="88">
        <v>1</v>
      </c>
      <c r="V330" s="88">
        <v>1</v>
      </c>
      <c r="W330" s="9">
        <v>1198</v>
      </c>
      <c r="X330" s="89" t="s">
        <v>1696</v>
      </c>
      <c r="Y330" s="89"/>
      <c r="Z330" s="53">
        <v>9999</v>
      </c>
      <c r="AA330" s="53"/>
      <c r="AB330" s="53">
        <v>30</v>
      </c>
      <c r="AC330" s="53">
        <v>30</v>
      </c>
      <c r="AD330" s="53">
        <v>30</v>
      </c>
      <c r="AE330" s="94">
        <v>50</v>
      </c>
      <c r="AF330" s="94">
        <v>20</v>
      </c>
      <c r="AG330" s="94">
        <v>4000</v>
      </c>
      <c r="AH330" s="94">
        <v>50</v>
      </c>
      <c r="AI330" s="94">
        <v>0</v>
      </c>
      <c r="AJ330" s="94">
        <v>0</v>
      </c>
      <c r="AK330" s="94">
        <v>1</v>
      </c>
      <c r="AL330" s="94">
        <v>0</v>
      </c>
      <c r="AM330" s="98" t="s">
        <v>676</v>
      </c>
      <c r="AS330" s="17"/>
      <c r="AT330" s="17"/>
      <c r="AU330" s="17"/>
      <c r="AV330" s="18"/>
      <c r="AW330" s="88"/>
      <c r="AX330" s="88"/>
      <c r="AY330" s="13"/>
    </row>
    <row r="331" s="9" customFormat="1" spans="2:51">
      <c r="B331" s="9">
        <v>121214</v>
      </c>
      <c r="C331" s="9">
        <v>121214</v>
      </c>
      <c r="D331" s="18" t="s">
        <v>1697</v>
      </c>
      <c r="E331" s="18" t="s">
        <v>1697</v>
      </c>
      <c r="F331" s="18"/>
      <c r="G331" s="9">
        <v>0</v>
      </c>
      <c r="H331" s="2"/>
      <c r="I331" s="2"/>
      <c r="J331" s="2"/>
      <c r="K331" s="2"/>
      <c r="L331" s="2"/>
      <c r="N331" s="88">
        <v>0</v>
      </c>
      <c r="O331" s="88">
        <v>0</v>
      </c>
      <c r="P331" s="32">
        <v>4</v>
      </c>
      <c r="Q331" s="32">
        <v>4</v>
      </c>
      <c r="R331" s="88">
        <v>2</v>
      </c>
      <c r="S331" s="31"/>
      <c r="T331" s="88">
        <v>1</v>
      </c>
      <c r="U331" s="88">
        <v>1</v>
      </c>
      <c r="V331" s="88">
        <v>1</v>
      </c>
      <c r="W331" s="9">
        <v>1199</v>
      </c>
      <c r="X331" s="89" t="s">
        <v>1698</v>
      </c>
      <c r="Y331" s="89"/>
      <c r="Z331" s="53">
        <v>9999</v>
      </c>
      <c r="AA331" s="53"/>
      <c r="AB331" s="53">
        <v>30</v>
      </c>
      <c r="AC331" s="53">
        <v>30</v>
      </c>
      <c r="AD331" s="53">
        <v>30</v>
      </c>
      <c r="AE331" s="94">
        <v>50</v>
      </c>
      <c r="AF331" s="94">
        <v>20</v>
      </c>
      <c r="AG331" s="94">
        <v>4000</v>
      </c>
      <c r="AH331" s="94">
        <v>50</v>
      </c>
      <c r="AI331" s="94">
        <v>0</v>
      </c>
      <c r="AJ331" s="94">
        <v>0</v>
      </c>
      <c r="AK331" s="94">
        <v>1</v>
      </c>
      <c r="AL331" s="94">
        <v>0</v>
      </c>
      <c r="AM331" s="98" t="s">
        <v>676</v>
      </c>
      <c r="AS331" s="17"/>
      <c r="AT331" s="17"/>
      <c r="AU331" s="17"/>
      <c r="AV331" s="18"/>
      <c r="AW331" s="88"/>
      <c r="AX331" s="88"/>
      <c r="AY331" s="13"/>
    </row>
    <row r="332" s="9" customFormat="1" spans="2:51">
      <c r="B332" s="9">
        <v>121215</v>
      </c>
      <c r="C332" s="9">
        <v>121215</v>
      </c>
      <c r="D332" s="18" t="s">
        <v>1699</v>
      </c>
      <c r="E332" s="18" t="s">
        <v>1699</v>
      </c>
      <c r="F332" s="18"/>
      <c r="G332" s="9">
        <v>0</v>
      </c>
      <c r="H332" s="2"/>
      <c r="I332" s="2"/>
      <c r="J332" s="2"/>
      <c r="K332" s="2"/>
      <c r="L332" s="2"/>
      <c r="N332" s="88">
        <v>0</v>
      </c>
      <c r="O332" s="88">
        <v>0</v>
      </c>
      <c r="P332" s="32">
        <v>1</v>
      </c>
      <c r="Q332" s="32">
        <v>1</v>
      </c>
      <c r="R332" s="88">
        <v>8</v>
      </c>
      <c r="S332" s="31"/>
      <c r="T332" s="88">
        <v>1</v>
      </c>
      <c r="U332" s="88">
        <v>1</v>
      </c>
      <c r="V332" s="88">
        <v>1</v>
      </c>
      <c r="W332" s="9">
        <v>1202</v>
      </c>
      <c r="X332" s="89" t="s">
        <v>1700</v>
      </c>
      <c r="Y332" s="89"/>
      <c r="Z332" s="53">
        <v>9999</v>
      </c>
      <c r="AA332" s="53"/>
      <c r="AB332" s="53">
        <v>30</v>
      </c>
      <c r="AC332" s="53">
        <v>30</v>
      </c>
      <c r="AD332" s="53">
        <v>30</v>
      </c>
      <c r="AE332" s="94">
        <v>50</v>
      </c>
      <c r="AF332" s="94">
        <v>20</v>
      </c>
      <c r="AG332" s="94">
        <v>4000</v>
      </c>
      <c r="AH332" s="94">
        <v>50</v>
      </c>
      <c r="AI332" s="94">
        <v>0</v>
      </c>
      <c r="AJ332" s="94">
        <v>0</v>
      </c>
      <c r="AK332" s="94">
        <v>1</v>
      </c>
      <c r="AL332" s="94">
        <v>0</v>
      </c>
      <c r="AM332" s="98" t="s">
        <v>676</v>
      </c>
      <c r="AS332" s="17"/>
      <c r="AT332" s="17"/>
      <c r="AU332" s="17"/>
      <c r="AV332" s="18"/>
      <c r="AW332" s="88"/>
      <c r="AX332" s="88"/>
      <c r="AY332" s="13"/>
    </row>
    <row r="333" s="9" customFormat="1" spans="2:51">
      <c r="B333" s="9">
        <v>121216</v>
      </c>
      <c r="C333" s="9">
        <v>121216</v>
      </c>
      <c r="D333" s="18" t="s">
        <v>1701</v>
      </c>
      <c r="E333" s="18" t="s">
        <v>1701</v>
      </c>
      <c r="F333" s="18"/>
      <c r="G333" s="9">
        <v>0</v>
      </c>
      <c r="H333" s="2"/>
      <c r="I333" s="2"/>
      <c r="J333" s="2"/>
      <c r="K333" s="2"/>
      <c r="L333" s="2"/>
      <c r="N333" s="88">
        <v>0</v>
      </c>
      <c r="O333" s="88">
        <v>0</v>
      </c>
      <c r="P333" s="32">
        <v>1</v>
      </c>
      <c r="Q333" s="32">
        <v>1</v>
      </c>
      <c r="R333" s="88">
        <v>8</v>
      </c>
      <c r="S333" s="31"/>
      <c r="T333" s="88">
        <v>1</v>
      </c>
      <c r="U333" s="88">
        <v>1</v>
      </c>
      <c r="V333" s="88">
        <v>1</v>
      </c>
      <c r="W333" s="9">
        <v>1203</v>
      </c>
      <c r="X333" s="89" t="s">
        <v>1702</v>
      </c>
      <c r="Y333" s="89"/>
      <c r="Z333" s="53">
        <v>9999</v>
      </c>
      <c r="AA333" s="53"/>
      <c r="AB333" s="53">
        <v>30</v>
      </c>
      <c r="AC333" s="53">
        <v>30</v>
      </c>
      <c r="AD333" s="53">
        <v>30</v>
      </c>
      <c r="AE333" s="94">
        <v>50</v>
      </c>
      <c r="AF333" s="94">
        <v>20</v>
      </c>
      <c r="AG333" s="94">
        <v>4000</v>
      </c>
      <c r="AH333" s="94">
        <v>50</v>
      </c>
      <c r="AI333" s="94">
        <v>0</v>
      </c>
      <c r="AJ333" s="94">
        <v>0</v>
      </c>
      <c r="AK333" s="94">
        <v>1</v>
      </c>
      <c r="AL333" s="94">
        <v>0</v>
      </c>
      <c r="AM333" s="98" t="s">
        <v>676</v>
      </c>
      <c r="AS333" s="17"/>
      <c r="AT333" s="17"/>
      <c r="AU333" s="17"/>
      <c r="AV333" s="18"/>
      <c r="AW333" s="88"/>
      <c r="AX333" s="88"/>
      <c r="AY333" s="13"/>
    </row>
    <row r="334" s="9" customFormat="1" spans="2:51">
      <c r="B334" s="9">
        <v>121217</v>
      </c>
      <c r="C334" s="9">
        <v>121217</v>
      </c>
      <c r="D334" s="18" t="s">
        <v>1703</v>
      </c>
      <c r="E334" s="18" t="s">
        <v>1703</v>
      </c>
      <c r="F334" s="18"/>
      <c r="G334" s="9">
        <v>0</v>
      </c>
      <c r="H334" s="2"/>
      <c r="I334" s="2"/>
      <c r="J334" s="2"/>
      <c r="K334" s="2"/>
      <c r="L334" s="2"/>
      <c r="N334" s="88">
        <v>0</v>
      </c>
      <c r="O334" s="88">
        <v>0</v>
      </c>
      <c r="P334" s="32">
        <v>1</v>
      </c>
      <c r="Q334" s="32">
        <v>1</v>
      </c>
      <c r="R334" s="88">
        <v>8</v>
      </c>
      <c r="S334" s="31"/>
      <c r="T334" s="88">
        <v>1</v>
      </c>
      <c r="U334" s="88">
        <v>1</v>
      </c>
      <c r="V334" s="88">
        <v>1</v>
      </c>
      <c r="W334" s="9">
        <v>1204</v>
      </c>
      <c r="X334" s="89" t="s">
        <v>1704</v>
      </c>
      <c r="Y334" s="89"/>
      <c r="Z334" s="53">
        <v>9999</v>
      </c>
      <c r="AA334" s="53"/>
      <c r="AB334" s="53">
        <v>30</v>
      </c>
      <c r="AC334" s="53">
        <v>30</v>
      </c>
      <c r="AD334" s="53">
        <v>30</v>
      </c>
      <c r="AE334" s="94">
        <v>50</v>
      </c>
      <c r="AF334" s="94">
        <v>20</v>
      </c>
      <c r="AG334" s="94">
        <v>4000</v>
      </c>
      <c r="AH334" s="94">
        <v>50</v>
      </c>
      <c r="AI334" s="94">
        <v>0</v>
      </c>
      <c r="AJ334" s="94">
        <v>0</v>
      </c>
      <c r="AK334" s="94">
        <v>1</v>
      </c>
      <c r="AL334" s="94">
        <v>0</v>
      </c>
      <c r="AM334" s="98" t="s">
        <v>676</v>
      </c>
      <c r="AS334" s="17"/>
      <c r="AT334" s="17"/>
      <c r="AU334" s="17"/>
      <c r="AV334" s="18"/>
      <c r="AW334" s="88"/>
      <c r="AX334" s="88"/>
      <c r="AY334" s="13"/>
    </row>
    <row r="335" s="9" customFormat="1" spans="2:51">
      <c r="B335" s="9">
        <v>121218</v>
      </c>
      <c r="C335" s="9">
        <v>121218</v>
      </c>
      <c r="D335" s="18" t="s">
        <v>1705</v>
      </c>
      <c r="E335" s="18" t="s">
        <v>1705</v>
      </c>
      <c r="F335" s="18"/>
      <c r="G335" s="9">
        <v>0</v>
      </c>
      <c r="H335" s="2"/>
      <c r="I335" s="2"/>
      <c r="J335" s="2"/>
      <c r="K335" s="2"/>
      <c r="L335" s="2"/>
      <c r="N335" s="88">
        <v>0</v>
      </c>
      <c r="O335" s="88">
        <v>0</v>
      </c>
      <c r="P335" s="32">
        <v>1</v>
      </c>
      <c r="Q335" s="32">
        <v>1</v>
      </c>
      <c r="R335" s="88">
        <v>8</v>
      </c>
      <c r="S335" s="31"/>
      <c r="T335" s="88">
        <v>1</v>
      </c>
      <c r="U335" s="88">
        <v>1</v>
      </c>
      <c r="V335" s="88">
        <v>1</v>
      </c>
      <c r="W335" s="9">
        <v>1205</v>
      </c>
      <c r="X335" s="89" t="s">
        <v>1706</v>
      </c>
      <c r="Y335" s="89"/>
      <c r="Z335" s="53">
        <v>9999</v>
      </c>
      <c r="AA335" s="53"/>
      <c r="AB335" s="53">
        <v>30</v>
      </c>
      <c r="AC335" s="53">
        <v>30</v>
      </c>
      <c r="AD335" s="53">
        <v>30</v>
      </c>
      <c r="AE335" s="94">
        <v>50</v>
      </c>
      <c r="AF335" s="94">
        <v>20</v>
      </c>
      <c r="AG335" s="94">
        <v>4000</v>
      </c>
      <c r="AH335" s="94">
        <v>50</v>
      </c>
      <c r="AI335" s="94">
        <v>0</v>
      </c>
      <c r="AJ335" s="94">
        <v>0</v>
      </c>
      <c r="AK335" s="94">
        <v>1</v>
      </c>
      <c r="AL335" s="94">
        <v>0</v>
      </c>
      <c r="AM335" s="98" t="s">
        <v>676</v>
      </c>
      <c r="AS335" s="17"/>
      <c r="AT335" s="17"/>
      <c r="AU335" s="17"/>
      <c r="AV335" s="18"/>
      <c r="AW335" s="88"/>
      <c r="AX335" s="88"/>
      <c r="AY335" s="13"/>
    </row>
    <row r="336" s="9" customFormat="1" spans="2:51">
      <c r="B336" s="9">
        <v>121219</v>
      </c>
      <c r="C336" s="9">
        <v>121219</v>
      </c>
      <c r="D336" s="18" t="s">
        <v>1707</v>
      </c>
      <c r="E336" s="18" t="s">
        <v>1707</v>
      </c>
      <c r="F336" s="18"/>
      <c r="G336" s="9">
        <v>0</v>
      </c>
      <c r="H336" s="2"/>
      <c r="I336" s="2"/>
      <c r="J336" s="2"/>
      <c r="K336" s="2"/>
      <c r="L336" s="2"/>
      <c r="N336" s="88">
        <v>0</v>
      </c>
      <c r="O336" s="88">
        <v>0</v>
      </c>
      <c r="P336" s="32">
        <v>4</v>
      </c>
      <c r="Q336" s="32">
        <v>4</v>
      </c>
      <c r="R336" s="88">
        <v>8</v>
      </c>
      <c r="S336" s="31"/>
      <c r="T336" s="88">
        <v>1</v>
      </c>
      <c r="U336" s="88">
        <v>1</v>
      </c>
      <c r="V336" s="88">
        <v>1</v>
      </c>
      <c r="W336" s="9">
        <v>1206</v>
      </c>
      <c r="X336" s="89" t="s">
        <v>1708</v>
      </c>
      <c r="Y336" s="89"/>
      <c r="Z336" s="53">
        <v>9999</v>
      </c>
      <c r="AA336" s="53"/>
      <c r="AB336" s="53">
        <v>30</v>
      </c>
      <c r="AC336" s="53">
        <v>30</v>
      </c>
      <c r="AD336" s="53">
        <v>30</v>
      </c>
      <c r="AE336" s="94">
        <v>50</v>
      </c>
      <c r="AF336" s="94">
        <v>20</v>
      </c>
      <c r="AG336" s="94">
        <v>4000</v>
      </c>
      <c r="AH336" s="94">
        <v>50</v>
      </c>
      <c r="AI336" s="94">
        <v>0</v>
      </c>
      <c r="AJ336" s="94">
        <v>0</v>
      </c>
      <c r="AK336" s="94">
        <v>1</v>
      </c>
      <c r="AL336" s="94">
        <v>0</v>
      </c>
      <c r="AM336" s="98" t="s">
        <v>676</v>
      </c>
      <c r="AS336" s="17"/>
      <c r="AT336" s="17"/>
      <c r="AU336" s="17"/>
      <c r="AV336" s="18"/>
      <c r="AW336" s="88"/>
      <c r="AX336" s="88"/>
      <c r="AY336" s="13"/>
    </row>
    <row r="337" s="9" customFormat="1" spans="2:51">
      <c r="B337" s="9">
        <v>121220</v>
      </c>
      <c r="C337" s="9">
        <v>121220</v>
      </c>
      <c r="D337" s="18" t="s">
        <v>1709</v>
      </c>
      <c r="E337" s="18" t="s">
        <v>1709</v>
      </c>
      <c r="F337" s="18"/>
      <c r="G337" s="9">
        <v>0</v>
      </c>
      <c r="H337" s="2"/>
      <c r="I337" s="2"/>
      <c r="J337" s="2"/>
      <c r="K337" s="2"/>
      <c r="L337" s="2"/>
      <c r="N337" s="88">
        <v>0</v>
      </c>
      <c r="O337" s="88">
        <v>0</v>
      </c>
      <c r="P337" s="32">
        <v>5</v>
      </c>
      <c r="Q337" s="32">
        <v>5</v>
      </c>
      <c r="R337" s="88">
        <v>8</v>
      </c>
      <c r="S337" s="31"/>
      <c r="T337" s="88">
        <v>1</v>
      </c>
      <c r="U337" s="88">
        <v>1</v>
      </c>
      <c r="V337" s="88">
        <v>1</v>
      </c>
      <c r="W337" s="9">
        <v>1207</v>
      </c>
      <c r="X337" s="89" t="s">
        <v>1710</v>
      </c>
      <c r="Y337" s="89"/>
      <c r="Z337" s="53">
        <v>9999</v>
      </c>
      <c r="AA337" s="53"/>
      <c r="AB337" s="53">
        <v>30</v>
      </c>
      <c r="AC337" s="53">
        <v>30</v>
      </c>
      <c r="AD337" s="53">
        <v>30</v>
      </c>
      <c r="AE337" s="94">
        <v>50</v>
      </c>
      <c r="AF337" s="94">
        <v>20</v>
      </c>
      <c r="AG337" s="94">
        <v>4000</v>
      </c>
      <c r="AH337" s="94">
        <v>50</v>
      </c>
      <c r="AI337" s="94">
        <v>0</v>
      </c>
      <c r="AJ337" s="94">
        <v>0</v>
      </c>
      <c r="AK337" s="94">
        <v>1</v>
      </c>
      <c r="AL337" s="94">
        <v>0</v>
      </c>
      <c r="AM337" s="98" t="s">
        <v>676</v>
      </c>
      <c r="AS337" s="17"/>
      <c r="AT337" s="17"/>
      <c r="AU337" s="17"/>
      <c r="AV337" s="18"/>
      <c r="AW337" s="88"/>
      <c r="AX337" s="88"/>
      <c r="AY337" s="13"/>
    </row>
    <row r="338" s="9" customFormat="1" spans="2:51">
      <c r="B338" s="9">
        <v>121221</v>
      </c>
      <c r="C338" s="9">
        <v>121221</v>
      </c>
      <c r="D338" s="18" t="s">
        <v>1711</v>
      </c>
      <c r="E338" s="18" t="s">
        <v>1711</v>
      </c>
      <c r="F338" s="18"/>
      <c r="G338" s="9">
        <v>0</v>
      </c>
      <c r="H338" s="2"/>
      <c r="I338" s="2"/>
      <c r="J338" s="2"/>
      <c r="K338" s="2"/>
      <c r="L338" s="2"/>
      <c r="N338" s="88">
        <v>0</v>
      </c>
      <c r="O338" s="88">
        <v>0</v>
      </c>
      <c r="P338" s="32">
        <v>6</v>
      </c>
      <c r="Q338" s="32">
        <v>6</v>
      </c>
      <c r="R338" s="88">
        <v>8</v>
      </c>
      <c r="S338" s="31"/>
      <c r="T338" s="88">
        <v>1</v>
      </c>
      <c r="U338" s="88">
        <v>1</v>
      </c>
      <c r="V338" s="88">
        <v>1</v>
      </c>
      <c r="W338" s="9">
        <v>1208</v>
      </c>
      <c r="X338" s="89" t="s">
        <v>1712</v>
      </c>
      <c r="Y338" s="89"/>
      <c r="Z338" s="53">
        <v>9999</v>
      </c>
      <c r="AA338" s="53"/>
      <c r="AB338" s="53">
        <v>30</v>
      </c>
      <c r="AC338" s="53">
        <v>30</v>
      </c>
      <c r="AD338" s="53">
        <v>30</v>
      </c>
      <c r="AE338" s="94">
        <v>50</v>
      </c>
      <c r="AF338" s="94">
        <v>20</v>
      </c>
      <c r="AG338" s="94">
        <v>4000</v>
      </c>
      <c r="AH338" s="94">
        <v>50</v>
      </c>
      <c r="AI338" s="94">
        <v>0</v>
      </c>
      <c r="AJ338" s="94">
        <v>0</v>
      </c>
      <c r="AK338" s="94">
        <v>1</v>
      </c>
      <c r="AL338" s="94">
        <v>0</v>
      </c>
      <c r="AM338" s="98" t="s">
        <v>676</v>
      </c>
      <c r="AS338" s="17"/>
      <c r="AT338" s="17"/>
      <c r="AU338" s="17"/>
      <c r="AV338" s="18"/>
      <c r="AW338" s="88"/>
      <c r="AX338" s="88"/>
      <c r="AY338" s="13"/>
    </row>
    <row r="339" s="9" customFormat="1" spans="2:51">
      <c r="B339" s="9">
        <v>121222</v>
      </c>
      <c r="C339" s="9">
        <v>121222</v>
      </c>
      <c r="D339" s="18" t="s">
        <v>1713</v>
      </c>
      <c r="E339" s="18" t="s">
        <v>1713</v>
      </c>
      <c r="F339" s="18"/>
      <c r="G339" s="9">
        <v>0</v>
      </c>
      <c r="H339" s="2"/>
      <c r="I339" s="2"/>
      <c r="J339" s="2"/>
      <c r="K339" s="2"/>
      <c r="L339" s="2"/>
      <c r="N339" s="88">
        <v>0</v>
      </c>
      <c r="O339" s="88">
        <v>0</v>
      </c>
      <c r="P339" s="32">
        <v>5</v>
      </c>
      <c r="Q339" s="32">
        <v>5</v>
      </c>
      <c r="R339" s="88">
        <v>2</v>
      </c>
      <c r="S339" s="31"/>
      <c r="T339" s="88">
        <v>1</v>
      </c>
      <c r="U339" s="88">
        <v>1</v>
      </c>
      <c r="V339" s="88">
        <v>1</v>
      </c>
      <c r="W339" s="9">
        <v>1209</v>
      </c>
      <c r="X339" s="89" t="s">
        <v>1714</v>
      </c>
      <c r="Y339" s="89"/>
      <c r="Z339" s="53">
        <v>9999</v>
      </c>
      <c r="AA339" s="53"/>
      <c r="AB339" s="53">
        <v>30</v>
      </c>
      <c r="AC339" s="53">
        <v>30</v>
      </c>
      <c r="AD339" s="53">
        <v>30</v>
      </c>
      <c r="AE339" s="94">
        <v>50</v>
      </c>
      <c r="AF339" s="94">
        <v>20</v>
      </c>
      <c r="AG339" s="94">
        <v>4000</v>
      </c>
      <c r="AH339" s="94">
        <v>50</v>
      </c>
      <c r="AI339" s="94">
        <v>0</v>
      </c>
      <c r="AJ339" s="94">
        <v>0</v>
      </c>
      <c r="AK339" s="94">
        <v>1</v>
      </c>
      <c r="AL339" s="94">
        <v>0</v>
      </c>
      <c r="AM339" s="98" t="s">
        <v>676</v>
      </c>
      <c r="AS339" s="17"/>
      <c r="AT339" s="17"/>
      <c r="AU339" s="17"/>
      <c r="AV339" s="18"/>
      <c r="AW339" s="88"/>
      <c r="AX339" s="88"/>
      <c r="AY339" s="13"/>
    </row>
    <row r="340" s="9" customFormat="1" spans="2:51">
      <c r="B340" s="9">
        <v>121223</v>
      </c>
      <c r="C340" s="9">
        <v>121223</v>
      </c>
      <c r="D340" s="18" t="s">
        <v>1715</v>
      </c>
      <c r="E340" s="18" t="s">
        <v>1715</v>
      </c>
      <c r="F340" s="18"/>
      <c r="G340" s="9">
        <v>0</v>
      </c>
      <c r="H340" s="2"/>
      <c r="I340" s="2"/>
      <c r="J340" s="2"/>
      <c r="K340" s="2"/>
      <c r="L340" s="2"/>
      <c r="N340" s="88">
        <v>0</v>
      </c>
      <c r="O340" s="88">
        <v>0</v>
      </c>
      <c r="P340" s="32">
        <v>6</v>
      </c>
      <c r="Q340" s="32">
        <v>6</v>
      </c>
      <c r="R340" s="88">
        <v>2</v>
      </c>
      <c r="S340" s="31"/>
      <c r="T340" s="88">
        <v>1</v>
      </c>
      <c r="U340" s="88">
        <v>1</v>
      </c>
      <c r="V340" s="88">
        <v>1</v>
      </c>
      <c r="W340" s="9">
        <v>1210</v>
      </c>
      <c r="X340" s="89" t="s">
        <v>1716</v>
      </c>
      <c r="Y340" s="89"/>
      <c r="Z340" s="53">
        <v>9999</v>
      </c>
      <c r="AA340" s="53"/>
      <c r="AB340" s="53">
        <v>30</v>
      </c>
      <c r="AC340" s="53">
        <v>30</v>
      </c>
      <c r="AD340" s="53">
        <v>30</v>
      </c>
      <c r="AE340" s="94">
        <v>50</v>
      </c>
      <c r="AF340" s="94">
        <v>20</v>
      </c>
      <c r="AG340" s="94">
        <v>4000</v>
      </c>
      <c r="AH340" s="94">
        <v>50</v>
      </c>
      <c r="AI340" s="94">
        <v>0</v>
      </c>
      <c r="AJ340" s="94">
        <v>0</v>
      </c>
      <c r="AK340" s="94">
        <v>1</v>
      </c>
      <c r="AL340" s="94">
        <v>0</v>
      </c>
      <c r="AM340" s="98" t="s">
        <v>676</v>
      </c>
      <c r="AS340" s="17"/>
      <c r="AT340" s="17"/>
      <c r="AU340" s="17"/>
      <c r="AV340" s="18"/>
      <c r="AW340" s="88"/>
      <c r="AX340" s="88"/>
      <c r="AY340" s="13"/>
    </row>
    <row r="341" s="9" customFormat="1" spans="2:51">
      <c r="B341" s="9">
        <v>121224</v>
      </c>
      <c r="C341" s="9">
        <v>121224</v>
      </c>
      <c r="D341" s="18" t="s">
        <v>1717</v>
      </c>
      <c r="E341" s="18" t="s">
        <v>1717</v>
      </c>
      <c r="F341" s="18"/>
      <c r="G341" s="9">
        <v>0</v>
      </c>
      <c r="H341" s="2"/>
      <c r="I341" s="2"/>
      <c r="J341" s="2"/>
      <c r="K341" s="2"/>
      <c r="L341" s="2"/>
      <c r="N341" s="88">
        <v>0</v>
      </c>
      <c r="O341" s="88">
        <v>0</v>
      </c>
      <c r="P341" s="32">
        <v>5</v>
      </c>
      <c r="Q341" s="32">
        <v>5</v>
      </c>
      <c r="R341" s="88">
        <v>8</v>
      </c>
      <c r="S341" s="31"/>
      <c r="T341" s="88">
        <v>1</v>
      </c>
      <c r="U341" s="88">
        <v>1</v>
      </c>
      <c r="V341" s="88">
        <v>1</v>
      </c>
      <c r="W341" s="9">
        <v>1211</v>
      </c>
      <c r="X341" s="89" t="s">
        <v>1718</v>
      </c>
      <c r="Y341" s="89"/>
      <c r="Z341" s="53">
        <v>9999</v>
      </c>
      <c r="AA341" s="53"/>
      <c r="AB341" s="53">
        <v>30</v>
      </c>
      <c r="AC341" s="53">
        <v>30</v>
      </c>
      <c r="AD341" s="53">
        <v>30</v>
      </c>
      <c r="AE341" s="94">
        <v>50</v>
      </c>
      <c r="AF341" s="94">
        <v>20</v>
      </c>
      <c r="AG341" s="94">
        <v>4000</v>
      </c>
      <c r="AH341" s="94">
        <v>50</v>
      </c>
      <c r="AI341" s="94">
        <v>0</v>
      </c>
      <c r="AJ341" s="94">
        <v>0</v>
      </c>
      <c r="AK341" s="94">
        <v>1</v>
      </c>
      <c r="AL341" s="94">
        <v>0</v>
      </c>
      <c r="AM341" s="98" t="s">
        <v>676</v>
      </c>
      <c r="AS341" s="17"/>
      <c r="AT341" s="17"/>
      <c r="AU341" s="17"/>
      <c r="AV341" s="18"/>
      <c r="AW341" s="88"/>
      <c r="AX341" s="88"/>
      <c r="AY341" s="13"/>
    </row>
    <row r="342" s="9" customFormat="1" spans="2:51">
      <c r="B342" s="9">
        <v>121225</v>
      </c>
      <c r="C342" s="9">
        <v>121225</v>
      </c>
      <c r="D342" s="18" t="s">
        <v>1719</v>
      </c>
      <c r="E342" s="18" t="s">
        <v>1719</v>
      </c>
      <c r="F342" s="18"/>
      <c r="G342" s="9">
        <v>0</v>
      </c>
      <c r="H342" s="2"/>
      <c r="I342" s="2"/>
      <c r="J342" s="2"/>
      <c r="K342" s="2"/>
      <c r="L342" s="2"/>
      <c r="N342" s="88">
        <v>0</v>
      </c>
      <c r="O342" s="88">
        <v>0</v>
      </c>
      <c r="P342" s="32">
        <v>5</v>
      </c>
      <c r="Q342" s="32">
        <v>5</v>
      </c>
      <c r="R342" s="88">
        <v>8</v>
      </c>
      <c r="S342" s="31"/>
      <c r="T342" s="88">
        <v>1</v>
      </c>
      <c r="U342" s="88">
        <v>1</v>
      </c>
      <c r="V342" s="88">
        <v>1</v>
      </c>
      <c r="W342" s="9">
        <v>1212</v>
      </c>
      <c r="X342" s="89" t="s">
        <v>1720</v>
      </c>
      <c r="Y342" s="89"/>
      <c r="Z342" s="53">
        <v>9999</v>
      </c>
      <c r="AA342" s="53"/>
      <c r="AB342" s="53">
        <v>30</v>
      </c>
      <c r="AC342" s="53">
        <v>30</v>
      </c>
      <c r="AD342" s="53">
        <v>30</v>
      </c>
      <c r="AE342" s="94">
        <v>50</v>
      </c>
      <c r="AF342" s="94">
        <v>20</v>
      </c>
      <c r="AG342" s="94">
        <v>4000</v>
      </c>
      <c r="AH342" s="94">
        <v>50</v>
      </c>
      <c r="AI342" s="94">
        <v>0</v>
      </c>
      <c r="AJ342" s="94">
        <v>0</v>
      </c>
      <c r="AK342" s="94">
        <v>1</v>
      </c>
      <c r="AL342" s="94">
        <v>0</v>
      </c>
      <c r="AM342" s="98" t="s">
        <v>676</v>
      </c>
      <c r="AS342" s="17"/>
      <c r="AT342" s="17"/>
      <c r="AU342" s="17"/>
      <c r="AV342" s="18"/>
      <c r="AW342" s="88"/>
      <c r="AX342" s="88"/>
      <c r="AY342" s="13"/>
    </row>
    <row r="343" s="9" customFormat="1" spans="2:51">
      <c r="B343" s="9">
        <v>121226</v>
      </c>
      <c r="C343" s="9">
        <v>121226</v>
      </c>
      <c r="D343" s="18" t="s">
        <v>1721</v>
      </c>
      <c r="E343" s="18" t="s">
        <v>1722</v>
      </c>
      <c r="F343" s="18"/>
      <c r="G343" s="9">
        <v>0</v>
      </c>
      <c r="H343" s="2"/>
      <c r="I343" s="2"/>
      <c r="J343" s="2"/>
      <c r="K343" s="2"/>
      <c r="L343" s="2"/>
      <c r="N343" s="88">
        <v>0</v>
      </c>
      <c r="O343" s="88">
        <v>0</v>
      </c>
      <c r="P343" s="32">
        <v>6</v>
      </c>
      <c r="Q343" s="32">
        <v>6</v>
      </c>
      <c r="R343" s="88">
        <v>8</v>
      </c>
      <c r="S343" s="31"/>
      <c r="T343" s="88">
        <v>1</v>
      </c>
      <c r="U343" s="88">
        <v>1</v>
      </c>
      <c r="V343" s="88">
        <v>1</v>
      </c>
      <c r="W343" s="9">
        <v>1213</v>
      </c>
      <c r="X343" s="89" t="s">
        <v>1723</v>
      </c>
      <c r="Y343" s="89"/>
      <c r="Z343" s="53">
        <v>9999</v>
      </c>
      <c r="AA343" s="53"/>
      <c r="AB343" s="53">
        <v>30</v>
      </c>
      <c r="AC343" s="53">
        <v>30</v>
      </c>
      <c r="AD343" s="53">
        <v>30</v>
      </c>
      <c r="AE343" s="94">
        <v>50</v>
      </c>
      <c r="AF343" s="94">
        <v>20</v>
      </c>
      <c r="AG343" s="94">
        <v>4000</v>
      </c>
      <c r="AH343" s="94">
        <v>50</v>
      </c>
      <c r="AI343" s="94">
        <v>0</v>
      </c>
      <c r="AJ343" s="94">
        <v>0</v>
      </c>
      <c r="AK343" s="94">
        <v>1</v>
      </c>
      <c r="AL343" s="94">
        <v>0</v>
      </c>
      <c r="AM343" s="98" t="s">
        <v>676</v>
      </c>
      <c r="AS343" s="17"/>
      <c r="AT343" s="17"/>
      <c r="AU343" s="17"/>
      <c r="AV343" s="18"/>
      <c r="AW343" s="88"/>
      <c r="AX343" s="88"/>
      <c r="AY343" s="13"/>
    </row>
    <row r="344" s="9" customFormat="1" spans="2:51">
      <c r="B344" s="9">
        <v>121227</v>
      </c>
      <c r="C344" s="9">
        <v>121227</v>
      </c>
      <c r="D344" s="18" t="s">
        <v>1724</v>
      </c>
      <c r="E344" s="18" t="s">
        <v>1725</v>
      </c>
      <c r="F344" s="18"/>
      <c r="G344" s="9">
        <v>0</v>
      </c>
      <c r="H344" s="2"/>
      <c r="I344" s="2"/>
      <c r="J344" s="2"/>
      <c r="K344" s="2"/>
      <c r="L344" s="2"/>
      <c r="N344" s="88">
        <v>0</v>
      </c>
      <c r="O344" s="88">
        <v>0</v>
      </c>
      <c r="P344" s="32">
        <v>6</v>
      </c>
      <c r="Q344" s="32">
        <v>6</v>
      </c>
      <c r="R344" s="88">
        <v>8</v>
      </c>
      <c r="S344" s="31"/>
      <c r="T344" s="88">
        <v>1</v>
      </c>
      <c r="U344" s="88">
        <v>1</v>
      </c>
      <c r="V344" s="88">
        <v>1</v>
      </c>
      <c r="W344" s="9">
        <v>1214</v>
      </c>
      <c r="X344" s="89" t="s">
        <v>1726</v>
      </c>
      <c r="Y344" s="89"/>
      <c r="Z344" s="53">
        <v>9999</v>
      </c>
      <c r="AA344" s="53"/>
      <c r="AB344" s="53">
        <v>30</v>
      </c>
      <c r="AC344" s="53">
        <v>30</v>
      </c>
      <c r="AD344" s="53">
        <v>30</v>
      </c>
      <c r="AE344" s="94">
        <v>50</v>
      </c>
      <c r="AF344" s="94">
        <v>20</v>
      </c>
      <c r="AG344" s="94">
        <v>4000</v>
      </c>
      <c r="AH344" s="94">
        <v>50</v>
      </c>
      <c r="AI344" s="94">
        <v>0</v>
      </c>
      <c r="AJ344" s="94">
        <v>0</v>
      </c>
      <c r="AK344" s="94">
        <v>1</v>
      </c>
      <c r="AL344" s="94">
        <v>0</v>
      </c>
      <c r="AM344" s="98" t="s">
        <v>676</v>
      </c>
      <c r="AS344" s="17"/>
      <c r="AT344" s="17"/>
      <c r="AU344" s="17"/>
      <c r="AV344" s="18"/>
      <c r="AW344" s="88"/>
      <c r="AX344" s="88"/>
      <c r="AY344" s="13"/>
    </row>
    <row r="345" s="9" customFormat="1" spans="2:51">
      <c r="B345" s="9">
        <v>121228</v>
      </c>
      <c r="C345" s="9">
        <v>121228</v>
      </c>
      <c r="D345" s="17" t="s">
        <v>1727</v>
      </c>
      <c r="E345" s="18" t="s">
        <v>1728</v>
      </c>
      <c r="F345" s="18"/>
      <c r="G345" s="9">
        <v>0</v>
      </c>
      <c r="H345" s="2"/>
      <c r="I345" s="2"/>
      <c r="J345" s="2"/>
      <c r="K345" s="2"/>
      <c r="L345" s="2"/>
      <c r="N345" s="88">
        <v>0</v>
      </c>
      <c r="O345" s="88">
        <v>0</v>
      </c>
      <c r="P345" s="32">
        <v>1</v>
      </c>
      <c r="Q345" s="32">
        <v>1</v>
      </c>
      <c r="R345" s="88">
        <v>8</v>
      </c>
      <c r="S345" s="31"/>
      <c r="T345" s="88">
        <v>1</v>
      </c>
      <c r="U345" s="88">
        <v>1</v>
      </c>
      <c r="V345" s="88">
        <v>1</v>
      </c>
      <c r="W345" s="9">
        <v>1215</v>
      </c>
      <c r="X345" s="89" t="s">
        <v>1729</v>
      </c>
      <c r="Y345" s="89"/>
      <c r="Z345" s="53">
        <v>9999</v>
      </c>
      <c r="AA345" s="53"/>
      <c r="AB345" s="53">
        <v>30</v>
      </c>
      <c r="AC345" s="53">
        <v>30</v>
      </c>
      <c r="AD345" s="53">
        <v>30</v>
      </c>
      <c r="AE345" s="94">
        <v>50</v>
      </c>
      <c r="AF345" s="94">
        <v>20</v>
      </c>
      <c r="AG345" s="94">
        <v>4000</v>
      </c>
      <c r="AH345" s="94">
        <v>50</v>
      </c>
      <c r="AI345" s="94">
        <v>0</v>
      </c>
      <c r="AJ345" s="94">
        <v>0</v>
      </c>
      <c r="AK345" s="94">
        <v>1</v>
      </c>
      <c r="AL345" s="94">
        <v>0</v>
      </c>
      <c r="AM345" s="98" t="s">
        <v>676</v>
      </c>
      <c r="AS345" s="17"/>
      <c r="AT345" s="17"/>
      <c r="AU345" s="17"/>
      <c r="AV345" s="18"/>
      <c r="AW345" s="88"/>
      <c r="AX345" s="88"/>
      <c r="AY345" s="13"/>
    </row>
    <row r="346" s="9" customFormat="1" spans="2:51">
      <c r="B346" s="9">
        <v>121229</v>
      </c>
      <c r="C346" s="9">
        <v>121229</v>
      </c>
      <c r="D346" s="17" t="s">
        <v>1730</v>
      </c>
      <c r="E346" s="17" t="s">
        <v>1730</v>
      </c>
      <c r="F346" s="17"/>
      <c r="G346" s="9">
        <v>0</v>
      </c>
      <c r="H346" s="2"/>
      <c r="I346" s="2"/>
      <c r="J346" s="2"/>
      <c r="K346" s="2"/>
      <c r="L346" s="2"/>
      <c r="N346" s="88">
        <v>0</v>
      </c>
      <c r="O346" s="88">
        <v>0</v>
      </c>
      <c r="P346" s="32">
        <v>4</v>
      </c>
      <c r="Q346" s="32">
        <v>4</v>
      </c>
      <c r="R346" s="88">
        <v>8</v>
      </c>
      <c r="S346" s="31"/>
      <c r="T346" s="88">
        <v>1</v>
      </c>
      <c r="U346" s="88">
        <v>1</v>
      </c>
      <c r="V346" s="88">
        <v>1</v>
      </c>
      <c r="W346" s="9">
        <v>2254</v>
      </c>
      <c r="X346" s="89" t="s">
        <v>1731</v>
      </c>
      <c r="Y346" s="89"/>
      <c r="Z346" s="53">
        <v>9999</v>
      </c>
      <c r="AA346" s="53"/>
      <c r="AB346" s="53">
        <v>30</v>
      </c>
      <c r="AC346" s="53">
        <v>30</v>
      </c>
      <c r="AD346" s="53">
        <v>30</v>
      </c>
      <c r="AE346" s="94">
        <v>50</v>
      </c>
      <c r="AF346" s="94">
        <v>20</v>
      </c>
      <c r="AG346" s="94">
        <v>4000</v>
      </c>
      <c r="AH346" s="94">
        <v>50</v>
      </c>
      <c r="AI346" s="94">
        <v>0</v>
      </c>
      <c r="AJ346" s="94">
        <v>0</v>
      </c>
      <c r="AK346" s="94">
        <v>1</v>
      </c>
      <c r="AL346" s="94">
        <v>0</v>
      </c>
      <c r="AM346" s="98" t="s">
        <v>676</v>
      </c>
      <c r="AS346" s="17"/>
      <c r="AT346" s="17"/>
      <c r="AU346" s="17"/>
      <c r="AV346" s="18"/>
      <c r="AW346" s="88"/>
      <c r="AX346" s="88"/>
      <c r="AY346" s="13"/>
    </row>
    <row r="347" s="9" customFormat="1" spans="2:51">
      <c r="B347" s="9">
        <v>121230</v>
      </c>
      <c r="C347" s="9">
        <v>121230</v>
      </c>
      <c r="D347" s="17" t="s">
        <v>1732</v>
      </c>
      <c r="E347" s="17" t="s">
        <v>1732</v>
      </c>
      <c r="F347" s="17"/>
      <c r="G347" s="9">
        <v>1</v>
      </c>
      <c r="H347" s="2"/>
      <c r="I347" s="2"/>
      <c r="J347" s="2"/>
      <c r="K347" s="2"/>
      <c r="L347" s="2"/>
      <c r="N347" s="88">
        <v>0</v>
      </c>
      <c r="O347" s="88">
        <v>0</v>
      </c>
      <c r="P347" s="32">
        <v>2</v>
      </c>
      <c r="Q347" s="32">
        <v>2</v>
      </c>
      <c r="R347" s="88">
        <v>8</v>
      </c>
      <c r="S347" s="31"/>
      <c r="T347" s="88">
        <v>1</v>
      </c>
      <c r="U347" s="88">
        <v>1</v>
      </c>
      <c r="V347" s="88">
        <v>1</v>
      </c>
      <c r="W347" s="9">
        <v>1217</v>
      </c>
      <c r="X347" s="89" t="s">
        <v>1733</v>
      </c>
      <c r="Y347" s="89"/>
      <c r="Z347" s="53">
        <v>9999</v>
      </c>
      <c r="AA347" s="53"/>
      <c r="AB347" s="53">
        <v>30</v>
      </c>
      <c r="AC347" s="53">
        <v>30</v>
      </c>
      <c r="AD347" s="53">
        <v>30</v>
      </c>
      <c r="AE347" s="94">
        <v>50</v>
      </c>
      <c r="AF347" s="94">
        <v>20</v>
      </c>
      <c r="AG347" s="94">
        <v>4000</v>
      </c>
      <c r="AH347" s="94">
        <v>50</v>
      </c>
      <c r="AI347" s="94">
        <v>0</v>
      </c>
      <c r="AJ347" s="94">
        <v>0</v>
      </c>
      <c r="AK347" s="94">
        <v>1</v>
      </c>
      <c r="AL347" s="94">
        <v>0</v>
      </c>
      <c r="AM347" s="98" t="s">
        <v>676</v>
      </c>
      <c r="AS347" s="17"/>
      <c r="AT347" s="17"/>
      <c r="AU347" s="17"/>
      <c r="AV347" s="18"/>
      <c r="AW347" s="88"/>
      <c r="AX347" s="88"/>
      <c r="AY347" s="13"/>
    </row>
    <row r="348" s="9" customFormat="1" spans="2:51">
      <c r="B348" s="9">
        <v>121231</v>
      </c>
      <c r="C348" s="9">
        <v>121231</v>
      </c>
      <c r="D348" s="17" t="s">
        <v>1734</v>
      </c>
      <c r="E348" s="17" t="s">
        <v>1734</v>
      </c>
      <c r="F348" s="17"/>
      <c r="G348" s="9">
        <v>0</v>
      </c>
      <c r="H348" s="2"/>
      <c r="I348" s="2"/>
      <c r="J348" s="2"/>
      <c r="K348" s="2"/>
      <c r="L348" s="2"/>
      <c r="N348" s="88">
        <v>0</v>
      </c>
      <c r="O348" s="88">
        <v>0</v>
      </c>
      <c r="P348" s="32">
        <v>3</v>
      </c>
      <c r="Q348" s="32">
        <v>3</v>
      </c>
      <c r="R348" s="88">
        <v>8</v>
      </c>
      <c r="S348" s="31"/>
      <c r="T348" s="88">
        <v>1</v>
      </c>
      <c r="U348" s="88">
        <v>1</v>
      </c>
      <c r="V348" s="88">
        <v>1</v>
      </c>
      <c r="W348" s="9">
        <v>1218</v>
      </c>
      <c r="X348" s="89" t="s">
        <v>1735</v>
      </c>
      <c r="Y348" s="89"/>
      <c r="Z348" s="53">
        <v>9999</v>
      </c>
      <c r="AA348" s="53"/>
      <c r="AB348" s="53">
        <v>30</v>
      </c>
      <c r="AC348" s="53">
        <v>30</v>
      </c>
      <c r="AD348" s="53">
        <v>30</v>
      </c>
      <c r="AE348" s="94">
        <v>50</v>
      </c>
      <c r="AF348" s="94">
        <v>20</v>
      </c>
      <c r="AG348" s="94">
        <v>4000</v>
      </c>
      <c r="AH348" s="94">
        <v>50</v>
      </c>
      <c r="AI348" s="94">
        <v>0</v>
      </c>
      <c r="AJ348" s="94">
        <v>0</v>
      </c>
      <c r="AK348" s="94">
        <v>1</v>
      </c>
      <c r="AL348" s="94">
        <v>0</v>
      </c>
      <c r="AM348" s="98" t="s">
        <v>676</v>
      </c>
      <c r="AS348" s="17"/>
      <c r="AT348" s="17"/>
      <c r="AU348" s="17"/>
      <c r="AV348" s="18"/>
      <c r="AW348" s="88"/>
      <c r="AX348" s="88"/>
      <c r="AY348" s="13"/>
    </row>
    <row r="349" s="9" customFormat="1" spans="2:51">
      <c r="B349" s="9">
        <v>121232</v>
      </c>
      <c r="C349" s="9">
        <v>121232</v>
      </c>
      <c r="D349" s="17" t="s">
        <v>1736</v>
      </c>
      <c r="E349" s="17" t="s">
        <v>1736</v>
      </c>
      <c r="F349" s="17"/>
      <c r="G349" s="9">
        <v>0</v>
      </c>
      <c r="H349" s="2"/>
      <c r="I349" s="2"/>
      <c r="J349" s="2"/>
      <c r="K349" s="2"/>
      <c r="L349" s="2"/>
      <c r="N349" s="88">
        <v>0</v>
      </c>
      <c r="O349" s="88">
        <v>0</v>
      </c>
      <c r="P349" s="32">
        <v>4</v>
      </c>
      <c r="Q349" s="32">
        <v>4</v>
      </c>
      <c r="R349" s="88">
        <v>8</v>
      </c>
      <c r="S349" s="31"/>
      <c r="T349" s="88">
        <v>1</v>
      </c>
      <c r="U349" s="88">
        <v>1</v>
      </c>
      <c r="V349" s="88">
        <v>1</v>
      </c>
      <c r="W349" s="9">
        <v>1219</v>
      </c>
      <c r="X349" s="89" t="s">
        <v>1737</v>
      </c>
      <c r="Y349" s="89"/>
      <c r="Z349" s="53">
        <v>9999</v>
      </c>
      <c r="AA349" s="53"/>
      <c r="AB349" s="53">
        <v>30</v>
      </c>
      <c r="AC349" s="53">
        <v>30</v>
      </c>
      <c r="AD349" s="53">
        <v>30</v>
      </c>
      <c r="AE349" s="94">
        <v>50</v>
      </c>
      <c r="AF349" s="94">
        <v>20</v>
      </c>
      <c r="AG349" s="94">
        <v>4000</v>
      </c>
      <c r="AH349" s="94">
        <v>50</v>
      </c>
      <c r="AI349" s="94">
        <v>0</v>
      </c>
      <c r="AJ349" s="94">
        <v>0</v>
      </c>
      <c r="AK349" s="94">
        <v>1</v>
      </c>
      <c r="AL349" s="94">
        <v>0</v>
      </c>
      <c r="AM349" s="98" t="s">
        <v>676</v>
      </c>
      <c r="AS349" s="17"/>
      <c r="AT349" s="17"/>
      <c r="AU349" s="17"/>
      <c r="AV349" s="18"/>
      <c r="AW349" s="88"/>
      <c r="AX349" s="88"/>
      <c r="AY349" s="13"/>
    </row>
    <row r="350" s="9" customFormat="1" spans="2:51">
      <c r="B350" s="9">
        <v>121233</v>
      </c>
      <c r="C350" s="9">
        <v>121233</v>
      </c>
      <c r="D350" s="17" t="s">
        <v>1738</v>
      </c>
      <c r="E350" s="17" t="s">
        <v>1738</v>
      </c>
      <c r="F350" s="17"/>
      <c r="G350" s="9">
        <v>0</v>
      </c>
      <c r="H350" s="2"/>
      <c r="I350" s="2"/>
      <c r="J350" s="2"/>
      <c r="K350" s="2"/>
      <c r="L350" s="2"/>
      <c r="N350" s="88">
        <v>0</v>
      </c>
      <c r="O350" s="88">
        <v>0</v>
      </c>
      <c r="P350" s="32">
        <v>6</v>
      </c>
      <c r="Q350" s="32">
        <v>6</v>
      </c>
      <c r="R350" s="88">
        <v>8</v>
      </c>
      <c r="S350" s="31"/>
      <c r="T350" s="88">
        <v>1</v>
      </c>
      <c r="U350" s="88">
        <v>1</v>
      </c>
      <c r="V350" s="88">
        <v>1</v>
      </c>
      <c r="W350" s="9">
        <v>1223</v>
      </c>
      <c r="X350" s="89" t="s">
        <v>1739</v>
      </c>
      <c r="Y350" s="89"/>
      <c r="Z350" s="53">
        <v>9999</v>
      </c>
      <c r="AA350" s="53"/>
      <c r="AB350" s="53">
        <v>30</v>
      </c>
      <c r="AC350" s="53">
        <v>30</v>
      </c>
      <c r="AD350" s="53">
        <v>30</v>
      </c>
      <c r="AE350" s="94">
        <v>50</v>
      </c>
      <c r="AF350" s="94">
        <v>20</v>
      </c>
      <c r="AG350" s="94">
        <v>4000</v>
      </c>
      <c r="AH350" s="94">
        <v>50</v>
      </c>
      <c r="AI350" s="94">
        <v>0</v>
      </c>
      <c r="AJ350" s="94">
        <v>0</v>
      </c>
      <c r="AK350" s="94">
        <v>1</v>
      </c>
      <c r="AL350" s="94">
        <v>0</v>
      </c>
      <c r="AM350" s="98" t="s">
        <v>676</v>
      </c>
      <c r="AS350" s="17"/>
      <c r="AT350" s="17"/>
      <c r="AU350" s="17"/>
      <c r="AV350" s="18"/>
      <c r="AW350" s="88"/>
      <c r="AX350" s="88"/>
      <c r="AY350" s="13"/>
    </row>
    <row r="351" s="9" customFormat="1" spans="2:51">
      <c r="B351" s="9">
        <v>121234</v>
      </c>
      <c r="C351" s="9">
        <v>121234</v>
      </c>
      <c r="D351" s="17" t="s">
        <v>1740</v>
      </c>
      <c r="E351" s="17" t="s">
        <v>1740</v>
      </c>
      <c r="F351" s="17"/>
      <c r="G351" s="9">
        <v>3</v>
      </c>
      <c r="H351" s="2"/>
      <c r="I351" s="2"/>
      <c r="J351" s="2"/>
      <c r="K351" s="2"/>
      <c r="L351" s="2"/>
      <c r="N351" s="88">
        <v>0</v>
      </c>
      <c r="O351" s="88">
        <v>0</v>
      </c>
      <c r="P351" s="32">
        <v>4</v>
      </c>
      <c r="Q351" s="32">
        <v>4</v>
      </c>
      <c r="R351" s="88">
        <v>8</v>
      </c>
      <c r="S351" s="31"/>
      <c r="T351" s="88">
        <v>1</v>
      </c>
      <c r="U351" s="88">
        <v>1</v>
      </c>
      <c r="V351" s="88">
        <v>1</v>
      </c>
      <c r="W351" s="9">
        <v>1220</v>
      </c>
      <c r="X351" s="89" t="s">
        <v>1741</v>
      </c>
      <c r="Y351" s="89"/>
      <c r="Z351" s="53">
        <v>9999</v>
      </c>
      <c r="AA351" s="53"/>
      <c r="AB351" s="53">
        <v>30</v>
      </c>
      <c r="AC351" s="53">
        <v>30</v>
      </c>
      <c r="AD351" s="53">
        <v>30</v>
      </c>
      <c r="AE351" s="94">
        <v>50</v>
      </c>
      <c r="AF351" s="94">
        <v>20</v>
      </c>
      <c r="AG351" s="94">
        <v>4000</v>
      </c>
      <c r="AH351" s="94">
        <v>50</v>
      </c>
      <c r="AI351" s="94">
        <v>0</v>
      </c>
      <c r="AJ351" s="94">
        <v>0</v>
      </c>
      <c r="AK351" s="94">
        <v>1</v>
      </c>
      <c r="AL351" s="94">
        <v>0</v>
      </c>
      <c r="AM351" s="98" t="s">
        <v>676</v>
      </c>
      <c r="AS351" s="17"/>
      <c r="AT351" s="17"/>
      <c r="AU351" s="17"/>
      <c r="AV351" s="18"/>
      <c r="AW351" s="88"/>
      <c r="AX351" s="88"/>
      <c r="AY351" s="13"/>
    </row>
    <row r="352" s="9" customFormat="1" spans="2:51">
      <c r="B352" s="9">
        <v>121235</v>
      </c>
      <c r="C352" s="9">
        <v>121235</v>
      </c>
      <c r="D352" s="17" t="s">
        <v>1742</v>
      </c>
      <c r="E352" s="17" t="s">
        <v>1743</v>
      </c>
      <c r="F352" s="17"/>
      <c r="G352" s="9">
        <v>3</v>
      </c>
      <c r="H352" s="2"/>
      <c r="I352" s="2"/>
      <c r="J352" s="2"/>
      <c r="K352" s="2"/>
      <c r="L352" s="2"/>
      <c r="N352" s="88">
        <v>0</v>
      </c>
      <c r="O352" s="88">
        <v>0</v>
      </c>
      <c r="P352" s="32">
        <v>4</v>
      </c>
      <c r="Q352" s="32">
        <v>4</v>
      </c>
      <c r="R352" s="88">
        <v>8</v>
      </c>
      <c r="S352" s="31"/>
      <c r="T352" s="88">
        <v>1</v>
      </c>
      <c r="U352" s="88">
        <v>1</v>
      </c>
      <c r="V352" s="88">
        <v>1</v>
      </c>
      <c r="W352" s="9">
        <v>1221</v>
      </c>
      <c r="X352" s="89" t="s">
        <v>1744</v>
      </c>
      <c r="Y352" s="89"/>
      <c r="Z352" s="53">
        <v>9999</v>
      </c>
      <c r="AA352" s="53"/>
      <c r="AB352" s="53">
        <v>30</v>
      </c>
      <c r="AC352" s="53">
        <v>30</v>
      </c>
      <c r="AD352" s="53">
        <v>30</v>
      </c>
      <c r="AE352" s="94">
        <v>50</v>
      </c>
      <c r="AF352" s="94">
        <v>20</v>
      </c>
      <c r="AG352" s="94">
        <v>4000</v>
      </c>
      <c r="AH352" s="94">
        <v>50</v>
      </c>
      <c r="AI352" s="94">
        <v>0</v>
      </c>
      <c r="AJ352" s="94">
        <v>0</v>
      </c>
      <c r="AK352" s="94">
        <v>1</v>
      </c>
      <c r="AL352" s="94">
        <v>0</v>
      </c>
      <c r="AM352" s="98" t="s">
        <v>676</v>
      </c>
      <c r="AS352" s="17"/>
      <c r="AT352" s="17"/>
      <c r="AU352" s="17"/>
      <c r="AV352" s="18"/>
      <c r="AW352" s="88"/>
      <c r="AX352" s="88"/>
      <c r="AY352" s="13"/>
    </row>
    <row r="353" s="9" customFormat="1" spans="2:51">
      <c r="B353" s="9">
        <v>121236</v>
      </c>
      <c r="C353" s="9">
        <v>121236</v>
      </c>
      <c r="D353" s="17" t="s">
        <v>1742</v>
      </c>
      <c r="E353" s="17" t="s">
        <v>1745</v>
      </c>
      <c r="F353" s="17"/>
      <c r="G353" s="9">
        <v>3</v>
      </c>
      <c r="H353" s="2"/>
      <c r="I353" s="2"/>
      <c r="J353" s="2"/>
      <c r="K353" s="2"/>
      <c r="L353" s="2"/>
      <c r="N353" s="88">
        <v>0</v>
      </c>
      <c r="O353" s="88">
        <v>0</v>
      </c>
      <c r="P353" s="32">
        <v>4</v>
      </c>
      <c r="Q353" s="32">
        <v>4</v>
      </c>
      <c r="R353" s="88">
        <v>8</v>
      </c>
      <c r="S353" s="31"/>
      <c r="T353" s="88">
        <v>1</v>
      </c>
      <c r="U353" s="88">
        <v>1</v>
      </c>
      <c r="V353" s="88">
        <v>1</v>
      </c>
      <c r="W353" s="9">
        <v>1222</v>
      </c>
      <c r="X353" s="89" t="s">
        <v>1746</v>
      </c>
      <c r="Y353" s="89"/>
      <c r="Z353" s="53">
        <v>9999</v>
      </c>
      <c r="AA353" s="53"/>
      <c r="AB353" s="53">
        <v>30</v>
      </c>
      <c r="AC353" s="53">
        <v>30</v>
      </c>
      <c r="AD353" s="53">
        <v>30</v>
      </c>
      <c r="AE353" s="94">
        <v>50</v>
      </c>
      <c r="AF353" s="94">
        <v>20</v>
      </c>
      <c r="AG353" s="94">
        <v>4000</v>
      </c>
      <c r="AH353" s="94">
        <v>50</v>
      </c>
      <c r="AI353" s="94">
        <v>0</v>
      </c>
      <c r="AJ353" s="94">
        <v>0</v>
      </c>
      <c r="AK353" s="94">
        <v>1</v>
      </c>
      <c r="AL353" s="94">
        <v>0</v>
      </c>
      <c r="AM353" s="98" t="s">
        <v>676</v>
      </c>
      <c r="AS353" s="17"/>
      <c r="AT353" s="17"/>
      <c r="AU353" s="17"/>
      <c r="AV353" s="18"/>
      <c r="AW353" s="88"/>
      <c r="AX353" s="88"/>
      <c r="AY353" s="13"/>
    </row>
    <row r="354" s="9" customFormat="1" spans="2:51">
      <c r="B354" s="9">
        <v>121237</v>
      </c>
      <c r="C354" s="9">
        <v>121237</v>
      </c>
      <c r="D354" s="17" t="s">
        <v>1747</v>
      </c>
      <c r="E354" s="17" t="s">
        <v>1748</v>
      </c>
      <c r="F354" s="17"/>
      <c r="G354" s="9">
        <v>0</v>
      </c>
      <c r="H354" s="2"/>
      <c r="I354" s="2"/>
      <c r="J354" s="2"/>
      <c r="K354" s="2"/>
      <c r="L354" s="2"/>
      <c r="N354" s="88">
        <v>0</v>
      </c>
      <c r="O354" s="88">
        <v>0</v>
      </c>
      <c r="P354" s="32">
        <v>4</v>
      </c>
      <c r="Q354" s="32">
        <v>4</v>
      </c>
      <c r="R354" s="88">
        <v>8</v>
      </c>
      <c r="S354" s="31"/>
      <c r="T354" s="88">
        <v>1</v>
      </c>
      <c r="U354" s="88">
        <v>1</v>
      </c>
      <c r="V354" s="88">
        <v>1</v>
      </c>
      <c r="W354" s="9">
        <v>1224</v>
      </c>
      <c r="X354" s="89" t="s">
        <v>1749</v>
      </c>
      <c r="Y354" s="89"/>
      <c r="Z354" s="53">
        <v>9999</v>
      </c>
      <c r="AA354" s="53"/>
      <c r="AB354" s="53">
        <v>30</v>
      </c>
      <c r="AC354" s="53">
        <v>30</v>
      </c>
      <c r="AD354" s="53">
        <v>30</v>
      </c>
      <c r="AE354" s="94">
        <v>50</v>
      </c>
      <c r="AF354" s="94">
        <v>20</v>
      </c>
      <c r="AG354" s="94">
        <v>4000</v>
      </c>
      <c r="AH354" s="94">
        <v>50</v>
      </c>
      <c r="AI354" s="94">
        <v>0</v>
      </c>
      <c r="AJ354" s="94">
        <v>0</v>
      </c>
      <c r="AK354" s="94">
        <v>1</v>
      </c>
      <c r="AL354" s="94">
        <v>0</v>
      </c>
      <c r="AM354" s="98" t="s">
        <v>676</v>
      </c>
      <c r="AS354" s="17"/>
      <c r="AT354" s="17"/>
      <c r="AU354" s="17"/>
      <c r="AV354" s="18"/>
      <c r="AW354" s="88"/>
      <c r="AX354" s="88"/>
      <c r="AY354" s="13"/>
    </row>
    <row r="355" s="9" customFormat="1" spans="2:51">
      <c r="B355" s="9">
        <v>121238</v>
      </c>
      <c r="C355" s="9">
        <v>121238</v>
      </c>
      <c r="D355" s="17" t="s">
        <v>1747</v>
      </c>
      <c r="E355" s="17" t="s">
        <v>1750</v>
      </c>
      <c r="F355" s="17"/>
      <c r="G355" s="9">
        <v>0</v>
      </c>
      <c r="H355" s="2"/>
      <c r="I355" s="2"/>
      <c r="J355" s="2"/>
      <c r="K355" s="2"/>
      <c r="L355" s="2"/>
      <c r="N355" s="88">
        <v>0</v>
      </c>
      <c r="O355" s="88">
        <v>0</v>
      </c>
      <c r="P355" s="32">
        <v>6</v>
      </c>
      <c r="Q355" s="32">
        <v>6</v>
      </c>
      <c r="R355" s="88">
        <v>8</v>
      </c>
      <c r="S355" s="31"/>
      <c r="T355" s="88">
        <v>1</v>
      </c>
      <c r="U355" s="88">
        <v>1</v>
      </c>
      <c r="V355" s="88">
        <v>1</v>
      </c>
      <c r="W355" s="9">
        <v>1225</v>
      </c>
      <c r="X355" s="89" t="s">
        <v>1751</v>
      </c>
      <c r="Y355" s="89"/>
      <c r="Z355" s="53">
        <v>9999</v>
      </c>
      <c r="AA355" s="53"/>
      <c r="AB355" s="53">
        <v>30</v>
      </c>
      <c r="AC355" s="53">
        <v>30</v>
      </c>
      <c r="AD355" s="53">
        <v>30</v>
      </c>
      <c r="AE355" s="94">
        <v>50</v>
      </c>
      <c r="AF355" s="94">
        <v>20</v>
      </c>
      <c r="AG355" s="94">
        <v>4000</v>
      </c>
      <c r="AH355" s="94">
        <v>50</v>
      </c>
      <c r="AI355" s="94">
        <v>0</v>
      </c>
      <c r="AJ355" s="94">
        <v>0</v>
      </c>
      <c r="AK355" s="94">
        <v>1</v>
      </c>
      <c r="AL355" s="94">
        <v>0</v>
      </c>
      <c r="AM355" s="98" t="s">
        <v>676</v>
      </c>
      <c r="AS355" s="17"/>
      <c r="AT355" s="17"/>
      <c r="AU355" s="17"/>
      <c r="AV355" s="18"/>
      <c r="AW355" s="88"/>
      <c r="AX355" s="88"/>
      <c r="AY355" s="13"/>
    </row>
    <row r="356" s="9" customFormat="1" spans="2:51">
      <c r="B356" s="9">
        <v>121239</v>
      </c>
      <c r="C356" s="9">
        <v>121239</v>
      </c>
      <c r="D356" s="17" t="s">
        <v>1752</v>
      </c>
      <c r="E356" s="17" t="s">
        <v>1753</v>
      </c>
      <c r="F356" s="17"/>
      <c r="G356" s="9">
        <v>0</v>
      </c>
      <c r="H356" s="2"/>
      <c r="I356" s="2"/>
      <c r="J356" s="2"/>
      <c r="K356" s="2"/>
      <c r="L356" s="2"/>
      <c r="N356" s="88">
        <v>0</v>
      </c>
      <c r="O356" s="88">
        <v>0</v>
      </c>
      <c r="P356" s="32">
        <v>4</v>
      </c>
      <c r="Q356" s="32">
        <v>4</v>
      </c>
      <c r="R356" s="88">
        <v>8</v>
      </c>
      <c r="S356" s="31"/>
      <c r="T356" s="88">
        <v>1</v>
      </c>
      <c r="U356" s="88">
        <v>1</v>
      </c>
      <c r="V356" s="88">
        <v>1</v>
      </c>
      <c r="W356" s="9">
        <v>1226</v>
      </c>
      <c r="X356" s="89" t="s">
        <v>1754</v>
      </c>
      <c r="Y356" s="89"/>
      <c r="Z356" s="53">
        <v>9999</v>
      </c>
      <c r="AA356" s="53"/>
      <c r="AB356" s="53">
        <v>30</v>
      </c>
      <c r="AC356" s="53">
        <v>30</v>
      </c>
      <c r="AD356" s="53">
        <v>30</v>
      </c>
      <c r="AE356" s="94">
        <v>50</v>
      </c>
      <c r="AF356" s="94">
        <v>20</v>
      </c>
      <c r="AG356" s="94">
        <v>4000</v>
      </c>
      <c r="AH356" s="94">
        <v>50</v>
      </c>
      <c r="AI356" s="94">
        <v>0</v>
      </c>
      <c r="AJ356" s="94">
        <v>0</v>
      </c>
      <c r="AK356" s="94">
        <v>1</v>
      </c>
      <c r="AL356" s="94">
        <v>0</v>
      </c>
      <c r="AM356" s="98" t="s">
        <v>676</v>
      </c>
      <c r="AS356" s="17"/>
      <c r="AT356" s="17"/>
      <c r="AU356" s="17"/>
      <c r="AV356" s="18"/>
      <c r="AW356" s="88"/>
      <c r="AX356" s="88"/>
      <c r="AY356" s="13"/>
    </row>
    <row r="357" s="9" customFormat="1" spans="2:51">
      <c r="B357" s="9">
        <v>121240</v>
      </c>
      <c r="C357" s="9">
        <v>121240</v>
      </c>
      <c r="D357" s="17" t="s">
        <v>1752</v>
      </c>
      <c r="E357" s="17" t="s">
        <v>1755</v>
      </c>
      <c r="F357" s="17"/>
      <c r="G357" s="9">
        <v>0</v>
      </c>
      <c r="H357" s="2"/>
      <c r="I357" s="2"/>
      <c r="J357" s="2"/>
      <c r="K357" s="2"/>
      <c r="L357" s="2"/>
      <c r="N357" s="88">
        <v>0</v>
      </c>
      <c r="O357" s="88">
        <v>0</v>
      </c>
      <c r="P357" s="32">
        <v>4</v>
      </c>
      <c r="Q357" s="32">
        <v>4</v>
      </c>
      <c r="R357" s="88">
        <v>8</v>
      </c>
      <c r="S357" s="31"/>
      <c r="T357" s="88">
        <v>1</v>
      </c>
      <c r="U357" s="88">
        <v>1</v>
      </c>
      <c r="V357" s="88">
        <v>1</v>
      </c>
      <c r="W357" s="9">
        <v>1227</v>
      </c>
      <c r="X357" s="89" t="s">
        <v>1756</v>
      </c>
      <c r="Y357" s="89"/>
      <c r="Z357" s="53">
        <v>9999</v>
      </c>
      <c r="AA357" s="53"/>
      <c r="AB357" s="53">
        <v>30</v>
      </c>
      <c r="AC357" s="53">
        <v>30</v>
      </c>
      <c r="AD357" s="53">
        <v>30</v>
      </c>
      <c r="AE357" s="94">
        <v>50</v>
      </c>
      <c r="AF357" s="94">
        <v>20</v>
      </c>
      <c r="AG357" s="94">
        <v>4000</v>
      </c>
      <c r="AH357" s="94">
        <v>50</v>
      </c>
      <c r="AI357" s="94">
        <v>0</v>
      </c>
      <c r="AJ357" s="94">
        <v>0</v>
      </c>
      <c r="AK357" s="94">
        <v>1</v>
      </c>
      <c r="AL357" s="94">
        <v>0</v>
      </c>
      <c r="AM357" s="98" t="s">
        <v>676</v>
      </c>
      <c r="AS357" s="17"/>
      <c r="AT357" s="17"/>
      <c r="AU357" s="17"/>
      <c r="AV357" s="18"/>
      <c r="AW357" s="88"/>
      <c r="AX357" s="88"/>
      <c r="AY357" s="13"/>
    </row>
    <row r="358" s="9" customFormat="1" spans="2:51">
      <c r="B358" s="9">
        <v>121241</v>
      </c>
      <c r="C358" s="9">
        <v>121241</v>
      </c>
      <c r="D358" s="17" t="s">
        <v>1752</v>
      </c>
      <c r="E358" s="17" t="s">
        <v>1757</v>
      </c>
      <c r="F358" s="17"/>
      <c r="G358" s="9">
        <v>0</v>
      </c>
      <c r="H358" s="2"/>
      <c r="I358" s="2"/>
      <c r="J358" s="2"/>
      <c r="K358" s="2"/>
      <c r="L358" s="2"/>
      <c r="N358" s="88">
        <v>0</v>
      </c>
      <c r="O358" s="88">
        <v>0</v>
      </c>
      <c r="P358" s="32">
        <v>5</v>
      </c>
      <c r="Q358" s="32">
        <v>5</v>
      </c>
      <c r="R358" s="88">
        <v>8</v>
      </c>
      <c r="S358" s="31"/>
      <c r="T358" s="88">
        <v>1</v>
      </c>
      <c r="U358" s="88">
        <v>1</v>
      </c>
      <c r="V358" s="88">
        <v>1</v>
      </c>
      <c r="W358" s="9">
        <v>1228</v>
      </c>
      <c r="X358" s="89" t="s">
        <v>1758</v>
      </c>
      <c r="Y358" s="89"/>
      <c r="Z358" s="53">
        <v>9999</v>
      </c>
      <c r="AA358" s="53"/>
      <c r="AB358" s="53">
        <v>30</v>
      </c>
      <c r="AC358" s="53">
        <v>30</v>
      </c>
      <c r="AD358" s="53">
        <v>30</v>
      </c>
      <c r="AE358" s="94">
        <v>50</v>
      </c>
      <c r="AF358" s="94">
        <v>20</v>
      </c>
      <c r="AG358" s="94">
        <v>4000</v>
      </c>
      <c r="AH358" s="94">
        <v>50</v>
      </c>
      <c r="AI358" s="94">
        <v>0</v>
      </c>
      <c r="AJ358" s="94">
        <v>0</v>
      </c>
      <c r="AK358" s="94">
        <v>1</v>
      </c>
      <c r="AL358" s="94">
        <v>0</v>
      </c>
      <c r="AM358" s="98" t="s">
        <v>676</v>
      </c>
      <c r="AS358" s="17"/>
      <c r="AT358" s="17"/>
      <c r="AU358" s="17"/>
      <c r="AV358" s="18"/>
      <c r="AW358" s="88"/>
      <c r="AX358" s="88"/>
      <c r="AY358" s="13"/>
    </row>
    <row r="359" s="9" customFormat="1" spans="2:51">
      <c r="B359" s="9">
        <v>121242</v>
      </c>
      <c r="C359" s="9">
        <v>121242</v>
      </c>
      <c r="D359" s="17" t="s">
        <v>1759</v>
      </c>
      <c r="E359" s="17" t="s">
        <v>1759</v>
      </c>
      <c r="F359" s="17"/>
      <c r="G359" s="9">
        <v>0</v>
      </c>
      <c r="H359" s="2"/>
      <c r="I359" s="2"/>
      <c r="J359" s="2"/>
      <c r="K359" s="2"/>
      <c r="L359" s="2"/>
      <c r="N359" s="88">
        <v>0</v>
      </c>
      <c r="O359" s="88">
        <v>0</v>
      </c>
      <c r="P359" s="32">
        <v>4</v>
      </c>
      <c r="Q359" s="32">
        <v>4</v>
      </c>
      <c r="R359" s="88">
        <v>3</v>
      </c>
      <c r="S359" s="31"/>
      <c r="T359" s="88">
        <v>1</v>
      </c>
      <c r="U359" s="88">
        <v>1</v>
      </c>
      <c r="V359" s="88">
        <v>1</v>
      </c>
      <c r="W359" s="123">
        <v>1230</v>
      </c>
      <c r="X359" s="89" t="s">
        <v>1760</v>
      </c>
      <c r="Y359" s="89"/>
      <c r="Z359" s="53">
        <v>9999</v>
      </c>
      <c r="AA359" s="53"/>
      <c r="AB359" s="53">
        <v>30</v>
      </c>
      <c r="AC359" s="53">
        <v>30</v>
      </c>
      <c r="AD359" s="53">
        <v>30</v>
      </c>
      <c r="AE359" s="94">
        <v>50</v>
      </c>
      <c r="AF359" s="94">
        <v>20</v>
      </c>
      <c r="AG359" s="94">
        <v>4000</v>
      </c>
      <c r="AH359" s="94">
        <v>50</v>
      </c>
      <c r="AI359" s="94">
        <v>0</v>
      </c>
      <c r="AJ359" s="94">
        <v>0</v>
      </c>
      <c r="AK359" s="94">
        <v>1</v>
      </c>
      <c r="AL359" s="94">
        <v>0</v>
      </c>
      <c r="AM359" s="98" t="s">
        <v>676</v>
      </c>
      <c r="AS359" s="17"/>
      <c r="AT359" s="17"/>
      <c r="AU359" s="17"/>
      <c r="AV359" s="18"/>
      <c r="AW359" s="88"/>
      <c r="AX359" s="88"/>
      <c r="AY359" s="13"/>
    </row>
    <row r="360" s="9" customFormat="1" spans="2:51">
      <c r="B360" s="9">
        <v>121243</v>
      </c>
      <c r="C360" s="9">
        <v>121243</v>
      </c>
      <c r="D360" s="18" t="s">
        <v>1761</v>
      </c>
      <c r="E360" s="18" t="s">
        <v>1761</v>
      </c>
      <c r="F360" s="18"/>
      <c r="G360" s="9">
        <v>1</v>
      </c>
      <c r="H360" s="2"/>
      <c r="I360" s="2"/>
      <c r="J360" s="2"/>
      <c r="K360" s="2"/>
      <c r="L360" s="2"/>
      <c r="N360" s="88">
        <v>0</v>
      </c>
      <c r="O360" s="88">
        <v>0</v>
      </c>
      <c r="P360" s="32">
        <v>5</v>
      </c>
      <c r="Q360" s="32">
        <v>5</v>
      </c>
      <c r="R360" s="88">
        <v>8</v>
      </c>
      <c r="S360" s="31"/>
      <c r="T360" s="88">
        <v>1</v>
      </c>
      <c r="U360" s="88">
        <v>1</v>
      </c>
      <c r="V360" s="88">
        <v>1</v>
      </c>
      <c r="W360" s="9">
        <v>91</v>
      </c>
      <c r="X360" s="89" t="s">
        <v>1762</v>
      </c>
      <c r="Y360" s="89"/>
      <c r="Z360" s="53">
        <v>9999</v>
      </c>
      <c r="AA360" s="53"/>
      <c r="AB360" s="53">
        <v>30</v>
      </c>
      <c r="AC360" s="53">
        <v>30</v>
      </c>
      <c r="AD360" s="53">
        <v>30</v>
      </c>
      <c r="AE360" s="94">
        <v>50</v>
      </c>
      <c r="AF360" s="94">
        <v>20</v>
      </c>
      <c r="AG360" s="94">
        <v>4000</v>
      </c>
      <c r="AH360" s="94">
        <v>50</v>
      </c>
      <c r="AI360" s="94">
        <v>0</v>
      </c>
      <c r="AJ360" s="94">
        <v>0</v>
      </c>
      <c r="AK360" s="94">
        <v>1</v>
      </c>
      <c r="AL360" s="94">
        <v>0</v>
      </c>
      <c r="AM360" s="98" t="s">
        <v>676</v>
      </c>
      <c r="AS360" s="17"/>
      <c r="AT360" s="17"/>
      <c r="AU360" s="17"/>
      <c r="AV360" s="18"/>
      <c r="AW360" s="88"/>
      <c r="AX360" s="88"/>
      <c r="AY360" s="13"/>
    </row>
    <row r="361" s="9" customFormat="1" spans="2:51">
      <c r="B361" s="9">
        <v>121244</v>
      </c>
      <c r="C361" s="9">
        <v>121244</v>
      </c>
      <c r="D361" s="18" t="s">
        <v>1763</v>
      </c>
      <c r="E361" s="18" t="s">
        <v>1763</v>
      </c>
      <c r="F361" s="18"/>
      <c r="G361" s="9">
        <v>0</v>
      </c>
      <c r="H361" s="2"/>
      <c r="I361" s="2"/>
      <c r="J361" s="2"/>
      <c r="K361" s="2"/>
      <c r="L361" s="2"/>
      <c r="N361" s="88">
        <v>0</v>
      </c>
      <c r="O361" s="88">
        <v>0</v>
      </c>
      <c r="P361" s="32">
        <v>5</v>
      </c>
      <c r="Q361" s="32">
        <v>5</v>
      </c>
      <c r="R361" s="88">
        <v>8</v>
      </c>
      <c r="S361" s="31"/>
      <c r="T361" s="88">
        <v>1</v>
      </c>
      <c r="U361" s="88">
        <v>1</v>
      </c>
      <c r="V361" s="88">
        <v>1</v>
      </c>
      <c r="W361" s="9">
        <v>1231</v>
      </c>
      <c r="X361" s="89" t="s">
        <v>1764</v>
      </c>
      <c r="Y361" s="89"/>
      <c r="Z361" s="53">
        <v>9999</v>
      </c>
      <c r="AA361" s="53"/>
      <c r="AB361" s="53">
        <v>30</v>
      </c>
      <c r="AC361" s="53">
        <v>30</v>
      </c>
      <c r="AD361" s="53">
        <v>30</v>
      </c>
      <c r="AE361" s="94">
        <v>50</v>
      </c>
      <c r="AF361" s="94">
        <v>20</v>
      </c>
      <c r="AG361" s="94">
        <v>4000</v>
      </c>
      <c r="AH361" s="94">
        <v>50</v>
      </c>
      <c r="AI361" s="94">
        <v>0</v>
      </c>
      <c r="AJ361" s="94">
        <v>0</v>
      </c>
      <c r="AK361" s="94">
        <v>1</v>
      </c>
      <c r="AL361" s="94">
        <v>0</v>
      </c>
      <c r="AM361" s="98" t="s">
        <v>676</v>
      </c>
      <c r="AS361" s="17"/>
      <c r="AT361" s="17"/>
      <c r="AU361" s="17"/>
      <c r="AV361" s="18"/>
      <c r="AW361" s="88"/>
      <c r="AX361" s="88"/>
      <c r="AY361" s="13"/>
    </row>
    <row r="362" s="9" customFormat="1" spans="2:51">
      <c r="B362" s="9">
        <v>121245</v>
      </c>
      <c r="C362" s="9">
        <v>121245</v>
      </c>
      <c r="D362" s="18" t="s">
        <v>1765</v>
      </c>
      <c r="E362" s="18" t="s">
        <v>1765</v>
      </c>
      <c r="F362" s="18"/>
      <c r="G362" s="9">
        <v>0</v>
      </c>
      <c r="H362" s="2"/>
      <c r="I362" s="2"/>
      <c r="J362" s="2"/>
      <c r="K362" s="2"/>
      <c r="L362" s="2"/>
      <c r="N362" s="88">
        <v>0</v>
      </c>
      <c r="O362" s="88">
        <v>0</v>
      </c>
      <c r="P362" s="32">
        <v>4</v>
      </c>
      <c r="Q362" s="32">
        <v>4</v>
      </c>
      <c r="R362" s="88">
        <v>3</v>
      </c>
      <c r="S362" s="31"/>
      <c r="T362" s="88">
        <v>1</v>
      </c>
      <c r="U362" s="88">
        <v>1</v>
      </c>
      <c r="V362" s="88">
        <v>1</v>
      </c>
      <c r="W362" s="9">
        <v>1233</v>
      </c>
      <c r="X362" s="89" t="s">
        <v>1766</v>
      </c>
      <c r="Y362" s="89"/>
      <c r="Z362" s="53">
        <v>9999</v>
      </c>
      <c r="AA362" s="53"/>
      <c r="AB362" s="53">
        <v>30</v>
      </c>
      <c r="AC362" s="53">
        <v>30</v>
      </c>
      <c r="AD362" s="53">
        <v>30</v>
      </c>
      <c r="AE362" s="94">
        <v>50</v>
      </c>
      <c r="AF362" s="94">
        <v>20</v>
      </c>
      <c r="AG362" s="94">
        <v>4000</v>
      </c>
      <c r="AH362" s="94">
        <v>50</v>
      </c>
      <c r="AI362" s="94">
        <v>0</v>
      </c>
      <c r="AJ362" s="94">
        <v>0</v>
      </c>
      <c r="AK362" s="94">
        <v>1</v>
      </c>
      <c r="AL362" s="94">
        <v>0</v>
      </c>
      <c r="AM362" s="98" t="s">
        <v>676</v>
      </c>
      <c r="AS362" s="17"/>
      <c r="AT362" s="17"/>
      <c r="AU362" s="17"/>
      <c r="AV362" s="18"/>
      <c r="AW362" s="88"/>
      <c r="AX362" s="88"/>
      <c r="AY362" s="13"/>
    </row>
    <row r="363" s="9" customFormat="1" spans="2:51">
      <c r="B363" s="9">
        <v>121246</v>
      </c>
      <c r="C363" s="9">
        <v>121246</v>
      </c>
      <c r="D363" s="18" t="s">
        <v>1767</v>
      </c>
      <c r="E363" s="18" t="s">
        <v>1767</v>
      </c>
      <c r="F363" s="18"/>
      <c r="G363" s="9">
        <v>0</v>
      </c>
      <c r="H363" s="2"/>
      <c r="I363" s="2"/>
      <c r="J363" s="2"/>
      <c r="K363" s="2"/>
      <c r="L363" s="2"/>
      <c r="N363" s="88">
        <v>0</v>
      </c>
      <c r="O363" s="88">
        <v>0</v>
      </c>
      <c r="P363" s="32">
        <v>4</v>
      </c>
      <c r="Q363" s="32">
        <v>4</v>
      </c>
      <c r="R363" s="88">
        <v>3</v>
      </c>
      <c r="S363" s="31"/>
      <c r="T363" s="88">
        <v>1</v>
      </c>
      <c r="U363" s="88">
        <v>1</v>
      </c>
      <c r="V363" s="88">
        <v>1</v>
      </c>
      <c r="W363" s="9">
        <v>2267</v>
      </c>
      <c r="X363" s="89" t="s">
        <v>1768</v>
      </c>
      <c r="Y363" s="89"/>
      <c r="Z363" s="53">
        <v>9999</v>
      </c>
      <c r="AA363" s="53"/>
      <c r="AB363" s="53">
        <v>30</v>
      </c>
      <c r="AC363" s="53">
        <v>30</v>
      </c>
      <c r="AD363" s="53">
        <v>30</v>
      </c>
      <c r="AE363" s="94">
        <v>50</v>
      </c>
      <c r="AF363" s="94">
        <v>20</v>
      </c>
      <c r="AG363" s="94">
        <v>4000</v>
      </c>
      <c r="AH363" s="94">
        <v>50</v>
      </c>
      <c r="AI363" s="94">
        <v>0</v>
      </c>
      <c r="AJ363" s="94">
        <v>0</v>
      </c>
      <c r="AK363" s="94">
        <v>1</v>
      </c>
      <c r="AL363" s="94">
        <v>0</v>
      </c>
      <c r="AM363" s="98" t="s">
        <v>676</v>
      </c>
      <c r="AS363" s="17"/>
      <c r="AT363" s="17"/>
      <c r="AU363" s="17"/>
      <c r="AV363" s="18"/>
      <c r="AW363" s="88"/>
      <c r="AX363" s="88"/>
      <c r="AY363" s="13"/>
    </row>
    <row r="364" s="9" customFormat="1" spans="2:51">
      <c r="B364" s="9">
        <v>121247</v>
      </c>
      <c r="C364" s="9">
        <v>121247</v>
      </c>
      <c r="D364" s="18" t="s">
        <v>1769</v>
      </c>
      <c r="E364" s="17" t="s">
        <v>1750</v>
      </c>
      <c r="F364" s="17"/>
      <c r="G364" s="9">
        <v>1</v>
      </c>
      <c r="H364" s="2"/>
      <c r="I364" s="2"/>
      <c r="J364" s="2"/>
      <c r="K364" s="2"/>
      <c r="L364" s="2"/>
      <c r="N364" s="88">
        <v>0</v>
      </c>
      <c r="O364" s="88">
        <v>0</v>
      </c>
      <c r="P364" s="32">
        <v>6</v>
      </c>
      <c r="Q364" s="32">
        <v>6</v>
      </c>
      <c r="R364" s="88">
        <v>2</v>
      </c>
      <c r="S364" s="31"/>
      <c r="T364" s="88">
        <v>1</v>
      </c>
      <c r="U364" s="88">
        <v>1</v>
      </c>
      <c r="V364" s="88">
        <v>1</v>
      </c>
      <c r="W364" s="9">
        <v>2269</v>
      </c>
      <c r="X364" s="89" t="s">
        <v>1770</v>
      </c>
      <c r="Y364" s="89"/>
      <c r="Z364" s="53">
        <v>9999</v>
      </c>
      <c r="AA364" s="53"/>
      <c r="AB364" s="53">
        <v>30</v>
      </c>
      <c r="AC364" s="53">
        <v>30</v>
      </c>
      <c r="AD364" s="53">
        <v>30</v>
      </c>
      <c r="AE364" s="94">
        <v>50</v>
      </c>
      <c r="AF364" s="94">
        <v>20</v>
      </c>
      <c r="AG364" s="94">
        <v>4000</v>
      </c>
      <c r="AH364" s="94">
        <v>50</v>
      </c>
      <c r="AI364" s="94">
        <v>0</v>
      </c>
      <c r="AJ364" s="94">
        <v>0</v>
      </c>
      <c r="AK364" s="94">
        <v>1</v>
      </c>
      <c r="AL364" s="94">
        <v>0</v>
      </c>
      <c r="AM364" s="98" t="s">
        <v>676</v>
      </c>
      <c r="AS364" s="17"/>
      <c r="AT364" s="17"/>
      <c r="AU364" s="17"/>
      <c r="AV364" s="18"/>
      <c r="AW364" s="88"/>
      <c r="AX364" s="88"/>
      <c r="AY364" s="13"/>
    </row>
    <row r="365" s="9" customFormat="1" spans="2:51">
      <c r="B365" s="9">
        <v>121248</v>
      </c>
      <c r="C365" s="9">
        <v>121248</v>
      </c>
      <c r="D365" s="18" t="s">
        <v>1771</v>
      </c>
      <c r="E365" s="17" t="s">
        <v>1771</v>
      </c>
      <c r="F365" s="17"/>
      <c r="G365" s="9">
        <v>1</v>
      </c>
      <c r="H365" s="2"/>
      <c r="I365" s="2"/>
      <c r="J365" s="2"/>
      <c r="K365" s="2"/>
      <c r="L365" s="2"/>
      <c r="N365" s="88">
        <v>0</v>
      </c>
      <c r="O365" s="88">
        <v>0</v>
      </c>
      <c r="P365" s="32">
        <v>3</v>
      </c>
      <c r="Q365" s="32">
        <v>3</v>
      </c>
      <c r="R365" s="88">
        <v>5</v>
      </c>
      <c r="S365" s="31"/>
      <c r="T365" s="88">
        <v>1</v>
      </c>
      <c r="U365" s="88">
        <v>1</v>
      </c>
      <c r="V365" s="88">
        <v>1</v>
      </c>
      <c r="W365" s="9">
        <v>2271</v>
      </c>
      <c r="X365" s="89" t="s">
        <v>1772</v>
      </c>
      <c r="Y365" s="89"/>
      <c r="Z365" s="53">
        <v>9999</v>
      </c>
      <c r="AA365" s="53"/>
      <c r="AB365" s="53">
        <v>30</v>
      </c>
      <c r="AC365" s="53">
        <v>30</v>
      </c>
      <c r="AD365" s="53">
        <v>30</v>
      </c>
      <c r="AE365" s="94">
        <v>50</v>
      </c>
      <c r="AF365" s="94">
        <v>20</v>
      </c>
      <c r="AG365" s="94">
        <v>4000</v>
      </c>
      <c r="AH365" s="94">
        <v>50</v>
      </c>
      <c r="AI365" s="94">
        <v>0</v>
      </c>
      <c r="AJ365" s="94">
        <v>0</v>
      </c>
      <c r="AK365" s="94">
        <v>1</v>
      </c>
      <c r="AL365" s="94">
        <v>0</v>
      </c>
      <c r="AM365" s="98" t="s">
        <v>676</v>
      </c>
      <c r="AS365" s="17"/>
      <c r="AT365" s="17"/>
      <c r="AU365" s="17"/>
      <c r="AV365" s="18"/>
      <c r="AW365" s="88"/>
      <c r="AX365" s="88"/>
      <c r="AY365" s="13"/>
    </row>
    <row r="366" s="9" customFormat="1" spans="2:51">
      <c r="B366" s="9">
        <v>121250</v>
      </c>
      <c r="C366" s="9">
        <v>121250</v>
      </c>
      <c r="D366" s="18" t="s">
        <v>1773</v>
      </c>
      <c r="E366" s="18" t="s">
        <v>1773</v>
      </c>
      <c r="F366" s="18"/>
      <c r="G366" s="9">
        <v>0</v>
      </c>
      <c r="H366" s="2"/>
      <c r="I366" s="2"/>
      <c r="J366" s="2"/>
      <c r="K366" s="2"/>
      <c r="L366" s="2"/>
      <c r="N366" s="88">
        <v>0</v>
      </c>
      <c r="O366" s="88">
        <v>0</v>
      </c>
      <c r="P366" s="32">
        <v>3</v>
      </c>
      <c r="Q366" s="32">
        <v>3</v>
      </c>
      <c r="R366" s="88">
        <v>3</v>
      </c>
      <c r="S366" s="31"/>
      <c r="T366" s="88">
        <v>1</v>
      </c>
      <c r="U366" s="88">
        <v>1</v>
      </c>
      <c r="V366" s="88">
        <v>1</v>
      </c>
      <c r="W366" s="9">
        <v>1243</v>
      </c>
      <c r="X366" s="89" t="s">
        <v>1774</v>
      </c>
      <c r="Y366" s="89"/>
      <c r="Z366" s="53">
        <v>9999</v>
      </c>
      <c r="AA366" s="53"/>
      <c r="AB366" s="53">
        <v>30</v>
      </c>
      <c r="AC366" s="53">
        <v>30</v>
      </c>
      <c r="AD366" s="53">
        <v>30</v>
      </c>
      <c r="AE366" s="94">
        <v>50</v>
      </c>
      <c r="AF366" s="94">
        <v>20</v>
      </c>
      <c r="AG366" s="94">
        <v>4000</v>
      </c>
      <c r="AH366" s="94">
        <v>50</v>
      </c>
      <c r="AI366" s="94">
        <v>0</v>
      </c>
      <c r="AJ366" s="94">
        <v>0</v>
      </c>
      <c r="AK366" s="94">
        <v>1</v>
      </c>
      <c r="AL366" s="94">
        <v>0</v>
      </c>
      <c r="AM366" s="98" t="s">
        <v>676</v>
      </c>
      <c r="AS366" s="17"/>
      <c r="AT366" s="17"/>
      <c r="AU366" s="17"/>
      <c r="AV366" s="18"/>
      <c r="AW366" s="88"/>
      <c r="AX366" s="88"/>
      <c r="AY366" s="13"/>
    </row>
    <row r="367" s="9" customFormat="1" spans="2:51">
      <c r="B367" s="9">
        <v>121251</v>
      </c>
      <c r="C367" s="9">
        <v>121251</v>
      </c>
      <c r="D367" s="18" t="s">
        <v>1775</v>
      </c>
      <c r="E367" s="18" t="s">
        <v>1775</v>
      </c>
      <c r="F367" s="18"/>
      <c r="G367" s="9">
        <v>0</v>
      </c>
      <c r="H367" s="2"/>
      <c r="I367" s="2"/>
      <c r="J367" s="2"/>
      <c r="K367" s="2"/>
      <c r="L367" s="2"/>
      <c r="N367" s="88">
        <v>0</v>
      </c>
      <c r="O367" s="88">
        <v>0</v>
      </c>
      <c r="P367" s="32">
        <v>3</v>
      </c>
      <c r="Q367" s="32">
        <v>3</v>
      </c>
      <c r="R367" s="88">
        <v>3</v>
      </c>
      <c r="S367" s="31"/>
      <c r="T367" s="88">
        <v>1</v>
      </c>
      <c r="U367" s="88">
        <v>1</v>
      </c>
      <c r="V367" s="88">
        <v>1</v>
      </c>
      <c r="W367" s="9">
        <v>1235</v>
      </c>
      <c r="X367" s="89" t="s">
        <v>1776</v>
      </c>
      <c r="Y367" s="89"/>
      <c r="Z367" s="53">
        <v>9999</v>
      </c>
      <c r="AA367" s="53"/>
      <c r="AB367" s="53">
        <v>30</v>
      </c>
      <c r="AC367" s="53">
        <v>30</v>
      </c>
      <c r="AD367" s="53">
        <v>30</v>
      </c>
      <c r="AE367" s="94">
        <v>50</v>
      </c>
      <c r="AF367" s="94">
        <v>20</v>
      </c>
      <c r="AG367" s="94">
        <v>4000</v>
      </c>
      <c r="AH367" s="94">
        <v>50</v>
      </c>
      <c r="AI367" s="94">
        <v>0</v>
      </c>
      <c r="AJ367" s="94">
        <v>0</v>
      </c>
      <c r="AK367" s="94">
        <v>1</v>
      </c>
      <c r="AL367" s="94">
        <v>0</v>
      </c>
      <c r="AM367" s="98" t="s">
        <v>676</v>
      </c>
      <c r="AS367" s="17"/>
      <c r="AT367" s="17"/>
      <c r="AU367" s="17"/>
      <c r="AV367" s="18"/>
      <c r="AW367" s="88"/>
      <c r="AX367" s="88"/>
      <c r="AY367" s="13"/>
    </row>
    <row r="368" s="9" customFormat="1" spans="2:51">
      <c r="B368" s="9">
        <v>121252</v>
      </c>
      <c r="C368" s="9">
        <v>121252</v>
      </c>
      <c r="D368" s="18" t="s">
        <v>1777</v>
      </c>
      <c r="E368" s="18" t="s">
        <v>1777</v>
      </c>
      <c r="F368" s="18"/>
      <c r="G368" s="9">
        <v>0</v>
      </c>
      <c r="H368" s="2"/>
      <c r="I368" s="2"/>
      <c r="J368" s="2"/>
      <c r="K368" s="2"/>
      <c r="L368" s="2"/>
      <c r="N368" s="88">
        <v>0</v>
      </c>
      <c r="O368" s="88">
        <v>0</v>
      </c>
      <c r="P368" s="32">
        <v>3</v>
      </c>
      <c r="Q368" s="32">
        <v>3</v>
      </c>
      <c r="R368" s="88">
        <v>3</v>
      </c>
      <c r="S368" s="31"/>
      <c r="T368" s="88">
        <v>1</v>
      </c>
      <c r="U368" s="88">
        <v>1</v>
      </c>
      <c r="V368" s="88">
        <v>1</v>
      </c>
      <c r="W368" s="9">
        <v>1236</v>
      </c>
      <c r="X368" s="89" t="s">
        <v>1778</v>
      </c>
      <c r="Y368" s="89"/>
      <c r="Z368" s="53">
        <v>9999</v>
      </c>
      <c r="AA368" s="53"/>
      <c r="AB368" s="53">
        <v>30</v>
      </c>
      <c r="AC368" s="53">
        <v>30</v>
      </c>
      <c r="AD368" s="53">
        <v>30</v>
      </c>
      <c r="AE368" s="94">
        <v>50</v>
      </c>
      <c r="AF368" s="94">
        <v>20</v>
      </c>
      <c r="AG368" s="94">
        <v>4000</v>
      </c>
      <c r="AH368" s="94">
        <v>50</v>
      </c>
      <c r="AI368" s="94">
        <v>0</v>
      </c>
      <c r="AJ368" s="94">
        <v>0</v>
      </c>
      <c r="AK368" s="94">
        <v>1</v>
      </c>
      <c r="AL368" s="94">
        <v>0</v>
      </c>
      <c r="AM368" s="98" t="s">
        <v>676</v>
      </c>
      <c r="AS368" s="17"/>
      <c r="AT368" s="17"/>
      <c r="AU368" s="17"/>
      <c r="AV368" s="18"/>
      <c r="AW368" s="88"/>
      <c r="AX368" s="88"/>
      <c r="AY368" s="13"/>
    </row>
    <row r="369" s="9" customFormat="1" spans="2:51">
      <c r="B369" s="9">
        <v>121253</v>
      </c>
      <c r="C369" s="9">
        <v>121253</v>
      </c>
      <c r="D369" s="18" t="s">
        <v>1779</v>
      </c>
      <c r="E369" s="18" t="s">
        <v>1780</v>
      </c>
      <c r="F369" s="18"/>
      <c r="G369" s="9">
        <v>0</v>
      </c>
      <c r="H369" s="2"/>
      <c r="I369" s="2"/>
      <c r="J369" s="2"/>
      <c r="K369" s="2"/>
      <c r="L369" s="2"/>
      <c r="N369" s="88">
        <v>0</v>
      </c>
      <c r="O369" s="88">
        <v>0</v>
      </c>
      <c r="P369" s="32">
        <v>3</v>
      </c>
      <c r="Q369" s="32">
        <v>3</v>
      </c>
      <c r="R369" s="88">
        <v>3</v>
      </c>
      <c r="S369" s="31"/>
      <c r="T369" s="88">
        <v>1</v>
      </c>
      <c r="U369" s="88">
        <v>1</v>
      </c>
      <c r="V369" s="88">
        <v>1</v>
      </c>
      <c r="W369" s="124">
        <v>1237</v>
      </c>
      <c r="X369" s="89" t="s">
        <v>1781</v>
      </c>
      <c r="Y369" s="89"/>
      <c r="Z369" s="53">
        <v>9999</v>
      </c>
      <c r="AA369" s="53"/>
      <c r="AB369" s="53">
        <v>30</v>
      </c>
      <c r="AC369" s="53">
        <v>30</v>
      </c>
      <c r="AD369" s="53">
        <v>30</v>
      </c>
      <c r="AE369" s="94">
        <v>50</v>
      </c>
      <c r="AF369" s="94">
        <v>20</v>
      </c>
      <c r="AG369" s="94">
        <v>4000</v>
      </c>
      <c r="AH369" s="94">
        <v>50</v>
      </c>
      <c r="AI369" s="94">
        <v>0</v>
      </c>
      <c r="AJ369" s="94">
        <v>0</v>
      </c>
      <c r="AK369" s="94">
        <v>1</v>
      </c>
      <c r="AL369" s="94">
        <v>0</v>
      </c>
      <c r="AM369" s="98" t="s">
        <v>676</v>
      </c>
      <c r="AS369" s="17"/>
      <c r="AT369" s="17"/>
      <c r="AU369" s="17"/>
      <c r="AV369" s="18"/>
      <c r="AW369" s="88"/>
      <c r="AX369" s="88"/>
      <c r="AY369" s="13"/>
    </row>
    <row r="370" s="9" customFormat="1" spans="2:51">
      <c r="B370" s="9">
        <v>121254</v>
      </c>
      <c r="C370" s="9">
        <v>121254</v>
      </c>
      <c r="D370" s="18" t="s">
        <v>1779</v>
      </c>
      <c r="E370" s="18" t="s">
        <v>1782</v>
      </c>
      <c r="F370" s="18"/>
      <c r="G370" s="9">
        <v>0</v>
      </c>
      <c r="H370" s="2"/>
      <c r="I370" s="2"/>
      <c r="J370" s="2"/>
      <c r="K370" s="2"/>
      <c r="L370" s="2"/>
      <c r="N370" s="88">
        <v>0</v>
      </c>
      <c r="O370" s="88">
        <v>0</v>
      </c>
      <c r="P370" s="32">
        <v>3</v>
      </c>
      <c r="Q370" s="32">
        <v>3</v>
      </c>
      <c r="R370" s="88">
        <v>3</v>
      </c>
      <c r="S370" s="31"/>
      <c r="T370" s="88">
        <v>1</v>
      </c>
      <c r="U370" s="88">
        <v>1</v>
      </c>
      <c r="V370" s="88">
        <v>1</v>
      </c>
      <c r="W370" s="124">
        <v>1238</v>
      </c>
      <c r="X370" s="89" t="s">
        <v>1783</v>
      </c>
      <c r="Y370" s="89"/>
      <c r="Z370" s="53">
        <v>9999</v>
      </c>
      <c r="AA370" s="53"/>
      <c r="AB370" s="53">
        <v>30</v>
      </c>
      <c r="AC370" s="53">
        <v>30</v>
      </c>
      <c r="AD370" s="53">
        <v>30</v>
      </c>
      <c r="AE370" s="94">
        <v>50</v>
      </c>
      <c r="AF370" s="94">
        <v>20</v>
      </c>
      <c r="AG370" s="94">
        <v>4000</v>
      </c>
      <c r="AH370" s="94">
        <v>50</v>
      </c>
      <c r="AI370" s="94">
        <v>0</v>
      </c>
      <c r="AJ370" s="94">
        <v>0</v>
      </c>
      <c r="AK370" s="94">
        <v>1</v>
      </c>
      <c r="AL370" s="94">
        <v>0</v>
      </c>
      <c r="AM370" s="98" t="s">
        <v>676</v>
      </c>
      <c r="AS370" s="17"/>
      <c r="AT370" s="17"/>
      <c r="AU370" s="17"/>
      <c r="AV370" s="18"/>
      <c r="AW370" s="88"/>
      <c r="AX370" s="88"/>
      <c r="AY370" s="13"/>
    </row>
    <row r="371" s="9" customFormat="1" spans="2:51">
      <c r="B371" s="9">
        <v>121255</v>
      </c>
      <c r="C371" s="9">
        <v>121255</v>
      </c>
      <c r="D371" s="18" t="s">
        <v>1779</v>
      </c>
      <c r="E371" s="18" t="s">
        <v>1784</v>
      </c>
      <c r="F371" s="18"/>
      <c r="G371" s="9">
        <v>0</v>
      </c>
      <c r="H371" s="2"/>
      <c r="I371" s="2"/>
      <c r="J371" s="2"/>
      <c r="K371" s="2"/>
      <c r="L371" s="2"/>
      <c r="N371" s="88">
        <v>0</v>
      </c>
      <c r="O371" s="88">
        <v>0</v>
      </c>
      <c r="P371" s="32">
        <v>3</v>
      </c>
      <c r="Q371" s="32">
        <v>3</v>
      </c>
      <c r="R371" s="88">
        <v>3</v>
      </c>
      <c r="S371" s="31"/>
      <c r="T371" s="88">
        <v>1</v>
      </c>
      <c r="U371" s="88">
        <v>1</v>
      </c>
      <c r="V371" s="88">
        <v>1</v>
      </c>
      <c r="W371" s="124">
        <v>1239</v>
      </c>
      <c r="X371" s="89" t="s">
        <v>1785</v>
      </c>
      <c r="Y371" s="89"/>
      <c r="Z371" s="53">
        <v>9999</v>
      </c>
      <c r="AA371" s="53"/>
      <c r="AB371" s="53">
        <v>30</v>
      </c>
      <c r="AC371" s="53">
        <v>30</v>
      </c>
      <c r="AD371" s="53">
        <v>30</v>
      </c>
      <c r="AE371" s="94">
        <v>50</v>
      </c>
      <c r="AF371" s="94">
        <v>20</v>
      </c>
      <c r="AG371" s="94">
        <v>4000</v>
      </c>
      <c r="AH371" s="94">
        <v>50</v>
      </c>
      <c r="AI371" s="94">
        <v>0</v>
      </c>
      <c r="AJ371" s="94">
        <v>0</v>
      </c>
      <c r="AK371" s="94">
        <v>1</v>
      </c>
      <c r="AL371" s="94">
        <v>0</v>
      </c>
      <c r="AM371" s="98" t="s">
        <v>676</v>
      </c>
      <c r="AS371" s="17"/>
      <c r="AT371" s="17"/>
      <c r="AU371" s="17"/>
      <c r="AV371" s="18"/>
      <c r="AW371" s="88"/>
      <c r="AX371" s="88"/>
      <c r="AY371" s="13"/>
    </row>
    <row r="372" s="9" customFormat="1" spans="2:51">
      <c r="B372" s="9">
        <v>121256</v>
      </c>
      <c r="C372" s="9">
        <v>121256</v>
      </c>
      <c r="D372" s="18" t="s">
        <v>1779</v>
      </c>
      <c r="E372" s="18" t="s">
        <v>1786</v>
      </c>
      <c r="F372" s="18"/>
      <c r="G372" s="9">
        <v>0</v>
      </c>
      <c r="H372" s="2"/>
      <c r="I372" s="2"/>
      <c r="J372" s="2"/>
      <c r="K372" s="2"/>
      <c r="L372" s="2"/>
      <c r="N372" s="88">
        <v>0</v>
      </c>
      <c r="O372" s="88">
        <v>0</v>
      </c>
      <c r="P372" s="32">
        <v>3</v>
      </c>
      <c r="Q372" s="32">
        <v>3</v>
      </c>
      <c r="R372" s="88">
        <v>3</v>
      </c>
      <c r="S372" s="31"/>
      <c r="T372" s="88">
        <v>1</v>
      </c>
      <c r="U372" s="88">
        <v>1</v>
      </c>
      <c r="V372" s="88">
        <v>1</v>
      </c>
      <c r="W372" s="124">
        <v>1240</v>
      </c>
      <c r="X372" s="89" t="s">
        <v>1787</v>
      </c>
      <c r="Y372" s="89"/>
      <c r="Z372" s="53">
        <v>9999</v>
      </c>
      <c r="AA372" s="53"/>
      <c r="AB372" s="53">
        <v>30</v>
      </c>
      <c r="AC372" s="53">
        <v>30</v>
      </c>
      <c r="AD372" s="53">
        <v>30</v>
      </c>
      <c r="AE372" s="94">
        <v>50</v>
      </c>
      <c r="AF372" s="94">
        <v>20</v>
      </c>
      <c r="AG372" s="94">
        <v>4000</v>
      </c>
      <c r="AH372" s="94">
        <v>50</v>
      </c>
      <c r="AI372" s="94">
        <v>0</v>
      </c>
      <c r="AJ372" s="94">
        <v>0</v>
      </c>
      <c r="AK372" s="94">
        <v>1</v>
      </c>
      <c r="AL372" s="94">
        <v>0</v>
      </c>
      <c r="AM372" s="98" t="s">
        <v>676</v>
      </c>
      <c r="AS372" s="17"/>
      <c r="AT372" s="17"/>
      <c r="AU372" s="17"/>
      <c r="AV372" s="18"/>
      <c r="AW372" s="88"/>
      <c r="AX372" s="88"/>
      <c r="AY372" s="13"/>
    </row>
    <row r="373" s="9" customFormat="1" spans="2:51">
      <c r="B373" s="9">
        <v>121257</v>
      </c>
      <c r="C373" s="9">
        <v>121257</v>
      </c>
      <c r="D373" s="18" t="s">
        <v>1788</v>
      </c>
      <c r="E373" s="18" t="s">
        <v>1788</v>
      </c>
      <c r="F373" s="18"/>
      <c r="G373" s="9">
        <v>0</v>
      </c>
      <c r="H373" s="2"/>
      <c r="I373" s="2"/>
      <c r="J373" s="2"/>
      <c r="K373" s="2"/>
      <c r="L373" s="2"/>
      <c r="N373" s="88">
        <v>0</v>
      </c>
      <c r="O373" s="88">
        <v>0</v>
      </c>
      <c r="P373" s="32">
        <v>3</v>
      </c>
      <c r="Q373" s="32">
        <v>3</v>
      </c>
      <c r="R373" s="88">
        <v>3</v>
      </c>
      <c r="S373" s="31"/>
      <c r="T373" s="88">
        <v>1</v>
      </c>
      <c r="U373" s="88">
        <v>1</v>
      </c>
      <c r="V373" s="88">
        <v>1</v>
      </c>
      <c r="W373" s="124">
        <v>1241</v>
      </c>
      <c r="X373" s="89" t="s">
        <v>1789</v>
      </c>
      <c r="Y373" s="89"/>
      <c r="Z373" s="53">
        <v>9999</v>
      </c>
      <c r="AA373" s="53"/>
      <c r="AB373" s="53">
        <v>30</v>
      </c>
      <c r="AC373" s="53">
        <v>30</v>
      </c>
      <c r="AD373" s="53">
        <v>30</v>
      </c>
      <c r="AE373" s="94">
        <v>50</v>
      </c>
      <c r="AF373" s="94">
        <v>20</v>
      </c>
      <c r="AG373" s="94">
        <v>4000</v>
      </c>
      <c r="AH373" s="94">
        <v>50</v>
      </c>
      <c r="AI373" s="94">
        <v>0</v>
      </c>
      <c r="AJ373" s="94">
        <v>0</v>
      </c>
      <c r="AK373" s="94">
        <v>1</v>
      </c>
      <c r="AL373" s="94">
        <v>0</v>
      </c>
      <c r="AM373" s="98" t="s">
        <v>676</v>
      </c>
      <c r="AS373" s="17"/>
      <c r="AT373" s="17"/>
      <c r="AU373" s="17"/>
      <c r="AV373" s="18"/>
      <c r="AW373" s="88"/>
      <c r="AX373" s="88"/>
      <c r="AY373" s="13"/>
    </row>
    <row r="374" s="9" customFormat="1" spans="2:51">
      <c r="B374" s="9">
        <v>121258</v>
      </c>
      <c r="C374" s="9">
        <v>121258</v>
      </c>
      <c r="D374" s="18" t="s">
        <v>1154</v>
      </c>
      <c r="E374" s="18" t="s">
        <v>1154</v>
      </c>
      <c r="F374" s="18"/>
      <c r="G374" s="9">
        <v>1</v>
      </c>
      <c r="H374" s="2"/>
      <c r="I374" s="2"/>
      <c r="J374" s="2"/>
      <c r="K374" s="2"/>
      <c r="L374" s="2"/>
      <c r="N374" s="88">
        <v>0</v>
      </c>
      <c r="O374" s="88">
        <v>0</v>
      </c>
      <c r="P374" s="32">
        <v>3</v>
      </c>
      <c r="Q374" s="32">
        <v>3</v>
      </c>
      <c r="R374" s="88">
        <v>3</v>
      </c>
      <c r="S374" s="31"/>
      <c r="T374" s="88">
        <v>1</v>
      </c>
      <c r="U374" s="88">
        <v>1</v>
      </c>
      <c r="V374" s="88">
        <v>1</v>
      </c>
      <c r="W374" s="124">
        <v>1242</v>
      </c>
      <c r="X374" s="89" t="s">
        <v>1162</v>
      </c>
      <c r="Y374" s="89"/>
      <c r="Z374" s="53">
        <v>9999</v>
      </c>
      <c r="AA374" s="53"/>
      <c r="AB374" s="53">
        <v>30</v>
      </c>
      <c r="AC374" s="53">
        <v>30</v>
      </c>
      <c r="AD374" s="53">
        <v>30</v>
      </c>
      <c r="AE374" s="94">
        <v>50</v>
      </c>
      <c r="AF374" s="94">
        <v>20</v>
      </c>
      <c r="AG374" s="94">
        <v>4000</v>
      </c>
      <c r="AH374" s="94">
        <v>50</v>
      </c>
      <c r="AI374" s="94">
        <v>0</v>
      </c>
      <c r="AJ374" s="94">
        <v>0</v>
      </c>
      <c r="AK374" s="94">
        <v>1</v>
      </c>
      <c r="AL374" s="94">
        <v>0</v>
      </c>
      <c r="AM374" s="98" t="s">
        <v>676</v>
      </c>
      <c r="AS374" s="17"/>
      <c r="AT374" s="17"/>
      <c r="AU374" s="17"/>
      <c r="AV374" s="18"/>
      <c r="AW374" s="88"/>
      <c r="AX374" s="88"/>
      <c r="AY374" s="13"/>
    </row>
    <row r="375" s="9" customFormat="1" spans="2:51">
      <c r="B375" s="9">
        <v>121259</v>
      </c>
      <c r="C375" s="9">
        <v>121259</v>
      </c>
      <c r="D375" s="18" t="s">
        <v>882</v>
      </c>
      <c r="E375" s="18" t="s">
        <v>1790</v>
      </c>
      <c r="F375" s="18"/>
      <c r="G375" s="9">
        <v>0</v>
      </c>
      <c r="H375" s="2"/>
      <c r="I375" s="2"/>
      <c r="J375" s="2"/>
      <c r="K375" s="2"/>
      <c r="L375" s="2"/>
      <c r="N375" s="88">
        <v>0</v>
      </c>
      <c r="O375" s="88">
        <v>0</v>
      </c>
      <c r="P375" s="32">
        <v>3</v>
      </c>
      <c r="Q375" s="32">
        <v>6</v>
      </c>
      <c r="R375" s="88">
        <v>3</v>
      </c>
      <c r="S375" s="31"/>
      <c r="T375" s="88">
        <v>1</v>
      </c>
      <c r="U375" s="88">
        <v>1</v>
      </c>
      <c r="V375" s="88">
        <v>1</v>
      </c>
      <c r="W375" s="124">
        <v>400402</v>
      </c>
      <c r="X375" s="89" t="s">
        <v>1791</v>
      </c>
      <c r="Y375" s="89"/>
      <c r="Z375" s="53">
        <v>9999</v>
      </c>
      <c r="AA375" s="53"/>
      <c r="AB375" s="53">
        <v>30</v>
      </c>
      <c r="AC375" s="53">
        <v>30</v>
      </c>
      <c r="AD375" s="53">
        <v>30</v>
      </c>
      <c r="AE375" s="94">
        <v>50</v>
      </c>
      <c r="AF375" s="94">
        <v>20</v>
      </c>
      <c r="AG375" s="94">
        <v>4000</v>
      </c>
      <c r="AH375" s="94">
        <v>50</v>
      </c>
      <c r="AI375" s="94">
        <v>0</v>
      </c>
      <c r="AJ375" s="94">
        <v>0</v>
      </c>
      <c r="AK375" s="94">
        <v>1</v>
      </c>
      <c r="AL375" s="94">
        <v>0</v>
      </c>
      <c r="AM375" s="98" t="s">
        <v>676</v>
      </c>
      <c r="AS375" s="17"/>
      <c r="AT375" s="17"/>
      <c r="AU375" s="17"/>
      <c r="AV375" s="18"/>
      <c r="AW375" s="88"/>
      <c r="AX375" s="88"/>
      <c r="AY375" s="13"/>
    </row>
    <row r="376" s="9" customFormat="1" spans="2:51">
      <c r="B376" s="9">
        <v>121260</v>
      </c>
      <c r="C376" s="9">
        <v>121260</v>
      </c>
      <c r="D376" s="18" t="s">
        <v>1792</v>
      </c>
      <c r="E376" s="18" t="s">
        <v>1792</v>
      </c>
      <c r="F376" s="18"/>
      <c r="G376" s="9">
        <v>0</v>
      </c>
      <c r="H376" s="2"/>
      <c r="I376" s="2"/>
      <c r="J376" s="2"/>
      <c r="K376" s="2"/>
      <c r="L376" s="2"/>
      <c r="N376" s="88">
        <v>0</v>
      </c>
      <c r="O376" s="88">
        <v>0</v>
      </c>
      <c r="P376" s="32">
        <v>3</v>
      </c>
      <c r="Q376" s="32">
        <v>3</v>
      </c>
      <c r="R376" s="88">
        <v>3</v>
      </c>
      <c r="S376" s="31"/>
      <c r="T376" s="88">
        <v>1</v>
      </c>
      <c r="U376" s="88">
        <v>1</v>
      </c>
      <c r="V376" s="88">
        <v>1</v>
      </c>
      <c r="W376" s="124">
        <v>1244</v>
      </c>
      <c r="X376" s="89" t="s">
        <v>1793</v>
      </c>
      <c r="Y376" s="89"/>
      <c r="Z376" s="53">
        <v>9999</v>
      </c>
      <c r="AA376" s="53"/>
      <c r="AB376" s="53">
        <v>30</v>
      </c>
      <c r="AC376" s="53">
        <v>30</v>
      </c>
      <c r="AD376" s="53">
        <v>30</v>
      </c>
      <c r="AE376" s="94">
        <v>50</v>
      </c>
      <c r="AF376" s="94">
        <v>20</v>
      </c>
      <c r="AG376" s="94">
        <v>4000</v>
      </c>
      <c r="AH376" s="94">
        <v>50</v>
      </c>
      <c r="AI376" s="94">
        <v>0</v>
      </c>
      <c r="AJ376" s="94">
        <v>0</v>
      </c>
      <c r="AK376" s="94">
        <v>1</v>
      </c>
      <c r="AL376" s="94">
        <v>0</v>
      </c>
      <c r="AM376" s="98" t="s">
        <v>676</v>
      </c>
      <c r="AN376"/>
      <c r="AO376"/>
      <c r="AP376"/>
      <c r="AQ376"/>
      <c r="AR376"/>
      <c r="AS376" s="17"/>
      <c r="AT376" s="17"/>
      <c r="AU376" s="17"/>
      <c r="AV376" s="18"/>
      <c r="AW376" s="88"/>
      <c r="AX376" s="88"/>
      <c r="AY376" s="13"/>
    </row>
    <row r="377" s="9" customFormat="1" spans="2:51">
      <c r="B377" s="9">
        <v>121261</v>
      </c>
      <c r="C377" s="9">
        <v>121261</v>
      </c>
      <c r="D377" s="18" t="s">
        <v>1794</v>
      </c>
      <c r="E377" s="18" t="s">
        <v>1795</v>
      </c>
      <c r="F377" s="18"/>
      <c r="G377" s="9">
        <v>0</v>
      </c>
      <c r="H377" s="2"/>
      <c r="I377" s="2"/>
      <c r="J377" s="2"/>
      <c r="K377" s="2"/>
      <c r="L377" s="2"/>
      <c r="N377" s="88">
        <v>0</v>
      </c>
      <c r="O377" s="88">
        <v>0</v>
      </c>
      <c r="P377" s="42">
        <v>5</v>
      </c>
      <c r="Q377" s="42">
        <v>5</v>
      </c>
      <c r="R377" s="41">
        <v>1</v>
      </c>
      <c r="S377" s="31"/>
      <c r="T377" s="88">
        <v>1</v>
      </c>
      <c r="U377" s="88">
        <v>1</v>
      </c>
      <c r="V377" s="88">
        <v>1</v>
      </c>
      <c r="W377" s="5">
        <v>400202</v>
      </c>
      <c r="X377" s="41" t="s">
        <v>1796</v>
      </c>
      <c r="Y377" s="41"/>
      <c r="Z377" s="53">
        <v>9999</v>
      </c>
      <c r="AA377" s="53"/>
      <c r="AB377" s="53">
        <v>30</v>
      </c>
      <c r="AC377" s="53">
        <v>30</v>
      </c>
      <c r="AD377" s="53">
        <v>30</v>
      </c>
      <c r="AE377" s="94">
        <v>50</v>
      </c>
      <c r="AF377" s="94">
        <v>20</v>
      </c>
      <c r="AG377" s="94">
        <v>4000</v>
      </c>
      <c r="AH377" s="94">
        <v>50</v>
      </c>
      <c r="AI377" s="94">
        <v>0</v>
      </c>
      <c r="AJ377" s="94">
        <v>0</v>
      </c>
      <c r="AK377" s="94">
        <v>1</v>
      </c>
      <c r="AL377" s="94">
        <v>0</v>
      </c>
      <c r="AM377" s="98" t="s">
        <v>676</v>
      </c>
      <c r="AS377" s="17"/>
      <c r="AT377" s="17"/>
      <c r="AU377" s="17"/>
      <c r="AV377" s="18"/>
      <c r="AW377" s="88"/>
      <c r="AX377" s="88"/>
      <c r="AY377" s="13"/>
    </row>
    <row r="378" s="9" customFormat="1" spans="2:51">
      <c r="B378" s="9">
        <v>121262</v>
      </c>
      <c r="C378" s="9">
        <v>121262</v>
      </c>
      <c r="D378" s="18" t="s">
        <v>1773</v>
      </c>
      <c r="E378" s="18" t="s">
        <v>1797</v>
      </c>
      <c r="F378" s="18"/>
      <c r="G378" s="9">
        <v>0</v>
      </c>
      <c r="H378" s="2"/>
      <c r="I378" s="2"/>
      <c r="J378" s="2"/>
      <c r="K378" s="2"/>
      <c r="L378" s="2"/>
      <c r="N378" s="88">
        <v>0</v>
      </c>
      <c r="O378" s="88">
        <v>0</v>
      </c>
      <c r="P378" s="42">
        <v>3</v>
      </c>
      <c r="Q378" s="42">
        <v>3</v>
      </c>
      <c r="R378" s="41">
        <v>3</v>
      </c>
      <c r="S378" s="31"/>
      <c r="T378" s="88">
        <v>1</v>
      </c>
      <c r="U378" s="88">
        <v>1</v>
      </c>
      <c r="V378" s="88">
        <v>1</v>
      </c>
      <c r="W378" s="5">
        <v>1247</v>
      </c>
      <c r="X378" s="89" t="s">
        <v>1774</v>
      </c>
      <c r="Y378" s="41"/>
      <c r="Z378" s="53">
        <v>9999</v>
      </c>
      <c r="AA378" s="53"/>
      <c r="AB378" s="53">
        <v>30</v>
      </c>
      <c r="AC378" s="53">
        <v>30</v>
      </c>
      <c r="AD378" s="53">
        <v>30</v>
      </c>
      <c r="AE378" s="94">
        <v>50</v>
      </c>
      <c r="AF378" s="94">
        <v>20</v>
      </c>
      <c r="AG378" s="94">
        <v>4000</v>
      </c>
      <c r="AH378" s="94">
        <v>50</v>
      </c>
      <c r="AI378" s="94">
        <v>0</v>
      </c>
      <c r="AJ378" s="94">
        <v>0</v>
      </c>
      <c r="AK378" s="94">
        <v>1</v>
      </c>
      <c r="AL378" s="94">
        <v>0</v>
      </c>
      <c r="AM378" s="98" t="s">
        <v>676</v>
      </c>
      <c r="AS378" s="17"/>
      <c r="AT378" s="17"/>
      <c r="AU378" s="17"/>
      <c r="AV378" s="18"/>
      <c r="AW378" s="88"/>
      <c r="AX378" s="88"/>
      <c r="AY378" s="13"/>
    </row>
    <row r="379" s="9" customFormat="1" spans="2:51">
      <c r="B379" s="9">
        <v>121263</v>
      </c>
      <c r="C379" s="9">
        <v>121263</v>
      </c>
      <c r="D379" s="18" t="s">
        <v>1798</v>
      </c>
      <c r="E379" s="9" t="s">
        <v>1799</v>
      </c>
      <c r="F379" s="18"/>
      <c r="G379" s="9">
        <v>3</v>
      </c>
      <c r="I379" s="2"/>
      <c r="J379" s="2"/>
      <c r="K379" s="2"/>
      <c r="L379" s="2"/>
      <c r="N379" s="88">
        <v>0</v>
      </c>
      <c r="O379" s="88">
        <v>0</v>
      </c>
      <c r="P379" s="42">
        <v>3</v>
      </c>
      <c r="Q379" s="42">
        <v>3</v>
      </c>
      <c r="R379" s="41">
        <v>3</v>
      </c>
      <c r="S379" s="31"/>
      <c r="T379" s="88">
        <v>1</v>
      </c>
      <c r="U379" s="88">
        <v>1</v>
      </c>
      <c r="V379" s="88">
        <v>1</v>
      </c>
      <c r="W379" s="5">
        <v>1245</v>
      </c>
      <c r="X379" s="89" t="s">
        <v>1793</v>
      </c>
      <c r="Y379" s="41"/>
      <c r="Z379" s="53">
        <v>9999</v>
      </c>
      <c r="AA379" s="53"/>
      <c r="AB379" s="53">
        <v>30</v>
      </c>
      <c r="AC379" s="53">
        <v>30</v>
      </c>
      <c r="AD379" s="53">
        <v>30</v>
      </c>
      <c r="AE379" s="94">
        <v>50</v>
      </c>
      <c r="AF379" s="94">
        <v>20</v>
      </c>
      <c r="AG379" s="94">
        <v>4000</v>
      </c>
      <c r="AH379" s="94">
        <v>50</v>
      </c>
      <c r="AI379" s="94">
        <v>0</v>
      </c>
      <c r="AJ379" s="94">
        <v>0</v>
      </c>
      <c r="AK379" s="94">
        <v>1</v>
      </c>
      <c r="AL379" s="94">
        <v>0</v>
      </c>
      <c r="AM379" s="98" t="s">
        <v>676</v>
      </c>
      <c r="AS379" s="17"/>
      <c r="AT379" s="17"/>
      <c r="AU379" s="17"/>
      <c r="AV379" s="18"/>
      <c r="AW379" s="88"/>
      <c r="AX379" s="88"/>
      <c r="AY379" s="13"/>
    </row>
    <row r="380" s="9" customFormat="1" spans="2:51">
      <c r="B380" s="9">
        <v>121264</v>
      </c>
      <c r="C380" s="9">
        <v>121264</v>
      </c>
      <c r="D380" s="18" t="s">
        <v>1800</v>
      </c>
      <c r="E380" s="9" t="s">
        <v>1801</v>
      </c>
      <c r="F380" s="18"/>
      <c r="G380" s="9">
        <v>3</v>
      </c>
      <c r="H380" s="2"/>
      <c r="I380" s="2"/>
      <c r="J380" s="2"/>
      <c r="K380" s="2"/>
      <c r="L380" s="2"/>
      <c r="N380" s="88">
        <v>0</v>
      </c>
      <c r="O380" s="88">
        <v>0</v>
      </c>
      <c r="P380" s="42">
        <v>3</v>
      </c>
      <c r="Q380" s="42">
        <v>3</v>
      </c>
      <c r="R380" s="41">
        <v>3</v>
      </c>
      <c r="S380" s="31"/>
      <c r="T380" s="88">
        <v>1</v>
      </c>
      <c r="U380" s="88">
        <v>1</v>
      </c>
      <c r="V380" s="88">
        <v>1</v>
      </c>
      <c r="W380" s="5">
        <v>1246</v>
      </c>
      <c r="X380" s="89"/>
      <c r="Y380" s="41"/>
      <c r="Z380" s="53">
        <v>9999</v>
      </c>
      <c r="AA380" s="53"/>
      <c r="AB380" s="53">
        <v>30</v>
      </c>
      <c r="AC380" s="53">
        <v>30</v>
      </c>
      <c r="AD380" s="53">
        <v>30</v>
      </c>
      <c r="AE380" s="94">
        <v>50</v>
      </c>
      <c r="AF380" s="94">
        <v>20</v>
      </c>
      <c r="AG380" s="94">
        <v>4000</v>
      </c>
      <c r="AH380" s="94">
        <v>50</v>
      </c>
      <c r="AI380" s="94">
        <v>0</v>
      </c>
      <c r="AJ380" s="94">
        <v>0</v>
      </c>
      <c r="AK380" s="94">
        <v>1</v>
      </c>
      <c r="AL380" s="94">
        <v>0</v>
      </c>
      <c r="AM380" s="98" t="s">
        <v>676</v>
      </c>
      <c r="AS380" s="17"/>
      <c r="AT380" s="17"/>
      <c r="AU380" s="17"/>
      <c r="AV380" s="18"/>
      <c r="AW380" s="88"/>
      <c r="AX380" s="88"/>
      <c r="AY380" s="13"/>
    </row>
    <row r="381" s="9" customFormat="1" spans="2:51">
      <c r="B381" s="9">
        <v>121265</v>
      </c>
      <c r="C381" s="9">
        <v>121265</v>
      </c>
      <c r="D381" s="18" t="s">
        <v>1802</v>
      </c>
      <c r="E381" s="9" t="s">
        <v>1803</v>
      </c>
      <c r="F381" s="18"/>
      <c r="G381" s="9">
        <v>3</v>
      </c>
      <c r="H381" s="2"/>
      <c r="I381" s="2"/>
      <c r="J381" s="2"/>
      <c r="K381" s="2"/>
      <c r="L381" s="2"/>
      <c r="N381" s="88">
        <v>0</v>
      </c>
      <c r="O381" s="88">
        <v>0</v>
      </c>
      <c r="P381" s="42">
        <v>3</v>
      </c>
      <c r="Q381" s="42">
        <v>3</v>
      </c>
      <c r="R381" s="41">
        <v>3</v>
      </c>
      <c r="S381" s="31"/>
      <c r="T381" s="88">
        <v>1</v>
      </c>
      <c r="U381" s="88">
        <v>1</v>
      </c>
      <c r="V381" s="88">
        <v>1</v>
      </c>
      <c r="W381" s="5">
        <v>2287</v>
      </c>
      <c r="X381" s="89" t="s">
        <v>1804</v>
      </c>
      <c r="Y381" s="41"/>
      <c r="Z381" s="53">
        <v>9999</v>
      </c>
      <c r="AA381" s="53"/>
      <c r="AB381" s="53">
        <v>30</v>
      </c>
      <c r="AC381" s="53">
        <v>30</v>
      </c>
      <c r="AD381" s="53">
        <v>30</v>
      </c>
      <c r="AE381" s="94">
        <v>50</v>
      </c>
      <c r="AF381" s="94">
        <v>20</v>
      </c>
      <c r="AG381" s="94">
        <v>4000</v>
      </c>
      <c r="AH381" s="94">
        <v>50</v>
      </c>
      <c r="AI381" s="94">
        <v>0</v>
      </c>
      <c r="AJ381" s="94">
        <v>0</v>
      </c>
      <c r="AK381" s="94">
        <v>1</v>
      </c>
      <c r="AL381" s="94">
        <v>0</v>
      </c>
      <c r="AM381" s="98" t="s">
        <v>676</v>
      </c>
      <c r="AS381" s="17"/>
      <c r="AT381" s="17"/>
      <c r="AU381" s="17"/>
      <c r="AV381" s="18"/>
      <c r="AW381" s="88"/>
      <c r="AX381" s="88"/>
      <c r="AY381" s="13"/>
    </row>
    <row r="382" s="9" customFormat="1" spans="2:51">
      <c r="B382" s="9">
        <v>121266</v>
      </c>
      <c r="C382" s="9">
        <v>121266</v>
      </c>
      <c r="D382" s="18" t="s">
        <v>1805</v>
      </c>
      <c r="E382" s="18" t="s">
        <v>1805</v>
      </c>
      <c r="F382" s="18"/>
      <c r="G382" s="9">
        <v>0</v>
      </c>
      <c r="H382" s="2"/>
      <c r="I382" s="2"/>
      <c r="J382" s="2"/>
      <c r="K382" s="2"/>
      <c r="L382" s="2"/>
      <c r="N382" s="88">
        <v>0</v>
      </c>
      <c r="O382" s="88">
        <v>0</v>
      </c>
      <c r="P382" s="42">
        <v>3</v>
      </c>
      <c r="Q382" s="42">
        <v>3</v>
      </c>
      <c r="R382" s="41">
        <v>3</v>
      </c>
      <c r="S382" s="31"/>
      <c r="T382" s="88">
        <v>1</v>
      </c>
      <c r="U382" s="88">
        <v>1</v>
      </c>
      <c r="V382" s="88">
        <v>1</v>
      </c>
      <c r="W382" s="125">
        <v>2268</v>
      </c>
      <c r="X382" s="89" t="s">
        <v>1806</v>
      </c>
      <c r="Y382" s="41"/>
      <c r="Z382" s="53">
        <v>9999</v>
      </c>
      <c r="AA382" s="53"/>
      <c r="AB382" s="53">
        <v>30</v>
      </c>
      <c r="AC382" s="53">
        <v>30</v>
      </c>
      <c r="AD382" s="53">
        <v>30</v>
      </c>
      <c r="AE382" s="94">
        <v>50</v>
      </c>
      <c r="AF382" s="94">
        <v>20</v>
      </c>
      <c r="AG382" s="94">
        <v>4000</v>
      </c>
      <c r="AH382" s="94">
        <v>50</v>
      </c>
      <c r="AI382" s="94">
        <v>0</v>
      </c>
      <c r="AJ382" s="94">
        <v>0</v>
      </c>
      <c r="AK382" s="94">
        <v>1</v>
      </c>
      <c r="AL382" s="94">
        <v>0</v>
      </c>
      <c r="AM382" s="98" t="s">
        <v>676</v>
      </c>
      <c r="AS382" s="17"/>
      <c r="AT382" s="17"/>
      <c r="AU382" s="17"/>
      <c r="AV382" s="18"/>
      <c r="AW382" s="88"/>
      <c r="AX382" s="88"/>
      <c r="AY382" s="13"/>
    </row>
    <row r="383" s="9" customFormat="1" spans="2:51">
      <c r="B383" s="9">
        <v>121267</v>
      </c>
      <c r="C383" s="9">
        <v>121267</v>
      </c>
      <c r="D383" s="18" t="s">
        <v>1759</v>
      </c>
      <c r="E383" s="18" t="s">
        <v>1807</v>
      </c>
      <c r="F383" s="17"/>
      <c r="G383" s="9">
        <v>0</v>
      </c>
      <c r="H383" s="2"/>
      <c r="I383" s="2"/>
      <c r="J383" s="2"/>
      <c r="K383" s="2"/>
      <c r="L383" s="2"/>
      <c r="N383" s="88">
        <v>0</v>
      </c>
      <c r="O383" s="88">
        <v>0</v>
      </c>
      <c r="P383" s="32">
        <v>4</v>
      </c>
      <c r="Q383" s="32">
        <v>4</v>
      </c>
      <c r="R383" s="88">
        <v>3</v>
      </c>
      <c r="S383" s="31"/>
      <c r="T383" s="88">
        <v>1</v>
      </c>
      <c r="U383" s="88">
        <v>1</v>
      </c>
      <c r="V383" s="88">
        <v>1</v>
      </c>
      <c r="W383" s="123">
        <v>2273</v>
      </c>
      <c r="X383" s="89" t="s">
        <v>1760</v>
      </c>
      <c r="Y383" s="89"/>
      <c r="Z383" s="53">
        <v>9999</v>
      </c>
      <c r="AA383" s="53"/>
      <c r="AB383" s="53">
        <v>30</v>
      </c>
      <c r="AC383" s="53">
        <v>30</v>
      </c>
      <c r="AD383" s="53">
        <v>30</v>
      </c>
      <c r="AE383" s="94">
        <v>50</v>
      </c>
      <c r="AF383" s="94">
        <v>20</v>
      </c>
      <c r="AG383" s="94">
        <v>4000</v>
      </c>
      <c r="AH383" s="94">
        <v>50</v>
      </c>
      <c r="AI383" s="94">
        <v>0</v>
      </c>
      <c r="AJ383" s="94">
        <v>0</v>
      </c>
      <c r="AK383" s="94">
        <v>1</v>
      </c>
      <c r="AL383" s="94">
        <v>0</v>
      </c>
      <c r="AM383" s="98" t="s">
        <v>676</v>
      </c>
      <c r="AS383" s="17"/>
      <c r="AT383" s="17"/>
      <c r="AU383" s="17"/>
      <c r="AV383" s="18"/>
      <c r="AW383" s="88"/>
      <c r="AX383" s="88"/>
      <c r="AY383" s="13"/>
    </row>
    <row r="384" s="9" customFormat="1" spans="2:51">
      <c r="B384" s="9">
        <v>121268</v>
      </c>
      <c r="C384" s="9">
        <v>121268</v>
      </c>
      <c r="D384" s="18" t="s">
        <v>1808</v>
      </c>
      <c r="E384" s="18" t="s">
        <v>1808</v>
      </c>
      <c r="F384" s="17"/>
      <c r="G384" s="9">
        <v>3</v>
      </c>
      <c r="H384" s="2"/>
      <c r="I384" s="2"/>
      <c r="J384" s="2"/>
      <c r="K384" s="2"/>
      <c r="L384" s="2"/>
      <c r="N384" s="88">
        <v>0</v>
      </c>
      <c r="O384" s="88">
        <v>0</v>
      </c>
      <c r="P384" s="32">
        <v>4</v>
      </c>
      <c r="Q384" s="32">
        <v>4</v>
      </c>
      <c r="R384" s="88">
        <v>3</v>
      </c>
      <c r="S384" s="31"/>
      <c r="T384" s="88">
        <v>1</v>
      </c>
      <c r="U384" s="88">
        <v>1</v>
      </c>
      <c r="V384" s="88">
        <v>1</v>
      </c>
      <c r="W384" s="123">
        <v>30054</v>
      </c>
      <c r="X384" s="89"/>
      <c r="Y384" s="89"/>
      <c r="Z384" s="53">
        <v>9999</v>
      </c>
      <c r="AA384" s="53"/>
      <c r="AB384" s="53">
        <v>30</v>
      </c>
      <c r="AC384" s="53">
        <v>30</v>
      </c>
      <c r="AD384" s="53">
        <v>30</v>
      </c>
      <c r="AE384" s="94">
        <v>50</v>
      </c>
      <c r="AF384" s="94">
        <v>20</v>
      </c>
      <c r="AG384" s="94">
        <v>4000</v>
      </c>
      <c r="AH384" s="94">
        <v>50</v>
      </c>
      <c r="AI384" s="94">
        <v>0</v>
      </c>
      <c r="AJ384" s="94">
        <v>0</v>
      </c>
      <c r="AK384" s="94">
        <v>1</v>
      </c>
      <c r="AL384" s="94">
        <v>0</v>
      </c>
      <c r="AM384" s="98" t="s">
        <v>676</v>
      </c>
      <c r="AS384" s="17"/>
      <c r="AT384" s="17"/>
      <c r="AU384" s="17"/>
      <c r="AV384" s="18"/>
      <c r="AW384" s="88"/>
      <c r="AX384" s="88"/>
      <c r="AY384" s="13"/>
    </row>
    <row r="385" s="9" customFormat="1" ht="16.5" spans="2:51">
      <c r="B385" s="126">
        <v>121269</v>
      </c>
      <c r="C385" s="126">
        <v>121269</v>
      </c>
      <c r="D385" s="127" t="s">
        <v>1809</v>
      </c>
      <c r="E385" s="127" t="s">
        <v>1809</v>
      </c>
      <c r="F385" s="17"/>
      <c r="G385" s="9">
        <v>1</v>
      </c>
      <c r="H385" s="2"/>
      <c r="I385" s="2"/>
      <c r="J385" s="2"/>
      <c r="K385" s="2"/>
      <c r="L385" s="2"/>
      <c r="N385" s="88">
        <v>0</v>
      </c>
      <c r="O385" s="88">
        <v>0</v>
      </c>
      <c r="P385" s="32">
        <v>5</v>
      </c>
      <c r="Q385" s="32">
        <v>5</v>
      </c>
      <c r="R385" s="88">
        <v>8</v>
      </c>
      <c r="S385" s="31"/>
      <c r="T385" s="88">
        <v>1</v>
      </c>
      <c r="U385" s="88">
        <v>1</v>
      </c>
      <c r="V385" s="88">
        <v>1</v>
      </c>
      <c r="W385" s="124">
        <v>1248</v>
      </c>
      <c r="X385" s="89" t="s">
        <v>1810</v>
      </c>
      <c r="Y385" s="89"/>
      <c r="Z385" s="53">
        <v>9999</v>
      </c>
      <c r="AA385" s="53"/>
      <c r="AB385" s="53">
        <v>30</v>
      </c>
      <c r="AC385" s="53">
        <v>30</v>
      </c>
      <c r="AD385" s="53">
        <v>30</v>
      </c>
      <c r="AE385" s="94">
        <v>50</v>
      </c>
      <c r="AF385" s="94">
        <v>20</v>
      </c>
      <c r="AG385" s="94">
        <v>4000</v>
      </c>
      <c r="AH385" s="94">
        <v>50</v>
      </c>
      <c r="AI385" s="94">
        <v>0</v>
      </c>
      <c r="AJ385" s="94">
        <v>0</v>
      </c>
      <c r="AK385" s="94">
        <v>1</v>
      </c>
      <c r="AL385" s="94">
        <v>0</v>
      </c>
      <c r="AM385" s="98" t="s">
        <v>676</v>
      </c>
      <c r="AS385" s="17"/>
      <c r="AT385" s="17"/>
      <c r="AU385" s="17"/>
      <c r="AV385" s="18"/>
      <c r="AW385" s="88"/>
      <c r="AX385" s="88"/>
      <c r="AY385" s="13"/>
    </row>
    <row r="386" s="9" customFormat="1" ht="16.5" spans="2:51">
      <c r="B386" s="126">
        <v>121270</v>
      </c>
      <c r="C386" s="126">
        <v>121270</v>
      </c>
      <c r="D386" s="127" t="s">
        <v>1811</v>
      </c>
      <c r="E386" s="127" t="s">
        <v>1811</v>
      </c>
      <c r="F386" s="17"/>
      <c r="G386" s="9">
        <v>0</v>
      </c>
      <c r="H386" s="2"/>
      <c r="I386" s="2"/>
      <c r="J386" s="2"/>
      <c r="K386" s="2"/>
      <c r="L386" s="2"/>
      <c r="N386" s="88">
        <v>0</v>
      </c>
      <c r="O386" s="88">
        <v>0</v>
      </c>
      <c r="P386" s="32">
        <v>5</v>
      </c>
      <c r="Q386" s="32">
        <v>5</v>
      </c>
      <c r="R386" s="88">
        <v>8</v>
      </c>
      <c r="S386" s="31"/>
      <c r="T386" s="88">
        <v>1</v>
      </c>
      <c r="U386" s="88">
        <v>1</v>
      </c>
      <c r="V386" s="88">
        <v>1</v>
      </c>
      <c r="W386" s="124">
        <v>1249</v>
      </c>
      <c r="X386" s="89" t="s">
        <v>1812</v>
      </c>
      <c r="Y386" s="89"/>
      <c r="Z386" s="53">
        <v>9999</v>
      </c>
      <c r="AA386" s="53"/>
      <c r="AB386" s="53">
        <v>30</v>
      </c>
      <c r="AC386" s="53">
        <v>30</v>
      </c>
      <c r="AD386" s="53">
        <v>30</v>
      </c>
      <c r="AE386" s="94">
        <v>50</v>
      </c>
      <c r="AF386" s="94">
        <v>20</v>
      </c>
      <c r="AG386" s="94">
        <v>4000</v>
      </c>
      <c r="AH386" s="94">
        <v>50</v>
      </c>
      <c r="AI386" s="94">
        <v>0</v>
      </c>
      <c r="AJ386" s="94">
        <v>0</v>
      </c>
      <c r="AK386" s="94">
        <v>1</v>
      </c>
      <c r="AL386" s="94">
        <v>0</v>
      </c>
      <c r="AM386" s="98" t="s">
        <v>676</v>
      </c>
      <c r="AS386" s="17"/>
      <c r="AT386" s="17"/>
      <c r="AU386" s="17"/>
      <c r="AV386" s="18"/>
      <c r="AW386" s="88"/>
      <c r="AX386" s="88"/>
      <c r="AY386" s="13"/>
    </row>
    <row r="387" s="9" customFormat="1" ht="16.5" spans="2:51">
      <c r="B387" s="126">
        <v>121271</v>
      </c>
      <c r="C387" s="126">
        <v>121271</v>
      </c>
      <c r="D387" s="127" t="s">
        <v>1813</v>
      </c>
      <c r="E387" s="127" t="s">
        <v>1813</v>
      </c>
      <c r="F387" s="17"/>
      <c r="G387" s="9">
        <v>0</v>
      </c>
      <c r="H387" s="2"/>
      <c r="I387" s="2"/>
      <c r="J387" s="2"/>
      <c r="K387" s="2"/>
      <c r="L387" s="2"/>
      <c r="N387" s="88">
        <v>0</v>
      </c>
      <c r="O387" s="88">
        <v>0</v>
      </c>
      <c r="P387" s="32">
        <v>5</v>
      </c>
      <c r="Q387" s="32">
        <v>5</v>
      </c>
      <c r="R387" s="88">
        <v>8</v>
      </c>
      <c r="S387" s="31"/>
      <c r="T387" s="88">
        <v>1</v>
      </c>
      <c r="U387" s="88">
        <v>1</v>
      </c>
      <c r="V387" s="88">
        <v>1</v>
      </c>
      <c r="W387" s="124">
        <v>1250</v>
      </c>
      <c r="X387" s="89" t="s">
        <v>1814</v>
      </c>
      <c r="Y387" s="89"/>
      <c r="Z387" s="53">
        <v>9999</v>
      </c>
      <c r="AA387" s="53"/>
      <c r="AB387" s="53">
        <v>30</v>
      </c>
      <c r="AC387" s="53">
        <v>30</v>
      </c>
      <c r="AD387" s="53">
        <v>30</v>
      </c>
      <c r="AE387" s="94">
        <v>50</v>
      </c>
      <c r="AF387" s="94">
        <v>20</v>
      </c>
      <c r="AG387" s="94">
        <v>4000</v>
      </c>
      <c r="AH387" s="94">
        <v>50</v>
      </c>
      <c r="AI387" s="94">
        <v>0</v>
      </c>
      <c r="AJ387" s="94">
        <v>0</v>
      </c>
      <c r="AK387" s="94">
        <v>1</v>
      </c>
      <c r="AL387" s="94">
        <v>0</v>
      </c>
      <c r="AM387" s="98" t="s">
        <v>676</v>
      </c>
      <c r="AS387" s="17"/>
      <c r="AT387" s="17"/>
      <c r="AU387" s="17"/>
      <c r="AV387" s="18"/>
      <c r="AW387" s="88"/>
      <c r="AX387" s="88"/>
      <c r="AY387" s="13"/>
    </row>
    <row r="388" s="9" customFormat="1" ht="16.5" spans="2:51">
      <c r="B388" s="126">
        <v>121272</v>
      </c>
      <c r="C388" s="126">
        <v>121272</v>
      </c>
      <c r="D388" s="127" t="s">
        <v>1815</v>
      </c>
      <c r="E388" s="127" t="s">
        <v>1815</v>
      </c>
      <c r="F388" s="17"/>
      <c r="G388" s="9">
        <v>0</v>
      </c>
      <c r="H388" s="2"/>
      <c r="I388" s="2"/>
      <c r="J388" s="2"/>
      <c r="K388" s="2"/>
      <c r="L388" s="2"/>
      <c r="N388" s="88">
        <v>0</v>
      </c>
      <c r="O388" s="88">
        <v>0</v>
      </c>
      <c r="P388" s="32">
        <v>5</v>
      </c>
      <c r="Q388" s="32">
        <v>5</v>
      </c>
      <c r="R388" s="88">
        <v>8</v>
      </c>
      <c r="S388" s="31"/>
      <c r="T388" s="88">
        <v>1</v>
      </c>
      <c r="U388" s="88">
        <v>1</v>
      </c>
      <c r="V388" s="88">
        <v>1</v>
      </c>
      <c r="W388" s="124">
        <v>1251</v>
      </c>
      <c r="X388" s="89" t="s">
        <v>1816</v>
      </c>
      <c r="Y388" s="89"/>
      <c r="Z388" s="53">
        <v>9999</v>
      </c>
      <c r="AA388" s="53"/>
      <c r="AB388" s="53">
        <v>30</v>
      </c>
      <c r="AC388" s="53">
        <v>30</v>
      </c>
      <c r="AD388" s="53">
        <v>30</v>
      </c>
      <c r="AE388" s="94">
        <v>50</v>
      </c>
      <c r="AF388" s="94">
        <v>20</v>
      </c>
      <c r="AG388" s="94">
        <v>4000</v>
      </c>
      <c r="AH388" s="94">
        <v>50</v>
      </c>
      <c r="AI388" s="94">
        <v>0</v>
      </c>
      <c r="AJ388" s="94">
        <v>0</v>
      </c>
      <c r="AK388" s="94">
        <v>1</v>
      </c>
      <c r="AL388" s="94">
        <v>0</v>
      </c>
      <c r="AM388" s="98" t="s">
        <v>676</v>
      </c>
      <c r="AS388" s="17"/>
      <c r="AT388" s="17"/>
      <c r="AU388" s="17"/>
      <c r="AV388" s="18"/>
      <c r="AW388" s="88"/>
      <c r="AX388" s="88"/>
      <c r="AY388" s="13"/>
    </row>
    <row r="389" s="9" customFormat="1" ht="16.5" spans="2:51">
      <c r="B389" s="126">
        <v>121273</v>
      </c>
      <c r="C389" s="126">
        <v>121273</v>
      </c>
      <c r="D389" s="127" t="s">
        <v>1817</v>
      </c>
      <c r="E389" s="127" t="s">
        <v>1817</v>
      </c>
      <c r="F389" s="17"/>
      <c r="G389" s="9">
        <v>0</v>
      </c>
      <c r="H389" s="2"/>
      <c r="I389" s="2"/>
      <c r="J389" s="2"/>
      <c r="K389" s="2"/>
      <c r="L389" s="2"/>
      <c r="N389" s="88">
        <v>0</v>
      </c>
      <c r="O389" s="88">
        <v>0</v>
      </c>
      <c r="P389" s="32">
        <v>5</v>
      </c>
      <c r="Q389" s="32">
        <v>5</v>
      </c>
      <c r="R389" s="88">
        <v>3</v>
      </c>
      <c r="S389" s="31"/>
      <c r="T389" s="88">
        <v>1</v>
      </c>
      <c r="U389" s="88">
        <v>1</v>
      </c>
      <c r="V389" s="88">
        <v>1</v>
      </c>
      <c r="W389" s="124">
        <v>1252</v>
      </c>
      <c r="X389" s="89" t="s">
        <v>1818</v>
      </c>
      <c r="Y389" s="89"/>
      <c r="Z389" s="53">
        <v>9999</v>
      </c>
      <c r="AA389" s="53"/>
      <c r="AB389" s="53">
        <v>30</v>
      </c>
      <c r="AC389" s="53">
        <v>30</v>
      </c>
      <c r="AD389" s="53">
        <v>30</v>
      </c>
      <c r="AE389" s="94">
        <v>50</v>
      </c>
      <c r="AF389" s="94">
        <v>20</v>
      </c>
      <c r="AG389" s="94">
        <v>4000</v>
      </c>
      <c r="AH389" s="94">
        <v>50</v>
      </c>
      <c r="AI389" s="94">
        <v>0</v>
      </c>
      <c r="AJ389" s="94">
        <v>0</v>
      </c>
      <c r="AK389" s="94">
        <v>1</v>
      </c>
      <c r="AL389" s="94">
        <v>0</v>
      </c>
      <c r="AM389" s="98" t="s">
        <v>676</v>
      </c>
      <c r="AS389" s="17"/>
      <c r="AT389" s="17"/>
      <c r="AU389" s="17"/>
      <c r="AV389" s="18"/>
      <c r="AW389" s="88"/>
      <c r="AX389" s="88"/>
      <c r="AY389" s="13"/>
    </row>
    <row r="390" s="9" customFormat="1" ht="16.5" spans="2:51">
      <c r="B390" s="126">
        <v>121274</v>
      </c>
      <c r="C390" s="126">
        <v>121274</v>
      </c>
      <c r="D390" s="127" t="s">
        <v>1819</v>
      </c>
      <c r="E390" s="127" t="s">
        <v>1819</v>
      </c>
      <c r="F390" s="17"/>
      <c r="G390" s="9">
        <v>0</v>
      </c>
      <c r="H390" s="2"/>
      <c r="I390" s="2"/>
      <c r="J390" s="2"/>
      <c r="K390" s="2"/>
      <c r="L390" s="2"/>
      <c r="N390" s="88">
        <v>0</v>
      </c>
      <c r="O390" s="88">
        <v>0</v>
      </c>
      <c r="P390" s="32">
        <v>5</v>
      </c>
      <c r="Q390" s="32">
        <v>5</v>
      </c>
      <c r="R390" s="88">
        <v>3</v>
      </c>
      <c r="S390" s="31"/>
      <c r="T390" s="88">
        <v>1</v>
      </c>
      <c r="U390" s="88">
        <v>1</v>
      </c>
      <c r="V390" s="88">
        <v>1</v>
      </c>
      <c r="W390" s="124">
        <v>1253</v>
      </c>
      <c r="X390" s="89" t="s">
        <v>1820</v>
      </c>
      <c r="Y390" s="89"/>
      <c r="Z390" s="53">
        <v>9999</v>
      </c>
      <c r="AA390" s="53"/>
      <c r="AB390" s="53">
        <v>30</v>
      </c>
      <c r="AC390" s="53">
        <v>30</v>
      </c>
      <c r="AD390" s="53">
        <v>30</v>
      </c>
      <c r="AE390" s="94">
        <v>50</v>
      </c>
      <c r="AF390" s="94">
        <v>20</v>
      </c>
      <c r="AG390" s="94">
        <v>4000</v>
      </c>
      <c r="AH390" s="94">
        <v>50</v>
      </c>
      <c r="AI390" s="94">
        <v>0</v>
      </c>
      <c r="AJ390" s="94">
        <v>0</v>
      </c>
      <c r="AK390" s="94">
        <v>1</v>
      </c>
      <c r="AL390" s="94">
        <v>0</v>
      </c>
      <c r="AM390" s="98" t="s">
        <v>676</v>
      </c>
      <c r="AS390" s="17"/>
      <c r="AT390" s="17"/>
      <c r="AU390" s="17"/>
      <c r="AV390" s="18"/>
      <c r="AW390" s="88"/>
      <c r="AX390" s="88"/>
      <c r="AY390" s="13"/>
    </row>
    <row r="391" s="9" customFormat="1" ht="16.5" spans="2:51">
      <c r="B391" s="126">
        <v>121275</v>
      </c>
      <c r="C391" s="126">
        <v>121275</v>
      </c>
      <c r="D391" s="127" t="s">
        <v>1821</v>
      </c>
      <c r="E391" s="127" t="s">
        <v>1821</v>
      </c>
      <c r="F391" s="17"/>
      <c r="G391" s="9">
        <v>0</v>
      </c>
      <c r="H391" s="2"/>
      <c r="I391" s="2"/>
      <c r="J391" s="2"/>
      <c r="K391" s="2"/>
      <c r="L391" s="2"/>
      <c r="N391" s="88">
        <v>0</v>
      </c>
      <c r="O391" s="88">
        <v>0</v>
      </c>
      <c r="P391" s="32">
        <v>5</v>
      </c>
      <c r="Q391" s="32">
        <v>5</v>
      </c>
      <c r="R391" s="88">
        <v>3</v>
      </c>
      <c r="S391" s="31"/>
      <c r="T391" s="88">
        <v>1</v>
      </c>
      <c r="U391" s="88">
        <v>1</v>
      </c>
      <c r="V391" s="88">
        <v>1</v>
      </c>
      <c r="W391" s="124">
        <v>1254</v>
      </c>
      <c r="X391" s="89" t="s">
        <v>1822</v>
      </c>
      <c r="Y391" s="89"/>
      <c r="Z391" s="53">
        <v>9999</v>
      </c>
      <c r="AA391" s="53"/>
      <c r="AB391" s="53">
        <v>30</v>
      </c>
      <c r="AC391" s="53">
        <v>30</v>
      </c>
      <c r="AD391" s="53">
        <v>30</v>
      </c>
      <c r="AE391" s="94">
        <v>50</v>
      </c>
      <c r="AF391" s="94">
        <v>20</v>
      </c>
      <c r="AG391" s="94">
        <v>4000</v>
      </c>
      <c r="AH391" s="94">
        <v>50</v>
      </c>
      <c r="AI391" s="94">
        <v>0</v>
      </c>
      <c r="AJ391" s="94">
        <v>0</v>
      </c>
      <c r="AK391" s="94">
        <v>1</v>
      </c>
      <c r="AL391" s="94">
        <v>0</v>
      </c>
      <c r="AM391" s="98" t="s">
        <v>676</v>
      </c>
      <c r="AS391" s="17"/>
      <c r="AT391" s="17"/>
      <c r="AU391" s="17"/>
      <c r="AV391" s="18"/>
      <c r="AW391" s="88"/>
      <c r="AX391" s="88"/>
      <c r="AY391" s="13"/>
    </row>
    <row r="392" s="9" customFormat="1" ht="16.5" spans="2:51">
      <c r="B392" s="126">
        <v>121276</v>
      </c>
      <c r="C392" s="126">
        <v>121276</v>
      </c>
      <c r="D392" s="127" t="s">
        <v>1823</v>
      </c>
      <c r="E392" s="127" t="s">
        <v>1823</v>
      </c>
      <c r="F392" s="17"/>
      <c r="G392" s="9">
        <v>0</v>
      </c>
      <c r="H392" s="2"/>
      <c r="I392" s="2"/>
      <c r="J392" s="2"/>
      <c r="K392" s="2"/>
      <c r="L392" s="2"/>
      <c r="N392" s="88">
        <v>0</v>
      </c>
      <c r="O392" s="88">
        <v>0</v>
      </c>
      <c r="P392" s="32">
        <v>5</v>
      </c>
      <c r="Q392" s="32">
        <v>5</v>
      </c>
      <c r="R392" s="88">
        <v>3</v>
      </c>
      <c r="S392" s="31"/>
      <c r="T392" s="88">
        <v>1</v>
      </c>
      <c r="U392" s="88">
        <v>1</v>
      </c>
      <c r="V392" s="88">
        <v>1</v>
      </c>
      <c r="W392" s="124">
        <v>1255</v>
      </c>
      <c r="X392" s="89" t="s">
        <v>1824</v>
      </c>
      <c r="Y392" s="89"/>
      <c r="Z392" s="53">
        <v>9999</v>
      </c>
      <c r="AA392" s="53"/>
      <c r="AB392" s="53">
        <v>30</v>
      </c>
      <c r="AC392" s="53">
        <v>30</v>
      </c>
      <c r="AD392" s="53">
        <v>30</v>
      </c>
      <c r="AE392" s="94">
        <v>50</v>
      </c>
      <c r="AF392" s="94">
        <v>20</v>
      </c>
      <c r="AG392" s="94">
        <v>4000</v>
      </c>
      <c r="AH392" s="94">
        <v>50</v>
      </c>
      <c r="AI392" s="94">
        <v>0</v>
      </c>
      <c r="AJ392" s="94">
        <v>0</v>
      </c>
      <c r="AK392" s="94">
        <v>1</v>
      </c>
      <c r="AL392" s="94">
        <v>0</v>
      </c>
      <c r="AM392" s="98" t="s">
        <v>676</v>
      </c>
      <c r="AS392" s="17"/>
      <c r="AT392" s="17"/>
      <c r="AU392" s="17"/>
      <c r="AV392" s="18"/>
      <c r="AW392" s="88"/>
      <c r="AX392" s="88"/>
      <c r="AY392" s="13"/>
    </row>
    <row r="393" s="9" customFormat="1" ht="16.5" spans="2:51">
      <c r="B393" s="126">
        <v>121277</v>
      </c>
      <c r="C393" s="126">
        <v>121277</v>
      </c>
      <c r="D393" s="127" t="s">
        <v>1825</v>
      </c>
      <c r="E393" s="127" t="s">
        <v>1825</v>
      </c>
      <c r="F393" s="17"/>
      <c r="G393" s="9">
        <v>0</v>
      </c>
      <c r="H393" s="2"/>
      <c r="I393" s="2"/>
      <c r="J393" s="2"/>
      <c r="K393" s="2"/>
      <c r="L393" s="2"/>
      <c r="N393" s="88">
        <v>0</v>
      </c>
      <c r="O393" s="88">
        <v>0</v>
      </c>
      <c r="P393" s="32">
        <v>5</v>
      </c>
      <c r="Q393" s="32">
        <v>5</v>
      </c>
      <c r="R393" s="88">
        <v>3</v>
      </c>
      <c r="S393" s="31"/>
      <c r="T393" s="88">
        <v>1</v>
      </c>
      <c r="U393" s="88">
        <v>1</v>
      </c>
      <c r="V393" s="88">
        <v>1</v>
      </c>
      <c r="W393" s="124">
        <v>1256</v>
      </c>
      <c r="X393" s="89" t="s">
        <v>1826</v>
      </c>
      <c r="Y393" s="89"/>
      <c r="Z393" s="53">
        <v>9999</v>
      </c>
      <c r="AA393" s="53"/>
      <c r="AB393" s="53">
        <v>30</v>
      </c>
      <c r="AC393" s="53">
        <v>30</v>
      </c>
      <c r="AD393" s="53">
        <v>30</v>
      </c>
      <c r="AE393" s="94">
        <v>50</v>
      </c>
      <c r="AF393" s="94">
        <v>20</v>
      </c>
      <c r="AG393" s="94">
        <v>4000</v>
      </c>
      <c r="AH393" s="94">
        <v>50</v>
      </c>
      <c r="AI393" s="94">
        <v>0</v>
      </c>
      <c r="AJ393" s="94">
        <v>0</v>
      </c>
      <c r="AK393" s="94">
        <v>1</v>
      </c>
      <c r="AL393" s="94">
        <v>0</v>
      </c>
      <c r="AM393" s="98" t="s">
        <v>676</v>
      </c>
      <c r="AS393" s="17"/>
      <c r="AT393" s="17"/>
      <c r="AU393" s="17"/>
      <c r="AV393" s="18"/>
      <c r="AW393" s="88"/>
      <c r="AX393" s="88"/>
      <c r="AY393" s="13"/>
    </row>
    <row r="394" s="9" customFormat="1" ht="16.5" spans="2:51">
      <c r="B394" s="126">
        <v>121278</v>
      </c>
      <c r="C394" s="126">
        <v>121278</v>
      </c>
      <c r="D394" s="127" t="s">
        <v>1827</v>
      </c>
      <c r="E394" s="127" t="s">
        <v>1827</v>
      </c>
      <c r="F394" s="17"/>
      <c r="G394" s="9">
        <v>0</v>
      </c>
      <c r="H394" s="2"/>
      <c r="I394" s="2"/>
      <c r="J394" s="2"/>
      <c r="K394" s="2"/>
      <c r="L394" s="2"/>
      <c r="N394" s="88">
        <v>0</v>
      </c>
      <c r="O394" s="88">
        <v>0</v>
      </c>
      <c r="P394" s="32">
        <v>5</v>
      </c>
      <c r="Q394" s="32">
        <v>5</v>
      </c>
      <c r="R394" s="88">
        <v>3</v>
      </c>
      <c r="S394" s="31"/>
      <c r="T394" s="88">
        <v>1</v>
      </c>
      <c r="U394" s="88">
        <v>1</v>
      </c>
      <c r="V394" s="88">
        <v>1</v>
      </c>
      <c r="W394" s="124">
        <v>1257</v>
      </c>
      <c r="X394" s="89" t="s">
        <v>1828</v>
      </c>
      <c r="Y394" s="89"/>
      <c r="Z394" s="53">
        <v>9999</v>
      </c>
      <c r="AA394" s="53"/>
      <c r="AB394" s="53">
        <v>30</v>
      </c>
      <c r="AC394" s="53">
        <v>30</v>
      </c>
      <c r="AD394" s="53">
        <v>30</v>
      </c>
      <c r="AE394" s="94">
        <v>50</v>
      </c>
      <c r="AF394" s="94">
        <v>20</v>
      </c>
      <c r="AG394" s="94">
        <v>4000</v>
      </c>
      <c r="AH394" s="94">
        <v>50</v>
      </c>
      <c r="AI394" s="94">
        <v>0</v>
      </c>
      <c r="AJ394" s="94">
        <v>0</v>
      </c>
      <c r="AK394" s="94">
        <v>1</v>
      </c>
      <c r="AL394" s="94">
        <v>0</v>
      </c>
      <c r="AM394" s="98" t="s">
        <v>676</v>
      </c>
      <c r="AS394" s="17"/>
      <c r="AT394" s="17"/>
      <c r="AU394" s="17"/>
      <c r="AV394" s="18"/>
      <c r="AW394" s="88"/>
      <c r="AX394" s="88"/>
      <c r="AY394" s="13"/>
    </row>
    <row r="395" s="9" customFormat="1" ht="16.5" spans="2:51">
      <c r="B395" s="126">
        <v>121279</v>
      </c>
      <c r="C395" s="126">
        <v>121279</v>
      </c>
      <c r="D395" s="127" t="s">
        <v>1829</v>
      </c>
      <c r="E395" s="127" t="s">
        <v>1829</v>
      </c>
      <c r="F395" s="17"/>
      <c r="G395" s="9">
        <v>0</v>
      </c>
      <c r="H395" s="2"/>
      <c r="I395" s="2"/>
      <c r="J395" s="2"/>
      <c r="K395" s="2"/>
      <c r="L395" s="2"/>
      <c r="N395" s="88">
        <v>0</v>
      </c>
      <c r="O395" s="88">
        <v>0</v>
      </c>
      <c r="P395" s="32">
        <v>5</v>
      </c>
      <c r="Q395" s="32">
        <v>5</v>
      </c>
      <c r="R395" s="88">
        <v>3</v>
      </c>
      <c r="S395" s="31"/>
      <c r="T395" s="88">
        <v>1</v>
      </c>
      <c r="U395" s="88">
        <v>1</v>
      </c>
      <c r="V395" s="88">
        <v>1</v>
      </c>
      <c r="W395" s="124">
        <v>1258</v>
      </c>
      <c r="X395" s="89" t="s">
        <v>1830</v>
      </c>
      <c r="Y395" s="89"/>
      <c r="Z395" s="53">
        <v>9999</v>
      </c>
      <c r="AA395" s="53"/>
      <c r="AB395" s="53">
        <v>30</v>
      </c>
      <c r="AC395" s="53">
        <v>30</v>
      </c>
      <c r="AD395" s="53">
        <v>30</v>
      </c>
      <c r="AE395" s="94">
        <v>50</v>
      </c>
      <c r="AF395" s="94">
        <v>20</v>
      </c>
      <c r="AG395" s="94">
        <v>4000</v>
      </c>
      <c r="AH395" s="94">
        <v>50</v>
      </c>
      <c r="AI395" s="94">
        <v>0</v>
      </c>
      <c r="AJ395" s="94">
        <v>0</v>
      </c>
      <c r="AK395" s="94">
        <v>1</v>
      </c>
      <c r="AL395" s="94">
        <v>0</v>
      </c>
      <c r="AM395" s="98" t="s">
        <v>676</v>
      </c>
      <c r="AS395" s="17"/>
      <c r="AT395" s="17"/>
      <c r="AU395" s="17"/>
      <c r="AV395" s="18"/>
      <c r="AW395" s="88"/>
      <c r="AX395" s="88"/>
      <c r="AY395" s="13"/>
    </row>
    <row r="396" s="9" customFormat="1" ht="16.5" spans="2:51">
      <c r="B396" s="126">
        <v>121280</v>
      </c>
      <c r="C396" s="126">
        <v>121280</v>
      </c>
      <c r="D396" s="127" t="s">
        <v>1829</v>
      </c>
      <c r="E396" s="127" t="s">
        <v>1831</v>
      </c>
      <c r="F396" s="17"/>
      <c r="G396" s="9">
        <v>0</v>
      </c>
      <c r="H396" s="2"/>
      <c r="I396" s="2"/>
      <c r="J396" s="2"/>
      <c r="K396" s="2"/>
      <c r="L396" s="2"/>
      <c r="N396" s="88">
        <v>0</v>
      </c>
      <c r="O396" s="88">
        <v>0</v>
      </c>
      <c r="P396" s="32">
        <v>5</v>
      </c>
      <c r="Q396" s="32">
        <v>5</v>
      </c>
      <c r="R396" s="88">
        <v>3</v>
      </c>
      <c r="S396" s="31"/>
      <c r="T396" s="88">
        <v>1</v>
      </c>
      <c r="U396" s="88">
        <v>1</v>
      </c>
      <c r="V396" s="88">
        <v>1</v>
      </c>
      <c r="W396" s="124">
        <v>1259</v>
      </c>
      <c r="X396" s="89" t="s">
        <v>1832</v>
      </c>
      <c r="Y396" s="89"/>
      <c r="Z396" s="53">
        <v>9999</v>
      </c>
      <c r="AA396" s="53"/>
      <c r="AB396" s="53">
        <v>30</v>
      </c>
      <c r="AC396" s="53">
        <v>30</v>
      </c>
      <c r="AD396" s="53">
        <v>30</v>
      </c>
      <c r="AE396" s="94">
        <v>50</v>
      </c>
      <c r="AF396" s="94">
        <v>20</v>
      </c>
      <c r="AG396" s="94">
        <v>4000</v>
      </c>
      <c r="AH396" s="94">
        <v>50</v>
      </c>
      <c r="AI396" s="94">
        <v>0</v>
      </c>
      <c r="AJ396" s="94">
        <v>0</v>
      </c>
      <c r="AK396" s="94">
        <v>1</v>
      </c>
      <c r="AL396" s="94">
        <v>0</v>
      </c>
      <c r="AM396" s="98" t="s">
        <v>676</v>
      </c>
      <c r="AS396" s="17"/>
      <c r="AT396" s="17"/>
      <c r="AU396" s="17"/>
      <c r="AV396" s="18"/>
      <c r="AW396" s="88"/>
      <c r="AX396" s="88"/>
      <c r="AY396" s="13"/>
    </row>
    <row r="397" s="9" customFormat="1" ht="16.5" spans="2:51">
      <c r="B397" s="126">
        <v>121281</v>
      </c>
      <c r="C397" s="126">
        <v>121281</v>
      </c>
      <c r="D397" s="127" t="s">
        <v>1188</v>
      </c>
      <c r="E397" s="127" t="s">
        <v>1188</v>
      </c>
      <c r="F397" s="17"/>
      <c r="G397" s="9">
        <v>1</v>
      </c>
      <c r="H397" s="2"/>
      <c r="I397" s="2"/>
      <c r="J397" s="2"/>
      <c r="K397" s="2"/>
      <c r="L397" s="2"/>
      <c r="N397" s="88">
        <v>0</v>
      </c>
      <c r="O397" s="88">
        <v>0</v>
      </c>
      <c r="P397" s="32">
        <v>5</v>
      </c>
      <c r="Q397" s="32">
        <v>5</v>
      </c>
      <c r="R397" s="88">
        <v>8</v>
      </c>
      <c r="S397" s="31"/>
      <c r="T397" s="88">
        <v>1</v>
      </c>
      <c r="U397" s="88">
        <v>1</v>
      </c>
      <c r="V397" s="88">
        <v>1</v>
      </c>
      <c r="W397" s="124">
        <v>1260</v>
      </c>
      <c r="X397" s="89" t="s">
        <v>1833</v>
      </c>
      <c r="Y397" s="89"/>
      <c r="Z397" s="53">
        <v>9999</v>
      </c>
      <c r="AA397" s="53"/>
      <c r="AB397" s="53">
        <v>30</v>
      </c>
      <c r="AC397" s="53">
        <v>30</v>
      </c>
      <c r="AD397" s="53">
        <v>30</v>
      </c>
      <c r="AE397" s="94">
        <v>50</v>
      </c>
      <c r="AF397" s="94">
        <v>20</v>
      </c>
      <c r="AG397" s="94">
        <v>4000</v>
      </c>
      <c r="AH397" s="94">
        <v>50</v>
      </c>
      <c r="AI397" s="94">
        <v>0</v>
      </c>
      <c r="AJ397" s="94">
        <v>0</v>
      </c>
      <c r="AK397" s="94">
        <v>1</v>
      </c>
      <c r="AL397" s="94">
        <v>0</v>
      </c>
      <c r="AM397" s="98" t="s">
        <v>676</v>
      </c>
      <c r="AS397" s="17"/>
      <c r="AT397" s="17"/>
      <c r="AU397" s="17"/>
      <c r="AV397" s="18"/>
      <c r="AW397" s="88"/>
      <c r="AX397" s="88"/>
      <c r="AY397" s="13"/>
    </row>
    <row r="398" spans="2:50">
      <c r="B398" s="9">
        <v>1111001</v>
      </c>
      <c r="C398" s="9">
        <v>1111001</v>
      </c>
      <c r="D398" s="24" t="s">
        <v>132</v>
      </c>
      <c r="E398" s="9" t="s">
        <v>1834</v>
      </c>
      <c r="F398" s="9"/>
      <c r="G398" s="9">
        <v>0</v>
      </c>
      <c r="H398" s="2"/>
      <c r="I398" s="2"/>
      <c r="J398" s="2"/>
      <c r="K398" s="2"/>
      <c r="L398" s="2"/>
      <c r="M398" s="88"/>
      <c r="N398" s="88">
        <v>0</v>
      </c>
      <c r="O398" s="88">
        <v>0</v>
      </c>
      <c r="P398" s="32">
        <v>1</v>
      </c>
      <c r="Q398" s="32">
        <v>1</v>
      </c>
      <c r="R398" s="88">
        <v>2</v>
      </c>
      <c r="S398" s="31" t="s">
        <v>139</v>
      </c>
      <c r="T398">
        <v>2</v>
      </c>
      <c r="U398">
        <v>6</v>
      </c>
      <c r="V398">
        <v>1</v>
      </c>
      <c r="W398">
        <v>23</v>
      </c>
      <c r="X398" s="88" t="s">
        <v>140</v>
      </c>
      <c r="Y398" s="88"/>
      <c r="Z398" s="53">
        <v>9999</v>
      </c>
      <c r="AA398" s="53">
        <v>214005</v>
      </c>
      <c r="AB398" s="53">
        <v>10</v>
      </c>
      <c r="AC398" s="53">
        <v>10</v>
      </c>
      <c r="AD398" s="53">
        <v>10</v>
      </c>
      <c r="AE398" s="94">
        <v>86</v>
      </c>
      <c r="AF398" s="94">
        <v>8</v>
      </c>
      <c r="AG398" s="94">
        <v>137</v>
      </c>
      <c r="AH398" s="129">
        <v>3.2</v>
      </c>
      <c r="AI398" s="94">
        <v>0</v>
      </c>
      <c r="AJ398" s="94">
        <v>0</v>
      </c>
      <c r="AK398" s="94">
        <v>1</v>
      </c>
      <c r="AL398" s="94">
        <v>0</v>
      </c>
      <c r="AM398" s="98" t="s">
        <v>676</v>
      </c>
      <c r="AW398" s="88"/>
      <c r="AX398" s="88"/>
    </row>
    <row r="399" spans="2:50">
      <c r="B399" s="9">
        <v>1111002</v>
      </c>
      <c r="C399" s="9">
        <v>1111002</v>
      </c>
      <c r="D399" s="24" t="s">
        <v>146</v>
      </c>
      <c r="E399" s="9" t="s">
        <v>1835</v>
      </c>
      <c r="F399" s="9"/>
      <c r="G399" s="9">
        <v>0</v>
      </c>
      <c r="H399" s="2"/>
      <c r="I399" s="2"/>
      <c r="J399" s="2"/>
      <c r="K399" s="2"/>
      <c r="L399" s="2"/>
      <c r="M399" s="88"/>
      <c r="N399" s="88">
        <v>0</v>
      </c>
      <c r="O399" s="88">
        <v>0</v>
      </c>
      <c r="P399" s="32">
        <v>1</v>
      </c>
      <c r="Q399" s="32">
        <v>1</v>
      </c>
      <c r="R399" s="88">
        <v>2</v>
      </c>
      <c r="S399" s="31" t="s">
        <v>139</v>
      </c>
      <c r="T399">
        <v>2</v>
      </c>
      <c r="U399">
        <v>6</v>
      </c>
      <c r="V399">
        <v>1</v>
      </c>
      <c r="W399">
        <v>18</v>
      </c>
      <c r="X399" s="88" t="s">
        <v>152</v>
      </c>
      <c r="Y399" s="88"/>
      <c r="Z399" s="53">
        <v>9999</v>
      </c>
      <c r="AA399" s="53">
        <v>214005</v>
      </c>
      <c r="AB399" s="53">
        <v>10</v>
      </c>
      <c r="AC399" s="53">
        <v>10</v>
      </c>
      <c r="AD399" s="53">
        <v>10</v>
      </c>
      <c r="AE399" s="94">
        <v>86</v>
      </c>
      <c r="AF399" s="94">
        <v>6</v>
      </c>
      <c r="AG399" s="94">
        <v>162</v>
      </c>
      <c r="AH399" s="129">
        <v>1.8</v>
      </c>
      <c r="AI399" s="94">
        <v>0</v>
      </c>
      <c r="AJ399" s="94">
        <v>0</v>
      </c>
      <c r="AK399" s="94">
        <v>1</v>
      </c>
      <c r="AL399" s="94">
        <v>0</v>
      </c>
      <c r="AM399" s="98" t="s">
        <v>676</v>
      </c>
      <c r="AW399" s="88"/>
      <c r="AX399" s="88"/>
    </row>
    <row r="400" spans="2:50">
      <c r="B400" s="9">
        <v>1111003</v>
      </c>
      <c r="C400" s="9">
        <v>1111003</v>
      </c>
      <c r="D400" s="24" t="s">
        <v>159</v>
      </c>
      <c r="E400" s="9" t="s">
        <v>159</v>
      </c>
      <c r="F400" s="9"/>
      <c r="G400" s="9">
        <v>0</v>
      </c>
      <c r="H400" s="2"/>
      <c r="I400" s="2"/>
      <c r="J400" s="2"/>
      <c r="K400" s="2"/>
      <c r="L400" s="2"/>
      <c r="M400" s="88"/>
      <c r="N400" s="88">
        <v>0</v>
      </c>
      <c r="O400" s="88">
        <v>0</v>
      </c>
      <c r="P400" s="32">
        <v>1</v>
      </c>
      <c r="Q400" s="32">
        <v>1</v>
      </c>
      <c r="R400" s="88">
        <v>3</v>
      </c>
      <c r="S400" s="31" t="s">
        <v>1836</v>
      </c>
      <c r="T400">
        <v>2</v>
      </c>
      <c r="U400">
        <v>6</v>
      </c>
      <c r="V400">
        <v>1</v>
      </c>
      <c r="W400">
        <v>24</v>
      </c>
      <c r="X400" s="88" t="s">
        <v>165</v>
      </c>
      <c r="Y400" s="88"/>
      <c r="Z400" s="53">
        <v>9999</v>
      </c>
      <c r="AA400" s="53">
        <v>214005</v>
      </c>
      <c r="AB400" s="53">
        <v>10</v>
      </c>
      <c r="AC400" s="53">
        <v>10</v>
      </c>
      <c r="AD400" s="53">
        <v>10</v>
      </c>
      <c r="AE400" s="94">
        <v>106</v>
      </c>
      <c r="AF400" s="94">
        <v>6</v>
      </c>
      <c r="AG400" s="94">
        <v>112</v>
      </c>
      <c r="AH400" s="129">
        <v>6.2</v>
      </c>
      <c r="AI400" s="94">
        <v>0</v>
      </c>
      <c r="AJ400" s="94">
        <v>0</v>
      </c>
      <c r="AK400" s="94">
        <v>1</v>
      </c>
      <c r="AL400" s="94">
        <v>0</v>
      </c>
      <c r="AM400" s="98" t="s">
        <v>676</v>
      </c>
      <c r="AW400" s="88"/>
      <c r="AX400" s="88"/>
    </row>
    <row r="401" spans="2:50">
      <c r="B401" s="9">
        <v>1111004</v>
      </c>
      <c r="C401" s="9">
        <v>1111004</v>
      </c>
      <c r="D401" s="24" t="s">
        <v>171</v>
      </c>
      <c r="E401" s="9" t="s">
        <v>171</v>
      </c>
      <c r="F401" s="9"/>
      <c r="G401" s="9">
        <v>0</v>
      </c>
      <c r="H401" s="2"/>
      <c r="I401" s="2"/>
      <c r="J401" s="2"/>
      <c r="K401" s="2"/>
      <c r="L401" s="2"/>
      <c r="M401" s="88"/>
      <c r="N401" s="88">
        <v>0</v>
      </c>
      <c r="O401" s="88">
        <v>0</v>
      </c>
      <c r="P401" s="32">
        <v>1</v>
      </c>
      <c r="Q401" s="32">
        <v>1</v>
      </c>
      <c r="R401" s="88">
        <v>3</v>
      </c>
      <c r="S401" s="31" t="s">
        <v>175</v>
      </c>
      <c r="T401">
        <v>2</v>
      </c>
      <c r="U401">
        <v>6</v>
      </c>
      <c r="V401">
        <v>1</v>
      </c>
      <c r="W401">
        <v>19</v>
      </c>
      <c r="X401" s="88" t="s">
        <v>176</v>
      </c>
      <c r="Y401" s="88"/>
      <c r="Z401" s="53">
        <v>9999</v>
      </c>
      <c r="AA401" s="53">
        <v>214005</v>
      </c>
      <c r="AB401" s="53">
        <v>10</v>
      </c>
      <c r="AC401" s="53">
        <v>10</v>
      </c>
      <c r="AD401" s="53">
        <v>10</v>
      </c>
      <c r="AE401" s="94">
        <v>106</v>
      </c>
      <c r="AF401" s="94">
        <v>6</v>
      </c>
      <c r="AG401" s="94">
        <v>112</v>
      </c>
      <c r="AH401" s="129">
        <v>5.8</v>
      </c>
      <c r="AI401" s="94">
        <v>0</v>
      </c>
      <c r="AJ401" s="94">
        <v>0</v>
      </c>
      <c r="AK401" s="94">
        <v>1</v>
      </c>
      <c r="AL401" s="94">
        <v>0</v>
      </c>
      <c r="AM401" s="98" t="s">
        <v>676</v>
      </c>
      <c r="AN401" s="2" t="s">
        <v>178</v>
      </c>
      <c r="AO401" s="2" t="s">
        <v>179</v>
      </c>
      <c r="AW401" s="88"/>
      <c r="AX401" s="88"/>
    </row>
    <row r="402" spans="2:50">
      <c r="B402" s="9">
        <v>1111005</v>
      </c>
      <c r="C402" s="9">
        <v>1111005</v>
      </c>
      <c r="D402" s="24" t="s">
        <v>183</v>
      </c>
      <c r="E402" s="9" t="s">
        <v>183</v>
      </c>
      <c r="F402" s="9"/>
      <c r="G402" s="9">
        <v>0</v>
      </c>
      <c r="H402" s="2"/>
      <c r="I402" s="2"/>
      <c r="J402" s="2"/>
      <c r="K402" s="2"/>
      <c r="L402" s="2"/>
      <c r="M402" s="88"/>
      <c r="N402" s="88">
        <v>0</v>
      </c>
      <c r="O402" s="88">
        <v>0</v>
      </c>
      <c r="P402" s="32">
        <v>1</v>
      </c>
      <c r="Q402" s="32">
        <v>1</v>
      </c>
      <c r="R402" s="88">
        <v>3</v>
      </c>
      <c r="S402" s="31" t="s">
        <v>175</v>
      </c>
      <c r="T402">
        <v>2</v>
      </c>
      <c r="U402">
        <v>6</v>
      </c>
      <c r="V402">
        <v>1</v>
      </c>
      <c r="W402">
        <v>8</v>
      </c>
      <c r="X402" s="88" t="s">
        <v>188</v>
      </c>
      <c r="Y402" s="88"/>
      <c r="Z402" s="53">
        <v>9999</v>
      </c>
      <c r="AA402" s="53">
        <v>214005</v>
      </c>
      <c r="AB402" s="53">
        <v>10</v>
      </c>
      <c r="AC402" s="53">
        <v>10</v>
      </c>
      <c r="AD402" s="53">
        <v>10</v>
      </c>
      <c r="AE402" s="94">
        <v>86</v>
      </c>
      <c r="AF402" s="94">
        <v>7</v>
      </c>
      <c r="AG402" s="94">
        <v>151</v>
      </c>
      <c r="AH402" s="129">
        <v>1.4</v>
      </c>
      <c r="AI402" s="94">
        <v>0</v>
      </c>
      <c r="AJ402" s="94">
        <v>0</v>
      </c>
      <c r="AK402" s="94">
        <v>1</v>
      </c>
      <c r="AL402" s="94">
        <v>0</v>
      </c>
      <c r="AM402" s="98" t="s">
        <v>676</v>
      </c>
      <c r="AN402" s="2" t="s">
        <v>191</v>
      </c>
      <c r="AO402" s="2" t="s">
        <v>192</v>
      </c>
      <c r="AW402" s="88"/>
      <c r="AX402" s="88"/>
    </row>
    <row r="403" spans="2:50">
      <c r="B403" s="9">
        <v>1111006</v>
      </c>
      <c r="C403" s="9">
        <v>1111006</v>
      </c>
      <c r="D403" s="24" t="s">
        <v>196</v>
      </c>
      <c r="E403" s="9" t="s">
        <v>196</v>
      </c>
      <c r="F403" s="9"/>
      <c r="G403" s="9">
        <v>0</v>
      </c>
      <c r="H403" s="2"/>
      <c r="I403" s="2"/>
      <c r="J403" s="2"/>
      <c r="K403" s="2"/>
      <c r="L403" s="2"/>
      <c r="M403" s="88"/>
      <c r="N403" s="88">
        <v>0</v>
      </c>
      <c r="O403" s="88">
        <v>0</v>
      </c>
      <c r="P403" s="32">
        <v>1</v>
      </c>
      <c r="Q403" s="32">
        <v>1</v>
      </c>
      <c r="R403" s="88">
        <v>3</v>
      </c>
      <c r="S403" s="31" t="s">
        <v>200</v>
      </c>
      <c r="T403">
        <v>2</v>
      </c>
      <c r="U403">
        <v>6</v>
      </c>
      <c r="V403">
        <v>1</v>
      </c>
      <c r="W403">
        <v>21</v>
      </c>
      <c r="X403" s="88" t="s">
        <v>201</v>
      </c>
      <c r="Y403" s="88"/>
      <c r="Z403" s="53">
        <v>9999</v>
      </c>
      <c r="AA403" s="53">
        <v>214005</v>
      </c>
      <c r="AB403" s="53">
        <v>10</v>
      </c>
      <c r="AC403" s="53">
        <v>10</v>
      </c>
      <c r="AD403" s="53">
        <v>10</v>
      </c>
      <c r="AE403" s="94">
        <v>86</v>
      </c>
      <c r="AF403" s="94">
        <v>6</v>
      </c>
      <c r="AG403" s="94">
        <v>162</v>
      </c>
      <c r="AH403" s="129">
        <v>1.3</v>
      </c>
      <c r="AI403" s="94">
        <v>0</v>
      </c>
      <c r="AJ403" s="94">
        <v>0</v>
      </c>
      <c r="AK403" s="94">
        <v>1</v>
      </c>
      <c r="AL403" s="94">
        <v>0</v>
      </c>
      <c r="AM403" s="98" t="s">
        <v>676</v>
      </c>
      <c r="AN403" s="2" t="s">
        <v>203</v>
      </c>
      <c r="AO403" s="2" t="s">
        <v>204</v>
      </c>
      <c r="AW403" s="88"/>
      <c r="AX403" s="88"/>
    </row>
    <row r="404" spans="2:50">
      <c r="B404" s="9">
        <v>1111007</v>
      </c>
      <c r="C404" s="9">
        <v>1111007</v>
      </c>
      <c r="D404" s="24" t="s">
        <v>209</v>
      </c>
      <c r="E404" s="9" t="s">
        <v>209</v>
      </c>
      <c r="F404" s="9"/>
      <c r="G404" s="9">
        <v>0</v>
      </c>
      <c r="H404" s="2"/>
      <c r="I404" s="2"/>
      <c r="J404" s="2"/>
      <c r="K404" s="2"/>
      <c r="L404" s="2"/>
      <c r="M404" s="88"/>
      <c r="N404" s="88">
        <v>0</v>
      </c>
      <c r="O404" s="88">
        <v>0</v>
      </c>
      <c r="P404" s="32">
        <v>1</v>
      </c>
      <c r="Q404" s="32">
        <v>1</v>
      </c>
      <c r="R404" s="88">
        <v>3</v>
      </c>
      <c r="S404" s="31" t="s">
        <v>200</v>
      </c>
      <c r="T404">
        <v>2</v>
      </c>
      <c r="U404">
        <v>6</v>
      </c>
      <c r="V404">
        <v>1</v>
      </c>
      <c r="W404">
        <v>22</v>
      </c>
      <c r="X404" s="88" t="s">
        <v>213</v>
      </c>
      <c r="Y404" s="88"/>
      <c r="Z404" s="53">
        <v>9999</v>
      </c>
      <c r="AA404" s="53">
        <v>214005</v>
      </c>
      <c r="AB404" s="53">
        <v>10</v>
      </c>
      <c r="AC404" s="53">
        <v>10</v>
      </c>
      <c r="AD404" s="53">
        <v>10</v>
      </c>
      <c r="AE404" s="94">
        <v>86</v>
      </c>
      <c r="AF404" s="94">
        <v>8</v>
      </c>
      <c r="AG404" s="94">
        <v>137</v>
      </c>
      <c r="AH404" s="129">
        <v>4.2</v>
      </c>
      <c r="AI404" s="94">
        <v>0</v>
      </c>
      <c r="AJ404" s="94">
        <v>0</v>
      </c>
      <c r="AK404" s="94">
        <v>1</v>
      </c>
      <c r="AL404" s="94">
        <v>0</v>
      </c>
      <c r="AM404" s="98" t="s">
        <v>676</v>
      </c>
      <c r="AN404" s="2" t="s">
        <v>215</v>
      </c>
      <c r="AO404" s="2" t="s">
        <v>216</v>
      </c>
      <c r="AW404" s="88"/>
      <c r="AX404" s="88"/>
    </row>
    <row r="405" spans="2:50">
      <c r="B405" s="9">
        <v>1111008</v>
      </c>
      <c r="C405" s="9">
        <v>1111008</v>
      </c>
      <c r="D405" s="24" t="s">
        <v>219</v>
      </c>
      <c r="E405" s="9" t="s">
        <v>219</v>
      </c>
      <c r="F405" s="9"/>
      <c r="G405" s="9">
        <v>0</v>
      </c>
      <c r="H405" s="2"/>
      <c r="I405" s="2"/>
      <c r="J405" s="2"/>
      <c r="K405" s="2"/>
      <c r="L405" s="2"/>
      <c r="M405" s="88"/>
      <c r="N405" s="88">
        <v>0</v>
      </c>
      <c r="O405" s="88">
        <v>0</v>
      </c>
      <c r="P405" s="32">
        <v>1</v>
      </c>
      <c r="Q405" s="32">
        <v>1</v>
      </c>
      <c r="R405" s="88">
        <v>3</v>
      </c>
      <c r="S405" s="31" t="s">
        <v>200</v>
      </c>
      <c r="T405">
        <v>2</v>
      </c>
      <c r="U405">
        <v>6</v>
      </c>
      <c r="V405">
        <v>1</v>
      </c>
      <c r="W405">
        <v>32</v>
      </c>
      <c r="X405" s="88" t="s">
        <v>225</v>
      </c>
      <c r="Y405" s="88"/>
      <c r="Z405" s="53">
        <v>9999</v>
      </c>
      <c r="AA405" s="53">
        <v>214005</v>
      </c>
      <c r="AB405" s="53">
        <v>10</v>
      </c>
      <c r="AC405" s="53">
        <v>10</v>
      </c>
      <c r="AD405" s="53">
        <v>10</v>
      </c>
      <c r="AE405" s="94">
        <v>86</v>
      </c>
      <c r="AF405" s="94">
        <v>6</v>
      </c>
      <c r="AG405" s="94">
        <v>162</v>
      </c>
      <c r="AH405" s="129">
        <v>2.1</v>
      </c>
      <c r="AI405" s="94">
        <v>0</v>
      </c>
      <c r="AJ405" s="94">
        <v>0</v>
      </c>
      <c r="AK405" s="94">
        <v>1</v>
      </c>
      <c r="AL405" s="94">
        <v>0</v>
      </c>
      <c r="AM405" s="98" t="s">
        <v>676</v>
      </c>
      <c r="AS405" s="9"/>
      <c r="AW405" s="88"/>
      <c r="AX405" s="88"/>
    </row>
    <row r="406" spans="2:50">
      <c r="B406" s="9">
        <v>1111009</v>
      </c>
      <c r="C406" s="9">
        <v>1111009</v>
      </c>
      <c r="D406" s="24" t="s">
        <v>229</v>
      </c>
      <c r="E406" s="9" t="s">
        <v>229</v>
      </c>
      <c r="F406" s="9"/>
      <c r="G406" s="9">
        <v>0</v>
      </c>
      <c r="H406" s="2"/>
      <c r="I406" s="2"/>
      <c r="J406" s="2"/>
      <c r="K406" s="2"/>
      <c r="L406" s="2"/>
      <c r="M406" s="88"/>
      <c r="N406" s="88">
        <v>0</v>
      </c>
      <c r="O406" s="88">
        <v>0</v>
      </c>
      <c r="P406" s="32">
        <v>1</v>
      </c>
      <c r="Q406" s="32">
        <v>1</v>
      </c>
      <c r="R406" s="88">
        <v>3</v>
      </c>
      <c r="S406" s="31" t="s">
        <v>233</v>
      </c>
      <c r="T406">
        <v>2</v>
      </c>
      <c r="U406">
        <v>6</v>
      </c>
      <c r="V406">
        <v>1</v>
      </c>
      <c r="W406">
        <v>20</v>
      </c>
      <c r="X406" s="88" t="s">
        <v>234</v>
      </c>
      <c r="Y406" s="88"/>
      <c r="Z406" s="53">
        <v>9999</v>
      </c>
      <c r="AA406" s="53">
        <v>214005</v>
      </c>
      <c r="AB406" s="53">
        <v>10</v>
      </c>
      <c r="AC406" s="53">
        <v>10</v>
      </c>
      <c r="AD406" s="53">
        <v>10</v>
      </c>
      <c r="AE406" s="94">
        <v>86</v>
      </c>
      <c r="AF406" s="94">
        <v>8</v>
      </c>
      <c r="AG406" s="94">
        <v>137</v>
      </c>
      <c r="AH406" s="129">
        <v>3</v>
      </c>
      <c r="AI406" s="94">
        <v>0</v>
      </c>
      <c r="AJ406" s="94">
        <v>0</v>
      </c>
      <c r="AK406" s="94">
        <v>1</v>
      </c>
      <c r="AL406" s="94">
        <v>0</v>
      </c>
      <c r="AM406" s="98" t="s">
        <v>676</v>
      </c>
      <c r="AW406" s="88"/>
      <c r="AX406" s="88"/>
    </row>
    <row r="407" spans="2:50">
      <c r="B407" s="9">
        <v>1111010</v>
      </c>
      <c r="C407" s="9">
        <v>1111010</v>
      </c>
      <c r="D407" s="24" t="s">
        <v>240</v>
      </c>
      <c r="E407" s="9" t="s">
        <v>1837</v>
      </c>
      <c r="F407" s="9"/>
      <c r="G407" s="9">
        <v>0</v>
      </c>
      <c r="H407" s="2"/>
      <c r="I407" s="2"/>
      <c r="J407" s="2"/>
      <c r="K407" s="2"/>
      <c r="L407" s="2"/>
      <c r="M407" s="88"/>
      <c r="N407" s="88">
        <v>0</v>
      </c>
      <c r="O407" s="88">
        <v>0</v>
      </c>
      <c r="P407" s="32">
        <v>1</v>
      </c>
      <c r="Q407" s="32">
        <v>1</v>
      </c>
      <c r="R407" s="88">
        <v>3</v>
      </c>
      <c r="S407" s="31" t="s">
        <v>233</v>
      </c>
      <c r="T407">
        <v>2</v>
      </c>
      <c r="U407">
        <v>6</v>
      </c>
      <c r="V407">
        <v>1</v>
      </c>
      <c r="W407">
        <v>29</v>
      </c>
      <c r="X407" s="88" t="s">
        <v>244</v>
      </c>
      <c r="Y407" s="88"/>
      <c r="Z407" s="53">
        <v>9999</v>
      </c>
      <c r="AA407" s="53">
        <v>214005</v>
      </c>
      <c r="AB407" s="53">
        <v>10</v>
      </c>
      <c r="AC407" s="53">
        <v>10</v>
      </c>
      <c r="AD407" s="53">
        <v>10</v>
      </c>
      <c r="AE407" s="94">
        <v>86</v>
      </c>
      <c r="AF407" s="94">
        <v>6</v>
      </c>
      <c r="AG407" s="94">
        <v>162</v>
      </c>
      <c r="AH407" s="129">
        <v>1.8</v>
      </c>
      <c r="AI407" s="94">
        <v>0</v>
      </c>
      <c r="AJ407" s="94">
        <v>0</v>
      </c>
      <c r="AK407" s="94">
        <v>1</v>
      </c>
      <c r="AL407" s="94">
        <v>0</v>
      </c>
      <c r="AM407" s="98" t="s">
        <v>676</v>
      </c>
      <c r="AW407" s="88"/>
      <c r="AX407" s="88"/>
    </row>
    <row r="408" s="9" customFormat="1" spans="2:51">
      <c r="B408" s="9">
        <v>1111011</v>
      </c>
      <c r="C408" s="9">
        <v>1111011</v>
      </c>
      <c r="D408" s="24" t="s">
        <v>248</v>
      </c>
      <c r="E408" s="9" t="s">
        <v>248</v>
      </c>
      <c r="G408" s="9">
        <v>1</v>
      </c>
      <c r="H408" s="2"/>
      <c r="I408" s="2"/>
      <c r="J408" s="2"/>
      <c r="K408" s="2"/>
      <c r="L408" s="2"/>
      <c r="N408" s="88">
        <v>0</v>
      </c>
      <c r="O408" s="9">
        <v>0</v>
      </c>
      <c r="P408" s="32">
        <v>1</v>
      </c>
      <c r="Q408" s="32">
        <v>1</v>
      </c>
      <c r="R408" s="9">
        <v>8</v>
      </c>
      <c r="S408" s="31" t="s">
        <v>1402</v>
      </c>
      <c r="T408" s="9">
        <v>2</v>
      </c>
      <c r="U408" s="9">
        <v>6</v>
      </c>
      <c r="V408" s="9">
        <v>1</v>
      </c>
      <c r="W408" s="9">
        <v>45</v>
      </c>
      <c r="X408" s="9" t="s">
        <v>254</v>
      </c>
      <c r="Z408" s="53">
        <v>9999</v>
      </c>
      <c r="AA408" s="9">
        <v>214005</v>
      </c>
      <c r="AB408" s="9">
        <v>10</v>
      </c>
      <c r="AC408" s="9">
        <v>10</v>
      </c>
      <c r="AD408" s="9">
        <v>10</v>
      </c>
      <c r="AE408" s="117">
        <v>16</v>
      </c>
      <c r="AF408" s="117">
        <v>6</v>
      </c>
      <c r="AG408" s="117">
        <v>117</v>
      </c>
      <c r="AH408" s="117">
        <v>10</v>
      </c>
      <c r="AI408" s="117">
        <v>0</v>
      </c>
      <c r="AJ408" s="117">
        <v>0</v>
      </c>
      <c r="AK408" s="117">
        <v>1</v>
      </c>
      <c r="AL408" s="117">
        <v>0</v>
      </c>
      <c r="AM408" s="9" t="s">
        <v>676</v>
      </c>
      <c r="AN408" s="2"/>
      <c r="AO408" s="2" t="s">
        <v>256</v>
      </c>
      <c r="AP408" s="2" t="s">
        <v>256</v>
      </c>
      <c r="AQ408" s="2"/>
      <c r="AR408" s="2"/>
      <c r="AS408" s="116"/>
      <c r="AT408" s="116"/>
      <c r="AU408" s="116"/>
      <c r="AV408" s="118"/>
      <c r="AY408" s="117"/>
    </row>
    <row r="409" s="9" customFormat="1" spans="2:51">
      <c r="B409" s="9">
        <v>1111012</v>
      </c>
      <c r="C409" s="9">
        <v>1111012</v>
      </c>
      <c r="D409" s="24" t="s">
        <v>259</v>
      </c>
      <c r="E409" s="9" t="s">
        <v>259</v>
      </c>
      <c r="G409" s="9">
        <v>0</v>
      </c>
      <c r="H409" s="2"/>
      <c r="I409" s="2"/>
      <c r="J409" s="2"/>
      <c r="K409" s="2"/>
      <c r="L409" s="2"/>
      <c r="N409" s="9">
        <v>0</v>
      </c>
      <c r="O409" s="9">
        <v>0</v>
      </c>
      <c r="P409" s="32">
        <v>1</v>
      </c>
      <c r="Q409" s="32">
        <v>1</v>
      </c>
      <c r="R409" s="9">
        <v>8</v>
      </c>
      <c r="S409" s="31" t="s">
        <v>1402</v>
      </c>
      <c r="T409" s="9">
        <v>2</v>
      </c>
      <c r="U409" s="9">
        <v>6</v>
      </c>
      <c r="V409" s="9">
        <v>1</v>
      </c>
      <c r="W409" s="9">
        <v>31</v>
      </c>
      <c r="X409" s="9" t="s">
        <v>265</v>
      </c>
      <c r="Z409" s="53">
        <v>9999</v>
      </c>
      <c r="AA409" s="9">
        <v>214005</v>
      </c>
      <c r="AB409" s="9">
        <v>10</v>
      </c>
      <c r="AC409" s="9">
        <v>10</v>
      </c>
      <c r="AD409" s="9">
        <v>10</v>
      </c>
      <c r="AE409" s="13">
        <v>16</v>
      </c>
      <c r="AF409" s="15">
        <v>6</v>
      </c>
      <c r="AG409" s="15">
        <v>117</v>
      </c>
      <c r="AH409" s="15">
        <v>10</v>
      </c>
      <c r="AI409" s="15">
        <v>0</v>
      </c>
      <c r="AJ409" s="15">
        <v>0</v>
      </c>
      <c r="AK409" s="15">
        <v>1</v>
      </c>
      <c r="AL409" s="15">
        <v>0</v>
      </c>
      <c r="AM409" s="98" t="s">
        <v>676</v>
      </c>
      <c r="AS409" s="17"/>
      <c r="AT409" s="17"/>
      <c r="AU409" s="17"/>
      <c r="AV409" s="18"/>
      <c r="AY409" s="13"/>
    </row>
    <row r="410" s="9" customFormat="1" spans="2:51">
      <c r="B410" s="9">
        <v>1111013</v>
      </c>
      <c r="C410" s="9">
        <v>1111013</v>
      </c>
      <c r="D410" s="24" t="s">
        <v>271</v>
      </c>
      <c r="E410" s="9" t="s">
        <v>1838</v>
      </c>
      <c r="G410" s="9">
        <v>0</v>
      </c>
      <c r="H410" s="2"/>
      <c r="I410" s="2"/>
      <c r="J410" s="2"/>
      <c r="K410" s="2"/>
      <c r="L410" s="2"/>
      <c r="N410" s="88">
        <v>0</v>
      </c>
      <c r="O410" s="9">
        <v>0</v>
      </c>
      <c r="P410" s="32">
        <v>1</v>
      </c>
      <c r="Q410" s="32">
        <v>1</v>
      </c>
      <c r="R410" s="9">
        <v>3</v>
      </c>
      <c r="S410" s="31" t="s">
        <v>276</v>
      </c>
      <c r="T410" s="9">
        <v>2</v>
      </c>
      <c r="U410" s="9">
        <v>6</v>
      </c>
      <c r="V410" s="9">
        <v>1</v>
      </c>
      <c r="W410" s="9">
        <v>44</v>
      </c>
      <c r="X410" s="9" t="s">
        <v>277</v>
      </c>
      <c r="Z410" s="53">
        <v>9999</v>
      </c>
      <c r="AA410" s="9">
        <v>214005</v>
      </c>
      <c r="AB410" s="9">
        <v>10</v>
      </c>
      <c r="AC410" s="9">
        <v>10</v>
      </c>
      <c r="AD410" s="9">
        <v>10</v>
      </c>
      <c r="AE410" s="117">
        <v>16</v>
      </c>
      <c r="AF410" s="117">
        <v>6</v>
      </c>
      <c r="AG410" s="117">
        <v>117</v>
      </c>
      <c r="AH410" s="117">
        <v>10</v>
      </c>
      <c r="AI410" s="117">
        <v>0</v>
      </c>
      <c r="AJ410" s="117">
        <v>0</v>
      </c>
      <c r="AK410" s="117">
        <v>1</v>
      </c>
      <c r="AL410" s="117">
        <v>0</v>
      </c>
      <c r="AM410" s="9" t="s">
        <v>676</v>
      </c>
      <c r="AS410" s="116"/>
      <c r="AT410" s="116"/>
      <c r="AU410" s="116"/>
      <c r="AV410" s="118"/>
      <c r="AY410" s="117"/>
    </row>
    <row r="411" ht="15.75" customHeight="1" spans="2:39">
      <c r="B411">
        <v>1111014</v>
      </c>
      <c r="C411">
        <v>1111014</v>
      </c>
      <c r="D411" s="24" t="s">
        <v>281</v>
      </c>
      <c r="E411" t="s">
        <v>281</v>
      </c>
      <c r="G411">
        <v>0</v>
      </c>
      <c r="H411" s="2"/>
      <c r="I411" s="2"/>
      <c r="J411" s="2"/>
      <c r="K411" s="2"/>
      <c r="L411" s="2"/>
      <c r="N411">
        <v>0</v>
      </c>
      <c r="O411">
        <v>0</v>
      </c>
      <c r="P411" s="32">
        <v>1</v>
      </c>
      <c r="Q411" s="32">
        <v>1</v>
      </c>
      <c r="R411">
        <v>8</v>
      </c>
      <c r="S411" s="31" t="s">
        <v>1402</v>
      </c>
      <c r="T411">
        <v>2</v>
      </c>
      <c r="U411">
        <v>6</v>
      </c>
      <c r="V411">
        <v>1</v>
      </c>
      <c r="W411">
        <v>30</v>
      </c>
      <c r="X411" t="s">
        <v>285</v>
      </c>
      <c r="Z411" s="53">
        <v>9999</v>
      </c>
      <c r="AA411">
        <v>214005</v>
      </c>
      <c r="AB411">
        <v>10</v>
      </c>
      <c r="AC411">
        <v>10</v>
      </c>
      <c r="AD411">
        <v>10</v>
      </c>
      <c r="AE411" s="13">
        <v>16</v>
      </c>
      <c r="AF411" s="15">
        <v>6</v>
      </c>
      <c r="AG411" s="15">
        <v>117</v>
      </c>
      <c r="AH411" s="130">
        <v>10</v>
      </c>
      <c r="AI411" s="15">
        <v>0</v>
      </c>
      <c r="AJ411" s="15">
        <v>0</v>
      </c>
      <c r="AK411" s="15">
        <v>1</v>
      </c>
      <c r="AL411" s="15">
        <v>0</v>
      </c>
      <c r="AM411" s="98" t="s">
        <v>676</v>
      </c>
    </row>
    <row r="412" ht="15.75" customHeight="1" spans="2:51">
      <c r="B412" s="9">
        <v>1111015</v>
      </c>
      <c r="C412" s="9">
        <v>1111015</v>
      </c>
      <c r="D412" s="24" t="s">
        <v>289</v>
      </c>
      <c r="E412" s="9" t="s">
        <v>290</v>
      </c>
      <c r="F412" s="9"/>
      <c r="G412" s="9">
        <v>1</v>
      </c>
      <c r="H412" s="2"/>
      <c r="I412" s="2"/>
      <c r="J412" s="2"/>
      <c r="K412" s="2"/>
      <c r="L412" s="2"/>
      <c r="M412" s="9"/>
      <c r="N412" s="88">
        <v>0</v>
      </c>
      <c r="O412" s="9">
        <v>0</v>
      </c>
      <c r="P412" s="32">
        <v>1</v>
      </c>
      <c r="Q412" s="32">
        <v>1</v>
      </c>
      <c r="R412" s="9">
        <v>8</v>
      </c>
      <c r="S412" s="31" t="s">
        <v>1402</v>
      </c>
      <c r="T412" s="9">
        <v>2</v>
      </c>
      <c r="U412" s="9">
        <v>6</v>
      </c>
      <c r="V412" s="9">
        <v>1</v>
      </c>
      <c r="W412" s="9">
        <v>33</v>
      </c>
      <c r="X412" s="9" t="s">
        <v>294</v>
      </c>
      <c r="Y412" s="9"/>
      <c r="Z412" s="53">
        <v>9999</v>
      </c>
      <c r="AA412" s="9">
        <v>214005</v>
      </c>
      <c r="AB412" s="9">
        <v>10</v>
      </c>
      <c r="AC412" s="9">
        <v>10</v>
      </c>
      <c r="AD412" s="9">
        <v>10</v>
      </c>
      <c r="AE412" s="117">
        <v>16</v>
      </c>
      <c r="AF412" s="117">
        <v>6</v>
      </c>
      <c r="AG412" s="117">
        <v>117</v>
      </c>
      <c r="AH412" s="131">
        <v>10</v>
      </c>
      <c r="AI412" s="117">
        <v>0</v>
      </c>
      <c r="AJ412" s="117">
        <v>0</v>
      </c>
      <c r="AK412" s="117">
        <v>1</v>
      </c>
      <c r="AL412" s="117">
        <v>0</v>
      </c>
      <c r="AM412" s="9" t="s">
        <v>676</v>
      </c>
      <c r="AN412" s="9"/>
      <c r="AO412" s="9"/>
      <c r="AP412" s="9"/>
      <c r="AQ412" s="9"/>
      <c r="AR412" s="9"/>
      <c r="AS412" s="116"/>
      <c r="AT412" s="116"/>
      <c r="AU412" s="116"/>
      <c r="AV412" s="118"/>
      <c r="AW412" s="9"/>
      <c r="AX412" s="9"/>
      <c r="AY412" s="117"/>
    </row>
    <row r="413" ht="15.75" customHeight="1" spans="2:51">
      <c r="B413" s="9">
        <v>1111016</v>
      </c>
      <c r="C413" s="9">
        <v>1111016</v>
      </c>
      <c r="D413" s="24" t="s">
        <v>298</v>
      </c>
      <c r="E413" s="9" t="s">
        <v>298</v>
      </c>
      <c r="F413" s="9"/>
      <c r="G413" s="9">
        <v>0</v>
      </c>
      <c r="H413" s="2"/>
      <c r="I413" s="2"/>
      <c r="J413" s="2"/>
      <c r="K413" s="2"/>
      <c r="L413" s="2"/>
      <c r="M413" s="9"/>
      <c r="N413" s="88">
        <v>0</v>
      </c>
      <c r="O413" s="9">
        <v>0</v>
      </c>
      <c r="P413" s="32">
        <v>4</v>
      </c>
      <c r="Q413" s="32">
        <v>4</v>
      </c>
      <c r="R413" s="9">
        <v>4</v>
      </c>
      <c r="S413" s="31" t="s">
        <v>300</v>
      </c>
      <c r="T413" s="9">
        <v>2</v>
      </c>
      <c r="U413" s="9">
        <v>6</v>
      </c>
      <c r="V413" s="9">
        <v>1</v>
      </c>
      <c r="W413" s="9">
        <v>49</v>
      </c>
      <c r="X413" s="9" t="s">
        <v>301</v>
      </c>
      <c r="Y413" s="9"/>
      <c r="Z413" s="53">
        <v>9999</v>
      </c>
      <c r="AA413" s="9">
        <v>214005</v>
      </c>
      <c r="AB413" s="9">
        <v>10</v>
      </c>
      <c r="AC413" s="9">
        <v>10</v>
      </c>
      <c r="AD413" s="9">
        <v>10</v>
      </c>
      <c r="AE413" s="117">
        <v>16</v>
      </c>
      <c r="AF413" s="117">
        <v>6</v>
      </c>
      <c r="AG413" s="117">
        <v>117</v>
      </c>
      <c r="AH413" s="131">
        <v>10</v>
      </c>
      <c r="AI413" s="117">
        <v>0</v>
      </c>
      <c r="AJ413" s="117">
        <v>0</v>
      </c>
      <c r="AK413" s="117">
        <v>1</v>
      </c>
      <c r="AL413" s="117">
        <v>0</v>
      </c>
      <c r="AM413" s="9" t="s">
        <v>676</v>
      </c>
      <c r="AN413" s="9"/>
      <c r="AO413" s="9"/>
      <c r="AP413" s="9"/>
      <c r="AQ413" s="9"/>
      <c r="AR413" s="9"/>
      <c r="AS413" s="116"/>
      <c r="AT413" s="116"/>
      <c r="AU413" s="116"/>
      <c r="AV413" s="118"/>
      <c r="AW413" s="9"/>
      <c r="AX413" s="9"/>
      <c r="AY413" s="117"/>
    </row>
    <row r="414" ht="15.75" customHeight="1" spans="2:51">
      <c r="B414" s="9">
        <v>1111018</v>
      </c>
      <c r="C414" s="9">
        <v>1111018</v>
      </c>
      <c r="D414" s="24" t="s">
        <v>305</v>
      </c>
      <c r="E414" s="9" t="s">
        <v>305</v>
      </c>
      <c r="F414" s="9"/>
      <c r="G414" s="9">
        <v>0</v>
      </c>
      <c r="H414" s="2" t="s">
        <v>299</v>
      </c>
      <c r="I414" s="2" t="s">
        <v>306</v>
      </c>
      <c r="J414" s="2"/>
      <c r="K414" s="2"/>
      <c r="L414" s="2"/>
      <c r="M414" s="9" t="s">
        <v>1839</v>
      </c>
      <c r="N414" s="88">
        <v>0</v>
      </c>
      <c r="O414" s="9">
        <v>0</v>
      </c>
      <c r="P414" s="32">
        <v>5</v>
      </c>
      <c r="Q414" s="32">
        <v>4</v>
      </c>
      <c r="R414" s="9">
        <v>4</v>
      </c>
      <c r="S414" s="31"/>
      <c r="T414" s="9">
        <v>2</v>
      </c>
      <c r="U414" s="9">
        <v>6</v>
      </c>
      <c r="V414" s="9">
        <v>1</v>
      </c>
      <c r="W414" s="9">
        <v>2015</v>
      </c>
      <c r="X414" s="9" t="s">
        <v>309</v>
      </c>
      <c r="Y414" s="9"/>
      <c r="Z414" s="53">
        <v>9999</v>
      </c>
      <c r="AA414" s="9">
        <v>214005</v>
      </c>
      <c r="AB414" s="9">
        <v>10</v>
      </c>
      <c r="AC414" s="9">
        <v>10</v>
      </c>
      <c r="AD414" s="9">
        <v>10</v>
      </c>
      <c r="AE414" s="117">
        <v>40</v>
      </c>
      <c r="AF414" s="117">
        <v>12</v>
      </c>
      <c r="AG414" s="117">
        <v>302</v>
      </c>
      <c r="AH414" s="131">
        <v>10</v>
      </c>
      <c r="AI414" s="117" t="s">
        <v>154</v>
      </c>
      <c r="AJ414" s="117">
        <v>0.012</v>
      </c>
      <c r="AK414" s="117">
        <v>1.006</v>
      </c>
      <c r="AL414" s="117">
        <v>0.006</v>
      </c>
      <c r="AM414" s="9" t="s">
        <v>155</v>
      </c>
      <c r="AN414" s="2" t="s">
        <v>311</v>
      </c>
      <c r="AO414" s="2" t="s">
        <v>312</v>
      </c>
      <c r="AP414" s="9"/>
      <c r="AQ414" s="9"/>
      <c r="AR414" s="9"/>
      <c r="AS414" s="116" t="s">
        <v>1840</v>
      </c>
      <c r="AT414" s="116" t="s">
        <v>169</v>
      </c>
      <c r="AU414" s="116" t="s">
        <v>297</v>
      </c>
      <c r="AV414" s="118"/>
      <c r="AW414" s="9"/>
      <c r="AX414" s="9"/>
      <c r="AY414" s="117"/>
    </row>
    <row r="415" spans="2:50">
      <c r="B415" s="9">
        <v>1112001</v>
      </c>
      <c r="C415" s="9">
        <v>1112001</v>
      </c>
      <c r="D415" s="24" t="s">
        <v>314</v>
      </c>
      <c r="E415" s="9" t="s">
        <v>314</v>
      </c>
      <c r="F415" s="9"/>
      <c r="G415" s="9">
        <v>0</v>
      </c>
      <c r="H415" s="2"/>
      <c r="I415" s="2"/>
      <c r="J415" s="2"/>
      <c r="K415" s="2"/>
      <c r="L415" s="2"/>
      <c r="M415" s="88"/>
      <c r="N415" s="88">
        <v>0</v>
      </c>
      <c r="O415" s="88">
        <v>0</v>
      </c>
      <c r="P415" s="32">
        <v>1</v>
      </c>
      <c r="Q415" s="32">
        <v>1</v>
      </c>
      <c r="R415" s="88">
        <v>1</v>
      </c>
      <c r="S415" s="31" t="s">
        <v>319</v>
      </c>
      <c r="T415">
        <v>3</v>
      </c>
      <c r="U415">
        <v>7</v>
      </c>
      <c r="V415">
        <v>2</v>
      </c>
      <c r="W415">
        <v>1</v>
      </c>
      <c r="X415" s="88" t="s">
        <v>320</v>
      </c>
      <c r="Y415" s="88"/>
      <c r="Z415" s="53">
        <v>9999</v>
      </c>
      <c r="AA415" s="53">
        <v>214005</v>
      </c>
      <c r="AB415" s="53">
        <v>30</v>
      </c>
      <c r="AC415" s="53">
        <v>30</v>
      </c>
      <c r="AD415" s="53">
        <v>30</v>
      </c>
      <c r="AE415" s="94">
        <v>119</v>
      </c>
      <c r="AF415" s="94">
        <v>12</v>
      </c>
      <c r="AG415" s="94">
        <v>207</v>
      </c>
      <c r="AH415" s="129">
        <v>6.7</v>
      </c>
      <c r="AI415" s="94">
        <v>0</v>
      </c>
      <c r="AJ415" s="94">
        <v>0</v>
      </c>
      <c r="AK415" s="94">
        <v>1</v>
      </c>
      <c r="AL415" s="94">
        <v>0</v>
      </c>
      <c r="AM415" s="98" t="s">
        <v>676</v>
      </c>
      <c r="AN415" s="3" t="s">
        <v>1841</v>
      </c>
      <c r="AO415" s="3" t="s">
        <v>1842</v>
      </c>
      <c r="AP415" s="3"/>
      <c r="AQ415" s="3"/>
      <c r="AR415" s="3"/>
      <c r="AW415" s="88"/>
      <c r="AX415" s="88"/>
    </row>
    <row r="416" spans="2:50">
      <c r="B416" s="9">
        <v>1112002</v>
      </c>
      <c r="C416" s="9">
        <v>1112002</v>
      </c>
      <c r="D416" s="24" t="s">
        <v>327</v>
      </c>
      <c r="E416" s="9" t="s">
        <v>327</v>
      </c>
      <c r="F416" s="9"/>
      <c r="G416" s="9">
        <v>0</v>
      </c>
      <c r="H416" s="2"/>
      <c r="I416" s="2"/>
      <c r="J416" s="2"/>
      <c r="K416" s="2"/>
      <c r="L416" s="2"/>
      <c r="M416" s="88"/>
      <c r="N416" s="88">
        <v>0</v>
      </c>
      <c r="O416" s="88">
        <v>0</v>
      </c>
      <c r="P416" s="32">
        <v>1</v>
      </c>
      <c r="Q416" s="32">
        <v>1</v>
      </c>
      <c r="R416" s="88">
        <v>1</v>
      </c>
      <c r="S416" s="31" t="s">
        <v>319</v>
      </c>
      <c r="T416">
        <v>3</v>
      </c>
      <c r="U416">
        <v>7</v>
      </c>
      <c r="V416">
        <v>2</v>
      </c>
      <c r="W416">
        <v>2</v>
      </c>
      <c r="X416" s="88" t="s">
        <v>331</v>
      </c>
      <c r="Y416" s="88"/>
      <c r="Z416" s="53">
        <v>9999</v>
      </c>
      <c r="AA416" s="53">
        <v>214005</v>
      </c>
      <c r="AB416" s="53">
        <v>30</v>
      </c>
      <c r="AC416" s="53">
        <v>30</v>
      </c>
      <c r="AD416" s="53">
        <v>30</v>
      </c>
      <c r="AE416" s="94">
        <v>132</v>
      </c>
      <c r="AF416" s="94">
        <v>10</v>
      </c>
      <c r="AG416" s="94">
        <v>207</v>
      </c>
      <c r="AH416" s="129">
        <v>5.3</v>
      </c>
      <c r="AI416" s="94">
        <v>0</v>
      </c>
      <c r="AJ416" s="94">
        <v>0</v>
      </c>
      <c r="AK416" s="94">
        <v>1</v>
      </c>
      <c r="AL416" s="94">
        <v>0</v>
      </c>
      <c r="AM416" s="98" t="s">
        <v>676</v>
      </c>
      <c r="AN416" s="3" t="s">
        <v>334</v>
      </c>
      <c r="AO416" s="3" t="s">
        <v>335</v>
      </c>
      <c r="AP416" s="3"/>
      <c r="AQ416" s="3"/>
      <c r="AR416" s="3"/>
      <c r="AW416" s="88"/>
      <c r="AX416" s="88"/>
    </row>
    <row r="417" spans="2:50">
      <c r="B417" s="9">
        <v>1112003</v>
      </c>
      <c r="C417" s="9">
        <v>1112003</v>
      </c>
      <c r="D417" s="24" t="s">
        <v>338</v>
      </c>
      <c r="E417" s="9" t="s">
        <v>338</v>
      </c>
      <c r="F417" s="9"/>
      <c r="G417" s="9">
        <v>1</v>
      </c>
      <c r="H417" s="2"/>
      <c r="I417" s="2"/>
      <c r="J417" s="2"/>
      <c r="K417" s="2"/>
      <c r="L417" s="2"/>
      <c r="M417" s="88"/>
      <c r="N417" s="88">
        <v>0</v>
      </c>
      <c r="O417" s="88">
        <v>0</v>
      </c>
      <c r="P417" s="32">
        <v>1</v>
      </c>
      <c r="Q417" s="32">
        <v>1</v>
      </c>
      <c r="R417" s="88">
        <v>1</v>
      </c>
      <c r="S417" s="31" t="s">
        <v>319</v>
      </c>
      <c r="T417">
        <v>3</v>
      </c>
      <c r="U417">
        <v>7</v>
      </c>
      <c r="V417">
        <v>2</v>
      </c>
      <c r="W417">
        <v>5</v>
      </c>
      <c r="X417" s="88" t="s">
        <v>342</v>
      </c>
      <c r="Y417" s="88"/>
      <c r="Z417" s="53">
        <v>9999</v>
      </c>
      <c r="AA417" s="53">
        <v>214005</v>
      </c>
      <c r="AB417" s="53">
        <v>30</v>
      </c>
      <c r="AC417" s="53">
        <v>30</v>
      </c>
      <c r="AD417" s="53">
        <v>30</v>
      </c>
      <c r="AE417" s="94">
        <v>147</v>
      </c>
      <c r="AF417" s="94">
        <v>7</v>
      </c>
      <c r="AG417" s="94">
        <v>207</v>
      </c>
      <c r="AH417" s="129">
        <v>3.8</v>
      </c>
      <c r="AI417" s="94">
        <v>0</v>
      </c>
      <c r="AJ417" s="94">
        <v>0</v>
      </c>
      <c r="AK417" s="94">
        <v>1</v>
      </c>
      <c r="AL417" s="94">
        <v>0</v>
      </c>
      <c r="AM417" s="98" t="s">
        <v>676</v>
      </c>
      <c r="AN417" s="3" t="s">
        <v>345</v>
      </c>
      <c r="AO417" s="3" t="s">
        <v>346</v>
      </c>
      <c r="AP417" s="3"/>
      <c r="AQ417" s="3"/>
      <c r="AR417" s="3"/>
      <c r="AW417" s="88"/>
      <c r="AX417" s="88"/>
    </row>
    <row r="418" spans="2:50">
      <c r="B418" s="9">
        <v>1112004</v>
      </c>
      <c r="C418" s="9">
        <v>1112004</v>
      </c>
      <c r="D418" s="24" t="s">
        <v>350</v>
      </c>
      <c r="E418" s="9" t="s">
        <v>350</v>
      </c>
      <c r="F418" s="9"/>
      <c r="G418" s="9">
        <v>0</v>
      </c>
      <c r="H418" s="2"/>
      <c r="I418" s="2"/>
      <c r="J418" s="2"/>
      <c r="K418" s="2"/>
      <c r="L418" s="2"/>
      <c r="M418" s="88"/>
      <c r="N418" s="88">
        <v>0</v>
      </c>
      <c r="O418" s="88">
        <v>0</v>
      </c>
      <c r="P418" s="32">
        <v>1</v>
      </c>
      <c r="Q418" s="32">
        <v>1</v>
      </c>
      <c r="R418" s="88">
        <v>1</v>
      </c>
      <c r="S418" s="31" t="s">
        <v>319</v>
      </c>
      <c r="T418">
        <v>3</v>
      </c>
      <c r="U418">
        <v>7</v>
      </c>
      <c r="V418">
        <v>2</v>
      </c>
      <c r="W418">
        <v>4</v>
      </c>
      <c r="X418" s="88" t="s">
        <v>356</v>
      </c>
      <c r="Y418" s="88"/>
      <c r="Z418" s="53">
        <v>9999</v>
      </c>
      <c r="AA418" s="53">
        <v>214005</v>
      </c>
      <c r="AB418" s="53">
        <v>30</v>
      </c>
      <c r="AC418" s="53">
        <v>30</v>
      </c>
      <c r="AD418" s="53">
        <v>30</v>
      </c>
      <c r="AE418" s="94">
        <v>133</v>
      </c>
      <c r="AF418" s="94">
        <v>9</v>
      </c>
      <c r="AG418" s="94">
        <v>207</v>
      </c>
      <c r="AH418" s="129">
        <v>8.5</v>
      </c>
      <c r="AI418" s="94">
        <v>0</v>
      </c>
      <c r="AJ418" s="94">
        <v>0</v>
      </c>
      <c r="AK418" s="94">
        <v>1</v>
      </c>
      <c r="AL418" s="94">
        <v>0</v>
      </c>
      <c r="AM418" s="98" t="s">
        <v>676</v>
      </c>
      <c r="AN418" s="3" t="s">
        <v>359</v>
      </c>
      <c r="AO418" s="3" t="s">
        <v>360</v>
      </c>
      <c r="AP418" s="3"/>
      <c r="AQ418" s="3"/>
      <c r="AR418" s="3"/>
      <c r="AW418" s="88"/>
      <c r="AX418" s="88"/>
    </row>
    <row r="419" spans="2:50">
      <c r="B419" s="9">
        <v>1112005</v>
      </c>
      <c r="C419" s="9">
        <v>1112005</v>
      </c>
      <c r="D419" s="24" t="s">
        <v>363</v>
      </c>
      <c r="E419" s="9" t="s">
        <v>363</v>
      </c>
      <c r="F419" s="9"/>
      <c r="G419" s="9">
        <v>0</v>
      </c>
      <c r="H419" s="2"/>
      <c r="I419" s="2"/>
      <c r="J419" s="2"/>
      <c r="K419" s="2"/>
      <c r="L419" s="2"/>
      <c r="M419" s="88"/>
      <c r="N419" s="88">
        <v>0</v>
      </c>
      <c r="O419" s="88">
        <v>0</v>
      </c>
      <c r="P419" s="32">
        <v>1</v>
      </c>
      <c r="Q419" s="32">
        <v>1</v>
      </c>
      <c r="R419" s="88">
        <v>1</v>
      </c>
      <c r="S419" s="31" t="s">
        <v>319</v>
      </c>
      <c r="T419">
        <v>3</v>
      </c>
      <c r="U419">
        <v>7</v>
      </c>
      <c r="V419">
        <v>2</v>
      </c>
      <c r="W419">
        <v>3</v>
      </c>
      <c r="X419" s="88" t="s">
        <v>369</v>
      </c>
      <c r="Y419" s="88"/>
      <c r="Z419" s="53">
        <v>9999</v>
      </c>
      <c r="AA419" s="53">
        <v>214005</v>
      </c>
      <c r="AB419" s="53">
        <v>30</v>
      </c>
      <c r="AC419" s="53">
        <v>30</v>
      </c>
      <c r="AD419" s="53">
        <v>30</v>
      </c>
      <c r="AE419" s="94">
        <v>147</v>
      </c>
      <c r="AF419" s="94">
        <v>10</v>
      </c>
      <c r="AG419" s="94">
        <v>169</v>
      </c>
      <c r="AH419" s="129">
        <v>10.8</v>
      </c>
      <c r="AI419" s="94">
        <v>0</v>
      </c>
      <c r="AJ419" s="94">
        <v>0</v>
      </c>
      <c r="AK419" s="94">
        <v>1</v>
      </c>
      <c r="AL419" s="94">
        <v>0</v>
      </c>
      <c r="AM419" s="98" t="s">
        <v>676</v>
      </c>
      <c r="AN419" s="3" t="s">
        <v>372</v>
      </c>
      <c r="AO419" s="3" t="s">
        <v>373</v>
      </c>
      <c r="AP419" s="3"/>
      <c r="AQ419" s="3"/>
      <c r="AR419" s="3"/>
      <c r="AW419" s="88"/>
      <c r="AX419" s="88"/>
    </row>
    <row r="420" ht="15.75" customHeight="1" spans="2:52">
      <c r="B420">
        <v>1112006</v>
      </c>
      <c r="C420">
        <v>1112006</v>
      </c>
      <c r="D420" s="24" t="s">
        <v>376</v>
      </c>
      <c r="E420" t="s">
        <v>376</v>
      </c>
      <c r="G420">
        <v>0</v>
      </c>
      <c r="H420" s="2"/>
      <c r="I420" s="2"/>
      <c r="J420" s="2"/>
      <c r="K420" s="2"/>
      <c r="L420" s="2"/>
      <c r="N420" s="88">
        <v>0</v>
      </c>
      <c r="O420" s="88">
        <v>0</v>
      </c>
      <c r="P420" s="13">
        <v>1</v>
      </c>
      <c r="Q420" s="14">
        <v>1</v>
      </c>
      <c r="R420">
        <v>1</v>
      </c>
      <c r="S420" s="31" t="s">
        <v>319</v>
      </c>
      <c r="T420">
        <v>3</v>
      </c>
      <c r="U420">
        <v>7</v>
      </c>
      <c r="V420">
        <v>2</v>
      </c>
      <c r="W420">
        <v>7</v>
      </c>
      <c r="X420" t="s">
        <v>1843</v>
      </c>
      <c r="Z420" s="53">
        <v>9999</v>
      </c>
      <c r="AA420">
        <v>214005</v>
      </c>
      <c r="AB420">
        <v>30</v>
      </c>
      <c r="AC420">
        <v>30</v>
      </c>
      <c r="AD420">
        <v>30</v>
      </c>
      <c r="AE420" s="15">
        <v>119</v>
      </c>
      <c r="AF420" s="15">
        <v>11</v>
      </c>
      <c r="AG420" s="15">
        <v>228</v>
      </c>
      <c r="AH420" s="130">
        <v>1.5</v>
      </c>
      <c r="AI420" s="15">
        <v>0</v>
      </c>
      <c r="AJ420" s="15">
        <v>0</v>
      </c>
      <c r="AK420" s="15">
        <v>1</v>
      </c>
      <c r="AL420" s="15">
        <v>0</v>
      </c>
      <c r="AM420" s="16" t="s">
        <v>676</v>
      </c>
      <c r="AN420" s="3" t="s">
        <v>386</v>
      </c>
      <c r="AO420" s="3" t="s">
        <v>387</v>
      </c>
      <c r="AP420" s="3"/>
      <c r="AQ420" s="3"/>
      <c r="AR420" s="3"/>
      <c r="AS420" s="17" t="s">
        <v>1844</v>
      </c>
      <c r="AT420" s="17" t="s">
        <v>169</v>
      </c>
      <c r="AU420" s="17" t="s">
        <v>389</v>
      </c>
      <c r="AV420" s="18" t="s">
        <v>390</v>
      </c>
      <c r="AZ420">
        <v>53</v>
      </c>
    </row>
    <row r="421" ht="15.75" customHeight="1" spans="2:52">
      <c r="B421">
        <v>1112007</v>
      </c>
      <c r="C421">
        <v>1112007</v>
      </c>
      <c r="D421" s="24" t="s">
        <v>391</v>
      </c>
      <c r="E421" t="s">
        <v>391</v>
      </c>
      <c r="G421">
        <v>1</v>
      </c>
      <c r="H421" s="2"/>
      <c r="I421" s="2"/>
      <c r="J421" s="2"/>
      <c r="K421" s="2"/>
      <c r="L421" s="2"/>
      <c r="N421" s="88">
        <v>0</v>
      </c>
      <c r="O421" s="88">
        <v>0</v>
      </c>
      <c r="P421" s="13">
        <v>3</v>
      </c>
      <c r="Q421" s="14">
        <v>3</v>
      </c>
      <c r="R421">
        <v>1</v>
      </c>
      <c r="S421" s="31" t="s">
        <v>319</v>
      </c>
      <c r="T421">
        <v>3</v>
      </c>
      <c r="U421">
        <v>7</v>
      </c>
      <c r="V421">
        <v>2</v>
      </c>
      <c r="W421">
        <v>47</v>
      </c>
      <c r="X421" t="s">
        <v>1845</v>
      </c>
      <c r="Z421" s="53">
        <v>9999</v>
      </c>
      <c r="AA421">
        <v>214005</v>
      </c>
      <c r="AB421">
        <v>30</v>
      </c>
      <c r="AC421">
        <v>30</v>
      </c>
      <c r="AD421">
        <v>30</v>
      </c>
      <c r="AE421" s="15">
        <v>147</v>
      </c>
      <c r="AF421" s="15">
        <v>7</v>
      </c>
      <c r="AG421" s="15">
        <v>207</v>
      </c>
      <c r="AH421" s="130">
        <v>3.8</v>
      </c>
      <c r="AI421" s="15">
        <v>0</v>
      </c>
      <c r="AJ421" s="15">
        <v>0</v>
      </c>
      <c r="AK421" s="15">
        <v>1</v>
      </c>
      <c r="AL421" s="15">
        <v>0</v>
      </c>
      <c r="AM421" s="16" t="s">
        <v>676</v>
      </c>
      <c r="AN421" s="3" t="s">
        <v>399</v>
      </c>
      <c r="AO421" s="3" t="s">
        <v>400</v>
      </c>
      <c r="AP421" s="3"/>
      <c r="AQ421" s="3"/>
      <c r="AR421" s="3"/>
      <c r="AS421" s="17" t="s">
        <v>1846</v>
      </c>
      <c r="AT421" s="17" t="s">
        <v>169</v>
      </c>
      <c r="AU421" s="17" t="s">
        <v>402</v>
      </c>
      <c r="AV421" s="18">
        <v>328</v>
      </c>
      <c r="AZ421">
        <v>328</v>
      </c>
    </row>
    <row r="422" spans="2:50">
      <c r="B422" s="9">
        <v>1112008</v>
      </c>
      <c r="C422" s="9">
        <v>1112008</v>
      </c>
      <c r="D422" s="24" t="s">
        <v>403</v>
      </c>
      <c r="E422" s="9" t="s">
        <v>403</v>
      </c>
      <c r="F422" s="9"/>
      <c r="G422" s="9">
        <v>0</v>
      </c>
      <c r="H422" s="2"/>
      <c r="I422" s="2"/>
      <c r="J422" s="2"/>
      <c r="K422" s="2"/>
      <c r="L422" s="2"/>
      <c r="M422" s="88"/>
      <c r="N422" s="88">
        <v>0</v>
      </c>
      <c r="O422" s="88">
        <v>0</v>
      </c>
      <c r="P422" s="32">
        <v>1</v>
      </c>
      <c r="Q422" s="32">
        <v>1</v>
      </c>
      <c r="R422" s="88">
        <v>1</v>
      </c>
      <c r="S422" s="31" t="s">
        <v>319</v>
      </c>
      <c r="T422">
        <v>3</v>
      </c>
      <c r="U422">
        <v>7</v>
      </c>
      <c r="V422">
        <v>2</v>
      </c>
      <c r="W422">
        <v>6</v>
      </c>
      <c r="X422" s="88" t="s">
        <v>407</v>
      </c>
      <c r="Y422" s="88"/>
      <c r="Z422" s="53">
        <v>9999</v>
      </c>
      <c r="AA422" s="53">
        <v>214005</v>
      </c>
      <c r="AB422" s="53">
        <v>30</v>
      </c>
      <c r="AC422" s="53">
        <v>30</v>
      </c>
      <c r="AD422" s="53">
        <v>30</v>
      </c>
      <c r="AE422" s="94">
        <v>119</v>
      </c>
      <c r="AF422" s="94">
        <v>9</v>
      </c>
      <c r="AG422" s="94">
        <v>245</v>
      </c>
      <c r="AH422" s="129">
        <v>3.9</v>
      </c>
      <c r="AI422" s="94">
        <v>0</v>
      </c>
      <c r="AJ422" s="94">
        <v>0</v>
      </c>
      <c r="AK422" s="94">
        <v>1</v>
      </c>
      <c r="AL422" s="94">
        <v>0</v>
      </c>
      <c r="AM422" s="98" t="s">
        <v>676</v>
      </c>
      <c r="AN422" s="3" t="s">
        <v>409</v>
      </c>
      <c r="AO422" s="3" t="s">
        <v>410</v>
      </c>
      <c r="AP422" s="3"/>
      <c r="AQ422" s="3"/>
      <c r="AR422" s="3"/>
      <c r="AW422" s="88"/>
      <c r="AX422" s="88"/>
    </row>
    <row r="423" spans="2:50">
      <c r="B423">
        <v>1112009</v>
      </c>
      <c r="C423">
        <v>1112009</v>
      </c>
      <c r="D423" s="24" t="s">
        <v>414</v>
      </c>
      <c r="E423" s="9" t="s">
        <v>414</v>
      </c>
      <c r="F423" s="9"/>
      <c r="G423" s="9">
        <v>0</v>
      </c>
      <c r="H423" s="2"/>
      <c r="I423" s="2"/>
      <c r="J423" s="2"/>
      <c r="K423" s="2"/>
      <c r="L423" s="2"/>
      <c r="M423" s="88"/>
      <c r="N423" s="88">
        <v>0</v>
      </c>
      <c r="O423" s="88">
        <v>0</v>
      </c>
      <c r="P423" s="32">
        <v>1</v>
      </c>
      <c r="Q423" s="32">
        <v>1</v>
      </c>
      <c r="R423" s="88">
        <v>1</v>
      </c>
      <c r="S423" s="31" t="s">
        <v>319</v>
      </c>
      <c r="T423" s="88">
        <v>3</v>
      </c>
      <c r="U423">
        <v>7</v>
      </c>
      <c r="V423">
        <v>2</v>
      </c>
      <c r="W423" s="88">
        <v>10</v>
      </c>
      <c r="X423" s="88" t="s">
        <v>419</v>
      </c>
      <c r="Y423" s="88"/>
      <c r="Z423" s="53">
        <v>9999</v>
      </c>
      <c r="AA423" s="53">
        <v>214005</v>
      </c>
      <c r="AB423" s="53">
        <v>30</v>
      </c>
      <c r="AC423" s="53">
        <v>30</v>
      </c>
      <c r="AD423" s="53">
        <v>30</v>
      </c>
      <c r="AE423" s="94">
        <v>119</v>
      </c>
      <c r="AF423" s="94">
        <v>9</v>
      </c>
      <c r="AG423" s="94">
        <v>245</v>
      </c>
      <c r="AH423" s="129">
        <v>3.9</v>
      </c>
      <c r="AI423" s="94">
        <v>0</v>
      </c>
      <c r="AJ423" s="94">
        <v>0</v>
      </c>
      <c r="AK423" s="94">
        <v>1</v>
      </c>
      <c r="AL423" s="94">
        <v>0</v>
      </c>
      <c r="AM423" s="98" t="s">
        <v>676</v>
      </c>
      <c r="AN423" s="3" t="s">
        <v>422</v>
      </c>
      <c r="AO423" s="3" t="s">
        <v>423</v>
      </c>
      <c r="AP423" s="3"/>
      <c r="AQ423" s="3"/>
      <c r="AR423" s="3"/>
      <c r="AW423" s="88"/>
      <c r="AX423" s="88"/>
    </row>
    <row r="424" spans="2:50">
      <c r="B424" s="9">
        <v>1112010</v>
      </c>
      <c r="C424" s="9">
        <v>1112010</v>
      </c>
      <c r="D424" s="24" t="s">
        <v>426</v>
      </c>
      <c r="E424" s="9" t="s">
        <v>1847</v>
      </c>
      <c r="F424" s="9"/>
      <c r="G424" s="9">
        <v>0</v>
      </c>
      <c r="H424" s="2"/>
      <c r="I424" s="2"/>
      <c r="J424" s="2"/>
      <c r="K424" s="2"/>
      <c r="L424" s="2"/>
      <c r="M424" s="88"/>
      <c r="N424" s="88">
        <v>0</v>
      </c>
      <c r="O424" s="88">
        <v>0</v>
      </c>
      <c r="P424" s="32">
        <v>1</v>
      </c>
      <c r="Q424" s="32">
        <v>1</v>
      </c>
      <c r="R424" s="88">
        <v>3</v>
      </c>
      <c r="S424" s="31" t="s">
        <v>1836</v>
      </c>
      <c r="T424">
        <v>3</v>
      </c>
      <c r="U424">
        <v>7</v>
      </c>
      <c r="V424">
        <v>2</v>
      </c>
      <c r="W424">
        <v>9</v>
      </c>
      <c r="X424" s="88" t="s">
        <v>431</v>
      </c>
      <c r="Y424" s="88"/>
      <c r="Z424" s="53">
        <v>9999</v>
      </c>
      <c r="AA424" s="53">
        <v>214005</v>
      </c>
      <c r="AB424" s="53">
        <v>30</v>
      </c>
      <c r="AC424" s="53">
        <v>30</v>
      </c>
      <c r="AD424" s="53">
        <v>30</v>
      </c>
      <c r="AE424" s="94">
        <v>147</v>
      </c>
      <c r="AF424" s="94">
        <v>10</v>
      </c>
      <c r="AG424" s="94">
        <v>169</v>
      </c>
      <c r="AH424" s="129">
        <v>10.2</v>
      </c>
      <c r="AI424" s="94">
        <v>0</v>
      </c>
      <c r="AJ424" s="94">
        <v>0</v>
      </c>
      <c r="AK424" s="94">
        <v>1</v>
      </c>
      <c r="AL424" s="94">
        <v>0</v>
      </c>
      <c r="AM424" s="98" t="s">
        <v>676</v>
      </c>
      <c r="AN424" s="3" t="s">
        <v>433</v>
      </c>
      <c r="AO424" s="3" t="s">
        <v>434</v>
      </c>
      <c r="AP424" s="3" t="s">
        <v>1848</v>
      </c>
      <c r="AQ424" s="3"/>
      <c r="AR424" s="3"/>
      <c r="AW424" s="88"/>
      <c r="AX424" s="88"/>
    </row>
    <row r="425" spans="2:50">
      <c r="B425" s="9">
        <v>1112011</v>
      </c>
      <c r="C425" s="9">
        <v>1112011</v>
      </c>
      <c r="D425" s="24" t="s">
        <v>437</v>
      </c>
      <c r="E425" s="9" t="s">
        <v>1849</v>
      </c>
      <c r="F425" s="9"/>
      <c r="G425" s="9">
        <v>0</v>
      </c>
      <c r="H425" s="2"/>
      <c r="I425" s="2"/>
      <c r="J425" s="2"/>
      <c r="K425" s="2"/>
      <c r="L425" s="2"/>
      <c r="M425" s="88"/>
      <c r="N425" s="88">
        <v>0</v>
      </c>
      <c r="O425" s="88">
        <v>0</v>
      </c>
      <c r="P425" s="32">
        <v>1</v>
      </c>
      <c r="Q425" s="32">
        <v>1</v>
      </c>
      <c r="R425" s="88">
        <v>2</v>
      </c>
      <c r="S425" s="31" t="s">
        <v>139</v>
      </c>
      <c r="T425">
        <v>3</v>
      </c>
      <c r="U425">
        <v>7</v>
      </c>
      <c r="V425">
        <v>2</v>
      </c>
      <c r="W425">
        <v>11</v>
      </c>
      <c r="X425" s="88" t="s">
        <v>442</v>
      </c>
      <c r="Y425" s="88"/>
      <c r="Z425" s="53">
        <v>9999</v>
      </c>
      <c r="AA425" s="53">
        <v>214005</v>
      </c>
      <c r="AB425" s="53">
        <v>30</v>
      </c>
      <c r="AC425" s="53">
        <v>30</v>
      </c>
      <c r="AD425" s="53">
        <v>30</v>
      </c>
      <c r="AE425" s="94">
        <v>119</v>
      </c>
      <c r="AF425" s="94">
        <v>12</v>
      </c>
      <c r="AG425" s="94">
        <v>207</v>
      </c>
      <c r="AH425" s="129">
        <v>5.1</v>
      </c>
      <c r="AI425" s="94">
        <v>0</v>
      </c>
      <c r="AJ425" s="94">
        <v>0</v>
      </c>
      <c r="AK425" s="94">
        <v>1</v>
      </c>
      <c r="AL425" s="94">
        <v>0</v>
      </c>
      <c r="AM425" s="98" t="s">
        <v>676</v>
      </c>
      <c r="AN425" s="3" t="s">
        <v>445</v>
      </c>
      <c r="AO425" s="3" t="s">
        <v>446</v>
      </c>
      <c r="AP425" s="3"/>
      <c r="AQ425" s="3"/>
      <c r="AR425" s="3"/>
      <c r="AW425" s="88"/>
      <c r="AX425" s="88"/>
    </row>
    <row r="426" spans="2:50">
      <c r="B426" s="9">
        <v>1112012</v>
      </c>
      <c r="C426" s="9">
        <v>1112012</v>
      </c>
      <c r="D426" s="24" t="s">
        <v>449</v>
      </c>
      <c r="E426" s="9" t="s">
        <v>1850</v>
      </c>
      <c r="F426" s="9"/>
      <c r="G426" s="9">
        <v>1</v>
      </c>
      <c r="H426" s="2"/>
      <c r="I426" s="2"/>
      <c r="J426" s="2"/>
      <c r="K426" s="2"/>
      <c r="L426" s="2"/>
      <c r="M426" s="88"/>
      <c r="N426" s="88">
        <v>0</v>
      </c>
      <c r="O426" s="88">
        <v>0</v>
      </c>
      <c r="P426" s="32">
        <v>1</v>
      </c>
      <c r="Q426" s="32">
        <v>1</v>
      </c>
      <c r="R426" s="88">
        <v>2</v>
      </c>
      <c r="S426" s="31" t="s">
        <v>139</v>
      </c>
      <c r="T426">
        <v>3</v>
      </c>
      <c r="U426">
        <v>7</v>
      </c>
      <c r="V426">
        <v>2</v>
      </c>
      <c r="W426">
        <v>13</v>
      </c>
      <c r="X426" s="88" t="s">
        <v>453</v>
      </c>
      <c r="Y426" s="88"/>
      <c r="Z426" s="53">
        <v>9999</v>
      </c>
      <c r="AA426" s="53">
        <v>214005</v>
      </c>
      <c r="AB426" s="53">
        <v>30</v>
      </c>
      <c r="AC426" s="53">
        <v>30</v>
      </c>
      <c r="AD426" s="53">
        <v>30</v>
      </c>
      <c r="AE426" s="94">
        <v>119</v>
      </c>
      <c r="AF426" s="94">
        <v>12</v>
      </c>
      <c r="AG426" s="94">
        <v>207</v>
      </c>
      <c r="AH426" s="129">
        <v>6.9</v>
      </c>
      <c r="AI426" s="94">
        <v>0</v>
      </c>
      <c r="AJ426" s="94">
        <v>0</v>
      </c>
      <c r="AK426" s="94">
        <v>1</v>
      </c>
      <c r="AL426" s="94">
        <v>0</v>
      </c>
      <c r="AM426" s="98" t="s">
        <v>676</v>
      </c>
      <c r="AN426" s="3"/>
      <c r="AO426" s="3"/>
      <c r="AP426" s="3"/>
      <c r="AQ426" s="3"/>
      <c r="AR426" s="3"/>
      <c r="AW426" s="88"/>
      <c r="AX426" s="88"/>
    </row>
    <row r="427" spans="2:50">
      <c r="B427" s="9">
        <v>1112013</v>
      </c>
      <c r="C427" s="9">
        <v>1112013</v>
      </c>
      <c r="D427" s="24" t="s">
        <v>457</v>
      </c>
      <c r="E427" s="9" t="s">
        <v>457</v>
      </c>
      <c r="F427" s="9"/>
      <c r="G427" s="9">
        <v>0</v>
      </c>
      <c r="H427" s="2"/>
      <c r="I427" s="2"/>
      <c r="J427" s="2"/>
      <c r="K427" s="2"/>
      <c r="L427" s="2"/>
      <c r="M427" s="88"/>
      <c r="N427" s="88">
        <v>0</v>
      </c>
      <c r="O427" s="88">
        <v>0</v>
      </c>
      <c r="P427" s="32">
        <v>1</v>
      </c>
      <c r="Q427" s="32">
        <v>1</v>
      </c>
      <c r="R427" s="88">
        <v>8</v>
      </c>
      <c r="S427" s="31" t="s">
        <v>1402</v>
      </c>
      <c r="T427">
        <v>3</v>
      </c>
      <c r="U427">
        <v>7</v>
      </c>
      <c r="V427">
        <v>2</v>
      </c>
      <c r="W427">
        <v>12</v>
      </c>
      <c r="X427" s="88" t="s">
        <v>463</v>
      </c>
      <c r="Y427" s="88"/>
      <c r="Z427" s="53">
        <v>9999</v>
      </c>
      <c r="AA427" s="53">
        <v>214005</v>
      </c>
      <c r="AB427" s="53">
        <v>30</v>
      </c>
      <c r="AC427" s="53">
        <v>30</v>
      </c>
      <c r="AD427" s="53">
        <v>30</v>
      </c>
      <c r="AE427" s="94">
        <v>119</v>
      </c>
      <c r="AF427" s="94">
        <v>9</v>
      </c>
      <c r="AG427" s="94">
        <v>245</v>
      </c>
      <c r="AH427" s="129">
        <v>3.7</v>
      </c>
      <c r="AI427" s="94">
        <v>0</v>
      </c>
      <c r="AJ427" s="94">
        <v>0</v>
      </c>
      <c r="AK427" s="94">
        <v>1</v>
      </c>
      <c r="AL427" s="94">
        <v>0</v>
      </c>
      <c r="AM427" s="98" t="s">
        <v>676</v>
      </c>
      <c r="AN427" s="3"/>
      <c r="AO427" s="3"/>
      <c r="AP427" s="3"/>
      <c r="AQ427" s="3"/>
      <c r="AR427" s="3"/>
      <c r="AW427" s="88"/>
      <c r="AX427" s="88"/>
    </row>
    <row r="428" spans="2:50">
      <c r="B428" s="9">
        <v>1112014</v>
      </c>
      <c r="C428" s="9">
        <v>1112014</v>
      </c>
      <c r="D428" s="24" t="s">
        <v>467</v>
      </c>
      <c r="E428" s="9" t="s">
        <v>467</v>
      </c>
      <c r="F428" s="9"/>
      <c r="G428" s="9">
        <v>0</v>
      </c>
      <c r="H428" s="2"/>
      <c r="I428" s="2"/>
      <c r="J428" s="2"/>
      <c r="K428" s="2"/>
      <c r="L428" s="2"/>
      <c r="M428" s="88"/>
      <c r="N428" s="88">
        <v>0</v>
      </c>
      <c r="O428" s="88">
        <v>0</v>
      </c>
      <c r="P428" s="32">
        <v>1</v>
      </c>
      <c r="Q428" s="32">
        <v>1</v>
      </c>
      <c r="R428" s="88">
        <v>8</v>
      </c>
      <c r="S428" s="31" t="s">
        <v>1402</v>
      </c>
      <c r="T428">
        <v>3</v>
      </c>
      <c r="U428">
        <v>7</v>
      </c>
      <c r="V428">
        <v>2</v>
      </c>
      <c r="W428">
        <v>15</v>
      </c>
      <c r="X428" s="88" t="s">
        <v>472</v>
      </c>
      <c r="Y428" s="88"/>
      <c r="Z428" s="53">
        <v>9999</v>
      </c>
      <c r="AA428" s="53">
        <v>214005</v>
      </c>
      <c r="AB428" s="53">
        <v>30</v>
      </c>
      <c r="AC428" s="53">
        <v>30</v>
      </c>
      <c r="AD428" s="53">
        <v>30</v>
      </c>
      <c r="AE428" s="94">
        <v>147</v>
      </c>
      <c r="AF428" s="94">
        <v>10</v>
      </c>
      <c r="AG428" s="94">
        <v>169</v>
      </c>
      <c r="AH428" s="129">
        <v>9.2</v>
      </c>
      <c r="AI428" s="94">
        <v>0</v>
      </c>
      <c r="AJ428" s="94">
        <v>0</v>
      </c>
      <c r="AK428" s="94">
        <v>1</v>
      </c>
      <c r="AL428" s="94">
        <v>0</v>
      </c>
      <c r="AM428" s="98" t="s">
        <v>676</v>
      </c>
      <c r="AN428" s="3" t="s">
        <v>474</v>
      </c>
      <c r="AO428" s="3" t="s">
        <v>475</v>
      </c>
      <c r="AP428" s="3" t="s">
        <v>1851</v>
      </c>
      <c r="AQ428" s="3"/>
      <c r="AR428" s="3"/>
      <c r="AW428" s="88"/>
      <c r="AX428" s="88"/>
    </row>
    <row r="429" spans="2:50">
      <c r="B429" s="9">
        <v>1112015</v>
      </c>
      <c r="C429" s="9">
        <v>1112015</v>
      </c>
      <c r="D429" s="24" t="s">
        <v>479</v>
      </c>
      <c r="E429" s="9" t="s">
        <v>479</v>
      </c>
      <c r="F429" s="9"/>
      <c r="G429" s="9">
        <v>0</v>
      </c>
      <c r="H429" s="2"/>
      <c r="I429" s="2"/>
      <c r="J429" s="2"/>
      <c r="K429" s="2"/>
      <c r="L429" s="2"/>
      <c r="M429" s="88"/>
      <c r="N429" s="88">
        <v>0</v>
      </c>
      <c r="O429" s="88">
        <v>0</v>
      </c>
      <c r="P429" s="32">
        <v>1</v>
      </c>
      <c r="Q429" s="32">
        <v>1</v>
      </c>
      <c r="R429" s="88">
        <v>8</v>
      </c>
      <c r="S429" s="31" t="s">
        <v>1402</v>
      </c>
      <c r="T429">
        <v>3</v>
      </c>
      <c r="U429">
        <v>7</v>
      </c>
      <c r="V429">
        <v>2</v>
      </c>
      <c r="W429">
        <v>14</v>
      </c>
      <c r="X429" s="88" t="s">
        <v>484</v>
      </c>
      <c r="Y429" s="88"/>
      <c r="Z429" s="53">
        <v>9999</v>
      </c>
      <c r="AA429" s="53">
        <v>214005</v>
      </c>
      <c r="AB429" s="53">
        <v>30</v>
      </c>
      <c r="AC429" s="53">
        <v>30</v>
      </c>
      <c r="AD429" s="53">
        <v>30</v>
      </c>
      <c r="AE429" s="94">
        <v>119</v>
      </c>
      <c r="AF429" s="94">
        <v>11</v>
      </c>
      <c r="AG429" s="94">
        <v>228</v>
      </c>
      <c r="AH429" s="129">
        <v>3</v>
      </c>
      <c r="AI429" s="94">
        <v>0</v>
      </c>
      <c r="AJ429" s="94">
        <v>0</v>
      </c>
      <c r="AK429" s="94">
        <v>1</v>
      </c>
      <c r="AL429" s="94">
        <v>0</v>
      </c>
      <c r="AM429" s="98" t="s">
        <v>676</v>
      </c>
      <c r="AN429" s="3"/>
      <c r="AO429" s="3"/>
      <c r="AP429" s="3"/>
      <c r="AQ429" s="3"/>
      <c r="AR429" s="3"/>
      <c r="AW429" s="88"/>
      <c r="AX429" s="88"/>
    </row>
    <row r="430" s="9" customFormat="1" ht="15.75" customHeight="1" spans="2:52">
      <c r="B430" s="9">
        <v>1112016</v>
      </c>
      <c r="C430" s="9">
        <v>1112016</v>
      </c>
      <c r="D430" s="24" t="s">
        <v>488</v>
      </c>
      <c r="E430" s="9" t="s">
        <v>1852</v>
      </c>
      <c r="G430" s="9">
        <v>1</v>
      </c>
      <c r="H430" s="2"/>
      <c r="I430" s="2"/>
      <c r="J430" s="2"/>
      <c r="K430" s="2"/>
      <c r="L430" s="2"/>
      <c r="N430" s="88">
        <v>0</v>
      </c>
      <c r="O430" s="88">
        <v>0</v>
      </c>
      <c r="P430" s="13">
        <v>3</v>
      </c>
      <c r="Q430" s="14">
        <v>3</v>
      </c>
      <c r="R430" s="9">
        <v>8</v>
      </c>
      <c r="S430" s="31" t="s">
        <v>1402</v>
      </c>
      <c r="T430" s="9">
        <v>3</v>
      </c>
      <c r="U430" s="9">
        <v>7</v>
      </c>
      <c r="V430" s="9">
        <v>2</v>
      </c>
      <c r="W430" s="9">
        <v>46</v>
      </c>
      <c r="X430" s="9" t="s">
        <v>1853</v>
      </c>
      <c r="Z430" s="53">
        <v>9999</v>
      </c>
      <c r="AA430" s="9">
        <v>214005</v>
      </c>
      <c r="AB430" s="9">
        <v>30</v>
      </c>
      <c r="AC430" s="9">
        <v>30</v>
      </c>
      <c r="AD430" s="9">
        <v>30</v>
      </c>
      <c r="AE430" s="15">
        <v>147</v>
      </c>
      <c r="AF430" s="15">
        <v>10</v>
      </c>
      <c r="AG430" s="15">
        <v>169</v>
      </c>
      <c r="AH430" s="130">
        <v>9</v>
      </c>
      <c r="AI430" s="15">
        <v>0</v>
      </c>
      <c r="AJ430" s="15">
        <v>0</v>
      </c>
      <c r="AK430" s="15">
        <v>1</v>
      </c>
      <c r="AL430" s="15">
        <v>0</v>
      </c>
      <c r="AM430" s="16" t="s">
        <v>676</v>
      </c>
      <c r="AN430" s="3" t="s">
        <v>496</v>
      </c>
      <c r="AO430" s="3" t="s">
        <v>497</v>
      </c>
      <c r="AP430" s="3"/>
      <c r="AQ430" s="3"/>
      <c r="AR430" s="3"/>
      <c r="AS430" s="17" t="s">
        <v>1854</v>
      </c>
      <c r="AT430" s="17" t="s">
        <v>169</v>
      </c>
      <c r="AU430" s="17" t="s">
        <v>499</v>
      </c>
      <c r="AV430" s="18" t="s">
        <v>500</v>
      </c>
      <c r="AY430" s="13"/>
      <c r="AZ430" s="9">
        <v>316</v>
      </c>
    </row>
    <row r="431" spans="2:50">
      <c r="B431" s="9">
        <v>1112017</v>
      </c>
      <c r="C431" s="9">
        <v>1112017</v>
      </c>
      <c r="D431" s="24" t="s">
        <v>501</v>
      </c>
      <c r="E431" s="9" t="s">
        <v>1855</v>
      </c>
      <c r="F431" s="9"/>
      <c r="G431" s="9">
        <v>0</v>
      </c>
      <c r="H431" s="2"/>
      <c r="I431" s="2"/>
      <c r="J431" s="2"/>
      <c r="K431" s="2"/>
      <c r="L431" s="2"/>
      <c r="M431" s="88"/>
      <c r="N431" s="88">
        <v>0</v>
      </c>
      <c r="O431" s="88">
        <v>0</v>
      </c>
      <c r="P431" s="32">
        <v>1</v>
      </c>
      <c r="Q431" s="32">
        <v>1</v>
      </c>
      <c r="R431" s="88">
        <v>3</v>
      </c>
      <c r="S431" s="31" t="s">
        <v>1856</v>
      </c>
      <c r="T431">
        <v>3</v>
      </c>
      <c r="U431">
        <v>7</v>
      </c>
      <c r="V431">
        <v>2</v>
      </c>
      <c r="W431">
        <v>28</v>
      </c>
      <c r="X431" s="88" t="s">
        <v>507</v>
      </c>
      <c r="Y431" s="88"/>
      <c r="Z431" s="53">
        <v>9999</v>
      </c>
      <c r="AA431" s="53">
        <v>214005</v>
      </c>
      <c r="AB431" s="53">
        <v>30</v>
      </c>
      <c r="AC431" s="53">
        <v>30</v>
      </c>
      <c r="AD431" s="53">
        <v>30</v>
      </c>
      <c r="AE431" s="94">
        <v>147</v>
      </c>
      <c r="AF431" s="94">
        <v>10</v>
      </c>
      <c r="AG431" s="94">
        <v>169</v>
      </c>
      <c r="AH431" s="132">
        <v>10.8</v>
      </c>
      <c r="AI431" s="94">
        <v>0</v>
      </c>
      <c r="AJ431" s="94">
        <v>0</v>
      </c>
      <c r="AK431" s="94">
        <v>1</v>
      </c>
      <c r="AL431" s="94">
        <v>0</v>
      </c>
      <c r="AM431" s="98" t="s">
        <v>676</v>
      </c>
      <c r="AN431" s="3"/>
      <c r="AO431" s="3"/>
      <c r="AP431" s="3"/>
      <c r="AQ431" s="3"/>
      <c r="AR431" s="3"/>
      <c r="AW431" s="88"/>
      <c r="AX431" s="88"/>
    </row>
    <row r="432" spans="2:52">
      <c r="B432">
        <v>1112018</v>
      </c>
      <c r="C432">
        <v>1112018</v>
      </c>
      <c r="D432" s="24" t="s">
        <v>512</v>
      </c>
      <c r="E432" t="s">
        <v>512</v>
      </c>
      <c r="G432">
        <v>0</v>
      </c>
      <c r="H432" s="2"/>
      <c r="I432" s="2"/>
      <c r="J432" s="2"/>
      <c r="K432" s="2"/>
      <c r="L432" s="2"/>
      <c r="N432" s="88">
        <v>0</v>
      </c>
      <c r="O432" s="88">
        <v>0</v>
      </c>
      <c r="P432" s="13">
        <v>4</v>
      </c>
      <c r="Q432" s="14">
        <v>4</v>
      </c>
      <c r="R432">
        <v>8</v>
      </c>
      <c r="S432" s="31" t="s">
        <v>515</v>
      </c>
      <c r="T432">
        <v>3</v>
      </c>
      <c r="U432">
        <v>7</v>
      </c>
      <c r="V432">
        <v>2</v>
      </c>
      <c r="W432">
        <v>48</v>
      </c>
      <c r="X432" t="s">
        <v>1857</v>
      </c>
      <c r="Z432" s="53">
        <v>9999</v>
      </c>
      <c r="AA432">
        <v>214005</v>
      </c>
      <c r="AB432">
        <v>30</v>
      </c>
      <c r="AC432">
        <v>30</v>
      </c>
      <c r="AD432">
        <v>30</v>
      </c>
      <c r="AE432" s="15">
        <v>133</v>
      </c>
      <c r="AF432" s="15">
        <v>9</v>
      </c>
      <c r="AG432" s="15">
        <v>207</v>
      </c>
      <c r="AH432" s="15">
        <v>9</v>
      </c>
      <c r="AI432" s="15">
        <v>0</v>
      </c>
      <c r="AJ432" s="15">
        <v>0</v>
      </c>
      <c r="AK432" s="15">
        <v>1</v>
      </c>
      <c r="AL432" s="15">
        <v>0</v>
      </c>
      <c r="AM432" s="16" t="s">
        <v>676</v>
      </c>
      <c r="AN432" s="3"/>
      <c r="AO432" s="3"/>
      <c r="AP432" s="3"/>
      <c r="AQ432" s="3"/>
      <c r="AR432" s="3"/>
      <c r="AS432" s="17" t="s">
        <v>1858</v>
      </c>
      <c r="AV432" s="18">
        <v>334</v>
      </c>
      <c r="AZ432">
        <v>293</v>
      </c>
    </row>
    <row r="433" spans="2:45">
      <c r="B433">
        <v>1112019</v>
      </c>
      <c r="C433">
        <v>1112019</v>
      </c>
      <c r="D433" s="24" t="s">
        <v>517</v>
      </c>
      <c r="E433" t="s">
        <v>518</v>
      </c>
      <c r="G433">
        <v>0</v>
      </c>
      <c r="H433" s="2"/>
      <c r="I433" s="2"/>
      <c r="J433" s="2"/>
      <c r="K433" s="2"/>
      <c r="L433" s="2"/>
      <c r="N433" s="88">
        <v>0</v>
      </c>
      <c r="O433" s="88">
        <v>0</v>
      </c>
      <c r="P433" s="13">
        <v>3</v>
      </c>
      <c r="Q433" s="14">
        <v>3</v>
      </c>
      <c r="R433">
        <v>4</v>
      </c>
      <c r="S433" s="31" t="s">
        <v>300</v>
      </c>
      <c r="T433">
        <v>3</v>
      </c>
      <c r="U433">
        <v>7</v>
      </c>
      <c r="V433">
        <v>2</v>
      </c>
      <c r="W433">
        <v>38</v>
      </c>
      <c r="X433" t="s">
        <v>1859</v>
      </c>
      <c r="Z433" s="53">
        <v>9999</v>
      </c>
      <c r="AA433">
        <v>214005</v>
      </c>
      <c r="AB433">
        <v>30</v>
      </c>
      <c r="AC433">
        <v>30</v>
      </c>
      <c r="AD433">
        <v>30</v>
      </c>
      <c r="AE433" s="15">
        <v>119</v>
      </c>
      <c r="AF433" s="15">
        <v>9</v>
      </c>
      <c r="AG433" s="15">
        <v>245</v>
      </c>
      <c r="AH433" s="15">
        <v>2.3</v>
      </c>
      <c r="AI433" s="15">
        <v>0</v>
      </c>
      <c r="AJ433" s="15">
        <v>0</v>
      </c>
      <c r="AK433" s="15">
        <v>1</v>
      </c>
      <c r="AL433" s="15">
        <v>0</v>
      </c>
      <c r="AM433" s="16" t="s">
        <v>676</v>
      </c>
      <c r="AN433" s="3"/>
      <c r="AO433" s="3"/>
      <c r="AP433" s="3"/>
      <c r="AQ433" s="3"/>
      <c r="AR433" s="3"/>
      <c r="AS433" s="17" t="s">
        <v>1858</v>
      </c>
    </row>
    <row r="434" spans="2:45">
      <c r="B434">
        <v>1112020</v>
      </c>
      <c r="C434">
        <v>1112020</v>
      </c>
      <c r="D434" s="24" t="s">
        <v>527</v>
      </c>
      <c r="E434" t="s">
        <v>527</v>
      </c>
      <c r="G434">
        <v>1</v>
      </c>
      <c r="H434" s="2"/>
      <c r="I434" s="2"/>
      <c r="J434" s="2"/>
      <c r="K434" s="2"/>
      <c r="L434" s="2"/>
      <c r="N434" s="88">
        <v>0</v>
      </c>
      <c r="O434" s="88">
        <v>0</v>
      </c>
      <c r="P434" s="13">
        <v>3</v>
      </c>
      <c r="Q434" s="14">
        <v>3</v>
      </c>
      <c r="R434">
        <v>4</v>
      </c>
      <c r="S434" s="31" t="s">
        <v>300</v>
      </c>
      <c r="T434">
        <v>3</v>
      </c>
      <c r="U434">
        <v>7</v>
      </c>
      <c r="V434">
        <v>2</v>
      </c>
      <c r="W434">
        <v>41</v>
      </c>
      <c r="X434" t="s">
        <v>1860</v>
      </c>
      <c r="Z434" s="53">
        <v>9999</v>
      </c>
      <c r="AA434">
        <v>214005</v>
      </c>
      <c r="AB434">
        <v>30</v>
      </c>
      <c r="AC434">
        <v>30</v>
      </c>
      <c r="AD434">
        <v>30</v>
      </c>
      <c r="AE434" s="15">
        <v>119</v>
      </c>
      <c r="AF434" s="15">
        <v>11</v>
      </c>
      <c r="AG434" s="15">
        <v>228</v>
      </c>
      <c r="AH434" s="15">
        <v>2</v>
      </c>
      <c r="AI434" s="15">
        <v>0</v>
      </c>
      <c r="AJ434" s="15">
        <v>0</v>
      </c>
      <c r="AK434" s="15">
        <v>1</v>
      </c>
      <c r="AL434" s="15">
        <v>0</v>
      </c>
      <c r="AM434" s="16" t="s">
        <v>676</v>
      </c>
      <c r="AN434" s="3" t="s">
        <v>534</v>
      </c>
      <c r="AO434" s="3" t="s">
        <v>535</v>
      </c>
      <c r="AP434" s="3"/>
      <c r="AQ434" s="3"/>
      <c r="AR434" s="3"/>
      <c r="AS434" s="17" t="s">
        <v>1858</v>
      </c>
    </row>
    <row r="435" spans="2:44">
      <c r="B435">
        <v>1112021</v>
      </c>
      <c r="C435">
        <v>1112021</v>
      </c>
      <c r="D435" s="24" t="s">
        <v>537</v>
      </c>
      <c r="E435" t="s">
        <v>537</v>
      </c>
      <c r="G435">
        <v>0</v>
      </c>
      <c r="H435" s="2"/>
      <c r="I435" s="2"/>
      <c r="J435" s="2"/>
      <c r="K435" s="2"/>
      <c r="L435" s="2"/>
      <c r="N435" s="88">
        <v>0</v>
      </c>
      <c r="O435" s="88">
        <v>0</v>
      </c>
      <c r="P435" s="13">
        <v>3</v>
      </c>
      <c r="Q435" s="14">
        <v>3</v>
      </c>
      <c r="R435">
        <v>4</v>
      </c>
      <c r="S435" s="31" t="s">
        <v>300</v>
      </c>
      <c r="T435" s="88">
        <v>2</v>
      </c>
      <c r="U435">
        <v>7</v>
      </c>
      <c r="V435">
        <v>2</v>
      </c>
      <c r="W435">
        <v>43</v>
      </c>
      <c r="X435" t="s">
        <v>1861</v>
      </c>
      <c r="Z435" s="53">
        <v>9999</v>
      </c>
      <c r="AA435">
        <v>214005</v>
      </c>
      <c r="AB435">
        <v>30</v>
      </c>
      <c r="AC435">
        <v>30</v>
      </c>
      <c r="AD435">
        <v>30</v>
      </c>
      <c r="AE435" s="13">
        <v>119</v>
      </c>
      <c r="AF435" s="13">
        <v>12</v>
      </c>
      <c r="AG435" s="13">
        <v>207</v>
      </c>
      <c r="AH435" s="13">
        <v>5</v>
      </c>
      <c r="AI435" s="13">
        <v>0</v>
      </c>
      <c r="AJ435" s="15">
        <v>0</v>
      </c>
      <c r="AK435" s="15">
        <v>1</v>
      </c>
      <c r="AL435" s="15">
        <v>0</v>
      </c>
      <c r="AM435" s="16" t="s">
        <v>676</v>
      </c>
      <c r="AN435" s="3" t="s">
        <v>544</v>
      </c>
      <c r="AO435" s="3" t="s">
        <v>545</v>
      </c>
      <c r="AP435" s="3"/>
      <c r="AQ435" s="3"/>
      <c r="AR435" s="3"/>
    </row>
    <row r="436" spans="2:44">
      <c r="B436">
        <v>1112022</v>
      </c>
      <c r="C436">
        <v>1112022</v>
      </c>
      <c r="D436" s="24" t="s">
        <v>547</v>
      </c>
      <c r="E436" t="s">
        <v>548</v>
      </c>
      <c r="G436">
        <v>0</v>
      </c>
      <c r="H436" s="2"/>
      <c r="I436" s="2"/>
      <c r="J436" s="2"/>
      <c r="K436" s="2"/>
      <c r="L436" s="2"/>
      <c r="N436" s="88">
        <v>0</v>
      </c>
      <c r="O436" s="88">
        <v>0</v>
      </c>
      <c r="P436" s="13">
        <v>3</v>
      </c>
      <c r="Q436" s="14">
        <v>3</v>
      </c>
      <c r="R436">
        <v>4</v>
      </c>
      <c r="S436" s="31" t="s">
        <v>300</v>
      </c>
      <c r="T436" s="88">
        <v>2</v>
      </c>
      <c r="U436">
        <v>7</v>
      </c>
      <c r="V436">
        <v>3</v>
      </c>
      <c r="W436">
        <v>17</v>
      </c>
      <c r="X436" t="s">
        <v>1862</v>
      </c>
      <c r="Z436" s="53">
        <v>9999</v>
      </c>
      <c r="AA436">
        <v>214005</v>
      </c>
      <c r="AB436">
        <v>30</v>
      </c>
      <c r="AC436">
        <v>30</v>
      </c>
      <c r="AD436">
        <v>30</v>
      </c>
      <c r="AE436" s="13">
        <v>119</v>
      </c>
      <c r="AF436" s="13">
        <v>9</v>
      </c>
      <c r="AG436" s="13">
        <v>245</v>
      </c>
      <c r="AH436" s="13">
        <v>2.1</v>
      </c>
      <c r="AI436" s="13">
        <v>0</v>
      </c>
      <c r="AJ436" s="15">
        <v>0</v>
      </c>
      <c r="AK436" s="15">
        <v>1</v>
      </c>
      <c r="AL436" s="15">
        <v>0</v>
      </c>
      <c r="AM436" s="16" t="s">
        <v>676</v>
      </c>
      <c r="AN436" s="3"/>
      <c r="AO436" s="3"/>
      <c r="AP436" s="3"/>
      <c r="AQ436" s="3"/>
      <c r="AR436" s="3"/>
    </row>
    <row r="437" spans="2:44">
      <c r="B437">
        <v>1112023</v>
      </c>
      <c r="C437">
        <v>1112023</v>
      </c>
      <c r="D437" s="24" t="s">
        <v>553</v>
      </c>
      <c r="E437" t="s">
        <v>553</v>
      </c>
      <c r="G437">
        <v>0</v>
      </c>
      <c r="H437" s="2"/>
      <c r="I437" s="2"/>
      <c r="J437" s="2"/>
      <c r="K437" s="2"/>
      <c r="L437" s="2"/>
      <c r="N437" s="88">
        <v>0</v>
      </c>
      <c r="O437" s="88">
        <v>0</v>
      </c>
      <c r="P437" s="13">
        <v>3</v>
      </c>
      <c r="Q437" s="14">
        <v>3</v>
      </c>
      <c r="R437">
        <v>5</v>
      </c>
      <c r="S437" s="31" t="s">
        <v>558</v>
      </c>
      <c r="T437" s="88">
        <v>3</v>
      </c>
      <c r="U437">
        <v>7</v>
      </c>
      <c r="V437">
        <v>2</v>
      </c>
      <c r="W437">
        <v>27</v>
      </c>
      <c r="X437" t="s">
        <v>1863</v>
      </c>
      <c r="Z437" s="53">
        <v>9999</v>
      </c>
      <c r="AA437">
        <v>214005</v>
      </c>
      <c r="AB437">
        <v>30</v>
      </c>
      <c r="AC437">
        <v>30</v>
      </c>
      <c r="AD437">
        <v>30</v>
      </c>
      <c r="AE437" s="13">
        <v>147</v>
      </c>
      <c r="AF437" s="13">
        <v>10</v>
      </c>
      <c r="AG437" s="13">
        <v>169</v>
      </c>
      <c r="AH437" s="13">
        <v>10.6</v>
      </c>
      <c r="AI437" s="13">
        <v>0</v>
      </c>
      <c r="AJ437" s="15">
        <v>0</v>
      </c>
      <c r="AK437" s="15">
        <v>1</v>
      </c>
      <c r="AL437" s="15">
        <v>0</v>
      </c>
      <c r="AM437" s="16" t="s">
        <v>676</v>
      </c>
      <c r="AN437" s="3"/>
      <c r="AO437" s="3"/>
      <c r="AP437" s="3"/>
      <c r="AQ437" s="3"/>
      <c r="AR437" s="3"/>
    </row>
    <row r="438" spans="2:45">
      <c r="B438">
        <v>1112024</v>
      </c>
      <c r="C438">
        <v>1112024</v>
      </c>
      <c r="D438" s="24" t="s">
        <v>562</v>
      </c>
      <c r="E438" t="s">
        <v>562</v>
      </c>
      <c r="G438">
        <v>0</v>
      </c>
      <c r="H438" s="2"/>
      <c r="I438" s="2"/>
      <c r="J438" s="2"/>
      <c r="K438" s="2"/>
      <c r="L438" s="2"/>
      <c r="N438" s="88">
        <v>0</v>
      </c>
      <c r="O438" s="88">
        <v>0</v>
      </c>
      <c r="P438" s="13">
        <v>3</v>
      </c>
      <c r="Q438" s="14">
        <v>3</v>
      </c>
      <c r="R438">
        <v>5</v>
      </c>
      <c r="S438" s="31" t="s">
        <v>558</v>
      </c>
      <c r="T438">
        <v>3</v>
      </c>
      <c r="U438">
        <v>7</v>
      </c>
      <c r="V438">
        <v>2</v>
      </c>
      <c r="W438">
        <v>51</v>
      </c>
      <c r="X438" t="s">
        <v>1864</v>
      </c>
      <c r="Z438" s="53">
        <v>9999</v>
      </c>
      <c r="AA438">
        <v>214005</v>
      </c>
      <c r="AB438">
        <v>30</v>
      </c>
      <c r="AC438">
        <v>30</v>
      </c>
      <c r="AD438">
        <v>30</v>
      </c>
      <c r="AE438" s="15">
        <v>119</v>
      </c>
      <c r="AF438" s="15">
        <v>11</v>
      </c>
      <c r="AG438" s="15">
        <v>228</v>
      </c>
      <c r="AH438" s="15">
        <v>2.9</v>
      </c>
      <c r="AI438" s="15">
        <v>0</v>
      </c>
      <c r="AJ438" s="15">
        <v>0</v>
      </c>
      <c r="AK438" s="15">
        <v>1</v>
      </c>
      <c r="AL438" s="15">
        <v>0</v>
      </c>
      <c r="AM438" s="16" t="s">
        <v>676</v>
      </c>
      <c r="AN438" s="3"/>
      <c r="AO438" s="3"/>
      <c r="AP438" s="3"/>
      <c r="AQ438" s="3"/>
      <c r="AR438" s="3"/>
      <c r="AS438" s="17" t="s">
        <v>1858</v>
      </c>
    </row>
    <row r="439" spans="2:45">
      <c r="B439">
        <v>1112025</v>
      </c>
      <c r="C439">
        <v>1112025</v>
      </c>
      <c r="D439" s="24" t="s">
        <v>572</v>
      </c>
      <c r="E439" t="s">
        <v>572</v>
      </c>
      <c r="G439">
        <v>1</v>
      </c>
      <c r="H439" s="2"/>
      <c r="I439" s="2"/>
      <c r="J439" s="2"/>
      <c r="K439" s="2"/>
      <c r="L439" s="2"/>
      <c r="N439" s="88">
        <v>0</v>
      </c>
      <c r="O439" s="88">
        <v>0</v>
      </c>
      <c r="P439" s="13">
        <v>3</v>
      </c>
      <c r="Q439" s="14">
        <v>3</v>
      </c>
      <c r="R439">
        <v>5</v>
      </c>
      <c r="S439" s="31" t="s">
        <v>558</v>
      </c>
      <c r="T439">
        <v>3</v>
      </c>
      <c r="U439">
        <v>7</v>
      </c>
      <c r="V439">
        <v>2</v>
      </c>
      <c r="W439">
        <v>25</v>
      </c>
      <c r="X439" t="s">
        <v>1865</v>
      </c>
      <c r="Z439" s="53">
        <v>9999</v>
      </c>
      <c r="AA439">
        <v>214005</v>
      </c>
      <c r="AB439">
        <v>30</v>
      </c>
      <c r="AC439">
        <v>30</v>
      </c>
      <c r="AD439">
        <v>30</v>
      </c>
      <c r="AE439" s="15">
        <v>147</v>
      </c>
      <c r="AF439" s="15">
        <v>7</v>
      </c>
      <c r="AG439" s="15">
        <v>207</v>
      </c>
      <c r="AH439" s="15">
        <v>3.4</v>
      </c>
      <c r="AI439" s="15">
        <v>0</v>
      </c>
      <c r="AJ439" s="15">
        <v>0</v>
      </c>
      <c r="AK439" s="15">
        <v>1</v>
      </c>
      <c r="AL439" s="15">
        <v>0</v>
      </c>
      <c r="AM439" s="16" t="s">
        <v>676</v>
      </c>
      <c r="AN439" s="3"/>
      <c r="AO439" s="3"/>
      <c r="AP439" s="3"/>
      <c r="AQ439" s="3"/>
      <c r="AR439" s="3"/>
      <c r="AS439" s="17" t="s">
        <v>1858</v>
      </c>
    </row>
    <row r="440" spans="2:44">
      <c r="B440">
        <v>1112026</v>
      </c>
      <c r="C440">
        <v>1112026</v>
      </c>
      <c r="D440" s="24" t="s">
        <v>582</v>
      </c>
      <c r="E440" t="s">
        <v>582</v>
      </c>
      <c r="G440">
        <v>0</v>
      </c>
      <c r="H440" s="2"/>
      <c r="I440" s="2"/>
      <c r="J440" s="2"/>
      <c r="K440" s="2"/>
      <c r="L440" s="2"/>
      <c r="N440" s="88">
        <v>0</v>
      </c>
      <c r="O440" s="88">
        <v>0</v>
      </c>
      <c r="P440" s="13">
        <v>3</v>
      </c>
      <c r="Q440" s="14">
        <v>7</v>
      </c>
      <c r="R440">
        <v>5</v>
      </c>
      <c r="S440" s="31" t="s">
        <v>558</v>
      </c>
      <c r="T440">
        <v>3</v>
      </c>
      <c r="U440">
        <v>7</v>
      </c>
      <c r="V440">
        <v>1</v>
      </c>
      <c r="W440">
        <v>26</v>
      </c>
      <c r="X440" t="s">
        <v>1866</v>
      </c>
      <c r="Z440" s="53">
        <v>9999</v>
      </c>
      <c r="AA440">
        <v>214005</v>
      </c>
      <c r="AB440">
        <v>30</v>
      </c>
      <c r="AC440">
        <v>30</v>
      </c>
      <c r="AD440">
        <v>30</v>
      </c>
      <c r="AE440" s="13">
        <v>119</v>
      </c>
      <c r="AF440" s="13">
        <v>12</v>
      </c>
      <c r="AG440" s="13">
        <v>207</v>
      </c>
      <c r="AH440" s="13">
        <v>6.7</v>
      </c>
      <c r="AI440" s="13">
        <v>0</v>
      </c>
      <c r="AJ440" s="15">
        <v>0</v>
      </c>
      <c r="AK440" s="15">
        <v>1</v>
      </c>
      <c r="AL440" s="15">
        <v>0</v>
      </c>
      <c r="AM440" s="16" t="s">
        <v>676</v>
      </c>
      <c r="AN440" s="3"/>
      <c r="AO440" s="3"/>
      <c r="AP440" s="3"/>
      <c r="AQ440" s="3"/>
      <c r="AR440" s="3"/>
    </row>
    <row r="441" s="3" customFormat="1" spans="2:48">
      <c r="B441" s="3">
        <v>1112027</v>
      </c>
      <c r="C441" s="3">
        <v>1112027</v>
      </c>
      <c r="D441" s="24" t="s">
        <v>591</v>
      </c>
      <c r="E441" s="3" t="s">
        <v>1867</v>
      </c>
      <c r="G441" s="3">
        <v>0</v>
      </c>
      <c r="H441" s="2"/>
      <c r="I441" s="2" t="s">
        <v>593</v>
      </c>
      <c r="J441" s="2" t="s">
        <v>162</v>
      </c>
      <c r="K441" s="2" t="s">
        <v>136</v>
      </c>
      <c r="L441" s="2" t="s">
        <v>137</v>
      </c>
      <c r="M441" s="128">
        <v>439438</v>
      </c>
      <c r="N441" s="88">
        <v>0</v>
      </c>
      <c r="O441" s="88">
        <v>0</v>
      </c>
      <c r="P441" s="13">
        <v>4</v>
      </c>
      <c r="Q441" s="14">
        <v>4</v>
      </c>
      <c r="R441" s="3">
        <v>3</v>
      </c>
      <c r="S441" s="31"/>
      <c r="T441" s="3">
        <v>3</v>
      </c>
      <c r="U441" s="3">
        <v>7</v>
      </c>
      <c r="V441" s="3">
        <v>2</v>
      </c>
      <c r="W441" s="3">
        <v>58</v>
      </c>
      <c r="X441" s="24" t="s">
        <v>596</v>
      </c>
      <c r="Z441" s="53">
        <v>9999</v>
      </c>
      <c r="AA441" s="3">
        <v>214005</v>
      </c>
      <c r="AB441" s="3">
        <v>30</v>
      </c>
      <c r="AC441" s="3">
        <v>30</v>
      </c>
      <c r="AD441" s="3">
        <v>30</v>
      </c>
      <c r="AE441" s="13">
        <v>106</v>
      </c>
      <c r="AF441" s="13">
        <v>14</v>
      </c>
      <c r="AG441" s="13">
        <v>207</v>
      </c>
      <c r="AH441" s="13">
        <v>85</v>
      </c>
      <c r="AI441" s="13">
        <v>0.0128</v>
      </c>
      <c r="AJ441" s="15">
        <v>0.008</v>
      </c>
      <c r="AK441" s="15">
        <v>1.016</v>
      </c>
      <c r="AL441" s="15" t="s">
        <v>154</v>
      </c>
      <c r="AM441" s="16" t="s">
        <v>333</v>
      </c>
      <c r="AR441" s="3">
        <v>8</v>
      </c>
      <c r="AS441" s="17" t="s">
        <v>600</v>
      </c>
      <c r="AT441" s="17"/>
      <c r="AU441" s="18"/>
      <c r="AV441" s="13"/>
    </row>
    <row r="442" s="3" customFormat="1" spans="2:48">
      <c r="B442" s="3">
        <v>1112028</v>
      </c>
      <c r="C442" s="3">
        <v>1112028</v>
      </c>
      <c r="D442" s="24" t="s">
        <v>601</v>
      </c>
      <c r="E442" s="3" t="s">
        <v>1868</v>
      </c>
      <c r="G442" s="3">
        <v>0</v>
      </c>
      <c r="H442" s="2"/>
      <c r="I442" s="2" t="s">
        <v>603</v>
      </c>
      <c r="J442" s="2" t="s">
        <v>222</v>
      </c>
      <c r="K442" s="2" t="s">
        <v>136</v>
      </c>
      <c r="L442" s="2" t="s">
        <v>137</v>
      </c>
      <c r="M442" s="3" t="s">
        <v>1869</v>
      </c>
      <c r="N442" s="88">
        <v>0</v>
      </c>
      <c r="O442" s="88">
        <v>0</v>
      </c>
      <c r="P442" s="13">
        <v>4</v>
      </c>
      <c r="Q442" s="14">
        <v>4</v>
      </c>
      <c r="R442" s="3">
        <v>2</v>
      </c>
      <c r="S442" s="31" t="s">
        <v>139</v>
      </c>
      <c r="T442" s="3">
        <v>3</v>
      </c>
      <c r="U442" s="3">
        <v>7</v>
      </c>
      <c r="V442" s="3">
        <v>2</v>
      </c>
      <c r="W442" s="3">
        <v>59</v>
      </c>
      <c r="X442" s="24" t="s">
        <v>605</v>
      </c>
      <c r="Z442" s="53">
        <v>9999</v>
      </c>
      <c r="AA442" s="3">
        <v>214005</v>
      </c>
      <c r="AB442" s="3">
        <v>30</v>
      </c>
      <c r="AC442" s="3">
        <v>30</v>
      </c>
      <c r="AD442" s="3">
        <v>30</v>
      </c>
      <c r="AE442" s="13">
        <v>79</v>
      </c>
      <c r="AF442" s="13">
        <v>17</v>
      </c>
      <c r="AG442" s="13">
        <v>242</v>
      </c>
      <c r="AH442" s="13">
        <v>69</v>
      </c>
      <c r="AI442" s="13" t="s">
        <v>154</v>
      </c>
      <c r="AJ442" s="15">
        <v>0.016</v>
      </c>
      <c r="AK442" s="15">
        <v>1.008</v>
      </c>
      <c r="AL442" s="15">
        <v>0.008</v>
      </c>
      <c r="AM442" s="16" t="s">
        <v>322</v>
      </c>
      <c r="AR442" s="3">
        <v>8</v>
      </c>
      <c r="AS442" s="17" t="s">
        <v>1870</v>
      </c>
      <c r="AT442" s="17"/>
      <c r="AU442" s="18"/>
      <c r="AV442" s="13"/>
    </row>
    <row r="443" s="3" customFormat="1" spans="2:51">
      <c r="B443" s="3">
        <v>1112029</v>
      </c>
      <c r="C443" s="3">
        <v>1112029</v>
      </c>
      <c r="D443" s="24" t="s">
        <v>611</v>
      </c>
      <c r="E443" s="3" t="s">
        <v>611</v>
      </c>
      <c r="G443" s="3">
        <v>1</v>
      </c>
      <c r="H443" s="2" t="s">
        <v>612</v>
      </c>
      <c r="I443" s="2" t="s">
        <v>613</v>
      </c>
      <c r="J443" s="2"/>
      <c r="K443" s="2" t="s">
        <v>136</v>
      </c>
      <c r="L443" s="2" t="s">
        <v>614</v>
      </c>
      <c r="M443" s="3" t="s">
        <v>615</v>
      </c>
      <c r="N443" s="88">
        <v>0</v>
      </c>
      <c r="O443" s="88">
        <v>0</v>
      </c>
      <c r="P443" s="13">
        <v>3</v>
      </c>
      <c r="Q443" s="14">
        <v>3</v>
      </c>
      <c r="R443" s="3">
        <v>5</v>
      </c>
      <c r="S443" s="31"/>
      <c r="T443" s="3">
        <v>3</v>
      </c>
      <c r="U443" s="3">
        <v>7</v>
      </c>
      <c r="V443" s="3">
        <v>2</v>
      </c>
      <c r="W443" s="3">
        <v>86</v>
      </c>
      <c r="X443" s="24" t="s">
        <v>1211</v>
      </c>
      <c r="Z443" s="53">
        <v>620029</v>
      </c>
      <c r="AA443" s="3">
        <v>214005</v>
      </c>
      <c r="AB443" s="3">
        <v>30</v>
      </c>
      <c r="AC443" s="3">
        <v>30</v>
      </c>
      <c r="AD443" s="3">
        <v>30</v>
      </c>
      <c r="AE443" s="13">
        <v>139</v>
      </c>
      <c r="AF443" s="13">
        <v>11</v>
      </c>
      <c r="AG443" s="13">
        <v>173</v>
      </c>
      <c r="AH443" s="13">
        <v>105</v>
      </c>
      <c r="AI443" s="13">
        <v>0.0144</v>
      </c>
      <c r="AJ443" s="15" t="s">
        <v>154</v>
      </c>
      <c r="AK443" s="15">
        <v>1.0128</v>
      </c>
      <c r="AL443" s="15"/>
      <c r="AM443" s="16" t="s">
        <v>344</v>
      </c>
      <c r="AS443" s="17" t="s">
        <v>618</v>
      </c>
      <c r="AT443" s="17"/>
      <c r="AU443" s="18"/>
      <c r="AV443" s="13"/>
      <c r="AX443" s="3">
        <v>3</v>
      </c>
      <c r="AY443" s="3">
        <v>3</v>
      </c>
    </row>
    <row r="444" spans="2:50">
      <c r="B444" s="9">
        <v>1113001</v>
      </c>
      <c r="C444" s="9">
        <v>1113001</v>
      </c>
      <c r="D444" s="24" t="s">
        <v>621</v>
      </c>
      <c r="E444" s="9" t="s">
        <v>1871</v>
      </c>
      <c r="F444" s="9"/>
      <c r="G444" s="9">
        <v>0</v>
      </c>
      <c r="H444" s="2" t="s">
        <v>1872</v>
      </c>
      <c r="I444" s="2"/>
      <c r="J444" s="2"/>
      <c r="K444" s="2"/>
      <c r="L444" s="2"/>
      <c r="M444" s="88"/>
      <c r="N444" s="88">
        <v>0</v>
      </c>
      <c r="O444" s="88">
        <v>0</v>
      </c>
      <c r="P444" s="32">
        <v>1</v>
      </c>
      <c r="Q444" s="32">
        <v>1</v>
      </c>
      <c r="R444" s="88">
        <v>5</v>
      </c>
      <c r="S444" s="31" t="s">
        <v>736</v>
      </c>
      <c r="T444">
        <v>3</v>
      </c>
      <c r="U444">
        <v>8</v>
      </c>
      <c r="V444">
        <v>3</v>
      </c>
      <c r="W444">
        <v>35</v>
      </c>
      <c r="X444" s="88" t="s">
        <v>627</v>
      </c>
      <c r="Y444" s="88"/>
      <c r="Z444" s="53">
        <v>9999</v>
      </c>
      <c r="AA444" s="53">
        <v>215005</v>
      </c>
      <c r="AB444" s="53">
        <v>50</v>
      </c>
      <c r="AC444" s="53">
        <v>50</v>
      </c>
      <c r="AD444" s="53">
        <v>50</v>
      </c>
      <c r="AE444" s="94">
        <v>221</v>
      </c>
      <c r="AF444" s="94">
        <v>11</v>
      </c>
      <c r="AG444" s="94">
        <v>313</v>
      </c>
      <c r="AH444" s="132">
        <v>5</v>
      </c>
      <c r="AI444" s="94">
        <v>0</v>
      </c>
      <c r="AJ444" s="94">
        <v>0</v>
      </c>
      <c r="AK444" s="94">
        <v>1</v>
      </c>
      <c r="AL444" s="94">
        <v>0</v>
      </c>
      <c r="AM444" s="98" t="s">
        <v>676</v>
      </c>
      <c r="AN444" s="5" t="s">
        <v>630</v>
      </c>
      <c r="AO444" s="5" t="s">
        <v>631</v>
      </c>
      <c r="AP444" s="5" t="s">
        <v>1873</v>
      </c>
      <c r="AQ444" s="5"/>
      <c r="AR444" s="5"/>
      <c r="AW444" s="88"/>
      <c r="AX444" s="88"/>
    </row>
    <row r="445" spans="2:50">
      <c r="B445" s="9">
        <v>1113002</v>
      </c>
      <c r="C445" s="9">
        <v>1113002</v>
      </c>
      <c r="D445" s="24" t="s">
        <v>634</v>
      </c>
      <c r="E445" s="9" t="s">
        <v>634</v>
      </c>
      <c r="F445" s="9"/>
      <c r="G445" s="9">
        <v>0</v>
      </c>
      <c r="H445" s="2" t="s">
        <v>1874</v>
      </c>
      <c r="I445" s="2"/>
      <c r="J445" s="2"/>
      <c r="K445" s="2"/>
      <c r="L445" s="2"/>
      <c r="M445" s="88"/>
      <c r="N445" s="88">
        <v>0</v>
      </c>
      <c r="O445" s="88">
        <v>0</v>
      </c>
      <c r="P445" s="32">
        <v>1</v>
      </c>
      <c r="Q445" s="32">
        <v>1</v>
      </c>
      <c r="R445" s="88">
        <v>8</v>
      </c>
      <c r="S445" s="31" t="s">
        <v>640</v>
      </c>
      <c r="T445">
        <v>3</v>
      </c>
      <c r="U445">
        <v>8</v>
      </c>
      <c r="V445">
        <v>3</v>
      </c>
      <c r="W445">
        <v>36</v>
      </c>
      <c r="X445" s="88" t="s">
        <v>641</v>
      </c>
      <c r="Y445" s="88"/>
      <c r="Z445" s="53">
        <v>9999</v>
      </c>
      <c r="AA445" s="53">
        <v>215005</v>
      </c>
      <c r="AB445" s="53">
        <v>50</v>
      </c>
      <c r="AC445" s="53">
        <v>50</v>
      </c>
      <c r="AD445" s="53">
        <v>50</v>
      </c>
      <c r="AE445" s="94">
        <v>201</v>
      </c>
      <c r="AF445" s="94">
        <v>14</v>
      </c>
      <c r="AG445" s="94">
        <v>313</v>
      </c>
      <c r="AH445" s="132">
        <v>12</v>
      </c>
      <c r="AI445" s="94">
        <v>0</v>
      </c>
      <c r="AJ445" s="94">
        <v>0</v>
      </c>
      <c r="AK445" s="94">
        <v>1</v>
      </c>
      <c r="AL445" s="94">
        <v>0</v>
      </c>
      <c r="AM445" s="98" t="s">
        <v>676</v>
      </c>
      <c r="AN445" s="5" t="s">
        <v>644</v>
      </c>
      <c r="AO445" s="5" t="s">
        <v>1875</v>
      </c>
      <c r="AP445" s="5" t="s">
        <v>1876</v>
      </c>
      <c r="AQ445" s="5"/>
      <c r="AR445" s="5"/>
      <c r="AW445" s="88"/>
      <c r="AX445" s="88"/>
    </row>
    <row r="446" spans="2:50">
      <c r="B446" s="9">
        <v>1113003</v>
      </c>
      <c r="C446" s="9">
        <v>1113003</v>
      </c>
      <c r="D446" s="24" t="s">
        <v>648</v>
      </c>
      <c r="E446" s="9" t="s">
        <v>648</v>
      </c>
      <c r="F446" s="9"/>
      <c r="G446" s="9">
        <v>0</v>
      </c>
      <c r="H446" s="2" t="s">
        <v>649</v>
      </c>
      <c r="I446" s="2"/>
      <c r="J446" s="2"/>
      <c r="K446" s="2"/>
      <c r="L446" s="2"/>
      <c r="M446" s="88"/>
      <c r="N446" s="88">
        <v>0</v>
      </c>
      <c r="O446" s="88">
        <v>0</v>
      </c>
      <c r="P446" s="32">
        <v>1</v>
      </c>
      <c r="Q446" s="32">
        <v>1</v>
      </c>
      <c r="R446" s="88">
        <v>2</v>
      </c>
      <c r="S446" s="31" t="s">
        <v>139</v>
      </c>
      <c r="T446">
        <v>3</v>
      </c>
      <c r="U446">
        <v>8</v>
      </c>
      <c r="V446">
        <v>3</v>
      </c>
      <c r="W446">
        <v>16</v>
      </c>
      <c r="X446" s="88" t="s">
        <v>653</v>
      </c>
      <c r="Z446" s="53">
        <v>9999</v>
      </c>
      <c r="AA446" s="53">
        <v>215005</v>
      </c>
      <c r="AB446" s="53">
        <v>50</v>
      </c>
      <c r="AC446" s="53">
        <v>50</v>
      </c>
      <c r="AD446" s="53">
        <v>50</v>
      </c>
      <c r="AE446" s="94">
        <v>221</v>
      </c>
      <c r="AF446" s="94">
        <v>11</v>
      </c>
      <c r="AG446" s="94">
        <v>313</v>
      </c>
      <c r="AH446" s="94">
        <v>6.4</v>
      </c>
      <c r="AI446" s="94">
        <v>0</v>
      </c>
      <c r="AJ446" s="94">
        <v>0</v>
      </c>
      <c r="AK446" s="94">
        <v>1</v>
      </c>
      <c r="AL446" s="94">
        <v>0</v>
      </c>
      <c r="AM446" s="98" t="s">
        <v>676</v>
      </c>
      <c r="AN446" s="5" t="s">
        <v>655</v>
      </c>
      <c r="AO446" s="5" t="s">
        <v>656</v>
      </c>
      <c r="AP446" s="5" t="s">
        <v>1877</v>
      </c>
      <c r="AQ446" s="5"/>
      <c r="AR446" s="5"/>
      <c r="AW446" s="88"/>
      <c r="AX446" s="88"/>
    </row>
    <row r="447" spans="2:46">
      <c r="B447">
        <v>1113004</v>
      </c>
      <c r="C447">
        <v>1113004</v>
      </c>
      <c r="D447" s="24" t="s">
        <v>658</v>
      </c>
      <c r="E447" t="s">
        <v>658</v>
      </c>
      <c r="G447">
        <v>0</v>
      </c>
      <c r="H447" s="2" t="s">
        <v>659</v>
      </c>
      <c r="I447" s="2"/>
      <c r="J447" s="2"/>
      <c r="K447" s="2"/>
      <c r="L447" s="2"/>
      <c r="N447">
        <v>0</v>
      </c>
      <c r="O447">
        <v>0</v>
      </c>
      <c r="P447" s="13">
        <v>4</v>
      </c>
      <c r="Q447" s="14">
        <v>4</v>
      </c>
      <c r="R447">
        <v>2</v>
      </c>
      <c r="S447" s="31" t="s">
        <v>139</v>
      </c>
      <c r="T447">
        <v>3</v>
      </c>
      <c r="U447">
        <v>8</v>
      </c>
      <c r="V447">
        <v>3</v>
      </c>
      <c r="W447">
        <v>42</v>
      </c>
      <c r="X447" t="s">
        <v>662</v>
      </c>
      <c r="Z447" s="53">
        <v>9999</v>
      </c>
      <c r="AA447">
        <v>215005</v>
      </c>
      <c r="AB447">
        <v>50</v>
      </c>
      <c r="AC447">
        <v>50</v>
      </c>
      <c r="AD447">
        <v>50</v>
      </c>
      <c r="AE447" s="15">
        <v>179</v>
      </c>
      <c r="AF447" s="15">
        <v>14</v>
      </c>
      <c r="AG447" s="15">
        <v>371</v>
      </c>
      <c r="AH447" s="15">
        <v>5</v>
      </c>
      <c r="AI447" s="15">
        <v>0</v>
      </c>
      <c r="AJ447" s="15">
        <v>0</v>
      </c>
      <c r="AK447" s="15">
        <v>1</v>
      </c>
      <c r="AL447" s="15">
        <v>0</v>
      </c>
      <c r="AM447" s="16" t="s">
        <v>676</v>
      </c>
      <c r="AN447" s="5" t="s">
        <v>664</v>
      </c>
      <c r="AO447" s="5" t="s">
        <v>665</v>
      </c>
      <c r="AS447" s="17" t="s">
        <v>1878</v>
      </c>
      <c r="AT447" s="17" t="s">
        <v>206</v>
      </c>
    </row>
    <row r="448" spans="2:46">
      <c r="B448">
        <v>1113005</v>
      </c>
      <c r="C448">
        <v>1113005</v>
      </c>
      <c r="D448" s="24" t="s">
        <v>667</v>
      </c>
      <c r="E448" t="s">
        <v>667</v>
      </c>
      <c r="G448">
        <v>0</v>
      </c>
      <c r="H448" s="2" t="s">
        <v>668</v>
      </c>
      <c r="I448" s="2" t="s">
        <v>669</v>
      </c>
      <c r="J448" s="2" t="s">
        <v>670</v>
      </c>
      <c r="K448" s="2" t="s">
        <v>671</v>
      </c>
      <c r="L448" s="2" t="s">
        <v>1879</v>
      </c>
      <c r="N448">
        <v>0</v>
      </c>
      <c r="O448">
        <v>0</v>
      </c>
      <c r="P448" s="13">
        <v>3</v>
      </c>
      <c r="Q448" s="14">
        <v>3</v>
      </c>
      <c r="R448">
        <v>3</v>
      </c>
      <c r="S448" s="31" t="s">
        <v>558</v>
      </c>
      <c r="T448">
        <v>3</v>
      </c>
      <c r="U448">
        <v>8</v>
      </c>
      <c r="V448">
        <v>3</v>
      </c>
      <c r="W448">
        <v>53</v>
      </c>
      <c r="X448" t="s">
        <v>674</v>
      </c>
      <c r="Y448" t="s">
        <v>675</v>
      </c>
      <c r="Z448" s="53">
        <v>9999</v>
      </c>
      <c r="AA448">
        <v>215005</v>
      </c>
      <c r="AB448">
        <v>50</v>
      </c>
      <c r="AC448">
        <v>50</v>
      </c>
      <c r="AD448">
        <v>50</v>
      </c>
      <c r="AE448" s="15">
        <v>160</v>
      </c>
      <c r="AF448" s="15">
        <v>22</v>
      </c>
      <c r="AG448" s="15">
        <v>313</v>
      </c>
      <c r="AH448" s="15">
        <v>95</v>
      </c>
      <c r="AI448" s="15">
        <v>0</v>
      </c>
      <c r="AJ448" s="15">
        <v>0</v>
      </c>
      <c r="AK448" s="15">
        <v>1</v>
      </c>
      <c r="AL448" s="15">
        <v>0</v>
      </c>
      <c r="AM448" s="16" t="s">
        <v>676</v>
      </c>
      <c r="AN448" s="5"/>
      <c r="AO448" s="5"/>
      <c r="AR448">
        <v>8</v>
      </c>
      <c r="AS448" s="17" t="s">
        <v>1880</v>
      </c>
      <c r="AT448" s="17" t="s">
        <v>169</v>
      </c>
    </row>
    <row r="449" spans="2:50">
      <c r="B449" s="9">
        <v>1113006</v>
      </c>
      <c r="C449" s="9">
        <v>1113006</v>
      </c>
      <c r="D449" s="24" t="s">
        <v>680</v>
      </c>
      <c r="E449" s="9" t="s">
        <v>680</v>
      </c>
      <c r="F449" s="9"/>
      <c r="G449" s="9">
        <v>0</v>
      </c>
      <c r="H449" s="2" t="s">
        <v>1881</v>
      </c>
      <c r="I449" s="2"/>
      <c r="J449" s="2"/>
      <c r="K449" s="2"/>
      <c r="L449" s="2"/>
      <c r="M449" s="88"/>
      <c r="N449" s="88">
        <v>0</v>
      </c>
      <c r="O449">
        <v>0</v>
      </c>
      <c r="P449" s="32">
        <v>1</v>
      </c>
      <c r="Q449" s="32">
        <v>1</v>
      </c>
      <c r="R449" s="88">
        <v>5</v>
      </c>
      <c r="S449" s="31" t="s">
        <v>736</v>
      </c>
      <c r="T449">
        <v>3</v>
      </c>
      <c r="U449">
        <v>8</v>
      </c>
      <c r="V449">
        <v>3</v>
      </c>
      <c r="W449">
        <v>39</v>
      </c>
      <c r="X449" s="88" t="s">
        <v>687</v>
      </c>
      <c r="Y449" s="88"/>
      <c r="Z449" s="53">
        <v>9999</v>
      </c>
      <c r="AA449" s="53">
        <v>215005</v>
      </c>
      <c r="AB449" s="53">
        <v>50</v>
      </c>
      <c r="AC449" s="53">
        <v>50</v>
      </c>
      <c r="AD449" s="53">
        <v>50</v>
      </c>
      <c r="AE449" s="94">
        <v>345</v>
      </c>
      <c r="AF449" s="94">
        <v>16</v>
      </c>
      <c r="AG449" s="94">
        <v>179</v>
      </c>
      <c r="AH449" s="132">
        <v>3.2</v>
      </c>
      <c r="AI449" s="94">
        <v>0</v>
      </c>
      <c r="AJ449" s="94">
        <v>0</v>
      </c>
      <c r="AK449" s="94">
        <v>1</v>
      </c>
      <c r="AL449" s="94">
        <v>0</v>
      </c>
      <c r="AM449" s="98" t="s">
        <v>676</v>
      </c>
      <c r="AN449" s="5" t="s">
        <v>690</v>
      </c>
      <c r="AO449" s="5" t="s">
        <v>691</v>
      </c>
      <c r="AW449" s="88"/>
      <c r="AX449" s="88"/>
    </row>
    <row r="450" s="5" customFormat="1" spans="2:51">
      <c r="B450" s="9">
        <v>1113007</v>
      </c>
      <c r="C450" s="9">
        <v>1113007</v>
      </c>
      <c r="D450" s="24" t="s">
        <v>695</v>
      </c>
      <c r="E450" s="9" t="s">
        <v>696</v>
      </c>
      <c r="F450" s="9"/>
      <c r="G450" s="9">
        <v>0</v>
      </c>
      <c r="H450" s="2"/>
      <c r="I450" s="2"/>
      <c r="J450" s="2"/>
      <c r="K450" s="2"/>
      <c r="L450" s="2"/>
      <c r="M450" s="9"/>
      <c r="N450" s="88">
        <v>0</v>
      </c>
      <c r="O450" s="5">
        <v>0</v>
      </c>
      <c r="P450" s="117">
        <v>2</v>
      </c>
      <c r="Q450" s="117">
        <v>2</v>
      </c>
      <c r="R450" s="9">
        <v>2</v>
      </c>
      <c r="S450" s="31" t="s">
        <v>139</v>
      </c>
      <c r="T450" s="9">
        <v>3</v>
      </c>
      <c r="U450" s="9">
        <v>8</v>
      </c>
      <c r="V450" s="9">
        <v>3</v>
      </c>
      <c r="W450" s="9">
        <v>52</v>
      </c>
      <c r="X450" s="9" t="s">
        <v>701</v>
      </c>
      <c r="Y450" s="9"/>
      <c r="Z450" s="53">
        <v>9999</v>
      </c>
      <c r="AA450" s="9">
        <v>215005</v>
      </c>
      <c r="AB450" s="9">
        <v>50</v>
      </c>
      <c r="AC450" s="9">
        <v>50</v>
      </c>
      <c r="AD450" s="9">
        <v>50</v>
      </c>
      <c r="AE450" s="117">
        <v>227</v>
      </c>
      <c r="AF450" s="117">
        <v>15</v>
      </c>
      <c r="AG450" s="117">
        <v>230</v>
      </c>
      <c r="AH450" s="117">
        <v>120</v>
      </c>
      <c r="AI450" s="117"/>
      <c r="AJ450" s="117"/>
      <c r="AK450" s="117">
        <v>1</v>
      </c>
      <c r="AL450" s="117"/>
      <c r="AM450" s="9" t="s">
        <v>676</v>
      </c>
      <c r="AN450" s="5" t="s">
        <v>703</v>
      </c>
      <c r="AO450" s="5" t="s">
        <v>704</v>
      </c>
      <c r="AP450" s="9"/>
      <c r="AQ450" s="9"/>
      <c r="AR450" s="9"/>
      <c r="AS450" s="9" t="s">
        <v>1878</v>
      </c>
      <c r="AT450" s="9" t="s">
        <v>169</v>
      </c>
      <c r="AU450" s="9"/>
      <c r="AV450" s="9"/>
      <c r="AW450" s="9"/>
      <c r="AX450" s="9"/>
      <c r="AY450" s="117"/>
    </row>
    <row r="451" spans="2:46">
      <c r="B451">
        <v>1113008</v>
      </c>
      <c r="C451">
        <v>1113008</v>
      </c>
      <c r="D451" s="24" t="s">
        <v>706</v>
      </c>
      <c r="E451" t="s">
        <v>706</v>
      </c>
      <c r="G451">
        <v>0</v>
      </c>
      <c r="H451" s="2" t="s">
        <v>707</v>
      </c>
      <c r="I451" s="2"/>
      <c r="J451" s="2"/>
      <c r="K451" s="2"/>
      <c r="L451" s="2"/>
      <c r="N451" s="88">
        <v>0</v>
      </c>
      <c r="O451">
        <v>0</v>
      </c>
      <c r="P451" s="13">
        <v>2</v>
      </c>
      <c r="Q451" s="14">
        <v>2</v>
      </c>
      <c r="R451">
        <v>3</v>
      </c>
      <c r="S451" s="31" t="s">
        <v>711</v>
      </c>
      <c r="T451">
        <v>3</v>
      </c>
      <c r="U451">
        <v>8</v>
      </c>
      <c r="V451">
        <v>3</v>
      </c>
      <c r="W451">
        <v>50</v>
      </c>
      <c r="X451" t="s">
        <v>712</v>
      </c>
      <c r="Z451" s="53">
        <v>9999</v>
      </c>
      <c r="AA451">
        <v>215005</v>
      </c>
      <c r="AB451">
        <v>50</v>
      </c>
      <c r="AC451">
        <v>50</v>
      </c>
      <c r="AD451">
        <v>50</v>
      </c>
      <c r="AE451" s="15">
        <v>221</v>
      </c>
      <c r="AF451" s="15">
        <v>11</v>
      </c>
      <c r="AG451" s="15">
        <v>313</v>
      </c>
      <c r="AH451" s="15">
        <v>4.6</v>
      </c>
      <c r="AI451" s="15">
        <v>0</v>
      </c>
      <c r="AJ451" s="15">
        <v>0</v>
      </c>
      <c r="AK451" s="15">
        <v>1</v>
      </c>
      <c r="AL451" s="15">
        <v>0</v>
      </c>
      <c r="AM451" s="16" t="s">
        <v>676</v>
      </c>
      <c r="AN451" s="5" t="s">
        <v>715</v>
      </c>
      <c r="AO451" s="5" t="s">
        <v>716</v>
      </c>
      <c r="AP451" s="5" t="s">
        <v>1882</v>
      </c>
      <c r="AQ451" s="5"/>
      <c r="AR451" s="5"/>
      <c r="AS451" s="17" t="s">
        <v>1878</v>
      </c>
      <c r="AT451" s="17" t="s">
        <v>169</v>
      </c>
    </row>
    <row r="452" s="5" customFormat="1" spans="2:51">
      <c r="B452" s="5">
        <v>1113009</v>
      </c>
      <c r="C452" s="5">
        <v>1113009</v>
      </c>
      <c r="D452" s="24" t="s">
        <v>718</v>
      </c>
      <c r="E452" s="5" t="s">
        <v>719</v>
      </c>
      <c r="G452" s="5">
        <v>0</v>
      </c>
      <c r="H452" s="2"/>
      <c r="I452" s="2"/>
      <c r="J452" s="2"/>
      <c r="K452" s="2"/>
      <c r="L452" s="2"/>
      <c r="N452" s="88">
        <v>0</v>
      </c>
      <c r="O452" s="5">
        <v>0</v>
      </c>
      <c r="P452" s="13">
        <v>2</v>
      </c>
      <c r="Q452" s="13">
        <v>2</v>
      </c>
      <c r="R452" s="5">
        <v>2</v>
      </c>
      <c r="S452" s="31" t="s">
        <v>139</v>
      </c>
      <c r="T452" s="5">
        <v>3</v>
      </c>
      <c r="U452" s="5">
        <v>8</v>
      </c>
      <c r="V452" s="5">
        <v>3</v>
      </c>
      <c r="W452" s="5">
        <v>40</v>
      </c>
      <c r="X452" s="5" t="s">
        <v>725</v>
      </c>
      <c r="Z452" s="53">
        <v>9999</v>
      </c>
      <c r="AA452" s="5">
        <v>215005</v>
      </c>
      <c r="AB452" s="5">
        <v>50</v>
      </c>
      <c r="AC452" s="5">
        <v>50</v>
      </c>
      <c r="AD452" s="5">
        <v>50</v>
      </c>
      <c r="AE452" s="13">
        <v>150</v>
      </c>
      <c r="AF452" s="13">
        <v>19</v>
      </c>
      <c r="AG452" s="13">
        <v>381</v>
      </c>
      <c r="AH452" s="13">
        <v>75</v>
      </c>
      <c r="AI452" s="13">
        <v>0.016</v>
      </c>
      <c r="AJ452" s="13">
        <v>0.01</v>
      </c>
      <c r="AK452" s="13">
        <v>1.02</v>
      </c>
      <c r="AL452" s="13" t="s">
        <v>154</v>
      </c>
      <c r="AM452" s="5" t="s">
        <v>727</v>
      </c>
      <c r="AN452" s="5" t="s">
        <v>728</v>
      </c>
      <c r="AO452" s="5" t="s">
        <v>729</v>
      </c>
      <c r="AS452" s="5" t="s">
        <v>1878</v>
      </c>
      <c r="AT452" s="5" t="s">
        <v>169</v>
      </c>
      <c r="AY452" s="13"/>
    </row>
    <row r="453" spans="2:51">
      <c r="B453" s="9">
        <v>1113010</v>
      </c>
      <c r="C453" s="9">
        <v>1113010</v>
      </c>
      <c r="D453" s="24" t="s">
        <v>731</v>
      </c>
      <c r="E453" s="9" t="s">
        <v>1883</v>
      </c>
      <c r="F453" s="9"/>
      <c r="G453" s="9">
        <v>0</v>
      </c>
      <c r="H453" s="2" t="s">
        <v>733</v>
      </c>
      <c r="I453" s="2"/>
      <c r="J453" s="2"/>
      <c r="K453" s="2"/>
      <c r="L453" s="2"/>
      <c r="M453" s="9"/>
      <c r="N453" s="88">
        <v>0</v>
      </c>
      <c r="O453">
        <v>0</v>
      </c>
      <c r="P453" s="32">
        <v>1</v>
      </c>
      <c r="Q453" s="32">
        <v>1</v>
      </c>
      <c r="R453" s="9">
        <v>5</v>
      </c>
      <c r="S453" s="31" t="s">
        <v>736</v>
      </c>
      <c r="T453">
        <v>3</v>
      </c>
      <c r="U453">
        <v>8</v>
      </c>
      <c r="V453" s="9">
        <v>3</v>
      </c>
      <c r="W453" s="9">
        <v>34</v>
      </c>
      <c r="X453" s="9" t="s">
        <v>737</v>
      </c>
      <c r="Y453" s="88"/>
      <c r="Z453" s="53">
        <v>9999</v>
      </c>
      <c r="AA453" s="53">
        <v>215005</v>
      </c>
      <c r="AB453" s="53">
        <v>50</v>
      </c>
      <c r="AC453" s="53">
        <v>50</v>
      </c>
      <c r="AD453" s="53">
        <v>50</v>
      </c>
      <c r="AE453" s="94">
        <v>179</v>
      </c>
      <c r="AF453" s="94">
        <v>18</v>
      </c>
      <c r="AG453" s="94">
        <v>313</v>
      </c>
      <c r="AH453" s="132">
        <v>9.5</v>
      </c>
      <c r="AI453" s="94">
        <v>0</v>
      </c>
      <c r="AJ453" s="94">
        <v>0</v>
      </c>
      <c r="AK453" s="94">
        <v>1</v>
      </c>
      <c r="AL453" s="94">
        <v>0</v>
      </c>
      <c r="AM453" s="98" t="s">
        <v>676</v>
      </c>
      <c r="AN453" s="5" t="s">
        <v>739</v>
      </c>
      <c r="AO453" s="5" t="s">
        <v>740</v>
      </c>
      <c r="AP453" s="5" t="s">
        <v>1884</v>
      </c>
      <c r="AQ453" s="5"/>
      <c r="AR453" s="5"/>
      <c r="AS453" s="116"/>
      <c r="AT453" s="116"/>
      <c r="AU453" s="116"/>
      <c r="AV453" s="118"/>
      <c r="AW453" s="9"/>
      <c r="AX453" s="9"/>
      <c r="AY453" s="117"/>
    </row>
    <row r="454" spans="2:51">
      <c r="B454">
        <v>1113011</v>
      </c>
      <c r="C454">
        <v>1113011</v>
      </c>
      <c r="D454" s="24" t="s">
        <v>547</v>
      </c>
      <c r="E454" s="9" t="s">
        <v>1885</v>
      </c>
      <c r="F454" s="9"/>
      <c r="G454" s="9">
        <v>0</v>
      </c>
      <c r="H454" s="2"/>
      <c r="I454" s="2"/>
      <c r="J454" s="2"/>
      <c r="K454" s="2"/>
      <c r="L454" s="2"/>
      <c r="M454" s="9"/>
      <c r="N454" s="88">
        <v>0</v>
      </c>
      <c r="O454">
        <v>0</v>
      </c>
      <c r="P454" s="32">
        <v>1</v>
      </c>
      <c r="Q454" s="32">
        <v>1</v>
      </c>
      <c r="R454" s="9">
        <v>8</v>
      </c>
      <c r="S454" s="31" t="s">
        <v>300</v>
      </c>
      <c r="T454">
        <v>3</v>
      </c>
      <c r="U454">
        <v>7</v>
      </c>
      <c r="V454" s="9">
        <v>3</v>
      </c>
      <c r="W454" s="9">
        <v>17</v>
      </c>
      <c r="X454" s="9" t="s">
        <v>745</v>
      </c>
      <c r="Y454" s="88"/>
      <c r="Z454" s="53">
        <v>9999</v>
      </c>
      <c r="AA454" s="53">
        <v>214005</v>
      </c>
      <c r="AB454" s="53">
        <v>30</v>
      </c>
      <c r="AC454" s="53">
        <v>30</v>
      </c>
      <c r="AD454" s="53">
        <v>30</v>
      </c>
      <c r="AE454" s="94">
        <v>119</v>
      </c>
      <c r="AF454" s="94">
        <v>11</v>
      </c>
      <c r="AG454" s="94">
        <v>228</v>
      </c>
      <c r="AH454" s="132">
        <v>3</v>
      </c>
      <c r="AI454" s="94">
        <v>0</v>
      </c>
      <c r="AJ454" s="94">
        <v>0</v>
      </c>
      <c r="AK454" s="94">
        <v>1</v>
      </c>
      <c r="AL454" s="94">
        <v>0</v>
      </c>
      <c r="AM454" s="98" t="s">
        <v>676</v>
      </c>
      <c r="AN454" s="5" t="s">
        <v>747</v>
      </c>
      <c r="AO454" s="5" t="s">
        <v>748</v>
      </c>
      <c r="AP454" s="5"/>
      <c r="AQ454" s="5"/>
      <c r="AR454" s="5"/>
      <c r="AS454" s="116"/>
      <c r="AT454" s="116"/>
      <c r="AU454" s="116"/>
      <c r="AV454" s="118"/>
      <c r="AW454" s="9"/>
      <c r="AX454" s="9"/>
      <c r="AY454" s="117"/>
    </row>
    <row r="455" spans="2:51">
      <c r="B455">
        <v>11113011</v>
      </c>
      <c r="C455">
        <v>11113011</v>
      </c>
      <c r="D455" s="24" t="s">
        <v>479</v>
      </c>
      <c r="E455" s="9" t="s">
        <v>1886</v>
      </c>
      <c r="F455" s="9"/>
      <c r="G455" s="9">
        <v>0</v>
      </c>
      <c r="H455" s="2"/>
      <c r="I455" s="2"/>
      <c r="J455" s="2"/>
      <c r="K455" s="2"/>
      <c r="L455" s="2"/>
      <c r="M455" s="9"/>
      <c r="N455" s="88">
        <v>0</v>
      </c>
      <c r="O455">
        <v>0</v>
      </c>
      <c r="P455" s="32">
        <v>1</v>
      </c>
      <c r="Q455" s="32">
        <v>1</v>
      </c>
      <c r="R455" s="9">
        <v>8</v>
      </c>
      <c r="S455" s="31" t="s">
        <v>1402</v>
      </c>
      <c r="T455">
        <v>3</v>
      </c>
      <c r="U455">
        <v>7</v>
      </c>
      <c r="V455" s="9">
        <v>2</v>
      </c>
      <c r="W455" s="9">
        <v>3009</v>
      </c>
      <c r="X455" s="9" t="s">
        <v>1404</v>
      </c>
      <c r="Y455" s="88"/>
      <c r="Z455" s="53">
        <v>9999</v>
      </c>
      <c r="AA455" s="53">
        <v>214005</v>
      </c>
      <c r="AB455" s="53">
        <v>30</v>
      </c>
      <c r="AC455" s="53">
        <v>30</v>
      </c>
      <c r="AD455" s="53">
        <v>30</v>
      </c>
      <c r="AE455" s="94">
        <v>119</v>
      </c>
      <c r="AF455" s="94">
        <v>11</v>
      </c>
      <c r="AG455" s="94">
        <v>228</v>
      </c>
      <c r="AH455" s="132">
        <v>3</v>
      </c>
      <c r="AI455" s="94">
        <v>0</v>
      </c>
      <c r="AJ455" s="94">
        <v>0</v>
      </c>
      <c r="AK455" s="94">
        <v>1</v>
      </c>
      <c r="AL455" s="94">
        <v>0</v>
      </c>
      <c r="AM455" s="98" t="s">
        <v>676</v>
      </c>
      <c r="AP455" s="5"/>
      <c r="AQ455" s="5"/>
      <c r="AR455" s="5"/>
      <c r="AS455" s="116"/>
      <c r="AT455" s="116"/>
      <c r="AU455" s="116"/>
      <c r="AV455" s="118"/>
      <c r="AW455" s="9"/>
      <c r="AX455" s="9"/>
      <c r="AY455" s="117"/>
    </row>
    <row r="456" spans="2:51">
      <c r="B456">
        <v>1114001</v>
      </c>
      <c r="C456">
        <v>1114001</v>
      </c>
      <c r="D456" s="24" t="s">
        <v>547</v>
      </c>
      <c r="E456" s="9" t="s">
        <v>1887</v>
      </c>
      <c r="F456" s="9"/>
      <c r="G456" s="9">
        <v>0</v>
      </c>
      <c r="H456" s="2"/>
      <c r="I456" s="2"/>
      <c r="J456" s="2"/>
      <c r="K456" s="2"/>
      <c r="L456" s="2"/>
      <c r="M456" s="9"/>
      <c r="N456" s="88">
        <v>0</v>
      </c>
      <c r="O456">
        <v>0</v>
      </c>
      <c r="P456" s="32">
        <v>1</v>
      </c>
      <c r="Q456" s="32">
        <v>1</v>
      </c>
      <c r="R456" s="9">
        <v>8</v>
      </c>
      <c r="S456" s="31" t="s">
        <v>300</v>
      </c>
      <c r="T456">
        <v>3</v>
      </c>
      <c r="U456">
        <v>7</v>
      </c>
      <c r="V456" s="9">
        <v>2</v>
      </c>
      <c r="W456" s="9">
        <v>3007</v>
      </c>
      <c r="X456" s="9" t="s">
        <v>1888</v>
      </c>
      <c r="Y456" s="88"/>
      <c r="Z456" s="53">
        <v>9999</v>
      </c>
      <c r="AA456" s="53">
        <v>214005</v>
      </c>
      <c r="AB456" s="53">
        <v>30</v>
      </c>
      <c r="AC456" s="53">
        <v>30</v>
      </c>
      <c r="AD456" s="53">
        <v>30</v>
      </c>
      <c r="AE456" s="94">
        <v>119</v>
      </c>
      <c r="AF456" s="94">
        <v>11</v>
      </c>
      <c r="AG456" s="94">
        <v>228</v>
      </c>
      <c r="AH456" s="132">
        <v>3</v>
      </c>
      <c r="AI456" s="94">
        <v>0</v>
      </c>
      <c r="AJ456" s="94">
        <v>0</v>
      </c>
      <c r="AK456" s="94">
        <v>1</v>
      </c>
      <c r="AL456" s="94">
        <v>0</v>
      </c>
      <c r="AM456" s="98" t="s">
        <v>676</v>
      </c>
      <c r="AN456" s="5"/>
      <c r="AO456" s="5"/>
      <c r="AP456" s="5"/>
      <c r="AQ456" s="5"/>
      <c r="AR456" s="5"/>
      <c r="AS456" s="116"/>
      <c r="AT456" s="116"/>
      <c r="AU456" s="116"/>
      <c r="AV456" s="118"/>
      <c r="AW456" s="9"/>
      <c r="AX456" s="9"/>
      <c r="AY456" s="117"/>
    </row>
    <row r="457" spans="2:46">
      <c r="B457">
        <v>11113005</v>
      </c>
      <c r="C457">
        <v>11113005</v>
      </c>
      <c r="D457" s="24" t="s">
        <v>1889</v>
      </c>
      <c r="E457" t="s">
        <v>1889</v>
      </c>
      <c r="G457">
        <v>0</v>
      </c>
      <c r="H457" s="2" t="s">
        <v>668</v>
      </c>
      <c r="I457" s="2" t="s">
        <v>669</v>
      </c>
      <c r="J457" s="2" t="s">
        <v>670</v>
      </c>
      <c r="K457" s="2" t="s">
        <v>671</v>
      </c>
      <c r="L457" s="2" t="s">
        <v>1879</v>
      </c>
      <c r="N457">
        <v>0</v>
      </c>
      <c r="O457">
        <v>0</v>
      </c>
      <c r="P457" s="13">
        <v>3</v>
      </c>
      <c r="Q457" s="14">
        <v>3</v>
      </c>
      <c r="R457">
        <v>3</v>
      </c>
      <c r="S457" s="31" t="s">
        <v>558</v>
      </c>
      <c r="T457">
        <v>3</v>
      </c>
      <c r="U457">
        <v>8</v>
      </c>
      <c r="V457">
        <v>3</v>
      </c>
      <c r="W457">
        <v>53</v>
      </c>
      <c r="X457" t="s">
        <v>674</v>
      </c>
      <c r="Y457" t="s">
        <v>675</v>
      </c>
      <c r="Z457" s="53">
        <v>9999</v>
      </c>
      <c r="AA457">
        <v>215005</v>
      </c>
      <c r="AB457">
        <v>50</v>
      </c>
      <c r="AC457">
        <v>50</v>
      </c>
      <c r="AD457">
        <v>50</v>
      </c>
      <c r="AE457" s="15">
        <v>160</v>
      </c>
      <c r="AF457" s="15">
        <v>22</v>
      </c>
      <c r="AG457" s="15">
        <v>313</v>
      </c>
      <c r="AH457" s="15">
        <v>95</v>
      </c>
      <c r="AI457" s="15">
        <v>0</v>
      </c>
      <c r="AJ457" s="15">
        <v>0</v>
      </c>
      <c r="AK457" s="15">
        <v>1</v>
      </c>
      <c r="AL457" s="15">
        <v>0</v>
      </c>
      <c r="AM457" s="16" t="s">
        <v>676</v>
      </c>
      <c r="AN457" s="5"/>
      <c r="AO457" s="5"/>
      <c r="AR457">
        <v>8</v>
      </c>
      <c r="AS457" s="17" t="s">
        <v>1880</v>
      </c>
      <c r="AT457" s="17" t="s">
        <v>169</v>
      </c>
    </row>
    <row r="458" spans="2:52">
      <c r="B458">
        <v>1113012</v>
      </c>
      <c r="C458">
        <v>1113012</v>
      </c>
      <c r="D458" s="24" t="s">
        <v>749</v>
      </c>
      <c r="E458" s="9" t="s">
        <v>749</v>
      </c>
      <c r="F458" s="9"/>
      <c r="G458" s="9">
        <v>0</v>
      </c>
      <c r="H458" s="2" t="s">
        <v>750</v>
      </c>
      <c r="I458" s="2" t="s">
        <v>751</v>
      </c>
      <c r="J458" s="2" t="s">
        <v>752</v>
      </c>
      <c r="K458" s="2" t="s">
        <v>136</v>
      </c>
      <c r="L458" s="2" t="s">
        <v>137</v>
      </c>
      <c r="M458" s="9" t="s">
        <v>753</v>
      </c>
      <c r="N458" s="88">
        <v>0</v>
      </c>
      <c r="O458">
        <v>0</v>
      </c>
      <c r="P458" s="32">
        <v>4</v>
      </c>
      <c r="Q458" s="32">
        <v>4</v>
      </c>
      <c r="R458" s="9">
        <v>5</v>
      </c>
      <c r="S458" s="31"/>
      <c r="T458">
        <v>3</v>
      </c>
      <c r="U458">
        <v>8</v>
      </c>
      <c r="V458" s="9">
        <v>3</v>
      </c>
      <c r="W458" s="9">
        <v>54</v>
      </c>
      <c r="X458" s="9" t="s">
        <v>754</v>
      </c>
      <c r="Y458" s="88" t="s">
        <v>755</v>
      </c>
      <c r="Z458" s="53">
        <v>630012</v>
      </c>
      <c r="AA458" s="53">
        <v>215005</v>
      </c>
      <c r="AB458" s="53">
        <v>50</v>
      </c>
      <c r="AC458" s="53">
        <v>50</v>
      </c>
      <c r="AD458" s="53">
        <v>50</v>
      </c>
      <c r="AE458" s="94">
        <v>160</v>
      </c>
      <c r="AF458" s="94">
        <v>17</v>
      </c>
      <c r="AG458" s="94">
        <v>376</v>
      </c>
      <c r="AH458" s="132">
        <v>88</v>
      </c>
      <c r="AI458" s="94">
        <v>0.016</v>
      </c>
      <c r="AJ458" s="94">
        <v>0.01</v>
      </c>
      <c r="AK458" s="94">
        <v>1.02</v>
      </c>
      <c r="AL458" s="94">
        <v>0</v>
      </c>
      <c r="AM458" s="98" t="s">
        <v>371</v>
      </c>
      <c r="AN458" t="s">
        <v>1890</v>
      </c>
      <c r="AO458" t="s">
        <v>1891</v>
      </c>
      <c r="AP458" s="5"/>
      <c r="AQ458" s="5"/>
      <c r="AR458" s="5">
        <v>8</v>
      </c>
      <c r="AS458" s="116" t="s">
        <v>758</v>
      </c>
      <c r="AT458" s="116" t="s">
        <v>169</v>
      </c>
      <c r="AU458" s="116" t="s">
        <v>510</v>
      </c>
      <c r="AV458" s="118" t="s">
        <v>511</v>
      </c>
      <c r="AW458" s="9"/>
      <c r="AX458" s="9"/>
      <c r="AY458" s="117"/>
      <c r="AZ458">
        <v>203</v>
      </c>
    </row>
    <row r="459" s="10" customFormat="1" spans="2:51">
      <c r="B459" s="133">
        <v>1113013</v>
      </c>
      <c r="C459" s="133">
        <v>1113013</v>
      </c>
      <c r="D459" s="24" t="s">
        <v>759</v>
      </c>
      <c r="E459" s="133" t="s">
        <v>760</v>
      </c>
      <c r="F459" s="133"/>
      <c r="G459" s="133">
        <v>1</v>
      </c>
      <c r="H459" s="2" t="s">
        <v>761</v>
      </c>
      <c r="I459" s="2" t="s">
        <v>762</v>
      </c>
      <c r="J459" s="2" t="s">
        <v>763</v>
      </c>
      <c r="K459" s="2" t="s">
        <v>367</v>
      </c>
      <c r="L459" s="2" t="s">
        <v>764</v>
      </c>
      <c r="M459" s="136" t="s">
        <v>765</v>
      </c>
      <c r="N459" s="137">
        <v>0</v>
      </c>
      <c r="O459" s="10">
        <v>0</v>
      </c>
      <c r="P459" s="138">
        <v>3</v>
      </c>
      <c r="Q459" s="138">
        <v>3</v>
      </c>
      <c r="R459" s="137">
        <v>5</v>
      </c>
      <c r="S459" s="31" t="s">
        <v>736</v>
      </c>
      <c r="T459" s="10">
        <v>3</v>
      </c>
      <c r="U459" s="10">
        <v>8</v>
      </c>
      <c r="V459" s="10">
        <v>3</v>
      </c>
      <c r="W459" s="10">
        <v>56</v>
      </c>
      <c r="X459" s="137" t="s">
        <v>766</v>
      </c>
      <c r="Y459" s="137" t="s">
        <v>767</v>
      </c>
      <c r="Z459" s="143">
        <v>630013</v>
      </c>
      <c r="AA459" s="143">
        <v>215005</v>
      </c>
      <c r="AB459" s="143">
        <v>50</v>
      </c>
      <c r="AC459" s="143">
        <v>50</v>
      </c>
      <c r="AD459" s="143">
        <v>50</v>
      </c>
      <c r="AE459" s="144">
        <v>217</v>
      </c>
      <c r="AF459" s="144">
        <v>16</v>
      </c>
      <c r="AG459" s="144">
        <v>251</v>
      </c>
      <c r="AH459" s="144">
        <v>120</v>
      </c>
      <c r="AI459" s="149">
        <v>0.016</v>
      </c>
      <c r="AJ459" s="149" t="s">
        <v>154</v>
      </c>
      <c r="AK459" s="149">
        <v>1.008</v>
      </c>
      <c r="AL459" s="149">
        <v>0.0102</v>
      </c>
      <c r="AM459" s="150" t="s">
        <v>371</v>
      </c>
      <c r="AN459" s="10" t="s">
        <v>768</v>
      </c>
      <c r="AO459" s="10" t="s">
        <v>769</v>
      </c>
      <c r="AR459" s="10">
        <v>8</v>
      </c>
      <c r="AS459" s="10" t="s">
        <v>770</v>
      </c>
      <c r="AT459" s="155"/>
      <c r="AU459" s="137"/>
      <c r="AV459" s="156"/>
      <c r="AW459" s="137"/>
      <c r="AX459" s="137"/>
      <c r="AY459" s="162"/>
    </row>
    <row r="460" spans="2:51">
      <c r="B460">
        <v>1113014</v>
      </c>
      <c r="C460">
        <v>1113014</v>
      </c>
      <c r="D460" s="24" t="s">
        <v>771</v>
      </c>
      <c r="E460" s="9" t="s">
        <v>771</v>
      </c>
      <c r="F460" s="9"/>
      <c r="G460" s="9">
        <v>0</v>
      </c>
      <c r="H460" s="2" t="s">
        <v>772</v>
      </c>
      <c r="I460" s="2" t="s">
        <v>773</v>
      </c>
      <c r="J460" s="2" t="s">
        <v>150</v>
      </c>
      <c r="K460" s="2" t="s">
        <v>136</v>
      </c>
      <c r="L460" s="2" t="s">
        <v>774</v>
      </c>
      <c r="M460" s="9" t="s">
        <v>775</v>
      </c>
      <c r="N460" s="88">
        <v>0</v>
      </c>
      <c r="O460">
        <v>0</v>
      </c>
      <c r="P460" s="32">
        <v>3</v>
      </c>
      <c r="Q460" s="32">
        <v>3</v>
      </c>
      <c r="R460" s="9">
        <v>9</v>
      </c>
      <c r="S460" s="31" t="s">
        <v>595</v>
      </c>
      <c r="T460">
        <v>3</v>
      </c>
      <c r="U460">
        <v>8</v>
      </c>
      <c r="V460" s="9">
        <v>3</v>
      </c>
      <c r="W460" s="9">
        <v>55</v>
      </c>
      <c r="X460" s="9" t="s">
        <v>776</v>
      </c>
      <c r="Y460" s="88" t="s">
        <v>777</v>
      </c>
      <c r="Z460" s="53">
        <v>630014</v>
      </c>
      <c r="AA460" s="53">
        <v>215005</v>
      </c>
      <c r="AB460" s="53">
        <v>50</v>
      </c>
      <c r="AC460" s="53">
        <v>50</v>
      </c>
      <c r="AD460" s="53">
        <v>50</v>
      </c>
      <c r="AE460" s="94">
        <v>187</v>
      </c>
      <c r="AF460" s="94">
        <v>18</v>
      </c>
      <c r="AG460" s="94">
        <v>292</v>
      </c>
      <c r="AH460" s="132">
        <v>88</v>
      </c>
      <c r="AI460" s="94">
        <v>0.016</v>
      </c>
      <c r="AJ460" s="94" t="s">
        <v>154</v>
      </c>
      <c r="AK460" s="94">
        <v>1.008</v>
      </c>
      <c r="AL460" s="94">
        <v>0.0102</v>
      </c>
      <c r="AM460" s="98" t="s">
        <v>371</v>
      </c>
      <c r="AN460" t="s">
        <v>778</v>
      </c>
      <c r="AO460" t="s">
        <v>779</v>
      </c>
      <c r="AP460" s="5"/>
      <c r="AQ460" s="5"/>
      <c r="AR460" s="5">
        <v>8</v>
      </c>
      <c r="AS460" s="116" t="s">
        <v>780</v>
      </c>
      <c r="AT460" s="116"/>
      <c r="AU460" s="116"/>
      <c r="AV460" s="118"/>
      <c r="AW460" s="9"/>
      <c r="AX460" s="9"/>
      <c r="AY460" s="117"/>
    </row>
    <row r="461" spans="2:51">
      <c r="B461">
        <v>1113015</v>
      </c>
      <c r="C461">
        <v>1113015</v>
      </c>
      <c r="D461" s="24" t="s">
        <v>781</v>
      </c>
      <c r="E461" s="9" t="s">
        <v>781</v>
      </c>
      <c r="F461" s="9"/>
      <c r="G461" s="9">
        <v>0</v>
      </c>
      <c r="H461" s="2" t="s">
        <v>782</v>
      </c>
      <c r="I461" s="2" t="s">
        <v>783</v>
      </c>
      <c r="J461" s="2" t="s">
        <v>150</v>
      </c>
      <c r="K461" s="2" t="s">
        <v>136</v>
      </c>
      <c r="L461" s="2" t="s">
        <v>784</v>
      </c>
      <c r="M461" s="9" t="s">
        <v>785</v>
      </c>
      <c r="N461" s="88">
        <v>0</v>
      </c>
      <c r="O461">
        <v>0</v>
      </c>
      <c r="P461" s="32">
        <v>3</v>
      </c>
      <c r="Q461" s="32">
        <v>3</v>
      </c>
      <c r="R461" s="9">
        <v>9</v>
      </c>
      <c r="S461" s="31" t="s">
        <v>786</v>
      </c>
      <c r="T461">
        <v>3</v>
      </c>
      <c r="U461">
        <v>8</v>
      </c>
      <c r="V461" s="9">
        <v>3</v>
      </c>
      <c r="W461" s="9">
        <v>57</v>
      </c>
      <c r="X461" s="9" t="s">
        <v>787</v>
      </c>
      <c r="Y461" s="88" t="s">
        <v>788</v>
      </c>
      <c r="Z461" s="53">
        <v>630015</v>
      </c>
      <c r="AA461" s="53">
        <v>215005</v>
      </c>
      <c r="AB461" s="53">
        <v>50</v>
      </c>
      <c r="AC461" s="53">
        <v>50</v>
      </c>
      <c r="AD461" s="53">
        <v>50</v>
      </c>
      <c r="AE461" s="94">
        <v>140</v>
      </c>
      <c r="AF461" s="94">
        <v>22</v>
      </c>
      <c r="AG461" s="94">
        <v>365</v>
      </c>
      <c r="AH461" s="132">
        <v>80</v>
      </c>
      <c r="AI461" s="94">
        <v>0.016</v>
      </c>
      <c r="AJ461" s="94">
        <v>0.01</v>
      </c>
      <c r="AK461" s="94">
        <v>1.02</v>
      </c>
      <c r="AL461" s="94" t="s">
        <v>154</v>
      </c>
      <c r="AM461" s="98" t="s">
        <v>727</v>
      </c>
      <c r="AN461" t="s">
        <v>789</v>
      </c>
      <c r="AO461" t="s">
        <v>790</v>
      </c>
      <c r="AP461" s="5"/>
      <c r="AQ461" s="5"/>
      <c r="AR461" s="5">
        <v>8</v>
      </c>
      <c r="AS461" s="116" t="s">
        <v>791</v>
      </c>
      <c r="AT461" s="116"/>
      <c r="AU461" s="116"/>
      <c r="AV461" s="118"/>
      <c r="AW461" s="9"/>
      <c r="AX461" s="9"/>
      <c r="AY461" s="117"/>
    </row>
    <row r="462" spans="2:51">
      <c r="B462">
        <v>1113016</v>
      </c>
      <c r="C462">
        <v>1113016</v>
      </c>
      <c r="D462" s="24" t="s">
        <v>792</v>
      </c>
      <c r="E462" s="9" t="s">
        <v>792</v>
      </c>
      <c r="F462" s="9"/>
      <c r="G462" s="9">
        <v>0</v>
      </c>
      <c r="H462" s="2" t="s">
        <v>793</v>
      </c>
      <c r="I462" s="2" t="s">
        <v>794</v>
      </c>
      <c r="J462" s="2" t="s">
        <v>366</v>
      </c>
      <c r="K462" s="2" t="s">
        <v>367</v>
      </c>
      <c r="L462" s="2" t="s">
        <v>137</v>
      </c>
      <c r="M462" s="9" t="s">
        <v>795</v>
      </c>
      <c r="N462" s="88">
        <v>0</v>
      </c>
      <c r="O462">
        <v>0</v>
      </c>
      <c r="P462" s="32">
        <v>5</v>
      </c>
      <c r="Q462" s="32">
        <v>5</v>
      </c>
      <c r="R462" s="9">
        <v>3</v>
      </c>
      <c r="S462" s="31" t="s">
        <v>796</v>
      </c>
      <c r="T462">
        <v>3</v>
      </c>
      <c r="U462">
        <v>8</v>
      </c>
      <c r="V462" s="9">
        <v>3</v>
      </c>
      <c r="W462" s="9">
        <v>60</v>
      </c>
      <c r="X462" s="9" t="s">
        <v>797</v>
      </c>
      <c r="Y462" s="88" t="s">
        <v>798</v>
      </c>
      <c r="Z462" s="53">
        <v>630016</v>
      </c>
      <c r="AA462" s="53">
        <v>215005</v>
      </c>
      <c r="AB462" s="53">
        <v>50</v>
      </c>
      <c r="AC462" s="53">
        <v>50</v>
      </c>
      <c r="AD462" s="53">
        <v>50</v>
      </c>
      <c r="AE462" s="94">
        <v>191</v>
      </c>
      <c r="AF462" s="94">
        <v>16</v>
      </c>
      <c r="AG462" s="94">
        <v>313</v>
      </c>
      <c r="AH462" s="132">
        <v>85</v>
      </c>
      <c r="AI462" s="94">
        <v>0.018</v>
      </c>
      <c r="AJ462" s="94" t="s">
        <v>154</v>
      </c>
      <c r="AK462" s="94">
        <v>1.016</v>
      </c>
      <c r="AL462" s="94" t="s">
        <v>154</v>
      </c>
      <c r="AM462" s="98" t="s">
        <v>714</v>
      </c>
      <c r="AN462" t="s">
        <v>799</v>
      </c>
      <c r="AO462" t="s">
        <v>800</v>
      </c>
      <c r="AP462" s="5"/>
      <c r="AQ462" s="5"/>
      <c r="AR462" s="5">
        <v>8</v>
      </c>
      <c r="AS462" s="116" t="s">
        <v>801</v>
      </c>
      <c r="AT462" s="116"/>
      <c r="AU462" s="116"/>
      <c r="AV462" s="118"/>
      <c r="AW462" s="9"/>
      <c r="AX462" s="9"/>
      <c r="AY462" s="117"/>
    </row>
    <row r="463" spans="2:51">
      <c r="B463">
        <v>1113017</v>
      </c>
      <c r="C463">
        <v>1113017</v>
      </c>
      <c r="D463" s="24" t="s">
        <v>802</v>
      </c>
      <c r="E463" s="9" t="s">
        <v>802</v>
      </c>
      <c r="F463" s="9"/>
      <c r="G463" s="9">
        <v>0</v>
      </c>
      <c r="H463" s="2" t="s">
        <v>803</v>
      </c>
      <c r="I463" s="2" t="s">
        <v>804</v>
      </c>
      <c r="J463" s="2" t="s">
        <v>150</v>
      </c>
      <c r="K463" s="2" t="s">
        <v>136</v>
      </c>
      <c r="L463" s="2" t="s">
        <v>381</v>
      </c>
      <c r="M463" s="9" t="s">
        <v>805</v>
      </c>
      <c r="N463" s="88">
        <v>0</v>
      </c>
      <c r="O463">
        <v>0</v>
      </c>
      <c r="P463" s="32">
        <v>1</v>
      </c>
      <c r="Q463" s="32">
        <v>1</v>
      </c>
      <c r="R463" s="9">
        <v>2</v>
      </c>
      <c r="S463" s="31" t="s">
        <v>139</v>
      </c>
      <c r="T463">
        <v>3</v>
      </c>
      <c r="U463">
        <v>8</v>
      </c>
      <c r="V463" s="9">
        <v>3</v>
      </c>
      <c r="W463" s="9">
        <v>61</v>
      </c>
      <c r="X463" s="9" t="s">
        <v>806</v>
      </c>
      <c r="Y463" s="88" t="s">
        <v>807</v>
      </c>
      <c r="Z463" s="53">
        <v>630017</v>
      </c>
      <c r="AA463" s="53">
        <v>215005</v>
      </c>
      <c r="AB463" s="53">
        <v>50</v>
      </c>
      <c r="AC463" s="53">
        <v>50</v>
      </c>
      <c r="AD463" s="53">
        <v>50</v>
      </c>
      <c r="AE463" s="94">
        <v>171</v>
      </c>
      <c r="AF463" s="94">
        <v>16</v>
      </c>
      <c r="AG463" s="94">
        <v>365</v>
      </c>
      <c r="AH463" s="132">
        <v>89</v>
      </c>
      <c r="AI463" s="94" t="s">
        <v>154</v>
      </c>
      <c r="AJ463" s="94">
        <v>0.02</v>
      </c>
      <c r="AK463" s="94">
        <v>1.01</v>
      </c>
      <c r="AL463" s="94">
        <v>0.01</v>
      </c>
      <c r="AM463" s="98" t="s">
        <v>607</v>
      </c>
      <c r="AN463" t="s">
        <v>808</v>
      </c>
      <c r="AO463" t="s">
        <v>809</v>
      </c>
      <c r="AP463" s="5"/>
      <c r="AQ463" s="5"/>
      <c r="AR463" s="5">
        <v>8</v>
      </c>
      <c r="AS463" s="116" t="s">
        <v>810</v>
      </c>
      <c r="AT463" s="116"/>
      <c r="AU463" s="116"/>
      <c r="AV463" s="118"/>
      <c r="AW463" s="9"/>
      <c r="AX463" s="9"/>
      <c r="AY463" s="117"/>
    </row>
    <row r="464" spans="2:51">
      <c r="B464">
        <v>11113017</v>
      </c>
      <c r="C464">
        <v>11113017</v>
      </c>
      <c r="D464" s="24" t="s">
        <v>1892</v>
      </c>
      <c r="E464" s="9" t="s">
        <v>802</v>
      </c>
      <c r="F464" s="9"/>
      <c r="G464" s="9">
        <v>0</v>
      </c>
      <c r="H464" s="2" t="s">
        <v>803</v>
      </c>
      <c r="I464" s="2" t="s">
        <v>804</v>
      </c>
      <c r="J464" s="2" t="s">
        <v>150</v>
      </c>
      <c r="K464" s="2" t="s">
        <v>136</v>
      </c>
      <c r="L464" s="2" t="s">
        <v>381</v>
      </c>
      <c r="M464" s="9" t="s">
        <v>805</v>
      </c>
      <c r="N464" s="88">
        <v>0</v>
      </c>
      <c r="O464">
        <v>0</v>
      </c>
      <c r="P464" s="32">
        <v>1</v>
      </c>
      <c r="Q464" s="32">
        <v>1</v>
      </c>
      <c r="R464" s="9">
        <v>2</v>
      </c>
      <c r="S464" s="31" t="s">
        <v>139</v>
      </c>
      <c r="T464">
        <v>3</v>
      </c>
      <c r="U464">
        <v>8</v>
      </c>
      <c r="V464" s="9">
        <v>3</v>
      </c>
      <c r="W464" s="9">
        <v>30005</v>
      </c>
      <c r="X464" s="9" t="s">
        <v>806</v>
      </c>
      <c r="Y464" s="88" t="s">
        <v>807</v>
      </c>
      <c r="Z464" s="53">
        <v>630017</v>
      </c>
      <c r="AA464" s="53">
        <v>215005</v>
      </c>
      <c r="AB464" s="53">
        <v>50</v>
      </c>
      <c r="AC464" s="53">
        <v>50</v>
      </c>
      <c r="AD464" s="53">
        <v>50</v>
      </c>
      <c r="AE464" s="94">
        <v>171</v>
      </c>
      <c r="AF464" s="94">
        <v>16</v>
      </c>
      <c r="AG464" s="94">
        <v>365</v>
      </c>
      <c r="AH464" s="132">
        <v>89</v>
      </c>
      <c r="AI464" s="94" t="s">
        <v>154</v>
      </c>
      <c r="AJ464" s="94">
        <v>0.02</v>
      </c>
      <c r="AK464" s="94">
        <v>1.01</v>
      </c>
      <c r="AL464" s="94">
        <v>0.01</v>
      </c>
      <c r="AM464" s="98" t="s">
        <v>607</v>
      </c>
      <c r="AN464" t="s">
        <v>808</v>
      </c>
      <c r="AO464" t="s">
        <v>809</v>
      </c>
      <c r="AP464" s="5"/>
      <c r="AQ464" s="5"/>
      <c r="AR464" s="5">
        <v>8</v>
      </c>
      <c r="AS464" s="116" t="s">
        <v>810</v>
      </c>
      <c r="AT464" s="116"/>
      <c r="AU464" s="116"/>
      <c r="AV464" s="118"/>
      <c r="AW464" s="9"/>
      <c r="AX464" s="9"/>
      <c r="AY464" s="117"/>
    </row>
    <row r="465" spans="2:51">
      <c r="B465">
        <v>1113018</v>
      </c>
      <c r="C465">
        <v>1113018</v>
      </c>
      <c r="D465" s="9" t="s">
        <v>811</v>
      </c>
      <c r="E465" s="9" t="s">
        <v>811</v>
      </c>
      <c r="F465" s="9"/>
      <c r="G465" s="9">
        <v>0</v>
      </c>
      <c r="H465" s="2" t="s">
        <v>812</v>
      </c>
      <c r="I465" s="2"/>
      <c r="J465" s="2"/>
      <c r="K465" s="2"/>
      <c r="L465" s="2"/>
      <c r="M465" s="9" t="s">
        <v>805</v>
      </c>
      <c r="N465" s="88">
        <v>0</v>
      </c>
      <c r="O465">
        <v>0</v>
      </c>
      <c r="P465" s="32">
        <v>1</v>
      </c>
      <c r="Q465" s="32">
        <v>1</v>
      </c>
      <c r="R465" s="9">
        <v>8</v>
      </c>
      <c r="S465" s="31" t="s">
        <v>300</v>
      </c>
      <c r="T465">
        <v>3</v>
      </c>
      <c r="U465">
        <v>8</v>
      </c>
      <c r="V465" s="9">
        <v>3</v>
      </c>
      <c r="W465" s="9">
        <v>62</v>
      </c>
      <c r="X465" s="9" t="s">
        <v>818</v>
      </c>
      <c r="Y465" s="88" t="s">
        <v>819</v>
      </c>
      <c r="Z465" s="53">
        <v>630018</v>
      </c>
      <c r="AA465" s="53">
        <v>215005</v>
      </c>
      <c r="AB465" s="53">
        <v>50</v>
      </c>
      <c r="AC465" s="53">
        <v>50</v>
      </c>
      <c r="AD465" s="53">
        <v>50</v>
      </c>
      <c r="AE465" s="94">
        <v>171</v>
      </c>
      <c r="AF465" s="94">
        <v>16</v>
      </c>
      <c r="AG465" s="94">
        <v>365</v>
      </c>
      <c r="AH465" s="132">
        <v>89</v>
      </c>
      <c r="AI465" s="94" t="s">
        <v>154</v>
      </c>
      <c r="AJ465" s="94">
        <v>0.02</v>
      </c>
      <c r="AK465" s="94">
        <v>1.01</v>
      </c>
      <c r="AL465" s="94">
        <v>0.01</v>
      </c>
      <c r="AM465" s="98" t="s">
        <v>607</v>
      </c>
      <c r="AN465" t="s">
        <v>808</v>
      </c>
      <c r="AO465" t="s">
        <v>809</v>
      </c>
      <c r="AP465" s="5"/>
      <c r="AQ465" s="5"/>
      <c r="AR465" s="5">
        <v>8</v>
      </c>
      <c r="AS465" s="116" t="s">
        <v>810</v>
      </c>
      <c r="AT465" s="116"/>
      <c r="AU465" s="116"/>
      <c r="AV465" s="118"/>
      <c r="AW465" s="9"/>
      <c r="AX465" s="9"/>
      <c r="AY465" s="117"/>
    </row>
    <row r="466" spans="2:51">
      <c r="B466">
        <v>1113019</v>
      </c>
      <c r="C466">
        <v>1113019</v>
      </c>
      <c r="D466" s="9" t="s">
        <v>1893</v>
      </c>
      <c r="E466" s="9" t="s">
        <v>1893</v>
      </c>
      <c r="F466" s="9"/>
      <c r="G466" s="9">
        <v>2</v>
      </c>
      <c r="H466" s="2" t="s">
        <v>824</v>
      </c>
      <c r="I466" s="2"/>
      <c r="J466" s="2"/>
      <c r="K466" s="2"/>
      <c r="L466" s="2"/>
      <c r="M466" s="9" t="s">
        <v>805</v>
      </c>
      <c r="N466" s="88">
        <v>0</v>
      </c>
      <c r="O466">
        <v>0</v>
      </c>
      <c r="P466" s="32">
        <v>1</v>
      </c>
      <c r="Q466" s="32">
        <v>1</v>
      </c>
      <c r="R466" s="9">
        <v>8</v>
      </c>
      <c r="S466" s="31" t="s">
        <v>829</v>
      </c>
      <c r="T466">
        <v>3</v>
      </c>
      <c r="U466">
        <v>8</v>
      </c>
      <c r="V466" s="9">
        <v>3</v>
      </c>
      <c r="W466" s="9">
        <v>63</v>
      </c>
      <c r="X466" s="9" t="s">
        <v>830</v>
      </c>
      <c r="Y466" s="88" t="s">
        <v>831</v>
      </c>
      <c r="Z466" s="53">
        <v>630019</v>
      </c>
      <c r="AA466" s="53">
        <v>215005</v>
      </c>
      <c r="AB466" s="53">
        <v>50</v>
      </c>
      <c r="AC466" s="53">
        <v>50</v>
      </c>
      <c r="AD466" s="53">
        <v>50</v>
      </c>
      <c r="AE466" s="94">
        <v>171</v>
      </c>
      <c r="AF466" s="94">
        <v>16</v>
      </c>
      <c r="AG466" s="94">
        <v>365</v>
      </c>
      <c r="AH466" s="132">
        <v>89</v>
      </c>
      <c r="AI466" s="94" t="s">
        <v>154</v>
      </c>
      <c r="AJ466" s="94">
        <v>0.02</v>
      </c>
      <c r="AK466" s="94">
        <v>1.01</v>
      </c>
      <c r="AL466" s="94">
        <v>0.01</v>
      </c>
      <c r="AM466" s="98" t="s">
        <v>607</v>
      </c>
      <c r="AN466" t="s">
        <v>808</v>
      </c>
      <c r="AO466" t="s">
        <v>809</v>
      </c>
      <c r="AP466" s="5"/>
      <c r="AQ466" s="5"/>
      <c r="AR466" s="5">
        <v>8</v>
      </c>
      <c r="AS466" s="116" t="s">
        <v>810</v>
      </c>
      <c r="AT466" s="116"/>
      <c r="AU466" s="116"/>
      <c r="AV466" s="118"/>
      <c r="AW466" s="9"/>
      <c r="AX466" s="9"/>
      <c r="AY466" s="117"/>
    </row>
    <row r="467" s="5" customFormat="1" spans="2:51">
      <c r="B467" s="5">
        <v>1113020</v>
      </c>
      <c r="C467" s="5">
        <v>1113020</v>
      </c>
      <c r="D467" s="9" t="s">
        <v>835</v>
      </c>
      <c r="E467" s="9" t="s">
        <v>835</v>
      </c>
      <c r="F467" s="9"/>
      <c r="G467" s="28">
        <v>0</v>
      </c>
      <c r="H467" s="2" t="s">
        <v>836</v>
      </c>
      <c r="I467" s="2" t="s">
        <v>837</v>
      </c>
      <c r="J467" s="2" t="s">
        <v>222</v>
      </c>
      <c r="K467" s="2" t="s">
        <v>136</v>
      </c>
      <c r="L467" s="2" t="s">
        <v>838</v>
      </c>
      <c r="M467" s="40" t="s">
        <v>839</v>
      </c>
      <c r="N467" s="88">
        <v>0</v>
      </c>
      <c r="O467" s="5">
        <v>0</v>
      </c>
      <c r="P467" s="42">
        <v>3</v>
      </c>
      <c r="Q467" s="42">
        <v>3</v>
      </c>
      <c r="R467" s="5">
        <v>3</v>
      </c>
      <c r="S467" s="31" t="s">
        <v>711</v>
      </c>
      <c r="T467" s="5">
        <v>3</v>
      </c>
      <c r="U467" s="5">
        <v>8</v>
      </c>
      <c r="V467" s="5">
        <v>3</v>
      </c>
      <c r="W467" s="5">
        <v>64</v>
      </c>
      <c r="X467" s="41" t="s">
        <v>840</v>
      </c>
      <c r="Y467" s="41" t="s">
        <v>841</v>
      </c>
      <c r="Z467" s="54">
        <v>630020</v>
      </c>
      <c r="AA467" s="54">
        <v>215005</v>
      </c>
      <c r="AB467" s="54">
        <v>50</v>
      </c>
      <c r="AC467" s="54">
        <v>50</v>
      </c>
      <c r="AD467" s="54">
        <v>50</v>
      </c>
      <c r="AE467" s="55">
        <v>160</v>
      </c>
      <c r="AF467" s="55">
        <v>22</v>
      </c>
      <c r="AG467" s="55">
        <v>313</v>
      </c>
      <c r="AH467" s="55">
        <v>118</v>
      </c>
      <c r="AI467" s="62" t="s">
        <v>154</v>
      </c>
      <c r="AJ467" s="62">
        <v>0.02</v>
      </c>
      <c r="AK467" s="62">
        <v>1.01</v>
      </c>
      <c r="AL467" s="62">
        <v>0.01</v>
      </c>
      <c r="AM467" s="63" t="s">
        <v>607</v>
      </c>
      <c r="AN467" s="5" t="s">
        <v>1894</v>
      </c>
      <c r="AO467" s="5" t="s">
        <v>1895</v>
      </c>
      <c r="AR467" s="5">
        <v>8</v>
      </c>
      <c r="AS467" s="5" t="s">
        <v>844</v>
      </c>
      <c r="AT467" s="72"/>
      <c r="AU467" s="41"/>
      <c r="AV467" s="73"/>
      <c r="AW467" s="41"/>
      <c r="AX467" s="41">
        <v>2</v>
      </c>
      <c r="AY467" s="78"/>
    </row>
    <row r="468" s="5" customFormat="1" spans="2:51">
      <c r="B468" s="5">
        <v>1113021</v>
      </c>
      <c r="C468" s="5">
        <v>1113021</v>
      </c>
      <c r="D468" s="9" t="s">
        <v>845</v>
      </c>
      <c r="E468" s="9" t="s">
        <v>845</v>
      </c>
      <c r="F468" s="9"/>
      <c r="G468" s="28">
        <v>0</v>
      </c>
      <c r="H468" s="2" t="s">
        <v>846</v>
      </c>
      <c r="I468" s="2" t="s">
        <v>847</v>
      </c>
      <c r="J468" s="2" t="s">
        <v>366</v>
      </c>
      <c r="K468" s="2" t="s">
        <v>136</v>
      </c>
      <c r="L468" s="2" t="s">
        <v>848</v>
      </c>
      <c r="M468" s="40" t="s">
        <v>849</v>
      </c>
      <c r="N468" s="88">
        <v>0</v>
      </c>
      <c r="O468" s="5">
        <v>0</v>
      </c>
      <c r="P468" s="42">
        <v>3</v>
      </c>
      <c r="Q468" s="42">
        <v>3</v>
      </c>
      <c r="R468" s="5">
        <v>3</v>
      </c>
      <c r="S468" s="31" t="s">
        <v>711</v>
      </c>
      <c r="T468" s="5">
        <v>3</v>
      </c>
      <c r="U468" s="5">
        <v>8</v>
      </c>
      <c r="V468" s="5">
        <v>3</v>
      </c>
      <c r="W468" s="5">
        <v>65</v>
      </c>
      <c r="X468" s="41" t="s">
        <v>850</v>
      </c>
      <c r="Y468" s="41" t="s">
        <v>851</v>
      </c>
      <c r="Z468" s="54">
        <v>630021</v>
      </c>
      <c r="AA468" s="54">
        <v>215005</v>
      </c>
      <c r="AB468" s="54">
        <v>50</v>
      </c>
      <c r="AC468" s="54">
        <v>50</v>
      </c>
      <c r="AD468" s="54">
        <v>50</v>
      </c>
      <c r="AE468" s="55">
        <v>188</v>
      </c>
      <c r="AF468" s="55">
        <v>15</v>
      </c>
      <c r="AG468" s="55">
        <v>339</v>
      </c>
      <c r="AH468" s="55">
        <v>100</v>
      </c>
      <c r="AI468" s="62">
        <v>0.016</v>
      </c>
      <c r="AJ468" s="62">
        <v>0.01</v>
      </c>
      <c r="AK468" s="62">
        <v>1.02</v>
      </c>
      <c r="AL468" s="62" t="s">
        <v>154</v>
      </c>
      <c r="AM468" s="63" t="s">
        <v>727</v>
      </c>
      <c r="AN468" s="5" t="s">
        <v>852</v>
      </c>
      <c r="AO468" s="5" t="s">
        <v>853</v>
      </c>
      <c r="AR468" s="5">
        <v>8</v>
      </c>
      <c r="AS468" s="5" t="s">
        <v>854</v>
      </c>
      <c r="AT468" s="72"/>
      <c r="AU468" s="41"/>
      <c r="AV468" s="73"/>
      <c r="AW468" s="41"/>
      <c r="AX468" s="41">
        <v>2</v>
      </c>
      <c r="AY468" s="78"/>
    </row>
    <row r="469" s="5" customFormat="1" spans="2:51">
      <c r="B469" s="5">
        <v>1113022</v>
      </c>
      <c r="C469" s="5">
        <v>1113022</v>
      </c>
      <c r="D469" s="9" t="s">
        <v>855</v>
      </c>
      <c r="E469" s="9" t="s">
        <v>855</v>
      </c>
      <c r="F469" s="9"/>
      <c r="G469" s="28">
        <v>0</v>
      </c>
      <c r="H469" s="2" t="s">
        <v>856</v>
      </c>
      <c r="I469" s="2" t="s">
        <v>857</v>
      </c>
      <c r="J469" s="2" t="s">
        <v>162</v>
      </c>
      <c r="K469" s="2" t="s">
        <v>367</v>
      </c>
      <c r="L469" s="2" t="s">
        <v>858</v>
      </c>
      <c r="M469" s="40" t="s">
        <v>859</v>
      </c>
      <c r="N469" s="88">
        <v>0</v>
      </c>
      <c r="O469" s="5">
        <v>0</v>
      </c>
      <c r="P469" s="42">
        <v>1</v>
      </c>
      <c r="Q469" s="42">
        <v>1</v>
      </c>
      <c r="R469" s="5">
        <v>3</v>
      </c>
      <c r="S469" s="31" t="s">
        <v>711</v>
      </c>
      <c r="T469" s="5">
        <v>3</v>
      </c>
      <c r="U469" s="5">
        <v>8</v>
      </c>
      <c r="V469" s="5">
        <v>3</v>
      </c>
      <c r="W469" s="5">
        <v>66</v>
      </c>
      <c r="X469" s="41" t="s">
        <v>860</v>
      </c>
      <c r="Y469" s="41" t="s">
        <v>861</v>
      </c>
      <c r="Z469" s="54">
        <v>630022</v>
      </c>
      <c r="AA469" s="54">
        <v>215005</v>
      </c>
      <c r="AB469" s="54">
        <v>50</v>
      </c>
      <c r="AC469" s="54">
        <v>50</v>
      </c>
      <c r="AD469" s="54">
        <v>50</v>
      </c>
      <c r="AE469" s="55">
        <v>193</v>
      </c>
      <c r="AF469" s="55">
        <v>15</v>
      </c>
      <c r="AG469" s="55">
        <v>329</v>
      </c>
      <c r="AH469" s="55">
        <v>120</v>
      </c>
      <c r="AI469" s="62">
        <v>0.018</v>
      </c>
      <c r="AJ469" s="62" t="s">
        <v>154</v>
      </c>
      <c r="AK469" s="62">
        <v>1.016</v>
      </c>
      <c r="AL469" s="62" t="s">
        <v>154</v>
      </c>
      <c r="AM469" s="63" t="s">
        <v>629</v>
      </c>
      <c r="AN469" s="5" t="s">
        <v>862</v>
      </c>
      <c r="AO469" s="5" t="s">
        <v>863</v>
      </c>
      <c r="AR469" s="5">
        <v>8</v>
      </c>
      <c r="AS469" s="5" t="s">
        <v>864</v>
      </c>
      <c r="AT469" s="72"/>
      <c r="AU469" s="41"/>
      <c r="AV469" s="73"/>
      <c r="AW469" s="41"/>
      <c r="AX469" s="41">
        <v>2</v>
      </c>
      <c r="AY469" s="78"/>
    </row>
    <row r="470" s="5" customFormat="1" spans="2:51">
      <c r="B470" s="5">
        <v>1113023</v>
      </c>
      <c r="C470" s="5">
        <v>1113023</v>
      </c>
      <c r="D470" s="9" t="s">
        <v>865</v>
      </c>
      <c r="E470" s="9" t="s">
        <v>865</v>
      </c>
      <c r="F470" s="9"/>
      <c r="G470" s="28">
        <v>0</v>
      </c>
      <c r="H470" s="2" t="s">
        <v>866</v>
      </c>
      <c r="I470" s="2" t="s">
        <v>867</v>
      </c>
      <c r="J470" s="2" t="s">
        <v>262</v>
      </c>
      <c r="K470" s="2" t="s">
        <v>367</v>
      </c>
      <c r="L470" s="2" t="s">
        <v>137</v>
      </c>
      <c r="M470" s="40" t="s">
        <v>868</v>
      </c>
      <c r="N470" s="88">
        <v>0</v>
      </c>
      <c r="O470" s="5">
        <v>0</v>
      </c>
      <c r="P470" s="42">
        <v>5</v>
      </c>
      <c r="Q470" s="42">
        <v>5</v>
      </c>
      <c r="R470" s="5">
        <v>3</v>
      </c>
      <c r="S470" s="31" t="s">
        <v>711</v>
      </c>
      <c r="T470" s="5">
        <v>3</v>
      </c>
      <c r="U470" s="5">
        <v>8</v>
      </c>
      <c r="V470" s="5">
        <v>3</v>
      </c>
      <c r="W470" s="5">
        <v>67</v>
      </c>
      <c r="X470" s="41" t="s">
        <v>869</v>
      </c>
      <c r="Y470" s="41" t="s">
        <v>870</v>
      </c>
      <c r="Z470" s="54">
        <v>630023</v>
      </c>
      <c r="AA470" s="54">
        <v>215005</v>
      </c>
      <c r="AB470" s="54">
        <v>50</v>
      </c>
      <c r="AC470" s="54">
        <v>50</v>
      </c>
      <c r="AD470" s="54">
        <v>50</v>
      </c>
      <c r="AE470" s="55">
        <v>223</v>
      </c>
      <c r="AF470" s="55">
        <v>15</v>
      </c>
      <c r="AG470" s="55">
        <v>251</v>
      </c>
      <c r="AH470" s="55">
        <v>120</v>
      </c>
      <c r="AI470" s="62">
        <v>0.018</v>
      </c>
      <c r="AJ470" s="62" t="s">
        <v>154</v>
      </c>
      <c r="AK470" s="62">
        <v>1.016</v>
      </c>
      <c r="AL470" s="62" t="s">
        <v>154</v>
      </c>
      <c r="AM470" s="63" t="s">
        <v>629</v>
      </c>
      <c r="AN470" s="5" t="s">
        <v>871</v>
      </c>
      <c r="AO470" s="5" t="s">
        <v>872</v>
      </c>
      <c r="AR470" s="5">
        <v>8</v>
      </c>
      <c r="AS470" s="5" t="s">
        <v>873</v>
      </c>
      <c r="AT470" s="72"/>
      <c r="AU470" s="41"/>
      <c r="AV470" s="73"/>
      <c r="AW470" s="41"/>
      <c r="AX470" s="41">
        <v>2</v>
      </c>
      <c r="AY470" s="78"/>
    </row>
    <row r="471" s="5" customFormat="1" spans="2:51">
      <c r="B471" s="5">
        <v>1113024</v>
      </c>
      <c r="C471" s="5">
        <v>1113024</v>
      </c>
      <c r="D471" s="9" t="s">
        <v>874</v>
      </c>
      <c r="E471" s="9" t="s">
        <v>874</v>
      </c>
      <c r="F471" s="9"/>
      <c r="G471" s="28">
        <v>0</v>
      </c>
      <c r="H471" s="2" t="s">
        <v>875</v>
      </c>
      <c r="I471" s="2" t="s">
        <v>876</v>
      </c>
      <c r="J471" s="2" t="s">
        <v>162</v>
      </c>
      <c r="K471" s="2" t="s">
        <v>136</v>
      </c>
      <c r="L471" s="2" t="s">
        <v>137</v>
      </c>
      <c r="M471" s="40" t="s">
        <v>877</v>
      </c>
      <c r="N471" s="88">
        <v>0</v>
      </c>
      <c r="O471" s="5">
        <v>0</v>
      </c>
      <c r="P471" s="42">
        <v>5</v>
      </c>
      <c r="Q471" s="42">
        <v>5</v>
      </c>
      <c r="R471" s="5">
        <v>3</v>
      </c>
      <c r="S471" s="31" t="s">
        <v>1896</v>
      </c>
      <c r="T471" s="5">
        <v>3</v>
      </c>
      <c r="U471" s="5">
        <v>8</v>
      </c>
      <c r="V471" s="5">
        <v>3</v>
      </c>
      <c r="W471" s="5">
        <v>68</v>
      </c>
      <c r="X471" s="41" t="s">
        <v>878</v>
      </c>
      <c r="Y471" s="41" t="s">
        <v>879</v>
      </c>
      <c r="Z471" s="54">
        <v>630024</v>
      </c>
      <c r="AA471" s="54">
        <v>215005</v>
      </c>
      <c r="AB471" s="54">
        <v>50</v>
      </c>
      <c r="AC471" s="54">
        <v>50</v>
      </c>
      <c r="AD471" s="54">
        <v>50</v>
      </c>
      <c r="AE471" s="55">
        <v>184</v>
      </c>
      <c r="AF471" s="55">
        <v>16</v>
      </c>
      <c r="AG471" s="55">
        <v>329</v>
      </c>
      <c r="AH471" s="55">
        <v>110</v>
      </c>
      <c r="AI471" s="62">
        <v>0.016</v>
      </c>
      <c r="AJ471" s="62">
        <v>0.01</v>
      </c>
      <c r="AK471" s="62">
        <v>1.02</v>
      </c>
      <c r="AL471" s="62">
        <v>0</v>
      </c>
      <c r="AM471" s="63" t="s">
        <v>371</v>
      </c>
      <c r="AN471" s="5" t="s">
        <v>880</v>
      </c>
      <c r="AO471" s="5" t="s">
        <v>881</v>
      </c>
      <c r="AR471" s="5">
        <v>8</v>
      </c>
      <c r="AS471" s="5" t="s">
        <v>854</v>
      </c>
      <c r="AT471" s="72"/>
      <c r="AU471" s="41"/>
      <c r="AV471" s="73"/>
      <c r="AW471" s="41"/>
      <c r="AX471" s="41">
        <v>2</v>
      </c>
      <c r="AY471" s="78"/>
    </row>
    <row r="472" s="5" customFormat="1" spans="2:51">
      <c r="B472" s="5">
        <v>1113025</v>
      </c>
      <c r="C472" s="5">
        <v>112004</v>
      </c>
      <c r="D472" s="9" t="s">
        <v>882</v>
      </c>
      <c r="E472" s="9" t="s">
        <v>883</v>
      </c>
      <c r="F472" s="9"/>
      <c r="G472" s="28">
        <v>0</v>
      </c>
      <c r="H472" s="2" t="s">
        <v>884</v>
      </c>
      <c r="I472" s="2" t="s">
        <v>885</v>
      </c>
      <c r="J472" s="2" t="s">
        <v>886</v>
      </c>
      <c r="K472" s="2" t="s">
        <v>671</v>
      </c>
      <c r="L472" s="2" t="s">
        <v>137</v>
      </c>
      <c r="M472" s="40" t="s">
        <v>887</v>
      </c>
      <c r="N472" s="88">
        <v>0</v>
      </c>
      <c r="O472" s="5">
        <v>0</v>
      </c>
      <c r="P472" s="42">
        <v>6</v>
      </c>
      <c r="Q472" s="42">
        <v>6</v>
      </c>
      <c r="R472" s="41">
        <v>1</v>
      </c>
      <c r="S472" s="31" t="s">
        <v>319</v>
      </c>
      <c r="T472" s="5">
        <v>3</v>
      </c>
      <c r="U472" s="5">
        <v>8</v>
      </c>
      <c r="V472" s="5">
        <v>3</v>
      </c>
      <c r="W472" s="5">
        <v>69</v>
      </c>
      <c r="X472" s="41" t="s">
        <v>888</v>
      </c>
      <c r="Y472" s="41" t="s">
        <v>889</v>
      </c>
      <c r="Z472" s="54">
        <v>630025</v>
      </c>
      <c r="AA472" s="54">
        <v>215005</v>
      </c>
      <c r="AB472" s="54">
        <v>50</v>
      </c>
      <c r="AC472" s="54">
        <v>50</v>
      </c>
      <c r="AD472" s="54">
        <v>50</v>
      </c>
      <c r="AE472" s="55">
        <v>227</v>
      </c>
      <c r="AF472" s="55">
        <v>15</v>
      </c>
      <c r="AG472" s="55">
        <v>235</v>
      </c>
      <c r="AH472" s="55">
        <v>130</v>
      </c>
      <c r="AI472" s="62">
        <v>0.018</v>
      </c>
      <c r="AJ472" s="62" t="s">
        <v>154</v>
      </c>
      <c r="AK472" s="62">
        <v>1.016</v>
      </c>
      <c r="AL472" s="62" t="s">
        <v>154</v>
      </c>
      <c r="AM472" s="63" t="s">
        <v>629</v>
      </c>
      <c r="AN472" s="5" t="s">
        <v>890</v>
      </c>
      <c r="AO472" s="5" t="s">
        <v>891</v>
      </c>
      <c r="AR472" s="5">
        <v>8</v>
      </c>
      <c r="AS472" s="5" t="s">
        <v>892</v>
      </c>
      <c r="AT472" s="72"/>
      <c r="AU472" s="41"/>
      <c r="AV472" s="73"/>
      <c r="AW472" s="41"/>
      <c r="AX472" s="41">
        <v>2</v>
      </c>
      <c r="AY472" s="78"/>
    </row>
    <row r="473" s="5" customFormat="1" spans="2:51">
      <c r="B473" s="5">
        <v>1113026</v>
      </c>
      <c r="C473" s="5">
        <v>112002</v>
      </c>
      <c r="D473" s="9" t="s">
        <v>893</v>
      </c>
      <c r="E473" s="9" t="s">
        <v>894</v>
      </c>
      <c r="F473" s="9"/>
      <c r="G473" s="28">
        <v>0</v>
      </c>
      <c r="H473" s="2" t="s">
        <v>895</v>
      </c>
      <c r="I473" s="2" t="s">
        <v>896</v>
      </c>
      <c r="J473" s="2" t="s">
        <v>150</v>
      </c>
      <c r="K473" s="2" t="s">
        <v>136</v>
      </c>
      <c r="L473" s="2" t="s">
        <v>137</v>
      </c>
      <c r="M473" s="40" t="s">
        <v>897</v>
      </c>
      <c r="N473" s="88">
        <v>0</v>
      </c>
      <c r="O473" s="5">
        <v>0</v>
      </c>
      <c r="P473" s="42">
        <v>5</v>
      </c>
      <c r="Q473" s="42">
        <v>5</v>
      </c>
      <c r="R473" s="41">
        <v>1</v>
      </c>
      <c r="S473" s="31" t="s">
        <v>319</v>
      </c>
      <c r="T473" s="5">
        <v>3</v>
      </c>
      <c r="U473" s="5">
        <v>8</v>
      </c>
      <c r="V473" s="5">
        <v>3</v>
      </c>
      <c r="W473" s="5">
        <v>70</v>
      </c>
      <c r="X473" s="41" t="s">
        <v>898</v>
      </c>
      <c r="Y473" s="41" t="s">
        <v>899</v>
      </c>
      <c r="Z473" s="54">
        <v>630026</v>
      </c>
      <c r="AA473" s="54">
        <v>215005</v>
      </c>
      <c r="AB473" s="54">
        <v>50</v>
      </c>
      <c r="AC473" s="54">
        <v>50</v>
      </c>
      <c r="AD473" s="54">
        <v>50</v>
      </c>
      <c r="AE473" s="55">
        <v>186</v>
      </c>
      <c r="AF473" s="55">
        <v>16</v>
      </c>
      <c r="AG473" s="55">
        <v>326</v>
      </c>
      <c r="AH473" s="55">
        <v>105</v>
      </c>
      <c r="AI473" s="62">
        <v>0.018</v>
      </c>
      <c r="AJ473" s="62" t="s">
        <v>154</v>
      </c>
      <c r="AK473" s="62">
        <v>1.016</v>
      </c>
      <c r="AL473" s="62" t="s">
        <v>154</v>
      </c>
      <c r="AM473" s="63" t="s">
        <v>629</v>
      </c>
      <c r="AN473" s="5" t="s">
        <v>900</v>
      </c>
      <c r="AO473" s="5" t="s">
        <v>901</v>
      </c>
      <c r="AR473" s="5">
        <v>8</v>
      </c>
      <c r="AS473" s="5" t="s">
        <v>902</v>
      </c>
      <c r="AT473" s="72"/>
      <c r="AU473" s="41"/>
      <c r="AV473" s="73"/>
      <c r="AW473" s="41">
        <v>9</v>
      </c>
      <c r="AX473" s="41">
        <v>2</v>
      </c>
      <c r="AY473" s="78"/>
    </row>
    <row r="474" s="5" customFormat="1" spans="2:51">
      <c r="B474" s="5">
        <v>1113027</v>
      </c>
      <c r="C474" s="5">
        <v>1113027</v>
      </c>
      <c r="D474" s="9" t="s">
        <v>903</v>
      </c>
      <c r="E474" s="9" t="s">
        <v>903</v>
      </c>
      <c r="F474" s="9"/>
      <c r="G474" s="28">
        <v>0</v>
      </c>
      <c r="H474" s="2" t="s">
        <v>903</v>
      </c>
      <c r="I474" s="2" t="s">
        <v>1897</v>
      </c>
      <c r="J474" s="2" t="s">
        <v>1898</v>
      </c>
      <c r="K474" s="2" t="s">
        <v>1899</v>
      </c>
      <c r="L474" s="2" t="s">
        <v>1900</v>
      </c>
      <c r="M474" s="40"/>
      <c r="N474" s="88">
        <v>0</v>
      </c>
      <c r="O474" s="5">
        <v>0</v>
      </c>
      <c r="P474" s="42">
        <v>2</v>
      </c>
      <c r="Q474" s="42">
        <v>2</v>
      </c>
      <c r="R474" s="41">
        <v>3</v>
      </c>
      <c r="S474" s="31" t="s">
        <v>908</v>
      </c>
      <c r="T474" s="5">
        <v>3</v>
      </c>
      <c r="U474" s="5">
        <v>8</v>
      </c>
      <c r="V474" s="5">
        <v>3</v>
      </c>
      <c r="W474" s="5">
        <v>78</v>
      </c>
      <c r="X474" s="41" t="s">
        <v>909</v>
      </c>
      <c r="Y474" s="41" t="s">
        <v>899</v>
      </c>
      <c r="Z474" s="54">
        <v>630027</v>
      </c>
      <c r="AA474" s="54">
        <v>215005</v>
      </c>
      <c r="AB474" s="54">
        <v>50</v>
      </c>
      <c r="AC474" s="54">
        <v>50</v>
      </c>
      <c r="AD474" s="54">
        <v>50</v>
      </c>
      <c r="AE474" s="55">
        <v>9000</v>
      </c>
      <c r="AF474" s="55">
        <v>4500</v>
      </c>
      <c r="AG474" s="55">
        <v>80000</v>
      </c>
      <c r="AH474" s="55">
        <v>200</v>
      </c>
      <c r="AI474" s="62">
        <v>0.018</v>
      </c>
      <c r="AJ474" s="62" t="s">
        <v>154</v>
      </c>
      <c r="AK474" s="62">
        <v>1.016</v>
      </c>
      <c r="AL474" s="62" t="s">
        <v>154</v>
      </c>
      <c r="AM474" s="63" t="s">
        <v>629</v>
      </c>
      <c r="AN474" s="5" t="s">
        <v>911</v>
      </c>
      <c r="AO474" s="5" t="s">
        <v>912</v>
      </c>
      <c r="AR474" s="5">
        <v>8</v>
      </c>
      <c r="AS474" s="5" t="s">
        <v>864</v>
      </c>
      <c r="AT474" s="72"/>
      <c r="AU474" s="41"/>
      <c r="AV474" s="73"/>
      <c r="AW474" s="41"/>
      <c r="AX474" s="41"/>
      <c r="AY474" s="78"/>
    </row>
    <row r="475" s="5" customFormat="1" spans="2:51">
      <c r="B475" s="5">
        <v>1113028</v>
      </c>
      <c r="C475" s="5">
        <v>112003</v>
      </c>
      <c r="D475" s="9" t="s">
        <v>913</v>
      </c>
      <c r="E475" s="9" t="s">
        <v>913</v>
      </c>
      <c r="F475" s="9"/>
      <c r="G475" s="28">
        <v>1</v>
      </c>
      <c r="H475" s="2" t="s">
        <v>914</v>
      </c>
      <c r="I475" s="2" t="s">
        <v>915</v>
      </c>
      <c r="J475" s="2" t="s">
        <v>886</v>
      </c>
      <c r="K475" s="2" t="s">
        <v>136</v>
      </c>
      <c r="L475" s="2" t="s">
        <v>137</v>
      </c>
      <c r="M475" s="40" t="s">
        <v>916</v>
      </c>
      <c r="N475" s="41">
        <v>0</v>
      </c>
      <c r="O475" s="5">
        <v>0</v>
      </c>
      <c r="P475" s="42">
        <v>6</v>
      </c>
      <c r="Q475" s="42">
        <v>6</v>
      </c>
      <c r="R475" s="41">
        <v>1</v>
      </c>
      <c r="S475" s="31" t="s">
        <v>319</v>
      </c>
      <c r="T475" s="5">
        <v>3</v>
      </c>
      <c r="U475" s="5">
        <v>8</v>
      </c>
      <c r="V475" s="5">
        <v>3</v>
      </c>
      <c r="W475" s="5">
        <v>72</v>
      </c>
      <c r="X475" s="41" t="s">
        <v>917</v>
      </c>
      <c r="Y475" s="41" t="s">
        <v>899</v>
      </c>
      <c r="Z475" s="54">
        <v>630028</v>
      </c>
      <c r="AA475" s="54">
        <v>215005</v>
      </c>
      <c r="AB475" s="54">
        <v>50</v>
      </c>
      <c r="AC475" s="54">
        <v>50</v>
      </c>
      <c r="AD475" s="54">
        <v>50</v>
      </c>
      <c r="AE475" s="55">
        <v>223</v>
      </c>
      <c r="AF475" s="55">
        <v>15</v>
      </c>
      <c r="AG475" s="55">
        <v>240</v>
      </c>
      <c r="AH475" s="55">
        <v>130</v>
      </c>
      <c r="AI475" s="62">
        <v>0.018</v>
      </c>
      <c r="AJ475" s="62" t="s">
        <v>154</v>
      </c>
      <c r="AK475" s="62">
        <v>1.016</v>
      </c>
      <c r="AL475" s="62" t="s">
        <v>154</v>
      </c>
      <c r="AM475" s="63" t="s">
        <v>629</v>
      </c>
      <c r="AN475" s="5" t="s">
        <v>919</v>
      </c>
      <c r="AO475" s="5" t="s">
        <v>920</v>
      </c>
      <c r="AR475" s="5">
        <v>8</v>
      </c>
      <c r="AS475" s="5" t="s">
        <v>921</v>
      </c>
      <c r="AT475" s="72"/>
      <c r="AU475" s="41"/>
      <c r="AV475" s="73"/>
      <c r="AW475" s="41"/>
      <c r="AX475" s="41"/>
      <c r="AY475" s="78"/>
    </row>
    <row r="476" s="5" customFormat="1" spans="2:51">
      <c r="B476" s="5">
        <v>1113029</v>
      </c>
      <c r="C476" s="5">
        <v>112007</v>
      </c>
      <c r="D476" s="9" t="s">
        <v>922</v>
      </c>
      <c r="E476" s="9" t="s">
        <v>922</v>
      </c>
      <c r="F476" s="9"/>
      <c r="G476" s="28">
        <v>1</v>
      </c>
      <c r="H476" s="2" t="s">
        <v>923</v>
      </c>
      <c r="I476" s="2" t="s">
        <v>924</v>
      </c>
      <c r="J476" s="2" t="s">
        <v>925</v>
      </c>
      <c r="K476" s="2" t="s">
        <v>354</v>
      </c>
      <c r="L476" s="2" t="s">
        <v>395</v>
      </c>
      <c r="M476" s="40" t="s">
        <v>926</v>
      </c>
      <c r="N476" s="41">
        <v>0</v>
      </c>
      <c r="O476" s="5">
        <v>0</v>
      </c>
      <c r="P476" s="42">
        <v>3</v>
      </c>
      <c r="Q476" s="42">
        <v>3</v>
      </c>
      <c r="R476" s="41">
        <v>1</v>
      </c>
      <c r="S476" s="31" t="s">
        <v>319</v>
      </c>
      <c r="T476" s="5">
        <v>3</v>
      </c>
      <c r="U476" s="5">
        <v>8</v>
      </c>
      <c r="V476" s="5">
        <v>3</v>
      </c>
      <c r="W476" s="5">
        <v>75</v>
      </c>
      <c r="X476" s="41" t="s">
        <v>927</v>
      </c>
      <c r="Y476" s="41"/>
      <c r="Z476" s="54">
        <v>630029</v>
      </c>
      <c r="AA476" s="54">
        <v>215005</v>
      </c>
      <c r="AB476" s="54">
        <v>50</v>
      </c>
      <c r="AC476" s="54">
        <v>50</v>
      </c>
      <c r="AD476" s="54">
        <v>50</v>
      </c>
      <c r="AE476" s="55">
        <v>215</v>
      </c>
      <c r="AF476" s="55">
        <v>16</v>
      </c>
      <c r="AG476" s="55">
        <v>245</v>
      </c>
      <c r="AH476" s="55">
        <v>130</v>
      </c>
      <c r="AI476" s="62">
        <v>0.018</v>
      </c>
      <c r="AJ476" s="62" t="s">
        <v>154</v>
      </c>
      <c r="AK476" s="62">
        <v>1.016</v>
      </c>
      <c r="AL476" s="62" t="s">
        <v>154</v>
      </c>
      <c r="AM476" s="63" t="s">
        <v>629</v>
      </c>
      <c r="AN476" s="5" t="s">
        <v>929</v>
      </c>
      <c r="AO476" s="5" t="s">
        <v>930</v>
      </c>
      <c r="AR476" s="5">
        <v>8</v>
      </c>
      <c r="AS476" s="5" t="s">
        <v>931</v>
      </c>
      <c r="AT476" s="72"/>
      <c r="AU476" s="41"/>
      <c r="AV476" s="73"/>
      <c r="AW476" s="41"/>
      <c r="AX476" s="41"/>
      <c r="AY476" s="78"/>
    </row>
    <row r="477" s="5" customFormat="1" spans="2:51">
      <c r="B477" s="5">
        <v>1113030</v>
      </c>
      <c r="C477" s="5">
        <v>113030</v>
      </c>
      <c r="D477" s="9" t="s">
        <v>932</v>
      </c>
      <c r="E477" s="9" t="s">
        <v>932</v>
      </c>
      <c r="F477" s="9"/>
      <c r="G477" s="28">
        <v>0</v>
      </c>
      <c r="H477" s="2" t="s">
        <v>933</v>
      </c>
      <c r="I477" s="2" t="s">
        <v>934</v>
      </c>
      <c r="J477" s="2" t="s">
        <v>150</v>
      </c>
      <c r="K477" s="2" t="s">
        <v>367</v>
      </c>
      <c r="L477" s="2" t="s">
        <v>935</v>
      </c>
      <c r="M477" s="40" t="s">
        <v>936</v>
      </c>
      <c r="N477" s="41">
        <v>0</v>
      </c>
      <c r="O477" s="5">
        <v>0</v>
      </c>
      <c r="P477" s="42">
        <v>3</v>
      </c>
      <c r="Q477" s="42">
        <v>3</v>
      </c>
      <c r="R477" s="41">
        <v>5</v>
      </c>
      <c r="S477" s="31" t="s">
        <v>736</v>
      </c>
      <c r="T477" s="5">
        <v>3</v>
      </c>
      <c r="U477" s="5">
        <v>8</v>
      </c>
      <c r="V477" s="5">
        <v>3</v>
      </c>
      <c r="W477" s="5">
        <v>2174</v>
      </c>
      <c r="X477" s="41" t="s">
        <v>937</v>
      </c>
      <c r="Y477" s="41"/>
      <c r="Z477" s="54">
        <v>630030</v>
      </c>
      <c r="AA477" s="54">
        <v>215005</v>
      </c>
      <c r="AB477" s="54">
        <v>50</v>
      </c>
      <c r="AC477" s="54">
        <v>50</v>
      </c>
      <c r="AD477" s="54">
        <v>50</v>
      </c>
      <c r="AE477" s="55">
        <v>185</v>
      </c>
      <c r="AF477" s="55">
        <v>16</v>
      </c>
      <c r="AG477" s="55">
        <v>324</v>
      </c>
      <c r="AH477" s="55">
        <v>115</v>
      </c>
      <c r="AI477" s="62">
        <v>0.016</v>
      </c>
      <c r="AJ477" s="62">
        <v>0.01</v>
      </c>
      <c r="AK477" s="62">
        <v>1.02</v>
      </c>
      <c r="AL477" s="62" t="s">
        <v>154</v>
      </c>
      <c r="AM477" s="63" t="s">
        <v>727</v>
      </c>
      <c r="AN477" s="5" t="s">
        <v>939</v>
      </c>
      <c r="AO477" s="5" t="s">
        <v>940</v>
      </c>
      <c r="AR477" s="5">
        <v>8</v>
      </c>
      <c r="AS477" s="5" t="s">
        <v>941</v>
      </c>
      <c r="AT477" s="72"/>
      <c r="AU477" s="41"/>
      <c r="AV477" s="73"/>
      <c r="AW477" s="41"/>
      <c r="AX477" s="41"/>
      <c r="AY477" s="78"/>
    </row>
    <row r="478" s="5" customFormat="1" spans="2:51">
      <c r="B478" s="5">
        <v>1113031</v>
      </c>
      <c r="C478" s="5">
        <v>112001</v>
      </c>
      <c r="D478" s="9" t="s">
        <v>942</v>
      </c>
      <c r="E478" s="9" t="s">
        <v>942</v>
      </c>
      <c r="F478" s="9"/>
      <c r="G478" s="28">
        <v>0</v>
      </c>
      <c r="H478" s="2" t="s">
        <v>943</v>
      </c>
      <c r="I478" s="2" t="s">
        <v>944</v>
      </c>
      <c r="J478" s="2" t="s">
        <v>150</v>
      </c>
      <c r="K478" s="2" t="s">
        <v>136</v>
      </c>
      <c r="L478" s="2" t="s">
        <v>317</v>
      </c>
      <c r="M478" s="40" t="s">
        <v>945</v>
      </c>
      <c r="N478" s="41">
        <v>0</v>
      </c>
      <c r="O478" s="5">
        <v>0</v>
      </c>
      <c r="P478" s="42">
        <v>3</v>
      </c>
      <c r="Q478" s="42">
        <v>3</v>
      </c>
      <c r="R478" s="41">
        <v>1</v>
      </c>
      <c r="S478" s="31" t="s">
        <v>319</v>
      </c>
      <c r="T478" s="5">
        <v>3</v>
      </c>
      <c r="U478" s="5">
        <v>8</v>
      </c>
      <c r="V478" s="5">
        <v>3</v>
      </c>
      <c r="W478" s="5">
        <v>71</v>
      </c>
      <c r="X478" s="41" t="s">
        <v>946</v>
      </c>
      <c r="Y478" s="41" t="s">
        <v>947</v>
      </c>
      <c r="Z478" s="54">
        <v>630031</v>
      </c>
      <c r="AA478" s="54">
        <v>215005</v>
      </c>
      <c r="AB478" s="54">
        <v>50</v>
      </c>
      <c r="AC478" s="54">
        <v>50</v>
      </c>
      <c r="AD478" s="54">
        <v>50</v>
      </c>
      <c r="AE478" s="55">
        <v>197</v>
      </c>
      <c r="AF478" s="55">
        <v>13</v>
      </c>
      <c r="AG478" s="55">
        <v>334</v>
      </c>
      <c r="AH478" s="55">
        <v>101</v>
      </c>
      <c r="AI478" s="62">
        <v>0.016</v>
      </c>
      <c r="AJ478" s="62">
        <v>0.01</v>
      </c>
      <c r="AK478" s="62">
        <v>1.02</v>
      </c>
      <c r="AL478" s="62" t="s">
        <v>154</v>
      </c>
      <c r="AM478" s="63" t="s">
        <v>727</v>
      </c>
      <c r="AN478" s="5" t="s">
        <v>948</v>
      </c>
      <c r="AO478" s="5" t="s">
        <v>949</v>
      </c>
      <c r="AR478" s="5">
        <v>8</v>
      </c>
      <c r="AS478" s="5" t="s">
        <v>854</v>
      </c>
      <c r="AT478" s="72"/>
      <c r="AU478" s="41"/>
      <c r="AV478" s="73"/>
      <c r="AW478" s="41">
        <v>9</v>
      </c>
      <c r="AX478" s="41"/>
      <c r="AY478" s="78"/>
    </row>
    <row r="479" s="5" customFormat="1" spans="2:51">
      <c r="B479" s="5">
        <v>1113032</v>
      </c>
      <c r="C479" s="5">
        <v>113032</v>
      </c>
      <c r="D479" s="9" t="s">
        <v>950</v>
      </c>
      <c r="E479" s="9" t="s">
        <v>950</v>
      </c>
      <c r="F479" s="9"/>
      <c r="G479" s="28">
        <v>0</v>
      </c>
      <c r="H479" s="2" t="s">
        <v>1901</v>
      </c>
      <c r="I479" s="2" t="s">
        <v>1902</v>
      </c>
      <c r="J479" s="2" t="s">
        <v>683</v>
      </c>
      <c r="K479" s="2" t="s">
        <v>136</v>
      </c>
      <c r="L479" s="2" t="s">
        <v>440</v>
      </c>
      <c r="M479" s="40" t="s">
        <v>953</v>
      </c>
      <c r="N479" s="41">
        <v>0</v>
      </c>
      <c r="O479" s="5">
        <v>0</v>
      </c>
      <c r="P479" s="42">
        <v>2</v>
      </c>
      <c r="Q479" s="42">
        <v>2</v>
      </c>
      <c r="R479" s="41">
        <v>2</v>
      </c>
      <c r="S479" s="31" t="s">
        <v>139</v>
      </c>
      <c r="T479" s="5">
        <v>3</v>
      </c>
      <c r="U479" s="5">
        <v>8</v>
      </c>
      <c r="V479" s="5">
        <v>3</v>
      </c>
      <c r="W479" s="5">
        <v>79</v>
      </c>
      <c r="X479" s="41" t="s">
        <v>954</v>
      </c>
      <c r="Y479" s="41"/>
      <c r="Z479" s="54">
        <v>630032</v>
      </c>
      <c r="AA479" s="54">
        <v>215005</v>
      </c>
      <c r="AB479" s="54">
        <v>50</v>
      </c>
      <c r="AC479" s="54">
        <v>50</v>
      </c>
      <c r="AD479" s="54">
        <v>50</v>
      </c>
      <c r="AE479" s="55">
        <v>169</v>
      </c>
      <c r="AF479" s="55">
        <v>16</v>
      </c>
      <c r="AG479" s="55">
        <v>376</v>
      </c>
      <c r="AH479" s="55">
        <v>106</v>
      </c>
      <c r="AI479" s="62">
        <v>0.016</v>
      </c>
      <c r="AJ479" s="62">
        <v>0.01</v>
      </c>
      <c r="AK479" s="62">
        <v>1.02</v>
      </c>
      <c r="AL479" s="62" t="s">
        <v>154</v>
      </c>
      <c r="AM479" s="63" t="s">
        <v>607</v>
      </c>
      <c r="AR479" s="5">
        <v>8</v>
      </c>
      <c r="AS479" s="5" t="s">
        <v>692</v>
      </c>
      <c r="AT479" s="72"/>
      <c r="AU479" s="41"/>
      <c r="AV479" s="73"/>
      <c r="AW479" s="41"/>
      <c r="AX479" s="41">
        <v>1</v>
      </c>
      <c r="AY479" s="78"/>
    </row>
    <row r="480" s="5" customFormat="1" spans="2:51">
      <c r="B480" s="5">
        <v>1113033</v>
      </c>
      <c r="C480" s="5">
        <v>113033</v>
      </c>
      <c r="D480" s="9" t="s">
        <v>959</v>
      </c>
      <c r="E480" s="9" t="s">
        <v>959</v>
      </c>
      <c r="F480" s="9"/>
      <c r="G480" s="28">
        <v>1</v>
      </c>
      <c r="H480" s="2"/>
      <c r="I480" s="2"/>
      <c r="J480" s="2"/>
      <c r="K480" s="2"/>
      <c r="L480" s="2"/>
      <c r="M480" s="40"/>
      <c r="N480" s="41">
        <v>0</v>
      </c>
      <c r="O480" s="5">
        <v>0</v>
      </c>
      <c r="P480" s="42">
        <v>5</v>
      </c>
      <c r="Q480" s="42">
        <v>5</v>
      </c>
      <c r="R480" s="41">
        <v>2</v>
      </c>
      <c r="S480" s="31" t="s">
        <v>139</v>
      </c>
      <c r="T480" s="5">
        <v>3</v>
      </c>
      <c r="U480" s="5">
        <v>8</v>
      </c>
      <c r="V480" s="5">
        <v>3</v>
      </c>
      <c r="W480" s="5">
        <v>80</v>
      </c>
      <c r="X480" s="41" t="s">
        <v>963</v>
      </c>
      <c r="Y480" s="41"/>
      <c r="Z480" s="54">
        <v>630033</v>
      </c>
      <c r="AA480" s="54">
        <v>215005</v>
      </c>
      <c r="AB480" s="54">
        <v>50</v>
      </c>
      <c r="AC480" s="54">
        <v>50</v>
      </c>
      <c r="AD480" s="54">
        <v>50</v>
      </c>
      <c r="AE480" s="55">
        <v>185</v>
      </c>
      <c r="AF480" s="55">
        <v>16</v>
      </c>
      <c r="AG480" s="55">
        <v>324</v>
      </c>
      <c r="AH480" s="55">
        <v>115</v>
      </c>
      <c r="AI480" s="62">
        <v>0.016</v>
      </c>
      <c r="AJ480" s="62">
        <v>0.01</v>
      </c>
      <c r="AK480" s="62">
        <v>1.02</v>
      </c>
      <c r="AL480" s="62" t="s">
        <v>154</v>
      </c>
      <c r="AM480" s="63" t="s">
        <v>727</v>
      </c>
      <c r="AR480" s="5">
        <v>8</v>
      </c>
      <c r="AS480" s="5" t="s">
        <v>941</v>
      </c>
      <c r="AT480" s="72"/>
      <c r="AU480" s="41"/>
      <c r="AV480" s="73"/>
      <c r="AW480" s="41"/>
      <c r="AX480" s="41"/>
      <c r="AY480" s="78"/>
    </row>
    <row r="481" s="5" customFormat="1" spans="2:51">
      <c r="B481" s="28">
        <v>1113039</v>
      </c>
      <c r="C481" s="28">
        <v>113014</v>
      </c>
      <c r="D481" s="28" t="s">
        <v>1003</v>
      </c>
      <c r="E481" s="28" t="s">
        <v>1003</v>
      </c>
      <c r="F481" s="28"/>
      <c r="G481" s="28">
        <v>0</v>
      </c>
      <c r="H481" s="2" t="s">
        <v>1004</v>
      </c>
      <c r="I481" s="2" t="s">
        <v>1005</v>
      </c>
      <c r="J481" s="2" t="s">
        <v>1006</v>
      </c>
      <c r="K481" s="2" t="s">
        <v>136</v>
      </c>
      <c r="L481" s="2" t="s">
        <v>774</v>
      </c>
      <c r="M481" s="40" t="s">
        <v>1007</v>
      </c>
      <c r="N481" s="41">
        <v>0</v>
      </c>
      <c r="O481" s="41">
        <v>0</v>
      </c>
      <c r="P481" s="42">
        <v>3</v>
      </c>
      <c r="Q481" s="42">
        <v>3</v>
      </c>
      <c r="R481" s="41">
        <v>9</v>
      </c>
      <c r="S481" s="31"/>
      <c r="T481" s="5">
        <v>3</v>
      </c>
      <c r="U481" s="5">
        <v>8</v>
      </c>
      <c r="V481" s="5">
        <v>3</v>
      </c>
      <c r="W481" s="5">
        <v>82</v>
      </c>
      <c r="X481" s="41" t="s">
        <v>1008</v>
      </c>
      <c r="Y481" s="41"/>
      <c r="Z481" s="54">
        <v>630039</v>
      </c>
      <c r="AA481" s="54">
        <v>215005</v>
      </c>
      <c r="AB481" s="54">
        <v>50</v>
      </c>
      <c r="AC481" s="54">
        <v>50</v>
      </c>
      <c r="AD481" s="54">
        <v>50</v>
      </c>
      <c r="AE481" s="55">
        <v>167</v>
      </c>
      <c r="AF481" s="55">
        <v>16</v>
      </c>
      <c r="AG481" s="55">
        <v>376</v>
      </c>
      <c r="AH481" s="55">
        <v>130</v>
      </c>
      <c r="AI481" s="62">
        <v>0.016</v>
      </c>
      <c r="AJ481" s="62">
        <v>0.01</v>
      </c>
      <c r="AK481" s="62">
        <v>1.02</v>
      </c>
      <c r="AL481" s="62" t="s">
        <v>154</v>
      </c>
      <c r="AM481" s="63" t="s">
        <v>629</v>
      </c>
      <c r="AR481" s="5">
        <v>8</v>
      </c>
      <c r="AS481" s="5" t="s">
        <v>1010</v>
      </c>
      <c r="AT481" s="72"/>
      <c r="AU481" s="41"/>
      <c r="AV481" s="73"/>
      <c r="AW481" s="41">
        <v>5</v>
      </c>
      <c r="AX481" s="41">
        <v>2</v>
      </c>
      <c r="AY481" s="78">
        <v>2</v>
      </c>
    </row>
    <row r="482" s="5" customFormat="1" spans="2:51">
      <c r="B482" s="5">
        <v>1113041</v>
      </c>
      <c r="C482" s="5">
        <v>113041</v>
      </c>
      <c r="D482" s="5" t="s">
        <v>1021</v>
      </c>
      <c r="E482" s="5" t="s">
        <v>1021</v>
      </c>
      <c r="G482" s="5">
        <v>0</v>
      </c>
      <c r="H482" s="2"/>
      <c r="I482" s="2"/>
      <c r="J482" s="2"/>
      <c r="K482" s="2"/>
      <c r="L482" s="2"/>
      <c r="N482" s="5">
        <v>0</v>
      </c>
      <c r="O482" s="5">
        <v>0</v>
      </c>
      <c r="P482" s="78">
        <v>2</v>
      </c>
      <c r="Q482" s="78">
        <v>2</v>
      </c>
      <c r="R482" s="5">
        <v>8</v>
      </c>
      <c r="T482" s="5">
        <v>3</v>
      </c>
      <c r="U482" s="5">
        <v>8</v>
      </c>
      <c r="V482" s="5">
        <v>3</v>
      </c>
      <c r="W482" s="5">
        <v>1200</v>
      </c>
      <c r="X482" s="5" t="s">
        <v>1027</v>
      </c>
      <c r="Z482" s="54">
        <v>630041</v>
      </c>
      <c r="AA482" s="54">
        <v>215005</v>
      </c>
      <c r="AB482" s="54">
        <v>50</v>
      </c>
      <c r="AC482" s="54">
        <v>50</v>
      </c>
      <c r="AD482" s="54">
        <v>50</v>
      </c>
      <c r="AE482" s="55">
        <v>185</v>
      </c>
      <c r="AF482" s="55">
        <v>16</v>
      </c>
      <c r="AG482" s="55">
        <v>324</v>
      </c>
      <c r="AH482" s="55">
        <v>115</v>
      </c>
      <c r="AI482" s="62">
        <v>0.016</v>
      </c>
      <c r="AJ482" s="62">
        <v>0.01</v>
      </c>
      <c r="AK482" s="62">
        <v>1.02</v>
      </c>
      <c r="AL482" s="62" t="s">
        <v>154</v>
      </c>
      <c r="AM482" s="63" t="s">
        <v>727</v>
      </c>
      <c r="AR482" s="5">
        <v>8</v>
      </c>
      <c r="AS482" s="5" t="s">
        <v>941</v>
      </c>
      <c r="AT482" s="72"/>
      <c r="AU482" s="41"/>
      <c r="AV482" s="73"/>
      <c r="AW482" s="41"/>
      <c r="AX482" s="41"/>
      <c r="AY482" s="78">
        <v>2</v>
      </c>
    </row>
    <row r="483" s="5" customFormat="1" spans="2:51">
      <c r="B483" s="28">
        <v>1113037</v>
      </c>
      <c r="C483" s="28">
        <v>112005</v>
      </c>
      <c r="D483" s="28" t="s">
        <v>989</v>
      </c>
      <c r="E483" s="28" t="s">
        <v>989</v>
      </c>
      <c r="F483" s="28"/>
      <c r="G483" s="28">
        <v>0</v>
      </c>
      <c r="H483" s="2" t="s">
        <v>990</v>
      </c>
      <c r="I483" s="2" t="s">
        <v>991</v>
      </c>
      <c r="J483" s="2" t="s">
        <v>162</v>
      </c>
      <c r="K483" s="2" t="s">
        <v>367</v>
      </c>
      <c r="L483" s="2" t="s">
        <v>137</v>
      </c>
      <c r="M483" s="40" t="s">
        <v>992</v>
      </c>
      <c r="N483" s="41">
        <v>0</v>
      </c>
      <c r="O483" s="41">
        <v>0</v>
      </c>
      <c r="P483" s="42">
        <v>4</v>
      </c>
      <c r="Q483" s="42">
        <v>4</v>
      </c>
      <c r="R483" s="41">
        <v>1</v>
      </c>
      <c r="S483" s="31"/>
      <c r="T483" s="5">
        <v>3</v>
      </c>
      <c r="U483" s="5">
        <v>8</v>
      </c>
      <c r="V483" s="5">
        <v>3</v>
      </c>
      <c r="W483" s="5">
        <v>73</v>
      </c>
      <c r="X483" s="41" t="s">
        <v>993</v>
      </c>
      <c r="Y483" s="41"/>
      <c r="Z483" s="54">
        <v>630037</v>
      </c>
      <c r="AA483" s="54">
        <v>215005</v>
      </c>
      <c r="AB483" s="54">
        <v>50</v>
      </c>
      <c r="AC483" s="54">
        <v>50</v>
      </c>
      <c r="AD483" s="54">
        <v>50</v>
      </c>
      <c r="AE483" s="55">
        <v>183</v>
      </c>
      <c r="AF483" s="55">
        <v>16</v>
      </c>
      <c r="AG483" s="55">
        <v>334</v>
      </c>
      <c r="AH483" s="55">
        <v>130</v>
      </c>
      <c r="AI483" s="62">
        <v>0.018</v>
      </c>
      <c r="AJ483" s="62" t="s">
        <v>154</v>
      </c>
      <c r="AK483" s="62">
        <v>1.016</v>
      </c>
      <c r="AL483" s="62" t="s">
        <v>154</v>
      </c>
      <c r="AM483" s="63" t="s">
        <v>629</v>
      </c>
      <c r="AR483" s="5">
        <v>8</v>
      </c>
      <c r="AS483" s="5" t="s">
        <v>995</v>
      </c>
      <c r="AT483" s="72"/>
      <c r="AU483" s="41"/>
      <c r="AV483" s="73"/>
      <c r="AW483" s="41"/>
      <c r="AX483" s="41">
        <v>2</v>
      </c>
      <c r="AY483" s="78">
        <v>2</v>
      </c>
    </row>
    <row r="484" s="5" customFormat="1" spans="2:51">
      <c r="B484" s="5">
        <v>1113043</v>
      </c>
      <c r="C484" s="5">
        <v>113043</v>
      </c>
      <c r="D484" s="5" t="s">
        <v>1039</v>
      </c>
      <c r="E484" s="5" t="s">
        <v>1039</v>
      </c>
      <c r="G484" s="5">
        <v>0</v>
      </c>
      <c r="H484" s="2" t="s">
        <v>1040</v>
      </c>
      <c r="I484" s="2" t="s">
        <v>1041</v>
      </c>
      <c r="J484" s="2" t="s">
        <v>886</v>
      </c>
      <c r="K484" s="2" t="s">
        <v>136</v>
      </c>
      <c r="L484" s="2" t="s">
        <v>1042</v>
      </c>
      <c r="M484" s="40" t="s">
        <v>1043</v>
      </c>
      <c r="N484" s="5">
        <v>0</v>
      </c>
      <c r="O484" s="5">
        <v>0</v>
      </c>
      <c r="P484" s="78">
        <v>3</v>
      </c>
      <c r="Q484" s="78">
        <v>3</v>
      </c>
      <c r="R484" s="5">
        <v>2</v>
      </c>
      <c r="S484" s="5" t="s">
        <v>139</v>
      </c>
      <c r="T484" s="5">
        <v>3</v>
      </c>
      <c r="U484" s="5">
        <v>8</v>
      </c>
      <c r="V484" s="5">
        <v>3</v>
      </c>
      <c r="W484" s="5">
        <v>85</v>
      </c>
      <c r="X484" s="5" t="s">
        <v>1044</v>
      </c>
      <c r="Z484" s="54">
        <v>630043</v>
      </c>
      <c r="AA484" s="54">
        <v>215005</v>
      </c>
      <c r="AB484" s="54">
        <v>50</v>
      </c>
      <c r="AC484" s="54">
        <v>50</v>
      </c>
      <c r="AD484" s="54">
        <v>50</v>
      </c>
      <c r="AE484" s="55">
        <v>197</v>
      </c>
      <c r="AF484" s="55">
        <v>15</v>
      </c>
      <c r="AG484" s="55">
        <v>318</v>
      </c>
      <c r="AH484" s="55">
        <v>128</v>
      </c>
      <c r="AI484" s="62" t="s">
        <v>154</v>
      </c>
      <c r="AJ484" s="62">
        <v>0.02</v>
      </c>
      <c r="AK484" s="62">
        <v>1.01</v>
      </c>
      <c r="AL484" s="62">
        <v>0.01</v>
      </c>
      <c r="AM484" s="63" t="s">
        <v>607</v>
      </c>
      <c r="AR484" s="5">
        <v>8</v>
      </c>
      <c r="AS484" s="5" t="s">
        <v>854</v>
      </c>
      <c r="AT484" s="72"/>
      <c r="AU484" s="41"/>
      <c r="AV484" s="73"/>
      <c r="AW484" s="41"/>
      <c r="AX484" s="41"/>
      <c r="AY484" s="78"/>
    </row>
    <row r="485" s="5" customFormat="1" spans="2:51">
      <c r="B485" s="28">
        <v>1113035</v>
      </c>
      <c r="C485" s="28">
        <v>113035</v>
      </c>
      <c r="D485" s="28" t="s">
        <v>975</v>
      </c>
      <c r="E485" s="28" t="s">
        <v>975</v>
      </c>
      <c r="F485" s="28"/>
      <c r="G485" s="28">
        <v>0</v>
      </c>
      <c r="H485" s="2" t="s">
        <v>976</v>
      </c>
      <c r="I485" s="2" t="s">
        <v>977</v>
      </c>
      <c r="J485" s="2" t="s">
        <v>150</v>
      </c>
      <c r="K485" s="2" t="s">
        <v>136</v>
      </c>
      <c r="L485" s="2" t="s">
        <v>137</v>
      </c>
      <c r="M485" s="40" t="s">
        <v>978</v>
      </c>
      <c r="N485" s="41">
        <v>0</v>
      </c>
      <c r="O485" s="41">
        <v>0</v>
      </c>
      <c r="P485" s="42">
        <v>4</v>
      </c>
      <c r="Q485" s="42">
        <v>4</v>
      </c>
      <c r="R485" s="41">
        <v>1</v>
      </c>
      <c r="S485" s="31"/>
      <c r="T485" s="5">
        <v>3</v>
      </c>
      <c r="U485" s="5">
        <v>8</v>
      </c>
      <c r="V485" s="5">
        <v>3</v>
      </c>
      <c r="W485" s="5">
        <v>76</v>
      </c>
      <c r="X485" s="41" t="s">
        <v>979</v>
      </c>
      <c r="Y485" s="41"/>
      <c r="Z485" s="54">
        <v>630035</v>
      </c>
      <c r="AA485" s="54">
        <v>215005</v>
      </c>
      <c r="AB485" s="54">
        <v>50</v>
      </c>
      <c r="AC485" s="54">
        <v>50</v>
      </c>
      <c r="AD485" s="54">
        <v>50</v>
      </c>
      <c r="AE485" s="55">
        <v>180</v>
      </c>
      <c r="AF485" s="55">
        <v>15</v>
      </c>
      <c r="AG485" s="55">
        <v>360</v>
      </c>
      <c r="AH485" s="55">
        <v>110</v>
      </c>
      <c r="AI485" s="62" t="s">
        <v>154</v>
      </c>
      <c r="AJ485" s="62">
        <v>0.02</v>
      </c>
      <c r="AK485" s="62">
        <v>1.01</v>
      </c>
      <c r="AL485" s="62">
        <v>0.01</v>
      </c>
      <c r="AM485" s="63" t="s">
        <v>607</v>
      </c>
      <c r="AR485" s="5">
        <v>8</v>
      </c>
      <c r="AS485" s="5" t="s">
        <v>981</v>
      </c>
      <c r="AT485" s="72"/>
      <c r="AU485" s="41"/>
      <c r="AV485" s="73"/>
      <c r="AW485" s="41"/>
      <c r="AX485" s="41"/>
      <c r="AY485" s="78">
        <v>1</v>
      </c>
    </row>
    <row r="486" s="5" customFormat="1" spans="2:51">
      <c r="B486" s="28">
        <v>1113036</v>
      </c>
      <c r="C486" s="28">
        <v>112009</v>
      </c>
      <c r="D486" s="28" t="s">
        <v>982</v>
      </c>
      <c r="E486" s="28" t="s">
        <v>982</v>
      </c>
      <c r="F486" s="28"/>
      <c r="G486" s="28">
        <v>0</v>
      </c>
      <c r="H486" s="2" t="s">
        <v>983</v>
      </c>
      <c r="I486" s="2" t="s">
        <v>984</v>
      </c>
      <c r="J486" s="2" t="s">
        <v>886</v>
      </c>
      <c r="K486" s="2" t="s">
        <v>367</v>
      </c>
      <c r="L486" s="2" t="s">
        <v>417</v>
      </c>
      <c r="M486" s="40" t="s">
        <v>985</v>
      </c>
      <c r="N486" s="41">
        <v>0</v>
      </c>
      <c r="O486" s="41">
        <v>0</v>
      </c>
      <c r="P486" s="42">
        <v>3</v>
      </c>
      <c r="Q486" s="42">
        <v>3</v>
      </c>
      <c r="R486" s="41">
        <v>1</v>
      </c>
      <c r="S486" s="31"/>
      <c r="T486" s="5">
        <v>3</v>
      </c>
      <c r="U486" s="5">
        <v>8</v>
      </c>
      <c r="V486" s="5">
        <v>3</v>
      </c>
      <c r="W486" s="5">
        <v>77</v>
      </c>
      <c r="X486" s="41" t="s">
        <v>986</v>
      </c>
      <c r="Y486" s="41"/>
      <c r="Z486" s="54">
        <v>630036</v>
      </c>
      <c r="AA486" s="54">
        <v>215005</v>
      </c>
      <c r="AB486" s="54">
        <v>50</v>
      </c>
      <c r="AC486" s="54">
        <v>50</v>
      </c>
      <c r="AD486" s="54">
        <v>50</v>
      </c>
      <c r="AE486" s="55">
        <v>189</v>
      </c>
      <c r="AF486" s="55">
        <v>15</v>
      </c>
      <c r="AG486" s="55">
        <v>337</v>
      </c>
      <c r="AH486" s="55">
        <v>130</v>
      </c>
      <c r="AI486" s="62">
        <v>0.016</v>
      </c>
      <c r="AJ486" s="62">
        <v>0.01</v>
      </c>
      <c r="AK486" s="62">
        <v>1.02</v>
      </c>
      <c r="AL486" s="62">
        <v>0</v>
      </c>
      <c r="AM486" s="63" t="s">
        <v>371</v>
      </c>
      <c r="AR486" s="5">
        <v>8</v>
      </c>
      <c r="AS486" s="5" t="s">
        <v>988</v>
      </c>
      <c r="AT486" s="72"/>
      <c r="AU486" s="41"/>
      <c r="AV486" s="73"/>
      <c r="AW486" s="41"/>
      <c r="AX486" s="41"/>
      <c r="AY486" s="78">
        <v>3</v>
      </c>
    </row>
    <row r="487" s="5" customFormat="1" spans="2:51">
      <c r="B487" s="28">
        <v>1113038</v>
      </c>
      <c r="C487" s="28">
        <v>112006</v>
      </c>
      <c r="D487" s="28" t="s">
        <v>996</v>
      </c>
      <c r="E487" s="28" t="s">
        <v>996</v>
      </c>
      <c r="F487" s="28"/>
      <c r="G487" s="28">
        <v>0</v>
      </c>
      <c r="H487" s="2" t="s">
        <v>997</v>
      </c>
      <c r="I487" s="2" t="s">
        <v>998</v>
      </c>
      <c r="J487" s="2" t="s">
        <v>379</v>
      </c>
      <c r="K487" s="2" t="s">
        <v>136</v>
      </c>
      <c r="L487" s="2" t="s">
        <v>381</v>
      </c>
      <c r="M487" s="40" t="s">
        <v>999</v>
      </c>
      <c r="N487" s="41">
        <v>0</v>
      </c>
      <c r="O487" s="41">
        <v>0</v>
      </c>
      <c r="P487" s="42">
        <v>1</v>
      </c>
      <c r="Q487" s="42">
        <v>1</v>
      </c>
      <c r="R487" s="41">
        <v>1</v>
      </c>
      <c r="S487" s="31"/>
      <c r="T487" s="5">
        <v>3</v>
      </c>
      <c r="U487" s="5">
        <v>8</v>
      </c>
      <c r="V487" s="5">
        <v>3</v>
      </c>
      <c r="W487" s="5">
        <v>74</v>
      </c>
      <c r="X487" s="41" t="s">
        <v>1000</v>
      </c>
      <c r="Y487" s="41"/>
      <c r="Z487" s="54">
        <v>630038</v>
      </c>
      <c r="AA487" s="54">
        <v>215005</v>
      </c>
      <c r="AB487" s="54">
        <v>50</v>
      </c>
      <c r="AC487" s="54">
        <v>50</v>
      </c>
      <c r="AD487" s="54">
        <v>50</v>
      </c>
      <c r="AE487" s="55">
        <v>135</v>
      </c>
      <c r="AF487" s="55">
        <v>18</v>
      </c>
      <c r="AG487" s="55">
        <v>430</v>
      </c>
      <c r="AH487" s="55">
        <v>105</v>
      </c>
      <c r="AI487" s="62">
        <v>0.015</v>
      </c>
      <c r="AJ487" s="62">
        <v>0.016</v>
      </c>
      <c r="AK487" s="62">
        <v>1.004</v>
      </c>
      <c r="AL487" s="62">
        <v>0.01</v>
      </c>
      <c r="AM487" s="63" t="s">
        <v>689</v>
      </c>
      <c r="AR487" s="5">
        <v>8</v>
      </c>
      <c r="AS487" s="5" t="s">
        <v>1002</v>
      </c>
      <c r="AT487" s="72"/>
      <c r="AU487" s="41"/>
      <c r="AV487" s="73"/>
      <c r="AW487" s="41"/>
      <c r="AX487" s="41"/>
      <c r="AY487" s="78">
        <v>2</v>
      </c>
    </row>
    <row r="488" s="5" customFormat="1" spans="2:54">
      <c r="B488" s="5">
        <v>1113044</v>
      </c>
      <c r="C488" s="5">
        <v>113044</v>
      </c>
      <c r="D488" s="5" t="s">
        <v>1046</v>
      </c>
      <c r="E488" s="5" t="s">
        <v>1046</v>
      </c>
      <c r="G488" s="5">
        <v>1</v>
      </c>
      <c r="H488" s="2" t="s">
        <v>1047</v>
      </c>
      <c r="I488" s="2" t="s">
        <v>1048</v>
      </c>
      <c r="J488" s="2" t="s">
        <v>150</v>
      </c>
      <c r="K488" s="2" t="s">
        <v>136</v>
      </c>
      <c r="L488" s="2" t="s">
        <v>1049</v>
      </c>
      <c r="M488" s="40" t="s">
        <v>1050</v>
      </c>
      <c r="N488" s="5">
        <v>0</v>
      </c>
      <c r="O488" s="5">
        <v>0</v>
      </c>
      <c r="P488" s="78">
        <v>3</v>
      </c>
      <c r="Q488" s="78">
        <v>3</v>
      </c>
      <c r="R488" s="5">
        <v>3</v>
      </c>
      <c r="T488" s="5">
        <v>3</v>
      </c>
      <c r="U488" s="5">
        <v>8</v>
      </c>
      <c r="V488" s="5">
        <v>3</v>
      </c>
      <c r="W488" s="5">
        <v>87</v>
      </c>
      <c r="X488" s="5" t="s">
        <v>1051</v>
      </c>
      <c r="Z488" s="54">
        <v>630044</v>
      </c>
      <c r="AA488" s="54">
        <v>215005</v>
      </c>
      <c r="AB488" s="54">
        <v>50</v>
      </c>
      <c r="AC488" s="54">
        <v>50</v>
      </c>
      <c r="AD488" s="54">
        <v>50</v>
      </c>
      <c r="AE488" s="55">
        <v>140</v>
      </c>
      <c r="AF488" s="55">
        <v>18</v>
      </c>
      <c r="AG488" s="55">
        <v>412</v>
      </c>
      <c r="AH488" s="55">
        <v>105</v>
      </c>
      <c r="AI488" s="62" t="s">
        <v>154</v>
      </c>
      <c r="AJ488" s="62">
        <v>0.02</v>
      </c>
      <c r="AK488" s="62">
        <v>1.01</v>
      </c>
      <c r="AL488" s="62">
        <v>0.01</v>
      </c>
      <c r="AM488" s="63" t="s">
        <v>607</v>
      </c>
      <c r="AR488" s="5">
        <v>8</v>
      </c>
      <c r="AS488" s="5" t="s">
        <v>854</v>
      </c>
      <c r="AT488" s="72"/>
      <c r="AU488" s="41"/>
      <c r="AV488" s="73"/>
      <c r="AW488" s="41">
        <v>7</v>
      </c>
      <c r="AX488" s="41"/>
      <c r="AY488" s="78"/>
      <c r="BA488" s="5">
        <v>3</v>
      </c>
      <c r="BB488" s="5">
        <v>144</v>
      </c>
    </row>
    <row r="489" s="5" customFormat="1" spans="2:54">
      <c r="B489" s="5">
        <v>1113045</v>
      </c>
      <c r="C489" s="5">
        <v>113045</v>
      </c>
      <c r="D489" s="5" t="s">
        <v>1055</v>
      </c>
      <c r="E489" s="5" t="s">
        <v>1055</v>
      </c>
      <c r="G489" s="5">
        <v>0</v>
      </c>
      <c r="H489" s="2" t="s">
        <v>1056</v>
      </c>
      <c r="I489" s="2" t="s">
        <v>1057</v>
      </c>
      <c r="J489" s="2" t="s">
        <v>150</v>
      </c>
      <c r="K489" s="2" t="s">
        <v>136</v>
      </c>
      <c r="L489" s="2" t="s">
        <v>1058</v>
      </c>
      <c r="M489" s="40" t="s">
        <v>1059</v>
      </c>
      <c r="N489" s="5">
        <v>0</v>
      </c>
      <c r="O489" s="5">
        <v>0</v>
      </c>
      <c r="P489" s="78">
        <v>3</v>
      </c>
      <c r="Q489" s="78">
        <v>3</v>
      </c>
      <c r="R489" s="5">
        <v>3</v>
      </c>
      <c r="T489" s="5">
        <v>3</v>
      </c>
      <c r="U489" s="5">
        <v>8</v>
      </c>
      <c r="V489" s="5">
        <v>3</v>
      </c>
      <c r="W489" s="5">
        <v>88</v>
      </c>
      <c r="X489" s="5" t="s">
        <v>1060</v>
      </c>
      <c r="Z489" s="54">
        <v>630045</v>
      </c>
      <c r="AA489" s="54">
        <v>215005</v>
      </c>
      <c r="AB489" s="54">
        <v>50</v>
      </c>
      <c r="AC489" s="54">
        <v>50</v>
      </c>
      <c r="AD489" s="54">
        <v>50</v>
      </c>
      <c r="AE489" s="55">
        <v>179</v>
      </c>
      <c r="AF489" s="55">
        <v>13</v>
      </c>
      <c r="AG489" s="55">
        <v>392</v>
      </c>
      <c r="AH489" s="55">
        <v>109</v>
      </c>
      <c r="AI489" s="62">
        <v>0.016</v>
      </c>
      <c r="AJ489" s="62">
        <v>0.01</v>
      </c>
      <c r="AK489" s="62">
        <v>1.02</v>
      </c>
      <c r="AL489" s="62" t="s">
        <v>154</v>
      </c>
      <c r="AM489" s="63" t="s">
        <v>727</v>
      </c>
      <c r="AR489" s="5">
        <v>8</v>
      </c>
      <c r="AS489" s="5" t="s">
        <v>1062</v>
      </c>
      <c r="AT489" s="72"/>
      <c r="AU489" s="41"/>
      <c r="AV489" s="73"/>
      <c r="AW489" s="41"/>
      <c r="AX489" s="41"/>
      <c r="AY489" s="78"/>
      <c r="BA489" s="5">
        <v>3</v>
      </c>
      <c r="BB489" s="5">
        <v>146</v>
      </c>
    </row>
    <row r="490" s="5" customFormat="1" spans="2:54">
      <c r="B490" s="5">
        <v>1113046</v>
      </c>
      <c r="C490" s="5">
        <v>113046</v>
      </c>
      <c r="D490" s="5" t="s">
        <v>1063</v>
      </c>
      <c r="E490" s="5" t="s">
        <v>1063</v>
      </c>
      <c r="G490" s="5">
        <v>1</v>
      </c>
      <c r="H490" s="2" t="s">
        <v>1064</v>
      </c>
      <c r="I490" s="2" t="s">
        <v>1065</v>
      </c>
      <c r="J490" s="2" t="s">
        <v>262</v>
      </c>
      <c r="K490" s="2" t="s">
        <v>136</v>
      </c>
      <c r="L490" s="2" t="s">
        <v>1066</v>
      </c>
      <c r="M490" s="40" t="s">
        <v>1067</v>
      </c>
      <c r="N490" s="5">
        <v>0</v>
      </c>
      <c r="O490" s="5">
        <v>0</v>
      </c>
      <c r="P490" s="78">
        <v>3</v>
      </c>
      <c r="Q490" s="78">
        <v>3</v>
      </c>
      <c r="R490" s="5">
        <v>3</v>
      </c>
      <c r="T490" s="5">
        <v>3</v>
      </c>
      <c r="U490" s="5">
        <v>8</v>
      </c>
      <c r="V490" s="5">
        <v>3</v>
      </c>
      <c r="W490" s="5">
        <v>89</v>
      </c>
      <c r="X490" s="5" t="s">
        <v>1068</v>
      </c>
      <c r="Z490" s="54">
        <v>630046</v>
      </c>
      <c r="AA490" s="54">
        <v>215005</v>
      </c>
      <c r="AB490" s="54">
        <v>50</v>
      </c>
      <c r="AC490" s="54">
        <v>50</v>
      </c>
      <c r="AD490" s="54">
        <v>50</v>
      </c>
      <c r="AE490" s="55">
        <v>169</v>
      </c>
      <c r="AF490" s="55">
        <v>12</v>
      </c>
      <c r="AG490" s="55">
        <v>428</v>
      </c>
      <c r="AH490" s="55">
        <v>125</v>
      </c>
      <c r="AI490" s="62" t="s">
        <v>154</v>
      </c>
      <c r="AJ490" s="62">
        <v>0.02</v>
      </c>
      <c r="AK490" s="62">
        <v>1.01</v>
      </c>
      <c r="AL490" s="62">
        <v>0.01</v>
      </c>
      <c r="AM490" s="63" t="s">
        <v>607</v>
      </c>
      <c r="AR490" s="5">
        <v>8</v>
      </c>
      <c r="AS490" s="5" t="s">
        <v>1070</v>
      </c>
      <c r="AT490" s="72"/>
      <c r="AU490" s="41"/>
      <c r="AV490" s="73"/>
      <c r="AW490" s="41"/>
      <c r="AX490" s="41"/>
      <c r="AY490" s="78"/>
      <c r="BA490" s="5">
        <v>3</v>
      </c>
      <c r="BB490" s="5">
        <v>148</v>
      </c>
    </row>
    <row r="491" s="5" customFormat="1" spans="2:54">
      <c r="B491" s="28">
        <v>1113040</v>
      </c>
      <c r="C491" s="28">
        <v>113040</v>
      </c>
      <c r="D491" s="28" t="s">
        <v>1012</v>
      </c>
      <c r="E491" s="28" t="s">
        <v>1012</v>
      </c>
      <c r="F491" s="28"/>
      <c r="G491" s="28">
        <v>0</v>
      </c>
      <c r="H491" s="2" t="s">
        <v>1013</v>
      </c>
      <c r="I491" s="2" t="s">
        <v>1014</v>
      </c>
      <c r="J491" s="2" t="s">
        <v>150</v>
      </c>
      <c r="K491" s="2" t="s">
        <v>136</v>
      </c>
      <c r="L491" s="2" t="s">
        <v>1015</v>
      </c>
      <c r="M491" s="40" t="s">
        <v>1016</v>
      </c>
      <c r="N491" s="5">
        <v>0</v>
      </c>
      <c r="O491" s="41">
        <v>0</v>
      </c>
      <c r="P491" s="42">
        <v>3</v>
      </c>
      <c r="Q491" s="42">
        <v>3</v>
      </c>
      <c r="R491" s="41">
        <v>3</v>
      </c>
      <c r="S491" s="41"/>
      <c r="T491" s="5">
        <v>3</v>
      </c>
      <c r="U491" s="5">
        <v>8</v>
      </c>
      <c r="V491" s="5">
        <v>3</v>
      </c>
      <c r="W491" s="5">
        <v>83</v>
      </c>
      <c r="X491" s="41" t="s">
        <v>1018</v>
      </c>
      <c r="Y491" s="41"/>
      <c r="Z491" s="54">
        <v>630040</v>
      </c>
      <c r="AA491" s="54">
        <v>215005</v>
      </c>
      <c r="AB491" s="54">
        <v>50</v>
      </c>
      <c r="AC491" s="54">
        <v>50</v>
      </c>
      <c r="AD491" s="54">
        <v>50</v>
      </c>
      <c r="AE491" s="55">
        <v>201</v>
      </c>
      <c r="AF491" s="55">
        <v>14</v>
      </c>
      <c r="AG491" s="55">
        <v>313</v>
      </c>
      <c r="AH491" s="55">
        <v>120</v>
      </c>
      <c r="AI491" s="62">
        <v>0.016</v>
      </c>
      <c r="AJ491" s="62">
        <v>0.01</v>
      </c>
      <c r="AK491" s="62">
        <v>1.02</v>
      </c>
      <c r="AL491" s="62" t="s">
        <v>154</v>
      </c>
      <c r="AM491" s="63" t="s">
        <v>727</v>
      </c>
      <c r="AR491" s="5">
        <v>8</v>
      </c>
      <c r="AS491" s="5" t="s">
        <v>1020</v>
      </c>
      <c r="AT491" s="72"/>
      <c r="AU491" s="41"/>
      <c r="AV491" s="73"/>
      <c r="AW491" s="41"/>
      <c r="AX491" s="41"/>
      <c r="AY491" s="78">
        <v>2</v>
      </c>
      <c r="BA491" s="5">
        <v>3</v>
      </c>
      <c r="BB491" s="5">
        <v>142</v>
      </c>
    </row>
    <row r="492" s="11" customFormat="1" spans="2:51">
      <c r="B492" s="134">
        <v>11113045</v>
      </c>
      <c r="C492" s="134">
        <v>11113045</v>
      </c>
      <c r="D492" s="134" t="s">
        <v>1903</v>
      </c>
      <c r="E492" s="134" t="s">
        <v>1904</v>
      </c>
      <c r="F492" s="134"/>
      <c r="G492" s="134">
        <v>0</v>
      </c>
      <c r="M492" s="139"/>
      <c r="N492" s="140">
        <v>0</v>
      </c>
      <c r="O492" s="140">
        <v>0</v>
      </c>
      <c r="P492" s="141">
        <v>3</v>
      </c>
      <c r="Q492" s="141">
        <v>3</v>
      </c>
      <c r="R492" s="140">
        <v>2</v>
      </c>
      <c r="S492" s="140"/>
      <c r="T492" s="11">
        <v>3</v>
      </c>
      <c r="U492" s="11">
        <v>8</v>
      </c>
      <c r="V492" s="11">
        <v>3</v>
      </c>
      <c r="W492" s="11">
        <v>30036</v>
      </c>
      <c r="X492" s="140" t="s">
        <v>1905</v>
      </c>
      <c r="Y492" s="140"/>
      <c r="Z492" s="145">
        <v>630045</v>
      </c>
      <c r="AA492" s="145">
        <v>215005</v>
      </c>
      <c r="AB492" s="145">
        <v>50</v>
      </c>
      <c r="AC492" s="145">
        <v>50</v>
      </c>
      <c r="AD492" s="145">
        <v>50</v>
      </c>
      <c r="AE492" s="146">
        <v>197</v>
      </c>
      <c r="AF492" s="146">
        <v>15</v>
      </c>
      <c r="AG492" s="146">
        <v>318</v>
      </c>
      <c r="AH492" s="146">
        <v>129</v>
      </c>
      <c r="AI492" s="151" t="s">
        <v>154</v>
      </c>
      <c r="AJ492" s="151">
        <v>0.02</v>
      </c>
      <c r="AK492" s="151">
        <v>1.01</v>
      </c>
      <c r="AL492" s="151">
        <v>0.01</v>
      </c>
      <c r="AM492" s="152" t="s">
        <v>607</v>
      </c>
      <c r="AR492" s="11">
        <v>8</v>
      </c>
      <c r="AS492" s="11" t="s">
        <v>854</v>
      </c>
      <c r="AT492" s="157"/>
      <c r="AU492" s="140"/>
      <c r="AV492" s="158"/>
      <c r="AW492" s="140"/>
      <c r="AX492" s="140"/>
      <c r="AY492" s="163"/>
    </row>
    <row r="493" s="5" customFormat="1" ht="15" customHeight="1" spans="2:54">
      <c r="B493" s="5">
        <v>1113054</v>
      </c>
      <c r="C493" s="5">
        <v>113054</v>
      </c>
      <c r="D493" s="5" t="s">
        <v>1126</v>
      </c>
      <c r="E493" s="5" t="s">
        <v>1126</v>
      </c>
      <c r="G493" s="5">
        <v>0</v>
      </c>
      <c r="H493" s="2" t="s">
        <v>1127</v>
      </c>
      <c r="I493" s="2" t="s">
        <v>1128</v>
      </c>
      <c r="J493" s="2" t="s">
        <v>683</v>
      </c>
      <c r="K493" s="2" t="s">
        <v>136</v>
      </c>
      <c r="L493" s="2" t="s">
        <v>1129</v>
      </c>
      <c r="M493" s="40" t="s">
        <v>1130</v>
      </c>
      <c r="N493" s="5">
        <v>0</v>
      </c>
      <c r="O493" s="5">
        <v>0</v>
      </c>
      <c r="P493" s="78">
        <v>3</v>
      </c>
      <c r="Q493" s="78">
        <v>3</v>
      </c>
      <c r="R493" s="41">
        <v>3</v>
      </c>
      <c r="T493" s="5">
        <v>3</v>
      </c>
      <c r="U493" s="5">
        <v>8</v>
      </c>
      <c r="V493" s="5">
        <v>3</v>
      </c>
      <c r="W493" s="5">
        <v>2270</v>
      </c>
      <c r="X493" s="5" t="s">
        <v>1084</v>
      </c>
      <c r="Z493" s="54">
        <v>630058</v>
      </c>
      <c r="AA493" s="54">
        <v>215005</v>
      </c>
      <c r="AB493" s="54">
        <v>50</v>
      </c>
      <c r="AC493" s="54">
        <v>50</v>
      </c>
      <c r="AD493" s="54">
        <v>50</v>
      </c>
      <c r="AE493" s="55">
        <v>181</v>
      </c>
      <c r="AF493" s="55">
        <v>11</v>
      </c>
      <c r="AG493" s="55">
        <v>418</v>
      </c>
      <c r="AH493" s="55">
        <v>121</v>
      </c>
      <c r="AI493" s="62">
        <v>0.016</v>
      </c>
      <c r="AJ493" s="62">
        <v>0.01</v>
      </c>
      <c r="AK493" s="62">
        <v>1.02</v>
      </c>
      <c r="AL493" s="62" t="s">
        <v>154</v>
      </c>
      <c r="AM493" s="63" t="s">
        <v>727</v>
      </c>
      <c r="AR493" s="5">
        <v>8</v>
      </c>
      <c r="AS493" s="5" t="s">
        <v>1136</v>
      </c>
      <c r="AT493" s="72"/>
      <c r="AU493" s="41"/>
      <c r="AV493" s="73"/>
      <c r="AW493" s="41"/>
      <c r="AX493" s="41"/>
      <c r="AY493" s="78"/>
      <c r="BA493" s="5">
        <v>3</v>
      </c>
      <c r="BB493" s="5">
        <v>155</v>
      </c>
    </row>
    <row r="494" s="11" customFormat="1" spans="2:51">
      <c r="B494" s="9">
        <v>9981201</v>
      </c>
      <c r="C494" s="9">
        <v>1112013</v>
      </c>
      <c r="D494" s="24" t="s">
        <v>457</v>
      </c>
      <c r="E494" s="9" t="s">
        <v>457</v>
      </c>
      <c r="F494" s="9"/>
      <c r="G494" s="9">
        <v>0</v>
      </c>
      <c r="H494" s="2"/>
      <c r="I494" s="2"/>
      <c r="J494" s="2"/>
      <c r="K494" s="2"/>
      <c r="L494" s="2"/>
      <c r="M494" s="88"/>
      <c r="N494" s="88">
        <v>0</v>
      </c>
      <c r="O494" s="88">
        <v>0</v>
      </c>
      <c r="P494" s="32">
        <v>1</v>
      </c>
      <c r="Q494" s="32">
        <v>1</v>
      </c>
      <c r="R494" s="88">
        <v>8</v>
      </c>
      <c r="S494" s="31" t="s">
        <v>1402</v>
      </c>
      <c r="T494" s="11">
        <v>3</v>
      </c>
      <c r="U494" s="11">
        <v>7</v>
      </c>
      <c r="V494" s="11">
        <v>2</v>
      </c>
      <c r="W494" s="11">
        <v>12</v>
      </c>
      <c r="X494" s="88" t="s">
        <v>463</v>
      </c>
      <c r="Y494" s="88"/>
      <c r="Z494" s="53">
        <v>9999</v>
      </c>
      <c r="AA494" s="53">
        <v>214005</v>
      </c>
      <c r="AB494" s="53">
        <v>30</v>
      </c>
      <c r="AC494" s="53">
        <v>30</v>
      </c>
      <c r="AD494" s="53">
        <v>30</v>
      </c>
      <c r="AE494" s="94">
        <v>119</v>
      </c>
      <c r="AF494" s="94">
        <v>9</v>
      </c>
      <c r="AG494" s="94">
        <v>1000000000</v>
      </c>
      <c r="AH494" s="129">
        <v>3.7</v>
      </c>
      <c r="AI494" s="94">
        <v>0</v>
      </c>
      <c r="AJ494" s="94">
        <v>0</v>
      </c>
      <c r="AK494" s="94">
        <v>1</v>
      </c>
      <c r="AL494" s="94">
        <v>0</v>
      </c>
      <c r="AM494" s="98" t="s">
        <v>676</v>
      </c>
      <c r="AN494" s="3"/>
      <c r="AO494" s="3"/>
      <c r="AP494" s="3"/>
      <c r="AQ494" s="3"/>
      <c r="AR494" s="3"/>
      <c r="AS494" s="17"/>
      <c r="AT494" s="17"/>
      <c r="AU494" s="17"/>
      <c r="AV494" s="18"/>
      <c r="AW494" s="88"/>
      <c r="AX494" s="88"/>
      <c r="AY494" s="13"/>
    </row>
    <row r="495" s="12" customFormat="1" spans="2:51">
      <c r="B495" s="12">
        <v>3000001</v>
      </c>
      <c r="C495" s="12">
        <v>3000001</v>
      </c>
      <c r="D495" s="12" t="s">
        <v>1021</v>
      </c>
      <c r="E495" s="12" t="s">
        <v>1906</v>
      </c>
      <c r="G495" s="12">
        <v>0</v>
      </c>
      <c r="N495" s="12">
        <v>0</v>
      </c>
      <c r="O495" s="12">
        <v>0</v>
      </c>
      <c r="P495" s="142">
        <v>2</v>
      </c>
      <c r="Q495" s="142">
        <v>2</v>
      </c>
      <c r="R495" s="12">
        <v>8</v>
      </c>
      <c r="T495" s="12">
        <v>3</v>
      </c>
      <c r="U495" s="12">
        <v>8</v>
      </c>
      <c r="V495" s="12">
        <v>3</v>
      </c>
      <c r="W495" s="12">
        <v>90</v>
      </c>
      <c r="X495" s="12" t="s">
        <v>1027</v>
      </c>
      <c r="Z495" s="147">
        <v>9999</v>
      </c>
      <c r="AA495" s="147"/>
      <c r="AB495" s="147">
        <v>50</v>
      </c>
      <c r="AC495" s="147">
        <v>50</v>
      </c>
      <c r="AD495" s="147">
        <v>50</v>
      </c>
      <c r="AE495" s="148">
        <v>185</v>
      </c>
      <c r="AF495" s="148">
        <v>16</v>
      </c>
      <c r="AG495" s="148">
        <v>324</v>
      </c>
      <c r="AH495" s="148">
        <v>115</v>
      </c>
      <c r="AI495" s="153">
        <v>0.016</v>
      </c>
      <c r="AJ495" s="153">
        <v>0.01</v>
      </c>
      <c r="AK495" s="153">
        <v>1.02</v>
      </c>
      <c r="AL495" s="153" t="s">
        <v>154</v>
      </c>
      <c r="AM495" s="154" t="s">
        <v>727</v>
      </c>
      <c r="AR495" s="12">
        <v>8</v>
      </c>
      <c r="AS495" s="12" t="s">
        <v>941</v>
      </c>
      <c r="AT495" s="159"/>
      <c r="AU495" s="160"/>
      <c r="AV495" s="161"/>
      <c r="AW495" s="160"/>
      <c r="AX495" s="160"/>
      <c r="AY495" s="142">
        <v>2</v>
      </c>
    </row>
    <row r="496" s="12" customFormat="1" spans="2:51">
      <c r="B496" s="12">
        <v>3000002</v>
      </c>
      <c r="C496" s="12">
        <v>3000002</v>
      </c>
      <c r="D496" s="12" t="s">
        <v>1732</v>
      </c>
      <c r="E496" s="12" t="s">
        <v>1906</v>
      </c>
      <c r="G496" s="12">
        <v>1</v>
      </c>
      <c r="N496" s="12">
        <v>0</v>
      </c>
      <c r="O496" s="12">
        <v>0</v>
      </c>
      <c r="P496" s="142">
        <v>2</v>
      </c>
      <c r="Q496" s="142">
        <v>2</v>
      </c>
      <c r="R496" s="12">
        <v>8</v>
      </c>
      <c r="T496" s="12">
        <v>1</v>
      </c>
      <c r="U496" s="12">
        <v>1</v>
      </c>
      <c r="V496" s="12">
        <v>1</v>
      </c>
      <c r="W496" s="12">
        <v>1217</v>
      </c>
      <c r="X496" s="12" t="s">
        <v>1733</v>
      </c>
      <c r="Z496" s="147">
        <v>9999</v>
      </c>
      <c r="AA496" s="147"/>
      <c r="AB496" s="147">
        <v>30</v>
      </c>
      <c r="AC496" s="147">
        <v>30</v>
      </c>
      <c r="AD496" s="147">
        <v>30</v>
      </c>
      <c r="AE496" s="148">
        <v>50</v>
      </c>
      <c r="AF496" s="148">
        <v>20</v>
      </c>
      <c r="AG496" s="148">
        <v>4000</v>
      </c>
      <c r="AH496" s="148">
        <v>50</v>
      </c>
      <c r="AI496" s="153">
        <v>0</v>
      </c>
      <c r="AJ496" s="153">
        <v>0</v>
      </c>
      <c r="AK496" s="153">
        <v>1</v>
      </c>
      <c r="AL496" s="153">
        <v>0</v>
      </c>
      <c r="AM496" s="154" t="s">
        <v>676</v>
      </c>
      <c r="AT496" s="159"/>
      <c r="AU496" s="160"/>
      <c r="AV496" s="161"/>
      <c r="AW496" s="160"/>
      <c r="AX496" s="160"/>
      <c r="AY496" s="142"/>
    </row>
    <row r="497" s="12" customFormat="1" spans="2:51">
      <c r="B497" s="12">
        <v>3000003</v>
      </c>
      <c r="C497" s="12">
        <v>3000003</v>
      </c>
      <c r="D497" s="12" t="s">
        <v>1907</v>
      </c>
      <c r="E497" s="12" t="s">
        <v>1906</v>
      </c>
      <c r="G497" s="12">
        <v>0</v>
      </c>
      <c r="N497" s="12">
        <v>0</v>
      </c>
      <c r="O497" s="12">
        <v>0</v>
      </c>
      <c r="P497" s="142">
        <v>5</v>
      </c>
      <c r="Q497" s="142">
        <v>5</v>
      </c>
      <c r="R497" s="12">
        <v>8</v>
      </c>
      <c r="T497" s="12">
        <v>1</v>
      </c>
      <c r="U497" s="12">
        <v>1</v>
      </c>
      <c r="V497" s="12">
        <v>1</v>
      </c>
      <c r="W497" s="12">
        <v>1207</v>
      </c>
      <c r="X497" s="12" t="s">
        <v>1710</v>
      </c>
      <c r="Z497" s="147">
        <v>9999</v>
      </c>
      <c r="AA497" s="147"/>
      <c r="AB497" s="147">
        <v>30</v>
      </c>
      <c r="AC497" s="147">
        <v>30</v>
      </c>
      <c r="AD497" s="147">
        <v>30</v>
      </c>
      <c r="AE497" s="148">
        <v>50</v>
      </c>
      <c r="AF497" s="148">
        <v>20</v>
      </c>
      <c r="AG497" s="148">
        <v>4000</v>
      </c>
      <c r="AH497" s="148">
        <v>50</v>
      </c>
      <c r="AI497" s="153">
        <v>0</v>
      </c>
      <c r="AJ497" s="153">
        <v>0</v>
      </c>
      <c r="AK497" s="153">
        <v>1</v>
      </c>
      <c r="AL497" s="153">
        <v>0</v>
      </c>
      <c r="AM497" s="154" t="s">
        <v>676</v>
      </c>
      <c r="AT497" s="159"/>
      <c r="AU497" s="160"/>
      <c r="AV497" s="161"/>
      <c r="AW497" s="160"/>
      <c r="AX497" s="160"/>
      <c r="AY497" s="142">
        <v>2</v>
      </c>
    </row>
    <row r="498" s="12" customFormat="1" spans="2:51">
      <c r="B498" s="12">
        <v>3000004</v>
      </c>
      <c r="C498" s="12">
        <v>3000004</v>
      </c>
      <c r="D498" s="12" t="s">
        <v>1908</v>
      </c>
      <c r="E498" s="12" t="s">
        <v>1906</v>
      </c>
      <c r="G498" s="12">
        <v>0</v>
      </c>
      <c r="N498" s="12">
        <v>0</v>
      </c>
      <c r="O498" s="12">
        <v>0</v>
      </c>
      <c r="P498" s="142">
        <v>6</v>
      </c>
      <c r="Q498" s="142">
        <v>6</v>
      </c>
      <c r="R498" s="12">
        <v>8</v>
      </c>
      <c r="T498" s="12">
        <v>1</v>
      </c>
      <c r="U498" s="12">
        <v>1</v>
      </c>
      <c r="V498" s="12">
        <v>1</v>
      </c>
      <c r="W498" s="12">
        <v>1208</v>
      </c>
      <c r="X498" s="12" t="s">
        <v>1712</v>
      </c>
      <c r="Z498" s="147">
        <v>9999</v>
      </c>
      <c r="AA498" s="147"/>
      <c r="AB498" s="147">
        <v>30</v>
      </c>
      <c r="AC498" s="147">
        <v>30</v>
      </c>
      <c r="AD498" s="147">
        <v>30</v>
      </c>
      <c r="AE498" s="148">
        <v>50</v>
      </c>
      <c r="AF498" s="148">
        <v>20</v>
      </c>
      <c r="AG498" s="148">
        <v>4000</v>
      </c>
      <c r="AH498" s="148">
        <v>50</v>
      </c>
      <c r="AI498" s="153">
        <v>0</v>
      </c>
      <c r="AJ498" s="153">
        <v>0</v>
      </c>
      <c r="AK498" s="153">
        <v>1</v>
      </c>
      <c r="AL498" s="153">
        <v>0</v>
      </c>
      <c r="AM498" s="154" t="s">
        <v>676</v>
      </c>
      <c r="AT498" s="159"/>
      <c r="AU498" s="160"/>
      <c r="AV498" s="161"/>
      <c r="AW498" s="160"/>
      <c r="AX498" s="160"/>
      <c r="AY498" s="142">
        <v>2</v>
      </c>
    </row>
    <row r="499" s="12" customFormat="1" spans="2:51">
      <c r="B499" s="12">
        <v>3000005</v>
      </c>
      <c r="C499" s="12">
        <v>3000005</v>
      </c>
      <c r="D499" s="12" t="s">
        <v>1909</v>
      </c>
      <c r="E499" s="12" t="s">
        <v>1906</v>
      </c>
      <c r="G499" s="12">
        <v>0</v>
      </c>
      <c r="N499" s="12">
        <v>0</v>
      </c>
      <c r="O499" s="12">
        <v>0</v>
      </c>
      <c r="P499" s="142">
        <v>1</v>
      </c>
      <c r="Q499" s="142">
        <v>1</v>
      </c>
      <c r="R499" s="12">
        <v>2</v>
      </c>
      <c r="T499" s="12">
        <v>1</v>
      </c>
      <c r="U499" s="12">
        <v>1</v>
      </c>
      <c r="V499" s="12">
        <v>1</v>
      </c>
      <c r="W499" s="12">
        <v>1102</v>
      </c>
      <c r="X499" s="12" t="s">
        <v>1468</v>
      </c>
      <c r="Z499" s="147">
        <v>9999</v>
      </c>
      <c r="AA499" s="147"/>
      <c r="AB499" s="147">
        <v>30</v>
      </c>
      <c r="AC499" s="147">
        <v>30</v>
      </c>
      <c r="AD499" s="147">
        <v>30</v>
      </c>
      <c r="AE499" s="148">
        <v>50</v>
      </c>
      <c r="AF499" s="148">
        <v>20</v>
      </c>
      <c r="AG499" s="148">
        <v>4000</v>
      </c>
      <c r="AH499" s="148">
        <v>50</v>
      </c>
      <c r="AI499" s="153">
        <v>0</v>
      </c>
      <c r="AJ499" s="153">
        <v>0</v>
      </c>
      <c r="AK499" s="153">
        <v>1</v>
      </c>
      <c r="AL499" s="153">
        <v>0</v>
      </c>
      <c r="AM499" s="154" t="s">
        <v>676</v>
      </c>
      <c r="AT499" s="159"/>
      <c r="AU499" s="160"/>
      <c r="AV499" s="161"/>
      <c r="AW499" s="160"/>
      <c r="AX499" s="160"/>
      <c r="AY499" s="142"/>
    </row>
    <row r="500" s="9" customFormat="1" spans="2:51">
      <c r="B500" s="9">
        <v>4000001</v>
      </c>
      <c r="C500" s="9">
        <v>4000001</v>
      </c>
      <c r="D500" s="24" t="s">
        <v>1910</v>
      </c>
      <c r="E500" s="9" t="s">
        <v>1911</v>
      </c>
      <c r="G500" s="9">
        <v>1</v>
      </c>
      <c r="H500" s="2"/>
      <c r="I500" s="2"/>
      <c r="J500" s="2"/>
      <c r="K500" s="2"/>
      <c r="L500" s="2"/>
      <c r="N500" s="88">
        <v>0</v>
      </c>
      <c r="O500" s="6">
        <v>1</v>
      </c>
      <c r="P500" s="88">
        <v>1</v>
      </c>
      <c r="Q500" s="88">
        <v>1</v>
      </c>
      <c r="R500" s="88">
        <v>8</v>
      </c>
      <c r="S500" s="31"/>
      <c r="T500" s="9">
        <v>1</v>
      </c>
      <c r="U500" s="9">
        <v>1</v>
      </c>
      <c r="V500" s="9">
        <v>1</v>
      </c>
      <c r="W500" s="9">
        <v>2005</v>
      </c>
      <c r="X500" s="89" t="s">
        <v>1912</v>
      </c>
      <c r="Y500" s="89"/>
      <c r="Z500" s="53">
        <v>9999</v>
      </c>
      <c r="AA500" s="53"/>
      <c r="AB500" s="53">
        <v>30</v>
      </c>
      <c r="AC500" s="53">
        <v>30</v>
      </c>
      <c r="AD500" s="53">
        <v>30</v>
      </c>
      <c r="AE500" s="94">
        <v>50</v>
      </c>
      <c r="AF500" s="94">
        <v>20</v>
      </c>
      <c r="AG500" s="94">
        <v>4000</v>
      </c>
      <c r="AH500" s="94">
        <v>50</v>
      </c>
      <c r="AI500" s="94">
        <v>0</v>
      </c>
      <c r="AJ500" s="94">
        <v>0</v>
      </c>
      <c r="AK500" s="94">
        <v>1</v>
      </c>
      <c r="AL500" s="94">
        <v>0</v>
      </c>
      <c r="AM500" s="98" t="s">
        <v>676</v>
      </c>
      <c r="AS500" s="17"/>
      <c r="AT500" s="17"/>
      <c r="AW500" s="88"/>
      <c r="AX500" s="88"/>
      <c r="AY500" s="117"/>
    </row>
    <row r="501" s="9" customFormat="1" spans="2:51">
      <c r="B501" s="9">
        <v>4000002</v>
      </c>
      <c r="C501" s="9">
        <v>4000002</v>
      </c>
      <c r="D501" s="24" t="s">
        <v>1913</v>
      </c>
      <c r="E501" s="9" t="s">
        <v>1914</v>
      </c>
      <c r="G501" s="9">
        <v>0</v>
      </c>
      <c r="H501" s="2"/>
      <c r="I501" s="2"/>
      <c r="J501" s="2"/>
      <c r="K501" s="2"/>
      <c r="L501" s="2"/>
      <c r="N501" s="88">
        <v>0</v>
      </c>
      <c r="O501" s="6">
        <v>1</v>
      </c>
      <c r="P501" s="88">
        <v>1</v>
      </c>
      <c r="Q501" s="88">
        <v>1</v>
      </c>
      <c r="R501" s="88">
        <v>8</v>
      </c>
      <c r="S501" s="31"/>
      <c r="T501" s="9">
        <v>1</v>
      </c>
      <c r="U501" s="9">
        <v>1</v>
      </c>
      <c r="V501" s="9">
        <v>1</v>
      </c>
      <c r="W501" s="9">
        <v>2013</v>
      </c>
      <c r="X501" s="89" t="s">
        <v>1915</v>
      </c>
      <c r="Y501" s="89"/>
      <c r="Z501" s="53">
        <v>9999</v>
      </c>
      <c r="AA501" s="53"/>
      <c r="AB501" s="53">
        <v>30</v>
      </c>
      <c r="AC501" s="53">
        <v>30</v>
      </c>
      <c r="AD501" s="53">
        <v>30</v>
      </c>
      <c r="AE501" s="94">
        <v>50</v>
      </c>
      <c r="AF501" s="94">
        <v>20</v>
      </c>
      <c r="AG501" s="94">
        <v>4000</v>
      </c>
      <c r="AH501" s="94">
        <v>50</v>
      </c>
      <c r="AI501" s="94">
        <v>0</v>
      </c>
      <c r="AJ501" s="94">
        <v>0</v>
      </c>
      <c r="AK501" s="94">
        <v>1</v>
      </c>
      <c r="AL501" s="94">
        <v>0</v>
      </c>
      <c r="AM501" s="98" t="s">
        <v>676</v>
      </c>
      <c r="AS501" s="17"/>
      <c r="AT501" s="17"/>
      <c r="AW501" s="88"/>
      <c r="AX501" s="88"/>
      <c r="AY501" s="117"/>
    </row>
    <row r="502" s="9" customFormat="1" spans="2:51">
      <c r="B502" s="9">
        <v>4000003</v>
      </c>
      <c r="C502" s="9">
        <v>4000003</v>
      </c>
      <c r="D502" s="24" t="s">
        <v>1916</v>
      </c>
      <c r="E502" s="9" t="s">
        <v>1917</v>
      </c>
      <c r="G502" s="9">
        <v>1</v>
      </c>
      <c r="H502" s="2"/>
      <c r="I502" s="2"/>
      <c r="J502" s="2"/>
      <c r="K502" s="2"/>
      <c r="L502" s="2"/>
      <c r="N502" s="88">
        <v>0</v>
      </c>
      <c r="O502" s="6">
        <v>1</v>
      </c>
      <c r="P502" s="88">
        <v>1</v>
      </c>
      <c r="Q502" s="88">
        <v>1</v>
      </c>
      <c r="R502" s="88">
        <v>8</v>
      </c>
      <c r="S502" s="31"/>
      <c r="T502" s="9">
        <v>1</v>
      </c>
      <c r="U502" s="9">
        <v>1</v>
      </c>
      <c r="V502" s="9">
        <v>1</v>
      </c>
      <c r="W502" s="9">
        <v>2016</v>
      </c>
      <c r="X502" s="89" t="s">
        <v>1918</v>
      </c>
      <c r="Y502" s="89"/>
      <c r="Z502" s="53">
        <v>9999</v>
      </c>
      <c r="AA502" s="53"/>
      <c r="AB502" s="53">
        <v>30</v>
      </c>
      <c r="AC502" s="53">
        <v>30</v>
      </c>
      <c r="AD502" s="53">
        <v>30</v>
      </c>
      <c r="AE502" s="94">
        <v>50</v>
      </c>
      <c r="AF502" s="94">
        <v>20</v>
      </c>
      <c r="AG502" s="94">
        <v>4000</v>
      </c>
      <c r="AH502" s="94">
        <v>50</v>
      </c>
      <c r="AI502" s="94">
        <v>0</v>
      </c>
      <c r="AJ502" s="94">
        <v>0</v>
      </c>
      <c r="AK502" s="94">
        <v>1</v>
      </c>
      <c r="AL502" s="94">
        <v>0</v>
      </c>
      <c r="AM502" s="98" t="s">
        <v>676</v>
      </c>
      <c r="AS502" s="17"/>
      <c r="AT502" s="17"/>
      <c r="AW502" s="88"/>
      <c r="AX502" s="88"/>
      <c r="AY502" s="117"/>
    </row>
    <row r="503" s="9" customFormat="1" spans="2:51">
      <c r="B503" s="9">
        <v>4000004</v>
      </c>
      <c r="C503" s="9">
        <v>4000004</v>
      </c>
      <c r="D503" s="24" t="s">
        <v>1919</v>
      </c>
      <c r="E503" s="9" t="s">
        <v>1920</v>
      </c>
      <c r="G503" s="9">
        <v>0</v>
      </c>
      <c r="H503" s="2"/>
      <c r="I503" s="2"/>
      <c r="J503" s="2"/>
      <c r="K503" s="2"/>
      <c r="L503" s="2"/>
      <c r="N503" s="88">
        <v>0</v>
      </c>
      <c r="O503" s="6">
        <v>1</v>
      </c>
      <c r="P503" s="88">
        <v>1</v>
      </c>
      <c r="Q503" s="88">
        <v>1</v>
      </c>
      <c r="R503" s="88">
        <v>8</v>
      </c>
      <c r="S503" s="31"/>
      <c r="T503" s="9">
        <v>1</v>
      </c>
      <c r="U503" s="9">
        <v>1</v>
      </c>
      <c r="V503" s="9">
        <v>1</v>
      </c>
      <c r="W503" s="9">
        <v>2017</v>
      </c>
      <c r="X503" s="89" t="s">
        <v>1921</v>
      </c>
      <c r="Y503" s="89"/>
      <c r="Z503" s="53">
        <v>9999</v>
      </c>
      <c r="AA503" s="53"/>
      <c r="AB503" s="53">
        <v>30</v>
      </c>
      <c r="AC503" s="53">
        <v>30</v>
      </c>
      <c r="AD503" s="53">
        <v>30</v>
      </c>
      <c r="AE503" s="94">
        <v>50</v>
      </c>
      <c r="AF503" s="94">
        <v>20</v>
      </c>
      <c r="AG503" s="94">
        <v>4000</v>
      </c>
      <c r="AH503" s="94">
        <v>50</v>
      </c>
      <c r="AI503" s="94">
        <v>0</v>
      </c>
      <c r="AJ503" s="94">
        <v>0</v>
      </c>
      <c r="AK503" s="94">
        <v>1</v>
      </c>
      <c r="AL503" s="94">
        <v>0</v>
      </c>
      <c r="AM503" s="98" t="s">
        <v>676</v>
      </c>
      <c r="AS503" s="17"/>
      <c r="AT503" s="17"/>
      <c r="AW503" s="88"/>
      <c r="AX503" s="88"/>
      <c r="AY503" s="117"/>
    </row>
    <row r="504" s="9" customFormat="1" spans="2:51">
      <c r="B504" s="9">
        <v>4000005</v>
      </c>
      <c r="C504" s="9">
        <v>4000005</v>
      </c>
      <c r="D504" s="24" t="s">
        <v>1922</v>
      </c>
      <c r="E504" s="9" t="s">
        <v>1923</v>
      </c>
      <c r="G504" s="9">
        <v>0</v>
      </c>
      <c r="H504" s="2"/>
      <c r="I504" s="2"/>
      <c r="J504" s="2"/>
      <c r="K504" s="2"/>
      <c r="L504" s="2"/>
      <c r="N504" s="88">
        <v>0</v>
      </c>
      <c r="O504" s="6">
        <v>1</v>
      </c>
      <c r="P504" s="88">
        <v>1</v>
      </c>
      <c r="Q504" s="88">
        <v>1</v>
      </c>
      <c r="R504" s="88">
        <v>8</v>
      </c>
      <c r="S504" s="31"/>
      <c r="T504" s="9">
        <v>1</v>
      </c>
      <c r="U504" s="9">
        <v>1</v>
      </c>
      <c r="V504" s="9">
        <v>1</v>
      </c>
      <c r="W504" s="9">
        <v>3011</v>
      </c>
      <c r="X504" s="89" t="s">
        <v>1924</v>
      </c>
      <c r="Y504" s="89"/>
      <c r="Z504" s="53">
        <v>9999</v>
      </c>
      <c r="AA504" s="53"/>
      <c r="AB504" s="53">
        <v>30</v>
      </c>
      <c r="AC504" s="53">
        <v>30</v>
      </c>
      <c r="AD504" s="53">
        <v>30</v>
      </c>
      <c r="AE504" s="94">
        <v>50</v>
      </c>
      <c r="AF504" s="94">
        <v>20</v>
      </c>
      <c r="AG504" s="94">
        <v>4000</v>
      </c>
      <c r="AH504" s="94">
        <v>50</v>
      </c>
      <c r="AI504" s="94">
        <v>0</v>
      </c>
      <c r="AJ504" s="94">
        <v>0</v>
      </c>
      <c r="AK504" s="94">
        <v>1</v>
      </c>
      <c r="AL504" s="94">
        <v>0</v>
      </c>
      <c r="AM504" s="98" t="s">
        <v>676</v>
      </c>
      <c r="AS504" s="17"/>
      <c r="AT504" s="17"/>
      <c r="AW504" s="88"/>
      <c r="AX504" s="88"/>
      <c r="AY504" s="117"/>
    </row>
    <row r="505" s="9" customFormat="1" spans="2:51">
      <c r="B505" s="9">
        <v>4000006</v>
      </c>
      <c r="C505" s="9">
        <v>4000006</v>
      </c>
      <c r="D505" s="24" t="s">
        <v>1925</v>
      </c>
      <c r="E505" s="9" t="s">
        <v>1926</v>
      </c>
      <c r="G505" s="9">
        <v>0</v>
      </c>
      <c r="H505" s="2"/>
      <c r="I505" s="2"/>
      <c r="J505" s="2"/>
      <c r="K505" s="2"/>
      <c r="L505" s="2"/>
      <c r="N505" s="88">
        <v>0</v>
      </c>
      <c r="O505" s="6">
        <v>1</v>
      </c>
      <c r="P505" s="88">
        <v>1</v>
      </c>
      <c r="Q505" s="88">
        <v>1</v>
      </c>
      <c r="R505" s="88">
        <v>8</v>
      </c>
      <c r="S505" s="31"/>
      <c r="T505" s="9">
        <v>1</v>
      </c>
      <c r="U505" s="9">
        <v>1</v>
      </c>
      <c r="V505" s="9">
        <v>1</v>
      </c>
      <c r="W505" s="9">
        <v>2078</v>
      </c>
      <c r="X505" s="89" t="s">
        <v>1927</v>
      </c>
      <c r="Y505" s="89"/>
      <c r="Z505" s="53">
        <v>9999</v>
      </c>
      <c r="AA505" s="53"/>
      <c r="AB505" s="53">
        <v>30</v>
      </c>
      <c r="AC505" s="53">
        <v>30</v>
      </c>
      <c r="AD505" s="53">
        <v>30</v>
      </c>
      <c r="AE505" s="94">
        <v>50</v>
      </c>
      <c r="AF505" s="94">
        <v>20</v>
      </c>
      <c r="AG505" s="94">
        <v>4000</v>
      </c>
      <c r="AH505" s="94">
        <v>50</v>
      </c>
      <c r="AI505" s="94">
        <v>0</v>
      </c>
      <c r="AJ505" s="94">
        <v>0</v>
      </c>
      <c r="AK505" s="94">
        <v>1</v>
      </c>
      <c r="AL505" s="94">
        <v>0</v>
      </c>
      <c r="AM505" s="98" t="s">
        <v>676</v>
      </c>
      <c r="AS505" s="17"/>
      <c r="AT505" s="17"/>
      <c r="AW505" s="88"/>
      <c r="AX505" s="88"/>
      <c r="AY505" s="117"/>
    </row>
    <row r="506" s="9" customFormat="1" spans="2:51">
      <c r="B506" s="9">
        <v>4000007</v>
      </c>
      <c r="C506" s="9">
        <v>4000007</v>
      </c>
      <c r="D506" s="24" t="s">
        <v>1928</v>
      </c>
      <c r="E506" s="9" t="s">
        <v>1929</v>
      </c>
      <c r="G506" s="9">
        <v>0</v>
      </c>
      <c r="H506" s="2"/>
      <c r="I506" s="2"/>
      <c r="J506" s="2"/>
      <c r="K506" s="2"/>
      <c r="L506" s="2"/>
      <c r="N506" s="88">
        <v>0</v>
      </c>
      <c r="O506" s="6">
        <v>1</v>
      </c>
      <c r="P506" s="88">
        <v>1</v>
      </c>
      <c r="Q506" s="88">
        <v>1</v>
      </c>
      <c r="R506" s="88">
        <v>8</v>
      </c>
      <c r="S506" s="31"/>
      <c r="T506" s="9">
        <v>1</v>
      </c>
      <c r="U506" s="9">
        <v>1</v>
      </c>
      <c r="V506" s="9">
        <v>1</v>
      </c>
      <c r="W506" s="9">
        <v>2048</v>
      </c>
      <c r="X506" s="89" t="s">
        <v>1930</v>
      </c>
      <c r="Y506" s="89"/>
      <c r="Z506" s="53">
        <v>9999</v>
      </c>
      <c r="AA506" s="53"/>
      <c r="AB506" s="53">
        <v>30</v>
      </c>
      <c r="AC506" s="53">
        <v>30</v>
      </c>
      <c r="AD506" s="53">
        <v>30</v>
      </c>
      <c r="AE506" s="94">
        <v>50</v>
      </c>
      <c r="AF506" s="94">
        <v>20</v>
      </c>
      <c r="AG506" s="94">
        <v>4000</v>
      </c>
      <c r="AH506" s="94">
        <v>50</v>
      </c>
      <c r="AI506" s="94">
        <v>0</v>
      </c>
      <c r="AJ506" s="94">
        <v>0</v>
      </c>
      <c r="AK506" s="94">
        <v>1</v>
      </c>
      <c r="AL506" s="94">
        <v>0</v>
      </c>
      <c r="AM506" s="98" t="s">
        <v>676</v>
      </c>
      <c r="AS506" s="17"/>
      <c r="AT506" s="17"/>
      <c r="AW506" s="88"/>
      <c r="AX506" s="88"/>
      <c r="AY506" s="117"/>
    </row>
    <row r="507" s="9" customFormat="1" spans="2:51">
      <c r="B507" s="9">
        <v>4000008</v>
      </c>
      <c r="C507" s="9">
        <v>4000008</v>
      </c>
      <c r="D507" s="24" t="s">
        <v>1931</v>
      </c>
      <c r="E507" s="9" t="s">
        <v>1932</v>
      </c>
      <c r="G507" s="9">
        <v>1</v>
      </c>
      <c r="H507" s="2"/>
      <c r="I507" s="2"/>
      <c r="J507" s="2"/>
      <c r="K507" s="2"/>
      <c r="L507" s="2"/>
      <c r="N507" s="88">
        <v>0</v>
      </c>
      <c r="O507" s="6">
        <v>1</v>
      </c>
      <c r="P507" s="88">
        <v>1</v>
      </c>
      <c r="Q507" s="88">
        <v>1</v>
      </c>
      <c r="R507" s="88">
        <v>8</v>
      </c>
      <c r="S507" s="31"/>
      <c r="T507" s="9">
        <v>1</v>
      </c>
      <c r="U507" s="9">
        <v>1</v>
      </c>
      <c r="V507" s="9">
        <v>1</v>
      </c>
      <c r="W507" s="9">
        <v>2047</v>
      </c>
      <c r="X507" s="89" t="s">
        <v>1933</v>
      </c>
      <c r="Y507" s="89"/>
      <c r="Z507" s="53">
        <v>9999</v>
      </c>
      <c r="AA507" s="53"/>
      <c r="AB507" s="53">
        <v>30</v>
      </c>
      <c r="AC507" s="53">
        <v>30</v>
      </c>
      <c r="AD507" s="53">
        <v>30</v>
      </c>
      <c r="AE507" s="94">
        <v>50</v>
      </c>
      <c r="AF507" s="94">
        <v>20</v>
      </c>
      <c r="AG507" s="94">
        <v>4000</v>
      </c>
      <c r="AH507" s="94">
        <v>50</v>
      </c>
      <c r="AI507" s="94">
        <v>0</v>
      </c>
      <c r="AJ507" s="94">
        <v>0</v>
      </c>
      <c r="AK507" s="94">
        <v>1</v>
      </c>
      <c r="AL507" s="94">
        <v>0</v>
      </c>
      <c r="AM507" s="98" t="s">
        <v>676</v>
      </c>
      <c r="AS507" s="17"/>
      <c r="AT507" s="17"/>
      <c r="AW507" s="88"/>
      <c r="AX507" s="88"/>
      <c r="AY507" s="117"/>
    </row>
    <row r="508" s="9" customFormat="1" spans="2:51">
      <c r="B508" s="9">
        <v>4000009</v>
      </c>
      <c r="C508" s="9">
        <v>4000009</v>
      </c>
      <c r="D508" s="24" t="s">
        <v>1934</v>
      </c>
      <c r="E508" s="9" t="s">
        <v>1935</v>
      </c>
      <c r="G508" s="9">
        <v>0</v>
      </c>
      <c r="H508" s="2"/>
      <c r="I508" s="2"/>
      <c r="J508" s="2"/>
      <c r="K508" s="2"/>
      <c r="L508" s="2"/>
      <c r="N508" s="88">
        <v>0</v>
      </c>
      <c r="O508" s="6">
        <v>1</v>
      </c>
      <c r="P508" s="88">
        <v>1</v>
      </c>
      <c r="Q508" s="88">
        <v>1</v>
      </c>
      <c r="R508" s="88">
        <v>8</v>
      </c>
      <c r="S508" s="31"/>
      <c r="T508" s="9">
        <v>1</v>
      </c>
      <c r="U508" s="9">
        <v>1</v>
      </c>
      <c r="V508" s="9">
        <v>1</v>
      </c>
      <c r="W508" s="9">
        <v>2024</v>
      </c>
      <c r="X508" s="89" t="s">
        <v>1936</v>
      </c>
      <c r="Y508" s="89"/>
      <c r="Z508" s="53">
        <v>9999</v>
      </c>
      <c r="AA508" s="53"/>
      <c r="AB508" s="53">
        <v>30</v>
      </c>
      <c r="AC508" s="53">
        <v>30</v>
      </c>
      <c r="AD508" s="53">
        <v>30</v>
      </c>
      <c r="AE508" s="94">
        <v>50</v>
      </c>
      <c r="AF508" s="94">
        <v>20</v>
      </c>
      <c r="AG508" s="94">
        <v>4000</v>
      </c>
      <c r="AH508" s="94">
        <v>50</v>
      </c>
      <c r="AI508" s="94">
        <v>0</v>
      </c>
      <c r="AJ508" s="94">
        <v>0</v>
      </c>
      <c r="AK508" s="94">
        <v>1</v>
      </c>
      <c r="AL508" s="94">
        <v>0</v>
      </c>
      <c r="AM508" s="98" t="s">
        <v>676</v>
      </c>
      <c r="AS508" s="17"/>
      <c r="AT508" s="17"/>
      <c r="AW508" s="88"/>
      <c r="AX508" s="88"/>
      <c r="AY508" s="117"/>
    </row>
    <row r="509" s="9" customFormat="1" spans="2:51">
      <c r="B509" s="9">
        <v>4000010</v>
      </c>
      <c r="C509" s="9">
        <v>4000010</v>
      </c>
      <c r="D509" s="24" t="s">
        <v>1937</v>
      </c>
      <c r="E509" s="9" t="s">
        <v>1938</v>
      </c>
      <c r="G509" s="9">
        <v>0</v>
      </c>
      <c r="H509" s="2"/>
      <c r="I509" s="2"/>
      <c r="J509" s="2"/>
      <c r="K509" s="2"/>
      <c r="L509" s="2"/>
      <c r="N509" s="88">
        <v>0</v>
      </c>
      <c r="O509" s="6">
        <v>1</v>
      </c>
      <c r="P509" s="88">
        <v>1</v>
      </c>
      <c r="Q509" s="88">
        <v>1</v>
      </c>
      <c r="R509" s="88">
        <v>8</v>
      </c>
      <c r="S509" s="31"/>
      <c r="T509" s="9">
        <v>1</v>
      </c>
      <c r="U509" s="9">
        <v>1</v>
      </c>
      <c r="V509" s="9">
        <v>1</v>
      </c>
      <c r="W509" s="9">
        <v>2023</v>
      </c>
      <c r="X509" s="89" t="s">
        <v>1939</v>
      </c>
      <c r="Y509" s="89"/>
      <c r="Z509" s="53">
        <v>9999</v>
      </c>
      <c r="AA509" s="53"/>
      <c r="AB509" s="53">
        <v>30</v>
      </c>
      <c r="AC509" s="53">
        <v>30</v>
      </c>
      <c r="AD509" s="53">
        <v>30</v>
      </c>
      <c r="AE509" s="94">
        <v>50</v>
      </c>
      <c r="AF509" s="94">
        <v>20</v>
      </c>
      <c r="AG509" s="94">
        <v>4000</v>
      </c>
      <c r="AH509" s="94">
        <v>50</v>
      </c>
      <c r="AI509" s="94">
        <v>0</v>
      </c>
      <c r="AJ509" s="94">
        <v>0</v>
      </c>
      <c r="AK509" s="94">
        <v>1</v>
      </c>
      <c r="AL509" s="94">
        <v>0</v>
      </c>
      <c r="AM509" s="98" t="s">
        <v>676</v>
      </c>
      <c r="AS509" s="17"/>
      <c r="AT509" s="17"/>
      <c r="AW509" s="88"/>
      <c r="AX509" s="88"/>
      <c r="AY509" s="117"/>
    </row>
    <row r="510" s="9" customFormat="1" spans="2:51">
      <c r="B510" s="9">
        <v>4000011</v>
      </c>
      <c r="C510" s="9">
        <v>4000011</v>
      </c>
      <c r="D510" s="24" t="s">
        <v>1940</v>
      </c>
      <c r="E510" s="9" t="s">
        <v>1941</v>
      </c>
      <c r="G510" s="9">
        <v>1</v>
      </c>
      <c r="H510" s="2"/>
      <c r="I510" s="2"/>
      <c r="J510" s="2"/>
      <c r="K510" s="2"/>
      <c r="L510" s="2"/>
      <c r="N510" s="88">
        <v>0</v>
      </c>
      <c r="O510" s="9">
        <v>0</v>
      </c>
      <c r="P510" s="88">
        <v>1</v>
      </c>
      <c r="Q510" s="88">
        <v>1</v>
      </c>
      <c r="R510" s="88">
        <v>8</v>
      </c>
      <c r="S510" s="31"/>
      <c r="T510" s="9">
        <v>1</v>
      </c>
      <c r="U510" s="9">
        <v>1</v>
      </c>
      <c r="V510" s="9">
        <v>1</v>
      </c>
      <c r="W510" s="9">
        <v>1034</v>
      </c>
      <c r="X510" s="89"/>
      <c r="Y510" s="89"/>
      <c r="Z510" s="53">
        <v>9999</v>
      </c>
      <c r="AA510" s="53"/>
      <c r="AB510" s="53">
        <v>30</v>
      </c>
      <c r="AC510" s="53">
        <v>30</v>
      </c>
      <c r="AD510" s="53">
        <v>30</v>
      </c>
      <c r="AE510" s="94">
        <v>50</v>
      </c>
      <c r="AF510" s="94">
        <v>20</v>
      </c>
      <c r="AG510" s="94">
        <v>4000</v>
      </c>
      <c r="AH510" s="94">
        <v>50</v>
      </c>
      <c r="AI510" s="94">
        <v>0</v>
      </c>
      <c r="AJ510" s="94">
        <v>0</v>
      </c>
      <c r="AK510" s="94">
        <v>1</v>
      </c>
      <c r="AL510" s="94">
        <v>0</v>
      </c>
      <c r="AM510" s="98" t="s">
        <v>676</v>
      </c>
      <c r="AS510" s="17"/>
      <c r="AT510" s="17"/>
      <c r="AW510" s="88"/>
      <c r="AX510" s="88"/>
      <c r="AY510" s="117"/>
    </row>
    <row r="511" s="9" customFormat="1" spans="2:51">
      <c r="B511" s="9">
        <v>4000012</v>
      </c>
      <c r="C511" s="9">
        <v>4000012</v>
      </c>
      <c r="D511" s="24" t="s">
        <v>1942</v>
      </c>
      <c r="E511" s="9" t="s">
        <v>1943</v>
      </c>
      <c r="G511" s="9">
        <v>1</v>
      </c>
      <c r="H511" s="2"/>
      <c r="I511" s="2"/>
      <c r="J511" s="2"/>
      <c r="K511" s="2"/>
      <c r="L511" s="2"/>
      <c r="N511" s="88">
        <v>0</v>
      </c>
      <c r="O511" s="6">
        <v>1</v>
      </c>
      <c r="P511" s="88">
        <v>1</v>
      </c>
      <c r="Q511" s="88">
        <v>1</v>
      </c>
      <c r="R511" s="88">
        <v>8</v>
      </c>
      <c r="S511" s="31"/>
      <c r="T511" s="9">
        <v>1</v>
      </c>
      <c r="U511" s="9">
        <v>1</v>
      </c>
      <c r="V511" s="9">
        <v>1</v>
      </c>
      <c r="W511" s="9">
        <v>2046</v>
      </c>
      <c r="X511" s="89" t="s">
        <v>1944</v>
      </c>
      <c r="Y511" s="89"/>
      <c r="Z511" s="53">
        <v>9999</v>
      </c>
      <c r="AA511" s="53"/>
      <c r="AB511" s="53">
        <v>30</v>
      </c>
      <c r="AC511" s="53">
        <v>30</v>
      </c>
      <c r="AD511" s="53">
        <v>30</v>
      </c>
      <c r="AE511" s="94">
        <v>50</v>
      </c>
      <c r="AF511" s="94">
        <v>20</v>
      </c>
      <c r="AG511" s="94">
        <v>4000</v>
      </c>
      <c r="AH511" s="94">
        <v>50</v>
      </c>
      <c r="AI511" s="94">
        <v>0</v>
      </c>
      <c r="AJ511" s="94">
        <v>0</v>
      </c>
      <c r="AK511" s="94">
        <v>1</v>
      </c>
      <c r="AL511" s="94">
        <v>0</v>
      </c>
      <c r="AM511" s="98" t="s">
        <v>676</v>
      </c>
      <c r="AS511" s="17"/>
      <c r="AT511" s="17"/>
      <c r="AW511" s="88"/>
      <c r="AX511" s="88"/>
      <c r="AY511" s="117"/>
    </row>
    <row r="512" s="9" customFormat="1" spans="2:51">
      <c r="B512" s="9">
        <v>4000013</v>
      </c>
      <c r="C512" s="9">
        <v>4000013</v>
      </c>
      <c r="D512" s="24" t="s">
        <v>1945</v>
      </c>
      <c r="E512" s="135" t="s">
        <v>1946</v>
      </c>
      <c r="F512" s="135"/>
      <c r="G512" s="9">
        <v>0</v>
      </c>
      <c r="H512" s="2"/>
      <c r="I512" s="2"/>
      <c r="J512" s="2"/>
      <c r="K512" s="2"/>
      <c r="L512" s="2"/>
      <c r="N512" s="88">
        <v>0</v>
      </c>
      <c r="O512" s="9">
        <v>0</v>
      </c>
      <c r="P512" s="88">
        <v>1</v>
      </c>
      <c r="Q512" s="88">
        <v>1</v>
      </c>
      <c r="R512" s="88">
        <v>8</v>
      </c>
      <c r="S512" s="31"/>
      <c r="T512" s="9">
        <v>1</v>
      </c>
      <c r="U512" s="9">
        <v>1</v>
      </c>
      <c r="V512" s="9">
        <v>1</v>
      </c>
      <c r="W512" s="9">
        <v>2079</v>
      </c>
      <c r="X512" s="89" t="s">
        <v>1947</v>
      </c>
      <c r="Y512" s="89"/>
      <c r="Z512" s="53">
        <v>9999</v>
      </c>
      <c r="AA512" s="53"/>
      <c r="AB512" s="53">
        <v>30</v>
      </c>
      <c r="AC512" s="53">
        <v>30</v>
      </c>
      <c r="AD512" s="53">
        <v>30</v>
      </c>
      <c r="AE512" s="94">
        <v>50</v>
      </c>
      <c r="AF512" s="94">
        <v>20</v>
      </c>
      <c r="AG512" s="94">
        <v>4000</v>
      </c>
      <c r="AH512" s="94">
        <v>50</v>
      </c>
      <c r="AI512" s="94">
        <v>0</v>
      </c>
      <c r="AJ512" s="94">
        <v>0</v>
      </c>
      <c r="AK512" s="94">
        <v>1</v>
      </c>
      <c r="AL512" s="94">
        <v>0</v>
      </c>
      <c r="AM512" s="98" t="s">
        <v>676</v>
      </c>
      <c r="AS512" s="17"/>
      <c r="AT512" s="17"/>
      <c r="AW512" s="88"/>
      <c r="AX512" s="88"/>
      <c r="AY512" s="117"/>
    </row>
    <row r="513" s="9" customFormat="1" spans="2:51">
      <c r="B513" s="9">
        <v>4000014</v>
      </c>
      <c r="C513" s="9">
        <v>4000014</v>
      </c>
      <c r="D513" s="24" t="s">
        <v>1948</v>
      </c>
      <c r="E513" s="135" t="s">
        <v>1949</v>
      </c>
      <c r="F513" s="135"/>
      <c r="G513" s="9">
        <v>0</v>
      </c>
      <c r="H513" s="2"/>
      <c r="I513" s="2"/>
      <c r="J513" s="2"/>
      <c r="K513" s="2"/>
      <c r="L513" s="2"/>
      <c r="N513" s="88">
        <v>0</v>
      </c>
      <c r="O513" s="9">
        <v>0</v>
      </c>
      <c r="P513" s="88">
        <v>1</v>
      </c>
      <c r="Q513" s="88">
        <v>1</v>
      </c>
      <c r="R513" s="88">
        <v>8</v>
      </c>
      <c r="S513" s="31"/>
      <c r="T513" s="9">
        <v>1</v>
      </c>
      <c r="U513" s="9">
        <v>1</v>
      </c>
      <c r="V513" s="9">
        <v>1</v>
      </c>
      <c r="W513" s="9">
        <v>2080</v>
      </c>
      <c r="X513" s="89"/>
      <c r="Y513" s="89"/>
      <c r="Z513" s="53">
        <v>9999</v>
      </c>
      <c r="AA513" s="53"/>
      <c r="AB513" s="53">
        <v>30</v>
      </c>
      <c r="AC513" s="53">
        <v>30</v>
      </c>
      <c r="AD513" s="53">
        <v>30</v>
      </c>
      <c r="AE513" s="94">
        <v>50</v>
      </c>
      <c r="AF513" s="94">
        <v>20</v>
      </c>
      <c r="AG513" s="94">
        <v>4000</v>
      </c>
      <c r="AH513" s="94">
        <v>50</v>
      </c>
      <c r="AI513" s="94">
        <v>0</v>
      </c>
      <c r="AJ513" s="94">
        <v>0</v>
      </c>
      <c r="AK513" s="94">
        <v>1</v>
      </c>
      <c r="AL513" s="94">
        <v>0</v>
      </c>
      <c r="AM513" s="98" t="s">
        <v>676</v>
      </c>
      <c r="AS513" s="17"/>
      <c r="AT513" s="17"/>
      <c r="AW513" s="88"/>
      <c r="AX513" s="88"/>
      <c r="AY513" s="117"/>
    </row>
    <row r="514" spans="2:50">
      <c r="B514" s="9">
        <v>4000015</v>
      </c>
      <c r="C514" s="9">
        <v>4000015</v>
      </c>
      <c r="D514" s="24" t="s">
        <v>1950</v>
      </c>
      <c r="E514" s="135" t="s">
        <v>1950</v>
      </c>
      <c r="F514" s="135"/>
      <c r="G514" s="9">
        <v>0</v>
      </c>
      <c r="H514" s="2"/>
      <c r="I514" s="2"/>
      <c r="J514" s="2"/>
      <c r="K514" s="2"/>
      <c r="L514" s="2"/>
      <c r="N514" s="88">
        <v>0</v>
      </c>
      <c r="O514">
        <v>0</v>
      </c>
      <c r="P514" s="88">
        <v>1</v>
      </c>
      <c r="Q514" s="88">
        <v>1</v>
      </c>
      <c r="R514" s="88">
        <v>8</v>
      </c>
      <c r="S514" s="31"/>
      <c r="T514">
        <v>1</v>
      </c>
      <c r="U514">
        <v>1</v>
      </c>
      <c r="V514">
        <v>1</v>
      </c>
      <c r="W514">
        <v>2090</v>
      </c>
      <c r="X514" s="89"/>
      <c r="Z514" s="53">
        <v>9999</v>
      </c>
      <c r="AB514" s="53">
        <v>30</v>
      </c>
      <c r="AC514" s="53">
        <v>30</v>
      </c>
      <c r="AD514" s="53">
        <v>30</v>
      </c>
      <c r="AE514" s="94">
        <v>50</v>
      </c>
      <c r="AF514" s="94">
        <v>20</v>
      </c>
      <c r="AG514" s="94">
        <v>4000</v>
      </c>
      <c r="AH514" s="94">
        <v>50</v>
      </c>
      <c r="AI514" s="94">
        <v>0</v>
      </c>
      <c r="AJ514" s="94">
        <v>0</v>
      </c>
      <c r="AK514" s="94">
        <v>1</v>
      </c>
      <c r="AL514" s="94">
        <v>0</v>
      </c>
      <c r="AM514" s="98" t="s">
        <v>676</v>
      </c>
      <c r="AW514" s="88"/>
      <c r="AX514" s="88"/>
    </row>
    <row r="515" spans="2:50">
      <c r="B515" s="9">
        <v>4000016</v>
      </c>
      <c r="C515" s="9">
        <v>4000016</v>
      </c>
      <c r="D515" s="24" t="s">
        <v>1951</v>
      </c>
      <c r="E515" s="135" t="s">
        <v>1951</v>
      </c>
      <c r="F515" s="135"/>
      <c r="G515" s="9">
        <v>1</v>
      </c>
      <c r="H515" s="2"/>
      <c r="I515" s="2"/>
      <c r="J515" s="2"/>
      <c r="K515" s="2"/>
      <c r="L515" s="2"/>
      <c r="N515" s="88">
        <v>0</v>
      </c>
      <c r="O515">
        <v>0</v>
      </c>
      <c r="P515" s="88">
        <v>1</v>
      </c>
      <c r="Q515" s="88">
        <v>1</v>
      </c>
      <c r="R515" s="88">
        <v>8</v>
      </c>
      <c r="S515" s="31"/>
      <c r="T515">
        <v>1</v>
      </c>
      <c r="U515">
        <v>1</v>
      </c>
      <c r="V515">
        <v>1</v>
      </c>
      <c r="W515">
        <v>2098</v>
      </c>
      <c r="X515" s="89"/>
      <c r="Z515" s="53">
        <v>9999</v>
      </c>
      <c r="AB515" s="53">
        <v>30</v>
      </c>
      <c r="AC515" s="53">
        <v>30</v>
      </c>
      <c r="AD515" s="53">
        <v>30</v>
      </c>
      <c r="AE515" s="94">
        <v>50</v>
      </c>
      <c r="AF515" s="94">
        <v>20</v>
      </c>
      <c r="AG515" s="94">
        <v>4000</v>
      </c>
      <c r="AH515" s="94">
        <v>50</v>
      </c>
      <c r="AI515" s="94">
        <v>0</v>
      </c>
      <c r="AJ515" s="94">
        <v>0</v>
      </c>
      <c r="AK515" s="94">
        <v>1</v>
      </c>
      <c r="AL515" s="94">
        <v>0</v>
      </c>
      <c r="AM515" s="98" t="s">
        <v>676</v>
      </c>
      <c r="AW515" s="88"/>
      <c r="AX515" s="88"/>
    </row>
    <row r="516" spans="2:50">
      <c r="B516" s="9">
        <v>4000017</v>
      </c>
      <c r="C516" s="9">
        <v>4000017</v>
      </c>
      <c r="D516" s="24" t="s">
        <v>1952</v>
      </c>
      <c r="E516" s="135" t="s">
        <v>1952</v>
      </c>
      <c r="F516" s="135"/>
      <c r="G516" s="9">
        <v>0</v>
      </c>
      <c r="H516" s="2"/>
      <c r="I516" s="2"/>
      <c r="J516" s="2"/>
      <c r="K516" s="2"/>
      <c r="L516" s="2"/>
      <c r="N516" s="88">
        <v>0</v>
      </c>
      <c r="O516">
        <v>0</v>
      </c>
      <c r="P516" s="88">
        <v>1</v>
      </c>
      <c r="Q516" s="88">
        <v>1</v>
      </c>
      <c r="R516" s="88">
        <v>8</v>
      </c>
      <c r="S516" s="31"/>
      <c r="T516">
        <v>1</v>
      </c>
      <c r="U516">
        <v>1</v>
      </c>
      <c r="V516">
        <v>1</v>
      </c>
      <c r="W516" s="166">
        <v>2098</v>
      </c>
      <c r="X516" s="89"/>
      <c r="Z516" s="53">
        <v>9999</v>
      </c>
      <c r="AB516" s="53">
        <v>30</v>
      </c>
      <c r="AC516" s="53">
        <v>30</v>
      </c>
      <c r="AD516" s="53">
        <v>30</v>
      </c>
      <c r="AE516" s="94">
        <v>50</v>
      </c>
      <c r="AF516" s="94">
        <v>20</v>
      </c>
      <c r="AG516" s="94">
        <v>4000</v>
      </c>
      <c r="AH516" s="94">
        <v>50</v>
      </c>
      <c r="AI516" s="94">
        <v>0</v>
      </c>
      <c r="AJ516" s="94">
        <v>0</v>
      </c>
      <c r="AK516" s="94">
        <v>1</v>
      </c>
      <c r="AL516" s="94">
        <v>0</v>
      </c>
      <c r="AM516" s="98" t="s">
        <v>676</v>
      </c>
      <c r="AW516" s="88"/>
      <c r="AX516" s="88"/>
    </row>
    <row r="517" spans="2:50">
      <c r="B517" s="9">
        <v>4000018</v>
      </c>
      <c r="C517" s="9">
        <v>4000018</v>
      </c>
      <c r="D517" s="24" t="s">
        <v>1953</v>
      </c>
      <c r="E517" s="135" t="s">
        <v>1954</v>
      </c>
      <c r="F517" s="135"/>
      <c r="G517" s="9">
        <v>0</v>
      </c>
      <c r="H517" s="2"/>
      <c r="I517" s="2"/>
      <c r="J517" s="2"/>
      <c r="K517" s="2"/>
      <c r="L517" s="2"/>
      <c r="N517" s="88">
        <v>0</v>
      </c>
      <c r="O517">
        <v>0</v>
      </c>
      <c r="P517" s="88">
        <v>1</v>
      </c>
      <c r="Q517" s="88">
        <v>1</v>
      </c>
      <c r="R517" s="88">
        <v>8</v>
      </c>
      <c r="S517" s="31"/>
      <c r="T517">
        <v>1</v>
      </c>
      <c r="U517">
        <v>1</v>
      </c>
      <c r="V517">
        <v>1</v>
      </c>
      <c r="W517" s="166">
        <v>2098</v>
      </c>
      <c r="X517" s="89"/>
      <c r="Z517" s="53">
        <v>9999</v>
      </c>
      <c r="AB517" s="53">
        <v>30</v>
      </c>
      <c r="AC517" s="53">
        <v>30</v>
      </c>
      <c r="AD517" s="53">
        <v>30</v>
      </c>
      <c r="AE517" s="94">
        <v>50</v>
      </c>
      <c r="AF517" s="94">
        <v>20</v>
      </c>
      <c r="AG517" s="94">
        <v>4000</v>
      </c>
      <c r="AH517" s="94">
        <v>50</v>
      </c>
      <c r="AI517" s="94">
        <v>0</v>
      </c>
      <c r="AJ517" s="94">
        <v>0</v>
      </c>
      <c r="AK517" s="94">
        <v>1</v>
      </c>
      <c r="AL517" s="94">
        <v>0</v>
      </c>
      <c r="AM517" s="98" t="s">
        <v>676</v>
      </c>
      <c r="AW517" s="88"/>
      <c r="AX517" s="88"/>
    </row>
    <row r="518" spans="2:50">
      <c r="B518" s="9">
        <v>4000019</v>
      </c>
      <c r="C518" s="9">
        <v>4000019</v>
      </c>
      <c r="D518" s="24" t="s">
        <v>1955</v>
      </c>
      <c r="E518" s="135" t="s">
        <v>1955</v>
      </c>
      <c r="F518" s="135"/>
      <c r="G518" s="9">
        <v>0</v>
      </c>
      <c r="H518" s="2"/>
      <c r="I518" s="2"/>
      <c r="J518" s="2"/>
      <c r="K518" s="2"/>
      <c r="L518" s="2"/>
      <c r="N518" s="88">
        <v>0</v>
      </c>
      <c r="O518">
        <v>0</v>
      </c>
      <c r="P518" s="88">
        <v>1</v>
      </c>
      <c r="Q518" s="88">
        <v>1</v>
      </c>
      <c r="R518" s="88">
        <v>8</v>
      </c>
      <c r="S518" s="31"/>
      <c r="T518">
        <v>1</v>
      </c>
      <c r="U518">
        <v>1</v>
      </c>
      <c r="V518">
        <v>1</v>
      </c>
      <c r="W518" s="166">
        <v>2098</v>
      </c>
      <c r="X518" s="89"/>
      <c r="Z518" s="53">
        <v>9999</v>
      </c>
      <c r="AB518" s="53">
        <v>30</v>
      </c>
      <c r="AC518" s="53">
        <v>30</v>
      </c>
      <c r="AD518" s="53">
        <v>30</v>
      </c>
      <c r="AE518" s="94">
        <v>50</v>
      </c>
      <c r="AF518" s="94">
        <v>20</v>
      </c>
      <c r="AG518" s="94">
        <v>4000</v>
      </c>
      <c r="AH518" s="94">
        <v>50</v>
      </c>
      <c r="AI518" s="94">
        <v>0</v>
      </c>
      <c r="AJ518" s="94">
        <v>0</v>
      </c>
      <c r="AK518" s="94">
        <v>1</v>
      </c>
      <c r="AL518" s="94">
        <v>0</v>
      </c>
      <c r="AM518" s="98" t="s">
        <v>676</v>
      </c>
      <c r="AW518" s="88"/>
      <c r="AX518" s="88"/>
    </row>
    <row r="519" spans="2:50">
      <c r="B519" s="9">
        <v>4000020</v>
      </c>
      <c r="C519" s="9">
        <v>4000020</v>
      </c>
      <c r="D519" s="24" t="s">
        <v>1956</v>
      </c>
      <c r="E519" s="6" t="s">
        <v>1956</v>
      </c>
      <c r="F519" s="6"/>
      <c r="G519" s="9">
        <v>0</v>
      </c>
      <c r="H519" s="2"/>
      <c r="I519" s="2"/>
      <c r="J519" s="2"/>
      <c r="K519" s="2"/>
      <c r="L519" s="2"/>
      <c r="N519" s="88">
        <v>0</v>
      </c>
      <c r="O519" s="6">
        <v>1</v>
      </c>
      <c r="P519" s="88">
        <v>1</v>
      </c>
      <c r="Q519" s="88">
        <v>1</v>
      </c>
      <c r="R519" s="88">
        <v>8</v>
      </c>
      <c r="S519" s="31"/>
      <c r="T519">
        <v>1</v>
      </c>
      <c r="U519">
        <v>1</v>
      </c>
      <c r="V519">
        <v>1</v>
      </c>
      <c r="W519">
        <v>2115</v>
      </c>
      <c r="X519" s="89" t="s">
        <v>1957</v>
      </c>
      <c r="Z519" s="53">
        <v>9999</v>
      </c>
      <c r="AB519" s="53">
        <v>30</v>
      </c>
      <c r="AC519" s="53">
        <v>30</v>
      </c>
      <c r="AD519" s="53">
        <v>30</v>
      </c>
      <c r="AE519" s="94">
        <v>50</v>
      </c>
      <c r="AF519" s="94">
        <v>20</v>
      </c>
      <c r="AG519" s="94">
        <v>4000</v>
      </c>
      <c r="AH519" s="94">
        <v>50</v>
      </c>
      <c r="AI519" s="94">
        <v>0</v>
      </c>
      <c r="AJ519" s="94">
        <v>0</v>
      </c>
      <c r="AK519" s="94">
        <v>1</v>
      </c>
      <c r="AL519" s="94">
        <v>0</v>
      </c>
      <c r="AM519" s="98" t="s">
        <v>676</v>
      </c>
      <c r="AW519" s="88"/>
      <c r="AX519" s="88"/>
    </row>
    <row r="520" spans="2:50">
      <c r="B520" s="9">
        <v>4000021</v>
      </c>
      <c r="C520" s="9">
        <v>4000021</v>
      </c>
      <c r="D520" s="24" t="s">
        <v>1958</v>
      </c>
      <c r="E520" s="6" t="s">
        <v>1958</v>
      </c>
      <c r="F520" s="6"/>
      <c r="G520" s="9">
        <v>0</v>
      </c>
      <c r="H520" s="2"/>
      <c r="I520" s="2"/>
      <c r="J520" s="2"/>
      <c r="K520" s="2"/>
      <c r="L520" s="2"/>
      <c r="N520" s="88">
        <v>0</v>
      </c>
      <c r="O520" s="6">
        <v>1</v>
      </c>
      <c r="P520" s="88">
        <v>1</v>
      </c>
      <c r="Q520" s="88">
        <v>1</v>
      </c>
      <c r="R520" s="88">
        <v>8</v>
      </c>
      <c r="S520" s="31"/>
      <c r="T520">
        <v>1</v>
      </c>
      <c r="U520">
        <v>1</v>
      </c>
      <c r="V520">
        <v>1</v>
      </c>
      <c r="W520">
        <v>2116</v>
      </c>
      <c r="X520" s="89" t="s">
        <v>1959</v>
      </c>
      <c r="Z520" s="53">
        <v>9999</v>
      </c>
      <c r="AB520" s="53">
        <v>30</v>
      </c>
      <c r="AC520" s="53">
        <v>30</v>
      </c>
      <c r="AD520" s="53">
        <v>30</v>
      </c>
      <c r="AE520" s="94">
        <v>50</v>
      </c>
      <c r="AF520" s="94">
        <v>20</v>
      </c>
      <c r="AG520" s="94">
        <v>4000</v>
      </c>
      <c r="AH520" s="94">
        <v>50</v>
      </c>
      <c r="AI520" s="94">
        <v>0</v>
      </c>
      <c r="AJ520" s="94">
        <v>0</v>
      </c>
      <c r="AK520" s="94">
        <v>1</v>
      </c>
      <c r="AL520" s="94">
        <v>0</v>
      </c>
      <c r="AM520" s="98" t="s">
        <v>676</v>
      </c>
      <c r="AW520" s="88"/>
      <c r="AX520" s="88"/>
    </row>
    <row r="521" spans="2:50">
      <c r="B521" s="9">
        <v>4000022</v>
      </c>
      <c r="C521" s="9">
        <v>4000022</v>
      </c>
      <c r="D521" s="24" t="s">
        <v>1960</v>
      </c>
      <c r="E521" s="6" t="s">
        <v>1960</v>
      </c>
      <c r="F521" s="6"/>
      <c r="G521" s="9">
        <v>0</v>
      </c>
      <c r="H521" s="2"/>
      <c r="I521" s="2"/>
      <c r="J521" s="2"/>
      <c r="K521" s="2"/>
      <c r="L521" s="2"/>
      <c r="N521" s="88">
        <v>0</v>
      </c>
      <c r="O521" s="6">
        <v>0</v>
      </c>
      <c r="P521" s="88">
        <v>1</v>
      </c>
      <c r="Q521" s="88">
        <v>1</v>
      </c>
      <c r="R521" s="88">
        <v>8</v>
      </c>
      <c r="S521" s="31"/>
      <c r="T521">
        <v>1</v>
      </c>
      <c r="U521">
        <v>1</v>
      </c>
      <c r="V521">
        <v>1</v>
      </c>
      <c r="W521">
        <v>2117</v>
      </c>
      <c r="X521" s="89"/>
      <c r="Z521" s="53">
        <v>9999</v>
      </c>
      <c r="AB521" s="53">
        <v>30</v>
      </c>
      <c r="AC521" s="53">
        <v>30</v>
      </c>
      <c r="AD521" s="53">
        <v>30</v>
      </c>
      <c r="AE521" s="94">
        <v>50</v>
      </c>
      <c r="AF521" s="94">
        <v>20</v>
      </c>
      <c r="AG521" s="94">
        <v>4000</v>
      </c>
      <c r="AH521" s="94">
        <v>50</v>
      </c>
      <c r="AI521" s="94">
        <v>0</v>
      </c>
      <c r="AJ521" s="94">
        <v>0</v>
      </c>
      <c r="AK521" s="94">
        <v>1</v>
      </c>
      <c r="AL521" s="94">
        <v>0</v>
      </c>
      <c r="AM521" s="98" t="s">
        <v>676</v>
      </c>
      <c r="AW521" s="88"/>
      <c r="AX521" s="88"/>
    </row>
    <row r="522" spans="2:50">
      <c r="B522" s="9">
        <v>4000023</v>
      </c>
      <c r="C522" s="9">
        <v>4000023</v>
      </c>
      <c r="D522" s="24" t="s">
        <v>1961</v>
      </c>
      <c r="E522" s="6" t="s">
        <v>1961</v>
      </c>
      <c r="F522" s="6"/>
      <c r="G522" s="9">
        <v>0</v>
      </c>
      <c r="H522" s="2"/>
      <c r="I522" s="2"/>
      <c r="J522" s="2"/>
      <c r="K522" s="2"/>
      <c r="L522" s="2"/>
      <c r="N522" s="88">
        <v>0</v>
      </c>
      <c r="O522" s="6">
        <v>1</v>
      </c>
      <c r="P522" s="88">
        <v>1</v>
      </c>
      <c r="Q522" s="88">
        <v>1</v>
      </c>
      <c r="R522" s="88">
        <v>8</v>
      </c>
      <c r="S522" s="31"/>
      <c r="T522">
        <v>1</v>
      </c>
      <c r="U522">
        <v>1</v>
      </c>
      <c r="V522">
        <v>1</v>
      </c>
      <c r="W522">
        <v>2119</v>
      </c>
      <c r="X522" s="89" t="s">
        <v>1962</v>
      </c>
      <c r="Z522" s="53">
        <v>9999</v>
      </c>
      <c r="AB522" s="53">
        <v>30</v>
      </c>
      <c r="AC522" s="53">
        <v>30</v>
      </c>
      <c r="AD522" s="53">
        <v>30</v>
      </c>
      <c r="AE522" s="94">
        <v>50</v>
      </c>
      <c r="AF522" s="94">
        <v>20</v>
      </c>
      <c r="AG522" s="94">
        <v>4000</v>
      </c>
      <c r="AH522" s="94">
        <v>50</v>
      </c>
      <c r="AI522" s="94">
        <v>0</v>
      </c>
      <c r="AJ522" s="94">
        <v>0</v>
      </c>
      <c r="AK522" s="94">
        <v>1</v>
      </c>
      <c r="AL522" s="94">
        <v>0</v>
      </c>
      <c r="AM522" s="98" t="s">
        <v>676</v>
      </c>
      <c r="AW522" s="88"/>
      <c r="AX522" s="88"/>
    </row>
    <row r="523" spans="2:50">
      <c r="B523" s="9">
        <v>4000024</v>
      </c>
      <c r="C523" s="9">
        <v>4000024</v>
      </c>
      <c r="D523" s="24" t="s">
        <v>1963</v>
      </c>
      <c r="E523" s="6" t="s">
        <v>1963</v>
      </c>
      <c r="F523" s="6"/>
      <c r="G523" s="9">
        <v>1</v>
      </c>
      <c r="H523" s="2"/>
      <c r="I523" s="2"/>
      <c r="J523" s="2"/>
      <c r="K523" s="2"/>
      <c r="L523" s="2"/>
      <c r="N523" s="88">
        <v>0</v>
      </c>
      <c r="O523" s="6">
        <v>1</v>
      </c>
      <c r="P523" s="88">
        <v>1</v>
      </c>
      <c r="Q523" s="88">
        <v>1</v>
      </c>
      <c r="R523" s="88">
        <v>8</v>
      </c>
      <c r="S523" s="31"/>
      <c r="T523">
        <v>1</v>
      </c>
      <c r="U523">
        <v>1</v>
      </c>
      <c r="V523">
        <v>1</v>
      </c>
      <c r="W523">
        <v>2120</v>
      </c>
      <c r="X523" s="89" t="s">
        <v>1964</v>
      </c>
      <c r="Z523" s="53">
        <v>9999</v>
      </c>
      <c r="AB523" s="53">
        <v>30</v>
      </c>
      <c r="AC523" s="53">
        <v>30</v>
      </c>
      <c r="AD523" s="53">
        <v>30</v>
      </c>
      <c r="AE523" s="94">
        <v>50</v>
      </c>
      <c r="AF523" s="94">
        <v>20</v>
      </c>
      <c r="AG523" s="94">
        <v>4000</v>
      </c>
      <c r="AH523" s="94">
        <v>50</v>
      </c>
      <c r="AI523" s="94">
        <v>0</v>
      </c>
      <c r="AJ523" s="94">
        <v>0</v>
      </c>
      <c r="AK523" s="94">
        <v>1</v>
      </c>
      <c r="AL523" s="94">
        <v>0</v>
      </c>
      <c r="AM523" s="98" t="s">
        <v>676</v>
      </c>
      <c r="AW523" s="88"/>
      <c r="AX523" s="88"/>
    </row>
    <row r="524" spans="2:50">
      <c r="B524" s="9">
        <v>4000025</v>
      </c>
      <c r="C524" s="9">
        <v>4000025</v>
      </c>
      <c r="D524" s="24" t="s">
        <v>1965</v>
      </c>
      <c r="E524" s="6" t="s">
        <v>1965</v>
      </c>
      <c r="F524" s="6"/>
      <c r="G524" s="9">
        <v>0</v>
      </c>
      <c r="H524" s="2"/>
      <c r="I524" s="2"/>
      <c r="J524" s="2"/>
      <c r="K524" s="2"/>
      <c r="L524" s="2"/>
      <c r="N524" s="88">
        <v>0</v>
      </c>
      <c r="O524" s="6">
        <v>1</v>
      </c>
      <c r="P524" s="88">
        <v>1</v>
      </c>
      <c r="Q524" s="88">
        <v>1</v>
      </c>
      <c r="R524" s="88">
        <v>8</v>
      </c>
      <c r="S524" s="31"/>
      <c r="T524">
        <v>1</v>
      </c>
      <c r="U524">
        <v>1</v>
      </c>
      <c r="V524">
        <v>1</v>
      </c>
      <c r="W524">
        <v>2121</v>
      </c>
      <c r="X524" s="89" t="s">
        <v>1966</v>
      </c>
      <c r="Z524" s="53">
        <v>9999</v>
      </c>
      <c r="AB524" s="53">
        <v>30</v>
      </c>
      <c r="AC524" s="53">
        <v>30</v>
      </c>
      <c r="AD524" s="53">
        <v>30</v>
      </c>
      <c r="AE524" s="94">
        <v>50</v>
      </c>
      <c r="AF524" s="94">
        <v>20</v>
      </c>
      <c r="AG524" s="94">
        <v>4000</v>
      </c>
      <c r="AH524" s="94">
        <v>50</v>
      </c>
      <c r="AI524" s="94">
        <v>0</v>
      </c>
      <c r="AJ524" s="94">
        <v>0</v>
      </c>
      <c r="AK524" s="94">
        <v>1</v>
      </c>
      <c r="AL524" s="94">
        <v>0</v>
      </c>
      <c r="AM524" s="98" t="s">
        <v>676</v>
      </c>
      <c r="AW524" s="88"/>
      <c r="AX524" s="88"/>
    </row>
    <row r="525" spans="2:50">
      <c r="B525" s="9">
        <v>4000026</v>
      </c>
      <c r="C525" s="9">
        <v>4000026</v>
      </c>
      <c r="D525" s="24" t="s">
        <v>1967</v>
      </c>
      <c r="E525" s="6" t="s">
        <v>1968</v>
      </c>
      <c r="F525" s="6"/>
      <c r="G525" s="9">
        <v>0</v>
      </c>
      <c r="H525" s="2"/>
      <c r="I525" s="2"/>
      <c r="J525" s="2"/>
      <c r="K525" s="2"/>
      <c r="L525" s="2"/>
      <c r="N525" s="88">
        <v>0</v>
      </c>
      <c r="O525" s="6">
        <v>1</v>
      </c>
      <c r="P525" s="88">
        <v>1</v>
      </c>
      <c r="Q525" s="88">
        <v>1</v>
      </c>
      <c r="R525" s="88">
        <v>8</v>
      </c>
      <c r="S525" s="31"/>
      <c r="T525">
        <v>1</v>
      </c>
      <c r="U525">
        <v>1</v>
      </c>
      <c r="V525">
        <v>1</v>
      </c>
      <c r="W525">
        <v>2125</v>
      </c>
      <c r="X525" s="89" t="s">
        <v>1969</v>
      </c>
      <c r="Z525" s="53">
        <v>9999</v>
      </c>
      <c r="AB525" s="53">
        <v>30</v>
      </c>
      <c r="AC525" s="53">
        <v>30</v>
      </c>
      <c r="AD525" s="53">
        <v>30</v>
      </c>
      <c r="AE525" s="94">
        <v>50</v>
      </c>
      <c r="AF525" s="94">
        <v>20</v>
      </c>
      <c r="AG525" s="94">
        <v>4000</v>
      </c>
      <c r="AH525" s="94">
        <v>50</v>
      </c>
      <c r="AI525" s="94">
        <v>0</v>
      </c>
      <c r="AJ525" s="94">
        <v>0</v>
      </c>
      <c r="AK525" s="94">
        <v>1</v>
      </c>
      <c r="AL525" s="94">
        <v>0</v>
      </c>
      <c r="AM525" s="98" t="s">
        <v>676</v>
      </c>
      <c r="AW525" s="88"/>
      <c r="AX525" s="88"/>
    </row>
    <row r="526" spans="2:50">
      <c r="B526" s="9">
        <v>4000027</v>
      </c>
      <c r="C526" s="9">
        <v>4000027</v>
      </c>
      <c r="D526" s="24" t="s">
        <v>1970</v>
      </c>
      <c r="E526" s="6" t="s">
        <v>1971</v>
      </c>
      <c r="F526" s="6"/>
      <c r="G526" s="9">
        <v>1</v>
      </c>
      <c r="H526" s="2"/>
      <c r="I526" s="2"/>
      <c r="J526" s="2"/>
      <c r="K526" s="2"/>
      <c r="L526" s="2"/>
      <c r="N526" s="88">
        <v>0</v>
      </c>
      <c r="O526" s="6">
        <v>1</v>
      </c>
      <c r="P526" s="88">
        <v>1</v>
      </c>
      <c r="Q526" s="88">
        <v>1</v>
      </c>
      <c r="R526" s="88">
        <v>8</v>
      </c>
      <c r="S526" s="31"/>
      <c r="T526">
        <v>1</v>
      </c>
      <c r="U526">
        <v>1</v>
      </c>
      <c r="V526">
        <v>1</v>
      </c>
      <c r="W526">
        <v>2124</v>
      </c>
      <c r="X526" s="89" t="s">
        <v>1972</v>
      </c>
      <c r="Z526" s="53">
        <v>9999</v>
      </c>
      <c r="AB526" s="53">
        <v>30</v>
      </c>
      <c r="AC526" s="53">
        <v>30</v>
      </c>
      <c r="AD526" s="53">
        <v>30</v>
      </c>
      <c r="AE526" s="94">
        <v>50</v>
      </c>
      <c r="AF526" s="94">
        <v>20</v>
      </c>
      <c r="AG526" s="94">
        <v>4000</v>
      </c>
      <c r="AH526" s="94">
        <v>50</v>
      </c>
      <c r="AI526" s="94">
        <v>0</v>
      </c>
      <c r="AJ526" s="94">
        <v>0</v>
      </c>
      <c r="AK526" s="94">
        <v>1</v>
      </c>
      <c r="AL526" s="94">
        <v>0</v>
      </c>
      <c r="AM526" s="98" t="s">
        <v>676</v>
      </c>
      <c r="AW526" s="88"/>
      <c r="AX526" s="88"/>
    </row>
    <row r="527" spans="2:50">
      <c r="B527" s="9">
        <v>4000028</v>
      </c>
      <c r="C527" s="9">
        <v>4000028</v>
      </c>
      <c r="D527" s="24" t="s">
        <v>1973</v>
      </c>
      <c r="E527" s="6" t="s">
        <v>1974</v>
      </c>
      <c r="F527" s="6"/>
      <c r="G527" s="9">
        <v>1</v>
      </c>
      <c r="H527" s="2"/>
      <c r="I527" s="2"/>
      <c r="J527" s="2"/>
      <c r="K527" s="2"/>
      <c r="L527" s="2"/>
      <c r="N527" s="88">
        <v>0</v>
      </c>
      <c r="O527" s="6">
        <v>0</v>
      </c>
      <c r="P527" s="88">
        <v>1</v>
      </c>
      <c r="Q527" s="88">
        <v>1</v>
      </c>
      <c r="R527" s="88">
        <v>8</v>
      </c>
      <c r="S527" s="31"/>
      <c r="T527">
        <v>1</v>
      </c>
      <c r="U527">
        <v>1</v>
      </c>
      <c r="V527">
        <v>1</v>
      </c>
      <c r="W527">
        <v>2131</v>
      </c>
      <c r="Z527" s="53">
        <v>9999</v>
      </c>
      <c r="AB527" s="53">
        <v>30</v>
      </c>
      <c r="AC527" s="53">
        <v>30</v>
      </c>
      <c r="AD527" s="53">
        <v>30</v>
      </c>
      <c r="AE527" s="94">
        <v>50</v>
      </c>
      <c r="AF527" s="94">
        <v>20</v>
      </c>
      <c r="AG527" s="94">
        <v>4000</v>
      </c>
      <c r="AH527" s="94">
        <v>50</v>
      </c>
      <c r="AI527" s="94">
        <v>0</v>
      </c>
      <c r="AJ527" s="94">
        <v>0</v>
      </c>
      <c r="AK527" s="94">
        <v>1</v>
      </c>
      <c r="AL527" s="94">
        <v>0</v>
      </c>
      <c r="AM527" s="98" t="s">
        <v>676</v>
      </c>
      <c r="AW527" s="88"/>
      <c r="AX527" s="88"/>
    </row>
    <row r="528" spans="2:50">
      <c r="B528" s="9">
        <v>4000029</v>
      </c>
      <c r="C528" s="9">
        <v>4000029</v>
      </c>
      <c r="D528" s="24" t="s">
        <v>1975</v>
      </c>
      <c r="E528" s="6" t="s">
        <v>1976</v>
      </c>
      <c r="F528" s="6"/>
      <c r="G528" s="9">
        <v>1</v>
      </c>
      <c r="H528" s="2"/>
      <c r="I528" s="2"/>
      <c r="J528" s="2"/>
      <c r="K528" s="2"/>
      <c r="L528" s="2"/>
      <c r="N528" s="88">
        <v>0</v>
      </c>
      <c r="O528" s="6">
        <v>0</v>
      </c>
      <c r="P528" s="88">
        <v>1</v>
      </c>
      <c r="Q528" s="88">
        <v>1</v>
      </c>
      <c r="R528" s="88">
        <v>8</v>
      </c>
      <c r="S528" s="31"/>
      <c r="T528">
        <v>1</v>
      </c>
      <c r="U528">
        <v>1</v>
      </c>
      <c r="V528">
        <v>1</v>
      </c>
      <c r="W528">
        <v>2133</v>
      </c>
      <c r="Z528" s="53">
        <v>9999</v>
      </c>
      <c r="AB528" s="53">
        <v>30</v>
      </c>
      <c r="AC528" s="53">
        <v>30</v>
      </c>
      <c r="AD528" s="53">
        <v>30</v>
      </c>
      <c r="AE528" s="94">
        <v>50</v>
      </c>
      <c r="AF528" s="94">
        <v>20</v>
      </c>
      <c r="AG528" s="94">
        <v>4000</v>
      </c>
      <c r="AH528" s="94">
        <v>50</v>
      </c>
      <c r="AI528" s="94">
        <v>0</v>
      </c>
      <c r="AJ528" s="94">
        <v>0</v>
      </c>
      <c r="AK528" s="94">
        <v>1</v>
      </c>
      <c r="AL528" s="94">
        <v>0</v>
      </c>
      <c r="AM528" s="98" t="s">
        <v>676</v>
      </c>
      <c r="AW528" s="88"/>
      <c r="AX528" s="88"/>
    </row>
    <row r="529" spans="2:50">
      <c r="B529" s="9">
        <v>4000030</v>
      </c>
      <c r="C529" s="9">
        <v>4000030</v>
      </c>
      <c r="D529" s="164" t="s">
        <v>1977</v>
      </c>
      <c r="E529" t="s">
        <v>1978</v>
      </c>
      <c r="G529" s="9">
        <v>0</v>
      </c>
      <c r="H529" s="2"/>
      <c r="I529" s="2"/>
      <c r="J529" s="2"/>
      <c r="K529" s="2"/>
      <c r="L529" s="2"/>
      <c r="N529" s="88">
        <v>0</v>
      </c>
      <c r="O529" s="6">
        <v>1</v>
      </c>
      <c r="P529" s="88">
        <v>1</v>
      </c>
      <c r="Q529" s="88">
        <v>1</v>
      </c>
      <c r="R529" s="88">
        <v>8</v>
      </c>
      <c r="S529" s="31"/>
      <c r="T529">
        <v>1</v>
      </c>
      <c r="U529">
        <v>1</v>
      </c>
      <c r="V529">
        <v>1</v>
      </c>
      <c r="W529">
        <v>2182</v>
      </c>
      <c r="X529" s="89" t="s">
        <v>1979</v>
      </c>
      <c r="Z529" s="53">
        <v>9999</v>
      </c>
      <c r="AB529" s="53">
        <v>30</v>
      </c>
      <c r="AC529" s="53">
        <v>30</v>
      </c>
      <c r="AD529" s="53">
        <v>30</v>
      </c>
      <c r="AE529" s="94">
        <v>50</v>
      </c>
      <c r="AF529" s="94">
        <v>20</v>
      </c>
      <c r="AG529" s="94">
        <v>4000</v>
      </c>
      <c r="AH529" s="94">
        <v>50</v>
      </c>
      <c r="AI529" s="94">
        <v>0</v>
      </c>
      <c r="AJ529" s="94">
        <v>0</v>
      </c>
      <c r="AK529" s="94">
        <v>1</v>
      </c>
      <c r="AL529" s="94">
        <v>0</v>
      </c>
      <c r="AM529" s="98" t="s">
        <v>676</v>
      </c>
      <c r="AW529" s="88"/>
      <c r="AX529" s="88"/>
    </row>
    <row r="530" spans="2:50">
      <c r="B530" s="9">
        <v>4000031</v>
      </c>
      <c r="C530" s="9">
        <v>4000031</v>
      </c>
      <c r="D530" s="164" t="s">
        <v>1980</v>
      </c>
      <c r="E530" t="s">
        <v>1978</v>
      </c>
      <c r="G530" s="9">
        <v>1</v>
      </c>
      <c r="H530" s="2"/>
      <c r="I530" s="2"/>
      <c r="J530" s="2"/>
      <c r="K530" s="2"/>
      <c r="L530" s="2"/>
      <c r="N530" s="88">
        <v>0</v>
      </c>
      <c r="O530" s="6">
        <v>1</v>
      </c>
      <c r="P530" s="88">
        <v>1</v>
      </c>
      <c r="Q530" s="88">
        <v>1</v>
      </c>
      <c r="R530" s="88">
        <v>8</v>
      </c>
      <c r="S530" s="31"/>
      <c r="T530">
        <v>1</v>
      </c>
      <c r="U530">
        <v>1</v>
      </c>
      <c r="V530">
        <v>1</v>
      </c>
      <c r="W530">
        <v>2183</v>
      </c>
      <c r="X530" s="89" t="s">
        <v>1981</v>
      </c>
      <c r="Z530" s="53">
        <v>9999</v>
      </c>
      <c r="AB530" s="53">
        <v>30</v>
      </c>
      <c r="AC530" s="53">
        <v>30</v>
      </c>
      <c r="AD530" s="53">
        <v>30</v>
      </c>
      <c r="AE530" s="94">
        <v>50</v>
      </c>
      <c r="AF530" s="94">
        <v>20</v>
      </c>
      <c r="AG530" s="94">
        <v>4000</v>
      </c>
      <c r="AH530" s="94">
        <v>50</v>
      </c>
      <c r="AI530" s="94">
        <v>0</v>
      </c>
      <c r="AJ530" s="94">
        <v>0</v>
      </c>
      <c r="AK530" s="94">
        <v>1</v>
      </c>
      <c r="AL530" s="94">
        <v>0</v>
      </c>
      <c r="AM530" s="98" t="s">
        <v>676</v>
      </c>
      <c r="AW530" s="88"/>
      <c r="AX530" s="88"/>
    </row>
    <row r="531" spans="2:50">
      <c r="B531" s="9">
        <v>4000032</v>
      </c>
      <c r="C531" s="9">
        <v>4000032</v>
      </c>
      <c r="D531" s="164" t="s">
        <v>1982</v>
      </c>
      <c r="E531" t="s">
        <v>1978</v>
      </c>
      <c r="G531" s="9">
        <v>0</v>
      </c>
      <c r="H531" s="2"/>
      <c r="I531" s="2"/>
      <c r="J531" s="2"/>
      <c r="K531" s="2"/>
      <c r="L531" s="2"/>
      <c r="N531" s="88">
        <v>0</v>
      </c>
      <c r="O531" s="6">
        <v>1</v>
      </c>
      <c r="P531" s="88">
        <v>1</v>
      </c>
      <c r="Q531" s="88">
        <v>1</v>
      </c>
      <c r="R531" s="88">
        <v>8</v>
      </c>
      <c r="S531" s="31"/>
      <c r="T531">
        <v>1</v>
      </c>
      <c r="U531">
        <v>1</v>
      </c>
      <c r="V531">
        <v>1</v>
      </c>
      <c r="W531">
        <v>2177</v>
      </c>
      <c r="X531" s="89" t="s">
        <v>1983</v>
      </c>
      <c r="Z531" s="53">
        <v>9999</v>
      </c>
      <c r="AB531" s="53">
        <v>30</v>
      </c>
      <c r="AC531" s="53">
        <v>30</v>
      </c>
      <c r="AD531" s="53">
        <v>30</v>
      </c>
      <c r="AE531" s="94">
        <v>50</v>
      </c>
      <c r="AF531" s="94">
        <v>20</v>
      </c>
      <c r="AG531" s="94">
        <v>4000</v>
      </c>
      <c r="AH531" s="94">
        <v>50</v>
      </c>
      <c r="AI531" s="94">
        <v>0</v>
      </c>
      <c r="AJ531" s="94">
        <v>0</v>
      </c>
      <c r="AK531" s="94">
        <v>1</v>
      </c>
      <c r="AL531" s="94">
        <v>0</v>
      </c>
      <c r="AM531" s="98" t="s">
        <v>676</v>
      </c>
      <c r="AW531" s="88"/>
      <c r="AX531" s="88"/>
    </row>
    <row r="532" spans="2:50">
      <c r="B532" s="9">
        <v>4000033</v>
      </c>
      <c r="C532" s="9">
        <v>4000033</v>
      </c>
      <c r="D532" s="164" t="s">
        <v>1984</v>
      </c>
      <c r="E532" t="s">
        <v>1978</v>
      </c>
      <c r="G532" s="9">
        <v>0</v>
      </c>
      <c r="H532" s="2"/>
      <c r="I532" s="2"/>
      <c r="J532" s="2"/>
      <c r="K532" s="2"/>
      <c r="L532" s="2"/>
      <c r="N532" s="88">
        <v>0</v>
      </c>
      <c r="O532" s="6">
        <v>1</v>
      </c>
      <c r="P532" s="88">
        <v>1</v>
      </c>
      <c r="Q532" s="88">
        <v>1</v>
      </c>
      <c r="R532" s="88">
        <v>8</v>
      </c>
      <c r="S532" s="31"/>
      <c r="T532">
        <v>1</v>
      </c>
      <c r="U532">
        <v>1</v>
      </c>
      <c r="V532">
        <v>1</v>
      </c>
      <c r="W532">
        <v>2178</v>
      </c>
      <c r="X532" s="89" t="s">
        <v>1985</v>
      </c>
      <c r="Z532" s="53">
        <v>9999</v>
      </c>
      <c r="AB532" s="53">
        <v>30</v>
      </c>
      <c r="AC532" s="53">
        <v>30</v>
      </c>
      <c r="AD532" s="53">
        <v>30</v>
      </c>
      <c r="AE532" s="94">
        <v>50</v>
      </c>
      <c r="AF532" s="94">
        <v>20</v>
      </c>
      <c r="AG532" s="94">
        <v>4000</v>
      </c>
      <c r="AH532" s="94">
        <v>50</v>
      </c>
      <c r="AI532" s="94">
        <v>0</v>
      </c>
      <c r="AJ532" s="94">
        <v>0</v>
      </c>
      <c r="AK532" s="94">
        <v>1</v>
      </c>
      <c r="AL532" s="94">
        <v>0</v>
      </c>
      <c r="AM532" s="98" t="s">
        <v>676</v>
      </c>
      <c r="AW532" s="88"/>
      <c r="AX532" s="88"/>
    </row>
    <row r="533" spans="2:50">
      <c r="B533" s="9">
        <v>4000034</v>
      </c>
      <c r="C533" s="9">
        <v>4000034</v>
      </c>
      <c r="D533" s="164" t="s">
        <v>1986</v>
      </c>
      <c r="E533" t="s">
        <v>1978</v>
      </c>
      <c r="G533" s="9">
        <v>0</v>
      </c>
      <c r="H533" s="2"/>
      <c r="I533" s="2"/>
      <c r="J533" s="2"/>
      <c r="K533" s="2"/>
      <c r="L533" s="2"/>
      <c r="N533" s="88">
        <v>0</v>
      </c>
      <c r="O533" s="6">
        <v>1</v>
      </c>
      <c r="P533" s="88">
        <v>1</v>
      </c>
      <c r="Q533" s="88">
        <v>1</v>
      </c>
      <c r="R533" s="88">
        <v>8</v>
      </c>
      <c r="S533" s="31"/>
      <c r="T533">
        <v>1</v>
      </c>
      <c r="U533">
        <v>1</v>
      </c>
      <c r="V533">
        <v>1</v>
      </c>
      <c r="W533">
        <v>2176</v>
      </c>
      <c r="X533" s="89" t="s">
        <v>1987</v>
      </c>
      <c r="Z533" s="53">
        <v>9999</v>
      </c>
      <c r="AB533" s="53">
        <v>30</v>
      </c>
      <c r="AC533" s="53">
        <v>30</v>
      </c>
      <c r="AD533" s="53">
        <v>30</v>
      </c>
      <c r="AE533" s="94">
        <v>50</v>
      </c>
      <c r="AF533" s="94">
        <v>20</v>
      </c>
      <c r="AG533" s="94">
        <v>4000</v>
      </c>
      <c r="AH533" s="94">
        <v>50</v>
      </c>
      <c r="AI533" s="94">
        <v>0</v>
      </c>
      <c r="AJ533" s="94">
        <v>0</v>
      </c>
      <c r="AK533" s="94">
        <v>1</v>
      </c>
      <c r="AL533" s="94">
        <v>0</v>
      </c>
      <c r="AM533" s="98" t="s">
        <v>676</v>
      </c>
      <c r="AW533" s="88"/>
      <c r="AX533" s="88"/>
    </row>
    <row r="534" spans="2:50">
      <c r="B534" s="9">
        <v>4000035</v>
      </c>
      <c r="C534" s="9">
        <v>4000035</v>
      </c>
      <c r="D534" s="164" t="s">
        <v>1988</v>
      </c>
      <c r="E534" t="s">
        <v>1978</v>
      </c>
      <c r="G534" s="9">
        <v>0</v>
      </c>
      <c r="H534" s="2"/>
      <c r="I534" s="2"/>
      <c r="J534" s="2"/>
      <c r="K534" s="2"/>
      <c r="L534" s="2"/>
      <c r="N534" s="88">
        <v>0</v>
      </c>
      <c r="O534" s="6">
        <v>1</v>
      </c>
      <c r="P534" s="88">
        <v>1</v>
      </c>
      <c r="Q534" s="88">
        <v>1</v>
      </c>
      <c r="R534" s="88">
        <v>8</v>
      </c>
      <c r="S534" s="31"/>
      <c r="T534">
        <v>1</v>
      </c>
      <c r="U534">
        <v>1</v>
      </c>
      <c r="V534">
        <v>1</v>
      </c>
      <c r="W534">
        <v>2179</v>
      </c>
      <c r="X534" s="89" t="s">
        <v>1989</v>
      </c>
      <c r="Z534" s="53">
        <v>9999</v>
      </c>
      <c r="AB534" s="53">
        <v>30</v>
      </c>
      <c r="AC534" s="53">
        <v>30</v>
      </c>
      <c r="AD534" s="53">
        <v>30</v>
      </c>
      <c r="AE534" s="94">
        <v>50</v>
      </c>
      <c r="AF534" s="94">
        <v>20</v>
      </c>
      <c r="AG534" s="94">
        <v>4000</v>
      </c>
      <c r="AH534" s="94">
        <v>50</v>
      </c>
      <c r="AI534" s="94">
        <v>0</v>
      </c>
      <c r="AJ534" s="94">
        <v>0</v>
      </c>
      <c r="AK534" s="94">
        <v>1</v>
      </c>
      <c r="AL534" s="94">
        <v>0</v>
      </c>
      <c r="AM534" s="98" t="s">
        <v>676</v>
      </c>
      <c r="AW534" s="88"/>
      <c r="AX534" s="88"/>
    </row>
    <row r="535" spans="2:50">
      <c r="B535" s="9">
        <v>4000036</v>
      </c>
      <c r="C535" s="9">
        <v>4000036</v>
      </c>
      <c r="D535" s="164" t="s">
        <v>1990</v>
      </c>
      <c r="E535" t="s">
        <v>1978</v>
      </c>
      <c r="G535" s="9">
        <v>1</v>
      </c>
      <c r="H535" s="2"/>
      <c r="I535" s="2"/>
      <c r="J535" s="2"/>
      <c r="K535" s="2"/>
      <c r="L535" s="2"/>
      <c r="N535" s="88">
        <v>0</v>
      </c>
      <c r="O535" s="6">
        <v>0</v>
      </c>
      <c r="P535" s="88">
        <v>1</v>
      </c>
      <c r="Q535" s="88">
        <v>1</v>
      </c>
      <c r="R535" s="88">
        <v>8</v>
      </c>
      <c r="S535" s="31"/>
      <c r="T535">
        <v>1</v>
      </c>
      <c r="U535">
        <v>1</v>
      </c>
      <c r="V535">
        <v>1</v>
      </c>
      <c r="X535" s="89" t="s">
        <v>1991</v>
      </c>
      <c r="Z535" s="53">
        <v>9999</v>
      </c>
      <c r="AB535" s="53">
        <v>30</v>
      </c>
      <c r="AC535" s="53">
        <v>30</v>
      </c>
      <c r="AD535" s="53">
        <v>30</v>
      </c>
      <c r="AE535" s="94">
        <v>50</v>
      </c>
      <c r="AF535" s="94">
        <v>20</v>
      </c>
      <c r="AG535" s="94">
        <v>4000</v>
      </c>
      <c r="AH535" s="94">
        <v>50</v>
      </c>
      <c r="AI535" s="94">
        <v>0</v>
      </c>
      <c r="AJ535" s="94">
        <v>0</v>
      </c>
      <c r="AK535" s="94">
        <v>1</v>
      </c>
      <c r="AL535" s="94">
        <v>0</v>
      </c>
      <c r="AM535" s="98" t="s">
        <v>676</v>
      </c>
      <c r="AW535" s="88"/>
      <c r="AX535" s="88"/>
    </row>
    <row r="536" spans="2:50">
      <c r="B536" s="9">
        <v>4000037</v>
      </c>
      <c r="C536" s="9">
        <v>4000037</v>
      </c>
      <c r="D536" s="164" t="s">
        <v>1992</v>
      </c>
      <c r="E536" t="s">
        <v>1978</v>
      </c>
      <c r="G536" s="9">
        <v>0</v>
      </c>
      <c r="H536" s="2"/>
      <c r="I536" s="2"/>
      <c r="J536" s="2"/>
      <c r="K536" s="2"/>
      <c r="L536" s="2"/>
      <c r="N536" s="88">
        <v>0</v>
      </c>
      <c r="O536" s="6">
        <v>0</v>
      </c>
      <c r="P536" s="88">
        <v>1</v>
      </c>
      <c r="Q536" s="88">
        <v>1</v>
      </c>
      <c r="R536" s="88">
        <v>8</v>
      </c>
      <c r="S536" s="31"/>
      <c r="T536">
        <v>1</v>
      </c>
      <c r="U536">
        <v>1</v>
      </c>
      <c r="V536">
        <v>1</v>
      </c>
      <c r="W536">
        <v>2167</v>
      </c>
      <c r="X536" s="89" t="s">
        <v>1993</v>
      </c>
      <c r="Z536" s="53">
        <v>9999</v>
      </c>
      <c r="AB536" s="53">
        <v>30</v>
      </c>
      <c r="AC536" s="53">
        <v>30</v>
      </c>
      <c r="AD536" s="53">
        <v>30</v>
      </c>
      <c r="AE536" s="94">
        <v>50</v>
      </c>
      <c r="AF536" s="94">
        <v>20</v>
      </c>
      <c r="AG536" s="94">
        <v>4000</v>
      </c>
      <c r="AH536" s="94">
        <v>50</v>
      </c>
      <c r="AI536" s="94">
        <v>0</v>
      </c>
      <c r="AJ536" s="94">
        <v>0</v>
      </c>
      <c r="AK536" s="94">
        <v>1</v>
      </c>
      <c r="AL536" s="94">
        <v>0</v>
      </c>
      <c r="AM536" s="98" t="s">
        <v>676</v>
      </c>
      <c r="AW536" s="88"/>
      <c r="AX536" s="88"/>
    </row>
    <row r="537" spans="2:50">
      <c r="B537" s="9">
        <v>4000038</v>
      </c>
      <c r="C537" s="9">
        <v>4000038</v>
      </c>
      <c r="D537" s="164" t="s">
        <v>1994</v>
      </c>
      <c r="E537" t="s">
        <v>1978</v>
      </c>
      <c r="G537" s="9">
        <v>0</v>
      </c>
      <c r="H537" s="2"/>
      <c r="I537" s="2"/>
      <c r="J537" s="2"/>
      <c r="K537" s="2"/>
      <c r="L537" s="2"/>
      <c r="N537" s="88">
        <v>0</v>
      </c>
      <c r="O537" s="6">
        <v>0</v>
      </c>
      <c r="P537" s="88">
        <v>1</v>
      </c>
      <c r="Q537" s="88">
        <v>1</v>
      </c>
      <c r="R537" s="88">
        <v>8</v>
      </c>
      <c r="S537" s="31"/>
      <c r="T537">
        <v>1</v>
      </c>
      <c r="U537">
        <v>1</v>
      </c>
      <c r="V537">
        <v>1</v>
      </c>
      <c r="W537">
        <v>2166</v>
      </c>
      <c r="X537" s="89" t="s">
        <v>1995</v>
      </c>
      <c r="Z537" s="53">
        <v>9999</v>
      </c>
      <c r="AB537" s="53">
        <v>30</v>
      </c>
      <c r="AC537" s="53">
        <v>30</v>
      </c>
      <c r="AD537" s="53">
        <v>30</v>
      </c>
      <c r="AE537" s="94">
        <v>50</v>
      </c>
      <c r="AF537" s="94">
        <v>20</v>
      </c>
      <c r="AG537" s="94">
        <v>4000</v>
      </c>
      <c r="AH537" s="94">
        <v>50</v>
      </c>
      <c r="AI537" s="94">
        <v>0</v>
      </c>
      <c r="AJ537" s="94">
        <v>0</v>
      </c>
      <c r="AK537" s="94">
        <v>1</v>
      </c>
      <c r="AL537" s="94">
        <v>0</v>
      </c>
      <c r="AM537" s="98" t="s">
        <v>676</v>
      </c>
      <c r="AW537" s="88"/>
      <c r="AX537" s="88"/>
    </row>
    <row r="538" spans="2:50">
      <c r="B538" s="9">
        <v>4000039</v>
      </c>
      <c r="C538" s="9">
        <v>4000039</v>
      </c>
      <c r="D538" s="164" t="s">
        <v>1996</v>
      </c>
      <c r="E538" t="s">
        <v>1978</v>
      </c>
      <c r="G538" s="9">
        <v>0</v>
      </c>
      <c r="H538" s="2"/>
      <c r="I538" s="2"/>
      <c r="J538" s="2"/>
      <c r="K538" s="2"/>
      <c r="L538" s="2"/>
      <c r="N538" s="88">
        <v>0</v>
      </c>
      <c r="O538" s="6">
        <v>1</v>
      </c>
      <c r="P538" s="88">
        <v>1</v>
      </c>
      <c r="Q538" s="88">
        <v>1</v>
      </c>
      <c r="R538" s="88">
        <v>8</v>
      </c>
      <c r="S538" s="31"/>
      <c r="T538">
        <v>1</v>
      </c>
      <c r="U538">
        <v>1</v>
      </c>
      <c r="V538">
        <v>1</v>
      </c>
      <c r="W538">
        <v>2216</v>
      </c>
      <c r="X538" s="89" t="s">
        <v>1997</v>
      </c>
      <c r="Z538" s="53">
        <v>9999</v>
      </c>
      <c r="AB538" s="53">
        <v>30</v>
      </c>
      <c r="AC538" s="53">
        <v>30</v>
      </c>
      <c r="AD538" s="53">
        <v>30</v>
      </c>
      <c r="AE538" s="94">
        <v>50</v>
      </c>
      <c r="AF538" s="94">
        <v>20</v>
      </c>
      <c r="AG538" s="94">
        <v>4000</v>
      </c>
      <c r="AH538" s="94">
        <v>50</v>
      </c>
      <c r="AI538" s="94">
        <v>0</v>
      </c>
      <c r="AJ538" s="94">
        <v>0</v>
      </c>
      <c r="AK538" s="94">
        <v>1</v>
      </c>
      <c r="AL538" s="94">
        <v>0</v>
      </c>
      <c r="AM538" s="98" t="s">
        <v>676</v>
      </c>
      <c r="AW538" s="88"/>
      <c r="AX538" s="88"/>
    </row>
    <row r="539" spans="2:50">
      <c r="B539" s="9">
        <v>4000040</v>
      </c>
      <c r="C539" s="9">
        <v>4000040</v>
      </c>
      <c r="D539" s="164" t="s">
        <v>1998</v>
      </c>
      <c r="E539" t="s">
        <v>1978</v>
      </c>
      <c r="G539" s="9">
        <v>0</v>
      </c>
      <c r="H539" s="2"/>
      <c r="I539" s="2"/>
      <c r="J539" s="2"/>
      <c r="K539" s="2"/>
      <c r="L539" s="2"/>
      <c r="N539" s="88">
        <v>0</v>
      </c>
      <c r="O539" s="6">
        <v>1</v>
      </c>
      <c r="P539" s="88">
        <v>1</v>
      </c>
      <c r="Q539" s="88">
        <v>1</v>
      </c>
      <c r="R539" s="88">
        <v>8</v>
      </c>
      <c r="S539" s="31"/>
      <c r="T539">
        <v>1</v>
      </c>
      <c r="U539">
        <v>1</v>
      </c>
      <c r="V539">
        <v>1</v>
      </c>
      <c r="W539">
        <v>2217</v>
      </c>
      <c r="X539" s="89" t="s">
        <v>1999</v>
      </c>
      <c r="Z539" s="53">
        <v>9999</v>
      </c>
      <c r="AB539" s="53">
        <v>30</v>
      </c>
      <c r="AC539" s="53">
        <v>30</v>
      </c>
      <c r="AD539" s="53">
        <v>30</v>
      </c>
      <c r="AE539" s="94">
        <v>50</v>
      </c>
      <c r="AF539" s="94">
        <v>20</v>
      </c>
      <c r="AG539" s="94">
        <v>4000</v>
      </c>
      <c r="AH539" s="94">
        <v>50</v>
      </c>
      <c r="AI539" s="94">
        <v>0</v>
      </c>
      <c r="AJ539" s="94">
        <v>0</v>
      </c>
      <c r="AK539" s="94">
        <v>1</v>
      </c>
      <c r="AL539" s="94">
        <v>0</v>
      </c>
      <c r="AM539" s="98" t="s">
        <v>676</v>
      </c>
      <c r="AW539" s="88"/>
      <c r="AX539" s="88"/>
    </row>
    <row r="540" spans="2:50">
      <c r="B540" s="9">
        <v>4000041</v>
      </c>
      <c r="C540" s="9">
        <v>4000041</v>
      </c>
      <c r="D540" s="164" t="s">
        <v>2000</v>
      </c>
      <c r="E540" t="s">
        <v>1978</v>
      </c>
      <c r="G540" s="9">
        <v>0</v>
      </c>
      <c r="H540" s="2"/>
      <c r="I540" s="2"/>
      <c r="J540" s="2"/>
      <c r="K540" s="2"/>
      <c r="L540" s="2"/>
      <c r="N540" s="88">
        <v>0</v>
      </c>
      <c r="O540" s="6">
        <v>1</v>
      </c>
      <c r="P540" s="88">
        <v>1</v>
      </c>
      <c r="Q540" s="88">
        <v>1</v>
      </c>
      <c r="R540" s="88">
        <v>8</v>
      </c>
      <c r="S540" s="31"/>
      <c r="T540">
        <v>1</v>
      </c>
      <c r="U540">
        <v>1</v>
      </c>
      <c r="V540">
        <v>1</v>
      </c>
      <c r="W540">
        <v>2218</v>
      </c>
      <c r="X540" s="89" t="s">
        <v>2001</v>
      </c>
      <c r="Z540" s="53">
        <v>9999</v>
      </c>
      <c r="AB540" s="53">
        <v>30</v>
      </c>
      <c r="AC540" s="53">
        <v>30</v>
      </c>
      <c r="AD540" s="53">
        <v>30</v>
      </c>
      <c r="AE540" s="94">
        <v>50</v>
      </c>
      <c r="AF540" s="94">
        <v>20</v>
      </c>
      <c r="AG540" s="94">
        <v>4000</v>
      </c>
      <c r="AH540" s="94">
        <v>50</v>
      </c>
      <c r="AI540" s="94">
        <v>0</v>
      </c>
      <c r="AJ540" s="94">
        <v>0</v>
      </c>
      <c r="AK540" s="94">
        <v>1</v>
      </c>
      <c r="AL540" s="94">
        <v>0</v>
      </c>
      <c r="AM540" s="98" t="s">
        <v>676</v>
      </c>
      <c r="AW540" s="88"/>
      <c r="AX540" s="88"/>
    </row>
    <row r="541" spans="2:50">
      <c r="B541" s="9">
        <v>4000042</v>
      </c>
      <c r="C541" s="9">
        <v>4000042</v>
      </c>
      <c r="D541" s="164" t="s">
        <v>2002</v>
      </c>
      <c r="E541" t="s">
        <v>1978</v>
      </c>
      <c r="G541" s="9">
        <v>1</v>
      </c>
      <c r="H541" s="2"/>
      <c r="I541" s="2"/>
      <c r="J541" s="2"/>
      <c r="K541" s="2"/>
      <c r="L541" s="2"/>
      <c r="N541" s="88">
        <v>0</v>
      </c>
      <c r="O541" s="6">
        <v>1</v>
      </c>
      <c r="P541" s="88">
        <v>1</v>
      </c>
      <c r="Q541" s="88">
        <v>1</v>
      </c>
      <c r="R541" s="88">
        <v>8</v>
      </c>
      <c r="S541" s="31"/>
      <c r="T541">
        <v>1</v>
      </c>
      <c r="U541">
        <v>1</v>
      </c>
      <c r="V541">
        <v>1</v>
      </c>
      <c r="W541">
        <v>2221</v>
      </c>
      <c r="X541" s="89" t="s">
        <v>2003</v>
      </c>
      <c r="Z541" s="53">
        <v>9999</v>
      </c>
      <c r="AB541" s="53">
        <v>30</v>
      </c>
      <c r="AC541" s="53">
        <v>30</v>
      </c>
      <c r="AD541" s="53">
        <v>30</v>
      </c>
      <c r="AE541" s="94">
        <v>50</v>
      </c>
      <c r="AF541" s="94">
        <v>20</v>
      </c>
      <c r="AG541" s="94">
        <v>4000</v>
      </c>
      <c r="AH541" s="94">
        <v>50</v>
      </c>
      <c r="AI541" s="94">
        <v>0</v>
      </c>
      <c r="AJ541" s="94">
        <v>0</v>
      </c>
      <c r="AK541" s="94">
        <v>1</v>
      </c>
      <c r="AL541" s="94">
        <v>0</v>
      </c>
      <c r="AM541" s="98" t="s">
        <v>676</v>
      </c>
      <c r="AW541" s="88"/>
      <c r="AX541" s="88"/>
    </row>
    <row r="542" spans="2:50">
      <c r="B542" s="9">
        <v>4000043</v>
      </c>
      <c r="C542" s="9">
        <v>4000043</v>
      </c>
      <c r="D542" s="164" t="s">
        <v>2004</v>
      </c>
      <c r="E542" t="s">
        <v>1978</v>
      </c>
      <c r="G542" s="9">
        <v>1</v>
      </c>
      <c r="H542" s="2"/>
      <c r="I542" s="2"/>
      <c r="J542" s="2"/>
      <c r="K542" s="2"/>
      <c r="L542" s="2"/>
      <c r="N542" s="88">
        <v>0</v>
      </c>
      <c r="O542" s="6">
        <v>1</v>
      </c>
      <c r="P542" s="88">
        <v>1</v>
      </c>
      <c r="Q542" s="88">
        <v>1</v>
      </c>
      <c r="R542" s="88">
        <v>8</v>
      </c>
      <c r="S542" s="31"/>
      <c r="T542">
        <v>1</v>
      </c>
      <c r="U542">
        <v>1</v>
      </c>
      <c r="V542">
        <v>1</v>
      </c>
      <c r="W542">
        <v>2223</v>
      </c>
      <c r="X542" s="89" t="s">
        <v>2005</v>
      </c>
      <c r="Z542" s="53">
        <v>9999</v>
      </c>
      <c r="AB542" s="53">
        <v>30</v>
      </c>
      <c r="AC542" s="53">
        <v>30</v>
      </c>
      <c r="AD542" s="53">
        <v>30</v>
      </c>
      <c r="AE542" s="94">
        <v>50</v>
      </c>
      <c r="AF542" s="94">
        <v>20</v>
      </c>
      <c r="AG542" s="94">
        <v>4000</v>
      </c>
      <c r="AH542" s="94">
        <v>50</v>
      </c>
      <c r="AI542" s="94">
        <v>0</v>
      </c>
      <c r="AJ542" s="94">
        <v>0</v>
      </c>
      <c r="AK542" s="94">
        <v>1</v>
      </c>
      <c r="AL542" s="94">
        <v>0</v>
      </c>
      <c r="AM542" s="98" t="s">
        <v>676</v>
      </c>
      <c r="AW542" s="88"/>
      <c r="AX542" s="88"/>
    </row>
    <row r="543" spans="2:50">
      <c r="B543" s="9">
        <v>4000044</v>
      </c>
      <c r="C543" s="9">
        <v>4000044</v>
      </c>
      <c r="D543" s="164" t="s">
        <v>2006</v>
      </c>
      <c r="E543" t="s">
        <v>1978</v>
      </c>
      <c r="G543" s="9">
        <v>0</v>
      </c>
      <c r="H543" s="2"/>
      <c r="I543" s="2"/>
      <c r="J543" s="2"/>
      <c r="K543" s="2"/>
      <c r="L543" s="2"/>
      <c r="N543" s="88">
        <v>0</v>
      </c>
      <c r="O543" s="6">
        <v>0</v>
      </c>
      <c r="P543" s="88">
        <v>1</v>
      </c>
      <c r="Q543" s="88">
        <v>1</v>
      </c>
      <c r="R543" s="88">
        <v>8</v>
      </c>
      <c r="S543" s="31"/>
      <c r="T543">
        <v>1</v>
      </c>
      <c r="U543">
        <v>1</v>
      </c>
      <c r="V543">
        <v>1</v>
      </c>
      <c r="W543">
        <v>2224</v>
      </c>
      <c r="X543" s="89" t="s">
        <v>2007</v>
      </c>
      <c r="Z543" s="53">
        <v>9999</v>
      </c>
      <c r="AB543" s="53">
        <v>30</v>
      </c>
      <c r="AC543" s="53">
        <v>30</v>
      </c>
      <c r="AD543" s="53">
        <v>30</v>
      </c>
      <c r="AE543" s="94">
        <v>50</v>
      </c>
      <c r="AF543" s="94">
        <v>20</v>
      </c>
      <c r="AG543" s="94">
        <v>4000</v>
      </c>
      <c r="AH543" s="94">
        <v>50</v>
      </c>
      <c r="AI543" s="94">
        <v>0</v>
      </c>
      <c r="AJ543" s="94">
        <v>0</v>
      </c>
      <c r="AK543" s="94">
        <v>1</v>
      </c>
      <c r="AL543" s="94">
        <v>0</v>
      </c>
      <c r="AM543" s="98" t="s">
        <v>676</v>
      </c>
      <c r="AW543" s="88"/>
      <c r="AX543" s="88"/>
    </row>
    <row r="544" spans="2:26">
      <c r="B544" s="9">
        <v>4000045</v>
      </c>
      <c r="C544" s="9">
        <v>4000045</v>
      </c>
      <c r="D544" t="s">
        <v>1699</v>
      </c>
      <c r="E544" t="s">
        <v>1978</v>
      </c>
      <c r="G544">
        <v>0</v>
      </c>
      <c r="N544">
        <v>0</v>
      </c>
      <c r="O544">
        <v>1</v>
      </c>
      <c r="P544" s="13">
        <v>1</v>
      </c>
      <c r="Q544" s="14">
        <v>1</v>
      </c>
      <c r="R544">
        <v>8</v>
      </c>
      <c r="T544">
        <v>1</v>
      </c>
      <c r="U544">
        <v>1</v>
      </c>
      <c r="V544">
        <v>1</v>
      </c>
      <c r="W544">
        <v>1202</v>
      </c>
      <c r="X544" t="s">
        <v>1700</v>
      </c>
      <c r="Z544" s="53">
        <v>9999</v>
      </c>
    </row>
    <row r="545" spans="2:26">
      <c r="B545" s="9">
        <v>4000046</v>
      </c>
      <c r="C545" s="9">
        <v>4000046</v>
      </c>
      <c r="D545" t="s">
        <v>2008</v>
      </c>
      <c r="E545" t="s">
        <v>1978</v>
      </c>
      <c r="G545">
        <v>0</v>
      </c>
      <c r="N545">
        <v>0</v>
      </c>
      <c r="O545">
        <v>0</v>
      </c>
      <c r="P545" s="13">
        <v>1</v>
      </c>
      <c r="Q545" s="14">
        <v>1</v>
      </c>
      <c r="R545">
        <v>8</v>
      </c>
      <c r="T545">
        <v>1</v>
      </c>
      <c r="U545">
        <v>1</v>
      </c>
      <c r="V545">
        <v>1</v>
      </c>
      <c r="W545">
        <v>2246</v>
      </c>
      <c r="X545" t="s">
        <v>1708</v>
      </c>
      <c r="Z545" s="53">
        <v>9999</v>
      </c>
    </row>
    <row r="546" spans="2:26">
      <c r="B546" s="9">
        <v>4000047</v>
      </c>
      <c r="C546" s="9">
        <v>4000047</v>
      </c>
      <c r="D546" t="s">
        <v>2009</v>
      </c>
      <c r="E546" t="s">
        <v>1978</v>
      </c>
      <c r="G546">
        <v>0</v>
      </c>
      <c r="N546">
        <v>0</v>
      </c>
      <c r="O546">
        <v>1</v>
      </c>
      <c r="P546" s="13">
        <v>1</v>
      </c>
      <c r="Q546" s="14">
        <v>1</v>
      </c>
      <c r="R546">
        <v>8</v>
      </c>
      <c r="T546">
        <v>1</v>
      </c>
      <c r="U546">
        <v>1</v>
      </c>
      <c r="V546">
        <v>1</v>
      </c>
      <c r="W546">
        <v>2249</v>
      </c>
      <c r="X546" t="s">
        <v>1708</v>
      </c>
      <c r="Z546" s="53">
        <v>9999</v>
      </c>
    </row>
    <row r="547" spans="2:26">
      <c r="B547" s="9">
        <v>4000048</v>
      </c>
      <c r="C547" s="9">
        <v>4000048</v>
      </c>
      <c r="D547" t="s">
        <v>1705</v>
      </c>
      <c r="E547" t="s">
        <v>1978</v>
      </c>
      <c r="G547">
        <v>0</v>
      </c>
      <c r="N547">
        <v>0</v>
      </c>
      <c r="O547">
        <v>1</v>
      </c>
      <c r="P547" s="13">
        <v>1</v>
      </c>
      <c r="Q547" s="14">
        <v>1</v>
      </c>
      <c r="R547">
        <v>8</v>
      </c>
      <c r="T547">
        <v>1</v>
      </c>
      <c r="U547">
        <v>1</v>
      </c>
      <c r="V547">
        <v>1</v>
      </c>
      <c r="W547">
        <v>1205</v>
      </c>
      <c r="X547" t="s">
        <v>1706</v>
      </c>
      <c r="Z547" s="53">
        <v>9999</v>
      </c>
    </row>
    <row r="548" spans="2:26">
      <c r="B548" s="9">
        <v>4000049</v>
      </c>
      <c r="C548" s="9">
        <v>4000049</v>
      </c>
      <c r="D548" t="s">
        <v>1701</v>
      </c>
      <c r="E548" t="s">
        <v>1978</v>
      </c>
      <c r="G548">
        <v>0</v>
      </c>
      <c r="N548">
        <v>0</v>
      </c>
      <c r="O548">
        <v>1</v>
      </c>
      <c r="P548" s="13">
        <v>1</v>
      </c>
      <c r="Q548" s="14">
        <v>1</v>
      </c>
      <c r="R548">
        <v>8</v>
      </c>
      <c r="T548">
        <v>1</v>
      </c>
      <c r="U548">
        <v>1</v>
      </c>
      <c r="V548">
        <v>1</v>
      </c>
      <c r="W548">
        <v>1203</v>
      </c>
      <c r="X548" t="s">
        <v>1702</v>
      </c>
      <c r="Z548" s="53">
        <v>9999</v>
      </c>
    </row>
    <row r="549" spans="2:39">
      <c r="B549">
        <v>4000050</v>
      </c>
      <c r="C549" s="9">
        <v>4000050</v>
      </c>
      <c r="D549" t="s">
        <v>2010</v>
      </c>
      <c r="E549" t="s">
        <v>1978</v>
      </c>
      <c r="G549">
        <v>0</v>
      </c>
      <c r="N549">
        <v>0</v>
      </c>
      <c r="O549">
        <v>1</v>
      </c>
      <c r="P549" s="13">
        <v>4</v>
      </c>
      <c r="Q549" s="14">
        <v>4</v>
      </c>
      <c r="R549">
        <v>5</v>
      </c>
      <c r="T549">
        <v>1</v>
      </c>
      <c r="U549">
        <v>1</v>
      </c>
      <c r="V549">
        <v>1</v>
      </c>
      <c r="W549">
        <v>2266</v>
      </c>
      <c r="X549" t="s">
        <v>2011</v>
      </c>
      <c r="Z549">
        <v>9999</v>
      </c>
      <c r="AB549">
        <v>30</v>
      </c>
      <c r="AC549">
        <v>30</v>
      </c>
      <c r="AD549">
        <v>30</v>
      </c>
      <c r="AE549" s="15">
        <v>50</v>
      </c>
      <c r="AF549" s="15">
        <v>20</v>
      </c>
      <c r="AG549" s="15">
        <v>4000</v>
      </c>
      <c r="AH549" s="15">
        <v>50</v>
      </c>
      <c r="AI549" s="15">
        <v>0</v>
      </c>
      <c r="AJ549" s="15">
        <v>0</v>
      </c>
      <c r="AK549" s="15">
        <v>1</v>
      </c>
      <c r="AL549" s="15">
        <v>0</v>
      </c>
      <c r="AM549" s="16" t="s">
        <v>676</v>
      </c>
    </row>
    <row r="550" spans="2:39">
      <c r="B550">
        <v>4000051</v>
      </c>
      <c r="C550" s="9">
        <v>4000051</v>
      </c>
      <c r="D550" t="s">
        <v>2012</v>
      </c>
      <c r="E550" t="s">
        <v>1978</v>
      </c>
      <c r="G550">
        <v>0</v>
      </c>
      <c r="N550">
        <v>0</v>
      </c>
      <c r="O550">
        <v>1</v>
      </c>
      <c r="P550" s="13">
        <v>4</v>
      </c>
      <c r="Q550" s="14">
        <v>4</v>
      </c>
      <c r="R550">
        <v>5</v>
      </c>
      <c r="T550">
        <v>1</v>
      </c>
      <c r="U550">
        <v>1</v>
      </c>
      <c r="V550">
        <v>1</v>
      </c>
      <c r="W550">
        <v>2265</v>
      </c>
      <c r="X550" t="s">
        <v>2013</v>
      </c>
      <c r="Z550">
        <v>9999</v>
      </c>
      <c r="AB550">
        <v>30</v>
      </c>
      <c r="AC550">
        <v>30</v>
      </c>
      <c r="AD550">
        <v>30</v>
      </c>
      <c r="AE550" s="15">
        <v>50</v>
      </c>
      <c r="AF550" s="15">
        <v>20</v>
      </c>
      <c r="AG550" s="15">
        <v>4000</v>
      </c>
      <c r="AH550" s="15">
        <v>50</v>
      </c>
      <c r="AI550" s="15">
        <v>0</v>
      </c>
      <c r="AJ550" s="15">
        <v>0</v>
      </c>
      <c r="AK550" s="15">
        <v>1</v>
      </c>
      <c r="AL550" s="15">
        <v>0</v>
      </c>
      <c r="AM550" s="16" t="s">
        <v>676</v>
      </c>
    </row>
    <row r="551" spans="2:26">
      <c r="B551">
        <v>4000052</v>
      </c>
      <c r="C551" s="9">
        <v>4000052</v>
      </c>
      <c r="D551" s="165" t="s">
        <v>619</v>
      </c>
      <c r="E551" t="s">
        <v>1978</v>
      </c>
      <c r="G551">
        <v>0</v>
      </c>
      <c r="N551">
        <v>0</v>
      </c>
      <c r="O551">
        <v>1</v>
      </c>
      <c r="P551" s="13">
        <v>4</v>
      </c>
      <c r="Q551" s="14">
        <v>4</v>
      </c>
      <c r="R551">
        <v>5</v>
      </c>
      <c r="T551">
        <v>1</v>
      </c>
      <c r="U551">
        <v>1</v>
      </c>
      <c r="V551">
        <v>1</v>
      </c>
      <c r="W551">
        <v>91</v>
      </c>
      <c r="X551" t="s">
        <v>1762</v>
      </c>
      <c r="Z551">
        <v>9999</v>
      </c>
    </row>
    <row r="552" spans="2:26">
      <c r="B552">
        <v>4000053</v>
      </c>
      <c r="C552" s="9">
        <v>4000053</v>
      </c>
      <c r="D552" s="165" t="s">
        <v>2014</v>
      </c>
      <c r="E552" t="s">
        <v>1978</v>
      </c>
      <c r="G552">
        <v>0</v>
      </c>
      <c r="N552">
        <v>0</v>
      </c>
      <c r="O552">
        <v>1</v>
      </c>
      <c r="P552" s="13">
        <v>4</v>
      </c>
      <c r="Q552" s="14">
        <v>4</v>
      </c>
      <c r="R552">
        <v>5</v>
      </c>
      <c r="T552">
        <v>1</v>
      </c>
      <c r="U552">
        <v>1</v>
      </c>
      <c r="V552">
        <v>1</v>
      </c>
      <c r="W552">
        <v>2274</v>
      </c>
      <c r="X552" t="s">
        <v>2015</v>
      </c>
      <c r="Z552">
        <v>9999</v>
      </c>
    </row>
    <row r="553" spans="2:26">
      <c r="B553">
        <v>4000054</v>
      </c>
      <c r="C553" s="9">
        <v>4000054</v>
      </c>
      <c r="D553" s="165" t="s">
        <v>2016</v>
      </c>
      <c r="E553" t="s">
        <v>1978</v>
      </c>
      <c r="G553">
        <v>0</v>
      </c>
      <c r="N553">
        <v>0</v>
      </c>
      <c r="O553">
        <v>1</v>
      </c>
      <c r="P553" s="13">
        <v>4</v>
      </c>
      <c r="Q553" s="14">
        <v>4</v>
      </c>
      <c r="R553">
        <v>5</v>
      </c>
      <c r="T553">
        <v>1</v>
      </c>
      <c r="U553">
        <v>1</v>
      </c>
      <c r="V553">
        <v>1</v>
      </c>
      <c r="W553">
        <v>2278</v>
      </c>
      <c r="X553" t="s">
        <v>2017</v>
      </c>
      <c r="Z553">
        <v>9999</v>
      </c>
    </row>
    <row r="554" spans="2:26">
      <c r="B554">
        <v>4000056</v>
      </c>
      <c r="C554" s="9">
        <v>4000056</v>
      </c>
      <c r="D554" s="165" t="s">
        <v>1759</v>
      </c>
      <c r="E554" t="s">
        <v>1978</v>
      </c>
      <c r="G554">
        <v>0</v>
      </c>
      <c r="N554">
        <v>0</v>
      </c>
      <c r="O554">
        <v>1</v>
      </c>
      <c r="P554" s="13">
        <v>4</v>
      </c>
      <c r="Q554" s="14">
        <v>4</v>
      </c>
      <c r="R554">
        <v>5</v>
      </c>
      <c r="T554">
        <v>1</v>
      </c>
      <c r="U554">
        <v>1</v>
      </c>
      <c r="V554">
        <v>1</v>
      </c>
      <c r="W554">
        <v>1229</v>
      </c>
      <c r="X554" t="s">
        <v>1760</v>
      </c>
      <c r="Z554">
        <v>9999</v>
      </c>
    </row>
    <row r="555" spans="2:26">
      <c r="B555">
        <v>4000057</v>
      </c>
      <c r="C555" s="9">
        <v>4000057</v>
      </c>
      <c r="D555" s="165" t="s">
        <v>1763</v>
      </c>
      <c r="E555" t="s">
        <v>1978</v>
      </c>
      <c r="G555">
        <v>0</v>
      </c>
      <c r="N555">
        <v>0</v>
      </c>
      <c r="O555">
        <v>1</v>
      </c>
      <c r="P555" s="13">
        <v>4</v>
      </c>
      <c r="Q555" s="14">
        <v>4</v>
      </c>
      <c r="R555">
        <v>5</v>
      </c>
      <c r="T555">
        <v>1</v>
      </c>
      <c r="U555">
        <v>1</v>
      </c>
      <c r="V555">
        <v>1</v>
      </c>
      <c r="W555">
        <v>1231</v>
      </c>
      <c r="X555" t="s">
        <v>1764</v>
      </c>
      <c r="Z555">
        <v>9999</v>
      </c>
    </row>
    <row r="556" spans="2:26">
      <c r="B556">
        <v>4000058</v>
      </c>
      <c r="C556" s="9">
        <v>4000058</v>
      </c>
      <c r="D556" s="165" t="s">
        <v>611</v>
      </c>
      <c r="E556" t="s">
        <v>1978</v>
      </c>
      <c r="G556">
        <v>0</v>
      </c>
      <c r="N556">
        <v>0</v>
      </c>
      <c r="O556">
        <v>1</v>
      </c>
      <c r="P556" s="13">
        <v>4</v>
      </c>
      <c r="Q556" s="14">
        <v>4</v>
      </c>
      <c r="R556">
        <v>5</v>
      </c>
      <c r="T556">
        <v>1</v>
      </c>
      <c r="U556">
        <v>1</v>
      </c>
      <c r="V556">
        <v>1</v>
      </c>
      <c r="W556">
        <v>86</v>
      </c>
      <c r="X556" t="s">
        <v>1211</v>
      </c>
      <c r="Z556">
        <v>9999</v>
      </c>
    </row>
    <row r="557" spans="2:26">
      <c r="B557">
        <v>4000059</v>
      </c>
      <c r="C557" s="9">
        <v>4000059</v>
      </c>
      <c r="D557" s="165" t="s">
        <v>1734</v>
      </c>
      <c r="E557" t="s">
        <v>1978</v>
      </c>
      <c r="G557">
        <v>0</v>
      </c>
      <c r="N557">
        <v>0</v>
      </c>
      <c r="O557">
        <v>1</v>
      </c>
      <c r="P557" s="13">
        <v>4</v>
      </c>
      <c r="Q557" s="14">
        <v>4</v>
      </c>
      <c r="R557">
        <v>5</v>
      </c>
      <c r="T557">
        <v>1</v>
      </c>
      <c r="U557">
        <v>1</v>
      </c>
      <c r="V557">
        <v>1</v>
      </c>
      <c r="W557">
        <v>1218</v>
      </c>
      <c r="X557" t="s">
        <v>1735</v>
      </c>
      <c r="Z557">
        <v>9999</v>
      </c>
    </row>
    <row r="558" spans="2:26">
      <c r="B558">
        <v>4000060</v>
      </c>
      <c r="C558" s="9">
        <v>4000060</v>
      </c>
      <c r="D558" s="165" t="s">
        <v>1740</v>
      </c>
      <c r="E558" t="s">
        <v>1978</v>
      </c>
      <c r="G558">
        <v>0</v>
      </c>
      <c r="N558">
        <v>0</v>
      </c>
      <c r="O558">
        <v>1</v>
      </c>
      <c r="P558" s="13">
        <v>4</v>
      </c>
      <c r="Q558" s="14">
        <v>4</v>
      </c>
      <c r="R558">
        <v>5</v>
      </c>
      <c r="T558">
        <v>1</v>
      </c>
      <c r="U558">
        <v>1</v>
      </c>
      <c r="V558">
        <v>1</v>
      </c>
      <c r="W558">
        <v>1220</v>
      </c>
      <c r="X558" t="s">
        <v>1741</v>
      </c>
      <c r="Z558">
        <v>9999</v>
      </c>
    </row>
    <row r="559" spans="2:26">
      <c r="B559">
        <v>4000061</v>
      </c>
      <c r="C559" s="9">
        <v>4000061</v>
      </c>
      <c r="D559" s="165" t="s">
        <v>1771</v>
      </c>
      <c r="E559" t="s">
        <v>1978</v>
      </c>
      <c r="G559">
        <v>0</v>
      </c>
      <c r="N559">
        <v>0</v>
      </c>
      <c r="O559">
        <v>1</v>
      </c>
      <c r="P559" s="13">
        <v>4</v>
      </c>
      <c r="Q559" s="14">
        <v>4</v>
      </c>
      <c r="R559">
        <v>5</v>
      </c>
      <c r="T559">
        <v>1</v>
      </c>
      <c r="U559">
        <v>1</v>
      </c>
      <c r="V559">
        <v>1</v>
      </c>
      <c r="W559">
        <v>2271</v>
      </c>
      <c r="X559" t="s">
        <v>1772</v>
      </c>
      <c r="Z559">
        <v>9999</v>
      </c>
    </row>
    <row r="560" spans="2:26">
      <c r="B560">
        <v>4000062</v>
      </c>
      <c r="C560" s="9">
        <v>4000062</v>
      </c>
      <c r="D560" s="165" t="s">
        <v>1736</v>
      </c>
      <c r="E560" t="s">
        <v>1978</v>
      </c>
      <c r="G560">
        <v>0</v>
      </c>
      <c r="N560">
        <v>0</v>
      </c>
      <c r="O560">
        <v>1</v>
      </c>
      <c r="P560" s="13">
        <v>4</v>
      </c>
      <c r="Q560" s="14">
        <v>4</v>
      </c>
      <c r="R560">
        <v>5</v>
      </c>
      <c r="T560">
        <v>1</v>
      </c>
      <c r="U560">
        <v>1</v>
      </c>
      <c r="V560">
        <v>1</v>
      </c>
      <c r="W560">
        <v>1219</v>
      </c>
      <c r="X560" t="s">
        <v>1737</v>
      </c>
      <c r="Z560">
        <v>9999</v>
      </c>
    </row>
    <row r="561" spans="2:26">
      <c r="B561">
        <v>4000063</v>
      </c>
      <c r="C561" s="9">
        <v>4000063</v>
      </c>
      <c r="D561" s="165" t="s">
        <v>1773</v>
      </c>
      <c r="E561" t="s">
        <v>1978</v>
      </c>
      <c r="G561">
        <v>0</v>
      </c>
      <c r="N561">
        <v>0</v>
      </c>
      <c r="O561">
        <v>1</v>
      </c>
      <c r="P561" s="13">
        <v>4</v>
      </c>
      <c r="Q561" s="14">
        <v>4</v>
      </c>
      <c r="R561">
        <v>5</v>
      </c>
      <c r="T561">
        <v>1</v>
      </c>
      <c r="U561">
        <v>1</v>
      </c>
      <c r="V561">
        <v>1</v>
      </c>
      <c r="W561">
        <v>1243</v>
      </c>
      <c r="X561" t="s">
        <v>1774</v>
      </c>
      <c r="Z561">
        <v>9999</v>
      </c>
    </row>
    <row r="562" spans="2:26">
      <c r="B562">
        <v>4000064</v>
      </c>
      <c r="C562" s="9">
        <v>4000064</v>
      </c>
      <c r="D562" s="165" t="s">
        <v>1775</v>
      </c>
      <c r="E562" t="s">
        <v>1978</v>
      </c>
      <c r="G562">
        <v>0</v>
      </c>
      <c r="N562">
        <v>0</v>
      </c>
      <c r="O562">
        <v>1</v>
      </c>
      <c r="P562" s="13">
        <v>4</v>
      </c>
      <c r="Q562" s="14">
        <v>4</v>
      </c>
      <c r="R562">
        <v>5</v>
      </c>
      <c r="T562">
        <v>1</v>
      </c>
      <c r="U562">
        <v>1</v>
      </c>
      <c r="V562">
        <v>1</v>
      </c>
      <c r="W562">
        <v>1235</v>
      </c>
      <c r="X562" t="s">
        <v>1776</v>
      </c>
      <c r="Z562">
        <v>9999</v>
      </c>
    </row>
    <row r="563" spans="2:26">
      <c r="B563">
        <v>4000065</v>
      </c>
      <c r="C563" s="9">
        <v>4000065</v>
      </c>
      <c r="D563" s="165" t="s">
        <v>2018</v>
      </c>
      <c r="E563" t="s">
        <v>1978</v>
      </c>
      <c r="G563">
        <v>0</v>
      </c>
      <c r="N563">
        <v>0</v>
      </c>
      <c r="O563">
        <v>1</v>
      </c>
      <c r="P563" s="13">
        <v>4</v>
      </c>
      <c r="Q563" s="14">
        <v>4</v>
      </c>
      <c r="R563">
        <v>5</v>
      </c>
      <c r="T563">
        <v>1</v>
      </c>
      <c r="U563">
        <v>1</v>
      </c>
      <c r="V563">
        <v>1</v>
      </c>
      <c r="W563">
        <v>1236</v>
      </c>
      <c r="X563" t="s">
        <v>1778</v>
      </c>
      <c r="Z563">
        <v>9999</v>
      </c>
    </row>
    <row r="564" spans="2:26">
      <c r="B564">
        <v>4000066</v>
      </c>
      <c r="C564" s="9">
        <v>4000066</v>
      </c>
      <c r="D564" s="165" t="s">
        <v>1779</v>
      </c>
      <c r="E564" t="s">
        <v>1978</v>
      </c>
      <c r="G564">
        <v>0</v>
      </c>
      <c r="N564">
        <v>0</v>
      </c>
      <c r="O564">
        <v>1</v>
      </c>
      <c r="P564" s="13">
        <v>4</v>
      </c>
      <c r="Q564" s="14">
        <v>4</v>
      </c>
      <c r="R564">
        <v>5</v>
      </c>
      <c r="T564">
        <v>1</v>
      </c>
      <c r="U564">
        <v>1</v>
      </c>
      <c r="V564">
        <v>1</v>
      </c>
      <c r="W564">
        <v>1237</v>
      </c>
      <c r="X564" t="s">
        <v>1781</v>
      </c>
      <c r="Z564">
        <v>9999</v>
      </c>
    </row>
    <row r="565" spans="2:26">
      <c r="B565">
        <v>4000067</v>
      </c>
      <c r="C565" s="9">
        <v>4000067</v>
      </c>
      <c r="D565" s="165" t="s">
        <v>1788</v>
      </c>
      <c r="E565" t="s">
        <v>1978</v>
      </c>
      <c r="G565">
        <v>0</v>
      </c>
      <c r="N565">
        <v>0</v>
      </c>
      <c r="O565">
        <v>1</v>
      </c>
      <c r="P565" s="13">
        <v>4</v>
      </c>
      <c r="Q565" s="14">
        <v>4</v>
      </c>
      <c r="R565">
        <v>5</v>
      </c>
      <c r="T565">
        <v>1</v>
      </c>
      <c r="U565">
        <v>1</v>
      </c>
      <c r="V565">
        <v>1</v>
      </c>
      <c r="W565">
        <v>1241</v>
      </c>
      <c r="X565" t="s">
        <v>1789</v>
      </c>
      <c r="Z565">
        <v>9999</v>
      </c>
    </row>
    <row r="566" spans="2:26">
      <c r="B566">
        <v>4000068</v>
      </c>
      <c r="C566" s="9">
        <v>4000068</v>
      </c>
      <c r="D566" s="165" t="s">
        <v>1154</v>
      </c>
      <c r="E566" t="s">
        <v>1978</v>
      </c>
      <c r="G566">
        <v>0</v>
      </c>
      <c r="N566">
        <v>0</v>
      </c>
      <c r="O566">
        <v>0</v>
      </c>
      <c r="P566" s="13">
        <v>4</v>
      </c>
      <c r="Q566" s="14">
        <v>4</v>
      </c>
      <c r="R566">
        <v>5</v>
      </c>
      <c r="T566">
        <v>1</v>
      </c>
      <c r="U566">
        <v>1</v>
      </c>
      <c r="V566">
        <v>1</v>
      </c>
      <c r="W566">
        <v>1242</v>
      </c>
      <c r="X566" t="s">
        <v>1162</v>
      </c>
      <c r="Z566">
        <v>9999</v>
      </c>
    </row>
    <row r="567" s="7" customFormat="1" spans="2:51">
      <c r="B567" s="83">
        <v>5000001</v>
      </c>
      <c r="C567" s="83">
        <v>5000001</v>
      </c>
      <c r="D567" s="86" t="s">
        <v>1256</v>
      </c>
      <c r="E567" s="83" t="s">
        <v>2019</v>
      </c>
      <c r="F567" s="83"/>
      <c r="G567" s="83">
        <v>0</v>
      </c>
      <c r="M567" s="85"/>
      <c r="N567" s="86">
        <v>0</v>
      </c>
      <c r="O567" s="86">
        <v>0</v>
      </c>
      <c r="P567" s="87">
        <v>1</v>
      </c>
      <c r="Q567" s="87">
        <v>1</v>
      </c>
      <c r="R567" s="86">
        <v>2</v>
      </c>
      <c r="S567" s="86" t="s">
        <v>139</v>
      </c>
      <c r="T567" s="7">
        <v>1</v>
      </c>
      <c r="U567" s="7">
        <v>1</v>
      </c>
      <c r="V567" s="7">
        <v>1</v>
      </c>
      <c r="W567" s="7">
        <v>1008</v>
      </c>
      <c r="X567" s="167" t="s">
        <v>1257</v>
      </c>
      <c r="Y567" s="167"/>
      <c r="Z567" s="92">
        <v>9999</v>
      </c>
      <c r="AA567" s="92"/>
      <c r="AB567" s="92">
        <v>30</v>
      </c>
      <c r="AC567" s="92">
        <v>30</v>
      </c>
      <c r="AD567" s="92">
        <v>30</v>
      </c>
      <c r="AE567" s="168">
        <v>50</v>
      </c>
      <c r="AF567" s="168">
        <v>20</v>
      </c>
      <c r="AG567" s="168">
        <v>4000</v>
      </c>
      <c r="AH567" s="168">
        <v>50</v>
      </c>
      <c r="AI567" s="168">
        <v>0</v>
      </c>
      <c r="AJ567" s="168">
        <v>0</v>
      </c>
      <c r="AK567" s="168">
        <v>1</v>
      </c>
      <c r="AL567" s="168">
        <v>0</v>
      </c>
      <c r="AM567" s="169" t="s">
        <v>676</v>
      </c>
      <c r="AS567" s="85"/>
      <c r="AT567" s="85"/>
      <c r="AU567" s="85"/>
      <c r="AV567" s="103"/>
      <c r="AW567" s="86"/>
      <c r="AX567" s="86"/>
      <c r="AY567" s="105"/>
    </row>
    <row r="568" spans="2:50">
      <c r="B568" s="83">
        <v>5000002</v>
      </c>
      <c r="C568" s="83">
        <v>5000002</v>
      </c>
      <c r="D568" s="24" t="s">
        <v>1258</v>
      </c>
      <c r="E568" s="83" t="s">
        <v>2019</v>
      </c>
      <c r="F568" s="83"/>
      <c r="G568" s="9">
        <v>0</v>
      </c>
      <c r="H568" s="2"/>
      <c r="I568" s="2"/>
      <c r="J568" s="2"/>
      <c r="K568" s="2"/>
      <c r="L568" s="2"/>
      <c r="M568" s="17"/>
      <c r="N568" s="88">
        <v>0</v>
      </c>
      <c r="O568" s="88">
        <v>0</v>
      </c>
      <c r="P568" s="32">
        <v>1</v>
      </c>
      <c r="Q568" s="32">
        <v>1</v>
      </c>
      <c r="R568" s="88">
        <v>2</v>
      </c>
      <c r="S568" s="31" t="s">
        <v>139</v>
      </c>
      <c r="T568">
        <v>1</v>
      </c>
      <c r="U568">
        <v>1</v>
      </c>
      <c r="V568">
        <v>1</v>
      </c>
      <c r="W568">
        <v>1009</v>
      </c>
      <c r="X568" s="89" t="s">
        <v>1259</v>
      </c>
      <c r="Y568" s="89"/>
      <c r="Z568" s="53">
        <v>9999</v>
      </c>
      <c r="AA568" s="53"/>
      <c r="AB568" s="53">
        <v>30</v>
      </c>
      <c r="AC568" s="53">
        <v>30</v>
      </c>
      <c r="AD568" s="53">
        <v>30</v>
      </c>
      <c r="AE568" s="94">
        <v>50</v>
      </c>
      <c r="AF568" s="94">
        <v>20</v>
      </c>
      <c r="AG568" s="94">
        <v>4000</v>
      </c>
      <c r="AH568" s="94">
        <v>50</v>
      </c>
      <c r="AI568" s="94">
        <v>0</v>
      </c>
      <c r="AJ568" s="94">
        <v>0</v>
      </c>
      <c r="AK568" s="94">
        <v>1</v>
      </c>
      <c r="AL568" s="94">
        <v>0</v>
      </c>
      <c r="AM568" s="98" t="s">
        <v>676</v>
      </c>
      <c r="AW568" s="88"/>
      <c r="AX568" s="88"/>
    </row>
    <row r="569" spans="2:50">
      <c r="B569" s="83">
        <v>5000003</v>
      </c>
      <c r="C569" s="83">
        <v>5000003</v>
      </c>
      <c r="D569" s="24" t="s">
        <v>1392</v>
      </c>
      <c r="E569" s="83" t="s">
        <v>2019</v>
      </c>
      <c r="F569" s="83"/>
      <c r="G569" s="9">
        <v>0</v>
      </c>
      <c r="H569" s="2"/>
      <c r="I569" s="2"/>
      <c r="J569" s="2"/>
      <c r="K569" s="2"/>
      <c r="L569" s="2"/>
      <c r="M569" s="88"/>
      <c r="N569" s="88">
        <v>0</v>
      </c>
      <c r="O569" s="88">
        <v>0</v>
      </c>
      <c r="P569" s="32">
        <v>1</v>
      </c>
      <c r="Q569" s="32">
        <v>1</v>
      </c>
      <c r="R569" s="88">
        <v>2</v>
      </c>
      <c r="S569" s="31"/>
      <c r="T569" s="88">
        <v>1</v>
      </c>
      <c r="U569" s="88">
        <v>1</v>
      </c>
      <c r="V569" s="88">
        <v>1</v>
      </c>
      <c r="W569" s="9">
        <v>1070</v>
      </c>
      <c r="X569" s="89" t="s">
        <v>1393</v>
      </c>
      <c r="Y569" s="89"/>
      <c r="Z569" s="53">
        <v>9999</v>
      </c>
      <c r="AA569" s="53"/>
      <c r="AB569" s="53">
        <v>30</v>
      </c>
      <c r="AC569" s="53">
        <v>30</v>
      </c>
      <c r="AD569" s="53">
        <v>30</v>
      </c>
      <c r="AE569" s="94">
        <v>50</v>
      </c>
      <c r="AF569" s="94">
        <v>20</v>
      </c>
      <c r="AG569" s="94">
        <v>4000</v>
      </c>
      <c r="AH569" s="94">
        <v>50</v>
      </c>
      <c r="AI569" s="94">
        <v>0</v>
      </c>
      <c r="AJ569" s="94">
        <v>0</v>
      </c>
      <c r="AK569" s="94">
        <v>1</v>
      </c>
      <c r="AL569" s="94">
        <v>0</v>
      </c>
      <c r="AM569" s="98" t="s">
        <v>676</v>
      </c>
      <c r="AW569" s="88"/>
      <c r="AX569" s="88"/>
    </row>
    <row r="570" spans="2:50">
      <c r="B570" s="83">
        <v>5000004</v>
      </c>
      <c r="C570" s="83">
        <v>5000004</v>
      </c>
      <c r="D570" s="24" t="s">
        <v>146</v>
      </c>
      <c r="E570" s="83" t="s">
        <v>2019</v>
      </c>
      <c r="F570" s="83"/>
      <c r="G570" s="9">
        <v>0</v>
      </c>
      <c r="H570" s="2"/>
      <c r="I570" s="2"/>
      <c r="J570" s="2"/>
      <c r="K570" s="2"/>
      <c r="L570" s="2"/>
      <c r="M570" s="88"/>
      <c r="N570" s="88">
        <v>0</v>
      </c>
      <c r="O570" s="88">
        <v>0</v>
      </c>
      <c r="P570" s="32">
        <v>1</v>
      </c>
      <c r="Q570" s="32">
        <v>1</v>
      </c>
      <c r="R570" s="88">
        <v>2</v>
      </c>
      <c r="S570" s="31" t="s">
        <v>139</v>
      </c>
      <c r="T570">
        <v>2</v>
      </c>
      <c r="U570">
        <v>6</v>
      </c>
      <c r="V570">
        <v>1</v>
      </c>
      <c r="W570">
        <v>18</v>
      </c>
      <c r="X570" s="88" t="s">
        <v>152</v>
      </c>
      <c r="Y570" s="88"/>
      <c r="Z570" s="53">
        <v>9999</v>
      </c>
      <c r="AA570" s="53">
        <v>214005</v>
      </c>
      <c r="AB570" s="53">
        <v>10</v>
      </c>
      <c r="AC570" s="53">
        <v>10</v>
      </c>
      <c r="AD570" s="53">
        <v>10</v>
      </c>
      <c r="AE570" s="94">
        <v>86</v>
      </c>
      <c r="AF570" s="94">
        <v>6</v>
      </c>
      <c r="AG570" s="94">
        <v>162</v>
      </c>
      <c r="AH570" s="129">
        <v>1.8</v>
      </c>
      <c r="AI570" s="94">
        <v>0</v>
      </c>
      <c r="AJ570" s="94">
        <v>0</v>
      </c>
      <c r="AK570" s="94">
        <v>1</v>
      </c>
      <c r="AL570" s="94">
        <v>0</v>
      </c>
      <c r="AM570" s="98" t="s">
        <v>676</v>
      </c>
      <c r="AW570" s="88"/>
      <c r="AX570" s="88"/>
    </row>
    <row r="571" spans="2:50">
      <c r="B571" s="83">
        <v>5000005</v>
      </c>
      <c r="C571" s="83">
        <v>5000005</v>
      </c>
      <c r="D571" s="24" t="s">
        <v>1260</v>
      </c>
      <c r="E571" s="83" t="s">
        <v>2019</v>
      </c>
      <c r="F571" s="83"/>
      <c r="G571" s="9">
        <v>0</v>
      </c>
      <c r="H571" s="2"/>
      <c r="I571" s="2"/>
      <c r="J571" s="2"/>
      <c r="K571" s="2"/>
      <c r="L571" s="2"/>
      <c r="M571" s="17"/>
      <c r="N571" s="88">
        <v>0</v>
      </c>
      <c r="O571" s="6">
        <v>0</v>
      </c>
      <c r="P571" s="32">
        <v>1</v>
      </c>
      <c r="Q571" s="32">
        <v>1</v>
      </c>
      <c r="R571" s="88">
        <v>2</v>
      </c>
      <c r="S571" s="31" t="s">
        <v>139</v>
      </c>
      <c r="T571">
        <v>1</v>
      </c>
      <c r="U571">
        <v>1</v>
      </c>
      <c r="V571">
        <v>1</v>
      </c>
      <c r="W571">
        <v>1010</v>
      </c>
      <c r="X571" s="89" t="s">
        <v>1261</v>
      </c>
      <c r="Y571" s="89"/>
      <c r="Z571" s="53">
        <v>9999</v>
      </c>
      <c r="AA571" s="53"/>
      <c r="AB571" s="53">
        <v>30</v>
      </c>
      <c r="AC571" s="53">
        <v>30</v>
      </c>
      <c r="AD571" s="53">
        <v>30</v>
      </c>
      <c r="AE571" s="94">
        <v>50</v>
      </c>
      <c r="AF571" s="94">
        <v>20</v>
      </c>
      <c r="AG571" s="94">
        <v>4000</v>
      </c>
      <c r="AH571" s="94">
        <v>50</v>
      </c>
      <c r="AI571" s="94">
        <v>0</v>
      </c>
      <c r="AJ571" s="94">
        <v>0</v>
      </c>
      <c r="AK571" s="94">
        <v>1</v>
      </c>
      <c r="AL571" s="94">
        <v>0</v>
      </c>
      <c r="AM571" s="98" t="s">
        <v>676</v>
      </c>
      <c r="AW571" s="88"/>
      <c r="AX571" s="88"/>
    </row>
    <row r="572" s="5" customFormat="1" spans="2:51">
      <c r="B572" s="83">
        <v>5000006</v>
      </c>
      <c r="C572" s="83">
        <v>5000006</v>
      </c>
      <c r="D572" s="9" t="s">
        <v>845</v>
      </c>
      <c r="E572" s="83" t="s">
        <v>2019</v>
      </c>
      <c r="F572" s="83"/>
      <c r="G572" s="28">
        <v>0</v>
      </c>
      <c r="H572" s="2" t="s">
        <v>846</v>
      </c>
      <c r="I572" s="2" t="s">
        <v>847</v>
      </c>
      <c r="J572" s="2" t="s">
        <v>366</v>
      </c>
      <c r="K572" s="2" t="s">
        <v>136</v>
      </c>
      <c r="L572" s="2" t="s">
        <v>848</v>
      </c>
      <c r="M572" s="40" t="s">
        <v>849</v>
      </c>
      <c r="N572" s="88">
        <v>0</v>
      </c>
      <c r="O572" s="5">
        <v>0</v>
      </c>
      <c r="P572" s="42">
        <v>3</v>
      </c>
      <c r="Q572" s="42">
        <v>3</v>
      </c>
      <c r="R572" s="5">
        <v>3</v>
      </c>
      <c r="S572" s="31" t="s">
        <v>711</v>
      </c>
      <c r="T572" s="5">
        <v>3</v>
      </c>
      <c r="U572" s="5">
        <v>8</v>
      </c>
      <c r="V572" s="5">
        <v>3</v>
      </c>
      <c r="W572" s="5">
        <v>65</v>
      </c>
      <c r="X572" s="41" t="s">
        <v>850</v>
      </c>
      <c r="Y572" s="41" t="s">
        <v>851</v>
      </c>
      <c r="Z572" s="54">
        <v>630021</v>
      </c>
      <c r="AA572" s="54">
        <v>215005</v>
      </c>
      <c r="AB572" s="54">
        <v>50</v>
      </c>
      <c r="AC572" s="54">
        <v>50</v>
      </c>
      <c r="AD572" s="54">
        <v>50</v>
      </c>
      <c r="AE572" s="55">
        <v>188</v>
      </c>
      <c r="AF572" s="55">
        <v>15</v>
      </c>
      <c r="AG572" s="55">
        <v>339</v>
      </c>
      <c r="AH572" s="55">
        <v>100</v>
      </c>
      <c r="AI572" s="62">
        <v>0.016</v>
      </c>
      <c r="AJ572" s="62">
        <v>0.01</v>
      </c>
      <c r="AK572" s="62">
        <v>1.02</v>
      </c>
      <c r="AL572" s="62" t="s">
        <v>154</v>
      </c>
      <c r="AM572" s="63" t="s">
        <v>727</v>
      </c>
      <c r="AN572" s="5" t="s">
        <v>852</v>
      </c>
      <c r="AO572" s="5" t="s">
        <v>853</v>
      </c>
      <c r="AR572" s="5">
        <v>8</v>
      </c>
      <c r="AS572" s="5" t="s">
        <v>854</v>
      </c>
      <c r="AT572" s="72"/>
      <c r="AU572" s="41"/>
      <c r="AV572" s="73"/>
      <c r="AW572" s="41"/>
      <c r="AX572" s="41">
        <v>2</v>
      </c>
      <c r="AY572" s="78"/>
    </row>
    <row r="573" s="5" customFormat="1" spans="2:51">
      <c r="B573" s="83">
        <v>5000007</v>
      </c>
      <c r="C573" s="83">
        <v>5000007</v>
      </c>
      <c r="D573" s="9" t="s">
        <v>835</v>
      </c>
      <c r="E573" s="83" t="s">
        <v>2019</v>
      </c>
      <c r="F573" s="83"/>
      <c r="G573" s="28">
        <v>0</v>
      </c>
      <c r="H573" s="2" t="s">
        <v>836</v>
      </c>
      <c r="I573" s="2" t="s">
        <v>837</v>
      </c>
      <c r="J573" s="2" t="s">
        <v>222</v>
      </c>
      <c r="K573" s="2" t="s">
        <v>136</v>
      </c>
      <c r="L573" s="2" t="s">
        <v>838</v>
      </c>
      <c r="M573" s="40" t="s">
        <v>839</v>
      </c>
      <c r="N573" s="88">
        <v>0</v>
      </c>
      <c r="O573" s="5">
        <v>0</v>
      </c>
      <c r="P573" s="42">
        <v>3</v>
      </c>
      <c r="Q573" s="42">
        <v>3</v>
      </c>
      <c r="R573" s="5">
        <v>3</v>
      </c>
      <c r="S573" s="31" t="s">
        <v>711</v>
      </c>
      <c r="T573" s="5">
        <v>3</v>
      </c>
      <c r="U573" s="5">
        <v>8</v>
      </c>
      <c r="V573" s="5">
        <v>3</v>
      </c>
      <c r="W573" s="5">
        <v>64</v>
      </c>
      <c r="X573" s="41" t="s">
        <v>840</v>
      </c>
      <c r="Y573" s="41" t="s">
        <v>841</v>
      </c>
      <c r="Z573" s="54">
        <v>630020</v>
      </c>
      <c r="AA573" s="54">
        <v>215005</v>
      </c>
      <c r="AB573" s="54">
        <v>50</v>
      </c>
      <c r="AC573" s="54">
        <v>50</v>
      </c>
      <c r="AD573" s="54">
        <v>50</v>
      </c>
      <c r="AE573" s="55">
        <v>160</v>
      </c>
      <c r="AF573" s="55">
        <v>22</v>
      </c>
      <c r="AG573" s="55">
        <v>313</v>
      </c>
      <c r="AH573" s="55">
        <v>118</v>
      </c>
      <c r="AI573" s="62" t="s">
        <v>154</v>
      </c>
      <c r="AJ573" s="62">
        <v>0.02</v>
      </c>
      <c r="AK573" s="62">
        <v>1.01</v>
      </c>
      <c r="AL573" s="62">
        <v>0.01</v>
      </c>
      <c r="AM573" s="63" t="s">
        <v>607</v>
      </c>
      <c r="AN573" s="5" t="s">
        <v>1894</v>
      </c>
      <c r="AO573" s="5" t="s">
        <v>1895</v>
      </c>
      <c r="AR573" s="5">
        <v>8</v>
      </c>
      <c r="AS573" s="5" t="s">
        <v>844</v>
      </c>
      <c r="AT573" s="72"/>
      <c r="AU573" s="41"/>
      <c r="AV573" s="73"/>
      <c r="AW573" s="41"/>
      <c r="AX573" s="41">
        <v>2</v>
      </c>
      <c r="AY573" s="78"/>
    </row>
    <row r="574" s="8" customFormat="1" spans="2:51">
      <c r="B574" s="83">
        <v>5000008</v>
      </c>
      <c r="C574" s="83">
        <v>5000008</v>
      </c>
      <c r="D574" s="24" t="s">
        <v>1279</v>
      </c>
      <c r="E574" s="83" t="s">
        <v>2019</v>
      </c>
      <c r="F574" s="83"/>
      <c r="G574" s="106">
        <v>0</v>
      </c>
      <c r="H574" s="2"/>
      <c r="I574" s="2"/>
      <c r="J574" s="2"/>
      <c r="K574" s="2"/>
      <c r="L574" s="2"/>
      <c r="M574" s="108"/>
      <c r="N574" s="109">
        <v>0</v>
      </c>
      <c r="O574" s="109">
        <v>0</v>
      </c>
      <c r="P574" s="32">
        <v>1</v>
      </c>
      <c r="Q574" s="32">
        <v>1</v>
      </c>
      <c r="R574" s="109">
        <v>3</v>
      </c>
      <c r="S574" s="31"/>
      <c r="T574" s="8">
        <v>1</v>
      </c>
      <c r="U574" s="8">
        <v>1</v>
      </c>
      <c r="V574" s="8">
        <v>1</v>
      </c>
      <c r="W574" s="8">
        <v>1023</v>
      </c>
      <c r="X574" s="110" t="s">
        <v>1280</v>
      </c>
      <c r="Y574" s="110"/>
      <c r="Z574" s="111">
        <v>9999</v>
      </c>
      <c r="AA574" s="111"/>
      <c r="AB574" s="111">
        <v>30</v>
      </c>
      <c r="AC574" s="111">
        <v>30</v>
      </c>
      <c r="AD574" s="111">
        <v>30</v>
      </c>
      <c r="AE574" s="112">
        <v>50</v>
      </c>
      <c r="AF574" s="112">
        <v>20</v>
      </c>
      <c r="AG574" s="112">
        <v>4000</v>
      </c>
      <c r="AH574" s="112">
        <v>50</v>
      </c>
      <c r="AI574" s="112">
        <v>0</v>
      </c>
      <c r="AJ574" s="112">
        <v>0</v>
      </c>
      <c r="AK574" s="112">
        <v>1</v>
      </c>
      <c r="AL574" s="112">
        <v>0</v>
      </c>
      <c r="AM574" s="113" t="s">
        <v>676</v>
      </c>
      <c r="AS574" s="108"/>
      <c r="AT574" s="108"/>
      <c r="AU574" s="108"/>
      <c r="AV574" s="114"/>
      <c r="AW574" s="109"/>
      <c r="AX574" s="109"/>
      <c r="AY574" s="115"/>
    </row>
    <row r="575" spans="2:50">
      <c r="B575" s="83">
        <v>5000009</v>
      </c>
      <c r="C575" s="83">
        <v>5000016</v>
      </c>
      <c r="D575" s="24" t="s">
        <v>1310</v>
      </c>
      <c r="E575" s="83" t="s">
        <v>2019</v>
      </c>
      <c r="F575" s="83"/>
      <c r="G575" s="9">
        <v>0</v>
      </c>
      <c r="H575" s="2"/>
      <c r="I575" s="2"/>
      <c r="J575" s="2"/>
      <c r="K575" s="2"/>
      <c r="L575" s="2"/>
      <c r="M575" s="88"/>
      <c r="N575" s="88">
        <v>0</v>
      </c>
      <c r="O575" s="88">
        <v>0</v>
      </c>
      <c r="P575" s="32">
        <v>1</v>
      </c>
      <c r="Q575" s="32">
        <v>1</v>
      </c>
      <c r="R575" s="88">
        <v>3</v>
      </c>
      <c r="S575" s="31"/>
      <c r="T575">
        <v>1</v>
      </c>
      <c r="U575">
        <v>1</v>
      </c>
      <c r="V575">
        <v>1</v>
      </c>
      <c r="W575">
        <v>1030</v>
      </c>
      <c r="X575" s="89" t="s">
        <v>1309</v>
      </c>
      <c r="Y575" s="89"/>
      <c r="Z575" s="53">
        <v>9999</v>
      </c>
      <c r="AA575" s="53"/>
      <c r="AB575" s="53">
        <v>30</v>
      </c>
      <c r="AC575" s="53">
        <v>30</v>
      </c>
      <c r="AD575" s="53">
        <v>30</v>
      </c>
      <c r="AE575" s="94">
        <v>50</v>
      </c>
      <c r="AF575" s="94">
        <v>20</v>
      </c>
      <c r="AG575" s="94">
        <v>4000</v>
      </c>
      <c r="AH575" s="94">
        <v>50</v>
      </c>
      <c r="AI575" s="94">
        <v>0</v>
      </c>
      <c r="AJ575" s="94">
        <v>0</v>
      </c>
      <c r="AK575" s="94">
        <v>1</v>
      </c>
      <c r="AL575" s="94">
        <v>0</v>
      </c>
      <c r="AM575" s="98" t="s">
        <v>676</v>
      </c>
      <c r="AW575" s="88"/>
      <c r="AX575" s="88"/>
    </row>
    <row r="576" spans="2:50">
      <c r="B576" s="83">
        <v>5000010</v>
      </c>
      <c r="C576" s="83">
        <v>5000010</v>
      </c>
      <c r="D576" s="24" t="s">
        <v>1269</v>
      </c>
      <c r="E576" s="83" t="s">
        <v>2019</v>
      </c>
      <c r="F576" s="83"/>
      <c r="G576" s="9">
        <v>0</v>
      </c>
      <c r="H576" s="2"/>
      <c r="I576" s="2"/>
      <c r="J576" s="2"/>
      <c r="K576" s="2"/>
      <c r="L576" s="2"/>
      <c r="M576" s="17"/>
      <c r="N576" s="88">
        <v>0</v>
      </c>
      <c r="O576" s="88">
        <v>0</v>
      </c>
      <c r="P576" s="32">
        <v>1</v>
      </c>
      <c r="Q576" s="32">
        <v>1</v>
      </c>
      <c r="R576" s="88">
        <v>3</v>
      </c>
      <c r="S576" s="31" t="s">
        <v>1836</v>
      </c>
      <c r="T576">
        <v>1</v>
      </c>
      <c r="U576">
        <v>1</v>
      </c>
      <c r="V576">
        <v>1</v>
      </c>
      <c r="W576">
        <v>1013</v>
      </c>
      <c r="X576" s="89" t="s">
        <v>1271</v>
      </c>
      <c r="Y576" s="89"/>
      <c r="Z576" s="53">
        <v>9999</v>
      </c>
      <c r="AA576" s="53"/>
      <c r="AB576" s="53">
        <v>30</v>
      </c>
      <c r="AC576" s="53">
        <v>30</v>
      </c>
      <c r="AD576" s="53">
        <v>30</v>
      </c>
      <c r="AE576" s="94">
        <v>50</v>
      </c>
      <c r="AF576" s="94">
        <v>20</v>
      </c>
      <c r="AG576" s="94">
        <v>4000</v>
      </c>
      <c r="AH576" s="94">
        <v>50</v>
      </c>
      <c r="AI576" s="58">
        <v>0</v>
      </c>
      <c r="AJ576" s="58">
        <v>0</v>
      </c>
      <c r="AK576" s="58">
        <v>1</v>
      </c>
      <c r="AL576" s="58">
        <v>0</v>
      </c>
      <c r="AM576" s="59" t="s">
        <v>676</v>
      </c>
      <c r="AW576" s="88"/>
      <c r="AX576" s="88"/>
    </row>
    <row r="577" spans="2:50">
      <c r="B577" s="83">
        <v>5000011</v>
      </c>
      <c r="C577" s="83">
        <v>5000011</v>
      </c>
      <c r="D577" s="24" t="s">
        <v>1272</v>
      </c>
      <c r="E577" s="83" t="s">
        <v>2019</v>
      </c>
      <c r="F577" s="83"/>
      <c r="G577" s="9">
        <v>0</v>
      </c>
      <c r="H577" s="2"/>
      <c r="I577" s="2"/>
      <c r="J577" s="2"/>
      <c r="K577" s="2"/>
      <c r="L577" s="2"/>
      <c r="M577" s="17"/>
      <c r="N577" s="88">
        <v>0</v>
      </c>
      <c r="O577" s="88">
        <v>0</v>
      </c>
      <c r="P577" s="32">
        <v>1</v>
      </c>
      <c r="Q577" s="32">
        <v>1</v>
      </c>
      <c r="R577" s="88">
        <v>3</v>
      </c>
      <c r="S577" s="31" t="s">
        <v>1836</v>
      </c>
      <c r="T577">
        <v>1</v>
      </c>
      <c r="U577">
        <v>1</v>
      </c>
      <c r="V577">
        <v>1</v>
      </c>
      <c r="W577">
        <v>1014</v>
      </c>
      <c r="X577" s="89" t="s">
        <v>1274</v>
      </c>
      <c r="Y577" s="89"/>
      <c r="Z577" s="53">
        <v>9999</v>
      </c>
      <c r="AA577" s="53"/>
      <c r="AB577" s="53">
        <v>30</v>
      </c>
      <c r="AC577" s="53">
        <v>30</v>
      </c>
      <c r="AD577" s="53">
        <v>30</v>
      </c>
      <c r="AE577" s="94">
        <v>50</v>
      </c>
      <c r="AF577" s="94">
        <v>20</v>
      </c>
      <c r="AG577" s="94">
        <v>4000</v>
      </c>
      <c r="AH577" s="94">
        <v>50</v>
      </c>
      <c r="AI577" s="58">
        <v>0</v>
      </c>
      <c r="AJ577" s="58">
        <v>0</v>
      </c>
      <c r="AK577" s="58">
        <v>1</v>
      </c>
      <c r="AL577" s="58">
        <v>0</v>
      </c>
      <c r="AM577" s="59" t="s">
        <v>676</v>
      </c>
      <c r="AW577" s="88"/>
      <c r="AX577" s="88"/>
    </row>
    <row r="578" spans="2:50">
      <c r="B578" s="83">
        <v>5000012</v>
      </c>
      <c r="C578" s="83">
        <v>5000012</v>
      </c>
      <c r="D578" s="24" t="s">
        <v>1275</v>
      </c>
      <c r="E578" s="83" t="s">
        <v>2019</v>
      </c>
      <c r="F578" s="83"/>
      <c r="G578" s="9">
        <v>0</v>
      </c>
      <c r="H578" s="2"/>
      <c r="I578" s="2"/>
      <c r="J578" s="2"/>
      <c r="K578" s="2"/>
      <c r="L578" s="2"/>
      <c r="M578" s="17"/>
      <c r="N578" s="88">
        <v>0</v>
      </c>
      <c r="O578" s="88">
        <v>0</v>
      </c>
      <c r="P578" s="32">
        <v>1</v>
      </c>
      <c r="Q578" s="32">
        <v>1</v>
      </c>
      <c r="R578" s="88">
        <v>3</v>
      </c>
      <c r="S578" s="31" t="s">
        <v>1836</v>
      </c>
      <c r="T578">
        <v>1</v>
      </c>
      <c r="U578">
        <v>1</v>
      </c>
      <c r="V578">
        <v>1</v>
      </c>
      <c r="W578">
        <v>1015</v>
      </c>
      <c r="X578" s="89" t="s">
        <v>1277</v>
      </c>
      <c r="Y578" s="89"/>
      <c r="Z578" s="53">
        <v>9999</v>
      </c>
      <c r="AA578" s="53"/>
      <c r="AB578" s="53">
        <v>30</v>
      </c>
      <c r="AC578" s="53">
        <v>30</v>
      </c>
      <c r="AD578" s="53">
        <v>30</v>
      </c>
      <c r="AE578" s="94">
        <v>50</v>
      </c>
      <c r="AF578" s="94">
        <v>20</v>
      </c>
      <c r="AG578" s="94">
        <v>4000</v>
      </c>
      <c r="AH578" s="94">
        <v>50</v>
      </c>
      <c r="AI578" s="58">
        <v>0</v>
      </c>
      <c r="AJ578" s="58">
        <v>0</v>
      </c>
      <c r="AK578" s="58">
        <v>1</v>
      </c>
      <c r="AL578" s="58">
        <v>0</v>
      </c>
      <c r="AM578" s="59" t="s">
        <v>676</v>
      </c>
      <c r="AW578" s="88"/>
      <c r="AX578" s="88"/>
    </row>
    <row r="579" spans="2:50">
      <c r="B579" s="83">
        <v>5000013</v>
      </c>
      <c r="C579" s="83">
        <v>5000013</v>
      </c>
      <c r="D579" s="24" t="s">
        <v>1289</v>
      </c>
      <c r="E579" s="83" t="s">
        <v>2019</v>
      </c>
      <c r="F579" s="83"/>
      <c r="G579" s="9">
        <v>0</v>
      </c>
      <c r="H579" s="2"/>
      <c r="I579" s="2"/>
      <c r="J579" s="2"/>
      <c r="K579" s="2"/>
      <c r="L579" s="2"/>
      <c r="M579" s="17"/>
      <c r="N579" s="88">
        <v>0</v>
      </c>
      <c r="O579" s="6">
        <v>0</v>
      </c>
      <c r="P579" s="32">
        <v>1</v>
      </c>
      <c r="Q579" s="32">
        <v>1</v>
      </c>
      <c r="R579" s="88">
        <v>3</v>
      </c>
      <c r="S579" s="31" t="s">
        <v>1836</v>
      </c>
      <c r="T579">
        <v>1</v>
      </c>
      <c r="U579">
        <v>1</v>
      </c>
      <c r="V579">
        <v>1</v>
      </c>
      <c r="W579">
        <v>1017</v>
      </c>
      <c r="X579" s="89" t="s">
        <v>1290</v>
      </c>
      <c r="Y579" s="89"/>
      <c r="Z579" s="53">
        <v>9999</v>
      </c>
      <c r="AA579" s="53"/>
      <c r="AB579" s="53">
        <v>30</v>
      </c>
      <c r="AC579" s="53">
        <v>30</v>
      </c>
      <c r="AD579" s="53">
        <v>30</v>
      </c>
      <c r="AE579" s="94">
        <v>50</v>
      </c>
      <c r="AF579" s="94">
        <v>20</v>
      </c>
      <c r="AG579" s="94">
        <v>4000</v>
      </c>
      <c r="AH579" s="94">
        <v>50</v>
      </c>
      <c r="AI579" s="58">
        <v>0</v>
      </c>
      <c r="AJ579" s="58">
        <v>0</v>
      </c>
      <c r="AK579" s="58">
        <v>1</v>
      </c>
      <c r="AL579" s="58">
        <v>0</v>
      </c>
      <c r="AM579" s="59" t="s">
        <v>676</v>
      </c>
      <c r="AW579" s="88"/>
      <c r="AX579" s="88"/>
    </row>
    <row r="580" s="2" customFormat="1" spans="2:54">
      <c r="B580" s="83">
        <v>5000014</v>
      </c>
      <c r="C580" s="83">
        <v>5000014</v>
      </c>
      <c r="D580" s="24" t="s">
        <v>159</v>
      </c>
      <c r="E580" s="83" t="s">
        <v>2019</v>
      </c>
      <c r="F580" s="83"/>
      <c r="G580" s="23">
        <v>0</v>
      </c>
      <c r="H580" s="2" t="s">
        <v>160</v>
      </c>
      <c r="I580" s="2" t="s">
        <v>161</v>
      </c>
      <c r="J580" s="2" t="s">
        <v>162</v>
      </c>
      <c r="K580" s="2" t="s">
        <v>136</v>
      </c>
      <c r="L580" s="2" t="s">
        <v>137</v>
      </c>
      <c r="M580" s="33" t="s">
        <v>163</v>
      </c>
      <c r="N580" s="31">
        <v>0</v>
      </c>
      <c r="O580" s="6">
        <v>0</v>
      </c>
      <c r="P580" s="32">
        <v>5</v>
      </c>
      <c r="Q580" s="32">
        <v>5</v>
      </c>
      <c r="R580" s="45">
        <v>3</v>
      </c>
      <c r="S580" s="31"/>
      <c r="T580" s="2">
        <v>2</v>
      </c>
      <c r="U580" s="2">
        <v>6</v>
      </c>
      <c r="V580" s="2">
        <v>1</v>
      </c>
      <c r="W580" s="2">
        <v>24</v>
      </c>
      <c r="X580" s="31" t="s">
        <v>165</v>
      </c>
      <c r="Y580" s="31"/>
      <c r="Z580" s="49">
        <v>610003</v>
      </c>
      <c r="AA580" s="49">
        <v>214005</v>
      </c>
      <c r="AB580" s="49">
        <v>10</v>
      </c>
      <c r="AC580" s="49">
        <v>10</v>
      </c>
      <c r="AD580" s="49">
        <v>10</v>
      </c>
      <c r="AE580" s="50">
        <v>127</v>
      </c>
      <c r="AF580" s="50">
        <v>9</v>
      </c>
      <c r="AG580" s="50">
        <v>123</v>
      </c>
      <c r="AH580" s="50">
        <v>50</v>
      </c>
      <c r="AI580" s="50">
        <v>0.012</v>
      </c>
      <c r="AJ580" s="58" t="s">
        <v>154</v>
      </c>
      <c r="AK580" s="58">
        <v>1.006</v>
      </c>
      <c r="AL580" s="58">
        <v>0.0064</v>
      </c>
      <c r="AM580" s="59" t="s">
        <v>167</v>
      </c>
      <c r="AR580" s="2">
        <v>8</v>
      </c>
      <c r="AS580" s="2" t="s">
        <v>168</v>
      </c>
      <c r="AT580" s="69" t="s">
        <v>169</v>
      </c>
      <c r="AU580" s="31" t="s">
        <v>170</v>
      </c>
      <c r="AV580" s="30">
        <v>188</v>
      </c>
      <c r="AW580" s="45"/>
      <c r="AX580" s="45">
        <v>2</v>
      </c>
      <c r="AY580" s="34">
        <v>3</v>
      </c>
      <c r="AZ580" s="2">
        <v>167</v>
      </c>
      <c r="BA580" s="2">
        <v>3</v>
      </c>
      <c r="BB580" s="2">
        <v>10003</v>
      </c>
    </row>
    <row r="581" spans="2:50">
      <c r="B581" s="83">
        <v>5000015</v>
      </c>
      <c r="C581" s="83">
        <v>5000015</v>
      </c>
      <c r="D581" s="24" t="s">
        <v>1307</v>
      </c>
      <c r="E581" s="83" t="s">
        <v>2019</v>
      </c>
      <c r="F581" s="83"/>
      <c r="G581" s="9">
        <v>0</v>
      </c>
      <c r="H581" s="2"/>
      <c r="I581" s="2"/>
      <c r="J581" s="2"/>
      <c r="K581" s="2"/>
      <c r="L581" s="2"/>
      <c r="M581" s="88"/>
      <c r="N581" s="88">
        <v>0</v>
      </c>
      <c r="O581" s="88">
        <v>0</v>
      </c>
      <c r="P581" s="32">
        <v>1</v>
      </c>
      <c r="Q581" s="32">
        <v>1</v>
      </c>
      <c r="R581" s="88">
        <v>3</v>
      </c>
      <c r="S581" s="31"/>
      <c r="T581">
        <v>1</v>
      </c>
      <c r="U581">
        <v>1</v>
      </c>
      <c r="V581">
        <v>1</v>
      </c>
      <c r="W581">
        <v>1026</v>
      </c>
      <c r="X581" s="89" t="s">
        <v>1288</v>
      </c>
      <c r="Y581" s="89"/>
      <c r="Z581" s="53">
        <v>9999</v>
      </c>
      <c r="AA581" s="53"/>
      <c r="AB581" s="53">
        <v>30</v>
      </c>
      <c r="AC581" s="53">
        <v>30</v>
      </c>
      <c r="AD581" s="53">
        <v>30</v>
      </c>
      <c r="AE581" s="94">
        <v>50</v>
      </c>
      <c r="AF581" s="94">
        <v>20</v>
      </c>
      <c r="AG581" s="94">
        <v>4000</v>
      </c>
      <c r="AH581" s="94">
        <v>50</v>
      </c>
      <c r="AI581" s="94">
        <v>0</v>
      </c>
      <c r="AJ581" s="94">
        <v>0</v>
      </c>
      <c r="AK581" s="94">
        <v>1</v>
      </c>
      <c r="AL581" s="94">
        <v>0</v>
      </c>
      <c r="AM581" s="98" t="s">
        <v>676</v>
      </c>
      <c r="AW581" s="88"/>
      <c r="AX581" s="88"/>
    </row>
    <row r="582" spans="2:50">
      <c r="B582" s="83">
        <v>5000016</v>
      </c>
      <c r="C582" s="83">
        <v>5000016</v>
      </c>
      <c r="D582" s="24" t="s">
        <v>1310</v>
      </c>
      <c r="E582" s="83" t="s">
        <v>2019</v>
      </c>
      <c r="F582" s="83"/>
      <c r="G582" s="9">
        <v>0</v>
      </c>
      <c r="H582" s="2"/>
      <c r="I582" s="2"/>
      <c r="J582" s="2"/>
      <c r="K582" s="2"/>
      <c r="L582" s="2"/>
      <c r="M582" s="88"/>
      <c r="N582" s="88">
        <v>0</v>
      </c>
      <c r="O582" s="88">
        <v>0</v>
      </c>
      <c r="P582" s="32">
        <v>1</v>
      </c>
      <c r="Q582" s="32">
        <v>1</v>
      </c>
      <c r="R582" s="88">
        <v>3</v>
      </c>
      <c r="S582" s="31"/>
      <c r="T582">
        <v>1</v>
      </c>
      <c r="U582">
        <v>1</v>
      </c>
      <c r="V582">
        <v>1</v>
      </c>
      <c r="W582">
        <v>1030</v>
      </c>
      <c r="X582" s="89" t="s">
        <v>1309</v>
      </c>
      <c r="Y582" s="89"/>
      <c r="Z582" s="53">
        <v>9999</v>
      </c>
      <c r="AA582" s="53"/>
      <c r="AB582" s="53">
        <v>30</v>
      </c>
      <c r="AC582" s="53">
        <v>30</v>
      </c>
      <c r="AD582" s="53">
        <v>30</v>
      </c>
      <c r="AE582" s="94">
        <v>50</v>
      </c>
      <c r="AF582" s="94">
        <v>20</v>
      </c>
      <c r="AG582" s="94">
        <v>4000</v>
      </c>
      <c r="AH582" s="94">
        <v>50</v>
      </c>
      <c r="AI582" s="94">
        <v>0</v>
      </c>
      <c r="AJ582" s="94">
        <v>0</v>
      </c>
      <c r="AK582" s="94">
        <v>1</v>
      </c>
      <c r="AL582" s="94">
        <v>0</v>
      </c>
      <c r="AM582" s="98" t="s">
        <v>676</v>
      </c>
      <c r="AW582" s="88"/>
      <c r="AX582" s="88"/>
    </row>
    <row r="583" spans="2:50">
      <c r="B583" s="83">
        <v>5000017</v>
      </c>
      <c r="C583" s="83">
        <v>5000017</v>
      </c>
      <c r="D583" s="24" t="s">
        <v>1308</v>
      </c>
      <c r="E583" s="83" t="s">
        <v>2019</v>
      </c>
      <c r="F583" s="83"/>
      <c r="G583" s="9">
        <v>0</v>
      </c>
      <c r="H583" s="2"/>
      <c r="I583" s="2"/>
      <c r="J583" s="2"/>
      <c r="K583" s="2"/>
      <c r="L583" s="2"/>
      <c r="M583" s="88"/>
      <c r="N583" s="88">
        <v>0</v>
      </c>
      <c r="O583" s="88">
        <v>0</v>
      </c>
      <c r="P583" s="32">
        <v>1</v>
      </c>
      <c r="Q583" s="32">
        <v>1</v>
      </c>
      <c r="R583" s="88">
        <v>3</v>
      </c>
      <c r="S583" s="31"/>
      <c r="T583">
        <v>1</v>
      </c>
      <c r="U583">
        <v>1</v>
      </c>
      <c r="V583">
        <v>1</v>
      </c>
      <c r="W583">
        <v>1029</v>
      </c>
      <c r="X583" s="89" t="s">
        <v>1309</v>
      </c>
      <c r="Y583" s="89"/>
      <c r="Z583" s="53">
        <v>9999</v>
      </c>
      <c r="AA583" s="53"/>
      <c r="AB583" s="53">
        <v>30</v>
      </c>
      <c r="AC583" s="53">
        <v>30</v>
      </c>
      <c r="AD583" s="53">
        <v>30</v>
      </c>
      <c r="AE583" s="94">
        <v>50</v>
      </c>
      <c r="AF583" s="94">
        <v>20</v>
      </c>
      <c r="AG583" s="94">
        <v>4000</v>
      </c>
      <c r="AH583" s="94">
        <v>50</v>
      </c>
      <c r="AI583" s="94">
        <v>0</v>
      </c>
      <c r="AJ583" s="94">
        <v>0</v>
      </c>
      <c r="AK583" s="94">
        <v>1</v>
      </c>
      <c r="AL583" s="94">
        <v>0</v>
      </c>
      <c r="AM583" s="98" t="s">
        <v>676</v>
      </c>
      <c r="AW583" s="88"/>
      <c r="AX583" s="88"/>
    </row>
    <row r="584" spans="2:52">
      <c r="B584" s="83">
        <v>5000018</v>
      </c>
      <c r="C584" s="83">
        <v>5000018</v>
      </c>
      <c r="D584" s="24" t="s">
        <v>749</v>
      </c>
      <c r="E584" s="83" t="s">
        <v>2019</v>
      </c>
      <c r="F584" s="83"/>
      <c r="G584" s="9">
        <v>0</v>
      </c>
      <c r="H584" s="2" t="s">
        <v>750</v>
      </c>
      <c r="I584" s="2" t="s">
        <v>751</v>
      </c>
      <c r="J584" s="2" t="s">
        <v>752</v>
      </c>
      <c r="K584" s="2" t="s">
        <v>136</v>
      </c>
      <c r="L584" s="2" t="s">
        <v>137</v>
      </c>
      <c r="M584" s="9" t="s">
        <v>753</v>
      </c>
      <c r="N584" s="88">
        <v>0</v>
      </c>
      <c r="O584">
        <v>0</v>
      </c>
      <c r="P584" s="32">
        <v>4</v>
      </c>
      <c r="Q584" s="32">
        <v>4</v>
      </c>
      <c r="R584" s="9">
        <v>5</v>
      </c>
      <c r="S584" s="31"/>
      <c r="T584">
        <v>3</v>
      </c>
      <c r="U584">
        <v>8</v>
      </c>
      <c r="V584" s="9">
        <v>3</v>
      </c>
      <c r="W584" s="9">
        <v>54</v>
      </c>
      <c r="X584" s="9" t="s">
        <v>754</v>
      </c>
      <c r="Y584" s="88" t="s">
        <v>755</v>
      </c>
      <c r="Z584" s="53">
        <v>630012</v>
      </c>
      <c r="AA584" s="53">
        <v>215005</v>
      </c>
      <c r="AB584" s="53">
        <v>50</v>
      </c>
      <c r="AC584" s="53">
        <v>50</v>
      </c>
      <c r="AD584" s="53">
        <v>50</v>
      </c>
      <c r="AE584" s="94">
        <v>160</v>
      </c>
      <c r="AF584" s="94">
        <v>17</v>
      </c>
      <c r="AG584" s="94">
        <v>376</v>
      </c>
      <c r="AH584" s="132">
        <v>88</v>
      </c>
      <c r="AI584" s="94">
        <v>0.016</v>
      </c>
      <c r="AJ584" s="94">
        <v>0.01</v>
      </c>
      <c r="AK584" s="94">
        <v>1.02</v>
      </c>
      <c r="AL584" s="94">
        <v>0</v>
      </c>
      <c r="AM584" s="98" t="s">
        <v>371</v>
      </c>
      <c r="AN584" t="s">
        <v>1890</v>
      </c>
      <c r="AO584" t="s">
        <v>1891</v>
      </c>
      <c r="AP584" s="5"/>
      <c r="AQ584" s="5"/>
      <c r="AR584" s="5">
        <v>8</v>
      </c>
      <c r="AS584" s="116" t="s">
        <v>758</v>
      </c>
      <c r="AT584" s="116" t="s">
        <v>169</v>
      </c>
      <c r="AU584" s="116" t="s">
        <v>510</v>
      </c>
      <c r="AV584" s="118" t="s">
        <v>511</v>
      </c>
      <c r="AW584" s="9"/>
      <c r="AX584" s="9"/>
      <c r="AY584" s="117"/>
      <c r="AZ584">
        <v>203</v>
      </c>
    </row>
    <row r="585" spans="2:50">
      <c r="B585" s="83">
        <v>5000019</v>
      </c>
      <c r="C585" s="83">
        <v>5000019</v>
      </c>
      <c r="D585" s="24" t="s">
        <v>1352</v>
      </c>
      <c r="E585" s="83" t="s">
        <v>2019</v>
      </c>
      <c r="F585" s="83"/>
      <c r="G585" s="9">
        <v>0</v>
      </c>
      <c r="H585" s="2"/>
      <c r="I585" s="2"/>
      <c r="J585" s="2"/>
      <c r="K585" s="2"/>
      <c r="L585" s="2"/>
      <c r="M585" s="88"/>
      <c r="N585" s="88">
        <v>0</v>
      </c>
      <c r="O585" s="88">
        <v>0</v>
      </c>
      <c r="P585" s="32">
        <v>1</v>
      </c>
      <c r="Q585" s="32">
        <v>1</v>
      </c>
      <c r="R585" s="88">
        <v>3</v>
      </c>
      <c r="S585" s="31"/>
      <c r="T585">
        <v>1</v>
      </c>
      <c r="U585">
        <v>1</v>
      </c>
      <c r="V585">
        <v>1</v>
      </c>
      <c r="W585">
        <v>1056</v>
      </c>
      <c r="X585" s="89" t="s">
        <v>1354</v>
      </c>
      <c r="Y585" s="89"/>
      <c r="Z585" s="53">
        <v>9999</v>
      </c>
      <c r="AA585" s="53"/>
      <c r="AB585" s="53">
        <v>30</v>
      </c>
      <c r="AC585" s="53">
        <v>30</v>
      </c>
      <c r="AD585" s="53">
        <v>30</v>
      </c>
      <c r="AE585" s="94">
        <v>50</v>
      </c>
      <c r="AF585" s="94">
        <v>20</v>
      </c>
      <c r="AG585" s="94">
        <v>4000</v>
      </c>
      <c r="AH585" s="94">
        <v>50</v>
      </c>
      <c r="AI585" s="94">
        <v>0</v>
      </c>
      <c r="AJ585" s="94">
        <v>0</v>
      </c>
      <c r="AK585" s="94">
        <v>1</v>
      </c>
      <c r="AL585" s="94">
        <v>0</v>
      </c>
      <c r="AM585" s="98" t="s">
        <v>676</v>
      </c>
      <c r="AW585" s="88"/>
      <c r="AX585" s="88"/>
    </row>
    <row r="586" spans="2:50">
      <c r="B586" s="83">
        <v>5000020</v>
      </c>
      <c r="C586" s="83">
        <v>5000020</v>
      </c>
      <c r="D586" s="24" t="s">
        <v>1295</v>
      </c>
      <c r="E586" s="83" t="s">
        <v>2019</v>
      </c>
      <c r="F586" s="83"/>
      <c r="G586" s="9">
        <v>0</v>
      </c>
      <c r="H586" s="2"/>
      <c r="I586" s="2"/>
      <c r="J586" s="2"/>
      <c r="K586" s="2"/>
      <c r="L586" s="2"/>
      <c r="M586" s="17"/>
      <c r="N586" s="88">
        <v>0</v>
      </c>
      <c r="O586" s="88">
        <v>0</v>
      </c>
      <c r="P586" s="32">
        <v>1</v>
      </c>
      <c r="Q586" s="32">
        <v>1</v>
      </c>
      <c r="R586" s="88">
        <v>3</v>
      </c>
      <c r="S586" s="31"/>
      <c r="T586">
        <v>1</v>
      </c>
      <c r="U586">
        <v>1</v>
      </c>
      <c r="V586">
        <v>1</v>
      </c>
      <c r="W586">
        <v>1031</v>
      </c>
      <c r="X586" s="89" t="s">
        <v>1296</v>
      </c>
      <c r="Y586" s="89"/>
      <c r="Z586" s="53">
        <v>9999</v>
      </c>
      <c r="AA586" s="53"/>
      <c r="AB586" s="53">
        <v>30</v>
      </c>
      <c r="AC586" s="53">
        <v>30</v>
      </c>
      <c r="AD586" s="53">
        <v>30</v>
      </c>
      <c r="AE586" s="94">
        <v>50</v>
      </c>
      <c r="AF586" s="94">
        <v>20</v>
      </c>
      <c r="AG586" s="94">
        <v>4000</v>
      </c>
      <c r="AH586" s="94">
        <v>50</v>
      </c>
      <c r="AI586" s="58">
        <v>0</v>
      </c>
      <c r="AJ586" s="58">
        <v>0</v>
      </c>
      <c r="AK586" s="58">
        <v>1</v>
      </c>
      <c r="AL586" s="58">
        <v>0</v>
      </c>
      <c r="AM586" s="59" t="s">
        <v>676</v>
      </c>
      <c r="AW586" s="88"/>
      <c r="AX586" s="88"/>
    </row>
    <row r="587" spans="2:50">
      <c r="B587" s="83">
        <v>5000021</v>
      </c>
      <c r="C587" s="83">
        <v>5000021</v>
      </c>
      <c r="D587" s="24" t="s">
        <v>1297</v>
      </c>
      <c r="E587" s="83" t="s">
        <v>2019</v>
      </c>
      <c r="F587" s="83"/>
      <c r="G587" s="9">
        <v>0</v>
      </c>
      <c r="H587" s="2"/>
      <c r="I587" s="2"/>
      <c r="J587" s="2"/>
      <c r="K587" s="2"/>
      <c r="L587" s="2"/>
      <c r="M587" s="17"/>
      <c r="N587" s="88">
        <v>0</v>
      </c>
      <c r="O587" s="88">
        <v>0</v>
      </c>
      <c r="P587" s="32">
        <v>1</v>
      </c>
      <c r="Q587" s="32">
        <v>1</v>
      </c>
      <c r="R587" s="88">
        <v>3</v>
      </c>
      <c r="S587" s="31"/>
      <c r="T587">
        <v>1</v>
      </c>
      <c r="U587">
        <v>1</v>
      </c>
      <c r="V587">
        <v>1</v>
      </c>
      <c r="W587">
        <v>1032</v>
      </c>
      <c r="X587" s="89" t="s">
        <v>1298</v>
      </c>
      <c r="Y587" s="89"/>
      <c r="Z587" s="53">
        <v>9999</v>
      </c>
      <c r="AA587" s="53"/>
      <c r="AB587" s="53">
        <v>30</v>
      </c>
      <c r="AC587" s="53">
        <v>30</v>
      </c>
      <c r="AD587" s="53">
        <v>30</v>
      </c>
      <c r="AE587" s="94">
        <v>50</v>
      </c>
      <c r="AF587" s="94">
        <v>20</v>
      </c>
      <c r="AG587" s="94">
        <v>4000</v>
      </c>
      <c r="AH587" s="94">
        <v>50</v>
      </c>
      <c r="AI587" s="58">
        <v>0</v>
      </c>
      <c r="AJ587" s="58">
        <v>0</v>
      </c>
      <c r="AK587" s="58">
        <v>1</v>
      </c>
      <c r="AL587" s="58">
        <v>0</v>
      </c>
      <c r="AM587" s="59" t="s">
        <v>676</v>
      </c>
      <c r="AW587" s="88"/>
      <c r="AX587" s="88"/>
    </row>
    <row r="588" spans="2:50">
      <c r="B588" s="83">
        <v>5000022</v>
      </c>
      <c r="C588" s="83">
        <v>5000022</v>
      </c>
      <c r="D588" s="24" t="s">
        <v>1299</v>
      </c>
      <c r="E588" s="83" t="s">
        <v>2019</v>
      </c>
      <c r="F588" s="83"/>
      <c r="G588" s="9">
        <v>0</v>
      </c>
      <c r="H588" s="2"/>
      <c r="I588" s="2"/>
      <c r="J588" s="2"/>
      <c r="K588" s="2"/>
      <c r="L588" s="2"/>
      <c r="M588" s="17"/>
      <c r="N588" s="88">
        <v>0</v>
      </c>
      <c r="O588" s="88">
        <v>0</v>
      </c>
      <c r="P588" s="32">
        <v>1</v>
      </c>
      <c r="Q588" s="32">
        <v>1</v>
      </c>
      <c r="R588" s="88">
        <v>3</v>
      </c>
      <c r="S588" s="31"/>
      <c r="T588">
        <v>1</v>
      </c>
      <c r="U588">
        <v>1</v>
      </c>
      <c r="V588">
        <v>1</v>
      </c>
      <c r="W588">
        <v>1027</v>
      </c>
      <c r="X588" s="89" t="s">
        <v>1300</v>
      </c>
      <c r="Y588" s="89"/>
      <c r="Z588" s="53">
        <v>9999</v>
      </c>
      <c r="AA588" s="53"/>
      <c r="AB588" s="53">
        <v>30</v>
      </c>
      <c r="AC588" s="53">
        <v>30</v>
      </c>
      <c r="AD588" s="53">
        <v>30</v>
      </c>
      <c r="AE588" s="94">
        <v>50</v>
      </c>
      <c r="AF588" s="94">
        <v>20</v>
      </c>
      <c r="AG588" s="94">
        <v>4000</v>
      </c>
      <c r="AH588" s="94">
        <v>50</v>
      </c>
      <c r="AI588" s="58">
        <v>0</v>
      </c>
      <c r="AJ588" s="58">
        <v>0</v>
      </c>
      <c r="AK588" s="58">
        <v>1</v>
      </c>
      <c r="AL588" s="58">
        <v>0</v>
      </c>
      <c r="AM588" s="59" t="s">
        <v>676</v>
      </c>
      <c r="AW588" s="88"/>
      <c r="AX588" s="88"/>
    </row>
    <row r="589" spans="2:50">
      <c r="B589" s="83">
        <v>5000023</v>
      </c>
      <c r="C589" s="83">
        <v>5000023</v>
      </c>
      <c r="D589" s="24" t="s">
        <v>1301</v>
      </c>
      <c r="E589" s="83" t="s">
        <v>2019</v>
      </c>
      <c r="F589" s="83"/>
      <c r="G589" s="9">
        <v>0</v>
      </c>
      <c r="H589" s="2"/>
      <c r="I589" s="2"/>
      <c r="J589" s="2"/>
      <c r="K589" s="2"/>
      <c r="L589" s="2"/>
      <c r="M589" s="17"/>
      <c r="N589" s="88">
        <v>0</v>
      </c>
      <c r="O589" s="88">
        <v>0</v>
      </c>
      <c r="P589" s="32">
        <v>1</v>
      </c>
      <c r="Q589" s="32">
        <v>1</v>
      </c>
      <c r="R589" s="88">
        <v>3</v>
      </c>
      <c r="S589" s="31"/>
      <c r="T589">
        <v>1</v>
      </c>
      <c r="U589">
        <v>1</v>
      </c>
      <c r="V589">
        <v>1</v>
      </c>
      <c r="W589">
        <v>1033</v>
      </c>
      <c r="X589" s="89" t="s">
        <v>1302</v>
      </c>
      <c r="Y589" s="89"/>
      <c r="Z589" s="53">
        <v>9999</v>
      </c>
      <c r="AA589" s="53"/>
      <c r="AB589" s="53">
        <v>30</v>
      </c>
      <c r="AC589" s="53">
        <v>30</v>
      </c>
      <c r="AD589" s="53">
        <v>30</v>
      </c>
      <c r="AE589" s="94">
        <v>50</v>
      </c>
      <c r="AF589" s="94">
        <v>20</v>
      </c>
      <c r="AG589" s="94">
        <v>4000</v>
      </c>
      <c r="AH589" s="94">
        <v>50</v>
      </c>
      <c r="AI589" s="58">
        <v>0</v>
      </c>
      <c r="AJ589" s="58">
        <v>0</v>
      </c>
      <c r="AK589" s="58">
        <v>1</v>
      </c>
      <c r="AL589" s="58">
        <v>0</v>
      </c>
      <c r="AM589" s="59" t="s">
        <v>676</v>
      </c>
      <c r="AW589" s="88"/>
      <c r="AX589" s="88"/>
    </row>
    <row r="590" s="2" customFormat="1" spans="2:54">
      <c r="B590" s="83">
        <v>5000024</v>
      </c>
      <c r="C590" s="83">
        <v>5000024</v>
      </c>
      <c r="D590" s="24" t="s">
        <v>229</v>
      </c>
      <c r="E590" s="83" t="s">
        <v>2019</v>
      </c>
      <c r="F590" s="83"/>
      <c r="G590" s="23">
        <v>0</v>
      </c>
      <c r="H590" s="2" t="s">
        <v>230</v>
      </c>
      <c r="I590" s="2" t="s">
        <v>231</v>
      </c>
      <c r="J590" s="2" t="s">
        <v>150</v>
      </c>
      <c r="K590" s="2" t="s">
        <v>136</v>
      </c>
      <c r="L590" s="2" t="s">
        <v>137</v>
      </c>
      <c r="M590" s="33" t="s">
        <v>232</v>
      </c>
      <c r="N590" s="31">
        <v>0</v>
      </c>
      <c r="O590" s="6">
        <v>0</v>
      </c>
      <c r="P590" s="32">
        <v>4</v>
      </c>
      <c r="Q590" s="32">
        <v>4</v>
      </c>
      <c r="R590" s="45">
        <v>3</v>
      </c>
      <c r="S590" s="31"/>
      <c r="T590" s="2">
        <v>2</v>
      </c>
      <c r="U590" s="2">
        <v>6</v>
      </c>
      <c r="V590" s="2">
        <v>1</v>
      </c>
      <c r="W590" s="2">
        <v>20</v>
      </c>
      <c r="X590" s="31" t="s">
        <v>234</v>
      </c>
      <c r="Y590" s="31"/>
      <c r="Z590" s="49">
        <v>610009</v>
      </c>
      <c r="AA590" s="49">
        <v>214005</v>
      </c>
      <c r="AB590" s="49">
        <v>10</v>
      </c>
      <c r="AC590" s="49">
        <v>10</v>
      </c>
      <c r="AD590" s="49">
        <v>10</v>
      </c>
      <c r="AE590" s="50">
        <v>93</v>
      </c>
      <c r="AF590" s="50">
        <v>13</v>
      </c>
      <c r="AG590" s="50">
        <v>246</v>
      </c>
      <c r="AH590" s="50">
        <v>24</v>
      </c>
      <c r="AI590" s="50">
        <v>0.0096</v>
      </c>
      <c r="AJ590" s="58">
        <v>0.006</v>
      </c>
      <c r="AK590" s="58">
        <v>1.012</v>
      </c>
      <c r="AL590" s="58" t="s">
        <v>154</v>
      </c>
      <c r="AM590" s="59" t="s">
        <v>236</v>
      </c>
      <c r="AR590" s="2">
        <v>8</v>
      </c>
      <c r="AS590" s="2" t="s">
        <v>237</v>
      </c>
      <c r="AT590" s="69" t="s">
        <v>206</v>
      </c>
      <c r="AU590" s="31" t="s">
        <v>238</v>
      </c>
      <c r="AV590" s="30" t="s">
        <v>239</v>
      </c>
      <c r="AW590" s="45"/>
      <c r="AX590" s="45">
        <v>2</v>
      </c>
      <c r="AY590" s="34">
        <v>1</v>
      </c>
      <c r="AZ590" s="2">
        <v>172</v>
      </c>
      <c r="BA590" s="2">
        <v>3</v>
      </c>
      <c r="BB590" s="2">
        <v>10009</v>
      </c>
    </row>
    <row r="591" s="2" customFormat="1" spans="2:54">
      <c r="B591" s="83">
        <v>5000025</v>
      </c>
      <c r="C591" s="83">
        <v>5000025</v>
      </c>
      <c r="D591" s="24" t="s">
        <v>240</v>
      </c>
      <c r="E591" s="83" t="s">
        <v>2019</v>
      </c>
      <c r="F591" s="83"/>
      <c r="G591" s="23">
        <v>0</v>
      </c>
      <c r="H591" s="2" t="s">
        <v>241</v>
      </c>
      <c r="I591" s="2" t="s">
        <v>242</v>
      </c>
      <c r="J591" s="2" t="s">
        <v>150</v>
      </c>
      <c r="K591" s="2" t="s">
        <v>136</v>
      </c>
      <c r="L591" s="2" t="s">
        <v>137</v>
      </c>
      <c r="M591" s="33" t="s">
        <v>243</v>
      </c>
      <c r="N591" s="31">
        <v>0</v>
      </c>
      <c r="O591" s="6">
        <v>0</v>
      </c>
      <c r="P591" s="32">
        <v>5</v>
      </c>
      <c r="Q591" s="32">
        <v>5</v>
      </c>
      <c r="R591" s="45">
        <v>3</v>
      </c>
      <c r="S591" s="31"/>
      <c r="T591" s="2">
        <v>2</v>
      </c>
      <c r="U591" s="2">
        <v>6</v>
      </c>
      <c r="V591" s="2">
        <v>1</v>
      </c>
      <c r="W591" s="2">
        <v>29</v>
      </c>
      <c r="X591" s="31" t="s">
        <v>244</v>
      </c>
      <c r="Y591" s="31"/>
      <c r="Z591" s="49">
        <v>610010</v>
      </c>
      <c r="AA591" s="49">
        <v>214005</v>
      </c>
      <c r="AB591" s="49">
        <v>10</v>
      </c>
      <c r="AC591" s="49">
        <v>10</v>
      </c>
      <c r="AD591" s="49">
        <v>10</v>
      </c>
      <c r="AE591" s="50">
        <v>85</v>
      </c>
      <c r="AF591" s="50">
        <v>12</v>
      </c>
      <c r="AG591" s="50">
        <v>278</v>
      </c>
      <c r="AH591" s="50">
        <v>22</v>
      </c>
      <c r="AI591" s="50" t="s">
        <v>154</v>
      </c>
      <c r="AJ591" s="58">
        <v>0.012</v>
      </c>
      <c r="AK591" s="58">
        <v>1.006</v>
      </c>
      <c r="AL591" s="58">
        <v>0.006</v>
      </c>
      <c r="AM591" s="59" t="s">
        <v>155</v>
      </c>
      <c r="AR591" s="2">
        <v>8</v>
      </c>
      <c r="AS591" s="2" t="s">
        <v>246</v>
      </c>
      <c r="AT591" s="69" t="s">
        <v>144</v>
      </c>
      <c r="AU591" s="31" t="s">
        <v>247</v>
      </c>
      <c r="AV591" s="30">
        <v>222</v>
      </c>
      <c r="AW591" s="45"/>
      <c r="AX591" s="45">
        <v>2</v>
      </c>
      <c r="AY591" s="34">
        <v>2</v>
      </c>
      <c r="AZ591" s="2">
        <v>205</v>
      </c>
      <c r="BA591" s="2">
        <v>3</v>
      </c>
      <c r="BB591" s="2">
        <v>10010</v>
      </c>
    </row>
    <row r="592" spans="2:50">
      <c r="B592" s="83">
        <v>5000026</v>
      </c>
      <c r="C592" s="83">
        <v>5000026</v>
      </c>
      <c r="D592" s="24" t="s">
        <v>1847</v>
      </c>
      <c r="E592" s="83" t="s">
        <v>2019</v>
      </c>
      <c r="F592" s="83"/>
      <c r="G592" s="9">
        <v>0</v>
      </c>
      <c r="H592" s="2"/>
      <c r="I592" s="2"/>
      <c r="J592" s="2"/>
      <c r="K592" s="2"/>
      <c r="L592" s="2"/>
      <c r="M592" s="88"/>
      <c r="N592" s="88">
        <v>0</v>
      </c>
      <c r="O592" s="88">
        <v>0</v>
      </c>
      <c r="P592" s="32">
        <v>1</v>
      </c>
      <c r="Q592" s="32">
        <v>1</v>
      </c>
      <c r="R592" s="88">
        <v>3</v>
      </c>
      <c r="S592" s="31" t="s">
        <v>1836</v>
      </c>
      <c r="T592">
        <v>3</v>
      </c>
      <c r="U592">
        <v>7</v>
      </c>
      <c r="V592">
        <v>2</v>
      </c>
      <c r="W592">
        <v>9</v>
      </c>
      <c r="X592" s="88" t="s">
        <v>431</v>
      </c>
      <c r="Y592" s="88"/>
      <c r="Z592" s="53">
        <v>9999</v>
      </c>
      <c r="AA592" s="53">
        <v>214005</v>
      </c>
      <c r="AB592" s="53">
        <v>30</v>
      </c>
      <c r="AC592" s="53">
        <v>30</v>
      </c>
      <c r="AD592" s="53">
        <v>30</v>
      </c>
      <c r="AE592" s="94">
        <v>147</v>
      </c>
      <c r="AF592" s="94">
        <v>10</v>
      </c>
      <c r="AG592" s="94">
        <v>169</v>
      </c>
      <c r="AH592" s="129">
        <v>10.2</v>
      </c>
      <c r="AI592" s="94">
        <v>0</v>
      </c>
      <c r="AJ592" s="94">
        <v>0</v>
      </c>
      <c r="AK592" s="94">
        <v>1</v>
      </c>
      <c r="AL592" s="94">
        <v>0</v>
      </c>
      <c r="AM592" s="98" t="s">
        <v>676</v>
      </c>
      <c r="AN592" s="3" t="s">
        <v>433</v>
      </c>
      <c r="AO592" s="3" t="s">
        <v>434</v>
      </c>
      <c r="AP592" s="3" t="s">
        <v>1848</v>
      </c>
      <c r="AQ592" s="3"/>
      <c r="AR592" s="3"/>
      <c r="AW592" s="88"/>
      <c r="AX592" s="88"/>
    </row>
    <row r="593" s="2" customFormat="1" spans="2:51">
      <c r="B593" s="23">
        <v>5000027</v>
      </c>
      <c r="C593" s="23">
        <v>5000027</v>
      </c>
      <c r="D593" s="23" t="s">
        <v>855</v>
      </c>
      <c r="E593" s="23" t="s">
        <v>2019</v>
      </c>
      <c r="F593" s="23"/>
      <c r="G593" s="23">
        <v>0</v>
      </c>
      <c r="H593" s="2" t="s">
        <v>856</v>
      </c>
      <c r="I593" s="2" t="s">
        <v>857</v>
      </c>
      <c r="J593" s="2" t="s">
        <v>162</v>
      </c>
      <c r="K593" s="2" t="s">
        <v>367</v>
      </c>
      <c r="L593" s="2" t="s">
        <v>858</v>
      </c>
      <c r="M593" s="33" t="s">
        <v>859</v>
      </c>
      <c r="N593" s="31">
        <v>0</v>
      </c>
      <c r="O593" s="2">
        <v>0</v>
      </c>
      <c r="P593" s="32">
        <v>1</v>
      </c>
      <c r="Q593" s="32">
        <v>1</v>
      </c>
      <c r="R593" s="2">
        <v>3</v>
      </c>
      <c r="S593" s="31" t="s">
        <v>711</v>
      </c>
      <c r="T593" s="2">
        <v>3</v>
      </c>
      <c r="U593" s="2">
        <v>8</v>
      </c>
      <c r="V593" s="2">
        <v>3</v>
      </c>
      <c r="W593" s="2">
        <v>66</v>
      </c>
      <c r="X593" s="31" t="s">
        <v>860</v>
      </c>
      <c r="Y593" s="31" t="s">
        <v>861</v>
      </c>
      <c r="Z593" s="49">
        <v>630022</v>
      </c>
      <c r="AA593" s="49">
        <v>215005</v>
      </c>
      <c r="AB593" s="49">
        <v>50</v>
      </c>
      <c r="AC593" s="49">
        <v>50</v>
      </c>
      <c r="AD593" s="49">
        <v>50</v>
      </c>
      <c r="AE593" s="50">
        <v>193</v>
      </c>
      <c r="AF593" s="50">
        <v>15</v>
      </c>
      <c r="AG593" s="50">
        <v>329</v>
      </c>
      <c r="AH593" s="50">
        <v>120</v>
      </c>
      <c r="AI593" s="58">
        <v>0.018</v>
      </c>
      <c r="AJ593" s="58" t="s">
        <v>154</v>
      </c>
      <c r="AK593" s="58">
        <v>1.016</v>
      </c>
      <c r="AL593" s="58" t="s">
        <v>154</v>
      </c>
      <c r="AM593" s="59" t="s">
        <v>629</v>
      </c>
      <c r="AN593" s="2" t="s">
        <v>862</v>
      </c>
      <c r="AO593" s="2" t="s">
        <v>863</v>
      </c>
      <c r="AR593" s="2">
        <v>8</v>
      </c>
      <c r="AS593" s="2" t="s">
        <v>864</v>
      </c>
      <c r="AT593" s="69"/>
      <c r="AU593" s="31"/>
      <c r="AV593" s="30"/>
      <c r="AW593" s="31"/>
      <c r="AX593" s="31">
        <v>2</v>
      </c>
      <c r="AY593" s="34"/>
    </row>
    <row r="594" s="5" customFormat="1" spans="2:51">
      <c r="B594" s="23">
        <v>5000028</v>
      </c>
      <c r="C594" s="83">
        <v>5000028</v>
      </c>
      <c r="D594" s="9" t="s">
        <v>865</v>
      </c>
      <c r="E594" s="83" t="s">
        <v>2019</v>
      </c>
      <c r="F594" s="83"/>
      <c r="G594" s="28">
        <v>0</v>
      </c>
      <c r="H594" s="2" t="s">
        <v>866</v>
      </c>
      <c r="I594" s="2" t="s">
        <v>867</v>
      </c>
      <c r="J594" s="2" t="s">
        <v>262</v>
      </c>
      <c r="K594" s="2" t="s">
        <v>367</v>
      </c>
      <c r="L594" s="2" t="s">
        <v>137</v>
      </c>
      <c r="M594" s="40" t="s">
        <v>868</v>
      </c>
      <c r="N594" s="88">
        <v>0</v>
      </c>
      <c r="O594" s="5">
        <v>0</v>
      </c>
      <c r="P594" s="42">
        <v>5</v>
      </c>
      <c r="Q594" s="42">
        <v>5</v>
      </c>
      <c r="R594" s="5">
        <v>3</v>
      </c>
      <c r="S594" s="31" t="s">
        <v>711</v>
      </c>
      <c r="T594" s="5">
        <v>3</v>
      </c>
      <c r="U594" s="5">
        <v>8</v>
      </c>
      <c r="V594" s="5">
        <v>3</v>
      </c>
      <c r="W594" s="5">
        <v>67</v>
      </c>
      <c r="X594" s="41" t="s">
        <v>869</v>
      </c>
      <c r="Y594" s="41" t="s">
        <v>870</v>
      </c>
      <c r="Z594" s="54">
        <v>630023</v>
      </c>
      <c r="AA594" s="54">
        <v>215005</v>
      </c>
      <c r="AB594" s="54">
        <v>50</v>
      </c>
      <c r="AC594" s="54">
        <v>50</v>
      </c>
      <c r="AD594" s="54">
        <v>50</v>
      </c>
      <c r="AE594" s="55">
        <v>223</v>
      </c>
      <c r="AF594" s="55">
        <v>15</v>
      </c>
      <c r="AG594" s="55">
        <v>251</v>
      </c>
      <c r="AH594" s="55">
        <v>120</v>
      </c>
      <c r="AI594" s="62">
        <v>0.018</v>
      </c>
      <c r="AJ594" s="62" t="s">
        <v>154</v>
      </c>
      <c r="AK594" s="62">
        <v>1.016</v>
      </c>
      <c r="AL594" s="62" t="s">
        <v>154</v>
      </c>
      <c r="AM594" s="63" t="s">
        <v>629</v>
      </c>
      <c r="AN594" s="5" t="s">
        <v>871</v>
      </c>
      <c r="AO594" s="5" t="s">
        <v>872</v>
      </c>
      <c r="AR594" s="5">
        <v>8</v>
      </c>
      <c r="AS594" s="5" t="s">
        <v>873</v>
      </c>
      <c r="AT594" s="72"/>
      <c r="AU594" s="41"/>
      <c r="AV594" s="73"/>
      <c r="AW594" s="41"/>
      <c r="AX594" s="41">
        <v>2</v>
      </c>
      <c r="AY594" s="78"/>
    </row>
    <row r="595" spans="2:50">
      <c r="B595" s="23">
        <v>5000029</v>
      </c>
      <c r="C595" s="83">
        <v>5000029</v>
      </c>
      <c r="D595" s="24" t="s">
        <v>1307</v>
      </c>
      <c r="E595" s="83" t="s">
        <v>2019</v>
      </c>
      <c r="F595" s="83"/>
      <c r="G595" s="9">
        <v>0</v>
      </c>
      <c r="H595" s="2"/>
      <c r="I595" s="2"/>
      <c r="J595" s="2"/>
      <c r="K595" s="2"/>
      <c r="L595" s="2"/>
      <c r="M595" s="88"/>
      <c r="N595" s="88">
        <v>0</v>
      </c>
      <c r="O595" s="88">
        <v>0</v>
      </c>
      <c r="P595" s="32">
        <v>1</v>
      </c>
      <c r="Q595" s="32">
        <v>1</v>
      </c>
      <c r="R595" s="88">
        <v>3</v>
      </c>
      <c r="S595" s="31"/>
      <c r="T595">
        <v>1</v>
      </c>
      <c r="U595">
        <v>1</v>
      </c>
      <c r="V595">
        <v>1</v>
      </c>
      <c r="W595">
        <v>1026</v>
      </c>
      <c r="X595" s="89" t="s">
        <v>1288</v>
      </c>
      <c r="Y595" s="89"/>
      <c r="Z595" s="53">
        <v>9999</v>
      </c>
      <c r="AA595" s="53"/>
      <c r="AB595" s="53">
        <v>30</v>
      </c>
      <c r="AC595" s="53">
        <v>30</v>
      </c>
      <c r="AD595" s="53">
        <v>30</v>
      </c>
      <c r="AE595" s="94">
        <v>50</v>
      </c>
      <c r="AF595" s="94">
        <v>20</v>
      </c>
      <c r="AG595" s="94">
        <v>4000</v>
      </c>
      <c r="AH595" s="94">
        <v>50</v>
      </c>
      <c r="AI595" s="94">
        <v>0</v>
      </c>
      <c r="AJ595" s="94">
        <v>0</v>
      </c>
      <c r="AK595" s="94">
        <v>1</v>
      </c>
      <c r="AL595" s="94">
        <v>0</v>
      </c>
      <c r="AM595" s="98" t="s">
        <v>676</v>
      </c>
      <c r="AW595" s="88"/>
      <c r="AX595" s="88"/>
    </row>
    <row r="596" spans="2:50">
      <c r="B596" s="23">
        <v>5000030</v>
      </c>
      <c r="C596" s="83">
        <v>5000030</v>
      </c>
      <c r="D596" s="24" t="s">
        <v>1310</v>
      </c>
      <c r="E596" s="83" t="s">
        <v>2019</v>
      </c>
      <c r="F596" s="83"/>
      <c r="G596" s="9">
        <v>0</v>
      </c>
      <c r="H596" s="2"/>
      <c r="I596" s="2"/>
      <c r="J596" s="2"/>
      <c r="K596" s="2"/>
      <c r="L596" s="2"/>
      <c r="M596" s="88"/>
      <c r="N596" s="88">
        <v>0</v>
      </c>
      <c r="O596" s="88">
        <v>0</v>
      </c>
      <c r="P596" s="32">
        <v>1</v>
      </c>
      <c r="Q596" s="32">
        <v>1</v>
      </c>
      <c r="R596" s="88">
        <v>3</v>
      </c>
      <c r="S596" s="31"/>
      <c r="T596">
        <v>1</v>
      </c>
      <c r="U596">
        <v>1</v>
      </c>
      <c r="V596">
        <v>1</v>
      </c>
      <c r="W596">
        <v>1030</v>
      </c>
      <c r="X596" s="89" t="s">
        <v>1309</v>
      </c>
      <c r="Y596" s="89"/>
      <c r="Z596" s="53">
        <v>9999</v>
      </c>
      <c r="AA596" s="53"/>
      <c r="AB596" s="53">
        <v>30</v>
      </c>
      <c r="AC596" s="53">
        <v>30</v>
      </c>
      <c r="AD596" s="53">
        <v>30</v>
      </c>
      <c r="AE596" s="94">
        <v>50</v>
      </c>
      <c r="AF596" s="94">
        <v>20</v>
      </c>
      <c r="AG596" s="94">
        <v>4000</v>
      </c>
      <c r="AH596" s="94">
        <v>50</v>
      </c>
      <c r="AI596" s="94">
        <v>0</v>
      </c>
      <c r="AJ596" s="94">
        <v>0</v>
      </c>
      <c r="AK596" s="94">
        <v>1</v>
      </c>
      <c r="AL596" s="94">
        <v>0</v>
      </c>
      <c r="AM596" s="98" t="s">
        <v>676</v>
      </c>
      <c r="AW596" s="88"/>
      <c r="AX596" s="88"/>
    </row>
    <row r="597" spans="2:50">
      <c r="B597" s="23">
        <v>5000031</v>
      </c>
      <c r="C597" s="83">
        <v>5000031</v>
      </c>
      <c r="D597" s="24" t="s">
        <v>1308</v>
      </c>
      <c r="E597" s="83" t="s">
        <v>2019</v>
      </c>
      <c r="F597" s="83"/>
      <c r="G597" s="9">
        <v>0</v>
      </c>
      <c r="H597" s="2"/>
      <c r="I597" s="2"/>
      <c r="J597" s="2"/>
      <c r="K597" s="2"/>
      <c r="L597" s="2"/>
      <c r="M597" s="88"/>
      <c r="N597" s="88">
        <v>0</v>
      </c>
      <c r="O597" s="88">
        <v>0</v>
      </c>
      <c r="P597" s="32">
        <v>1</v>
      </c>
      <c r="Q597" s="32">
        <v>1</v>
      </c>
      <c r="R597" s="88">
        <v>3</v>
      </c>
      <c r="S597" s="31"/>
      <c r="T597">
        <v>1</v>
      </c>
      <c r="U597">
        <v>1</v>
      </c>
      <c r="V597">
        <v>1</v>
      </c>
      <c r="W597">
        <v>1029</v>
      </c>
      <c r="X597" s="89" t="s">
        <v>1309</v>
      </c>
      <c r="Y597" s="89"/>
      <c r="Z597" s="53">
        <v>9999</v>
      </c>
      <c r="AA597" s="53"/>
      <c r="AB597" s="53">
        <v>30</v>
      </c>
      <c r="AC597" s="53">
        <v>30</v>
      </c>
      <c r="AD597" s="53">
        <v>30</v>
      </c>
      <c r="AE597" s="94">
        <v>50</v>
      </c>
      <c r="AF597" s="94">
        <v>20</v>
      </c>
      <c r="AG597" s="94">
        <v>4000</v>
      </c>
      <c r="AH597" s="94">
        <v>50</v>
      </c>
      <c r="AI597" s="94">
        <v>0</v>
      </c>
      <c r="AJ597" s="94">
        <v>0</v>
      </c>
      <c r="AK597" s="94">
        <v>1</v>
      </c>
      <c r="AL597" s="94">
        <v>0</v>
      </c>
      <c r="AM597" s="98" t="s">
        <v>676</v>
      </c>
      <c r="AW597" s="88"/>
      <c r="AX597" s="88"/>
    </row>
    <row r="598" s="9" customFormat="1" spans="2:51">
      <c r="B598" s="23">
        <v>5000032</v>
      </c>
      <c r="C598" s="83">
        <v>5000032</v>
      </c>
      <c r="D598" s="9" t="s">
        <v>1889</v>
      </c>
      <c r="E598" s="83" t="s">
        <v>2019</v>
      </c>
      <c r="F598" s="83"/>
      <c r="G598" s="9">
        <v>0</v>
      </c>
      <c r="H598" s="2"/>
      <c r="I598" s="2"/>
      <c r="J598" s="2"/>
      <c r="K598" s="2"/>
      <c r="L598" s="2"/>
      <c r="N598" s="88">
        <v>0</v>
      </c>
      <c r="O598" s="88">
        <v>0</v>
      </c>
      <c r="P598" s="32">
        <v>1</v>
      </c>
      <c r="Q598" s="32">
        <v>1</v>
      </c>
      <c r="R598" s="88">
        <v>5</v>
      </c>
      <c r="S598" s="31" t="s">
        <v>558</v>
      </c>
      <c r="T598" s="88">
        <v>1</v>
      </c>
      <c r="U598" s="88">
        <v>1</v>
      </c>
      <c r="V598" s="88">
        <v>1</v>
      </c>
      <c r="W598" s="9">
        <v>30002</v>
      </c>
      <c r="X598" s="89" t="s">
        <v>1513</v>
      </c>
      <c r="Y598" s="89"/>
      <c r="Z598" s="53">
        <v>9999</v>
      </c>
      <c r="AA598" s="53"/>
      <c r="AB598" s="53">
        <v>30</v>
      </c>
      <c r="AC598" s="53">
        <v>30</v>
      </c>
      <c r="AD598" s="53">
        <v>30</v>
      </c>
      <c r="AE598" s="94">
        <v>50</v>
      </c>
      <c r="AF598" s="94">
        <v>20</v>
      </c>
      <c r="AG598" s="94">
        <v>4000</v>
      </c>
      <c r="AH598" s="94">
        <v>50</v>
      </c>
      <c r="AI598" s="94">
        <v>0</v>
      </c>
      <c r="AJ598" s="94">
        <v>0</v>
      </c>
      <c r="AK598" s="94">
        <v>1</v>
      </c>
      <c r="AL598" s="94">
        <v>0</v>
      </c>
      <c r="AM598" s="98" t="s">
        <v>676</v>
      </c>
      <c r="AS598" s="17"/>
      <c r="AT598" s="17"/>
      <c r="AU598" s="17"/>
      <c r="AV598" s="18"/>
      <c r="AW598" s="88"/>
      <c r="AX598" s="88"/>
      <c r="AY598" s="13"/>
    </row>
    <row r="599" spans="2:46">
      <c r="B599" s="23">
        <v>5000033</v>
      </c>
      <c r="C599" s="83">
        <v>5000033</v>
      </c>
      <c r="D599" s="9" t="s">
        <v>1512</v>
      </c>
      <c r="E599" s="83" t="s">
        <v>2019</v>
      </c>
      <c r="F599" s="83"/>
      <c r="G599">
        <v>0</v>
      </c>
      <c r="H599" s="2" t="s">
        <v>668</v>
      </c>
      <c r="I599" s="2" t="s">
        <v>669</v>
      </c>
      <c r="J599" s="2" t="s">
        <v>670</v>
      </c>
      <c r="K599" s="2" t="s">
        <v>671</v>
      </c>
      <c r="L599" s="2" t="s">
        <v>1879</v>
      </c>
      <c r="N599">
        <v>0</v>
      </c>
      <c r="O599">
        <v>0</v>
      </c>
      <c r="P599" s="13">
        <v>3</v>
      </c>
      <c r="Q599" s="14">
        <v>3</v>
      </c>
      <c r="R599">
        <v>3</v>
      </c>
      <c r="S599" s="31" t="s">
        <v>558</v>
      </c>
      <c r="T599">
        <v>3</v>
      </c>
      <c r="U599">
        <v>8</v>
      </c>
      <c r="V599">
        <v>3</v>
      </c>
      <c r="W599">
        <v>53</v>
      </c>
      <c r="X599" t="s">
        <v>674</v>
      </c>
      <c r="Y599" t="s">
        <v>675</v>
      </c>
      <c r="Z599" s="53">
        <v>9999</v>
      </c>
      <c r="AA599">
        <v>215005</v>
      </c>
      <c r="AB599">
        <v>50</v>
      </c>
      <c r="AC599">
        <v>50</v>
      </c>
      <c r="AD599">
        <v>50</v>
      </c>
      <c r="AE599" s="15">
        <v>160</v>
      </c>
      <c r="AF599" s="15">
        <v>22</v>
      </c>
      <c r="AG599" s="15">
        <v>313</v>
      </c>
      <c r="AH599" s="15">
        <v>95</v>
      </c>
      <c r="AI599" s="15">
        <v>0</v>
      </c>
      <c r="AJ599" s="15">
        <v>0</v>
      </c>
      <c r="AK599" s="15">
        <v>1</v>
      </c>
      <c r="AL599" s="15">
        <v>0</v>
      </c>
      <c r="AM599" s="16" t="s">
        <v>676</v>
      </c>
      <c r="AN599" s="5"/>
      <c r="AO599" s="5"/>
      <c r="AR599">
        <v>8</v>
      </c>
      <c r="AS599" s="17" t="s">
        <v>1880</v>
      </c>
      <c r="AT599" s="17" t="s">
        <v>169</v>
      </c>
    </row>
    <row r="600" spans="2:45">
      <c r="B600" s="23">
        <v>5000034</v>
      </c>
      <c r="C600" s="83">
        <v>5000034</v>
      </c>
      <c r="D600" s="24" t="s">
        <v>562</v>
      </c>
      <c r="E600" s="83" t="s">
        <v>2019</v>
      </c>
      <c r="F600" s="83"/>
      <c r="G600">
        <v>0</v>
      </c>
      <c r="H600" s="2"/>
      <c r="I600" s="2"/>
      <c r="J600" s="2"/>
      <c r="K600" s="2"/>
      <c r="L600" s="2"/>
      <c r="N600" s="88">
        <v>0</v>
      </c>
      <c r="O600" s="88">
        <v>0</v>
      </c>
      <c r="P600" s="13">
        <v>3</v>
      </c>
      <c r="Q600" s="14">
        <v>3</v>
      </c>
      <c r="R600">
        <v>5</v>
      </c>
      <c r="S600" s="31" t="s">
        <v>558</v>
      </c>
      <c r="T600">
        <v>3</v>
      </c>
      <c r="U600">
        <v>7</v>
      </c>
      <c r="V600">
        <v>2</v>
      </c>
      <c r="W600">
        <v>51</v>
      </c>
      <c r="X600" t="s">
        <v>1864</v>
      </c>
      <c r="Z600" s="53">
        <v>9999</v>
      </c>
      <c r="AA600">
        <v>214005</v>
      </c>
      <c r="AB600">
        <v>30</v>
      </c>
      <c r="AC600">
        <v>30</v>
      </c>
      <c r="AD600">
        <v>30</v>
      </c>
      <c r="AE600" s="15">
        <v>119</v>
      </c>
      <c r="AF600" s="15">
        <v>11</v>
      </c>
      <c r="AG600" s="15">
        <v>228</v>
      </c>
      <c r="AH600" s="15">
        <v>2.9</v>
      </c>
      <c r="AI600" s="15">
        <v>0</v>
      </c>
      <c r="AJ600" s="15">
        <v>0</v>
      </c>
      <c r="AK600" s="15">
        <v>1</v>
      </c>
      <c r="AL600" s="15">
        <v>0</v>
      </c>
      <c r="AM600" s="16" t="s">
        <v>676</v>
      </c>
      <c r="AN600" s="3"/>
      <c r="AO600" s="3"/>
      <c r="AP600" s="3"/>
      <c r="AQ600" s="3"/>
      <c r="AR600" s="3"/>
      <c r="AS600" s="17" t="s">
        <v>1858</v>
      </c>
    </row>
    <row r="601" spans="2:45">
      <c r="B601" s="23">
        <v>5000035</v>
      </c>
      <c r="C601" s="83">
        <v>5000035</v>
      </c>
      <c r="D601" s="24" t="s">
        <v>572</v>
      </c>
      <c r="E601" s="83" t="s">
        <v>2019</v>
      </c>
      <c r="F601" s="83"/>
      <c r="G601">
        <v>1</v>
      </c>
      <c r="H601" s="2"/>
      <c r="I601" s="2"/>
      <c r="J601" s="2"/>
      <c r="K601" s="2"/>
      <c r="L601" s="2"/>
      <c r="N601" s="88">
        <v>0</v>
      </c>
      <c r="O601" s="88">
        <v>0</v>
      </c>
      <c r="P601" s="13">
        <v>3</v>
      </c>
      <c r="Q601" s="14">
        <v>3</v>
      </c>
      <c r="R601">
        <v>5</v>
      </c>
      <c r="S601" s="31" t="s">
        <v>558</v>
      </c>
      <c r="T601">
        <v>3</v>
      </c>
      <c r="U601">
        <v>7</v>
      </c>
      <c r="V601">
        <v>2</v>
      </c>
      <c r="W601">
        <v>25</v>
      </c>
      <c r="X601" t="s">
        <v>1865</v>
      </c>
      <c r="Z601" s="53">
        <v>9999</v>
      </c>
      <c r="AA601">
        <v>214005</v>
      </c>
      <c r="AB601">
        <v>30</v>
      </c>
      <c r="AC601">
        <v>30</v>
      </c>
      <c r="AD601">
        <v>30</v>
      </c>
      <c r="AE601" s="15">
        <v>147</v>
      </c>
      <c r="AF601" s="15">
        <v>7</v>
      </c>
      <c r="AG601" s="15">
        <v>207</v>
      </c>
      <c r="AH601" s="15">
        <v>3.4</v>
      </c>
      <c r="AI601" s="15">
        <v>0</v>
      </c>
      <c r="AJ601" s="15">
        <v>0</v>
      </c>
      <c r="AK601" s="15">
        <v>1</v>
      </c>
      <c r="AL601" s="15">
        <v>0</v>
      </c>
      <c r="AM601" s="16" t="s">
        <v>676</v>
      </c>
      <c r="AN601" s="3"/>
      <c r="AO601" s="3"/>
      <c r="AP601" s="3"/>
      <c r="AQ601" s="3"/>
      <c r="AR601" s="3"/>
      <c r="AS601" s="17" t="s">
        <v>1858</v>
      </c>
    </row>
    <row r="602" spans="2:50">
      <c r="B602" s="23">
        <v>5000036</v>
      </c>
      <c r="C602" s="83">
        <v>5000036</v>
      </c>
      <c r="D602" s="24" t="s">
        <v>680</v>
      </c>
      <c r="E602" s="83" t="s">
        <v>2019</v>
      </c>
      <c r="F602" s="83"/>
      <c r="G602" s="9">
        <v>0</v>
      </c>
      <c r="H602" s="2" t="s">
        <v>1881</v>
      </c>
      <c r="I602" s="2"/>
      <c r="J602" s="2"/>
      <c r="K602" s="2"/>
      <c r="L602" s="2"/>
      <c r="M602" s="88"/>
      <c r="N602" s="88">
        <v>0</v>
      </c>
      <c r="O602">
        <v>0</v>
      </c>
      <c r="P602" s="32">
        <v>1</v>
      </c>
      <c r="Q602" s="32">
        <v>1</v>
      </c>
      <c r="R602" s="88">
        <v>5</v>
      </c>
      <c r="S602" s="31" t="s">
        <v>736</v>
      </c>
      <c r="T602">
        <v>3</v>
      </c>
      <c r="U602">
        <v>8</v>
      </c>
      <c r="V602">
        <v>3</v>
      </c>
      <c r="W602">
        <v>39</v>
      </c>
      <c r="X602" s="88" t="s">
        <v>687</v>
      </c>
      <c r="Y602" s="88"/>
      <c r="Z602" s="53">
        <v>9999</v>
      </c>
      <c r="AA602" s="53">
        <v>215005</v>
      </c>
      <c r="AB602" s="53">
        <v>50</v>
      </c>
      <c r="AC602" s="53">
        <v>50</v>
      </c>
      <c r="AD602" s="53">
        <v>50</v>
      </c>
      <c r="AE602" s="94">
        <v>345</v>
      </c>
      <c r="AF602" s="94">
        <v>16</v>
      </c>
      <c r="AG602" s="94">
        <v>179</v>
      </c>
      <c r="AH602" s="132">
        <v>3.2</v>
      </c>
      <c r="AI602" s="94">
        <v>0</v>
      </c>
      <c r="AJ602" s="94">
        <v>0</v>
      </c>
      <c r="AK602" s="94">
        <v>1</v>
      </c>
      <c r="AL602" s="94">
        <v>0</v>
      </c>
      <c r="AM602" s="98" t="s">
        <v>676</v>
      </c>
      <c r="AN602" s="5" t="s">
        <v>690</v>
      </c>
      <c r="AO602" s="5" t="s">
        <v>691</v>
      </c>
      <c r="AW602" s="88"/>
      <c r="AX602" s="88"/>
    </row>
    <row r="603" spans="2:50">
      <c r="B603" s="23">
        <v>5000037</v>
      </c>
      <c r="C603" s="83">
        <v>5000037</v>
      </c>
      <c r="D603" s="24" t="s">
        <v>1307</v>
      </c>
      <c r="E603" s="83" t="s">
        <v>2019</v>
      </c>
      <c r="F603" s="83"/>
      <c r="G603" s="9">
        <v>0</v>
      </c>
      <c r="H603" s="2"/>
      <c r="I603" s="2"/>
      <c r="J603" s="2"/>
      <c r="K603" s="2"/>
      <c r="L603" s="2"/>
      <c r="M603" s="88"/>
      <c r="N603" s="88">
        <v>0</v>
      </c>
      <c r="O603" s="88">
        <v>0</v>
      </c>
      <c r="P603" s="32">
        <v>1</v>
      </c>
      <c r="Q603" s="32">
        <v>1</v>
      </c>
      <c r="R603" s="88">
        <v>3</v>
      </c>
      <c r="S603" s="31"/>
      <c r="T603">
        <v>1</v>
      </c>
      <c r="U603">
        <v>1</v>
      </c>
      <c r="V603">
        <v>1</v>
      </c>
      <c r="W603">
        <v>1026</v>
      </c>
      <c r="X603" s="89" t="s">
        <v>1288</v>
      </c>
      <c r="Y603" s="89"/>
      <c r="Z603" s="53">
        <v>9999</v>
      </c>
      <c r="AA603" s="53"/>
      <c r="AB603" s="53">
        <v>30</v>
      </c>
      <c r="AC603" s="53">
        <v>30</v>
      </c>
      <c r="AD603" s="53">
        <v>30</v>
      </c>
      <c r="AE603" s="94">
        <v>50</v>
      </c>
      <c r="AF603" s="94">
        <v>20</v>
      </c>
      <c r="AG603" s="94">
        <v>4000</v>
      </c>
      <c r="AH603" s="94">
        <v>50</v>
      </c>
      <c r="AI603" s="94">
        <v>0</v>
      </c>
      <c r="AJ603" s="94">
        <v>0</v>
      </c>
      <c r="AK603" s="94">
        <v>1</v>
      </c>
      <c r="AL603" s="94">
        <v>0</v>
      </c>
      <c r="AM603" s="98" t="s">
        <v>676</v>
      </c>
      <c r="AW603" s="88"/>
      <c r="AX603" s="88"/>
    </row>
    <row r="604" spans="2:50">
      <c r="B604" s="23">
        <v>5000038</v>
      </c>
      <c r="C604" s="83">
        <v>5000038</v>
      </c>
      <c r="D604" s="24" t="s">
        <v>2020</v>
      </c>
      <c r="E604" s="83" t="s">
        <v>2019</v>
      </c>
      <c r="F604" s="83"/>
      <c r="G604" s="9">
        <v>0</v>
      </c>
      <c r="H604" s="2"/>
      <c r="I604" s="2"/>
      <c r="J604" s="2"/>
      <c r="K604" s="2"/>
      <c r="L604" s="2"/>
      <c r="M604" s="88"/>
      <c r="N604" s="88">
        <v>0</v>
      </c>
      <c r="O604" s="88">
        <v>0</v>
      </c>
      <c r="P604" s="32">
        <v>1</v>
      </c>
      <c r="Q604" s="32">
        <v>1</v>
      </c>
      <c r="R604" s="88">
        <v>3</v>
      </c>
      <c r="S604" s="31"/>
      <c r="T604">
        <v>1</v>
      </c>
      <c r="U604">
        <v>1</v>
      </c>
      <c r="V604">
        <v>1</v>
      </c>
      <c r="W604">
        <v>1030</v>
      </c>
      <c r="X604" s="89" t="s">
        <v>1309</v>
      </c>
      <c r="Y604" s="89"/>
      <c r="Z604" s="53">
        <v>9999</v>
      </c>
      <c r="AA604" s="53"/>
      <c r="AB604" s="53">
        <v>30</v>
      </c>
      <c r="AC604" s="53">
        <v>30</v>
      </c>
      <c r="AD604" s="53">
        <v>30</v>
      </c>
      <c r="AE604" s="94">
        <v>50</v>
      </c>
      <c r="AF604" s="94">
        <v>20</v>
      </c>
      <c r="AG604" s="94">
        <v>4000</v>
      </c>
      <c r="AH604" s="94">
        <v>50</v>
      </c>
      <c r="AI604" s="94">
        <v>0</v>
      </c>
      <c r="AJ604" s="94">
        <v>0</v>
      </c>
      <c r="AK604" s="94">
        <v>1</v>
      </c>
      <c r="AL604" s="94">
        <v>0</v>
      </c>
      <c r="AM604" s="98" t="s">
        <v>676</v>
      </c>
      <c r="AW604" s="88"/>
      <c r="AX604" s="88"/>
    </row>
    <row r="605" spans="2:50">
      <c r="B605" s="23">
        <v>5000039</v>
      </c>
      <c r="C605" s="83">
        <v>5000039</v>
      </c>
      <c r="D605" s="24" t="s">
        <v>1308</v>
      </c>
      <c r="E605" s="83" t="s">
        <v>2019</v>
      </c>
      <c r="F605" s="83"/>
      <c r="G605" s="9">
        <v>0</v>
      </c>
      <c r="H605" s="2"/>
      <c r="I605" s="2"/>
      <c r="J605" s="2"/>
      <c r="K605" s="2"/>
      <c r="L605" s="2"/>
      <c r="M605" s="88"/>
      <c r="N605" s="88">
        <v>0</v>
      </c>
      <c r="O605" s="88">
        <v>0</v>
      </c>
      <c r="P605" s="32">
        <v>1</v>
      </c>
      <c r="Q605" s="32">
        <v>1</v>
      </c>
      <c r="R605" s="88">
        <v>3</v>
      </c>
      <c r="S605" s="31"/>
      <c r="T605">
        <v>1</v>
      </c>
      <c r="U605">
        <v>1</v>
      </c>
      <c r="V605">
        <v>1</v>
      </c>
      <c r="W605">
        <v>1029</v>
      </c>
      <c r="X605" s="89" t="s">
        <v>1309</v>
      </c>
      <c r="Y605" s="89"/>
      <c r="Z605" s="53">
        <v>9999</v>
      </c>
      <c r="AA605" s="53"/>
      <c r="AB605" s="53">
        <v>30</v>
      </c>
      <c r="AC605" s="53">
        <v>30</v>
      </c>
      <c r="AD605" s="53">
        <v>30</v>
      </c>
      <c r="AE605" s="94">
        <v>50</v>
      </c>
      <c r="AF605" s="94">
        <v>20</v>
      </c>
      <c r="AG605" s="94">
        <v>4000</v>
      </c>
      <c r="AH605" s="94">
        <v>50</v>
      </c>
      <c r="AI605" s="94">
        <v>0</v>
      </c>
      <c r="AJ605" s="94">
        <v>0</v>
      </c>
      <c r="AK605" s="94">
        <v>1</v>
      </c>
      <c r="AL605" s="94">
        <v>0</v>
      </c>
      <c r="AM605" s="98" t="s">
        <v>676</v>
      </c>
      <c r="AW605" s="88"/>
      <c r="AX605" s="88"/>
    </row>
    <row r="606" spans="2:51">
      <c r="B606" s="23">
        <v>5000040</v>
      </c>
      <c r="C606" s="83">
        <v>5000040</v>
      </c>
      <c r="D606" s="9" t="s">
        <v>811</v>
      </c>
      <c r="E606" s="83" t="s">
        <v>2019</v>
      </c>
      <c r="F606" s="83"/>
      <c r="G606" s="9">
        <v>0</v>
      </c>
      <c r="H606" s="2" t="s">
        <v>812</v>
      </c>
      <c r="I606" s="2"/>
      <c r="J606" s="2"/>
      <c r="K606" s="2"/>
      <c r="L606" s="2"/>
      <c r="M606" s="9" t="s">
        <v>805</v>
      </c>
      <c r="N606" s="88">
        <v>0</v>
      </c>
      <c r="O606">
        <v>0</v>
      </c>
      <c r="P606" s="32">
        <v>1</v>
      </c>
      <c r="Q606" s="32">
        <v>1</v>
      </c>
      <c r="R606" s="9">
        <v>8</v>
      </c>
      <c r="S606" s="31" t="s">
        <v>300</v>
      </c>
      <c r="T606">
        <v>3</v>
      </c>
      <c r="U606">
        <v>8</v>
      </c>
      <c r="V606" s="9">
        <v>3</v>
      </c>
      <c r="W606" s="9">
        <v>62</v>
      </c>
      <c r="X606" s="9" t="s">
        <v>818</v>
      </c>
      <c r="Y606" s="88" t="s">
        <v>819</v>
      </c>
      <c r="Z606" s="53">
        <v>630018</v>
      </c>
      <c r="AA606" s="53">
        <v>215005</v>
      </c>
      <c r="AB606" s="53">
        <v>50</v>
      </c>
      <c r="AC606" s="53">
        <v>50</v>
      </c>
      <c r="AD606" s="53">
        <v>50</v>
      </c>
      <c r="AE606" s="94">
        <v>171</v>
      </c>
      <c r="AF606" s="94">
        <v>16</v>
      </c>
      <c r="AG606" s="94">
        <v>365</v>
      </c>
      <c r="AH606" s="132">
        <v>89</v>
      </c>
      <c r="AI606" s="94" t="s">
        <v>154</v>
      </c>
      <c r="AJ606" s="94">
        <v>0.02</v>
      </c>
      <c r="AK606" s="94">
        <v>1.01</v>
      </c>
      <c r="AL606" s="94">
        <v>0.01</v>
      </c>
      <c r="AM606" s="98" t="s">
        <v>607</v>
      </c>
      <c r="AN606" t="s">
        <v>808</v>
      </c>
      <c r="AO606" t="s">
        <v>809</v>
      </c>
      <c r="AP606" s="5"/>
      <c r="AQ606" s="5"/>
      <c r="AR606" s="5">
        <v>8</v>
      </c>
      <c r="AS606" s="116" t="s">
        <v>810</v>
      </c>
      <c r="AT606" s="116"/>
      <c r="AU606" s="116"/>
      <c r="AV606" s="118"/>
      <c r="AW606" s="9"/>
      <c r="AX606" s="9"/>
      <c r="AY606" s="117"/>
    </row>
    <row r="607" s="5" customFormat="1" spans="2:51">
      <c r="B607" s="23">
        <v>5000041</v>
      </c>
      <c r="C607" s="83">
        <v>5000041</v>
      </c>
      <c r="D607" s="24" t="s">
        <v>718</v>
      </c>
      <c r="E607" s="83" t="s">
        <v>2019</v>
      </c>
      <c r="F607" s="83"/>
      <c r="G607" s="5">
        <v>0</v>
      </c>
      <c r="H607" s="2"/>
      <c r="I607" s="2"/>
      <c r="J607" s="2"/>
      <c r="K607" s="2"/>
      <c r="L607" s="2"/>
      <c r="N607" s="88">
        <v>0</v>
      </c>
      <c r="O607" s="5">
        <v>0</v>
      </c>
      <c r="P607" s="13">
        <v>2</v>
      </c>
      <c r="Q607" s="13">
        <v>2</v>
      </c>
      <c r="R607" s="5">
        <v>2</v>
      </c>
      <c r="S607" s="31" t="s">
        <v>139</v>
      </c>
      <c r="T607" s="5">
        <v>3</v>
      </c>
      <c r="U607" s="5">
        <v>8</v>
      </c>
      <c r="V607" s="5">
        <v>3</v>
      </c>
      <c r="W607" s="5">
        <v>40</v>
      </c>
      <c r="X607" s="5" t="s">
        <v>725</v>
      </c>
      <c r="Z607" s="53">
        <v>9999</v>
      </c>
      <c r="AA607" s="5">
        <v>215005</v>
      </c>
      <c r="AB607" s="5">
        <v>50</v>
      </c>
      <c r="AC607" s="5">
        <v>50</v>
      </c>
      <c r="AD607" s="5">
        <v>50</v>
      </c>
      <c r="AE607" s="13">
        <v>150</v>
      </c>
      <c r="AF607" s="13">
        <v>19</v>
      </c>
      <c r="AG607" s="13">
        <v>381</v>
      </c>
      <c r="AH607" s="13">
        <v>75</v>
      </c>
      <c r="AI607" s="13">
        <v>0.016</v>
      </c>
      <c r="AJ607" s="13">
        <v>0.01</v>
      </c>
      <c r="AK607" s="13">
        <v>1.02</v>
      </c>
      <c r="AL607" s="13" t="s">
        <v>154</v>
      </c>
      <c r="AM607" s="5" t="s">
        <v>727</v>
      </c>
      <c r="AN607" s="5" t="s">
        <v>728</v>
      </c>
      <c r="AO607" s="5" t="s">
        <v>729</v>
      </c>
      <c r="AS607" s="5" t="s">
        <v>1878</v>
      </c>
      <c r="AT607" s="5" t="s">
        <v>169</v>
      </c>
      <c r="AY607" s="13"/>
    </row>
    <row r="608" spans="2:50">
      <c r="B608" s="23">
        <v>5000042</v>
      </c>
      <c r="C608" s="83">
        <v>5000042</v>
      </c>
      <c r="D608" s="24" t="s">
        <v>1307</v>
      </c>
      <c r="E608" s="83" t="s">
        <v>2019</v>
      </c>
      <c r="F608" s="83"/>
      <c r="G608" s="9">
        <v>0</v>
      </c>
      <c r="H608" s="2"/>
      <c r="I608" s="2"/>
      <c r="J608" s="2"/>
      <c r="K608" s="2"/>
      <c r="L608" s="2"/>
      <c r="M608" s="88"/>
      <c r="N608" s="88">
        <v>0</v>
      </c>
      <c r="O608" s="88">
        <v>0</v>
      </c>
      <c r="P608" s="32">
        <v>1</v>
      </c>
      <c r="Q608" s="32">
        <v>1</v>
      </c>
      <c r="R608" s="88">
        <v>3</v>
      </c>
      <c r="S608" s="31"/>
      <c r="T608">
        <v>1</v>
      </c>
      <c r="U608">
        <v>1</v>
      </c>
      <c r="V608">
        <v>1</v>
      </c>
      <c r="W608">
        <v>1026</v>
      </c>
      <c r="X608" s="89" t="s">
        <v>1288</v>
      </c>
      <c r="Y608" s="89"/>
      <c r="Z608" s="53">
        <v>9999</v>
      </c>
      <c r="AA608" s="53"/>
      <c r="AB608" s="53">
        <v>30</v>
      </c>
      <c r="AC608" s="53">
        <v>30</v>
      </c>
      <c r="AD608" s="53">
        <v>30</v>
      </c>
      <c r="AE608" s="94">
        <v>50</v>
      </c>
      <c r="AF608" s="94">
        <v>20</v>
      </c>
      <c r="AG608" s="94">
        <v>4000</v>
      </c>
      <c r="AH608" s="94">
        <v>50</v>
      </c>
      <c r="AI608" s="94">
        <v>0</v>
      </c>
      <c r="AJ608" s="94">
        <v>0</v>
      </c>
      <c r="AK608" s="94">
        <v>1</v>
      </c>
      <c r="AL608" s="94">
        <v>0</v>
      </c>
      <c r="AM608" s="98" t="s">
        <v>676</v>
      </c>
      <c r="AW608" s="88"/>
      <c r="AX608" s="88"/>
    </row>
    <row r="609" spans="2:50">
      <c r="B609" s="23">
        <v>5000043</v>
      </c>
      <c r="C609" s="83">
        <v>5000043</v>
      </c>
      <c r="D609" s="24" t="s">
        <v>1286</v>
      </c>
      <c r="E609" s="83" t="s">
        <v>2019</v>
      </c>
      <c r="F609" s="83"/>
      <c r="G609" s="9">
        <v>0</v>
      </c>
      <c r="H609" s="2"/>
      <c r="I609" s="2"/>
      <c r="J609" s="2"/>
      <c r="K609" s="2"/>
      <c r="L609" s="2"/>
      <c r="M609" s="88"/>
      <c r="N609" s="88">
        <v>0</v>
      </c>
      <c r="O609" s="88">
        <v>0</v>
      </c>
      <c r="P609" s="32">
        <v>1</v>
      </c>
      <c r="Q609" s="32">
        <v>1</v>
      </c>
      <c r="R609" s="88">
        <v>3</v>
      </c>
      <c r="S609" s="31"/>
      <c r="T609">
        <v>1</v>
      </c>
      <c r="U609">
        <v>1</v>
      </c>
      <c r="V609">
        <v>1</v>
      </c>
      <c r="W609">
        <v>1030</v>
      </c>
      <c r="X609" s="89" t="s">
        <v>1309</v>
      </c>
      <c r="Y609" s="89"/>
      <c r="Z609" s="53">
        <v>9999</v>
      </c>
      <c r="AA609" s="53"/>
      <c r="AB609" s="53">
        <v>30</v>
      </c>
      <c r="AC609" s="53">
        <v>30</v>
      </c>
      <c r="AD609" s="53">
        <v>30</v>
      </c>
      <c r="AE609" s="94">
        <v>50</v>
      </c>
      <c r="AF609" s="94">
        <v>20</v>
      </c>
      <c r="AG609" s="94">
        <v>4000</v>
      </c>
      <c r="AH609" s="94">
        <v>50</v>
      </c>
      <c r="AI609" s="94">
        <v>0</v>
      </c>
      <c r="AJ609" s="94">
        <v>0</v>
      </c>
      <c r="AK609" s="94">
        <v>1</v>
      </c>
      <c r="AL609" s="94">
        <v>0</v>
      </c>
      <c r="AM609" s="98" t="s">
        <v>676</v>
      </c>
      <c r="AW609" s="88"/>
      <c r="AX609" s="88"/>
    </row>
    <row r="610" spans="2:50">
      <c r="B610" s="23">
        <v>5000044</v>
      </c>
      <c r="C610" s="83">
        <v>5000044</v>
      </c>
      <c r="D610" s="24" t="s">
        <v>1308</v>
      </c>
      <c r="E610" s="83" t="s">
        <v>2019</v>
      </c>
      <c r="F610" s="83"/>
      <c r="G610" s="9">
        <v>0</v>
      </c>
      <c r="H610" s="2"/>
      <c r="I610" s="2"/>
      <c r="J610" s="2"/>
      <c r="K610" s="2"/>
      <c r="L610" s="2"/>
      <c r="M610" s="88"/>
      <c r="N610" s="88">
        <v>0</v>
      </c>
      <c r="O610" s="88">
        <v>0</v>
      </c>
      <c r="P610" s="32">
        <v>1</v>
      </c>
      <c r="Q610" s="32">
        <v>1</v>
      </c>
      <c r="R610" s="88">
        <v>3</v>
      </c>
      <c r="S610" s="31"/>
      <c r="T610">
        <v>1</v>
      </c>
      <c r="U610">
        <v>1</v>
      </c>
      <c r="V610">
        <v>1</v>
      </c>
      <c r="W610">
        <v>1029</v>
      </c>
      <c r="X610" s="89" t="s">
        <v>1309</v>
      </c>
      <c r="Y610" s="89"/>
      <c r="Z610" s="53">
        <v>9999</v>
      </c>
      <c r="AA610" s="53"/>
      <c r="AB610" s="53">
        <v>30</v>
      </c>
      <c r="AC610" s="53">
        <v>30</v>
      </c>
      <c r="AD610" s="53">
        <v>30</v>
      </c>
      <c r="AE610" s="94">
        <v>50</v>
      </c>
      <c r="AF610" s="94">
        <v>20</v>
      </c>
      <c r="AG610" s="94">
        <v>4000</v>
      </c>
      <c r="AH610" s="94">
        <v>50</v>
      </c>
      <c r="AI610" s="94">
        <v>0</v>
      </c>
      <c r="AJ610" s="94">
        <v>0</v>
      </c>
      <c r="AK610" s="94">
        <v>1</v>
      </c>
      <c r="AL610" s="94">
        <v>0</v>
      </c>
      <c r="AM610" s="98" t="s">
        <v>676</v>
      </c>
      <c r="AW610" s="88"/>
      <c r="AX610" s="88"/>
    </row>
    <row r="611" spans="2:50">
      <c r="B611" s="23">
        <v>5000045</v>
      </c>
      <c r="C611" s="83">
        <v>5000045</v>
      </c>
      <c r="D611" s="24" t="s">
        <v>2021</v>
      </c>
      <c r="E611" s="83" t="s">
        <v>2019</v>
      </c>
      <c r="F611" s="83"/>
      <c r="G611" s="9">
        <v>0</v>
      </c>
      <c r="H611" s="2"/>
      <c r="I611" s="2"/>
      <c r="J611" s="2"/>
      <c r="K611" s="2"/>
      <c r="L611" s="2"/>
      <c r="M611" s="88"/>
      <c r="N611" s="88">
        <v>0</v>
      </c>
      <c r="O611" s="6">
        <v>0</v>
      </c>
      <c r="P611" s="32">
        <v>1</v>
      </c>
      <c r="Q611" s="32">
        <v>1</v>
      </c>
      <c r="R611" s="88">
        <v>8</v>
      </c>
      <c r="S611" s="31" t="s">
        <v>1402</v>
      </c>
      <c r="T611">
        <v>1</v>
      </c>
      <c r="U611">
        <v>1</v>
      </c>
      <c r="V611">
        <v>1</v>
      </c>
      <c r="W611">
        <v>1038</v>
      </c>
      <c r="X611" s="89" t="s">
        <v>1316</v>
      </c>
      <c r="Y611" s="89"/>
      <c r="Z611" s="53">
        <v>9999</v>
      </c>
      <c r="AA611" s="53"/>
      <c r="AB611" s="53">
        <v>30</v>
      </c>
      <c r="AC611" s="53">
        <v>30</v>
      </c>
      <c r="AD611" s="53">
        <v>30</v>
      </c>
      <c r="AE611" s="94">
        <v>50</v>
      </c>
      <c r="AF611" s="94">
        <v>20</v>
      </c>
      <c r="AG611" s="94">
        <v>4000</v>
      </c>
      <c r="AH611" s="94">
        <v>50</v>
      </c>
      <c r="AI611" s="94">
        <v>0</v>
      </c>
      <c r="AJ611" s="94">
        <v>0</v>
      </c>
      <c r="AK611" s="94">
        <v>1</v>
      </c>
      <c r="AL611" s="94">
        <v>0</v>
      </c>
      <c r="AM611" s="98" t="s">
        <v>676</v>
      </c>
      <c r="AW611" s="88"/>
      <c r="AX611" s="88"/>
    </row>
    <row r="612" s="9" customFormat="1" spans="2:51">
      <c r="B612" s="23">
        <v>5000046</v>
      </c>
      <c r="C612" s="83">
        <v>5000046</v>
      </c>
      <c r="D612" s="24" t="s">
        <v>248</v>
      </c>
      <c r="E612" s="83" t="s">
        <v>2019</v>
      </c>
      <c r="F612" s="83"/>
      <c r="G612" s="9">
        <v>1</v>
      </c>
      <c r="H612" s="2"/>
      <c r="I612" s="2"/>
      <c r="J612" s="2"/>
      <c r="K612" s="2"/>
      <c r="L612" s="2"/>
      <c r="N612" s="88">
        <v>0</v>
      </c>
      <c r="O612" s="9">
        <v>0</v>
      </c>
      <c r="P612" s="32">
        <v>1</v>
      </c>
      <c r="Q612" s="32">
        <v>1</v>
      </c>
      <c r="R612" s="9">
        <v>8</v>
      </c>
      <c r="S612" s="31" t="s">
        <v>1402</v>
      </c>
      <c r="T612" s="9">
        <v>2</v>
      </c>
      <c r="U612" s="9">
        <v>6</v>
      </c>
      <c r="V612" s="9">
        <v>1</v>
      </c>
      <c r="W612" s="9">
        <v>45</v>
      </c>
      <c r="X612" s="9" t="s">
        <v>254</v>
      </c>
      <c r="Z612" s="53">
        <v>9999</v>
      </c>
      <c r="AA612" s="9">
        <v>214005</v>
      </c>
      <c r="AB612" s="9">
        <v>10</v>
      </c>
      <c r="AC612" s="9">
        <v>10</v>
      </c>
      <c r="AD612" s="9">
        <v>10</v>
      </c>
      <c r="AE612" s="117">
        <v>16</v>
      </c>
      <c r="AF612" s="117">
        <v>6</v>
      </c>
      <c r="AG612" s="117">
        <v>117</v>
      </c>
      <c r="AH612" s="117">
        <v>10</v>
      </c>
      <c r="AI612" s="117">
        <v>0</v>
      </c>
      <c r="AJ612" s="117">
        <v>0</v>
      </c>
      <c r="AK612" s="117">
        <v>1</v>
      </c>
      <c r="AL612" s="117">
        <v>0</v>
      </c>
      <c r="AM612" s="9" t="s">
        <v>676</v>
      </c>
      <c r="AN612" s="2"/>
      <c r="AO612" s="2" t="s">
        <v>256</v>
      </c>
      <c r="AP612" s="2" t="s">
        <v>256</v>
      </c>
      <c r="AQ612" s="2"/>
      <c r="AR612" s="2"/>
      <c r="AS612" s="116"/>
      <c r="AT612" s="116"/>
      <c r="AU612" s="116"/>
      <c r="AV612" s="118"/>
      <c r="AY612" s="117"/>
    </row>
    <row r="613" s="9" customFormat="1" spans="2:52">
      <c r="B613" s="23">
        <v>5000047</v>
      </c>
      <c r="C613" s="83">
        <v>5000047</v>
      </c>
      <c r="D613" s="24" t="s">
        <v>488</v>
      </c>
      <c r="E613" s="83" t="s">
        <v>2019</v>
      </c>
      <c r="F613" s="83"/>
      <c r="G613" s="9">
        <v>1</v>
      </c>
      <c r="H613" s="2"/>
      <c r="I613" s="2"/>
      <c r="J613" s="2"/>
      <c r="K613" s="2"/>
      <c r="L613" s="2"/>
      <c r="N613" s="88">
        <v>0</v>
      </c>
      <c r="O613" s="88">
        <v>0</v>
      </c>
      <c r="P613" s="13">
        <v>3</v>
      </c>
      <c r="Q613" s="14">
        <v>3</v>
      </c>
      <c r="R613" s="9">
        <v>8</v>
      </c>
      <c r="S613" s="31" t="s">
        <v>1402</v>
      </c>
      <c r="T613" s="9">
        <v>3</v>
      </c>
      <c r="U613" s="9">
        <v>7</v>
      </c>
      <c r="V613" s="9">
        <v>2</v>
      </c>
      <c r="W613" s="9">
        <v>46</v>
      </c>
      <c r="X613" s="9" t="s">
        <v>1853</v>
      </c>
      <c r="Z613" s="53">
        <v>9999</v>
      </c>
      <c r="AA613" s="9">
        <v>214005</v>
      </c>
      <c r="AB613" s="9">
        <v>30</v>
      </c>
      <c r="AC613" s="9">
        <v>30</v>
      </c>
      <c r="AD613" s="9">
        <v>30</v>
      </c>
      <c r="AE613" s="15">
        <v>147</v>
      </c>
      <c r="AF613" s="15">
        <v>10</v>
      </c>
      <c r="AG613" s="15">
        <v>169</v>
      </c>
      <c r="AH613" s="130">
        <v>9</v>
      </c>
      <c r="AI613" s="15">
        <v>0</v>
      </c>
      <c r="AJ613" s="15">
        <v>0</v>
      </c>
      <c r="AK613" s="15">
        <v>1</v>
      </c>
      <c r="AL613" s="15">
        <v>0</v>
      </c>
      <c r="AM613" s="16" t="s">
        <v>676</v>
      </c>
      <c r="AN613" s="3" t="s">
        <v>496</v>
      </c>
      <c r="AO613" s="3" t="s">
        <v>497</v>
      </c>
      <c r="AP613" s="3"/>
      <c r="AQ613" s="3"/>
      <c r="AR613" s="3"/>
      <c r="AS613" s="17" t="s">
        <v>1854</v>
      </c>
      <c r="AT613" s="17" t="s">
        <v>169</v>
      </c>
      <c r="AU613" s="17" t="s">
        <v>499</v>
      </c>
      <c r="AV613" s="18" t="s">
        <v>500</v>
      </c>
      <c r="AY613" s="13"/>
      <c r="AZ613" s="9">
        <v>316</v>
      </c>
    </row>
    <row r="614" s="3" customFormat="1" spans="2:54">
      <c r="B614" s="23">
        <v>5000048</v>
      </c>
      <c r="C614" s="83">
        <v>5000048</v>
      </c>
      <c r="D614" s="24" t="s">
        <v>2022</v>
      </c>
      <c r="E614" s="83" t="s">
        <v>2019</v>
      </c>
      <c r="F614" s="83"/>
      <c r="G614" s="27">
        <v>0</v>
      </c>
      <c r="H614" s="2" t="s">
        <v>458</v>
      </c>
      <c r="I614" s="2" t="s">
        <v>459</v>
      </c>
      <c r="J614" s="2" t="s">
        <v>460</v>
      </c>
      <c r="K614" s="2" t="s">
        <v>136</v>
      </c>
      <c r="L614" s="38" t="s">
        <v>461</v>
      </c>
      <c r="M614" s="35" t="s">
        <v>462</v>
      </c>
      <c r="N614" s="24">
        <v>0</v>
      </c>
      <c r="O614" s="6">
        <v>0</v>
      </c>
      <c r="P614" s="36">
        <v>3</v>
      </c>
      <c r="Q614" s="36">
        <v>3</v>
      </c>
      <c r="R614" s="24">
        <v>8</v>
      </c>
      <c r="S614" s="31"/>
      <c r="T614" s="3">
        <v>3</v>
      </c>
      <c r="U614" s="3">
        <v>7</v>
      </c>
      <c r="V614" s="3">
        <v>2</v>
      </c>
      <c r="W614" s="3">
        <v>12</v>
      </c>
      <c r="X614" s="24" t="s">
        <v>463</v>
      </c>
      <c r="Y614" s="24"/>
      <c r="Z614" s="51">
        <v>620013</v>
      </c>
      <c r="AA614" s="51">
        <v>214005</v>
      </c>
      <c r="AB614" s="51">
        <v>30</v>
      </c>
      <c r="AC614" s="51">
        <v>30</v>
      </c>
      <c r="AD614" s="51">
        <v>30</v>
      </c>
      <c r="AE614" s="52">
        <v>125</v>
      </c>
      <c r="AF614" s="52">
        <v>16</v>
      </c>
      <c r="AG614" s="52">
        <v>221</v>
      </c>
      <c r="AH614" s="52">
        <v>50</v>
      </c>
      <c r="AI614" s="52" t="s">
        <v>154</v>
      </c>
      <c r="AJ614" s="60">
        <v>0.016</v>
      </c>
      <c r="AK614" s="60">
        <v>1.008</v>
      </c>
      <c r="AL614" s="60">
        <v>0.008</v>
      </c>
      <c r="AM614" s="61" t="s">
        <v>322</v>
      </c>
      <c r="AR614" s="3">
        <v>8</v>
      </c>
      <c r="AS614" s="3" t="s">
        <v>465</v>
      </c>
      <c r="AT614" s="70" t="s">
        <v>169</v>
      </c>
      <c r="AU614" s="35" t="s">
        <v>466</v>
      </c>
      <c r="AV614" s="71">
        <v>123</v>
      </c>
      <c r="AW614" s="24"/>
      <c r="AX614" s="46">
        <v>4</v>
      </c>
      <c r="AY614" s="39"/>
      <c r="AZ614" s="3">
        <v>98</v>
      </c>
      <c r="BA614" s="3">
        <v>4</v>
      </c>
      <c r="BB614" s="3">
        <v>1013</v>
      </c>
    </row>
    <row r="615" s="3" customFormat="1" spans="2:54">
      <c r="B615" s="23">
        <v>5000049</v>
      </c>
      <c r="C615" s="83">
        <v>5000049</v>
      </c>
      <c r="D615" s="24" t="s">
        <v>2023</v>
      </c>
      <c r="E615" s="83" t="s">
        <v>2019</v>
      </c>
      <c r="F615" s="83"/>
      <c r="G615" s="27">
        <v>2</v>
      </c>
      <c r="H615" s="2" t="s">
        <v>468</v>
      </c>
      <c r="I615" s="2" t="s">
        <v>469</v>
      </c>
      <c r="J615" s="2" t="s">
        <v>162</v>
      </c>
      <c r="K615" s="2" t="s">
        <v>367</v>
      </c>
      <c r="L615" s="2" t="s">
        <v>470</v>
      </c>
      <c r="M615" s="35" t="s">
        <v>471</v>
      </c>
      <c r="N615" s="24">
        <v>0</v>
      </c>
      <c r="O615" s="6">
        <v>0</v>
      </c>
      <c r="P615" s="36">
        <v>3</v>
      </c>
      <c r="Q615" s="36">
        <v>3</v>
      </c>
      <c r="R615" s="24">
        <v>8</v>
      </c>
      <c r="S615" s="31"/>
      <c r="T615" s="3">
        <v>3</v>
      </c>
      <c r="U615" s="3">
        <v>7</v>
      </c>
      <c r="V615" s="3">
        <v>2</v>
      </c>
      <c r="W615" s="3">
        <v>15</v>
      </c>
      <c r="X615" s="24" t="s">
        <v>472</v>
      </c>
      <c r="Y615" s="24"/>
      <c r="Z615" s="51">
        <v>620014</v>
      </c>
      <c r="AA615" s="51">
        <v>214005</v>
      </c>
      <c r="AB615" s="51">
        <v>30</v>
      </c>
      <c r="AC615" s="51">
        <v>30</v>
      </c>
      <c r="AD615" s="51">
        <v>30</v>
      </c>
      <c r="AE615" s="52">
        <v>158</v>
      </c>
      <c r="AF615" s="52">
        <v>10</v>
      </c>
      <c r="AG615" s="52">
        <v>138</v>
      </c>
      <c r="AH615" s="52">
        <v>90</v>
      </c>
      <c r="AI615" s="52">
        <v>0.016</v>
      </c>
      <c r="AJ615" s="60" t="s">
        <v>154</v>
      </c>
      <c r="AK615" s="60">
        <v>1.008</v>
      </c>
      <c r="AL615" s="60">
        <v>0.0102</v>
      </c>
      <c r="AM615" s="61" t="s">
        <v>371</v>
      </c>
      <c r="AN615" s="3" t="s">
        <v>474</v>
      </c>
      <c r="AO615" s="3" t="s">
        <v>475</v>
      </c>
      <c r="AR615" s="3">
        <v>8</v>
      </c>
      <c r="AS615" s="3" t="s">
        <v>476</v>
      </c>
      <c r="AT615" s="70" t="s">
        <v>169</v>
      </c>
      <c r="AU615" s="35" t="s">
        <v>477</v>
      </c>
      <c r="AV615" s="71" t="s">
        <v>478</v>
      </c>
      <c r="AW615" s="24"/>
      <c r="AX615" s="46">
        <v>4</v>
      </c>
      <c r="AY615" s="39"/>
      <c r="AZ615" s="3">
        <v>120</v>
      </c>
      <c r="BA615" s="3">
        <v>4</v>
      </c>
      <c r="BB615" s="3">
        <v>1014</v>
      </c>
    </row>
    <row r="616" s="3" customFormat="1" spans="2:54">
      <c r="B616" s="23">
        <v>5000050</v>
      </c>
      <c r="C616" s="83">
        <v>5000050</v>
      </c>
      <c r="D616" s="24" t="s">
        <v>2024</v>
      </c>
      <c r="E616" s="83" t="s">
        <v>2019</v>
      </c>
      <c r="F616" s="83"/>
      <c r="G616" s="27">
        <v>0</v>
      </c>
      <c r="H616" s="2" t="s">
        <v>480</v>
      </c>
      <c r="I616" s="2" t="s">
        <v>481</v>
      </c>
      <c r="J616" s="2" t="s">
        <v>186</v>
      </c>
      <c r="K616" s="2" t="s">
        <v>354</v>
      </c>
      <c r="L616" s="38" t="s">
        <v>482</v>
      </c>
      <c r="M616" s="35" t="s">
        <v>483</v>
      </c>
      <c r="N616" s="24">
        <v>0</v>
      </c>
      <c r="O616" s="6">
        <v>0</v>
      </c>
      <c r="P616" s="36">
        <v>3</v>
      </c>
      <c r="Q616" s="36">
        <v>3</v>
      </c>
      <c r="R616" s="24">
        <v>8</v>
      </c>
      <c r="S616" s="31"/>
      <c r="T616" s="3">
        <v>3</v>
      </c>
      <c r="U616" s="3">
        <v>7</v>
      </c>
      <c r="V616" s="3">
        <v>2</v>
      </c>
      <c r="W616" s="3">
        <v>14</v>
      </c>
      <c r="X616" s="24" t="s">
        <v>484</v>
      </c>
      <c r="Y616" s="24"/>
      <c r="Z616" s="51">
        <v>620015</v>
      </c>
      <c r="AA616" s="51">
        <v>214005</v>
      </c>
      <c r="AB616" s="51">
        <v>30</v>
      </c>
      <c r="AC616" s="51">
        <v>30</v>
      </c>
      <c r="AD616" s="51">
        <v>30</v>
      </c>
      <c r="AE616" s="52">
        <v>88</v>
      </c>
      <c r="AF616" s="52">
        <v>16</v>
      </c>
      <c r="AG616" s="52">
        <v>318</v>
      </c>
      <c r="AH616" s="52">
        <v>41</v>
      </c>
      <c r="AI616" s="52">
        <v>0.012</v>
      </c>
      <c r="AJ616" s="60">
        <v>0.0128</v>
      </c>
      <c r="AK616" s="60">
        <v>1.0032</v>
      </c>
      <c r="AL616" s="60">
        <v>0.008</v>
      </c>
      <c r="AM616" s="61" t="s">
        <v>385</v>
      </c>
      <c r="AR616" s="3">
        <v>8</v>
      </c>
      <c r="AS616" s="3" t="s">
        <v>486</v>
      </c>
      <c r="AT616" s="70" t="s">
        <v>169</v>
      </c>
      <c r="AU616" s="35" t="s">
        <v>487</v>
      </c>
      <c r="AV616" s="71">
        <v>137</v>
      </c>
      <c r="AW616" s="24"/>
      <c r="AX616" s="46">
        <v>4</v>
      </c>
      <c r="AY616" s="39"/>
      <c r="AZ616" s="3">
        <v>112</v>
      </c>
      <c r="BA616" s="3">
        <v>4</v>
      </c>
      <c r="BB616" s="3">
        <v>1015</v>
      </c>
    </row>
    <row r="617" spans="2:50">
      <c r="B617" s="23">
        <v>5000051</v>
      </c>
      <c r="C617" s="83">
        <v>5000051</v>
      </c>
      <c r="D617" s="24" t="s">
        <v>621</v>
      </c>
      <c r="E617" s="83" t="s">
        <v>2019</v>
      </c>
      <c r="F617" s="83"/>
      <c r="G617" s="9">
        <v>0</v>
      </c>
      <c r="H617" s="2" t="s">
        <v>1872</v>
      </c>
      <c r="I617" s="2"/>
      <c r="J617" s="2"/>
      <c r="K617" s="2"/>
      <c r="L617" s="2"/>
      <c r="M617" s="88"/>
      <c r="N617" s="88">
        <v>0</v>
      </c>
      <c r="O617" s="88">
        <v>0</v>
      </c>
      <c r="P617" s="32">
        <v>1</v>
      </c>
      <c r="Q617" s="32">
        <v>1</v>
      </c>
      <c r="R617" s="88">
        <v>5</v>
      </c>
      <c r="S617" s="31" t="s">
        <v>736</v>
      </c>
      <c r="T617">
        <v>3</v>
      </c>
      <c r="U617">
        <v>8</v>
      </c>
      <c r="V617">
        <v>3</v>
      </c>
      <c r="W617">
        <v>35</v>
      </c>
      <c r="X617" s="88" t="s">
        <v>627</v>
      </c>
      <c r="Y617" s="88"/>
      <c r="Z617" s="53">
        <v>9999</v>
      </c>
      <c r="AA617" s="53">
        <v>215005</v>
      </c>
      <c r="AB617" s="53">
        <v>50</v>
      </c>
      <c r="AC617" s="53">
        <v>50</v>
      </c>
      <c r="AD617" s="53">
        <v>50</v>
      </c>
      <c r="AE617" s="94">
        <v>221</v>
      </c>
      <c r="AF617" s="94">
        <v>11</v>
      </c>
      <c r="AG617" s="94">
        <v>313</v>
      </c>
      <c r="AH617" s="132">
        <v>5</v>
      </c>
      <c r="AI617" s="94">
        <v>0</v>
      </c>
      <c r="AJ617" s="94">
        <v>0</v>
      </c>
      <c r="AK617" s="94">
        <v>1</v>
      </c>
      <c r="AL617" s="94">
        <v>0</v>
      </c>
      <c r="AM617" s="98" t="s">
        <v>676</v>
      </c>
      <c r="AN617" s="5" t="s">
        <v>630</v>
      </c>
      <c r="AO617" s="5" t="s">
        <v>631</v>
      </c>
      <c r="AP617" s="5" t="s">
        <v>1873</v>
      </c>
      <c r="AQ617" s="5"/>
      <c r="AR617" s="5"/>
      <c r="AW617" s="88"/>
      <c r="AX617" s="88"/>
    </row>
    <row r="618" spans="2:50">
      <c r="B618" s="23">
        <v>5000052</v>
      </c>
      <c r="C618" s="83">
        <v>5000052</v>
      </c>
      <c r="D618" s="24" t="s">
        <v>1338</v>
      </c>
      <c r="E618" s="83" t="s">
        <v>2019</v>
      </c>
      <c r="F618" s="83"/>
      <c r="G618" s="9">
        <v>0</v>
      </c>
      <c r="H618" s="2"/>
      <c r="I618" s="2"/>
      <c r="J618" s="2"/>
      <c r="K618" s="2"/>
      <c r="L618" s="2"/>
      <c r="M618" s="88"/>
      <c r="N618" s="88">
        <v>0</v>
      </c>
      <c r="O618" s="88">
        <v>0</v>
      </c>
      <c r="P618" s="32">
        <v>1</v>
      </c>
      <c r="Q618" s="32">
        <v>1</v>
      </c>
      <c r="R618" s="88">
        <v>6</v>
      </c>
      <c r="S618" s="31"/>
      <c r="T618">
        <v>1</v>
      </c>
      <c r="U618">
        <v>1</v>
      </c>
      <c r="V618">
        <v>1</v>
      </c>
      <c r="W618">
        <v>1049</v>
      </c>
      <c r="X618" s="89" t="s">
        <v>1339</v>
      </c>
      <c r="Y618" s="89"/>
      <c r="Z618" s="53">
        <v>9999</v>
      </c>
      <c r="AA618" s="53"/>
      <c r="AB618" s="53">
        <v>30</v>
      </c>
      <c r="AC618" s="53">
        <v>30</v>
      </c>
      <c r="AD618" s="53">
        <v>30</v>
      </c>
      <c r="AE618" s="94">
        <v>50</v>
      </c>
      <c r="AF618" s="94">
        <v>20</v>
      </c>
      <c r="AG618" s="94">
        <v>4000</v>
      </c>
      <c r="AH618" s="94">
        <v>50</v>
      </c>
      <c r="AI618" s="94">
        <v>0</v>
      </c>
      <c r="AJ618" s="94">
        <v>0</v>
      </c>
      <c r="AK618" s="94">
        <v>1</v>
      </c>
      <c r="AL618" s="94">
        <v>0</v>
      </c>
      <c r="AM618" s="98" t="s">
        <v>676</v>
      </c>
      <c r="AW618" s="88"/>
      <c r="AX618" s="88"/>
    </row>
    <row r="619" spans="2:50">
      <c r="B619" s="23">
        <v>5000053</v>
      </c>
      <c r="C619" s="83">
        <v>5000053</v>
      </c>
      <c r="D619" s="24" t="s">
        <v>1307</v>
      </c>
      <c r="E619" s="83" t="s">
        <v>2019</v>
      </c>
      <c r="F619" s="83"/>
      <c r="G619" s="9">
        <v>0</v>
      </c>
      <c r="H619" s="2"/>
      <c r="I619" s="2"/>
      <c r="J619" s="2"/>
      <c r="K619" s="2"/>
      <c r="L619" s="2"/>
      <c r="M619" s="88"/>
      <c r="N619" s="88">
        <v>0</v>
      </c>
      <c r="O619" s="88">
        <v>0</v>
      </c>
      <c r="P619" s="32">
        <v>1</v>
      </c>
      <c r="Q619" s="32">
        <v>1</v>
      </c>
      <c r="R619" s="88">
        <v>3</v>
      </c>
      <c r="S619" s="31"/>
      <c r="T619">
        <v>1</v>
      </c>
      <c r="U619">
        <v>1</v>
      </c>
      <c r="V619">
        <v>1</v>
      </c>
      <c r="W619">
        <v>1026</v>
      </c>
      <c r="X619" s="89" t="s">
        <v>1288</v>
      </c>
      <c r="Y619" s="89"/>
      <c r="Z619" s="53">
        <v>9999</v>
      </c>
      <c r="AA619" s="53"/>
      <c r="AB619" s="53">
        <v>30</v>
      </c>
      <c r="AC619" s="53">
        <v>30</v>
      </c>
      <c r="AD619" s="53">
        <v>30</v>
      </c>
      <c r="AE619" s="94">
        <v>50</v>
      </c>
      <c r="AF619" s="94">
        <v>20</v>
      </c>
      <c r="AG619" s="94">
        <v>4000</v>
      </c>
      <c r="AH619" s="94">
        <v>50</v>
      </c>
      <c r="AI619" s="94">
        <v>0</v>
      </c>
      <c r="AJ619" s="94">
        <v>0</v>
      </c>
      <c r="AK619" s="94">
        <v>1</v>
      </c>
      <c r="AL619" s="94">
        <v>0</v>
      </c>
      <c r="AM619" s="98" t="s">
        <v>676</v>
      </c>
      <c r="AW619" s="88"/>
      <c r="AX619" s="88"/>
    </row>
    <row r="620" spans="2:50">
      <c r="B620" s="23">
        <v>5000054</v>
      </c>
      <c r="C620" s="83">
        <v>5000054</v>
      </c>
      <c r="D620" s="24" t="s">
        <v>1342</v>
      </c>
      <c r="E620" s="83" t="s">
        <v>2019</v>
      </c>
      <c r="F620" s="83"/>
      <c r="G620" s="9">
        <v>0</v>
      </c>
      <c r="H620" s="2"/>
      <c r="I620" s="2"/>
      <c r="J620" s="2"/>
      <c r="K620" s="2"/>
      <c r="L620" s="2"/>
      <c r="M620" s="88"/>
      <c r="N620" s="88">
        <v>0</v>
      </c>
      <c r="O620" s="88">
        <v>0</v>
      </c>
      <c r="P620" s="32">
        <v>1</v>
      </c>
      <c r="Q620" s="32">
        <v>1</v>
      </c>
      <c r="R620" s="88">
        <v>6</v>
      </c>
      <c r="S620" s="31"/>
      <c r="T620">
        <v>1</v>
      </c>
      <c r="U620">
        <v>1</v>
      </c>
      <c r="V620">
        <v>1</v>
      </c>
      <c r="W620">
        <v>1051</v>
      </c>
      <c r="X620" s="89" t="s">
        <v>1343</v>
      </c>
      <c r="Y620" s="89"/>
      <c r="Z620" s="53">
        <v>9999</v>
      </c>
      <c r="AA620" s="53"/>
      <c r="AB620" s="53">
        <v>30</v>
      </c>
      <c r="AC620" s="53">
        <v>30</v>
      </c>
      <c r="AD620" s="53">
        <v>30</v>
      </c>
      <c r="AE620" s="94">
        <v>50</v>
      </c>
      <c r="AF620" s="94">
        <v>20</v>
      </c>
      <c r="AG620" s="94">
        <v>4000</v>
      </c>
      <c r="AH620" s="94">
        <v>50</v>
      </c>
      <c r="AI620" s="94">
        <v>0</v>
      </c>
      <c r="AJ620" s="94">
        <v>0</v>
      </c>
      <c r="AK620" s="94">
        <v>1</v>
      </c>
      <c r="AL620" s="94">
        <v>0</v>
      </c>
      <c r="AM620" s="98" t="s">
        <v>676</v>
      </c>
      <c r="AW620" s="88"/>
      <c r="AX620" s="88"/>
    </row>
    <row r="621" spans="2:50">
      <c r="B621" s="23">
        <v>5000055</v>
      </c>
      <c r="C621" s="83">
        <v>5000055</v>
      </c>
      <c r="D621" s="24" t="s">
        <v>1344</v>
      </c>
      <c r="E621" s="83" t="s">
        <v>2019</v>
      </c>
      <c r="F621" s="83"/>
      <c r="G621" s="9">
        <v>0</v>
      </c>
      <c r="H621" s="2"/>
      <c r="I621" s="2"/>
      <c r="J621" s="2"/>
      <c r="K621" s="2"/>
      <c r="L621" s="2"/>
      <c r="M621" s="88"/>
      <c r="N621" s="88">
        <v>0</v>
      </c>
      <c r="O621" s="88">
        <v>0</v>
      </c>
      <c r="P621" s="32">
        <v>1</v>
      </c>
      <c r="Q621" s="32">
        <v>1</v>
      </c>
      <c r="R621" s="88">
        <v>6</v>
      </c>
      <c r="S621" s="31"/>
      <c r="T621">
        <v>1</v>
      </c>
      <c r="U621">
        <v>1</v>
      </c>
      <c r="V621">
        <v>1</v>
      </c>
      <c r="W621">
        <v>1052</v>
      </c>
      <c r="X621" s="89" t="s">
        <v>1345</v>
      </c>
      <c r="Y621" s="89"/>
      <c r="Z621" s="53">
        <v>9999</v>
      </c>
      <c r="AA621" s="53"/>
      <c r="AB621" s="53">
        <v>30</v>
      </c>
      <c r="AC621" s="53">
        <v>30</v>
      </c>
      <c r="AD621" s="53">
        <v>30</v>
      </c>
      <c r="AE621" s="94">
        <v>50</v>
      </c>
      <c r="AF621" s="94">
        <v>20</v>
      </c>
      <c r="AG621" s="94">
        <v>4000</v>
      </c>
      <c r="AH621" s="94">
        <v>50</v>
      </c>
      <c r="AI621" s="94">
        <v>0</v>
      </c>
      <c r="AJ621" s="94">
        <v>0</v>
      </c>
      <c r="AK621" s="94">
        <v>1</v>
      </c>
      <c r="AL621" s="94">
        <v>0</v>
      </c>
      <c r="AM621" s="98" t="s">
        <v>676</v>
      </c>
      <c r="AW621" s="88"/>
      <c r="AX621" s="88"/>
    </row>
    <row r="622" spans="2:46">
      <c r="B622" s="23">
        <v>5000056</v>
      </c>
      <c r="C622" s="83">
        <v>5000056</v>
      </c>
      <c r="D622" s="24" t="s">
        <v>706</v>
      </c>
      <c r="E622" s="83" t="s">
        <v>2019</v>
      </c>
      <c r="F622" s="83"/>
      <c r="G622">
        <v>0</v>
      </c>
      <c r="H622" s="2" t="s">
        <v>707</v>
      </c>
      <c r="I622" s="2"/>
      <c r="J622" s="2"/>
      <c r="K622" s="2"/>
      <c r="L622" s="2"/>
      <c r="N622" s="88">
        <v>0</v>
      </c>
      <c r="O622">
        <v>0</v>
      </c>
      <c r="P622" s="13">
        <v>2</v>
      </c>
      <c r="Q622" s="14">
        <v>2</v>
      </c>
      <c r="R622">
        <v>3</v>
      </c>
      <c r="S622" s="31" t="s">
        <v>711</v>
      </c>
      <c r="T622">
        <v>3</v>
      </c>
      <c r="U622">
        <v>8</v>
      </c>
      <c r="V622">
        <v>3</v>
      </c>
      <c r="W622">
        <v>50</v>
      </c>
      <c r="X622" t="s">
        <v>712</v>
      </c>
      <c r="Z622" s="53">
        <v>9999</v>
      </c>
      <c r="AA622">
        <v>215005</v>
      </c>
      <c r="AB622">
        <v>50</v>
      </c>
      <c r="AC622">
        <v>50</v>
      </c>
      <c r="AD622">
        <v>50</v>
      </c>
      <c r="AE622" s="15">
        <v>221</v>
      </c>
      <c r="AF622" s="15">
        <v>11</v>
      </c>
      <c r="AG622" s="15">
        <v>313</v>
      </c>
      <c r="AH622" s="15">
        <v>4.6</v>
      </c>
      <c r="AI622" s="15">
        <v>0</v>
      </c>
      <c r="AJ622" s="15">
        <v>0</v>
      </c>
      <c r="AK622" s="15">
        <v>1</v>
      </c>
      <c r="AL622" s="15">
        <v>0</v>
      </c>
      <c r="AM622" s="16" t="s">
        <v>676</v>
      </c>
      <c r="AN622" s="5" t="s">
        <v>715</v>
      </c>
      <c r="AO622" s="5" t="s">
        <v>716</v>
      </c>
      <c r="AP622" s="5" t="s">
        <v>1882</v>
      </c>
      <c r="AQ622" s="5"/>
      <c r="AR622" s="5"/>
      <c r="AS622" s="17" t="s">
        <v>1878</v>
      </c>
      <c r="AT622" s="17" t="s">
        <v>169</v>
      </c>
    </row>
    <row r="623" spans="2:50">
      <c r="B623" s="23">
        <v>5000057</v>
      </c>
      <c r="C623" s="83">
        <v>5000057</v>
      </c>
      <c r="D623" s="24" t="s">
        <v>1308</v>
      </c>
      <c r="E623" s="83" t="s">
        <v>2019</v>
      </c>
      <c r="F623" s="83"/>
      <c r="G623" s="9">
        <v>0</v>
      </c>
      <c r="H623" s="2"/>
      <c r="I623" s="2"/>
      <c r="J623" s="2"/>
      <c r="K623" s="2"/>
      <c r="L623" s="2"/>
      <c r="M623" s="88"/>
      <c r="N623" s="88">
        <v>0</v>
      </c>
      <c r="O623" s="88">
        <v>0</v>
      </c>
      <c r="P623" s="32">
        <v>1</v>
      </c>
      <c r="Q623" s="32">
        <v>1</v>
      </c>
      <c r="R623" s="88">
        <v>3</v>
      </c>
      <c r="S623" s="31"/>
      <c r="T623">
        <v>1</v>
      </c>
      <c r="U623">
        <v>1</v>
      </c>
      <c r="V623">
        <v>1</v>
      </c>
      <c r="W623">
        <v>1029</v>
      </c>
      <c r="X623" s="89" t="s">
        <v>1309</v>
      </c>
      <c r="Y623" s="89"/>
      <c r="Z623" s="53">
        <v>9999</v>
      </c>
      <c r="AA623" s="53"/>
      <c r="AB623" s="53">
        <v>30</v>
      </c>
      <c r="AC623" s="53">
        <v>30</v>
      </c>
      <c r="AD623" s="53">
        <v>30</v>
      </c>
      <c r="AE623" s="94">
        <v>50</v>
      </c>
      <c r="AF623" s="94">
        <v>20</v>
      </c>
      <c r="AG623" s="94">
        <v>4000</v>
      </c>
      <c r="AH623" s="94">
        <v>50</v>
      </c>
      <c r="AI623" s="94">
        <v>0</v>
      </c>
      <c r="AJ623" s="94">
        <v>0</v>
      </c>
      <c r="AK623" s="94">
        <v>1</v>
      </c>
      <c r="AL623" s="94">
        <v>0</v>
      </c>
      <c r="AM623" s="98" t="s">
        <v>676</v>
      </c>
      <c r="AW623" s="88"/>
      <c r="AX623" s="88"/>
    </row>
    <row r="624" spans="2:50">
      <c r="B624" s="23">
        <v>5000058</v>
      </c>
      <c r="C624" s="83">
        <v>5000058</v>
      </c>
      <c r="D624" s="24" t="s">
        <v>1340</v>
      </c>
      <c r="E624" s="83" t="s">
        <v>2019</v>
      </c>
      <c r="F624" s="83"/>
      <c r="G624" s="9">
        <v>0</v>
      </c>
      <c r="H624" s="2"/>
      <c r="I624" s="2"/>
      <c r="J624" s="2"/>
      <c r="K624" s="2"/>
      <c r="L624" s="2"/>
      <c r="M624" s="88"/>
      <c r="N624" s="88">
        <v>0</v>
      </c>
      <c r="O624" s="88">
        <v>0</v>
      </c>
      <c r="P624" s="32">
        <v>1</v>
      </c>
      <c r="Q624" s="32">
        <v>1</v>
      </c>
      <c r="R624" s="88">
        <v>6</v>
      </c>
      <c r="S624" s="31"/>
      <c r="T624">
        <v>1</v>
      </c>
      <c r="U624">
        <v>1</v>
      </c>
      <c r="V624">
        <v>1</v>
      </c>
      <c r="W624">
        <v>1050</v>
      </c>
      <c r="X624" s="89" t="s">
        <v>1341</v>
      </c>
      <c r="Y624" s="89"/>
      <c r="Z624" s="53">
        <v>9999</v>
      </c>
      <c r="AA624" s="53"/>
      <c r="AB624" s="53">
        <v>30</v>
      </c>
      <c r="AC624" s="53">
        <v>30</v>
      </c>
      <c r="AD624" s="53">
        <v>30</v>
      </c>
      <c r="AE624" s="94">
        <v>50</v>
      </c>
      <c r="AF624" s="94">
        <v>20</v>
      </c>
      <c r="AG624" s="94">
        <v>4000</v>
      </c>
      <c r="AH624" s="94">
        <v>50</v>
      </c>
      <c r="AI624" s="94">
        <v>0</v>
      </c>
      <c r="AJ624" s="94">
        <v>0</v>
      </c>
      <c r="AK624" s="94">
        <v>1</v>
      </c>
      <c r="AL624" s="94">
        <v>0</v>
      </c>
      <c r="AM624" s="98" t="s">
        <v>676</v>
      </c>
      <c r="AW624" s="88"/>
      <c r="AX624" s="88"/>
    </row>
    <row r="625" spans="2:50">
      <c r="B625" s="23">
        <v>5000059</v>
      </c>
      <c r="C625" s="83">
        <v>5000059</v>
      </c>
      <c r="D625" s="24" t="s">
        <v>1342</v>
      </c>
      <c r="E625" s="83" t="s">
        <v>2019</v>
      </c>
      <c r="F625" s="83"/>
      <c r="G625" s="9">
        <v>0</v>
      </c>
      <c r="H625" s="2"/>
      <c r="I625" s="2"/>
      <c r="J625" s="2"/>
      <c r="K625" s="2"/>
      <c r="L625" s="2"/>
      <c r="M625" s="88"/>
      <c r="N625" s="88">
        <v>0</v>
      </c>
      <c r="O625" s="88">
        <v>0</v>
      </c>
      <c r="P625" s="32">
        <v>1</v>
      </c>
      <c r="Q625" s="32">
        <v>1</v>
      </c>
      <c r="R625" s="88">
        <v>6</v>
      </c>
      <c r="S625" s="31"/>
      <c r="T625">
        <v>1</v>
      </c>
      <c r="U625">
        <v>1</v>
      </c>
      <c r="V625">
        <v>1</v>
      </c>
      <c r="W625">
        <v>1051</v>
      </c>
      <c r="X625" s="89" t="s">
        <v>1343</v>
      </c>
      <c r="Y625" s="89"/>
      <c r="Z625" s="53">
        <v>9999</v>
      </c>
      <c r="AA625" s="53"/>
      <c r="AB625" s="53">
        <v>30</v>
      </c>
      <c r="AC625" s="53">
        <v>30</v>
      </c>
      <c r="AD625" s="53">
        <v>30</v>
      </c>
      <c r="AE625" s="94">
        <v>50</v>
      </c>
      <c r="AF625" s="94">
        <v>20</v>
      </c>
      <c r="AG625" s="94">
        <v>4000</v>
      </c>
      <c r="AH625" s="94">
        <v>50</v>
      </c>
      <c r="AI625" s="94">
        <v>0</v>
      </c>
      <c r="AJ625" s="94">
        <v>0</v>
      </c>
      <c r="AK625" s="94">
        <v>1</v>
      </c>
      <c r="AL625" s="94">
        <v>0</v>
      </c>
      <c r="AM625" s="98" t="s">
        <v>676</v>
      </c>
      <c r="AW625" s="88"/>
      <c r="AX625" s="88"/>
    </row>
    <row r="626" spans="2:50">
      <c r="B626" s="23">
        <v>5000060</v>
      </c>
      <c r="C626" s="83">
        <v>5000060</v>
      </c>
      <c r="D626" s="24" t="s">
        <v>2025</v>
      </c>
      <c r="E626" s="83" t="s">
        <v>2019</v>
      </c>
      <c r="F626" s="83"/>
      <c r="G626" s="9">
        <v>0</v>
      </c>
      <c r="H626" s="2"/>
      <c r="I626" s="2"/>
      <c r="J626" s="2"/>
      <c r="K626" s="2"/>
      <c r="L626" s="2"/>
      <c r="M626" s="88"/>
      <c r="N626" s="88">
        <v>0</v>
      </c>
      <c r="O626" s="88">
        <v>0</v>
      </c>
      <c r="P626" s="32">
        <v>1</v>
      </c>
      <c r="Q626" s="32">
        <v>1</v>
      </c>
      <c r="R626" s="88">
        <v>8</v>
      </c>
      <c r="S626" s="31"/>
      <c r="T626">
        <v>1</v>
      </c>
      <c r="U626">
        <v>1</v>
      </c>
      <c r="V626">
        <v>1</v>
      </c>
      <c r="W626">
        <v>1035</v>
      </c>
      <c r="X626" s="89" t="s">
        <v>1331</v>
      </c>
      <c r="Y626" s="89"/>
      <c r="Z626" s="53">
        <v>9999</v>
      </c>
      <c r="AA626" s="53"/>
      <c r="AB626" s="53">
        <v>30</v>
      </c>
      <c r="AC626" s="53">
        <v>30</v>
      </c>
      <c r="AD626" s="53">
        <v>30</v>
      </c>
      <c r="AE626" s="94">
        <v>50</v>
      </c>
      <c r="AF626" s="94">
        <v>20</v>
      </c>
      <c r="AG626" s="94">
        <v>4000</v>
      </c>
      <c r="AH626" s="94">
        <v>50</v>
      </c>
      <c r="AI626" s="94">
        <v>0</v>
      </c>
      <c r="AJ626" s="94">
        <v>0</v>
      </c>
      <c r="AK626" s="94">
        <v>1</v>
      </c>
      <c r="AL626" s="94">
        <v>0</v>
      </c>
      <c r="AM626" s="98" t="s">
        <v>676</v>
      </c>
      <c r="AW626" s="88"/>
      <c r="AX626" s="88"/>
    </row>
    <row r="627" spans="2:50">
      <c r="B627" s="23">
        <v>5000061</v>
      </c>
      <c r="C627" s="83">
        <v>5000061</v>
      </c>
      <c r="D627" s="24" t="s">
        <v>2026</v>
      </c>
      <c r="E627" s="83" t="s">
        <v>2019</v>
      </c>
      <c r="F627" s="83"/>
      <c r="G627" s="9">
        <v>0</v>
      </c>
      <c r="H627" s="2"/>
      <c r="I627" s="2"/>
      <c r="J627" s="2"/>
      <c r="K627" s="2"/>
      <c r="L627" s="2"/>
      <c r="M627" s="88"/>
      <c r="N627" s="88">
        <v>0</v>
      </c>
      <c r="O627" s="88">
        <v>0</v>
      </c>
      <c r="P627" s="32">
        <v>1</v>
      </c>
      <c r="Q627" s="32">
        <v>1</v>
      </c>
      <c r="R627" s="88">
        <v>8</v>
      </c>
      <c r="S627" s="31"/>
      <c r="T627">
        <v>1</v>
      </c>
      <c r="U627">
        <v>1</v>
      </c>
      <c r="V627">
        <v>1</v>
      </c>
      <c r="W627">
        <v>1036</v>
      </c>
      <c r="X627" s="89" t="s">
        <v>1333</v>
      </c>
      <c r="Y627" s="89"/>
      <c r="Z627" s="53">
        <v>9999</v>
      </c>
      <c r="AA627" s="53"/>
      <c r="AB627" s="53">
        <v>30</v>
      </c>
      <c r="AC627" s="53">
        <v>30</v>
      </c>
      <c r="AD627" s="53">
        <v>30</v>
      </c>
      <c r="AE627" s="94">
        <v>50</v>
      </c>
      <c r="AF627" s="94">
        <v>20</v>
      </c>
      <c r="AG627" s="94">
        <v>4000</v>
      </c>
      <c r="AH627" s="94">
        <v>50</v>
      </c>
      <c r="AI627" s="94">
        <v>0</v>
      </c>
      <c r="AJ627" s="94">
        <v>0</v>
      </c>
      <c r="AK627" s="94">
        <v>1</v>
      </c>
      <c r="AL627" s="94">
        <v>0</v>
      </c>
      <c r="AM627" s="98" t="s">
        <v>676</v>
      </c>
      <c r="AW627" s="88"/>
      <c r="AX627" s="88"/>
    </row>
  </sheetData>
  <conditionalFormatting sqref="BN14">
    <cfRule type="duplicateValues" dxfId="0" priority="2"/>
    <cfRule type="duplicateValues" dxfId="0" priority="1"/>
  </conditionalFormatting>
  <conditionalFormatting sqref="Z15">
    <cfRule type="duplicateValues" dxfId="0" priority="419"/>
    <cfRule type="duplicateValues" dxfId="0" priority="420"/>
  </conditionalFormatting>
  <conditionalFormatting sqref="Z16">
    <cfRule type="duplicateValues" dxfId="0" priority="416"/>
    <cfRule type="duplicateValues" dxfId="0" priority="417"/>
    <cfRule type="duplicateValues" dxfId="0" priority="418"/>
  </conditionalFormatting>
  <conditionalFormatting sqref="Z24">
    <cfRule type="duplicateValues" dxfId="0" priority="355"/>
    <cfRule type="duplicateValues" dxfId="0" priority="356"/>
    <cfRule type="duplicateValues" dxfId="0" priority="357"/>
    <cfRule type="duplicateValues" dxfId="0" priority="358"/>
    <cfRule type="duplicateValues" dxfId="0" priority="359"/>
    <cfRule type="duplicateValues" dxfId="0" priority="360"/>
  </conditionalFormatting>
  <conditionalFormatting sqref="Z25">
    <cfRule type="duplicateValues" dxfId="0" priority="427"/>
    <cfRule type="duplicateValues" dxfId="0" priority="428"/>
    <cfRule type="duplicateValues" dxfId="0" priority="429"/>
    <cfRule type="duplicateValues" dxfId="0" priority="430"/>
    <cfRule type="duplicateValues" dxfId="0" priority="431"/>
    <cfRule type="duplicateValues" dxfId="0" priority="432"/>
  </conditionalFormatting>
  <conditionalFormatting sqref="Z33">
    <cfRule type="duplicateValues" dxfId="0" priority="374"/>
    <cfRule type="duplicateValues" dxfId="0" priority="375"/>
    <cfRule type="duplicateValues" dxfId="0" priority="376"/>
  </conditionalFormatting>
  <conditionalFormatting sqref="B45">
    <cfRule type="duplicateValues" dxfId="0" priority="373"/>
  </conditionalFormatting>
  <conditionalFormatting sqref="C45">
    <cfRule type="duplicateValues" dxfId="0" priority="270"/>
  </conditionalFormatting>
  <conditionalFormatting sqref="Z45">
    <cfRule type="duplicateValues" dxfId="0" priority="366"/>
    <cfRule type="duplicateValues" dxfId="0" priority="368"/>
    <cfRule type="duplicateValues" dxfId="0" priority="370"/>
  </conditionalFormatting>
  <conditionalFormatting sqref="B46">
    <cfRule type="duplicateValues" dxfId="0" priority="372"/>
  </conditionalFormatting>
  <conditionalFormatting sqref="C46">
    <cfRule type="duplicateValues" dxfId="0" priority="269"/>
  </conditionalFormatting>
  <conditionalFormatting sqref="Z46">
    <cfRule type="duplicateValues" dxfId="0" priority="324"/>
    <cfRule type="duplicateValues" dxfId="0" priority="325"/>
    <cfRule type="duplicateValues" dxfId="0" priority="326"/>
  </conditionalFormatting>
  <conditionalFormatting sqref="B47">
    <cfRule type="duplicateValues" dxfId="0" priority="371"/>
  </conditionalFormatting>
  <conditionalFormatting sqref="C47">
    <cfRule type="duplicateValues" dxfId="0" priority="268"/>
  </conditionalFormatting>
  <conditionalFormatting sqref="Z47">
    <cfRule type="duplicateValues" dxfId="0" priority="365"/>
    <cfRule type="duplicateValues" dxfId="0" priority="367"/>
    <cfRule type="duplicateValues" dxfId="0" priority="369"/>
  </conditionalFormatting>
  <conditionalFormatting sqref="Z48">
    <cfRule type="duplicateValues" dxfId="0" priority="379"/>
    <cfRule type="duplicateValues" dxfId="0" priority="380"/>
    <cfRule type="duplicateValues" dxfId="0" priority="381"/>
    <cfRule type="duplicateValues" dxfId="0" priority="382"/>
    <cfRule type="duplicateValues" dxfId="0" priority="383"/>
    <cfRule type="duplicateValues" dxfId="0" priority="384"/>
  </conditionalFormatting>
  <conditionalFormatting sqref="Z55">
    <cfRule type="duplicateValues" dxfId="0" priority="411"/>
    <cfRule type="duplicateValues" dxfId="0" priority="412"/>
    <cfRule type="duplicateValues" dxfId="0" priority="413"/>
    <cfRule type="duplicateValues" dxfId="0" priority="414"/>
    <cfRule type="duplicateValues" dxfId="0" priority="415"/>
  </conditionalFormatting>
  <conditionalFormatting sqref="B59">
    <cfRule type="duplicateValues" dxfId="0" priority="353"/>
  </conditionalFormatting>
  <conditionalFormatting sqref="C59">
    <cfRule type="duplicateValues" dxfId="0" priority="265"/>
  </conditionalFormatting>
  <conditionalFormatting sqref="Z59">
    <cfRule type="duplicateValues" dxfId="0" priority="348"/>
    <cfRule type="duplicateValues" dxfId="0" priority="349"/>
    <cfRule type="duplicateValues" dxfId="0" priority="350"/>
    <cfRule type="duplicateValues" dxfId="0" priority="351"/>
    <cfRule type="duplicateValues" dxfId="0" priority="352"/>
  </conditionalFormatting>
  <conditionalFormatting sqref="B61">
    <cfRule type="duplicateValues" dxfId="0" priority="364"/>
  </conditionalFormatting>
  <conditionalFormatting sqref="C61">
    <cfRule type="duplicateValues" dxfId="0" priority="267"/>
  </conditionalFormatting>
  <conditionalFormatting sqref="Z61">
    <cfRule type="duplicateValues" dxfId="0" priority="361"/>
    <cfRule type="duplicateValues" dxfId="0" priority="362"/>
    <cfRule type="duplicateValues" dxfId="0" priority="363"/>
  </conditionalFormatting>
  <conditionalFormatting sqref="B70">
    <cfRule type="duplicateValues" dxfId="0" priority="313"/>
  </conditionalFormatting>
  <conditionalFormatting sqref="C70">
    <cfRule type="duplicateValues" dxfId="0" priority="255"/>
  </conditionalFormatting>
  <conditionalFormatting sqref="Z70">
    <cfRule type="duplicateValues" dxfId="0" priority="310"/>
    <cfRule type="duplicateValues" dxfId="0" priority="311"/>
    <cfRule type="duplicateValues" dxfId="0" priority="312"/>
  </conditionalFormatting>
  <conditionalFormatting sqref="B72">
    <cfRule type="duplicateValues" dxfId="0" priority="303"/>
  </conditionalFormatting>
  <conditionalFormatting sqref="C72">
    <cfRule type="duplicateValues" dxfId="0" priority="253"/>
  </conditionalFormatting>
  <conditionalFormatting sqref="Z72">
    <cfRule type="duplicateValues" dxfId="0" priority="300"/>
    <cfRule type="duplicateValues" dxfId="0" priority="301"/>
    <cfRule type="duplicateValues" dxfId="0" priority="302"/>
  </conditionalFormatting>
  <conditionalFormatting sqref="B75">
    <cfRule type="duplicateValues" dxfId="0" priority="284"/>
  </conditionalFormatting>
  <conditionalFormatting sqref="C75">
    <cfRule type="duplicateValues" dxfId="0" priority="249"/>
  </conditionalFormatting>
  <conditionalFormatting sqref="Z75">
    <cfRule type="duplicateValues" dxfId="0" priority="281"/>
    <cfRule type="duplicateValues" dxfId="0" priority="282"/>
    <cfRule type="duplicateValues" dxfId="0" priority="283"/>
  </conditionalFormatting>
  <conditionalFormatting sqref="C79">
    <cfRule type="duplicateValues" dxfId="0" priority="195"/>
    <cfRule type="duplicateValues" dxfId="0" priority="196"/>
  </conditionalFormatting>
  <conditionalFormatting sqref="C80">
    <cfRule type="duplicateValues" dxfId="0" priority="197"/>
    <cfRule type="duplicateValues" dxfId="0" priority="198"/>
  </conditionalFormatting>
  <conditionalFormatting sqref="C82">
    <cfRule type="duplicateValues" dxfId="0" priority="199"/>
    <cfRule type="duplicateValues" dxfId="0" priority="200"/>
  </conditionalFormatting>
  <conditionalFormatting sqref="B83">
    <cfRule type="duplicateValues" dxfId="0" priority="218"/>
    <cfRule type="duplicateValues" dxfId="0" priority="222"/>
  </conditionalFormatting>
  <conditionalFormatting sqref="C83">
    <cfRule type="duplicateValues" dxfId="0" priority="201"/>
    <cfRule type="duplicateValues" dxfId="0" priority="202"/>
  </conditionalFormatting>
  <conditionalFormatting sqref="Z83">
    <cfRule type="duplicateValues" dxfId="0" priority="219"/>
    <cfRule type="duplicateValues" dxfId="0" priority="220"/>
    <cfRule type="duplicateValues" dxfId="0" priority="221"/>
  </conditionalFormatting>
  <conditionalFormatting sqref="C84">
    <cfRule type="duplicateValues" dxfId="0" priority="245"/>
  </conditionalFormatting>
  <conditionalFormatting sqref="C85">
    <cfRule type="duplicateValues" dxfId="0" priority="211"/>
    <cfRule type="duplicateValues" dxfId="0" priority="212"/>
  </conditionalFormatting>
  <conditionalFormatting sqref="Z98">
    <cfRule type="duplicateValues" dxfId="0" priority="169"/>
    <cfRule type="duplicateValues" dxfId="0" priority="170"/>
    <cfRule type="duplicateValues" dxfId="0" priority="171"/>
  </conditionalFormatting>
  <conditionalFormatting sqref="C106">
    <cfRule type="duplicateValues" dxfId="0" priority="28"/>
  </conditionalFormatting>
  <conditionalFormatting sqref="C107">
    <cfRule type="duplicateValues" dxfId="0" priority="27"/>
  </conditionalFormatting>
  <conditionalFormatting sqref="Z111">
    <cfRule type="duplicateValues" dxfId="0" priority="10"/>
    <cfRule type="duplicateValues" dxfId="0" priority="11"/>
    <cfRule type="duplicateValues" dxfId="0" priority="12"/>
  </conditionalFormatting>
  <conditionalFormatting sqref="B248">
    <cfRule type="duplicateValues" dxfId="0" priority="323"/>
  </conditionalFormatting>
  <conditionalFormatting sqref="C248">
    <cfRule type="duplicateValues" dxfId="0" priority="260"/>
  </conditionalFormatting>
  <conditionalFormatting sqref="W269">
    <cfRule type="duplicateValues" dxfId="0" priority="317"/>
  </conditionalFormatting>
  <conditionalFormatting sqref="W321">
    <cfRule type="duplicateValues" dxfId="0" priority="225"/>
  </conditionalFormatting>
  <conditionalFormatting sqref="W322">
    <cfRule type="duplicateValues" dxfId="0" priority="224"/>
  </conditionalFormatting>
  <conditionalFormatting sqref="B350">
    <cfRule type="duplicateValues" dxfId="0" priority="130"/>
    <cfRule type="duplicateValues" dxfId="0" priority="132"/>
  </conditionalFormatting>
  <conditionalFormatting sqref="C350">
    <cfRule type="duplicateValues" dxfId="0" priority="131"/>
  </conditionalFormatting>
  <conditionalFormatting sqref="W350">
    <cfRule type="duplicateValues" dxfId="0" priority="129"/>
  </conditionalFormatting>
  <conditionalFormatting sqref="W359">
    <cfRule type="duplicateValues" dxfId="0" priority="87"/>
  </conditionalFormatting>
  <conditionalFormatting sqref="W368">
    <cfRule type="duplicateValues" dxfId="0" priority="52"/>
  </conditionalFormatting>
  <conditionalFormatting sqref="C375">
    <cfRule type="duplicateValues" dxfId="0" priority="44"/>
    <cfRule type="duplicateValues" dxfId="0" priority="45"/>
  </conditionalFormatting>
  <conditionalFormatting sqref="B376">
    <cfRule type="duplicateValues" dxfId="0" priority="32"/>
    <cfRule type="duplicateValues" dxfId="0" priority="33"/>
  </conditionalFormatting>
  <conditionalFormatting sqref="C376">
    <cfRule type="duplicateValues" dxfId="0" priority="29"/>
    <cfRule type="duplicateValues" dxfId="0" priority="30"/>
  </conditionalFormatting>
  <conditionalFormatting sqref="W376">
    <cfRule type="duplicateValues" dxfId="0" priority="31"/>
  </conditionalFormatting>
  <conditionalFormatting sqref="W382">
    <cfRule type="duplicateValues" dxfId="0" priority="9"/>
  </conditionalFormatting>
  <conditionalFormatting sqref="C397">
    <cfRule type="duplicateValues" dxfId="0" priority="5"/>
    <cfRule type="duplicateValues" dxfId="0" priority="6"/>
  </conditionalFormatting>
  <conditionalFormatting sqref="B413">
    <cfRule type="duplicateValues" dxfId="0" priority="378"/>
  </conditionalFormatting>
  <conditionalFormatting sqref="C413">
    <cfRule type="duplicateValues" dxfId="0" priority="272"/>
  </conditionalFormatting>
  <conditionalFormatting sqref="B414">
    <cfRule type="duplicateValues" dxfId="0" priority="354"/>
  </conditionalFormatting>
  <conditionalFormatting sqref="C414">
    <cfRule type="duplicateValues" dxfId="0" priority="266"/>
  </conditionalFormatting>
  <conditionalFormatting sqref="B440">
    <cfRule type="duplicateValues" dxfId="0" priority="377"/>
  </conditionalFormatting>
  <conditionalFormatting sqref="C440">
    <cfRule type="duplicateValues" dxfId="0" priority="271"/>
  </conditionalFormatting>
  <conditionalFormatting sqref="B441">
    <cfRule type="duplicateValues" dxfId="0" priority="315"/>
  </conditionalFormatting>
  <conditionalFormatting sqref="C441">
    <cfRule type="duplicateValues" dxfId="0" priority="257"/>
  </conditionalFormatting>
  <conditionalFormatting sqref="C442">
    <cfRule type="duplicateValues" dxfId="0" priority="256"/>
  </conditionalFormatting>
  <conditionalFormatting sqref="C443">
    <cfRule type="duplicateValues" dxfId="0" priority="136"/>
    <cfRule type="duplicateValues" dxfId="0" priority="137"/>
  </conditionalFormatting>
  <conditionalFormatting sqref="B457">
    <cfRule type="duplicateValues" dxfId="0" priority="322"/>
  </conditionalFormatting>
  <conditionalFormatting sqref="C457">
    <cfRule type="duplicateValues" dxfId="0" priority="259"/>
  </conditionalFormatting>
  <conditionalFormatting sqref="B459">
    <cfRule type="duplicateValues" dxfId="0" priority="321"/>
  </conditionalFormatting>
  <conditionalFormatting sqref="C459">
    <cfRule type="duplicateValues" dxfId="0" priority="258"/>
  </conditionalFormatting>
  <conditionalFormatting sqref="Z459">
    <cfRule type="duplicateValues" dxfId="0" priority="318"/>
    <cfRule type="duplicateValues" dxfId="0" priority="319"/>
    <cfRule type="duplicateValues" dxfId="0" priority="320"/>
  </conditionalFormatting>
  <conditionalFormatting sqref="B467">
    <cfRule type="duplicateValues" dxfId="0" priority="191"/>
  </conditionalFormatting>
  <conditionalFormatting sqref="Z467">
    <cfRule type="duplicateValues" dxfId="0" priority="242"/>
    <cfRule type="duplicateValues" dxfId="0" priority="243"/>
    <cfRule type="duplicateValues" dxfId="0" priority="244"/>
  </conditionalFormatting>
  <conditionalFormatting sqref="B468">
    <cfRule type="duplicateValues" dxfId="0" priority="190"/>
  </conditionalFormatting>
  <conditionalFormatting sqref="Z468">
    <cfRule type="duplicateValues" dxfId="0" priority="233"/>
    <cfRule type="duplicateValues" dxfId="0" priority="234"/>
    <cfRule type="duplicateValues" dxfId="0" priority="235"/>
  </conditionalFormatting>
  <conditionalFormatting sqref="B469">
    <cfRule type="duplicateValues" dxfId="0" priority="189"/>
  </conditionalFormatting>
  <conditionalFormatting sqref="B470">
    <cfRule type="duplicateValues" dxfId="0" priority="188"/>
  </conditionalFormatting>
  <conditionalFormatting sqref="B471">
    <cfRule type="duplicateValues" dxfId="0" priority="187"/>
  </conditionalFormatting>
  <conditionalFormatting sqref="B472">
    <cfRule type="duplicateValues" dxfId="0" priority="186"/>
  </conditionalFormatting>
  <conditionalFormatting sqref="B473">
    <cfRule type="duplicateValues" dxfId="0" priority="185"/>
  </conditionalFormatting>
  <conditionalFormatting sqref="B474">
    <cfRule type="duplicateValues" dxfId="0" priority="184"/>
  </conditionalFormatting>
  <conditionalFormatting sqref="B475">
    <cfRule type="duplicateValues" dxfId="0" priority="183"/>
  </conditionalFormatting>
  <conditionalFormatting sqref="Z475">
    <cfRule type="duplicateValues" dxfId="0" priority="226"/>
    <cfRule type="duplicateValues" dxfId="0" priority="227"/>
    <cfRule type="duplicateValues" dxfId="0" priority="228"/>
  </conditionalFormatting>
  <conditionalFormatting sqref="B476">
    <cfRule type="duplicateValues" dxfId="0" priority="182"/>
  </conditionalFormatting>
  <conditionalFormatting sqref="Z476">
    <cfRule type="duplicateValues" dxfId="0" priority="203"/>
    <cfRule type="duplicateValues" dxfId="0" priority="204"/>
    <cfRule type="duplicateValues" dxfId="0" priority="205"/>
  </conditionalFormatting>
  <conditionalFormatting sqref="B477">
    <cfRule type="duplicateValues" dxfId="0" priority="181"/>
  </conditionalFormatting>
  <conditionalFormatting sqref="Z477">
    <cfRule type="duplicateValues" dxfId="0" priority="206"/>
    <cfRule type="duplicateValues" dxfId="0" priority="207"/>
    <cfRule type="duplicateValues" dxfId="0" priority="208"/>
  </conditionalFormatting>
  <conditionalFormatting sqref="B478">
    <cfRule type="duplicateValues" dxfId="0" priority="180"/>
  </conditionalFormatting>
  <conditionalFormatting sqref="B479">
    <cfRule type="duplicateValues" dxfId="0" priority="179"/>
  </conditionalFormatting>
  <conditionalFormatting sqref="B480">
    <cfRule type="duplicateValues" dxfId="0" priority="178"/>
  </conditionalFormatting>
  <conditionalFormatting sqref="B481">
    <cfRule type="duplicateValues" dxfId="0" priority="164"/>
    <cfRule type="duplicateValues" dxfId="0" priority="168"/>
  </conditionalFormatting>
  <conditionalFormatting sqref="C481">
    <cfRule type="duplicateValues" dxfId="0" priority="162"/>
    <cfRule type="duplicateValues" dxfId="0" priority="163"/>
  </conditionalFormatting>
  <conditionalFormatting sqref="Z481">
    <cfRule type="duplicateValues" dxfId="0" priority="165"/>
    <cfRule type="duplicateValues" dxfId="0" priority="166"/>
    <cfRule type="duplicateValues" dxfId="0" priority="167"/>
  </conditionalFormatting>
  <conditionalFormatting sqref="Z482">
    <cfRule type="duplicateValues" dxfId="0" priority="172"/>
    <cfRule type="duplicateValues" dxfId="0" priority="173"/>
    <cfRule type="duplicateValues" dxfId="0" priority="174"/>
  </conditionalFormatting>
  <conditionalFormatting sqref="B483">
    <cfRule type="duplicateValues" dxfId="0" priority="157"/>
    <cfRule type="duplicateValues" dxfId="0" priority="161"/>
  </conditionalFormatting>
  <conditionalFormatting sqref="C483">
    <cfRule type="duplicateValues" dxfId="0" priority="155"/>
    <cfRule type="duplicateValues" dxfId="0" priority="156"/>
  </conditionalFormatting>
  <conditionalFormatting sqref="Z483">
    <cfRule type="duplicateValues" dxfId="0" priority="158"/>
    <cfRule type="duplicateValues" dxfId="0" priority="159"/>
    <cfRule type="duplicateValues" dxfId="0" priority="160"/>
  </conditionalFormatting>
  <conditionalFormatting sqref="Z484">
    <cfRule type="duplicateValues" dxfId="0" priority="152"/>
    <cfRule type="duplicateValues" dxfId="0" priority="153"/>
    <cfRule type="duplicateValues" dxfId="0" priority="154"/>
  </conditionalFormatting>
  <conditionalFormatting sqref="B485">
    <cfRule type="duplicateValues" dxfId="0" priority="97"/>
    <cfRule type="duplicateValues" dxfId="0" priority="101"/>
  </conditionalFormatting>
  <conditionalFormatting sqref="C485">
    <cfRule type="duplicateValues" dxfId="0" priority="95"/>
    <cfRule type="duplicateValues" dxfId="0" priority="96"/>
  </conditionalFormatting>
  <conditionalFormatting sqref="Z485">
    <cfRule type="duplicateValues" dxfId="0" priority="98"/>
    <cfRule type="duplicateValues" dxfId="0" priority="99"/>
    <cfRule type="duplicateValues" dxfId="0" priority="100"/>
  </conditionalFormatting>
  <conditionalFormatting sqref="B486">
    <cfRule type="duplicateValues" dxfId="0" priority="147"/>
    <cfRule type="duplicateValues" dxfId="0" priority="151"/>
  </conditionalFormatting>
  <conditionalFormatting sqref="C486">
    <cfRule type="duplicateValues" dxfId="0" priority="145"/>
    <cfRule type="duplicateValues" dxfId="0" priority="146"/>
  </conditionalFormatting>
  <conditionalFormatting sqref="Z486">
    <cfRule type="duplicateValues" dxfId="0" priority="148"/>
    <cfRule type="duplicateValues" dxfId="0" priority="149"/>
    <cfRule type="duplicateValues" dxfId="0" priority="150"/>
  </conditionalFormatting>
  <conditionalFormatting sqref="Z488">
    <cfRule type="duplicateValues" dxfId="0" priority="88"/>
    <cfRule type="duplicateValues" dxfId="0" priority="89"/>
    <cfRule type="duplicateValues" dxfId="0" priority="90"/>
  </conditionalFormatting>
  <conditionalFormatting sqref="B491">
    <cfRule type="duplicateValues" dxfId="0" priority="36"/>
    <cfRule type="duplicateValues" dxfId="0" priority="40"/>
  </conditionalFormatting>
  <conditionalFormatting sqref="C491">
    <cfRule type="duplicateValues" dxfId="0" priority="34"/>
    <cfRule type="duplicateValues" dxfId="0" priority="35"/>
  </conditionalFormatting>
  <conditionalFormatting sqref="Z491">
    <cfRule type="duplicateValues" dxfId="0" priority="37"/>
    <cfRule type="duplicateValues" dxfId="0" priority="38"/>
    <cfRule type="duplicateValues" dxfId="0" priority="39"/>
  </conditionalFormatting>
  <conditionalFormatting sqref="Z493">
    <cfRule type="duplicateValues" dxfId="0" priority="17"/>
    <cfRule type="duplicateValues" dxfId="0" priority="18"/>
    <cfRule type="duplicateValues" dxfId="0" priority="19"/>
  </conditionalFormatting>
  <conditionalFormatting sqref="B494">
    <cfRule type="duplicateValues" dxfId="0" priority="20"/>
    <cfRule type="duplicateValues" dxfId="0" priority="22"/>
  </conditionalFormatting>
  <conditionalFormatting sqref="C494">
    <cfRule type="duplicateValues" dxfId="0" priority="21"/>
  </conditionalFormatting>
  <conditionalFormatting sqref="Z495">
    <cfRule type="duplicateValues" dxfId="0" priority="106"/>
    <cfRule type="duplicateValues" dxfId="0" priority="107"/>
    <cfRule type="duplicateValues" dxfId="0" priority="108"/>
  </conditionalFormatting>
  <conditionalFormatting sqref="Z496">
    <cfRule type="duplicateValues" dxfId="0" priority="118"/>
    <cfRule type="duplicateValues" dxfId="0" priority="119"/>
    <cfRule type="duplicateValues" dxfId="0" priority="120"/>
  </conditionalFormatting>
  <conditionalFormatting sqref="Z497">
    <cfRule type="duplicateValues" dxfId="0" priority="115"/>
    <cfRule type="duplicateValues" dxfId="0" priority="116"/>
    <cfRule type="duplicateValues" dxfId="0" priority="117"/>
  </conditionalFormatting>
  <conditionalFormatting sqref="Z498">
    <cfRule type="duplicateValues" dxfId="0" priority="112"/>
    <cfRule type="duplicateValues" dxfId="0" priority="113"/>
    <cfRule type="duplicateValues" dxfId="0" priority="114"/>
  </conditionalFormatting>
  <conditionalFormatting sqref="Z499">
    <cfRule type="duplicateValues" dxfId="0" priority="109"/>
    <cfRule type="duplicateValues" dxfId="0" priority="110"/>
    <cfRule type="duplicateValues" dxfId="0" priority="111"/>
  </conditionalFormatting>
  <conditionalFormatting sqref="W500">
    <cfRule type="duplicateValues" dxfId="0" priority="342"/>
  </conditionalFormatting>
  <conditionalFormatting sqref="W501">
    <cfRule type="duplicateValues" dxfId="0" priority="341"/>
  </conditionalFormatting>
  <conditionalFormatting sqref="W502">
    <cfRule type="duplicateValues" dxfId="0" priority="340"/>
  </conditionalFormatting>
  <conditionalFormatting sqref="W503">
    <cfRule type="duplicateValues" dxfId="0" priority="339"/>
  </conditionalFormatting>
  <conditionalFormatting sqref="W504">
    <cfRule type="duplicateValues" dxfId="0" priority="338"/>
  </conditionalFormatting>
  <conditionalFormatting sqref="W505">
    <cfRule type="duplicateValues" dxfId="0" priority="337"/>
  </conditionalFormatting>
  <conditionalFormatting sqref="W506">
    <cfRule type="duplicateValues" dxfId="0" priority="336"/>
  </conditionalFormatting>
  <conditionalFormatting sqref="W507">
    <cfRule type="duplicateValues" dxfId="0" priority="335"/>
  </conditionalFormatting>
  <conditionalFormatting sqref="W508">
    <cfRule type="duplicateValues" dxfId="0" priority="334"/>
  </conditionalFormatting>
  <conditionalFormatting sqref="W509">
    <cfRule type="duplicateValues" dxfId="0" priority="333"/>
  </conditionalFormatting>
  <conditionalFormatting sqref="W510">
    <cfRule type="duplicateValues" dxfId="0" priority="332"/>
  </conditionalFormatting>
  <conditionalFormatting sqref="W511">
    <cfRule type="duplicateValues" dxfId="0" priority="331"/>
  </conditionalFormatting>
  <conditionalFormatting sqref="W512">
    <cfRule type="duplicateValues" dxfId="0" priority="330"/>
  </conditionalFormatting>
  <conditionalFormatting sqref="W513">
    <cfRule type="duplicateValues" dxfId="0" priority="329"/>
  </conditionalFormatting>
  <conditionalFormatting sqref="Z572">
    <cfRule type="duplicateValues" dxfId="0" priority="81"/>
    <cfRule type="duplicateValues" dxfId="0" priority="82"/>
    <cfRule type="duplicateValues" dxfId="0" priority="83"/>
  </conditionalFormatting>
  <conditionalFormatting sqref="Z573">
    <cfRule type="duplicateValues" dxfId="0" priority="78"/>
    <cfRule type="duplicateValues" dxfId="0" priority="79"/>
    <cfRule type="duplicateValues" dxfId="0" priority="80"/>
  </conditionalFormatting>
  <conditionalFormatting sqref="W574">
    <cfRule type="duplicateValues" dxfId="0" priority="77"/>
  </conditionalFormatting>
  <conditionalFormatting sqref="C575">
    <cfRule type="duplicateValues" dxfId="0" priority="54"/>
  </conditionalFormatting>
  <conditionalFormatting sqref="W575">
    <cfRule type="duplicateValues" dxfId="0" priority="53"/>
  </conditionalFormatting>
  <conditionalFormatting sqref="W579">
    <cfRule type="duplicateValues" dxfId="0" priority="75"/>
  </conditionalFormatting>
  <conditionalFormatting sqref="Z580">
    <cfRule type="duplicateValues" dxfId="0" priority="69"/>
    <cfRule type="duplicateValues" dxfId="0" priority="70"/>
    <cfRule type="duplicateValues" dxfId="0" priority="71"/>
    <cfRule type="duplicateValues" dxfId="0" priority="72"/>
    <cfRule type="duplicateValues" dxfId="0" priority="73"/>
    <cfRule type="duplicateValues" dxfId="0" priority="74"/>
  </conditionalFormatting>
  <conditionalFormatting sqref="W585">
    <cfRule type="duplicateValues" dxfId="0" priority="67"/>
  </conditionalFormatting>
  <conditionalFormatting sqref="Z590">
    <cfRule type="duplicateValues" dxfId="0" priority="58"/>
    <cfRule type="duplicateValues" dxfId="0" priority="59"/>
  </conditionalFormatting>
  <conditionalFormatting sqref="Z591">
    <cfRule type="duplicateValues" dxfId="0" priority="55"/>
    <cfRule type="duplicateValues" dxfId="0" priority="56"/>
    <cfRule type="duplicateValues" dxfId="0" priority="57"/>
  </conditionalFormatting>
  <conditionalFormatting sqref="B52:B54">
    <cfRule type="duplicateValues" dxfId="0" priority="299"/>
  </conditionalFormatting>
  <conditionalFormatting sqref="B73:B74">
    <cfRule type="duplicateValues" dxfId="0" priority="307"/>
  </conditionalFormatting>
  <conditionalFormatting sqref="B76:B77">
    <cfRule type="duplicateValues" dxfId="0" priority="292"/>
  </conditionalFormatting>
  <conditionalFormatting sqref="B85:B94">
    <cfRule type="duplicateValues" dxfId="0" priority="213"/>
    <cfRule type="duplicateValues" dxfId="0" priority="217"/>
  </conditionalFormatting>
  <conditionalFormatting sqref="B167:B177">
    <cfRule type="duplicateValues" dxfId="0" priority="386"/>
  </conditionalFormatting>
  <conditionalFormatting sqref="B261:B349">
    <cfRule type="duplicateValues" dxfId="0" priority="444"/>
  </conditionalFormatting>
  <conditionalFormatting sqref="B351:B353">
    <cfRule type="duplicateValues" dxfId="0" priority="126"/>
    <cfRule type="duplicateValues" dxfId="0" priority="128"/>
  </conditionalFormatting>
  <conditionalFormatting sqref="B354:B355">
    <cfRule type="duplicateValues" dxfId="0" priority="122"/>
    <cfRule type="duplicateValues" dxfId="0" priority="124"/>
  </conditionalFormatting>
  <conditionalFormatting sqref="B356:B375">
    <cfRule type="duplicateValues" dxfId="0" priority="103"/>
    <cfRule type="duplicateValues" dxfId="0" priority="105"/>
  </conditionalFormatting>
  <conditionalFormatting sqref="B377:B380">
    <cfRule type="duplicateValues" dxfId="0" priority="25"/>
    <cfRule type="duplicateValues" dxfId="0" priority="26"/>
  </conditionalFormatting>
  <conditionalFormatting sqref="B381:B397">
    <cfRule type="duplicateValues" dxfId="0" priority="15"/>
    <cfRule type="duplicateValues" dxfId="0" priority="16"/>
  </conditionalFormatting>
  <conditionalFormatting sqref="B442:B443">
    <cfRule type="duplicateValues" dxfId="0" priority="314"/>
  </conditionalFormatting>
  <conditionalFormatting sqref="B525:B544">
    <cfRule type="duplicateValues" dxfId="0" priority="446"/>
  </conditionalFormatting>
  <conditionalFormatting sqref="B545:B548">
    <cfRule type="duplicateValues" dxfId="0" priority="92"/>
    <cfRule type="duplicateValues" dxfId="0" priority="93"/>
  </conditionalFormatting>
  <conditionalFormatting sqref="B567:B592">
    <cfRule type="duplicateValues" dxfId="0" priority="84"/>
    <cfRule type="duplicateValues" dxfId="0" priority="86"/>
  </conditionalFormatting>
  <conditionalFormatting sqref="C52:C54">
    <cfRule type="duplicateValues" dxfId="0" priority="252"/>
  </conditionalFormatting>
  <conditionalFormatting sqref="C73:C74">
    <cfRule type="duplicateValues" dxfId="0" priority="254"/>
  </conditionalFormatting>
  <conditionalFormatting sqref="C76:C77">
    <cfRule type="duplicateValues" dxfId="0" priority="251"/>
  </conditionalFormatting>
  <conditionalFormatting sqref="C86:C87">
    <cfRule type="duplicateValues" dxfId="0" priority="176"/>
    <cfRule type="duplicateValues" dxfId="0" priority="177"/>
  </conditionalFormatting>
  <conditionalFormatting sqref="C88:C94">
    <cfRule type="duplicateValues" dxfId="0" priority="209"/>
    <cfRule type="duplicateValues" dxfId="0" priority="210"/>
  </conditionalFormatting>
  <conditionalFormatting sqref="C167:C177">
    <cfRule type="duplicateValues" dxfId="0" priority="273"/>
  </conditionalFormatting>
  <conditionalFormatting sqref="C261:C349">
    <cfRule type="duplicateValues" dxfId="0" priority="279"/>
  </conditionalFormatting>
  <conditionalFormatting sqref="C351:C353">
    <cfRule type="duplicateValues" dxfId="0" priority="127"/>
  </conditionalFormatting>
  <conditionalFormatting sqref="C354:C355">
    <cfRule type="duplicateValues" dxfId="0" priority="123"/>
  </conditionalFormatting>
  <conditionalFormatting sqref="C356:C368">
    <cfRule type="duplicateValues" dxfId="0" priority="104"/>
  </conditionalFormatting>
  <conditionalFormatting sqref="C369:C374">
    <cfRule type="duplicateValues" dxfId="0" priority="50"/>
    <cfRule type="duplicateValues" dxfId="0" priority="51"/>
  </conditionalFormatting>
  <conditionalFormatting sqref="C377:C380">
    <cfRule type="duplicateValues" dxfId="0" priority="23"/>
    <cfRule type="duplicateValues" dxfId="0" priority="24"/>
  </conditionalFormatting>
  <conditionalFormatting sqref="C381:C396">
    <cfRule type="duplicateValues" dxfId="0" priority="13"/>
    <cfRule type="duplicateValues" dxfId="0" priority="14"/>
  </conditionalFormatting>
  <conditionalFormatting sqref="C525:C544">
    <cfRule type="duplicateValues" dxfId="0" priority="447"/>
  </conditionalFormatting>
  <conditionalFormatting sqref="C545:C548">
    <cfRule type="duplicateValues" dxfId="0" priority="94"/>
  </conditionalFormatting>
  <conditionalFormatting sqref="C549:C566">
    <cfRule type="duplicateValues" dxfId="0" priority="91"/>
  </conditionalFormatting>
  <conditionalFormatting sqref="W133:W149">
    <cfRule type="duplicateValues" dxfId="0" priority="407"/>
  </conditionalFormatting>
  <conditionalFormatting sqref="W150:W166">
    <cfRule type="duplicateValues" dxfId="0" priority="434"/>
  </conditionalFormatting>
  <conditionalFormatting sqref="W167:W177">
    <cfRule type="duplicateValues" dxfId="0" priority="385"/>
  </conditionalFormatting>
  <conditionalFormatting sqref="W178:W190">
    <cfRule type="duplicateValues" dxfId="0" priority="435"/>
  </conditionalFormatting>
  <conditionalFormatting sqref="W282:W283">
    <cfRule type="duplicateValues" dxfId="0" priority="309"/>
  </conditionalFormatting>
  <conditionalFormatting sqref="W284:W285">
    <cfRule type="duplicateValues" dxfId="0" priority="308"/>
  </conditionalFormatting>
  <conditionalFormatting sqref="W286:W310">
    <cfRule type="duplicateValues" dxfId="0" priority="293"/>
  </conditionalFormatting>
  <conditionalFormatting sqref="W311:W314">
    <cfRule type="duplicateValues" dxfId="0" priority="445"/>
  </conditionalFormatting>
  <conditionalFormatting sqref="W315:W317">
    <cfRule type="duplicateValues" dxfId="0" priority="280"/>
  </conditionalFormatting>
  <conditionalFormatting sqref="W323:W343">
    <cfRule type="duplicateValues" dxfId="0" priority="223"/>
  </conditionalFormatting>
  <conditionalFormatting sqref="W344:W349">
    <cfRule type="duplicateValues" dxfId="0" priority="175"/>
  </conditionalFormatting>
  <conditionalFormatting sqref="W351:W353">
    <cfRule type="duplicateValues" dxfId="0" priority="125"/>
  </conditionalFormatting>
  <conditionalFormatting sqref="W354:W355">
    <cfRule type="duplicateValues" dxfId="0" priority="121"/>
  </conditionalFormatting>
  <conditionalFormatting sqref="W369:W375">
    <cfRule type="duplicateValues" dxfId="0" priority="49"/>
  </conditionalFormatting>
  <conditionalFormatting sqref="W383:W384">
    <cfRule type="duplicateValues" dxfId="0" priority="8"/>
  </conditionalFormatting>
  <conditionalFormatting sqref="W385:W397">
    <cfRule type="duplicateValues" dxfId="0" priority="7"/>
  </conditionalFormatting>
  <conditionalFormatting sqref="W576:W578">
    <cfRule type="duplicateValues" dxfId="0" priority="76"/>
  </conditionalFormatting>
  <conditionalFormatting sqref="W581:W583">
    <cfRule type="duplicateValues" dxfId="0" priority="68"/>
  </conditionalFormatting>
  <conditionalFormatting sqref="W586:W589">
    <cfRule type="duplicateValues" dxfId="0" priority="66"/>
  </conditionalFormatting>
  <conditionalFormatting sqref="Z7:Z16">
    <cfRule type="duplicateValues" dxfId="0" priority="424"/>
    <cfRule type="duplicateValues" dxfId="0" priority="425"/>
    <cfRule type="duplicateValues" dxfId="0" priority="426"/>
  </conditionalFormatting>
  <conditionalFormatting sqref="Z7:Z11">
    <cfRule type="duplicateValues" dxfId="0" priority="408"/>
    <cfRule type="duplicateValues" dxfId="0" priority="409"/>
    <cfRule type="duplicateValues" dxfId="0" priority="410"/>
  </conditionalFormatting>
  <conditionalFormatting sqref="Z12:Z16">
    <cfRule type="duplicateValues" dxfId="0" priority="421"/>
    <cfRule type="duplicateValues" dxfId="0" priority="422"/>
    <cfRule type="duplicateValues" dxfId="0" priority="423"/>
  </conditionalFormatting>
  <conditionalFormatting sqref="Z17:Z21">
    <cfRule type="duplicateValues" dxfId="0" priority="395"/>
    <cfRule type="duplicateValues" dxfId="0" priority="396"/>
    <cfRule type="duplicateValues" dxfId="0" priority="397"/>
    <cfRule type="duplicateValues" dxfId="0" priority="398"/>
    <cfRule type="duplicateValues" dxfId="0" priority="399"/>
    <cfRule type="duplicateValues" dxfId="0" priority="400"/>
  </conditionalFormatting>
  <conditionalFormatting sqref="Z22:Z23">
    <cfRule type="duplicateValues" dxfId="0" priority="401"/>
    <cfRule type="duplicateValues" dxfId="0" priority="402"/>
    <cfRule type="duplicateValues" dxfId="0" priority="403"/>
    <cfRule type="duplicateValues" dxfId="0" priority="404"/>
    <cfRule type="duplicateValues" dxfId="0" priority="405"/>
    <cfRule type="duplicateValues" dxfId="0" priority="406"/>
  </conditionalFormatting>
  <conditionalFormatting sqref="Z50:Z51">
    <cfRule type="duplicateValues" dxfId="0" priority="438"/>
    <cfRule type="duplicateValues" dxfId="0" priority="439"/>
    <cfRule type="duplicateValues" dxfId="0" priority="440"/>
    <cfRule type="duplicateValues" dxfId="0" priority="441"/>
    <cfRule type="duplicateValues" dxfId="0" priority="442"/>
    <cfRule type="duplicateValues" dxfId="0" priority="443"/>
  </conditionalFormatting>
  <conditionalFormatting sqref="Z52:Z54">
    <cfRule type="duplicateValues" dxfId="0" priority="294"/>
    <cfRule type="duplicateValues" dxfId="0" priority="295"/>
    <cfRule type="duplicateValues" dxfId="0" priority="296"/>
    <cfRule type="duplicateValues" dxfId="0" priority="297"/>
    <cfRule type="duplicateValues" dxfId="0" priority="298"/>
  </conditionalFormatting>
  <conditionalFormatting sqref="Z73:Z74">
    <cfRule type="duplicateValues" dxfId="0" priority="304"/>
    <cfRule type="duplicateValues" dxfId="0" priority="305"/>
    <cfRule type="duplicateValues" dxfId="0" priority="306"/>
  </conditionalFormatting>
  <conditionalFormatting sqref="Z76:Z77">
    <cfRule type="duplicateValues" dxfId="0" priority="289"/>
    <cfRule type="duplicateValues" dxfId="0" priority="290"/>
    <cfRule type="duplicateValues" dxfId="0" priority="291"/>
  </conditionalFormatting>
  <conditionalFormatting sqref="Z78:Z79">
    <cfRule type="duplicateValues" dxfId="0" priority="285"/>
    <cfRule type="duplicateValues" dxfId="0" priority="286"/>
    <cfRule type="duplicateValues" dxfId="0" priority="287"/>
  </conditionalFormatting>
  <conditionalFormatting sqref="Z85:Z97">
    <cfRule type="duplicateValues" dxfId="0" priority="214"/>
    <cfRule type="duplicateValues" dxfId="0" priority="215"/>
    <cfRule type="duplicateValues" dxfId="0" priority="216"/>
  </conditionalFormatting>
  <conditionalFormatting sqref="Z99:Z104">
    <cfRule type="duplicateValues" dxfId="0" priority="133"/>
    <cfRule type="duplicateValues" dxfId="0" priority="134"/>
    <cfRule type="duplicateValues" dxfId="0" priority="135"/>
  </conditionalFormatting>
  <conditionalFormatting sqref="Z469:Z470">
    <cfRule type="duplicateValues" dxfId="0" priority="239"/>
    <cfRule type="duplicateValues" dxfId="0" priority="240"/>
    <cfRule type="duplicateValues" dxfId="0" priority="241"/>
  </conditionalFormatting>
  <conditionalFormatting sqref="Z471:Z472">
    <cfRule type="duplicateValues" dxfId="0" priority="236"/>
    <cfRule type="duplicateValues" dxfId="0" priority="237"/>
    <cfRule type="duplicateValues" dxfId="0" priority="238"/>
  </conditionalFormatting>
  <conditionalFormatting sqref="Z473:Z474">
    <cfRule type="duplicateValues" dxfId="0" priority="230"/>
    <cfRule type="duplicateValues" dxfId="0" priority="231"/>
    <cfRule type="duplicateValues" dxfId="0" priority="232"/>
  </conditionalFormatting>
  <conditionalFormatting sqref="Z478:Z480">
    <cfRule type="duplicateValues" dxfId="0" priority="192"/>
    <cfRule type="duplicateValues" dxfId="0" priority="193"/>
    <cfRule type="duplicateValues" dxfId="0" priority="194"/>
  </conditionalFormatting>
  <conditionalFormatting sqref="Z489:Z490">
    <cfRule type="duplicateValues" dxfId="0" priority="41"/>
    <cfRule type="duplicateValues" dxfId="0" priority="42"/>
    <cfRule type="duplicateValues" dxfId="0" priority="43"/>
  </conditionalFormatting>
  <conditionalFormatting sqref="Z590:Z591">
    <cfRule type="duplicateValues" dxfId="0" priority="60"/>
    <cfRule type="duplicateValues" dxfId="0" priority="61"/>
    <cfRule type="duplicateValues" dxfId="0" priority="62"/>
    <cfRule type="duplicateValues" dxfId="0" priority="63"/>
    <cfRule type="duplicateValues" dxfId="0" priority="64"/>
    <cfRule type="duplicateValues" dxfId="0" priority="65"/>
  </conditionalFormatting>
  <conditionalFormatting sqref="BN11:BN12">
    <cfRule type="duplicateValues" dxfId="0" priority="4"/>
    <cfRule type="duplicateValues" dxfId="0" priority="3"/>
  </conditionalFormatting>
  <conditionalFormatting sqref="C2:C6 B398:B412 B444:B449 B415:B439 C592 B593:C1048576 B549:B566 B122:B166 B55 B25 B1:B16">
    <cfRule type="duplicateValues" dxfId="0" priority="433"/>
  </conditionalFormatting>
  <conditionalFormatting sqref="B1:B82 B549:B566 B398:B466 B500:B544 B593:B1048576 B122:B349 B84">
    <cfRule type="duplicateValues" dxfId="0" priority="229"/>
  </conditionalFormatting>
  <conditionalFormatting sqref="C7:C16 C398:C412 C415:C439 C444:C449 C122:C166 C55 C25">
    <cfRule type="duplicateValues" dxfId="0" priority="276"/>
  </conditionalFormatting>
  <conditionalFormatting sqref="B26:B32 B34:B44 B49">
    <cfRule type="duplicateValues" dxfId="0" priority="394"/>
  </conditionalFormatting>
  <conditionalFormatting sqref="C26:C32 C34:C44 C49">
    <cfRule type="duplicateValues" dxfId="0" priority="275"/>
  </conditionalFormatting>
  <conditionalFormatting sqref="Z26:Z32 Z49 Z34:Z44">
    <cfRule type="duplicateValues" dxfId="0" priority="391"/>
    <cfRule type="duplicateValues" dxfId="0" priority="392"/>
    <cfRule type="duplicateValues" dxfId="0" priority="393"/>
  </conditionalFormatting>
  <conditionalFormatting sqref="B56:B58 B71 B69 B62:B65 B60 B67">
    <cfRule type="duplicateValues" dxfId="0" priority="390"/>
  </conditionalFormatting>
  <conditionalFormatting sqref="C56:C58 C71 C69 C62:C65 C60 C67">
    <cfRule type="duplicateValues" dxfId="0" priority="274"/>
  </conditionalFormatting>
  <conditionalFormatting sqref="Z56:Z58 Z60 Z62:Z64 Z66 Z71 Z68:Z69">
    <cfRule type="duplicateValues" dxfId="0" priority="387"/>
    <cfRule type="duplicateValues" dxfId="0" priority="388"/>
    <cfRule type="duplicateValues" dxfId="0" priority="389"/>
  </conditionalFormatting>
  <conditionalFormatting sqref="Z65 Z67">
    <cfRule type="duplicateValues" dxfId="0" priority="345"/>
    <cfRule type="duplicateValues" dxfId="0" priority="346"/>
    <cfRule type="duplicateValues" dxfId="0" priority="347"/>
  </conditionalFormatting>
  <conditionalFormatting sqref="B66 B68">
    <cfRule type="duplicateValues" dxfId="0" priority="327"/>
  </conditionalFormatting>
  <conditionalFormatting sqref="C66 C68">
    <cfRule type="duplicateValues" dxfId="0" priority="261"/>
  </conditionalFormatting>
  <conditionalFormatting sqref="B78:B82 B84">
    <cfRule type="duplicateValues" dxfId="0" priority="288"/>
  </conditionalFormatting>
  <conditionalFormatting sqref="C78 C81">
    <cfRule type="duplicateValues" dxfId="0" priority="250"/>
  </conditionalFormatting>
  <conditionalFormatting sqref="Z80:Z82 Z84">
    <cfRule type="duplicateValues" dxfId="0" priority="246"/>
    <cfRule type="duplicateValues" dxfId="0" priority="247"/>
    <cfRule type="duplicateValues" dxfId="0" priority="248"/>
  </conditionalFormatting>
  <conditionalFormatting sqref="Z105:Z110 Z112:Z121">
    <cfRule type="duplicateValues" dxfId="0" priority="46"/>
    <cfRule type="duplicateValues" dxfId="0" priority="47"/>
    <cfRule type="duplicateValues" dxfId="0" priority="48"/>
  </conditionalFormatting>
  <conditionalFormatting sqref="B178:B201 B204 B207 B210 B213 B216 B219 B222 B225 B228 B231:B247 B249:B260">
    <cfRule type="duplicateValues" dxfId="0" priority="436"/>
  </conditionalFormatting>
  <conditionalFormatting sqref="C178:C201 C204 C207 C210 C213 C216 C219 C222 C225 C228 C231:C247 C249:C260">
    <cfRule type="duplicateValues" dxfId="0" priority="277"/>
  </conditionalFormatting>
  <conditionalFormatting sqref="B202 B205 B208 B211 B214 B217 B220 B223 B226 B229">
    <cfRule type="duplicateValues" dxfId="0" priority="328"/>
  </conditionalFormatting>
  <conditionalFormatting sqref="C202 C205 C208 C211 C214 C217 C220 C223 C226 C229">
    <cfRule type="duplicateValues" dxfId="0" priority="262"/>
  </conditionalFormatting>
  <conditionalFormatting sqref="B203 B206 B209 B212 B215 B218 B221 B224 B227 B230">
    <cfRule type="duplicateValues" dxfId="0" priority="437"/>
  </conditionalFormatting>
  <conditionalFormatting sqref="C203 C206 C209 C212 C215 C218 C221 C224 C227 C230">
    <cfRule type="duplicateValues" dxfId="0" priority="278"/>
  </conditionalFormatting>
  <conditionalFormatting sqref="W268 W270:W281">
    <cfRule type="duplicateValues" dxfId="0" priority="316"/>
  </conditionalFormatting>
  <conditionalFormatting sqref="W356:W358 W360:W367">
    <cfRule type="duplicateValues" dxfId="0" priority="102"/>
  </conditionalFormatting>
  <conditionalFormatting sqref="B487 B492">
    <cfRule type="duplicateValues" dxfId="0" priority="140"/>
    <cfRule type="duplicateValues" dxfId="0" priority="144"/>
  </conditionalFormatting>
  <conditionalFormatting sqref="C487 C492">
    <cfRule type="duplicateValues" dxfId="0" priority="138"/>
    <cfRule type="duplicateValues" dxfId="0" priority="139"/>
  </conditionalFormatting>
  <conditionalFormatting sqref="Z487 Z492">
    <cfRule type="duplicateValues" dxfId="0" priority="141"/>
    <cfRule type="duplicateValues" dxfId="0" priority="142"/>
    <cfRule type="duplicateValues" dxfId="0" priority="143"/>
  </conditionalFormatting>
  <conditionalFormatting sqref="B500 B514 B502 B504 B506 B508 B510 B512 B516:B517 B520 B523">
    <cfRule type="duplicateValues" dxfId="0" priority="344"/>
  </conditionalFormatting>
  <conditionalFormatting sqref="C500 C514 C502 C504 C506 C508 C510 C512 C516:C517 C520 C523">
    <cfRule type="duplicateValues" dxfId="0" priority="264"/>
  </conditionalFormatting>
  <conditionalFormatting sqref="B501 B515 B503 B505 B507 B509 B511 B513 B518:B519 B521:B522 B524">
    <cfRule type="duplicateValues" dxfId="0" priority="343"/>
  </conditionalFormatting>
  <conditionalFormatting sqref="C501 C515 C503 C505 C507 C509 C511 C513 C518:C519 C521:C522 C524">
    <cfRule type="duplicateValues" dxfId="0" priority="263"/>
  </conditionalFormatting>
  <conditionalFormatting sqref="C567:C574 C576:C591">
    <cfRule type="duplicateValues" dxfId="0" priority="85"/>
  </conditionalFormatting>
  <dataValidations count="1">
    <dataValidation type="list" allowBlank="1" showInputMessage="1" showErrorMessage="1" sqref="AN84:AO84 AN102:AO102 AN103:AO103 AO114 AO115 AO116 AO117 AO118 AO121 AN485:AO485 AN488:AO488 AN491:AO491 AN492:AO492 AN493:AO493 AO119:AO120 AN489:AO490 AN87:AO96 AN486:AO487 AN495:AO499 AN477:AO484">
      <formula1>"「ONE PIECE トレジャークルーズ」,「航海王啓航」"</formula1>
    </dataValidation>
  </dataValidations>
  <hyperlinks>
    <hyperlink ref="H118" r:id="rId3" display="原洛克斯海贼团成员，现任“白胡子”海贼团船长，对财宝没有任何兴趣，绝不允许任何人伤害自己的同伴。" tooltip="https://baike.baidu.com/item/%E6%B4%9B%E5%85%8B%E6%96%AF%E6%B5%B7%E8%B4%BC%E5%9B%A2/22711993"/>
  </hyperlink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块头不dark</cp:lastModifiedBy>
  <dcterms:created xsi:type="dcterms:W3CDTF">2006-09-16T00:00:00Z</dcterms:created>
  <dcterms:modified xsi:type="dcterms:W3CDTF">2022-01-14T07:12:36Z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2052-11.1.0.11294</vt:lpwstr>
  </property>
  <property fmtid="{D5CDD505-2E9C-101B-9397-08002B2CF9AE}" pid="3" name="ICV">
    <vt:lpwstr>979F5AC7DFBC4A81B26B074B9A843BFB</vt:lpwstr>
  </property>
</Properties>
</file>