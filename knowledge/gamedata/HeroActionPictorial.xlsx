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</sheets>
  <definedNames>
    <definedName name="_xlnm._FilterDatabase" localSheetId="0" hidden="1">Sheet1!$A$1:$O$21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Unknown User</author>
    <author>王佳</author>
  </authors>
  <commentList>
    <comment ref="D2" authorId="0">
      <text>
        <r>
          <rPr>
            <b/>
            <sz val="9"/>
            <rFont val="宋体"/>
            <charset val="134"/>
          </rPr>
          <t>解锁类型:
1 直接购买</t>
        </r>
        <r>
          <rPr>
            <sz val="9"/>
            <rFont val="宋体"/>
            <charset val="134"/>
          </rPr>
          <t xml:space="preserve">
2 必须某功能模块解锁，不能直接买</t>
        </r>
      </text>
    </comment>
    <comment ref="E2" authorId="1">
      <text>
        <r>
          <rPr>
            <b/>
            <sz val="9"/>
            <color rgb="FF000000"/>
            <rFont val="宋体"/>
            <charset val="134"/>
          </rPr>
          <t>王佳:</t>
        </r>
        <r>
          <rPr>
            <sz val="9"/>
            <color rgb="FF000000"/>
            <rFont val="宋体"/>
            <charset val="134"/>
          </rPr>
          <t xml:space="preserve">
可以填多个，分号</t>
        </r>
      </text>
    </comment>
    <comment ref="G2" authorId="1">
      <text>
        <r>
          <rPr>
            <b/>
            <sz val="9"/>
            <color rgb="FF000000"/>
            <rFont val="宋体"/>
            <charset val="134"/>
          </rPr>
          <t xml:space="preserve">wangjia1:
</t>
        </r>
        <r>
          <rPr>
            <sz val="9"/>
            <color rgb="FF000000"/>
            <rFont val="宋体"/>
            <charset val="134"/>
          </rPr>
          <t>0，永久激活
非0，填小时数</t>
        </r>
      </text>
    </comment>
    <comment ref="H2" authorId="2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此处为纯展示，具体加值还是在原事迹逻辑里
事迹OPDex表穷举新增：
Type列新增类型10【战图/奥义图】
SubType列新增类型0【拥有/激活】
Targets对应新增类型7，新建表中主键,填法【7,1】
ConditionID列对应OPDexDescription表新增穷举：
23：拥有{0}--{1}奥义图</t>
        </r>
      </text>
    </comment>
    <comment ref="I2" authorId="2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文件路径：
ProjectAll\Assets\OriginalRes\OutputBundle\Particles\01_cutin\Textures_Cut-in</t>
        </r>
      </text>
    </comment>
    <comment ref="K2" authorId="1">
      <text>
        <r>
          <rPr>
            <b/>
            <sz val="9"/>
            <color rgb="FF000000"/>
            <rFont val="宋体"/>
            <charset val="134"/>
          </rPr>
          <t>王佳:</t>
        </r>
        <r>
          <rPr>
            <sz val="9"/>
            <color rgb="FF000000"/>
            <rFont val="宋体"/>
            <charset val="134"/>
          </rPr>
          <t xml:space="preserve">
1 只要放技能就播
2 每次造成击杀时播放
3 对X放大招时播放
4 对X放大招并造成击杀时播
如果是3或4，则用，区分，填入对应卡牌ID，卡牌ID有多个，则用&amp;区分</t>
        </r>
        <r>
          <rPr>
            <sz val="10"/>
            <color rgb="FF000000"/>
            <rFont val="宋体"/>
            <charset val="134"/>
          </rPr>
          <t xml:space="preserve">
5 战斗结束前，胜利方最后一个角色出手时播
</t>
        </r>
        <r>
          <rPr>
            <sz val="10"/>
            <rFont val="宋体"/>
            <charset val="134"/>
          </rPr>
          <t>关于每个图，在技能的多少帧播放，是沿用的之前一张表
FeatureEffect，在该表中delay列，填从第一帧算起多少秒
isPauseAction列，在播放奥义图的时候，暂停原战斗表现。</t>
        </r>
      </text>
    </comment>
    <comment ref="L2" authorId="2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引用FeatureEffect表主键，具体延时多少秒插入去该表配置</t>
        </r>
      </text>
    </comment>
    <comment ref="M2" authorId="2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文件路径：
ProjectAll\Assets\OutputBundle\audio\cutIn</t>
        </r>
      </text>
    </comment>
  </commentList>
</comments>
</file>

<file path=xl/sharedStrings.xml><?xml version="1.0" encoding="utf-8"?>
<sst xmlns="http://schemas.openxmlformats.org/spreadsheetml/2006/main" count="322" uniqueCount="140">
  <si>
    <t>战斗中播放大招展示图片</t>
  </si>
  <si>
    <t>战图注册</t>
  </si>
  <si>
    <t>英雄id</t>
  </si>
  <si>
    <t>战图名</t>
  </si>
  <si>
    <t>是否可以直接购买</t>
  </si>
  <si>
    <t>购买消耗</t>
  </si>
  <si>
    <t>是否为初始解锁 0不是1是</t>
  </si>
  <si>
    <t>限时（小时）0就是永久</t>
  </si>
  <si>
    <t>战图加图鉴事件值</t>
  </si>
  <si>
    <t>战图素材名</t>
  </si>
  <si>
    <t>战图素材描述文字</t>
  </si>
  <si>
    <t>播放时限定时机</t>
  </si>
  <si>
    <t>播放时的图片插入技能时机</t>
  </si>
  <si>
    <t>战图播放时语音</t>
  </si>
  <si>
    <t>特殊UI显示， 0无 1限定</t>
  </si>
  <si>
    <t>UI排序权重，越大越往后</t>
  </si>
  <si>
    <t>id</t>
  </si>
  <si>
    <t>heroId</t>
  </si>
  <si>
    <t>actionPictorialName</t>
  </si>
  <si>
    <t>unlockType</t>
  </si>
  <si>
    <t>cost</t>
  </si>
  <si>
    <t>isDefault</t>
  </si>
  <si>
    <t>validTime</t>
  </si>
  <si>
    <t>num</t>
  </si>
  <si>
    <t>actionPictorialTitle</t>
  </si>
  <si>
    <t>actionPictorialDesc</t>
  </si>
  <si>
    <t>options</t>
  </si>
  <si>
    <t>FeatureEffectIdAdd</t>
  </si>
  <si>
    <t>enterSound</t>
  </si>
  <si>
    <t>specialShowType</t>
  </si>
  <si>
    <t>sort</t>
  </si>
  <si>
    <t>int</t>
  </si>
  <si>
    <t>string(intern)</t>
  </si>
  <si>
    <t>string</t>
  </si>
  <si>
    <t>primary</t>
  </si>
  <si>
    <t>none</t>
  </si>
  <si>
    <t>罗杰·图录1</t>
  </si>
  <si>
    <t>1001,11010001,1</t>
  </si>
  <si>
    <t>0</t>
  </si>
  <si>
    <t>aoyi_luojie01</t>
  </si>
  <si>
    <t>roger09</t>
  </si>
  <si>
    <t>和之国布鲁克·图录1</t>
  </si>
  <si>
    <t>1001,11010002,1</t>
  </si>
  <si>
    <t>aoyi_hzgbuluke01</t>
  </si>
  <si>
    <t>CV_Nbrook13</t>
  </si>
  <si>
    <t>和之国路飞·图录1</t>
  </si>
  <si>
    <t>1001,11010003,1</t>
  </si>
  <si>
    <t>aoyi_hzglufei01</t>
  </si>
  <si>
    <t>CV_luffy01</t>
  </si>
  <si>
    <t>花魁阿玲·图录1</t>
  </si>
  <si>
    <t>1001,11010004,1</t>
  </si>
  <si>
    <t>aoyi_urdama01</t>
  </si>
  <si>
    <t>CV_BMCZ_watch</t>
  </si>
  <si>
    <t>113095</t>
  </si>
  <si>
    <t>和之国奈美·图录1</t>
  </si>
  <si>
    <t>1001,11010005,1</t>
  </si>
  <si>
    <t>aoyi_hzgnaimei01</t>
  </si>
  <si>
    <t>CV_nami10</t>
  </si>
  <si>
    <t>113093</t>
  </si>
  <si>
    <t>和之国乔巴·图录1</t>
  </si>
  <si>
    <t>1001,11010006,1</t>
  </si>
  <si>
    <t>aoyi_hzgqiaoba01</t>
  </si>
  <si>
    <t>CV_Nchopper01</t>
  </si>
  <si>
    <t>113098</t>
  </si>
  <si>
    <t>和之国甚平·图录1</t>
  </si>
  <si>
    <t>1001,11010007,1</t>
  </si>
  <si>
    <t>aoyi_hzgshenping01</t>
  </si>
  <si>
    <t>CV_jinbe04</t>
  </si>
  <si>
    <t>113096</t>
  </si>
  <si>
    <t>和之国弗兰奇·图录1</t>
  </si>
  <si>
    <t>1001,11010008,1</t>
  </si>
  <si>
    <t>aoyi_hzgfulanqi01</t>
  </si>
  <si>
    <t>CV_franky14</t>
  </si>
  <si>
    <t>113099</t>
  </si>
  <si>
    <t>黑色玛利亚·图录1</t>
  </si>
  <si>
    <t>1001,11010009,1</t>
  </si>
  <si>
    <t>aoyi_maniya01</t>
  </si>
  <si>
    <t>CV_bmaria01</t>
  </si>
  <si>
    <t>113092</t>
  </si>
  <si>
    <t>和之国佐罗·图录1</t>
  </si>
  <si>
    <t>1001,11010010,1</t>
  </si>
  <si>
    <t>aoyi_hzgzuoluo01</t>
  </si>
  <si>
    <t>CVZoronewCZ_zhenrong5</t>
  </si>
  <si>
    <t>113104</t>
  </si>
  <si>
    <t>大口真神大和·图录1</t>
  </si>
  <si>
    <t>1001,11010011,1</t>
  </si>
  <si>
    <t>10</t>
  </si>
  <si>
    <t>aoyi_shourendahe01</t>
  </si>
  <si>
    <t>CV_Dahe_yamato09</t>
  </si>
  <si>
    <t>11</t>
  </si>
  <si>
    <t>113042</t>
  </si>
  <si>
    <t>萨波·图录1</t>
  </si>
  <si>
    <t>1001,11010012,1</t>
  </si>
  <si>
    <t>aoyi_sabo01</t>
  </si>
  <si>
    <t>sabo_002</t>
  </si>
  <si>
    <t>12</t>
  </si>
  <si>
    <t>113027</t>
  </si>
  <si>
    <t>黑胡子·图录1</t>
  </si>
  <si>
    <t>1001,11010013,1</t>
  </si>
  <si>
    <t>aoyi_heihuzi01</t>
  </si>
  <si>
    <t>CV_kurohige12</t>
  </si>
  <si>
    <t>13</t>
  </si>
  <si>
    <t>113030</t>
  </si>
  <si>
    <t>多弗拉门戈·图录1</t>
  </si>
  <si>
    <t>1001,11010014,1</t>
  </si>
  <si>
    <t>aoyi_mingge01</t>
  </si>
  <si>
    <t>CV_dof03</t>
  </si>
  <si>
    <t>14</t>
  </si>
  <si>
    <t>113040</t>
  </si>
  <si>
    <t>卡塔库栗·图录1</t>
  </si>
  <si>
    <t>1001,11010015,1</t>
  </si>
  <si>
    <t>aoyi_katakuli01</t>
  </si>
  <si>
    <t>katakuri10</t>
  </si>
  <si>
    <t>15</t>
  </si>
  <si>
    <t>公会总计有{0}人名字前两位前缀一致</t>
  </si>
  <si>
    <t>精炼石</t>
  </si>
  <si>
    <t>金块</t>
  </si>
  <si>
    <t>1001,</t>
  </si>
  <si>
    <t>,</t>
  </si>
  <si>
    <t>0,</t>
  </si>
  <si>
    <t>;</t>
  </si>
  <si>
    <t>*</t>
  </si>
  <si>
    <t>、</t>
  </si>
  <si>
    <t>公会单日签到总计达到{0}人</t>
  </si>
  <si>
    <t>超级经验卷轴</t>
  </si>
  <si>
    <t>公会总计达到{0}贡献值的成员有{1}人</t>
  </si>
  <si>
    <t>强者招募券</t>
  </si>
  <si>
    <t>公会总计人数达到{0}人</t>
  </si>
  <si>
    <t>普通招募券</t>
  </si>
  <si>
    <t>公会所有人累计完成了{0}个公会任务</t>
  </si>
  <si>
    <t>高阶日志自选</t>
  </si>
  <si>
    <t>公会总计开启过{0}次公会悬赏副本</t>
  </si>
  <si>
    <t>公会总计在天梯【无限制赛】中达到{0}段位的有{1}人</t>
  </si>
  <si>
    <t>你所在的公会达到{0}级</t>
  </si>
  <si>
    <t>你与各位船长的努力，达成总贡献{0}</t>
  </si>
  <si>
    <t>你所在的公会总人数达到{0}人</t>
  </si>
  <si>
    <t>你所运营的公会达到{0}级</t>
  </si>
  <si>
    <t>通过你的努力，你所运营的公会达成总贡献{0}</t>
  </si>
  <si>
    <t>你所运营的公会人数达到{0}人</t>
  </si>
  <si>
    <t>1013,0,2000;3,0,500;1001,215005,10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</si>
</sst>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111F2C"/>
      <name val="微软雅黑"/>
      <charset val="134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0"/>
      <color theme="10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EF939E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0" borderId="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21" fillId="23" borderId="4" applyNumberFormat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vertical="center"/>
    </xf>
    <xf numFmtId="49" fontId="1" fillId="0" borderId="0" xfId="0" applyNumberFormat="1" applyFo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2" fillId="0" borderId="0" xfId="0" applyNumberFormat="1" applyFont="1" applyFill="1" applyBorder="1" applyAlignment="1" applyProtection="1"/>
    <xf numFmtId="0" fontId="1" fillId="5" borderId="0" xfId="0" applyFont="1" applyFill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>
      <alignment vertical="center"/>
    </xf>
    <xf numFmtId="0" fontId="1" fillId="6" borderId="0" xfId="0" applyFont="1" applyFill="1">
      <alignment vertical="center"/>
    </xf>
    <xf numFmtId="0" fontId="1" fillId="6" borderId="0" xfId="0" applyFont="1" applyFill="1" applyAlignment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3" fillId="8" borderId="0" xfId="0" applyNumberFormat="1" applyFont="1" applyFill="1" applyBorder="1" applyAlignment="1" applyProtection="1">
      <alignment vertical="center"/>
    </xf>
    <xf numFmtId="0" fontId="2" fillId="9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454"/>
  <sheetViews>
    <sheetView tabSelected="1" topLeftCell="K1" workbookViewId="0">
      <selection activeCell="Q8" sqref="Q8"/>
    </sheetView>
  </sheetViews>
  <sheetFormatPr defaultColWidth="9" defaultRowHeight="16.5" customHeight="1"/>
  <cols>
    <col min="1" max="1" width="7.83076923076923" style="9" customWidth="1"/>
    <col min="2" max="2" width="17.8307692307692" style="9" customWidth="1"/>
    <col min="3" max="3" width="20" style="9" customWidth="1"/>
    <col min="4" max="4" width="17.2692307692308" style="10" customWidth="1"/>
    <col min="5" max="7" width="20.1615384615385" style="9" customWidth="1"/>
    <col min="8" max="8" width="14.8769230769231" style="9" customWidth="1"/>
    <col min="9" max="9" width="23.5" style="9" customWidth="1"/>
    <col min="10" max="10" width="44.3846153846154" style="9" customWidth="1"/>
    <col min="11" max="13" width="23.5" style="9" customWidth="1"/>
    <col min="14" max="14" width="20.1615384615385" style="9" customWidth="1"/>
    <col min="15" max="16" width="20.3307692307692" style="9" customWidth="1"/>
    <col min="17" max="17" width="13.1692307692308" style="9" customWidth="1"/>
    <col min="18" max="16384" width="9" style="11"/>
  </cols>
  <sheetData>
    <row r="1" customHeight="1" spans="1:5">
      <c r="A1" s="9">
        <v>7</v>
      </c>
      <c r="B1" s="9">
        <v>1</v>
      </c>
      <c r="C1" s="9">
        <v>9999</v>
      </c>
      <c r="D1" s="1">
        <v>20</v>
      </c>
      <c r="E1" s="9" t="s">
        <v>0</v>
      </c>
    </row>
    <row r="2" customHeight="1" spans="1:16">
      <c r="A2" s="9" t="s">
        <v>1</v>
      </c>
      <c r="B2" s="12" t="s">
        <v>2</v>
      </c>
      <c r="C2" s="1" t="s">
        <v>3</v>
      </c>
      <c r="D2" s="10" t="s">
        <v>4</v>
      </c>
      <c r="E2" s="1" t="s">
        <v>5</v>
      </c>
      <c r="F2" s="1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2" t="s">
        <v>14</v>
      </c>
      <c r="O2" s="12" t="s">
        <v>15</v>
      </c>
      <c r="P2" s="12"/>
    </row>
    <row r="3" customHeight="1" spans="1:16">
      <c r="A3" s="9" t="s">
        <v>16</v>
      </c>
      <c r="B3" s="1" t="s">
        <v>17</v>
      </c>
      <c r="C3" s="1" t="s">
        <v>18</v>
      </c>
      <c r="D3" s="10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/>
    </row>
    <row r="4" customHeight="1" spans="1:16">
      <c r="A4" s="9" t="s">
        <v>31</v>
      </c>
      <c r="B4" s="1" t="s">
        <v>31</v>
      </c>
      <c r="C4" s="1" t="s">
        <v>32</v>
      </c>
      <c r="D4" s="10" t="s">
        <v>31</v>
      </c>
      <c r="E4" s="1" t="s">
        <v>33</v>
      </c>
      <c r="F4" s="1" t="s">
        <v>31</v>
      </c>
      <c r="G4" s="1" t="s">
        <v>31</v>
      </c>
      <c r="H4" s="1" t="s">
        <v>31</v>
      </c>
      <c r="I4" s="1" t="s">
        <v>33</v>
      </c>
      <c r="J4" s="1" t="s">
        <v>33</v>
      </c>
      <c r="K4" s="1" t="s">
        <v>33</v>
      </c>
      <c r="L4" s="1" t="s">
        <v>31</v>
      </c>
      <c r="M4" s="1" t="s">
        <v>33</v>
      </c>
      <c r="N4" s="1" t="s">
        <v>31</v>
      </c>
      <c r="O4" s="1" t="s">
        <v>31</v>
      </c>
      <c r="P4" s="1"/>
    </row>
    <row r="5" customHeight="1" spans="1:16">
      <c r="A5" s="9" t="s">
        <v>34</v>
      </c>
      <c r="B5" s="1" t="s">
        <v>35</v>
      </c>
      <c r="C5" s="1" t="s">
        <v>35</v>
      </c>
      <c r="D5" s="13" t="s">
        <v>35</v>
      </c>
      <c r="E5" s="12" t="s">
        <v>35</v>
      </c>
      <c r="F5" s="12" t="s">
        <v>35</v>
      </c>
      <c r="G5" s="1" t="s">
        <v>35</v>
      </c>
      <c r="H5" s="1" t="s">
        <v>35</v>
      </c>
      <c r="I5" s="1" t="s">
        <v>35</v>
      </c>
      <c r="J5" s="1" t="s">
        <v>35</v>
      </c>
      <c r="K5" s="12" t="s">
        <v>35</v>
      </c>
      <c r="L5" s="12" t="s">
        <v>35</v>
      </c>
      <c r="M5" s="1" t="s">
        <v>35</v>
      </c>
      <c r="N5" s="12" t="s">
        <v>35</v>
      </c>
      <c r="O5" s="12" t="s">
        <v>35</v>
      </c>
      <c r="P5" s="12"/>
    </row>
    <row r="6" customHeight="1" spans="1:14">
      <c r="A6" s="9" t="s">
        <v>16</v>
      </c>
      <c r="B6" s="1" t="s">
        <v>17</v>
      </c>
      <c r="C6" s="1"/>
      <c r="D6" s="10" t="s">
        <v>19</v>
      </c>
      <c r="E6" s="1" t="s">
        <v>20</v>
      </c>
      <c r="F6" s="1" t="s">
        <v>21</v>
      </c>
      <c r="G6" s="1" t="s">
        <v>22</v>
      </c>
      <c r="H6" s="1"/>
      <c r="I6" s="1"/>
      <c r="J6" s="1"/>
      <c r="K6" s="1"/>
      <c r="L6" s="1"/>
      <c r="M6" s="1"/>
      <c r="N6" s="1"/>
    </row>
    <row r="7" customHeight="1" spans="1:16">
      <c r="A7" s="1">
        <v>1</v>
      </c>
      <c r="B7" s="1">
        <v>113100</v>
      </c>
      <c r="C7" s="14" t="s">
        <v>36</v>
      </c>
      <c r="D7" s="10">
        <v>1</v>
      </c>
      <c r="E7" s="15" t="s">
        <v>37</v>
      </c>
      <c r="F7" s="16" t="s">
        <v>38</v>
      </c>
      <c r="G7" s="9" t="s">
        <v>38</v>
      </c>
      <c r="H7" s="17">
        <v>10</v>
      </c>
      <c r="I7" s="14" t="s">
        <v>39</v>
      </c>
      <c r="J7" s="1"/>
      <c r="K7" s="17">
        <v>5</v>
      </c>
      <c r="L7" s="1">
        <v>10001</v>
      </c>
      <c r="M7" s="9" t="s">
        <v>40</v>
      </c>
      <c r="N7" s="9" t="s">
        <v>38</v>
      </c>
      <c r="O7" s="1">
        <v>1</v>
      </c>
      <c r="P7" s="1"/>
    </row>
    <row r="8" customHeight="1" spans="1:16">
      <c r="A8" s="1">
        <v>2</v>
      </c>
      <c r="B8" s="1">
        <v>113097</v>
      </c>
      <c r="C8" s="1" t="s">
        <v>41</v>
      </c>
      <c r="D8" s="18">
        <v>1</v>
      </c>
      <c r="E8" s="15" t="s">
        <v>42</v>
      </c>
      <c r="F8" s="16" t="s">
        <v>38</v>
      </c>
      <c r="G8" s="16" t="s">
        <v>38</v>
      </c>
      <c r="H8" s="17">
        <v>10</v>
      </c>
      <c r="I8" s="20" t="s">
        <v>43</v>
      </c>
      <c r="J8" s="1"/>
      <c r="K8" s="17">
        <v>5</v>
      </c>
      <c r="L8" s="1">
        <v>10001</v>
      </c>
      <c r="M8" s="9" t="s">
        <v>44</v>
      </c>
      <c r="N8" s="9" t="s">
        <v>38</v>
      </c>
      <c r="O8" s="1">
        <v>2</v>
      </c>
      <c r="P8" s="1"/>
    </row>
    <row r="9" customHeight="1" spans="1:16">
      <c r="A9" s="1">
        <v>3</v>
      </c>
      <c r="B9" s="1">
        <v>113089</v>
      </c>
      <c r="C9" s="14" t="s">
        <v>45</v>
      </c>
      <c r="D9" s="10">
        <v>1</v>
      </c>
      <c r="E9" s="15" t="s">
        <v>46</v>
      </c>
      <c r="F9" s="16" t="s">
        <v>38</v>
      </c>
      <c r="G9" s="16" t="s">
        <v>38</v>
      </c>
      <c r="H9" s="17">
        <v>10</v>
      </c>
      <c r="I9" s="20" t="s">
        <v>47</v>
      </c>
      <c r="J9" s="1"/>
      <c r="K9" s="17">
        <v>5</v>
      </c>
      <c r="L9" s="1">
        <v>10001</v>
      </c>
      <c r="M9" s="9" t="s">
        <v>48</v>
      </c>
      <c r="N9" s="9" t="s">
        <v>38</v>
      </c>
      <c r="O9" s="1">
        <v>3</v>
      </c>
      <c r="P9" s="1"/>
    </row>
    <row r="10" customHeight="1" spans="1:16">
      <c r="A10" s="1">
        <v>4</v>
      </c>
      <c r="B10" s="1">
        <v>113088</v>
      </c>
      <c r="C10" s="19" t="s">
        <v>49</v>
      </c>
      <c r="D10" s="10">
        <v>1</v>
      </c>
      <c r="E10" s="15" t="s">
        <v>50</v>
      </c>
      <c r="F10" s="16" t="s">
        <v>38</v>
      </c>
      <c r="G10" s="16" t="s">
        <v>38</v>
      </c>
      <c r="H10" s="17">
        <v>10</v>
      </c>
      <c r="I10" s="21" t="s">
        <v>51</v>
      </c>
      <c r="J10" s="1"/>
      <c r="K10" s="17">
        <v>5</v>
      </c>
      <c r="L10" s="17">
        <v>10001</v>
      </c>
      <c r="M10" s="16" t="s">
        <v>52</v>
      </c>
      <c r="N10" s="16" t="s">
        <v>38</v>
      </c>
      <c r="O10" s="1">
        <v>4</v>
      </c>
      <c r="P10" s="1"/>
    </row>
    <row r="11" customHeight="1" spans="1:16">
      <c r="A11" s="1">
        <v>5</v>
      </c>
      <c r="B11" s="9" t="s">
        <v>53</v>
      </c>
      <c r="C11" s="9" t="s">
        <v>54</v>
      </c>
      <c r="D11" s="10">
        <v>1</v>
      </c>
      <c r="E11" s="15" t="s">
        <v>55</v>
      </c>
      <c r="F11" s="16" t="s">
        <v>38</v>
      </c>
      <c r="G11" s="16" t="s">
        <v>38</v>
      </c>
      <c r="H11" s="17">
        <v>10</v>
      </c>
      <c r="I11" s="21" t="s">
        <v>56</v>
      </c>
      <c r="K11" s="17">
        <v>5</v>
      </c>
      <c r="L11" s="17">
        <v>10001</v>
      </c>
      <c r="M11" s="16" t="s">
        <v>57</v>
      </c>
      <c r="N11" s="16" t="s">
        <v>38</v>
      </c>
      <c r="O11" s="1">
        <v>5</v>
      </c>
      <c r="P11" s="1"/>
    </row>
    <row r="12" customHeight="1" spans="1:16">
      <c r="A12" s="1">
        <v>6</v>
      </c>
      <c r="B12" s="9" t="s">
        <v>58</v>
      </c>
      <c r="C12" s="9" t="s">
        <v>59</v>
      </c>
      <c r="D12" s="10">
        <v>1</v>
      </c>
      <c r="E12" s="15" t="s">
        <v>60</v>
      </c>
      <c r="F12" s="16" t="s">
        <v>38</v>
      </c>
      <c r="G12" s="16" t="s">
        <v>38</v>
      </c>
      <c r="H12" s="17">
        <v>10</v>
      </c>
      <c r="I12" s="21" t="s">
        <v>61</v>
      </c>
      <c r="K12" s="17">
        <v>5</v>
      </c>
      <c r="L12" s="17">
        <v>10001</v>
      </c>
      <c r="M12" s="16" t="s">
        <v>62</v>
      </c>
      <c r="N12" s="16" t="s">
        <v>38</v>
      </c>
      <c r="O12" s="1">
        <v>6</v>
      </c>
      <c r="P12" s="1"/>
    </row>
    <row r="13" customHeight="1" spans="1:16">
      <c r="A13" s="1">
        <v>7</v>
      </c>
      <c r="B13" s="9" t="s">
        <v>63</v>
      </c>
      <c r="C13" s="9" t="s">
        <v>64</v>
      </c>
      <c r="D13" s="10">
        <v>1</v>
      </c>
      <c r="E13" s="15" t="s">
        <v>65</v>
      </c>
      <c r="F13" s="16" t="s">
        <v>38</v>
      </c>
      <c r="G13" s="16" t="s">
        <v>38</v>
      </c>
      <c r="H13" s="17">
        <v>10</v>
      </c>
      <c r="I13" s="21" t="s">
        <v>66</v>
      </c>
      <c r="K13" s="17">
        <v>5</v>
      </c>
      <c r="L13" s="17">
        <v>10001</v>
      </c>
      <c r="M13" s="16" t="s">
        <v>67</v>
      </c>
      <c r="N13" s="16" t="s">
        <v>38</v>
      </c>
      <c r="O13" s="1">
        <v>7</v>
      </c>
      <c r="P13" s="1"/>
    </row>
    <row r="14" customHeight="1" spans="1:16">
      <c r="A14" s="1">
        <v>8</v>
      </c>
      <c r="B14" s="9" t="s">
        <v>68</v>
      </c>
      <c r="C14" s="9" t="s">
        <v>69</v>
      </c>
      <c r="D14" s="10">
        <v>1</v>
      </c>
      <c r="E14" s="15" t="s">
        <v>70</v>
      </c>
      <c r="F14" s="16" t="s">
        <v>38</v>
      </c>
      <c r="G14" s="16" t="s">
        <v>38</v>
      </c>
      <c r="H14" s="17">
        <v>10</v>
      </c>
      <c r="I14" s="21" t="s">
        <v>71</v>
      </c>
      <c r="K14" s="17">
        <v>5</v>
      </c>
      <c r="L14" s="17">
        <v>10001</v>
      </c>
      <c r="M14" s="16" t="s">
        <v>72</v>
      </c>
      <c r="N14" s="16" t="s">
        <v>38</v>
      </c>
      <c r="O14" s="1">
        <v>8</v>
      </c>
      <c r="P14" s="1"/>
    </row>
    <row r="15" customHeight="1" spans="1:16">
      <c r="A15" s="1">
        <v>9</v>
      </c>
      <c r="B15" s="9" t="s">
        <v>73</v>
      </c>
      <c r="C15" s="9" t="s">
        <v>74</v>
      </c>
      <c r="D15" s="10">
        <v>1</v>
      </c>
      <c r="E15" s="15" t="s">
        <v>75</v>
      </c>
      <c r="F15" s="16" t="s">
        <v>38</v>
      </c>
      <c r="G15" s="16" t="s">
        <v>38</v>
      </c>
      <c r="H15" s="17">
        <v>10</v>
      </c>
      <c r="I15" s="21" t="s">
        <v>76</v>
      </c>
      <c r="K15" s="17">
        <v>5</v>
      </c>
      <c r="L15" s="17">
        <v>10001</v>
      </c>
      <c r="M15" s="16" t="s">
        <v>77</v>
      </c>
      <c r="N15" s="16" t="s">
        <v>38</v>
      </c>
      <c r="O15" s="1">
        <v>9</v>
      </c>
      <c r="P15" s="1"/>
    </row>
    <row r="16" customHeight="1" spans="1:16">
      <c r="A16" s="1">
        <v>10</v>
      </c>
      <c r="B16" s="9" t="s">
        <v>78</v>
      </c>
      <c r="C16" s="9" t="s">
        <v>79</v>
      </c>
      <c r="D16" s="10">
        <v>1</v>
      </c>
      <c r="E16" s="15" t="s">
        <v>80</v>
      </c>
      <c r="F16" s="16" t="s">
        <v>38</v>
      </c>
      <c r="G16" s="16" t="s">
        <v>38</v>
      </c>
      <c r="H16" s="17">
        <v>10</v>
      </c>
      <c r="I16" s="21" t="s">
        <v>81</v>
      </c>
      <c r="K16" s="17">
        <v>5</v>
      </c>
      <c r="L16" s="17">
        <v>10001</v>
      </c>
      <c r="M16" s="16" t="s">
        <v>82</v>
      </c>
      <c r="N16" s="16" t="s">
        <v>38</v>
      </c>
      <c r="O16" s="1">
        <v>10</v>
      </c>
      <c r="P16" s="1"/>
    </row>
    <row r="17" customHeight="1" spans="1:15">
      <c r="A17" s="1">
        <v>11</v>
      </c>
      <c r="B17" s="9" t="s">
        <v>83</v>
      </c>
      <c r="C17" s="9" t="s">
        <v>84</v>
      </c>
      <c r="D17" s="10">
        <v>1</v>
      </c>
      <c r="E17" s="9" t="s">
        <v>85</v>
      </c>
      <c r="F17" s="9" t="s">
        <v>38</v>
      </c>
      <c r="G17" s="9" t="s">
        <v>38</v>
      </c>
      <c r="H17" s="9" t="s">
        <v>86</v>
      </c>
      <c r="I17" s="9" t="s">
        <v>87</v>
      </c>
      <c r="K17" s="17">
        <v>5</v>
      </c>
      <c r="L17" s="17">
        <v>10001</v>
      </c>
      <c r="M17" s="9" t="s">
        <v>88</v>
      </c>
      <c r="N17" s="9" t="s">
        <v>38</v>
      </c>
      <c r="O17" s="9" t="s">
        <v>89</v>
      </c>
    </row>
    <row r="18" customHeight="1" spans="1:15">
      <c r="A18" s="1">
        <v>12</v>
      </c>
      <c r="B18" s="9" t="s">
        <v>90</v>
      </c>
      <c r="C18" s="9" t="s">
        <v>91</v>
      </c>
      <c r="D18" s="10">
        <v>1</v>
      </c>
      <c r="E18" s="9" t="s">
        <v>92</v>
      </c>
      <c r="F18" s="9" t="s">
        <v>38</v>
      </c>
      <c r="G18" s="9" t="s">
        <v>38</v>
      </c>
      <c r="H18" s="16" t="s">
        <v>86</v>
      </c>
      <c r="I18" s="9" t="s">
        <v>93</v>
      </c>
      <c r="K18" s="17">
        <v>5</v>
      </c>
      <c r="L18" s="17">
        <v>10001</v>
      </c>
      <c r="M18" s="9" t="s">
        <v>94</v>
      </c>
      <c r="N18" s="9" t="s">
        <v>38</v>
      </c>
      <c r="O18" s="9" t="s">
        <v>95</v>
      </c>
    </row>
    <row r="19" customHeight="1" spans="1:15">
      <c r="A19" s="1">
        <v>13</v>
      </c>
      <c r="B19" s="9" t="s">
        <v>96</v>
      </c>
      <c r="C19" s="9" t="s">
        <v>97</v>
      </c>
      <c r="D19" s="10">
        <v>1</v>
      </c>
      <c r="E19" s="9" t="s">
        <v>98</v>
      </c>
      <c r="F19" s="9" t="s">
        <v>38</v>
      </c>
      <c r="G19" s="9" t="s">
        <v>38</v>
      </c>
      <c r="H19" s="16" t="s">
        <v>86</v>
      </c>
      <c r="I19" s="9" t="s">
        <v>99</v>
      </c>
      <c r="K19" s="17">
        <v>5</v>
      </c>
      <c r="L19" s="17">
        <v>10001</v>
      </c>
      <c r="M19" s="9" t="s">
        <v>100</v>
      </c>
      <c r="N19" s="9" t="s">
        <v>38</v>
      </c>
      <c r="O19" s="9" t="s">
        <v>101</v>
      </c>
    </row>
    <row r="20" customHeight="1" spans="1:15">
      <c r="A20" s="1">
        <v>14</v>
      </c>
      <c r="B20" s="9" t="s">
        <v>102</v>
      </c>
      <c r="C20" s="9" t="s">
        <v>103</v>
      </c>
      <c r="D20" s="10">
        <v>1</v>
      </c>
      <c r="E20" s="9" t="s">
        <v>104</v>
      </c>
      <c r="F20" s="9" t="s">
        <v>38</v>
      </c>
      <c r="G20" s="9" t="s">
        <v>38</v>
      </c>
      <c r="H20" s="16" t="s">
        <v>86</v>
      </c>
      <c r="I20" s="9" t="s">
        <v>105</v>
      </c>
      <c r="K20" s="17">
        <v>5</v>
      </c>
      <c r="L20" s="17">
        <v>10001</v>
      </c>
      <c r="M20" s="9" t="s">
        <v>106</v>
      </c>
      <c r="N20" s="9" t="s">
        <v>38</v>
      </c>
      <c r="O20" s="9" t="s">
        <v>107</v>
      </c>
    </row>
    <row r="21" customHeight="1" spans="1:15">
      <c r="A21" s="1">
        <v>15</v>
      </c>
      <c r="B21" s="9" t="s">
        <v>108</v>
      </c>
      <c r="C21" s="9" t="s">
        <v>109</v>
      </c>
      <c r="D21" s="10">
        <v>1</v>
      </c>
      <c r="E21" s="9" t="s">
        <v>110</v>
      </c>
      <c r="F21" s="9" t="s">
        <v>38</v>
      </c>
      <c r="G21" s="9" t="s">
        <v>38</v>
      </c>
      <c r="H21" s="16" t="s">
        <v>86</v>
      </c>
      <c r="I21" s="9" t="s">
        <v>111</v>
      </c>
      <c r="K21" s="17">
        <v>5</v>
      </c>
      <c r="L21" s="17">
        <v>10001</v>
      </c>
      <c r="M21" s="9" t="s">
        <v>112</v>
      </c>
      <c r="N21" s="9" t="s">
        <v>38</v>
      </c>
      <c r="O21" s="9" t="s">
        <v>113</v>
      </c>
    </row>
    <row r="106" customHeight="1" spans="4:4">
      <c r="D106" s="22"/>
    </row>
    <row r="107" customHeight="1" spans="4:4">
      <c r="D107" s="22"/>
    </row>
    <row r="108" customHeight="1" spans="4:4">
      <c r="D108" s="22"/>
    </row>
    <row r="109" customHeight="1" spans="4:4">
      <c r="D109" s="22"/>
    </row>
    <row r="110" customHeight="1" spans="4:4">
      <c r="D110" s="23"/>
    </row>
    <row r="111" customHeight="1" spans="4:4">
      <c r="D111" s="23"/>
    </row>
    <row r="112" customHeight="1" spans="4:4">
      <c r="D112" s="23"/>
    </row>
    <row r="113" customHeight="1" spans="4:4">
      <c r="D113" s="23"/>
    </row>
    <row r="114" customHeight="1" spans="4:4">
      <c r="D114" s="23"/>
    </row>
    <row r="115" customHeight="1" spans="4:4">
      <c r="D115" s="23"/>
    </row>
    <row r="116" customHeight="1" spans="4:4">
      <c r="D116" s="23"/>
    </row>
    <row r="117" customHeight="1" spans="4:4">
      <c r="D117" s="24"/>
    </row>
    <row r="118" customHeight="1" spans="4:4">
      <c r="D118" s="24"/>
    </row>
    <row r="119" customHeight="1" spans="4:4">
      <c r="D119" s="24"/>
    </row>
    <row r="120" customHeight="1" spans="4:4">
      <c r="D120" s="24"/>
    </row>
    <row r="121" customHeight="1" spans="4:4">
      <c r="D121" s="24"/>
    </row>
    <row r="122" customHeight="1" spans="4:4">
      <c r="D122" s="24"/>
    </row>
    <row r="123" customHeight="1" spans="4:4">
      <c r="D123" s="24"/>
    </row>
    <row r="124" customHeight="1" spans="4:4">
      <c r="D124" s="24"/>
    </row>
    <row r="125" customHeight="1" spans="4:4">
      <c r="D125" s="24"/>
    </row>
    <row r="126" customHeight="1" spans="4:4">
      <c r="D126" s="24"/>
    </row>
    <row r="127" customHeight="1" spans="4:4">
      <c r="D127" s="23"/>
    </row>
    <row r="128" customHeight="1" spans="4:4">
      <c r="D128" s="23"/>
    </row>
    <row r="129" customHeight="1" spans="4:4">
      <c r="D129" s="23"/>
    </row>
    <row r="130" customHeight="1" spans="4:4">
      <c r="D130" s="23"/>
    </row>
    <row r="131" customHeight="1" spans="4:4">
      <c r="D131" s="23"/>
    </row>
    <row r="132" customHeight="1" spans="4:4">
      <c r="D132" s="23"/>
    </row>
    <row r="133" customHeight="1" spans="4:4">
      <c r="D133" s="23"/>
    </row>
    <row r="134" customHeight="1" spans="4:4">
      <c r="D134" s="23"/>
    </row>
    <row r="135" customHeight="1" spans="4:4">
      <c r="D135" s="23"/>
    </row>
    <row r="136" customHeight="1" spans="4:4">
      <c r="D136" s="23"/>
    </row>
    <row r="137" customHeight="1" spans="4:4">
      <c r="D137" s="23"/>
    </row>
    <row r="138" customHeight="1" spans="4:4">
      <c r="D138" s="24"/>
    </row>
    <row r="139" customHeight="1" spans="4:4">
      <c r="D139" s="23"/>
    </row>
    <row r="140" customHeight="1" spans="4:4">
      <c r="D140" s="23"/>
    </row>
    <row r="143" customHeight="1" spans="4:4">
      <c r="D143" s="25"/>
    </row>
    <row r="144" customHeight="1" spans="4:4">
      <c r="D144" s="26"/>
    </row>
    <row r="145" customHeight="1" spans="4:4">
      <c r="D145" s="26"/>
    </row>
    <row r="146" customHeight="1" spans="4:4">
      <c r="D146" s="26"/>
    </row>
    <row r="147" customHeight="1" spans="4:4">
      <c r="D147" s="26"/>
    </row>
    <row r="148" customHeight="1" spans="4:4">
      <c r="D148" s="26"/>
    </row>
    <row r="149" customHeight="1" spans="4:4">
      <c r="D149" s="26"/>
    </row>
    <row r="150" customHeight="1" spans="4:4">
      <c r="D150" s="26"/>
    </row>
    <row r="151" customHeight="1" spans="4:4">
      <c r="D151" s="26"/>
    </row>
    <row r="152" customHeight="1" spans="4:4">
      <c r="D152" s="26"/>
    </row>
    <row r="153" customHeight="1" spans="4:4">
      <c r="D153" s="26"/>
    </row>
    <row r="154" customHeight="1" spans="4:4">
      <c r="D154" s="26"/>
    </row>
    <row r="155" customHeight="1" spans="4:4">
      <c r="D155" s="26"/>
    </row>
    <row r="156" customHeight="1" spans="4:4">
      <c r="D156" s="26"/>
    </row>
    <row r="157" customHeight="1" spans="4:4">
      <c r="D157" s="26"/>
    </row>
    <row r="158" customHeight="1" spans="4:4">
      <c r="D158" s="26"/>
    </row>
    <row r="159" customHeight="1" spans="4:4">
      <c r="D159" s="26"/>
    </row>
    <row r="160" customHeight="1" spans="4:4">
      <c r="D160" s="26"/>
    </row>
    <row r="161" customHeight="1" spans="4:4">
      <c r="D161" s="26"/>
    </row>
    <row r="162" customHeight="1" spans="4:4">
      <c r="D162" s="26"/>
    </row>
    <row r="163" customHeight="1" spans="4:4">
      <c r="D163" s="26"/>
    </row>
    <row r="164" customHeight="1" spans="4:4">
      <c r="D164" s="26"/>
    </row>
    <row r="165" customHeight="1" spans="4:4">
      <c r="D165" s="26"/>
    </row>
    <row r="166" customHeight="1" spans="4:4">
      <c r="D166" s="26"/>
    </row>
    <row r="167" customHeight="1" spans="4:4">
      <c r="D167" s="26"/>
    </row>
    <row r="168" customHeight="1" spans="4:4">
      <c r="D168" s="26"/>
    </row>
    <row r="169" customHeight="1" spans="4:4">
      <c r="D169" s="26"/>
    </row>
    <row r="170" customHeight="1" spans="4:4">
      <c r="D170" s="26"/>
    </row>
    <row r="171" customHeight="1" spans="4:4">
      <c r="D171" s="26"/>
    </row>
    <row r="172" customHeight="1" spans="4:4">
      <c r="D172" s="26"/>
    </row>
    <row r="173" customHeight="1" spans="4:4">
      <c r="D173" s="26"/>
    </row>
    <row r="174" customHeight="1" spans="4:4">
      <c r="D174" s="26"/>
    </row>
    <row r="175" customHeight="1" spans="4:4">
      <c r="D175" s="26"/>
    </row>
    <row r="176" customHeight="1" spans="4:4">
      <c r="D176" s="26"/>
    </row>
    <row r="177" customHeight="1" spans="4:4">
      <c r="D177" s="26"/>
    </row>
    <row r="178" customHeight="1" spans="4:4">
      <c r="D178" s="26"/>
    </row>
    <row r="179" customHeight="1" spans="4:4">
      <c r="D179" s="26"/>
    </row>
    <row r="180" customHeight="1" spans="4:4">
      <c r="D180" s="26"/>
    </row>
    <row r="181" customHeight="1" spans="4:4">
      <c r="D181" s="26"/>
    </row>
    <row r="182" customHeight="1" spans="4:4">
      <c r="D182" s="26"/>
    </row>
    <row r="183" customHeight="1" spans="4:4">
      <c r="D183" s="26"/>
    </row>
    <row r="184" customHeight="1" spans="4:4">
      <c r="D184" s="26"/>
    </row>
    <row r="185" customHeight="1" spans="4:4">
      <c r="D185" s="26"/>
    </row>
    <row r="186" customHeight="1" spans="4:4">
      <c r="D186" s="26"/>
    </row>
    <row r="187" customHeight="1" spans="4:4">
      <c r="D187" s="26"/>
    </row>
    <row r="188" customHeight="1" spans="4:4">
      <c r="D188" s="26"/>
    </row>
    <row r="189" customHeight="1" spans="4:4">
      <c r="D189" s="26"/>
    </row>
    <row r="190" customHeight="1" spans="4:4">
      <c r="D190" s="26"/>
    </row>
    <row r="191" customHeight="1" spans="4:4">
      <c r="D191" s="26"/>
    </row>
    <row r="192" customHeight="1" spans="4:4">
      <c r="D192" s="26"/>
    </row>
    <row r="193" customHeight="1" spans="4:4">
      <c r="D193" s="26"/>
    </row>
    <row r="194" customHeight="1" spans="4:4">
      <c r="D194" s="26"/>
    </row>
    <row r="195" customHeight="1" spans="4:4">
      <c r="D195" s="26"/>
    </row>
    <row r="196" customHeight="1" spans="4:4">
      <c r="D196" s="26"/>
    </row>
    <row r="197" customHeight="1" spans="4:4">
      <c r="D197" s="26"/>
    </row>
    <row r="198" customHeight="1" spans="4:4">
      <c r="D198" s="26"/>
    </row>
    <row r="199" customHeight="1" spans="4:4">
      <c r="D199" s="26"/>
    </row>
    <row r="200" customHeight="1" spans="4:4">
      <c r="D200" s="26"/>
    </row>
    <row r="201" customHeight="1" spans="4:4">
      <c r="D201" s="26"/>
    </row>
    <row r="202" customHeight="1" spans="4:4">
      <c r="D202" s="26"/>
    </row>
    <row r="203" customHeight="1" spans="4:4">
      <c r="D203" s="26"/>
    </row>
    <row r="204" customHeight="1" spans="4:4">
      <c r="D204" s="26"/>
    </row>
    <row r="205" customHeight="1" spans="4:4">
      <c r="D205" s="26"/>
    </row>
    <row r="206" customHeight="1" spans="4:4">
      <c r="D206" s="26"/>
    </row>
    <row r="207" customHeight="1" spans="4:4">
      <c r="D207" s="26"/>
    </row>
    <row r="208" customHeight="1" spans="4:4">
      <c r="D208" s="26"/>
    </row>
    <row r="209" customHeight="1" spans="4:4">
      <c r="D209" s="26"/>
    </row>
    <row r="210" customHeight="1" spans="4:4">
      <c r="D210" s="26"/>
    </row>
    <row r="211" customHeight="1" spans="4:4">
      <c r="D211" s="26"/>
    </row>
    <row r="212" customHeight="1" spans="4:4">
      <c r="D212" s="26"/>
    </row>
    <row r="213" customHeight="1" spans="4:4">
      <c r="D213" s="26"/>
    </row>
    <row r="214" customHeight="1" spans="4:4">
      <c r="D214" s="26"/>
    </row>
    <row r="215" customHeight="1" spans="4:4">
      <c r="D215" s="26"/>
    </row>
    <row r="216" customHeight="1" spans="4:4">
      <c r="D216" s="26"/>
    </row>
    <row r="217" customHeight="1" spans="4:4">
      <c r="D217" s="26"/>
    </row>
    <row r="218" customHeight="1" spans="4:4">
      <c r="D218" s="26"/>
    </row>
    <row r="219" customHeight="1" spans="4:4">
      <c r="D219" s="26"/>
    </row>
    <row r="220" customHeight="1" spans="4:4">
      <c r="D220" s="26"/>
    </row>
    <row r="221" customHeight="1" spans="4:4">
      <c r="D221" s="26"/>
    </row>
    <row r="222" customHeight="1" spans="4:4">
      <c r="D222" s="26"/>
    </row>
    <row r="223" customHeight="1" spans="4:4">
      <c r="D223" s="26"/>
    </row>
    <row r="224" customHeight="1" spans="4:4">
      <c r="D224" s="26"/>
    </row>
    <row r="225" customHeight="1" spans="4:4">
      <c r="D225" s="26"/>
    </row>
    <row r="226" customHeight="1" spans="4:4">
      <c r="D226" s="26"/>
    </row>
    <row r="227" customHeight="1" spans="4:4">
      <c r="D227" s="26"/>
    </row>
    <row r="228" customHeight="1" spans="4:4">
      <c r="D228" s="26"/>
    </row>
    <row r="229" customHeight="1" spans="4:4">
      <c r="D229" s="26"/>
    </row>
    <row r="230" customHeight="1" spans="4:4">
      <c r="D230" s="26"/>
    </row>
    <row r="231" customHeight="1" spans="4:4">
      <c r="D231" s="26"/>
    </row>
    <row r="232" customHeight="1" spans="4:4">
      <c r="D232" s="26"/>
    </row>
    <row r="233" customHeight="1" spans="4:4">
      <c r="D233" s="26"/>
    </row>
    <row r="234" customHeight="1" spans="4:4">
      <c r="D234" s="26"/>
    </row>
    <row r="235" customHeight="1" spans="4:4">
      <c r="D235" s="26"/>
    </row>
    <row r="236" customHeight="1" spans="4:4">
      <c r="D236" s="26"/>
    </row>
    <row r="237" customHeight="1" spans="4:4">
      <c r="D237" s="26"/>
    </row>
    <row r="238" customHeight="1" spans="4:4">
      <c r="D238" s="26"/>
    </row>
    <row r="239" customHeight="1" spans="4:4">
      <c r="D239" s="26"/>
    </row>
    <row r="240" customHeight="1" spans="4:4">
      <c r="D240" s="26"/>
    </row>
    <row r="241" customHeight="1" spans="4:4">
      <c r="D241" s="26"/>
    </row>
    <row r="242" customHeight="1" spans="4:4">
      <c r="D242" s="26"/>
    </row>
    <row r="243" customHeight="1" spans="4:4">
      <c r="D243" s="26"/>
    </row>
    <row r="244" customHeight="1" spans="4:4">
      <c r="D244" s="26"/>
    </row>
    <row r="245" customHeight="1" spans="4:4">
      <c r="D245" s="26"/>
    </row>
    <row r="246" customHeight="1" spans="4:4">
      <c r="D246" s="26"/>
    </row>
    <row r="247" customHeight="1" spans="4:4">
      <c r="D247" s="26"/>
    </row>
    <row r="248" customHeight="1" spans="4:4">
      <c r="D248" s="26"/>
    </row>
    <row r="249" customHeight="1" spans="4:4">
      <c r="D249" s="26"/>
    </row>
    <row r="250" customHeight="1" spans="4:4">
      <c r="D250" s="26"/>
    </row>
    <row r="251" customHeight="1" spans="4:4">
      <c r="D251" s="26"/>
    </row>
    <row r="252" customHeight="1" spans="4:4">
      <c r="D252" s="26"/>
    </row>
    <row r="253" customHeight="1" spans="4:4">
      <c r="D253" s="26"/>
    </row>
    <row r="254" customHeight="1" spans="4:4">
      <c r="D254" s="26"/>
    </row>
    <row r="255" customHeight="1" spans="4:4">
      <c r="D255" s="26"/>
    </row>
    <row r="256" customHeight="1" spans="4:4">
      <c r="D256" s="26"/>
    </row>
    <row r="257" customHeight="1" spans="4:4">
      <c r="D257" s="26"/>
    </row>
    <row r="258" customHeight="1" spans="4:4">
      <c r="D258" s="26"/>
    </row>
    <row r="259" customHeight="1" spans="4:4">
      <c r="D259" s="26"/>
    </row>
    <row r="260" customHeight="1" spans="4:4">
      <c r="D260" s="26"/>
    </row>
    <row r="261" customHeight="1" spans="4:4">
      <c r="D261" s="26"/>
    </row>
    <row r="262" customHeight="1" spans="4:4">
      <c r="D262" s="26"/>
    </row>
    <row r="263" customHeight="1" spans="4:4">
      <c r="D263" s="26"/>
    </row>
    <row r="264" customHeight="1" spans="4:4">
      <c r="D264" s="26"/>
    </row>
    <row r="265" customHeight="1" spans="4:4">
      <c r="D265" s="26"/>
    </row>
    <row r="266" customHeight="1" spans="4:4">
      <c r="D266" s="26"/>
    </row>
    <row r="267" customHeight="1" spans="4:4">
      <c r="D267" s="26"/>
    </row>
    <row r="268" customHeight="1" spans="4:4">
      <c r="D268" s="26"/>
    </row>
    <row r="269" customHeight="1" spans="4:4">
      <c r="D269" s="26"/>
    </row>
    <row r="270" customHeight="1" spans="4:4">
      <c r="D270" s="26"/>
    </row>
    <row r="271" customHeight="1" spans="4:4">
      <c r="D271" s="26"/>
    </row>
    <row r="272" customHeight="1" spans="4:4">
      <c r="D272" s="26"/>
    </row>
    <row r="273" customHeight="1" spans="4:4">
      <c r="D273" s="26"/>
    </row>
    <row r="274" customHeight="1" spans="4:4">
      <c r="D274" s="26"/>
    </row>
    <row r="275" customHeight="1" spans="4:4">
      <c r="D275" s="26"/>
    </row>
    <row r="276" customHeight="1" spans="4:4">
      <c r="D276" s="26"/>
    </row>
    <row r="277" customHeight="1" spans="4:4">
      <c r="D277" s="26"/>
    </row>
    <row r="278" customHeight="1" spans="4:4">
      <c r="D278" s="26"/>
    </row>
    <row r="279" customHeight="1" spans="4:4">
      <c r="D279" s="26"/>
    </row>
    <row r="280" customHeight="1" spans="4:4">
      <c r="D280" s="26"/>
    </row>
    <row r="281" customHeight="1" spans="4:4">
      <c r="D281" s="26"/>
    </row>
    <row r="282" customHeight="1" spans="4:4">
      <c r="D282" s="26"/>
    </row>
    <row r="283" customHeight="1" spans="4:4">
      <c r="D283" s="26"/>
    </row>
    <row r="284" customHeight="1" spans="4:4">
      <c r="D284" s="26"/>
    </row>
    <row r="285" customHeight="1" spans="4:4">
      <c r="D285" s="26"/>
    </row>
    <row r="286" customHeight="1" spans="4:4">
      <c r="D286" s="26"/>
    </row>
    <row r="287" customHeight="1" spans="4:4">
      <c r="D287" s="26"/>
    </row>
    <row r="288" customHeight="1" spans="4:4">
      <c r="D288" s="26"/>
    </row>
    <row r="289" customHeight="1" spans="4:4">
      <c r="D289" s="26"/>
    </row>
    <row r="290" customHeight="1" spans="4:4">
      <c r="D290" s="26"/>
    </row>
    <row r="291" customHeight="1" spans="4:4">
      <c r="D291" s="26"/>
    </row>
    <row r="292" customHeight="1" spans="4:4">
      <c r="D292" s="26"/>
    </row>
    <row r="293" customHeight="1" spans="4:4">
      <c r="D293" s="26"/>
    </row>
    <row r="294" customHeight="1" spans="4:4">
      <c r="D294" s="26"/>
    </row>
    <row r="295" customHeight="1" spans="4:4">
      <c r="D295" s="26"/>
    </row>
    <row r="296" customHeight="1" spans="4:4">
      <c r="D296" s="26"/>
    </row>
    <row r="297" customHeight="1" spans="4:4">
      <c r="D297" s="26"/>
    </row>
    <row r="298" customHeight="1" spans="4:4">
      <c r="D298" s="26"/>
    </row>
    <row r="299" customHeight="1" spans="4:4">
      <c r="D299" s="26"/>
    </row>
    <row r="300" customHeight="1" spans="4:4">
      <c r="D300" s="26"/>
    </row>
    <row r="301" customHeight="1" spans="4:4">
      <c r="D301" s="26"/>
    </row>
    <row r="302" customHeight="1" spans="4:4">
      <c r="D302" s="26"/>
    </row>
    <row r="303" customHeight="1" spans="4:4">
      <c r="D303" s="26"/>
    </row>
    <row r="304" customHeight="1" spans="4:4">
      <c r="D304" s="26"/>
    </row>
    <row r="305" customHeight="1" spans="4:4">
      <c r="D305" s="26"/>
    </row>
    <row r="306" customHeight="1" spans="4:4">
      <c r="D306" s="26"/>
    </row>
    <row r="307" customHeight="1" spans="4:4">
      <c r="D307" s="26"/>
    </row>
    <row r="308" customHeight="1" spans="4:4">
      <c r="D308" s="26"/>
    </row>
    <row r="309" customHeight="1" spans="4:4">
      <c r="D309" s="26"/>
    </row>
    <row r="310" customHeight="1" spans="4:4">
      <c r="D310" s="26"/>
    </row>
    <row r="311" customHeight="1" spans="4:4">
      <c r="D311" s="26"/>
    </row>
    <row r="312" customHeight="1" spans="4:4">
      <c r="D312" s="26"/>
    </row>
    <row r="313" customHeight="1" spans="4:4">
      <c r="D313" s="26"/>
    </row>
    <row r="314" customHeight="1" spans="4:4">
      <c r="D314" s="26"/>
    </row>
    <row r="315" customHeight="1" spans="4:4">
      <c r="D315" s="26"/>
    </row>
    <row r="316" customHeight="1" spans="4:4">
      <c r="D316" s="26"/>
    </row>
    <row r="317" customHeight="1" spans="4:4">
      <c r="D317" s="26"/>
    </row>
    <row r="318" customHeight="1" spans="4:4">
      <c r="D318" s="26"/>
    </row>
    <row r="319" customHeight="1" spans="4:4">
      <c r="D319" s="26"/>
    </row>
    <row r="320" customHeight="1" spans="4:4">
      <c r="D320" s="26"/>
    </row>
    <row r="321" customHeight="1" spans="4:4">
      <c r="D321" s="26"/>
    </row>
    <row r="322" customHeight="1" spans="4:4">
      <c r="D322" s="26"/>
    </row>
    <row r="323" customHeight="1" spans="4:4">
      <c r="D323" s="26"/>
    </row>
    <row r="324" customHeight="1" spans="4:4">
      <c r="D324" s="26"/>
    </row>
    <row r="325" customHeight="1" spans="4:4">
      <c r="D325" s="26"/>
    </row>
    <row r="326" customHeight="1" spans="4:4">
      <c r="D326" s="26"/>
    </row>
    <row r="327" customHeight="1" spans="4:4">
      <c r="D327" s="26"/>
    </row>
    <row r="328" customHeight="1" spans="4:4">
      <c r="D328" s="26"/>
    </row>
    <row r="329" customHeight="1" spans="4:4">
      <c r="D329" s="26"/>
    </row>
    <row r="330" customHeight="1" spans="4:4">
      <c r="D330" s="26"/>
    </row>
    <row r="331" customHeight="1" spans="4:4">
      <c r="D331" s="26"/>
    </row>
    <row r="332" customHeight="1" spans="4:4">
      <c r="D332" s="26"/>
    </row>
    <row r="333" customHeight="1" spans="4:4">
      <c r="D333" s="26"/>
    </row>
    <row r="334" customHeight="1" spans="4:4">
      <c r="D334" s="26"/>
    </row>
    <row r="335" customHeight="1" spans="4:4">
      <c r="D335" s="26"/>
    </row>
    <row r="336" customHeight="1" spans="4:4">
      <c r="D336" s="26"/>
    </row>
    <row r="337" customHeight="1" spans="4:4">
      <c r="D337" s="26"/>
    </row>
    <row r="338" customHeight="1" spans="4:4">
      <c r="D338" s="26"/>
    </row>
    <row r="339" customHeight="1" spans="4:4">
      <c r="D339" s="26"/>
    </row>
    <row r="340" customHeight="1" spans="4:4">
      <c r="D340" s="26"/>
    </row>
    <row r="341" customHeight="1" spans="4:4">
      <c r="D341" s="26"/>
    </row>
    <row r="342" customHeight="1" spans="4:4">
      <c r="D342" s="26"/>
    </row>
    <row r="343" customHeight="1" spans="4:4">
      <c r="D343" s="26"/>
    </row>
    <row r="344" customHeight="1" spans="4:4">
      <c r="D344" s="26"/>
    </row>
    <row r="345" customHeight="1" spans="4:4">
      <c r="D345" s="26"/>
    </row>
    <row r="346" customHeight="1" spans="4:4">
      <c r="D346" s="26"/>
    </row>
    <row r="347" customHeight="1" spans="4:4">
      <c r="D347" s="26"/>
    </row>
    <row r="348" customHeight="1" spans="4:4">
      <c r="D348" s="26"/>
    </row>
    <row r="349" customHeight="1" spans="4:4">
      <c r="D349" s="26"/>
    </row>
    <row r="350" customHeight="1" spans="4:4">
      <c r="D350" s="26"/>
    </row>
    <row r="351" customHeight="1" spans="4:4">
      <c r="D351" s="26"/>
    </row>
    <row r="352" customHeight="1" spans="4:4">
      <c r="D352" s="26"/>
    </row>
    <row r="353" customHeight="1" spans="4:4">
      <c r="D353" s="26"/>
    </row>
    <row r="354" customHeight="1" spans="4:4">
      <c r="D354" s="26"/>
    </row>
    <row r="355" customHeight="1" spans="4:4">
      <c r="D355" s="26"/>
    </row>
    <row r="356" customHeight="1" spans="4:4">
      <c r="D356" s="26"/>
    </row>
    <row r="357" customHeight="1" spans="4:4">
      <c r="D357" s="26"/>
    </row>
    <row r="358" customHeight="1" spans="4:4">
      <c r="D358" s="26"/>
    </row>
    <row r="359" customHeight="1" spans="4:4">
      <c r="D359" s="26"/>
    </row>
    <row r="360" customHeight="1" spans="4:4">
      <c r="D360" s="26"/>
    </row>
    <row r="361" customHeight="1" spans="4:4">
      <c r="D361" s="26"/>
    </row>
    <row r="362" customHeight="1" spans="4:4">
      <c r="D362" s="26"/>
    </row>
    <row r="363" customHeight="1" spans="4:4">
      <c r="D363" s="26"/>
    </row>
    <row r="364" customHeight="1" spans="4:4">
      <c r="D364" s="26"/>
    </row>
    <row r="365" customHeight="1" spans="4:4">
      <c r="D365" s="26"/>
    </row>
    <row r="366" customHeight="1" spans="4:4">
      <c r="D366" s="26"/>
    </row>
    <row r="367" customHeight="1" spans="4:4">
      <c r="D367" s="26"/>
    </row>
    <row r="368" customHeight="1" spans="4:4">
      <c r="D368" s="26"/>
    </row>
    <row r="369" customHeight="1" spans="4:4">
      <c r="D369" s="26"/>
    </row>
    <row r="370" customHeight="1" spans="4:4">
      <c r="D370" s="26"/>
    </row>
    <row r="371" customHeight="1" spans="4:4">
      <c r="D371" s="26"/>
    </row>
    <row r="372" customHeight="1" spans="4:4">
      <c r="D372" s="26"/>
    </row>
    <row r="373" customHeight="1" spans="4:4">
      <c r="D373" s="26"/>
    </row>
    <row r="374" customHeight="1" spans="4:4">
      <c r="D374" s="26"/>
    </row>
    <row r="375" customHeight="1" spans="4:4">
      <c r="D375" s="26"/>
    </row>
    <row r="376" customHeight="1" spans="4:4">
      <c r="D376" s="26"/>
    </row>
    <row r="377" customHeight="1" spans="4:4">
      <c r="D377" s="26"/>
    </row>
    <row r="378" customHeight="1" spans="4:4">
      <c r="D378" s="26"/>
    </row>
    <row r="379" customHeight="1" spans="4:4">
      <c r="D379" s="26"/>
    </row>
    <row r="380" customHeight="1" spans="4:4">
      <c r="D380" s="26"/>
    </row>
    <row r="381" customHeight="1" spans="4:4">
      <c r="D381" s="26"/>
    </row>
    <row r="382" customHeight="1" spans="4:4">
      <c r="D382" s="26"/>
    </row>
    <row r="383" customHeight="1" spans="4:4">
      <c r="D383" s="26"/>
    </row>
    <row r="384" customHeight="1" spans="4:4">
      <c r="D384" s="26"/>
    </row>
    <row r="385" customHeight="1" spans="4:4">
      <c r="D385" s="26"/>
    </row>
    <row r="386" customHeight="1" spans="4:4">
      <c r="D386" s="26"/>
    </row>
    <row r="387" customHeight="1" spans="4:4">
      <c r="D387" s="26"/>
    </row>
    <row r="388" customHeight="1" spans="4:4">
      <c r="D388" s="26"/>
    </row>
    <row r="389" customHeight="1" spans="4:4">
      <c r="D389" s="26"/>
    </row>
    <row r="390" customHeight="1" spans="4:4">
      <c r="D390" s="26"/>
    </row>
    <row r="391" customHeight="1" spans="4:4">
      <c r="D391" s="26"/>
    </row>
    <row r="392" customHeight="1" spans="4:4">
      <c r="D392" s="26"/>
    </row>
    <row r="393" customHeight="1" spans="4:4">
      <c r="D393" s="26"/>
    </row>
    <row r="394" customHeight="1" spans="4:4">
      <c r="D394" s="26"/>
    </row>
    <row r="395" customHeight="1" spans="4:4">
      <c r="D395" s="26"/>
    </row>
    <row r="396" customHeight="1" spans="4:4">
      <c r="D396" s="26"/>
    </row>
    <row r="397" customHeight="1" spans="4:4">
      <c r="D397" s="26"/>
    </row>
    <row r="398" customHeight="1" spans="4:4">
      <c r="D398" s="26"/>
    </row>
    <row r="399" customHeight="1" spans="4:4">
      <c r="D399" s="26"/>
    </row>
    <row r="400" customHeight="1" spans="4:4">
      <c r="D400" s="26"/>
    </row>
    <row r="401" customHeight="1" spans="4:4">
      <c r="D401" s="26"/>
    </row>
    <row r="402" customHeight="1" spans="4:4">
      <c r="D402" s="26"/>
    </row>
    <row r="403" customHeight="1" spans="4:4">
      <c r="D403" s="26"/>
    </row>
    <row r="404" customHeight="1" spans="4:4">
      <c r="D404" s="26"/>
    </row>
    <row r="405" customHeight="1" spans="4:4">
      <c r="D405" s="26"/>
    </row>
    <row r="406" customHeight="1" spans="4:4">
      <c r="D406" s="26"/>
    </row>
    <row r="407" customHeight="1" spans="4:4">
      <c r="D407" s="26"/>
    </row>
    <row r="408" customHeight="1" spans="4:4">
      <c r="D408" s="26"/>
    </row>
    <row r="409" customHeight="1" spans="4:4">
      <c r="D409" s="26"/>
    </row>
    <row r="410" customHeight="1" spans="4:4">
      <c r="D410" s="26"/>
    </row>
    <row r="411" customHeight="1" spans="4:4">
      <c r="D411" s="26"/>
    </row>
    <row r="412" customHeight="1" spans="4:4">
      <c r="D412" s="26"/>
    </row>
    <row r="413" customHeight="1" spans="4:4">
      <c r="D413" s="26"/>
    </row>
    <row r="414" customHeight="1" spans="4:4">
      <c r="D414" s="26"/>
    </row>
    <row r="415" customHeight="1" spans="4:4">
      <c r="D415" s="26"/>
    </row>
    <row r="416" customHeight="1" spans="4:4">
      <c r="D416" s="26"/>
    </row>
    <row r="417" customHeight="1" spans="4:4">
      <c r="D417" s="26"/>
    </row>
    <row r="418" customHeight="1" spans="4:4">
      <c r="D418" s="26"/>
    </row>
    <row r="419" customHeight="1" spans="4:4">
      <c r="D419" s="26"/>
    </row>
    <row r="420" customHeight="1" spans="4:4">
      <c r="D420" s="26"/>
    </row>
    <row r="421" customHeight="1" spans="4:4">
      <c r="D421" s="26"/>
    </row>
    <row r="422" customHeight="1" spans="4:4">
      <c r="D422" s="26"/>
    </row>
    <row r="423" customHeight="1" spans="4:4">
      <c r="D423" s="26"/>
    </row>
    <row r="424" customHeight="1" spans="4:4">
      <c r="D424" s="26"/>
    </row>
    <row r="425" customHeight="1" spans="4:4">
      <c r="D425" s="26"/>
    </row>
    <row r="426" customHeight="1" spans="4:4">
      <c r="D426" s="26"/>
    </row>
    <row r="427" customHeight="1" spans="4:4">
      <c r="D427" s="26"/>
    </row>
    <row r="428" customHeight="1" spans="4:4">
      <c r="D428" s="26"/>
    </row>
    <row r="429" customHeight="1" spans="4:4">
      <c r="D429" s="26"/>
    </row>
    <row r="430" customHeight="1" spans="4:4">
      <c r="D430" s="26"/>
    </row>
    <row r="431" customHeight="1" spans="4:4">
      <c r="D431" s="26"/>
    </row>
    <row r="432" customHeight="1" spans="4:4">
      <c r="D432" s="26"/>
    </row>
    <row r="433" customHeight="1" spans="4:4">
      <c r="D433" s="26"/>
    </row>
    <row r="434" customHeight="1" spans="4:4">
      <c r="D434" s="26"/>
    </row>
    <row r="435" customHeight="1" spans="4:4">
      <c r="D435" s="26"/>
    </row>
    <row r="436" customHeight="1" spans="4:4">
      <c r="D436" s="26"/>
    </row>
    <row r="437" customHeight="1" spans="4:4">
      <c r="D437" s="26"/>
    </row>
    <row r="438" customHeight="1" spans="4:4">
      <c r="D438" s="26"/>
    </row>
    <row r="439" customHeight="1" spans="4:4">
      <c r="D439" s="26"/>
    </row>
    <row r="440" customHeight="1" spans="4:4">
      <c r="D440" s="26"/>
    </row>
    <row r="441" customHeight="1" spans="4:4">
      <c r="D441" s="26"/>
    </row>
    <row r="442" customHeight="1" spans="4:4">
      <c r="D442" s="26"/>
    </row>
    <row r="443" customHeight="1" spans="4:4">
      <c r="D443" s="26"/>
    </row>
    <row r="444" customHeight="1" spans="4:4">
      <c r="D444" s="26"/>
    </row>
    <row r="445" customHeight="1" spans="4:4">
      <c r="D445" s="26"/>
    </row>
    <row r="446" customHeight="1" spans="4:4">
      <c r="D446" s="26"/>
    </row>
    <row r="447" customHeight="1" spans="4:4">
      <c r="D447" s="26"/>
    </row>
    <row r="448" customHeight="1" spans="4:4">
      <c r="D448" s="26"/>
    </row>
    <row r="449" customHeight="1" spans="4:4">
      <c r="D449" s="26"/>
    </row>
    <row r="450" customHeight="1" spans="4:4">
      <c r="D450" s="26"/>
    </row>
    <row r="451" customHeight="1" spans="4:4">
      <c r="D451" s="26"/>
    </row>
    <row r="452" customHeight="1" spans="4:4">
      <c r="D452" s="26"/>
    </row>
    <row r="453" customHeight="1" spans="4:4">
      <c r="D453" s="26"/>
    </row>
    <row r="454" customHeight="1" spans="4:4">
      <c r="D454" s="26"/>
    </row>
  </sheetData>
  <autoFilter ref="A1:O21">
    <extLst/>
  </autoFilter>
  <conditionalFormatting sqref="C1">
    <cfRule type="duplicateValues" dxfId="0" priority="3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U21"/>
  <sheetViews>
    <sheetView workbookViewId="0">
      <selection activeCell="A1" sqref="A1"/>
    </sheetView>
  </sheetViews>
  <sheetFormatPr defaultColWidth="9" defaultRowHeight="16.5" customHeight="1"/>
  <cols>
    <col min="1" max="1" width="9" style="1"/>
    <col min="2" max="2" width="6.33076923076923" style="1" customWidth="1"/>
    <col min="3" max="3" width="42.6615384615385" style="1" customWidth="1"/>
    <col min="4" max="4" width="12.8307692307692" style="1" customWidth="1"/>
    <col min="5" max="40" width="9" style="1"/>
  </cols>
  <sheetData>
    <row r="2" customHeight="1" spans="2:21">
      <c r="B2" s="2">
        <v>10001</v>
      </c>
      <c r="C2" s="1" t="s">
        <v>114</v>
      </c>
      <c r="D2" s="1" t="s">
        <v>115</v>
      </c>
      <c r="E2" s="1">
        <v>100</v>
      </c>
      <c r="F2" s="1" t="s">
        <v>116</v>
      </c>
      <c r="G2" s="1">
        <v>10000</v>
      </c>
      <c r="H2" s="1">
        <v>212002</v>
      </c>
      <c r="I2" s="1" t="s">
        <v>117</v>
      </c>
      <c r="J2" s="1" t="s">
        <v>118</v>
      </c>
      <c r="K2" s="1">
        <v>5</v>
      </c>
      <c r="L2" s="1" t="s">
        <v>118</v>
      </c>
      <c r="M2" s="1" t="s">
        <v>119</v>
      </c>
      <c r="N2" s="1" t="s">
        <v>120</v>
      </c>
      <c r="O2" s="1" t="str">
        <f t="shared" ref="O2:O8" si="0">I2&amp;H2&amp;J2&amp;E2&amp;N2&amp;K2&amp;L2&amp;M2&amp;G2</f>
        <v>1001,212002,100;5,0,10000</v>
      </c>
      <c r="R2" s="1" t="s">
        <v>121</v>
      </c>
      <c r="S2" s="1" t="s">
        <v>122</v>
      </c>
      <c r="T2" s="1" t="s">
        <v>121</v>
      </c>
      <c r="U2" s="1" t="str">
        <f t="shared" ref="U2:U8" si="1">D2&amp;R2&amp;E2&amp;S2&amp;F2&amp;T2&amp;G2</f>
        <v>精炼石*100、金块*10000</v>
      </c>
    </row>
    <row r="3" customHeight="1" spans="2:21">
      <c r="B3" s="2">
        <v>10002</v>
      </c>
      <c r="C3" s="1" t="s">
        <v>123</v>
      </c>
      <c r="D3" s="1" t="s">
        <v>124</v>
      </c>
      <c r="E3" s="1">
        <v>60</v>
      </c>
      <c r="F3" s="1" t="s">
        <v>116</v>
      </c>
      <c r="G3" s="1">
        <v>20000</v>
      </c>
      <c r="H3" s="1">
        <v>215001</v>
      </c>
      <c r="I3" s="1" t="s">
        <v>117</v>
      </c>
      <c r="J3" s="1" t="s">
        <v>118</v>
      </c>
      <c r="K3" s="1">
        <v>5</v>
      </c>
      <c r="L3" s="1" t="s">
        <v>118</v>
      </c>
      <c r="M3" s="1" t="s">
        <v>119</v>
      </c>
      <c r="N3" s="1" t="s">
        <v>120</v>
      </c>
      <c r="O3" s="1" t="str">
        <f t="shared" si="0"/>
        <v>1001,215001,60;5,0,20000</v>
      </c>
      <c r="R3" s="1" t="s">
        <v>121</v>
      </c>
      <c r="S3" s="1" t="s">
        <v>122</v>
      </c>
      <c r="T3" s="1" t="s">
        <v>121</v>
      </c>
      <c r="U3" s="1" t="str">
        <f t="shared" si="1"/>
        <v>超级经验卷轴*60、金块*20000</v>
      </c>
    </row>
    <row r="4" customHeight="1" spans="2:21">
      <c r="B4" s="2">
        <v>10003</v>
      </c>
      <c r="C4" s="1" t="s">
        <v>125</v>
      </c>
      <c r="D4" s="1" t="s">
        <v>126</v>
      </c>
      <c r="E4" s="1">
        <v>5</v>
      </c>
      <c r="F4" s="1" t="s">
        <v>116</v>
      </c>
      <c r="G4" s="1">
        <v>30000</v>
      </c>
      <c r="H4" s="1">
        <v>215011</v>
      </c>
      <c r="I4" s="1" t="s">
        <v>117</v>
      </c>
      <c r="J4" s="1" t="s">
        <v>118</v>
      </c>
      <c r="K4" s="1">
        <v>5</v>
      </c>
      <c r="L4" s="1" t="s">
        <v>118</v>
      </c>
      <c r="M4" s="1" t="s">
        <v>119</v>
      </c>
      <c r="N4" s="1" t="s">
        <v>120</v>
      </c>
      <c r="O4" s="1" t="str">
        <f t="shared" si="0"/>
        <v>1001,215011,5;5,0,30000</v>
      </c>
      <c r="R4" s="1" t="s">
        <v>121</v>
      </c>
      <c r="S4" s="1" t="s">
        <v>122</v>
      </c>
      <c r="T4" s="1" t="s">
        <v>121</v>
      </c>
      <c r="U4" s="1" t="str">
        <f t="shared" si="1"/>
        <v>强者招募券*5、金块*30000</v>
      </c>
    </row>
    <row r="5" customHeight="1" spans="2:21">
      <c r="B5" s="2">
        <v>10004</v>
      </c>
      <c r="C5" s="1" t="s">
        <v>127</v>
      </c>
      <c r="D5" s="1" t="s">
        <v>128</v>
      </c>
      <c r="E5" s="1">
        <v>10</v>
      </c>
      <c r="F5" s="1" t="s">
        <v>116</v>
      </c>
      <c r="G5" s="1">
        <v>10000</v>
      </c>
      <c r="H5" s="1">
        <v>214011</v>
      </c>
      <c r="I5" s="1" t="s">
        <v>117</v>
      </c>
      <c r="J5" s="1" t="s">
        <v>118</v>
      </c>
      <c r="K5" s="1">
        <v>5</v>
      </c>
      <c r="L5" s="1" t="s">
        <v>118</v>
      </c>
      <c r="M5" s="1" t="s">
        <v>119</v>
      </c>
      <c r="N5" s="1" t="s">
        <v>120</v>
      </c>
      <c r="O5" s="1" t="str">
        <f t="shared" si="0"/>
        <v>1001,214011,10;5,0,10000</v>
      </c>
      <c r="R5" s="1" t="s">
        <v>121</v>
      </c>
      <c r="S5" s="1" t="s">
        <v>122</v>
      </c>
      <c r="T5" s="1" t="s">
        <v>121</v>
      </c>
      <c r="U5" s="1" t="str">
        <f t="shared" si="1"/>
        <v>普通招募券*10、金块*10000</v>
      </c>
    </row>
    <row r="6" customHeight="1" spans="2:21">
      <c r="B6" s="2">
        <v>10005</v>
      </c>
      <c r="C6" s="1" t="s">
        <v>129</v>
      </c>
      <c r="D6" s="1" t="s">
        <v>130</v>
      </c>
      <c r="E6" s="1">
        <v>50</v>
      </c>
      <c r="F6" s="1" t="s">
        <v>116</v>
      </c>
      <c r="G6" s="1">
        <v>40000</v>
      </c>
      <c r="H6" s="1">
        <v>555543</v>
      </c>
      <c r="I6" s="1" t="s">
        <v>117</v>
      </c>
      <c r="J6" s="1" t="s">
        <v>118</v>
      </c>
      <c r="K6" s="1">
        <v>5</v>
      </c>
      <c r="L6" s="1" t="s">
        <v>118</v>
      </c>
      <c r="M6" s="1" t="s">
        <v>119</v>
      </c>
      <c r="N6" s="1" t="s">
        <v>120</v>
      </c>
      <c r="O6" s="1" t="str">
        <f t="shared" si="0"/>
        <v>1001,555543,50;5,0,40000</v>
      </c>
      <c r="R6" s="1" t="s">
        <v>121</v>
      </c>
      <c r="S6" s="1" t="s">
        <v>122</v>
      </c>
      <c r="T6" s="1" t="s">
        <v>121</v>
      </c>
      <c r="U6" s="1" t="str">
        <f t="shared" si="1"/>
        <v>高阶日志自选*50、金块*40000</v>
      </c>
    </row>
    <row r="7" customHeight="1" spans="2:21">
      <c r="B7" s="2">
        <v>10006</v>
      </c>
      <c r="C7" s="1" t="s">
        <v>131</v>
      </c>
      <c r="D7" s="1" t="s">
        <v>126</v>
      </c>
      <c r="E7" s="1">
        <v>3</v>
      </c>
      <c r="F7" s="1" t="s">
        <v>116</v>
      </c>
      <c r="G7" s="1">
        <v>30000</v>
      </c>
      <c r="H7" s="1">
        <v>215011</v>
      </c>
      <c r="I7" s="1" t="s">
        <v>117</v>
      </c>
      <c r="J7" s="1" t="s">
        <v>118</v>
      </c>
      <c r="K7" s="1">
        <v>5</v>
      </c>
      <c r="L7" s="1" t="s">
        <v>118</v>
      </c>
      <c r="M7" s="1" t="s">
        <v>119</v>
      </c>
      <c r="N7" s="1" t="s">
        <v>120</v>
      </c>
      <c r="O7" s="1" t="str">
        <f t="shared" si="0"/>
        <v>1001,215011,3;5,0,30000</v>
      </c>
      <c r="R7" s="1" t="s">
        <v>121</v>
      </c>
      <c r="S7" s="1" t="s">
        <v>122</v>
      </c>
      <c r="T7" s="1" t="s">
        <v>121</v>
      </c>
      <c r="U7" s="1" t="str">
        <f t="shared" si="1"/>
        <v>强者招募券*3、金块*30000</v>
      </c>
    </row>
    <row r="8" customHeight="1" spans="2:21">
      <c r="B8" s="2">
        <v>10007</v>
      </c>
      <c r="C8" s="1" t="s">
        <v>132</v>
      </c>
      <c r="D8" s="1" t="s">
        <v>126</v>
      </c>
      <c r="E8" s="1">
        <v>2</v>
      </c>
      <c r="F8" s="1" t="s">
        <v>116</v>
      </c>
      <c r="G8" s="1">
        <v>50000</v>
      </c>
      <c r="H8" s="1">
        <v>215011</v>
      </c>
      <c r="I8" s="1" t="s">
        <v>117</v>
      </c>
      <c r="J8" s="1" t="s">
        <v>118</v>
      </c>
      <c r="K8" s="1">
        <v>5</v>
      </c>
      <c r="L8" s="1" t="s">
        <v>118</v>
      </c>
      <c r="M8" s="1" t="s">
        <v>119</v>
      </c>
      <c r="N8" s="1" t="s">
        <v>120</v>
      </c>
      <c r="O8" s="1" t="str">
        <f t="shared" si="0"/>
        <v>1001,215011,2;5,0,50000</v>
      </c>
      <c r="R8" s="1" t="s">
        <v>121</v>
      </c>
      <c r="S8" s="1" t="s">
        <v>122</v>
      </c>
      <c r="T8" s="1" t="s">
        <v>121</v>
      </c>
      <c r="U8" s="1" t="str">
        <f t="shared" si="1"/>
        <v>强者招募券*2、金块*50000</v>
      </c>
    </row>
    <row r="9" customHeight="1" spans="2:3">
      <c r="B9" s="3">
        <v>50001</v>
      </c>
      <c r="C9" s="4" t="s">
        <v>133</v>
      </c>
    </row>
    <row r="10" customHeight="1" spans="2:3">
      <c r="B10" s="3">
        <v>50002</v>
      </c>
      <c r="C10" s="4" t="s">
        <v>134</v>
      </c>
    </row>
    <row r="11" customHeight="1" spans="2:3">
      <c r="B11" s="3">
        <v>50003</v>
      </c>
      <c r="C11" s="5" t="s">
        <v>135</v>
      </c>
    </row>
    <row r="12" customHeight="1" spans="2:21">
      <c r="B12" s="6">
        <v>20001</v>
      </c>
      <c r="C12" s="7" t="s">
        <v>133</v>
      </c>
      <c r="D12" s="1" t="s">
        <v>126</v>
      </c>
      <c r="E12" s="1">
        <v>3</v>
      </c>
      <c r="F12" s="1" t="s">
        <v>116</v>
      </c>
      <c r="G12" s="1">
        <v>10000</v>
      </c>
      <c r="H12" s="1">
        <v>215011</v>
      </c>
      <c r="I12" s="1" t="s">
        <v>117</v>
      </c>
      <c r="J12" s="1" t="s">
        <v>118</v>
      </c>
      <c r="K12" s="1">
        <v>5</v>
      </c>
      <c r="L12" s="1" t="s">
        <v>118</v>
      </c>
      <c r="M12" s="1" t="s">
        <v>119</v>
      </c>
      <c r="N12" s="1" t="s">
        <v>120</v>
      </c>
      <c r="O12" s="1" t="str">
        <f t="shared" ref="O12:O17" si="2">I12&amp;H12&amp;J12&amp;E12&amp;N12&amp;K12&amp;L12&amp;M12&amp;G12</f>
        <v>1001,215011,3;5,0,10000</v>
      </c>
      <c r="R12" s="1" t="s">
        <v>121</v>
      </c>
      <c r="S12" s="1" t="s">
        <v>122</v>
      </c>
      <c r="T12" s="1" t="s">
        <v>121</v>
      </c>
      <c r="U12" s="1" t="str">
        <f t="shared" ref="U12:U17" si="3">D12&amp;R12&amp;E12&amp;S12&amp;F12&amp;T12&amp;G12</f>
        <v>强者招募券*3、金块*10000</v>
      </c>
    </row>
    <row r="13" customHeight="1" spans="2:21">
      <c r="B13" s="6">
        <v>20002</v>
      </c>
      <c r="C13" s="7" t="s">
        <v>136</v>
      </c>
      <c r="D13" s="1" t="s">
        <v>126</v>
      </c>
      <c r="E13" s="1">
        <v>20</v>
      </c>
      <c r="H13" s="1">
        <v>215011</v>
      </c>
      <c r="I13" s="1" t="s">
        <v>117</v>
      </c>
      <c r="J13" s="1" t="s">
        <v>118</v>
      </c>
      <c r="O13" s="1" t="str">
        <f t="shared" si="2"/>
        <v>1001,215011,20</v>
      </c>
      <c r="R13" s="1" t="s">
        <v>121</v>
      </c>
      <c r="U13" s="1" t="str">
        <f t="shared" si="3"/>
        <v>强者招募券*20</v>
      </c>
    </row>
    <row r="14" customHeight="1" spans="2:21">
      <c r="B14" s="6">
        <v>20003</v>
      </c>
      <c r="C14" s="7" t="s">
        <v>134</v>
      </c>
      <c r="D14" s="1" t="s">
        <v>126</v>
      </c>
      <c r="E14" s="1">
        <v>5</v>
      </c>
      <c r="F14" s="1" t="s">
        <v>116</v>
      </c>
      <c r="G14" s="1">
        <v>50000</v>
      </c>
      <c r="H14" s="1">
        <v>215011</v>
      </c>
      <c r="I14" s="1" t="s">
        <v>117</v>
      </c>
      <c r="J14" s="1" t="s">
        <v>118</v>
      </c>
      <c r="K14" s="1">
        <v>5</v>
      </c>
      <c r="L14" s="1" t="s">
        <v>118</v>
      </c>
      <c r="M14" s="1" t="s">
        <v>119</v>
      </c>
      <c r="N14" s="1" t="s">
        <v>120</v>
      </c>
      <c r="O14" s="1" t="str">
        <f t="shared" si="2"/>
        <v>1001,215011,5;5,0,50000</v>
      </c>
      <c r="R14" s="1" t="s">
        <v>121</v>
      </c>
      <c r="S14" s="1" t="s">
        <v>122</v>
      </c>
      <c r="T14" s="1" t="s">
        <v>121</v>
      </c>
      <c r="U14" s="1" t="str">
        <f t="shared" si="3"/>
        <v>强者招募券*5、金块*50000</v>
      </c>
    </row>
    <row r="15" customHeight="1" spans="2:21">
      <c r="B15" s="6">
        <v>20004</v>
      </c>
      <c r="C15" s="8" t="s">
        <v>137</v>
      </c>
      <c r="D15" s="1" t="s">
        <v>126</v>
      </c>
      <c r="E15" s="1">
        <v>20</v>
      </c>
      <c r="H15" s="1">
        <v>215011</v>
      </c>
      <c r="I15" s="1" t="s">
        <v>117</v>
      </c>
      <c r="J15" s="1" t="s">
        <v>118</v>
      </c>
      <c r="O15" s="1" t="str">
        <f t="shared" si="2"/>
        <v>1001,215011,20</v>
      </c>
      <c r="R15" s="1" t="s">
        <v>121</v>
      </c>
      <c r="U15" s="1" t="str">
        <f t="shared" si="3"/>
        <v>强者招募券*20</v>
      </c>
    </row>
    <row r="16" customHeight="1" spans="2:21">
      <c r="B16" s="6">
        <v>20005</v>
      </c>
      <c r="C16" s="8" t="s">
        <v>135</v>
      </c>
      <c r="D16" s="1" t="s">
        <v>126</v>
      </c>
      <c r="E16" s="1">
        <v>2</v>
      </c>
      <c r="F16" s="1" t="s">
        <v>116</v>
      </c>
      <c r="G16" s="1">
        <v>30000</v>
      </c>
      <c r="H16" s="1">
        <v>215011</v>
      </c>
      <c r="I16" s="1" t="s">
        <v>117</v>
      </c>
      <c r="J16" s="1" t="s">
        <v>118</v>
      </c>
      <c r="K16" s="1">
        <v>5</v>
      </c>
      <c r="L16" s="1" t="s">
        <v>118</v>
      </c>
      <c r="M16" s="1" t="s">
        <v>119</v>
      </c>
      <c r="N16" s="1" t="s">
        <v>120</v>
      </c>
      <c r="O16" s="1" t="str">
        <f t="shared" si="2"/>
        <v>1001,215011,2;5,0,30000</v>
      </c>
      <c r="R16" s="1" t="s">
        <v>121</v>
      </c>
      <c r="S16" s="1" t="s">
        <v>122</v>
      </c>
      <c r="T16" s="1" t="s">
        <v>121</v>
      </c>
      <c r="U16" s="1" t="str">
        <f t="shared" si="3"/>
        <v>强者招募券*2、金块*30000</v>
      </c>
    </row>
    <row r="17" customHeight="1" spans="2:21">
      <c r="B17" s="6">
        <v>20006</v>
      </c>
      <c r="C17" s="8" t="s">
        <v>138</v>
      </c>
      <c r="D17" s="1" t="s">
        <v>126</v>
      </c>
      <c r="E17" s="1">
        <v>20</v>
      </c>
      <c r="H17" s="1">
        <v>215011</v>
      </c>
      <c r="I17" s="1" t="s">
        <v>117</v>
      </c>
      <c r="J17" s="1" t="s">
        <v>118</v>
      </c>
      <c r="O17" s="1" t="str">
        <f t="shared" si="2"/>
        <v>1001,215011,20</v>
      </c>
      <c r="R17" s="1" t="s">
        <v>121</v>
      </c>
      <c r="U17" s="1" t="str">
        <f t="shared" si="3"/>
        <v>强者招募券*20</v>
      </c>
    </row>
    <row r="21" customHeight="1" spans="6:6">
      <c r="F21" s="1" t="s">
        <v>139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xuyuhan</cp:lastModifiedBy>
  <dcterms:created xsi:type="dcterms:W3CDTF">2006-09-16T00:00:00Z</dcterms:created>
  <dcterms:modified xsi:type="dcterms:W3CDTF">2025-03-15T07:33:05Z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4B6CA2B0F2DB40B2A7C83D7B9D25B4F6_12</vt:lpwstr>
  </property>
  <property fmtid="{D5CDD505-2E9C-101B-9397-08002B2CF9AE}" pid="3" name="KSOProductBuildVer">
    <vt:lpwstr>2052-11.1.0.9740</vt:lpwstr>
  </property>
</Properties>
</file>