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131" windowHeight="15325"/>
  </bookViews>
  <sheets>
    <sheet name="Sheet1" sheetId="6" r:id="rId1"/>
    <sheet name="Sheet2" sheetId="3" r:id="rId2"/>
    <sheet name="Sheet3" sheetId="4" r:id="rId3"/>
    <sheet name="Sheet4" sheetId="5" r:id="rId4"/>
    <sheet name="Sheet5" sheetId="7" r:id="rId5"/>
    <sheet name="Sheet6" sheetId="8" r:id="rId6"/>
    <sheet name="Sheet7" sheetId="9" r:id="rId7"/>
    <sheet name="Sheet8" sheetId="10" r:id="rId8"/>
  </sheets>
  <definedNames>
    <definedName name="_xlnm._FilterDatabase" localSheetId="0" hidden="1">Sheet1!$A$6:$J$6</definedName>
    <definedName name="_xlnm._FilterDatabase" localSheetId="1" hidden="1">Sheet2!$A$1:$C$185</definedName>
    <definedName name="_xlnm._FilterDatabase" localSheetId="4" hidden="1">Sheet5!$A$1:$N$185</definedName>
    <definedName name="_xlnm._FilterDatabase" localSheetId="3" hidden="1">Sheet4!$A$1:$F$881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B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1xx=武器
2xx=衣服
3xx=戒指
4xx=项链</t>
        </r>
      </text>
    </comment>
    <comment ref="I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对应attrType属性类型组中哪些是稀有属性（可以填多个）
例如：填0,2代表attrType数组里的的第1个和第3个为稀有属性</t>
        </r>
      </text>
    </comment>
  </commentList>
</comments>
</file>

<file path=xl/sharedStrings.xml><?xml version="1.0" encoding="utf-8"?>
<sst xmlns="http://schemas.openxmlformats.org/spreadsheetml/2006/main" count="3905" uniqueCount="481">
  <si>
    <t>ID</t>
  </si>
  <si>
    <t>规则ID</t>
  </si>
  <si>
    <t>装备ID
根据对应的装备id取相应的属性</t>
  </si>
  <si>
    <t>属性类型</t>
  </si>
  <si>
    <t>属性最小值</t>
  </si>
  <si>
    <t>属性最大值</t>
  </si>
  <si>
    <t>权重</t>
  </si>
  <si>
    <t>是否稀有</t>
  </si>
  <si>
    <t>稀有属性标记</t>
  </si>
  <si>
    <t>备注（策划看）</t>
  </si>
  <si>
    <t>id</t>
  </si>
  <si>
    <t>ruleId</t>
  </si>
  <si>
    <t>equipId</t>
  </si>
  <si>
    <t>attrType</t>
  </si>
  <si>
    <t>attrValueMin</t>
  </si>
  <si>
    <t>attrValueMax</t>
  </si>
  <si>
    <t>weight</t>
  </si>
  <si>
    <t>isRare</t>
  </si>
  <si>
    <t>rareAttrPos</t>
  </si>
  <si>
    <t>int</t>
  </si>
  <si>
    <t>string</t>
  </si>
  <si>
    <t>primary</t>
  </si>
  <si>
    <t>none</t>
  </si>
  <si>
    <t>部位</t>
  </si>
  <si>
    <t>备注</t>
  </si>
  <si>
    <t>Lv.20普通武器</t>
  </si>
  <si>
    <t>Lv.20普通衣服</t>
  </si>
  <si>
    <t>Lv.20普通戒指</t>
  </si>
  <si>
    <t>Lv.20普通项链</t>
  </si>
  <si>
    <t>Lv.30普通武器</t>
  </si>
  <si>
    <t>Lv.30普通衣服</t>
  </si>
  <si>
    <t>Lv.30普通戒指</t>
  </si>
  <si>
    <t>Lv.30普通项链</t>
  </si>
  <si>
    <t>Lv.40普通武器-均衡</t>
  </si>
  <si>
    <t>Lv.40普通衣服-均衡</t>
  </si>
  <si>
    <t>Lv.40普通戒指-均衡</t>
  </si>
  <si>
    <t>Lv.40普通项链-均衡</t>
  </si>
  <si>
    <t>Lv.40普通武器-输出</t>
  </si>
  <si>
    <t>Lv.40普通衣服-输出</t>
  </si>
  <si>
    <t>Lv.40普通戒指-输出</t>
  </si>
  <si>
    <t>Lv.40普通项链-输出</t>
  </si>
  <si>
    <t>Lv.40普通武器-生存</t>
  </si>
  <si>
    <t>Lv.40普通衣服-生存</t>
  </si>
  <si>
    <t>Lv.40普通戒指-生存</t>
  </si>
  <si>
    <t>Lv.40普通项链-生存</t>
  </si>
  <si>
    <t>Lv.50普通武器-物理坦克</t>
  </si>
  <si>
    <t>Lv.50普通衣服-物理坦克</t>
  </si>
  <si>
    <t>Lv.50普通戒指-物理坦克</t>
  </si>
  <si>
    <t>Lv.50普通项链-物理坦克</t>
  </si>
  <si>
    <t>Lv.50普通武器-元素坦克</t>
  </si>
  <si>
    <t>Lv.50普通衣服-元素坦克</t>
  </si>
  <si>
    <t>Lv.50普通戒指-元素坦克</t>
  </si>
  <si>
    <t>Lv.50普通项链-元素坦克</t>
  </si>
  <si>
    <t>Lv.50普通武器-元素战士</t>
  </si>
  <si>
    <t>Lv.50普通衣服-元素战士</t>
  </si>
  <si>
    <t>Lv.50普通戒指-元素战士</t>
  </si>
  <si>
    <t>Lv.50普通项链-元素战士</t>
  </si>
  <si>
    <t>Lv.50普通武器-物理战士</t>
  </si>
  <si>
    <t>Lv.50普通衣服-物理战士</t>
  </si>
  <si>
    <t>Lv.50普通戒指-物理战士</t>
  </si>
  <si>
    <t>Lv.50普通项链-物理战士</t>
  </si>
  <si>
    <t>Lv.50普通武器-元素刺客</t>
  </si>
  <si>
    <t>Lv.50普通衣服-元素刺客</t>
  </si>
  <si>
    <t>Lv.50普通戒指-元素刺客</t>
  </si>
  <si>
    <t>Lv.50普通项链-元素刺客</t>
  </si>
  <si>
    <t>Lv.50普通武器-敏暴刺客</t>
  </si>
  <si>
    <t>Lv.50普通衣服-敏暴刺客</t>
  </si>
  <si>
    <t>Lv.50普通戒指-敏暴刺客</t>
  </si>
  <si>
    <t>Lv.50普通项链-敏暴刺客</t>
  </si>
  <si>
    <t>Lv.50普通武器-闪避刺客</t>
  </si>
  <si>
    <t>Lv.50普通衣服-闪避刺客</t>
  </si>
  <si>
    <t>Lv.50普通戒指-闪避刺客</t>
  </si>
  <si>
    <t>Lv.50普通项链-闪避刺客</t>
  </si>
  <si>
    <t>Lv.50普通武器-元素辅助</t>
  </si>
  <si>
    <t>Lv.50普通衣服-元素辅助</t>
  </si>
  <si>
    <t>Lv.50普通戒指-元素辅助</t>
  </si>
  <si>
    <t>Lv.50普通项链-元素辅助</t>
  </si>
  <si>
    <t>Lv.50普通武器-物理辅助</t>
  </si>
  <si>
    <t>Lv.50普通衣服-物理辅助</t>
  </si>
  <si>
    <t>Lv.50普通戒指-物理辅助</t>
  </si>
  <si>
    <t>Lv.50普通项链-物理辅助</t>
  </si>
  <si>
    <t>Lv.60普通武器-物理坦克</t>
  </si>
  <si>
    <t>Lv.60普通衣服-物理坦克</t>
  </si>
  <si>
    <t>Lv.60普通戒指-物理坦克</t>
  </si>
  <si>
    <t>Lv.60普通项链-物理坦克</t>
  </si>
  <si>
    <t>Lv.60普通武器-元素坦克</t>
  </si>
  <si>
    <t>Lv.60普通衣服-元素坦克</t>
  </si>
  <si>
    <t>Lv.60普通戒指-元素坦克</t>
  </si>
  <si>
    <t>Lv.60普通项链-元素坦克</t>
  </si>
  <si>
    <t>Lv.60普通武器-元素战士</t>
  </si>
  <si>
    <t>Lv.60普通衣服-元素战士</t>
  </si>
  <si>
    <t>Lv.60普通戒指-元素战士</t>
  </si>
  <si>
    <t>Lv.60普通项链-元素战士</t>
  </si>
  <si>
    <t>Lv.60普通武器-物理战士</t>
  </si>
  <si>
    <t>Lv.60普通衣服-物理战士</t>
  </si>
  <si>
    <t>Lv.60普通戒指-物理战士</t>
  </si>
  <si>
    <t>Lv.60普通项链-物理战士</t>
  </si>
  <si>
    <t>Lv.60普通武器-元素刺客</t>
  </si>
  <si>
    <t>Lv.60普通衣服-元素刺客</t>
  </si>
  <si>
    <t>Lv.60普通戒指-元素刺客</t>
  </si>
  <si>
    <t>Lv.60普通项链-元素刺客</t>
  </si>
  <si>
    <t>Lv.60普通武器-敏暴刺客</t>
  </si>
  <si>
    <t>Lv.60普通衣服-敏暴刺客</t>
  </si>
  <si>
    <t>Lv.60普通戒指-敏暴刺客</t>
  </si>
  <si>
    <t>Lv.60普通项链-敏暴刺客</t>
  </si>
  <si>
    <t>Lv.60普通武器-闪避刺客</t>
  </si>
  <si>
    <t>Lv.60普通衣服-闪避刺客</t>
  </si>
  <si>
    <t>Lv.60普通戒指-闪避刺客</t>
  </si>
  <si>
    <t>Lv.60普通项链-闪避刺客</t>
  </si>
  <si>
    <t>Lv.60普通武器-元素辅助</t>
  </si>
  <si>
    <t>Lv.60普通衣服-元素辅助</t>
  </si>
  <si>
    <t>Lv.60普通戒指-元素辅助</t>
  </si>
  <si>
    <t>Lv.60普通项链-元素辅助</t>
  </si>
  <si>
    <t>Lv.60普通武器-物理辅助</t>
  </si>
  <si>
    <t>Lv.60普通衣服-物理辅助</t>
  </si>
  <si>
    <t>Lv.60普通戒指-物理辅助</t>
  </si>
  <si>
    <t>Lv.60普通项链-物理辅助</t>
  </si>
  <si>
    <t>Lv.20英雄武器</t>
  </si>
  <si>
    <t>Lv.20英雄衣服</t>
  </si>
  <si>
    <t>Lv.20英雄戒指</t>
  </si>
  <si>
    <t>Lv.20英雄项链</t>
  </si>
  <si>
    <t>Lv.30英雄武器</t>
  </si>
  <si>
    <t>Lv.30英雄衣服</t>
  </si>
  <si>
    <t>Lv.30英雄戒指</t>
  </si>
  <si>
    <t>Lv.30英雄项链</t>
  </si>
  <si>
    <t>Lv.40英雄武器-均衡</t>
  </si>
  <si>
    <t>Lv.40英雄衣服-均衡</t>
  </si>
  <si>
    <t>Lv.40英雄戒指-均衡</t>
  </si>
  <si>
    <t>Lv.40英雄项链-均衡</t>
  </si>
  <si>
    <t>Lv.40英雄衣服-输出</t>
  </si>
  <si>
    <t>Lv.40英雄戒指-输出</t>
  </si>
  <si>
    <t>Lv.40英雄项链-输出</t>
  </si>
  <si>
    <t>Lv.40英雄武器-生存</t>
  </si>
  <si>
    <t>Lv.40英雄衣服-生存</t>
  </si>
  <si>
    <t>Lv.40英雄戒指-生存</t>
  </si>
  <si>
    <t>Lv.40英雄项链-生存</t>
  </si>
  <si>
    <t>Lv.50英雄武器-物理坦克</t>
  </si>
  <si>
    <t>Lv.50英雄衣服-物理坦克</t>
  </si>
  <si>
    <t>Lv.50英雄戒指-物理坦克</t>
  </si>
  <si>
    <t>Lv.50英雄项链-物理坦克</t>
  </si>
  <si>
    <t>Lv.50英雄武器-元素坦克</t>
  </si>
  <si>
    <t>Lv.50英雄衣服-元素坦克</t>
  </si>
  <si>
    <t>Lv.50英雄戒指-元素坦克</t>
  </si>
  <si>
    <t>Lv.50英雄项链-元素坦克</t>
  </si>
  <si>
    <t>Lv.50英雄武器-元素战士</t>
  </si>
  <si>
    <t>Lv.50英雄衣服-元素战士</t>
  </si>
  <si>
    <t>Lv.50英雄戒指-元素战士</t>
  </si>
  <si>
    <t>Lv.50英雄项链-元素战士</t>
  </si>
  <si>
    <t>Lv.50英雄武器-物理战士</t>
  </si>
  <si>
    <t>Lv.50英雄衣服-物理战士</t>
  </si>
  <si>
    <t>Lv.50英雄戒指-物理战士</t>
  </si>
  <si>
    <t>Lv.50英雄项链-物理战士</t>
  </si>
  <si>
    <t>Lv.50英雄武器-元素刺客</t>
  </si>
  <si>
    <t>Lv.50英雄衣服-元素刺客</t>
  </si>
  <si>
    <t>Lv.50英雄戒指-元素刺客</t>
  </si>
  <si>
    <t>Lv.50英雄项链-元素刺客</t>
  </si>
  <si>
    <t>Lv.50英雄武器-敏暴刺客</t>
  </si>
  <si>
    <t>Lv.50英雄衣服-敏暴刺客</t>
  </si>
  <si>
    <t>Lv.50英雄戒指-敏暴刺客</t>
  </si>
  <si>
    <t>Lv.50英雄项链-敏暴刺客</t>
  </si>
  <si>
    <t>Lv.50英雄武器-闪避刺客</t>
  </si>
  <si>
    <t>Lv.50英雄衣服-闪避刺客</t>
  </si>
  <si>
    <t>Lv.50英雄戒指-闪避刺客</t>
  </si>
  <si>
    <t>Lv.50英雄项链-闪避刺客</t>
  </si>
  <si>
    <t>Lv.50英雄武器-元素辅助</t>
  </si>
  <si>
    <t>Lv.50英雄衣服-元素辅助</t>
  </si>
  <si>
    <t>Lv.50英雄戒指-元素辅助</t>
  </si>
  <si>
    <t>Lv.50英雄项链-元素辅助</t>
  </si>
  <si>
    <t>Lv.50英雄武器-物理辅助</t>
  </si>
  <si>
    <t>Lv.50英雄衣服-物理辅助</t>
  </si>
  <si>
    <t>Lv.50英雄戒指-物理辅助</t>
  </si>
  <si>
    <t>Lv.50英雄项链-物理辅助</t>
  </si>
  <si>
    <t>Lv.60英雄武器-物理坦克</t>
  </si>
  <si>
    <t>Lv.60英雄衣服-物理坦克</t>
  </si>
  <si>
    <t>Lv.60英雄戒指-物理坦克</t>
  </si>
  <si>
    <t>Lv.60英雄项链-物理坦克</t>
  </si>
  <si>
    <t>Lv.60英雄武器-元素坦克</t>
  </si>
  <si>
    <t>Lv.60英雄衣服-元素坦克</t>
  </si>
  <si>
    <t>Lv.60英雄戒指-元素坦克</t>
  </si>
  <si>
    <t>Lv.60英雄项链-元素坦克</t>
  </si>
  <si>
    <t>Lv.60英雄武器-元素战士</t>
  </si>
  <si>
    <t>Lv.60英雄衣服-元素战士</t>
  </si>
  <si>
    <t>Lv.60英雄戒指-元素战士</t>
  </si>
  <si>
    <t>Lv.60英雄项链-元素战士</t>
  </si>
  <si>
    <t>Lv.60英雄武器-物理战士</t>
  </si>
  <si>
    <t>Lv.60英雄衣服-物理战士</t>
  </si>
  <si>
    <t>Lv.60英雄戒指-物理战士</t>
  </si>
  <si>
    <t>Lv.60英雄项链-物理战士</t>
  </si>
  <si>
    <t>Lv.60英雄武器-元素刺客</t>
  </si>
  <si>
    <t>Lv.60英雄衣服-元素刺客</t>
  </si>
  <si>
    <t>Lv.60英雄戒指-元素刺客</t>
  </si>
  <si>
    <t>Lv.60英雄项链-元素刺客</t>
  </si>
  <si>
    <t>Lv.60英雄武器-敏暴刺客</t>
  </si>
  <si>
    <t>Lv.60英雄衣服-敏暴刺客</t>
  </si>
  <si>
    <t>Lv.60英雄戒指-敏暴刺客</t>
  </si>
  <si>
    <t>Lv.60英雄项链-敏暴刺客</t>
  </si>
  <si>
    <t>Lv.60英雄武器-闪避刺客</t>
  </si>
  <si>
    <t>Lv.60英雄衣服-闪避刺客</t>
  </si>
  <si>
    <t>Lv.60英雄戒指-闪避刺客</t>
  </si>
  <si>
    <t>Lv.60英雄项链-闪避刺客</t>
  </si>
  <si>
    <t>Lv.60英雄武器-元素辅助</t>
  </si>
  <si>
    <t>Lv.60英雄衣服-元素辅助</t>
  </si>
  <si>
    <t>Lv.60英雄戒指-元素辅助</t>
  </si>
  <si>
    <t>Lv.60英雄项链-元素辅助</t>
  </si>
  <si>
    <t>Lv.60英雄武器-物理辅助</t>
  </si>
  <si>
    <t>Lv.60英雄衣服-物理辅助</t>
  </si>
  <si>
    <t>Lv.60英雄戒指-物理辅助</t>
  </si>
  <si>
    <t>Lv.60英雄项链-物理辅助</t>
  </si>
  <si>
    <t>attr</t>
  </si>
  <si>
    <t>value</t>
  </si>
  <si>
    <t>8,26</t>
  </si>
  <si>
    <t>0.0078,0.0103</t>
  </si>
  <si>
    <t>0.0086,0.0258</t>
  </si>
  <si>
    <t>8,9</t>
  </si>
  <si>
    <t>0.0043,0.0288</t>
  </si>
  <si>
    <t>4,9</t>
  </si>
  <si>
    <t>0.0106,0.0144</t>
  </si>
  <si>
    <t>5,9</t>
  </si>
  <si>
    <t>0.005,0.0096</t>
  </si>
  <si>
    <t>5,9,11</t>
  </si>
  <si>
    <t>0.0062,0.012,0.0014</t>
  </si>
  <si>
    <t>0.0129,0.0172</t>
  </si>
  <si>
    <t>0.0143,0.043</t>
  </si>
  <si>
    <t>0.0072,0.048</t>
  </si>
  <si>
    <t>0.0175,0.024</t>
  </si>
  <si>
    <t>0.0083,0.016</t>
  </si>
  <si>
    <t>0.0105,0.02,0.0022</t>
  </si>
  <si>
    <t>3,2</t>
  </si>
  <si>
    <t>11,150</t>
  </si>
  <si>
    <t>14,192</t>
  </si>
  <si>
    <t>22,298</t>
  </si>
  <si>
    <t>18,238</t>
  </si>
  <si>
    <t>28,374</t>
  </si>
  <si>
    <t>48,640</t>
  </si>
  <si>
    <t>80,1066</t>
  </si>
  <si>
    <t>35,471</t>
  </si>
  <si>
    <t>28,377</t>
  </si>
  <si>
    <t>44,589</t>
  </si>
  <si>
    <t>73,970</t>
  </si>
  <si>
    <t>135,1802</t>
  </si>
  <si>
    <t>6,35</t>
  </si>
  <si>
    <t>0.0038,0.0129</t>
  </si>
  <si>
    <t>8,10,26</t>
  </si>
  <si>
    <t>0.0029,0.0021,0.0043</t>
  </si>
  <si>
    <t>8,10</t>
  </si>
  <si>
    <t>0.0029,0.0021</t>
  </si>
  <si>
    <t>0.0062,0.0215</t>
  </si>
  <si>
    <t>0.0048,0.0034,0.0072</t>
  </si>
  <si>
    <t>0.0048,0.0034</t>
  </si>
  <si>
    <t>1,3</t>
  </si>
  <si>
    <t>18,6</t>
  </si>
  <si>
    <t>24,7</t>
  </si>
  <si>
    <t>37,11</t>
  </si>
  <si>
    <t>46,9</t>
  </si>
  <si>
    <t>30,14</t>
  </si>
  <si>
    <t>80,24</t>
  </si>
  <si>
    <t>133,40</t>
  </si>
  <si>
    <t>58,18</t>
  </si>
  <si>
    <t>74,14</t>
  </si>
  <si>
    <t>47,22</t>
  </si>
  <si>
    <t>121,37</t>
  </si>
  <si>
    <t>226,68</t>
  </si>
  <si>
    <t>0.0038,0.0144</t>
  </si>
  <si>
    <t>0.0151,0.0288</t>
  </si>
  <si>
    <t>6,9</t>
  </si>
  <si>
    <t>0.0022,0.0144</t>
  </si>
  <si>
    <t>0.01,0.0096</t>
  </si>
  <si>
    <t>6,9,11</t>
  </si>
  <si>
    <t>0.01,0.012,0.0014</t>
  </si>
  <si>
    <t>0.0062,0.024</t>
  </si>
  <si>
    <t>0.025,0.048</t>
  </si>
  <si>
    <t>0.0038,0.024</t>
  </si>
  <si>
    <t>0.0167,0.016</t>
  </si>
  <si>
    <t>0.0167,0.02,0.0022</t>
  </si>
  <si>
    <t>6,298</t>
  </si>
  <si>
    <t>7,384</t>
  </si>
  <si>
    <t>11,597</t>
  </si>
  <si>
    <t>9,478</t>
  </si>
  <si>
    <t>14,746</t>
  </si>
  <si>
    <t>24,1280</t>
  </si>
  <si>
    <t>40,2133</t>
  </si>
  <si>
    <t>18,942</t>
  </si>
  <si>
    <t>14,754</t>
  </si>
  <si>
    <t>22,1178</t>
  </si>
  <si>
    <t>37,1942</t>
  </si>
  <si>
    <t>68,3606</t>
  </si>
  <si>
    <t>10,35</t>
  </si>
  <si>
    <t>0.0041,0.0129</t>
  </si>
  <si>
    <t>5,26</t>
  </si>
  <si>
    <t>0.0075,0.0103</t>
  </si>
  <si>
    <t>10,26,7</t>
  </si>
  <si>
    <t>0.0021,0.0043,0.0072</t>
  </si>
  <si>
    <t>7,10</t>
  </si>
  <si>
    <t>0.0072,0.0021</t>
  </si>
  <si>
    <t>0.0068,0.016</t>
  </si>
  <si>
    <t>0.0126,0.0172</t>
  </si>
  <si>
    <t>0.0034,0.0072,0.0119</t>
  </si>
  <si>
    <t>0.0119,0.0034</t>
  </si>
  <si>
    <t>英雄</t>
  </si>
  <si>
    <t>普通</t>
  </si>
  <si>
    <t>复制用</t>
  </si>
  <si>
    <t>,</t>
  </si>
  <si>
    <t>1,2,61</t>
  </si>
  <si>
    <t>词条1</t>
  </si>
  <si>
    <t>词条2（百分比）</t>
  </si>
  <si>
    <t>词条3</t>
  </si>
  <si>
    <t>词条4</t>
  </si>
  <si>
    <t>词条3汇总</t>
  </si>
  <si>
    <t>词条4汇总</t>
  </si>
  <si>
    <t>攻击</t>
  </si>
  <si>
    <t>防御</t>
  </si>
  <si>
    <t>生命</t>
  </si>
  <si>
    <t>Lv.50英雄低速武器-物理坦克</t>
  </si>
  <si>
    <t>命中</t>
  </si>
  <si>
    <t>Lv.50英雄低速衣服-物理坦克</t>
  </si>
  <si>
    <t>韧性</t>
  </si>
  <si>
    <t>Lv.50英雄低速戒指-物理坦克</t>
  </si>
  <si>
    <t>闪避</t>
  </si>
  <si>
    <t>Lv.50英雄低速项链-物理坦克</t>
  </si>
  <si>
    <t>格挡</t>
  </si>
  <si>
    <t>Lv.50英雄高速武器-物理坦克</t>
  </si>
  <si>
    <t>Lv.50英雄高速衣服-物理坦克</t>
  </si>
  <si>
    <t>Lv.50英雄高速戒指-物理坦克</t>
  </si>
  <si>
    <t>Lv.50英雄高速项链-物理坦克</t>
  </si>
  <si>
    <t>Lv.50英雄低速武器-元素坦克</t>
  </si>
  <si>
    <t>Lv.50英雄低速衣服-元素坦克</t>
  </si>
  <si>
    <t>属抗</t>
  </si>
  <si>
    <t>Lv.50英雄低速戒指-元素坦克</t>
  </si>
  <si>
    <t>Lv.50英雄低速项链-元素坦克</t>
  </si>
  <si>
    <t>Lv.50英雄高速武器-元素坦克</t>
  </si>
  <si>
    <t>Lv.50英雄高速衣服-元素坦克</t>
  </si>
  <si>
    <t>Lv.50英雄高速戒指-元素坦克</t>
  </si>
  <si>
    <t>Lv.50英雄高速项链-元素坦克</t>
  </si>
  <si>
    <t>Lv.50英雄低速武器-元素战士</t>
  </si>
  <si>
    <t>属伤</t>
  </si>
  <si>
    <t>Lv.50英雄低速衣服-元素战士</t>
  </si>
  <si>
    <t>Lv.50英雄低速戒指-元素战士</t>
  </si>
  <si>
    <t>破击</t>
  </si>
  <si>
    <t>Lv.50英雄低速项链-元素战士</t>
  </si>
  <si>
    <t>暴击</t>
  </si>
  <si>
    <t>Lv.50英雄高速武器-元素战士</t>
  </si>
  <si>
    <t>Lv.50英雄高速衣服-元素战士</t>
  </si>
  <si>
    <t>Lv.50英雄高速戒指-元素战士</t>
  </si>
  <si>
    <t>Lv.50英雄高速项链-元素战士</t>
  </si>
  <si>
    <t>Lv.50英雄低速武器-物理战士</t>
  </si>
  <si>
    <t>Lv.50英雄低速衣服-物理战士</t>
  </si>
  <si>
    <t>Lv.50英雄低速戒指-物理战士</t>
  </si>
  <si>
    <t>Lv.50英雄低速项链-物理战士</t>
  </si>
  <si>
    <t>Lv.50英雄高速武器-物理战士</t>
  </si>
  <si>
    <t>Lv.50英雄高速衣服-物理战士</t>
  </si>
  <si>
    <t>Lv.50英雄高速戒指-物理战士</t>
  </si>
  <si>
    <t>Lv.50英雄高速项链-物理战士</t>
  </si>
  <si>
    <t>Lv.50英雄低速武器-元素刺客</t>
  </si>
  <si>
    <t>Lv.50英雄低速衣服-元素刺客</t>
  </si>
  <si>
    <t>Lv.50英雄低速戒指-元素刺客</t>
  </si>
  <si>
    <t>暴伤</t>
  </si>
  <si>
    <t>Lv.50英雄低速项链-元素刺客</t>
  </si>
  <si>
    <t>Lv.50英雄高速武器-元素刺客</t>
  </si>
  <si>
    <t>Lv.50英雄高速衣服-元素刺客</t>
  </si>
  <si>
    <t>Lv.50英雄高速戒指-元素刺客</t>
  </si>
  <si>
    <t>Lv.50英雄高速项链-元素刺客</t>
  </si>
  <si>
    <t>Lv.50英雄低速武器-敏暴刺客</t>
  </si>
  <si>
    <t>Lv.50英雄低速衣服-敏暴刺客</t>
  </si>
  <si>
    <t>Lv.50英雄低速戒指-敏暴刺客</t>
  </si>
  <si>
    <t>Lv.50英雄低速项链-敏暴刺客</t>
  </si>
  <si>
    <t>Lv.50英雄高速武器-敏暴刺客</t>
  </si>
  <si>
    <t>Lv.50英雄高速衣服-敏暴刺客</t>
  </si>
  <si>
    <t>Lv.50英雄高速戒指-敏暴刺客</t>
  </si>
  <si>
    <t>Lv.50英雄高速项链-敏暴刺客</t>
  </si>
  <si>
    <t>Lv.50英雄低速武器-闪避刺客</t>
  </si>
  <si>
    <t>Lv.50英雄低速衣服-闪避刺客</t>
  </si>
  <si>
    <t>Lv.50英雄低速戒指-闪避刺客</t>
  </si>
  <si>
    <t>Lv.50英雄低速项链-闪避刺客</t>
  </si>
  <si>
    <t>Lv.50英雄高速武器-闪避刺客</t>
  </si>
  <si>
    <t>Lv.50英雄高速衣服-闪避刺客</t>
  </si>
  <si>
    <t>Lv.50英雄高速戒指-闪避刺客</t>
  </si>
  <si>
    <t>Lv.50英雄高速项链-闪避刺客</t>
  </si>
  <si>
    <t>Lv.50英雄低速武器-元素辅助</t>
  </si>
  <si>
    <t>Lv.50英雄低速衣服-元素辅助</t>
  </si>
  <si>
    <t>Lv.50英雄低速戒指-元素辅助</t>
  </si>
  <si>
    <t>Lv.50英雄低速项链-元素辅助</t>
  </si>
  <si>
    <t>Lv.50英雄高速武器-元素辅助</t>
  </si>
  <si>
    <t>Lv.50英雄高速衣服-元素辅助</t>
  </si>
  <si>
    <t>Lv.50英雄高速戒指-元素辅助</t>
  </si>
  <si>
    <t>Lv.50英雄高速项链-元素辅助</t>
  </si>
  <si>
    <t>Lv.50英雄低速武器-物理辅助</t>
  </si>
  <si>
    <t>Lv.50英雄低速衣服-物理辅助</t>
  </si>
  <si>
    <t>Lv.50英雄低速戒指-物理辅助</t>
  </si>
  <si>
    <t>Lv.50英雄低速项链-物理辅助</t>
  </si>
  <si>
    <t>Lv.50英雄高速武器-物理辅助</t>
  </si>
  <si>
    <t>Lv.50英雄高速衣服-物理辅助</t>
  </si>
  <si>
    <t>Lv.50英雄高速戒指-物理辅助</t>
  </si>
  <si>
    <t>Lv.50英雄高速项链-物理辅助</t>
  </si>
  <si>
    <t>Lv.60英雄低速武器-物理坦克</t>
  </si>
  <si>
    <t>速度</t>
  </si>
  <si>
    <t>Lv.60英雄低速衣服-物理坦克</t>
  </si>
  <si>
    <t>Lv.60英雄低速戒指-物理坦克</t>
  </si>
  <si>
    <t>Lv.60英雄低速项链-物理坦克</t>
  </si>
  <si>
    <t>Lv.60英雄高速武器-物理坦克</t>
  </si>
  <si>
    <t>Lv.60英雄高速衣服-物理坦克</t>
  </si>
  <si>
    <t>Lv.60英雄高速戒指-物理坦克</t>
  </si>
  <si>
    <t>Lv.60英雄高速项链-物理坦克</t>
  </si>
  <si>
    <t>Lv.60英雄低速武器-元素坦克</t>
  </si>
  <si>
    <t>Lv.60英雄低速衣服-元素坦克</t>
  </si>
  <si>
    <t>Lv.60英雄低速戒指-元素坦克</t>
  </si>
  <si>
    <t>Lv.60英雄低速项链-元素坦克</t>
  </si>
  <si>
    <t>Lv.60英雄高速武器-元素坦克</t>
  </si>
  <si>
    <t>Lv.60英雄高速衣服-元素坦克</t>
  </si>
  <si>
    <t>Lv.60英雄高速戒指-元素坦克</t>
  </si>
  <si>
    <t>Lv.60英雄高速项链-元素坦克</t>
  </si>
  <si>
    <t>Lv.60英雄低速武器-元素战士</t>
  </si>
  <si>
    <t>Lv.60英雄低速衣服-元素战士</t>
  </si>
  <si>
    <t>Lv.60英雄低速戒指-元素战士</t>
  </si>
  <si>
    <t>0.009</t>
  </si>
  <si>
    <t>Lv.60英雄低速项链-元素战士</t>
  </si>
  <si>
    <t>Lv.60英雄高速武器-元素战士</t>
  </si>
  <si>
    <t>Lv.60英雄高速衣服-元素战士</t>
  </si>
  <si>
    <t>0.0119</t>
  </si>
  <si>
    <t>Lv.60英雄高速戒指-元素战士</t>
  </si>
  <si>
    <t>0.0078,0.03</t>
  </si>
  <si>
    <t>Lv.60英雄高速项链-元素战士</t>
  </si>
  <si>
    <t>0.0157,0.03</t>
  </si>
  <si>
    <t>Lv.60英雄低速武器-物理战士</t>
  </si>
  <si>
    <t>0.0047,0.015</t>
  </si>
  <si>
    <t>Lv.60英雄低速衣服-物理战士</t>
  </si>
  <si>
    <t>0.0125,0.012</t>
  </si>
  <si>
    <t>Lv.60英雄低速戒指-物理战士</t>
  </si>
  <si>
    <t>0.0125,0.015,0.0017</t>
  </si>
  <si>
    <t>Lv.60英雄低速项链-物理战士</t>
  </si>
  <si>
    <t>0.0149</t>
  </si>
  <si>
    <t>Lv.60英雄高速武器-物理战士</t>
  </si>
  <si>
    <t>Lv.60英雄高速衣服-物理战士</t>
  </si>
  <si>
    <t>0.0142</t>
  </si>
  <si>
    <t>Lv.60英雄高速戒指-物理战士</t>
  </si>
  <si>
    <t>0.02</t>
  </si>
  <si>
    <t>Lv.60英雄高速项链-物理战士</t>
  </si>
  <si>
    <t>0.0131,0.05</t>
  </si>
  <si>
    <t>Lv.60英雄低速武器-元素刺客</t>
  </si>
  <si>
    <t>0.0261,0.05</t>
  </si>
  <si>
    <t>Lv.60英雄低速衣服-元素刺客</t>
  </si>
  <si>
    <t>0.0078,0.025</t>
  </si>
  <si>
    <t>Lv.60英雄低速戒指-元素刺客</t>
  </si>
  <si>
    <t>0.0209,0.02</t>
  </si>
  <si>
    <t>Lv.60英雄低速项链-元素刺客</t>
  </si>
  <si>
    <t>0.0209,0.025,0.0028</t>
  </si>
  <si>
    <t>Lv.60英雄高速武器-元素刺客</t>
  </si>
  <si>
    <t>Lv.60英雄高速衣服-元素刺客</t>
  </si>
  <si>
    <t>Lv.60英雄高速戒指-元素刺客</t>
  </si>
  <si>
    <t>Lv.60英雄高速项链-元素刺客</t>
  </si>
  <si>
    <t>Lv.60英雄低速武器-敏暴刺客</t>
  </si>
  <si>
    <t>Lv.60英雄低速衣服-敏暴刺客</t>
  </si>
  <si>
    <t>Lv.60英雄低速戒指-敏暴刺客</t>
  </si>
  <si>
    <t>Lv.60英雄低速项链-敏暴刺客</t>
  </si>
  <si>
    <t>Lv.60英雄高速武器-敏暴刺客</t>
  </si>
  <si>
    <t>Lv.60英雄高速衣服-敏暴刺客</t>
  </si>
  <si>
    <t>Lv.60英雄高速戒指-敏暴刺客</t>
  </si>
  <si>
    <t>Lv.60英雄高速项链-敏暴刺客</t>
  </si>
  <si>
    <t>Lv.60英雄低速武器-闪避刺客</t>
  </si>
  <si>
    <t>Lv.60英雄低速衣服-闪避刺客</t>
  </si>
  <si>
    <t>Lv.60英雄低速戒指-闪避刺客</t>
  </si>
  <si>
    <t>Lv.60英雄低速项链-闪避刺客</t>
  </si>
  <si>
    <t>Lv.60英雄高速武器-闪避刺客</t>
  </si>
  <si>
    <t>Lv.60英雄高速衣服-闪避刺客</t>
  </si>
  <si>
    <t>Lv.60英雄高速戒指-闪避刺客</t>
  </si>
  <si>
    <t>Lv.60英雄高速项链-闪避刺客</t>
  </si>
  <si>
    <t>Lv.60英雄低速武器-元素辅助</t>
  </si>
  <si>
    <t>Lv.60英雄低速衣服-元素辅助</t>
  </si>
  <si>
    <t>Lv.60英雄低速戒指-元素辅助</t>
  </si>
  <si>
    <t>Lv.60英雄低速项链-元素辅助</t>
  </si>
  <si>
    <t>Lv.60英雄高速武器-元素辅助</t>
  </si>
  <si>
    <t>Lv.60英雄高速衣服-元素辅助</t>
  </si>
  <si>
    <t>Lv.60英雄高速戒指-元素辅助</t>
  </si>
  <si>
    <t>Lv.60英雄高速项链-元素辅助</t>
  </si>
  <si>
    <t>Lv.60英雄低速武器-物理辅助</t>
  </si>
  <si>
    <t>Lv.60英雄低速衣服-物理辅助</t>
  </si>
  <si>
    <t>Lv.60英雄低速戒指-物理辅助</t>
  </si>
  <si>
    <t>Lv.60英雄低速项链-物理辅助</t>
  </si>
  <si>
    <t>Lv.60英雄高速武器-物理辅助</t>
  </si>
  <si>
    <t>Lv.60英雄高速衣服-物理辅助</t>
  </si>
  <si>
    <t>Lv.60英雄高速戒指-物理辅助</t>
  </si>
  <si>
    <t>Lv.60英雄高速项链-物理辅助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</si>
</sst>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000000"/>
      <name val="宋体"/>
      <charset val="134"/>
    </font>
    <font>
      <sz val="12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2" borderId="26" applyNumberFormat="0" applyAlignment="0" applyProtection="0">
      <alignment vertical="center"/>
    </xf>
    <xf numFmtId="0" fontId="22" fillId="23" borderId="27" applyNumberFormat="0" applyAlignment="0" applyProtection="0">
      <alignment vertical="center"/>
    </xf>
    <xf numFmtId="0" fontId="23" fillId="23" borderId="26" applyNumberFormat="0" applyAlignment="0" applyProtection="0">
      <alignment vertical="center"/>
    </xf>
    <xf numFmtId="0" fontId="24" fillId="24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6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1" fillId="0" borderId="0" xfId="49" applyFont="1" applyAlignment="1">
      <alignment vertical="center"/>
    </xf>
    <xf numFmtId="0" fontId="0" fillId="0" borderId="0" xfId="0" applyFill="1" applyAlignment="1"/>
    <xf numFmtId="0" fontId="1" fillId="0" borderId="0" xfId="49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4" borderId="1" xfId="49" applyFill="1" applyBorder="1" applyAlignment="1">
      <alignment horizontal="left" vertical="center"/>
    </xf>
    <xf numFmtId="0" fontId="1" fillId="4" borderId="2" xfId="49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" fillId="5" borderId="3" xfId="49" applyFill="1" applyBorder="1" applyAlignment="1">
      <alignment horizontal="left" vertical="center"/>
    </xf>
    <xf numFmtId="0" fontId="1" fillId="5" borderId="0" xfId="49" applyFill="1" applyAlignment="1">
      <alignment vertical="center"/>
    </xf>
    <xf numFmtId="0" fontId="1" fillId="6" borderId="3" xfId="49" applyFill="1" applyBorder="1" applyAlignment="1">
      <alignment horizontal="left" vertical="center"/>
    </xf>
    <xf numFmtId="0" fontId="1" fillId="6" borderId="0" xfId="49" applyFill="1" applyAlignment="1">
      <alignment vertical="center"/>
    </xf>
    <xf numFmtId="0" fontId="1" fillId="7" borderId="3" xfId="49" applyFill="1" applyBorder="1" applyAlignment="1">
      <alignment horizontal="left" vertical="center"/>
    </xf>
    <xf numFmtId="0" fontId="1" fillId="7" borderId="0" xfId="49" applyFill="1" applyAlignment="1">
      <alignment vertical="center"/>
    </xf>
    <xf numFmtId="0" fontId="1" fillId="7" borderId="4" xfId="49" applyFill="1" applyBorder="1" applyAlignment="1">
      <alignment horizontal="left" vertical="center"/>
    </xf>
    <xf numFmtId="0" fontId="1" fillId="7" borderId="5" xfId="49" applyFill="1" applyBorder="1" applyAlignment="1">
      <alignment vertical="center"/>
    </xf>
    <xf numFmtId="0" fontId="3" fillId="8" borderId="0" xfId="0" applyFont="1" applyFill="1" applyBorder="1" applyAlignment="1">
      <alignment horizontal="left" vertical="center"/>
    </xf>
    <xf numFmtId="0" fontId="1" fillId="5" borderId="0" xfId="49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1" fillId="6" borderId="0" xfId="49" applyFill="1" applyBorder="1" applyAlignment="1">
      <alignment vertical="center"/>
    </xf>
    <xf numFmtId="0" fontId="1" fillId="7" borderId="0" xfId="49" applyFill="1" applyBorder="1" applyAlignment="1">
      <alignment vertical="center"/>
    </xf>
    <xf numFmtId="0" fontId="1" fillId="4" borderId="3" xfId="49" applyFill="1" applyBorder="1" applyAlignment="1">
      <alignment horizontal="left" vertical="center"/>
    </xf>
    <xf numFmtId="0" fontId="1" fillId="4" borderId="0" xfId="49" applyFill="1" applyBorder="1" applyAlignment="1">
      <alignment vertical="center"/>
    </xf>
    <xf numFmtId="0" fontId="1" fillId="4" borderId="6" xfId="49" applyFill="1" applyBorder="1" applyAlignment="1">
      <alignment horizontal="left" vertical="center"/>
    </xf>
    <xf numFmtId="0" fontId="1" fillId="4" borderId="7" xfId="49" applyFill="1" applyBorder="1" applyAlignment="1">
      <alignment vertical="center"/>
    </xf>
    <xf numFmtId="0" fontId="5" fillId="0" borderId="0" xfId="0" applyFont="1" applyFill="1" applyBorder="1" applyAlignment="1" applyProtection="1">
      <alignment horizontal="left" vertical="center"/>
    </xf>
    <xf numFmtId="0" fontId="6" fillId="0" borderId="0" xfId="0" applyFont="1" applyFill="1" applyBorder="1">
      <alignment vertical="center"/>
    </xf>
    <xf numFmtId="0" fontId="1" fillId="9" borderId="0" xfId="49" applyFill="1" applyBorder="1" applyAlignment="1">
      <alignment vertical="center"/>
    </xf>
    <xf numFmtId="0" fontId="1" fillId="0" borderId="0" xfId="49" applyFill="1" applyBorder="1" applyAlignment="1">
      <alignment vertical="center"/>
    </xf>
    <xf numFmtId="0" fontId="1" fillId="7" borderId="8" xfId="49" applyFill="1" applyBorder="1" applyAlignment="1">
      <alignment horizontal="left" vertical="center"/>
    </xf>
    <xf numFmtId="0" fontId="1" fillId="7" borderId="9" xfId="49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8" fillId="10" borderId="0" xfId="49" applyFont="1" applyFill="1" applyBorder="1" applyAlignment="1">
      <alignment vertical="center"/>
    </xf>
    <xf numFmtId="0" fontId="8" fillId="0" borderId="0" xfId="49" applyFont="1" applyFill="1" applyBorder="1" applyAlignment="1">
      <alignment vertical="center"/>
    </xf>
    <xf numFmtId="0" fontId="6" fillId="11" borderId="0" xfId="0" applyFont="1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5" fillId="0" borderId="0" xfId="0" applyFont="1" applyFill="1" applyAlignment="1" applyProtection="1">
      <alignment horizontal="left" vertical="center"/>
    </xf>
    <xf numFmtId="0" fontId="0" fillId="0" borderId="0" xfId="0" applyFill="1" applyBorder="1">
      <alignment vertical="center"/>
    </xf>
    <xf numFmtId="0" fontId="6" fillId="7" borderId="0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9" fillId="0" borderId="10" xfId="0" applyFont="1" applyFill="1" applyBorder="1" applyAlignment="1" applyProtection="1">
      <alignment horizontal="left" vertical="center"/>
    </xf>
    <xf numFmtId="0" fontId="3" fillId="3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horizontal="left" vertical="center"/>
    </xf>
    <xf numFmtId="0" fontId="5" fillId="0" borderId="10" xfId="0" applyFont="1" applyFill="1" applyBorder="1" applyAlignment="1" applyProtection="1">
      <alignment horizontal="left" vertical="center"/>
    </xf>
    <xf numFmtId="0" fontId="5" fillId="3" borderId="11" xfId="0" applyFont="1" applyFill="1" applyBorder="1" applyAlignment="1" applyProtection="1">
      <alignment horizontal="left" vertical="center"/>
    </xf>
    <xf numFmtId="0" fontId="5" fillId="3" borderId="12" xfId="0" applyFont="1" applyFill="1" applyBorder="1" applyAlignment="1" applyProtection="1">
      <alignment horizontal="left" vertical="center"/>
    </xf>
    <xf numFmtId="0" fontId="5" fillId="3" borderId="13" xfId="0" applyFont="1" applyFill="1" applyBorder="1" applyAlignment="1" applyProtection="1">
      <alignment horizontal="left" vertical="center"/>
    </xf>
    <xf numFmtId="0" fontId="5" fillId="0" borderId="11" xfId="0" applyFont="1" applyFill="1" applyBorder="1" applyAlignment="1" applyProtection="1">
      <alignment horizontal="left" vertical="center"/>
    </xf>
    <xf numFmtId="0" fontId="5" fillId="0" borderId="12" xfId="0" applyFont="1" applyFill="1" applyBorder="1" applyAlignment="1" applyProtection="1">
      <alignment horizontal="left" vertical="center"/>
    </xf>
    <xf numFmtId="0" fontId="5" fillId="0" borderId="13" xfId="0" applyFont="1" applyFill="1" applyBorder="1" applyAlignment="1" applyProtection="1">
      <alignment horizontal="left" vertical="center"/>
    </xf>
    <xf numFmtId="0" fontId="0" fillId="0" borderId="0" xfId="0" applyBorder="1">
      <alignment vertical="center"/>
    </xf>
    <xf numFmtId="0" fontId="1" fillId="3" borderId="0" xfId="49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left" vertical="center"/>
    </xf>
    <xf numFmtId="0" fontId="5" fillId="0" borderId="14" xfId="0" applyFont="1" applyFill="1" applyBorder="1" applyAlignment="1" applyProtection="1">
      <alignment horizontal="left" vertical="center"/>
    </xf>
    <xf numFmtId="0" fontId="0" fillId="12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9" borderId="0" xfId="0" applyFill="1">
      <alignment vertical="center"/>
    </xf>
    <xf numFmtId="0" fontId="8" fillId="13" borderId="0" xfId="49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right" vertical="center"/>
    </xf>
    <xf numFmtId="49" fontId="4" fillId="0" borderId="0" xfId="0" applyNumberFormat="1" applyFont="1" applyFill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9" fillId="0" borderId="10" xfId="0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vertical="center"/>
    </xf>
    <xf numFmtId="0" fontId="9" fillId="0" borderId="10" xfId="0" applyFont="1" applyFill="1" applyBorder="1" applyAlignment="1" applyProtection="1">
      <alignment horizontal="right" vertical="center"/>
    </xf>
    <xf numFmtId="0" fontId="9" fillId="0" borderId="0" xfId="0" applyFont="1" applyFill="1" applyAlignment="1" applyProtection="1">
      <alignment horizontal="right" vertical="center"/>
    </xf>
    <xf numFmtId="0" fontId="3" fillId="8" borderId="0" xfId="0" applyFont="1" applyFill="1" applyBorder="1" applyAlignment="1">
      <alignment horizontal="right" vertical="center"/>
    </xf>
    <xf numFmtId="0" fontId="3" fillId="9" borderId="0" xfId="0" applyFont="1" applyFill="1" applyBorder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8" fillId="0" borderId="0" xfId="49" applyFont="1" applyFill="1" applyBorder="1" applyAlignment="1">
      <alignment horizontal="left" vertical="center"/>
    </xf>
    <xf numFmtId="0" fontId="5" fillId="0" borderId="1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vertical="center"/>
    </xf>
    <xf numFmtId="0" fontId="2" fillId="9" borderId="0" xfId="0" applyFont="1" applyFill="1">
      <alignment vertical="center"/>
    </xf>
    <xf numFmtId="0" fontId="4" fillId="0" borderId="0" xfId="0" applyNumberFormat="1" applyFont="1" applyFill="1" applyAlignment="1">
      <alignment horizontal="right" vertical="center"/>
    </xf>
    <xf numFmtId="0" fontId="10" fillId="0" borderId="0" xfId="0" applyFont="1">
      <alignment vertical="center"/>
    </xf>
    <xf numFmtId="0" fontId="0" fillId="14" borderId="0" xfId="0" applyFill="1">
      <alignment vertical="center"/>
    </xf>
    <xf numFmtId="0" fontId="0" fillId="9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5" fillId="0" borderId="11" xfId="0" applyFont="1" applyFill="1" applyBorder="1" applyAlignment="1" applyProtection="1">
      <alignment vertical="center"/>
    </xf>
    <xf numFmtId="0" fontId="5" fillId="0" borderId="12" xfId="0" applyFont="1" applyFill="1" applyBorder="1" applyAlignment="1" applyProtection="1">
      <alignment vertical="center"/>
    </xf>
    <xf numFmtId="0" fontId="5" fillId="0" borderId="13" xfId="0" applyFont="1" applyFill="1" applyBorder="1" applyAlignment="1" applyProtection="1">
      <alignment vertical="center"/>
    </xf>
    <xf numFmtId="0" fontId="8" fillId="10" borderId="3" xfId="49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right" vertical="center" wrapText="1"/>
    </xf>
    <xf numFmtId="0" fontId="8" fillId="0" borderId="3" xfId="49" applyFont="1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49" fontId="6" fillId="0" borderId="0" xfId="0" applyNumberFormat="1" applyFont="1" applyFill="1" applyBorder="1" applyAlignment="1">
      <alignment horizontal="right" vertical="center"/>
    </xf>
    <xf numFmtId="49" fontId="6" fillId="0" borderId="0" xfId="0" applyNumberFormat="1" applyFont="1" applyFill="1" applyAlignment="1">
      <alignment horizontal="right" vertical="center"/>
    </xf>
    <xf numFmtId="0" fontId="0" fillId="16" borderId="0" xfId="0" applyFill="1" applyAlignment="1">
      <alignment horizontal="left" vertical="center"/>
    </xf>
    <xf numFmtId="0" fontId="4" fillId="9" borderId="0" xfId="0" applyFont="1" applyFill="1" applyBorder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8" fillId="10" borderId="0" xfId="49" applyFont="1" applyFill="1" applyBorder="1" applyAlignment="1">
      <alignment horizontal="left" vertical="center"/>
    </xf>
    <xf numFmtId="0" fontId="5" fillId="0" borderId="14" xfId="0" applyFont="1" applyFill="1" applyBorder="1" applyAlignment="1" applyProtection="1">
      <alignment vertical="center"/>
    </xf>
    <xf numFmtId="0" fontId="11" fillId="17" borderId="0" xfId="0" applyFont="1" applyFill="1" applyBorder="1">
      <alignment vertical="center"/>
    </xf>
    <xf numFmtId="0" fontId="1" fillId="0" borderId="0" xfId="49" applyAlignment="1">
      <alignment horizontal="left" vertical="center"/>
    </xf>
    <xf numFmtId="0" fontId="8" fillId="18" borderId="0" xfId="49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16" xfId="0" applyFont="1" applyFill="1" applyBorder="1" applyAlignment="1">
      <alignment horizontal="left" vertical="center"/>
    </xf>
    <xf numFmtId="0" fontId="5" fillId="0" borderId="16" xfId="0" applyFont="1" applyFill="1" applyBorder="1" applyAlignment="1" applyProtection="1">
      <alignment horizontal="left" vertical="center"/>
    </xf>
    <xf numFmtId="0" fontId="8" fillId="19" borderId="3" xfId="49" applyFont="1" applyFill="1" applyBorder="1" applyAlignment="1">
      <alignment horizontal="left" vertical="center"/>
    </xf>
    <xf numFmtId="0" fontId="5" fillId="0" borderId="17" xfId="0" applyFont="1" applyFill="1" applyBorder="1" applyAlignment="1" applyProtection="1">
      <alignment horizontal="left" vertical="center"/>
    </xf>
    <xf numFmtId="49" fontId="4" fillId="0" borderId="16" xfId="0" applyNumberFormat="1" applyFont="1" applyFill="1" applyBorder="1" applyAlignment="1">
      <alignment horizontal="left" vertical="center"/>
    </xf>
    <xf numFmtId="0" fontId="8" fillId="19" borderId="0" xfId="49" applyFont="1" applyFill="1" applyBorder="1" applyAlignment="1">
      <alignment horizontal="left" vertical="center"/>
    </xf>
    <xf numFmtId="49" fontId="4" fillId="0" borderId="15" xfId="0" applyNumberFormat="1" applyFont="1" applyFill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0" xfId="0" applyFill="1">
      <alignment vertical="center"/>
    </xf>
    <xf numFmtId="0" fontId="3" fillId="11" borderId="0" xfId="0" applyFont="1" applyFill="1" applyBorder="1" applyAlignment="1">
      <alignment horizontal="right" vertical="center"/>
    </xf>
    <xf numFmtId="49" fontId="4" fillId="11" borderId="0" xfId="0" applyNumberFormat="1" applyFont="1" applyFill="1" applyBorder="1" applyAlignment="1">
      <alignment horizontal="right" vertical="center"/>
    </xf>
    <xf numFmtId="0" fontId="8" fillId="18" borderId="1" xfId="49" applyFont="1" applyFill="1" applyBorder="1" applyAlignment="1">
      <alignment horizontal="left" vertical="center"/>
    </xf>
    <xf numFmtId="0" fontId="8" fillId="18" borderId="18" xfId="49" applyFont="1" applyFill="1" applyBorder="1" applyAlignment="1">
      <alignment vertical="center"/>
    </xf>
    <xf numFmtId="0" fontId="8" fillId="18" borderId="2" xfId="49" applyFont="1" applyFill="1" applyBorder="1" applyAlignment="1">
      <alignment vertical="center"/>
    </xf>
    <xf numFmtId="0" fontId="8" fillId="19" borderId="0" xfId="49" applyFont="1" applyFill="1" applyAlignment="1">
      <alignment vertical="center"/>
    </xf>
    <xf numFmtId="0" fontId="8" fillId="18" borderId="3" xfId="49" applyFont="1" applyFill="1" applyBorder="1" applyAlignment="1">
      <alignment horizontal="left" vertical="center"/>
    </xf>
    <xf numFmtId="0" fontId="8" fillId="18" borderId="0" xfId="49" applyFont="1" applyFill="1" applyBorder="1" applyAlignment="1">
      <alignment vertical="center"/>
    </xf>
    <xf numFmtId="0" fontId="8" fillId="19" borderId="4" xfId="49" applyFont="1" applyFill="1" applyBorder="1" applyAlignment="1">
      <alignment horizontal="left" vertical="center"/>
    </xf>
    <xf numFmtId="0" fontId="8" fillId="19" borderId="19" xfId="49" applyFont="1" applyFill="1" applyBorder="1" applyAlignment="1">
      <alignment vertical="center"/>
    </xf>
    <xf numFmtId="0" fontId="8" fillId="19" borderId="5" xfId="49" applyFont="1" applyFill="1" applyBorder="1" applyAlignment="1">
      <alignment vertical="center"/>
    </xf>
    <xf numFmtId="0" fontId="8" fillId="19" borderId="0" xfId="49" applyFont="1" applyFill="1" applyBorder="1" applyAlignment="1">
      <alignment vertical="center"/>
    </xf>
    <xf numFmtId="0" fontId="8" fillId="18" borderId="6" xfId="49" applyFont="1" applyFill="1" applyBorder="1" applyAlignment="1">
      <alignment horizontal="left" vertical="center"/>
    </xf>
    <xf numFmtId="0" fontId="8" fillId="18" borderId="7" xfId="49" applyFont="1" applyFill="1" applyBorder="1" applyAlignment="1">
      <alignment vertical="center"/>
    </xf>
    <xf numFmtId="0" fontId="8" fillId="19" borderId="8" xfId="49" applyFont="1" applyFill="1" applyBorder="1" applyAlignment="1">
      <alignment horizontal="left" vertical="center"/>
    </xf>
    <xf numFmtId="0" fontId="8" fillId="19" borderId="9" xfId="49" applyFont="1" applyFill="1" applyBorder="1" applyAlignment="1">
      <alignment vertical="center"/>
    </xf>
    <xf numFmtId="0" fontId="8" fillId="13" borderId="3" xfId="49" applyFont="1" applyFill="1" applyBorder="1" applyAlignment="1">
      <alignment horizontal="left" vertical="center"/>
    </xf>
    <xf numFmtId="0" fontId="8" fillId="13" borderId="0" xfId="49" applyFont="1" applyFill="1" applyAlignment="1">
      <alignment vertical="center"/>
    </xf>
    <xf numFmtId="0" fontId="8" fillId="10" borderId="0" xfId="49" applyFont="1" applyFill="1" applyAlignment="1">
      <alignment vertical="center"/>
    </xf>
    <xf numFmtId="0" fontId="8" fillId="10" borderId="8" xfId="49" applyFont="1" applyFill="1" applyBorder="1" applyAlignment="1">
      <alignment horizontal="left" vertical="center"/>
    </xf>
    <xf numFmtId="0" fontId="8" fillId="10" borderId="9" xfId="49" applyFont="1" applyFill="1" applyBorder="1" applyAlignment="1">
      <alignment vertical="center"/>
    </xf>
    <xf numFmtId="0" fontId="8" fillId="13" borderId="6" xfId="49" applyFont="1" applyFill="1" applyBorder="1" applyAlignment="1">
      <alignment horizontal="left" vertical="center"/>
    </xf>
    <xf numFmtId="0" fontId="8" fillId="13" borderId="7" xfId="49" applyFont="1" applyFill="1" applyBorder="1" applyAlignment="1">
      <alignment vertical="center"/>
    </xf>
    <xf numFmtId="0" fontId="8" fillId="13" borderId="0" xfId="49" applyFont="1" applyFill="1" applyBorder="1" applyAlignment="1">
      <alignment vertical="center"/>
    </xf>
    <xf numFmtId="0" fontId="8" fillId="10" borderId="4" xfId="49" applyFont="1" applyFill="1" applyBorder="1" applyAlignment="1">
      <alignment horizontal="left" vertical="center"/>
    </xf>
    <xf numFmtId="0" fontId="8" fillId="10" borderId="19" xfId="49" applyFont="1" applyFill="1" applyBorder="1" applyAlignment="1">
      <alignment vertical="center"/>
    </xf>
    <xf numFmtId="0" fontId="8" fillId="10" borderId="5" xfId="49" applyFont="1" applyFill="1" applyBorder="1" applyAlignment="1">
      <alignment vertical="center"/>
    </xf>
    <xf numFmtId="0" fontId="8" fillId="13" borderId="1" xfId="49" applyFont="1" applyFill="1" applyBorder="1" applyAlignment="1">
      <alignment horizontal="left" vertical="center"/>
    </xf>
    <xf numFmtId="0" fontId="8" fillId="13" borderId="18" xfId="49" applyFont="1" applyFill="1" applyBorder="1" applyAlignment="1">
      <alignment vertical="center"/>
    </xf>
    <xf numFmtId="0" fontId="8" fillId="13" borderId="2" xfId="49" applyFont="1" applyFill="1" applyBorder="1" applyAlignment="1">
      <alignment vertical="center"/>
    </xf>
    <xf numFmtId="0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12" fillId="20" borderId="20" xfId="0" applyNumberFormat="1" applyFont="1" applyFill="1" applyBorder="1" applyAlignment="1">
      <alignment vertical="center" wrapText="1"/>
    </xf>
    <xf numFmtId="0" fontId="3" fillId="20" borderId="20" xfId="0" applyFont="1" applyFill="1" applyBorder="1" applyAlignment="1">
      <alignment vertical="center" wrapText="1"/>
    </xf>
    <xf numFmtId="0" fontId="12" fillId="20" borderId="20" xfId="0" applyFont="1" applyFill="1" applyBorder="1" applyAlignment="1">
      <alignment horizontal="left" vertical="center" wrapText="1"/>
    </xf>
    <xf numFmtId="0" fontId="12" fillId="20" borderId="21" xfId="0" applyFont="1" applyFill="1" applyBorder="1" applyAlignment="1">
      <alignment vertical="center" wrapText="1"/>
    </xf>
    <xf numFmtId="0" fontId="3" fillId="9" borderId="20" xfId="0" applyFont="1" applyFill="1" applyBorder="1" applyAlignment="1">
      <alignment vertical="center" wrapText="1"/>
    </xf>
    <xf numFmtId="0" fontId="12" fillId="20" borderId="20" xfId="0" applyNumberFormat="1" applyFont="1" applyFill="1" applyBorder="1">
      <alignment vertical="center"/>
    </xf>
    <xf numFmtId="0" fontId="3" fillId="20" borderId="20" xfId="0" applyFont="1" applyFill="1" applyBorder="1">
      <alignment vertical="center"/>
    </xf>
    <xf numFmtId="0" fontId="12" fillId="20" borderId="20" xfId="0" applyFont="1" applyFill="1" applyBorder="1" applyAlignment="1">
      <alignment horizontal="left" vertical="center"/>
    </xf>
    <xf numFmtId="0" fontId="12" fillId="20" borderId="21" xfId="0" applyFont="1" applyFill="1" applyBorder="1">
      <alignment vertical="center"/>
    </xf>
    <xf numFmtId="0" fontId="3" fillId="9" borderId="20" xfId="0" applyFont="1" applyFill="1" applyBorder="1">
      <alignment vertical="center"/>
    </xf>
    <xf numFmtId="0" fontId="12" fillId="20" borderId="22" xfId="0" applyNumberFormat="1" applyFont="1" applyFill="1" applyBorder="1">
      <alignment vertical="center"/>
    </xf>
    <xf numFmtId="0" fontId="3" fillId="20" borderId="22" xfId="0" applyFont="1" applyFill="1" applyBorder="1">
      <alignment vertical="center"/>
    </xf>
    <xf numFmtId="0" fontId="12" fillId="20" borderId="22" xfId="0" applyFont="1" applyFill="1" applyBorder="1" applyAlignment="1">
      <alignment horizontal="left" vertical="center"/>
    </xf>
    <xf numFmtId="0" fontId="12" fillId="20" borderId="15" xfId="0" applyFont="1" applyFill="1" applyBorder="1">
      <alignment vertical="center"/>
    </xf>
    <xf numFmtId="0" fontId="6" fillId="0" borderId="0" xfId="0" applyFont="1" applyBorder="1">
      <alignment vertical="center"/>
    </xf>
    <xf numFmtId="0" fontId="12" fillId="20" borderId="0" xfId="0" applyFont="1" applyFill="1" applyBorder="1" applyAlignment="1">
      <alignment vertical="center" wrapText="1"/>
    </xf>
    <xf numFmtId="0" fontId="12" fillId="20" borderId="0" xfId="0" applyFon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C1" workbookViewId="0">
      <pane ySplit="6" topLeftCell="A7" activePane="bottomLeft" state="frozen"/>
      <selection/>
      <selection pane="bottomLeft" activeCell="E14" sqref="E14"/>
    </sheetView>
  </sheetViews>
  <sheetFormatPr defaultColWidth="8.61261261261261" defaultRowHeight="14.1" outlineLevelRow="5"/>
  <cols>
    <col min="3" max="3" width="16.9009009009009" customWidth="1"/>
    <col min="4" max="4" width="9.73873873873874" customWidth="1"/>
    <col min="5" max="5" width="26" customWidth="1"/>
    <col min="6" max="6" width="26.3243243243243" customWidth="1"/>
    <col min="8" max="8" width="9.33333333333333" customWidth="1"/>
    <col min="9" max="9" width="17.2972972972973" customWidth="1"/>
    <col min="10" max="10" width="25.3243243243243" customWidth="1"/>
    <col min="16" max="16" width="12.6216216216216"/>
  </cols>
  <sheetData>
    <row r="1" ht="16.25" spans="1:10">
      <c r="A1" s="148">
        <v>7</v>
      </c>
      <c r="B1" s="149">
        <v>1</v>
      </c>
      <c r="C1" s="149">
        <v>9999</v>
      </c>
      <c r="D1" s="23">
        <v>20</v>
      </c>
      <c r="E1" s="149"/>
      <c r="F1" s="149"/>
      <c r="G1" s="150"/>
      <c r="H1" s="150"/>
      <c r="I1" s="150"/>
      <c r="J1" s="165"/>
    </row>
    <row r="2" ht="48.85" spans="1:10">
      <c r="A2" s="151" t="s">
        <v>0</v>
      </c>
      <c r="B2" s="152" t="s">
        <v>1</v>
      </c>
      <c r="C2" s="152" t="s">
        <v>2</v>
      </c>
      <c r="D2" s="153" t="s">
        <v>3</v>
      </c>
      <c r="E2" s="153" t="s">
        <v>4</v>
      </c>
      <c r="F2" s="153" t="s">
        <v>5</v>
      </c>
      <c r="G2" s="154" t="s">
        <v>6</v>
      </c>
      <c r="H2" s="155" t="s">
        <v>7</v>
      </c>
      <c r="I2" s="155" t="s">
        <v>8</v>
      </c>
      <c r="J2" s="166" t="s">
        <v>9</v>
      </c>
    </row>
    <row r="3" ht="16.25" spans="1:10">
      <c r="A3" s="156" t="s">
        <v>10</v>
      </c>
      <c r="B3" s="157" t="s">
        <v>11</v>
      </c>
      <c r="C3" s="157" t="s">
        <v>12</v>
      </c>
      <c r="D3" s="158" t="s">
        <v>13</v>
      </c>
      <c r="E3" s="158" t="s">
        <v>14</v>
      </c>
      <c r="F3" s="158" t="s">
        <v>15</v>
      </c>
      <c r="G3" s="159" t="s">
        <v>16</v>
      </c>
      <c r="H3" s="160" t="s">
        <v>17</v>
      </c>
      <c r="I3" s="160" t="s">
        <v>18</v>
      </c>
      <c r="J3" s="167"/>
    </row>
    <row r="4" ht="16.25" spans="1:10">
      <c r="A4" s="156" t="s">
        <v>19</v>
      </c>
      <c r="B4" s="157" t="s">
        <v>19</v>
      </c>
      <c r="C4" s="157" t="s">
        <v>19</v>
      </c>
      <c r="D4" s="158" t="s">
        <v>20</v>
      </c>
      <c r="E4" s="158" t="s">
        <v>20</v>
      </c>
      <c r="F4" s="158" t="s">
        <v>20</v>
      </c>
      <c r="G4" s="159" t="s">
        <v>19</v>
      </c>
      <c r="H4" s="160" t="s">
        <v>19</v>
      </c>
      <c r="I4" s="160" t="s">
        <v>20</v>
      </c>
      <c r="J4" s="167"/>
    </row>
    <row r="5" ht="16.25" spans="1:10">
      <c r="A5" s="156" t="s">
        <v>21</v>
      </c>
      <c r="B5" s="157" t="s">
        <v>22</v>
      </c>
      <c r="C5" s="157" t="s">
        <v>22</v>
      </c>
      <c r="D5" s="158" t="s">
        <v>22</v>
      </c>
      <c r="E5" s="158" t="s">
        <v>22</v>
      </c>
      <c r="F5" s="158" t="s">
        <v>22</v>
      </c>
      <c r="G5" s="159" t="s">
        <v>22</v>
      </c>
      <c r="H5" s="160" t="s">
        <v>22</v>
      </c>
      <c r="I5" s="160" t="s">
        <v>22</v>
      </c>
      <c r="J5" s="167"/>
    </row>
    <row r="6" ht="16.25" spans="1:10">
      <c r="A6" s="161" t="s">
        <v>10</v>
      </c>
      <c r="B6" s="162" t="s">
        <v>11</v>
      </c>
      <c r="C6" s="162" t="s">
        <v>12</v>
      </c>
      <c r="D6" s="163" t="s">
        <v>13</v>
      </c>
      <c r="E6" s="163" t="s">
        <v>14</v>
      </c>
      <c r="F6" s="163" t="s">
        <v>15</v>
      </c>
      <c r="G6" s="164" t="s">
        <v>16</v>
      </c>
      <c r="H6" s="160" t="s">
        <v>17</v>
      </c>
      <c r="I6" s="160" t="s">
        <v>18</v>
      </c>
      <c r="J6" s="167"/>
    </row>
  </sheetData>
  <autoFilter ref="A6:J6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185"/>
  <sheetViews>
    <sheetView workbookViewId="0">
      <pane ySplit="1" topLeftCell="A28" activePane="bottomLeft" state="frozen"/>
      <selection/>
      <selection pane="bottomLeft" activeCell="F156" sqref="F156:G156"/>
    </sheetView>
  </sheetViews>
  <sheetFormatPr defaultColWidth="9" defaultRowHeight="14.1" outlineLevelCol="2"/>
  <cols>
    <col min="3" max="3" width="25.3243243243243" customWidth="1"/>
  </cols>
  <sheetData>
    <row r="1" spans="1:3">
      <c r="A1" s="6" t="s">
        <v>10</v>
      </c>
      <c r="B1" s="6" t="s">
        <v>23</v>
      </c>
      <c r="C1" s="6" t="s">
        <v>24</v>
      </c>
    </row>
    <row r="2" ht="14.85" hidden="1" spans="1:3">
      <c r="A2" s="120">
        <v>120001</v>
      </c>
      <c r="B2" s="121">
        <v>1</v>
      </c>
      <c r="C2" s="122" t="s">
        <v>25</v>
      </c>
    </row>
    <row r="3" hidden="1" spans="1:3">
      <c r="A3" s="110">
        <v>120002</v>
      </c>
      <c r="B3" s="123">
        <v>2</v>
      </c>
      <c r="C3" s="123" t="s">
        <v>26</v>
      </c>
    </row>
    <row r="4" spans="1:3">
      <c r="A4" s="110">
        <v>120003</v>
      </c>
      <c r="B4" s="123">
        <v>3</v>
      </c>
      <c r="C4" s="123" t="s">
        <v>27</v>
      </c>
    </row>
    <row r="5" hidden="1" spans="1:3">
      <c r="A5" s="110">
        <v>120004</v>
      </c>
      <c r="B5" s="123">
        <v>4</v>
      </c>
      <c r="C5" s="123" t="s">
        <v>28</v>
      </c>
    </row>
    <row r="6" hidden="1" spans="1:3">
      <c r="A6" s="124">
        <v>130001</v>
      </c>
      <c r="B6" s="125">
        <v>1</v>
      </c>
      <c r="C6" s="125" t="s">
        <v>29</v>
      </c>
    </row>
    <row r="7" hidden="1" spans="1:3">
      <c r="A7" s="110">
        <v>130002</v>
      </c>
      <c r="B7" s="123">
        <v>2</v>
      </c>
      <c r="C7" s="123" t="s">
        <v>30</v>
      </c>
    </row>
    <row r="8" spans="1:3">
      <c r="A8" s="110">
        <v>130003</v>
      </c>
      <c r="B8" s="123">
        <v>3</v>
      </c>
      <c r="C8" s="123" t="s">
        <v>31</v>
      </c>
    </row>
    <row r="9" ht="14.85" hidden="1" spans="1:3">
      <c r="A9" s="126">
        <v>130004</v>
      </c>
      <c r="B9" s="127">
        <v>4</v>
      </c>
      <c r="C9" s="128" t="s">
        <v>32</v>
      </c>
    </row>
    <row r="10" ht="14.85" hidden="1" spans="1:3">
      <c r="A10" s="120">
        <v>140001</v>
      </c>
      <c r="B10" s="121">
        <v>1</v>
      </c>
      <c r="C10" s="122" t="s">
        <v>33</v>
      </c>
    </row>
    <row r="11" hidden="1" spans="1:3">
      <c r="A11" s="110">
        <v>140002</v>
      </c>
      <c r="B11" s="129">
        <v>2</v>
      </c>
      <c r="C11" s="129" t="s">
        <v>34</v>
      </c>
    </row>
    <row r="12" spans="1:3">
      <c r="A12" s="110">
        <v>140003</v>
      </c>
      <c r="B12" s="129">
        <v>3</v>
      </c>
      <c r="C12" s="129" t="s">
        <v>35</v>
      </c>
    </row>
    <row r="13" hidden="1" spans="1:3">
      <c r="A13" s="110">
        <v>140004</v>
      </c>
      <c r="B13" s="129">
        <v>4</v>
      </c>
      <c r="C13" s="129" t="s">
        <v>36</v>
      </c>
    </row>
    <row r="14" hidden="1" spans="1:3">
      <c r="A14" s="124">
        <v>140101</v>
      </c>
      <c r="B14" s="125">
        <v>1</v>
      </c>
      <c r="C14" s="125" t="s">
        <v>37</v>
      </c>
    </row>
    <row r="15" hidden="1" spans="1:3">
      <c r="A15" s="110">
        <v>140102</v>
      </c>
      <c r="B15" s="129">
        <v>2</v>
      </c>
      <c r="C15" s="129" t="s">
        <v>38</v>
      </c>
    </row>
    <row r="16" spans="1:3">
      <c r="A16" s="110">
        <v>140103</v>
      </c>
      <c r="B16" s="129">
        <v>3</v>
      </c>
      <c r="C16" s="129" t="s">
        <v>39</v>
      </c>
    </row>
    <row r="17" ht="14.85" hidden="1" spans="1:3">
      <c r="A17" s="126">
        <v>140104</v>
      </c>
      <c r="B17" s="127">
        <v>4</v>
      </c>
      <c r="C17" s="128" t="s">
        <v>40</v>
      </c>
    </row>
    <row r="18" ht="14.85" hidden="1" spans="1:3">
      <c r="A18" s="120">
        <v>140201</v>
      </c>
      <c r="B18" s="121">
        <v>1</v>
      </c>
      <c r="C18" s="122" t="s">
        <v>41</v>
      </c>
    </row>
    <row r="19" hidden="1" spans="1:3">
      <c r="A19" s="110">
        <v>140202</v>
      </c>
      <c r="B19" s="129">
        <v>2</v>
      </c>
      <c r="C19" s="129" t="s">
        <v>42</v>
      </c>
    </row>
    <row r="20" spans="1:3">
      <c r="A20" s="110">
        <v>140203</v>
      </c>
      <c r="B20" s="129">
        <v>3</v>
      </c>
      <c r="C20" s="129" t="s">
        <v>43</v>
      </c>
    </row>
    <row r="21" hidden="1" spans="1:3">
      <c r="A21" s="110">
        <v>140204</v>
      </c>
      <c r="B21" s="129">
        <v>4</v>
      </c>
      <c r="C21" s="129" t="s">
        <v>44</v>
      </c>
    </row>
    <row r="22" hidden="1" spans="1:3">
      <c r="A22" s="124">
        <v>150101</v>
      </c>
      <c r="B22" s="125">
        <v>1</v>
      </c>
      <c r="C22" s="125" t="s">
        <v>45</v>
      </c>
    </row>
    <row r="23" hidden="1" spans="1:3">
      <c r="A23" s="110">
        <v>150102</v>
      </c>
      <c r="B23" s="129">
        <v>2</v>
      </c>
      <c r="C23" s="129" t="s">
        <v>46</v>
      </c>
    </row>
    <row r="24" spans="1:3">
      <c r="A24" s="110">
        <v>150103</v>
      </c>
      <c r="B24" s="129">
        <v>3</v>
      </c>
      <c r="C24" s="129" t="s">
        <v>47</v>
      </c>
    </row>
    <row r="25" hidden="1" spans="1:3">
      <c r="A25" s="110">
        <v>150104</v>
      </c>
      <c r="B25" s="129">
        <v>4</v>
      </c>
      <c r="C25" s="129" t="s">
        <v>48</v>
      </c>
    </row>
    <row r="26" hidden="1" spans="1:3">
      <c r="A26" s="124">
        <v>150201</v>
      </c>
      <c r="B26" s="125">
        <v>1</v>
      </c>
      <c r="C26" s="125" t="s">
        <v>49</v>
      </c>
    </row>
    <row r="27" hidden="1" spans="1:3">
      <c r="A27" s="110">
        <v>150202</v>
      </c>
      <c r="B27" s="129">
        <v>2</v>
      </c>
      <c r="C27" s="129" t="s">
        <v>50</v>
      </c>
    </row>
    <row r="28" spans="1:3">
      <c r="A28" s="110">
        <v>150203</v>
      </c>
      <c r="B28" s="129">
        <v>3</v>
      </c>
      <c r="C28" s="129" t="s">
        <v>51</v>
      </c>
    </row>
    <row r="29" hidden="1" spans="1:3">
      <c r="A29" s="110">
        <v>150204</v>
      </c>
      <c r="B29" s="129">
        <v>4</v>
      </c>
      <c r="C29" s="129" t="s">
        <v>52</v>
      </c>
    </row>
    <row r="30" hidden="1" spans="1:3">
      <c r="A30" s="124">
        <v>150301</v>
      </c>
      <c r="B30" s="125">
        <v>1</v>
      </c>
      <c r="C30" s="125" t="s">
        <v>53</v>
      </c>
    </row>
    <row r="31" hidden="1" spans="1:3">
      <c r="A31" s="110">
        <v>150302</v>
      </c>
      <c r="B31" s="129">
        <v>2</v>
      </c>
      <c r="C31" s="129" t="s">
        <v>54</v>
      </c>
    </row>
    <row r="32" spans="1:3">
      <c r="A32" s="110">
        <v>150303</v>
      </c>
      <c r="B32" s="129">
        <v>3</v>
      </c>
      <c r="C32" s="129" t="s">
        <v>55</v>
      </c>
    </row>
    <row r="33" hidden="1" spans="1:3">
      <c r="A33" s="110">
        <v>150304</v>
      </c>
      <c r="B33" s="129">
        <v>4</v>
      </c>
      <c r="C33" s="129" t="s">
        <v>56</v>
      </c>
    </row>
    <row r="34" hidden="1" spans="1:3">
      <c r="A34" s="124">
        <v>150401</v>
      </c>
      <c r="B34" s="125">
        <v>1</v>
      </c>
      <c r="C34" s="125" t="s">
        <v>57</v>
      </c>
    </row>
    <row r="35" hidden="1" spans="1:3">
      <c r="A35" s="110">
        <v>150402</v>
      </c>
      <c r="B35" s="129">
        <v>2</v>
      </c>
      <c r="C35" s="129" t="s">
        <v>58</v>
      </c>
    </row>
    <row r="36" spans="1:3">
      <c r="A36" s="110">
        <v>150403</v>
      </c>
      <c r="B36" s="129">
        <v>3</v>
      </c>
      <c r="C36" s="129" t="s">
        <v>59</v>
      </c>
    </row>
    <row r="37" hidden="1" spans="1:3">
      <c r="A37" s="110">
        <v>150404</v>
      </c>
      <c r="B37" s="129">
        <v>4</v>
      </c>
      <c r="C37" s="129" t="s">
        <v>60</v>
      </c>
    </row>
    <row r="38" hidden="1" spans="1:3">
      <c r="A38" s="124">
        <v>150501</v>
      </c>
      <c r="B38" s="125">
        <v>1</v>
      </c>
      <c r="C38" s="125" t="s">
        <v>61</v>
      </c>
    </row>
    <row r="39" hidden="1" spans="1:3">
      <c r="A39" s="110">
        <v>150502</v>
      </c>
      <c r="B39" s="129">
        <v>2</v>
      </c>
      <c r="C39" s="129" t="s">
        <v>62</v>
      </c>
    </row>
    <row r="40" spans="1:3">
      <c r="A40" s="110">
        <v>150503</v>
      </c>
      <c r="B40" s="129">
        <v>3</v>
      </c>
      <c r="C40" s="129" t="s">
        <v>63</v>
      </c>
    </row>
    <row r="41" ht="14.85" hidden="1" spans="1:3">
      <c r="A41" s="126">
        <v>150504</v>
      </c>
      <c r="B41" s="127">
        <v>4</v>
      </c>
      <c r="C41" s="128" t="s">
        <v>64</v>
      </c>
    </row>
    <row r="42" ht="14.85" hidden="1" spans="1:3">
      <c r="A42" s="120">
        <v>150601</v>
      </c>
      <c r="B42" s="121">
        <v>1</v>
      </c>
      <c r="C42" s="122" t="s">
        <v>65</v>
      </c>
    </row>
    <row r="43" hidden="1" spans="1:3">
      <c r="A43" s="110">
        <v>150602</v>
      </c>
      <c r="B43" s="129">
        <v>2</v>
      </c>
      <c r="C43" s="129" t="s">
        <v>66</v>
      </c>
    </row>
    <row r="44" spans="1:3">
      <c r="A44" s="110">
        <v>150603</v>
      </c>
      <c r="B44" s="129">
        <v>3</v>
      </c>
      <c r="C44" s="129" t="s">
        <v>67</v>
      </c>
    </row>
    <row r="45" hidden="1" spans="1:3">
      <c r="A45" s="110">
        <v>150604</v>
      </c>
      <c r="B45" s="129">
        <v>4</v>
      </c>
      <c r="C45" s="129" t="s">
        <v>68</v>
      </c>
    </row>
    <row r="46" hidden="1" spans="1:3">
      <c r="A46" s="124">
        <v>150701</v>
      </c>
      <c r="B46" s="125">
        <v>1</v>
      </c>
      <c r="C46" s="125" t="s">
        <v>69</v>
      </c>
    </row>
    <row r="47" hidden="1" spans="1:3">
      <c r="A47" s="110">
        <v>150702</v>
      </c>
      <c r="B47" s="129">
        <v>2</v>
      </c>
      <c r="C47" s="129" t="s">
        <v>70</v>
      </c>
    </row>
    <row r="48" spans="1:3">
      <c r="A48" s="110">
        <v>150703</v>
      </c>
      <c r="B48" s="129">
        <v>3</v>
      </c>
      <c r="C48" s="129" t="s">
        <v>71</v>
      </c>
    </row>
    <row r="49" hidden="1" spans="1:3">
      <c r="A49" s="110">
        <v>150704</v>
      </c>
      <c r="B49" s="129">
        <v>4</v>
      </c>
      <c r="C49" s="129" t="s">
        <v>72</v>
      </c>
    </row>
    <row r="50" hidden="1" spans="1:3">
      <c r="A50" s="130">
        <v>150801</v>
      </c>
      <c r="B50" s="131">
        <v>1</v>
      </c>
      <c r="C50" s="131" t="s">
        <v>73</v>
      </c>
    </row>
    <row r="51" hidden="1" spans="1:3">
      <c r="A51" s="110">
        <v>150802</v>
      </c>
      <c r="B51" s="129">
        <v>2</v>
      </c>
      <c r="C51" s="129" t="s">
        <v>74</v>
      </c>
    </row>
    <row r="52" spans="1:3">
      <c r="A52" s="110">
        <v>150803</v>
      </c>
      <c r="B52" s="129">
        <v>3</v>
      </c>
      <c r="C52" s="129" t="s">
        <v>75</v>
      </c>
    </row>
    <row r="53" hidden="1" spans="1:3">
      <c r="A53" s="110">
        <v>150804</v>
      </c>
      <c r="B53" s="129">
        <v>4</v>
      </c>
      <c r="C53" s="129" t="s">
        <v>76</v>
      </c>
    </row>
    <row r="54" hidden="1" spans="1:3">
      <c r="A54" s="124">
        <v>150901</v>
      </c>
      <c r="B54" s="125">
        <v>1</v>
      </c>
      <c r="C54" s="125" t="s">
        <v>77</v>
      </c>
    </row>
    <row r="55" hidden="1" spans="1:3">
      <c r="A55" s="110">
        <v>150902</v>
      </c>
      <c r="B55" s="129">
        <v>2</v>
      </c>
      <c r="C55" s="129" t="s">
        <v>78</v>
      </c>
    </row>
    <row r="56" spans="1:3">
      <c r="A56" s="110">
        <v>150903</v>
      </c>
      <c r="B56" s="129">
        <v>3</v>
      </c>
      <c r="C56" s="129" t="s">
        <v>79</v>
      </c>
    </row>
    <row r="57" hidden="1" spans="1:3">
      <c r="A57" s="132">
        <v>150904</v>
      </c>
      <c r="B57" s="133">
        <v>4</v>
      </c>
      <c r="C57" s="133" t="s">
        <v>80</v>
      </c>
    </row>
    <row r="58" hidden="1" spans="1:3">
      <c r="A58" s="130">
        <v>160101</v>
      </c>
      <c r="B58" s="131">
        <v>1</v>
      </c>
      <c r="C58" s="131" t="s">
        <v>81</v>
      </c>
    </row>
    <row r="59" hidden="1" spans="1:3">
      <c r="A59" s="110">
        <v>160102</v>
      </c>
      <c r="B59" s="129">
        <v>2</v>
      </c>
      <c r="C59" s="129" t="s">
        <v>82</v>
      </c>
    </row>
    <row r="60" spans="1:3">
      <c r="A60" s="110">
        <v>160103</v>
      </c>
      <c r="B60" s="129">
        <v>3</v>
      </c>
      <c r="C60" s="129" t="s">
        <v>83</v>
      </c>
    </row>
    <row r="61" hidden="1" spans="1:3">
      <c r="A61" s="110">
        <v>160104</v>
      </c>
      <c r="B61" s="129">
        <v>4</v>
      </c>
      <c r="C61" s="129" t="s">
        <v>84</v>
      </c>
    </row>
    <row r="62" hidden="1" spans="1:3">
      <c r="A62" s="124">
        <v>160201</v>
      </c>
      <c r="B62" s="125">
        <v>1</v>
      </c>
      <c r="C62" s="125" t="s">
        <v>85</v>
      </c>
    </row>
    <row r="63" hidden="1" spans="1:3">
      <c r="A63" s="110">
        <v>160202</v>
      </c>
      <c r="B63" s="129">
        <v>2</v>
      </c>
      <c r="C63" s="129" t="s">
        <v>86</v>
      </c>
    </row>
    <row r="64" spans="1:3">
      <c r="A64" s="110">
        <v>160203</v>
      </c>
      <c r="B64" s="129">
        <v>3</v>
      </c>
      <c r="C64" s="129" t="s">
        <v>87</v>
      </c>
    </row>
    <row r="65" hidden="1" spans="1:3">
      <c r="A65" s="132">
        <v>160204</v>
      </c>
      <c r="B65" s="133">
        <v>4</v>
      </c>
      <c r="C65" s="133" t="s">
        <v>88</v>
      </c>
    </row>
    <row r="66" hidden="1" spans="1:3">
      <c r="A66" s="130">
        <v>160301</v>
      </c>
      <c r="B66" s="131">
        <v>1</v>
      </c>
      <c r="C66" s="131" t="s">
        <v>89</v>
      </c>
    </row>
    <row r="67" hidden="1" spans="1:3">
      <c r="A67" s="110">
        <v>160302</v>
      </c>
      <c r="B67" s="129">
        <v>2</v>
      </c>
      <c r="C67" s="129" t="s">
        <v>90</v>
      </c>
    </row>
    <row r="68" spans="1:3">
      <c r="A68" s="110">
        <v>160303</v>
      </c>
      <c r="B68" s="129">
        <v>3</v>
      </c>
      <c r="C68" s="129" t="s">
        <v>91</v>
      </c>
    </row>
    <row r="69" hidden="1" spans="1:3">
      <c r="A69" s="110">
        <v>160304</v>
      </c>
      <c r="B69" s="129">
        <v>4</v>
      </c>
      <c r="C69" s="129" t="s">
        <v>92</v>
      </c>
    </row>
    <row r="70" hidden="1" spans="1:3">
      <c r="A70" s="124">
        <v>160401</v>
      </c>
      <c r="B70" s="125">
        <v>1</v>
      </c>
      <c r="C70" s="125" t="s">
        <v>93</v>
      </c>
    </row>
    <row r="71" hidden="1" spans="1:3">
      <c r="A71" s="110">
        <v>160402</v>
      </c>
      <c r="B71" s="129">
        <v>2</v>
      </c>
      <c r="C71" s="129" t="s">
        <v>94</v>
      </c>
    </row>
    <row r="72" spans="1:3">
      <c r="A72" s="110">
        <v>160403</v>
      </c>
      <c r="B72" s="129">
        <v>3</v>
      </c>
      <c r="C72" s="129" t="s">
        <v>95</v>
      </c>
    </row>
    <row r="73" hidden="1" spans="1:3">
      <c r="A73" s="132">
        <v>160404</v>
      </c>
      <c r="B73" s="133">
        <v>4</v>
      </c>
      <c r="C73" s="133" t="s">
        <v>96</v>
      </c>
    </row>
    <row r="74" hidden="1" spans="1:3">
      <c r="A74" s="130">
        <v>160501</v>
      </c>
      <c r="B74" s="131">
        <v>1</v>
      </c>
      <c r="C74" s="131" t="s">
        <v>97</v>
      </c>
    </row>
    <row r="75" hidden="1" spans="1:3">
      <c r="A75" s="110">
        <v>160502</v>
      </c>
      <c r="B75" s="129">
        <v>2</v>
      </c>
      <c r="C75" s="129" t="s">
        <v>98</v>
      </c>
    </row>
    <row r="76" spans="1:3">
      <c r="A76" s="110">
        <v>160503</v>
      </c>
      <c r="B76" s="129">
        <v>3</v>
      </c>
      <c r="C76" s="129" t="s">
        <v>99</v>
      </c>
    </row>
    <row r="77" hidden="1" spans="1:3">
      <c r="A77" s="110">
        <v>160504</v>
      </c>
      <c r="B77" s="129">
        <v>4</v>
      </c>
      <c r="C77" s="129" t="s">
        <v>100</v>
      </c>
    </row>
    <row r="78" hidden="1" spans="1:3">
      <c r="A78" s="124">
        <v>160601</v>
      </c>
      <c r="B78" s="125">
        <v>1</v>
      </c>
      <c r="C78" s="125" t="s">
        <v>101</v>
      </c>
    </row>
    <row r="79" hidden="1" spans="1:3">
      <c r="A79" s="110">
        <v>160602</v>
      </c>
      <c r="B79" s="129">
        <v>2</v>
      </c>
      <c r="C79" s="129" t="s">
        <v>102</v>
      </c>
    </row>
    <row r="80" spans="1:3">
      <c r="A80" s="110">
        <v>160603</v>
      </c>
      <c r="B80" s="129">
        <v>3</v>
      </c>
      <c r="C80" s="129" t="s">
        <v>103</v>
      </c>
    </row>
    <row r="81" hidden="1" spans="1:3">
      <c r="A81" s="132">
        <v>160604</v>
      </c>
      <c r="B81" s="133">
        <v>4</v>
      </c>
      <c r="C81" s="133" t="s">
        <v>104</v>
      </c>
    </row>
    <row r="82" hidden="1" spans="1:3">
      <c r="A82" s="130">
        <v>160701</v>
      </c>
      <c r="B82" s="131">
        <v>1</v>
      </c>
      <c r="C82" s="131" t="s">
        <v>105</v>
      </c>
    </row>
    <row r="83" hidden="1" spans="1:3">
      <c r="A83" s="110">
        <v>160702</v>
      </c>
      <c r="B83" s="129">
        <v>2</v>
      </c>
      <c r="C83" s="129" t="s">
        <v>106</v>
      </c>
    </row>
    <row r="84" spans="1:3">
      <c r="A84" s="110">
        <v>160703</v>
      </c>
      <c r="B84" s="129">
        <v>3</v>
      </c>
      <c r="C84" s="129" t="s">
        <v>107</v>
      </c>
    </row>
    <row r="85" hidden="1" spans="1:3">
      <c r="A85" s="110">
        <v>160704</v>
      </c>
      <c r="B85" s="129">
        <v>4</v>
      </c>
      <c r="C85" s="129" t="s">
        <v>108</v>
      </c>
    </row>
    <row r="86" hidden="1" spans="1:3">
      <c r="A86" s="124">
        <v>160801</v>
      </c>
      <c r="B86" s="125">
        <v>1</v>
      </c>
      <c r="C86" s="125" t="s">
        <v>109</v>
      </c>
    </row>
    <row r="87" hidden="1" spans="1:3">
      <c r="A87" s="110">
        <v>160802</v>
      </c>
      <c r="B87" s="129">
        <v>2</v>
      </c>
      <c r="C87" s="129" t="s">
        <v>110</v>
      </c>
    </row>
    <row r="88" spans="1:3">
      <c r="A88" s="110">
        <v>160803</v>
      </c>
      <c r="B88" s="129">
        <v>3</v>
      </c>
      <c r="C88" s="129" t="s">
        <v>111</v>
      </c>
    </row>
    <row r="89" hidden="1" spans="1:3">
      <c r="A89" s="132">
        <v>160804</v>
      </c>
      <c r="B89" s="133">
        <v>4</v>
      </c>
      <c r="C89" s="133" t="s">
        <v>112</v>
      </c>
    </row>
    <row r="90" hidden="1" spans="1:3">
      <c r="A90" s="130">
        <v>160901</v>
      </c>
      <c r="B90" s="131">
        <v>1</v>
      </c>
      <c r="C90" s="131" t="s">
        <v>113</v>
      </c>
    </row>
    <row r="91" hidden="1" spans="1:3">
      <c r="A91" s="110">
        <v>160902</v>
      </c>
      <c r="B91" s="129">
        <v>2</v>
      </c>
      <c r="C91" s="129" t="s">
        <v>114</v>
      </c>
    </row>
    <row r="92" spans="1:3">
      <c r="A92" s="110">
        <v>160903</v>
      </c>
      <c r="B92" s="129">
        <v>3</v>
      </c>
      <c r="C92" s="129" t="s">
        <v>115</v>
      </c>
    </row>
    <row r="93" hidden="1" spans="1:3">
      <c r="A93" s="110">
        <v>160904</v>
      </c>
      <c r="B93" s="129">
        <v>4</v>
      </c>
      <c r="C93" s="129" t="s">
        <v>116</v>
      </c>
    </row>
    <row r="94" hidden="1" spans="1:3">
      <c r="A94" s="134">
        <v>220001</v>
      </c>
      <c r="B94" s="135">
        <v>1</v>
      </c>
      <c r="C94" s="135" t="s">
        <v>117</v>
      </c>
    </row>
    <row r="95" hidden="1" spans="1:3">
      <c r="A95" s="92">
        <v>220002</v>
      </c>
      <c r="B95" s="136">
        <v>2</v>
      </c>
      <c r="C95" s="136" t="s">
        <v>118</v>
      </c>
    </row>
    <row r="96" spans="1:3">
      <c r="A96" s="92">
        <v>220003</v>
      </c>
      <c r="B96" s="136">
        <v>3</v>
      </c>
      <c r="C96" s="136" t="s">
        <v>119</v>
      </c>
    </row>
    <row r="97" hidden="1" spans="1:3">
      <c r="A97" s="137">
        <v>220004</v>
      </c>
      <c r="B97" s="138">
        <v>4</v>
      </c>
      <c r="C97" s="138" t="s">
        <v>120</v>
      </c>
    </row>
    <row r="98" hidden="1" spans="1:3">
      <c r="A98" s="139">
        <v>230001</v>
      </c>
      <c r="B98" s="140">
        <v>1</v>
      </c>
      <c r="C98" s="140" t="s">
        <v>121</v>
      </c>
    </row>
    <row r="99" hidden="1" spans="1:3">
      <c r="A99" s="92">
        <v>230002</v>
      </c>
      <c r="B99" s="136">
        <v>2</v>
      </c>
      <c r="C99" s="136" t="s">
        <v>122</v>
      </c>
    </row>
    <row r="100" spans="1:3">
      <c r="A100" s="92">
        <v>230003</v>
      </c>
      <c r="B100" s="136">
        <v>3</v>
      </c>
      <c r="C100" s="136" t="s">
        <v>123</v>
      </c>
    </row>
    <row r="101" hidden="1" spans="1:3">
      <c r="A101" s="92">
        <v>230004</v>
      </c>
      <c r="B101" s="37">
        <v>4</v>
      </c>
      <c r="C101" s="37" t="s">
        <v>124</v>
      </c>
    </row>
    <row r="102" hidden="1" spans="1:3">
      <c r="A102" s="134">
        <v>240001</v>
      </c>
      <c r="B102" s="141">
        <v>1</v>
      </c>
      <c r="C102" s="141" t="s">
        <v>125</v>
      </c>
    </row>
    <row r="103" hidden="1" spans="1:3">
      <c r="A103" s="92">
        <v>240002</v>
      </c>
      <c r="B103" s="37">
        <v>2</v>
      </c>
      <c r="C103" s="37" t="s">
        <v>126</v>
      </c>
    </row>
    <row r="104" spans="1:3">
      <c r="A104" s="92">
        <v>240003</v>
      </c>
      <c r="B104" s="37">
        <v>3</v>
      </c>
      <c r="C104" s="37" t="s">
        <v>127</v>
      </c>
    </row>
    <row r="105" hidden="1" spans="1:3">
      <c r="A105" s="137">
        <v>240004</v>
      </c>
      <c r="B105" s="138">
        <v>4</v>
      </c>
      <c r="C105" s="138" t="s">
        <v>128</v>
      </c>
    </row>
    <row r="106" hidden="1" spans="1:3">
      <c r="A106" s="134">
        <v>240101</v>
      </c>
      <c r="B106" s="141">
        <v>1</v>
      </c>
      <c r="C106" s="141" t="s">
        <v>37</v>
      </c>
    </row>
    <row r="107" hidden="1" spans="1:3">
      <c r="A107" s="92">
        <v>240102</v>
      </c>
      <c r="B107" s="37">
        <v>2</v>
      </c>
      <c r="C107" s="37" t="s">
        <v>129</v>
      </c>
    </row>
    <row r="108" spans="1:3">
      <c r="A108" s="92">
        <v>240103</v>
      </c>
      <c r="B108" s="37">
        <v>3</v>
      </c>
      <c r="C108" s="37" t="s">
        <v>130</v>
      </c>
    </row>
    <row r="109" hidden="1" spans="1:3">
      <c r="A109" s="92">
        <v>240104</v>
      </c>
      <c r="B109" s="37">
        <v>4</v>
      </c>
      <c r="C109" s="37" t="s">
        <v>131</v>
      </c>
    </row>
    <row r="110" hidden="1" spans="1:3">
      <c r="A110" s="134">
        <v>240201</v>
      </c>
      <c r="B110" s="141">
        <v>1</v>
      </c>
      <c r="C110" s="141" t="s">
        <v>132</v>
      </c>
    </row>
    <row r="111" hidden="1" spans="1:3">
      <c r="A111" s="92">
        <v>240202</v>
      </c>
      <c r="B111" s="37">
        <v>2</v>
      </c>
      <c r="C111" s="37" t="s">
        <v>133</v>
      </c>
    </row>
    <row r="112" spans="1:3">
      <c r="A112" s="92">
        <v>240203</v>
      </c>
      <c r="B112" s="37">
        <v>3</v>
      </c>
      <c r="C112" s="37" t="s">
        <v>134</v>
      </c>
    </row>
    <row r="113" ht="14.85" hidden="1" spans="1:3">
      <c r="A113" s="142">
        <v>240204</v>
      </c>
      <c r="B113" s="143">
        <v>4</v>
      </c>
      <c r="C113" s="144" t="s">
        <v>135</v>
      </c>
    </row>
    <row r="114" ht="14.85" hidden="1" spans="1:3">
      <c r="A114" s="145">
        <v>250101</v>
      </c>
      <c r="B114" s="146">
        <v>1</v>
      </c>
      <c r="C114" s="147" t="s">
        <v>136</v>
      </c>
    </row>
    <row r="115" hidden="1" spans="1:3">
      <c r="A115" s="92">
        <v>250102</v>
      </c>
      <c r="B115" s="37">
        <v>2</v>
      </c>
      <c r="C115" s="37" t="s">
        <v>137</v>
      </c>
    </row>
    <row r="116" spans="1:3">
      <c r="A116" s="92">
        <v>250103</v>
      </c>
      <c r="B116" s="37">
        <v>3</v>
      </c>
      <c r="C116" s="37" t="s">
        <v>138</v>
      </c>
    </row>
    <row r="117" hidden="1" spans="1:3">
      <c r="A117" s="92">
        <v>250104</v>
      </c>
      <c r="B117" s="37">
        <v>4</v>
      </c>
      <c r="C117" s="37" t="s">
        <v>139</v>
      </c>
    </row>
    <row r="118" hidden="1" spans="1:3">
      <c r="A118" s="134">
        <v>250201</v>
      </c>
      <c r="B118" s="141">
        <v>1</v>
      </c>
      <c r="C118" s="141" t="s">
        <v>140</v>
      </c>
    </row>
    <row r="119" hidden="1" spans="1:3">
      <c r="A119" s="92">
        <v>250202</v>
      </c>
      <c r="B119" s="37">
        <v>2</v>
      </c>
      <c r="C119" s="37" t="s">
        <v>141</v>
      </c>
    </row>
    <row r="120" spans="1:3">
      <c r="A120" s="92">
        <v>250203</v>
      </c>
      <c r="B120" s="37">
        <v>3</v>
      </c>
      <c r="C120" s="37" t="s">
        <v>142</v>
      </c>
    </row>
    <row r="121" hidden="1" spans="1:3">
      <c r="A121" s="92">
        <v>250204</v>
      </c>
      <c r="B121" s="37">
        <v>4</v>
      </c>
      <c r="C121" s="37" t="s">
        <v>143</v>
      </c>
    </row>
    <row r="122" hidden="1" spans="1:3">
      <c r="A122" s="139">
        <v>250301</v>
      </c>
      <c r="B122" s="140">
        <v>1</v>
      </c>
      <c r="C122" s="140" t="s">
        <v>144</v>
      </c>
    </row>
    <row r="123" hidden="1" spans="1:3">
      <c r="A123" s="92">
        <v>250302</v>
      </c>
      <c r="B123" s="37">
        <v>2</v>
      </c>
      <c r="C123" s="37" t="s">
        <v>145</v>
      </c>
    </row>
    <row r="124" spans="1:3">
      <c r="A124" s="92">
        <v>250303</v>
      </c>
      <c r="B124" s="37">
        <v>3</v>
      </c>
      <c r="C124" s="37" t="s">
        <v>146</v>
      </c>
    </row>
    <row r="125" hidden="1" spans="1:3">
      <c r="A125" s="92">
        <v>250304</v>
      </c>
      <c r="B125" s="37">
        <v>4</v>
      </c>
      <c r="C125" s="37" t="s">
        <v>147</v>
      </c>
    </row>
    <row r="126" hidden="1" spans="1:3">
      <c r="A126" s="134">
        <v>250401</v>
      </c>
      <c r="B126" s="141">
        <v>1</v>
      </c>
      <c r="C126" s="141" t="s">
        <v>148</v>
      </c>
    </row>
    <row r="127" hidden="1" spans="1:3">
      <c r="A127" s="92">
        <v>250402</v>
      </c>
      <c r="B127" s="37">
        <v>2</v>
      </c>
      <c r="C127" s="37" t="s">
        <v>149</v>
      </c>
    </row>
    <row r="128" spans="1:3">
      <c r="A128" s="92">
        <v>250403</v>
      </c>
      <c r="B128" s="37">
        <v>3</v>
      </c>
      <c r="C128" s="37" t="s">
        <v>150</v>
      </c>
    </row>
    <row r="129" hidden="1" spans="1:3">
      <c r="A129" s="137">
        <v>250404</v>
      </c>
      <c r="B129" s="138">
        <v>4</v>
      </c>
      <c r="C129" s="138" t="s">
        <v>151</v>
      </c>
    </row>
    <row r="130" hidden="1" spans="1:3">
      <c r="A130" s="139">
        <v>250501</v>
      </c>
      <c r="B130" s="140">
        <v>1</v>
      </c>
      <c r="C130" s="140" t="s">
        <v>152</v>
      </c>
    </row>
    <row r="131" hidden="1" spans="1:3">
      <c r="A131" s="92">
        <v>250502</v>
      </c>
      <c r="B131" s="37">
        <v>2</v>
      </c>
      <c r="C131" s="37" t="s">
        <v>153</v>
      </c>
    </row>
    <row r="132" spans="1:3">
      <c r="A132" s="92">
        <v>250503</v>
      </c>
      <c r="B132" s="37">
        <v>3</v>
      </c>
      <c r="C132" s="37" t="s">
        <v>154</v>
      </c>
    </row>
    <row r="133" hidden="1" spans="1:3">
      <c r="A133" s="92">
        <v>250504</v>
      </c>
      <c r="B133" s="37">
        <v>4</v>
      </c>
      <c r="C133" s="37" t="s">
        <v>155</v>
      </c>
    </row>
    <row r="134" hidden="1" spans="1:3">
      <c r="A134" s="134">
        <v>250601</v>
      </c>
      <c r="B134" s="141">
        <v>1</v>
      </c>
      <c r="C134" s="141" t="s">
        <v>156</v>
      </c>
    </row>
    <row r="135" hidden="1" spans="1:3">
      <c r="A135" s="92">
        <v>250602</v>
      </c>
      <c r="B135" s="37">
        <v>2</v>
      </c>
      <c r="C135" s="37" t="s">
        <v>157</v>
      </c>
    </row>
    <row r="136" spans="1:3">
      <c r="A136" s="92">
        <v>250603</v>
      </c>
      <c r="B136" s="37">
        <v>3</v>
      </c>
      <c r="C136" s="37" t="s">
        <v>158</v>
      </c>
    </row>
    <row r="137" hidden="1" spans="1:3">
      <c r="A137" s="137">
        <v>250604</v>
      </c>
      <c r="B137" s="138">
        <v>4</v>
      </c>
      <c r="C137" s="138" t="s">
        <v>159</v>
      </c>
    </row>
    <row r="138" hidden="1" spans="1:3">
      <c r="A138" s="139">
        <v>250701</v>
      </c>
      <c r="B138" s="140">
        <v>1</v>
      </c>
      <c r="C138" s="140" t="s">
        <v>160</v>
      </c>
    </row>
    <row r="139" hidden="1" spans="1:3">
      <c r="A139" s="92">
        <v>250702</v>
      </c>
      <c r="B139" s="37">
        <v>2</v>
      </c>
      <c r="C139" s="37" t="s">
        <v>161</v>
      </c>
    </row>
    <row r="140" spans="1:3">
      <c r="A140" s="92">
        <v>250703</v>
      </c>
      <c r="B140" s="37">
        <v>3</v>
      </c>
      <c r="C140" s="37" t="s">
        <v>162</v>
      </c>
    </row>
    <row r="141" hidden="1" spans="1:3">
      <c r="A141" s="92">
        <v>250704</v>
      </c>
      <c r="B141" s="37">
        <v>4</v>
      </c>
      <c r="C141" s="37" t="s">
        <v>163</v>
      </c>
    </row>
    <row r="142" hidden="1" spans="1:3">
      <c r="A142" s="134">
        <v>250801</v>
      </c>
      <c r="B142" s="141">
        <v>1</v>
      </c>
      <c r="C142" s="141" t="s">
        <v>164</v>
      </c>
    </row>
    <row r="143" hidden="1" spans="1:3">
      <c r="A143" s="92">
        <v>250802</v>
      </c>
      <c r="B143" s="37">
        <v>2</v>
      </c>
      <c r="C143" s="37" t="s">
        <v>165</v>
      </c>
    </row>
    <row r="144" spans="1:3">
      <c r="A144" s="92">
        <v>250803</v>
      </c>
      <c r="B144" s="37">
        <v>3</v>
      </c>
      <c r="C144" s="37" t="s">
        <v>166</v>
      </c>
    </row>
    <row r="145" hidden="1" spans="1:3">
      <c r="A145" s="137">
        <v>250804</v>
      </c>
      <c r="B145" s="138">
        <v>4</v>
      </c>
      <c r="C145" s="138" t="s">
        <v>167</v>
      </c>
    </row>
    <row r="146" hidden="1" spans="1:3">
      <c r="A146" s="139">
        <v>250901</v>
      </c>
      <c r="B146" s="140">
        <v>1</v>
      </c>
      <c r="C146" s="140" t="s">
        <v>168</v>
      </c>
    </row>
    <row r="147" hidden="1" spans="1:3">
      <c r="A147" s="92">
        <v>250902</v>
      </c>
      <c r="B147" s="37">
        <v>2</v>
      </c>
      <c r="C147" s="37" t="s">
        <v>169</v>
      </c>
    </row>
    <row r="148" spans="1:3">
      <c r="A148" s="92">
        <v>250903</v>
      </c>
      <c r="B148" s="37">
        <v>3</v>
      </c>
      <c r="C148" s="37" t="s">
        <v>170</v>
      </c>
    </row>
    <row r="149" hidden="1" spans="1:3">
      <c r="A149" s="92">
        <v>250904</v>
      </c>
      <c r="B149" s="37">
        <v>4</v>
      </c>
      <c r="C149" s="37" t="s">
        <v>171</v>
      </c>
    </row>
    <row r="150" hidden="1" spans="1:3">
      <c r="A150" s="134">
        <v>260101</v>
      </c>
      <c r="B150" s="141">
        <v>1</v>
      </c>
      <c r="C150" s="141" t="s">
        <v>172</v>
      </c>
    </row>
    <row r="151" hidden="1" spans="1:3">
      <c r="A151" s="92">
        <v>260102</v>
      </c>
      <c r="B151" s="37">
        <v>2</v>
      </c>
      <c r="C151" s="37" t="s">
        <v>173</v>
      </c>
    </row>
    <row r="152" spans="1:3">
      <c r="A152" s="92">
        <v>260103</v>
      </c>
      <c r="B152" s="37">
        <v>3</v>
      </c>
      <c r="C152" s="37" t="s">
        <v>174</v>
      </c>
    </row>
    <row r="153" hidden="1" spans="1:3">
      <c r="A153" s="137">
        <v>260104</v>
      </c>
      <c r="B153" s="138">
        <v>4</v>
      </c>
      <c r="C153" s="138" t="s">
        <v>175</v>
      </c>
    </row>
    <row r="154" hidden="1" spans="1:3">
      <c r="A154" s="139">
        <v>260201</v>
      </c>
      <c r="B154" s="140">
        <v>1</v>
      </c>
      <c r="C154" s="140" t="s">
        <v>176</v>
      </c>
    </row>
    <row r="155" hidden="1" spans="1:3">
      <c r="A155" s="92">
        <v>260202</v>
      </c>
      <c r="B155" s="37">
        <v>2</v>
      </c>
      <c r="C155" s="37" t="s">
        <v>177</v>
      </c>
    </row>
    <row r="156" spans="1:3">
      <c r="A156" s="92">
        <v>260203</v>
      </c>
      <c r="B156" s="37">
        <v>3</v>
      </c>
      <c r="C156" s="37" t="s">
        <v>178</v>
      </c>
    </row>
    <row r="157" hidden="1" spans="1:3">
      <c r="A157" s="92">
        <v>260204</v>
      </c>
      <c r="B157" s="37">
        <v>4</v>
      </c>
      <c r="C157" s="37" t="s">
        <v>179</v>
      </c>
    </row>
    <row r="158" hidden="1" spans="1:3">
      <c r="A158" s="134">
        <v>260301</v>
      </c>
      <c r="B158" s="141">
        <v>1</v>
      </c>
      <c r="C158" s="141" t="s">
        <v>180</v>
      </c>
    </row>
    <row r="159" hidden="1" spans="1:3">
      <c r="A159" s="92">
        <v>260302</v>
      </c>
      <c r="B159" s="37">
        <v>2</v>
      </c>
      <c r="C159" s="37" t="s">
        <v>181</v>
      </c>
    </row>
    <row r="160" spans="1:3">
      <c r="A160" s="92">
        <v>260303</v>
      </c>
      <c r="B160" s="37">
        <v>3</v>
      </c>
      <c r="C160" s="37" t="s">
        <v>182</v>
      </c>
    </row>
    <row r="161" hidden="1" spans="1:3">
      <c r="A161" s="137">
        <v>260304</v>
      </c>
      <c r="B161" s="138">
        <v>4</v>
      </c>
      <c r="C161" s="138" t="s">
        <v>183</v>
      </c>
    </row>
    <row r="162" hidden="1" spans="1:3">
      <c r="A162" s="139">
        <v>260401</v>
      </c>
      <c r="B162" s="140">
        <v>1</v>
      </c>
      <c r="C162" s="140" t="s">
        <v>184</v>
      </c>
    </row>
    <row r="163" hidden="1" spans="1:3">
      <c r="A163" s="92">
        <v>260402</v>
      </c>
      <c r="B163" s="37">
        <v>2</v>
      </c>
      <c r="C163" s="37" t="s">
        <v>185</v>
      </c>
    </row>
    <row r="164" spans="1:3">
      <c r="A164" s="92">
        <v>260403</v>
      </c>
      <c r="B164" s="37">
        <v>3</v>
      </c>
      <c r="C164" s="37" t="s">
        <v>186</v>
      </c>
    </row>
    <row r="165" hidden="1" spans="1:3">
      <c r="A165" s="92">
        <v>260404</v>
      </c>
      <c r="B165" s="37">
        <v>4</v>
      </c>
      <c r="C165" s="37" t="s">
        <v>187</v>
      </c>
    </row>
    <row r="166" hidden="1" spans="1:3">
      <c r="A166" s="134">
        <v>260501</v>
      </c>
      <c r="B166" s="141">
        <v>1</v>
      </c>
      <c r="C166" s="141" t="s">
        <v>188</v>
      </c>
    </row>
    <row r="167" hidden="1" spans="1:3">
      <c r="A167" s="92">
        <v>260502</v>
      </c>
      <c r="B167" s="37">
        <v>2</v>
      </c>
      <c r="C167" s="37" t="s">
        <v>189</v>
      </c>
    </row>
    <row r="168" spans="1:3">
      <c r="A168" s="92">
        <v>260503</v>
      </c>
      <c r="B168" s="37">
        <v>3</v>
      </c>
      <c r="C168" s="37" t="s">
        <v>190</v>
      </c>
    </row>
    <row r="169" hidden="1" spans="1:3">
      <c r="A169" s="137">
        <v>260504</v>
      </c>
      <c r="B169" s="138">
        <v>4</v>
      </c>
      <c r="C169" s="138" t="s">
        <v>191</v>
      </c>
    </row>
    <row r="170" hidden="1" spans="1:3">
      <c r="A170" s="139">
        <v>260601</v>
      </c>
      <c r="B170" s="140">
        <v>1</v>
      </c>
      <c r="C170" s="140" t="s">
        <v>192</v>
      </c>
    </row>
    <row r="171" hidden="1" spans="1:3">
      <c r="A171" s="92">
        <v>260602</v>
      </c>
      <c r="B171" s="37">
        <v>2</v>
      </c>
      <c r="C171" s="37" t="s">
        <v>193</v>
      </c>
    </row>
    <row r="172" spans="1:3">
      <c r="A172" s="92">
        <v>260603</v>
      </c>
      <c r="B172" s="37">
        <v>3</v>
      </c>
      <c r="C172" s="37" t="s">
        <v>194</v>
      </c>
    </row>
    <row r="173" hidden="1" spans="1:3">
      <c r="A173" s="92">
        <v>260604</v>
      </c>
      <c r="B173" s="37">
        <v>4</v>
      </c>
      <c r="C173" s="37" t="s">
        <v>195</v>
      </c>
    </row>
    <row r="174" hidden="1" spans="1:3">
      <c r="A174" s="134">
        <v>260701</v>
      </c>
      <c r="B174" s="141">
        <v>1</v>
      </c>
      <c r="C174" s="141" t="s">
        <v>196</v>
      </c>
    </row>
    <row r="175" hidden="1" spans="1:3">
      <c r="A175" s="92">
        <v>260702</v>
      </c>
      <c r="B175" s="37">
        <v>2</v>
      </c>
      <c r="C175" s="37" t="s">
        <v>197</v>
      </c>
    </row>
    <row r="176" spans="1:3">
      <c r="A176" s="92">
        <v>260703</v>
      </c>
      <c r="B176" s="37">
        <v>3</v>
      </c>
      <c r="C176" s="37" t="s">
        <v>198</v>
      </c>
    </row>
    <row r="177" hidden="1" spans="1:3">
      <c r="A177" s="137">
        <v>260704</v>
      </c>
      <c r="B177" s="138">
        <v>4</v>
      </c>
      <c r="C177" s="138" t="s">
        <v>199</v>
      </c>
    </row>
    <row r="178" hidden="1" spans="1:3">
      <c r="A178" s="134">
        <v>260801</v>
      </c>
      <c r="B178" s="141">
        <v>1</v>
      </c>
      <c r="C178" s="141" t="s">
        <v>200</v>
      </c>
    </row>
    <row r="179" hidden="1" spans="1:3">
      <c r="A179" s="92">
        <v>260802</v>
      </c>
      <c r="B179" s="37">
        <v>2</v>
      </c>
      <c r="C179" s="37" t="s">
        <v>201</v>
      </c>
    </row>
    <row r="180" spans="1:3">
      <c r="A180" s="92">
        <v>260803</v>
      </c>
      <c r="B180" s="37">
        <v>3</v>
      </c>
      <c r="C180" s="37" t="s">
        <v>202</v>
      </c>
    </row>
    <row r="181" hidden="1" spans="1:3">
      <c r="A181" s="92">
        <v>260804</v>
      </c>
      <c r="B181" s="37">
        <v>4</v>
      </c>
      <c r="C181" s="37" t="s">
        <v>203</v>
      </c>
    </row>
    <row r="182" hidden="1" spans="1:3">
      <c r="A182" s="134">
        <v>260901</v>
      </c>
      <c r="B182" s="141">
        <v>1</v>
      </c>
      <c r="C182" s="141" t="s">
        <v>204</v>
      </c>
    </row>
    <row r="183" hidden="1" spans="1:3">
      <c r="A183" s="92">
        <v>260902</v>
      </c>
      <c r="B183" s="37">
        <v>2</v>
      </c>
      <c r="C183" s="37" t="s">
        <v>205</v>
      </c>
    </row>
    <row r="184" spans="1:3">
      <c r="A184" s="92">
        <v>260903</v>
      </c>
      <c r="B184" s="37">
        <v>3</v>
      </c>
      <c r="C184" s="37" t="s">
        <v>206</v>
      </c>
    </row>
    <row r="185" ht="14.85" hidden="1" spans="1:3">
      <c r="A185" s="142">
        <v>260904</v>
      </c>
      <c r="B185" s="143">
        <v>4</v>
      </c>
      <c r="C185" s="144" t="s">
        <v>207</v>
      </c>
    </row>
  </sheetData>
  <autoFilter ref="A1:C185">
    <filterColumn colId="1">
      <customFilters>
        <customFilter operator="equal" val="3"/>
      </customFilters>
    </filterColumn>
    <extLst/>
  </autoFilter>
  <conditionalFormatting sqref="A2"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</conditionalFormatting>
  <conditionalFormatting sqref="A50"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</conditionalFormatting>
  <conditionalFormatting sqref="A58"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</conditionalFormatting>
  <conditionalFormatting sqref="A66"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</conditionalFormatting>
  <conditionalFormatting sqref="A74"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</conditionalFormatting>
  <conditionalFormatting sqref="A82"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</conditionalFormatting>
  <conditionalFormatting sqref="A90"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</conditionalFormatting>
  <conditionalFormatting sqref="A98"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</conditionalFormatting>
  <conditionalFormatting sqref="A106"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</conditionalFormatting>
  <conditionalFormatting sqref="A122"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</conditionalFormatting>
  <conditionalFormatting sqref="A130"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</conditionalFormatting>
  <conditionalFormatting sqref="A138"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</conditionalFormatting>
  <conditionalFormatting sqref="A146"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</conditionalFormatting>
  <conditionalFormatting sqref="A154"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</conditionalFormatting>
  <conditionalFormatting sqref="A162"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</conditionalFormatting>
  <conditionalFormatting sqref="A170"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</conditionalFormatting>
  <conditionalFormatting sqref="A178"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</conditionalFormatting>
  <conditionalFormatting sqref="A6:A9"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</conditionalFormatting>
  <conditionalFormatting sqref="A14:A17"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</conditionalFormatting>
  <conditionalFormatting sqref="A18:A21"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</conditionalFormatting>
  <conditionalFormatting sqref="A22:A25"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</conditionalFormatting>
  <conditionalFormatting sqref="A26:A29"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</conditionalFormatting>
  <conditionalFormatting sqref="A30:A33"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</conditionalFormatting>
  <conditionalFormatting sqref="A34:A37"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</conditionalFormatting>
  <conditionalFormatting sqref="A38:A41"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</conditionalFormatting>
  <conditionalFormatting sqref="A42:A45"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</conditionalFormatting>
  <conditionalFormatting sqref="A46:A49"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</conditionalFormatting>
  <conditionalFormatting sqref="A51:A53"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</conditionalFormatting>
  <conditionalFormatting sqref="A54:A57"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</conditionalFormatting>
  <conditionalFormatting sqref="A59:A61"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</conditionalFormatting>
  <conditionalFormatting sqref="A62:A65"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</conditionalFormatting>
  <conditionalFormatting sqref="A67:A69"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</conditionalFormatting>
  <conditionalFormatting sqref="A70:A73"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</conditionalFormatting>
  <conditionalFormatting sqref="A75:A77"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</conditionalFormatting>
  <conditionalFormatting sqref="A78:A81"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</conditionalFormatting>
  <conditionalFormatting sqref="A83:A85"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</conditionalFormatting>
  <conditionalFormatting sqref="A86:A89"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</conditionalFormatting>
  <conditionalFormatting sqref="A91:A93"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</conditionalFormatting>
  <conditionalFormatting sqref="A94:A97"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</conditionalFormatting>
  <conditionalFormatting sqref="A99:A101"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</conditionalFormatting>
  <conditionalFormatting sqref="A102:A105"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</conditionalFormatting>
  <conditionalFormatting sqref="A107:A109"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</conditionalFormatting>
  <conditionalFormatting sqref="A110:A11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A114:A117"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</conditionalFormatting>
  <conditionalFormatting sqref="A118:A121"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</conditionalFormatting>
  <conditionalFormatting sqref="A123:A125"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</conditionalFormatting>
  <conditionalFormatting sqref="A126:A129"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</conditionalFormatting>
  <conditionalFormatting sqref="A131:A133"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</conditionalFormatting>
  <conditionalFormatting sqref="A134:A137"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</conditionalFormatting>
  <conditionalFormatting sqref="A139:A141"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conditionalFormatting sqref="A142:A145"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</conditionalFormatting>
  <conditionalFormatting sqref="A147:A149"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</conditionalFormatting>
  <conditionalFormatting sqref="A150:A153"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</conditionalFormatting>
  <conditionalFormatting sqref="A155:A157"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</conditionalFormatting>
  <conditionalFormatting sqref="A158:A161"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</conditionalFormatting>
  <conditionalFormatting sqref="A163:A165"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</conditionalFormatting>
  <conditionalFormatting sqref="A166:A169"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</conditionalFormatting>
  <conditionalFormatting sqref="A171:A173"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</conditionalFormatting>
  <conditionalFormatting sqref="A174:A177"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</conditionalFormatting>
  <conditionalFormatting sqref="A179:A181"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</conditionalFormatting>
  <conditionalFormatting sqref="A182:A185"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</conditionalFormatting>
  <conditionalFormatting sqref="A3:A5 A10:A13"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7"/>
  <sheetViews>
    <sheetView workbookViewId="0">
      <pane ySplit="1" topLeftCell="A400" activePane="bottomLeft" state="frozen"/>
      <selection/>
      <selection pane="bottomLeft" activeCell="A2" sqref="A2:H437"/>
    </sheetView>
  </sheetViews>
  <sheetFormatPr defaultColWidth="8.61261261261261" defaultRowHeight="14.1" outlineLevelCol="7"/>
  <cols>
    <col min="1" max="1" width="8.61261261261261" style="117"/>
    <col min="2" max="2" width="5.0990990990991" customWidth="1"/>
    <col min="3" max="4" width="8.61261261261261" style="8"/>
    <col min="5" max="5" width="21.4954954954955" style="8" customWidth="1"/>
    <col min="8" max="8" width="40.3873873873874" customWidth="1"/>
  </cols>
  <sheetData>
    <row r="1" spans="3:5">
      <c r="C1" s="8" t="s">
        <v>10</v>
      </c>
      <c r="D1" s="8" t="s">
        <v>208</v>
      </c>
      <c r="E1" s="8" t="s">
        <v>209</v>
      </c>
    </row>
    <row r="2" s="44" customFormat="1" ht="16.25" spans="1:8">
      <c r="A2" s="31"/>
      <c r="B2" s="45">
        <v>101</v>
      </c>
      <c r="C2" s="106">
        <v>120001</v>
      </c>
      <c r="D2" s="23">
        <v>1</v>
      </c>
      <c r="E2" s="40">
        <v>37</v>
      </c>
      <c r="F2" s="69"/>
      <c r="G2" s="31"/>
      <c r="H2" s="32" t="s">
        <v>25</v>
      </c>
    </row>
    <row r="3" s="44" customFormat="1" ht="16.25" spans="1:8">
      <c r="A3" s="31"/>
      <c r="B3" s="45">
        <v>101</v>
      </c>
      <c r="C3" s="106">
        <v>130001</v>
      </c>
      <c r="D3" s="23">
        <v>1</v>
      </c>
      <c r="E3" s="40">
        <v>48</v>
      </c>
      <c r="F3" s="69"/>
      <c r="G3" s="31"/>
      <c r="H3" s="32" t="s">
        <v>29</v>
      </c>
    </row>
    <row r="4" s="44" customFormat="1" ht="16.25" spans="1:8">
      <c r="A4" s="31"/>
      <c r="B4" s="45">
        <v>101</v>
      </c>
      <c r="C4" s="106">
        <v>140001</v>
      </c>
      <c r="D4" s="23">
        <v>1</v>
      </c>
      <c r="E4" s="40">
        <v>74</v>
      </c>
      <c r="F4" s="69"/>
      <c r="G4" s="31"/>
      <c r="H4" s="32" t="s">
        <v>33</v>
      </c>
    </row>
    <row r="5" s="44" customFormat="1" ht="16.25" spans="1:8">
      <c r="A5" s="31"/>
      <c r="B5" s="45">
        <v>101</v>
      </c>
      <c r="C5" s="106">
        <v>140101</v>
      </c>
      <c r="D5" s="23">
        <v>1</v>
      </c>
      <c r="E5" s="40">
        <v>93</v>
      </c>
      <c r="F5" s="69"/>
      <c r="G5" s="31"/>
      <c r="H5" s="32" t="s">
        <v>37</v>
      </c>
    </row>
    <row r="6" s="44" customFormat="1" ht="16.25" spans="1:8">
      <c r="A6" s="31"/>
      <c r="B6" s="45">
        <v>101</v>
      </c>
      <c r="C6" s="106">
        <v>140201</v>
      </c>
      <c r="D6" s="23">
        <v>1</v>
      </c>
      <c r="E6" s="40">
        <v>60</v>
      </c>
      <c r="F6" s="69"/>
      <c r="G6" s="31"/>
      <c r="H6" s="32" t="s">
        <v>41</v>
      </c>
    </row>
    <row r="7" s="44" customFormat="1" ht="16.25" spans="1:8">
      <c r="A7" s="31"/>
      <c r="B7" s="45">
        <v>101</v>
      </c>
      <c r="C7" s="106">
        <v>150101</v>
      </c>
      <c r="D7" s="23">
        <v>1</v>
      </c>
      <c r="E7" s="40">
        <v>160</v>
      </c>
      <c r="F7" s="69"/>
      <c r="G7" s="31"/>
      <c r="H7" s="32" t="s">
        <v>45</v>
      </c>
    </row>
    <row r="8" s="44" customFormat="1" ht="16.25" spans="1:8">
      <c r="A8" s="31"/>
      <c r="B8" s="45">
        <v>101</v>
      </c>
      <c r="C8" s="106">
        <v>150201</v>
      </c>
      <c r="D8" s="23">
        <v>1</v>
      </c>
      <c r="E8" s="40">
        <v>160</v>
      </c>
      <c r="F8" s="69"/>
      <c r="G8" s="31"/>
      <c r="H8" s="32" t="s">
        <v>49</v>
      </c>
    </row>
    <row r="9" s="44" customFormat="1" ht="16.25" spans="1:8">
      <c r="A9" s="31"/>
      <c r="B9" s="45">
        <v>101</v>
      </c>
      <c r="C9" s="106">
        <v>150301</v>
      </c>
      <c r="D9" s="23">
        <v>1</v>
      </c>
      <c r="E9" s="40">
        <v>160</v>
      </c>
      <c r="F9" s="69"/>
      <c r="G9" s="31"/>
      <c r="H9" s="32" t="s">
        <v>53</v>
      </c>
    </row>
    <row r="10" s="44" customFormat="1" ht="16.25" spans="1:8">
      <c r="A10" s="31"/>
      <c r="B10" s="45">
        <v>101</v>
      </c>
      <c r="C10" s="106">
        <v>150401</v>
      </c>
      <c r="D10" s="23">
        <v>1</v>
      </c>
      <c r="E10" s="40">
        <v>160</v>
      </c>
      <c r="F10" s="69"/>
      <c r="G10" s="31"/>
      <c r="H10" s="32" t="s">
        <v>57</v>
      </c>
    </row>
    <row r="11" s="44" customFormat="1" ht="16.25" spans="1:8">
      <c r="A11" s="31"/>
      <c r="B11" s="45">
        <v>101</v>
      </c>
      <c r="C11" s="106">
        <v>150501</v>
      </c>
      <c r="D11" s="23">
        <v>1</v>
      </c>
      <c r="E11" s="40">
        <v>160</v>
      </c>
      <c r="F11" s="69"/>
      <c r="G11" s="31"/>
      <c r="H11" s="32" t="s">
        <v>61</v>
      </c>
    </row>
    <row r="12" s="44" customFormat="1" ht="16.25" spans="1:8">
      <c r="A12" s="31"/>
      <c r="B12" s="45">
        <v>101</v>
      </c>
      <c r="C12" s="106">
        <v>150601</v>
      </c>
      <c r="D12" s="23">
        <v>1</v>
      </c>
      <c r="E12" s="40">
        <v>160</v>
      </c>
      <c r="F12" s="69"/>
      <c r="G12" s="31"/>
      <c r="H12" s="32" t="s">
        <v>65</v>
      </c>
    </row>
    <row r="13" s="44" customFormat="1" ht="16.25" spans="1:8">
      <c r="A13" s="31"/>
      <c r="B13" s="45">
        <v>101</v>
      </c>
      <c r="C13" s="106">
        <v>150701</v>
      </c>
      <c r="D13" s="23">
        <v>1</v>
      </c>
      <c r="E13" s="40">
        <v>160</v>
      </c>
      <c r="F13" s="69"/>
      <c r="G13" s="31"/>
      <c r="H13" s="32" t="s">
        <v>69</v>
      </c>
    </row>
    <row r="14" s="44" customFormat="1" ht="16.25" spans="1:8">
      <c r="A14" s="31"/>
      <c r="B14" s="45">
        <v>101</v>
      </c>
      <c r="C14" s="106">
        <v>150801</v>
      </c>
      <c r="D14" s="23">
        <v>1</v>
      </c>
      <c r="E14" s="40">
        <v>160</v>
      </c>
      <c r="F14" s="69"/>
      <c r="G14" s="31"/>
      <c r="H14" s="32" t="s">
        <v>73</v>
      </c>
    </row>
    <row r="15" s="44" customFormat="1" ht="16.25" spans="1:8">
      <c r="A15" s="31"/>
      <c r="B15" s="45">
        <v>101</v>
      </c>
      <c r="C15" s="106">
        <v>150901</v>
      </c>
      <c r="D15" s="23">
        <v>1</v>
      </c>
      <c r="E15" s="40">
        <v>160</v>
      </c>
      <c r="F15" s="69"/>
      <c r="G15" s="31"/>
      <c r="H15" s="32" t="s">
        <v>77</v>
      </c>
    </row>
    <row r="16" s="44" customFormat="1" ht="16.25" spans="1:8">
      <c r="A16" s="31"/>
      <c r="B16" s="45">
        <v>101</v>
      </c>
      <c r="C16" s="106">
        <v>160101</v>
      </c>
      <c r="D16" s="23">
        <v>1</v>
      </c>
      <c r="E16" s="40">
        <v>266</v>
      </c>
      <c r="F16" s="69"/>
      <c r="G16" s="31"/>
      <c r="H16" s="32" t="s">
        <v>81</v>
      </c>
    </row>
    <row r="17" s="44" customFormat="1" ht="16.25" spans="1:8">
      <c r="A17" s="31"/>
      <c r="B17" s="45">
        <v>101</v>
      </c>
      <c r="C17" s="106">
        <v>160201</v>
      </c>
      <c r="D17" s="23">
        <v>1</v>
      </c>
      <c r="E17" s="40">
        <v>266</v>
      </c>
      <c r="F17" s="69"/>
      <c r="G17" s="31"/>
      <c r="H17" s="32" t="s">
        <v>85</v>
      </c>
    </row>
    <row r="18" s="44" customFormat="1" ht="16.25" spans="1:8">
      <c r="A18" s="31"/>
      <c r="B18" s="45">
        <v>101</v>
      </c>
      <c r="C18" s="106">
        <v>160301</v>
      </c>
      <c r="D18" s="23">
        <v>1</v>
      </c>
      <c r="E18" s="40">
        <v>266</v>
      </c>
      <c r="F18" s="69"/>
      <c r="G18" s="31"/>
      <c r="H18" s="32" t="s">
        <v>89</v>
      </c>
    </row>
    <row r="19" s="44" customFormat="1" ht="16.25" spans="1:8">
      <c r="A19" s="31"/>
      <c r="B19" s="45">
        <v>101</v>
      </c>
      <c r="C19" s="106">
        <v>160401</v>
      </c>
      <c r="D19" s="23">
        <v>1</v>
      </c>
      <c r="E19" s="40">
        <v>266</v>
      </c>
      <c r="F19" s="69"/>
      <c r="G19" s="31"/>
      <c r="H19" s="32" t="s">
        <v>93</v>
      </c>
    </row>
    <row r="20" s="44" customFormat="1" ht="16.25" spans="1:8">
      <c r="A20" s="31"/>
      <c r="B20" s="45">
        <v>101</v>
      </c>
      <c r="C20" s="106">
        <v>160501</v>
      </c>
      <c r="D20" s="23">
        <v>1</v>
      </c>
      <c r="E20" s="40">
        <v>266</v>
      </c>
      <c r="F20" s="69"/>
      <c r="G20" s="31"/>
      <c r="H20" s="32" t="s">
        <v>97</v>
      </c>
    </row>
    <row r="21" s="44" customFormat="1" ht="16.25" spans="1:8">
      <c r="A21" s="31"/>
      <c r="B21" s="45">
        <v>101</v>
      </c>
      <c r="C21" s="106">
        <v>160601</v>
      </c>
      <c r="D21" s="23">
        <v>1</v>
      </c>
      <c r="E21" s="40">
        <v>266</v>
      </c>
      <c r="F21" s="69"/>
      <c r="G21" s="31"/>
      <c r="H21" s="32" t="s">
        <v>101</v>
      </c>
    </row>
    <row r="22" s="44" customFormat="1" ht="16.25" spans="1:8">
      <c r="A22" s="31"/>
      <c r="B22" s="45">
        <v>101</v>
      </c>
      <c r="C22" s="106">
        <v>160701</v>
      </c>
      <c r="D22" s="23">
        <v>1</v>
      </c>
      <c r="E22" s="40">
        <v>266</v>
      </c>
      <c r="F22" s="69"/>
      <c r="G22" s="31"/>
      <c r="H22" s="32" t="s">
        <v>105</v>
      </c>
    </row>
    <row r="23" s="44" customFormat="1" ht="16.25" spans="1:8">
      <c r="A23" s="31"/>
      <c r="B23" s="45">
        <v>101</v>
      </c>
      <c r="C23" s="106">
        <v>160801</v>
      </c>
      <c r="D23" s="23">
        <v>1</v>
      </c>
      <c r="E23" s="40">
        <v>266</v>
      </c>
      <c r="F23" s="69"/>
      <c r="G23" s="31"/>
      <c r="H23" s="32" t="s">
        <v>109</v>
      </c>
    </row>
    <row r="24" s="44" customFormat="1" ht="16.25" spans="1:8">
      <c r="A24" s="31"/>
      <c r="B24" s="45">
        <v>101</v>
      </c>
      <c r="C24" s="106">
        <v>160901</v>
      </c>
      <c r="D24" s="23">
        <v>1</v>
      </c>
      <c r="E24" s="40">
        <v>266</v>
      </c>
      <c r="F24" s="69"/>
      <c r="G24" s="31"/>
      <c r="H24" s="32" t="s">
        <v>113</v>
      </c>
    </row>
    <row r="25" s="44" customFormat="1" ht="16.25" spans="1:8">
      <c r="A25" s="31"/>
      <c r="B25" s="45">
        <v>102</v>
      </c>
      <c r="C25" s="106">
        <v>140001</v>
      </c>
      <c r="D25" s="23">
        <v>1</v>
      </c>
      <c r="E25" s="40">
        <v>118</v>
      </c>
      <c r="F25" s="69"/>
      <c r="G25" s="31"/>
      <c r="H25" s="32" t="s">
        <v>33</v>
      </c>
    </row>
    <row r="26" s="44" customFormat="1" ht="16.25" spans="1:8">
      <c r="A26" s="31"/>
      <c r="B26" s="45">
        <v>102</v>
      </c>
      <c r="C26" s="106">
        <v>140101</v>
      </c>
      <c r="D26" s="23">
        <v>1</v>
      </c>
      <c r="E26" s="40">
        <v>147</v>
      </c>
      <c r="F26" s="69"/>
      <c r="G26" s="31"/>
      <c r="H26" s="32" t="s">
        <v>37</v>
      </c>
    </row>
    <row r="27" s="44" customFormat="1" ht="16.25" spans="1:8">
      <c r="A27" s="31"/>
      <c r="B27" s="45">
        <v>102</v>
      </c>
      <c r="C27" s="106">
        <v>140201</v>
      </c>
      <c r="D27" s="23">
        <v>1</v>
      </c>
      <c r="E27" s="40">
        <v>94</v>
      </c>
      <c r="F27" s="69"/>
      <c r="G27" s="31"/>
      <c r="H27" s="32" t="s">
        <v>41</v>
      </c>
    </row>
    <row r="28" s="44" customFormat="1" ht="16.25" spans="1:8">
      <c r="A28" s="31"/>
      <c r="B28" s="45">
        <v>102</v>
      </c>
      <c r="C28" s="106">
        <v>150101</v>
      </c>
      <c r="D28" s="23">
        <v>1</v>
      </c>
      <c r="E28" s="40">
        <v>242</v>
      </c>
      <c r="F28" s="69"/>
      <c r="G28" s="31"/>
      <c r="H28" s="32" t="s">
        <v>45</v>
      </c>
    </row>
    <row r="29" s="44" customFormat="1" ht="16.25" spans="1:8">
      <c r="A29" s="31"/>
      <c r="B29" s="45">
        <v>102</v>
      </c>
      <c r="C29" s="106">
        <v>150201</v>
      </c>
      <c r="D29" s="23">
        <v>1</v>
      </c>
      <c r="E29" s="40">
        <v>242</v>
      </c>
      <c r="F29" s="69"/>
      <c r="G29" s="31"/>
      <c r="H29" s="32" t="s">
        <v>49</v>
      </c>
    </row>
    <row r="30" s="44" customFormat="1" ht="16.25" spans="1:8">
      <c r="A30" s="31"/>
      <c r="B30" s="45">
        <v>102</v>
      </c>
      <c r="C30" s="106">
        <v>150301</v>
      </c>
      <c r="D30" s="23">
        <v>1</v>
      </c>
      <c r="E30" s="40">
        <v>242</v>
      </c>
      <c r="F30" s="69"/>
      <c r="G30" s="31"/>
      <c r="H30" s="32" t="s">
        <v>53</v>
      </c>
    </row>
    <row r="31" s="44" customFormat="1" ht="16.25" spans="1:8">
      <c r="A31" s="31"/>
      <c r="B31" s="45">
        <v>102</v>
      </c>
      <c r="C31" s="106">
        <v>150401</v>
      </c>
      <c r="D31" s="23">
        <v>1</v>
      </c>
      <c r="E31" s="40">
        <v>242</v>
      </c>
      <c r="F31" s="69"/>
      <c r="G31" s="31"/>
      <c r="H31" s="32" t="s">
        <v>57</v>
      </c>
    </row>
    <row r="32" s="44" customFormat="1" ht="16.25" spans="1:8">
      <c r="A32" s="31"/>
      <c r="B32" s="45">
        <v>102</v>
      </c>
      <c r="C32" s="106">
        <v>150501</v>
      </c>
      <c r="D32" s="23">
        <v>1</v>
      </c>
      <c r="E32" s="40">
        <v>242</v>
      </c>
      <c r="F32" s="69"/>
      <c r="G32" s="31"/>
      <c r="H32" s="32" t="s">
        <v>61</v>
      </c>
    </row>
    <row r="33" s="44" customFormat="1" ht="16.25" spans="1:8">
      <c r="A33" s="31"/>
      <c r="B33" s="45">
        <v>102</v>
      </c>
      <c r="C33" s="106">
        <v>150601</v>
      </c>
      <c r="D33" s="23">
        <v>1</v>
      </c>
      <c r="E33" s="40">
        <v>242</v>
      </c>
      <c r="F33" s="69"/>
      <c r="G33" s="31"/>
      <c r="H33" s="32" t="s">
        <v>65</v>
      </c>
    </row>
    <row r="34" s="44" customFormat="1" ht="16.25" spans="1:8">
      <c r="A34" s="31"/>
      <c r="B34" s="45">
        <v>102</v>
      </c>
      <c r="C34" s="106">
        <v>150701</v>
      </c>
      <c r="D34" s="23">
        <v>1</v>
      </c>
      <c r="E34" s="40">
        <v>242</v>
      </c>
      <c r="F34" s="69"/>
      <c r="G34" s="31"/>
      <c r="H34" s="32" t="s">
        <v>69</v>
      </c>
    </row>
    <row r="35" s="44" customFormat="1" ht="16.25" spans="1:8">
      <c r="A35" s="31"/>
      <c r="B35" s="45">
        <v>102</v>
      </c>
      <c r="C35" s="106">
        <v>150801</v>
      </c>
      <c r="D35" s="23">
        <v>1</v>
      </c>
      <c r="E35" s="40">
        <v>242</v>
      </c>
      <c r="F35" s="69"/>
      <c r="G35" s="31"/>
      <c r="H35" s="32" t="s">
        <v>73</v>
      </c>
    </row>
    <row r="36" s="44" customFormat="1" ht="16.25" spans="1:8">
      <c r="A36" s="31"/>
      <c r="B36" s="45">
        <v>102</v>
      </c>
      <c r="C36" s="106">
        <v>150901</v>
      </c>
      <c r="D36" s="23">
        <v>1</v>
      </c>
      <c r="E36" s="40">
        <v>242</v>
      </c>
      <c r="F36" s="69"/>
      <c r="G36" s="31"/>
      <c r="H36" s="32" t="s">
        <v>77</v>
      </c>
    </row>
    <row r="37" s="44" customFormat="1" ht="16.25" spans="1:8">
      <c r="A37" s="31"/>
      <c r="B37" s="45">
        <v>102</v>
      </c>
      <c r="C37" s="106">
        <v>160101</v>
      </c>
      <c r="D37" s="23">
        <v>1</v>
      </c>
      <c r="E37" s="40">
        <v>450</v>
      </c>
      <c r="F37" s="69"/>
      <c r="G37" s="31"/>
      <c r="H37" s="32" t="s">
        <v>81</v>
      </c>
    </row>
    <row r="38" s="44" customFormat="1" ht="16.25" spans="1:8">
      <c r="A38" s="31"/>
      <c r="B38" s="45">
        <v>102</v>
      </c>
      <c r="C38" s="106">
        <v>160201</v>
      </c>
      <c r="D38" s="23">
        <v>1</v>
      </c>
      <c r="E38" s="40">
        <v>450</v>
      </c>
      <c r="F38" s="69"/>
      <c r="G38" s="31"/>
      <c r="H38" s="32" t="s">
        <v>85</v>
      </c>
    </row>
    <row r="39" s="44" customFormat="1" ht="16.25" spans="1:8">
      <c r="A39" s="31"/>
      <c r="B39" s="45">
        <v>102</v>
      </c>
      <c r="C39" s="106">
        <v>160301</v>
      </c>
      <c r="D39" s="23">
        <v>1</v>
      </c>
      <c r="E39" s="40">
        <v>450</v>
      </c>
      <c r="F39" s="69"/>
      <c r="G39" s="31"/>
      <c r="H39" s="32" t="s">
        <v>89</v>
      </c>
    </row>
    <row r="40" s="44" customFormat="1" ht="16.25" spans="1:8">
      <c r="A40" s="31"/>
      <c r="B40" s="45">
        <v>102</v>
      </c>
      <c r="C40" s="106">
        <v>160401</v>
      </c>
      <c r="D40" s="23">
        <v>1</v>
      </c>
      <c r="E40" s="40">
        <v>450</v>
      </c>
      <c r="F40" s="69"/>
      <c r="G40" s="31"/>
      <c r="H40" s="32" t="s">
        <v>93</v>
      </c>
    </row>
    <row r="41" s="44" customFormat="1" ht="16.25" spans="1:8">
      <c r="A41" s="31"/>
      <c r="B41" s="45">
        <v>102</v>
      </c>
      <c r="C41" s="106">
        <v>160501</v>
      </c>
      <c r="D41" s="23">
        <v>1</v>
      </c>
      <c r="E41" s="40">
        <v>450</v>
      </c>
      <c r="F41" s="69"/>
      <c r="G41" s="31"/>
      <c r="H41" s="32" t="s">
        <v>97</v>
      </c>
    </row>
    <row r="42" s="44" customFormat="1" ht="16.25" spans="1:8">
      <c r="A42" s="31"/>
      <c r="B42" s="45">
        <v>102</v>
      </c>
      <c r="C42" s="106">
        <v>160601</v>
      </c>
      <c r="D42" s="23">
        <v>1</v>
      </c>
      <c r="E42" s="40">
        <v>450</v>
      </c>
      <c r="F42" s="69"/>
      <c r="G42" s="31"/>
      <c r="H42" s="32" t="s">
        <v>101</v>
      </c>
    </row>
    <row r="43" s="44" customFormat="1" ht="16.25" spans="1:8">
      <c r="A43" s="31"/>
      <c r="B43" s="45">
        <v>102</v>
      </c>
      <c r="C43" s="106">
        <v>160701</v>
      </c>
      <c r="D43" s="23">
        <v>1</v>
      </c>
      <c r="E43" s="40">
        <v>450</v>
      </c>
      <c r="F43" s="69"/>
      <c r="G43" s="31"/>
      <c r="H43" s="32" t="s">
        <v>105</v>
      </c>
    </row>
    <row r="44" s="44" customFormat="1" ht="16.25" spans="1:8">
      <c r="A44" s="31"/>
      <c r="B44" s="45">
        <v>102</v>
      </c>
      <c r="C44" s="106">
        <v>160801</v>
      </c>
      <c r="D44" s="23">
        <v>1</v>
      </c>
      <c r="E44" s="40">
        <v>450</v>
      </c>
      <c r="F44" s="69"/>
      <c r="G44" s="31"/>
      <c r="H44" s="32" t="s">
        <v>109</v>
      </c>
    </row>
    <row r="45" s="44" customFormat="1" ht="16.25" spans="1:8">
      <c r="A45" s="31"/>
      <c r="B45" s="45">
        <v>102</v>
      </c>
      <c r="C45" s="106">
        <v>160901</v>
      </c>
      <c r="D45" s="23">
        <v>1</v>
      </c>
      <c r="E45" s="40">
        <v>450</v>
      </c>
      <c r="F45" s="69"/>
      <c r="G45" s="31"/>
      <c r="H45" s="32" t="s">
        <v>113</v>
      </c>
    </row>
    <row r="46" s="44" customFormat="1" ht="16.25" spans="1:8">
      <c r="A46" s="31"/>
      <c r="B46" s="45">
        <v>103</v>
      </c>
      <c r="C46" s="106">
        <v>150101</v>
      </c>
      <c r="D46" s="12">
        <v>8</v>
      </c>
      <c r="E46" s="12">
        <v>0.0054</v>
      </c>
      <c r="F46" s="71"/>
      <c r="G46" s="31"/>
      <c r="H46" s="32" t="s">
        <v>45</v>
      </c>
    </row>
    <row r="47" s="44" customFormat="1" ht="16.25" spans="1:8">
      <c r="A47" s="31"/>
      <c r="B47" s="45">
        <v>103</v>
      </c>
      <c r="C47" s="106">
        <v>150201</v>
      </c>
      <c r="D47" s="12">
        <v>8</v>
      </c>
      <c r="E47" s="12">
        <v>0.0107</v>
      </c>
      <c r="F47" s="71"/>
      <c r="G47" s="31"/>
      <c r="H47" s="32" t="s">
        <v>49</v>
      </c>
    </row>
    <row r="48" s="44" customFormat="1" ht="16.25" spans="1:8">
      <c r="A48" s="31"/>
      <c r="B48" s="45">
        <v>103</v>
      </c>
      <c r="C48" s="106">
        <v>150301</v>
      </c>
      <c r="D48" s="12" t="s">
        <v>210</v>
      </c>
      <c r="E48" s="12" t="s">
        <v>211</v>
      </c>
      <c r="F48" s="71"/>
      <c r="G48" s="31"/>
      <c r="H48" s="32" t="s">
        <v>53</v>
      </c>
    </row>
    <row r="49" s="44" customFormat="1" ht="16.25" spans="1:8">
      <c r="A49" s="31"/>
      <c r="B49" s="45">
        <v>103</v>
      </c>
      <c r="C49" s="106">
        <v>150401</v>
      </c>
      <c r="D49" s="12">
        <v>8</v>
      </c>
      <c r="E49" s="12">
        <v>0.0129</v>
      </c>
      <c r="F49" s="71"/>
      <c r="G49" s="31"/>
      <c r="H49" s="32" t="s">
        <v>57</v>
      </c>
    </row>
    <row r="50" s="44" customFormat="1" ht="16.25" spans="1:8">
      <c r="A50" s="31"/>
      <c r="B50" s="45">
        <v>103</v>
      </c>
      <c r="C50" s="106">
        <v>150501</v>
      </c>
      <c r="D50" s="12" t="s">
        <v>210</v>
      </c>
      <c r="E50" s="12" t="s">
        <v>212</v>
      </c>
      <c r="F50" s="71"/>
      <c r="G50" s="31"/>
      <c r="H50" s="32" t="s">
        <v>61</v>
      </c>
    </row>
    <row r="51" s="44" customFormat="1" ht="16.25" spans="1:8">
      <c r="A51" s="31"/>
      <c r="B51" s="45">
        <v>103</v>
      </c>
      <c r="C51" s="106">
        <v>150601</v>
      </c>
      <c r="D51" s="12" t="s">
        <v>213</v>
      </c>
      <c r="E51" s="12" t="s">
        <v>214</v>
      </c>
      <c r="F51" s="71"/>
      <c r="G51" s="31"/>
      <c r="H51" s="32" t="s">
        <v>65</v>
      </c>
    </row>
    <row r="52" s="44" customFormat="1" ht="16.25" spans="1:8">
      <c r="A52" s="31"/>
      <c r="B52" s="45">
        <v>103</v>
      </c>
      <c r="C52" s="106">
        <v>150701</v>
      </c>
      <c r="D52" s="12" t="s">
        <v>215</v>
      </c>
      <c r="E52" s="12" t="s">
        <v>216</v>
      </c>
      <c r="F52" s="71"/>
      <c r="G52" s="31"/>
      <c r="H52" s="32" t="s">
        <v>69</v>
      </c>
    </row>
    <row r="53" s="44" customFormat="1" ht="16.25" spans="1:8">
      <c r="A53" s="31"/>
      <c r="B53" s="45">
        <v>103</v>
      </c>
      <c r="C53" s="106">
        <v>150801</v>
      </c>
      <c r="D53" s="12" t="s">
        <v>217</v>
      </c>
      <c r="E53" s="12" t="s">
        <v>218</v>
      </c>
      <c r="F53" s="71"/>
      <c r="G53" s="31"/>
      <c r="H53" s="32" t="s">
        <v>73</v>
      </c>
    </row>
    <row r="54" s="44" customFormat="1" ht="16.25" spans="1:8">
      <c r="A54" s="31"/>
      <c r="B54" s="45">
        <v>103</v>
      </c>
      <c r="C54" s="106">
        <v>150901</v>
      </c>
      <c r="D54" s="12" t="s">
        <v>219</v>
      </c>
      <c r="E54" s="12" t="s">
        <v>220</v>
      </c>
      <c r="F54" s="71"/>
      <c r="G54" s="31"/>
      <c r="H54" s="32" t="s">
        <v>77</v>
      </c>
    </row>
    <row r="55" s="44" customFormat="1" ht="16.25" spans="1:8">
      <c r="A55" s="31"/>
      <c r="B55" s="45">
        <v>103</v>
      </c>
      <c r="C55" s="106">
        <v>160101</v>
      </c>
      <c r="D55" s="21">
        <v>8</v>
      </c>
      <c r="E55" s="12">
        <v>0.0072</v>
      </c>
      <c r="F55" s="71"/>
      <c r="G55" s="31"/>
      <c r="H55" s="32" t="s">
        <v>81</v>
      </c>
    </row>
    <row r="56" s="44" customFormat="1" ht="16.25" spans="1:8">
      <c r="A56" s="31"/>
      <c r="B56" s="45">
        <v>103</v>
      </c>
      <c r="C56" s="106">
        <v>160201</v>
      </c>
      <c r="D56" s="21">
        <v>8</v>
      </c>
      <c r="E56" s="12">
        <v>0.0143</v>
      </c>
      <c r="F56" s="71"/>
      <c r="G56" s="31"/>
      <c r="H56" s="32" t="s">
        <v>85</v>
      </c>
    </row>
    <row r="57" s="44" customFormat="1" ht="16.25" spans="1:8">
      <c r="A57" s="31"/>
      <c r="B57" s="45">
        <v>103</v>
      </c>
      <c r="C57" s="106">
        <v>160301</v>
      </c>
      <c r="D57" s="21" t="s">
        <v>210</v>
      </c>
      <c r="E57" s="12" t="s">
        <v>221</v>
      </c>
      <c r="F57" s="71"/>
      <c r="G57" s="31"/>
      <c r="H57" s="32" t="s">
        <v>89</v>
      </c>
    </row>
    <row r="58" s="44" customFormat="1" ht="16.25" spans="1:8">
      <c r="A58" s="31"/>
      <c r="B58" s="45">
        <v>103</v>
      </c>
      <c r="C58" s="106">
        <v>160401</v>
      </c>
      <c r="D58" s="21">
        <v>8</v>
      </c>
      <c r="E58" s="12">
        <v>0.0215</v>
      </c>
      <c r="F58" s="71"/>
      <c r="G58" s="31"/>
      <c r="H58" s="32" t="s">
        <v>93</v>
      </c>
    </row>
    <row r="59" s="44" customFormat="1" ht="16.25" spans="1:8">
      <c r="A59" s="31"/>
      <c r="B59" s="45">
        <v>103</v>
      </c>
      <c r="C59" s="106">
        <v>160501</v>
      </c>
      <c r="D59" s="21" t="s">
        <v>210</v>
      </c>
      <c r="E59" s="12" t="s">
        <v>222</v>
      </c>
      <c r="F59" s="71"/>
      <c r="G59" s="31"/>
      <c r="H59" s="32" t="s">
        <v>97</v>
      </c>
    </row>
    <row r="60" s="44" customFormat="1" ht="16.25" spans="1:8">
      <c r="A60" s="31"/>
      <c r="B60" s="45">
        <v>103</v>
      </c>
      <c r="C60" s="106">
        <v>160601</v>
      </c>
      <c r="D60" s="21" t="s">
        <v>213</v>
      </c>
      <c r="E60" s="12" t="s">
        <v>223</v>
      </c>
      <c r="F60" s="71"/>
      <c r="G60" s="31"/>
      <c r="H60" s="32" t="s">
        <v>101</v>
      </c>
    </row>
    <row r="61" s="44" customFormat="1" ht="16.25" spans="1:8">
      <c r="A61" s="31"/>
      <c r="B61" s="45">
        <v>103</v>
      </c>
      <c r="C61" s="106">
        <v>160701</v>
      </c>
      <c r="D61" s="21" t="s">
        <v>215</v>
      </c>
      <c r="E61" s="12" t="s">
        <v>224</v>
      </c>
      <c r="F61" s="71"/>
      <c r="G61" s="31"/>
      <c r="H61" s="32" t="s">
        <v>105</v>
      </c>
    </row>
    <row r="62" s="44" customFormat="1" ht="16.25" spans="1:8">
      <c r="A62" s="31"/>
      <c r="B62" s="45">
        <v>103</v>
      </c>
      <c r="C62" s="106">
        <v>160801</v>
      </c>
      <c r="D62" s="21" t="s">
        <v>217</v>
      </c>
      <c r="E62" s="12" t="s">
        <v>225</v>
      </c>
      <c r="F62" s="71"/>
      <c r="G62" s="31"/>
      <c r="H62" s="32" t="s">
        <v>109</v>
      </c>
    </row>
    <row r="63" s="44" customFormat="1" ht="16.25" spans="1:8">
      <c r="A63" s="31"/>
      <c r="B63" s="45">
        <v>103</v>
      </c>
      <c r="C63" s="106">
        <v>160901</v>
      </c>
      <c r="D63" s="21" t="s">
        <v>219</v>
      </c>
      <c r="E63" s="12" t="s">
        <v>226</v>
      </c>
      <c r="F63" s="71"/>
      <c r="G63" s="31"/>
      <c r="H63" s="32" t="s">
        <v>113</v>
      </c>
    </row>
    <row r="64" s="44" customFormat="1" ht="16.25" spans="1:8">
      <c r="A64" s="31"/>
      <c r="B64" s="39">
        <v>104</v>
      </c>
      <c r="C64" s="106">
        <v>150101</v>
      </c>
      <c r="D64" s="23">
        <v>8</v>
      </c>
      <c r="E64" s="12">
        <v>0.0082</v>
      </c>
      <c r="F64" s="118"/>
      <c r="G64" s="31"/>
      <c r="H64" s="33" t="s">
        <v>45</v>
      </c>
    </row>
    <row r="65" s="44" customFormat="1" ht="16.25" spans="1:8">
      <c r="A65" s="31"/>
      <c r="B65" s="39">
        <v>104</v>
      </c>
      <c r="C65" s="106">
        <v>150101</v>
      </c>
      <c r="D65" s="23">
        <v>4</v>
      </c>
      <c r="E65" s="12">
        <v>11.656</v>
      </c>
      <c r="F65" s="118"/>
      <c r="G65" s="31"/>
      <c r="H65" s="33"/>
    </row>
    <row r="66" s="44" customFormat="1" ht="16.25" spans="1:8">
      <c r="A66" s="31"/>
      <c r="B66" s="39">
        <v>104</v>
      </c>
      <c r="C66" s="106">
        <v>150201</v>
      </c>
      <c r="D66" s="23">
        <v>8</v>
      </c>
      <c r="E66" s="12">
        <v>0.0164</v>
      </c>
      <c r="F66" s="118"/>
      <c r="G66" s="31"/>
      <c r="H66" s="33" t="s">
        <v>49</v>
      </c>
    </row>
    <row r="67" s="44" customFormat="1" ht="16.25" spans="1:8">
      <c r="A67" s="31"/>
      <c r="B67" s="39">
        <v>104</v>
      </c>
      <c r="C67" s="106">
        <v>150201</v>
      </c>
      <c r="D67" s="23">
        <v>4</v>
      </c>
      <c r="E67" s="12">
        <v>11.656</v>
      </c>
      <c r="F67" s="118"/>
      <c r="G67" s="31"/>
      <c r="H67" s="33"/>
    </row>
    <row r="68" s="44" customFormat="1" ht="16.25" spans="1:8">
      <c r="A68" s="31"/>
      <c r="B68" s="39">
        <v>104</v>
      </c>
      <c r="C68" s="106">
        <v>150301</v>
      </c>
      <c r="D68" s="23">
        <v>8</v>
      </c>
      <c r="E68" s="12">
        <v>0.0147</v>
      </c>
      <c r="F68" s="118"/>
      <c r="G68" s="31"/>
      <c r="H68" s="33" t="s">
        <v>53</v>
      </c>
    </row>
    <row r="69" s="44" customFormat="1" ht="16.25" spans="1:8">
      <c r="A69" s="31"/>
      <c r="B69" s="39">
        <v>104</v>
      </c>
      <c r="C69" s="106">
        <v>150301</v>
      </c>
      <c r="D69" s="23">
        <v>4</v>
      </c>
      <c r="E69" s="12">
        <v>11.656</v>
      </c>
      <c r="F69" s="118"/>
      <c r="G69" s="31"/>
      <c r="H69" s="33"/>
    </row>
    <row r="70" s="44" customFormat="1" ht="16.25" spans="1:8">
      <c r="A70" s="31"/>
      <c r="B70" s="39">
        <v>104</v>
      </c>
      <c r="C70" s="106">
        <v>150301</v>
      </c>
      <c r="D70" s="23">
        <v>26</v>
      </c>
      <c r="E70" s="12">
        <v>0.0197</v>
      </c>
      <c r="F70" s="118"/>
      <c r="G70" s="31"/>
      <c r="H70" s="33"/>
    </row>
    <row r="71" s="44" customFormat="1" ht="16.25" spans="1:8">
      <c r="A71" s="31"/>
      <c r="B71" s="39">
        <v>104</v>
      </c>
      <c r="C71" s="106">
        <v>150401</v>
      </c>
      <c r="D71" s="23">
        <v>8</v>
      </c>
      <c r="E71" s="12">
        <v>0.0246</v>
      </c>
      <c r="F71" s="118"/>
      <c r="G71" s="31"/>
      <c r="H71" s="33" t="s">
        <v>57</v>
      </c>
    </row>
    <row r="72" s="44" customFormat="1" ht="16.25" spans="1:8">
      <c r="A72" s="31"/>
      <c r="B72" s="39">
        <v>104</v>
      </c>
      <c r="C72" s="106">
        <v>150401</v>
      </c>
      <c r="D72" s="23">
        <v>4</v>
      </c>
      <c r="E72" s="12">
        <v>11.656</v>
      </c>
      <c r="F72" s="118"/>
      <c r="G72" s="31"/>
      <c r="H72" s="33"/>
    </row>
    <row r="73" s="44" customFormat="1" ht="16.25" spans="1:8">
      <c r="A73" s="31"/>
      <c r="B73" s="39">
        <v>104</v>
      </c>
      <c r="C73" s="106">
        <v>150501</v>
      </c>
      <c r="D73" s="23">
        <v>8</v>
      </c>
      <c r="E73" s="12">
        <v>0.0164</v>
      </c>
      <c r="F73" s="118"/>
      <c r="G73" s="31"/>
      <c r="H73" s="33" t="s">
        <v>61</v>
      </c>
    </row>
    <row r="74" s="44" customFormat="1" ht="16.25" spans="1:8">
      <c r="A74" s="31"/>
      <c r="B74" s="39">
        <v>104</v>
      </c>
      <c r="C74" s="106">
        <v>150501</v>
      </c>
      <c r="D74" s="23">
        <v>4</v>
      </c>
      <c r="E74" s="12">
        <v>11.656</v>
      </c>
      <c r="F74" s="118"/>
      <c r="G74" s="31"/>
      <c r="H74" s="33"/>
    </row>
    <row r="75" s="44" customFormat="1" ht="16.25" spans="1:8">
      <c r="A75" s="31"/>
      <c r="B75" s="39">
        <v>104</v>
      </c>
      <c r="C75" s="106">
        <v>150501</v>
      </c>
      <c r="D75" s="23">
        <v>26</v>
      </c>
      <c r="E75" s="12">
        <v>0.0491</v>
      </c>
      <c r="F75" s="118"/>
      <c r="G75" s="31"/>
      <c r="H75" s="33"/>
    </row>
    <row r="76" s="44" customFormat="1" ht="16.25" spans="1:8">
      <c r="A76" s="31"/>
      <c r="B76" s="39">
        <v>104</v>
      </c>
      <c r="C76" s="106">
        <v>150601</v>
      </c>
      <c r="D76" s="23">
        <v>8</v>
      </c>
      <c r="E76" s="12">
        <v>0.0082</v>
      </c>
      <c r="F76" s="118"/>
      <c r="G76" s="31"/>
      <c r="H76" s="33" t="s">
        <v>65</v>
      </c>
    </row>
    <row r="77" s="44" customFormat="1" ht="16.25" spans="1:8">
      <c r="A77" s="31"/>
      <c r="B77" s="39">
        <v>104</v>
      </c>
      <c r="C77" s="106">
        <v>150601</v>
      </c>
      <c r="D77" s="23">
        <v>4</v>
      </c>
      <c r="E77" s="12">
        <v>11.656</v>
      </c>
      <c r="F77" s="118"/>
      <c r="G77" s="31"/>
      <c r="H77" s="33"/>
    </row>
    <row r="78" s="44" customFormat="1" ht="16.25" spans="1:8">
      <c r="A78" s="31"/>
      <c r="B78" s="39">
        <v>104</v>
      </c>
      <c r="C78" s="106">
        <v>150601</v>
      </c>
      <c r="D78" s="23">
        <v>9</v>
      </c>
      <c r="E78" s="12">
        <v>0.0549</v>
      </c>
      <c r="F78" s="118"/>
      <c r="G78" s="31"/>
      <c r="H78" s="33"/>
    </row>
    <row r="79" s="44" customFormat="1" ht="16.25" spans="1:8">
      <c r="A79" s="31"/>
      <c r="B79" s="39">
        <v>104</v>
      </c>
      <c r="C79" s="106">
        <v>150701</v>
      </c>
      <c r="D79" s="23">
        <v>5</v>
      </c>
      <c r="E79" s="12">
        <v>0.0201</v>
      </c>
      <c r="F79" s="118"/>
      <c r="G79" s="31"/>
      <c r="H79" s="33" t="s">
        <v>69</v>
      </c>
    </row>
    <row r="80" s="44" customFormat="1" ht="16.25" spans="1:8">
      <c r="A80" s="31"/>
      <c r="B80" s="39">
        <v>104</v>
      </c>
      <c r="C80" s="106">
        <v>150701</v>
      </c>
      <c r="D80" s="23">
        <v>4</v>
      </c>
      <c r="E80" s="12">
        <v>11.656</v>
      </c>
      <c r="F80" s="118"/>
      <c r="G80" s="31"/>
      <c r="H80" s="33"/>
    </row>
    <row r="81" s="44" customFormat="1" ht="16.25" spans="1:8">
      <c r="A81" s="31"/>
      <c r="B81" s="39">
        <v>104</v>
      </c>
      <c r="C81" s="106">
        <v>150701</v>
      </c>
      <c r="D81" s="23">
        <v>9</v>
      </c>
      <c r="E81" s="12">
        <v>0.0274</v>
      </c>
      <c r="F81" s="118"/>
      <c r="G81" s="31"/>
      <c r="H81" s="33"/>
    </row>
    <row r="82" s="44" customFormat="1" ht="16.25" spans="1:8">
      <c r="A82" s="31"/>
      <c r="B82" s="39">
        <v>104</v>
      </c>
      <c r="C82" s="110">
        <v>150801</v>
      </c>
      <c r="D82" s="23">
        <v>5</v>
      </c>
      <c r="E82" s="40">
        <v>0.0114</v>
      </c>
      <c r="F82" s="119"/>
      <c r="G82" s="31"/>
      <c r="H82" s="33" t="s">
        <v>73</v>
      </c>
    </row>
    <row r="83" s="44" customFormat="1" ht="16.25" spans="1:8">
      <c r="A83" s="31"/>
      <c r="B83" s="39">
        <v>104</v>
      </c>
      <c r="C83" s="110">
        <v>150801</v>
      </c>
      <c r="D83" s="23">
        <v>4</v>
      </c>
      <c r="E83" s="40">
        <v>5.832</v>
      </c>
      <c r="F83" s="119"/>
      <c r="G83" s="31"/>
      <c r="H83" s="33"/>
    </row>
    <row r="84" s="44" customFormat="1" ht="16.25" spans="1:8">
      <c r="A84" s="31"/>
      <c r="B84" s="39">
        <v>104</v>
      </c>
      <c r="C84" s="110">
        <v>150801</v>
      </c>
      <c r="D84" s="23">
        <v>9</v>
      </c>
      <c r="E84" s="40">
        <v>0.0219</v>
      </c>
      <c r="F84" s="119"/>
      <c r="G84" s="31"/>
      <c r="H84" s="33"/>
    </row>
    <row r="85" s="44" customFormat="1" ht="16.25" spans="1:8">
      <c r="A85" s="31"/>
      <c r="B85" s="39">
        <v>104</v>
      </c>
      <c r="C85" s="110">
        <v>150901</v>
      </c>
      <c r="D85" s="23">
        <v>5</v>
      </c>
      <c r="E85" s="40">
        <v>0.0143</v>
      </c>
      <c r="F85" s="119"/>
      <c r="G85" s="31"/>
      <c r="H85" s="33" t="s">
        <v>77</v>
      </c>
    </row>
    <row r="86" s="44" customFormat="1" ht="16.25" spans="1:8">
      <c r="A86" s="31"/>
      <c r="B86" s="39">
        <v>104</v>
      </c>
      <c r="C86" s="110">
        <v>150901</v>
      </c>
      <c r="D86" s="23">
        <v>9</v>
      </c>
      <c r="E86" s="40">
        <v>0.0274</v>
      </c>
      <c r="F86" s="119"/>
      <c r="G86" s="31"/>
      <c r="H86" s="33"/>
    </row>
    <row r="87" s="44" customFormat="1" ht="16.25" spans="1:8">
      <c r="A87" s="31"/>
      <c r="B87" s="39">
        <v>104</v>
      </c>
      <c r="C87" s="110">
        <v>150901</v>
      </c>
      <c r="D87" s="23">
        <v>11</v>
      </c>
      <c r="E87" s="40">
        <v>0.0031</v>
      </c>
      <c r="F87" s="119"/>
      <c r="G87" s="31"/>
      <c r="H87" s="33"/>
    </row>
    <row r="88" s="44" customFormat="1" ht="16.25" spans="1:8">
      <c r="A88" s="31"/>
      <c r="B88" s="39">
        <v>104</v>
      </c>
      <c r="C88" s="110">
        <v>150901</v>
      </c>
      <c r="D88" s="23">
        <v>4</v>
      </c>
      <c r="E88" s="40">
        <v>5.832</v>
      </c>
      <c r="F88" s="119"/>
      <c r="G88" s="31"/>
      <c r="H88" s="33"/>
    </row>
    <row r="89" s="44" customFormat="1" ht="16.25" spans="1:8">
      <c r="A89" s="31"/>
      <c r="B89" s="39">
        <v>104</v>
      </c>
      <c r="C89" s="110">
        <v>160101</v>
      </c>
      <c r="D89" s="23">
        <v>8</v>
      </c>
      <c r="E89" s="40">
        <v>0.0137</v>
      </c>
      <c r="F89" s="119"/>
      <c r="G89" s="31"/>
      <c r="H89" s="32" t="s">
        <v>81</v>
      </c>
    </row>
    <row r="90" s="44" customFormat="1" ht="16.25" spans="1:8">
      <c r="A90" s="31"/>
      <c r="B90" s="39">
        <v>104</v>
      </c>
      <c r="C90" s="110">
        <v>160101</v>
      </c>
      <c r="D90" s="23">
        <v>4</v>
      </c>
      <c r="E90" s="40">
        <v>19.432</v>
      </c>
      <c r="F90" s="119"/>
      <c r="G90" s="31"/>
      <c r="H90" s="32"/>
    </row>
    <row r="91" s="44" customFormat="1" ht="16.25" spans="1:8">
      <c r="A91" s="31"/>
      <c r="B91" s="39">
        <v>104</v>
      </c>
      <c r="C91" s="110">
        <v>160201</v>
      </c>
      <c r="D91" s="23">
        <v>8</v>
      </c>
      <c r="E91" s="40">
        <v>0.0273</v>
      </c>
      <c r="F91" s="119"/>
      <c r="G91" s="31"/>
      <c r="H91" s="32" t="s">
        <v>85</v>
      </c>
    </row>
    <row r="92" s="44" customFormat="1" ht="16.25" spans="1:8">
      <c r="A92" s="31"/>
      <c r="B92" s="39">
        <v>104</v>
      </c>
      <c r="C92" s="110">
        <v>160201</v>
      </c>
      <c r="D92" s="23">
        <v>4</v>
      </c>
      <c r="E92" s="40">
        <v>19.432</v>
      </c>
      <c r="F92" s="119"/>
      <c r="G92" s="31"/>
      <c r="H92" s="32"/>
    </row>
    <row r="93" s="44" customFormat="1" ht="16.25" spans="1:8">
      <c r="A93" s="31"/>
      <c r="B93" s="39">
        <v>104</v>
      </c>
      <c r="C93" s="110">
        <v>160301</v>
      </c>
      <c r="D93" s="23">
        <v>8</v>
      </c>
      <c r="E93" s="40">
        <v>0.0246</v>
      </c>
      <c r="F93" s="119"/>
      <c r="G93" s="31"/>
      <c r="H93" s="32" t="s">
        <v>89</v>
      </c>
    </row>
    <row r="94" s="44" customFormat="1" ht="16.25" spans="1:8">
      <c r="A94" s="31"/>
      <c r="B94" s="39">
        <v>104</v>
      </c>
      <c r="C94" s="110">
        <v>160301</v>
      </c>
      <c r="D94" s="23">
        <v>4</v>
      </c>
      <c r="E94" s="40">
        <v>19.432</v>
      </c>
      <c r="F94" s="119"/>
      <c r="G94" s="31"/>
      <c r="H94" s="32"/>
    </row>
    <row r="95" s="44" customFormat="1" ht="16.25" spans="1:8">
      <c r="A95" s="31"/>
      <c r="B95" s="39">
        <v>104</v>
      </c>
      <c r="C95" s="110">
        <v>160301</v>
      </c>
      <c r="D95" s="23">
        <v>26</v>
      </c>
      <c r="E95" s="40">
        <v>0.0327</v>
      </c>
      <c r="F95" s="119"/>
      <c r="G95" s="31"/>
      <c r="H95" s="32"/>
    </row>
    <row r="96" s="44" customFormat="1" ht="16.25" spans="1:8">
      <c r="A96" s="31"/>
      <c r="B96" s="39">
        <v>104</v>
      </c>
      <c r="C96" s="110">
        <v>160401</v>
      </c>
      <c r="D96" s="23">
        <v>8</v>
      </c>
      <c r="E96" s="40">
        <v>0.0409</v>
      </c>
      <c r="F96" s="119"/>
      <c r="G96" s="31"/>
      <c r="H96" s="32" t="s">
        <v>93</v>
      </c>
    </row>
    <row r="97" s="44" customFormat="1" ht="16.25" spans="1:8">
      <c r="A97" s="31"/>
      <c r="B97" s="39">
        <v>104</v>
      </c>
      <c r="C97" s="110">
        <v>160401</v>
      </c>
      <c r="D97" s="23">
        <v>4</v>
      </c>
      <c r="E97" s="40">
        <v>19.432</v>
      </c>
      <c r="F97" s="119"/>
      <c r="G97" s="31"/>
      <c r="H97" s="32"/>
    </row>
    <row r="98" s="44" customFormat="1" ht="16.25" spans="1:8">
      <c r="A98" s="31"/>
      <c r="B98" s="39">
        <v>104</v>
      </c>
      <c r="C98" s="110">
        <v>160501</v>
      </c>
      <c r="D98" s="23">
        <v>8</v>
      </c>
      <c r="E98" s="40">
        <v>0.0273</v>
      </c>
      <c r="F98" s="119"/>
      <c r="G98" s="31"/>
      <c r="H98" s="32" t="s">
        <v>97</v>
      </c>
    </row>
    <row r="99" s="44" customFormat="1" ht="16.25" spans="1:8">
      <c r="A99" s="31"/>
      <c r="B99" s="39">
        <v>104</v>
      </c>
      <c r="C99" s="110">
        <v>160501</v>
      </c>
      <c r="D99" s="23">
        <v>4</v>
      </c>
      <c r="E99" s="40">
        <v>19.432</v>
      </c>
      <c r="F99" s="119"/>
      <c r="G99" s="31"/>
      <c r="H99" s="32"/>
    </row>
    <row r="100" s="44" customFormat="1" ht="16.25" spans="1:8">
      <c r="A100" s="31"/>
      <c r="B100" s="39">
        <v>104</v>
      </c>
      <c r="C100" s="110">
        <v>160501</v>
      </c>
      <c r="D100" s="23">
        <v>26</v>
      </c>
      <c r="E100" s="40">
        <v>0.0818</v>
      </c>
      <c r="F100" s="119"/>
      <c r="G100" s="31"/>
      <c r="H100" s="32"/>
    </row>
    <row r="101" s="44" customFormat="1" ht="16.25" spans="1:8">
      <c r="A101" s="31"/>
      <c r="B101" s="39">
        <v>104</v>
      </c>
      <c r="C101" s="110">
        <v>160601</v>
      </c>
      <c r="D101" s="23">
        <v>8</v>
      </c>
      <c r="E101" s="40">
        <v>0.0137</v>
      </c>
      <c r="F101" s="119"/>
      <c r="G101" s="31"/>
      <c r="H101" s="32" t="s">
        <v>101</v>
      </c>
    </row>
    <row r="102" s="44" customFormat="1" ht="16.25" spans="1:8">
      <c r="A102" s="31"/>
      <c r="B102" s="39">
        <v>104</v>
      </c>
      <c r="C102" s="110">
        <v>160601</v>
      </c>
      <c r="D102" s="23">
        <v>4</v>
      </c>
      <c r="E102" s="40">
        <v>19.432</v>
      </c>
      <c r="F102" s="119"/>
      <c r="G102" s="31"/>
      <c r="H102" s="32"/>
    </row>
    <row r="103" s="44" customFormat="1" ht="16.25" spans="1:8">
      <c r="A103" s="31"/>
      <c r="B103" s="39">
        <v>104</v>
      </c>
      <c r="C103" s="110">
        <v>160601</v>
      </c>
      <c r="D103" s="23">
        <v>9</v>
      </c>
      <c r="E103" s="40">
        <v>0.0914</v>
      </c>
      <c r="F103" s="119"/>
      <c r="G103" s="31"/>
      <c r="H103" s="32"/>
    </row>
    <row r="104" s="44" customFormat="1" ht="16.25" spans="1:8">
      <c r="A104" s="31"/>
      <c r="B104" s="39">
        <v>104</v>
      </c>
      <c r="C104" s="110">
        <v>160701</v>
      </c>
      <c r="D104" s="23">
        <v>5</v>
      </c>
      <c r="E104" s="40">
        <v>0.0334</v>
      </c>
      <c r="F104" s="119"/>
      <c r="G104" s="31"/>
      <c r="H104" s="32" t="s">
        <v>105</v>
      </c>
    </row>
    <row r="105" s="44" customFormat="1" ht="16.25" spans="1:8">
      <c r="A105" s="31"/>
      <c r="B105" s="39">
        <v>104</v>
      </c>
      <c r="C105" s="110">
        <v>160701</v>
      </c>
      <c r="D105" s="23">
        <v>4</v>
      </c>
      <c r="E105" s="40">
        <v>19.432</v>
      </c>
      <c r="F105" s="119"/>
      <c r="G105" s="31"/>
      <c r="H105" s="32"/>
    </row>
    <row r="106" s="44" customFormat="1" ht="16.25" spans="1:8">
      <c r="A106" s="31"/>
      <c r="B106" s="39">
        <v>104</v>
      </c>
      <c r="C106" s="110">
        <v>160701</v>
      </c>
      <c r="D106" s="23">
        <v>9</v>
      </c>
      <c r="E106" s="40">
        <v>0.0457</v>
      </c>
      <c r="F106" s="119"/>
      <c r="G106" s="31"/>
      <c r="H106" s="32"/>
    </row>
    <row r="107" s="44" customFormat="1" ht="16.25" spans="1:8">
      <c r="A107" s="31"/>
      <c r="B107" s="39">
        <v>104</v>
      </c>
      <c r="C107" s="110">
        <v>160801</v>
      </c>
      <c r="D107" s="23">
        <v>5</v>
      </c>
      <c r="E107" s="40">
        <v>0.0191</v>
      </c>
      <c r="F107" s="119"/>
      <c r="G107" s="31"/>
      <c r="H107" s="32" t="s">
        <v>109</v>
      </c>
    </row>
    <row r="108" s="44" customFormat="1" ht="16.25" spans="1:8">
      <c r="A108" s="31"/>
      <c r="B108" s="39">
        <v>104</v>
      </c>
      <c r="C108" s="110">
        <v>160801</v>
      </c>
      <c r="D108" s="23">
        <v>4</v>
      </c>
      <c r="E108" s="40">
        <v>9.712</v>
      </c>
      <c r="F108" s="119"/>
      <c r="G108" s="31"/>
      <c r="H108" s="32"/>
    </row>
    <row r="109" s="44" customFormat="1" ht="16.25" spans="1:8">
      <c r="A109" s="31"/>
      <c r="B109" s="39">
        <v>104</v>
      </c>
      <c r="C109" s="110">
        <v>160801</v>
      </c>
      <c r="D109" s="23">
        <v>9</v>
      </c>
      <c r="E109" s="40">
        <v>0.0366</v>
      </c>
      <c r="F109" s="119"/>
      <c r="G109" s="31"/>
      <c r="H109" s="32"/>
    </row>
    <row r="110" s="44" customFormat="1" ht="16.25" spans="1:8">
      <c r="A110" s="31"/>
      <c r="B110" s="39">
        <v>104</v>
      </c>
      <c r="C110" s="110">
        <v>160901</v>
      </c>
      <c r="D110" s="23">
        <v>5</v>
      </c>
      <c r="E110" s="40">
        <v>0.0239</v>
      </c>
      <c r="F110" s="119"/>
      <c r="G110" s="31"/>
      <c r="H110" s="32" t="s">
        <v>113</v>
      </c>
    </row>
    <row r="111" s="44" customFormat="1" ht="16.25" spans="1:8">
      <c r="A111" s="31"/>
      <c r="B111" s="39">
        <v>104</v>
      </c>
      <c r="C111" s="110">
        <v>160901</v>
      </c>
      <c r="D111" s="23">
        <v>9</v>
      </c>
      <c r="E111" s="40">
        <v>0.0457</v>
      </c>
      <c r="F111" s="119"/>
      <c r="G111" s="31"/>
      <c r="H111" s="32"/>
    </row>
    <row r="112" s="44" customFormat="1" ht="16.25" spans="1:8">
      <c r="A112" s="31"/>
      <c r="B112" s="39">
        <v>104</v>
      </c>
      <c r="C112" s="110">
        <v>160901</v>
      </c>
      <c r="D112" s="23">
        <v>11</v>
      </c>
      <c r="E112" s="40">
        <v>0.0052</v>
      </c>
      <c r="F112" s="119"/>
      <c r="G112" s="31"/>
      <c r="H112" s="32"/>
    </row>
    <row r="113" s="44" customFormat="1" ht="16.25" spans="1:8">
      <c r="A113" s="31"/>
      <c r="B113" s="39">
        <v>104</v>
      </c>
      <c r="C113" s="110">
        <v>160901</v>
      </c>
      <c r="D113" s="23">
        <v>4</v>
      </c>
      <c r="E113" s="40">
        <v>9.712</v>
      </c>
      <c r="F113" s="119"/>
      <c r="G113" s="31"/>
      <c r="H113" s="32"/>
    </row>
    <row r="114" s="44" customFormat="1" ht="16.25" spans="1:8">
      <c r="A114" s="31"/>
      <c r="B114" s="31">
        <v>201</v>
      </c>
      <c r="C114" s="110">
        <v>120002</v>
      </c>
      <c r="D114" s="23" t="s">
        <v>227</v>
      </c>
      <c r="E114" s="40" t="s">
        <v>228</v>
      </c>
      <c r="F114" s="69"/>
      <c r="G114" s="31"/>
      <c r="H114" s="37" t="s">
        <v>26</v>
      </c>
    </row>
    <row r="115" s="44" customFormat="1" ht="16.25" spans="1:8">
      <c r="A115" s="31"/>
      <c r="B115" s="31">
        <v>201</v>
      </c>
      <c r="C115" s="110">
        <v>130002</v>
      </c>
      <c r="D115" s="23" t="s">
        <v>227</v>
      </c>
      <c r="E115" s="40" t="s">
        <v>229</v>
      </c>
      <c r="F115" s="69"/>
      <c r="G115" s="31"/>
      <c r="H115" s="37" t="s">
        <v>30</v>
      </c>
    </row>
    <row r="116" s="44" customFormat="1" ht="16.25" spans="1:8">
      <c r="A116" s="31"/>
      <c r="B116" s="31">
        <v>201</v>
      </c>
      <c r="C116" s="110">
        <v>140002</v>
      </c>
      <c r="D116" s="23" t="s">
        <v>227</v>
      </c>
      <c r="E116" s="40" t="s">
        <v>230</v>
      </c>
      <c r="F116" s="69"/>
      <c r="G116" s="31"/>
      <c r="H116" s="37" t="s">
        <v>34</v>
      </c>
    </row>
    <row r="117" s="44" customFormat="1" ht="16.25" spans="1:8">
      <c r="A117" s="31"/>
      <c r="B117" s="31">
        <v>201</v>
      </c>
      <c r="C117" s="110">
        <v>140102</v>
      </c>
      <c r="D117" s="23" t="s">
        <v>227</v>
      </c>
      <c r="E117" s="40" t="s">
        <v>231</v>
      </c>
      <c r="F117" s="69"/>
      <c r="G117" s="31"/>
      <c r="H117" s="37" t="s">
        <v>38</v>
      </c>
    </row>
    <row r="118" s="44" customFormat="1" ht="16.25" spans="1:8">
      <c r="A118" s="31"/>
      <c r="B118" s="31">
        <v>201</v>
      </c>
      <c r="C118" s="110">
        <v>140202</v>
      </c>
      <c r="D118" s="23" t="s">
        <v>227</v>
      </c>
      <c r="E118" s="40" t="s">
        <v>232</v>
      </c>
      <c r="F118" s="69"/>
      <c r="G118" s="31"/>
      <c r="H118" s="37" t="s">
        <v>42</v>
      </c>
    </row>
    <row r="119" s="44" customFormat="1" ht="16.25" spans="1:8">
      <c r="A119" s="31"/>
      <c r="B119" s="31">
        <v>201</v>
      </c>
      <c r="C119" s="110">
        <v>150102</v>
      </c>
      <c r="D119" s="23" t="s">
        <v>227</v>
      </c>
      <c r="E119" s="40" t="s">
        <v>233</v>
      </c>
      <c r="F119" s="69"/>
      <c r="G119" s="31"/>
      <c r="H119" s="37" t="s">
        <v>46</v>
      </c>
    </row>
    <row r="120" s="44" customFormat="1" ht="16.25" spans="1:8">
      <c r="A120" s="31"/>
      <c r="B120" s="31">
        <v>201</v>
      </c>
      <c r="C120" s="110">
        <v>150202</v>
      </c>
      <c r="D120" s="23" t="s">
        <v>227</v>
      </c>
      <c r="E120" s="40" t="s">
        <v>233</v>
      </c>
      <c r="F120" s="69"/>
      <c r="G120" s="31"/>
      <c r="H120" s="37" t="s">
        <v>50</v>
      </c>
    </row>
    <row r="121" s="44" customFormat="1" ht="16.25" spans="1:8">
      <c r="A121" s="31"/>
      <c r="B121" s="31">
        <v>201</v>
      </c>
      <c r="C121" s="110">
        <v>150302</v>
      </c>
      <c r="D121" s="23" t="s">
        <v>227</v>
      </c>
      <c r="E121" s="40" t="s">
        <v>233</v>
      </c>
      <c r="F121" s="69"/>
      <c r="G121" s="31"/>
      <c r="H121" s="37" t="s">
        <v>54</v>
      </c>
    </row>
    <row r="122" s="44" customFormat="1" ht="16.25" spans="1:8">
      <c r="A122" s="31"/>
      <c r="B122" s="31">
        <v>201</v>
      </c>
      <c r="C122" s="110">
        <v>150402</v>
      </c>
      <c r="D122" s="23" t="s">
        <v>227</v>
      </c>
      <c r="E122" s="40" t="s">
        <v>233</v>
      </c>
      <c r="F122" s="69"/>
      <c r="G122" s="31"/>
      <c r="H122" s="37" t="s">
        <v>58</v>
      </c>
    </row>
    <row r="123" s="44" customFormat="1" ht="16.25" spans="1:8">
      <c r="A123" s="31"/>
      <c r="B123" s="31">
        <v>201</v>
      </c>
      <c r="C123" s="110">
        <v>150502</v>
      </c>
      <c r="D123" s="23" t="s">
        <v>227</v>
      </c>
      <c r="E123" s="40" t="s">
        <v>233</v>
      </c>
      <c r="F123" s="69"/>
      <c r="G123" s="31"/>
      <c r="H123" s="37" t="s">
        <v>62</v>
      </c>
    </row>
    <row r="124" s="44" customFormat="1" ht="16.25" spans="1:8">
      <c r="A124" s="31"/>
      <c r="B124" s="31">
        <v>201</v>
      </c>
      <c r="C124" s="110">
        <v>150602</v>
      </c>
      <c r="D124" s="23" t="s">
        <v>227</v>
      </c>
      <c r="E124" s="40" t="s">
        <v>233</v>
      </c>
      <c r="F124" s="69"/>
      <c r="G124" s="31"/>
      <c r="H124" s="37" t="s">
        <v>66</v>
      </c>
    </row>
    <row r="125" s="44" customFormat="1" ht="16.25" spans="1:8">
      <c r="A125" s="31"/>
      <c r="B125" s="31">
        <v>201</v>
      </c>
      <c r="C125" s="110">
        <v>150702</v>
      </c>
      <c r="D125" s="23" t="s">
        <v>227</v>
      </c>
      <c r="E125" s="40" t="s">
        <v>233</v>
      </c>
      <c r="F125" s="69"/>
      <c r="G125" s="31"/>
      <c r="H125" s="37" t="s">
        <v>70</v>
      </c>
    </row>
    <row r="126" s="44" customFormat="1" ht="16.25" spans="1:8">
      <c r="A126" s="31"/>
      <c r="B126" s="31">
        <v>201</v>
      </c>
      <c r="C126" s="110">
        <v>150802</v>
      </c>
      <c r="D126" s="23" t="s">
        <v>227</v>
      </c>
      <c r="E126" s="12" t="s">
        <v>233</v>
      </c>
      <c r="F126" s="71"/>
      <c r="G126" s="31"/>
      <c r="H126" s="37" t="s">
        <v>74</v>
      </c>
    </row>
    <row r="127" s="44" customFormat="1" ht="16.25" spans="1:8">
      <c r="A127" s="31"/>
      <c r="B127" s="31">
        <v>201</v>
      </c>
      <c r="C127" s="110">
        <v>150902</v>
      </c>
      <c r="D127" s="23" t="s">
        <v>227</v>
      </c>
      <c r="E127" s="12" t="s">
        <v>233</v>
      </c>
      <c r="F127" s="71"/>
      <c r="G127" s="31"/>
      <c r="H127" s="37" t="s">
        <v>78</v>
      </c>
    </row>
    <row r="128" s="44" customFormat="1" ht="16.25" spans="1:8">
      <c r="A128" s="31"/>
      <c r="B128" s="31">
        <v>201</v>
      </c>
      <c r="C128" s="110">
        <v>160102</v>
      </c>
      <c r="D128" s="23" t="s">
        <v>227</v>
      </c>
      <c r="E128" s="12" t="s">
        <v>234</v>
      </c>
      <c r="F128" s="71"/>
      <c r="G128" s="31"/>
      <c r="H128" s="37" t="s">
        <v>82</v>
      </c>
    </row>
    <row r="129" s="44" customFormat="1" ht="16.25" spans="1:8">
      <c r="A129" s="31"/>
      <c r="B129" s="31">
        <v>201</v>
      </c>
      <c r="C129" s="110">
        <v>160202</v>
      </c>
      <c r="D129" s="23" t="s">
        <v>227</v>
      </c>
      <c r="E129" s="12" t="s">
        <v>234</v>
      </c>
      <c r="F129" s="71"/>
      <c r="G129" s="31"/>
      <c r="H129" s="37" t="s">
        <v>86</v>
      </c>
    </row>
    <row r="130" s="44" customFormat="1" ht="16.25" spans="1:8">
      <c r="A130" s="31"/>
      <c r="B130" s="31">
        <v>201</v>
      </c>
      <c r="C130" s="110">
        <v>160302</v>
      </c>
      <c r="D130" s="23" t="s">
        <v>227</v>
      </c>
      <c r="E130" s="12" t="s">
        <v>234</v>
      </c>
      <c r="F130" s="71"/>
      <c r="G130" s="31"/>
      <c r="H130" s="37" t="s">
        <v>90</v>
      </c>
    </row>
    <row r="131" s="44" customFormat="1" ht="16.25" spans="1:8">
      <c r="A131" s="31"/>
      <c r="B131" s="31">
        <v>201</v>
      </c>
      <c r="C131" s="110">
        <v>160402</v>
      </c>
      <c r="D131" s="23" t="s">
        <v>227</v>
      </c>
      <c r="E131" s="12" t="s">
        <v>234</v>
      </c>
      <c r="F131" s="71"/>
      <c r="G131" s="31"/>
      <c r="H131" s="37" t="s">
        <v>94</v>
      </c>
    </row>
    <row r="132" s="44" customFormat="1" ht="16.25" spans="1:8">
      <c r="A132" s="31"/>
      <c r="B132" s="31">
        <v>201</v>
      </c>
      <c r="C132" s="110">
        <v>160502</v>
      </c>
      <c r="D132" s="23" t="s">
        <v>227</v>
      </c>
      <c r="E132" s="12" t="s">
        <v>234</v>
      </c>
      <c r="F132" s="71"/>
      <c r="G132" s="31"/>
      <c r="H132" s="37" t="s">
        <v>98</v>
      </c>
    </row>
    <row r="133" s="44" customFormat="1" ht="16.25" spans="1:8">
      <c r="A133" s="31"/>
      <c r="B133" s="31">
        <v>201</v>
      </c>
      <c r="C133" s="110">
        <v>160602</v>
      </c>
      <c r="D133" s="23" t="s">
        <v>227</v>
      </c>
      <c r="E133" s="12" t="s">
        <v>234</v>
      </c>
      <c r="F133" s="71"/>
      <c r="G133" s="31"/>
      <c r="H133" s="37" t="s">
        <v>102</v>
      </c>
    </row>
    <row r="134" s="44" customFormat="1" ht="16.25" spans="1:8">
      <c r="A134" s="31"/>
      <c r="B134" s="31">
        <v>201</v>
      </c>
      <c r="C134" s="110">
        <v>160702</v>
      </c>
      <c r="D134" s="23" t="s">
        <v>227</v>
      </c>
      <c r="E134" s="12" t="s">
        <v>234</v>
      </c>
      <c r="F134" s="71"/>
      <c r="G134" s="31"/>
      <c r="H134" s="37" t="s">
        <v>106</v>
      </c>
    </row>
    <row r="135" s="44" customFormat="1" ht="16.25" spans="1:8">
      <c r="A135" s="31"/>
      <c r="B135" s="31">
        <v>201</v>
      </c>
      <c r="C135" s="110">
        <v>160802</v>
      </c>
      <c r="D135" s="23" t="s">
        <v>227</v>
      </c>
      <c r="E135" s="12" t="s">
        <v>234</v>
      </c>
      <c r="F135" s="71"/>
      <c r="G135" s="31"/>
      <c r="H135" s="37" t="s">
        <v>110</v>
      </c>
    </row>
    <row r="136" s="44" customFormat="1" ht="16.25" spans="1:8">
      <c r="A136" s="31"/>
      <c r="B136" s="31">
        <v>201</v>
      </c>
      <c r="C136" s="110">
        <v>160902</v>
      </c>
      <c r="D136" s="23" t="s">
        <v>227</v>
      </c>
      <c r="E136" s="12" t="s">
        <v>234</v>
      </c>
      <c r="F136" s="71"/>
      <c r="G136" s="31"/>
      <c r="H136" s="37" t="s">
        <v>114</v>
      </c>
    </row>
    <row r="137" s="44" customFormat="1" ht="16.25" spans="1:8">
      <c r="A137" s="31"/>
      <c r="B137" s="31">
        <v>202</v>
      </c>
      <c r="C137" s="110">
        <v>140002</v>
      </c>
      <c r="D137" s="23" t="s">
        <v>227</v>
      </c>
      <c r="E137" s="12" t="s">
        <v>235</v>
      </c>
      <c r="F137" s="71"/>
      <c r="G137" s="31"/>
      <c r="H137" s="37" t="s">
        <v>34</v>
      </c>
    </row>
    <row r="138" s="44" customFormat="1" ht="16.25" spans="1:8">
      <c r="A138" s="31"/>
      <c r="B138" s="31">
        <v>202</v>
      </c>
      <c r="C138" s="110">
        <v>140102</v>
      </c>
      <c r="D138" s="23" t="s">
        <v>227</v>
      </c>
      <c r="E138" s="12" t="s">
        <v>236</v>
      </c>
      <c r="F138" s="71"/>
      <c r="G138" s="31"/>
      <c r="H138" s="37" t="s">
        <v>38</v>
      </c>
    </row>
    <row r="139" s="44" customFormat="1" ht="16.25" spans="1:8">
      <c r="A139" s="31"/>
      <c r="B139" s="31">
        <v>202</v>
      </c>
      <c r="C139" s="110">
        <v>140202</v>
      </c>
      <c r="D139" s="23" t="s">
        <v>227</v>
      </c>
      <c r="E139" s="12" t="s">
        <v>237</v>
      </c>
      <c r="F139" s="71"/>
      <c r="G139" s="31"/>
      <c r="H139" s="37" t="s">
        <v>42</v>
      </c>
    </row>
    <row r="140" s="44" customFormat="1" ht="16.25" spans="1:8">
      <c r="A140" s="31"/>
      <c r="B140" s="31">
        <v>202</v>
      </c>
      <c r="C140" s="110">
        <v>150102</v>
      </c>
      <c r="D140" s="23" t="s">
        <v>227</v>
      </c>
      <c r="E140" s="12" t="s">
        <v>238</v>
      </c>
      <c r="F140" s="71"/>
      <c r="G140" s="31"/>
      <c r="H140" s="37" t="s">
        <v>46</v>
      </c>
    </row>
    <row r="141" s="44" customFormat="1" ht="16.25" spans="1:8">
      <c r="A141" s="31"/>
      <c r="B141" s="31">
        <v>202</v>
      </c>
      <c r="C141" s="110">
        <v>150202</v>
      </c>
      <c r="D141" s="23" t="s">
        <v>227</v>
      </c>
      <c r="E141" s="12" t="s">
        <v>238</v>
      </c>
      <c r="F141" s="71"/>
      <c r="G141" s="31"/>
      <c r="H141" s="37" t="s">
        <v>50</v>
      </c>
    </row>
    <row r="142" s="44" customFormat="1" ht="16.25" spans="1:8">
      <c r="A142" s="31"/>
      <c r="B142" s="31">
        <v>202</v>
      </c>
      <c r="C142" s="110">
        <v>150302</v>
      </c>
      <c r="D142" s="23" t="s">
        <v>227</v>
      </c>
      <c r="E142" s="12" t="s">
        <v>238</v>
      </c>
      <c r="F142" s="71"/>
      <c r="G142" s="31"/>
      <c r="H142" s="37" t="s">
        <v>54</v>
      </c>
    </row>
    <row r="143" s="44" customFormat="1" ht="16.25" spans="1:8">
      <c r="A143" s="31"/>
      <c r="B143" s="31">
        <v>202</v>
      </c>
      <c r="C143" s="110">
        <v>150402</v>
      </c>
      <c r="D143" s="23" t="s">
        <v>227</v>
      </c>
      <c r="E143" s="12" t="s">
        <v>238</v>
      </c>
      <c r="F143" s="71"/>
      <c r="G143" s="31"/>
      <c r="H143" s="37" t="s">
        <v>58</v>
      </c>
    </row>
    <row r="144" s="44" customFormat="1" ht="16.25" spans="1:8">
      <c r="A144" s="31"/>
      <c r="B144" s="31">
        <v>202</v>
      </c>
      <c r="C144" s="110">
        <v>150502</v>
      </c>
      <c r="D144" s="23" t="s">
        <v>227</v>
      </c>
      <c r="E144" s="12" t="s">
        <v>238</v>
      </c>
      <c r="F144" s="71"/>
      <c r="G144" s="31"/>
      <c r="H144" s="37" t="s">
        <v>62</v>
      </c>
    </row>
    <row r="145" s="44" customFormat="1" ht="16.25" spans="1:8">
      <c r="A145" s="31"/>
      <c r="B145" s="31">
        <v>202</v>
      </c>
      <c r="C145" s="110">
        <v>150602</v>
      </c>
      <c r="D145" s="23" t="s">
        <v>227</v>
      </c>
      <c r="E145" s="12" t="s">
        <v>238</v>
      </c>
      <c r="F145" s="71"/>
      <c r="G145" s="31"/>
      <c r="H145" s="37" t="s">
        <v>66</v>
      </c>
    </row>
    <row r="146" s="44" customFormat="1" ht="16.25" spans="1:8">
      <c r="A146" s="31"/>
      <c r="B146" s="31">
        <v>202</v>
      </c>
      <c r="C146" s="110">
        <v>150702</v>
      </c>
      <c r="D146" s="23" t="s">
        <v>227</v>
      </c>
      <c r="E146" s="12" t="s">
        <v>238</v>
      </c>
      <c r="F146" s="71"/>
      <c r="G146" s="31"/>
      <c r="H146" s="37" t="s">
        <v>70</v>
      </c>
    </row>
    <row r="147" s="44" customFormat="1" ht="16.25" spans="1:8">
      <c r="A147" s="31"/>
      <c r="B147" s="31">
        <v>202</v>
      </c>
      <c r="C147" s="110">
        <v>150802</v>
      </c>
      <c r="D147" s="23" t="s">
        <v>227</v>
      </c>
      <c r="E147" s="12" t="s">
        <v>238</v>
      </c>
      <c r="F147" s="71"/>
      <c r="G147" s="31"/>
      <c r="H147" s="37" t="s">
        <v>74</v>
      </c>
    </row>
    <row r="148" s="44" customFormat="1" ht="16.25" spans="1:8">
      <c r="A148" s="31"/>
      <c r="B148" s="31">
        <v>202</v>
      </c>
      <c r="C148" s="110">
        <v>150902</v>
      </c>
      <c r="D148" s="23" t="s">
        <v>227</v>
      </c>
      <c r="E148" s="12" t="s">
        <v>238</v>
      </c>
      <c r="F148" s="71"/>
      <c r="G148" s="31"/>
      <c r="H148" s="37" t="s">
        <v>78</v>
      </c>
    </row>
    <row r="149" s="44" customFormat="1" ht="16.25" spans="1:8">
      <c r="A149" s="31"/>
      <c r="B149" s="31">
        <v>202</v>
      </c>
      <c r="C149" s="110">
        <v>160102</v>
      </c>
      <c r="D149" s="23" t="s">
        <v>227</v>
      </c>
      <c r="E149" s="12" t="s">
        <v>239</v>
      </c>
      <c r="F149" s="71"/>
      <c r="G149" s="31"/>
      <c r="H149" s="37" t="s">
        <v>82</v>
      </c>
    </row>
    <row r="150" s="44" customFormat="1" ht="16.25" spans="1:8">
      <c r="A150" s="31"/>
      <c r="B150" s="31">
        <v>202</v>
      </c>
      <c r="C150" s="110">
        <v>160202</v>
      </c>
      <c r="D150" s="23" t="s">
        <v>227</v>
      </c>
      <c r="E150" s="12" t="s">
        <v>239</v>
      </c>
      <c r="F150" s="71"/>
      <c r="G150" s="31"/>
      <c r="H150" s="37" t="s">
        <v>86</v>
      </c>
    </row>
    <row r="151" s="44" customFormat="1" ht="16.25" spans="1:8">
      <c r="A151" s="31"/>
      <c r="B151" s="31">
        <v>202</v>
      </c>
      <c r="C151" s="110">
        <v>160302</v>
      </c>
      <c r="D151" s="23" t="s">
        <v>227</v>
      </c>
      <c r="E151" s="12" t="s">
        <v>239</v>
      </c>
      <c r="F151" s="71"/>
      <c r="G151" s="31"/>
      <c r="H151" s="37" t="s">
        <v>90</v>
      </c>
    </row>
    <row r="152" s="44" customFormat="1" ht="16.25" spans="1:8">
      <c r="A152" s="31"/>
      <c r="B152" s="31">
        <v>202</v>
      </c>
      <c r="C152" s="110">
        <v>160402</v>
      </c>
      <c r="D152" s="23" t="s">
        <v>227</v>
      </c>
      <c r="E152" s="12" t="s">
        <v>239</v>
      </c>
      <c r="F152" s="71"/>
      <c r="G152" s="31"/>
      <c r="H152" s="37" t="s">
        <v>94</v>
      </c>
    </row>
    <row r="153" s="44" customFormat="1" ht="16.25" spans="1:8">
      <c r="A153" s="31"/>
      <c r="B153" s="31">
        <v>202</v>
      </c>
      <c r="C153" s="110">
        <v>160502</v>
      </c>
      <c r="D153" s="23" t="s">
        <v>227</v>
      </c>
      <c r="E153" s="12" t="s">
        <v>239</v>
      </c>
      <c r="F153" s="71"/>
      <c r="G153" s="31"/>
      <c r="H153" s="37" t="s">
        <v>98</v>
      </c>
    </row>
    <row r="154" s="44" customFormat="1" ht="16.25" spans="1:8">
      <c r="A154" s="31"/>
      <c r="B154" s="31">
        <v>202</v>
      </c>
      <c r="C154" s="110">
        <v>160602</v>
      </c>
      <c r="D154" s="23" t="s">
        <v>227</v>
      </c>
      <c r="E154" s="12" t="s">
        <v>239</v>
      </c>
      <c r="F154" s="71"/>
      <c r="G154" s="31"/>
      <c r="H154" s="37" t="s">
        <v>102</v>
      </c>
    </row>
    <row r="155" s="44" customFormat="1" ht="16.25" spans="1:8">
      <c r="A155" s="31"/>
      <c r="B155" s="31">
        <v>202</v>
      </c>
      <c r="C155" s="110">
        <v>160702</v>
      </c>
      <c r="D155" s="23" t="s">
        <v>227</v>
      </c>
      <c r="E155" s="12" t="s">
        <v>239</v>
      </c>
      <c r="F155" s="71"/>
      <c r="G155" s="31"/>
      <c r="H155" s="37" t="s">
        <v>106</v>
      </c>
    </row>
    <row r="156" s="44" customFormat="1" ht="16.25" spans="1:8">
      <c r="A156" s="31"/>
      <c r="B156" s="31">
        <v>202</v>
      </c>
      <c r="C156" s="110">
        <v>160802</v>
      </c>
      <c r="D156" s="23" t="s">
        <v>227</v>
      </c>
      <c r="E156" s="12" t="s">
        <v>239</v>
      </c>
      <c r="F156" s="71"/>
      <c r="G156" s="31"/>
      <c r="H156" s="37" t="s">
        <v>110</v>
      </c>
    </row>
    <row r="157" s="44" customFormat="1" ht="16.25" spans="1:8">
      <c r="A157" s="31"/>
      <c r="B157" s="31">
        <v>202</v>
      </c>
      <c r="C157" s="110">
        <v>160902</v>
      </c>
      <c r="D157" s="23" t="s">
        <v>227</v>
      </c>
      <c r="E157" s="12" t="s">
        <v>239</v>
      </c>
      <c r="F157" s="71"/>
      <c r="G157" s="31"/>
      <c r="H157" s="37" t="s">
        <v>114</v>
      </c>
    </row>
    <row r="158" s="44" customFormat="1" ht="16.25" spans="1:8">
      <c r="A158" s="31"/>
      <c r="B158" s="31">
        <v>203</v>
      </c>
      <c r="C158" s="110">
        <v>150102</v>
      </c>
      <c r="D158" s="12">
        <v>6</v>
      </c>
      <c r="E158" s="12">
        <v>0.015</v>
      </c>
      <c r="F158" s="71"/>
      <c r="G158" s="31"/>
      <c r="H158" s="37" t="s">
        <v>46</v>
      </c>
    </row>
    <row r="159" s="44" customFormat="1" ht="16.25" spans="1:8">
      <c r="A159" s="31"/>
      <c r="B159" s="31">
        <v>203</v>
      </c>
      <c r="C159" s="110">
        <v>150202</v>
      </c>
      <c r="D159" s="12" t="s">
        <v>240</v>
      </c>
      <c r="E159" s="12" t="s">
        <v>241</v>
      </c>
      <c r="F159" s="71"/>
      <c r="G159" s="31"/>
      <c r="H159" s="37" t="s">
        <v>50</v>
      </c>
    </row>
    <row r="160" s="44" customFormat="1" ht="16.25" spans="1:8">
      <c r="A160" s="31"/>
      <c r="B160" s="31">
        <v>203</v>
      </c>
      <c r="C160" s="110">
        <v>150302</v>
      </c>
      <c r="D160" s="12">
        <v>7</v>
      </c>
      <c r="E160" s="12">
        <v>0.0038</v>
      </c>
      <c r="F160" s="71"/>
      <c r="G160" s="31"/>
      <c r="H160" s="37" t="s">
        <v>54</v>
      </c>
    </row>
    <row r="161" s="44" customFormat="1" ht="16.25" spans="1:8">
      <c r="A161" s="31"/>
      <c r="B161" s="31">
        <v>203</v>
      </c>
      <c r="C161" s="110">
        <v>150402</v>
      </c>
      <c r="D161" s="12">
        <v>7</v>
      </c>
      <c r="E161" s="12">
        <v>0.0038</v>
      </c>
      <c r="F161" s="71"/>
      <c r="G161" s="31"/>
      <c r="H161" s="37" t="s">
        <v>58</v>
      </c>
    </row>
    <row r="162" s="44" customFormat="1" ht="16.25" spans="1:8">
      <c r="A162" s="31"/>
      <c r="B162" s="31">
        <v>203</v>
      </c>
      <c r="C162" s="110">
        <v>150502</v>
      </c>
      <c r="D162" s="12">
        <v>11</v>
      </c>
      <c r="E162" s="40">
        <v>0.0049</v>
      </c>
      <c r="F162" s="69"/>
      <c r="G162" s="31"/>
      <c r="H162" s="37" t="s">
        <v>62</v>
      </c>
    </row>
    <row r="163" s="44" customFormat="1" ht="16.25" spans="1:8">
      <c r="A163" s="31"/>
      <c r="B163" s="31">
        <v>203</v>
      </c>
      <c r="C163" s="110">
        <v>150602</v>
      </c>
      <c r="D163" s="12">
        <v>11</v>
      </c>
      <c r="E163" s="40">
        <v>0.0025</v>
      </c>
      <c r="F163" s="69"/>
      <c r="G163" s="31"/>
      <c r="H163" s="37" t="s">
        <v>66</v>
      </c>
    </row>
    <row r="164" s="44" customFormat="1" ht="16.25" spans="1:8">
      <c r="A164" s="31"/>
      <c r="B164" s="31">
        <v>203</v>
      </c>
      <c r="C164" s="110">
        <v>150702</v>
      </c>
      <c r="D164" s="12">
        <v>11</v>
      </c>
      <c r="E164" s="40">
        <v>0.0025</v>
      </c>
      <c r="F164" s="69"/>
      <c r="G164" s="31"/>
      <c r="H164" s="37" t="s">
        <v>70</v>
      </c>
    </row>
    <row r="165" s="44" customFormat="1" ht="16.25" spans="1:8">
      <c r="A165" s="31"/>
      <c r="B165" s="31">
        <v>203</v>
      </c>
      <c r="C165" s="110">
        <v>150802</v>
      </c>
      <c r="D165" s="12" t="s">
        <v>242</v>
      </c>
      <c r="E165" s="40" t="s">
        <v>243</v>
      </c>
      <c r="F165" s="69"/>
      <c r="G165" s="31"/>
      <c r="H165" s="37" t="s">
        <v>74</v>
      </c>
    </row>
    <row r="166" s="44" customFormat="1" ht="16.25" spans="1:8">
      <c r="A166" s="31"/>
      <c r="B166" s="31">
        <v>203</v>
      </c>
      <c r="C166" s="110">
        <v>150902</v>
      </c>
      <c r="D166" s="12" t="s">
        <v>244</v>
      </c>
      <c r="E166" s="40" t="s">
        <v>245</v>
      </c>
      <c r="F166" s="69"/>
      <c r="G166" s="31"/>
      <c r="H166" s="37" t="s">
        <v>78</v>
      </c>
    </row>
    <row r="167" s="44" customFormat="1" ht="16.25" spans="1:8">
      <c r="A167" s="31"/>
      <c r="B167" s="31">
        <v>203</v>
      </c>
      <c r="C167" s="110">
        <v>160102</v>
      </c>
      <c r="D167" s="21">
        <v>6</v>
      </c>
      <c r="E167" s="40">
        <v>0.025</v>
      </c>
      <c r="F167" s="69"/>
      <c r="G167" s="31"/>
      <c r="H167" s="37" t="s">
        <v>82</v>
      </c>
    </row>
    <row r="168" s="44" customFormat="1" ht="16.25" spans="1:8">
      <c r="A168" s="31"/>
      <c r="B168" s="31">
        <v>203</v>
      </c>
      <c r="C168" s="110">
        <v>160202</v>
      </c>
      <c r="D168" s="21" t="s">
        <v>240</v>
      </c>
      <c r="E168" s="40" t="s">
        <v>246</v>
      </c>
      <c r="F168" s="69"/>
      <c r="G168" s="31"/>
      <c r="H168" s="37" t="s">
        <v>86</v>
      </c>
    </row>
    <row r="169" s="44" customFormat="1" ht="16.25" spans="1:8">
      <c r="A169" s="31"/>
      <c r="B169" s="31">
        <v>203</v>
      </c>
      <c r="C169" s="110">
        <v>160302</v>
      </c>
      <c r="D169" s="21">
        <v>7</v>
      </c>
      <c r="E169" s="40">
        <v>0.0062</v>
      </c>
      <c r="F169" s="69"/>
      <c r="G169" s="31"/>
      <c r="H169" s="37" t="s">
        <v>90</v>
      </c>
    </row>
    <row r="170" s="44" customFormat="1" ht="16.25" spans="1:8">
      <c r="A170" s="31"/>
      <c r="B170" s="31">
        <v>203</v>
      </c>
      <c r="C170" s="110">
        <v>160402</v>
      </c>
      <c r="D170" s="21">
        <v>7</v>
      </c>
      <c r="E170" s="40">
        <v>0.0062</v>
      </c>
      <c r="F170" s="69"/>
      <c r="G170" s="31"/>
      <c r="H170" s="37" t="s">
        <v>94</v>
      </c>
    </row>
    <row r="171" s="44" customFormat="1" ht="16.25" spans="1:8">
      <c r="A171" s="31"/>
      <c r="B171" s="31">
        <v>203</v>
      </c>
      <c r="C171" s="110">
        <v>160502</v>
      </c>
      <c r="D171" s="21">
        <v>11</v>
      </c>
      <c r="E171" s="40">
        <v>0.0082</v>
      </c>
      <c r="F171" s="69"/>
      <c r="G171" s="31"/>
      <c r="H171" s="37" t="s">
        <v>98</v>
      </c>
    </row>
    <row r="172" s="44" customFormat="1" ht="16.25" spans="1:8">
      <c r="A172" s="31"/>
      <c r="B172" s="31">
        <v>203</v>
      </c>
      <c r="C172" s="110">
        <v>160602</v>
      </c>
      <c r="D172" s="21">
        <v>11</v>
      </c>
      <c r="E172" s="40">
        <v>0.0041</v>
      </c>
      <c r="F172" s="69"/>
      <c r="G172" s="31"/>
      <c r="H172" s="37" t="s">
        <v>102</v>
      </c>
    </row>
    <row r="173" s="44" customFormat="1" ht="16.25" spans="1:8">
      <c r="A173" s="31"/>
      <c r="B173" s="31">
        <v>203</v>
      </c>
      <c r="C173" s="110">
        <v>160702</v>
      </c>
      <c r="D173" s="21">
        <v>11</v>
      </c>
      <c r="E173" s="40">
        <v>0.0041</v>
      </c>
      <c r="F173" s="69"/>
      <c r="G173" s="31"/>
      <c r="H173" s="37" t="s">
        <v>106</v>
      </c>
    </row>
    <row r="174" s="44" customFormat="1" ht="16.25" spans="1:8">
      <c r="A174" s="31"/>
      <c r="B174" s="31">
        <v>203</v>
      </c>
      <c r="C174" s="110">
        <v>160802</v>
      </c>
      <c r="D174" s="21" t="s">
        <v>242</v>
      </c>
      <c r="E174" s="40" t="s">
        <v>247</v>
      </c>
      <c r="F174" s="69"/>
      <c r="G174" s="31"/>
      <c r="H174" s="37" t="s">
        <v>110</v>
      </c>
    </row>
    <row r="175" s="44" customFormat="1" ht="16.25" spans="1:8">
      <c r="A175" s="31"/>
      <c r="B175" s="31">
        <v>203</v>
      </c>
      <c r="C175" s="110">
        <v>160902</v>
      </c>
      <c r="D175" s="21" t="s">
        <v>244</v>
      </c>
      <c r="E175" s="40" t="s">
        <v>248</v>
      </c>
      <c r="F175" s="69"/>
      <c r="G175" s="31"/>
      <c r="H175" s="37" t="s">
        <v>114</v>
      </c>
    </row>
    <row r="176" s="44" customFormat="1" ht="16.25" spans="1:8">
      <c r="A176" s="31"/>
      <c r="B176" s="39">
        <v>204</v>
      </c>
      <c r="C176" s="110">
        <v>150102</v>
      </c>
      <c r="D176" s="23">
        <v>6</v>
      </c>
      <c r="E176" s="40">
        <v>0.0286</v>
      </c>
      <c r="F176" s="69"/>
      <c r="G176" s="31"/>
      <c r="H176" s="38" t="s">
        <v>46</v>
      </c>
    </row>
    <row r="177" s="44" customFormat="1" ht="16.25" spans="1:8">
      <c r="A177" s="31"/>
      <c r="B177" s="39">
        <v>204</v>
      </c>
      <c r="C177" s="110">
        <v>150102</v>
      </c>
      <c r="D177" s="23">
        <v>4</v>
      </c>
      <c r="E177" s="40">
        <v>11.656</v>
      </c>
      <c r="F177" s="69"/>
      <c r="G177" s="31"/>
      <c r="H177" s="38"/>
    </row>
    <row r="178" s="44" customFormat="1" ht="16.25" spans="1:8">
      <c r="A178" s="31"/>
      <c r="B178" s="39">
        <v>204</v>
      </c>
      <c r="C178" s="110">
        <v>150202</v>
      </c>
      <c r="D178" s="23">
        <v>6</v>
      </c>
      <c r="E178" s="40">
        <v>0.0072</v>
      </c>
      <c r="F178" s="69"/>
      <c r="G178" s="31"/>
      <c r="H178" s="38" t="s">
        <v>50</v>
      </c>
    </row>
    <row r="179" s="44" customFormat="1" ht="16.25" spans="1:8">
      <c r="A179" s="31"/>
      <c r="B179" s="39">
        <v>204</v>
      </c>
      <c r="C179" s="110">
        <v>150202</v>
      </c>
      <c r="D179" s="23">
        <v>4</v>
      </c>
      <c r="E179" s="40">
        <v>11.656</v>
      </c>
      <c r="F179" s="69"/>
      <c r="G179" s="31"/>
      <c r="H179" s="38"/>
    </row>
    <row r="180" s="44" customFormat="1" ht="16.25" spans="1:8">
      <c r="A180" s="31"/>
      <c r="B180" s="39">
        <v>204</v>
      </c>
      <c r="C180" s="110">
        <v>150202</v>
      </c>
      <c r="D180" s="23">
        <v>35</v>
      </c>
      <c r="E180" s="40">
        <v>0.0246</v>
      </c>
      <c r="F180" s="69"/>
      <c r="G180" s="31"/>
      <c r="H180" s="38"/>
    </row>
    <row r="181" s="44" customFormat="1" ht="16.25" spans="1:8">
      <c r="A181" s="31"/>
      <c r="B181" s="39">
        <v>204</v>
      </c>
      <c r="C181" s="110">
        <v>150302</v>
      </c>
      <c r="D181" s="23">
        <v>6</v>
      </c>
      <c r="E181" s="40">
        <v>0.0072</v>
      </c>
      <c r="F181" s="69"/>
      <c r="G181" s="31"/>
      <c r="H181" s="38" t="s">
        <v>54</v>
      </c>
    </row>
    <row r="182" s="44" customFormat="1" ht="16.25" spans="1:8">
      <c r="A182" s="31"/>
      <c r="B182" s="39">
        <v>204</v>
      </c>
      <c r="C182" s="110">
        <v>150302</v>
      </c>
      <c r="D182" s="23">
        <v>4</v>
      </c>
      <c r="E182" s="40">
        <v>11.656</v>
      </c>
      <c r="F182" s="69"/>
      <c r="G182" s="31"/>
      <c r="H182" s="38"/>
    </row>
    <row r="183" s="44" customFormat="1" ht="16.25" spans="1:8">
      <c r="A183" s="31"/>
      <c r="B183" s="39">
        <v>204</v>
      </c>
      <c r="C183" s="110">
        <v>150402</v>
      </c>
      <c r="D183" s="23">
        <v>6</v>
      </c>
      <c r="E183" s="40">
        <v>0.0218</v>
      </c>
      <c r="F183" s="69"/>
      <c r="G183" s="31"/>
      <c r="H183" s="38" t="s">
        <v>58</v>
      </c>
    </row>
    <row r="184" s="44" customFormat="1" ht="16.25" spans="1:8">
      <c r="A184" s="31"/>
      <c r="B184" s="39">
        <v>204</v>
      </c>
      <c r="C184" s="110">
        <v>150402</v>
      </c>
      <c r="D184" s="23">
        <v>4</v>
      </c>
      <c r="E184" s="40">
        <v>11.656</v>
      </c>
      <c r="F184" s="69"/>
      <c r="G184" s="31"/>
      <c r="H184" s="38"/>
    </row>
    <row r="185" s="44" customFormat="1" ht="16.25" spans="1:8">
      <c r="A185" s="31"/>
      <c r="B185" s="39">
        <v>204</v>
      </c>
      <c r="C185" s="110">
        <v>150502</v>
      </c>
      <c r="D185" s="23">
        <v>11</v>
      </c>
      <c r="E185" s="40">
        <v>0.0094</v>
      </c>
      <c r="F185" s="69"/>
      <c r="G185" s="31"/>
      <c r="H185" s="38" t="s">
        <v>62</v>
      </c>
    </row>
    <row r="186" s="44" customFormat="1" ht="16.25" spans="1:8">
      <c r="A186" s="31"/>
      <c r="B186" s="39">
        <v>204</v>
      </c>
      <c r="C186" s="110">
        <v>150502</v>
      </c>
      <c r="D186" s="23">
        <v>4</v>
      </c>
      <c r="E186" s="40">
        <v>11.656</v>
      </c>
      <c r="F186" s="69"/>
      <c r="G186" s="31"/>
      <c r="H186" s="38"/>
    </row>
    <row r="187" s="44" customFormat="1" ht="16.25" spans="1:8">
      <c r="A187" s="31"/>
      <c r="B187" s="39">
        <v>204</v>
      </c>
      <c r="C187" s="110">
        <v>150602</v>
      </c>
      <c r="D187" s="23">
        <v>11</v>
      </c>
      <c r="E187" s="40">
        <v>0.0046</v>
      </c>
      <c r="F187" s="69"/>
      <c r="G187" s="31"/>
      <c r="H187" s="38" t="s">
        <v>66</v>
      </c>
    </row>
    <row r="188" s="44" customFormat="1" ht="16.25" spans="1:8">
      <c r="A188" s="31"/>
      <c r="B188" s="39">
        <v>204</v>
      </c>
      <c r="C188" s="110">
        <v>150602</v>
      </c>
      <c r="D188" s="23">
        <v>4</v>
      </c>
      <c r="E188" s="40">
        <v>11.656</v>
      </c>
      <c r="F188" s="69"/>
      <c r="G188" s="31"/>
      <c r="H188" s="38"/>
    </row>
    <row r="189" s="44" customFormat="1" ht="16.25" spans="1:8">
      <c r="A189" s="31"/>
      <c r="B189" s="39">
        <v>204</v>
      </c>
      <c r="C189" s="110">
        <v>150702</v>
      </c>
      <c r="D189" s="23">
        <v>11</v>
      </c>
      <c r="E189" s="40">
        <v>0.0046</v>
      </c>
      <c r="F189" s="69"/>
      <c r="G189" s="31"/>
      <c r="H189" s="38" t="s">
        <v>70</v>
      </c>
    </row>
    <row r="190" s="44" customFormat="1" ht="16.25" spans="1:8">
      <c r="A190" s="31"/>
      <c r="B190" s="39">
        <v>204</v>
      </c>
      <c r="C190" s="110">
        <v>150702</v>
      </c>
      <c r="D190" s="23">
        <v>4</v>
      </c>
      <c r="E190" s="40">
        <v>11.656</v>
      </c>
      <c r="F190" s="69"/>
      <c r="G190" s="31"/>
      <c r="H190" s="38"/>
    </row>
    <row r="191" s="44" customFormat="1" ht="16.25" spans="1:8">
      <c r="A191" s="31"/>
      <c r="B191" s="39">
        <v>204</v>
      </c>
      <c r="C191" s="110">
        <v>150802</v>
      </c>
      <c r="D191" s="23">
        <v>7</v>
      </c>
      <c r="E191" s="40">
        <v>0.0066</v>
      </c>
      <c r="F191" s="69"/>
      <c r="G191" s="31"/>
      <c r="H191" s="38" t="s">
        <v>74</v>
      </c>
    </row>
    <row r="192" s="44" customFormat="1" ht="16.25" spans="1:8">
      <c r="A192" s="31"/>
      <c r="B192" s="39">
        <v>204</v>
      </c>
      <c r="C192" s="110">
        <v>150802</v>
      </c>
      <c r="D192" s="23">
        <v>4</v>
      </c>
      <c r="E192" s="40">
        <v>5.832</v>
      </c>
      <c r="F192" s="69"/>
      <c r="G192" s="31"/>
      <c r="H192" s="38"/>
    </row>
    <row r="193" s="44" customFormat="1" ht="16.25" spans="1:8">
      <c r="A193" s="31"/>
      <c r="B193" s="39">
        <v>204</v>
      </c>
      <c r="C193" s="110">
        <v>150802</v>
      </c>
      <c r="D193" s="23">
        <v>10</v>
      </c>
      <c r="E193" s="40">
        <v>0.0046</v>
      </c>
      <c r="F193" s="69"/>
      <c r="G193" s="31"/>
      <c r="H193" s="38"/>
    </row>
    <row r="194" s="44" customFormat="1" ht="16.25" spans="1:8">
      <c r="A194" s="31"/>
      <c r="B194" s="39">
        <v>204</v>
      </c>
      <c r="C194" s="110">
        <v>150802</v>
      </c>
      <c r="D194" s="23">
        <v>26</v>
      </c>
      <c r="E194" s="40">
        <v>0.0098</v>
      </c>
      <c r="F194" s="69"/>
      <c r="G194" s="31"/>
      <c r="H194" s="38"/>
    </row>
    <row r="195" s="44" customFormat="1" ht="16.25" spans="1:8">
      <c r="A195" s="31"/>
      <c r="B195" s="39">
        <v>204</v>
      </c>
      <c r="C195" s="110">
        <v>150902</v>
      </c>
      <c r="D195" s="23">
        <v>8</v>
      </c>
      <c r="E195" s="40">
        <v>0.0066</v>
      </c>
      <c r="F195" s="69"/>
      <c r="G195" s="31"/>
      <c r="H195" s="38" t="s">
        <v>78</v>
      </c>
    </row>
    <row r="196" s="44" customFormat="1" ht="16.25" spans="1:8">
      <c r="A196" s="31"/>
      <c r="B196" s="39">
        <v>204</v>
      </c>
      <c r="C196" s="110">
        <v>150902</v>
      </c>
      <c r="D196" s="23">
        <v>10</v>
      </c>
      <c r="E196" s="40">
        <v>0.0046</v>
      </c>
      <c r="F196" s="69"/>
      <c r="G196" s="31"/>
      <c r="H196" s="38"/>
    </row>
    <row r="197" s="44" customFormat="1" ht="16.25" spans="1:8">
      <c r="A197" s="31"/>
      <c r="B197" s="39">
        <v>204</v>
      </c>
      <c r="C197" s="110">
        <v>150902</v>
      </c>
      <c r="D197" s="23">
        <v>4</v>
      </c>
      <c r="E197" s="40">
        <v>5.832</v>
      </c>
      <c r="F197" s="69"/>
      <c r="G197" s="31"/>
      <c r="H197" s="38"/>
    </row>
    <row r="198" s="44" customFormat="1" ht="16.25" spans="1:8">
      <c r="A198" s="31"/>
      <c r="B198" s="39">
        <v>204</v>
      </c>
      <c r="C198" s="110">
        <v>160102</v>
      </c>
      <c r="D198" s="23">
        <v>6</v>
      </c>
      <c r="E198" s="40">
        <v>0.0478</v>
      </c>
      <c r="F198" s="69"/>
      <c r="G198" s="31"/>
      <c r="H198" s="37" t="s">
        <v>82</v>
      </c>
    </row>
    <row r="199" s="44" customFormat="1" ht="16.25" spans="1:8">
      <c r="A199" s="31"/>
      <c r="B199" s="39">
        <v>204</v>
      </c>
      <c r="C199" s="110">
        <v>160102</v>
      </c>
      <c r="D199" s="23">
        <v>4</v>
      </c>
      <c r="E199" s="40">
        <v>19.432</v>
      </c>
      <c r="F199" s="69"/>
      <c r="G199" s="31"/>
      <c r="H199" s="37"/>
    </row>
    <row r="200" s="44" customFormat="1" ht="16.25" spans="1:8">
      <c r="A200" s="31"/>
      <c r="B200" s="39">
        <v>204</v>
      </c>
      <c r="C200" s="110">
        <v>160202</v>
      </c>
      <c r="D200" s="23">
        <v>6</v>
      </c>
      <c r="E200" s="40">
        <v>0.0119</v>
      </c>
      <c r="F200" s="69"/>
      <c r="G200" s="31"/>
      <c r="H200" s="37" t="s">
        <v>86</v>
      </c>
    </row>
    <row r="201" s="44" customFormat="1" ht="16.25" spans="1:8">
      <c r="A201" s="31"/>
      <c r="B201" s="39">
        <v>204</v>
      </c>
      <c r="C201" s="110">
        <v>160202</v>
      </c>
      <c r="D201" s="23">
        <v>4</v>
      </c>
      <c r="E201" s="40">
        <v>19.432</v>
      </c>
      <c r="F201" s="69"/>
      <c r="G201" s="31"/>
      <c r="H201" s="37"/>
    </row>
    <row r="202" s="44" customFormat="1" ht="16.25" spans="1:8">
      <c r="A202" s="31"/>
      <c r="B202" s="39">
        <v>204</v>
      </c>
      <c r="C202" s="110">
        <v>160202</v>
      </c>
      <c r="D202" s="23">
        <v>35</v>
      </c>
      <c r="E202" s="40">
        <v>0.041</v>
      </c>
      <c r="F202" s="69"/>
      <c r="G202" s="31"/>
      <c r="H202" s="37"/>
    </row>
    <row r="203" s="44" customFormat="1" ht="16.25" spans="1:8">
      <c r="A203" s="31"/>
      <c r="B203" s="39">
        <v>204</v>
      </c>
      <c r="C203" s="110">
        <v>160302</v>
      </c>
      <c r="D203" s="23">
        <v>6</v>
      </c>
      <c r="E203" s="40">
        <v>0.0119</v>
      </c>
      <c r="F203" s="69"/>
      <c r="G203" s="31"/>
      <c r="H203" s="37" t="s">
        <v>90</v>
      </c>
    </row>
    <row r="204" s="44" customFormat="1" ht="16.25" spans="1:8">
      <c r="A204" s="31"/>
      <c r="B204" s="39">
        <v>204</v>
      </c>
      <c r="C204" s="110">
        <v>160302</v>
      </c>
      <c r="D204" s="23">
        <v>4</v>
      </c>
      <c r="E204" s="40">
        <v>19.432</v>
      </c>
      <c r="F204" s="69"/>
      <c r="G204" s="31"/>
      <c r="H204" s="37"/>
    </row>
    <row r="205" s="44" customFormat="1" ht="16.25" spans="1:8">
      <c r="A205" s="31"/>
      <c r="B205" s="39">
        <v>204</v>
      </c>
      <c r="C205" s="110">
        <v>160402</v>
      </c>
      <c r="D205" s="23">
        <v>6</v>
      </c>
      <c r="E205" s="40">
        <v>0.0119</v>
      </c>
      <c r="F205" s="69"/>
      <c r="G205" s="31"/>
      <c r="H205" s="37" t="s">
        <v>94</v>
      </c>
    </row>
    <row r="206" s="44" customFormat="1" ht="16.25" spans="1:8">
      <c r="A206" s="31"/>
      <c r="B206" s="39">
        <v>204</v>
      </c>
      <c r="C206" s="110">
        <v>160402</v>
      </c>
      <c r="D206" s="23">
        <v>4</v>
      </c>
      <c r="E206" s="23">
        <v>19.432</v>
      </c>
      <c r="F206" s="68"/>
      <c r="G206" s="31"/>
      <c r="H206" s="37"/>
    </row>
    <row r="207" s="44" customFormat="1" ht="16.25" spans="1:8">
      <c r="A207" s="31"/>
      <c r="B207" s="39">
        <v>204</v>
      </c>
      <c r="C207" s="110">
        <v>160502</v>
      </c>
      <c r="D207" s="23">
        <v>11</v>
      </c>
      <c r="E207" s="23">
        <v>0.0155</v>
      </c>
      <c r="F207" s="68"/>
      <c r="G207" s="31"/>
      <c r="H207" s="37" t="s">
        <v>98</v>
      </c>
    </row>
    <row r="208" s="44" customFormat="1" ht="16.25" spans="1:8">
      <c r="A208" s="31"/>
      <c r="B208" s="39">
        <v>204</v>
      </c>
      <c r="C208" s="110">
        <v>160502</v>
      </c>
      <c r="D208" s="23">
        <v>4</v>
      </c>
      <c r="E208" s="23">
        <v>19.432</v>
      </c>
      <c r="F208" s="68"/>
      <c r="G208" s="31"/>
      <c r="H208" s="37"/>
    </row>
    <row r="209" s="44" customFormat="1" ht="16.25" spans="1:8">
      <c r="A209" s="31"/>
      <c r="B209" s="39">
        <v>204</v>
      </c>
      <c r="C209" s="110">
        <v>160602</v>
      </c>
      <c r="D209" s="23">
        <v>11</v>
      </c>
      <c r="E209" s="23">
        <v>0.0078</v>
      </c>
      <c r="F209" s="68"/>
      <c r="G209" s="31"/>
      <c r="H209" s="37" t="s">
        <v>102</v>
      </c>
    </row>
    <row r="210" s="44" customFormat="1" ht="16.25" spans="1:8">
      <c r="A210" s="31"/>
      <c r="B210" s="39">
        <v>204</v>
      </c>
      <c r="C210" s="110">
        <v>160602</v>
      </c>
      <c r="D210" s="23">
        <v>4</v>
      </c>
      <c r="E210" s="23">
        <v>19.432</v>
      </c>
      <c r="F210" s="68"/>
      <c r="G210" s="31"/>
      <c r="H210" s="37"/>
    </row>
    <row r="211" s="44" customFormat="1" ht="16.25" spans="1:8">
      <c r="A211" s="31"/>
      <c r="B211" s="39">
        <v>204</v>
      </c>
      <c r="C211" s="110">
        <v>160702</v>
      </c>
      <c r="D211" s="23">
        <v>11</v>
      </c>
      <c r="E211" s="23">
        <v>0.0078</v>
      </c>
      <c r="F211" s="68"/>
      <c r="G211" s="31"/>
      <c r="H211" s="37" t="s">
        <v>106</v>
      </c>
    </row>
    <row r="212" s="44" customFormat="1" ht="16.25" spans="1:8">
      <c r="A212" s="31"/>
      <c r="B212" s="39">
        <v>204</v>
      </c>
      <c r="C212" s="110">
        <v>160702</v>
      </c>
      <c r="D212" s="23">
        <v>4</v>
      </c>
      <c r="E212" s="23">
        <v>19.432</v>
      </c>
      <c r="F212" s="68"/>
      <c r="G212" s="31"/>
      <c r="H212" s="37"/>
    </row>
    <row r="213" s="44" customFormat="1" ht="16.25" spans="1:8">
      <c r="A213" s="31"/>
      <c r="B213" s="39">
        <v>204</v>
      </c>
      <c r="C213" s="110">
        <v>160802</v>
      </c>
      <c r="D213" s="23">
        <v>7</v>
      </c>
      <c r="E213" s="23">
        <v>0.0109</v>
      </c>
      <c r="F213" s="68"/>
      <c r="G213" s="31"/>
      <c r="H213" s="37" t="s">
        <v>110</v>
      </c>
    </row>
    <row r="214" s="44" customFormat="1" ht="16.25" spans="1:8">
      <c r="A214" s="31"/>
      <c r="B214" s="39">
        <v>204</v>
      </c>
      <c r="C214" s="110">
        <v>160802</v>
      </c>
      <c r="D214" s="23">
        <v>4</v>
      </c>
      <c r="E214" s="23">
        <v>9.712</v>
      </c>
      <c r="F214" s="68"/>
      <c r="G214" s="31"/>
      <c r="H214" s="37"/>
    </row>
    <row r="215" s="44" customFormat="1" ht="16.25" spans="1:8">
      <c r="A215" s="31"/>
      <c r="B215" s="39">
        <v>204</v>
      </c>
      <c r="C215" s="110">
        <v>160802</v>
      </c>
      <c r="D215" s="23">
        <v>10</v>
      </c>
      <c r="E215" s="23">
        <v>0.0078</v>
      </c>
      <c r="F215" s="68"/>
      <c r="G215" s="31"/>
      <c r="H215" s="37"/>
    </row>
    <row r="216" s="44" customFormat="1" ht="16.25" spans="1:8">
      <c r="A216" s="31"/>
      <c r="B216" s="39">
        <v>204</v>
      </c>
      <c r="C216" s="110">
        <v>160802</v>
      </c>
      <c r="D216" s="23">
        <v>26</v>
      </c>
      <c r="E216" s="23">
        <v>0.0164</v>
      </c>
      <c r="F216" s="68"/>
      <c r="G216" s="31"/>
      <c r="H216" s="37"/>
    </row>
    <row r="217" s="44" customFormat="1" ht="16.25" spans="1:8">
      <c r="A217" s="31"/>
      <c r="B217" s="39">
        <v>204</v>
      </c>
      <c r="C217" s="110">
        <v>160902</v>
      </c>
      <c r="D217" s="23">
        <v>8</v>
      </c>
      <c r="E217" s="23">
        <v>0.011</v>
      </c>
      <c r="F217" s="68"/>
      <c r="G217" s="31"/>
      <c r="H217" s="37" t="s">
        <v>114</v>
      </c>
    </row>
    <row r="218" s="44" customFormat="1" ht="16.25" spans="1:8">
      <c r="A218" s="31"/>
      <c r="B218" s="39">
        <v>204</v>
      </c>
      <c r="C218" s="110">
        <v>160902</v>
      </c>
      <c r="D218" s="23">
        <v>10</v>
      </c>
      <c r="E218" s="23">
        <v>0.0078</v>
      </c>
      <c r="F218" s="68"/>
      <c r="G218" s="31"/>
      <c r="H218" s="37"/>
    </row>
    <row r="219" s="44" customFormat="1" ht="16.25" spans="1:8">
      <c r="A219" s="31"/>
      <c r="B219" s="39">
        <v>204</v>
      </c>
      <c r="C219" s="110">
        <v>160902</v>
      </c>
      <c r="D219" s="23">
        <v>4</v>
      </c>
      <c r="E219" s="23">
        <v>9.712</v>
      </c>
      <c r="F219" s="68"/>
      <c r="G219" s="31"/>
      <c r="H219" s="37"/>
    </row>
    <row r="220" s="44" customFormat="1" ht="16.25" spans="1:8">
      <c r="A220" s="31"/>
      <c r="B220" s="31">
        <v>301</v>
      </c>
      <c r="C220" s="110">
        <v>120003</v>
      </c>
      <c r="D220" s="23" t="s">
        <v>249</v>
      </c>
      <c r="E220" s="23" t="s">
        <v>250</v>
      </c>
      <c r="F220" s="68"/>
      <c r="G220" s="31"/>
      <c r="H220" s="37" t="s">
        <v>27</v>
      </c>
    </row>
    <row r="221" s="44" customFormat="1" ht="16.25" spans="1:8">
      <c r="A221" s="31"/>
      <c r="B221" s="31">
        <v>301</v>
      </c>
      <c r="C221" s="110">
        <v>130003</v>
      </c>
      <c r="D221" s="23" t="s">
        <v>249</v>
      </c>
      <c r="E221" s="23" t="s">
        <v>251</v>
      </c>
      <c r="F221" s="68"/>
      <c r="G221" s="31"/>
      <c r="H221" s="37" t="s">
        <v>31</v>
      </c>
    </row>
    <row r="222" s="44" customFormat="1" ht="16.25" spans="1:8">
      <c r="A222" s="31"/>
      <c r="B222" s="31">
        <v>301</v>
      </c>
      <c r="C222" s="110">
        <v>140003</v>
      </c>
      <c r="D222" s="23" t="s">
        <v>249</v>
      </c>
      <c r="E222" s="23" t="s">
        <v>252</v>
      </c>
      <c r="F222" s="68"/>
      <c r="G222" s="31"/>
      <c r="H222" s="37" t="s">
        <v>35</v>
      </c>
    </row>
    <row r="223" s="44" customFormat="1" ht="16.25" spans="1:8">
      <c r="A223" s="31"/>
      <c r="B223" s="31">
        <v>301</v>
      </c>
      <c r="C223" s="110">
        <v>140103</v>
      </c>
      <c r="D223" s="23" t="s">
        <v>249</v>
      </c>
      <c r="E223" s="23" t="s">
        <v>253</v>
      </c>
      <c r="F223" s="68"/>
      <c r="G223" s="31"/>
      <c r="H223" s="37" t="s">
        <v>39</v>
      </c>
    </row>
    <row r="224" s="44" customFormat="1" ht="16.25" spans="1:8">
      <c r="A224" s="31"/>
      <c r="B224" s="31">
        <v>301</v>
      </c>
      <c r="C224" s="110">
        <v>140203</v>
      </c>
      <c r="D224" s="23" t="s">
        <v>249</v>
      </c>
      <c r="E224" s="23" t="s">
        <v>254</v>
      </c>
      <c r="F224" s="68"/>
      <c r="G224" s="31"/>
      <c r="H224" s="37" t="s">
        <v>43</v>
      </c>
    </row>
    <row r="225" s="44" customFormat="1" ht="16.25" spans="1:8">
      <c r="A225" s="31"/>
      <c r="B225" s="31">
        <v>301</v>
      </c>
      <c r="C225" s="110">
        <v>150103</v>
      </c>
      <c r="D225" s="23" t="s">
        <v>249</v>
      </c>
      <c r="E225" s="23" t="s">
        <v>255</v>
      </c>
      <c r="F225" s="68"/>
      <c r="G225" s="31"/>
      <c r="H225" s="37" t="s">
        <v>47</v>
      </c>
    </row>
    <row r="226" s="44" customFormat="1" ht="16.25" spans="1:8">
      <c r="A226" s="31"/>
      <c r="B226" s="31">
        <v>301</v>
      </c>
      <c r="C226" s="110">
        <v>150203</v>
      </c>
      <c r="D226" s="23" t="s">
        <v>249</v>
      </c>
      <c r="E226" s="23" t="s">
        <v>255</v>
      </c>
      <c r="F226" s="68"/>
      <c r="G226" s="31"/>
      <c r="H226" s="37" t="s">
        <v>51</v>
      </c>
    </row>
    <row r="227" s="44" customFormat="1" ht="16.25" spans="1:8">
      <c r="A227" s="31"/>
      <c r="B227" s="31">
        <v>301</v>
      </c>
      <c r="C227" s="110">
        <v>150303</v>
      </c>
      <c r="D227" s="23" t="s">
        <v>249</v>
      </c>
      <c r="E227" s="23" t="s">
        <v>255</v>
      </c>
      <c r="F227" s="68"/>
      <c r="G227" s="31"/>
      <c r="H227" s="37" t="s">
        <v>55</v>
      </c>
    </row>
    <row r="228" s="44" customFormat="1" ht="16.25" spans="1:8">
      <c r="A228" s="31"/>
      <c r="B228" s="31">
        <v>301</v>
      </c>
      <c r="C228" s="110">
        <v>150403</v>
      </c>
      <c r="D228" s="23" t="s">
        <v>249</v>
      </c>
      <c r="E228" s="23" t="s">
        <v>255</v>
      </c>
      <c r="F228" s="68"/>
      <c r="G228" s="31"/>
      <c r="H228" s="37" t="s">
        <v>59</v>
      </c>
    </row>
    <row r="229" s="44" customFormat="1" ht="16.25" spans="1:8">
      <c r="A229" s="31"/>
      <c r="B229" s="31">
        <v>301</v>
      </c>
      <c r="C229" s="110">
        <v>150503</v>
      </c>
      <c r="D229" s="23" t="s">
        <v>249</v>
      </c>
      <c r="E229" s="23" t="s">
        <v>255</v>
      </c>
      <c r="F229" s="68"/>
      <c r="G229" s="31"/>
      <c r="H229" s="37" t="s">
        <v>63</v>
      </c>
    </row>
    <row r="230" s="44" customFormat="1" ht="16.25" spans="1:8">
      <c r="A230" s="31"/>
      <c r="B230" s="31">
        <v>301</v>
      </c>
      <c r="C230" s="110">
        <v>150603</v>
      </c>
      <c r="D230" s="23" t="s">
        <v>249</v>
      </c>
      <c r="E230" s="23" t="s">
        <v>255</v>
      </c>
      <c r="F230" s="68"/>
      <c r="G230" s="31"/>
      <c r="H230" s="37" t="s">
        <v>67</v>
      </c>
    </row>
    <row r="231" s="44" customFormat="1" ht="16.25" spans="1:8">
      <c r="A231" s="31"/>
      <c r="B231" s="31">
        <v>301</v>
      </c>
      <c r="C231" s="110">
        <v>150703</v>
      </c>
      <c r="D231" s="23" t="s">
        <v>249</v>
      </c>
      <c r="E231" s="23" t="s">
        <v>255</v>
      </c>
      <c r="F231" s="68"/>
      <c r="G231" s="31"/>
      <c r="H231" s="37" t="s">
        <v>71</v>
      </c>
    </row>
    <row r="232" s="44" customFormat="1" ht="16.25" spans="1:8">
      <c r="A232" s="31"/>
      <c r="B232" s="31">
        <v>301</v>
      </c>
      <c r="C232" s="110">
        <v>150803</v>
      </c>
      <c r="D232" s="23" t="s">
        <v>249</v>
      </c>
      <c r="E232" s="23" t="s">
        <v>255</v>
      </c>
      <c r="F232" s="68"/>
      <c r="G232" s="31"/>
      <c r="H232" s="37" t="s">
        <v>75</v>
      </c>
    </row>
    <row r="233" s="44" customFormat="1" ht="16.25" spans="1:8">
      <c r="A233" s="31"/>
      <c r="B233" s="31">
        <v>301</v>
      </c>
      <c r="C233" s="110">
        <v>150903</v>
      </c>
      <c r="D233" s="23" t="s">
        <v>249</v>
      </c>
      <c r="E233" s="23" t="s">
        <v>255</v>
      </c>
      <c r="F233" s="68"/>
      <c r="G233" s="31"/>
      <c r="H233" s="37" t="s">
        <v>79</v>
      </c>
    </row>
    <row r="234" s="44" customFormat="1" ht="16.25" spans="1:8">
      <c r="A234" s="31"/>
      <c r="B234" s="31">
        <v>301</v>
      </c>
      <c r="C234" s="110">
        <v>160103</v>
      </c>
      <c r="D234" s="23" t="s">
        <v>249</v>
      </c>
      <c r="E234" s="23" t="s">
        <v>256</v>
      </c>
      <c r="F234" s="68"/>
      <c r="G234" s="31"/>
      <c r="H234" s="37" t="s">
        <v>83</v>
      </c>
    </row>
    <row r="235" s="44" customFormat="1" ht="16.25" spans="1:8">
      <c r="A235" s="31"/>
      <c r="B235" s="31">
        <v>301</v>
      </c>
      <c r="C235" s="110">
        <v>160203</v>
      </c>
      <c r="D235" s="23" t="s">
        <v>249</v>
      </c>
      <c r="E235" s="23" t="s">
        <v>256</v>
      </c>
      <c r="F235" s="68"/>
      <c r="G235" s="31"/>
      <c r="H235" s="37" t="s">
        <v>87</v>
      </c>
    </row>
    <row r="236" s="44" customFormat="1" ht="16.25" spans="1:8">
      <c r="A236" s="31"/>
      <c r="B236" s="31">
        <v>301</v>
      </c>
      <c r="C236" s="110">
        <v>160303</v>
      </c>
      <c r="D236" s="23" t="s">
        <v>249</v>
      </c>
      <c r="E236" s="23" t="s">
        <v>256</v>
      </c>
      <c r="F236" s="68"/>
      <c r="G236" s="31"/>
      <c r="H236" s="37" t="s">
        <v>91</v>
      </c>
    </row>
    <row r="237" s="44" customFormat="1" ht="16.25" spans="1:8">
      <c r="A237" s="31"/>
      <c r="B237" s="31">
        <v>301</v>
      </c>
      <c r="C237" s="110">
        <v>160403</v>
      </c>
      <c r="D237" s="23" t="s">
        <v>249</v>
      </c>
      <c r="E237" s="23" t="s">
        <v>256</v>
      </c>
      <c r="F237" s="68"/>
      <c r="G237" s="31"/>
      <c r="H237" s="37" t="s">
        <v>95</v>
      </c>
    </row>
    <row r="238" s="44" customFormat="1" ht="16.25" spans="1:8">
      <c r="A238" s="31"/>
      <c r="B238" s="31">
        <v>301</v>
      </c>
      <c r="C238" s="110">
        <v>160503</v>
      </c>
      <c r="D238" s="23" t="s">
        <v>249</v>
      </c>
      <c r="E238" s="23" t="s">
        <v>256</v>
      </c>
      <c r="F238" s="68"/>
      <c r="G238" s="31"/>
      <c r="H238" s="37" t="s">
        <v>99</v>
      </c>
    </row>
    <row r="239" s="44" customFormat="1" ht="16.25" spans="1:8">
      <c r="A239" s="31"/>
      <c r="B239" s="31">
        <v>301</v>
      </c>
      <c r="C239" s="110">
        <v>160603</v>
      </c>
      <c r="D239" s="23" t="s">
        <v>249</v>
      </c>
      <c r="E239" s="23" t="s">
        <v>256</v>
      </c>
      <c r="F239" s="68"/>
      <c r="G239" s="31"/>
      <c r="H239" s="37" t="s">
        <v>103</v>
      </c>
    </row>
    <row r="240" s="44" customFormat="1" ht="16.25" spans="1:8">
      <c r="A240" s="31"/>
      <c r="B240" s="31">
        <v>301</v>
      </c>
      <c r="C240" s="110">
        <v>160703</v>
      </c>
      <c r="D240" s="23" t="s">
        <v>249</v>
      </c>
      <c r="E240" s="23" t="s">
        <v>256</v>
      </c>
      <c r="F240" s="68"/>
      <c r="G240" s="31"/>
      <c r="H240" s="37" t="s">
        <v>107</v>
      </c>
    </row>
    <row r="241" s="44" customFormat="1" ht="16.25" spans="1:8">
      <c r="A241" s="31"/>
      <c r="B241" s="31">
        <v>301</v>
      </c>
      <c r="C241" s="110">
        <v>160803</v>
      </c>
      <c r="D241" s="23" t="s">
        <v>249</v>
      </c>
      <c r="E241" s="23" t="s">
        <v>256</v>
      </c>
      <c r="F241" s="68"/>
      <c r="G241" s="31"/>
      <c r="H241" s="37" t="s">
        <v>111</v>
      </c>
    </row>
    <row r="242" s="44" customFormat="1" ht="16.25" spans="1:8">
      <c r="A242" s="31"/>
      <c r="B242" s="31">
        <v>301</v>
      </c>
      <c r="C242" s="113">
        <v>160903</v>
      </c>
      <c r="D242" s="23" t="s">
        <v>249</v>
      </c>
      <c r="E242" s="40" t="s">
        <v>256</v>
      </c>
      <c r="F242" s="69"/>
      <c r="G242" s="31"/>
      <c r="H242" s="37" t="s">
        <v>115</v>
      </c>
    </row>
    <row r="243" s="44" customFormat="1" ht="16.25" spans="1:8">
      <c r="A243" s="31"/>
      <c r="B243" s="31">
        <v>302</v>
      </c>
      <c r="C243" s="113">
        <v>140003</v>
      </c>
      <c r="D243" s="23" t="s">
        <v>249</v>
      </c>
      <c r="E243" s="40" t="s">
        <v>257</v>
      </c>
      <c r="F243" s="69"/>
      <c r="G243" s="31"/>
      <c r="H243" s="37" t="s">
        <v>35</v>
      </c>
    </row>
    <row r="244" s="44" customFormat="1" ht="16.25" spans="1:8">
      <c r="A244" s="31"/>
      <c r="B244" s="31">
        <v>302</v>
      </c>
      <c r="C244" s="113">
        <v>140103</v>
      </c>
      <c r="D244" s="23" t="s">
        <v>249</v>
      </c>
      <c r="E244" s="40" t="s">
        <v>258</v>
      </c>
      <c r="F244" s="69"/>
      <c r="G244" s="31"/>
      <c r="H244" s="37" t="s">
        <v>39</v>
      </c>
    </row>
    <row r="245" s="44" customFormat="1" ht="16.25" spans="1:8">
      <c r="A245" s="31"/>
      <c r="B245" s="31">
        <v>302</v>
      </c>
      <c r="C245" s="113">
        <v>140203</v>
      </c>
      <c r="D245" s="23" t="s">
        <v>249</v>
      </c>
      <c r="E245" s="40" t="s">
        <v>259</v>
      </c>
      <c r="F245" s="69"/>
      <c r="G245" s="31"/>
      <c r="H245" s="37" t="s">
        <v>43</v>
      </c>
    </row>
    <row r="246" s="44" customFormat="1" ht="16.25" spans="1:8">
      <c r="A246" s="31"/>
      <c r="B246" s="31">
        <v>302</v>
      </c>
      <c r="C246" s="113">
        <v>150103</v>
      </c>
      <c r="D246" s="23" t="s">
        <v>249</v>
      </c>
      <c r="E246" s="40" t="s">
        <v>260</v>
      </c>
      <c r="F246" s="69"/>
      <c r="G246" s="31"/>
      <c r="H246" s="37" t="s">
        <v>47</v>
      </c>
    </row>
    <row r="247" s="44" customFormat="1" ht="16.25" spans="1:8">
      <c r="A247" s="31"/>
      <c r="B247" s="31">
        <v>302</v>
      </c>
      <c r="C247" s="113">
        <v>150203</v>
      </c>
      <c r="D247" s="23" t="s">
        <v>249</v>
      </c>
      <c r="E247" s="40" t="s">
        <v>260</v>
      </c>
      <c r="F247" s="69"/>
      <c r="G247" s="31"/>
      <c r="H247" s="37" t="s">
        <v>51</v>
      </c>
    </row>
    <row r="248" s="44" customFormat="1" ht="16.25" spans="1:8">
      <c r="A248" s="31"/>
      <c r="B248" s="31">
        <v>302</v>
      </c>
      <c r="C248" s="113">
        <v>150303</v>
      </c>
      <c r="D248" s="23" t="s">
        <v>249</v>
      </c>
      <c r="E248" s="40" t="s">
        <v>260</v>
      </c>
      <c r="F248" s="69"/>
      <c r="G248" s="31"/>
      <c r="H248" s="37" t="s">
        <v>55</v>
      </c>
    </row>
    <row r="249" s="44" customFormat="1" ht="16.25" spans="1:8">
      <c r="A249" s="31"/>
      <c r="B249" s="31">
        <v>302</v>
      </c>
      <c r="C249" s="113">
        <v>150403</v>
      </c>
      <c r="D249" s="23" t="s">
        <v>249</v>
      </c>
      <c r="E249" s="40" t="s">
        <v>260</v>
      </c>
      <c r="F249" s="69"/>
      <c r="G249" s="31"/>
      <c r="H249" s="37" t="s">
        <v>59</v>
      </c>
    </row>
    <row r="250" s="44" customFormat="1" ht="16.25" spans="1:8">
      <c r="A250" s="31"/>
      <c r="B250" s="31">
        <v>302</v>
      </c>
      <c r="C250" s="113">
        <v>150503</v>
      </c>
      <c r="D250" s="23" t="s">
        <v>249</v>
      </c>
      <c r="E250" s="40" t="s">
        <v>260</v>
      </c>
      <c r="F250" s="69"/>
      <c r="G250" s="31"/>
      <c r="H250" s="37" t="s">
        <v>63</v>
      </c>
    </row>
    <row r="251" s="44" customFormat="1" ht="16.25" spans="1:8">
      <c r="A251" s="31"/>
      <c r="B251" s="31">
        <v>302</v>
      </c>
      <c r="C251" s="113">
        <v>150603</v>
      </c>
      <c r="D251" s="23" t="s">
        <v>249</v>
      </c>
      <c r="E251" s="40" t="s">
        <v>260</v>
      </c>
      <c r="F251" s="69"/>
      <c r="G251" s="31"/>
      <c r="H251" s="37" t="s">
        <v>67</v>
      </c>
    </row>
    <row r="252" s="44" customFormat="1" ht="16.25" spans="1:8">
      <c r="A252" s="31"/>
      <c r="B252" s="31">
        <v>302</v>
      </c>
      <c r="C252" s="113">
        <v>150703</v>
      </c>
      <c r="D252" s="23" t="s">
        <v>249</v>
      </c>
      <c r="E252" s="40" t="s">
        <v>260</v>
      </c>
      <c r="F252" s="69"/>
      <c r="G252" s="31"/>
      <c r="H252" s="37" t="s">
        <v>71</v>
      </c>
    </row>
    <row r="253" s="44" customFormat="1" ht="16.25" spans="1:8">
      <c r="A253" s="31"/>
      <c r="B253" s="31">
        <v>302</v>
      </c>
      <c r="C253" s="113">
        <v>150803</v>
      </c>
      <c r="D253" s="23" t="s">
        <v>249</v>
      </c>
      <c r="E253" s="40" t="s">
        <v>260</v>
      </c>
      <c r="F253" s="69"/>
      <c r="G253" s="31"/>
      <c r="H253" s="37" t="s">
        <v>75</v>
      </c>
    </row>
    <row r="254" s="44" customFormat="1" ht="16.25" spans="1:8">
      <c r="A254" s="31"/>
      <c r="B254" s="31">
        <v>302</v>
      </c>
      <c r="C254" s="113">
        <v>150903</v>
      </c>
      <c r="D254" s="23" t="s">
        <v>249</v>
      </c>
      <c r="E254" s="40" t="s">
        <v>260</v>
      </c>
      <c r="F254" s="69"/>
      <c r="G254" s="31"/>
      <c r="H254" s="37" t="s">
        <v>79</v>
      </c>
    </row>
    <row r="255" s="44" customFormat="1" ht="16.25" spans="1:8">
      <c r="A255" s="31"/>
      <c r="B255" s="31">
        <v>302</v>
      </c>
      <c r="C255" s="113">
        <v>160103</v>
      </c>
      <c r="D255" s="23" t="s">
        <v>249</v>
      </c>
      <c r="E255" s="40" t="s">
        <v>261</v>
      </c>
      <c r="F255" s="69"/>
      <c r="G255" s="31"/>
      <c r="H255" s="37" t="s">
        <v>83</v>
      </c>
    </row>
    <row r="256" s="44" customFormat="1" ht="16.25" spans="1:8">
      <c r="A256" s="31"/>
      <c r="B256" s="31">
        <v>302</v>
      </c>
      <c r="C256" s="113">
        <v>160203</v>
      </c>
      <c r="D256" s="23" t="s">
        <v>249</v>
      </c>
      <c r="E256" s="40" t="s">
        <v>261</v>
      </c>
      <c r="F256" s="69"/>
      <c r="G256" s="31"/>
      <c r="H256" s="37" t="s">
        <v>87</v>
      </c>
    </row>
    <row r="257" s="44" customFormat="1" ht="16.25" spans="1:8">
      <c r="A257" s="31"/>
      <c r="B257" s="31">
        <v>302</v>
      </c>
      <c r="C257" s="113">
        <v>160303</v>
      </c>
      <c r="D257" s="23" t="s">
        <v>249</v>
      </c>
      <c r="E257" s="40" t="s">
        <v>261</v>
      </c>
      <c r="F257" s="69"/>
      <c r="G257" s="31"/>
      <c r="H257" s="37" t="s">
        <v>91</v>
      </c>
    </row>
    <row r="258" s="44" customFormat="1" ht="16.25" spans="1:8">
      <c r="A258" s="31"/>
      <c r="B258" s="31">
        <v>302</v>
      </c>
      <c r="C258" s="113">
        <v>160403</v>
      </c>
      <c r="D258" s="23" t="s">
        <v>249</v>
      </c>
      <c r="E258" s="40" t="s">
        <v>261</v>
      </c>
      <c r="F258" s="69"/>
      <c r="G258" s="31"/>
      <c r="H258" s="37" t="s">
        <v>95</v>
      </c>
    </row>
    <row r="259" s="44" customFormat="1" ht="16.25" spans="1:8">
      <c r="A259" s="31"/>
      <c r="B259" s="31">
        <v>302</v>
      </c>
      <c r="C259" s="113">
        <v>160503</v>
      </c>
      <c r="D259" s="23" t="s">
        <v>249</v>
      </c>
      <c r="E259" s="40" t="s">
        <v>261</v>
      </c>
      <c r="F259" s="69"/>
      <c r="G259" s="31"/>
      <c r="H259" s="37" t="s">
        <v>99</v>
      </c>
    </row>
    <row r="260" s="44" customFormat="1" ht="16.25" spans="1:8">
      <c r="A260" s="31"/>
      <c r="B260" s="31">
        <v>302</v>
      </c>
      <c r="C260" s="113">
        <v>160603</v>
      </c>
      <c r="D260" s="23" t="s">
        <v>249</v>
      </c>
      <c r="E260" s="40" t="s">
        <v>261</v>
      </c>
      <c r="F260" s="69"/>
      <c r="G260" s="31"/>
      <c r="H260" s="37" t="s">
        <v>103</v>
      </c>
    </row>
    <row r="261" s="44" customFormat="1" ht="16.25" spans="1:8">
      <c r="A261" s="31"/>
      <c r="B261" s="31">
        <v>302</v>
      </c>
      <c r="C261" s="113">
        <v>160703</v>
      </c>
      <c r="D261" s="23" t="s">
        <v>249</v>
      </c>
      <c r="E261" s="40" t="s">
        <v>261</v>
      </c>
      <c r="F261" s="69"/>
      <c r="G261" s="31"/>
      <c r="H261" s="37" t="s">
        <v>107</v>
      </c>
    </row>
    <row r="262" s="44" customFormat="1" ht="16.25" spans="1:8">
      <c r="A262" s="31"/>
      <c r="B262" s="31">
        <v>302</v>
      </c>
      <c r="C262" s="113">
        <v>160803</v>
      </c>
      <c r="D262" s="23" t="s">
        <v>249</v>
      </c>
      <c r="E262" s="40" t="s">
        <v>261</v>
      </c>
      <c r="F262" s="69"/>
      <c r="G262" s="31"/>
      <c r="H262" s="37" t="s">
        <v>111</v>
      </c>
    </row>
    <row r="263" s="44" customFormat="1" ht="16.25" spans="1:8">
      <c r="A263" s="31"/>
      <c r="B263" s="31">
        <v>302</v>
      </c>
      <c r="C263" s="113">
        <v>160903</v>
      </c>
      <c r="D263" s="23" t="s">
        <v>249</v>
      </c>
      <c r="E263" s="40" t="s">
        <v>261</v>
      </c>
      <c r="F263" s="69"/>
      <c r="G263" s="31"/>
      <c r="H263" s="37" t="s">
        <v>115</v>
      </c>
    </row>
    <row r="264" s="44" customFormat="1" ht="16.25" spans="1:8">
      <c r="A264" s="31"/>
      <c r="B264" s="31">
        <v>303</v>
      </c>
      <c r="C264" s="113">
        <v>150103</v>
      </c>
      <c r="D264" s="12">
        <v>7</v>
      </c>
      <c r="E264" s="40">
        <v>0.0043</v>
      </c>
      <c r="F264" s="69"/>
      <c r="G264" s="31"/>
      <c r="H264" s="37" t="s">
        <v>47</v>
      </c>
    </row>
    <row r="265" s="44" customFormat="1" ht="16.25" spans="1:8">
      <c r="A265" s="31"/>
      <c r="B265" s="31">
        <v>303</v>
      </c>
      <c r="C265" s="113">
        <v>150203</v>
      </c>
      <c r="D265" s="12">
        <v>7</v>
      </c>
      <c r="E265" s="40">
        <v>0.0086</v>
      </c>
      <c r="F265" s="69"/>
      <c r="G265" s="31"/>
      <c r="H265" s="37" t="s">
        <v>51</v>
      </c>
    </row>
    <row r="266" s="44" customFormat="1" ht="16.25" spans="1:8">
      <c r="A266" s="31"/>
      <c r="B266" s="31">
        <v>303</v>
      </c>
      <c r="C266" s="113">
        <v>150303</v>
      </c>
      <c r="D266" s="12">
        <v>11</v>
      </c>
      <c r="E266" s="40">
        <v>0.0082</v>
      </c>
      <c r="F266" s="69"/>
      <c r="G266" s="31"/>
      <c r="H266" s="37" t="s">
        <v>55</v>
      </c>
    </row>
    <row r="267" s="44" customFormat="1" ht="16.25" spans="1:8">
      <c r="A267" s="31"/>
      <c r="B267" s="31">
        <v>303</v>
      </c>
      <c r="C267" s="113">
        <v>150403</v>
      </c>
      <c r="D267" s="12">
        <v>11</v>
      </c>
      <c r="E267" s="40">
        <v>0.0114</v>
      </c>
      <c r="F267" s="69"/>
      <c r="G267" s="31"/>
      <c r="H267" s="37" t="s">
        <v>59</v>
      </c>
    </row>
    <row r="268" s="44" customFormat="1" ht="16.25" spans="1:8">
      <c r="A268" s="31"/>
      <c r="B268" s="31">
        <v>303</v>
      </c>
      <c r="C268" s="113">
        <v>150503</v>
      </c>
      <c r="D268" s="12" t="s">
        <v>217</v>
      </c>
      <c r="E268" s="40" t="s">
        <v>262</v>
      </c>
      <c r="F268" s="69"/>
      <c r="G268" s="31"/>
      <c r="H268" s="37" t="s">
        <v>63</v>
      </c>
    </row>
    <row r="269" s="44" customFormat="1" ht="16.25" spans="1:8">
      <c r="A269" s="31"/>
      <c r="B269" s="31">
        <v>303</v>
      </c>
      <c r="C269" s="113">
        <v>150603</v>
      </c>
      <c r="D269" s="12" t="s">
        <v>217</v>
      </c>
      <c r="E269" s="40" t="s">
        <v>263</v>
      </c>
      <c r="F269" s="69"/>
      <c r="G269" s="31"/>
      <c r="H269" s="37" t="s">
        <v>67</v>
      </c>
    </row>
    <row r="270" s="44" customFormat="1" ht="16.25" spans="1:8">
      <c r="A270" s="31"/>
      <c r="B270" s="31">
        <v>303</v>
      </c>
      <c r="C270" s="113">
        <v>150703</v>
      </c>
      <c r="D270" s="12" t="s">
        <v>264</v>
      </c>
      <c r="E270" s="40" t="s">
        <v>265</v>
      </c>
      <c r="F270" s="69"/>
      <c r="G270" s="31"/>
      <c r="H270" s="37" t="s">
        <v>71</v>
      </c>
    </row>
    <row r="271" s="44" customFormat="1" ht="16.25" spans="1:8">
      <c r="A271" s="31"/>
      <c r="B271" s="31">
        <v>303</v>
      </c>
      <c r="C271" s="113">
        <v>150803</v>
      </c>
      <c r="D271" s="12" t="s">
        <v>264</v>
      </c>
      <c r="E271" s="40" t="s">
        <v>266</v>
      </c>
      <c r="F271" s="69"/>
      <c r="G271" s="31"/>
      <c r="H271" s="37" t="s">
        <v>75</v>
      </c>
    </row>
    <row r="272" s="44" customFormat="1" ht="16.25" spans="1:8">
      <c r="A272" s="31"/>
      <c r="B272" s="31">
        <v>303</v>
      </c>
      <c r="C272" s="113">
        <v>150903</v>
      </c>
      <c r="D272" s="12" t="s">
        <v>267</v>
      </c>
      <c r="E272" s="40" t="s">
        <v>268</v>
      </c>
      <c r="F272" s="69"/>
      <c r="G272" s="31"/>
      <c r="H272" s="37" t="s">
        <v>79</v>
      </c>
    </row>
    <row r="273" s="44" customFormat="1" ht="16.25" spans="1:8">
      <c r="A273" s="31"/>
      <c r="B273" s="31">
        <v>303</v>
      </c>
      <c r="C273" s="113">
        <v>160103</v>
      </c>
      <c r="D273" s="21">
        <v>7</v>
      </c>
      <c r="E273" s="40">
        <v>0.0072</v>
      </c>
      <c r="F273" s="69"/>
      <c r="G273" s="31"/>
      <c r="H273" s="37" t="s">
        <v>83</v>
      </c>
    </row>
    <row r="274" s="44" customFormat="1" ht="16.25" spans="1:8">
      <c r="A274" s="31"/>
      <c r="B274" s="31">
        <v>303</v>
      </c>
      <c r="C274" s="113">
        <v>160203</v>
      </c>
      <c r="D274" s="21">
        <v>7</v>
      </c>
      <c r="E274" s="40">
        <v>0.0143</v>
      </c>
      <c r="F274" s="69"/>
      <c r="G274" s="31"/>
      <c r="H274" s="37" t="s">
        <v>87</v>
      </c>
    </row>
    <row r="275" s="44" customFormat="1" ht="16.25" spans="1:8">
      <c r="A275" s="31"/>
      <c r="B275" s="31">
        <v>303</v>
      </c>
      <c r="C275" s="113">
        <v>160303</v>
      </c>
      <c r="D275" s="21">
        <v>11</v>
      </c>
      <c r="E275" s="40">
        <v>0.0136</v>
      </c>
      <c r="F275" s="69"/>
      <c r="G275" s="31"/>
      <c r="H275" s="37" t="s">
        <v>91</v>
      </c>
    </row>
    <row r="276" s="44" customFormat="1" ht="16.25" spans="1:8">
      <c r="A276" s="31"/>
      <c r="B276" s="31">
        <v>303</v>
      </c>
      <c r="C276" s="113">
        <v>160403</v>
      </c>
      <c r="D276" s="21">
        <v>11</v>
      </c>
      <c r="E276" s="40">
        <v>0.019</v>
      </c>
      <c r="F276" s="69"/>
      <c r="G276" s="31"/>
      <c r="H276" s="37" t="s">
        <v>95</v>
      </c>
    </row>
    <row r="277" s="44" customFormat="1" ht="16.25" spans="1:8">
      <c r="A277" s="31"/>
      <c r="B277" s="31">
        <v>303</v>
      </c>
      <c r="C277" s="113">
        <v>160503</v>
      </c>
      <c r="D277" s="21" t="s">
        <v>217</v>
      </c>
      <c r="E277" s="40" t="s">
        <v>269</v>
      </c>
      <c r="F277" s="69"/>
      <c r="G277" s="31"/>
      <c r="H277" s="37" t="s">
        <v>99</v>
      </c>
    </row>
    <row r="278" s="44" customFormat="1" ht="16.25" spans="1:8">
      <c r="A278" s="31"/>
      <c r="B278" s="31">
        <v>303</v>
      </c>
      <c r="C278" s="113">
        <v>160603</v>
      </c>
      <c r="D278" s="21" t="s">
        <v>217</v>
      </c>
      <c r="E278" s="40" t="s">
        <v>270</v>
      </c>
      <c r="F278" s="69"/>
      <c r="G278" s="31"/>
      <c r="H278" s="37" t="s">
        <v>103</v>
      </c>
    </row>
    <row r="279" s="44" customFormat="1" ht="16.25" spans="1:8">
      <c r="A279" s="31"/>
      <c r="B279" s="31">
        <v>303</v>
      </c>
      <c r="C279" s="113">
        <v>160703</v>
      </c>
      <c r="D279" s="21" t="s">
        <v>264</v>
      </c>
      <c r="E279" s="40" t="s">
        <v>271</v>
      </c>
      <c r="F279" s="69"/>
      <c r="G279" s="31"/>
      <c r="H279" s="37" t="s">
        <v>107</v>
      </c>
    </row>
    <row r="280" s="44" customFormat="1" ht="16.25" spans="1:8">
      <c r="A280" s="31"/>
      <c r="B280" s="31">
        <v>303</v>
      </c>
      <c r="C280" s="113">
        <v>160803</v>
      </c>
      <c r="D280" s="21" t="s">
        <v>264</v>
      </c>
      <c r="E280" s="40" t="s">
        <v>272</v>
      </c>
      <c r="F280" s="69"/>
      <c r="G280" s="31"/>
      <c r="H280" s="37" t="s">
        <v>111</v>
      </c>
    </row>
    <row r="281" s="44" customFormat="1" ht="16.25" spans="1:8">
      <c r="A281" s="31"/>
      <c r="B281" s="31">
        <v>303</v>
      </c>
      <c r="C281" s="113">
        <v>160903</v>
      </c>
      <c r="D281" s="21" t="s">
        <v>267</v>
      </c>
      <c r="E281" s="40" t="s">
        <v>273</v>
      </c>
      <c r="F281" s="69"/>
      <c r="G281" s="31"/>
      <c r="H281" s="37" t="s">
        <v>115</v>
      </c>
    </row>
    <row r="282" s="44" customFormat="1" ht="16.25" spans="1:8">
      <c r="A282" s="31"/>
      <c r="B282" s="39">
        <v>304</v>
      </c>
      <c r="C282" s="113">
        <v>150103</v>
      </c>
      <c r="D282" s="23">
        <v>7</v>
      </c>
      <c r="E282" s="40">
        <v>0.0082</v>
      </c>
      <c r="F282" s="69"/>
      <c r="G282" s="31"/>
      <c r="H282" s="38" t="s">
        <v>47</v>
      </c>
    </row>
    <row r="283" s="44" customFormat="1" ht="16.25" spans="1:8">
      <c r="A283" s="31"/>
      <c r="B283" s="39">
        <v>304</v>
      </c>
      <c r="C283" s="113">
        <v>150103</v>
      </c>
      <c r="D283" s="23">
        <v>4</v>
      </c>
      <c r="E283" s="40">
        <v>11.656</v>
      </c>
      <c r="F283" s="69"/>
      <c r="G283" s="31"/>
      <c r="H283" s="38"/>
    </row>
    <row r="284" s="44" customFormat="1" ht="16.25" spans="1:8">
      <c r="A284" s="31"/>
      <c r="B284" s="39">
        <v>304</v>
      </c>
      <c r="C284" s="113">
        <v>150203</v>
      </c>
      <c r="D284" s="23">
        <v>7</v>
      </c>
      <c r="E284" s="40">
        <v>0.0164</v>
      </c>
      <c r="F284" s="69"/>
      <c r="G284" s="31"/>
      <c r="H284" s="38" t="s">
        <v>51</v>
      </c>
    </row>
    <row r="285" s="44" customFormat="1" ht="16.25" spans="1:8">
      <c r="A285" s="31"/>
      <c r="B285" s="39">
        <v>304</v>
      </c>
      <c r="C285" s="113">
        <v>150203</v>
      </c>
      <c r="D285" s="23">
        <v>4</v>
      </c>
      <c r="E285" s="40">
        <v>11.656</v>
      </c>
      <c r="F285" s="69"/>
      <c r="G285" s="31"/>
      <c r="H285" s="38"/>
    </row>
    <row r="286" s="44" customFormat="1" ht="16.25" spans="1:8">
      <c r="A286" s="31"/>
      <c r="B286" s="39">
        <v>304</v>
      </c>
      <c r="C286" s="113">
        <v>150303</v>
      </c>
      <c r="D286" s="23">
        <v>11</v>
      </c>
      <c r="E286" s="23">
        <v>0.0155</v>
      </c>
      <c r="F286" s="68"/>
      <c r="G286" s="31"/>
      <c r="H286" s="38" t="s">
        <v>55</v>
      </c>
    </row>
    <row r="287" s="44" customFormat="1" ht="16.25" spans="1:8">
      <c r="A287" s="31"/>
      <c r="B287" s="39">
        <v>304</v>
      </c>
      <c r="C287" s="113">
        <v>150303</v>
      </c>
      <c r="D287" s="23">
        <v>4</v>
      </c>
      <c r="E287" s="23">
        <v>11.656</v>
      </c>
      <c r="F287" s="68"/>
      <c r="G287" s="31"/>
      <c r="H287" s="38"/>
    </row>
    <row r="288" s="44" customFormat="1" ht="16.25" spans="1:8">
      <c r="A288" s="31"/>
      <c r="B288" s="39">
        <v>304</v>
      </c>
      <c r="C288" s="113">
        <v>150403</v>
      </c>
      <c r="D288" s="23">
        <v>11</v>
      </c>
      <c r="E288" s="23">
        <v>0.0218</v>
      </c>
      <c r="F288" s="68"/>
      <c r="G288" s="31"/>
      <c r="H288" s="38" t="s">
        <v>59</v>
      </c>
    </row>
    <row r="289" s="44" customFormat="1" ht="16.25" spans="1:8">
      <c r="A289" s="31"/>
      <c r="B289" s="39">
        <v>304</v>
      </c>
      <c r="C289" s="113">
        <v>150403</v>
      </c>
      <c r="D289" s="23">
        <v>4</v>
      </c>
      <c r="E289" s="23">
        <v>11.656</v>
      </c>
      <c r="F289" s="68"/>
      <c r="G289" s="31"/>
      <c r="H289" s="38"/>
    </row>
    <row r="290" s="44" customFormat="1" ht="16.25" spans="1:8">
      <c r="A290" s="31"/>
      <c r="B290" s="39">
        <v>304</v>
      </c>
      <c r="C290" s="113">
        <v>150503</v>
      </c>
      <c r="D290" s="23">
        <v>6</v>
      </c>
      <c r="E290" s="23">
        <v>0.0072</v>
      </c>
      <c r="F290" s="68"/>
      <c r="G290" s="31"/>
      <c r="H290" s="38" t="s">
        <v>63</v>
      </c>
    </row>
    <row r="291" s="44" customFormat="1" ht="16.25" spans="1:8">
      <c r="A291" s="31"/>
      <c r="B291" s="39">
        <v>304</v>
      </c>
      <c r="C291" s="113">
        <v>150503</v>
      </c>
      <c r="D291" s="23">
        <v>4</v>
      </c>
      <c r="E291" s="23">
        <v>11.656</v>
      </c>
      <c r="F291" s="68"/>
      <c r="G291" s="31"/>
      <c r="H291" s="38"/>
    </row>
    <row r="292" s="44" customFormat="1" ht="16.25" spans="1:8">
      <c r="A292" s="31"/>
      <c r="B292" s="39">
        <v>304</v>
      </c>
      <c r="C292" s="113">
        <v>150503</v>
      </c>
      <c r="D292" s="23">
        <v>9</v>
      </c>
      <c r="E292" s="23">
        <v>0.0274</v>
      </c>
      <c r="F292" s="68"/>
      <c r="G292" s="31"/>
      <c r="H292" s="38"/>
    </row>
    <row r="293" s="44" customFormat="1" ht="16.25" spans="1:8">
      <c r="A293" s="31"/>
      <c r="B293" s="39">
        <v>304</v>
      </c>
      <c r="C293" s="113">
        <v>150603</v>
      </c>
      <c r="D293" s="23">
        <v>6</v>
      </c>
      <c r="E293" s="23">
        <v>0.0286</v>
      </c>
      <c r="F293" s="68"/>
      <c r="G293" s="31"/>
      <c r="H293" s="38" t="s">
        <v>67</v>
      </c>
    </row>
    <row r="294" s="44" customFormat="1" ht="16.25" spans="1:8">
      <c r="A294" s="31"/>
      <c r="B294" s="39">
        <v>304</v>
      </c>
      <c r="C294" s="113">
        <v>150603</v>
      </c>
      <c r="D294" s="23">
        <v>4</v>
      </c>
      <c r="E294" s="23">
        <v>11.656</v>
      </c>
      <c r="F294" s="68"/>
      <c r="G294" s="31"/>
      <c r="H294" s="38"/>
    </row>
    <row r="295" s="44" customFormat="1" ht="16.25" spans="1:8">
      <c r="A295" s="31"/>
      <c r="B295" s="39">
        <v>304</v>
      </c>
      <c r="C295" s="113">
        <v>150603</v>
      </c>
      <c r="D295" s="23">
        <v>9</v>
      </c>
      <c r="E295" s="23">
        <v>0.0549</v>
      </c>
      <c r="F295" s="68"/>
      <c r="G295" s="31"/>
      <c r="H295" s="38"/>
    </row>
    <row r="296" s="44" customFormat="1" ht="16.25" spans="1:8">
      <c r="A296" s="31"/>
      <c r="B296" s="39">
        <v>304</v>
      </c>
      <c r="C296" s="113">
        <v>150703</v>
      </c>
      <c r="D296" s="23">
        <v>6</v>
      </c>
      <c r="E296" s="23">
        <v>0.0043</v>
      </c>
      <c r="F296" s="68"/>
      <c r="G296" s="31"/>
      <c r="H296" s="38" t="s">
        <v>71</v>
      </c>
    </row>
    <row r="297" s="44" customFormat="1" ht="16.25" spans="1:8">
      <c r="A297" s="31"/>
      <c r="B297" s="39">
        <v>304</v>
      </c>
      <c r="C297" s="113">
        <v>150703</v>
      </c>
      <c r="D297" s="23">
        <v>4</v>
      </c>
      <c r="E297" s="23">
        <v>11.656</v>
      </c>
      <c r="F297" s="68"/>
      <c r="G297" s="31"/>
      <c r="H297" s="38"/>
    </row>
    <row r="298" s="44" customFormat="1" ht="16.25" spans="1:8">
      <c r="A298" s="31"/>
      <c r="B298" s="39">
        <v>304</v>
      </c>
      <c r="C298" s="113">
        <v>150703</v>
      </c>
      <c r="D298" s="23">
        <v>9</v>
      </c>
      <c r="E298" s="23">
        <v>0.0274</v>
      </c>
      <c r="F298" s="68"/>
      <c r="G298" s="31"/>
      <c r="H298" s="38"/>
    </row>
    <row r="299" s="44" customFormat="1" ht="16.25" spans="1:8">
      <c r="A299" s="31"/>
      <c r="B299" s="39">
        <v>304</v>
      </c>
      <c r="C299" s="113">
        <v>150803</v>
      </c>
      <c r="D299" s="23">
        <v>6</v>
      </c>
      <c r="E299" s="23">
        <v>0.023</v>
      </c>
      <c r="F299" s="68"/>
      <c r="G299" s="31"/>
      <c r="H299" s="38" t="s">
        <v>75</v>
      </c>
    </row>
    <row r="300" s="44" customFormat="1" ht="16.25" spans="1:8">
      <c r="A300" s="31"/>
      <c r="B300" s="39">
        <v>304</v>
      </c>
      <c r="C300" s="113">
        <v>150803</v>
      </c>
      <c r="D300" s="23">
        <v>4</v>
      </c>
      <c r="E300" s="23">
        <v>5.832</v>
      </c>
      <c r="F300" s="68"/>
      <c r="G300" s="31"/>
      <c r="H300" s="38"/>
    </row>
    <row r="301" s="44" customFormat="1" ht="16.25" spans="1:8">
      <c r="A301" s="31"/>
      <c r="B301" s="39">
        <v>304</v>
      </c>
      <c r="C301" s="113">
        <v>150803</v>
      </c>
      <c r="D301" s="23">
        <v>9</v>
      </c>
      <c r="E301" s="23">
        <v>0.0219</v>
      </c>
      <c r="F301" s="68"/>
      <c r="G301" s="31"/>
      <c r="H301" s="38"/>
    </row>
    <row r="302" s="44" customFormat="1" ht="16.25" spans="1:8">
      <c r="A302" s="31"/>
      <c r="B302" s="39">
        <v>304</v>
      </c>
      <c r="C302" s="113">
        <v>150903</v>
      </c>
      <c r="D302" s="23">
        <v>6</v>
      </c>
      <c r="E302" s="23">
        <v>0.0229</v>
      </c>
      <c r="F302" s="68"/>
      <c r="G302" s="31"/>
      <c r="H302" s="38" t="s">
        <v>79</v>
      </c>
    </row>
    <row r="303" s="44" customFormat="1" ht="16.25" spans="1:8">
      <c r="A303" s="31"/>
      <c r="B303" s="39">
        <v>304</v>
      </c>
      <c r="C303" s="113">
        <v>150903</v>
      </c>
      <c r="D303" s="23">
        <v>9</v>
      </c>
      <c r="E303" s="23">
        <v>0.0274</v>
      </c>
      <c r="F303" s="68"/>
      <c r="G303" s="31"/>
      <c r="H303" s="38"/>
    </row>
    <row r="304" s="44" customFormat="1" ht="16.25" spans="1:8">
      <c r="A304" s="31"/>
      <c r="B304" s="39">
        <v>304</v>
      </c>
      <c r="C304" s="113">
        <v>150903</v>
      </c>
      <c r="D304" s="23">
        <v>11</v>
      </c>
      <c r="E304" s="23">
        <v>0.0031</v>
      </c>
      <c r="F304" s="68"/>
      <c r="G304" s="31"/>
      <c r="H304" s="38"/>
    </row>
    <row r="305" s="44" customFormat="1" ht="16.25" spans="1:8">
      <c r="A305" s="31"/>
      <c r="B305" s="39">
        <v>304</v>
      </c>
      <c r="C305" s="113">
        <v>150903</v>
      </c>
      <c r="D305" s="23">
        <v>4</v>
      </c>
      <c r="E305" s="23">
        <v>5.832</v>
      </c>
      <c r="F305" s="68"/>
      <c r="G305" s="31"/>
      <c r="H305" s="38"/>
    </row>
    <row r="306" s="44" customFormat="1" ht="16.25" spans="1:8">
      <c r="A306" s="31"/>
      <c r="B306" s="39">
        <v>304</v>
      </c>
      <c r="C306" s="113">
        <v>160103</v>
      </c>
      <c r="D306" s="23">
        <v>7</v>
      </c>
      <c r="E306" s="23">
        <v>0.0137</v>
      </c>
      <c r="F306" s="68"/>
      <c r="G306" s="31"/>
      <c r="H306" s="37" t="s">
        <v>83</v>
      </c>
    </row>
    <row r="307" s="44" customFormat="1" ht="16.25" spans="1:8">
      <c r="A307" s="31"/>
      <c r="B307" s="39">
        <v>304</v>
      </c>
      <c r="C307" s="113">
        <v>160103</v>
      </c>
      <c r="D307" s="23">
        <v>4</v>
      </c>
      <c r="E307" s="23">
        <v>19.432</v>
      </c>
      <c r="F307" s="68"/>
      <c r="G307" s="31"/>
      <c r="H307" s="37"/>
    </row>
    <row r="308" s="44" customFormat="1" ht="16.25" spans="1:8">
      <c r="A308" s="31"/>
      <c r="B308" s="39">
        <v>304</v>
      </c>
      <c r="C308" s="113">
        <v>160203</v>
      </c>
      <c r="D308" s="23">
        <v>7</v>
      </c>
      <c r="E308" s="23">
        <v>0.0273</v>
      </c>
      <c r="F308" s="68"/>
      <c r="G308" s="31"/>
      <c r="H308" s="37" t="s">
        <v>87</v>
      </c>
    </row>
    <row r="309" s="44" customFormat="1" ht="16.25" spans="1:8">
      <c r="A309" s="31"/>
      <c r="B309" s="39">
        <v>304</v>
      </c>
      <c r="C309" s="113">
        <v>160203</v>
      </c>
      <c r="D309" s="23">
        <v>4</v>
      </c>
      <c r="E309" s="23">
        <v>19.432</v>
      </c>
      <c r="F309" s="68"/>
      <c r="G309" s="31"/>
      <c r="H309" s="37"/>
    </row>
    <row r="310" s="44" customFormat="1" ht="16.25" spans="1:8">
      <c r="A310" s="31"/>
      <c r="B310" s="39">
        <v>304</v>
      </c>
      <c r="C310" s="113">
        <v>160303</v>
      </c>
      <c r="D310" s="23">
        <v>11</v>
      </c>
      <c r="E310" s="23">
        <v>0.0259</v>
      </c>
      <c r="F310" s="68"/>
      <c r="G310" s="31"/>
      <c r="H310" s="37" t="s">
        <v>91</v>
      </c>
    </row>
    <row r="311" s="44" customFormat="1" ht="16.25" spans="1:8">
      <c r="A311" s="31"/>
      <c r="B311" s="39">
        <v>304</v>
      </c>
      <c r="C311" s="113">
        <v>160303</v>
      </c>
      <c r="D311" s="23">
        <v>4</v>
      </c>
      <c r="E311" s="23">
        <v>19.432</v>
      </c>
      <c r="F311" s="68"/>
      <c r="G311" s="31"/>
      <c r="H311" s="37"/>
    </row>
    <row r="312" s="44" customFormat="1" ht="16.25" spans="1:8">
      <c r="A312" s="31"/>
      <c r="B312" s="39">
        <v>304</v>
      </c>
      <c r="C312" s="113">
        <v>160403</v>
      </c>
      <c r="D312" s="23">
        <v>11</v>
      </c>
      <c r="E312" s="23">
        <v>0.0363</v>
      </c>
      <c r="F312" s="68"/>
      <c r="G312" s="31"/>
      <c r="H312" s="37" t="s">
        <v>95</v>
      </c>
    </row>
    <row r="313" s="44" customFormat="1" ht="16.25" spans="1:8">
      <c r="A313" s="31"/>
      <c r="B313" s="39">
        <v>304</v>
      </c>
      <c r="C313" s="113">
        <v>160403</v>
      </c>
      <c r="D313" s="23">
        <v>4</v>
      </c>
      <c r="E313" s="23">
        <v>19.432</v>
      </c>
      <c r="F313" s="68"/>
      <c r="G313" s="31"/>
      <c r="H313" s="37"/>
    </row>
    <row r="314" s="44" customFormat="1" ht="16.25" spans="1:8">
      <c r="A314" s="31"/>
      <c r="B314" s="39">
        <v>304</v>
      </c>
      <c r="C314" s="113">
        <v>160503</v>
      </c>
      <c r="D314" s="23">
        <v>6</v>
      </c>
      <c r="E314" s="23">
        <v>0.0119</v>
      </c>
      <c r="F314" s="68"/>
      <c r="G314" s="31"/>
      <c r="H314" s="37" t="s">
        <v>99</v>
      </c>
    </row>
    <row r="315" s="44" customFormat="1" ht="16.25" spans="1:8">
      <c r="A315" s="31"/>
      <c r="B315" s="39">
        <v>304</v>
      </c>
      <c r="C315" s="113">
        <v>160503</v>
      </c>
      <c r="D315" s="23">
        <v>4</v>
      </c>
      <c r="E315" s="23">
        <v>19.432</v>
      </c>
      <c r="F315" s="68"/>
      <c r="G315" s="31"/>
      <c r="H315" s="37"/>
    </row>
    <row r="316" s="44" customFormat="1" ht="16.25" spans="1:8">
      <c r="A316" s="31"/>
      <c r="B316" s="39">
        <v>304</v>
      </c>
      <c r="C316" s="113">
        <v>160503</v>
      </c>
      <c r="D316" s="23">
        <v>9</v>
      </c>
      <c r="E316" s="23">
        <v>0.0457</v>
      </c>
      <c r="F316" s="68"/>
      <c r="G316" s="31"/>
      <c r="H316" s="37"/>
    </row>
    <row r="317" s="44" customFormat="1" ht="16.25" spans="1:8">
      <c r="A317" s="31"/>
      <c r="B317" s="39">
        <v>304</v>
      </c>
      <c r="C317" s="113">
        <v>160603</v>
      </c>
      <c r="D317" s="23">
        <v>6</v>
      </c>
      <c r="E317" s="23">
        <v>0.0478</v>
      </c>
      <c r="F317" s="68"/>
      <c r="G317" s="31"/>
      <c r="H317" s="37" t="s">
        <v>103</v>
      </c>
    </row>
    <row r="318" s="44" customFormat="1" ht="16.25" spans="1:8">
      <c r="A318" s="31"/>
      <c r="B318" s="39">
        <v>304</v>
      </c>
      <c r="C318" s="113">
        <v>160603</v>
      </c>
      <c r="D318" s="23">
        <v>4</v>
      </c>
      <c r="E318" s="23">
        <v>19.432</v>
      </c>
      <c r="F318" s="68"/>
      <c r="G318" s="31"/>
      <c r="H318" s="37"/>
    </row>
    <row r="319" s="44" customFormat="1" ht="16.25" spans="1:8">
      <c r="A319" s="31"/>
      <c r="B319" s="39">
        <v>304</v>
      </c>
      <c r="C319" s="113">
        <v>160603</v>
      </c>
      <c r="D319" s="23">
        <v>9</v>
      </c>
      <c r="E319" s="23">
        <v>0.0914</v>
      </c>
      <c r="F319" s="68"/>
      <c r="G319" s="31"/>
      <c r="H319" s="37"/>
    </row>
    <row r="320" s="44" customFormat="1" ht="16.25" spans="1:8">
      <c r="A320" s="31"/>
      <c r="B320" s="39">
        <v>304</v>
      </c>
      <c r="C320" s="113">
        <v>160703</v>
      </c>
      <c r="D320" s="23">
        <v>6</v>
      </c>
      <c r="E320" s="23">
        <v>0.0072</v>
      </c>
      <c r="F320" s="68"/>
      <c r="G320" s="31"/>
      <c r="H320" s="37" t="s">
        <v>107</v>
      </c>
    </row>
    <row r="321" s="44" customFormat="1" ht="16.25" spans="1:8">
      <c r="A321" s="31"/>
      <c r="B321" s="39">
        <v>304</v>
      </c>
      <c r="C321" s="113">
        <v>160703</v>
      </c>
      <c r="D321" s="23">
        <v>4</v>
      </c>
      <c r="E321" s="23">
        <v>19.432</v>
      </c>
      <c r="F321" s="68"/>
      <c r="G321" s="31"/>
      <c r="H321" s="37"/>
    </row>
    <row r="322" ht="16.25" spans="2:8">
      <c r="B322" s="39">
        <v>304</v>
      </c>
      <c r="C322" s="8">
        <v>160703</v>
      </c>
      <c r="D322" s="23">
        <v>9</v>
      </c>
      <c r="E322" s="23">
        <v>0.0457</v>
      </c>
      <c r="H322" s="37"/>
    </row>
    <row r="323" ht="16.25" spans="2:8">
      <c r="B323" s="39">
        <v>304</v>
      </c>
      <c r="C323" s="8">
        <v>160803</v>
      </c>
      <c r="D323" s="23">
        <v>6</v>
      </c>
      <c r="E323" s="23">
        <v>0.0382</v>
      </c>
      <c r="H323" s="37" t="s">
        <v>111</v>
      </c>
    </row>
    <row r="324" ht="16.25" spans="2:8">
      <c r="B324" s="39">
        <v>304</v>
      </c>
      <c r="C324" s="8">
        <v>160803</v>
      </c>
      <c r="D324" s="23">
        <v>4</v>
      </c>
      <c r="E324" s="23">
        <v>9.712</v>
      </c>
      <c r="H324" s="37"/>
    </row>
    <row r="325" ht="16.25" spans="2:8">
      <c r="B325" s="39">
        <v>304</v>
      </c>
      <c r="C325" s="8">
        <v>160803</v>
      </c>
      <c r="D325" s="23">
        <v>9</v>
      </c>
      <c r="E325" s="23">
        <v>0.0366</v>
      </c>
      <c r="H325" s="37"/>
    </row>
    <row r="326" ht="16.25" spans="2:8">
      <c r="B326" s="39">
        <v>304</v>
      </c>
      <c r="C326" s="8">
        <v>160903</v>
      </c>
      <c r="D326" s="23">
        <v>6</v>
      </c>
      <c r="E326" s="23">
        <v>0.0382</v>
      </c>
      <c r="H326" s="37" t="s">
        <v>115</v>
      </c>
    </row>
    <row r="327" ht="16.25" spans="2:8">
      <c r="B327" s="39">
        <v>304</v>
      </c>
      <c r="C327" s="8">
        <v>160903</v>
      </c>
      <c r="D327" s="23">
        <v>9</v>
      </c>
      <c r="E327" s="23">
        <v>0.0457</v>
      </c>
      <c r="H327" s="37"/>
    </row>
    <row r="328" ht="16.25" spans="2:8">
      <c r="B328" s="39">
        <v>304</v>
      </c>
      <c r="C328" s="8">
        <v>160903</v>
      </c>
      <c r="D328" s="23">
        <v>11</v>
      </c>
      <c r="E328" s="23">
        <v>0.0052</v>
      </c>
      <c r="H328" s="37"/>
    </row>
    <row r="329" ht="16.25" spans="2:8">
      <c r="B329" s="39">
        <v>304</v>
      </c>
      <c r="C329" s="8">
        <v>160903</v>
      </c>
      <c r="D329" s="23">
        <v>4</v>
      </c>
      <c r="E329" s="23">
        <v>9.712</v>
      </c>
      <c r="H329" s="37"/>
    </row>
    <row r="330" ht="16.25" spans="2:8">
      <c r="B330" s="31">
        <v>401</v>
      </c>
      <c r="C330" s="8">
        <v>120004</v>
      </c>
      <c r="D330" s="23" t="s">
        <v>227</v>
      </c>
      <c r="E330" s="8" t="s">
        <v>274</v>
      </c>
      <c r="H330" s="37" t="s">
        <v>28</v>
      </c>
    </row>
    <row r="331" ht="16.25" spans="2:8">
      <c r="B331" s="31">
        <v>401</v>
      </c>
      <c r="C331" s="8">
        <v>130004</v>
      </c>
      <c r="D331" s="23" t="s">
        <v>227</v>
      </c>
      <c r="E331" s="8" t="s">
        <v>275</v>
      </c>
      <c r="H331" s="37" t="s">
        <v>32</v>
      </c>
    </row>
    <row r="332" ht="16.25" spans="2:8">
      <c r="B332" s="31">
        <v>401</v>
      </c>
      <c r="C332" s="8">
        <v>140004</v>
      </c>
      <c r="D332" s="23" t="s">
        <v>227</v>
      </c>
      <c r="E332" s="8" t="s">
        <v>276</v>
      </c>
      <c r="H332" s="37" t="s">
        <v>36</v>
      </c>
    </row>
    <row r="333" ht="16.25" spans="2:8">
      <c r="B333" s="31">
        <v>401</v>
      </c>
      <c r="C333" s="8">
        <v>140104</v>
      </c>
      <c r="D333" s="23" t="s">
        <v>227</v>
      </c>
      <c r="E333" s="8" t="s">
        <v>277</v>
      </c>
      <c r="H333" s="37" t="s">
        <v>40</v>
      </c>
    </row>
    <row r="334" ht="16.25" spans="2:8">
      <c r="B334" s="31">
        <v>401</v>
      </c>
      <c r="C334" s="8">
        <v>140204</v>
      </c>
      <c r="D334" s="23" t="s">
        <v>227</v>
      </c>
      <c r="E334" s="8" t="s">
        <v>278</v>
      </c>
      <c r="H334" s="37" t="s">
        <v>44</v>
      </c>
    </row>
    <row r="335" ht="16.25" spans="2:8">
      <c r="B335" s="31">
        <v>401</v>
      </c>
      <c r="C335" s="8">
        <v>150104</v>
      </c>
      <c r="D335" s="23" t="s">
        <v>227</v>
      </c>
      <c r="E335" s="8" t="s">
        <v>279</v>
      </c>
      <c r="H335" s="37" t="s">
        <v>48</v>
      </c>
    </row>
    <row r="336" ht="16.25" spans="2:8">
      <c r="B336" s="31">
        <v>401</v>
      </c>
      <c r="C336" s="8">
        <v>150204</v>
      </c>
      <c r="D336" s="23" t="s">
        <v>227</v>
      </c>
      <c r="E336" s="8" t="s">
        <v>279</v>
      </c>
      <c r="H336" s="37" t="s">
        <v>52</v>
      </c>
    </row>
    <row r="337" ht="16.25" spans="2:8">
      <c r="B337" s="31">
        <v>401</v>
      </c>
      <c r="C337" s="8">
        <v>150304</v>
      </c>
      <c r="D337" s="23" t="s">
        <v>227</v>
      </c>
      <c r="E337" s="8" t="s">
        <v>279</v>
      </c>
      <c r="H337" s="37" t="s">
        <v>56</v>
      </c>
    </row>
    <row r="338" ht="16.25" spans="2:8">
      <c r="B338" s="31">
        <v>401</v>
      </c>
      <c r="C338" s="8">
        <v>150404</v>
      </c>
      <c r="D338" s="23" t="s">
        <v>227</v>
      </c>
      <c r="E338" s="8" t="s">
        <v>279</v>
      </c>
      <c r="H338" s="37" t="s">
        <v>60</v>
      </c>
    </row>
    <row r="339" ht="16.25" spans="2:8">
      <c r="B339" s="31">
        <v>401</v>
      </c>
      <c r="C339" s="8">
        <v>150504</v>
      </c>
      <c r="D339" s="23" t="s">
        <v>227</v>
      </c>
      <c r="E339" s="8" t="s">
        <v>279</v>
      </c>
      <c r="H339" s="37" t="s">
        <v>64</v>
      </c>
    </row>
    <row r="340" ht="16.25" spans="2:8">
      <c r="B340" s="31">
        <v>401</v>
      </c>
      <c r="C340" s="8">
        <v>150604</v>
      </c>
      <c r="D340" s="23" t="s">
        <v>227</v>
      </c>
      <c r="E340" s="8" t="s">
        <v>279</v>
      </c>
      <c r="H340" s="37" t="s">
        <v>68</v>
      </c>
    </row>
    <row r="341" ht="16.25" spans="2:8">
      <c r="B341" s="31">
        <v>401</v>
      </c>
      <c r="C341" s="8">
        <v>150704</v>
      </c>
      <c r="D341" s="23" t="s">
        <v>227</v>
      </c>
      <c r="E341" s="8" t="s">
        <v>279</v>
      </c>
      <c r="H341" s="37" t="s">
        <v>72</v>
      </c>
    </row>
    <row r="342" ht="16.25" spans="2:8">
      <c r="B342" s="31">
        <v>401</v>
      </c>
      <c r="C342" s="8">
        <v>150804</v>
      </c>
      <c r="D342" s="23" t="s">
        <v>227</v>
      </c>
      <c r="E342" s="8" t="s">
        <v>279</v>
      </c>
      <c r="H342" s="37" t="s">
        <v>76</v>
      </c>
    </row>
    <row r="343" ht="16.25" spans="2:8">
      <c r="B343" s="31">
        <v>401</v>
      </c>
      <c r="C343" s="8">
        <v>150904</v>
      </c>
      <c r="D343" s="23" t="s">
        <v>227</v>
      </c>
      <c r="E343" s="8" t="s">
        <v>279</v>
      </c>
      <c r="H343" s="37" t="s">
        <v>80</v>
      </c>
    </row>
    <row r="344" ht="16.25" spans="2:8">
      <c r="B344" s="31">
        <v>401</v>
      </c>
      <c r="C344" s="8">
        <v>160104</v>
      </c>
      <c r="D344" s="23" t="s">
        <v>227</v>
      </c>
      <c r="E344" s="8" t="s">
        <v>280</v>
      </c>
      <c r="H344" s="37" t="s">
        <v>84</v>
      </c>
    </row>
    <row r="345" ht="16.25" spans="2:8">
      <c r="B345" s="31">
        <v>401</v>
      </c>
      <c r="C345" s="8">
        <v>160204</v>
      </c>
      <c r="D345" s="23" t="s">
        <v>227</v>
      </c>
      <c r="E345" s="8" t="s">
        <v>280</v>
      </c>
      <c r="H345" s="37" t="s">
        <v>88</v>
      </c>
    </row>
    <row r="346" ht="16.25" spans="2:8">
      <c r="B346" s="31">
        <v>401</v>
      </c>
      <c r="C346" s="8">
        <v>160304</v>
      </c>
      <c r="D346" s="23" t="s">
        <v>227</v>
      </c>
      <c r="E346" s="8" t="s">
        <v>280</v>
      </c>
      <c r="H346" s="37" t="s">
        <v>92</v>
      </c>
    </row>
    <row r="347" ht="16.25" spans="2:8">
      <c r="B347" s="31">
        <v>401</v>
      </c>
      <c r="C347" s="8">
        <v>160404</v>
      </c>
      <c r="D347" s="23" t="s">
        <v>227</v>
      </c>
      <c r="E347" s="8" t="s">
        <v>280</v>
      </c>
      <c r="H347" s="37" t="s">
        <v>96</v>
      </c>
    </row>
    <row r="348" ht="16.25" spans="2:8">
      <c r="B348" s="31">
        <v>401</v>
      </c>
      <c r="C348" s="8">
        <v>160504</v>
      </c>
      <c r="D348" s="23" t="s">
        <v>227</v>
      </c>
      <c r="E348" s="8" t="s">
        <v>280</v>
      </c>
      <c r="H348" s="37" t="s">
        <v>100</v>
      </c>
    </row>
    <row r="349" ht="16.25" spans="2:8">
      <c r="B349" s="31">
        <v>401</v>
      </c>
      <c r="C349" s="8">
        <v>160604</v>
      </c>
      <c r="D349" s="23" t="s">
        <v>227</v>
      </c>
      <c r="E349" s="8" t="s">
        <v>280</v>
      </c>
      <c r="H349" s="37" t="s">
        <v>104</v>
      </c>
    </row>
    <row r="350" ht="16.25" spans="2:8">
      <c r="B350" s="31">
        <v>401</v>
      </c>
      <c r="C350" s="8">
        <v>160704</v>
      </c>
      <c r="D350" s="23" t="s">
        <v>227</v>
      </c>
      <c r="E350" s="8" t="s">
        <v>280</v>
      </c>
      <c r="H350" s="37" t="s">
        <v>108</v>
      </c>
    </row>
    <row r="351" ht="16.25" spans="2:8">
      <c r="B351" s="31">
        <v>401</v>
      </c>
      <c r="C351" s="8">
        <v>160804</v>
      </c>
      <c r="D351" s="23" t="s">
        <v>227</v>
      </c>
      <c r="E351" s="8" t="s">
        <v>280</v>
      </c>
      <c r="H351" s="37" t="s">
        <v>112</v>
      </c>
    </row>
    <row r="352" ht="16.25" spans="2:8">
      <c r="B352" s="31">
        <v>401</v>
      </c>
      <c r="C352" s="8">
        <v>160904</v>
      </c>
      <c r="D352" s="23" t="s">
        <v>227</v>
      </c>
      <c r="E352" s="8" t="s">
        <v>280</v>
      </c>
      <c r="H352" s="37" t="s">
        <v>116</v>
      </c>
    </row>
    <row r="353" ht="16.25" spans="2:8">
      <c r="B353" s="31">
        <v>402</v>
      </c>
      <c r="C353" s="8">
        <v>140004</v>
      </c>
      <c r="D353" s="23" t="s">
        <v>227</v>
      </c>
      <c r="E353" s="8" t="s">
        <v>281</v>
      </c>
      <c r="H353" s="37" t="s">
        <v>36</v>
      </c>
    </row>
    <row r="354" ht="16.25" spans="2:8">
      <c r="B354" s="31">
        <v>402</v>
      </c>
      <c r="C354" s="8">
        <v>140104</v>
      </c>
      <c r="D354" s="23" t="s">
        <v>227</v>
      </c>
      <c r="E354" s="8" t="s">
        <v>282</v>
      </c>
      <c r="H354" s="37" t="s">
        <v>40</v>
      </c>
    </row>
    <row r="355" ht="16.25" spans="2:8">
      <c r="B355" s="31">
        <v>402</v>
      </c>
      <c r="C355" s="8">
        <v>140204</v>
      </c>
      <c r="D355" s="23" t="s">
        <v>227</v>
      </c>
      <c r="E355" s="8" t="s">
        <v>283</v>
      </c>
      <c r="H355" s="37" t="s">
        <v>44</v>
      </c>
    </row>
    <row r="356" ht="16.25" spans="2:8">
      <c r="B356" s="31">
        <v>402</v>
      </c>
      <c r="C356" s="8">
        <v>150104</v>
      </c>
      <c r="D356" s="23" t="s">
        <v>227</v>
      </c>
      <c r="E356" s="8" t="s">
        <v>284</v>
      </c>
      <c r="H356" s="37" t="s">
        <v>48</v>
      </c>
    </row>
    <row r="357" ht="16.25" spans="2:8">
      <c r="B357" s="31">
        <v>402</v>
      </c>
      <c r="C357" s="8">
        <v>150204</v>
      </c>
      <c r="D357" s="23" t="s">
        <v>227</v>
      </c>
      <c r="E357" s="8" t="s">
        <v>284</v>
      </c>
      <c r="H357" s="37" t="s">
        <v>52</v>
      </c>
    </row>
    <row r="358" ht="16.25" spans="2:8">
      <c r="B358" s="31">
        <v>402</v>
      </c>
      <c r="C358" s="8">
        <v>150304</v>
      </c>
      <c r="D358" s="23" t="s">
        <v>227</v>
      </c>
      <c r="E358" s="8" t="s">
        <v>284</v>
      </c>
      <c r="H358" s="37" t="s">
        <v>56</v>
      </c>
    </row>
    <row r="359" ht="16.25" spans="2:8">
      <c r="B359" s="31">
        <v>402</v>
      </c>
      <c r="C359" s="8">
        <v>150404</v>
      </c>
      <c r="D359" s="23" t="s">
        <v>227</v>
      </c>
      <c r="E359" s="8" t="s">
        <v>284</v>
      </c>
      <c r="H359" s="37" t="s">
        <v>60</v>
      </c>
    </row>
    <row r="360" ht="16.25" spans="2:8">
      <c r="B360" s="31">
        <v>402</v>
      </c>
      <c r="C360" s="8">
        <v>150504</v>
      </c>
      <c r="D360" s="23" t="s">
        <v>227</v>
      </c>
      <c r="E360" s="8" t="s">
        <v>284</v>
      </c>
      <c r="H360" s="37" t="s">
        <v>64</v>
      </c>
    </row>
    <row r="361" ht="16.25" spans="2:8">
      <c r="B361" s="31">
        <v>402</v>
      </c>
      <c r="C361" s="8">
        <v>150604</v>
      </c>
      <c r="D361" s="23" t="s">
        <v>227</v>
      </c>
      <c r="E361" s="8" t="s">
        <v>284</v>
      </c>
      <c r="H361" s="37" t="s">
        <v>68</v>
      </c>
    </row>
    <row r="362" ht="16.25" spans="2:8">
      <c r="B362" s="31">
        <v>402</v>
      </c>
      <c r="C362" s="8">
        <v>150704</v>
      </c>
      <c r="D362" s="23" t="s">
        <v>227</v>
      </c>
      <c r="E362" s="8" t="s">
        <v>284</v>
      </c>
      <c r="H362" s="37" t="s">
        <v>72</v>
      </c>
    </row>
    <row r="363" ht="16.25" spans="2:8">
      <c r="B363" s="31">
        <v>402</v>
      </c>
      <c r="C363" s="8">
        <v>150804</v>
      </c>
      <c r="D363" s="23" t="s">
        <v>227</v>
      </c>
      <c r="E363" s="8" t="s">
        <v>284</v>
      </c>
      <c r="H363" s="37" t="s">
        <v>76</v>
      </c>
    </row>
    <row r="364" ht="16.25" spans="2:8">
      <c r="B364" s="31">
        <v>402</v>
      </c>
      <c r="C364" s="8">
        <v>150904</v>
      </c>
      <c r="D364" s="23" t="s">
        <v>227</v>
      </c>
      <c r="E364" s="8" t="s">
        <v>284</v>
      </c>
      <c r="H364" s="37" t="s">
        <v>80</v>
      </c>
    </row>
    <row r="365" ht="16.25" spans="2:8">
      <c r="B365" s="31">
        <v>402</v>
      </c>
      <c r="C365" s="8">
        <v>160104</v>
      </c>
      <c r="D365" s="23" t="s">
        <v>227</v>
      </c>
      <c r="E365" s="8" t="s">
        <v>285</v>
      </c>
      <c r="H365" s="37" t="s">
        <v>84</v>
      </c>
    </row>
    <row r="366" ht="16.25" spans="2:8">
      <c r="B366" s="31">
        <v>402</v>
      </c>
      <c r="C366" s="8">
        <v>160204</v>
      </c>
      <c r="D366" s="23" t="s">
        <v>227</v>
      </c>
      <c r="E366" s="8" t="s">
        <v>285</v>
      </c>
      <c r="H366" s="37" t="s">
        <v>88</v>
      </c>
    </row>
    <row r="367" ht="16.25" spans="2:8">
      <c r="B367" s="31">
        <v>402</v>
      </c>
      <c r="C367" s="8">
        <v>160304</v>
      </c>
      <c r="D367" s="23" t="s">
        <v>227</v>
      </c>
      <c r="E367" s="8" t="s">
        <v>285</v>
      </c>
      <c r="H367" s="37" t="s">
        <v>92</v>
      </c>
    </row>
    <row r="368" ht="16.25" spans="2:8">
      <c r="B368" s="31">
        <v>402</v>
      </c>
      <c r="C368" s="8">
        <v>160404</v>
      </c>
      <c r="D368" s="23" t="s">
        <v>227</v>
      </c>
      <c r="E368" s="8" t="s">
        <v>285</v>
      </c>
      <c r="H368" s="37" t="s">
        <v>96</v>
      </c>
    </row>
    <row r="369" ht="16.25" spans="2:8">
      <c r="B369" s="31">
        <v>402</v>
      </c>
      <c r="C369" s="8">
        <v>160504</v>
      </c>
      <c r="D369" s="23" t="s">
        <v>227</v>
      </c>
      <c r="E369" s="8" t="s">
        <v>285</v>
      </c>
      <c r="H369" s="37" t="s">
        <v>100</v>
      </c>
    </row>
    <row r="370" ht="16.25" spans="2:8">
      <c r="B370" s="31">
        <v>402</v>
      </c>
      <c r="C370" s="8">
        <v>160604</v>
      </c>
      <c r="D370" s="23" t="s">
        <v>227</v>
      </c>
      <c r="E370" s="8" t="s">
        <v>285</v>
      </c>
      <c r="H370" s="37" t="s">
        <v>104</v>
      </c>
    </row>
    <row r="371" ht="16.25" spans="2:8">
      <c r="B371" s="31">
        <v>402</v>
      </c>
      <c r="C371" s="8">
        <v>160704</v>
      </c>
      <c r="D371" s="23" t="s">
        <v>227</v>
      </c>
      <c r="E371" s="8" t="s">
        <v>285</v>
      </c>
      <c r="H371" s="37" t="s">
        <v>108</v>
      </c>
    </row>
    <row r="372" ht="16.25" spans="2:8">
      <c r="B372" s="31">
        <v>402</v>
      </c>
      <c r="C372" s="8">
        <v>160804</v>
      </c>
      <c r="D372" s="23" t="s">
        <v>227</v>
      </c>
      <c r="E372" s="8" t="s">
        <v>285</v>
      </c>
      <c r="H372" s="37" t="s">
        <v>112</v>
      </c>
    </row>
    <row r="373" ht="16.25" spans="2:8">
      <c r="B373" s="31">
        <v>402</v>
      </c>
      <c r="C373" s="8">
        <v>160904</v>
      </c>
      <c r="D373" s="23" t="s">
        <v>227</v>
      </c>
      <c r="E373" s="8" t="s">
        <v>285</v>
      </c>
      <c r="H373" s="37" t="s">
        <v>116</v>
      </c>
    </row>
    <row r="374" ht="16.25" spans="2:8">
      <c r="B374" s="31">
        <v>403</v>
      </c>
      <c r="C374" s="8">
        <v>150104</v>
      </c>
      <c r="D374" s="12">
        <v>10</v>
      </c>
      <c r="E374" s="8">
        <v>0.0163</v>
      </c>
      <c r="H374" s="37" t="s">
        <v>48</v>
      </c>
    </row>
    <row r="375" ht="16.25" spans="2:8">
      <c r="B375" s="31">
        <v>403</v>
      </c>
      <c r="C375" s="8">
        <v>150204</v>
      </c>
      <c r="D375" s="12" t="s">
        <v>286</v>
      </c>
      <c r="E375" s="8" t="s">
        <v>287</v>
      </c>
      <c r="H375" s="37" t="s">
        <v>52</v>
      </c>
    </row>
    <row r="376" ht="16.25" spans="2:8">
      <c r="B376" s="31">
        <v>403</v>
      </c>
      <c r="C376" s="8">
        <v>150304</v>
      </c>
      <c r="D376" s="12" t="s">
        <v>288</v>
      </c>
      <c r="E376" s="8" t="s">
        <v>289</v>
      </c>
      <c r="H376" s="37" t="s">
        <v>56</v>
      </c>
    </row>
    <row r="377" ht="16.25" spans="2:8">
      <c r="B377" s="31">
        <v>403</v>
      </c>
      <c r="C377" s="8">
        <v>150404</v>
      </c>
      <c r="D377" s="12">
        <v>5</v>
      </c>
      <c r="E377" s="8">
        <v>0.012</v>
      </c>
      <c r="H377" s="37" t="s">
        <v>60</v>
      </c>
    </row>
    <row r="378" ht="16.25" spans="2:8">
      <c r="B378" s="31">
        <v>403</v>
      </c>
      <c r="C378" s="8">
        <v>150504</v>
      </c>
      <c r="D378" s="12">
        <v>7</v>
      </c>
      <c r="E378" s="8">
        <v>0.0034</v>
      </c>
      <c r="H378" s="37" t="s">
        <v>64</v>
      </c>
    </row>
    <row r="379" ht="16.25" spans="2:8">
      <c r="B379" s="31">
        <v>403</v>
      </c>
      <c r="C379" s="8">
        <v>150604</v>
      </c>
      <c r="D379" s="12">
        <v>7</v>
      </c>
      <c r="E379" s="8">
        <v>0.0017</v>
      </c>
      <c r="H379" s="37" t="s">
        <v>68</v>
      </c>
    </row>
    <row r="380" ht="16.25" spans="2:8">
      <c r="B380" s="31">
        <v>403</v>
      </c>
      <c r="C380" s="8">
        <v>150704</v>
      </c>
      <c r="D380" s="12">
        <v>7</v>
      </c>
      <c r="E380" s="8">
        <v>0.0172</v>
      </c>
      <c r="H380" s="37" t="s">
        <v>72</v>
      </c>
    </row>
    <row r="381" ht="16.25" spans="2:8">
      <c r="B381" s="31">
        <v>403</v>
      </c>
      <c r="C381" s="8">
        <v>150804</v>
      </c>
      <c r="D381" s="12" t="s">
        <v>290</v>
      </c>
      <c r="E381" s="8" t="s">
        <v>291</v>
      </c>
      <c r="H381" s="37" t="s">
        <v>76</v>
      </c>
    </row>
    <row r="382" ht="16.25" spans="2:8">
      <c r="B382" s="31">
        <v>403</v>
      </c>
      <c r="C382" s="8">
        <v>150904</v>
      </c>
      <c r="D382" s="12" t="s">
        <v>292</v>
      </c>
      <c r="E382" s="8" t="s">
        <v>293</v>
      </c>
      <c r="H382" s="37" t="s">
        <v>80</v>
      </c>
    </row>
    <row r="383" ht="16.25" spans="2:8">
      <c r="B383" s="31">
        <v>403</v>
      </c>
      <c r="C383" s="8">
        <v>160104</v>
      </c>
      <c r="D383" s="21">
        <v>10</v>
      </c>
      <c r="E383" s="8">
        <v>0.0272</v>
      </c>
      <c r="H383" s="37" t="s">
        <v>84</v>
      </c>
    </row>
    <row r="384" ht="16.25" spans="2:8">
      <c r="B384" s="31">
        <v>403</v>
      </c>
      <c r="C384" s="8">
        <v>160204</v>
      </c>
      <c r="D384" s="21" t="s">
        <v>286</v>
      </c>
      <c r="E384" s="8" t="s">
        <v>294</v>
      </c>
      <c r="H384" s="37" t="s">
        <v>88</v>
      </c>
    </row>
    <row r="385" ht="16.25" spans="2:8">
      <c r="B385" s="31">
        <v>403</v>
      </c>
      <c r="C385" s="8">
        <v>160304</v>
      </c>
      <c r="D385" s="21" t="s">
        <v>288</v>
      </c>
      <c r="E385" s="8" t="s">
        <v>295</v>
      </c>
      <c r="H385" s="37" t="s">
        <v>92</v>
      </c>
    </row>
    <row r="386" ht="16.25" spans="2:8">
      <c r="B386" s="31">
        <v>403</v>
      </c>
      <c r="C386" s="8">
        <v>160404</v>
      </c>
      <c r="D386" s="21">
        <v>5</v>
      </c>
      <c r="E386" s="8">
        <v>0.02</v>
      </c>
      <c r="H386" s="37" t="s">
        <v>96</v>
      </c>
    </row>
    <row r="387" ht="16.25" spans="2:8">
      <c r="B387" s="31">
        <v>403</v>
      </c>
      <c r="C387" s="8">
        <v>160504</v>
      </c>
      <c r="D387" s="21">
        <v>7</v>
      </c>
      <c r="E387" s="8">
        <v>0.0058</v>
      </c>
      <c r="H387" s="37" t="s">
        <v>100</v>
      </c>
    </row>
    <row r="388" ht="16.25" spans="2:8">
      <c r="B388" s="31">
        <v>403</v>
      </c>
      <c r="C388" s="8">
        <v>160604</v>
      </c>
      <c r="D388" s="21">
        <v>7</v>
      </c>
      <c r="E388" s="8">
        <v>0.0029</v>
      </c>
      <c r="H388" s="37" t="s">
        <v>104</v>
      </c>
    </row>
    <row r="389" ht="16.25" spans="2:8">
      <c r="B389" s="31">
        <v>403</v>
      </c>
      <c r="C389" s="8">
        <v>160704</v>
      </c>
      <c r="D389" s="21">
        <v>7</v>
      </c>
      <c r="E389" s="8">
        <v>0.0029</v>
      </c>
      <c r="H389" s="37" t="s">
        <v>108</v>
      </c>
    </row>
    <row r="390" ht="16.25" spans="2:8">
      <c r="B390" s="31">
        <v>403</v>
      </c>
      <c r="C390" s="8">
        <v>160804</v>
      </c>
      <c r="D390" s="21" t="s">
        <v>290</v>
      </c>
      <c r="E390" s="8" t="s">
        <v>296</v>
      </c>
      <c r="H390" s="37" t="s">
        <v>112</v>
      </c>
    </row>
    <row r="391" ht="16.25" spans="2:8">
      <c r="B391" s="31">
        <v>403</v>
      </c>
      <c r="C391" s="8">
        <v>160904</v>
      </c>
      <c r="D391" s="21" t="s">
        <v>292</v>
      </c>
      <c r="E391" s="8" t="s">
        <v>297</v>
      </c>
      <c r="H391" s="37" t="s">
        <v>116</v>
      </c>
    </row>
    <row r="392" ht="16.25" spans="2:8">
      <c r="B392" s="31">
        <v>404</v>
      </c>
      <c r="C392" s="8">
        <v>150104</v>
      </c>
      <c r="D392" s="23">
        <v>10</v>
      </c>
      <c r="E392" s="8">
        <v>0.0311</v>
      </c>
      <c r="H392" s="38" t="s">
        <v>48</v>
      </c>
    </row>
    <row r="393" ht="16.25" spans="2:8">
      <c r="B393" s="31">
        <v>404</v>
      </c>
      <c r="C393" s="8">
        <v>150104</v>
      </c>
      <c r="D393" s="23">
        <v>4</v>
      </c>
      <c r="E393" s="8">
        <v>11.656</v>
      </c>
      <c r="H393" s="38"/>
    </row>
    <row r="394" ht="16.25" spans="2:8">
      <c r="B394" s="31">
        <v>404</v>
      </c>
      <c r="C394" s="8">
        <v>150204</v>
      </c>
      <c r="D394" s="23">
        <v>10</v>
      </c>
      <c r="E394" s="8">
        <v>0.0078</v>
      </c>
      <c r="H394" s="38" t="s">
        <v>52</v>
      </c>
    </row>
    <row r="395" ht="16.25" spans="2:8">
      <c r="B395" s="31">
        <v>404</v>
      </c>
      <c r="C395" s="8">
        <v>150204</v>
      </c>
      <c r="D395" s="23">
        <v>4</v>
      </c>
      <c r="E395" s="8">
        <v>11.656</v>
      </c>
      <c r="H395" s="38"/>
    </row>
    <row r="396" ht="16.25" spans="2:8">
      <c r="B396" s="31">
        <v>404</v>
      </c>
      <c r="C396" s="8">
        <v>150204</v>
      </c>
      <c r="D396" s="23">
        <v>35</v>
      </c>
      <c r="E396" s="8">
        <v>0.0246</v>
      </c>
      <c r="H396" s="38"/>
    </row>
    <row r="397" ht="16.25" spans="2:8">
      <c r="B397" s="31">
        <v>404</v>
      </c>
      <c r="C397" s="8">
        <v>150304</v>
      </c>
      <c r="D397" s="23">
        <v>5</v>
      </c>
      <c r="E397" s="8">
        <v>0.0143</v>
      </c>
      <c r="H397" s="38" t="s">
        <v>56</v>
      </c>
    </row>
    <row r="398" ht="16.25" spans="2:8">
      <c r="B398" s="31">
        <v>404</v>
      </c>
      <c r="C398" s="8">
        <v>150304</v>
      </c>
      <c r="D398" s="23">
        <v>26</v>
      </c>
      <c r="E398" s="8">
        <v>0.0197</v>
      </c>
      <c r="H398" s="38"/>
    </row>
    <row r="399" ht="16.25" spans="2:8">
      <c r="B399" s="31">
        <v>404</v>
      </c>
      <c r="C399" s="8">
        <v>150304</v>
      </c>
      <c r="D399" s="23">
        <v>4</v>
      </c>
      <c r="E399" s="8">
        <v>11.656</v>
      </c>
      <c r="H399" s="38"/>
    </row>
    <row r="400" ht="16.25" spans="2:8">
      <c r="B400" s="31">
        <v>404</v>
      </c>
      <c r="C400" s="8">
        <v>150404</v>
      </c>
      <c r="D400" s="23">
        <v>5</v>
      </c>
      <c r="E400" s="8">
        <v>0.023</v>
      </c>
      <c r="H400" s="38" t="s">
        <v>60</v>
      </c>
    </row>
    <row r="401" ht="16.25" spans="2:8">
      <c r="B401" s="31">
        <v>404</v>
      </c>
      <c r="C401" s="8">
        <v>150404</v>
      </c>
      <c r="D401" s="23">
        <v>4</v>
      </c>
      <c r="E401" s="8">
        <v>11.656</v>
      </c>
      <c r="H401" s="38"/>
    </row>
    <row r="402" ht="16.25" spans="2:8">
      <c r="B402" s="31">
        <v>404</v>
      </c>
      <c r="C402" s="8">
        <v>150504</v>
      </c>
      <c r="D402" s="23">
        <v>7</v>
      </c>
      <c r="E402" s="8">
        <v>0.0066</v>
      </c>
      <c r="H402" s="38" t="s">
        <v>64</v>
      </c>
    </row>
    <row r="403" ht="16.25" spans="2:8">
      <c r="B403" s="31">
        <v>404</v>
      </c>
      <c r="C403" s="8">
        <v>150504</v>
      </c>
      <c r="D403" s="23">
        <v>4</v>
      </c>
      <c r="E403" s="8">
        <v>11.656</v>
      </c>
      <c r="H403" s="38"/>
    </row>
    <row r="404" ht="16.25" spans="2:8">
      <c r="B404" s="31">
        <v>404</v>
      </c>
      <c r="C404" s="8">
        <v>150604</v>
      </c>
      <c r="D404" s="23">
        <v>7</v>
      </c>
      <c r="E404" s="8">
        <v>0.0033</v>
      </c>
      <c r="H404" s="38" t="s">
        <v>68</v>
      </c>
    </row>
    <row r="405" ht="16.25" spans="2:8">
      <c r="B405" s="31">
        <v>404</v>
      </c>
      <c r="C405" s="8">
        <v>150604</v>
      </c>
      <c r="D405" s="23">
        <v>4</v>
      </c>
      <c r="E405" s="8">
        <v>11.656</v>
      </c>
      <c r="H405" s="38"/>
    </row>
    <row r="406" ht="16.25" spans="2:8">
      <c r="B406" s="31">
        <v>404</v>
      </c>
      <c r="C406" s="8">
        <v>150704</v>
      </c>
      <c r="D406" s="23">
        <v>7</v>
      </c>
      <c r="E406" s="8">
        <v>0.0327</v>
      </c>
      <c r="H406" s="38" t="s">
        <v>72</v>
      </c>
    </row>
    <row r="407" ht="16.25" spans="2:8">
      <c r="B407" s="31">
        <v>404</v>
      </c>
      <c r="C407" s="8">
        <v>150704</v>
      </c>
      <c r="D407" s="23">
        <v>4</v>
      </c>
      <c r="E407" s="8">
        <v>11.656</v>
      </c>
      <c r="H407" s="38"/>
    </row>
    <row r="408" ht="16.25" spans="2:8">
      <c r="B408" s="31">
        <v>404</v>
      </c>
      <c r="C408" s="8">
        <v>150804</v>
      </c>
      <c r="D408" s="23">
        <v>10</v>
      </c>
      <c r="E408" s="8">
        <v>0.0046</v>
      </c>
      <c r="H408" s="38" t="s">
        <v>76</v>
      </c>
    </row>
    <row r="409" ht="16.25" spans="2:8">
      <c r="B409" s="31">
        <v>404</v>
      </c>
      <c r="C409" s="8">
        <v>150804</v>
      </c>
      <c r="D409" s="23">
        <v>26</v>
      </c>
      <c r="E409" s="8">
        <v>0.0098</v>
      </c>
      <c r="H409" s="38"/>
    </row>
    <row r="410" ht="16.25" spans="2:8">
      <c r="B410" s="31">
        <v>404</v>
      </c>
      <c r="C410" s="8">
        <v>150804</v>
      </c>
      <c r="D410" s="23">
        <v>7</v>
      </c>
      <c r="E410" s="8">
        <v>0.0164</v>
      </c>
      <c r="H410" s="38"/>
    </row>
    <row r="411" ht="16.25" spans="2:8">
      <c r="B411" s="31">
        <v>404</v>
      </c>
      <c r="C411" s="8">
        <v>150804</v>
      </c>
      <c r="D411" s="23">
        <v>4</v>
      </c>
      <c r="E411" s="8">
        <v>5.832</v>
      </c>
      <c r="H411" s="38"/>
    </row>
    <row r="412" ht="16.25" spans="2:8">
      <c r="B412" s="31">
        <v>404</v>
      </c>
      <c r="C412" s="8">
        <v>150904</v>
      </c>
      <c r="D412" s="23">
        <v>7</v>
      </c>
      <c r="E412" s="8">
        <v>0.0164</v>
      </c>
      <c r="H412" s="38" t="s">
        <v>80</v>
      </c>
    </row>
    <row r="413" ht="16.25" spans="2:8">
      <c r="B413" s="31">
        <v>404</v>
      </c>
      <c r="C413" s="8">
        <v>150904</v>
      </c>
      <c r="D413" s="23">
        <v>10</v>
      </c>
      <c r="E413" s="8">
        <v>0.0046</v>
      </c>
      <c r="H413" s="44"/>
    </row>
    <row r="414" ht="16.25" spans="2:8">
      <c r="B414" s="31">
        <v>404</v>
      </c>
      <c r="C414" s="8">
        <v>150904</v>
      </c>
      <c r="D414" s="23">
        <v>4</v>
      </c>
      <c r="E414" s="8">
        <v>5.832</v>
      </c>
      <c r="H414" s="44"/>
    </row>
    <row r="415" ht="16.25" spans="2:8">
      <c r="B415" s="31">
        <v>404</v>
      </c>
      <c r="C415" s="8">
        <v>160104</v>
      </c>
      <c r="D415" s="23">
        <v>10</v>
      </c>
      <c r="E415" s="8">
        <v>0.0518</v>
      </c>
      <c r="H415" s="37" t="s">
        <v>84</v>
      </c>
    </row>
    <row r="416" ht="16.25" spans="2:8">
      <c r="B416" s="31">
        <v>404</v>
      </c>
      <c r="C416" s="8">
        <v>160104</v>
      </c>
      <c r="D416" s="23">
        <v>4</v>
      </c>
      <c r="E416" s="8">
        <v>19.432</v>
      </c>
      <c r="H416" s="37"/>
    </row>
    <row r="417" ht="16.25" spans="2:8">
      <c r="B417" s="31">
        <v>404</v>
      </c>
      <c r="C417" s="8">
        <v>160204</v>
      </c>
      <c r="D417" s="23">
        <v>10</v>
      </c>
      <c r="E417" s="8">
        <v>0.013</v>
      </c>
      <c r="H417" s="37" t="s">
        <v>88</v>
      </c>
    </row>
    <row r="418" ht="16.25" spans="2:8">
      <c r="B418" s="31">
        <v>404</v>
      </c>
      <c r="C418" s="8">
        <v>160204</v>
      </c>
      <c r="D418" s="23">
        <v>4</v>
      </c>
      <c r="E418" s="8">
        <v>19.432</v>
      </c>
      <c r="H418" s="37"/>
    </row>
    <row r="419" ht="16.25" spans="2:8">
      <c r="B419" s="31">
        <v>404</v>
      </c>
      <c r="C419" s="8">
        <v>160204</v>
      </c>
      <c r="D419" s="23">
        <v>35</v>
      </c>
      <c r="E419" s="8">
        <v>0.041</v>
      </c>
      <c r="H419" s="37"/>
    </row>
    <row r="420" ht="16.25" spans="2:8">
      <c r="B420" s="31">
        <v>404</v>
      </c>
      <c r="C420" s="8">
        <v>160304</v>
      </c>
      <c r="D420" s="23">
        <v>5</v>
      </c>
      <c r="E420" s="8">
        <v>0.0239</v>
      </c>
      <c r="H420" s="37" t="s">
        <v>92</v>
      </c>
    </row>
    <row r="421" ht="16.25" spans="2:8">
      <c r="B421" s="31">
        <v>404</v>
      </c>
      <c r="C421" s="8">
        <v>160304</v>
      </c>
      <c r="D421" s="23">
        <v>26</v>
      </c>
      <c r="E421" s="8">
        <v>0.0327</v>
      </c>
      <c r="H421" s="37"/>
    </row>
    <row r="422" ht="16.25" spans="2:8">
      <c r="B422" s="31">
        <v>404</v>
      </c>
      <c r="C422" s="8">
        <v>160304</v>
      </c>
      <c r="D422" s="23">
        <v>4</v>
      </c>
      <c r="E422" s="8">
        <v>19.432</v>
      </c>
      <c r="H422" s="37"/>
    </row>
    <row r="423" ht="16.25" spans="2:8">
      <c r="B423" s="31">
        <v>404</v>
      </c>
      <c r="C423" s="8">
        <v>160404</v>
      </c>
      <c r="D423" s="23">
        <v>5</v>
      </c>
      <c r="E423" s="8">
        <v>0.0382</v>
      </c>
      <c r="H423" s="37" t="s">
        <v>96</v>
      </c>
    </row>
    <row r="424" ht="16.25" spans="2:8">
      <c r="B424" s="31">
        <v>404</v>
      </c>
      <c r="C424" s="8">
        <v>160404</v>
      </c>
      <c r="D424" s="23">
        <v>4</v>
      </c>
      <c r="E424" s="8">
        <v>19.432</v>
      </c>
      <c r="H424" s="37"/>
    </row>
    <row r="425" ht="16.25" spans="2:8">
      <c r="B425" s="31">
        <v>404</v>
      </c>
      <c r="C425" s="8">
        <v>160504</v>
      </c>
      <c r="D425" s="23">
        <v>7</v>
      </c>
      <c r="E425" s="8">
        <v>0.0109</v>
      </c>
      <c r="H425" s="37" t="s">
        <v>100</v>
      </c>
    </row>
    <row r="426" ht="16.25" spans="2:8">
      <c r="B426" s="31">
        <v>404</v>
      </c>
      <c r="C426" s="8">
        <v>160504</v>
      </c>
      <c r="D426" s="23">
        <v>4</v>
      </c>
      <c r="E426" s="8">
        <v>19.432</v>
      </c>
      <c r="H426" s="37"/>
    </row>
    <row r="427" ht="16.25" spans="2:8">
      <c r="B427" s="31">
        <v>404</v>
      </c>
      <c r="C427" s="8">
        <v>160604</v>
      </c>
      <c r="D427" s="23">
        <v>7</v>
      </c>
      <c r="E427" s="8">
        <v>0.0054</v>
      </c>
      <c r="H427" s="37" t="s">
        <v>104</v>
      </c>
    </row>
    <row r="428" ht="16.25" spans="2:8">
      <c r="B428" s="31">
        <v>404</v>
      </c>
      <c r="C428" s="8">
        <v>160604</v>
      </c>
      <c r="D428" s="23">
        <v>4</v>
      </c>
      <c r="E428" s="8">
        <v>19.432</v>
      </c>
      <c r="H428" s="37"/>
    </row>
    <row r="429" ht="16.25" spans="2:8">
      <c r="B429" s="31">
        <v>404</v>
      </c>
      <c r="C429" s="8">
        <v>160704</v>
      </c>
      <c r="D429" s="23">
        <v>7</v>
      </c>
      <c r="E429" s="8">
        <v>0.0546</v>
      </c>
      <c r="H429" s="37" t="s">
        <v>108</v>
      </c>
    </row>
    <row r="430" ht="16.25" spans="2:8">
      <c r="B430" s="31">
        <v>404</v>
      </c>
      <c r="C430" s="8">
        <v>160704</v>
      </c>
      <c r="D430" s="23">
        <v>4</v>
      </c>
      <c r="E430" s="8">
        <v>19.432</v>
      </c>
      <c r="H430" s="37"/>
    </row>
    <row r="431" ht="16.25" spans="2:8">
      <c r="B431" s="31">
        <v>404</v>
      </c>
      <c r="C431" s="8">
        <v>160804</v>
      </c>
      <c r="D431" s="23">
        <v>10</v>
      </c>
      <c r="E431" s="8">
        <v>0.0078</v>
      </c>
      <c r="H431" s="37" t="s">
        <v>112</v>
      </c>
    </row>
    <row r="432" ht="16.25" spans="2:8">
      <c r="B432" s="31">
        <v>404</v>
      </c>
      <c r="C432" s="8">
        <v>160804</v>
      </c>
      <c r="D432" s="23">
        <v>26</v>
      </c>
      <c r="E432" s="8">
        <v>0.0164</v>
      </c>
      <c r="H432" s="37"/>
    </row>
    <row r="433" ht="16.25" spans="2:8">
      <c r="B433" s="31">
        <v>404</v>
      </c>
      <c r="C433" s="8">
        <v>160804</v>
      </c>
      <c r="D433" s="23">
        <v>7</v>
      </c>
      <c r="E433" s="8">
        <v>0.0273</v>
      </c>
      <c r="H433" s="37"/>
    </row>
    <row r="434" ht="16.25" spans="2:8">
      <c r="B434" s="31">
        <v>404</v>
      </c>
      <c r="C434" s="8">
        <v>160804</v>
      </c>
      <c r="D434" s="23">
        <v>4</v>
      </c>
      <c r="E434" s="8">
        <v>9.712</v>
      </c>
      <c r="H434" s="37"/>
    </row>
    <row r="435" ht="16.25" spans="2:8">
      <c r="B435" s="31">
        <v>404</v>
      </c>
      <c r="C435" s="8">
        <v>160904</v>
      </c>
      <c r="D435" s="23">
        <v>7</v>
      </c>
      <c r="E435" s="8">
        <v>0.0273</v>
      </c>
      <c r="H435" s="37" t="s">
        <v>116</v>
      </c>
    </row>
    <row r="436" ht="16.25" spans="2:8">
      <c r="B436" s="31">
        <v>404</v>
      </c>
      <c r="C436" s="8">
        <v>160904</v>
      </c>
      <c r="D436" s="23">
        <v>10</v>
      </c>
      <c r="E436" s="8">
        <v>0.0078</v>
      </c>
      <c r="H436" s="59"/>
    </row>
    <row r="437" ht="16.25" spans="2:8">
      <c r="B437" s="31">
        <v>404</v>
      </c>
      <c r="C437" s="8">
        <v>160904</v>
      </c>
      <c r="D437" s="23">
        <v>4</v>
      </c>
      <c r="E437" s="8">
        <v>9.712</v>
      </c>
      <c r="H437" s="5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81"/>
  <sheetViews>
    <sheetView workbookViewId="0">
      <pane ySplit="1" topLeftCell="A695" activePane="bottomLeft" state="frozen"/>
      <selection/>
      <selection pane="bottomLeft" activeCell="B721" sqref="B721"/>
    </sheetView>
  </sheetViews>
  <sheetFormatPr defaultColWidth="8.61261261261261" defaultRowHeight="14.1"/>
  <cols>
    <col min="4" max="4" width="15.8108108108108" customWidth="1"/>
    <col min="5" max="5" width="9.01801801801802" customWidth="1"/>
    <col min="6" max="7" width="8.58558558558559" customWidth="1"/>
    <col min="9" max="14" width="8.58558558558559" customWidth="1"/>
    <col min="17" max="17" width="12.7837837837838"/>
    <col min="18" max="18" width="2.46846846846847" style="64" customWidth="1"/>
    <col min="19" max="19" width="7.46846846846847" customWidth="1"/>
    <col min="20" max="20" width="2.46846846846847" style="64" customWidth="1"/>
    <col min="26" max="26" width="22.9369369369369" style="65" customWidth="1"/>
    <col min="27" max="27" width="22.9369369369369" style="8" customWidth="1"/>
    <col min="32" max="32" width="29.6486486486486" customWidth="1"/>
  </cols>
  <sheetData>
    <row r="1" spans="2:30">
      <c r="B1" s="6" t="s">
        <v>298</v>
      </c>
      <c r="C1" t="s">
        <v>208</v>
      </c>
      <c r="D1" s="66"/>
      <c r="E1" s="66"/>
      <c r="F1" s="66"/>
      <c r="G1" s="66"/>
      <c r="H1" t="s">
        <v>208</v>
      </c>
      <c r="I1" s="66"/>
      <c r="J1" s="66"/>
      <c r="K1" s="66"/>
      <c r="L1" s="66"/>
      <c r="M1" s="66"/>
      <c r="N1" s="66"/>
      <c r="O1" s="66"/>
      <c r="P1" s="83" t="s">
        <v>299</v>
      </c>
      <c r="Q1" s="85">
        <v>0.8</v>
      </c>
      <c r="V1" s="86"/>
      <c r="W1" s="86"/>
      <c r="X1" s="86"/>
      <c r="Z1" s="87"/>
      <c r="AA1" s="88" t="s">
        <v>300</v>
      </c>
      <c r="AB1" s="86"/>
      <c r="AC1" s="86"/>
      <c r="AD1" s="86"/>
    </row>
    <row r="2" ht="16.25" spans="1:32">
      <c r="A2" s="45">
        <v>101</v>
      </c>
      <c r="B2" s="67">
        <v>220001</v>
      </c>
      <c r="C2" s="68">
        <v>1</v>
      </c>
      <c r="D2" s="69">
        <v>46</v>
      </c>
      <c r="E2" s="69"/>
      <c r="F2" s="69"/>
      <c r="G2" s="70"/>
      <c r="H2" s="68">
        <v>1</v>
      </c>
      <c r="I2" s="70"/>
      <c r="J2" s="70"/>
      <c r="K2" s="84">
        <f t="shared" ref="K2:K65" si="0">IF(D2="","",IF(OR(RIGHT($A2,1)="1",RIGHT($A2,1)="2"),D2,IF(H2=4,D2*2,D2*6)))</f>
        <v>46</v>
      </c>
      <c r="L2" s="84" t="str">
        <f t="shared" ref="L2:L65" si="1">IF(E2="","",IF(OR(RIGHT($A2,1)="1",RIGHT($A2,1)="2"),E2,IF(I2=4,E2*2,E2*6)))</f>
        <v/>
      </c>
      <c r="M2" s="84" t="str">
        <f t="shared" ref="M2:M65" si="2">IF(F2="","",IF(OR(RIGHT($A2,1)="1",RIGHT($A2,1)="2"),F2,IF(J2=4,F2*2,F2*6)))</f>
        <v/>
      </c>
      <c r="N2" s="84" t="str">
        <f t="shared" ref="N2:N65" si="3">IF(G2="","",IF(OR(RIGHT($A2,1)="1",RIGHT($A2,1)="2"),G2,IF(J2=4,G2*2,G2*6)))</f>
        <v/>
      </c>
      <c r="P2">
        <f>B2-100000</f>
        <v>120001</v>
      </c>
      <c r="Q2">
        <f>ROUND(D2*$Q$1,0)</f>
        <v>37</v>
      </c>
      <c r="V2">
        <f t="shared" ref="V2:X2" si="4">IF(K2="","",IF(K2&lt;1,ROUND(K2,4),CEILING(K2,5)))</f>
        <v>50</v>
      </c>
      <c r="W2" t="str">
        <f t="shared" si="4"/>
        <v/>
      </c>
      <c r="X2" t="str">
        <f t="shared" si="4"/>
        <v/>
      </c>
      <c r="AB2" t="str">
        <f>_xlfn.TEXTJOIN(",",TRUE,V2,W2,X2)</f>
        <v>50</v>
      </c>
      <c r="AF2" s="32" t="s">
        <v>25</v>
      </c>
    </row>
    <row r="3" ht="16.25" spans="1:32">
      <c r="A3" s="45">
        <v>101</v>
      </c>
      <c r="B3" s="67">
        <v>230001</v>
      </c>
      <c r="C3" s="68">
        <v>1</v>
      </c>
      <c r="D3" s="69">
        <v>60</v>
      </c>
      <c r="E3" s="69"/>
      <c r="F3" s="69"/>
      <c r="G3" s="70"/>
      <c r="H3" s="68">
        <v>1</v>
      </c>
      <c r="I3" s="70"/>
      <c r="J3" s="70"/>
      <c r="K3" s="84">
        <f t="shared" si="0"/>
        <v>60</v>
      </c>
      <c r="L3" s="84" t="str">
        <f t="shared" si="1"/>
        <v/>
      </c>
      <c r="M3" s="84" t="str">
        <f t="shared" si="2"/>
        <v/>
      </c>
      <c r="N3" s="84" t="str">
        <f t="shared" si="3"/>
        <v/>
      </c>
      <c r="P3">
        <f t="shared" ref="P3:P45" si="5">B3-100000</f>
        <v>130001</v>
      </c>
      <c r="Q3">
        <f t="shared" ref="Q3:Q42" si="6">ROUND(D3*$Q$1,0)</f>
        <v>48</v>
      </c>
      <c r="V3">
        <f t="shared" ref="V3:V66" si="7">IF(K3="","",IF(K3&lt;1,ROUND(K3,4),CEILING(K3,5)))</f>
        <v>60</v>
      </c>
      <c r="W3" t="str">
        <f t="shared" ref="W3:W66" si="8">IF(L3="","",IF(L3&lt;1,ROUND(L3,4),CEILING(L3,5)))</f>
        <v/>
      </c>
      <c r="X3" t="str">
        <f t="shared" ref="X3:X66" si="9">IF(M3="","",IF(M3&lt;1,ROUND(M3,4),CEILING(M3,5)))</f>
        <v/>
      </c>
      <c r="AB3" t="str">
        <f t="shared" ref="AB3:AB34" si="10">_xlfn.TEXTJOIN(",",TRUE,V3,W3,X3)</f>
        <v>60</v>
      </c>
      <c r="AF3" s="32" t="s">
        <v>29</v>
      </c>
    </row>
    <row r="4" ht="16.25" spans="1:32">
      <c r="A4" s="45">
        <v>101</v>
      </c>
      <c r="B4" s="67">
        <v>240001</v>
      </c>
      <c r="C4" s="68">
        <v>1</v>
      </c>
      <c r="D4" s="69">
        <v>93</v>
      </c>
      <c r="E4" s="69"/>
      <c r="F4" s="69"/>
      <c r="G4" s="70"/>
      <c r="H4" s="68">
        <v>1</v>
      </c>
      <c r="I4" s="70"/>
      <c r="J4" s="70"/>
      <c r="K4" s="84">
        <f t="shared" si="0"/>
        <v>93</v>
      </c>
      <c r="L4" s="84" t="str">
        <f t="shared" si="1"/>
        <v/>
      </c>
      <c r="M4" s="84" t="str">
        <f t="shared" si="2"/>
        <v/>
      </c>
      <c r="N4" s="84" t="str">
        <f t="shared" si="3"/>
        <v/>
      </c>
      <c r="P4">
        <f t="shared" si="5"/>
        <v>140001</v>
      </c>
      <c r="Q4">
        <f t="shared" si="6"/>
        <v>74</v>
      </c>
      <c r="V4">
        <f t="shared" si="7"/>
        <v>95</v>
      </c>
      <c r="W4" t="str">
        <f t="shared" si="8"/>
        <v/>
      </c>
      <c r="X4" t="str">
        <f t="shared" si="9"/>
        <v/>
      </c>
      <c r="AB4" t="str">
        <f t="shared" si="10"/>
        <v>95</v>
      </c>
      <c r="AF4" s="32" t="s">
        <v>33</v>
      </c>
    </row>
    <row r="5" ht="16.25" spans="1:32">
      <c r="A5" s="45">
        <v>101</v>
      </c>
      <c r="B5" s="67">
        <v>240101</v>
      </c>
      <c r="C5" s="68">
        <v>1</v>
      </c>
      <c r="D5" s="69">
        <v>116</v>
      </c>
      <c r="E5" s="69"/>
      <c r="F5" s="69"/>
      <c r="G5" s="70"/>
      <c r="H5" s="68">
        <v>1</v>
      </c>
      <c r="I5" s="70"/>
      <c r="J5" s="70"/>
      <c r="K5" s="84">
        <f t="shared" si="0"/>
        <v>116</v>
      </c>
      <c r="L5" s="84" t="str">
        <f t="shared" si="1"/>
        <v/>
      </c>
      <c r="M5" s="84" t="str">
        <f t="shared" si="2"/>
        <v/>
      </c>
      <c r="N5" s="84" t="str">
        <f t="shared" si="3"/>
        <v/>
      </c>
      <c r="P5">
        <f t="shared" si="5"/>
        <v>140101</v>
      </c>
      <c r="Q5">
        <f t="shared" si="6"/>
        <v>93</v>
      </c>
      <c r="V5">
        <f t="shared" si="7"/>
        <v>120</v>
      </c>
      <c r="W5" t="str">
        <f t="shared" si="8"/>
        <v/>
      </c>
      <c r="X5" t="str">
        <f t="shared" si="9"/>
        <v/>
      </c>
      <c r="AB5" t="str">
        <f t="shared" si="10"/>
        <v>120</v>
      </c>
      <c r="AF5" s="32" t="s">
        <v>37</v>
      </c>
    </row>
    <row r="6" ht="16.25" spans="1:32">
      <c r="A6" s="45">
        <v>101</v>
      </c>
      <c r="B6" s="67">
        <v>240201</v>
      </c>
      <c r="C6" s="68">
        <v>1</v>
      </c>
      <c r="D6" s="69">
        <v>75</v>
      </c>
      <c r="E6" s="69"/>
      <c r="F6" s="69"/>
      <c r="G6" s="70"/>
      <c r="H6" s="68">
        <v>1</v>
      </c>
      <c r="I6" s="70"/>
      <c r="J6" s="70"/>
      <c r="K6" s="84">
        <f t="shared" si="0"/>
        <v>75</v>
      </c>
      <c r="L6" s="84" t="str">
        <f t="shared" si="1"/>
        <v/>
      </c>
      <c r="M6" s="84" t="str">
        <f t="shared" si="2"/>
        <v/>
      </c>
      <c r="N6" s="84" t="str">
        <f t="shared" si="3"/>
        <v/>
      </c>
      <c r="P6">
        <f t="shared" si="5"/>
        <v>140201</v>
      </c>
      <c r="Q6">
        <f t="shared" si="6"/>
        <v>60</v>
      </c>
      <c r="V6">
        <f t="shared" si="7"/>
        <v>75</v>
      </c>
      <c r="W6" t="str">
        <f t="shared" si="8"/>
        <v/>
      </c>
      <c r="X6" t="str">
        <f t="shared" si="9"/>
        <v/>
      </c>
      <c r="AB6" t="str">
        <f t="shared" si="10"/>
        <v>75</v>
      </c>
      <c r="AF6" s="32" t="s">
        <v>41</v>
      </c>
    </row>
    <row r="7" ht="16.25" spans="1:32">
      <c r="A7" s="45">
        <v>101</v>
      </c>
      <c r="B7" s="67">
        <v>250101</v>
      </c>
      <c r="C7" s="68">
        <v>1</v>
      </c>
      <c r="D7" s="69">
        <v>200</v>
      </c>
      <c r="E7" s="69"/>
      <c r="F7" s="69"/>
      <c r="G7" s="70"/>
      <c r="H7" s="68">
        <v>1</v>
      </c>
      <c r="I7" s="70"/>
      <c r="J7" s="70"/>
      <c r="K7" s="84">
        <f t="shared" si="0"/>
        <v>200</v>
      </c>
      <c r="L7" s="84" t="str">
        <f t="shared" si="1"/>
        <v/>
      </c>
      <c r="M7" s="84" t="str">
        <f t="shared" si="2"/>
        <v/>
      </c>
      <c r="N7" s="84" t="str">
        <f t="shared" si="3"/>
        <v/>
      </c>
      <c r="P7">
        <f t="shared" si="5"/>
        <v>150101</v>
      </c>
      <c r="Q7">
        <f t="shared" si="6"/>
        <v>160</v>
      </c>
      <c r="V7">
        <f t="shared" si="7"/>
        <v>200</v>
      </c>
      <c r="W7" t="str">
        <f t="shared" si="8"/>
        <v/>
      </c>
      <c r="X7" t="str">
        <f t="shared" si="9"/>
        <v/>
      </c>
      <c r="AB7" t="str">
        <f t="shared" si="10"/>
        <v>200</v>
      </c>
      <c r="AF7" s="32" t="s">
        <v>45</v>
      </c>
    </row>
    <row r="8" ht="16.25" spans="1:32">
      <c r="A8" s="45">
        <v>101</v>
      </c>
      <c r="B8" s="67">
        <v>250201</v>
      </c>
      <c r="C8" s="68">
        <v>1</v>
      </c>
      <c r="D8" s="69">
        <v>200</v>
      </c>
      <c r="E8" s="69"/>
      <c r="F8" s="69"/>
      <c r="G8" s="70"/>
      <c r="H8" s="68">
        <v>1</v>
      </c>
      <c r="I8" s="70"/>
      <c r="J8" s="70"/>
      <c r="K8" s="84">
        <f t="shared" si="0"/>
        <v>200</v>
      </c>
      <c r="L8" s="84" t="str">
        <f t="shared" si="1"/>
        <v/>
      </c>
      <c r="M8" s="84" t="str">
        <f t="shared" si="2"/>
        <v/>
      </c>
      <c r="N8" s="84" t="str">
        <f t="shared" si="3"/>
        <v/>
      </c>
      <c r="P8">
        <f t="shared" si="5"/>
        <v>150201</v>
      </c>
      <c r="Q8">
        <f t="shared" si="6"/>
        <v>160</v>
      </c>
      <c r="V8">
        <f t="shared" si="7"/>
        <v>200</v>
      </c>
      <c r="W8" t="str">
        <f t="shared" si="8"/>
        <v/>
      </c>
      <c r="X8" t="str">
        <f t="shared" si="9"/>
        <v/>
      </c>
      <c r="AB8" t="str">
        <f t="shared" si="10"/>
        <v>200</v>
      </c>
      <c r="AF8" s="32" t="s">
        <v>49</v>
      </c>
    </row>
    <row r="9" ht="16.25" spans="1:32">
      <c r="A9" s="45">
        <v>101</v>
      </c>
      <c r="B9" s="67">
        <v>250301</v>
      </c>
      <c r="C9" s="68">
        <v>1</v>
      </c>
      <c r="D9" s="69">
        <v>200</v>
      </c>
      <c r="E9" s="69"/>
      <c r="F9" s="69"/>
      <c r="G9" s="70"/>
      <c r="H9" s="68">
        <v>1</v>
      </c>
      <c r="I9" s="70"/>
      <c r="J9" s="70"/>
      <c r="K9" s="84">
        <f t="shared" si="0"/>
        <v>200</v>
      </c>
      <c r="L9" s="84" t="str">
        <f t="shared" si="1"/>
        <v/>
      </c>
      <c r="M9" s="84" t="str">
        <f t="shared" si="2"/>
        <v/>
      </c>
      <c r="N9" s="84" t="str">
        <f t="shared" si="3"/>
        <v/>
      </c>
      <c r="P9">
        <f t="shared" si="5"/>
        <v>150301</v>
      </c>
      <c r="Q9">
        <f t="shared" si="6"/>
        <v>160</v>
      </c>
      <c r="V9">
        <f t="shared" si="7"/>
        <v>200</v>
      </c>
      <c r="W9" t="str">
        <f t="shared" si="8"/>
        <v/>
      </c>
      <c r="X9" t="str">
        <f t="shared" si="9"/>
        <v/>
      </c>
      <c r="AB9" t="str">
        <f t="shared" si="10"/>
        <v>200</v>
      </c>
      <c r="AF9" s="32" t="s">
        <v>53</v>
      </c>
    </row>
    <row r="10" ht="16.25" spans="1:32">
      <c r="A10" s="45">
        <v>101</v>
      </c>
      <c r="B10" s="67">
        <v>250401</v>
      </c>
      <c r="C10" s="68">
        <v>1</v>
      </c>
      <c r="D10" s="69">
        <v>200</v>
      </c>
      <c r="E10" s="69"/>
      <c r="F10" s="69"/>
      <c r="G10" s="70"/>
      <c r="H10" s="68">
        <v>1</v>
      </c>
      <c r="I10" s="70"/>
      <c r="J10" s="70"/>
      <c r="K10" s="84">
        <f t="shared" si="0"/>
        <v>200</v>
      </c>
      <c r="L10" s="84" t="str">
        <f t="shared" si="1"/>
        <v/>
      </c>
      <c r="M10" s="84" t="str">
        <f t="shared" si="2"/>
        <v/>
      </c>
      <c r="N10" s="84" t="str">
        <f t="shared" si="3"/>
        <v/>
      </c>
      <c r="P10">
        <f t="shared" si="5"/>
        <v>150401</v>
      </c>
      <c r="Q10">
        <f t="shared" si="6"/>
        <v>160</v>
      </c>
      <c r="V10">
        <f t="shared" si="7"/>
        <v>200</v>
      </c>
      <c r="W10" t="str">
        <f t="shared" si="8"/>
        <v/>
      </c>
      <c r="X10" t="str">
        <f t="shared" si="9"/>
        <v/>
      </c>
      <c r="AB10" t="str">
        <f t="shared" si="10"/>
        <v>200</v>
      </c>
      <c r="AF10" s="32" t="s">
        <v>57</v>
      </c>
    </row>
    <row r="11" ht="16.25" spans="1:32">
      <c r="A11" s="45">
        <v>101</v>
      </c>
      <c r="B11" s="67">
        <v>250501</v>
      </c>
      <c r="C11" s="68">
        <v>1</v>
      </c>
      <c r="D11" s="69">
        <v>200</v>
      </c>
      <c r="E11" s="69"/>
      <c r="F11" s="69"/>
      <c r="G11" s="70"/>
      <c r="H11" s="68">
        <v>1</v>
      </c>
      <c r="I11" s="70"/>
      <c r="J11" s="70"/>
      <c r="K11" s="84">
        <f t="shared" si="0"/>
        <v>200</v>
      </c>
      <c r="L11" s="84" t="str">
        <f t="shared" si="1"/>
        <v/>
      </c>
      <c r="M11" s="84" t="str">
        <f t="shared" si="2"/>
        <v/>
      </c>
      <c r="N11" s="84" t="str">
        <f t="shared" si="3"/>
        <v/>
      </c>
      <c r="P11">
        <f t="shared" si="5"/>
        <v>150501</v>
      </c>
      <c r="Q11">
        <f t="shared" si="6"/>
        <v>160</v>
      </c>
      <c r="V11">
        <f t="shared" si="7"/>
        <v>200</v>
      </c>
      <c r="W11" t="str">
        <f t="shared" si="8"/>
        <v/>
      </c>
      <c r="X11" t="str">
        <f t="shared" si="9"/>
        <v/>
      </c>
      <c r="AB11" t="str">
        <f t="shared" si="10"/>
        <v>200</v>
      </c>
      <c r="AF11" s="32" t="s">
        <v>61</v>
      </c>
    </row>
    <row r="12" ht="16.25" spans="1:32">
      <c r="A12" s="45">
        <v>101</v>
      </c>
      <c r="B12" s="67">
        <v>250601</v>
      </c>
      <c r="C12" s="68">
        <v>1</v>
      </c>
      <c r="D12" s="69">
        <v>200</v>
      </c>
      <c r="E12" s="69"/>
      <c r="F12" s="69"/>
      <c r="G12" s="70"/>
      <c r="H12" s="68">
        <v>1</v>
      </c>
      <c r="I12" s="70"/>
      <c r="J12" s="70"/>
      <c r="K12" s="84">
        <f t="shared" si="0"/>
        <v>200</v>
      </c>
      <c r="L12" s="84" t="str">
        <f t="shared" si="1"/>
        <v/>
      </c>
      <c r="M12" s="84" t="str">
        <f t="shared" si="2"/>
        <v/>
      </c>
      <c r="N12" s="84" t="str">
        <f t="shared" si="3"/>
        <v/>
      </c>
      <c r="P12">
        <f t="shared" si="5"/>
        <v>150601</v>
      </c>
      <c r="Q12">
        <f t="shared" si="6"/>
        <v>160</v>
      </c>
      <c r="V12">
        <f t="shared" si="7"/>
        <v>200</v>
      </c>
      <c r="W12" t="str">
        <f t="shared" si="8"/>
        <v/>
      </c>
      <c r="X12" t="str">
        <f t="shared" si="9"/>
        <v/>
      </c>
      <c r="AB12" t="str">
        <f t="shared" si="10"/>
        <v>200</v>
      </c>
      <c r="AF12" s="32" t="s">
        <v>65</v>
      </c>
    </row>
    <row r="13" ht="16.25" spans="1:32">
      <c r="A13" s="45">
        <v>101</v>
      </c>
      <c r="B13" s="67">
        <v>250701</v>
      </c>
      <c r="C13" s="68">
        <v>1</v>
      </c>
      <c r="D13" s="69">
        <v>200</v>
      </c>
      <c r="E13" s="69"/>
      <c r="F13" s="69"/>
      <c r="G13" s="70"/>
      <c r="H13" s="68">
        <v>1</v>
      </c>
      <c r="I13" s="70"/>
      <c r="J13" s="70"/>
      <c r="K13" s="84">
        <f t="shared" si="0"/>
        <v>200</v>
      </c>
      <c r="L13" s="84" t="str">
        <f t="shared" si="1"/>
        <v/>
      </c>
      <c r="M13" s="84" t="str">
        <f t="shared" si="2"/>
        <v/>
      </c>
      <c r="N13" s="84" t="str">
        <f t="shared" si="3"/>
        <v/>
      </c>
      <c r="P13">
        <f t="shared" si="5"/>
        <v>150701</v>
      </c>
      <c r="Q13">
        <f t="shared" si="6"/>
        <v>160</v>
      </c>
      <c r="V13">
        <f t="shared" si="7"/>
        <v>200</v>
      </c>
      <c r="W13" t="str">
        <f t="shared" si="8"/>
        <v/>
      </c>
      <c r="X13" t="str">
        <f t="shared" si="9"/>
        <v/>
      </c>
      <c r="AB13" t="str">
        <f t="shared" si="10"/>
        <v>200</v>
      </c>
      <c r="AF13" s="32" t="s">
        <v>69</v>
      </c>
    </row>
    <row r="14" ht="16.25" spans="1:32">
      <c r="A14" s="45">
        <v>101</v>
      </c>
      <c r="B14" s="67">
        <v>250801</v>
      </c>
      <c r="C14" s="68">
        <v>1</v>
      </c>
      <c r="D14" s="69">
        <v>200</v>
      </c>
      <c r="E14" s="69"/>
      <c r="F14" s="69"/>
      <c r="G14" s="70"/>
      <c r="H14" s="68">
        <v>1</v>
      </c>
      <c r="I14" s="70"/>
      <c r="J14" s="70"/>
      <c r="K14" s="84">
        <f t="shared" si="0"/>
        <v>200</v>
      </c>
      <c r="L14" s="84" t="str">
        <f t="shared" si="1"/>
        <v/>
      </c>
      <c r="M14" s="84" t="str">
        <f t="shared" si="2"/>
        <v/>
      </c>
      <c r="N14" s="84" t="str">
        <f t="shared" si="3"/>
        <v/>
      </c>
      <c r="P14">
        <f t="shared" si="5"/>
        <v>150801</v>
      </c>
      <c r="Q14">
        <f t="shared" si="6"/>
        <v>160</v>
      </c>
      <c r="V14">
        <f t="shared" si="7"/>
        <v>200</v>
      </c>
      <c r="W14" t="str">
        <f t="shared" si="8"/>
        <v/>
      </c>
      <c r="X14" t="str">
        <f t="shared" si="9"/>
        <v/>
      </c>
      <c r="AB14" t="str">
        <f t="shared" si="10"/>
        <v>200</v>
      </c>
      <c r="AF14" s="32" t="s">
        <v>73</v>
      </c>
    </row>
    <row r="15" ht="16.25" spans="1:32">
      <c r="A15" s="45">
        <v>101</v>
      </c>
      <c r="B15" s="67">
        <v>250901</v>
      </c>
      <c r="C15" s="68">
        <v>1</v>
      </c>
      <c r="D15" s="69">
        <v>200</v>
      </c>
      <c r="E15" s="69"/>
      <c r="F15" s="69"/>
      <c r="G15" s="70"/>
      <c r="H15" s="68">
        <v>1</v>
      </c>
      <c r="I15" s="70"/>
      <c r="J15" s="70"/>
      <c r="K15" s="84">
        <f t="shared" si="0"/>
        <v>200</v>
      </c>
      <c r="L15" s="84" t="str">
        <f t="shared" si="1"/>
        <v/>
      </c>
      <c r="M15" s="84" t="str">
        <f t="shared" si="2"/>
        <v/>
      </c>
      <c r="N15" s="84" t="str">
        <f t="shared" si="3"/>
        <v/>
      </c>
      <c r="P15">
        <f t="shared" si="5"/>
        <v>150901</v>
      </c>
      <c r="Q15">
        <f t="shared" si="6"/>
        <v>160</v>
      </c>
      <c r="V15">
        <f t="shared" si="7"/>
        <v>200</v>
      </c>
      <c r="W15" t="str">
        <f t="shared" si="8"/>
        <v/>
      </c>
      <c r="X15" t="str">
        <f t="shared" si="9"/>
        <v/>
      </c>
      <c r="AB15" t="str">
        <f t="shared" si="10"/>
        <v>200</v>
      </c>
      <c r="AF15" s="32" t="s">
        <v>77</v>
      </c>
    </row>
    <row r="16" ht="16.25" spans="1:32">
      <c r="A16" s="45">
        <v>101</v>
      </c>
      <c r="B16" s="67">
        <v>260101</v>
      </c>
      <c r="C16" s="68">
        <v>1</v>
      </c>
      <c r="D16" s="69">
        <v>333</v>
      </c>
      <c r="E16" s="69"/>
      <c r="F16" s="69"/>
      <c r="G16" s="70"/>
      <c r="H16" s="68">
        <v>1</v>
      </c>
      <c r="I16" s="70"/>
      <c r="J16" s="70"/>
      <c r="K16" s="84">
        <f t="shared" si="0"/>
        <v>333</v>
      </c>
      <c r="L16" s="84" t="str">
        <f t="shared" si="1"/>
        <v/>
      </c>
      <c r="M16" s="84" t="str">
        <f t="shared" si="2"/>
        <v/>
      </c>
      <c r="N16" s="84" t="str">
        <f t="shared" si="3"/>
        <v/>
      </c>
      <c r="P16">
        <f t="shared" si="5"/>
        <v>160101</v>
      </c>
      <c r="Q16">
        <f t="shared" si="6"/>
        <v>266</v>
      </c>
      <c r="V16">
        <f t="shared" si="7"/>
        <v>335</v>
      </c>
      <c r="W16" t="str">
        <f t="shared" si="8"/>
        <v/>
      </c>
      <c r="X16" t="str">
        <f t="shared" si="9"/>
        <v/>
      </c>
      <c r="AB16" t="str">
        <f t="shared" si="10"/>
        <v>335</v>
      </c>
      <c r="AF16" s="32" t="s">
        <v>81</v>
      </c>
    </row>
    <row r="17" ht="16.25" spans="1:32">
      <c r="A17" s="45">
        <v>101</v>
      </c>
      <c r="B17" s="67">
        <v>260201</v>
      </c>
      <c r="C17" s="68">
        <v>1</v>
      </c>
      <c r="D17" s="69">
        <v>333</v>
      </c>
      <c r="E17" s="69"/>
      <c r="F17" s="69"/>
      <c r="G17" s="70"/>
      <c r="H17" s="68">
        <v>1</v>
      </c>
      <c r="I17" s="70"/>
      <c r="J17" s="70"/>
      <c r="K17" s="84">
        <f t="shared" si="0"/>
        <v>333</v>
      </c>
      <c r="L17" s="84" t="str">
        <f t="shared" si="1"/>
        <v/>
      </c>
      <c r="M17" s="84" t="str">
        <f t="shared" si="2"/>
        <v/>
      </c>
      <c r="N17" s="84" t="str">
        <f t="shared" si="3"/>
        <v/>
      </c>
      <c r="P17">
        <f t="shared" si="5"/>
        <v>160201</v>
      </c>
      <c r="Q17">
        <f t="shared" si="6"/>
        <v>266</v>
      </c>
      <c r="V17">
        <f t="shared" si="7"/>
        <v>335</v>
      </c>
      <c r="W17" t="str">
        <f t="shared" si="8"/>
        <v/>
      </c>
      <c r="X17" t="str">
        <f t="shared" si="9"/>
        <v/>
      </c>
      <c r="AB17" t="str">
        <f t="shared" si="10"/>
        <v>335</v>
      </c>
      <c r="AF17" s="32" t="s">
        <v>85</v>
      </c>
    </row>
    <row r="18" ht="16.25" spans="1:32">
      <c r="A18" s="45">
        <v>101</v>
      </c>
      <c r="B18" s="67">
        <v>260301</v>
      </c>
      <c r="C18" s="68">
        <v>1</v>
      </c>
      <c r="D18" s="69">
        <v>333</v>
      </c>
      <c r="E18" s="69"/>
      <c r="F18" s="69"/>
      <c r="G18" s="70"/>
      <c r="H18" s="68">
        <v>1</v>
      </c>
      <c r="I18" s="70"/>
      <c r="J18" s="70"/>
      <c r="K18" s="84">
        <f t="shared" si="0"/>
        <v>333</v>
      </c>
      <c r="L18" s="84" t="str">
        <f t="shared" si="1"/>
        <v/>
      </c>
      <c r="M18" s="84" t="str">
        <f t="shared" si="2"/>
        <v/>
      </c>
      <c r="N18" s="84" t="str">
        <f t="shared" si="3"/>
        <v/>
      </c>
      <c r="P18">
        <f t="shared" si="5"/>
        <v>160301</v>
      </c>
      <c r="Q18">
        <f t="shared" si="6"/>
        <v>266</v>
      </c>
      <c r="V18">
        <f t="shared" si="7"/>
        <v>335</v>
      </c>
      <c r="W18" t="str">
        <f t="shared" si="8"/>
        <v/>
      </c>
      <c r="X18" t="str">
        <f t="shared" si="9"/>
        <v/>
      </c>
      <c r="AB18" t="str">
        <f t="shared" si="10"/>
        <v>335</v>
      </c>
      <c r="AF18" s="32" t="s">
        <v>89</v>
      </c>
    </row>
    <row r="19" ht="16.25" spans="1:32">
      <c r="A19" s="45">
        <v>101</v>
      </c>
      <c r="B19" s="67">
        <v>260401</v>
      </c>
      <c r="C19" s="68">
        <v>1</v>
      </c>
      <c r="D19" s="69">
        <v>333</v>
      </c>
      <c r="E19" s="69"/>
      <c r="F19" s="69"/>
      <c r="G19" s="70"/>
      <c r="H19" s="68">
        <v>1</v>
      </c>
      <c r="I19" s="70"/>
      <c r="J19" s="70"/>
      <c r="K19" s="84">
        <f t="shared" si="0"/>
        <v>333</v>
      </c>
      <c r="L19" s="84" t="str">
        <f t="shared" si="1"/>
        <v/>
      </c>
      <c r="M19" s="84" t="str">
        <f t="shared" si="2"/>
        <v/>
      </c>
      <c r="N19" s="84" t="str">
        <f t="shared" si="3"/>
        <v/>
      </c>
      <c r="P19">
        <f t="shared" si="5"/>
        <v>160401</v>
      </c>
      <c r="Q19">
        <f t="shared" si="6"/>
        <v>266</v>
      </c>
      <c r="V19">
        <f t="shared" si="7"/>
        <v>335</v>
      </c>
      <c r="W19" t="str">
        <f t="shared" si="8"/>
        <v/>
      </c>
      <c r="X19" t="str">
        <f t="shared" si="9"/>
        <v/>
      </c>
      <c r="AB19" t="str">
        <f t="shared" si="10"/>
        <v>335</v>
      </c>
      <c r="AF19" s="32" t="s">
        <v>93</v>
      </c>
    </row>
    <row r="20" ht="16.25" spans="1:32">
      <c r="A20" s="45">
        <v>101</v>
      </c>
      <c r="B20" s="67">
        <v>260501</v>
      </c>
      <c r="C20" s="68">
        <v>1</v>
      </c>
      <c r="D20" s="69">
        <v>333</v>
      </c>
      <c r="E20" s="69"/>
      <c r="F20" s="69"/>
      <c r="G20" s="70"/>
      <c r="H20" s="68">
        <v>1</v>
      </c>
      <c r="I20" s="70"/>
      <c r="J20" s="70"/>
      <c r="K20" s="84">
        <f t="shared" si="0"/>
        <v>333</v>
      </c>
      <c r="L20" s="84" t="str">
        <f t="shared" si="1"/>
        <v/>
      </c>
      <c r="M20" s="84" t="str">
        <f t="shared" si="2"/>
        <v/>
      </c>
      <c r="N20" s="84" t="str">
        <f t="shared" si="3"/>
        <v/>
      </c>
      <c r="P20">
        <f t="shared" si="5"/>
        <v>160501</v>
      </c>
      <c r="Q20">
        <f t="shared" si="6"/>
        <v>266</v>
      </c>
      <c r="V20">
        <f t="shared" si="7"/>
        <v>335</v>
      </c>
      <c r="W20" t="str">
        <f t="shared" si="8"/>
        <v/>
      </c>
      <c r="X20" t="str">
        <f t="shared" si="9"/>
        <v/>
      </c>
      <c r="AB20" t="str">
        <f t="shared" si="10"/>
        <v>335</v>
      </c>
      <c r="AF20" s="32" t="s">
        <v>97</v>
      </c>
    </row>
    <row r="21" ht="16.25" spans="1:32">
      <c r="A21" s="45">
        <v>101</v>
      </c>
      <c r="B21" s="67">
        <v>260601</v>
      </c>
      <c r="C21" s="68">
        <v>1</v>
      </c>
      <c r="D21" s="69">
        <v>333</v>
      </c>
      <c r="E21" s="69"/>
      <c r="F21" s="69"/>
      <c r="G21" s="70"/>
      <c r="H21" s="68">
        <v>1</v>
      </c>
      <c r="I21" s="70"/>
      <c r="J21" s="70"/>
      <c r="K21" s="84">
        <f t="shared" si="0"/>
        <v>333</v>
      </c>
      <c r="L21" s="84" t="str">
        <f t="shared" si="1"/>
        <v/>
      </c>
      <c r="M21" s="84" t="str">
        <f t="shared" si="2"/>
        <v/>
      </c>
      <c r="N21" s="84" t="str">
        <f t="shared" si="3"/>
        <v/>
      </c>
      <c r="P21">
        <f t="shared" si="5"/>
        <v>160601</v>
      </c>
      <c r="Q21">
        <f t="shared" si="6"/>
        <v>266</v>
      </c>
      <c r="V21">
        <f t="shared" si="7"/>
        <v>335</v>
      </c>
      <c r="W21" t="str">
        <f t="shared" si="8"/>
        <v/>
      </c>
      <c r="X21" t="str">
        <f t="shared" si="9"/>
        <v/>
      </c>
      <c r="AB21" t="str">
        <f t="shared" si="10"/>
        <v>335</v>
      </c>
      <c r="AF21" s="32" t="s">
        <v>101</v>
      </c>
    </row>
    <row r="22" ht="16.25" spans="1:32">
      <c r="A22" s="45">
        <v>101</v>
      </c>
      <c r="B22" s="67">
        <v>260701</v>
      </c>
      <c r="C22" s="68">
        <v>1</v>
      </c>
      <c r="D22" s="69">
        <v>333</v>
      </c>
      <c r="E22" s="69"/>
      <c r="F22" s="69"/>
      <c r="G22" s="70"/>
      <c r="H22" s="68">
        <v>1</v>
      </c>
      <c r="I22" s="70"/>
      <c r="J22" s="70"/>
      <c r="K22" s="84">
        <f t="shared" si="0"/>
        <v>333</v>
      </c>
      <c r="L22" s="84" t="str">
        <f t="shared" si="1"/>
        <v/>
      </c>
      <c r="M22" s="84" t="str">
        <f t="shared" si="2"/>
        <v/>
      </c>
      <c r="N22" s="84" t="str">
        <f t="shared" si="3"/>
        <v/>
      </c>
      <c r="P22">
        <f t="shared" si="5"/>
        <v>160701</v>
      </c>
      <c r="Q22">
        <f t="shared" si="6"/>
        <v>266</v>
      </c>
      <c r="V22">
        <f t="shared" si="7"/>
        <v>335</v>
      </c>
      <c r="W22" t="str">
        <f t="shared" si="8"/>
        <v/>
      </c>
      <c r="X22" t="str">
        <f t="shared" si="9"/>
        <v/>
      </c>
      <c r="AB22" t="str">
        <f t="shared" si="10"/>
        <v>335</v>
      </c>
      <c r="AF22" s="32" t="s">
        <v>105</v>
      </c>
    </row>
    <row r="23" ht="16.25" spans="1:32">
      <c r="A23" s="45">
        <v>101</v>
      </c>
      <c r="B23" s="67">
        <v>260801</v>
      </c>
      <c r="C23" s="68">
        <v>1</v>
      </c>
      <c r="D23" s="69">
        <v>333</v>
      </c>
      <c r="E23" s="69"/>
      <c r="F23" s="69"/>
      <c r="G23" s="70"/>
      <c r="H23" s="68">
        <v>1</v>
      </c>
      <c r="I23" s="70"/>
      <c r="J23" s="70"/>
      <c r="K23" s="84">
        <f t="shared" si="0"/>
        <v>333</v>
      </c>
      <c r="L23" s="84" t="str">
        <f t="shared" si="1"/>
        <v/>
      </c>
      <c r="M23" s="84" t="str">
        <f t="shared" si="2"/>
        <v/>
      </c>
      <c r="N23" s="84" t="str">
        <f t="shared" si="3"/>
        <v/>
      </c>
      <c r="P23">
        <f t="shared" si="5"/>
        <v>160801</v>
      </c>
      <c r="Q23">
        <f t="shared" si="6"/>
        <v>266</v>
      </c>
      <c r="V23">
        <f t="shared" si="7"/>
        <v>335</v>
      </c>
      <c r="W23" t="str">
        <f t="shared" si="8"/>
        <v/>
      </c>
      <c r="X23" t="str">
        <f t="shared" si="9"/>
        <v/>
      </c>
      <c r="AB23" t="str">
        <f t="shared" si="10"/>
        <v>335</v>
      </c>
      <c r="AF23" s="32" t="s">
        <v>109</v>
      </c>
    </row>
    <row r="24" ht="16.25" spans="1:32">
      <c r="A24" s="45">
        <v>101</v>
      </c>
      <c r="B24" s="67">
        <v>260901</v>
      </c>
      <c r="C24" s="68">
        <v>1</v>
      </c>
      <c r="D24" s="69">
        <v>333</v>
      </c>
      <c r="E24" s="69"/>
      <c r="F24" s="69"/>
      <c r="G24" s="70"/>
      <c r="H24" s="68">
        <v>1</v>
      </c>
      <c r="I24" s="70"/>
      <c r="J24" s="70"/>
      <c r="K24" s="84">
        <f t="shared" si="0"/>
        <v>333</v>
      </c>
      <c r="L24" s="84" t="str">
        <f t="shared" si="1"/>
        <v/>
      </c>
      <c r="M24" s="84" t="str">
        <f t="shared" si="2"/>
        <v/>
      </c>
      <c r="N24" s="84" t="str">
        <f t="shared" si="3"/>
        <v/>
      </c>
      <c r="P24">
        <f t="shared" si="5"/>
        <v>160901</v>
      </c>
      <c r="Q24">
        <f t="shared" si="6"/>
        <v>266</v>
      </c>
      <c r="V24">
        <f t="shared" si="7"/>
        <v>335</v>
      </c>
      <c r="W24" t="str">
        <f t="shared" si="8"/>
        <v/>
      </c>
      <c r="X24" t="str">
        <f t="shared" si="9"/>
        <v/>
      </c>
      <c r="AB24" t="str">
        <f t="shared" si="10"/>
        <v>335</v>
      </c>
      <c r="AF24" s="32" t="s">
        <v>113</v>
      </c>
    </row>
    <row r="25" ht="16.25" spans="1:32">
      <c r="A25" s="45">
        <v>102</v>
      </c>
      <c r="B25" s="67">
        <v>240001</v>
      </c>
      <c r="C25" s="68">
        <v>1</v>
      </c>
      <c r="D25" s="69">
        <v>147</v>
      </c>
      <c r="E25" s="69"/>
      <c r="F25" s="69"/>
      <c r="G25" s="70"/>
      <c r="H25" s="68">
        <v>1</v>
      </c>
      <c r="I25" s="70"/>
      <c r="J25" s="70"/>
      <c r="K25" s="84">
        <f t="shared" si="0"/>
        <v>147</v>
      </c>
      <c r="L25" s="84" t="str">
        <f t="shared" si="1"/>
        <v/>
      </c>
      <c r="M25" s="84" t="str">
        <f t="shared" si="2"/>
        <v/>
      </c>
      <c r="N25" s="84" t="str">
        <f t="shared" si="3"/>
        <v/>
      </c>
      <c r="P25">
        <f t="shared" si="5"/>
        <v>140001</v>
      </c>
      <c r="Q25">
        <f t="shared" si="6"/>
        <v>118</v>
      </c>
      <c r="V25">
        <f t="shared" si="7"/>
        <v>150</v>
      </c>
      <c r="W25" t="str">
        <f t="shared" si="8"/>
        <v/>
      </c>
      <c r="X25" t="str">
        <f t="shared" si="9"/>
        <v/>
      </c>
      <c r="AB25" t="str">
        <f t="shared" si="10"/>
        <v>150</v>
      </c>
      <c r="AF25" s="32" t="s">
        <v>33</v>
      </c>
    </row>
    <row r="26" ht="16.25" spans="1:32">
      <c r="A26" s="45">
        <v>102</v>
      </c>
      <c r="B26" s="67">
        <v>240101</v>
      </c>
      <c r="C26" s="68">
        <v>1</v>
      </c>
      <c r="D26" s="69">
        <v>184</v>
      </c>
      <c r="E26" s="69"/>
      <c r="F26" s="69"/>
      <c r="G26" s="70"/>
      <c r="H26" s="68">
        <v>1</v>
      </c>
      <c r="I26" s="70"/>
      <c r="J26" s="70"/>
      <c r="K26" s="84">
        <f t="shared" si="0"/>
        <v>184</v>
      </c>
      <c r="L26" s="84" t="str">
        <f t="shared" si="1"/>
        <v/>
      </c>
      <c r="M26" s="84" t="str">
        <f t="shared" si="2"/>
        <v/>
      </c>
      <c r="N26" s="84" t="str">
        <f t="shared" si="3"/>
        <v/>
      </c>
      <c r="P26">
        <f t="shared" si="5"/>
        <v>140101</v>
      </c>
      <c r="Q26">
        <f t="shared" si="6"/>
        <v>147</v>
      </c>
      <c r="V26">
        <f t="shared" si="7"/>
        <v>185</v>
      </c>
      <c r="W26" t="str">
        <f t="shared" si="8"/>
        <v/>
      </c>
      <c r="X26" t="str">
        <f t="shared" si="9"/>
        <v/>
      </c>
      <c r="AB26" t="str">
        <f t="shared" si="10"/>
        <v>185</v>
      </c>
      <c r="AF26" s="32" t="s">
        <v>37</v>
      </c>
    </row>
    <row r="27" ht="16.25" spans="1:32">
      <c r="A27" s="45">
        <v>102</v>
      </c>
      <c r="B27" s="67">
        <v>240201</v>
      </c>
      <c r="C27" s="68">
        <v>1</v>
      </c>
      <c r="D27" s="69">
        <v>118</v>
      </c>
      <c r="E27" s="69"/>
      <c r="F27" s="69"/>
      <c r="G27" s="70"/>
      <c r="H27" s="68">
        <v>1</v>
      </c>
      <c r="I27" s="70"/>
      <c r="J27" s="70"/>
      <c r="K27" s="84">
        <f t="shared" si="0"/>
        <v>118</v>
      </c>
      <c r="L27" s="84" t="str">
        <f t="shared" si="1"/>
        <v/>
      </c>
      <c r="M27" s="84" t="str">
        <f t="shared" si="2"/>
        <v/>
      </c>
      <c r="N27" s="84" t="str">
        <f t="shared" si="3"/>
        <v/>
      </c>
      <c r="P27">
        <f t="shared" si="5"/>
        <v>140201</v>
      </c>
      <c r="Q27">
        <f t="shared" si="6"/>
        <v>94</v>
      </c>
      <c r="V27">
        <f t="shared" si="7"/>
        <v>120</v>
      </c>
      <c r="W27" t="str">
        <f t="shared" si="8"/>
        <v/>
      </c>
      <c r="X27" t="str">
        <f t="shared" si="9"/>
        <v/>
      </c>
      <c r="AB27" t="str">
        <f t="shared" si="10"/>
        <v>120</v>
      </c>
      <c r="AF27" s="32" t="s">
        <v>41</v>
      </c>
    </row>
    <row r="28" ht="16.25" spans="1:32">
      <c r="A28" s="45">
        <v>102</v>
      </c>
      <c r="B28" s="67">
        <v>250101</v>
      </c>
      <c r="C28" s="68">
        <v>1</v>
      </c>
      <c r="D28" s="69">
        <v>303</v>
      </c>
      <c r="E28" s="69"/>
      <c r="F28" s="69"/>
      <c r="G28" s="70"/>
      <c r="H28" s="68">
        <v>1</v>
      </c>
      <c r="I28" s="70"/>
      <c r="J28" s="70"/>
      <c r="K28" s="84">
        <f t="shared" si="0"/>
        <v>303</v>
      </c>
      <c r="L28" s="84" t="str">
        <f t="shared" si="1"/>
        <v/>
      </c>
      <c r="M28" s="84" t="str">
        <f t="shared" si="2"/>
        <v/>
      </c>
      <c r="N28" s="84" t="str">
        <f t="shared" si="3"/>
        <v/>
      </c>
      <c r="P28">
        <f t="shared" si="5"/>
        <v>150101</v>
      </c>
      <c r="Q28">
        <f t="shared" si="6"/>
        <v>242</v>
      </c>
      <c r="V28">
        <f t="shared" si="7"/>
        <v>305</v>
      </c>
      <c r="W28" t="str">
        <f t="shared" si="8"/>
        <v/>
      </c>
      <c r="X28" t="str">
        <f t="shared" si="9"/>
        <v/>
      </c>
      <c r="AB28" t="str">
        <f t="shared" si="10"/>
        <v>305</v>
      </c>
      <c r="AF28" s="32" t="s">
        <v>45</v>
      </c>
    </row>
    <row r="29" ht="16.25" spans="1:32">
      <c r="A29" s="45">
        <v>102</v>
      </c>
      <c r="B29" s="67">
        <v>250201</v>
      </c>
      <c r="C29" s="68">
        <v>1</v>
      </c>
      <c r="D29" s="69">
        <v>303</v>
      </c>
      <c r="E29" s="69"/>
      <c r="F29" s="69"/>
      <c r="G29" s="70"/>
      <c r="H29" s="68">
        <v>1</v>
      </c>
      <c r="I29" s="70"/>
      <c r="J29" s="70"/>
      <c r="K29" s="84">
        <f t="shared" si="0"/>
        <v>303</v>
      </c>
      <c r="L29" s="84" t="str">
        <f t="shared" si="1"/>
        <v/>
      </c>
      <c r="M29" s="84" t="str">
        <f t="shared" si="2"/>
        <v/>
      </c>
      <c r="N29" s="84" t="str">
        <f t="shared" si="3"/>
        <v/>
      </c>
      <c r="P29">
        <f t="shared" si="5"/>
        <v>150201</v>
      </c>
      <c r="Q29">
        <f t="shared" si="6"/>
        <v>242</v>
      </c>
      <c r="V29">
        <f t="shared" si="7"/>
        <v>305</v>
      </c>
      <c r="W29" t="str">
        <f t="shared" si="8"/>
        <v/>
      </c>
      <c r="X29" t="str">
        <f t="shared" si="9"/>
        <v/>
      </c>
      <c r="AB29" t="str">
        <f t="shared" si="10"/>
        <v>305</v>
      </c>
      <c r="AF29" s="32" t="s">
        <v>49</v>
      </c>
    </row>
    <row r="30" ht="16.25" spans="1:32">
      <c r="A30" s="45">
        <v>102</v>
      </c>
      <c r="B30" s="67">
        <v>250301</v>
      </c>
      <c r="C30" s="68">
        <v>1</v>
      </c>
      <c r="D30" s="69">
        <v>303</v>
      </c>
      <c r="E30" s="69"/>
      <c r="F30" s="69"/>
      <c r="G30" s="70"/>
      <c r="H30" s="68">
        <v>1</v>
      </c>
      <c r="I30" s="70"/>
      <c r="J30" s="70"/>
      <c r="K30" s="84">
        <f t="shared" si="0"/>
        <v>303</v>
      </c>
      <c r="L30" s="84" t="str">
        <f t="shared" si="1"/>
        <v/>
      </c>
      <c r="M30" s="84" t="str">
        <f t="shared" si="2"/>
        <v/>
      </c>
      <c r="N30" s="84" t="str">
        <f t="shared" si="3"/>
        <v/>
      </c>
      <c r="P30">
        <f t="shared" si="5"/>
        <v>150301</v>
      </c>
      <c r="Q30">
        <f t="shared" si="6"/>
        <v>242</v>
      </c>
      <c r="V30">
        <f t="shared" si="7"/>
        <v>305</v>
      </c>
      <c r="W30" t="str">
        <f t="shared" si="8"/>
        <v/>
      </c>
      <c r="X30" t="str">
        <f t="shared" si="9"/>
        <v/>
      </c>
      <c r="AB30" t="str">
        <f t="shared" si="10"/>
        <v>305</v>
      </c>
      <c r="AF30" s="32" t="s">
        <v>53</v>
      </c>
    </row>
    <row r="31" ht="16.25" spans="1:32">
      <c r="A31" s="45">
        <v>102</v>
      </c>
      <c r="B31" s="67">
        <v>250401</v>
      </c>
      <c r="C31" s="68">
        <v>1</v>
      </c>
      <c r="D31" s="69">
        <v>303</v>
      </c>
      <c r="E31" s="69"/>
      <c r="F31" s="69"/>
      <c r="G31" s="70"/>
      <c r="H31" s="68">
        <v>1</v>
      </c>
      <c r="I31" s="70"/>
      <c r="J31" s="70"/>
      <c r="K31" s="84">
        <f t="shared" si="0"/>
        <v>303</v>
      </c>
      <c r="L31" s="84" t="str">
        <f t="shared" si="1"/>
        <v/>
      </c>
      <c r="M31" s="84" t="str">
        <f t="shared" si="2"/>
        <v/>
      </c>
      <c r="N31" s="84" t="str">
        <f t="shared" si="3"/>
        <v/>
      </c>
      <c r="P31">
        <f t="shared" si="5"/>
        <v>150401</v>
      </c>
      <c r="Q31">
        <f t="shared" si="6"/>
        <v>242</v>
      </c>
      <c r="V31">
        <f t="shared" si="7"/>
        <v>305</v>
      </c>
      <c r="W31" t="str">
        <f t="shared" si="8"/>
        <v/>
      </c>
      <c r="X31" t="str">
        <f t="shared" si="9"/>
        <v/>
      </c>
      <c r="AB31" t="str">
        <f t="shared" si="10"/>
        <v>305</v>
      </c>
      <c r="AF31" s="32" t="s">
        <v>57</v>
      </c>
    </row>
    <row r="32" ht="16.25" spans="1:32">
      <c r="A32" s="45">
        <v>102</v>
      </c>
      <c r="B32" s="67">
        <v>250501</v>
      </c>
      <c r="C32" s="68">
        <v>1</v>
      </c>
      <c r="D32" s="69">
        <v>303</v>
      </c>
      <c r="E32" s="69"/>
      <c r="F32" s="69"/>
      <c r="G32" s="70"/>
      <c r="H32" s="68">
        <v>1</v>
      </c>
      <c r="I32" s="70"/>
      <c r="J32" s="70"/>
      <c r="K32" s="84">
        <f t="shared" si="0"/>
        <v>303</v>
      </c>
      <c r="L32" s="84" t="str">
        <f t="shared" si="1"/>
        <v/>
      </c>
      <c r="M32" s="84" t="str">
        <f t="shared" si="2"/>
        <v/>
      </c>
      <c r="N32" s="84" t="str">
        <f t="shared" si="3"/>
        <v/>
      </c>
      <c r="P32">
        <f t="shared" si="5"/>
        <v>150501</v>
      </c>
      <c r="Q32">
        <f t="shared" si="6"/>
        <v>242</v>
      </c>
      <c r="V32">
        <f t="shared" si="7"/>
        <v>305</v>
      </c>
      <c r="W32" t="str">
        <f t="shared" si="8"/>
        <v/>
      </c>
      <c r="X32" t="str">
        <f t="shared" si="9"/>
        <v/>
      </c>
      <c r="AB32" t="str">
        <f t="shared" si="10"/>
        <v>305</v>
      </c>
      <c r="AF32" s="32" t="s">
        <v>61</v>
      </c>
    </row>
    <row r="33" ht="16.25" spans="1:32">
      <c r="A33" s="45">
        <v>102</v>
      </c>
      <c r="B33" s="67">
        <v>250601</v>
      </c>
      <c r="C33" s="68">
        <v>1</v>
      </c>
      <c r="D33" s="69">
        <v>303</v>
      </c>
      <c r="E33" s="69"/>
      <c r="F33" s="69"/>
      <c r="G33" s="70"/>
      <c r="H33" s="68">
        <v>1</v>
      </c>
      <c r="I33" s="70"/>
      <c r="J33" s="70"/>
      <c r="K33" s="84">
        <f t="shared" si="0"/>
        <v>303</v>
      </c>
      <c r="L33" s="84" t="str">
        <f t="shared" si="1"/>
        <v/>
      </c>
      <c r="M33" s="84" t="str">
        <f t="shared" si="2"/>
        <v/>
      </c>
      <c r="N33" s="84" t="str">
        <f t="shared" si="3"/>
        <v/>
      </c>
      <c r="P33">
        <f t="shared" si="5"/>
        <v>150601</v>
      </c>
      <c r="Q33">
        <f t="shared" si="6"/>
        <v>242</v>
      </c>
      <c r="V33">
        <f t="shared" si="7"/>
        <v>305</v>
      </c>
      <c r="W33" t="str">
        <f t="shared" si="8"/>
        <v/>
      </c>
      <c r="X33" t="str">
        <f t="shared" si="9"/>
        <v/>
      </c>
      <c r="AB33" t="str">
        <f t="shared" si="10"/>
        <v>305</v>
      </c>
      <c r="AF33" s="32" t="s">
        <v>65</v>
      </c>
    </row>
    <row r="34" ht="16.25" spans="1:32">
      <c r="A34" s="45">
        <v>102</v>
      </c>
      <c r="B34" s="67">
        <v>250701</v>
      </c>
      <c r="C34" s="68">
        <v>1</v>
      </c>
      <c r="D34" s="69">
        <v>303</v>
      </c>
      <c r="E34" s="69"/>
      <c r="F34" s="69"/>
      <c r="G34" s="70"/>
      <c r="H34" s="68">
        <v>1</v>
      </c>
      <c r="I34" s="70"/>
      <c r="J34" s="70"/>
      <c r="K34" s="84">
        <f t="shared" si="0"/>
        <v>303</v>
      </c>
      <c r="L34" s="84" t="str">
        <f t="shared" si="1"/>
        <v/>
      </c>
      <c r="M34" s="84" t="str">
        <f t="shared" si="2"/>
        <v/>
      </c>
      <c r="N34" s="84" t="str">
        <f t="shared" si="3"/>
        <v/>
      </c>
      <c r="P34">
        <f t="shared" si="5"/>
        <v>150701</v>
      </c>
      <c r="Q34">
        <f t="shared" si="6"/>
        <v>242</v>
      </c>
      <c r="V34">
        <f t="shared" si="7"/>
        <v>305</v>
      </c>
      <c r="W34" t="str">
        <f t="shared" si="8"/>
        <v/>
      </c>
      <c r="X34" t="str">
        <f t="shared" si="9"/>
        <v/>
      </c>
      <c r="AB34" t="str">
        <f t="shared" si="10"/>
        <v>305</v>
      </c>
      <c r="AF34" s="32" t="s">
        <v>69</v>
      </c>
    </row>
    <row r="35" ht="16.25" spans="1:32">
      <c r="A35" s="45">
        <v>102</v>
      </c>
      <c r="B35" s="67">
        <v>250801</v>
      </c>
      <c r="C35" s="68">
        <v>1</v>
      </c>
      <c r="D35" s="69">
        <v>303</v>
      </c>
      <c r="E35" s="69"/>
      <c r="F35" s="69"/>
      <c r="G35" s="70"/>
      <c r="H35" s="68">
        <v>1</v>
      </c>
      <c r="I35" s="70"/>
      <c r="J35" s="70"/>
      <c r="K35" s="84">
        <f t="shared" si="0"/>
        <v>303</v>
      </c>
      <c r="L35" s="84" t="str">
        <f t="shared" si="1"/>
        <v/>
      </c>
      <c r="M35" s="84" t="str">
        <f t="shared" si="2"/>
        <v/>
      </c>
      <c r="N35" s="84" t="str">
        <f t="shared" si="3"/>
        <v/>
      </c>
      <c r="P35">
        <f t="shared" si="5"/>
        <v>150801</v>
      </c>
      <c r="Q35">
        <f t="shared" si="6"/>
        <v>242</v>
      </c>
      <c r="V35">
        <f t="shared" si="7"/>
        <v>305</v>
      </c>
      <c r="W35" t="str">
        <f t="shared" si="8"/>
        <v/>
      </c>
      <c r="X35" t="str">
        <f t="shared" si="9"/>
        <v/>
      </c>
      <c r="AB35" t="str">
        <f t="shared" ref="AB35:AB98" si="11">_xlfn.TEXTJOIN(",",TRUE,V35,W35,X35)</f>
        <v>305</v>
      </c>
      <c r="AF35" s="32" t="s">
        <v>73</v>
      </c>
    </row>
    <row r="36" ht="16.25" spans="1:32">
      <c r="A36" s="45">
        <v>102</v>
      </c>
      <c r="B36" s="67">
        <v>250901</v>
      </c>
      <c r="C36" s="68">
        <v>1</v>
      </c>
      <c r="D36" s="69">
        <v>303</v>
      </c>
      <c r="E36" s="69"/>
      <c r="F36" s="69"/>
      <c r="G36" s="70"/>
      <c r="H36" s="68">
        <v>1</v>
      </c>
      <c r="I36" s="70"/>
      <c r="J36" s="70"/>
      <c r="K36" s="84">
        <f t="shared" si="0"/>
        <v>303</v>
      </c>
      <c r="L36" s="84" t="str">
        <f t="shared" si="1"/>
        <v/>
      </c>
      <c r="M36" s="84" t="str">
        <f t="shared" si="2"/>
        <v/>
      </c>
      <c r="N36" s="84" t="str">
        <f t="shared" si="3"/>
        <v/>
      </c>
      <c r="P36">
        <f t="shared" si="5"/>
        <v>150901</v>
      </c>
      <c r="Q36">
        <f t="shared" si="6"/>
        <v>242</v>
      </c>
      <c r="V36">
        <f t="shared" si="7"/>
        <v>305</v>
      </c>
      <c r="W36" t="str">
        <f t="shared" si="8"/>
        <v/>
      </c>
      <c r="X36" t="str">
        <f t="shared" si="9"/>
        <v/>
      </c>
      <c r="AB36" t="str">
        <f t="shared" si="11"/>
        <v>305</v>
      </c>
      <c r="AF36" s="32" t="s">
        <v>77</v>
      </c>
    </row>
    <row r="37" ht="16.25" spans="1:32">
      <c r="A37" s="45">
        <v>102</v>
      </c>
      <c r="B37" s="67">
        <v>260101</v>
      </c>
      <c r="C37" s="68">
        <v>1</v>
      </c>
      <c r="D37" s="69">
        <v>563</v>
      </c>
      <c r="E37" s="69"/>
      <c r="F37" s="69"/>
      <c r="G37" s="70"/>
      <c r="H37" s="68">
        <v>1</v>
      </c>
      <c r="I37" s="70"/>
      <c r="J37" s="70"/>
      <c r="K37" s="84">
        <f t="shared" si="0"/>
        <v>563</v>
      </c>
      <c r="L37" s="84" t="str">
        <f t="shared" si="1"/>
        <v/>
      </c>
      <c r="M37" s="84" t="str">
        <f t="shared" si="2"/>
        <v/>
      </c>
      <c r="N37" s="84" t="str">
        <f t="shared" si="3"/>
        <v/>
      </c>
      <c r="P37">
        <f t="shared" si="5"/>
        <v>160101</v>
      </c>
      <c r="Q37">
        <f t="shared" si="6"/>
        <v>450</v>
      </c>
      <c r="V37">
        <f t="shared" si="7"/>
        <v>565</v>
      </c>
      <c r="W37" t="str">
        <f t="shared" si="8"/>
        <v/>
      </c>
      <c r="X37" t="str">
        <f t="shared" si="9"/>
        <v/>
      </c>
      <c r="AB37" t="str">
        <f t="shared" si="11"/>
        <v>565</v>
      </c>
      <c r="AF37" s="32" t="s">
        <v>81</v>
      </c>
    </row>
    <row r="38" ht="16.25" spans="1:32">
      <c r="A38" s="45">
        <v>102</v>
      </c>
      <c r="B38" s="67">
        <v>260201</v>
      </c>
      <c r="C38" s="68">
        <v>1</v>
      </c>
      <c r="D38" s="69">
        <v>563</v>
      </c>
      <c r="E38" s="69"/>
      <c r="F38" s="69"/>
      <c r="G38" s="70"/>
      <c r="H38" s="68">
        <v>1</v>
      </c>
      <c r="I38" s="70"/>
      <c r="J38" s="70"/>
      <c r="K38" s="84">
        <f t="shared" si="0"/>
        <v>563</v>
      </c>
      <c r="L38" s="84" t="str">
        <f t="shared" si="1"/>
        <v/>
      </c>
      <c r="M38" s="84" t="str">
        <f t="shared" si="2"/>
        <v/>
      </c>
      <c r="N38" s="84" t="str">
        <f t="shared" si="3"/>
        <v/>
      </c>
      <c r="P38">
        <f t="shared" si="5"/>
        <v>160201</v>
      </c>
      <c r="Q38">
        <f t="shared" si="6"/>
        <v>450</v>
      </c>
      <c r="V38">
        <f t="shared" si="7"/>
        <v>565</v>
      </c>
      <c r="W38" t="str">
        <f t="shared" si="8"/>
        <v/>
      </c>
      <c r="X38" t="str">
        <f t="shared" si="9"/>
        <v/>
      </c>
      <c r="AB38" t="str">
        <f t="shared" si="11"/>
        <v>565</v>
      </c>
      <c r="AF38" s="32" t="s">
        <v>85</v>
      </c>
    </row>
    <row r="39" ht="16.25" spans="1:32">
      <c r="A39" s="45">
        <v>102</v>
      </c>
      <c r="B39" s="67">
        <v>260301</v>
      </c>
      <c r="C39" s="68">
        <v>1</v>
      </c>
      <c r="D39" s="69">
        <v>563</v>
      </c>
      <c r="E39" s="69"/>
      <c r="F39" s="69"/>
      <c r="G39" s="70"/>
      <c r="H39" s="68">
        <v>1</v>
      </c>
      <c r="I39" s="70"/>
      <c r="J39" s="70"/>
      <c r="K39" s="84">
        <f t="shared" si="0"/>
        <v>563</v>
      </c>
      <c r="L39" s="84" t="str">
        <f t="shared" si="1"/>
        <v/>
      </c>
      <c r="M39" s="84" t="str">
        <f t="shared" si="2"/>
        <v/>
      </c>
      <c r="N39" s="84" t="str">
        <f t="shared" si="3"/>
        <v/>
      </c>
      <c r="P39">
        <f t="shared" si="5"/>
        <v>160301</v>
      </c>
      <c r="Q39">
        <f t="shared" si="6"/>
        <v>450</v>
      </c>
      <c r="V39">
        <f t="shared" si="7"/>
        <v>565</v>
      </c>
      <c r="W39" t="str">
        <f t="shared" si="8"/>
        <v/>
      </c>
      <c r="X39" t="str">
        <f t="shared" si="9"/>
        <v/>
      </c>
      <c r="AB39" t="str">
        <f t="shared" si="11"/>
        <v>565</v>
      </c>
      <c r="AF39" s="32" t="s">
        <v>89</v>
      </c>
    </row>
    <row r="40" ht="16.25" spans="1:32">
      <c r="A40" s="45">
        <v>102</v>
      </c>
      <c r="B40" s="67">
        <v>260401</v>
      </c>
      <c r="C40" s="68">
        <v>1</v>
      </c>
      <c r="D40" s="69">
        <v>563</v>
      </c>
      <c r="E40" s="69"/>
      <c r="F40" s="69"/>
      <c r="G40" s="70"/>
      <c r="H40" s="68">
        <v>1</v>
      </c>
      <c r="I40" s="70"/>
      <c r="J40" s="70"/>
      <c r="K40" s="84">
        <f t="shared" si="0"/>
        <v>563</v>
      </c>
      <c r="L40" s="84" t="str">
        <f t="shared" si="1"/>
        <v/>
      </c>
      <c r="M40" s="84" t="str">
        <f t="shared" si="2"/>
        <v/>
      </c>
      <c r="N40" s="84" t="str">
        <f t="shared" si="3"/>
        <v/>
      </c>
      <c r="P40">
        <f t="shared" si="5"/>
        <v>160401</v>
      </c>
      <c r="Q40">
        <f t="shared" si="6"/>
        <v>450</v>
      </c>
      <c r="V40">
        <f t="shared" si="7"/>
        <v>565</v>
      </c>
      <c r="W40" t="str">
        <f t="shared" si="8"/>
        <v/>
      </c>
      <c r="X40" t="str">
        <f t="shared" si="9"/>
        <v/>
      </c>
      <c r="AB40" t="str">
        <f t="shared" si="11"/>
        <v>565</v>
      </c>
      <c r="AF40" s="32" t="s">
        <v>93</v>
      </c>
    </row>
    <row r="41" ht="16.25" spans="1:32">
      <c r="A41" s="45">
        <v>102</v>
      </c>
      <c r="B41" s="67">
        <v>260501</v>
      </c>
      <c r="C41" s="68">
        <v>1</v>
      </c>
      <c r="D41" s="69">
        <v>563</v>
      </c>
      <c r="E41" s="69"/>
      <c r="F41" s="69"/>
      <c r="G41" s="70"/>
      <c r="H41" s="68">
        <v>1</v>
      </c>
      <c r="I41" s="70"/>
      <c r="J41" s="70"/>
      <c r="K41" s="84">
        <f t="shared" si="0"/>
        <v>563</v>
      </c>
      <c r="L41" s="84" t="str">
        <f t="shared" si="1"/>
        <v/>
      </c>
      <c r="M41" s="84" t="str">
        <f t="shared" si="2"/>
        <v/>
      </c>
      <c r="N41" s="84" t="str">
        <f t="shared" si="3"/>
        <v/>
      </c>
      <c r="P41">
        <f t="shared" si="5"/>
        <v>160501</v>
      </c>
      <c r="Q41">
        <f t="shared" si="6"/>
        <v>450</v>
      </c>
      <c r="V41">
        <f t="shared" si="7"/>
        <v>565</v>
      </c>
      <c r="W41" t="str">
        <f t="shared" si="8"/>
        <v/>
      </c>
      <c r="X41" t="str">
        <f t="shared" si="9"/>
        <v/>
      </c>
      <c r="AB41" t="str">
        <f t="shared" si="11"/>
        <v>565</v>
      </c>
      <c r="AF41" s="32" t="s">
        <v>97</v>
      </c>
    </row>
    <row r="42" ht="16.25" spans="1:32">
      <c r="A42" s="45">
        <v>102</v>
      </c>
      <c r="B42" s="67">
        <v>260601</v>
      </c>
      <c r="C42" s="68">
        <v>1</v>
      </c>
      <c r="D42" s="69">
        <v>563</v>
      </c>
      <c r="E42" s="69"/>
      <c r="F42" s="69"/>
      <c r="G42" s="70"/>
      <c r="H42" s="68">
        <v>1</v>
      </c>
      <c r="I42" s="70"/>
      <c r="J42" s="70"/>
      <c r="K42" s="84">
        <f t="shared" si="0"/>
        <v>563</v>
      </c>
      <c r="L42" s="84" t="str">
        <f t="shared" si="1"/>
        <v/>
      </c>
      <c r="M42" s="84" t="str">
        <f t="shared" si="2"/>
        <v/>
      </c>
      <c r="N42" s="84" t="str">
        <f t="shared" si="3"/>
        <v/>
      </c>
      <c r="P42">
        <f t="shared" si="5"/>
        <v>160601</v>
      </c>
      <c r="Q42">
        <f t="shared" si="6"/>
        <v>450</v>
      </c>
      <c r="V42">
        <f t="shared" si="7"/>
        <v>565</v>
      </c>
      <c r="W42" t="str">
        <f t="shared" si="8"/>
        <v/>
      </c>
      <c r="X42" t="str">
        <f t="shared" si="9"/>
        <v/>
      </c>
      <c r="AB42" t="str">
        <f t="shared" si="11"/>
        <v>565</v>
      </c>
      <c r="AF42" s="32" t="s">
        <v>101</v>
      </c>
    </row>
    <row r="43" ht="16.25" spans="1:32">
      <c r="A43" s="45">
        <v>102</v>
      </c>
      <c r="B43" s="67">
        <v>260701</v>
      </c>
      <c r="C43" s="68">
        <v>1</v>
      </c>
      <c r="D43" s="69">
        <v>563</v>
      </c>
      <c r="E43" s="69"/>
      <c r="F43" s="69"/>
      <c r="G43" s="70"/>
      <c r="H43" s="68">
        <v>1</v>
      </c>
      <c r="I43" s="70"/>
      <c r="J43" s="70"/>
      <c r="K43" s="84">
        <f t="shared" si="0"/>
        <v>563</v>
      </c>
      <c r="L43" s="84" t="str">
        <f t="shared" si="1"/>
        <v/>
      </c>
      <c r="M43" s="84" t="str">
        <f t="shared" si="2"/>
        <v/>
      </c>
      <c r="N43" s="84" t="str">
        <f t="shared" si="3"/>
        <v/>
      </c>
      <c r="P43">
        <f t="shared" si="5"/>
        <v>160701</v>
      </c>
      <c r="Q43">
        <f>ROUND(D43*$Q$1,0)</f>
        <v>450</v>
      </c>
      <c r="V43">
        <f t="shared" si="7"/>
        <v>565</v>
      </c>
      <c r="W43" t="str">
        <f t="shared" si="8"/>
        <v/>
      </c>
      <c r="X43" t="str">
        <f t="shared" si="9"/>
        <v/>
      </c>
      <c r="AB43" t="str">
        <f t="shared" si="11"/>
        <v>565</v>
      </c>
      <c r="AF43" s="32" t="s">
        <v>105</v>
      </c>
    </row>
    <row r="44" ht="16.25" spans="1:32">
      <c r="A44" s="45">
        <v>102</v>
      </c>
      <c r="B44" s="67">
        <v>260801</v>
      </c>
      <c r="C44" s="68">
        <v>1</v>
      </c>
      <c r="D44" s="69">
        <v>563</v>
      </c>
      <c r="E44" s="69"/>
      <c r="F44" s="69"/>
      <c r="G44" s="70"/>
      <c r="H44" s="68">
        <v>1</v>
      </c>
      <c r="I44" s="70"/>
      <c r="J44" s="70"/>
      <c r="K44" s="84">
        <f t="shared" si="0"/>
        <v>563</v>
      </c>
      <c r="L44" s="84" t="str">
        <f t="shared" si="1"/>
        <v/>
      </c>
      <c r="M44" s="84" t="str">
        <f t="shared" si="2"/>
        <v/>
      </c>
      <c r="N44" s="84" t="str">
        <f t="shared" si="3"/>
        <v/>
      </c>
      <c r="P44">
        <f t="shared" si="5"/>
        <v>160801</v>
      </c>
      <c r="Q44">
        <f>ROUND(D44*$Q$1,0)</f>
        <v>450</v>
      </c>
      <c r="V44">
        <f t="shared" si="7"/>
        <v>565</v>
      </c>
      <c r="W44" t="str">
        <f t="shared" si="8"/>
        <v/>
      </c>
      <c r="X44" t="str">
        <f t="shared" si="9"/>
        <v/>
      </c>
      <c r="AB44" t="str">
        <f t="shared" si="11"/>
        <v>565</v>
      </c>
      <c r="AF44" s="32" t="s">
        <v>109</v>
      </c>
    </row>
    <row r="45" ht="16.25" spans="1:32">
      <c r="A45" s="45">
        <v>102</v>
      </c>
      <c r="B45" s="67">
        <v>260901</v>
      </c>
      <c r="C45" s="68">
        <v>1</v>
      </c>
      <c r="D45" s="69">
        <v>563</v>
      </c>
      <c r="E45" s="69"/>
      <c r="F45" s="69"/>
      <c r="G45" s="70"/>
      <c r="H45" s="68">
        <v>1</v>
      </c>
      <c r="I45" s="70"/>
      <c r="J45" s="70"/>
      <c r="K45" s="84">
        <f t="shared" si="0"/>
        <v>563</v>
      </c>
      <c r="L45" s="84" t="str">
        <f t="shared" si="1"/>
        <v/>
      </c>
      <c r="M45" s="84" t="str">
        <f t="shared" si="2"/>
        <v/>
      </c>
      <c r="N45" s="84" t="str">
        <f t="shared" si="3"/>
        <v/>
      </c>
      <c r="P45">
        <f t="shared" si="5"/>
        <v>160901</v>
      </c>
      <c r="Q45">
        <f>ROUND(D45*$Q$1,0)</f>
        <v>450</v>
      </c>
      <c r="V45">
        <f t="shared" si="7"/>
        <v>565</v>
      </c>
      <c r="W45" t="str">
        <f t="shared" si="8"/>
        <v/>
      </c>
      <c r="X45" t="str">
        <f t="shared" si="9"/>
        <v/>
      </c>
      <c r="AB45" t="str">
        <f t="shared" si="11"/>
        <v>565</v>
      </c>
      <c r="AF45" s="32" t="s">
        <v>113</v>
      </c>
    </row>
    <row r="46" ht="16.25" spans="1:32">
      <c r="A46" s="45">
        <v>103</v>
      </c>
      <c r="B46" s="67">
        <v>250101</v>
      </c>
      <c r="C46" s="71">
        <v>8</v>
      </c>
      <c r="D46" s="71">
        <v>0.0054</v>
      </c>
      <c r="E46" s="71"/>
      <c r="F46" s="71"/>
      <c r="G46" s="72"/>
      <c r="H46" s="71">
        <v>8</v>
      </c>
      <c r="I46" s="72"/>
      <c r="J46" s="72"/>
      <c r="K46" s="84">
        <f t="shared" si="0"/>
        <v>0.0324</v>
      </c>
      <c r="L46" s="84" t="str">
        <f t="shared" si="1"/>
        <v/>
      </c>
      <c r="M46" s="84" t="str">
        <f t="shared" si="2"/>
        <v/>
      </c>
      <c r="N46" s="84" t="str">
        <f t="shared" si="3"/>
        <v/>
      </c>
      <c r="P46">
        <f t="shared" ref="P46:P61" si="12">B46-100000</f>
        <v>150101</v>
      </c>
      <c r="Q46">
        <f>ROUND(D46*0.8,4)</f>
        <v>0.0043</v>
      </c>
      <c r="R46" s="64" t="s">
        <v>301</v>
      </c>
      <c r="V46">
        <f t="shared" si="7"/>
        <v>0.0324</v>
      </c>
      <c r="W46" t="str">
        <f t="shared" si="8"/>
        <v/>
      </c>
      <c r="X46" t="str">
        <f t="shared" si="9"/>
        <v/>
      </c>
      <c r="AB46" t="str">
        <f t="shared" si="11"/>
        <v>0.0324</v>
      </c>
      <c r="AF46" s="32" t="s">
        <v>45</v>
      </c>
    </row>
    <row r="47" ht="16.25" spans="1:32">
      <c r="A47" s="45">
        <v>103</v>
      </c>
      <c r="B47" s="67">
        <v>250201</v>
      </c>
      <c r="C47" s="71">
        <v>8</v>
      </c>
      <c r="D47" s="71">
        <v>0.0107</v>
      </c>
      <c r="E47" s="71"/>
      <c r="F47" s="71"/>
      <c r="G47" s="72"/>
      <c r="H47" s="71">
        <v>8</v>
      </c>
      <c r="I47" s="72"/>
      <c r="J47" s="72"/>
      <c r="K47" s="84">
        <f t="shared" si="0"/>
        <v>0.0642</v>
      </c>
      <c r="L47" s="84" t="str">
        <f t="shared" si="1"/>
        <v/>
      </c>
      <c r="M47" s="84" t="str">
        <f t="shared" si="2"/>
        <v/>
      </c>
      <c r="N47" s="84" t="str">
        <f t="shared" si="3"/>
        <v/>
      </c>
      <c r="P47">
        <f t="shared" si="12"/>
        <v>150201</v>
      </c>
      <c r="Q47">
        <f t="shared" ref="Q47:Q64" si="13">ROUND(D47*0.8,4)</f>
        <v>0.0086</v>
      </c>
      <c r="R47" s="64" t="s">
        <v>301</v>
      </c>
      <c r="V47">
        <f t="shared" si="7"/>
        <v>0.0642</v>
      </c>
      <c r="W47" t="str">
        <f t="shared" si="8"/>
        <v/>
      </c>
      <c r="X47" t="str">
        <f t="shared" si="9"/>
        <v/>
      </c>
      <c r="AB47" t="str">
        <f t="shared" si="11"/>
        <v>0.0642</v>
      </c>
      <c r="AF47" s="32" t="s">
        <v>49</v>
      </c>
    </row>
    <row r="48" ht="16.25" spans="1:32">
      <c r="A48" s="45">
        <v>103</v>
      </c>
      <c r="B48" s="67">
        <v>250301</v>
      </c>
      <c r="C48" s="71" t="s">
        <v>210</v>
      </c>
      <c r="D48" s="71">
        <v>0.0097</v>
      </c>
      <c r="E48" s="71">
        <v>0.0129</v>
      </c>
      <c r="F48" s="71"/>
      <c r="G48" s="72"/>
      <c r="H48" s="71">
        <v>8</v>
      </c>
      <c r="I48" s="72">
        <v>26</v>
      </c>
      <c r="J48" s="72"/>
      <c r="K48" s="84">
        <f t="shared" si="0"/>
        <v>0.0582</v>
      </c>
      <c r="L48" s="84">
        <f t="shared" si="1"/>
        <v>0.0774</v>
      </c>
      <c r="M48" s="84" t="str">
        <f t="shared" si="2"/>
        <v/>
      </c>
      <c r="N48" s="84" t="str">
        <f t="shared" si="3"/>
        <v/>
      </c>
      <c r="P48">
        <f t="shared" si="12"/>
        <v>150301</v>
      </c>
      <c r="Q48">
        <f t="shared" si="13"/>
        <v>0.0078</v>
      </c>
      <c r="R48" s="64" t="s">
        <v>301</v>
      </c>
      <c r="S48">
        <f>ROUND(E48*$Q$1,4)</f>
        <v>0.0103</v>
      </c>
      <c r="V48">
        <f t="shared" si="7"/>
        <v>0.0582</v>
      </c>
      <c r="W48">
        <f t="shared" si="8"/>
        <v>0.0774</v>
      </c>
      <c r="X48" t="str">
        <f t="shared" si="9"/>
        <v/>
      </c>
      <c r="Z48" s="65" t="str">
        <f>Q48&amp;R48&amp;S48&amp;T48&amp;U48</f>
        <v>0.0078,0.0103</v>
      </c>
      <c r="AA48" s="8" t="s">
        <v>211</v>
      </c>
      <c r="AB48" t="str">
        <f t="shared" si="11"/>
        <v>0.0582,0.0774</v>
      </c>
      <c r="AF48" s="32" t="s">
        <v>53</v>
      </c>
    </row>
    <row r="49" ht="16.25" spans="1:32">
      <c r="A49" s="45">
        <v>103</v>
      </c>
      <c r="B49" s="67">
        <v>250401</v>
      </c>
      <c r="C49" s="71">
        <v>8</v>
      </c>
      <c r="D49" s="73">
        <v>0.0161</v>
      </c>
      <c r="E49" s="73"/>
      <c r="F49" s="73"/>
      <c r="G49" s="74"/>
      <c r="H49" s="71">
        <v>8</v>
      </c>
      <c r="I49" s="74"/>
      <c r="J49" s="74"/>
      <c r="K49" s="84">
        <f t="shared" si="0"/>
        <v>0.0966</v>
      </c>
      <c r="L49" s="84" t="str">
        <f t="shared" si="1"/>
        <v/>
      </c>
      <c r="M49" s="84" t="str">
        <f t="shared" si="2"/>
        <v/>
      </c>
      <c r="N49" s="84" t="str">
        <f t="shared" si="3"/>
        <v/>
      </c>
      <c r="P49">
        <f t="shared" si="12"/>
        <v>150401</v>
      </c>
      <c r="Q49">
        <f t="shared" si="13"/>
        <v>0.0129</v>
      </c>
      <c r="R49" s="64" t="s">
        <v>301</v>
      </c>
      <c r="S49">
        <f t="shared" ref="S49:S112" si="14">ROUND(E49*$Q$1,4)</f>
        <v>0</v>
      </c>
      <c r="V49">
        <f t="shared" si="7"/>
        <v>0.0966</v>
      </c>
      <c r="W49" t="str">
        <f t="shared" si="8"/>
        <v/>
      </c>
      <c r="X49" t="str">
        <f t="shared" si="9"/>
        <v/>
      </c>
      <c r="Z49" s="65" t="str">
        <f t="shared" ref="Z49:Z63" si="15">Q49&amp;R49&amp;S49&amp;T49&amp;U49</f>
        <v>0.0129,0</v>
      </c>
      <c r="AA49" s="8">
        <v>0.0129</v>
      </c>
      <c r="AB49" t="str">
        <f t="shared" si="11"/>
        <v>0.0966</v>
      </c>
      <c r="AF49" s="32" t="s">
        <v>57</v>
      </c>
    </row>
    <row r="50" ht="16.25" spans="1:32">
      <c r="A50" s="45">
        <v>103</v>
      </c>
      <c r="B50" s="67">
        <v>250501</v>
      </c>
      <c r="C50" s="71" t="s">
        <v>210</v>
      </c>
      <c r="D50" s="75">
        <v>0.0107</v>
      </c>
      <c r="E50" s="75">
        <v>0.0323</v>
      </c>
      <c r="F50" s="75"/>
      <c r="G50" s="76"/>
      <c r="H50" s="71">
        <v>8</v>
      </c>
      <c r="I50" s="76">
        <v>26</v>
      </c>
      <c r="J50" s="76"/>
      <c r="K50" s="84">
        <f t="shared" si="0"/>
        <v>0.0642</v>
      </c>
      <c r="L50" s="84">
        <f t="shared" si="1"/>
        <v>0.1938</v>
      </c>
      <c r="M50" s="84" t="str">
        <f t="shared" si="2"/>
        <v/>
      </c>
      <c r="N50" s="84" t="str">
        <f t="shared" si="3"/>
        <v/>
      </c>
      <c r="P50">
        <f t="shared" si="12"/>
        <v>150501</v>
      </c>
      <c r="Q50">
        <f t="shared" si="13"/>
        <v>0.0086</v>
      </c>
      <c r="R50" s="64" t="s">
        <v>301</v>
      </c>
      <c r="S50">
        <f t="shared" si="14"/>
        <v>0.0258</v>
      </c>
      <c r="V50">
        <f t="shared" si="7"/>
        <v>0.0642</v>
      </c>
      <c r="W50">
        <f t="shared" si="8"/>
        <v>0.1938</v>
      </c>
      <c r="X50" t="str">
        <f t="shared" si="9"/>
        <v/>
      </c>
      <c r="Z50" s="65" t="str">
        <f t="shared" si="15"/>
        <v>0.0086,0.0258</v>
      </c>
      <c r="AA50" s="8" t="s">
        <v>212</v>
      </c>
      <c r="AB50" t="str">
        <f t="shared" si="11"/>
        <v>0.0642,0.1938</v>
      </c>
      <c r="AF50" s="32" t="s">
        <v>61</v>
      </c>
    </row>
    <row r="51" ht="16.25" spans="1:32">
      <c r="A51" s="45">
        <v>103</v>
      </c>
      <c r="B51" s="67">
        <v>250601</v>
      </c>
      <c r="C51" s="71" t="s">
        <v>213</v>
      </c>
      <c r="D51" s="71">
        <v>0.0054</v>
      </c>
      <c r="E51" s="71">
        <v>0.036</v>
      </c>
      <c r="F51" s="71"/>
      <c r="G51" s="72"/>
      <c r="H51" s="71">
        <v>8</v>
      </c>
      <c r="I51" s="72">
        <v>9</v>
      </c>
      <c r="J51" s="72"/>
      <c r="K51" s="84">
        <f t="shared" si="0"/>
        <v>0.0324</v>
      </c>
      <c r="L51" s="84">
        <f t="shared" si="1"/>
        <v>0.216</v>
      </c>
      <c r="M51" s="84" t="str">
        <f t="shared" si="2"/>
        <v/>
      </c>
      <c r="N51" s="84" t="str">
        <f t="shared" si="3"/>
        <v/>
      </c>
      <c r="P51">
        <f t="shared" si="12"/>
        <v>150601</v>
      </c>
      <c r="Q51">
        <f t="shared" si="13"/>
        <v>0.0043</v>
      </c>
      <c r="R51" s="64" t="s">
        <v>301</v>
      </c>
      <c r="S51">
        <f t="shared" si="14"/>
        <v>0.0288</v>
      </c>
      <c r="V51">
        <f t="shared" si="7"/>
        <v>0.0324</v>
      </c>
      <c r="W51">
        <f t="shared" si="8"/>
        <v>0.216</v>
      </c>
      <c r="X51" t="str">
        <f t="shared" si="9"/>
        <v/>
      </c>
      <c r="Z51" s="65" t="str">
        <f t="shared" si="15"/>
        <v>0.0043,0.0288</v>
      </c>
      <c r="AA51" s="8" t="s">
        <v>214</v>
      </c>
      <c r="AB51" t="str">
        <f t="shared" si="11"/>
        <v>0.0324,0.216</v>
      </c>
      <c r="AF51" s="32" t="s">
        <v>65</v>
      </c>
    </row>
    <row r="52" ht="16.25" spans="1:32">
      <c r="A52" s="45">
        <v>103</v>
      </c>
      <c r="B52" s="67">
        <v>250701</v>
      </c>
      <c r="C52" s="71" t="s">
        <v>215</v>
      </c>
      <c r="D52" s="71">
        <v>0.0132</v>
      </c>
      <c r="E52" s="71">
        <v>0.018</v>
      </c>
      <c r="F52" s="71"/>
      <c r="G52" s="72"/>
      <c r="H52" s="71">
        <v>4</v>
      </c>
      <c r="I52" s="72">
        <v>9</v>
      </c>
      <c r="J52" s="72"/>
      <c r="K52" s="84">
        <f t="shared" si="0"/>
        <v>0.0264</v>
      </c>
      <c r="L52" s="84">
        <f t="shared" si="1"/>
        <v>0.108</v>
      </c>
      <c r="M52" s="84" t="str">
        <f t="shared" si="2"/>
        <v/>
      </c>
      <c r="N52" s="84" t="str">
        <f t="shared" si="3"/>
        <v/>
      </c>
      <c r="P52">
        <f t="shared" si="12"/>
        <v>150701</v>
      </c>
      <c r="Q52">
        <f t="shared" si="13"/>
        <v>0.0106</v>
      </c>
      <c r="R52" s="64" t="s">
        <v>301</v>
      </c>
      <c r="S52">
        <f t="shared" si="14"/>
        <v>0.0144</v>
      </c>
      <c r="V52">
        <f t="shared" si="7"/>
        <v>0.0264</v>
      </c>
      <c r="W52">
        <f t="shared" si="8"/>
        <v>0.108</v>
      </c>
      <c r="X52" t="str">
        <f t="shared" si="9"/>
        <v/>
      </c>
      <c r="Z52" s="65" t="str">
        <f t="shared" si="15"/>
        <v>0.0106,0.0144</v>
      </c>
      <c r="AA52" s="8" t="s">
        <v>216</v>
      </c>
      <c r="AB52" t="str">
        <f t="shared" si="11"/>
        <v>0.0264,0.108</v>
      </c>
      <c r="AF52" s="32" t="s">
        <v>69</v>
      </c>
    </row>
    <row r="53" ht="16.25" spans="1:32">
      <c r="A53" s="45">
        <v>103</v>
      </c>
      <c r="B53" s="67">
        <v>250801</v>
      </c>
      <c r="C53" s="71" t="s">
        <v>217</v>
      </c>
      <c r="D53" s="71">
        <v>0.0063</v>
      </c>
      <c r="E53" s="71">
        <v>0.012</v>
      </c>
      <c r="F53" s="71"/>
      <c r="G53" s="72"/>
      <c r="H53" s="71">
        <v>5</v>
      </c>
      <c r="I53" s="72">
        <v>9</v>
      </c>
      <c r="J53" s="72"/>
      <c r="K53" s="84">
        <f t="shared" si="0"/>
        <v>0.0378</v>
      </c>
      <c r="L53" s="84">
        <f t="shared" si="1"/>
        <v>0.072</v>
      </c>
      <c r="M53" s="84" t="str">
        <f t="shared" si="2"/>
        <v/>
      </c>
      <c r="N53" s="84" t="str">
        <f t="shared" si="3"/>
        <v/>
      </c>
      <c r="P53">
        <f t="shared" si="12"/>
        <v>150801</v>
      </c>
      <c r="Q53">
        <f t="shared" si="13"/>
        <v>0.005</v>
      </c>
      <c r="R53" s="64" t="s">
        <v>301</v>
      </c>
      <c r="S53">
        <f t="shared" si="14"/>
        <v>0.0096</v>
      </c>
      <c r="V53">
        <f t="shared" si="7"/>
        <v>0.0378</v>
      </c>
      <c r="W53">
        <f t="shared" si="8"/>
        <v>0.072</v>
      </c>
      <c r="X53" t="str">
        <f t="shared" si="9"/>
        <v/>
      </c>
      <c r="Z53" s="65" t="str">
        <f t="shared" si="15"/>
        <v>0.005,0.0096</v>
      </c>
      <c r="AA53" s="8" t="s">
        <v>218</v>
      </c>
      <c r="AB53" t="str">
        <f t="shared" si="11"/>
        <v>0.0378,0.072</v>
      </c>
      <c r="AF53" s="32" t="s">
        <v>73</v>
      </c>
    </row>
    <row r="54" ht="16.25" spans="1:32">
      <c r="A54" s="45">
        <v>103</v>
      </c>
      <c r="B54" s="67">
        <v>250901</v>
      </c>
      <c r="C54" s="71" t="s">
        <v>219</v>
      </c>
      <c r="D54" s="71">
        <v>0.0078</v>
      </c>
      <c r="E54" s="71">
        <v>0.015</v>
      </c>
      <c r="F54" s="71">
        <v>0.0017</v>
      </c>
      <c r="G54" s="72"/>
      <c r="H54" s="71">
        <v>5</v>
      </c>
      <c r="I54" s="72">
        <v>9</v>
      </c>
      <c r="J54" s="72">
        <v>11</v>
      </c>
      <c r="K54" s="84">
        <f t="shared" si="0"/>
        <v>0.0468</v>
      </c>
      <c r="L54" s="84">
        <f t="shared" si="1"/>
        <v>0.09</v>
      </c>
      <c r="M54" s="84">
        <f t="shared" si="2"/>
        <v>0.0102</v>
      </c>
      <c r="N54" s="84" t="str">
        <f t="shared" si="3"/>
        <v/>
      </c>
      <c r="P54">
        <f t="shared" si="12"/>
        <v>150901</v>
      </c>
      <c r="Q54">
        <f t="shared" si="13"/>
        <v>0.0062</v>
      </c>
      <c r="R54" s="64" t="s">
        <v>301</v>
      </c>
      <c r="S54">
        <f t="shared" si="14"/>
        <v>0.012</v>
      </c>
      <c r="T54" s="64" t="s">
        <v>301</v>
      </c>
      <c r="U54">
        <f>ROUND(F54*$Q$1,4)</f>
        <v>0.0014</v>
      </c>
      <c r="V54">
        <f t="shared" si="7"/>
        <v>0.0468</v>
      </c>
      <c r="W54">
        <f t="shared" si="8"/>
        <v>0.09</v>
      </c>
      <c r="X54">
        <f t="shared" si="9"/>
        <v>0.0102</v>
      </c>
      <c r="Z54" s="65" t="str">
        <f t="shared" si="15"/>
        <v>0.0062,0.012,0.0014</v>
      </c>
      <c r="AA54" s="8" t="s">
        <v>220</v>
      </c>
      <c r="AB54" t="str">
        <f t="shared" si="11"/>
        <v>0.0468,0.09,0.0102</v>
      </c>
      <c r="AF54" s="32" t="s">
        <v>77</v>
      </c>
    </row>
    <row r="55" ht="16.25" spans="1:32">
      <c r="A55" s="45">
        <v>103</v>
      </c>
      <c r="B55" s="67">
        <v>260101</v>
      </c>
      <c r="C55" s="77">
        <v>8</v>
      </c>
      <c r="D55" s="78">
        <v>0.009</v>
      </c>
      <c r="E55" s="78"/>
      <c r="F55" s="78"/>
      <c r="G55" s="79"/>
      <c r="H55" s="77">
        <v>8</v>
      </c>
      <c r="I55" s="79"/>
      <c r="J55" s="79"/>
      <c r="K55" s="84">
        <f t="shared" si="0"/>
        <v>0.054</v>
      </c>
      <c r="L55" s="84" t="str">
        <f t="shared" si="1"/>
        <v/>
      </c>
      <c r="M55" s="84" t="str">
        <f t="shared" si="2"/>
        <v/>
      </c>
      <c r="N55" s="84" t="str">
        <f t="shared" si="3"/>
        <v/>
      </c>
      <c r="P55">
        <f t="shared" si="12"/>
        <v>160101</v>
      </c>
      <c r="Q55">
        <f t="shared" si="13"/>
        <v>0.0072</v>
      </c>
      <c r="R55" s="64" t="s">
        <v>301</v>
      </c>
      <c r="S55">
        <f t="shared" si="14"/>
        <v>0</v>
      </c>
      <c r="T55" s="64" t="s">
        <v>301</v>
      </c>
      <c r="U55">
        <f t="shared" ref="U55:U118" si="16">ROUND(F55*$Q$1,4)</f>
        <v>0</v>
      </c>
      <c r="V55">
        <f t="shared" si="7"/>
        <v>0.054</v>
      </c>
      <c r="W55" t="str">
        <f t="shared" si="8"/>
        <v/>
      </c>
      <c r="X55" t="str">
        <f t="shared" si="9"/>
        <v/>
      </c>
      <c r="Z55" s="65" t="str">
        <f t="shared" si="15"/>
        <v>0.0072,0,0</v>
      </c>
      <c r="AA55" s="8">
        <v>0.0072</v>
      </c>
      <c r="AB55" t="str">
        <f t="shared" si="11"/>
        <v>0.054</v>
      </c>
      <c r="AF55" s="32" t="s">
        <v>81</v>
      </c>
    </row>
    <row r="56" ht="16.25" spans="1:32">
      <c r="A56" s="45">
        <v>103</v>
      </c>
      <c r="B56" s="67">
        <v>260201</v>
      </c>
      <c r="C56" s="77">
        <v>8</v>
      </c>
      <c r="D56" s="78">
        <v>0.0179</v>
      </c>
      <c r="E56" s="78"/>
      <c r="F56" s="78"/>
      <c r="G56" s="79"/>
      <c r="H56" s="77">
        <v>8</v>
      </c>
      <c r="I56" s="79"/>
      <c r="J56" s="79"/>
      <c r="K56" s="84">
        <f t="shared" si="0"/>
        <v>0.1074</v>
      </c>
      <c r="L56" s="84" t="str">
        <f t="shared" si="1"/>
        <v/>
      </c>
      <c r="M56" s="84" t="str">
        <f t="shared" si="2"/>
        <v/>
      </c>
      <c r="N56" s="84" t="str">
        <f t="shared" si="3"/>
        <v/>
      </c>
      <c r="P56">
        <f t="shared" si="12"/>
        <v>160201</v>
      </c>
      <c r="Q56">
        <f t="shared" si="13"/>
        <v>0.0143</v>
      </c>
      <c r="R56" s="64" t="s">
        <v>301</v>
      </c>
      <c r="S56">
        <f t="shared" si="14"/>
        <v>0</v>
      </c>
      <c r="T56" s="64" t="s">
        <v>301</v>
      </c>
      <c r="U56">
        <f t="shared" si="16"/>
        <v>0</v>
      </c>
      <c r="V56">
        <f t="shared" si="7"/>
        <v>0.1074</v>
      </c>
      <c r="W56" t="str">
        <f t="shared" si="8"/>
        <v/>
      </c>
      <c r="X56" t="str">
        <f t="shared" si="9"/>
        <v/>
      </c>
      <c r="Z56" s="65" t="str">
        <f t="shared" si="15"/>
        <v>0.0143,0,0</v>
      </c>
      <c r="AA56" s="8">
        <v>0.0143</v>
      </c>
      <c r="AB56" t="str">
        <f t="shared" si="11"/>
        <v>0.1074</v>
      </c>
      <c r="AF56" s="32" t="s">
        <v>85</v>
      </c>
    </row>
    <row r="57" ht="16.25" spans="1:32">
      <c r="A57" s="45">
        <v>103</v>
      </c>
      <c r="B57" s="67">
        <v>260301</v>
      </c>
      <c r="C57" s="77" t="s">
        <v>210</v>
      </c>
      <c r="D57" s="78">
        <v>0.0161</v>
      </c>
      <c r="E57" s="78">
        <v>0.0215</v>
      </c>
      <c r="F57" s="78"/>
      <c r="G57" s="79"/>
      <c r="H57" s="77">
        <v>8</v>
      </c>
      <c r="I57" s="79">
        <v>26</v>
      </c>
      <c r="J57" s="79"/>
      <c r="K57" s="84">
        <f t="shared" si="0"/>
        <v>0.0966</v>
      </c>
      <c r="L57" s="84">
        <f t="shared" si="1"/>
        <v>0.129</v>
      </c>
      <c r="M57" s="84" t="str">
        <f t="shared" si="2"/>
        <v/>
      </c>
      <c r="N57" s="84" t="str">
        <f t="shared" si="3"/>
        <v/>
      </c>
      <c r="P57">
        <f t="shared" si="12"/>
        <v>160301</v>
      </c>
      <c r="Q57">
        <f t="shared" si="13"/>
        <v>0.0129</v>
      </c>
      <c r="R57" s="64" t="s">
        <v>301</v>
      </c>
      <c r="S57">
        <f t="shared" si="14"/>
        <v>0.0172</v>
      </c>
      <c r="T57" s="64" t="s">
        <v>301</v>
      </c>
      <c r="U57">
        <f t="shared" si="16"/>
        <v>0</v>
      </c>
      <c r="V57">
        <f t="shared" si="7"/>
        <v>0.0966</v>
      </c>
      <c r="W57">
        <f t="shared" si="8"/>
        <v>0.129</v>
      </c>
      <c r="X57" t="str">
        <f t="shared" si="9"/>
        <v/>
      </c>
      <c r="Z57" s="65" t="str">
        <f t="shared" si="15"/>
        <v>0.0129,0.0172,0</v>
      </c>
      <c r="AA57" s="8" t="s">
        <v>221</v>
      </c>
      <c r="AB57" t="str">
        <f t="shared" si="11"/>
        <v>0.0966,0.129</v>
      </c>
      <c r="AF57" s="32" t="s">
        <v>89</v>
      </c>
    </row>
    <row r="58" ht="16.25" spans="1:32">
      <c r="A58" s="45">
        <v>103</v>
      </c>
      <c r="B58" s="67">
        <v>260401</v>
      </c>
      <c r="C58" s="77">
        <v>8</v>
      </c>
      <c r="D58" s="78">
        <v>0.0269</v>
      </c>
      <c r="E58" s="78"/>
      <c r="F58" s="78"/>
      <c r="G58" s="79"/>
      <c r="H58" s="77">
        <v>8</v>
      </c>
      <c r="I58" s="79"/>
      <c r="J58" s="79"/>
      <c r="K58" s="84">
        <f t="shared" si="0"/>
        <v>0.1614</v>
      </c>
      <c r="L58" s="84" t="str">
        <f t="shared" si="1"/>
        <v/>
      </c>
      <c r="M58" s="84" t="str">
        <f t="shared" si="2"/>
        <v/>
      </c>
      <c r="N58" s="84" t="str">
        <f t="shared" si="3"/>
        <v/>
      </c>
      <c r="P58">
        <f t="shared" si="12"/>
        <v>160401</v>
      </c>
      <c r="Q58">
        <f t="shared" si="13"/>
        <v>0.0215</v>
      </c>
      <c r="R58" s="64" t="s">
        <v>301</v>
      </c>
      <c r="S58">
        <f t="shared" si="14"/>
        <v>0</v>
      </c>
      <c r="T58" s="64" t="s">
        <v>301</v>
      </c>
      <c r="U58">
        <f t="shared" si="16"/>
        <v>0</v>
      </c>
      <c r="V58">
        <f t="shared" si="7"/>
        <v>0.1614</v>
      </c>
      <c r="W58" t="str">
        <f t="shared" si="8"/>
        <v/>
      </c>
      <c r="X58" t="str">
        <f t="shared" si="9"/>
        <v/>
      </c>
      <c r="Z58" s="65" t="str">
        <f t="shared" si="15"/>
        <v>0.0215,0,0</v>
      </c>
      <c r="AA58" s="8">
        <v>0.0215</v>
      </c>
      <c r="AB58" t="str">
        <f t="shared" si="11"/>
        <v>0.1614</v>
      </c>
      <c r="AF58" s="32" t="s">
        <v>93</v>
      </c>
    </row>
    <row r="59" ht="16.25" spans="1:32">
      <c r="A59" s="45">
        <v>103</v>
      </c>
      <c r="B59" s="67">
        <v>260501</v>
      </c>
      <c r="C59" s="77" t="s">
        <v>210</v>
      </c>
      <c r="D59" s="78">
        <v>0.0179</v>
      </c>
      <c r="E59" s="78">
        <v>0.0537</v>
      </c>
      <c r="F59" s="78"/>
      <c r="G59" s="79"/>
      <c r="H59" s="77">
        <v>8</v>
      </c>
      <c r="I59" s="79">
        <v>26</v>
      </c>
      <c r="J59" s="79"/>
      <c r="K59" s="84">
        <f t="shared" si="0"/>
        <v>0.1074</v>
      </c>
      <c r="L59" s="84">
        <f t="shared" si="1"/>
        <v>0.3222</v>
      </c>
      <c r="M59" s="84" t="str">
        <f t="shared" si="2"/>
        <v/>
      </c>
      <c r="N59" s="84" t="str">
        <f t="shared" si="3"/>
        <v/>
      </c>
      <c r="P59">
        <f t="shared" si="12"/>
        <v>160501</v>
      </c>
      <c r="Q59">
        <f t="shared" si="13"/>
        <v>0.0143</v>
      </c>
      <c r="R59" s="64" t="s">
        <v>301</v>
      </c>
      <c r="S59">
        <f t="shared" si="14"/>
        <v>0.043</v>
      </c>
      <c r="T59" s="64" t="s">
        <v>301</v>
      </c>
      <c r="U59">
        <f t="shared" si="16"/>
        <v>0</v>
      </c>
      <c r="V59">
        <f t="shared" si="7"/>
        <v>0.1074</v>
      </c>
      <c r="W59">
        <f t="shared" si="8"/>
        <v>0.3222</v>
      </c>
      <c r="X59" t="str">
        <f t="shared" si="9"/>
        <v/>
      </c>
      <c r="Z59" s="65" t="str">
        <f t="shared" si="15"/>
        <v>0.0143,0.043,0</v>
      </c>
      <c r="AA59" s="8" t="s">
        <v>222</v>
      </c>
      <c r="AB59" t="str">
        <f t="shared" si="11"/>
        <v>0.1074,0.3222</v>
      </c>
      <c r="AF59" s="32" t="s">
        <v>97</v>
      </c>
    </row>
    <row r="60" ht="16.25" spans="1:32">
      <c r="A60" s="45">
        <v>103</v>
      </c>
      <c r="B60" s="67">
        <v>260601</v>
      </c>
      <c r="C60" s="77" t="s">
        <v>213</v>
      </c>
      <c r="D60" s="78">
        <v>0.009</v>
      </c>
      <c r="E60" s="78">
        <v>0.06</v>
      </c>
      <c r="F60" s="78"/>
      <c r="G60" s="79"/>
      <c r="H60" s="77">
        <v>8</v>
      </c>
      <c r="I60" s="79">
        <v>9</v>
      </c>
      <c r="J60" s="79"/>
      <c r="K60" s="84">
        <f t="shared" si="0"/>
        <v>0.054</v>
      </c>
      <c r="L60" s="84">
        <f t="shared" si="1"/>
        <v>0.36</v>
      </c>
      <c r="M60" s="84" t="str">
        <f t="shared" si="2"/>
        <v/>
      </c>
      <c r="N60" s="84" t="str">
        <f t="shared" si="3"/>
        <v/>
      </c>
      <c r="P60">
        <f t="shared" si="12"/>
        <v>160601</v>
      </c>
      <c r="Q60">
        <f t="shared" si="13"/>
        <v>0.0072</v>
      </c>
      <c r="R60" s="64" t="s">
        <v>301</v>
      </c>
      <c r="S60">
        <f t="shared" si="14"/>
        <v>0.048</v>
      </c>
      <c r="T60" s="64" t="s">
        <v>301</v>
      </c>
      <c r="U60">
        <f t="shared" si="16"/>
        <v>0</v>
      </c>
      <c r="V60">
        <f t="shared" si="7"/>
        <v>0.054</v>
      </c>
      <c r="W60">
        <f t="shared" si="8"/>
        <v>0.36</v>
      </c>
      <c r="X60" t="str">
        <f t="shared" si="9"/>
        <v/>
      </c>
      <c r="Z60" s="65" t="str">
        <f t="shared" si="15"/>
        <v>0.0072,0.048,0</v>
      </c>
      <c r="AA60" s="8" t="s">
        <v>223</v>
      </c>
      <c r="AB60" t="str">
        <f t="shared" si="11"/>
        <v>0.054,0.36</v>
      </c>
      <c r="AF60" s="32" t="s">
        <v>101</v>
      </c>
    </row>
    <row r="61" ht="16.25" spans="1:32">
      <c r="A61" s="45">
        <v>103</v>
      </c>
      <c r="B61" s="67">
        <v>260701</v>
      </c>
      <c r="C61" s="77" t="s">
        <v>215</v>
      </c>
      <c r="D61" s="78">
        <v>0.0219</v>
      </c>
      <c r="E61" s="78">
        <v>0.03</v>
      </c>
      <c r="F61" s="78"/>
      <c r="G61" s="79"/>
      <c r="H61" s="77">
        <v>4</v>
      </c>
      <c r="I61" s="79">
        <v>9</v>
      </c>
      <c r="J61" s="79"/>
      <c r="K61" s="84">
        <f t="shared" si="0"/>
        <v>0.0438</v>
      </c>
      <c r="L61" s="84">
        <f t="shared" si="1"/>
        <v>0.18</v>
      </c>
      <c r="M61" s="84" t="str">
        <f t="shared" si="2"/>
        <v/>
      </c>
      <c r="N61" s="84" t="str">
        <f t="shared" si="3"/>
        <v/>
      </c>
      <c r="P61">
        <f t="shared" si="12"/>
        <v>160701</v>
      </c>
      <c r="Q61">
        <f t="shared" si="13"/>
        <v>0.0175</v>
      </c>
      <c r="R61" s="64" t="s">
        <v>301</v>
      </c>
      <c r="S61">
        <f t="shared" si="14"/>
        <v>0.024</v>
      </c>
      <c r="T61" s="64" t="s">
        <v>301</v>
      </c>
      <c r="U61">
        <f t="shared" si="16"/>
        <v>0</v>
      </c>
      <c r="V61">
        <f t="shared" si="7"/>
        <v>0.0438</v>
      </c>
      <c r="W61">
        <f t="shared" si="8"/>
        <v>0.18</v>
      </c>
      <c r="X61" t="str">
        <f t="shared" si="9"/>
        <v/>
      </c>
      <c r="Z61" s="65" t="str">
        <f t="shared" si="15"/>
        <v>0.0175,0.024,0</v>
      </c>
      <c r="AA61" s="8" t="s">
        <v>224</v>
      </c>
      <c r="AB61" t="str">
        <f t="shared" si="11"/>
        <v>0.0438,0.18</v>
      </c>
      <c r="AF61" s="32" t="s">
        <v>105</v>
      </c>
    </row>
    <row r="62" ht="16.25" spans="1:32">
      <c r="A62" s="45">
        <v>103</v>
      </c>
      <c r="B62" s="67">
        <v>260801</v>
      </c>
      <c r="C62" s="77" t="s">
        <v>217</v>
      </c>
      <c r="D62" s="78">
        <v>0.0104</v>
      </c>
      <c r="E62" s="78">
        <v>0.02</v>
      </c>
      <c r="F62" s="78"/>
      <c r="G62" s="79"/>
      <c r="H62" s="77">
        <v>5</v>
      </c>
      <c r="I62" s="79">
        <v>9</v>
      </c>
      <c r="J62" s="79"/>
      <c r="K62" s="84">
        <f t="shared" si="0"/>
        <v>0.0624</v>
      </c>
      <c r="L62" s="84">
        <f t="shared" si="1"/>
        <v>0.12</v>
      </c>
      <c r="M62" s="84" t="str">
        <f t="shared" si="2"/>
        <v/>
      </c>
      <c r="N62" s="84" t="str">
        <f t="shared" si="3"/>
        <v/>
      </c>
      <c r="P62">
        <f t="shared" ref="P62:P73" si="17">B62-100000</f>
        <v>160801</v>
      </c>
      <c r="Q62">
        <f t="shared" si="13"/>
        <v>0.0083</v>
      </c>
      <c r="R62" s="64" t="s">
        <v>301</v>
      </c>
      <c r="S62">
        <f t="shared" si="14"/>
        <v>0.016</v>
      </c>
      <c r="T62" s="64" t="s">
        <v>301</v>
      </c>
      <c r="U62">
        <f t="shared" si="16"/>
        <v>0</v>
      </c>
      <c r="V62">
        <f t="shared" si="7"/>
        <v>0.0624</v>
      </c>
      <c r="W62">
        <f t="shared" si="8"/>
        <v>0.12</v>
      </c>
      <c r="X62" t="str">
        <f t="shared" si="9"/>
        <v/>
      </c>
      <c r="Z62" s="65" t="str">
        <f t="shared" si="15"/>
        <v>0.0083,0.016,0</v>
      </c>
      <c r="AA62" s="8" t="s">
        <v>225</v>
      </c>
      <c r="AB62" t="str">
        <f t="shared" si="11"/>
        <v>0.0624,0.12</v>
      </c>
      <c r="AF62" s="32" t="s">
        <v>109</v>
      </c>
    </row>
    <row r="63" ht="16.25" spans="1:32">
      <c r="A63" s="45">
        <v>103</v>
      </c>
      <c r="B63" s="67">
        <v>260901</v>
      </c>
      <c r="C63" s="77" t="s">
        <v>219</v>
      </c>
      <c r="D63" s="78">
        <v>0.0131</v>
      </c>
      <c r="E63" s="78">
        <v>0.025</v>
      </c>
      <c r="F63" s="78">
        <v>0.0028</v>
      </c>
      <c r="G63" s="79"/>
      <c r="H63" s="77">
        <v>5</v>
      </c>
      <c r="I63" s="79">
        <v>9</v>
      </c>
      <c r="J63" s="79">
        <v>11</v>
      </c>
      <c r="K63" s="84">
        <f t="shared" si="0"/>
        <v>0.0786</v>
      </c>
      <c r="L63" s="84">
        <f t="shared" si="1"/>
        <v>0.15</v>
      </c>
      <c r="M63" s="84">
        <f t="shared" si="2"/>
        <v>0.0168</v>
      </c>
      <c r="N63" s="84" t="str">
        <f t="shared" si="3"/>
        <v/>
      </c>
      <c r="P63">
        <f t="shared" si="17"/>
        <v>160901</v>
      </c>
      <c r="Q63">
        <f t="shared" si="13"/>
        <v>0.0105</v>
      </c>
      <c r="R63" s="64" t="s">
        <v>301</v>
      </c>
      <c r="S63">
        <f t="shared" si="14"/>
        <v>0.02</v>
      </c>
      <c r="T63" s="64" t="s">
        <v>301</v>
      </c>
      <c r="U63">
        <f t="shared" si="16"/>
        <v>0.0022</v>
      </c>
      <c r="V63">
        <f t="shared" si="7"/>
        <v>0.0786</v>
      </c>
      <c r="W63">
        <f t="shared" si="8"/>
        <v>0.15</v>
      </c>
      <c r="X63">
        <f t="shared" si="9"/>
        <v>0.0168</v>
      </c>
      <c r="Z63" s="65" t="str">
        <f t="shared" si="15"/>
        <v>0.0105,0.02,0.0022</v>
      </c>
      <c r="AA63" s="8" t="s">
        <v>226</v>
      </c>
      <c r="AB63" t="str">
        <f t="shared" si="11"/>
        <v>0.0786,0.15,0.0168</v>
      </c>
      <c r="AF63" s="32" t="s">
        <v>113</v>
      </c>
    </row>
    <row r="64" ht="16.25" spans="1:32">
      <c r="A64" s="31">
        <v>104</v>
      </c>
      <c r="B64" s="80">
        <v>250101</v>
      </c>
      <c r="C64" s="68">
        <v>8</v>
      </c>
      <c r="D64" s="81">
        <v>0.0102</v>
      </c>
      <c r="E64" s="81"/>
      <c r="F64" s="81"/>
      <c r="G64" s="82"/>
      <c r="H64" s="68">
        <v>8</v>
      </c>
      <c r="I64" s="82"/>
      <c r="J64" s="82"/>
      <c r="K64" s="84">
        <f t="shared" si="0"/>
        <v>0.0612</v>
      </c>
      <c r="L64" s="84" t="str">
        <f t="shared" si="1"/>
        <v/>
      </c>
      <c r="M64" s="84" t="str">
        <f t="shared" si="2"/>
        <v/>
      </c>
      <c r="N64" s="84" t="str">
        <f t="shared" si="3"/>
        <v/>
      </c>
      <c r="P64">
        <f t="shared" si="17"/>
        <v>150101</v>
      </c>
      <c r="Q64">
        <f t="shared" si="13"/>
        <v>0.0082</v>
      </c>
      <c r="R64" s="64" t="s">
        <v>301</v>
      </c>
      <c r="S64">
        <f t="shared" si="14"/>
        <v>0</v>
      </c>
      <c r="T64" s="64" t="s">
        <v>301</v>
      </c>
      <c r="U64">
        <f t="shared" si="16"/>
        <v>0</v>
      </c>
      <c r="V64">
        <f t="shared" si="7"/>
        <v>0.0612</v>
      </c>
      <c r="W64" t="str">
        <f t="shared" si="8"/>
        <v/>
      </c>
      <c r="X64" t="str">
        <f t="shared" si="9"/>
        <v/>
      </c>
      <c r="Z64" s="65">
        <f>Q64</f>
        <v>0.0082</v>
      </c>
      <c r="AA64" s="8">
        <v>0.0082</v>
      </c>
      <c r="AB64" t="str">
        <f t="shared" si="11"/>
        <v>0.0612</v>
      </c>
      <c r="AF64" s="33" t="s">
        <v>45</v>
      </c>
    </row>
    <row r="65" ht="16.25" spans="1:32">
      <c r="A65" s="31">
        <v>104</v>
      </c>
      <c r="B65" s="80">
        <v>250101</v>
      </c>
      <c r="C65" s="68">
        <v>4</v>
      </c>
      <c r="D65" s="81">
        <v>14.57</v>
      </c>
      <c r="E65" s="81"/>
      <c r="F65" s="81"/>
      <c r="G65" s="82"/>
      <c r="H65" s="68">
        <v>4</v>
      </c>
      <c r="I65" s="82"/>
      <c r="J65" s="82"/>
      <c r="K65" s="84">
        <f t="shared" si="0"/>
        <v>29.14</v>
      </c>
      <c r="L65" s="84" t="str">
        <f t="shared" si="1"/>
        <v/>
      </c>
      <c r="M65" s="84" t="str">
        <f t="shared" si="2"/>
        <v/>
      </c>
      <c r="N65" s="84" t="str">
        <f t="shared" si="3"/>
        <v/>
      </c>
      <c r="P65">
        <f t="shared" si="17"/>
        <v>150101</v>
      </c>
      <c r="Q65">
        <f t="shared" ref="Q65:Q71" si="18">ROUND(D65*0.8,4)</f>
        <v>11.656</v>
      </c>
      <c r="R65" s="64" t="s">
        <v>301</v>
      </c>
      <c r="S65">
        <f t="shared" si="14"/>
        <v>0</v>
      </c>
      <c r="T65" s="64" t="s">
        <v>301</v>
      </c>
      <c r="U65">
        <f t="shared" si="16"/>
        <v>0</v>
      </c>
      <c r="V65">
        <f t="shared" si="7"/>
        <v>30</v>
      </c>
      <c r="W65" t="str">
        <f t="shared" si="8"/>
        <v/>
      </c>
      <c r="X65" t="str">
        <f t="shared" si="9"/>
        <v/>
      </c>
      <c r="Z65" s="65">
        <f t="shared" ref="Z65:Z88" si="19">Q65</f>
        <v>11.656</v>
      </c>
      <c r="AA65" s="8">
        <v>11.656</v>
      </c>
      <c r="AB65" t="str">
        <f t="shared" si="11"/>
        <v>30</v>
      </c>
      <c r="AF65" s="33"/>
    </row>
    <row r="66" ht="16.25" spans="1:32">
      <c r="A66" s="31">
        <v>104</v>
      </c>
      <c r="B66" s="80">
        <v>250201</v>
      </c>
      <c r="C66" s="68">
        <v>8</v>
      </c>
      <c r="D66" s="81">
        <v>0.0205</v>
      </c>
      <c r="E66" s="81"/>
      <c r="F66" s="81"/>
      <c r="G66" s="82"/>
      <c r="H66" s="68">
        <v>8</v>
      </c>
      <c r="I66" s="82"/>
      <c r="J66" s="82"/>
      <c r="K66" s="84">
        <f t="shared" ref="K66:K129" si="20">IF(D66="","",IF(OR(RIGHT($A66,1)="1",RIGHT($A66,1)="2"),D66,IF(H66=4,D66*2,D66*6)))</f>
        <v>0.123</v>
      </c>
      <c r="L66" s="84" t="str">
        <f t="shared" ref="L66:L129" si="21">IF(E66="","",IF(OR(RIGHT($A66,1)="1",RIGHT($A66,1)="2"),E66,IF(I66=4,E66*2,E66*6)))</f>
        <v/>
      </c>
      <c r="M66" s="84" t="str">
        <f t="shared" ref="M66:M129" si="22">IF(F66="","",IF(OR(RIGHT($A66,1)="1",RIGHT($A66,1)="2"),F66,IF(J66=4,F66*2,F66*6)))</f>
        <v/>
      </c>
      <c r="N66" s="84" t="str">
        <f t="shared" ref="N66:N129" si="23">IF(G66="","",IF(OR(RIGHT($A66,1)="1",RIGHT($A66,1)="2"),G66,IF(J66=4,G66*2,G66*6)))</f>
        <v/>
      </c>
      <c r="P66">
        <f t="shared" si="17"/>
        <v>150201</v>
      </c>
      <c r="Q66">
        <f t="shared" si="18"/>
        <v>0.0164</v>
      </c>
      <c r="R66" s="64" t="s">
        <v>301</v>
      </c>
      <c r="S66">
        <f t="shared" si="14"/>
        <v>0</v>
      </c>
      <c r="T66" s="64" t="s">
        <v>301</v>
      </c>
      <c r="U66">
        <f t="shared" si="16"/>
        <v>0</v>
      </c>
      <c r="V66">
        <f t="shared" si="7"/>
        <v>0.123</v>
      </c>
      <c r="W66" t="str">
        <f t="shared" si="8"/>
        <v/>
      </c>
      <c r="X66" t="str">
        <f t="shared" si="9"/>
        <v/>
      </c>
      <c r="Z66" s="65">
        <f t="shared" si="19"/>
        <v>0.0164</v>
      </c>
      <c r="AA66" s="8">
        <v>0.0164</v>
      </c>
      <c r="AB66" t="str">
        <f t="shared" si="11"/>
        <v>0.123</v>
      </c>
      <c r="AF66" s="33" t="s">
        <v>49</v>
      </c>
    </row>
    <row r="67" ht="16.25" spans="1:32">
      <c r="A67" s="31">
        <v>104</v>
      </c>
      <c r="B67" s="80">
        <v>250201</v>
      </c>
      <c r="C67" s="68">
        <v>4</v>
      </c>
      <c r="D67" s="81">
        <v>14.57</v>
      </c>
      <c r="E67" s="81"/>
      <c r="F67" s="81"/>
      <c r="G67" s="82"/>
      <c r="H67" s="68">
        <v>4</v>
      </c>
      <c r="I67" s="82"/>
      <c r="J67" s="82"/>
      <c r="K67" s="84">
        <f t="shared" si="20"/>
        <v>29.14</v>
      </c>
      <c r="L67" s="84" t="str">
        <f t="shared" si="21"/>
        <v/>
      </c>
      <c r="M67" s="84" t="str">
        <f t="shared" si="22"/>
        <v/>
      </c>
      <c r="N67" s="84" t="str">
        <f t="shared" si="23"/>
        <v/>
      </c>
      <c r="P67">
        <f t="shared" si="17"/>
        <v>150201</v>
      </c>
      <c r="Q67">
        <f t="shared" si="18"/>
        <v>11.656</v>
      </c>
      <c r="R67" s="64" t="s">
        <v>301</v>
      </c>
      <c r="S67">
        <f t="shared" si="14"/>
        <v>0</v>
      </c>
      <c r="T67" s="64" t="s">
        <v>301</v>
      </c>
      <c r="U67">
        <f t="shared" si="16"/>
        <v>0</v>
      </c>
      <c r="V67">
        <f t="shared" ref="V67:V130" si="24">IF(K67="","",IF(K67&lt;1,ROUND(K67,4),CEILING(K67,5)))</f>
        <v>30</v>
      </c>
      <c r="W67" t="str">
        <f t="shared" ref="W67:W130" si="25">IF(L67="","",IF(L67&lt;1,ROUND(L67,4),CEILING(L67,5)))</f>
        <v/>
      </c>
      <c r="X67" t="str">
        <f t="shared" ref="X67:X130" si="26">IF(M67="","",IF(M67&lt;1,ROUND(M67,4),CEILING(M67,5)))</f>
        <v/>
      </c>
      <c r="Z67" s="65">
        <f t="shared" si="19"/>
        <v>11.656</v>
      </c>
      <c r="AA67" s="8">
        <v>11.656</v>
      </c>
      <c r="AB67" t="str">
        <f t="shared" si="11"/>
        <v>30</v>
      </c>
      <c r="AF67" s="33"/>
    </row>
    <row r="68" ht="16.25" spans="1:32">
      <c r="A68" s="31">
        <v>104</v>
      </c>
      <c r="B68" s="80">
        <v>250301</v>
      </c>
      <c r="C68" s="68">
        <v>8</v>
      </c>
      <c r="D68" s="81">
        <v>0.0184</v>
      </c>
      <c r="E68" s="81"/>
      <c r="F68" s="81"/>
      <c r="G68" s="82"/>
      <c r="H68" s="68">
        <v>8</v>
      </c>
      <c r="I68" s="82"/>
      <c r="J68" s="82"/>
      <c r="K68" s="84">
        <f t="shared" si="20"/>
        <v>0.1104</v>
      </c>
      <c r="L68" s="84" t="str">
        <f t="shared" si="21"/>
        <v/>
      </c>
      <c r="M68" s="84" t="str">
        <f t="shared" si="22"/>
        <v/>
      </c>
      <c r="N68" s="84" t="str">
        <f t="shared" si="23"/>
        <v/>
      </c>
      <c r="P68">
        <f t="shared" si="17"/>
        <v>150301</v>
      </c>
      <c r="Q68">
        <f t="shared" si="18"/>
        <v>0.0147</v>
      </c>
      <c r="R68" s="64" t="s">
        <v>301</v>
      </c>
      <c r="S68">
        <f t="shared" si="14"/>
        <v>0</v>
      </c>
      <c r="T68" s="64" t="s">
        <v>301</v>
      </c>
      <c r="U68">
        <f t="shared" si="16"/>
        <v>0</v>
      </c>
      <c r="V68">
        <f t="shared" si="24"/>
        <v>0.1104</v>
      </c>
      <c r="W68" t="str">
        <f t="shared" si="25"/>
        <v/>
      </c>
      <c r="X68" t="str">
        <f t="shared" si="26"/>
        <v/>
      </c>
      <c r="Z68" s="65">
        <f t="shared" si="19"/>
        <v>0.0147</v>
      </c>
      <c r="AA68" s="8">
        <v>0.0147</v>
      </c>
      <c r="AB68" t="str">
        <f t="shared" si="11"/>
        <v>0.1104</v>
      </c>
      <c r="AF68" s="33" t="s">
        <v>53</v>
      </c>
    </row>
    <row r="69" ht="16.25" spans="1:32">
      <c r="A69" s="31">
        <v>104</v>
      </c>
      <c r="B69" s="80">
        <v>250301</v>
      </c>
      <c r="C69" s="68">
        <v>4</v>
      </c>
      <c r="D69" s="81">
        <v>14.57</v>
      </c>
      <c r="E69" s="81"/>
      <c r="F69" s="81"/>
      <c r="G69" s="82"/>
      <c r="H69" s="68">
        <v>4</v>
      </c>
      <c r="I69" s="82"/>
      <c r="J69" s="82"/>
      <c r="K69" s="84">
        <f t="shared" si="20"/>
        <v>29.14</v>
      </c>
      <c r="L69" s="84" t="str">
        <f t="shared" si="21"/>
        <v/>
      </c>
      <c r="M69" s="84" t="str">
        <f t="shared" si="22"/>
        <v/>
      </c>
      <c r="N69" s="84" t="str">
        <f t="shared" si="23"/>
        <v/>
      </c>
      <c r="P69">
        <f t="shared" si="17"/>
        <v>150301</v>
      </c>
      <c r="Q69">
        <f t="shared" si="18"/>
        <v>11.656</v>
      </c>
      <c r="R69" s="64" t="s">
        <v>301</v>
      </c>
      <c r="S69">
        <f t="shared" si="14"/>
        <v>0</v>
      </c>
      <c r="T69" s="64" t="s">
        <v>301</v>
      </c>
      <c r="U69">
        <f t="shared" si="16"/>
        <v>0</v>
      </c>
      <c r="V69">
        <f t="shared" si="24"/>
        <v>30</v>
      </c>
      <c r="W69" t="str">
        <f t="shared" si="25"/>
        <v/>
      </c>
      <c r="X69" t="str">
        <f t="shared" si="26"/>
        <v/>
      </c>
      <c r="Z69" s="65">
        <f t="shared" si="19"/>
        <v>11.656</v>
      </c>
      <c r="AA69" s="8">
        <v>11.656</v>
      </c>
      <c r="AB69" t="str">
        <f t="shared" si="11"/>
        <v>30</v>
      </c>
      <c r="AF69" s="33"/>
    </row>
    <row r="70" ht="16.25" spans="1:32">
      <c r="A70" s="31">
        <v>104</v>
      </c>
      <c r="B70" s="80">
        <v>250301</v>
      </c>
      <c r="C70" s="68">
        <v>26</v>
      </c>
      <c r="D70" s="81">
        <v>0.0246</v>
      </c>
      <c r="E70" s="81"/>
      <c r="F70" s="81"/>
      <c r="G70" s="82"/>
      <c r="H70" s="68">
        <v>26</v>
      </c>
      <c r="I70" s="82"/>
      <c r="J70" s="82"/>
      <c r="K70" s="84">
        <f t="shared" si="20"/>
        <v>0.1476</v>
      </c>
      <c r="L70" s="84" t="str">
        <f t="shared" si="21"/>
        <v/>
      </c>
      <c r="M70" s="84" t="str">
        <f t="shared" si="22"/>
        <v/>
      </c>
      <c r="N70" s="84" t="str">
        <f t="shared" si="23"/>
        <v/>
      </c>
      <c r="P70">
        <f t="shared" si="17"/>
        <v>150301</v>
      </c>
      <c r="Q70">
        <f t="shared" si="18"/>
        <v>0.0197</v>
      </c>
      <c r="R70" s="64" t="s">
        <v>301</v>
      </c>
      <c r="S70">
        <f t="shared" si="14"/>
        <v>0</v>
      </c>
      <c r="T70" s="64" t="s">
        <v>301</v>
      </c>
      <c r="U70">
        <f t="shared" si="16"/>
        <v>0</v>
      </c>
      <c r="V70">
        <f t="shared" si="24"/>
        <v>0.1476</v>
      </c>
      <c r="W70" t="str">
        <f t="shared" si="25"/>
        <v/>
      </c>
      <c r="X70" t="str">
        <f t="shared" si="26"/>
        <v/>
      </c>
      <c r="Z70" s="65">
        <f t="shared" si="19"/>
        <v>0.0197</v>
      </c>
      <c r="AA70" s="8">
        <v>0.0197</v>
      </c>
      <c r="AB70" t="str">
        <f t="shared" si="11"/>
        <v>0.1476</v>
      </c>
      <c r="AF70" s="33"/>
    </row>
    <row r="71" ht="16.25" spans="1:32">
      <c r="A71" s="31">
        <v>104</v>
      </c>
      <c r="B71" s="80">
        <v>250401</v>
      </c>
      <c r="C71" s="68">
        <v>8</v>
      </c>
      <c r="D71" s="81">
        <v>0.0307</v>
      </c>
      <c r="E71" s="81"/>
      <c r="F71" s="81"/>
      <c r="G71" s="82"/>
      <c r="H71" s="68">
        <v>8</v>
      </c>
      <c r="I71" s="82"/>
      <c r="J71" s="82"/>
      <c r="K71" s="84">
        <f t="shared" si="20"/>
        <v>0.1842</v>
      </c>
      <c r="L71" s="84" t="str">
        <f t="shared" si="21"/>
        <v/>
      </c>
      <c r="M71" s="84" t="str">
        <f t="shared" si="22"/>
        <v/>
      </c>
      <c r="N71" s="84" t="str">
        <f t="shared" si="23"/>
        <v/>
      </c>
      <c r="P71">
        <f t="shared" si="17"/>
        <v>150401</v>
      </c>
      <c r="Q71">
        <f t="shared" si="18"/>
        <v>0.0246</v>
      </c>
      <c r="R71" s="64" t="s">
        <v>301</v>
      </c>
      <c r="S71">
        <f t="shared" si="14"/>
        <v>0</v>
      </c>
      <c r="T71" s="64" t="s">
        <v>301</v>
      </c>
      <c r="U71">
        <f t="shared" si="16"/>
        <v>0</v>
      </c>
      <c r="V71">
        <f t="shared" si="24"/>
        <v>0.1842</v>
      </c>
      <c r="W71" t="str">
        <f t="shared" si="25"/>
        <v/>
      </c>
      <c r="X71" t="str">
        <f t="shared" si="26"/>
        <v/>
      </c>
      <c r="Z71" s="65">
        <f t="shared" si="19"/>
        <v>0.0246</v>
      </c>
      <c r="AA71" s="8">
        <v>0.0246</v>
      </c>
      <c r="AB71" t="str">
        <f t="shared" si="11"/>
        <v>0.1842</v>
      </c>
      <c r="AF71" s="33" t="s">
        <v>57</v>
      </c>
    </row>
    <row r="72" ht="16.25" spans="1:32">
      <c r="A72" s="31">
        <v>104</v>
      </c>
      <c r="B72" s="80">
        <v>250401</v>
      </c>
      <c r="C72" s="68">
        <v>4</v>
      </c>
      <c r="D72" s="81">
        <v>14.57</v>
      </c>
      <c r="E72" s="81"/>
      <c r="F72" s="81"/>
      <c r="G72" s="82"/>
      <c r="H72" s="68">
        <v>4</v>
      </c>
      <c r="I72" s="82"/>
      <c r="J72" s="82"/>
      <c r="K72" s="84">
        <f t="shared" si="20"/>
        <v>29.14</v>
      </c>
      <c r="L72" s="84" t="str">
        <f t="shared" si="21"/>
        <v/>
      </c>
      <c r="M72" s="84" t="str">
        <f t="shared" si="22"/>
        <v/>
      </c>
      <c r="N72" s="84" t="str">
        <f t="shared" si="23"/>
        <v/>
      </c>
      <c r="P72">
        <f t="shared" si="17"/>
        <v>150401</v>
      </c>
      <c r="Q72">
        <f t="shared" ref="Q72:Q113" si="27">ROUND(D72*0.8,4)</f>
        <v>11.656</v>
      </c>
      <c r="R72" s="64" t="s">
        <v>301</v>
      </c>
      <c r="S72">
        <f t="shared" si="14"/>
        <v>0</v>
      </c>
      <c r="T72" s="64" t="s">
        <v>301</v>
      </c>
      <c r="U72">
        <f t="shared" si="16"/>
        <v>0</v>
      </c>
      <c r="V72">
        <f t="shared" si="24"/>
        <v>30</v>
      </c>
      <c r="W72" t="str">
        <f t="shared" si="25"/>
        <v/>
      </c>
      <c r="X72" t="str">
        <f t="shared" si="26"/>
        <v/>
      </c>
      <c r="Z72" s="65">
        <f t="shared" si="19"/>
        <v>11.656</v>
      </c>
      <c r="AA72" s="8">
        <v>11.656</v>
      </c>
      <c r="AB72" t="str">
        <f t="shared" si="11"/>
        <v>30</v>
      </c>
      <c r="AF72" s="33"/>
    </row>
    <row r="73" ht="16.25" spans="1:32">
      <c r="A73" s="31">
        <v>104</v>
      </c>
      <c r="B73" s="80">
        <v>250501</v>
      </c>
      <c r="C73" s="68">
        <v>8</v>
      </c>
      <c r="D73" s="81">
        <v>0.0205</v>
      </c>
      <c r="E73" s="81"/>
      <c r="F73" s="81"/>
      <c r="G73" s="82"/>
      <c r="H73" s="68">
        <v>8</v>
      </c>
      <c r="I73" s="82"/>
      <c r="J73" s="82"/>
      <c r="K73" s="84">
        <f t="shared" si="20"/>
        <v>0.123</v>
      </c>
      <c r="L73" s="84" t="str">
        <f t="shared" si="21"/>
        <v/>
      </c>
      <c r="M73" s="84" t="str">
        <f t="shared" si="22"/>
        <v/>
      </c>
      <c r="N73" s="84" t="str">
        <f t="shared" si="23"/>
        <v/>
      </c>
      <c r="P73">
        <f t="shared" si="17"/>
        <v>150501</v>
      </c>
      <c r="Q73">
        <f t="shared" si="27"/>
        <v>0.0164</v>
      </c>
      <c r="R73" s="64" t="s">
        <v>301</v>
      </c>
      <c r="S73">
        <f t="shared" si="14"/>
        <v>0</v>
      </c>
      <c r="T73" s="64" t="s">
        <v>301</v>
      </c>
      <c r="U73">
        <f t="shared" si="16"/>
        <v>0</v>
      </c>
      <c r="V73">
        <f t="shared" si="24"/>
        <v>0.123</v>
      </c>
      <c r="W73" t="str">
        <f t="shared" si="25"/>
        <v/>
      </c>
      <c r="X73" t="str">
        <f t="shared" si="26"/>
        <v/>
      </c>
      <c r="Z73" s="65">
        <f t="shared" si="19"/>
        <v>0.0164</v>
      </c>
      <c r="AA73" s="8">
        <v>0.0164</v>
      </c>
      <c r="AB73" t="str">
        <f t="shared" si="11"/>
        <v>0.123</v>
      </c>
      <c r="AF73" s="33" t="s">
        <v>61</v>
      </c>
    </row>
    <row r="74" ht="16.25" spans="1:32">
      <c r="A74" s="31">
        <v>104</v>
      </c>
      <c r="B74" s="80">
        <v>250501</v>
      </c>
      <c r="C74" s="68">
        <v>4</v>
      </c>
      <c r="D74" s="81">
        <v>14.57</v>
      </c>
      <c r="E74" s="81"/>
      <c r="F74" s="81"/>
      <c r="G74" s="82"/>
      <c r="H74" s="68">
        <v>4</v>
      </c>
      <c r="I74" s="82"/>
      <c r="J74" s="82"/>
      <c r="K74" s="84">
        <f t="shared" si="20"/>
        <v>29.14</v>
      </c>
      <c r="L74" s="84" t="str">
        <f t="shared" si="21"/>
        <v/>
      </c>
      <c r="M74" s="84" t="str">
        <f t="shared" si="22"/>
        <v/>
      </c>
      <c r="N74" s="84" t="str">
        <f t="shared" si="23"/>
        <v/>
      </c>
      <c r="P74">
        <f t="shared" ref="P74:P90" si="28">B74-100000</f>
        <v>150501</v>
      </c>
      <c r="Q74">
        <f t="shared" si="27"/>
        <v>11.656</v>
      </c>
      <c r="R74" s="64" t="s">
        <v>301</v>
      </c>
      <c r="S74">
        <f t="shared" si="14"/>
        <v>0</v>
      </c>
      <c r="T74" s="64" t="s">
        <v>301</v>
      </c>
      <c r="U74">
        <f t="shared" si="16"/>
        <v>0</v>
      </c>
      <c r="V74">
        <f t="shared" si="24"/>
        <v>30</v>
      </c>
      <c r="W74" t="str">
        <f t="shared" si="25"/>
        <v/>
      </c>
      <c r="X74" t="str">
        <f t="shared" si="26"/>
        <v/>
      </c>
      <c r="Z74" s="65">
        <f t="shared" si="19"/>
        <v>11.656</v>
      </c>
      <c r="AA74" s="8">
        <v>11.656</v>
      </c>
      <c r="AB74" t="str">
        <f t="shared" si="11"/>
        <v>30</v>
      </c>
      <c r="AF74" s="33"/>
    </row>
    <row r="75" ht="16.25" spans="1:32">
      <c r="A75" s="31">
        <v>104</v>
      </c>
      <c r="B75" s="80">
        <v>250501</v>
      </c>
      <c r="C75" s="68">
        <v>26</v>
      </c>
      <c r="D75" s="81">
        <v>0.0614</v>
      </c>
      <c r="E75" s="81"/>
      <c r="F75" s="81"/>
      <c r="G75" s="82"/>
      <c r="H75" s="68">
        <v>26</v>
      </c>
      <c r="I75" s="82"/>
      <c r="J75" s="82"/>
      <c r="K75" s="84">
        <f t="shared" si="20"/>
        <v>0.3684</v>
      </c>
      <c r="L75" s="84" t="str">
        <f t="shared" si="21"/>
        <v/>
      </c>
      <c r="M75" s="84" t="str">
        <f t="shared" si="22"/>
        <v/>
      </c>
      <c r="N75" s="84" t="str">
        <f t="shared" si="23"/>
        <v/>
      </c>
      <c r="P75">
        <f t="shared" si="28"/>
        <v>150501</v>
      </c>
      <c r="Q75">
        <f t="shared" si="27"/>
        <v>0.0491</v>
      </c>
      <c r="R75" s="64" t="s">
        <v>301</v>
      </c>
      <c r="S75">
        <f t="shared" si="14"/>
        <v>0</v>
      </c>
      <c r="T75" s="64" t="s">
        <v>301</v>
      </c>
      <c r="U75">
        <f t="shared" si="16"/>
        <v>0</v>
      </c>
      <c r="V75">
        <f t="shared" si="24"/>
        <v>0.3684</v>
      </c>
      <c r="W75" t="str">
        <f t="shared" si="25"/>
        <v/>
      </c>
      <c r="X75" t="str">
        <f t="shared" si="26"/>
        <v/>
      </c>
      <c r="Z75" s="65">
        <f t="shared" si="19"/>
        <v>0.0491</v>
      </c>
      <c r="AA75" s="8">
        <v>0.0491</v>
      </c>
      <c r="AB75" t="str">
        <f t="shared" si="11"/>
        <v>0.3684</v>
      </c>
      <c r="AF75" s="33"/>
    </row>
    <row r="76" ht="16.25" spans="1:32">
      <c r="A76" s="31">
        <v>104</v>
      </c>
      <c r="B76" s="80">
        <v>250601</v>
      </c>
      <c r="C76" s="68">
        <v>8</v>
      </c>
      <c r="D76" s="81">
        <v>0.0102</v>
      </c>
      <c r="E76" s="81"/>
      <c r="F76" s="81"/>
      <c r="G76" s="82"/>
      <c r="H76" s="68">
        <v>8</v>
      </c>
      <c r="I76" s="82"/>
      <c r="J76" s="82"/>
      <c r="K76" s="84">
        <f t="shared" si="20"/>
        <v>0.0612</v>
      </c>
      <c r="L76" s="84" t="str">
        <f t="shared" si="21"/>
        <v/>
      </c>
      <c r="M76" s="84" t="str">
        <f t="shared" si="22"/>
        <v/>
      </c>
      <c r="N76" s="84" t="str">
        <f t="shared" si="23"/>
        <v/>
      </c>
      <c r="P76">
        <f t="shared" si="28"/>
        <v>150601</v>
      </c>
      <c r="Q76">
        <f t="shared" si="27"/>
        <v>0.0082</v>
      </c>
      <c r="R76" s="64" t="s">
        <v>301</v>
      </c>
      <c r="S76">
        <f t="shared" si="14"/>
        <v>0</v>
      </c>
      <c r="T76" s="64" t="s">
        <v>301</v>
      </c>
      <c r="U76">
        <f t="shared" si="16"/>
        <v>0</v>
      </c>
      <c r="V76">
        <f t="shared" si="24"/>
        <v>0.0612</v>
      </c>
      <c r="W76" t="str">
        <f t="shared" si="25"/>
        <v/>
      </c>
      <c r="X76" t="str">
        <f t="shared" si="26"/>
        <v/>
      </c>
      <c r="Z76" s="65">
        <f t="shared" si="19"/>
        <v>0.0082</v>
      </c>
      <c r="AA76" s="8">
        <v>0.0082</v>
      </c>
      <c r="AB76" t="str">
        <f t="shared" si="11"/>
        <v>0.0612</v>
      </c>
      <c r="AF76" s="33" t="s">
        <v>65</v>
      </c>
    </row>
    <row r="77" ht="16.25" spans="1:32">
      <c r="A77" s="31">
        <v>104</v>
      </c>
      <c r="B77" s="80">
        <v>250601</v>
      </c>
      <c r="C77" s="68">
        <v>4</v>
      </c>
      <c r="D77" s="81">
        <v>14.57</v>
      </c>
      <c r="E77" s="81"/>
      <c r="F77" s="81"/>
      <c r="G77" s="82"/>
      <c r="H77" s="68">
        <v>4</v>
      </c>
      <c r="I77" s="82"/>
      <c r="J77" s="82"/>
      <c r="K77" s="84">
        <f t="shared" si="20"/>
        <v>29.14</v>
      </c>
      <c r="L77" s="84" t="str">
        <f t="shared" si="21"/>
        <v/>
      </c>
      <c r="M77" s="84" t="str">
        <f t="shared" si="22"/>
        <v/>
      </c>
      <c r="N77" s="84" t="str">
        <f t="shared" si="23"/>
        <v/>
      </c>
      <c r="P77">
        <f t="shared" si="28"/>
        <v>150601</v>
      </c>
      <c r="Q77">
        <f t="shared" si="27"/>
        <v>11.656</v>
      </c>
      <c r="R77" s="64" t="s">
        <v>301</v>
      </c>
      <c r="S77">
        <f t="shared" si="14"/>
        <v>0</v>
      </c>
      <c r="T77" s="64" t="s">
        <v>301</v>
      </c>
      <c r="U77">
        <f t="shared" si="16"/>
        <v>0</v>
      </c>
      <c r="V77">
        <f t="shared" si="24"/>
        <v>30</v>
      </c>
      <c r="W77" t="str">
        <f t="shared" si="25"/>
        <v/>
      </c>
      <c r="X77" t="str">
        <f t="shared" si="26"/>
        <v/>
      </c>
      <c r="Z77" s="65">
        <f t="shared" si="19"/>
        <v>11.656</v>
      </c>
      <c r="AA77" s="8">
        <v>11.656</v>
      </c>
      <c r="AB77" t="str">
        <f t="shared" si="11"/>
        <v>30</v>
      </c>
      <c r="AF77" s="33"/>
    </row>
    <row r="78" ht="16.25" spans="1:32">
      <c r="A78" s="31">
        <v>104</v>
      </c>
      <c r="B78" s="80">
        <v>250601</v>
      </c>
      <c r="C78" s="68">
        <v>9</v>
      </c>
      <c r="D78" s="81">
        <v>0.0686</v>
      </c>
      <c r="E78" s="81"/>
      <c r="F78" s="81"/>
      <c r="G78" s="82"/>
      <c r="H78" s="68">
        <v>9</v>
      </c>
      <c r="I78" s="82"/>
      <c r="J78" s="82"/>
      <c r="K78" s="84">
        <f t="shared" si="20"/>
        <v>0.4116</v>
      </c>
      <c r="L78" s="84" t="str">
        <f t="shared" si="21"/>
        <v/>
      </c>
      <c r="M78" s="84" t="str">
        <f t="shared" si="22"/>
        <v/>
      </c>
      <c r="N78" s="84" t="str">
        <f t="shared" si="23"/>
        <v/>
      </c>
      <c r="P78">
        <f t="shared" si="28"/>
        <v>150601</v>
      </c>
      <c r="Q78">
        <f t="shared" si="27"/>
        <v>0.0549</v>
      </c>
      <c r="R78" s="64" t="s">
        <v>301</v>
      </c>
      <c r="S78">
        <f t="shared" si="14"/>
        <v>0</v>
      </c>
      <c r="T78" s="64" t="s">
        <v>301</v>
      </c>
      <c r="U78">
        <f t="shared" si="16"/>
        <v>0</v>
      </c>
      <c r="V78">
        <f t="shared" si="24"/>
        <v>0.4116</v>
      </c>
      <c r="W78" t="str">
        <f t="shared" si="25"/>
        <v/>
      </c>
      <c r="X78" t="str">
        <f t="shared" si="26"/>
        <v/>
      </c>
      <c r="Z78" s="65">
        <f t="shared" si="19"/>
        <v>0.0549</v>
      </c>
      <c r="AA78" s="8">
        <v>0.0549</v>
      </c>
      <c r="AB78" t="str">
        <f t="shared" si="11"/>
        <v>0.4116</v>
      </c>
      <c r="AF78" s="33"/>
    </row>
    <row r="79" ht="16.25" spans="1:32">
      <c r="A79" s="31">
        <v>104</v>
      </c>
      <c r="B79" s="80">
        <v>250701</v>
      </c>
      <c r="C79" s="68">
        <v>5</v>
      </c>
      <c r="D79" s="81">
        <v>0.0251</v>
      </c>
      <c r="E79" s="81"/>
      <c r="F79" s="81"/>
      <c r="G79" s="82"/>
      <c r="H79" s="68">
        <v>5</v>
      </c>
      <c r="I79" s="82"/>
      <c r="J79" s="82"/>
      <c r="K79" s="84">
        <f t="shared" si="20"/>
        <v>0.1506</v>
      </c>
      <c r="L79" s="84" t="str">
        <f t="shared" si="21"/>
        <v/>
      </c>
      <c r="M79" s="84" t="str">
        <f t="shared" si="22"/>
        <v/>
      </c>
      <c r="N79" s="84" t="str">
        <f t="shared" si="23"/>
        <v/>
      </c>
      <c r="P79">
        <f t="shared" si="28"/>
        <v>150701</v>
      </c>
      <c r="Q79">
        <f t="shared" si="27"/>
        <v>0.0201</v>
      </c>
      <c r="R79" s="64" t="s">
        <v>301</v>
      </c>
      <c r="S79">
        <f t="shared" si="14"/>
        <v>0</v>
      </c>
      <c r="T79" s="64" t="s">
        <v>301</v>
      </c>
      <c r="U79">
        <f t="shared" si="16"/>
        <v>0</v>
      </c>
      <c r="V79">
        <f t="shared" si="24"/>
        <v>0.1506</v>
      </c>
      <c r="W79" t="str">
        <f t="shared" si="25"/>
        <v/>
      </c>
      <c r="X79" t="str">
        <f t="shared" si="26"/>
        <v/>
      </c>
      <c r="Z79" s="65">
        <f t="shared" si="19"/>
        <v>0.0201</v>
      </c>
      <c r="AA79" s="8">
        <v>0.0201</v>
      </c>
      <c r="AB79" t="str">
        <f t="shared" si="11"/>
        <v>0.1506</v>
      </c>
      <c r="AF79" s="33" t="s">
        <v>69</v>
      </c>
    </row>
    <row r="80" ht="16.25" spans="1:32">
      <c r="A80" s="31">
        <v>104</v>
      </c>
      <c r="B80" s="80">
        <v>250701</v>
      </c>
      <c r="C80" s="68">
        <v>4</v>
      </c>
      <c r="D80" s="81">
        <v>14.57</v>
      </c>
      <c r="E80" s="81"/>
      <c r="F80" s="81"/>
      <c r="G80" s="82"/>
      <c r="H80" s="68">
        <v>4</v>
      </c>
      <c r="I80" s="82"/>
      <c r="J80" s="82"/>
      <c r="K80" s="84">
        <f t="shared" si="20"/>
        <v>29.14</v>
      </c>
      <c r="L80" s="84" t="str">
        <f t="shared" si="21"/>
        <v/>
      </c>
      <c r="M80" s="84" t="str">
        <f t="shared" si="22"/>
        <v/>
      </c>
      <c r="N80" s="84" t="str">
        <f t="shared" si="23"/>
        <v/>
      </c>
      <c r="P80">
        <f t="shared" si="28"/>
        <v>150701</v>
      </c>
      <c r="Q80">
        <f t="shared" si="27"/>
        <v>11.656</v>
      </c>
      <c r="R80" s="64" t="s">
        <v>301</v>
      </c>
      <c r="S80">
        <f t="shared" si="14"/>
        <v>0</v>
      </c>
      <c r="T80" s="64" t="s">
        <v>301</v>
      </c>
      <c r="U80">
        <f t="shared" si="16"/>
        <v>0</v>
      </c>
      <c r="V80">
        <f t="shared" si="24"/>
        <v>30</v>
      </c>
      <c r="W80" t="str">
        <f t="shared" si="25"/>
        <v/>
      </c>
      <c r="X80" t="str">
        <f t="shared" si="26"/>
        <v/>
      </c>
      <c r="Z80" s="65">
        <f t="shared" si="19"/>
        <v>11.656</v>
      </c>
      <c r="AA80" s="8">
        <v>11.656</v>
      </c>
      <c r="AB80" t="str">
        <f t="shared" si="11"/>
        <v>30</v>
      </c>
      <c r="AF80" s="33"/>
    </row>
    <row r="81" ht="17" spans="1:32">
      <c r="A81" s="31">
        <v>104</v>
      </c>
      <c r="B81" s="80">
        <v>250701</v>
      </c>
      <c r="C81" s="68">
        <v>9</v>
      </c>
      <c r="D81" s="81">
        <v>0.0343</v>
      </c>
      <c r="E81" s="81"/>
      <c r="F81" s="81"/>
      <c r="G81" s="82"/>
      <c r="H81" s="68">
        <v>9</v>
      </c>
      <c r="I81" s="82"/>
      <c r="J81" s="82"/>
      <c r="K81" s="84">
        <f t="shared" si="20"/>
        <v>0.2058</v>
      </c>
      <c r="L81" s="84" t="str">
        <f t="shared" si="21"/>
        <v/>
      </c>
      <c r="M81" s="84" t="str">
        <f t="shared" si="22"/>
        <v/>
      </c>
      <c r="N81" s="84" t="str">
        <f t="shared" si="23"/>
        <v/>
      </c>
      <c r="P81">
        <f t="shared" si="28"/>
        <v>150701</v>
      </c>
      <c r="Q81">
        <f t="shared" si="27"/>
        <v>0.0274</v>
      </c>
      <c r="R81" s="64" t="s">
        <v>301</v>
      </c>
      <c r="S81">
        <f t="shared" si="14"/>
        <v>0</v>
      </c>
      <c r="T81" s="64" t="s">
        <v>301</v>
      </c>
      <c r="U81">
        <f t="shared" si="16"/>
        <v>0</v>
      </c>
      <c r="V81">
        <f t="shared" si="24"/>
        <v>0.2058</v>
      </c>
      <c r="W81" t="str">
        <f t="shared" si="25"/>
        <v/>
      </c>
      <c r="X81" t="str">
        <f t="shared" si="26"/>
        <v/>
      </c>
      <c r="Z81" s="65">
        <f t="shared" si="19"/>
        <v>0.0274</v>
      </c>
      <c r="AA81" s="8">
        <v>0.0274</v>
      </c>
      <c r="AB81" t="str">
        <f t="shared" si="11"/>
        <v>0.2058</v>
      </c>
      <c r="AF81" s="33"/>
    </row>
    <row r="82" ht="16.25" spans="1:32">
      <c r="A82" s="31">
        <v>104</v>
      </c>
      <c r="B82" s="80">
        <v>250801</v>
      </c>
      <c r="C82" s="68">
        <v>5</v>
      </c>
      <c r="D82" s="89">
        <v>0.0143</v>
      </c>
      <c r="E82" s="89"/>
      <c r="F82" s="89"/>
      <c r="G82" s="82"/>
      <c r="H82" s="68">
        <v>5</v>
      </c>
      <c r="I82" s="82"/>
      <c r="J82" s="82"/>
      <c r="K82" s="84">
        <f t="shared" si="20"/>
        <v>0.0858</v>
      </c>
      <c r="L82" s="84" t="str">
        <f t="shared" si="21"/>
        <v/>
      </c>
      <c r="M82" s="84" t="str">
        <f t="shared" si="22"/>
        <v/>
      </c>
      <c r="N82" s="84" t="str">
        <f t="shared" si="23"/>
        <v/>
      </c>
      <c r="P82">
        <f t="shared" si="28"/>
        <v>150801</v>
      </c>
      <c r="Q82">
        <f t="shared" si="27"/>
        <v>0.0114</v>
      </c>
      <c r="R82" s="64" t="s">
        <v>301</v>
      </c>
      <c r="S82">
        <f t="shared" si="14"/>
        <v>0</v>
      </c>
      <c r="T82" s="64" t="s">
        <v>301</v>
      </c>
      <c r="U82">
        <f t="shared" si="16"/>
        <v>0</v>
      </c>
      <c r="V82">
        <f t="shared" si="24"/>
        <v>0.0858</v>
      </c>
      <c r="W82" t="str">
        <f t="shared" si="25"/>
        <v/>
      </c>
      <c r="X82" t="str">
        <f t="shared" si="26"/>
        <v/>
      </c>
      <c r="Z82" s="65">
        <f t="shared" si="19"/>
        <v>0.0114</v>
      </c>
      <c r="AA82" s="8">
        <v>0.0114</v>
      </c>
      <c r="AB82" t="str">
        <f t="shared" si="11"/>
        <v>0.0858</v>
      </c>
      <c r="AF82" s="33" t="s">
        <v>73</v>
      </c>
    </row>
    <row r="83" ht="16.25" spans="1:32">
      <c r="A83" s="31">
        <v>104</v>
      </c>
      <c r="B83" s="80">
        <v>250801</v>
      </c>
      <c r="C83" s="68">
        <v>4</v>
      </c>
      <c r="D83" s="90">
        <v>7.29</v>
      </c>
      <c r="E83" s="90"/>
      <c r="F83" s="90"/>
      <c r="G83" s="82"/>
      <c r="H83" s="68">
        <v>4</v>
      </c>
      <c r="I83" s="82"/>
      <c r="J83" s="82"/>
      <c r="K83" s="84">
        <f t="shared" si="20"/>
        <v>14.58</v>
      </c>
      <c r="L83" s="84" t="str">
        <f t="shared" si="21"/>
        <v/>
      </c>
      <c r="M83" s="84" t="str">
        <f t="shared" si="22"/>
        <v/>
      </c>
      <c r="N83" s="84" t="str">
        <f t="shared" si="23"/>
        <v/>
      </c>
      <c r="P83">
        <f t="shared" si="28"/>
        <v>150801</v>
      </c>
      <c r="Q83">
        <f t="shared" si="27"/>
        <v>5.832</v>
      </c>
      <c r="R83" s="64" t="s">
        <v>301</v>
      </c>
      <c r="S83">
        <f t="shared" si="14"/>
        <v>0</v>
      </c>
      <c r="T83" s="64" t="s">
        <v>301</v>
      </c>
      <c r="U83">
        <f t="shared" si="16"/>
        <v>0</v>
      </c>
      <c r="V83">
        <f t="shared" si="24"/>
        <v>15</v>
      </c>
      <c r="W83" t="str">
        <f t="shared" si="25"/>
        <v/>
      </c>
      <c r="X83" t="str">
        <f t="shared" si="26"/>
        <v/>
      </c>
      <c r="Z83" s="65">
        <f t="shared" si="19"/>
        <v>5.832</v>
      </c>
      <c r="AA83" s="8">
        <v>5.832</v>
      </c>
      <c r="AB83" t="str">
        <f t="shared" si="11"/>
        <v>15</v>
      </c>
      <c r="AF83" s="33"/>
    </row>
    <row r="84" ht="17" spans="1:32">
      <c r="A84" s="31">
        <v>104</v>
      </c>
      <c r="B84" s="80">
        <v>250801</v>
      </c>
      <c r="C84" s="68">
        <v>9</v>
      </c>
      <c r="D84" s="91">
        <v>0.0274</v>
      </c>
      <c r="E84" s="91"/>
      <c r="F84" s="91"/>
      <c r="G84" s="82"/>
      <c r="H84" s="68">
        <v>9</v>
      </c>
      <c r="I84" s="82"/>
      <c r="J84" s="82"/>
      <c r="K84" s="84">
        <f t="shared" si="20"/>
        <v>0.1644</v>
      </c>
      <c r="L84" s="84" t="str">
        <f t="shared" si="21"/>
        <v/>
      </c>
      <c r="M84" s="84" t="str">
        <f t="shared" si="22"/>
        <v/>
      </c>
      <c r="N84" s="84" t="str">
        <f t="shared" si="23"/>
        <v/>
      </c>
      <c r="P84">
        <f t="shared" si="28"/>
        <v>150801</v>
      </c>
      <c r="Q84">
        <f t="shared" si="27"/>
        <v>0.0219</v>
      </c>
      <c r="R84" s="64" t="s">
        <v>301</v>
      </c>
      <c r="S84">
        <f t="shared" si="14"/>
        <v>0</v>
      </c>
      <c r="T84" s="64" t="s">
        <v>301</v>
      </c>
      <c r="U84">
        <f t="shared" si="16"/>
        <v>0</v>
      </c>
      <c r="V84">
        <f t="shared" si="24"/>
        <v>0.1644</v>
      </c>
      <c r="W84" t="str">
        <f t="shared" si="25"/>
        <v/>
      </c>
      <c r="X84" t="str">
        <f t="shared" si="26"/>
        <v/>
      </c>
      <c r="Z84" s="65">
        <f t="shared" si="19"/>
        <v>0.0219</v>
      </c>
      <c r="AA84" s="8">
        <v>0.0219</v>
      </c>
      <c r="AB84" t="str">
        <f t="shared" si="11"/>
        <v>0.1644</v>
      </c>
      <c r="AF84" s="33"/>
    </row>
    <row r="85" ht="16.25" spans="1:32">
      <c r="A85" s="31">
        <v>104</v>
      </c>
      <c r="B85" s="80">
        <v>250901</v>
      </c>
      <c r="C85" s="68">
        <v>5</v>
      </c>
      <c r="D85" s="89">
        <v>0.0179</v>
      </c>
      <c r="E85" s="89"/>
      <c r="F85" s="89"/>
      <c r="G85" s="82"/>
      <c r="H85" s="68">
        <v>5</v>
      </c>
      <c r="I85" s="82"/>
      <c r="J85" s="82"/>
      <c r="K85" s="84">
        <f t="shared" si="20"/>
        <v>0.1074</v>
      </c>
      <c r="L85" s="84" t="str">
        <f t="shared" si="21"/>
        <v/>
      </c>
      <c r="M85" s="84" t="str">
        <f t="shared" si="22"/>
        <v/>
      </c>
      <c r="N85" s="84" t="str">
        <f t="shared" si="23"/>
        <v/>
      </c>
      <c r="P85">
        <f t="shared" si="28"/>
        <v>150901</v>
      </c>
      <c r="Q85">
        <f t="shared" si="27"/>
        <v>0.0143</v>
      </c>
      <c r="R85" s="64" t="s">
        <v>301</v>
      </c>
      <c r="S85">
        <f t="shared" si="14"/>
        <v>0</v>
      </c>
      <c r="T85" s="64" t="s">
        <v>301</v>
      </c>
      <c r="U85">
        <f t="shared" si="16"/>
        <v>0</v>
      </c>
      <c r="V85">
        <f t="shared" si="24"/>
        <v>0.1074</v>
      </c>
      <c r="W85" t="str">
        <f t="shared" si="25"/>
        <v/>
      </c>
      <c r="X85" t="str">
        <f t="shared" si="26"/>
        <v/>
      </c>
      <c r="Z85" s="65">
        <f t="shared" si="19"/>
        <v>0.0143</v>
      </c>
      <c r="AA85" s="8">
        <v>0.0143</v>
      </c>
      <c r="AB85" t="str">
        <f t="shared" si="11"/>
        <v>0.1074</v>
      </c>
      <c r="AF85" s="33" t="s">
        <v>77</v>
      </c>
    </row>
    <row r="86" ht="16.25" spans="1:32">
      <c r="A86" s="31">
        <v>104</v>
      </c>
      <c r="B86" s="80">
        <v>250901</v>
      </c>
      <c r="C86" s="68">
        <v>9</v>
      </c>
      <c r="D86" s="90">
        <v>0.0343</v>
      </c>
      <c r="E86" s="90"/>
      <c r="F86" s="90"/>
      <c r="G86" s="82"/>
      <c r="H86" s="68">
        <v>9</v>
      </c>
      <c r="I86" s="82"/>
      <c r="J86" s="82"/>
      <c r="K86" s="84">
        <f t="shared" si="20"/>
        <v>0.2058</v>
      </c>
      <c r="L86" s="84" t="str">
        <f t="shared" si="21"/>
        <v/>
      </c>
      <c r="M86" s="84" t="str">
        <f t="shared" si="22"/>
        <v/>
      </c>
      <c r="N86" s="84" t="str">
        <f t="shared" si="23"/>
        <v/>
      </c>
      <c r="P86">
        <f t="shared" si="28"/>
        <v>150901</v>
      </c>
      <c r="Q86">
        <f t="shared" si="27"/>
        <v>0.0274</v>
      </c>
      <c r="R86" s="64" t="s">
        <v>301</v>
      </c>
      <c r="S86">
        <f t="shared" si="14"/>
        <v>0</v>
      </c>
      <c r="T86" s="64" t="s">
        <v>301</v>
      </c>
      <c r="U86">
        <f t="shared" si="16"/>
        <v>0</v>
      </c>
      <c r="V86">
        <f t="shared" si="24"/>
        <v>0.2058</v>
      </c>
      <c r="W86" t="str">
        <f t="shared" si="25"/>
        <v/>
      </c>
      <c r="X86" t="str">
        <f t="shared" si="26"/>
        <v/>
      </c>
      <c r="Z86" s="65">
        <f t="shared" si="19"/>
        <v>0.0274</v>
      </c>
      <c r="AA86" s="8">
        <v>0.0274</v>
      </c>
      <c r="AB86" t="str">
        <f t="shared" si="11"/>
        <v>0.2058</v>
      </c>
      <c r="AF86" s="33"/>
    </row>
    <row r="87" ht="16.25" spans="1:32">
      <c r="A87" s="31">
        <v>104</v>
      </c>
      <c r="B87" s="80">
        <v>250901</v>
      </c>
      <c r="C87" s="68">
        <v>11</v>
      </c>
      <c r="D87" s="90">
        <v>0.0039</v>
      </c>
      <c r="E87" s="90"/>
      <c r="F87" s="90"/>
      <c r="G87" s="82"/>
      <c r="H87" s="68">
        <v>11</v>
      </c>
      <c r="I87" s="82"/>
      <c r="J87" s="82"/>
      <c r="K87" s="84">
        <f t="shared" si="20"/>
        <v>0.0234</v>
      </c>
      <c r="L87" s="84" t="str">
        <f t="shared" si="21"/>
        <v/>
      </c>
      <c r="M87" s="84" t="str">
        <f t="shared" si="22"/>
        <v/>
      </c>
      <c r="N87" s="84" t="str">
        <f t="shared" si="23"/>
        <v/>
      </c>
      <c r="P87">
        <f t="shared" si="28"/>
        <v>150901</v>
      </c>
      <c r="Q87">
        <f t="shared" si="27"/>
        <v>0.0031</v>
      </c>
      <c r="R87" s="64" t="s">
        <v>301</v>
      </c>
      <c r="S87">
        <f t="shared" si="14"/>
        <v>0</v>
      </c>
      <c r="T87" s="64" t="s">
        <v>301</v>
      </c>
      <c r="U87">
        <f t="shared" si="16"/>
        <v>0</v>
      </c>
      <c r="V87">
        <f t="shared" si="24"/>
        <v>0.0234</v>
      </c>
      <c r="W87" t="str">
        <f t="shared" si="25"/>
        <v/>
      </c>
      <c r="X87" t="str">
        <f t="shared" si="26"/>
        <v/>
      </c>
      <c r="Z87" s="65">
        <f t="shared" si="19"/>
        <v>0.0031</v>
      </c>
      <c r="AA87" s="8">
        <v>0.0031</v>
      </c>
      <c r="AB87" t="str">
        <f t="shared" si="11"/>
        <v>0.0234</v>
      </c>
      <c r="AF87" s="33"/>
    </row>
    <row r="88" ht="17" spans="1:32">
      <c r="A88" s="31">
        <v>104</v>
      </c>
      <c r="B88" s="80">
        <v>250901</v>
      </c>
      <c r="C88" s="68">
        <v>4</v>
      </c>
      <c r="D88" s="91">
        <v>7.29</v>
      </c>
      <c r="E88" s="91"/>
      <c r="F88" s="91"/>
      <c r="G88" s="82"/>
      <c r="H88" s="68">
        <v>4</v>
      </c>
      <c r="I88" s="82"/>
      <c r="J88" s="82"/>
      <c r="K88" s="84">
        <f t="shared" si="20"/>
        <v>14.58</v>
      </c>
      <c r="L88" s="84" t="str">
        <f t="shared" si="21"/>
        <v/>
      </c>
      <c r="M88" s="84" t="str">
        <f t="shared" si="22"/>
        <v/>
      </c>
      <c r="N88" s="84" t="str">
        <f t="shared" si="23"/>
        <v/>
      </c>
      <c r="P88">
        <f t="shared" si="28"/>
        <v>150901</v>
      </c>
      <c r="Q88">
        <f t="shared" si="27"/>
        <v>5.832</v>
      </c>
      <c r="R88" s="64" t="s">
        <v>301</v>
      </c>
      <c r="S88">
        <f t="shared" si="14"/>
        <v>0</v>
      </c>
      <c r="T88" s="64" t="s">
        <v>301</v>
      </c>
      <c r="U88">
        <f t="shared" si="16"/>
        <v>0</v>
      </c>
      <c r="V88">
        <f t="shared" si="24"/>
        <v>15</v>
      </c>
      <c r="W88" t="str">
        <f t="shared" si="25"/>
        <v/>
      </c>
      <c r="X88" t="str">
        <f t="shared" si="26"/>
        <v/>
      </c>
      <c r="Z88" s="65">
        <f t="shared" si="19"/>
        <v>5.832</v>
      </c>
      <c r="AA88" s="8">
        <v>5.832</v>
      </c>
      <c r="AB88" t="str">
        <f t="shared" si="11"/>
        <v>15</v>
      </c>
      <c r="AF88" s="33"/>
    </row>
    <row r="89" ht="16.25" spans="1:32">
      <c r="A89" s="45">
        <v>104</v>
      </c>
      <c r="B89" s="67">
        <v>260101</v>
      </c>
      <c r="C89" s="68">
        <v>8</v>
      </c>
      <c r="D89" s="81">
        <v>0.0171</v>
      </c>
      <c r="E89" s="81"/>
      <c r="F89" s="81"/>
      <c r="G89" s="82"/>
      <c r="H89" s="68">
        <v>8</v>
      </c>
      <c r="I89" s="82"/>
      <c r="J89" s="82"/>
      <c r="K89" s="84">
        <f t="shared" si="20"/>
        <v>0.1026</v>
      </c>
      <c r="L89" s="84" t="str">
        <f t="shared" si="21"/>
        <v/>
      </c>
      <c r="M89" s="84" t="str">
        <f t="shared" si="22"/>
        <v/>
      </c>
      <c r="N89" s="84" t="str">
        <f t="shared" si="23"/>
        <v/>
      </c>
      <c r="P89">
        <f t="shared" si="28"/>
        <v>160101</v>
      </c>
      <c r="Q89">
        <f t="shared" si="27"/>
        <v>0.0137</v>
      </c>
      <c r="R89" s="64" t="s">
        <v>301</v>
      </c>
      <c r="S89">
        <f t="shared" si="14"/>
        <v>0</v>
      </c>
      <c r="T89" s="64" t="s">
        <v>301</v>
      </c>
      <c r="U89">
        <f t="shared" si="16"/>
        <v>0</v>
      </c>
      <c r="V89">
        <f t="shared" si="24"/>
        <v>0.1026</v>
      </c>
      <c r="W89" t="str">
        <f t="shared" si="25"/>
        <v/>
      </c>
      <c r="X89" t="str">
        <f t="shared" si="26"/>
        <v/>
      </c>
      <c r="Z89" s="65">
        <f t="shared" ref="Z89:Z113" si="29">Q89</f>
        <v>0.0137</v>
      </c>
      <c r="AA89" s="8">
        <v>0.0137</v>
      </c>
      <c r="AB89" t="str">
        <f t="shared" si="11"/>
        <v>0.1026</v>
      </c>
      <c r="AF89" s="32" t="s">
        <v>81</v>
      </c>
    </row>
    <row r="90" ht="16.25" spans="1:32">
      <c r="A90" s="45">
        <v>104</v>
      </c>
      <c r="B90" s="67">
        <v>260101</v>
      </c>
      <c r="C90" s="68">
        <v>4</v>
      </c>
      <c r="D90" s="81">
        <v>24.29</v>
      </c>
      <c r="E90" s="81"/>
      <c r="F90" s="81"/>
      <c r="G90" s="82"/>
      <c r="H90" s="68">
        <v>4</v>
      </c>
      <c r="I90" s="82"/>
      <c r="J90" s="82"/>
      <c r="K90" s="84">
        <f t="shared" si="20"/>
        <v>48.58</v>
      </c>
      <c r="L90" s="84" t="str">
        <f t="shared" si="21"/>
        <v/>
      </c>
      <c r="M90" s="84" t="str">
        <f t="shared" si="22"/>
        <v/>
      </c>
      <c r="N90" s="84" t="str">
        <f t="shared" si="23"/>
        <v/>
      </c>
      <c r="P90">
        <f t="shared" si="28"/>
        <v>160101</v>
      </c>
      <c r="Q90">
        <f t="shared" si="27"/>
        <v>19.432</v>
      </c>
      <c r="R90" s="64" t="s">
        <v>301</v>
      </c>
      <c r="S90">
        <f t="shared" si="14"/>
        <v>0</v>
      </c>
      <c r="T90" s="64" t="s">
        <v>301</v>
      </c>
      <c r="U90">
        <f t="shared" si="16"/>
        <v>0</v>
      </c>
      <c r="V90">
        <f t="shared" si="24"/>
        <v>50</v>
      </c>
      <c r="W90" t="str">
        <f t="shared" si="25"/>
        <v/>
      </c>
      <c r="X90" t="str">
        <f t="shared" si="26"/>
        <v/>
      </c>
      <c r="Z90" s="65">
        <f t="shared" si="29"/>
        <v>19.432</v>
      </c>
      <c r="AA90" s="8">
        <v>19.432</v>
      </c>
      <c r="AB90" t="str">
        <f t="shared" si="11"/>
        <v>50</v>
      </c>
      <c r="AF90" s="32"/>
    </row>
    <row r="91" ht="16.25" spans="1:32">
      <c r="A91" s="45">
        <v>104</v>
      </c>
      <c r="B91" s="67">
        <v>260201</v>
      </c>
      <c r="C91" s="68">
        <v>8</v>
      </c>
      <c r="D91" s="81">
        <v>0.0341</v>
      </c>
      <c r="E91" s="81"/>
      <c r="F91" s="81"/>
      <c r="G91" s="82"/>
      <c r="H91" s="68">
        <v>8</v>
      </c>
      <c r="I91" s="82"/>
      <c r="J91" s="82"/>
      <c r="K91" s="84">
        <f t="shared" si="20"/>
        <v>0.2046</v>
      </c>
      <c r="L91" s="84" t="str">
        <f t="shared" si="21"/>
        <v/>
      </c>
      <c r="M91" s="84" t="str">
        <f t="shared" si="22"/>
        <v/>
      </c>
      <c r="N91" s="84" t="str">
        <f t="shared" si="23"/>
        <v/>
      </c>
      <c r="P91">
        <f t="shared" ref="P91:P117" si="30">B91-100000</f>
        <v>160201</v>
      </c>
      <c r="Q91">
        <f t="shared" si="27"/>
        <v>0.0273</v>
      </c>
      <c r="R91" s="64" t="s">
        <v>301</v>
      </c>
      <c r="S91">
        <f t="shared" si="14"/>
        <v>0</v>
      </c>
      <c r="T91" s="64" t="s">
        <v>301</v>
      </c>
      <c r="U91">
        <f t="shared" si="16"/>
        <v>0</v>
      </c>
      <c r="V91">
        <f t="shared" si="24"/>
        <v>0.2046</v>
      </c>
      <c r="W91" t="str">
        <f t="shared" si="25"/>
        <v/>
      </c>
      <c r="X91" t="str">
        <f t="shared" si="26"/>
        <v/>
      </c>
      <c r="Z91" s="65">
        <f t="shared" si="29"/>
        <v>0.0273</v>
      </c>
      <c r="AA91" s="8">
        <v>0.0273</v>
      </c>
      <c r="AB91" t="str">
        <f t="shared" si="11"/>
        <v>0.2046</v>
      </c>
      <c r="AF91" s="32" t="s">
        <v>85</v>
      </c>
    </row>
    <row r="92" ht="16.25" spans="1:32">
      <c r="A92" s="45">
        <v>104</v>
      </c>
      <c r="B92" s="67">
        <v>260201</v>
      </c>
      <c r="C92" s="68">
        <v>4</v>
      </c>
      <c r="D92" s="81">
        <v>24.29</v>
      </c>
      <c r="E92" s="81"/>
      <c r="F92" s="81"/>
      <c r="G92" s="82"/>
      <c r="H92" s="68">
        <v>4</v>
      </c>
      <c r="I92" s="82"/>
      <c r="J92" s="82"/>
      <c r="K92" s="84">
        <f t="shared" si="20"/>
        <v>48.58</v>
      </c>
      <c r="L92" s="84" t="str">
        <f t="shared" si="21"/>
        <v/>
      </c>
      <c r="M92" s="84" t="str">
        <f t="shared" si="22"/>
        <v/>
      </c>
      <c r="N92" s="84" t="str">
        <f t="shared" si="23"/>
        <v/>
      </c>
      <c r="P92">
        <f t="shared" si="30"/>
        <v>160201</v>
      </c>
      <c r="Q92">
        <f t="shared" si="27"/>
        <v>19.432</v>
      </c>
      <c r="R92" s="64" t="s">
        <v>301</v>
      </c>
      <c r="S92">
        <f t="shared" si="14"/>
        <v>0</v>
      </c>
      <c r="T92" s="64" t="s">
        <v>301</v>
      </c>
      <c r="U92">
        <f t="shared" si="16"/>
        <v>0</v>
      </c>
      <c r="V92">
        <f t="shared" si="24"/>
        <v>50</v>
      </c>
      <c r="W92" t="str">
        <f t="shared" si="25"/>
        <v/>
      </c>
      <c r="X92" t="str">
        <f t="shared" si="26"/>
        <v/>
      </c>
      <c r="Z92" s="65">
        <f t="shared" si="29"/>
        <v>19.432</v>
      </c>
      <c r="AA92" s="8">
        <v>19.432</v>
      </c>
      <c r="AB92" t="str">
        <f t="shared" si="11"/>
        <v>50</v>
      </c>
      <c r="AF92" s="32"/>
    </row>
    <row r="93" ht="16.25" spans="1:32">
      <c r="A93" s="45">
        <v>104</v>
      </c>
      <c r="B93" s="67">
        <v>260301</v>
      </c>
      <c r="C93" s="68">
        <v>8</v>
      </c>
      <c r="D93" s="81">
        <v>0.0307</v>
      </c>
      <c r="E93" s="81"/>
      <c r="F93" s="81"/>
      <c r="G93" s="82"/>
      <c r="H93" s="68">
        <v>8</v>
      </c>
      <c r="I93" s="82"/>
      <c r="J93" s="82"/>
      <c r="K93" s="84">
        <f t="shared" si="20"/>
        <v>0.1842</v>
      </c>
      <c r="L93" s="84" t="str">
        <f t="shared" si="21"/>
        <v/>
      </c>
      <c r="M93" s="84" t="str">
        <f t="shared" si="22"/>
        <v/>
      </c>
      <c r="N93" s="84" t="str">
        <f t="shared" si="23"/>
        <v/>
      </c>
      <c r="P93">
        <f t="shared" si="30"/>
        <v>160301</v>
      </c>
      <c r="Q93">
        <f t="shared" si="27"/>
        <v>0.0246</v>
      </c>
      <c r="R93" s="64" t="s">
        <v>301</v>
      </c>
      <c r="S93">
        <f t="shared" si="14"/>
        <v>0</v>
      </c>
      <c r="T93" s="64" t="s">
        <v>301</v>
      </c>
      <c r="U93">
        <f t="shared" si="16"/>
        <v>0</v>
      </c>
      <c r="V93">
        <f t="shared" si="24"/>
        <v>0.1842</v>
      </c>
      <c r="W93" t="str">
        <f t="shared" si="25"/>
        <v/>
      </c>
      <c r="X93" t="str">
        <f t="shared" si="26"/>
        <v/>
      </c>
      <c r="Z93" s="65">
        <f t="shared" si="29"/>
        <v>0.0246</v>
      </c>
      <c r="AA93" s="8">
        <v>0.0246</v>
      </c>
      <c r="AB93" t="str">
        <f t="shared" si="11"/>
        <v>0.1842</v>
      </c>
      <c r="AF93" s="32" t="s">
        <v>89</v>
      </c>
    </row>
    <row r="94" ht="16.25" spans="1:32">
      <c r="A94" s="45">
        <v>104</v>
      </c>
      <c r="B94" s="67">
        <v>260301</v>
      </c>
      <c r="C94" s="68">
        <v>4</v>
      </c>
      <c r="D94" s="81">
        <v>24.29</v>
      </c>
      <c r="E94" s="81"/>
      <c r="F94" s="81"/>
      <c r="G94" s="82"/>
      <c r="H94" s="68">
        <v>4</v>
      </c>
      <c r="I94" s="82"/>
      <c r="J94" s="82"/>
      <c r="K94" s="84">
        <f t="shared" si="20"/>
        <v>48.58</v>
      </c>
      <c r="L94" s="84" t="str">
        <f t="shared" si="21"/>
        <v/>
      </c>
      <c r="M94" s="84" t="str">
        <f t="shared" si="22"/>
        <v/>
      </c>
      <c r="N94" s="84" t="str">
        <f t="shared" si="23"/>
        <v/>
      </c>
      <c r="P94">
        <f t="shared" si="30"/>
        <v>160301</v>
      </c>
      <c r="Q94">
        <f t="shared" si="27"/>
        <v>19.432</v>
      </c>
      <c r="R94" s="64" t="s">
        <v>301</v>
      </c>
      <c r="S94">
        <f t="shared" si="14"/>
        <v>0</v>
      </c>
      <c r="T94" s="64" t="s">
        <v>301</v>
      </c>
      <c r="U94">
        <f t="shared" si="16"/>
        <v>0</v>
      </c>
      <c r="V94">
        <f t="shared" si="24"/>
        <v>50</v>
      </c>
      <c r="W94" t="str">
        <f t="shared" si="25"/>
        <v/>
      </c>
      <c r="X94" t="str">
        <f t="shared" si="26"/>
        <v/>
      </c>
      <c r="Z94" s="65">
        <f t="shared" si="29"/>
        <v>19.432</v>
      </c>
      <c r="AA94" s="8">
        <v>19.432</v>
      </c>
      <c r="AB94" t="str">
        <f t="shared" si="11"/>
        <v>50</v>
      </c>
      <c r="AF94" s="32"/>
    </row>
    <row r="95" ht="16.25" spans="1:32">
      <c r="A95" s="45">
        <v>104</v>
      </c>
      <c r="B95" s="67">
        <v>260301</v>
      </c>
      <c r="C95" s="68">
        <v>26</v>
      </c>
      <c r="D95" s="81">
        <v>0.0409</v>
      </c>
      <c r="E95" s="81"/>
      <c r="F95" s="81"/>
      <c r="G95" s="82"/>
      <c r="H95" s="68">
        <v>26</v>
      </c>
      <c r="I95" s="82"/>
      <c r="J95" s="82"/>
      <c r="K95" s="84">
        <f t="shared" si="20"/>
        <v>0.2454</v>
      </c>
      <c r="L95" s="84" t="str">
        <f t="shared" si="21"/>
        <v/>
      </c>
      <c r="M95" s="84" t="str">
        <f t="shared" si="22"/>
        <v/>
      </c>
      <c r="N95" s="84" t="str">
        <f t="shared" si="23"/>
        <v/>
      </c>
      <c r="P95">
        <f t="shared" si="30"/>
        <v>160301</v>
      </c>
      <c r="Q95">
        <f t="shared" si="27"/>
        <v>0.0327</v>
      </c>
      <c r="R95" s="64" t="s">
        <v>301</v>
      </c>
      <c r="S95">
        <f t="shared" si="14"/>
        <v>0</v>
      </c>
      <c r="T95" s="64" t="s">
        <v>301</v>
      </c>
      <c r="U95">
        <f t="shared" si="16"/>
        <v>0</v>
      </c>
      <c r="V95">
        <f t="shared" si="24"/>
        <v>0.2454</v>
      </c>
      <c r="W95" t="str">
        <f t="shared" si="25"/>
        <v/>
      </c>
      <c r="X95" t="str">
        <f t="shared" si="26"/>
        <v/>
      </c>
      <c r="Z95" s="65">
        <f t="shared" si="29"/>
        <v>0.0327</v>
      </c>
      <c r="AA95" s="8">
        <v>0.0327</v>
      </c>
      <c r="AB95" t="str">
        <f t="shared" si="11"/>
        <v>0.2454</v>
      </c>
      <c r="AF95" s="32"/>
    </row>
    <row r="96" ht="16.25" spans="1:32">
      <c r="A96" s="45">
        <v>104</v>
      </c>
      <c r="B96" s="67">
        <v>260401</v>
      </c>
      <c r="C96" s="68">
        <v>8</v>
      </c>
      <c r="D96" s="81">
        <v>0.05112</v>
      </c>
      <c r="E96" s="81"/>
      <c r="F96" s="81"/>
      <c r="G96" s="82"/>
      <c r="H96" s="68">
        <v>8</v>
      </c>
      <c r="I96" s="82"/>
      <c r="J96" s="82"/>
      <c r="K96" s="84">
        <f t="shared" si="20"/>
        <v>0.30672</v>
      </c>
      <c r="L96" s="84" t="str">
        <f t="shared" si="21"/>
        <v/>
      </c>
      <c r="M96" s="84" t="str">
        <f t="shared" si="22"/>
        <v/>
      </c>
      <c r="N96" s="84" t="str">
        <f t="shared" si="23"/>
        <v/>
      </c>
      <c r="P96">
        <f t="shared" si="30"/>
        <v>160401</v>
      </c>
      <c r="Q96">
        <f t="shared" si="27"/>
        <v>0.0409</v>
      </c>
      <c r="R96" s="64" t="s">
        <v>301</v>
      </c>
      <c r="S96">
        <f t="shared" si="14"/>
        <v>0</v>
      </c>
      <c r="T96" s="64" t="s">
        <v>301</v>
      </c>
      <c r="U96">
        <f t="shared" si="16"/>
        <v>0</v>
      </c>
      <c r="V96">
        <f t="shared" si="24"/>
        <v>0.3067</v>
      </c>
      <c r="W96" t="str">
        <f t="shared" si="25"/>
        <v/>
      </c>
      <c r="X96" t="str">
        <f t="shared" si="26"/>
        <v/>
      </c>
      <c r="Z96" s="65">
        <f t="shared" si="29"/>
        <v>0.0409</v>
      </c>
      <c r="AA96" s="8">
        <v>0.0409</v>
      </c>
      <c r="AB96" t="str">
        <f t="shared" si="11"/>
        <v>0.3067</v>
      </c>
      <c r="AF96" s="32" t="s">
        <v>93</v>
      </c>
    </row>
    <row r="97" ht="16.25" spans="1:32">
      <c r="A97" s="45">
        <v>104</v>
      </c>
      <c r="B97" s="67">
        <v>260401</v>
      </c>
      <c r="C97" s="68">
        <v>4</v>
      </c>
      <c r="D97" s="81">
        <v>24.29</v>
      </c>
      <c r="E97" s="81"/>
      <c r="F97" s="81"/>
      <c r="G97" s="82"/>
      <c r="H97" s="68">
        <v>4</v>
      </c>
      <c r="I97" s="82"/>
      <c r="J97" s="82"/>
      <c r="K97" s="84">
        <f t="shared" si="20"/>
        <v>48.58</v>
      </c>
      <c r="L97" s="84" t="str">
        <f t="shared" si="21"/>
        <v/>
      </c>
      <c r="M97" s="84" t="str">
        <f t="shared" si="22"/>
        <v/>
      </c>
      <c r="N97" s="84" t="str">
        <f t="shared" si="23"/>
        <v/>
      </c>
      <c r="P97">
        <f t="shared" si="30"/>
        <v>160401</v>
      </c>
      <c r="Q97">
        <f t="shared" si="27"/>
        <v>19.432</v>
      </c>
      <c r="R97" s="64" t="s">
        <v>301</v>
      </c>
      <c r="S97">
        <f t="shared" si="14"/>
        <v>0</v>
      </c>
      <c r="T97" s="64" t="s">
        <v>301</v>
      </c>
      <c r="U97">
        <f t="shared" si="16"/>
        <v>0</v>
      </c>
      <c r="V97">
        <f t="shared" si="24"/>
        <v>50</v>
      </c>
      <c r="W97" t="str">
        <f t="shared" si="25"/>
        <v/>
      </c>
      <c r="X97" t="str">
        <f t="shared" si="26"/>
        <v/>
      </c>
      <c r="Z97" s="65">
        <f t="shared" si="29"/>
        <v>19.432</v>
      </c>
      <c r="AA97" s="8">
        <v>19.432</v>
      </c>
      <c r="AB97" t="str">
        <f t="shared" si="11"/>
        <v>50</v>
      </c>
      <c r="AF97" s="32"/>
    </row>
    <row r="98" ht="16.25" spans="1:32">
      <c r="A98" s="45">
        <v>104</v>
      </c>
      <c r="B98" s="67">
        <v>260501</v>
      </c>
      <c r="C98" s="68">
        <v>8</v>
      </c>
      <c r="D98" s="81">
        <v>0.0341</v>
      </c>
      <c r="E98" s="81"/>
      <c r="F98" s="81"/>
      <c r="G98" s="82"/>
      <c r="H98" s="68">
        <v>8</v>
      </c>
      <c r="I98" s="82"/>
      <c r="J98" s="82"/>
      <c r="K98" s="84">
        <f t="shared" si="20"/>
        <v>0.2046</v>
      </c>
      <c r="L98" s="84" t="str">
        <f t="shared" si="21"/>
        <v/>
      </c>
      <c r="M98" s="84" t="str">
        <f t="shared" si="22"/>
        <v/>
      </c>
      <c r="N98" s="84" t="str">
        <f t="shared" si="23"/>
        <v/>
      </c>
      <c r="P98">
        <f t="shared" si="30"/>
        <v>160501</v>
      </c>
      <c r="Q98">
        <f t="shared" si="27"/>
        <v>0.0273</v>
      </c>
      <c r="R98" s="64" t="s">
        <v>301</v>
      </c>
      <c r="S98">
        <f t="shared" si="14"/>
        <v>0</v>
      </c>
      <c r="T98" s="64" t="s">
        <v>301</v>
      </c>
      <c r="U98">
        <f t="shared" si="16"/>
        <v>0</v>
      </c>
      <c r="V98">
        <f t="shared" si="24"/>
        <v>0.2046</v>
      </c>
      <c r="W98" t="str">
        <f t="shared" si="25"/>
        <v/>
      </c>
      <c r="X98" t="str">
        <f t="shared" si="26"/>
        <v/>
      </c>
      <c r="Z98" s="65">
        <f t="shared" si="29"/>
        <v>0.0273</v>
      </c>
      <c r="AA98" s="8">
        <v>0.0273</v>
      </c>
      <c r="AB98" t="str">
        <f t="shared" si="11"/>
        <v>0.2046</v>
      </c>
      <c r="AF98" s="32" t="s">
        <v>97</v>
      </c>
    </row>
    <row r="99" ht="16.25" spans="1:32">
      <c r="A99" s="45">
        <v>104</v>
      </c>
      <c r="B99" s="67">
        <v>260501</v>
      </c>
      <c r="C99" s="68">
        <v>4</v>
      </c>
      <c r="D99" s="81">
        <v>24.29</v>
      </c>
      <c r="E99" s="81"/>
      <c r="F99" s="81"/>
      <c r="G99" s="82"/>
      <c r="H99" s="68">
        <v>4</v>
      </c>
      <c r="I99" s="82"/>
      <c r="J99" s="82"/>
      <c r="K99" s="84">
        <f t="shared" si="20"/>
        <v>48.58</v>
      </c>
      <c r="L99" s="84" t="str">
        <f t="shared" si="21"/>
        <v/>
      </c>
      <c r="M99" s="84" t="str">
        <f t="shared" si="22"/>
        <v/>
      </c>
      <c r="N99" s="84" t="str">
        <f t="shared" si="23"/>
        <v/>
      </c>
      <c r="P99">
        <f t="shared" si="30"/>
        <v>160501</v>
      </c>
      <c r="Q99">
        <f t="shared" si="27"/>
        <v>19.432</v>
      </c>
      <c r="R99" s="64" t="s">
        <v>301</v>
      </c>
      <c r="S99">
        <f t="shared" si="14"/>
        <v>0</v>
      </c>
      <c r="T99" s="64" t="s">
        <v>301</v>
      </c>
      <c r="U99">
        <f t="shared" si="16"/>
        <v>0</v>
      </c>
      <c r="V99">
        <f t="shared" si="24"/>
        <v>50</v>
      </c>
      <c r="W99" t="str">
        <f t="shared" si="25"/>
        <v/>
      </c>
      <c r="X99" t="str">
        <f t="shared" si="26"/>
        <v/>
      </c>
      <c r="Z99" s="65">
        <f t="shared" si="29"/>
        <v>19.432</v>
      </c>
      <c r="AA99" s="8">
        <v>19.432</v>
      </c>
      <c r="AB99" t="str">
        <f t="shared" ref="AB99:AB162" si="31">_xlfn.TEXTJOIN(",",TRUE,V99,W99,X99)</f>
        <v>50</v>
      </c>
      <c r="AF99" s="32"/>
    </row>
    <row r="100" ht="16.25" spans="1:32">
      <c r="A100" s="45">
        <v>104</v>
      </c>
      <c r="B100" s="67">
        <v>260501</v>
      </c>
      <c r="C100" s="68">
        <v>26</v>
      </c>
      <c r="D100" s="81">
        <v>0.1023</v>
      </c>
      <c r="E100" s="81"/>
      <c r="F100" s="81"/>
      <c r="G100" s="82"/>
      <c r="H100" s="68">
        <v>26</v>
      </c>
      <c r="I100" s="82"/>
      <c r="J100" s="82"/>
      <c r="K100" s="84">
        <f t="shared" si="20"/>
        <v>0.6138</v>
      </c>
      <c r="L100" s="84" t="str">
        <f t="shared" si="21"/>
        <v/>
      </c>
      <c r="M100" s="84" t="str">
        <f t="shared" si="22"/>
        <v/>
      </c>
      <c r="N100" s="84" t="str">
        <f t="shared" si="23"/>
        <v/>
      </c>
      <c r="P100">
        <f t="shared" si="30"/>
        <v>160501</v>
      </c>
      <c r="Q100">
        <f t="shared" si="27"/>
        <v>0.0818</v>
      </c>
      <c r="R100" s="64" t="s">
        <v>301</v>
      </c>
      <c r="S100">
        <f t="shared" si="14"/>
        <v>0</v>
      </c>
      <c r="T100" s="64" t="s">
        <v>301</v>
      </c>
      <c r="U100">
        <f t="shared" si="16"/>
        <v>0</v>
      </c>
      <c r="V100">
        <f t="shared" si="24"/>
        <v>0.6138</v>
      </c>
      <c r="W100" t="str">
        <f t="shared" si="25"/>
        <v/>
      </c>
      <c r="X100" t="str">
        <f t="shared" si="26"/>
        <v/>
      </c>
      <c r="Z100" s="65">
        <f t="shared" si="29"/>
        <v>0.0818</v>
      </c>
      <c r="AA100" s="8">
        <v>0.0818</v>
      </c>
      <c r="AB100" t="str">
        <f t="shared" si="31"/>
        <v>0.6138</v>
      </c>
      <c r="AF100" s="32"/>
    </row>
    <row r="101" ht="16.25" spans="1:32">
      <c r="A101" s="45">
        <v>104</v>
      </c>
      <c r="B101" s="67">
        <v>260601</v>
      </c>
      <c r="C101" s="68">
        <v>8</v>
      </c>
      <c r="D101" s="81">
        <v>0.0171</v>
      </c>
      <c r="E101" s="81"/>
      <c r="F101" s="81"/>
      <c r="G101" s="82"/>
      <c r="H101" s="68">
        <v>8</v>
      </c>
      <c r="I101" s="82"/>
      <c r="J101" s="82"/>
      <c r="K101" s="84">
        <f t="shared" si="20"/>
        <v>0.1026</v>
      </c>
      <c r="L101" s="84" t="str">
        <f t="shared" si="21"/>
        <v/>
      </c>
      <c r="M101" s="84" t="str">
        <f t="shared" si="22"/>
        <v/>
      </c>
      <c r="N101" s="84" t="str">
        <f t="shared" si="23"/>
        <v/>
      </c>
      <c r="P101">
        <f t="shared" si="30"/>
        <v>160601</v>
      </c>
      <c r="Q101">
        <f t="shared" si="27"/>
        <v>0.0137</v>
      </c>
      <c r="R101" s="64" t="s">
        <v>301</v>
      </c>
      <c r="S101">
        <f t="shared" si="14"/>
        <v>0</v>
      </c>
      <c r="T101" s="64" t="s">
        <v>301</v>
      </c>
      <c r="U101">
        <f t="shared" si="16"/>
        <v>0</v>
      </c>
      <c r="V101">
        <f t="shared" si="24"/>
        <v>0.1026</v>
      </c>
      <c r="W101" t="str">
        <f t="shared" si="25"/>
        <v/>
      </c>
      <c r="X101" t="str">
        <f t="shared" si="26"/>
        <v/>
      </c>
      <c r="Z101" s="65">
        <f t="shared" si="29"/>
        <v>0.0137</v>
      </c>
      <c r="AA101" s="8">
        <v>0.0137</v>
      </c>
      <c r="AB101" t="str">
        <f t="shared" si="31"/>
        <v>0.1026</v>
      </c>
      <c r="AF101" s="32" t="s">
        <v>101</v>
      </c>
    </row>
    <row r="102" ht="16.25" spans="1:32">
      <c r="A102" s="45">
        <v>104</v>
      </c>
      <c r="B102" s="67">
        <v>260601</v>
      </c>
      <c r="C102" s="68">
        <v>4</v>
      </c>
      <c r="D102" s="81">
        <v>24.29</v>
      </c>
      <c r="E102" s="81"/>
      <c r="F102" s="81"/>
      <c r="G102" s="82"/>
      <c r="H102" s="68">
        <v>4</v>
      </c>
      <c r="I102" s="82"/>
      <c r="J102" s="82"/>
      <c r="K102" s="84">
        <f t="shared" si="20"/>
        <v>48.58</v>
      </c>
      <c r="L102" s="84" t="str">
        <f t="shared" si="21"/>
        <v/>
      </c>
      <c r="M102" s="84" t="str">
        <f t="shared" si="22"/>
        <v/>
      </c>
      <c r="N102" s="84" t="str">
        <f t="shared" si="23"/>
        <v/>
      </c>
      <c r="P102">
        <f t="shared" si="30"/>
        <v>160601</v>
      </c>
      <c r="Q102">
        <f t="shared" si="27"/>
        <v>19.432</v>
      </c>
      <c r="R102" s="64" t="s">
        <v>301</v>
      </c>
      <c r="S102">
        <f t="shared" si="14"/>
        <v>0</v>
      </c>
      <c r="T102" s="64" t="s">
        <v>301</v>
      </c>
      <c r="U102">
        <f t="shared" si="16"/>
        <v>0</v>
      </c>
      <c r="V102">
        <f t="shared" si="24"/>
        <v>50</v>
      </c>
      <c r="W102" t="str">
        <f t="shared" si="25"/>
        <v/>
      </c>
      <c r="X102" t="str">
        <f t="shared" si="26"/>
        <v/>
      </c>
      <c r="Z102" s="65">
        <f t="shared" si="29"/>
        <v>19.432</v>
      </c>
      <c r="AA102" s="8">
        <v>19.432</v>
      </c>
      <c r="AB102" t="str">
        <f t="shared" si="31"/>
        <v>50</v>
      </c>
      <c r="AF102" s="32"/>
    </row>
    <row r="103" ht="16.25" spans="1:32">
      <c r="A103" s="45">
        <v>104</v>
      </c>
      <c r="B103" s="67">
        <v>260601</v>
      </c>
      <c r="C103" s="68">
        <v>9</v>
      </c>
      <c r="D103" s="81">
        <v>0.1143</v>
      </c>
      <c r="E103" s="81"/>
      <c r="F103" s="81"/>
      <c r="G103" s="82"/>
      <c r="H103" s="68">
        <v>9</v>
      </c>
      <c r="I103" s="82"/>
      <c r="J103" s="82"/>
      <c r="K103" s="84">
        <f t="shared" si="20"/>
        <v>0.6858</v>
      </c>
      <c r="L103" s="84" t="str">
        <f t="shared" si="21"/>
        <v/>
      </c>
      <c r="M103" s="84" t="str">
        <f t="shared" si="22"/>
        <v/>
      </c>
      <c r="N103" s="84" t="str">
        <f t="shared" si="23"/>
        <v/>
      </c>
      <c r="P103">
        <f t="shared" si="30"/>
        <v>160601</v>
      </c>
      <c r="Q103">
        <f t="shared" si="27"/>
        <v>0.0914</v>
      </c>
      <c r="R103" s="64" t="s">
        <v>301</v>
      </c>
      <c r="S103">
        <f t="shared" si="14"/>
        <v>0</v>
      </c>
      <c r="T103" s="64" t="s">
        <v>301</v>
      </c>
      <c r="U103">
        <f t="shared" si="16"/>
        <v>0</v>
      </c>
      <c r="V103">
        <f t="shared" si="24"/>
        <v>0.6858</v>
      </c>
      <c r="W103" t="str">
        <f t="shared" si="25"/>
        <v/>
      </c>
      <c r="X103" t="str">
        <f t="shared" si="26"/>
        <v/>
      </c>
      <c r="Z103" s="65">
        <f t="shared" si="29"/>
        <v>0.0914</v>
      </c>
      <c r="AA103" s="8">
        <v>0.0914</v>
      </c>
      <c r="AB103" t="str">
        <f t="shared" si="31"/>
        <v>0.6858</v>
      </c>
      <c r="AF103" s="32"/>
    </row>
    <row r="104" ht="16.25" spans="1:32">
      <c r="A104" s="45">
        <v>104</v>
      </c>
      <c r="B104" s="67">
        <v>260701</v>
      </c>
      <c r="C104" s="68">
        <v>5</v>
      </c>
      <c r="D104" s="81">
        <v>0.0418</v>
      </c>
      <c r="E104" s="81"/>
      <c r="F104" s="81"/>
      <c r="G104" s="82"/>
      <c r="H104" s="68">
        <v>5</v>
      </c>
      <c r="I104" s="82"/>
      <c r="J104" s="82"/>
      <c r="K104" s="84">
        <f t="shared" si="20"/>
        <v>0.2508</v>
      </c>
      <c r="L104" s="84" t="str">
        <f t="shared" si="21"/>
        <v/>
      </c>
      <c r="M104" s="84" t="str">
        <f t="shared" si="22"/>
        <v/>
      </c>
      <c r="N104" s="84" t="str">
        <f t="shared" si="23"/>
        <v/>
      </c>
      <c r="P104">
        <f t="shared" si="30"/>
        <v>160701</v>
      </c>
      <c r="Q104">
        <f t="shared" si="27"/>
        <v>0.0334</v>
      </c>
      <c r="R104" s="64" t="s">
        <v>301</v>
      </c>
      <c r="S104">
        <f t="shared" si="14"/>
        <v>0</v>
      </c>
      <c r="T104" s="64" t="s">
        <v>301</v>
      </c>
      <c r="U104">
        <f t="shared" si="16"/>
        <v>0</v>
      </c>
      <c r="V104">
        <f t="shared" si="24"/>
        <v>0.2508</v>
      </c>
      <c r="W104" t="str">
        <f t="shared" si="25"/>
        <v/>
      </c>
      <c r="X104" t="str">
        <f t="shared" si="26"/>
        <v/>
      </c>
      <c r="Z104" s="65">
        <f t="shared" si="29"/>
        <v>0.0334</v>
      </c>
      <c r="AA104" s="8">
        <v>0.0334</v>
      </c>
      <c r="AB104" t="str">
        <f t="shared" si="31"/>
        <v>0.2508</v>
      </c>
      <c r="AF104" s="32" t="s">
        <v>105</v>
      </c>
    </row>
    <row r="105" ht="16.25" spans="1:32">
      <c r="A105" s="45">
        <v>104</v>
      </c>
      <c r="B105" s="67">
        <v>260701</v>
      </c>
      <c r="C105" s="68">
        <v>4</v>
      </c>
      <c r="D105" s="81">
        <v>24.29</v>
      </c>
      <c r="E105" s="81"/>
      <c r="F105" s="81"/>
      <c r="G105" s="82"/>
      <c r="H105" s="68">
        <v>4</v>
      </c>
      <c r="I105" s="82"/>
      <c r="J105" s="82"/>
      <c r="K105" s="84">
        <f t="shared" si="20"/>
        <v>48.58</v>
      </c>
      <c r="L105" s="84" t="str">
        <f t="shared" si="21"/>
        <v/>
      </c>
      <c r="M105" s="84" t="str">
        <f t="shared" si="22"/>
        <v/>
      </c>
      <c r="N105" s="84" t="str">
        <f t="shared" si="23"/>
        <v/>
      </c>
      <c r="P105">
        <f t="shared" si="30"/>
        <v>160701</v>
      </c>
      <c r="Q105">
        <f t="shared" si="27"/>
        <v>19.432</v>
      </c>
      <c r="R105" s="64" t="s">
        <v>301</v>
      </c>
      <c r="S105">
        <f t="shared" si="14"/>
        <v>0</v>
      </c>
      <c r="T105" s="64" t="s">
        <v>301</v>
      </c>
      <c r="U105">
        <f t="shared" si="16"/>
        <v>0</v>
      </c>
      <c r="V105">
        <f t="shared" si="24"/>
        <v>50</v>
      </c>
      <c r="W105" t="str">
        <f t="shared" si="25"/>
        <v/>
      </c>
      <c r="X105" t="str">
        <f t="shared" si="26"/>
        <v/>
      </c>
      <c r="Z105" s="65">
        <f t="shared" si="29"/>
        <v>19.432</v>
      </c>
      <c r="AA105" s="8">
        <v>19.432</v>
      </c>
      <c r="AB105" t="str">
        <f t="shared" si="31"/>
        <v>50</v>
      </c>
      <c r="AF105" s="32"/>
    </row>
    <row r="106" ht="17" spans="1:32">
      <c r="A106" s="45">
        <v>104</v>
      </c>
      <c r="B106" s="67">
        <v>260701</v>
      </c>
      <c r="C106" s="68">
        <v>9</v>
      </c>
      <c r="D106" s="81">
        <v>0.0571</v>
      </c>
      <c r="E106" s="81"/>
      <c r="F106" s="81"/>
      <c r="G106" s="82"/>
      <c r="H106" s="68">
        <v>9</v>
      </c>
      <c r="I106" s="82"/>
      <c r="J106" s="82"/>
      <c r="K106" s="84">
        <f t="shared" si="20"/>
        <v>0.3426</v>
      </c>
      <c r="L106" s="84" t="str">
        <f t="shared" si="21"/>
        <v/>
      </c>
      <c r="M106" s="84" t="str">
        <f t="shared" si="22"/>
        <v/>
      </c>
      <c r="N106" s="84" t="str">
        <f t="shared" si="23"/>
        <v/>
      </c>
      <c r="P106">
        <f t="shared" si="30"/>
        <v>160701</v>
      </c>
      <c r="Q106">
        <f t="shared" si="27"/>
        <v>0.0457</v>
      </c>
      <c r="R106" s="64" t="s">
        <v>301</v>
      </c>
      <c r="S106">
        <f t="shared" si="14"/>
        <v>0</v>
      </c>
      <c r="T106" s="64" t="s">
        <v>301</v>
      </c>
      <c r="U106">
        <f t="shared" si="16"/>
        <v>0</v>
      </c>
      <c r="V106">
        <f t="shared" si="24"/>
        <v>0.3426</v>
      </c>
      <c r="W106" t="str">
        <f t="shared" si="25"/>
        <v/>
      </c>
      <c r="X106" t="str">
        <f t="shared" si="26"/>
        <v/>
      </c>
      <c r="Z106" s="65">
        <f t="shared" si="29"/>
        <v>0.0457</v>
      </c>
      <c r="AA106" s="8">
        <v>0.0457</v>
      </c>
      <c r="AB106" t="str">
        <f t="shared" si="31"/>
        <v>0.3426</v>
      </c>
      <c r="AF106" s="32"/>
    </row>
    <row r="107" ht="16.25" spans="1:32">
      <c r="A107" s="45">
        <v>104</v>
      </c>
      <c r="B107" s="67">
        <v>260801</v>
      </c>
      <c r="C107" s="68">
        <v>5</v>
      </c>
      <c r="D107" s="89">
        <v>0.0239</v>
      </c>
      <c r="E107" s="89"/>
      <c r="F107" s="89"/>
      <c r="G107" s="82"/>
      <c r="H107" s="68">
        <v>5</v>
      </c>
      <c r="I107" s="82"/>
      <c r="J107" s="82"/>
      <c r="K107" s="84">
        <f t="shared" si="20"/>
        <v>0.1434</v>
      </c>
      <c r="L107" s="84" t="str">
        <f t="shared" si="21"/>
        <v/>
      </c>
      <c r="M107" s="84" t="str">
        <f t="shared" si="22"/>
        <v/>
      </c>
      <c r="N107" s="84" t="str">
        <f t="shared" si="23"/>
        <v/>
      </c>
      <c r="P107">
        <f t="shared" si="30"/>
        <v>160801</v>
      </c>
      <c r="Q107">
        <f t="shared" si="27"/>
        <v>0.0191</v>
      </c>
      <c r="R107" s="64" t="s">
        <v>301</v>
      </c>
      <c r="S107">
        <f t="shared" si="14"/>
        <v>0</v>
      </c>
      <c r="T107" s="64" t="s">
        <v>301</v>
      </c>
      <c r="U107">
        <f t="shared" si="16"/>
        <v>0</v>
      </c>
      <c r="V107">
        <f t="shared" si="24"/>
        <v>0.1434</v>
      </c>
      <c r="W107" t="str">
        <f t="shared" si="25"/>
        <v/>
      </c>
      <c r="X107" t="str">
        <f t="shared" si="26"/>
        <v/>
      </c>
      <c r="Z107" s="65">
        <f t="shared" si="29"/>
        <v>0.0191</v>
      </c>
      <c r="AA107" s="8">
        <v>0.0191</v>
      </c>
      <c r="AB107" t="str">
        <f t="shared" si="31"/>
        <v>0.1434</v>
      </c>
      <c r="AF107" s="32" t="s">
        <v>109</v>
      </c>
    </row>
    <row r="108" ht="16.25" spans="1:32">
      <c r="A108" s="45">
        <v>104</v>
      </c>
      <c r="B108" s="67">
        <v>260801</v>
      </c>
      <c r="C108" s="68">
        <v>4</v>
      </c>
      <c r="D108" s="90">
        <v>12.14</v>
      </c>
      <c r="E108" s="90"/>
      <c r="F108" s="90"/>
      <c r="G108" s="82"/>
      <c r="H108" s="68">
        <v>4</v>
      </c>
      <c r="I108" s="82"/>
      <c r="J108" s="82"/>
      <c r="K108" s="84">
        <f t="shared" si="20"/>
        <v>24.28</v>
      </c>
      <c r="L108" s="84" t="str">
        <f t="shared" si="21"/>
        <v/>
      </c>
      <c r="M108" s="84" t="str">
        <f t="shared" si="22"/>
        <v/>
      </c>
      <c r="N108" s="84" t="str">
        <f t="shared" si="23"/>
        <v/>
      </c>
      <c r="P108">
        <f t="shared" si="30"/>
        <v>160801</v>
      </c>
      <c r="Q108">
        <f t="shared" si="27"/>
        <v>9.712</v>
      </c>
      <c r="R108" s="64" t="s">
        <v>301</v>
      </c>
      <c r="S108">
        <f t="shared" si="14"/>
        <v>0</v>
      </c>
      <c r="T108" s="64" t="s">
        <v>301</v>
      </c>
      <c r="U108">
        <f t="shared" si="16"/>
        <v>0</v>
      </c>
      <c r="V108">
        <f t="shared" si="24"/>
        <v>25</v>
      </c>
      <c r="W108" t="str">
        <f t="shared" si="25"/>
        <v/>
      </c>
      <c r="X108" t="str">
        <f t="shared" si="26"/>
        <v/>
      </c>
      <c r="Z108" s="65">
        <f t="shared" si="29"/>
        <v>9.712</v>
      </c>
      <c r="AA108" s="8">
        <v>9.712</v>
      </c>
      <c r="AB108" t="str">
        <f t="shared" si="31"/>
        <v>25</v>
      </c>
      <c r="AF108" s="32"/>
    </row>
    <row r="109" ht="17" spans="1:32">
      <c r="A109" s="45">
        <v>104</v>
      </c>
      <c r="B109" s="67">
        <v>260801</v>
      </c>
      <c r="C109" s="68">
        <v>9</v>
      </c>
      <c r="D109" s="91">
        <v>0.0457</v>
      </c>
      <c r="E109" s="91"/>
      <c r="F109" s="91"/>
      <c r="G109" s="82"/>
      <c r="H109" s="68">
        <v>9</v>
      </c>
      <c r="I109" s="82"/>
      <c r="J109" s="82"/>
      <c r="K109" s="84">
        <f t="shared" si="20"/>
        <v>0.2742</v>
      </c>
      <c r="L109" s="84" t="str">
        <f t="shared" si="21"/>
        <v/>
      </c>
      <c r="M109" s="84" t="str">
        <f t="shared" si="22"/>
        <v/>
      </c>
      <c r="N109" s="84" t="str">
        <f t="shared" si="23"/>
        <v/>
      </c>
      <c r="P109">
        <f t="shared" si="30"/>
        <v>160801</v>
      </c>
      <c r="Q109">
        <f t="shared" si="27"/>
        <v>0.0366</v>
      </c>
      <c r="R109" s="64" t="s">
        <v>301</v>
      </c>
      <c r="S109">
        <f t="shared" si="14"/>
        <v>0</v>
      </c>
      <c r="T109" s="64" t="s">
        <v>301</v>
      </c>
      <c r="U109">
        <f t="shared" si="16"/>
        <v>0</v>
      </c>
      <c r="V109">
        <f t="shared" si="24"/>
        <v>0.2742</v>
      </c>
      <c r="W109" t="str">
        <f t="shared" si="25"/>
        <v/>
      </c>
      <c r="X109" t="str">
        <f t="shared" si="26"/>
        <v/>
      </c>
      <c r="Z109" s="65">
        <f t="shared" si="29"/>
        <v>0.0366</v>
      </c>
      <c r="AA109" s="8">
        <v>0.0366</v>
      </c>
      <c r="AB109" t="str">
        <f t="shared" si="31"/>
        <v>0.2742</v>
      </c>
      <c r="AF109" s="32"/>
    </row>
    <row r="110" ht="16.25" spans="1:32">
      <c r="A110" s="45">
        <v>104</v>
      </c>
      <c r="B110" s="67">
        <v>260901</v>
      </c>
      <c r="C110" s="68">
        <v>5</v>
      </c>
      <c r="D110" s="89">
        <v>0.0299</v>
      </c>
      <c r="E110" s="89"/>
      <c r="F110" s="89"/>
      <c r="G110" s="82"/>
      <c r="H110" s="68">
        <v>5</v>
      </c>
      <c r="I110" s="82"/>
      <c r="J110" s="82"/>
      <c r="K110" s="84">
        <f t="shared" si="20"/>
        <v>0.1794</v>
      </c>
      <c r="L110" s="84" t="str">
        <f t="shared" si="21"/>
        <v/>
      </c>
      <c r="M110" s="84" t="str">
        <f t="shared" si="22"/>
        <v/>
      </c>
      <c r="N110" s="84" t="str">
        <f t="shared" si="23"/>
        <v/>
      </c>
      <c r="P110">
        <f t="shared" si="30"/>
        <v>160901</v>
      </c>
      <c r="Q110">
        <f t="shared" si="27"/>
        <v>0.0239</v>
      </c>
      <c r="R110" s="64" t="s">
        <v>301</v>
      </c>
      <c r="S110">
        <f t="shared" si="14"/>
        <v>0</v>
      </c>
      <c r="T110" s="64" t="s">
        <v>301</v>
      </c>
      <c r="U110">
        <f t="shared" si="16"/>
        <v>0</v>
      </c>
      <c r="V110">
        <f t="shared" si="24"/>
        <v>0.1794</v>
      </c>
      <c r="W110" t="str">
        <f t="shared" si="25"/>
        <v/>
      </c>
      <c r="X110" t="str">
        <f t="shared" si="26"/>
        <v/>
      </c>
      <c r="Z110" s="65">
        <f t="shared" si="29"/>
        <v>0.0239</v>
      </c>
      <c r="AA110" s="8">
        <v>0.0239</v>
      </c>
      <c r="AB110" t="str">
        <f t="shared" si="31"/>
        <v>0.1794</v>
      </c>
      <c r="AF110" s="32" t="s">
        <v>113</v>
      </c>
    </row>
    <row r="111" ht="16.25" spans="1:32">
      <c r="A111" s="45">
        <v>104</v>
      </c>
      <c r="B111" s="67">
        <v>260901</v>
      </c>
      <c r="C111" s="68">
        <v>9</v>
      </c>
      <c r="D111" s="90">
        <v>0.0571</v>
      </c>
      <c r="E111" s="90"/>
      <c r="F111" s="90"/>
      <c r="G111" s="82"/>
      <c r="H111" s="68">
        <v>9</v>
      </c>
      <c r="I111" s="82"/>
      <c r="J111" s="82"/>
      <c r="K111" s="84">
        <f t="shared" si="20"/>
        <v>0.3426</v>
      </c>
      <c r="L111" s="84" t="str">
        <f t="shared" si="21"/>
        <v/>
      </c>
      <c r="M111" s="84" t="str">
        <f t="shared" si="22"/>
        <v/>
      </c>
      <c r="N111" s="84" t="str">
        <f t="shared" si="23"/>
        <v/>
      </c>
      <c r="P111">
        <f t="shared" si="30"/>
        <v>160901</v>
      </c>
      <c r="Q111">
        <f t="shared" si="27"/>
        <v>0.0457</v>
      </c>
      <c r="R111" s="64" t="s">
        <v>301</v>
      </c>
      <c r="S111">
        <f t="shared" si="14"/>
        <v>0</v>
      </c>
      <c r="T111" s="64" t="s">
        <v>301</v>
      </c>
      <c r="U111">
        <f t="shared" si="16"/>
        <v>0</v>
      </c>
      <c r="V111">
        <f t="shared" si="24"/>
        <v>0.3426</v>
      </c>
      <c r="W111" t="str">
        <f t="shared" si="25"/>
        <v/>
      </c>
      <c r="X111" t="str">
        <f t="shared" si="26"/>
        <v/>
      </c>
      <c r="Z111" s="65">
        <f t="shared" si="29"/>
        <v>0.0457</v>
      </c>
      <c r="AA111" s="8">
        <v>0.0457</v>
      </c>
      <c r="AB111" t="str">
        <f t="shared" si="31"/>
        <v>0.3426</v>
      </c>
      <c r="AF111" s="32"/>
    </row>
    <row r="112" ht="16.25" spans="1:32">
      <c r="A112" s="45">
        <v>104</v>
      </c>
      <c r="B112" s="67">
        <v>260901</v>
      </c>
      <c r="C112" s="68">
        <v>11</v>
      </c>
      <c r="D112" s="90">
        <v>0.0065</v>
      </c>
      <c r="E112" s="90"/>
      <c r="F112" s="90"/>
      <c r="G112" s="82"/>
      <c r="H112" s="68">
        <v>11</v>
      </c>
      <c r="I112" s="82"/>
      <c r="J112" s="82"/>
      <c r="K112" s="84">
        <f t="shared" si="20"/>
        <v>0.039</v>
      </c>
      <c r="L112" s="84" t="str">
        <f t="shared" si="21"/>
        <v/>
      </c>
      <c r="M112" s="84" t="str">
        <f t="shared" si="22"/>
        <v/>
      </c>
      <c r="N112" s="84" t="str">
        <f t="shared" si="23"/>
        <v/>
      </c>
      <c r="P112">
        <f t="shared" si="30"/>
        <v>160901</v>
      </c>
      <c r="Q112">
        <f t="shared" si="27"/>
        <v>0.0052</v>
      </c>
      <c r="R112" s="64" t="s">
        <v>301</v>
      </c>
      <c r="S112">
        <f t="shared" si="14"/>
        <v>0</v>
      </c>
      <c r="T112" s="64" t="s">
        <v>301</v>
      </c>
      <c r="U112">
        <f t="shared" si="16"/>
        <v>0</v>
      </c>
      <c r="V112">
        <f t="shared" si="24"/>
        <v>0.039</v>
      </c>
      <c r="W112" t="str">
        <f t="shared" si="25"/>
        <v/>
      </c>
      <c r="X112" t="str">
        <f t="shared" si="26"/>
        <v/>
      </c>
      <c r="Z112" s="65">
        <f t="shared" si="29"/>
        <v>0.0052</v>
      </c>
      <c r="AA112" s="8">
        <v>0.0052</v>
      </c>
      <c r="AB112" t="str">
        <f t="shared" si="31"/>
        <v>0.039</v>
      </c>
      <c r="AF112" s="32"/>
    </row>
    <row r="113" ht="17" spans="1:32">
      <c r="A113" s="45">
        <v>104</v>
      </c>
      <c r="B113" s="67">
        <v>260901</v>
      </c>
      <c r="C113" s="68">
        <v>4</v>
      </c>
      <c r="D113" s="91">
        <v>12.14</v>
      </c>
      <c r="E113" s="91"/>
      <c r="F113" s="91"/>
      <c r="G113" s="82"/>
      <c r="H113" s="68">
        <v>4</v>
      </c>
      <c r="I113" s="82"/>
      <c r="J113" s="82"/>
      <c r="K113" s="84">
        <f t="shared" si="20"/>
        <v>24.28</v>
      </c>
      <c r="L113" s="84" t="str">
        <f t="shared" si="21"/>
        <v/>
      </c>
      <c r="M113" s="84" t="str">
        <f t="shared" si="22"/>
        <v/>
      </c>
      <c r="N113" s="84" t="str">
        <f t="shared" si="23"/>
        <v/>
      </c>
      <c r="P113">
        <f t="shared" si="30"/>
        <v>160901</v>
      </c>
      <c r="Q113">
        <f t="shared" si="27"/>
        <v>9.712</v>
      </c>
      <c r="R113" s="64" t="s">
        <v>301</v>
      </c>
      <c r="S113">
        <f>ROUND(E113*$Q$1,4)</f>
        <v>0</v>
      </c>
      <c r="T113" s="64" t="s">
        <v>301</v>
      </c>
      <c r="U113">
        <f t="shared" si="16"/>
        <v>0</v>
      </c>
      <c r="V113">
        <f t="shared" si="24"/>
        <v>25</v>
      </c>
      <c r="W113" t="str">
        <f t="shared" si="25"/>
        <v/>
      </c>
      <c r="X113" t="str">
        <f t="shared" si="26"/>
        <v/>
      </c>
      <c r="Z113" s="65">
        <f t="shared" si="29"/>
        <v>9.712</v>
      </c>
      <c r="AA113" s="8">
        <v>9.712</v>
      </c>
      <c r="AB113" t="str">
        <f t="shared" si="31"/>
        <v>25</v>
      </c>
      <c r="AF113" s="32"/>
    </row>
    <row r="114" ht="16.25" spans="1:32">
      <c r="A114" s="31">
        <v>201</v>
      </c>
      <c r="B114" s="92">
        <v>220002</v>
      </c>
      <c r="C114" s="68" t="s">
        <v>227</v>
      </c>
      <c r="D114" s="69">
        <v>14</v>
      </c>
      <c r="E114" s="69">
        <v>187</v>
      </c>
      <c r="F114" s="69"/>
      <c r="G114" s="70"/>
      <c r="H114" s="68">
        <v>3</v>
      </c>
      <c r="I114" s="70">
        <v>2</v>
      </c>
      <c r="J114" s="70"/>
      <c r="K114" s="84">
        <f t="shared" si="20"/>
        <v>14</v>
      </c>
      <c r="L114" s="84">
        <f t="shared" si="21"/>
        <v>187</v>
      </c>
      <c r="M114" s="84" t="str">
        <f t="shared" si="22"/>
        <v/>
      </c>
      <c r="N114" s="84" t="str">
        <f t="shared" si="23"/>
        <v/>
      </c>
      <c r="P114">
        <f t="shared" si="30"/>
        <v>120002</v>
      </c>
      <c r="Q114">
        <f>ROUND(D114*0.8,0)</f>
        <v>11</v>
      </c>
      <c r="R114" s="64" t="s">
        <v>301</v>
      </c>
      <c r="S114">
        <f>ROUND(E114*$Q$1,0)</f>
        <v>150</v>
      </c>
      <c r="T114" s="64" t="s">
        <v>301</v>
      </c>
      <c r="U114">
        <f t="shared" si="16"/>
        <v>0</v>
      </c>
      <c r="V114">
        <f t="shared" si="24"/>
        <v>15</v>
      </c>
      <c r="W114">
        <f t="shared" si="25"/>
        <v>190</v>
      </c>
      <c r="X114" t="str">
        <f t="shared" si="26"/>
        <v/>
      </c>
      <c r="Z114" s="65" t="str">
        <f>Q114&amp;R114&amp;S114</f>
        <v>11,150</v>
      </c>
      <c r="AA114" s="8" t="s">
        <v>228</v>
      </c>
      <c r="AB114" t="str">
        <f t="shared" si="31"/>
        <v>15,190</v>
      </c>
      <c r="AF114" s="37" t="s">
        <v>26</v>
      </c>
    </row>
    <row r="115" ht="16.25" spans="1:32">
      <c r="A115" s="31">
        <v>201</v>
      </c>
      <c r="B115" s="92">
        <v>230002</v>
      </c>
      <c r="C115" s="68" t="s">
        <v>227</v>
      </c>
      <c r="D115" s="69">
        <v>18</v>
      </c>
      <c r="E115" s="69">
        <v>240</v>
      </c>
      <c r="F115" s="69"/>
      <c r="G115" s="70"/>
      <c r="H115" s="68">
        <v>3</v>
      </c>
      <c r="I115" s="70">
        <v>2</v>
      </c>
      <c r="J115" s="70"/>
      <c r="K115" s="84">
        <f t="shared" si="20"/>
        <v>18</v>
      </c>
      <c r="L115" s="84">
        <f t="shared" si="21"/>
        <v>240</v>
      </c>
      <c r="M115" s="84" t="str">
        <f t="shared" si="22"/>
        <v/>
      </c>
      <c r="N115" s="84" t="str">
        <f t="shared" si="23"/>
        <v/>
      </c>
      <c r="P115">
        <f t="shared" si="30"/>
        <v>130002</v>
      </c>
      <c r="Q115">
        <f t="shared" ref="Q115:Q136" si="32">ROUND(D115*0.8,0)</f>
        <v>14</v>
      </c>
      <c r="R115" s="64" t="s">
        <v>301</v>
      </c>
      <c r="S115">
        <f t="shared" ref="S115:S136" si="33">ROUND(E115*$Q$1,0)</f>
        <v>192</v>
      </c>
      <c r="T115" s="64" t="s">
        <v>301</v>
      </c>
      <c r="U115">
        <f t="shared" si="16"/>
        <v>0</v>
      </c>
      <c r="V115">
        <f t="shared" si="24"/>
        <v>20</v>
      </c>
      <c r="W115">
        <f t="shared" si="25"/>
        <v>240</v>
      </c>
      <c r="X115" t="str">
        <f t="shared" si="26"/>
        <v/>
      </c>
      <c r="Z115" s="65" t="str">
        <f t="shared" ref="Z115:Z157" si="34">Q115&amp;R115&amp;S115</f>
        <v>14,192</v>
      </c>
      <c r="AA115" s="8" t="s">
        <v>229</v>
      </c>
      <c r="AB115" t="str">
        <f t="shared" si="31"/>
        <v>20,240</v>
      </c>
      <c r="AF115" s="37" t="s">
        <v>30</v>
      </c>
    </row>
    <row r="116" ht="16.25" spans="1:32">
      <c r="A116" s="31">
        <v>201</v>
      </c>
      <c r="B116" s="92">
        <v>240002</v>
      </c>
      <c r="C116" s="68" t="s">
        <v>227</v>
      </c>
      <c r="D116" s="69">
        <v>28</v>
      </c>
      <c r="E116" s="69">
        <v>373</v>
      </c>
      <c r="F116" s="69"/>
      <c r="G116" s="70"/>
      <c r="H116" s="68">
        <v>3</v>
      </c>
      <c r="I116" s="70">
        <v>2</v>
      </c>
      <c r="J116" s="70"/>
      <c r="K116" s="84">
        <f t="shared" si="20"/>
        <v>28</v>
      </c>
      <c r="L116" s="84">
        <f t="shared" si="21"/>
        <v>373</v>
      </c>
      <c r="M116" s="84" t="str">
        <f t="shared" si="22"/>
        <v/>
      </c>
      <c r="N116" s="84" t="str">
        <f t="shared" si="23"/>
        <v/>
      </c>
      <c r="P116">
        <f t="shared" si="30"/>
        <v>140002</v>
      </c>
      <c r="Q116">
        <f t="shared" si="32"/>
        <v>22</v>
      </c>
      <c r="R116" s="64" t="s">
        <v>301</v>
      </c>
      <c r="S116">
        <f t="shared" si="33"/>
        <v>298</v>
      </c>
      <c r="T116" s="64" t="s">
        <v>301</v>
      </c>
      <c r="U116">
        <f t="shared" si="16"/>
        <v>0</v>
      </c>
      <c r="V116">
        <f t="shared" si="24"/>
        <v>30</v>
      </c>
      <c r="W116">
        <f t="shared" si="25"/>
        <v>375</v>
      </c>
      <c r="X116" t="str">
        <f t="shared" si="26"/>
        <v/>
      </c>
      <c r="Z116" s="65" t="str">
        <f t="shared" si="34"/>
        <v>22,298</v>
      </c>
      <c r="AA116" s="8" t="s">
        <v>230</v>
      </c>
      <c r="AB116" t="str">
        <f t="shared" si="31"/>
        <v>30,375</v>
      </c>
      <c r="AF116" s="37" t="s">
        <v>34</v>
      </c>
    </row>
    <row r="117" ht="16.25" spans="1:32">
      <c r="A117" s="31">
        <v>201</v>
      </c>
      <c r="B117" s="92">
        <v>240102</v>
      </c>
      <c r="C117" s="68" t="s">
        <v>227</v>
      </c>
      <c r="D117" s="69">
        <v>22</v>
      </c>
      <c r="E117" s="69">
        <v>298</v>
      </c>
      <c r="F117" s="69"/>
      <c r="G117" s="70"/>
      <c r="H117" s="68">
        <v>3</v>
      </c>
      <c r="I117" s="70">
        <v>2</v>
      </c>
      <c r="J117" s="70"/>
      <c r="K117" s="84">
        <f t="shared" si="20"/>
        <v>22</v>
      </c>
      <c r="L117" s="84">
        <f t="shared" si="21"/>
        <v>298</v>
      </c>
      <c r="M117" s="84" t="str">
        <f t="shared" si="22"/>
        <v/>
      </c>
      <c r="N117" s="84" t="str">
        <f t="shared" si="23"/>
        <v/>
      </c>
      <c r="P117">
        <f t="shared" si="30"/>
        <v>140102</v>
      </c>
      <c r="Q117">
        <f t="shared" si="32"/>
        <v>18</v>
      </c>
      <c r="R117" s="64" t="s">
        <v>301</v>
      </c>
      <c r="S117">
        <f t="shared" si="33"/>
        <v>238</v>
      </c>
      <c r="T117" s="64" t="s">
        <v>301</v>
      </c>
      <c r="U117">
        <f t="shared" si="16"/>
        <v>0</v>
      </c>
      <c r="V117">
        <f t="shared" si="24"/>
        <v>25</v>
      </c>
      <c r="W117">
        <f t="shared" si="25"/>
        <v>300</v>
      </c>
      <c r="X117" t="str">
        <f t="shared" si="26"/>
        <v/>
      </c>
      <c r="Z117" s="65" t="str">
        <f t="shared" si="34"/>
        <v>18,238</v>
      </c>
      <c r="AA117" s="8" t="s">
        <v>231</v>
      </c>
      <c r="AB117" t="str">
        <f t="shared" si="31"/>
        <v>25,300</v>
      </c>
      <c r="AF117" s="37" t="s">
        <v>38</v>
      </c>
    </row>
    <row r="118" ht="16.25" spans="1:32">
      <c r="A118" s="31">
        <v>201</v>
      </c>
      <c r="B118" s="92">
        <v>240202</v>
      </c>
      <c r="C118" s="68" t="s">
        <v>227</v>
      </c>
      <c r="D118" s="69">
        <v>35</v>
      </c>
      <c r="E118" s="69">
        <v>467</v>
      </c>
      <c r="F118" s="69"/>
      <c r="G118" s="70"/>
      <c r="H118" s="68">
        <v>3</v>
      </c>
      <c r="I118" s="70">
        <v>2</v>
      </c>
      <c r="J118" s="70"/>
      <c r="K118" s="84">
        <f t="shared" si="20"/>
        <v>35</v>
      </c>
      <c r="L118" s="84">
        <f t="shared" si="21"/>
        <v>467</v>
      </c>
      <c r="M118" s="84" t="str">
        <f t="shared" si="22"/>
        <v/>
      </c>
      <c r="N118" s="84" t="str">
        <f t="shared" si="23"/>
        <v/>
      </c>
      <c r="P118">
        <f t="shared" ref="P118:P150" si="35">B118-100000</f>
        <v>140202</v>
      </c>
      <c r="Q118">
        <f t="shared" si="32"/>
        <v>28</v>
      </c>
      <c r="R118" s="64" t="s">
        <v>301</v>
      </c>
      <c r="S118">
        <f t="shared" si="33"/>
        <v>374</v>
      </c>
      <c r="T118" s="64" t="s">
        <v>301</v>
      </c>
      <c r="U118">
        <f t="shared" si="16"/>
        <v>0</v>
      </c>
      <c r="V118">
        <f t="shared" si="24"/>
        <v>35</v>
      </c>
      <c r="W118">
        <f t="shared" si="25"/>
        <v>470</v>
      </c>
      <c r="X118" t="str">
        <f t="shared" si="26"/>
        <v/>
      </c>
      <c r="Z118" s="65" t="str">
        <f t="shared" si="34"/>
        <v>28,374</v>
      </c>
      <c r="AA118" s="8" t="s">
        <v>232</v>
      </c>
      <c r="AB118" t="str">
        <f t="shared" si="31"/>
        <v>35,470</v>
      </c>
      <c r="AF118" s="37" t="s">
        <v>42</v>
      </c>
    </row>
    <row r="119" ht="16.25" spans="1:32">
      <c r="A119" s="31">
        <v>201</v>
      </c>
      <c r="B119" s="92">
        <v>250102</v>
      </c>
      <c r="C119" s="68" t="s">
        <v>227</v>
      </c>
      <c r="D119" s="69">
        <v>60</v>
      </c>
      <c r="E119" s="69">
        <v>800</v>
      </c>
      <c r="F119" s="69"/>
      <c r="G119" s="70"/>
      <c r="H119" s="68">
        <v>3</v>
      </c>
      <c r="I119" s="70">
        <v>2</v>
      </c>
      <c r="J119" s="70"/>
      <c r="K119" s="84">
        <f t="shared" si="20"/>
        <v>60</v>
      </c>
      <c r="L119" s="84">
        <f t="shared" si="21"/>
        <v>800</v>
      </c>
      <c r="M119" s="84" t="str">
        <f t="shared" si="22"/>
        <v/>
      </c>
      <c r="N119" s="84" t="str">
        <f t="shared" si="23"/>
        <v/>
      </c>
      <c r="P119">
        <f t="shared" si="35"/>
        <v>150102</v>
      </c>
      <c r="Q119">
        <f t="shared" si="32"/>
        <v>48</v>
      </c>
      <c r="R119" s="64" t="s">
        <v>301</v>
      </c>
      <c r="S119">
        <f t="shared" si="33"/>
        <v>640</v>
      </c>
      <c r="T119" s="64" t="s">
        <v>301</v>
      </c>
      <c r="U119">
        <f t="shared" ref="U119:U182" si="36">ROUND(F119*$Q$1,4)</f>
        <v>0</v>
      </c>
      <c r="V119">
        <f t="shared" si="24"/>
        <v>60</v>
      </c>
      <c r="W119">
        <f t="shared" si="25"/>
        <v>800</v>
      </c>
      <c r="X119" t="str">
        <f t="shared" si="26"/>
        <v/>
      </c>
      <c r="Z119" s="65" t="str">
        <f t="shared" si="34"/>
        <v>48,640</v>
      </c>
      <c r="AA119" s="8" t="s">
        <v>233</v>
      </c>
      <c r="AB119" t="str">
        <f t="shared" si="31"/>
        <v>60,800</v>
      </c>
      <c r="AF119" s="37" t="s">
        <v>46</v>
      </c>
    </row>
    <row r="120" ht="16.25" spans="1:32">
      <c r="A120" s="31">
        <v>201</v>
      </c>
      <c r="B120" s="92">
        <v>250202</v>
      </c>
      <c r="C120" s="68" t="s">
        <v>227</v>
      </c>
      <c r="D120" s="69">
        <v>60</v>
      </c>
      <c r="E120" s="69">
        <v>800</v>
      </c>
      <c r="F120" s="69"/>
      <c r="G120" s="70"/>
      <c r="H120" s="68">
        <v>3</v>
      </c>
      <c r="I120" s="70">
        <v>2</v>
      </c>
      <c r="J120" s="70"/>
      <c r="K120" s="84">
        <f t="shared" si="20"/>
        <v>60</v>
      </c>
      <c r="L120" s="84">
        <f t="shared" si="21"/>
        <v>800</v>
      </c>
      <c r="M120" s="84" t="str">
        <f t="shared" si="22"/>
        <v/>
      </c>
      <c r="N120" s="84" t="str">
        <f t="shared" si="23"/>
        <v/>
      </c>
      <c r="P120">
        <f t="shared" si="35"/>
        <v>150202</v>
      </c>
      <c r="Q120">
        <f t="shared" si="32"/>
        <v>48</v>
      </c>
      <c r="R120" s="64" t="s">
        <v>301</v>
      </c>
      <c r="S120">
        <f t="shared" si="33"/>
        <v>640</v>
      </c>
      <c r="T120" s="64" t="s">
        <v>301</v>
      </c>
      <c r="U120">
        <f t="shared" si="36"/>
        <v>0</v>
      </c>
      <c r="V120">
        <f t="shared" si="24"/>
        <v>60</v>
      </c>
      <c r="W120">
        <f t="shared" si="25"/>
        <v>800</v>
      </c>
      <c r="X120" t="str">
        <f t="shared" si="26"/>
        <v/>
      </c>
      <c r="Z120" s="65" t="str">
        <f t="shared" si="34"/>
        <v>48,640</v>
      </c>
      <c r="AA120" s="8" t="s">
        <v>233</v>
      </c>
      <c r="AB120" t="str">
        <f t="shared" si="31"/>
        <v>60,800</v>
      </c>
      <c r="AF120" s="37" t="s">
        <v>50</v>
      </c>
    </row>
    <row r="121" ht="16.25" spans="1:32">
      <c r="A121" s="31">
        <v>201</v>
      </c>
      <c r="B121" s="92">
        <v>250302</v>
      </c>
      <c r="C121" s="68" t="s">
        <v>227</v>
      </c>
      <c r="D121" s="69">
        <v>60</v>
      </c>
      <c r="E121" s="69">
        <v>800</v>
      </c>
      <c r="F121" s="69"/>
      <c r="G121" s="70"/>
      <c r="H121" s="68">
        <v>3</v>
      </c>
      <c r="I121" s="70">
        <v>2</v>
      </c>
      <c r="J121" s="70"/>
      <c r="K121" s="84">
        <f t="shared" si="20"/>
        <v>60</v>
      </c>
      <c r="L121" s="84">
        <f t="shared" si="21"/>
        <v>800</v>
      </c>
      <c r="M121" s="84" t="str">
        <f t="shared" si="22"/>
        <v/>
      </c>
      <c r="N121" s="84" t="str">
        <f t="shared" si="23"/>
        <v/>
      </c>
      <c r="P121">
        <f t="shared" si="35"/>
        <v>150302</v>
      </c>
      <c r="Q121">
        <f t="shared" si="32"/>
        <v>48</v>
      </c>
      <c r="R121" s="64" t="s">
        <v>301</v>
      </c>
      <c r="S121">
        <f t="shared" si="33"/>
        <v>640</v>
      </c>
      <c r="T121" s="64" t="s">
        <v>301</v>
      </c>
      <c r="U121">
        <f t="shared" si="36"/>
        <v>0</v>
      </c>
      <c r="V121">
        <f t="shared" si="24"/>
        <v>60</v>
      </c>
      <c r="W121">
        <f t="shared" si="25"/>
        <v>800</v>
      </c>
      <c r="X121" t="str">
        <f t="shared" si="26"/>
        <v/>
      </c>
      <c r="Z121" s="65" t="str">
        <f t="shared" si="34"/>
        <v>48,640</v>
      </c>
      <c r="AA121" s="8" t="s">
        <v>233</v>
      </c>
      <c r="AB121" t="str">
        <f t="shared" si="31"/>
        <v>60,800</v>
      </c>
      <c r="AF121" s="37" t="s">
        <v>54</v>
      </c>
    </row>
    <row r="122" ht="16.25" spans="1:32">
      <c r="A122" s="31">
        <v>201</v>
      </c>
      <c r="B122" s="92">
        <v>250402</v>
      </c>
      <c r="C122" s="68" t="s">
        <v>227</v>
      </c>
      <c r="D122" s="69">
        <v>60</v>
      </c>
      <c r="E122" s="69">
        <v>800</v>
      </c>
      <c r="F122" s="69"/>
      <c r="G122" s="70"/>
      <c r="H122" s="68">
        <v>3</v>
      </c>
      <c r="I122" s="70">
        <v>2</v>
      </c>
      <c r="J122" s="70"/>
      <c r="K122" s="84">
        <f t="shared" si="20"/>
        <v>60</v>
      </c>
      <c r="L122" s="84">
        <f t="shared" si="21"/>
        <v>800</v>
      </c>
      <c r="M122" s="84" t="str">
        <f t="shared" si="22"/>
        <v/>
      </c>
      <c r="N122" s="84" t="str">
        <f t="shared" si="23"/>
        <v/>
      </c>
      <c r="P122">
        <f t="shared" si="35"/>
        <v>150402</v>
      </c>
      <c r="Q122">
        <f t="shared" si="32"/>
        <v>48</v>
      </c>
      <c r="R122" s="64" t="s">
        <v>301</v>
      </c>
      <c r="S122">
        <f t="shared" si="33"/>
        <v>640</v>
      </c>
      <c r="T122" s="64" t="s">
        <v>301</v>
      </c>
      <c r="U122">
        <f t="shared" si="36"/>
        <v>0</v>
      </c>
      <c r="V122">
        <f t="shared" si="24"/>
        <v>60</v>
      </c>
      <c r="W122">
        <f t="shared" si="25"/>
        <v>800</v>
      </c>
      <c r="X122" t="str">
        <f t="shared" si="26"/>
        <v/>
      </c>
      <c r="Z122" s="65" t="str">
        <f t="shared" si="34"/>
        <v>48,640</v>
      </c>
      <c r="AA122" s="8" t="s">
        <v>233</v>
      </c>
      <c r="AB122" t="str">
        <f t="shared" si="31"/>
        <v>60,800</v>
      </c>
      <c r="AF122" s="37" t="s">
        <v>58</v>
      </c>
    </row>
    <row r="123" ht="16.25" spans="1:32">
      <c r="A123" s="31">
        <v>201</v>
      </c>
      <c r="B123" s="92">
        <v>250502</v>
      </c>
      <c r="C123" s="68" t="s">
        <v>227</v>
      </c>
      <c r="D123" s="69">
        <v>60</v>
      </c>
      <c r="E123" s="69">
        <v>800</v>
      </c>
      <c r="F123" s="69"/>
      <c r="G123" s="70"/>
      <c r="H123" s="68">
        <v>3</v>
      </c>
      <c r="I123" s="70">
        <v>2</v>
      </c>
      <c r="J123" s="70"/>
      <c r="K123" s="84">
        <f t="shared" si="20"/>
        <v>60</v>
      </c>
      <c r="L123" s="84">
        <f t="shared" si="21"/>
        <v>800</v>
      </c>
      <c r="M123" s="84" t="str">
        <f t="shared" si="22"/>
        <v/>
      </c>
      <c r="N123" s="84" t="str">
        <f t="shared" si="23"/>
        <v/>
      </c>
      <c r="P123">
        <f t="shared" si="35"/>
        <v>150502</v>
      </c>
      <c r="Q123">
        <f t="shared" si="32"/>
        <v>48</v>
      </c>
      <c r="R123" s="64" t="s">
        <v>301</v>
      </c>
      <c r="S123">
        <f t="shared" si="33"/>
        <v>640</v>
      </c>
      <c r="T123" s="64" t="s">
        <v>301</v>
      </c>
      <c r="U123">
        <f t="shared" si="36"/>
        <v>0</v>
      </c>
      <c r="V123">
        <f t="shared" si="24"/>
        <v>60</v>
      </c>
      <c r="W123">
        <f t="shared" si="25"/>
        <v>800</v>
      </c>
      <c r="X123" t="str">
        <f t="shared" si="26"/>
        <v/>
      </c>
      <c r="Z123" s="65" t="str">
        <f t="shared" si="34"/>
        <v>48,640</v>
      </c>
      <c r="AA123" s="8" t="s">
        <v>233</v>
      </c>
      <c r="AB123" t="str">
        <f t="shared" si="31"/>
        <v>60,800</v>
      </c>
      <c r="AF123" s="37" t="s">
        <v>62</v>
      </c>
    </row>
    <row r="124" ht="16.25" spans="1:32">
      <c r="A124" s="31">
        <v>201</v>
      </c>
      <c r="B124" s="92">
        <v>250602</v>
      </c>
      <c r="C124" s="68" t="s">
        <v>227</v>
      </c>
      <c r="D124" s="69">
        <v>60</v>
      </c>
      <c r="E124" s="69">
        <v>800</v>
      </c>
      <c r="F124" s="69"/>
      <c r="G124" s="70"/>
      <c r="H124" s="68">
        <v>3</v>
      </c>
      <c r="I124" s="70">
        <v>2</v>
      </c>
      <c r="J124" s="70"/>
      <c r="K124" s="84">
        <f t="shared" si="20"/>
        <v>60</v>
      </c>
      <c r="L124" s="84">
        <f t="shared" si="21"/>
        <v>800</v>
      </c>
      <c r="M124" s="84" t="str">
        <f t="shared" si="22"/>
        <v/>
      </c>
      <c r="N124" s="84" t="str">
        <f t="shared" si="23"/>
        <v/>
      </c>
      <c r="P124">
        <f t="shared" si="35"/>
        <v>150602</v>
      </c>
      <c r="Q124">
        <f t="shared" si="32"/>
        <v>48</v>
      </c>
      <c r="R124" s="64" t="s">
        <v>301</v>
      </c>
      <c r="S124">
        <f t="shared" si="33"/>
        <v>640</v>
      </c>
      <c r="T124" s="64" t="s">
        <v>301</v>
      </c>
      <c r="U124">
        <f t="shared" si="36"/>
        <v>0</v>
      </c>
      <c r="V124">
        <f t="shared" si="24"/>
        <v>60</v>
      </c>
      <c r="W124">
        <f t="shared" si="25"/>
        <v>800</v>
      </c>
      <c r="X124" t="str">
        <f t="shared" si="26"/>
        <v/>
      </c>
      <c r="Z124" s="65" t="str">
        <f t="shared" si="34"/>
        <v>48,640</v>
      </c>
      <c r="AA124" s="8" t="s">
        <v>233</v>
      </c>
      <c r="AB124" t="str">
        <f t="shared" si="31"/>
        <v>60,800</v>
      </c>
      <c r="AF124" s="37" t="s">
        <v>66</v>
      </c>
    </row>
    <row r="125" ht="16.25" spans="1:32">
      <c r="A125" s="31">
        <v>201</v>
      </c>
      <c r="B125" s="92">
        <v>250702</v>
      </c>
      <c r="C125" s="68" t="s">
        <v>227</v>
      </c>
      <c r="D125" s="69">
        <v>60</v>
      </c>
      <c r="E125" s="69">
        <v>800</v>
      </c>
      <c r="F125" s="69"/>
      <c r="G125" s="70"/>
      <c r="H125" s="68">
        <v>3</v>
      </c>
      <c r="I125" s="70">
        <v>2</v>
      </c>
      <c r="J125" s="70"/>
      <c r="K125" s="84">
        <f t="shared" si="20"/>
        <v>60</v>
      </c>
      <c r="L125" s="84">
        <f t="shared" si="21"/>
        <v>800</v>
      </c>
      <c r="M125" s="84" t="str">
        <f t="shared" si="22"/>
        <v/>
      </c>
      <c r="N125" s="84" t="str">
        <f t="shared" si="23"/>
        <v/>
      </c>
      <c r="P125">
        <f t="shared" si="35"/>
        <v>150702</v>
      </c>
      <c r="Q125">
        <f t="shared" si="32"/>
        <v>48</v>
      </c>
      <c r="R125" s="64" t="s">
        <v>301</v>
      </c>
      <c r="S125">
        <f t="shared" si="33"/>
        <v>640</v>
      </c>
      <c r="T125" s="64" t="s">
        <v>301</v>
      </c>
      <c r="U125">
        <f t="shared" si="36"/>
        <v>0</v>
      </c>
      <c r="V125">
        <f t="shared" si="24"/>
        <v>60</v>
      </c>
      <c r="W125">
        <f t="shared" si="25"/>
        <v>800</v>
      </c>
      <c r="X125" t="str">
        <f t="shared" si="26"/>
        <v/>
      </c>
      <c r="Z125" s="65" t="str">
        <f t="shared" si="34"/>
        <v>48,640</v>
      </c>
      <c r="AA125" s="8" t="s">
        <v>233</v>
      </c>
      <c r="AB125" t="str">
        <f t="shared" si="31"/>
        <v>60,800</v>
      </c>
      <c r="AF125" s="37" t="s">
        <v>70</v>
      </c>
    </row>
    <row r="126" ht="16.25" spans="1:32">
      <c r="A126" s="31">
        <v>201</v>
      </c>
      <c r="B126" s="92">
        <v>250802</v>
      </c>
      <c r="C126" s="68" t="s">
        <v>227</v>
      </c>
      <c r="D126" s="69">
        <v>60</v>
      </c>
      <c r="E126" s="69">
        <v>800</v>
      </c>
      <c r="F126" s="69"/>
      <c r="G126" s="70"/>
      <c r="H126" s="68">
        <v>3</v>
      </c>
      <c r="I126" s="70">
        <v>2</v>
      </c>
      <c r="J126" s="70"/>
      <c r="K126" s="84">
        <f t="shared" si="20"/>
        <v>60</v>
      </c>
      <c r="L126" s="84">
        <f t="shared" si="21"/>
        <v>800</v>
      </c>
      <c r="M126" s="84" t="str">
        <f t="shared" si="22"/>
        <v/>
      </c>
      <c r="N126" s="84" t="str">
        <f t="shared" si="23"/>
        <v/>
      </c>
      <c r="P126">
        <f t="shared" si="35"/>
        <v>150802</v>
      </c>
      <c r="Q126">
        <f t="shared" si="32"/>
        <v>48</v>
      </c>
      <c r="R126" s="64" t="s">
        <v>301</v>
      </c>
      <c r="S126">
        <f t="shared" si="33"/>
        <v>640</v>
      </c>
      <c r="T126" s="64" t="s">
        <v>301</v>
      </c>
      <c r="U126">
        <f t="shared" si="36"/>
        <v>0</v>
      </c>
      <c r="V126">
        <f t="shared" si="24"/>
        <v>60</v>
      </c>
      <c r="W126">
        <f t="shared" si="25"/>
        <v>800</v>
      </c>
      <c r="X126" t="str">
        <f t="shared" si="26"/>
        <v/>
      </c>
      <c r="Z126" s="65" t="str">
        <f t="shared" si="34"/>
        <v>48,640</v>
      </c>
      <c r="AA126" s="8" t="s">
        <v>233</v>
      </c>
      <c r="AB126" t="str">
        <f t="shared" si="31"/>
        <v>60,800</v>
      </c>
      <c r="AF126" s="37" t="s">
        <v>74</v>
      </c>
    </row>
    <row r="127" ht="16.25" spans="1:32">
      <c r="A127" s="31">
        <v>201</v>
      </c>
      <c r="B127" s="92">
        <v>250902</v>
      </c>
      <c r="C127" s="68" t="s">
        <v>227</v>
      </c>
      <c r="D127" s="69">
        <v>60</v>
      </c>
      <c r="E127" s="69">
        <v>800</v>
      </c>
      <c r="F127" s="69"/>
      <c r="G127" s="70"/>
      <c r="H127" s="68">
        <v>3</v>
      </c>
      <c r="I127" s="70">
        <v>2</v>
      </c>
      <c r="J127" s="70"/>
      <c r="K127" s="84">
        <f t="shared" si="20"/>
        <v>60</v>
      </c>
      <c r="L127" s="84">
        <f t="shared" si="21"/>
        <v>800</v>
      </c>
      <c r="M127" s="84" t="str">
        <f t="shared" si="22"/>
        <v/>
      </c>
      <c r="N127" s="84" t="str">
        <f t="shared" si="23"/>
        <v/>
      </c>
      <c r="P127">
        <f t="shared" si="35"/>
        <v>150902</v>
      </c>
      <c r="Q127">
        <f t="shared" si="32"/>
        <v>48</v>
      </c>
      <c r="R127" s="64" t="s">
        <v>301</v>
      </c>
      <c r="S127">
        <f t="shared" si="33"/>
        <v>640</v>
      </c>
      <c r="T127" s="64" t="s">
        <v>301</v>
      </c>
      <c r="U127">
        <f t="shared" si="36"/>
        <v>0</v>
      </c>
      <c r="V127">
        <f t="shared" si="24"/>
        <v>60</v>
      </c>
      <c r="W127">
        <f t="shared" si="25"/>
        <v>800</v>
      </c>
      <c r="X127" t="str">
        <f t="shared" si="26"/>
        <v/>
      </c>
      <c r="Z127" s="65" t="str">
        <f t="shared" si="34"/>
        <v>48,640</v>
      </c>
      <c r="AA127" s="8" t="s">
        <v>233</v>
      </c>
      <c r="AB127" t="str">
        <f t="shared" si="31"/>
        <v>60,800</v>
      </c>
      <c r="AF127" s="37" t="s">
        <v>78</v>
      </c>
    </row>
    <row r="128" ht="16.25" spans="1:32">
      <c r="A128" s="31">
        <v>201</v>
      </c>
      <c r="B128" s="92">
        <v>260102</v>
      </c>
      <c r="C128" s="68" t="s">
        <v>227</v>
      </c>
      <c r="D128" s="69">
        <v>100</v>
      </c>
      <c r="E128" s="69">
        <v>1333</v>
      </c>
      <c r="F128" s="69"/>
      <c r="G128" s="70"/>
      <c r="H128" s="68">
        <v>3</v>
      </c>
      <c r="I128" s="70">
        <v>2</v>
      </c>
      <c r="J128" s="70"/>
      <c r="K128" s="84">
        <f t="shared" si="20"/>
        <v>100</v>
      </c>
      <c r="L128" s="84">
        <f t="shared" si="21"/>
        <v>1333</v>
      </c>
      <c r="M128" s="84" t="str">
        <f t="shared" si="22"/>
        <v/>
      </c>
      <c r="N128" s="84" t="str">
        <f t="shared" si="23"/>
        <v/>
      </c>
      <c r="P128">
        <f t="shared" si="35"/>
        <v>160102</v>
      </c>
      <c r="Q128">
        <f t="shared" si="32"/>
        <v>80</v>
      </c>
      <c r="R128" s="64" t="s">
        <v>301</v>
      </c>
      <c r="S128">
        <f t="shared" si="33"/>
        <v>1066</v>
      </c>
      <c r="T128" s="64" t="s">
        <v>301</v>
      </c>
      <c r="U128">
        <f t="shared" si="36"/>
        <v>0</v>
      </c>
      <c r="V128">
        <f t="shared" si="24"/>
        <v>100</v>
      </c>
      <c r="W128">
        <f t="shared" si="25"/>
        <v>1335</v>
      </c>
      <c r="X128" t="str">
        <f t="shared" si="26"/>
        <v/>
      </c>
      <c r="Z128" s="65" t="str">
        <f t="shared" si="34"/>
        <v>80,1066</v>
      </c>
      <c r="AA128" s="8" t="s">
        <v>234</v>
      </c>
      <c r="AB128" t="str">
        <f t="shared" si="31"/>
        <v>100,1335</v>
      </c>
      <c r="AF128" s="37" t="s">
        <v>82</v>
      </c>
    </row>
    <row r="129" ht="16.25" spans="1:32">
      <c r="A129" s="31">
        <v>201</v>
      </c>
      <c r="B129" s="92">
        <v>260202</v>
      </c>
      <c r="C129" s="68" t="s">
        <v>227</v>
      </c>
      <c r="D129" s="69">
        <v>100</v>
      </c>
      <c r="E129" s="69">
        <v>1333</v>
      </c>
      <c r="F129" s="69"/>
      <c r="G129" s="70"/>
      <c r="H129" s="68">
        <v>3</v>
      </c>
      <c r="I129" s="70">
        <v>2</v>
      </c>
      <c r="J129" s="70"/>
      <c r="K129" s="84">
        <f t="shared" si="20"/>
        <v>100</v>
      </c>
      <c r="L129" s="84">
        <f t="shared" si="21"/>
        <v>1333</v>
      </c>
      <c r="M129" s="84" t="str">
        <f t="shared" si="22"/>
        <v/>
      </c>
      <c r="N129" s="84" t="str">
        <f t="shared" si="23"/>
        <v/>
      </c>
      <c r="P129">
        <f t="shared" si="35"/>
        <v>160202</v>
      </c>
      <c r="Q129">
        <f t="shared" si="32"/>
        <v>80</v>
      </c>
      <c r="R129" s="64" t="s">
        <v>301</v>
      </c>
      <c r="S129">
        <f t="shared" si="33"/>
        <v>1066</v>
      </c>
      <c r="T129" s="64" t="s">
        <v>301</v>
      </c>
      <c r="U129">
        <f t="shared" si="36"/>
        <v>0</v>
      </c>
      <c r="V129">
        <f t="shared" si="24"/>
        <v>100</v>
      </c>
      <c r="W129">
        <f t="shared" si="25"/>
        <v>1335</v>
      </c>
      <c r="X129" t="str">
        <f t="shared" si="26"/>
        <v/>
      </c>
      <c r="Z129" s="65" t="str">
        <f t="shared" si="34"/>
        <v>80,1066</v>
      </c>
      <c r="AA129" s="8" t="s">
        <v>234</v>
      </c>
      <c r="AB129" t="str">
        <f t="shared" si="31"/>
        <v>100,1335</v>
      </c>
      <c r="AF129" s="37" t="s">
        <v>86</v>
      </c>
    </row>
    <row r="130" ht="16.25" spans="1:32">
      <c r="A130" s="31">
        <v>201</v>
      </c>
      <c r="B130" s="92">
        <v>260302</v>
      </c>
      <c r="C130" s="68" t="s">
        <v>227</v>
      </c>
      <c r="D130" s="69">
        <v>100</v>
      </c>
      <c r="E130" s="69">
        <v>1333</v>
      </c>
      <c r="F130" s="69"/>
      <c r="G130" s="70"/>
      <c r="H130" s="68">
        <v>3</v>
      </c>
      <c r="I130" s="70">
        <v>2</v>
      </c>
      <c r="J130" s="70"/>
      <c r="K130" s="84">
        <f t="shared" ref="K130:K193" si="37">IF(D130="","",IF(OR(RIGHT($A130,1)="1",RIGHT($A130,1)="2"),D130,IF(H130=4,D130*2,D130*6)))</f>
        <v>100</v>
      </c>
      <c r="L130" s="84">
        <f t="shared" ref="L130:L193" si="38">IF(E130="","",IF(OR(RIGHT($A130,1)="1",RIGHT($A130,1)="2"),E130,IF(I130=4,E130*2,E130*6)))</f>
        <v>1333</v>
      </c>
      <c r="M130" s="84" t="str">
        <f t="shared" ref="M130:M193" si="39">IF(F130="","",IF(OR(RIGHT($A130,1)="1",RIGHT($A130,1)="2"),F130,IF(J130=4,F130*2,F130*6)))</f>
        <v/>
      </c>
      <c r="N130" s="84" t="str">
        <f t="shared" ref="N130:N193" si="40">IF(G130="","",IF(OR(RIGHT($A130,1)="1",RIGHT($A130,1)="2"),G130,IF(J130=4,G130*2,G130*6)))</f>
        <v/>
      </c>
      <c r="P130">
        <f t="shared" si="35"/>
        <v>160302</v>
      </c>
      <c r="Q130">
        <f t="shared" si="32"/>
        <v>80</v>
      </c>
      <c r="R130" s="64" t="s">
        <v>301</v>
      </c>
      <c r="S130">
        <f t="shared" si="33"/>
        <v>1066</v>
      </c>
      <c r="T130" s="64" t="s">
        <v>301</v>
      </c>
      <c r="U130">
        <f t="shared" si="36"/>
        <v>0</v>
      </c>
      <c r="V130">
        <f t="shared" si="24"/>
        <v>100</v>
      </c>
      <c r="W130">
        <f t="shared" si="25"/>
        <v>1335</v>
      </c>
      <c r="X130" t="str">
        <f t="shared" si="26"/>
        <v/>
      </c>
      <c r="Z130" s="65" t="str">
        <f t="shared" si="34"/>
        <v>80,1066</v>
      </c>
      <c r="AA130" s="8" t="s">
        <v>234</v>
      </c>
      <c r="AB130" t="str">
        <f t="shared" si="31"/>
        <v>100,1335</v>
      </c>
      <c r="AF130" s="37" t="s">
        <v>90</v>
      </c>
    </row>
    <row r="131" ht="16.25" spans="1:32">
      <c r="A131" s="31">
        <v>201</v>
      </c>
      <c r="B131" s="92">
        <v>260402</v>
      </c>
      <c r="C131" s="68" t="s">
        <v>227</v>
      </c>
      <c r="D131" s="69">
        <v>100</v>
      </c>
      <c r="E131" s="69">
        <v>1333</v>
      </c>
      <c r="F131" s="69"/>
      <c r="G131" s="70"/>
      <c r="H131" s="68">
        <v>3</v>
      </c>
      <c r="I131" s="70">
        <v>2</v>
      </c>
      <c r="J131" s="70"/>
      <c r="K131" s="84">
        <f t="shared" si="37"/>
        <v>100</v>
      </c>
      <c r="L131" s="84">
        <f t="shared" si="38"/>
        <v>1333</v>
      </c>
      <c r="M131" s="84" t="str">
        <f t="shared" si="39"/>
        <v/>
      </c>
      <c r="N131" s="84" t="str">
        <f t="shared" si="40"/>
        <v/>
      </c>
      <c r="P131">
        <f t="shared" si="35"/>
        <v>160402</v>
      </c>
      <c r="Q131">
        <f t="shared" si="32"/>
        <v>80</v>
      </c>
      <c r="R131" s="64" t="s">
        <v>301</v>
      </c>
      <c r="S131">
        <f t="shared" si="33"/>
        <v>1066</v>
      </c>
      <c r="T131" s="64" t="s">
        <v>301</v>
      </c>
      <c r="U131">
        <f t="shared" si="36"/>
        <v>0</v>
      </c>
      <c r="V131">
        <f t="shared" ref="V131:V194" si="41">IF(K131="","",IF(K131&lt;1,ROUND(K131,4),CEILING(K131,5)))</f>
        <v>100</v>
      </c>
      <c r="W131">
        <f t="shared" ref="W131:W194" si="42">IF(L131="","",IF(L131&lt;1,ROUND(L131,4),CEILING(L131,5)))</f>
        <v>1335</v>
      </c>
      <c r="X131" t="str">
        <f t="shared" ref="X131:X194" si="43">IF(M131="","",IF(M131&lt;1,ROUND(M131,4),CEILING(M131,5)))</f>
        <v/>
      </c>
      <c r="Z131" s="65" t="str">
        <f t="shared" si="34"/>
        <v>80,1066</v>
      </c>
      <c r="AA131" s="8" t="s">
        <v>234</v>
      </c>
      <c r="AB131" t="str">
        <f t="shared" si="31"/>
        <v>100,1335</v>
      </c>
      <c r="AF131" s="37" t="s">
        <v>94</v>
      </c>
    </row>
    <row r="132" ht="16.25" spans="1:32">
      <c r="A132" s="31">
        <v>201</v>
      </c>
      <c r="B132" s="92">
        <v>260502</v>
      </c>
      <c r="C132" s="68" t="s">
        <v>227</v>
      </c>
      <c r="D132" s="69">
        <v>100</v>
      </c>
      <c r="E132" s="69">
        <v>1333</v>
      </c>
      <c r="F132" s="69"/>
      <c r="G132" s="70"/>
      <c r="H132" s="68">
        <v>3</v>
      </c>
      <c r="I132" s="70">
        <v>2</v>
      </c>
      <c r="J132" s="70"/>
      <c r="K132" s="84">
        <f t="shared" si="37"/>
        <v>100</v>
      </c>
      <c r="L132" s="84">
        <f t="shared" si="38"/>
        <v>1333</v>
      </c>
      <c r="M132" s="84" t="str">
        <f t="shared" si="39"/>
        <v/>
      </c>
      <c r="N132" s="84" t="str">
        <f t="shared" si="40"/>
        <v/>
      </c>
      <c r="P132">
        <f t="shared" si="35"/>
        <v>160502</v>
      </c>
      <c r="Q132">
        <f t="shared" si="32"/>
        <v>80</v>
      </c>
      <c r="R132" s="64" t="s">
        <v>301</v>
      </c>
      <c r="S132">
        <f t="shared" si="33"/>
        <v>1066</v>
      </c>
      <c r="T132" s="64" t="s">
        <v>301</v>
      </c>
      <c r="U132">
        <f t="shared" si="36"/>
        <v>0</v>
      </c>
      <c r="V132">
        <f t="shared" si="41"/>
        <v>100</v>
      </c>
      <c r="W132">
        <f t="shared" si="42"/>
        <v>1335</v>
      </c>
      <c r="X132" t="str">
        <f t="shared" si="43"/>
        <v/>
      </c>
      <c r="Z132" s="65" t="str">
        <f t="shared" si="34"/>
        <v>80,1066</v>
      </c>
      <c r="AA132" s="8" t="s">
        <v>234</v>
      </c>
      <c r="AB132" t="str">
        <f t="shared" si="31"/>
        <v>100,1335</v>
      </c>
      <c r="AF132" s="37" t="s">
        <v>98</v>
      </c>
    </row>
    <row r="133" ht="16.25" spans="1:32">
      <c r="A133" s="31">
        <v>201</v>
      </c>
      <c r="B133" s="92">
        <v>260602</v>
      </c>
      <c r="C133" s="68" t="s">
        <v>227</v>
      </c>
      <c r="D133" s="69">
        <v>100</v>
      </c>
      <c r="E133" s="69">
        <v>1333</v>
      </c>
      <c r="F133" s="69"/>
      <c r="G133" s="70"/>
      <c r="H133" s="68">
        <v>3</v>
      </c>
      <c r="I133" s="70">
        <v>2</v>
      </c>
      <c r="J133" s="70"/>
      <c r="K133" s="84">
        <f t="shared" si="37"/>
        <v>100</v>
      </c>
      <c r="L133" s="84">
        <f t="shared" si="38"/>
        <v>1333</v>
      </c>
      <c r="M133" s="84" t="str">
        <f t="shared" si="39"/>
        <v/>
      </c>
      <c r="N133" s="84" t="str">
        <f t="shared" si="40"/>
        <v/>
      </c>
      <c r="P133">
        <f t="shared" si="35"/>
        <v>160602</v>
      </c>
      <c r="Q133">
        <f t="shared" si="32"/>
        <v>80</v>
      </c>
      <c r="R133" s="64" t="s">
        <v>301</v>
      </c>
      <c r="S133">
        <f t="shared" si="33"/>
        <v>1066</v>
      </c>
      <c r="T133" s="64" t="s">
        <v>301</v>
      </c>
      <c r="U133">
        <f t="shared" si="36"/>
        <v>0</v>
      </c>
      <c r="V133">
        <f t="shared" si="41"/>
        <v>100</v>
      </c>
      <c r="W133">
        <f t="shared" si="42"/>
        <v>1335</v>
      </c>
      <c r="X133" t="str">
        <f t="shared" si="43"/>
        <v/>
      </c>
      <c r="Z133" s="65" t="str">
        <f t="shared" si="34"/>
        <v>80,1066</v>
      </c>
      <c r="AA133" s="8" t="s">
        <v>234</v>
      </c>
      <c r="AB133" t="str">
        <f t="shared" si="31"/>
        <v>100,1335</v>
      </c>
      <c r="AF133" s="37" t="s">
        <v>102</v>
      </c>
    </row>
    <row r="134" ht="16.25" spans="1:32">
      <c r="A134" s="31">
        <v>201</v>
      </c>
      <c r="B134" s="92">
        <v>260702</v>
      </c>
      <c r="C134" s="68" t="s">
        <v>227</v>
      </c>
      <c r="D134" s="69">
        <v>100</v>
      </c>
      <c r="E134" s="69">
        <v>1333</v>
      </c>
      <c r="F134" s="69"/>
      <c r="G134" s="70"/>
      <c r="H134" s="68">
        <v>3</v>
      </c>
      <c r="I134" s="70">
        <v>2</v>
      </c>
      <c r="J134" s="70"/>
      <c r="K134" s="84">
        <f t="shared" si="37"/>
        <v>100</v>
      </c>
      <c r="L134" s="84">
        <f t="shared" si="38"/>
        <v>1333</v>
      </c>
      <c r="M134" s="84" t="str">
        <f t="shared" si="39"/>
        <v/>
      </c>
      <c r="N134" s="84" t="str">
        <f t="shared" si="40"/>
        <v/>
      </c>
      <c r="P134">
        <f t="shared" si="35"/>
        <v>160702</v>
      </c>
      <c r="Q134">
        <f t="shared" si="32"/>
        <v>80</v>
      </c>
      <c r="R134" s="64" t="s">
        <v>301</v>
      </c>
      <c r="S134">
        <f t="shared" si="33"/>
        <v>1066</v>
      </c>
      <c r="T134" s="64" t="s">
        <v>301</v>
      </c>
      <c r="U134">
        <f t="shared" si="36"/>
        <v>0</v>
      </c>
      <c r="V134">
        <f t="shared" si="41"/>
        <v>100</v>
      </c>
      <c r="W134">
        <f t="shared" si="42"/>
        <v>1335</v>
      </c>
      <c r="X134" t="str">
        <f t="shared" si="43"/>
        <v/>
      </c>
      <c r="Z134" s="65" t="str">
        <f t="shared" si="34"/>
        <v>80,1066</v>
      </c>
      <c r="AA134" s="8" t="s">
        <v>234</v>
      </c>
      <c r="AB134" t="str">
        <f t="shared" si="31"/>
        <v>100,1335</v>
      </c>
      <c r="AF134" s="37" t="s">
        <v>106</v>
      </c>
    </row>
    <row r="135" ht="16.25" spans="1:32">
      <c r="A135" s="31">
        <v>201</v>
      </c>
      <c r="B135" s="92">
        <v>260802</v>
      </c>
      <c r="C135" s="68" t="s">
        <v>227</v>
      </c>
      <c r="D135" s="69">
        <v>100</v>
      </c>
      <c r="E135" s="69">
        <v>1333</v>
      </c>
      <c r="F135" s="69"/>
      <c r="G135" s="70"/>
      <c r="H135" s="68">
        <v>3</v>
      </c>
      <c r="I135" s="70">
        <v>2</v>
      </c>
      <c r="J135" s="70"/>
      <c r="K135" s="84">
        <f t="shared" si="37"/>
        <v>100</v>
      </c>
      <c r="L135" s="84">
        <f t="shared" si="38"/>
        <v>1333</v>
      </c>
      <c r="M135" s="84" t="str">
        <f t="shared" si="39"/>
        <v/>
      </c>
      <c r="N135" s="84" t="str">
        <f t="shared" si="40"/>
        <v/>
      </c>
      <c r="P135">
        <f t="shared" si="35"/>
        <v>160802</v>
      </c>
      <c r="Q135">
        <f t="shared" si="32"/>
        <v>80</v>
      </c>
      <c r="R135" s="64" t="s">
        <v>301</v>
      </c>
      <c r="S135">
        <f t="shared" si="33"/>
        <v>1066</v>
      </c>
      <c r="T135" s="64" t="s">
        <v>301</v>
      </c>
      <c r="U135">
        <f t="shared" si="36"/>
        <v>0</v>
      </c>
      <c r="V135">
        <f t="shared" si="41"/>
        <v>100</v>
      </c>
      <c r="W135">
        <f t="shared" si="42"/>
        <v>1335</v>
      </c>
      <c r="X135" t="str">
        <f t="shared" si="43"/>
        <v/>
      </c>
      <c r="Z135" s="65" t="str">
        <f t="shared" si="34"/>
        <v>80,1066</v>
      </c>
      <c r="AA135" s="8" t="s">
        <v>234</v>
      </c>
      <c r="AB135" t="str">
        <f t="shared" si="31"/>
        <v>100,1335</v>
      </c>
      <c r="AF135" s="37" t="s">
        <v>110</v>
      </c>
    </row>
    <row r="136" ht="16.25" spans="1:32">
      <c r="A136" s="31">
        <v>201</v>
      </c>
      <c r="B136" s="92">
        <v>260902</v>
      </c>
      <c r="C136" s="68" t="s">
        <v>227</v>
      </c>
      <c r="D136" s="69">
        <v>100</v>
      </c>
      <c r="E136" s="69">
        <v>1333</v>
      </c>
      <c r="F136" s="69"/>
      <c r="G136" s="70"/>
      <c r="H136" s="68">
        <v>3</v>
      </c>
      <c r="I136" s="70">
        <v>2</v>
      </c>
      <c r="J136" s="70"/>
      <c r="K136" s="84">
        <f t="shared" si="37"/>
        <v>100</v>
      </c>
      <c r="L136" s="84">
        <f t="shared" si="38"/>
        <v>1333</v>
      </c>
      <c r="M136" s="84" t="str">
        <f t="shared" si="39"/>
        <v/>
      </c>
      <c r="N136" s="84" t="str">
        <f t="shared" si="40"/>
        <v/>
      </c>
      <c r="P136">
        <f t="shared" si="35"/>
        <v>160902</v>
      </c>
      <c r="Q136">
        <f t="shared" si="32"/>
        <v>80</v>
      </c>
      <c r="R136" s="64" t="s">
        <v>301</v>
      </c>
      <c r="S136">
        <f t="shared" si="33"/>
        <v>1066</v>
      </c>
      <c r="T136" s="64" t="s">
        <v>301</v>
      </c>
      <c r="U136">
        <f t="shared" si="36"/>
        <v>0</v>
      </c>
      <c r="V136">
        <f t="shared" si="41"/>
        <v>100</v>
      </c>
      <c r="W136">
        <f t="shared" si="42"/>
        <v>1335</v>
      </c>
      <c r="X136" t="str">
        <f t="shared" si="43"/>
        <v/>
      </c>
      <c r="Z136" s="65" t="str">
        <f t="shared" si="34"/>
        <v>80,1066</v>
      </c>
      <c r="AA136" s="8" t="s">
        <v>234</v>
      </c>
      <c r="AB136" t="str">
        <f t="shared" si="31"/>
        <v>100,1335</v>
      </c>
      <c r="AF136" s="37" t="s">
        <v>114</v>
      </c>
    </row>
    <row r="137" ht="16.25" spans="1:32">
      <c r="A137" s="31">
        <v>202</v>
      </c>
      <c r="B137" s="92">
        <v>240002</v>
      </c>
      <c r="C137" s="68" t="s">
        <v>227</v>
      </c>
      <c r="D137" s="69">
        <v>44</v>
      </c>
      <c r="E137" s="69">
        <v>589</v>
      </c>
      <c r="F137" s="69"/>
      <c r="G137" s="70"/>
      <c r="H137" s="68">
        <v>3</v>
      </c>
      <c r="I137" s="70">
        <v>2</v>
      </c>
      <c r="J137" s="70"/>
      <c r="K137" s="84">
        <f t="shared" si="37"/>
        <v>44</v>
      </c>
      <c r="L137" s="84">
        <f t="shared" si="38"/>
        <v>589</v>
      </c>
      <c r="M137" s="84" t="str">
        <f t="shared" si="39"/>
        <v/>
      </c>
      <c r="N137" s="84" t="str">
        <f t="shared" si="40"/>
        <v/>
      </c>
      <c r="P137">
        <f t="shared" si="35"/>
        <v>140002</v>
      </c>
      <c r="Q137">
        <f t="shared" ref="Q137:Q157" si="44">ROUND(D137*0.8,0)</f>
        <v>35</v>
      </c>
      <c r="R137" s="64" t="s">
        <v>301</v>
      </c>
      <c r="S137">
        <f>ROUND(E137*$Q$1,0)</f>
        <v>471</v>
      </c>
      <c r="T137" s="64" t="s">
        <v>301</v>
      </c>
      <c r="U137">
        <f t="shared" si="36"/>
        <v>0</v>
      </c>
      <c r="V137">
        <f t="shared" si="41"/>
        <v>45</v>
      </c>
      <c r="W137">
        <f t="shared" si="42"/>
        <v>590</v>
      </c>
      <c r="X137" t="str">
        <f t="shared" si="43"/>
        <v/>
      </c>
      <c r="Z137" s="65" t="str">
        <f t="shared" si="34"/>
        <v>35,471</v>
      </c>
      <c r="AA137" s="8" t="s">
        <v>235</v>
      </c>
      <c r="AB137" t="str">
        <f t="shared" si="31"/>
        <v>45,590</v>
      </c>
      <c r="AF137" s="37" t="s">
        <v>34</v>
      </c>
    </row>
    <row r="138" ht="16.25" spans="1:32">
      <c r="A138" s="31">
        <v>202</v>
      </c>
      <c r="B138" s="92">
        <v>240102</v>
      </c>
      <c r="C138" s="68" t="s">
        <v>227</v>
      </c>
      <c r="D138" s="69">
        <v>35</v>
      </c>
      <c r="E138" s="69">
        <v>471</v>
      </c>
      <c r="F138" s="69"/>
      <c r="G138" s="70"/>
      <c r="H138" s="68">
        <v>3</v>
      </c>
      <c r="I138" s="70">
        <v>2</v>
      </c>
      <c r="J138" s="70"/>
      <c r="K138" s="84">
        <f t="shared" si="37"/>
        <v>35</v>
      </c>
      <c r="L138" s="84">
        <f t="shared" si="38"/>
        <v>471</v>
      </c>
      <c r="M138" s="84" t="str">
        <f t="shared" si="39"/>
        <v/>
      </c>
      <c r="N138" s="84" t="str">
        <f t="shared" si="40"/>
        <v/>
      </c>
      <c r="P138">
        <f t="shared" si="35"/>
        <v>140102</v>
      </c>
      <c r="Q138">
        <f t="shared" si="44"/>
        <v>28</v>
      </c>
      <c r="R138" s="64" t="s">
        <v>301</v>
      </c>
      <c r="S138">
        <f t="shared" ref="S138:S157" si="45">ROUND(E138*$Q$1,0)</f>
        <v>377</v>
      </c>
      <c r="T138" s="64" t="s">
        <v>301</v>
      </c>
      <c r="U138">
        <f t="shared" si="36"/>
        <v>0</v>
      </c>
      <c r="V138">
        <f t="shared" si="41"/>
        <v>35</v>
      </c>
      <c r="W138">
        <f t="shared" si="42"/>
        <v>475</v>
      </c>
      <c r="X138" t="str">
        <f t="shared" si="43"/>
        <v/>
      </c>
      <c r="Z138" s="65" t="str">
        <f t="shared" si="34"/>
        <v>28,377</v>
      </c>
      <c r="AA138" s="8" t="s">
        <v>236</v>
      </c>
      <c r="AB138" t="str">
        <f t="shared" si="31"/>
        <v>35,475</v>
      </c>
      <c r="AF138" s="37" t="s">
        <v>38</v>
      </c>
    </row>
    <row r="139" ht="16.25" spans="1:32">
      <c r="A139" s="31">
        <v>202</v>
      </c>
      <c r="B139" s="92">
        <v>240202</v>
      </c>
      <c r="C139" s="68" t="s">
        <v>227</v>
      </c>
      <c r="D139" s="69">
        <v>55</v>
      </c>
      <c r="E139" s="69">
        <v>736</v>
      </c>
      <c r="F139" s="69"/>
      <c r="G139" s="70"/>
      <c r="H139" s="68">
        <v>3</v>
      </c>
      <c r="I139" s="70">
        <v>2</v>
      </c>
      <c r="J139" s="70"/>
      <c r="K139" s="84">
        <f t="shared" si="37"/>
        <v>55</v>
      </c>
      <c r="L139" s="84">
        <f t="shared" si="38"/>
        <v>736</v>
      </c>
      <c r="M139" s="84" t="str">
        <f t="shared" si="39"/>
        <v/>
      </c>
      <c r="N139" s="84" t="str">
        <f t="shared" si="40"/>
        <v/>
      </c>
      <c r="P139">
        <f t="shared" si="35"/>
        <v>140202</v>
      </c>
      <c r="Q139">
        <f t="shared" si="44"/>
        <v>44</v>
      </c>
      <c r="R139" s="64" t="s">
        <v>301</v>
      </c>
      <c r="S139">
        <f t="shared" si="45"/>
        <v>589</v>
      </c>
      <c r="T139" s="64" t="s">
        <v>301</v>
      </c>
      <c r="U139">
        <f t="shared" si="36"/>
        <v>0</v>
      </c>
      <c r="V139">
        <f t="shared" si="41"/>
        <v>55</v>
      </c>
      <c r="W139">
        <f t="shared" si="42"/>
        <v>740</v>
      </c>
      <c r="X139" t="str">
        <f t="shared" si="43"/>
        <v/>
      </c>
      <c r="Z139" s="65" t="str">
        <f t="shared" si="34"/>
        <v>44,589</v>
      </c>
      <c r="AA139" s="8" t="s">
        <v>237</v>
      </c>
      <c r="AB139" t="str">
        <f t="shared" si="31"/>
        <v>55,740</v>
      </c>
      <c r="AF139" s="37" t="s">
        <v>42</v>
      </c>
    </row>
    <row r="140" ht="16.25" spans="1:32">
      <c r="A140" s="31">
        <v>202</v>
      </c>
      <c r="B140" s="92">
        <v>250102</v>
      </c>
      <c r="C140" s="68" t="s">
        <v>227</v>
      </c>
      <c r="D140" s="69">
        <v>91</v>
      </c>
      <c r="E140" s="69">
        <v>1213</v>
      </c>
      <c r="F140" s="69"/>
      <c r="G140" s="70"/>
      <c r="H140" s="68">
        <v>3</v>
      </c>
      <c r="I140" s="70">
        <v>2</v>
      </c>
      <c r="J140" s="70"/>
      <c r="K140" s="84">
        <f t="shared" si="37"/>
        <v>91</v>
      </c>
      <c r="L140" s="84">
        <f t="shared" si="38"/>
        <v>1213</v>
      </c>
      <c r="M140" s="84" t="str">
        <f t="shared" si="39"/>
        <v/>
      </c>
      <c r="N140" s="84" t="str">
        <f t="shared" si="40"/>
        <v/>
      </c>
      <c r="P140">
        <f t="shared" si="35"/>
        <v>150102</v>
      </c>
      <c r="Q140">
        <f t="shared" si="44"/>
        <v>73</v>
      </c>
      <c r="R140" s="64" t="s">
        <v>301</v>
      </c>
      <c r="S140">
        <f t="shared" si="45"/>
        <v>970</v>
      </c>
      <c r="T140" s="64" t="s">
        <v>301</v>
      </c>
      <c r="U140">
        <f t="shared" si="36"/>
        <v>0</v>
      </c>
      <c r="V140">
        <f t="shared" si="41"/>
        <v>95</v>
      </c>
      <c r="W140">
        <f t="shared" si="42"/>
        <v>1215</v>
      </c>
      <c r="X140" t="str">
        <f t="shared" si="43"/>
        <v/>
      </c>
      <c r="Z140" s="65" t="str">
        <f t="shared" si="34"/>
        <v>73,970</v>
      </c>
      <c r="AA140" s="8" t="s">
        <v>238</v>
      </c>
      <c r="AB140" t="str">
        <f t="shared" si="31"/>
        <v>95,1215</v>
      </c>
      <c r="AF140" s="37" t="s">
        <v>46</v>
      </c>
    </row>
    <row r="141" ht="16.25" spans="1:32">
      <c r="A141" s="31">
        <v>202</v>
      </c>
      <c r="B141" s="92">
        <v>250202</v>
      </c>
      <c r="C141" s="68" t="s">
        <v>227</v>
      </c>
      <c r="D141" s="69">
        <v>91</v>
      </c>
      <c r="E141" s="69">
        <v>1213</v>
      </c>
      <c r="F141" s="69"/>
      <c r="G141" s="70"/>
      <c r="H141" s="68">
        <v>3</v>
      </c>
      <c r="I141" s="70">
        <v>2</v>
      </c>
      <c r="J141" s="70"/>
      <c r="K141" s="84">
        <f t="shared" si="37"/>
        <v>91</v>
      </c>
      <c r="L141" s="84">
        <f t="shared" si="38"/>
        <v>1213</v>
      </c>
      <c r="M141" s="84" t="str">
        <f t="shared" si="39"/>
        <v/>
      </c>
      <c r="N141" s="84" t="str">
        <f t="shared" si="40"/>
        <v/>
      </c>
      <c r="P141">
        <f t="shared" si="35"/>
        <v>150202</v>
      </c>
      <c r="Q141">
        <f t="shared" si="44"/>
        <v>73</v>
      </c>
      <c r="R141" s="64" t="s">
        <v>301</v>
      </c>
      <c r="S141">
        <f t="shared" si="45"/>
        <v>970</v>
      </c>
      <c r="T141" s="64" t="s">
        <v>301</v>
      </c>
      <c r="U141">
        <f t="shared" si="36"/>
        <v>0</v>
      </c>
      <c r="V141">
        <f t="shared" si="41"/>
        <v>95</v>
      </c>
      <c r="W141">
        <f t="shared" si="42"/>
        <v>1215</v>
      </c>
      <c r="X141" t="str">
        <f t="shared" si="43"/>
        <v/>
      </c>
      <c r="Z141" s="65" t="str">
        <f t="shared" si="34"/>
        <v>73,970</v>
      </c>
      <c r="AA141" s="8" t="s">
        <v>238</v>
      </c>
      <c r="AB141" t="str">
        <f t="shared" si="31"/>
        <v>95,1215</v>
      </c>
      <c r="AF141" s="37" t="s">
        <v>50</v>
      </c>
    </row>
    <row r="142" ht="16.25" spans="1:32">
      <c r="A142" s="31">
        <v>202</v>
      </c>
      <c r="B142" s="92">
        <v>250302</v>
      </c>
      <c r="C142" s="68" t="s">
        <v>227</v>
      </c>
      <c r="D142" s="69">
        <v>91</v>
      </c>
      <c r="E142" s="69">
        <v>1213</v>
      </c>
      <c r="F142" s="69"/>
      <c r="G142" s="70"/>
      <c r="H142" s="68">
        <v>3</v>
      </c>
      <c r="I142" s="70">
        <v>2</v>
      </c>
      <c r="J142" s="70"/>
      <c r="K142" s="84">
        <f t="shared" si="37"/>
        <v>91</v>
      </c>
      <c r="L142" s="84">
        <f t="shared" si="38"/>
        <v>1213</v>
      </c>
      <c r="M142" s="84" t="str">
        <f t="shared" si="39"/>
        <v/>
      </c>
      <c r="N142" s="84" t="str">
        <f t="shared" si="40"/>
        <v/>
      </c>
      <c r="P142">
        <f t="shared" si="35"/>
        <v>150302</v>
      </c>
      <c r="Q142">
        <f t="shared" si="44"/>
        <v>73</v>
      </c>
      <c r="R142" s="64" t="s">
        <v>301</v>
      </c>
      <c r="S142">
        <f t="shared" si="45"/>
        <v>970</v>
      </c>
      <c r="T142" s="64" t="s">
        <v>301</v>
      </c>
      <c r="U142">
        <f t="shared" si="36"/>
        <v>0</v>
      </c>
      <c r="V142">
        <f t="shared" si="41"/>
        <v>95</v>
      </c>
      <c r="W142">
        <f t="shared" si="42"/>
        <v>1215</v>
      </c>
      <c r="X142" t="str">
        <f t="shared" si="43"/>
        <v/>
      </c>
      <c r="Z142" s="65" t="str">
        <f t="shared" si="34"/>
        <v>73,970</v>
      </c>
      <c r="AA142" s="8" t="s">
        <v>238</v>
      </c>
      <c r="AB142" t="str">
        <f t="shared" si="31"/>
        <v>95,1215</v>
      </c>
      <c r="AF142" s="37" t="s">
        <v>54</v>
      </c>
    </row>
    <row r="143" ht="16.25" spans="1:32">
      <c r="A143" s="31">
        <v>202</v>
      </c>
      <c r="B143" s="92">
        <v>250402</v>
      </c>
      <c r="C143" s="68" t="s">
        <v>227</v>
      </c>
      <c r="D143" s="69">
        <v>91</v>
      </c>
      <c r="E143" s="69">
        <v>1213</v>
      </c>
      <c r="F143" s="69"/>
      <c r="G143" s="70"/>
      <c r="H143" s="68">
        <v>3</v>
      </c>
      <c r="I143" s="70">
        <v>2</v>
      </c>
      <c r="J143" s="70"/>
      <c r="K143" s="84">
        <f t="shared" si="37"/>
        <v>91</v>
      </c>
      <c r="L143" s="84">
        <f t="shared" si="38"/>
        <v>1213</v>
      </c>
      <c r="M143" s="84" t="str">
        <f t="shared" si="39"/>
        <v/>
      </c>
      <c r="N143" s="84" t="str">
        <f t="shared" si="40"/>
        <v/>
      </c>
      <c r="P143">
        <f t="shared" si="35"/>
        <v>150402</v>
      </c>
      <c r="Q143">
        <f t="shared" si="44"/>
        <v>73</v>
      </c>
      <c r="R143" s="64" t="s">
        <v>301</v>
      </c>
      <c r="S143">
        <f t="shared" si="45"/>
        <v>970</v>
      </c>
      <c r="T143" s="64" t="s">
        <v>301</v>
      </c>
      <c r="U143">
        <f t="shared" si="36"/>
        <v>0</v>
      </c>
      <c r="V143">
        <f t="shared" si="41"/>
        <v>95</v>
      </c>
      <c r="W143">
        <f t="shared" si="42"/>
        <v>1215</v>
      </c>
      <c r="X143" t="str">
        <f t="shared" si="43"/>
        <v/>
      </c>
      <c r="Z143" s="65" t="str">
        <f t="shared" si="34"/>
        <v>73,970</v>
      </c>
      <c r="AA143" s="8" t="s">
        <v>238</v>
      </c>
      <c r="AB143" t="str">
        <f t="shared" si="31"/>
        <v>95,1215</v>
      </c>
      <c r="AF143" s="37" t="s">
        <v>58</v>
      </c>
    </row>
    <row r="144" ht="16.25" spans="1:32">
      <c r="A144" s="31">
        <v>202</v>
      </c>
      <c r="B144" s="92">
        <v>250502</v>
      </c>
      <c r="C144" s="68" t="s">
        <v>227</v>
      </c>
      <c r="D144" s="69">
        <v>91</v>
      </c>
      <c r="E144" s="69">
        <v>1213</v>
      </c>
      <c r="F144" s="69"/>
      <c r="G144" s="70"/>
      <c r="H144" s="68">
        <v>3</v>
      </c>
      <c r="I144" s="70">
        <v>2</v>
      </c>
      <c r="J144" s="70"/>
      <c r="K144" s="84">
        <f t="shared" si="37"/>
        <v>91</v>
      </c>
      <c r="L144" s="84">
        <f t="shared" si="38"/>
        <v>1213</v>
      </c>
      <c r="M144" s="84" t="str">
        <f t="shared" si="39"/>
        <v/>
      </c>
      <c r="N144" s="84" t="str">
        <f t="shared" si="40"/>
        <v/>
      </c>
      <c r="P144">
        <f t="shared" si="35"/>
        <v>150502</v>
      </c>
      <c r="Q144">
        <f t="shared" si="44"/>
        <v>73</v>
      </c>
      <c r="R144" s="64" t="s">
        <v>301</v>
      </c>
      <c r="S144">
        <f t="shared" si="45"/>
        <v>970</v>
      </c>
      <c r="T144" s="64" t="s">
        <v>301</v>
      </c>
      <c r="U144">
        <f t="shared" si="36"/>
        <v>0</v>
      </c>
      <c r="V144">
        <f t="shared" si="41"/>
        <v>95</v>
      </c>
      <c r="W144">
        <f t="shared" si="42"/>
        <v>1215</v>
      </c>
      <c r="X144" t="str">
        <f t="shared" si="43"/>
        <v/>
      </c>
      <c r="Z144" s="65" t="str">
        <f t="shared" si="34"/>
        <v>73,970</v>
      </c>
      <c r="AA144" s="8" t="s">
        <v>238</v>
      </c>
      <c r="AB144" t="str">
        <f t="shared" si="31"/>
        <v>95,1215</v>
      </c>
      <c r="AF144" s="37" t="s">
        <v>62</v>
      </c>
    </row>
    <row r="145" ht="16.25" spans="1:32">
      <c r="A145" s="31">
        <v>202</v>
      </c>
      <c r="B145" s="92">
        <v>250602</v>
      </c>
      <c r="C145" s="68" t="s">
        <v>227</v>
      </c>
      <c r="D145" s="69">
        <v>91</v>
      </c>
      <c r="E145" s="69">
        <v>1213</v>
      </c>
      <c r="F145" s="69"/>
      <c r="G145" s="70"/>
      <c r="H145" s="68">
        <v>3</v>
      </c>
      <c r="I145" s="70">
        <v>2</v>
      </c>
      <c r="J145" s="70"/>
      <c r="K145" s="84">
        <f t="shared" si="37"/>
        <v>91</v>
      </c>
      <c r="L145" s="84">
        <f t="shared" si="38"/>
        <v>1213</v>
      </c>
      <c r="M145" s="84" t="str">
        <f t="shared" si="39"/>
        <v/>
      </c>
      <c r="N145" s="84" t="str">
        <f t="shared" si="40"/>
        <v/>
      </c>
      <c r="P145">
        <f t="shared" si="35"/>
        <v>150602</v>
      </c>
      <c r="Q145">
        <f t="shared" si="44"/>
        <v>73</v>
      </c>
      <c r="R145" s="64" t="s">
        <v>301</v>
      </c>
      <c r="S145">
        <f t="shared" si="45"/>
        <v>970</v>
      </c>
      <c r="T145" s="64" t="s">
        <v>301</v>
      </c>
      <c r="U145">
        <f t="shared" si="36"/>
        <v>0</v>
      </c>
      <c r="V145">
        <f t="shared" si="41"/>
        <v>95</v>
      </c>
      <c r="W145">
        <f t="shared" si="42"/>
        <v>1215</v>
      </c>
      <c r="X145" t="str">
        <f t="shared" si="43"/>
        <v/>
      </c>
      <c r="Z145" s="65" t="str">
        <f t="shared" si="34"/>
        <v>73,970</v>
      </c>
      <c r="AA145" s="8" t="s">
        <v>238</v>
      </c>
      <c r="AB145" t="str">
        <f t="shared" si="31"/>
        <v>95,1215</v>
      </c>
      <c r="AF145" s="37" t="s">
        <v>66</v>
      </c>
    </row>
    <row r="146" ht="16.25" spans="1:32">
      <c r="A146" s="31">
        <v>202</v>
      </c>
      <c r="B146" s="92">
        <v>250702</v>
      </c>
      <c r="C146" s="68" t="s">
        <v>227</v>
      </c>
      <c r="D146" s="69">
        <v>91</v>
      </c>
      <c r="E146" s="69">
        <v>1213</v>
      </c>
      <c r="F146" s="69"/>
      <c r="G146" s="70"/>
      <c r="H146" s="68">
        <v>3</v>
      </c>
      <c r="I146" s="70">
        <v>2</v>
      </c>
      <c r="J146" s="70"/>
      <c r="K146" s="84">
        <f t="shared" si="37"/>
        <v>91</v>
      </c>
      <c r="L146" s="84">
        <f t="shared" si="38"/>
        <v>1213</v>
      </c>
      <c r="M146" s="84" t="str">
        <f t="shared" si="39"/>
        <v/>
      </c>
      <c r="N146" s="84" t="str">
        <f t="shared" si="40"/>
        <v/>
      </c>
      <c r="P146">
        <f t="shared" si="35"/>
        <v>150702</v>
      </c>
      <c r="Q146">
        <f t="shared" si="44"/>
        <v>73</v>
      </c>
      <c r="R146" s="64" t="s">
        <v>301</v>
      </c>
      <c r="S146">
        <f t="shared" si="45"/>
        <v>970</v>
      </c>
      <c r="T146" s="64" t="s">
        <v>301</v>
      </c>
      <c r="U146">
        <f t="shared" si="36"/>
        <v>0</v>
      </c>
      <c r="V146">
        <f t="shared" si="41"/>
        <v>95</v>
      </c>
      <c r="W146">
        <f t="shared" si="42"/>
        <v>1215</v>
      </c>
      <c r="X146" t="str">
        <f t="shared" si="43"/>
        <v/>
      </c>
      <c r="Z146" s="65" t="str">
        <f t="shared" si="34"/>
        <v>73,970</v>
      </c>
      <c r="AA146" s="8" t="s">
        <v>238</v>
      </c>
      <c r="AB146" t="str">
        <f t="shared" si="31"/>
        <v>95,1215</v>
      </c>
      <c r="AF146" s="37" t="s">
        <v>70</v>
      </c>
    </row>
    <row r="147" ht="16.25" spans="1:32">
      <c r="A147" s="31">
        <v>202</v>
      </c>
      <c r="B147" s="92">
        <v>250802</v>
      </c>
      <c r="C147" s="68" t="s">
        <v>227</v>
      </c>
      <c r="D147" s="69">
        <v>91</v>
      </c>
      <c r="E147" s="69">
        <v>1213</v>
      </c>
      <c r="F147" s="69"/>
      <c r="G147" s="70"/>
      <c r="H147" s="68">
        <v>3</v>
      </c>
      <c r="I147" s="70">
        <v>2</v>
      </c>
      <c r="J147" s="70"/>
      <c r="K147" s="84">
        <f t="shared" si="37"/>
        <v>91</v>
      </c>
      <c r="L147" s="84">
        <f t="shared" si="38"/>
        <v>1213</v>
      </c>
      <c r="M147" s="84" t="str">
        <f t="shared" si="39"/>
        <v/>
      </c>
      <c r="N147" s="84" t="str">
        <f t="shared" si="40"/>
        <v/>
      </c>
      <c r="P147">
        <f t="shared" si="35"/>
        <v>150802</v>
      </c>
      <c r="Q147">
        <f t="shared" si="44"/>
        <v>73</v>
      </c>
      <c r="R147" s="64" t="s">
        <v>301</v>
      </c>
      <c r="S147">
        <f t="shared" si="45"/>
        <v>970</v>
      </c>
      <c r="T147" s="64" t="s">
        <v>301</v>
      </c>
      <c r="U147">
        <f t="shared" si="36"/>
        <v>0</v>
      </c>
      <c r="V147">
        <f t="shared" si="41"/>
        <v>95</v>
      </c>
      <c r="W147">
        <f t="shared" si="42"/>
        <v>1215</v>
      </c>
      <c r="X147" t="str">
        <f t="shared" si="43"/>
        <v/>
      </c>
      <c r="Z147" s="65" t="str">
        <f t="shared" si="34"/>
        <v>73,970</v>
      </c>
      <c r="AA147" s="8" t="s">
        <v>238</v>
      </c>
      <c r="AB147" t="str">
        <f t="shared" si="31"/>
        <v>95,1215</v>
      </c>
      <c r="AF147" s="37" t="s">
        <v>74</v>
      </c>
    </row>
    <row r="148" ht="16.25" spans="1:32">
      <c r="A148" s="31">
        <v>202</v>
      </c>
      <c r="B148" s="92">
        <v>250902</v>
      </c>
      <c r="C148" s="68" t="s">
        <v>227</v>
      </c>
      <c r="D148" s="69">
        <v>91</v>
      </c>
      <c r="E148" s="69">
        <v>1213</v>
      </c>
      <c r="F148" s="69"/>
      <c r="G148" s="70"/>
      <c r="H148" s="68">
        <v>3</v>
      </c>
      <c r="I148" s="70">
        <v>2</v>
      </c>
      <c r="J148" s="70"/>
      <c r="K148" s="84">
        <f t="shared" si="37"/>
        <v>91</v>
      </c>
      <c r="L148" s="84">
        <f t="shared" si="38"/>
        <v>1213</v>
      </c>
      <c r="M148" s="84" t="str">
        <f t="shared" si="39"/>
        <v/>
      </c>
      <c r="N148" s="84" t="str">
        <f t="shared" si="40"/>
        <v/>
      </c>
      <c r="P148">
        <f t="shared" si="35"/>
        <v>150902</v>
      </c>
      <c r="Q148">
        <f t="shared" si="44"/>
        <v>73</v>
      </c>
      <c r="R148" s="64" t="s">
        <v>301</v>
      </c>
      <c r="S148">
        <f t="shared" si="45"/>
        <v>970</v>
      </c>
      <c r="T148" s="64" t="s">
        <v>301</v>
      </c>
      <c r="U148">
        <f t="shared" si="36"/>
        <v>0</v>
      </c>
      <c r="V148">
        <f t="shared" si="41"/>
        <v>95</v>
      </c>
      <c r="W148">
        <f t="shared" si="42"/>
        <v>1215</v>
      </c>
      <c r="X148" t="str">
        <f t="shared" si="43"/>
        <v/>
      </c>
      <c r="Z148" s="65" t="str">
        <f t="shared" si="34"/>
        <v>73,970</v>
      </c>
      <c r="AA148" s="8" t="s">
        <v>238</v>
      </c>
      <c r="AB148" t="str">
        <f t="shared" si="31"/>
        <v>95,1215</v>
      </c>
      <c r="AF148" s="37" t="s">
        <v>78</v>
      </c>
    </row>
    <row r="149" ht="16.25" spans="1:32">
      <c r="A149" s="31">
        <v>202</v>
      </c>
      <c r="B149" s="92">
        <v>260102</v>
      </c>
      <c r="C149" s="68" t="s">
        <v>227</v>
      </c>
      <c r="D149" s="69">
        <v>169</v>
      </c>
      <c r="E149" s="69">
        <v>2253</v>
      </c>
      <c r="F149" s="69"/>
      <c r="G149" s="70"/>
      <c r="H149" s="68">
        <v>3</v>
      </c>
      <c r="I149" s="70">
        <v>2</v>
      </c>
      <c r="J149" s="70"/>
      <c r="K149" s="84">
        <f t="shared" si="37"/>
        <v>169</v>
      </c>
      <c r="L149" s="84">
        <f t="shared" si="38"/>
        <v>2253</v>
      </c>
      <c r="M149" s="84" t="str">
        <f t="shared" si="39"/>
        <v/>
      </c>
      <c r="N149" s="84" t="str">
        <f t="shared" si="40"/>
        <v/>
      </c>
      <c r="P149">
        <f t="shared" si="35"/>
        <v>160102</v>
      </c>
      <c r="Q149">
        <f t="shared" si="44"/>
        <v>135</v>
      </c>
      <c r="R149" s="64" t="s">
        <v>301</v>
      </c>
      <c r="S149">
        <f t="shared" si="45"/>
        <v>1802</v>
      </c>
      <c r="T149" s="64" t="s">
        <v>301</v>
      </c>
      <c r="U149">
        <f t="shared" si="36"/>
        <v>0</v>
      </c>
      <c r="V149">
        <f t="shared" si="41"/>
        <v>170</v>
      </c>
      <c r="W149">
        <f t="shared" si="42"/>
        <v>2255</v>
      </c>
      <c r="X149" t="str">
        <f t="shared" si="43"/>
        <v/>
      </c>
      <c r="Z149" s="65" t="str">
        <f t="shared" si="34"/>
        <v>135,1802</v>
      </c>
      <c r="AA149" s="8" t="s">
        <v>239</v>
      </c>
      <c r="AB149" t="str">
        <f t="shared" si="31"/>
        <v>170,2255</v>
      </c>
      <c r="AF149" s="37" t="s">
        <v>82</v>
      </c>
    </row>
    <row r="150" ht="16.25" spans="1:32">
      <c r="A150" s="31">
        <v>202</v>
      </c>
      <c r="B150" s="92">
        <v>260202</v>
      </c>
      <c r="C150" s="68" t="s">
        <v>227</v>
      </c>
      <c r="D150" s="69">
        <v>169</v>
      </c>
      <c r="E150" s="69">
        <v>2253</v>
      </c>
      <c r="F150" s="69"/>
      <c r="G150" s="70"/>
      <c r="H150" s="68">
        <v>3</v>
      </c>
      <c r="I150" s="70">
        <v>2</v>
      </c>
      <c r="J150" s="70"/>
      <c r="K150" s="84">
        <f t="shared" si="37"/>
        <v>169</v>
      </c>
      <c r="L150" s="84">
        <f t="shared" si="38"/>
        <v>2253</v>
      </c>
      <c r="M150" s="84" t="str">
        <f t="shared" si="39"/>
        <v/>
      </c>
      <c r="N150" s="84" t="str">
        <f t="shared" si="40"/>
        <v/>
      </c>
      <c r="P150">
        <f t="shared" si="35"/>
        <v>160202</v>
      </c>
      <c r="Q150">
        <f t="shared" si="44"/>
        <v>135</v>
      </c>
      <c r="R150" s="64" t="s">
        <v>301</v>
      </c>
      <c r="S150">
        <f t="shared" si="45"/>
        <v>1802</v>
      </c>
      <c r="T150" s="64" t="s">
        <v>301</v>
      </c>
      <c r="U150">
        <f t="shared" si="36"/>
        <v>0</v>
      </c>
      <c r="V150">
        <f t="shared" si="41"/>
        <v>170</v>
      </c>
      <c r="W150">
        <f t="shared" si="42"/>
        <v>2255</v>
      </c>
      <c r="X150" t="str">
        <f t="shared" si="43"/>
        <v/>
      </c>
      <c r="Z150" s="65" t="str">
        <f t="shared" si="34"/>
        <v>135,1802</v>
      </c>
      <c r="AA150" s="8" t="s">
        <v>239</v>
      </c>
      <c r="AB150" t="str">
        <f t="shared" si="31"/>
        <v>170,2255</v>
      </c>
      <c r="AF150" s="37" t="s">
        <v>86</v>
      </c>
    </row>
    <row r="151" ht="16.25" spans="1:32">
      <c r="A151" s="31">
        <v>202</v>
      </c>
      <c r="B151" s="92">
        <v>260302</v>
      </c>
      <c r="C151" s="68" t="s">
        <v>227</v>
      </c>
      <c r="D151" s="69">
        <v>169</v>
      </c>
      <c r="E151" s="69">
        <v>2253</v>
      </c>
      <c r="F151" s="69"/>
      <c r="G151" s="70"/>
      <c r="H151" s="68">
        <v>3</v>
      </c>
      <c r="I151" s="70">
        <v>2</v>
      </c>
      <c r="J151" s="70"/>
      <c r="K151" s="84">
        <f t="shared" si="37"/>
        <v>169</v>
      </c>
      <c r="L151" s="84">
        <f t="shared" si="38"/>
        <v>2253</v>
      </c>
      <c r="M151" s="84" t="str">
        <f t="shared" si="39"/>
        <v/>
      </c>
      <c r="N151" s="84" t="str">
        <f t="shared" si="40"/>
        <v/>
      </c>
      <c r="P151">
        <f t="shared" ref="P151:P164" si="46">B151-100000</f>
        <v>160302</v>
      </c>
      <c r="Q151">
        <f t="shared" si="44"/>
        <v>135</v>
      </c>
      <c r="R151" s="64" t="s">
        <v>301</v>
      </c>
      <c r="S151">
        <f t="shared" si="45"/>
        <v>1802</v>
      </c>
      <c r="T151" s="64" t="s">
        <v>301</v>
      </c>
      <c r="U151">
        <f t="shared" si="36"/>
        <v>0</v>
      </c>
      <c r="V151">
        <f t="shared" si="41"/>
        <v>170</v>
      </c>
      <c r="W151">
        <f t="shared" si="42"/>
        <v>2255</v>
      </c>
      <c r="X151" t="str">
        <f t="shared" si="43"/>
        <v/>
      </c>
      <c r="Z151" s="65" t="str">
        <f t="shared" si="34"/>
        <v>135,1802</v>
      </c>
      <c r="AA151" s="8" t="s">
        <v>239</v>
      </c>
      <c r="AB151" t="str">
        <f t="shared" si="31"/>
        <v>170,2255</v>
      </c>
      <c r="AF151" s="37" t="s">
        <v>90</v>
      </c>
    </row>
    <row r="152" ht="16.25" spans="1:32">
      <c r="A152" s="31">
        <v>202</v>
      </c>
      <c r="B152" s="92">
        <v>260402</v>
      </c>
      <c r="C152" s="68" t="s">
        <v>227</v>
      </c>
      <c r="D152" s="69">
        <v>169</v>
      </c>
      <c r="E152" s="69">
        <v>2253</v>
      </c>
      <c r="F152" s="69"/>
      <c r="G152" s="70"/>
      <c r="H152" s="68">
        <v>3</v>
      </c>
      <c r="I152" s="70">
        <v>2</v>
      </c>
      <c r="J152" s="70"/>
      <c r="K152" s="84">
        <f t="shared" si="37"/>
        <v>169</v>
      </c>
      <c r="L152" s="84">
        <f t="shared" si="38"/>
        <v>2253</v>
      </c>
      <c r="M152" s="84" t="str">
        <f t="shared" si="39"/>
        <v/>
      </c>
      <c r="N152" s="84" t="str">
        <f t="shared" si="40"/>
        <v/>
      </c>
      <c r="P152">
        <f t="shared" si="46"/>
        <v>160402</v>
      </c>
      <c r="Q152">
        <f t="shared" si="44"/>
        <v>135</v>
      </c>
      <c r="R152" s="64" t="s">
        <v>301</v>
      </c>
      <c r="S152">
        <f t="shared" si="45"/>
        <v>1802</v>
      </c>
      <c r="T152" s="64" t="s">
        <v>301</v>
      </c>
      <c r="U152">
        <f t="shared" si="36"/>
        <v>0</v>
      </c>
      <c r="V152">
        <f t="shared" si="41"/>
        <v>170</v>
      </c>
      <c r="W152">
        <f t="shared" si="42"/>
        <v>2255</v>
      </c>
      <c r="X152" t="str">
        <f t="shared" si="43"/>
        <v/>
      </c>
      <c r="Z152" s="65" t="str">
        <f t="shared" si="34"/>
        <v>135,1802</v>
      </c>
      <c r="AA152" s="8" t="s">
        <v>239</v>
      </c>
      <c r="AB152" t="str">
        <f t="shared" si="31"/>
        <v>170,2255</v>
      </c>
      <c r="AF152" s="37" t="s">
        <v>94</v>
      </c>
    </row>
    <row r="153" ht="16.25" spans="1:32">
      <c r="A153" s="31">
        <v>202</v>
      </c>
      <c r="B153" s="92">
        <v>260502</v>
      </c>
      <c r="C153" s="68" t="s">
        <v>227</v>
      </c>
      <c r="D153" s="69">
        <v>169</v>
      </c>
      <c r="E153" s="69">
        <v>2253</v>
      </c>
      <c r="F153" s="69"/>
      <c r="G153" s="70"/>
      <c r="H153" s="68">
        <v>3</v>
      </c>
      <c r="I153" s="70">
        <v>2</v>
      </c>
      <c r="J153" s="70"/>
      <c r="K153" s="84">
        <f t="shared" si="37"/>
        <v>169</v>
      </c>
      <c r="L153" s="84">
        <f t="shared" si="38"/>
        <v>2253</v>
      </c>
      <c r="M153" s="84" t="str">
        <f t="shared" si="39"/>
        <v/>
      </c>
      <c r="N153" s="84" t="str">
        <f t="shared" si="40"/>
        <v/>
      </c>
      <c r="P153">
        <f t="shared" si="46"/>
        <v>160502</v>
      </c>
      <c r="Q153">
        <f t="shared" si="44"/>
        <v>135</v>
      </c>
      <c r="R153" s="64" t="s">
        <v>301</v>
      </c>
      <c r="S153">
        <f t="shared" si="45"/>
        <v>1802</v>
      </c>
      <c r="T153" s="64" t="s">
        <v>301</v>
      </c>
      <c r="U153">
        <f t="shared" si="36"/>
        <v>0</v>
      </c>
      <c r="V153">
        <f t="shared" si="41"/>
        <v>170</v>
      </c>
      <c r="W153">
        <f t="shared" si="42"/>
        <v>2255</v>
      </c>
      <c r="X153" t="str">
        <f t="shared" si="43"/>
        <v/>
      </c>
      <c r="Z153" s="65" t="str">
        <f t="shared" si="34"/>
        <v>135,1802</v>
      </c>
      <c r="AA153" s="8" t="s">
        <v>239</v>
      </c>
      <c r="AB153" t="str">
        <f t="shared" si="31"/>
        <v>170,2255</v>
      </c>
      <c r="AF153" s="37" t="s">
        <v>98</v>
      </c>
    </row>
    <row r="154" ht="16.25" spans="1:32">
      <c r="A154" s="31">
        <v>202</v>
      </c>
      <c r="B154" s="92">
        <v>260602</v>
      </c>
      <c r="C154" s="68" t="s">
        <v>227</v>
      </c>
      <c r="D154" s="69">
        <v>169</v>
      </c>
      <c r="E154" s="69">
        <v>2253</v>
      </c>
      <c r="F154" s="69"/>
      <c r="G154" s="70"/>
      <c r="H154" s="68">
        <v>3</v>
      </c>
      <c r="I154" s="70">
        <v>2</v>
      </c>
      <c r="J154" s="70"/>
      <c r="K154" s="84">
        <f t="shared" si="37"/>
        <v>169</v>
      </c>
      <c r="L154" s="84">
        <f t="shared" si="38"/>
        <v>2253</v>
      </c>
      <c r="M154" s="84" t="str">
        <f t="shared" si="39"/>
        <v/>
      </c>
      <c r="N154" s="84" t="str">
        <f t="shared" si="40"/>
        <v/>
      </c>
      <c r="P154">
        <f t="shared" si="46"/>
        <v>160602</v>
      </c>
      <c r="Q154">
        <f t="shared" si="44"/>
        <v>135</v>
      </c>
      <c r="R154" s="64" t="s">
        <v>301</v>
      </c>
      <c r="S154">
        <f t="shared" si="45"/>
        <v>1802</v>
      </c>
      <c r="T154" s="64" t="s">
        <v>301</v>
      </c>
      <c r="U154">
        <f t="shared" si="36"/>
        <v>0</v>
      </c>
      <c r="V154">
        <f t="shared" si="41"/>
        <v>170</v>
      </c>
      <c r="W154">
        <f t="shared" si="42"/>
        <v>2255</v>
      </c>
      <c r="X154" t="str">
        <f t="shared" si="43"/>
        <v/>
      </c>
      <c r="Z154" s="65" t="str">
        <f t="shared" si="34"/>
        <v>135,1802</v>
      </c>
      <c r="AA154" s="8" t="s">
        <v>239</v>
      </c>
      <c r="AB154" t="str">
        <f t="shared" si="31"/>
        <v>170,2255</v>
      </c>
      <c r="AF154" s="37" t="s">
        <v>102</v>
      </c>
    </row>
    <row r="155" ht="16.25" spans="1:32">
      <c r="A155" s="31">
        <v>202</v>
      </c>
      <c r="B155" s="92">
        <v>260702</v>
      </c>
      <c r="C155" s="68" t="s">
        <v>227</v>
      </c>
      <c r="D155" s="69">
        <v>169</v>
      </c>
      <c r="E155" s="69">
        <v>2253</v>
      </c>
      <c r="F155" s="69"/>
      <c r="G155" s="70"/>
      <c r="H155" s="68">
        <v>3</v>
      </c>
      <c r="I155" s="70">
        <v>2</v>
      </c>
      <c r="J155" s="70"/>
      <c r="K155" s="84">
        <f t="shared" si="37"/>
        <v>169</v>
      </c>
      <c r="L155" s="84">
        <f t="shared" si="38"/>
        <v>2253</v>
      </c>
      <c r="M155" s="84" t="str">
        <f t="shared" si="39"/>
        <v/>
      </c>
      <c r="N155" s="84" t="str">
        <f t="shared" si="40"/>
        <v/>
      </c>
      <c r="P155">
        <f t="shared" si="46"/>
        <v>160702</v>
      </c>
      <c r="Q155">
        <f t="shared" si="44"/>
        <v>135</v>
      </c>
      <c r="R155" s="64" t="s">
        <v>301</v>
      </c>
      <c r="S155">
        <f t="shared" si="45"/>
        <v>1802</v>
      </c>
      <c r="T155" s="64" t="s">
        <v>301</v>
      </c>
      <c r="U155">
        <f t="shared" si="36"/>
        <v>0</v>
      </c>
      <c r="V155">
        <f t="shared" si="41"/>
        <v>170</v>
      </c>
      <c r="W155">
        <f t="shared" si="42"/>
        <v>2255</v>
      </c>
      <c r="X155" t="str">
        <f t="shared" si="43"/>
        <v/>
      </c>
      <c r="Z155" s="65" t="str">
        <f t="shared" si="34"/>
        <v>135,1802</v>
      </c>
      <c r="AA155" s="8" t="s">
        <v>239</v>
      </c>
      <c r="AB155" t="str">
        <f t="shared" si="31"/>
        <v>170,2255</v>
      </c>
      <c r="AF155" s="37" t="s">
        <v>106</v>
      </c>
    </row>
    <row r="156" ht="16.25" spans="1:32">
      <c r="A156" s="31">
        <v>202</v>
      </c>
      <c r="B156" s="92">
        <v>260802</v>
      </c>
      <c r="C156" s="68" t="s">
        <v>227</v>
      </c>
      <c r="D156" s="69">
        <v>169</v>
      </c>
      <c r="E156" s="69">
        <v>2253</v>
      </c>
      <c r="F156" s="69"/>
      <c r="G156" s="70"/>
      <c r="H156" s="68">
        <v>3</v>
      </c>
      <c r="I156" s="70">
        <v>2</v>
      </c>
      <c r="J156" s="70"/>
      <c r="K156" s="84">
        <f t="shared" si="37"/>
        <v>169</v>
      </c>
      <c r="L156" s="84">
        <f t="shared" si="38"/>
        <v>2253</v>
      </c>
      <c r="M156" s="84" t="str">
        <f t="shared" si="39"/>
        <v/>
      </c>
      <c r="N156" s="84" t="str">
        <f t="shared" si="40"/>
        <v/>
      </c>
      <c r="P156">
        <f t="shared" si="46"/>
        <v>160802</v>
      </c>
      <c r="Q156">
        <f t="shared" si="44"/>
        <v>135</v>
      </c>
      <c r="R156" s="64" t="s">
        <v>301</v>
      </c>
      <c r="S156">
        <f t="shared" si="45"/>
        <v>1802</v>
      </c>
      <c r="T156" s="64" t="s">
        <v>301</v>
      </c>
      <c r="U156">
        <f t="shared" si="36"/>
        <v>0</v>
      </c>
      <c r="V156">
        <f t="shared" si="41"/>
        <v>170</v>
      </c>
      <c r="W156">
        <f t="shared" si="42"/>
        <v>2255</v>
      </c>
      <c r="X156" t="str">
        <f t="shared" si="43"/>
        <v/>
      </c>
      <c r="Z156" s="65" t="str">
        <f t="shared" si="34"/>
        <v>135,1802</v>
      </c>
      <c r="AA156" s="8" t="s">
        <v>239</v>
      </c>
      <c r="AB156" t="str">
        <f t="shared" si="31"/>
        <v>170,2255</v>
      </c>
      <c r="AF156" s="37" t="s">
        <v>110</v>
      </c>
    </row>
    <row r="157" ht="16.25" spans="1:32">
      <c r="A157" s="31">
        <v>202</v>
      </c>
      <c r="B157" s="92">
        <v>260902</v>
      </c>
      <c r="C157" s="68" t="s">
        <v>227</v>
      </c>
      <c r="D157" s="69">
        <v>169</v>
      </c>
      <c r="E157" s="69">
        <v>2253</v>
      </c>
      <c r="F157" s="69"/>
      <c r="G157" s="70"/>
      <c r="H157" s="68">
        <v>3</v>
      </c>
      <c r="I157" s="70">
        <v>2</v>
      </c>
      <c r="J157" s="70"/>
      <c r="K157" s="84">
        <f t="shared" si="37"/>
        <v>169</v>
      </c>
      <c r="L157" s="84">
        <f t="shared" si="38"/>
        <v>2253</v>
      </c>
      <c r="M157" s="84" t="str">
        <f t="shared" si="39"/>
        <v/>
      </c>
      <c r="N157" s="84" t="str">
        <f t="shared" si="40"/>
        <v/>
      </c>
      <c r="P157">
        <f t="shared" si="46"/>
        <v>160902</v>
      </c>
      <c r="Q157">
        <f t="shared" si="44"/>
        <v>135</v>
      </c>
      <c r="R157" s="64" t="s">
        <v>301</v>
      </c>
      <c r="S157">
        <f t="shared" si="45"/>
        <v>1802</v>
      </c>
      <c r="T157" s="64" t="s">
        <v>301</v>
      </c>
      <c r="U157">
        <f t="shared" si="36"/>
        <v>0</v>
      </c>
      <c r="V157">
        <f t="shared" si="41"/>
        <v>170</v>
      </c>
      <c r="W157">
        <f t="shared" si="42"/>
        <v>2255</v>
      </c>
      <c r="X157" t="str">
        <f t="shared" si="43"/>
        <v/>
      </c>
      <c r="Z157" s="65" t="str">
        <f t="shared" si="34"/>
        <v>135,1802</v>
      </c>
      <c r="AA157" s="8" t="s">
        <v>239</v>
      </c>
      <c r="AB157" t="str">
        <f t="shared" si="31"/>
        <v>170,2255</v>
      </c>
      <c r="AF157" s="37" t="s">
        <v>114</v>
      </c>
    </row>
    <row r="158" ht="16.25" spans="1:32">
      <c r="A158" s="31">
        <v>203</v>
      </c>
      <c r="B158" s="92">
        <v>250102</v>
      </c>
      <c r="C158" s="71">
        <v>6</v>
      </c>
      <c r="D158" s="71">
        <v>0.0188</v>
      </c>
      <c r="E158" s="71"/>
      <c r="F158" s="71"/>
      <c r="G158" s="72"/>
      <c r="H158" s="71">
        <v>6</v>
      </c>
      <c r="I158" s="72"/>
      <c r="J158" s="72"/>
      <c r="K158" s="84">
        <f t="shared" si="37"/>
        <v>0.1128</v>
      </c>
      <c r="L158" s="84" t="str">
        <f t="shared" si="38"/>
        <v/>
      </c>
      <c r="M158" s="84" t="str">
        <f t="shared" si="39"/>
        <v/>
      </c>
      <c r="N158" s="84" t="str">
        <f t="shared" si="40"/>
        <v/>
      </c>
      <c r="P158">
        <f t="shared" si="46"/>
        <v>150102</v>
      </c>
      <c r="Q158">
        <f t="shared" ref="Q158:Q221" si="47">ROUND(D158*0.8,4)</f>
        <v>0.015</v>
      </c>
      <c r="R158" s="64" t="s">
        <v>301</v>
      </c>
      <c r="S158">
        <f>ROUND(E158*$Q$1,4)</f>
        <v>0</v>
      </c>
      <c r="T158" s="64" t="s">
        <v>301</v>
      </c>
      <c r="U158">
        <f t="shared" si="36"/>
        <v>0</v>
      </c>
      <c r="V158">
        <f t="shared" si="41"/>
        <v>0.1128</v>
      </c>
      <c r="W158" t="str">
        <f t="shared" si="42"/>
        <v/>
      </c>
      <c r="X158" t="str">
        <f t="shared" si="43"/>
        <v/>
      </c>
      <c r="Z158" s="65">
        <f>Q158</f>
        <v>0.015</v>
      </c>
      <c r="AA158" s="96">
        <v>0.015</v>
      </c>
      <c r="AB158" t="str">
        <f t="shared" si="31"/>
        <v>0.1128</v>
      </c>
      <c r="AF158" s="37" t="s">
        <v>46</v>
      </c>
    </row>
    <row r="159" ht="16.25" spans="1:32">
      <c r="A159" s="31">
        <v>203</v>
      </c>
      <c r="B159" s="92">
        <v>250202</v>
      </c>
      <c r="C159" s="71" t="s">
        <v>240</v>
      </c>
      <c r="D159" s="93">
        <v>0.0047</v>
      </c>
      <c r="E159" s="93">
        <v>0.0161</v>
      </c>
      <c r="F159" s="93"/>
      <c r="G159" s="94"/>
      <c r="H159" s="71">
        <v>6</v>
      </c>
      <c r="I159" s="94">
        <v>35</v>
      </c>
      <c r="J159" s="94"/>
      <c r="K159" s="84">
        <f t="shared" si="37"/>
        <v>0.0282</v>
      </c>
      <c r="L159" s="84">
        <f t="shared" si="38"/>
        <v>0.0966</v>
      </c>
      <c r="M159" s="84" t="str">
        <f t="shared" si="39"/>
        <v/>
      </c>
      <c r="N159" s="84" t="str">
        <f t="shared" si="40"/>
        <v/>
      </c>
      <c r="P159">
        <f t="shared" si="46"/>
        <v>150202</v>
      </c>
      <c r="Q159">
        <f t="shared" si="47"/>
        <v>0.0038</v>
      </c>
      <c r="R159" s="64" t="s">
        <v>301</v>
      </c>
      <c r="S159">
        <f>ROUND(E159*$Q$1,4)</f>
        <v>0.0129</v>
      </c>
      <c r="T159" s="64" t="s">
        <v>301</v>
      </c>
      <c r="U159">
        <f t="shared" si="36"/>
        <v>0</v>
      </c>
      <c r="V159">
        <f t="shared" si="41"/>
        <v>0.0282</v>
      </c>
      <c r="W159">
        <f t="shared" si="42"/>
        <v>0.0966</v>
      </c>
      <c r="X159" t="str">
        <f t="shared" si="43"/>
        <v/>
      </c>
      <c r="Z159" s="65" t="str">
        <f t="shared" ref="Z159:Z167" si="48">Q159&amp;R159&amp;S159&amp;T159&amp;U159</f>
        <v>0.0038,0.0129,0</v>
      </c>
      <c r="AA159" s="96" t="s">
        <v>241</v>
      </c>
      <c r="AB159" t="str">
        <f t="shared" si="31"/>
        <v>0.0282,0.0966</v>
      </c>
      <c r="AF159" s="37" t="s">
        <v>50</v>
      </c>
    </row>
    <row r="160" ht="16.25" spans="1:32">
      <c r="A160" s="31">
        <v>203</v>
      </c>
      <c r="B160" s="92">
        <v>250302</v>
      </c>
      <c r="C160" s="71">
        <v>7</v>
      </c>
      <c r="D160" s="71">
        <v>0.0048</v>
      </c>
      <c r="E160" s="71"/>
      <c r="F160" s="71"/>
      <c r="G160" s="72"/>
      <c r="H160" s="71">
        <v>7</v>
      </c>
      <c r="I160" s="72"/>
      <c r="J160" s="72"/>
      <c r="K160" s="84">
        <f t="shared" si="37"/>
        <v>0.0288</v>
      </c>
      <c r="L160" s="84" t="str">
        <f t="shared" si="38"/>
        <v/>
      </c>
      <c r="M160" s="84" t="str">
        <f t="shared" si="39"/>
        <v/>
      </c>
      <c r="N160" s="84" t="str">
        <f t="shared" si="40"/>
        <v/>
      </c>
      <c r="P160">
        <f t="shared" si="46"/>
        <v>150302</v>
      </c>
      <c r="Q160">
        <f t="shared" si="47"/>
        <v>0.0038</v>
      </c>
      <c r="R160" s="64" t="s">
        <v>301</v>
      </c>
      <c r="S160">
        <f>ROUND(E160*$Q$1,4)</f>
        <v>0</v>
      </c>
      <c r="T160" s="64" t="s">
        <v>301</v>
      </c>
      <c r="U160">
        <f t="shared" si="36"/>
        <v>0</v>
      </c>
      <c r="V160">
        <f t="shared" si="41"/>
        <v>0.0288</v>
      </c>
      <c r="W160" t="str">
        <f t="shared" si="42"/>
        <v/>
      </c>
      <c r="X160" t="str">
        <f t="shared" si="43"/>
        <v/>
      </c>
      <c r="Z160" s="65" t="str">
        <f t="shared" si="48"/>
        <v>0.0038,0,0</v>
      </c>
      <c r="AA160" s="96">
        <v>0.0038</v>
      </c>
      <c r="AB160" t="str">
        <f t="shared" si="31"/>
        <v>0.0288</v>
      </c>
      <c r="AF160" s="37" t="s">
        <v>54</v>
      </c>
    </row>
    <row r="161" ht="16.25" spans="1:32">
      <c r="A161" s="31">
        <v>203</v>
      </c>
      <c r="B161" s="92">
        <v>250402</v>
      </c>
      <c r="C161" s="71">
        <v>7</v>
      </c>
      <c r="D161" s="73">
        <v>0.0047</v>
      </c>
      <c r="E161" s="73"/>
      <c r="F161" s="73"/>
      <c r="G161" s="74"/>
      <c r="H161" s="71">
        <v>7</v>
      </c>
      <c r="I161" s="74"/>
      <c r="J161" s="74"/>
      <c r="K161" s="84">
        <f t="shared" si="37"/>
        <v>0.0282</v>
      </c>
      <c r="L161" s="84" t="str">
        <f t="shared" si="38"/>
        <v/>
      </c>
      <c r="M161" s="84" t="str">
        <f t="shared" si="39"/>
        <v/>
      </c>
      <c r="N161" s="84" t="str">
        <f t="shared" si="40"/>
        <v/>
      </c>
      <c r="P161">
        <f t="shared" si="46"/>
        <v>150402</v>
      </c>
      <c r="Q161">
        <f t="shared" si="47"/>
        <v>0.0038</v>
      </c>
      <c r="R161" s="64" t="s">
        <v>301</v>
      </c>
      <c r="S161">
        <f>ROUND(E161*$Q$1,4)</f>
        <v>0</v>
      </c>
      <c r="T161" s="64" t="s">
        <v>301</v>
      </c>
      <c r="U161">
        <f t="shared" si="36"/>
        <v>0</v>
      </c>
      <c r="V161">
        <f t="shared" si="41"/>
        <v>0.0282</v>
      </c>
      <c r="W161" t="str">
        <f t="shared" si="42"/>
        <v/>
      </c>
      <c r="X161" t="str">
        <f t="shared" si="43"/>
        <v/>
      </c>
      <c r="Z161" s="65" t="str">
        <f t="shared" si="48"/>
        <v>0.0038,0,0</v>
      </c>
      <c r="AA161" s="96">
        <v>0.0038</v>
      </c>
      <c r="AB161" t="str">
        <f t="shared" si="31"/>
        <v>0.0282</v>
      </c>
      <c r="AF161" s="37" t="s">
        <v>58</v>
      </c>
    </row>
    <row r="162" ht="16.25" spans="1:32">
      <c r="A162" s="31">
        <v>203</v>
      </c>
      <c r="B162" s="92">
        <v>250502</v>
      </c>
      <c r="C162" s="71">
        <v>11</v>
      </c>
      <c r="D162" s="73">
        <v>0.0061</v>
      </c>
      <c r="E162" s="73"/>
      <c r="F162" s="73"/>
      <c r="G162" s="74"/>
      <c r="H162" s="71">
        <v>11</v>
      </c>
      <c r="I162" s="74"/>
      <c r="J162" s="74"/>
      <c r="K162" s="84">
        <f t="shared" si="37"/>
        <v>0.0366</v>
      </c>
      <c r="L162" s="84" t="str">
        <f t="shared" si="38"/>
        <v/>
      </c>
      <c r="M162" s="84" t="str">
        <f t="shared" si="39"/>
        <v/>
      </c>
      <c r="N162" s="84" t="str">
        <f t="shared" si="40"/>
        <v/>
      </c>
      <c r="P162">
        <f t="shared" si="46"/>
        <v>150502</v>
      </c>
      <c r="Q162">
        <f t="shared" si="47"/>
        <v>0.0049</v>
      </c>
      <c r="R162" s="64" t="s">
        <v>301</v>
      </c>
      <c r="S162">
        <f>ROUND(E162*$Q$1,4)</f>
        <v>0</v>
      </c>
      <c r="T162" s="64" t="s">
        <v>301</v>
      </c>
      <c r="U162">
        <f t="shared" si="36"/>
        <v>0</v>
      </c>
      <c r="V162">
        <f t="shared" si="41"/>
        <v>0.0366</v>
      </c>
      <c r="W162" t="str">
        <f t="shared" si="42"/>
        <v/>
      </c>
      <c r="X162" t="str">
        <f t="shared" si="43"/>
        <v/>
      </c>
      <c r="Z162" s="65" t="str">
        <f t="shared" si="48"/>
        <v>0.0049,0,0</v>
      </c>
      <c r="AA162" s="96">
        <v>0.0049</v>
      </c>
      <c r="AB162" t="str">
        <f t="shared" si="31"/>
        <v>0.0366</v>
      </c>
      <c r="AF162" s="37" t="s">
        <v>62</v>
      </c>
    </row>
    <row r="163" ht="16.25" spans="1:32">
      <c r="A163" s="31">
        <v>203</v>
      </c>
      <c r="B163" s="92">
        <v>250602</v>
      </c>
      <c r="C163" s="71">
        <v>11</v>
      </c>
      <c r="D163" s="73">
        <v>0.0031</v>
      </c>
      <c r="E163" s="73"/>
      <c r="F163" s="73"/>
      <c r="G163" s="74"/>
      <c r="H163" s="71">
        <v>11</v>
      </c>
      <c r="I163" s="74"/>
      <c r="J163" s="74"/>
      <c r="K163" s="84">
        <f t="shared" si="37"/>
        <v>0.0186</v>
      </c>
      <c r="L163" s="84" t="str">
        <f t="shared" si="38"/>
        <v/>
      </c>
      <c r="M163" s="84" t="str">
        <f t="shared" si="39"/>
        <v/>
      </c>
      <c r="N163" s="84" t="str">
        <f t="shared" si="40"/>
        <v/>
      </c>
      <c r="P163">
        <f t="shared" si="46"/>
        <v>150602</v>
      </c>
      <c r="Q163">
        <f t="shared" si="47"/>
        <v>0.0025</v>
      </c>
      <c r="R163" s="64" t="s">
        <v>301</v>
      </c>
      <c r="S163">
        <f>ROUND(E163*$Q$1,4)</f>
        <v>0</v>
      </c>
      <c r="T163" s="64" t="s">
        <v>301</v>
      </c>
      <c r="U163">
        <f t="shared" si="36"/>
        <v>0</v>
      </c>
      <c r="V163">
        <f t="shared" si="41"/>
        <v>0.0186</v>
      </c>
      <c r="W163" t="str">
        <f t="shared" si="42"/>
        <v/>
      </c>
      <c r="X163" t="str">
        <f t="shared" si="43"/>
        <v/>
      </c>
      <c r="Z163" s="65" t="str">
        <f t="shared" si="48"/>
        <v>0.0025,0,0</v>
      </c>
      <c r="AA163" s="96">
        <v>0.0025</v>
      </c>
      <c r="AB163" t="str">
        <f t="shared" ref="AB163:AB226" si="49">_xlfn.TEXTJOIN(",",TRUE,V163,W163,X163)</f>
        <v>0.0186</v>
      </c>
      <c r="AF163" s="37" t="s">
        <v>66</v>
      </c>
    </row>
    <row r="164" ht="16.25" spans="1:32">
      <c r="A164" s="31">
        <v>203</v>
      </c>
      <c r="B164" s="92">
        <v>250702</v>
      </c>
      <c r="C164" s="71">
        <v>11</v>
      </c>
      <c r="D164" s="73">
        <v>0.0031</v>
      </c>
      <c r="E164" s="73"/>
      <c r="F164" s="73"/>
      <c r="G164" s="74"/>
      <c r="H164" s="71">
        <v>11</v>
      </c>
      <c r="I164" s="74"/>
      <c r="J164" s="74"/>
      <c r="K164" s="84">
        <f t="shared" si="37"/>
        <v>0.0186</v>
      </c>
      <c r="L164" s="84" t="str">
        <f t="shared" si="38"/>
        <v/>
      </c>
      <c r="M164" s="84" t="str">
        <f t="shared" si="39"/>
        <v/>
      </c>
      <c r="N164" s="84" t="str">
        <f t="shared" si="40"/>
        <v/>
      </c>
      <c r="P164">
        <f t="shared" si="46"/>
        <v>150702</v>
      </c>
      <c r="Q164">
        <f t="shared" si="47"/>
        <v>0.0025</v>
      </c>
      <c r="R164" s="64" t="s">
        <v>301</v>
      </c>
      <c r="S164">
        <f>ROUND(E164*$Q$1,4)</f>
        <v>0</v>
      </c>
      <c r="T164" s="64" t="s">
        <v>301</v>
      </c>
      <c r="U164">
        <f t="shared" si="36"/>
        <v>0</v>
      </c>
      <c r="V164">
        <f t="shared" si="41"/>
        <v>0.0186</v>
      </c>
      <c r="W164" t="str">
        <f t="shared" si="42"/>
        <v/>
      </c>
      <c r="X164" t="str">
        <f t="shared" si="43"/>
        <v/>
      </c>
      <c r="Z164" s="65" t="str">
        <f t="shared" si="48"/>
        <v>0.0025,0,0</v>
      </c>
      <c r="AA164" s="96">
        <v>0.0025</v>
      </c>
      <c r="AB164" t="str">
        <f t="shared" si="49"/>
        <v>0.0186</v>
      </c>
      <c r="AF164" s="37" t="s">
        <v>70</v>
      </c>
    </row>
    <row r="165" ht="16.25" spans="1:32">
      <c r="A165" s="31">
        <v>203</v>
      </c>
      <c r="B165" s="92">
        <v>250802</v>
      </c>
      <c r="C165" s="71" t="s">
        <v>242</v>
      </c>
      <c r="D165" s="71">
        <v>0.0036</v>
      </c>
      <c r="E165" s="71">
        <v>0.0026</v>
      </c>
      <c r="F165" s="71">
        <v>0.0054</v>
      </c>
      <c r="G165" s="72"/>
      <c r="H165" s="71">
        <v>8</v>
      </c>
      <c r="I165" s="72">
        <v>10</v>
      </c>
      <c r="J165" s="72">
        <v>26</v>
      </c>
      <c r="K165" s="84">
        <f t="shared" si="37"/>
        <v>0.0216</v>
      </c>
      <c r="L165" s="84">
        <f t="shared" si="38"/>
        <v>0.0156</v>
      </c>
      <c r="M165" s="84">
        <f t="shared" si="39"/>
        <v>0.0324</v>
      </c>
      <c r="N165" s="84" t="str">
        <f t="shared" si="40"/>
        <v/>
      </c>
      <c r="P165">
        <f t="shared" ref="P165:P191" si="50">B165-100000</f>
        <v>150802</v>
      </c>
      <c r="Q165">
        <f t="shared" si="47"/>
        <v>0.0029</v>
      </c>
      <c r="R165" s="64" t="s">
        <v>301</v>
      </c>
      <c r="S165">
        <f>ROUND(E165*$Q$1,4)</f>
        <v>0.0021</v>
      </c>
      <c r="T165" s="64" t="s">
        <v>301</v>
      </c>
      <c r="U165">
        <f t="shared" si="36"/>
        <v>0.0043</v>
      </c>
      <c r="V165">
        <f t="shared" si="41"/>
        <v>0.0216</v>
      </c>
      <c r="W165">
        <f t="shared" si="42"/>
        <v>0.0156</v>
      </c>
      <c r="X165">
        <f t="shared" si="43"/>
        <v>0.0324</v>
      </c>
      <c r="Z165" s="65" t="str">
        <f t="shared" si="48"/>
        <v>0.0029,0.0021,0.0043</v>
      </c>
      <c r="AA165" s="96" t="s">
        <v>243</v>
      </c>
      <c r="AB165" t="str">
        <f t="shared" si="49"/>
        <v>0.0216,0.0156,0.0324</v>
      </c>
      <c r="AF165" s="37" t="s">
        <v>74</v>
      </c>
    </row>
    <row r="166" ht="16.25" spans="1:32">
      <c r="A166" s="31">
        <v>203</v>
      </c>
      <c r="B166" s="92">
        <v>250902</v>
      </c>
      <c r="C166" s="71" t="s">
        <v>244</v>
      </c>
      <c r="D166" s="71">
        <v>0.0036</v>
      </c>
      <c r="E166" s="71">
        <v>0.0026</v>
      </c>
      <c r="F166" s="71"/>
      <c r="G166" s="72"/>
      <c r="H166" s="71">
        <v>8</v>
      </c>
      <c r="I166" s="72">
        <v>10</v>
      </c>
      <c r="J166" s="72"/>
      <c r="K166" s="84">
        <f t="shared" si="37"/>
        <v>0.0216</v>
      </c>
      <c r="L166" s="84">
        <f t="shared" si="38"/>
        <v>0.0156</v>
      </c>
      <c r="M166" s="84" t="str">
        <f t="shared" si="39"/>
        <v/>
      </c>
      <c r="N166" s="84" t="str">
        <f t="shared" si="40"/>
        <v/>
      </c>
      <c r="P166">
        <f t="shared" si="50"/>
        <v>150902</v>
      </c>
      <c r="Q166">
        <f t="shared" si="47"/>
        <v>0.0029</v>
      </c>
      <c r="R166" s="64" t="s">
        <v>301</v>
      </c>
      <c r="S166">
        <f>ROUND(E166*$Q$1,4)</f>
        <v>0.0021</v>
      </c>
      <c r="T166" s="64" t="s">
        <v>301</v>
      </c>
      <c r="U166">
        <f t="shared" si="36"/>
        <v>0</v>
      </c>
      <c r="V166">
        <f t="shared" si="41"/>
        <v>0.0216</v>
      </c>
      <c r="W166">
        <f t="shared" si="42"/>
        <v>0.0156</v>
      </c>
      <c r="X166" t="str">
        <f t="shared" si="43"/>
        <v/>
      </c>
      <c r="Z166" s="65" t="str">
        <f t="shared" si="48"/>
        <v>0.0029,0.0021,0</v>
      </c>
      <c r="AA166" s="96" t="s">
        <v>245</v>
      </c>
      <c r="AB166" t="str">
        <f t="shared" si="49"/>
        <v>0.0216,0.0156</v>
      </c>
      <c r="AF166" s="37" t="s">
        <v>78</v>
      </c>
    </row>
    <row r="167" ht="16.25" spans="1:32">
      <c r="A167" s="31">
        <v>203</v>
      </c>
      <c r="B167" s="92">
        <v>260102</v>
      </c>
      <c r="C167" s="77">
        <v>6</v>
      </c>
      <c r="D167" s="78">
        <v>0.0313</v>
      </c>
      <c r="E167" s="78"/>
      <c r="F167" s="78"/>
      <c r="G167" s="79"/>
      <c r="H167" s="77">
        <v>6</v>
      </c>
      <c r="I167" s="79"/>
      <c r="J167" s="79"/>
      <c r="K167" s="84">
        <f t="shared" si="37"/>
        <v>0.1878</v>
      </c>
      <c r="L167" s="84" t="str">
        <f t="shared" si="38"/>
        <v/>
      </c>
      <c r="M167" s="84" t="str">
        <f t="shared" si="39"/>
        <v/>
      </c>
      <c r="N167" s="84" t="str">
        <f t="shared" si="40"/>
        <v/>
      </c>
      <c r="P167">
        <f t="shared" si="50"/>
        <v>160102</v>
      </c>
      <c r="Q167">
        <f t="shared" si="47"/>
        <v>0.025</v>
      </c>
      <c r="R167" s="64" t="s">
        <v>301</v>
      </c>
      <c r="S167">
        <f>ROUND(E167*$Q$1,4)</f>
        <v>0</v>
      </c>
      <c r="T167" s="64" t="s">
        <v>301</v>
      </c>
      <c r="U167">
        <f t="shared" si="36"/>
        <v>0</v>
      </c>
      <c r="V167">
        <f t="shared" si="41"/>
        <v>0.1878</v>
      </c>
      <c r="W167" t="str">
        <f t="shared" si="42"/>
        <v/>
      </c>
      <c r="X167" t="str">
        <f t="shared" si="43"/>
        <v/>
      </c>
      <c r="Z167" s="65" t="str">
        <f t="shared" si="48"/>
        <v>0.025,0,0</v>
      </c>
      <c r="AA167" s="96">
        <v>0.025</v>
      </c>
      <c r="AB167" t="str">
        <f t="shared" si="49"/>
        <v>0.1878</v>
      </c>
      <c r="AF167" s="37" t="s">
        <v>82</v>
      </c>
    </row>
    <row r="168" ht="16.25" spans="1:32">
      <c r="A168" s="31">
        <v>203</v>
      </c>
      <c r="B168" s="92">
        <v>260202</v>
      </c>
      <c r="C168" s="77" t="s">
        <v>240</v>
      </c>
      <c r="D168" s="78">
        <v>0.0078</v>
      </c>
      <c r="E168" s="78">
        <v>0.0269</v>
      </c>
      <c r="F168" s="78"/>
      <c r="G168" s="79"/>
      <c r="H168" s="77">
        <v>6</v>
      </c>
      <c r="I168" s="79">
        <v>35</v>
      </c>
      <c r="J168" s="79"/>
      <c r="K168" s="84">
        <f t="shared" si="37"/>
        <v>0.0468</v>
      </c>
      <c r="L168" s="84">
        <f t="shared" si="38"/>
        <v>0.1614</v>
      </c>
      <c r="M168" s="84" t="str">
        <f t="shared" si="39"/>
        <v/>
      </c>
      <c r="N168" s="84" t="str">
        <f t="shared" si="40"/>
        <v/>
      </c>
      <c r="P168">
        <f t="shared" si="50"/>
        <v>160202</v>
      </c>
      <c r="Q168">
        <f t="shared" si="47"/>
        <v>0.0062</v>
      </c>
      <c r="R168" s="64" t="s">
        <v>301</v>
      </c>
      <c r="S168">
        <f>ROUND(E168*$Q$1,4)</f>
        <v>0.0215</v>
      </c>
      <c r="T168" s="64" t="s">
        <v>301</v>
      </c>
      <c r="U168">
        <f t="shared" si="36"/>
        <v>0</v>
      </c>
      <c r="V168">
        <f t="shared" si="41"/>
        <v>0.0468</v>
      </c>
      <c r="W168">
        <f t="shared" si="42"/>
        <v>0.1614</v>
      </c>
      <c r="X168" t="str">
        <f t="shared" si="43"/>
        <v/>
      </c>
      <c r="Z168" s="65" t="str">
        <f t="shared" ref="Z168:Z184" si="51">Q168&amp;R168&amp;S168&amp;T168&amp;U168</f>
        <v>0.0062,0.0215,0</v>
      </c>
      <c r="AA168" s="96" t="s">
        <v>246</v>
      </c>
      <c r="AB168" t="str">
        <f t="shared" si="49"/>
        <v>0.0468,0.1614</v>
      </c>
      <c r="AF168" s="37" t="s">
        <v>86</v>
      </c>
    </row>
    <row r="169" ht="16.25" spans="1:32">
      <c r="A169" s="31">
        <v>203</v>
      </c>
      <c r="B169" s="92">
        <v>260302</v>
      </c>
      <c r="C169" s="77">
        <v>7</v>
      </c>
      <c r="D169" s="78">
        <v>0.0078</v>
      </c>
      <c r="E169" s="78"/>
      <c r="F169" s="78"/>
      <c r="G169" s="79"/>
      <c r="H169" s="77">
        <v>7</v>
      </c>
      <c r="I169" s="79"/>
      <c r="J169" s="79"/>
      <c r="K169" s="84">
        <f t="shared" si="37"/>
        <v>0.0468</v>
      </c>
      <c r="L169" s="84" t="str">
        <f t="shared" si="38"/>
        <v/>
      </c>
      <c r="M169" s="84" t="str">
        <f t="shared" si="39"/>
        <v/>
      </c>
      <c r="N169" s="84" t="str">
        <f t="shared" si="40"/>
        <v/>
      </c>
      <c r="P169">
        <f t="shared" si="50"/>
        <v>160302</v>
      </c>
      <c r="Q169">
        <f t="shared" si="47"/>
        <v>0.0062</v>
      </c>
      <c r="R169" s="64" t="s">
        <v>301</v>
      </c>
      <c r="S169">
        <f>ROUND(E169*$Q$1,4)</f>
        <v>0</v>
      </c>
      <c r="T169" s="64" t="s">
        <v>301</v>
      </c>
      <c r="U169">
        <f t="shared" si="36"/>
        <v>0</v>
      </c>
      <c r="V169">
        <f t="shared" si="41"/>
        <v>0.0468</v>
      </c>
      <c r="W169" t="str">
        <f t="shared" si="42"/>
        <v/>
      </c>
      <c r="X169" t="str">
        <f t="shared" si="43"/>
        <v/>
      </c>
      <c r="Z169" s="65" t="str">
        <f t="shared" si="51"/>
        <v>0.0062,0,0</v>
      </c>
      <c r="AA169" s="96">
        <v>0.0062</v>
      </c>
      <c r="AB169" t="str">
        <f t="shared" si="49"/>
        <v>0.0468</v>
      </c>
      <c r="AF169" s="37" t="s">
        <v>90</v>
      </c>
    </row>
    <row r="170" ht="16.25" spans="1:32">
      <c r="A170" s="31">
        <v>203</v>
      </c>
      <c r="B170" s="92">
        <v>260402</v>
      </c>
      <c r="C170" s="77">
        <v>7</v>
      </c>
      <c r="D170" s="78">
        <v>0.0078</v>
      </c>
      <c r="E170" s="78"/>
      <c r="F170" s="78"/>
      <c r="G170" s="79"/>
      <c r="H170" s="77">
        <v>7</v>
      </c>
      <c r="I170" s="79"/>
      <c r="J170" s="79"/>
      <c r="K170" s="84">
        <f t="shared" si="37"/>
        <v>0.0468</v>
      </c>
      <c r="L170" s="84" t="str">
        <f t="shared" si="38"/>
        <v/>
      </c>
      <c r="M170" s="84" t="str">
        <f t="shared" si="39"/>
        <v/>
      </c>
      <c r="N170" s="84" t="str">
        <f t="shared" si="40"/>
        <v/>
      </c>
      <c r="P170">
        <f t="shared" si="50"/>
        <v>160402</v>
      </c>
      <c r="Q170">
        <f t="shared" si="47"/>
        <v>0.0062</v>
      </c>
      <c r="R170" s="64" t="s">
        <v>301</v>
      </c>
      <c r="S170">
        <f>ROUND(E170*$Q$1,4)</f>
        <v>0</v>
      </c>
      <c r="T170" s="64" t="s">
        <v>301</v>
      </c>
      <c r="U170">
        <f t="shared" si="36"/>
        <v>0</v>
      </c>
      <c r="V170">
        <f t="shared" si="41"/>
        <v>0.0468</v>
      </c>
      <c r="W170" t="str">
        <f t="shared" si="42"/>
        <v/>
      </c>
      <c r="X170" t="str">
        <f t="shared" si="43"/>
        <v/>
      </c>
      <c r="Z170" s="65" t="str">
        <f t="shared" si="51"/>
        <v>0.0062,0,0</v>
      </c>
      <c r="AA170" s="96">
        <v>0.0062</v>
      </c>
      <c r="AB170" t="str">
        <f t="shared" si="49"/>
        <v>0.0468</v>
      </c>
      <c r="AF170" s="37" t="s">
        <v>94</v>
      </c>
    </row>
    <row r="171" ht="16.25" spans="1:32">
      <c r="A171" s="31">
        <v>203</v>
      </c>
      <c r="B171" s="92">
        <v>260502</v>
      </c>
      <c r="C171" s="77">
        <v>11</v>
      </c>
      <c r="D171" s="78">
        <v>0.0102</v>
      </c>
      <c r="E171" s="78"/>
      <c r="F171" s="78"/>
      <c r="G171" s="79"/>
      <c r="H171" s="77">
        <v>11</v>
      </c>
      <c r="I171" s="79"/>
      <c r="J171" s="79"/>
      <c r="K171" s="84">
        <f t="shared" si="37"/>
        <v>0.0612</v>
      </c>
      <c r="L171" s="84" t="str">
        <f t="shared" si="38"/>
        <v/>
      </c>
      <c r="M171" s="84" t="str">
        <f t="shared" si="39"/>
        <v/>
      </c>
      <c r="N171" s="84" t="str">
        <f t="shared" si="40"/>
        <v/>
      </c>
      <c r="P171">
        <f t="shared" si="50"/>
        <v>160502</v>
      </c>
      <c r="Q171">
        <f t="shared" si="47"/>
        <v>0.0082</v>
      </c>
      <c r="R171" s="64" t="s">
        <v>301</v>
      </c>
      <c r="S171">
        <f>ROUND(E171*$Q$1,4)</f>
        <v>0</v>
      </c>
      <c r="T171" s="64" t="s">
        <v>301</v>
      </c>
      <c r="U171">
        <f t="shared" si="36"/>
        <v>0</v>
      </c>
      <c r="V171">
        <f t="shared" si="41"/>
        <v>0.0612</v>
      </c>
      <c r="W171" t="str">
        <f t="shared" si="42"/>
        <v/>
      </c>
      <c r="X171" t="str">
        <f t="shared" si="43"/>
        <v/>
      </c>
      <c r="Z171" s="65" t="str">
        <f t="shared" si="51"/>
        <v>0.0082,0,0</v>
      </c>
      <c r="AA171" s="96">
        <v>0.0082</v>
      </c>
      <c r="AB171" t="str">
        <f t="shared" si="49"/>
        <v>0.0612</v>
      </c>
      <c r="AF171" s="37" t="s">
        <v>98</v>
      </c>
    </row>
    <row r="172" ht="16.25" spans="1:32">
      <c r="A172" s="31">
        <v>203</v>
      </c>
      <c r="B172" s="92">
        <v>260602</v>
      </c>
      <c r="C172" s="77">
        <v>11</v>
      </c>
      <c r="D172" s="78">
        <v>0.0051</v>
      </c>
      <c r="E172" s="78"/>
      <c r="F172" s="78"/>
      <c r="G172" s="79"/>
      <c r="H172" s="77">
        <v>11</v>
      </c>
      <c r="I172" s="79"/>
      <c r="J172" s="79"/>
      <c r="K172" s="84">
        <f t="shared" si="37"/>
        <v>0.0306</v>
      </c>
      <c r="L172" s="84" t="str">
        <f t="shared" si="38"/>
        <v/>
      </c>
      <c r="M172" s="84" t="str">
        <f t="shared" si="39"/>
        <v/>
      </c>
      <c r="N172" s="84" t="str">
        <f t="shared" si="40"/>
        <v/>
      </c>
      <c r="P172">
        <f t="shared" si="50"/>
        <v>160602</v>
      </c>
      <c r="Q172">
        <f t="shared" si="47"/>
        <v>0.0041</v>
      </c>
      <c r="R172" s="64" t="s">
        <v>301</v>
      </c>
      <c r="S172">
        <f>ROUND(E172*$Q$1,4)</f>
        <v>0</v>
      </c>
      <c r="T172" s="64" t="s">
        <v>301</v>
      </c>
      <c r="U172">
        <f t="shared" si="36"/>
        <v>0</v>
      </c>
      <c r="V172">
        <f t="shared" si="41"/>
        <v>0.0306</v>
      </c>
      <c r="W172" t="str">
        <f t="shared" si="42"/>
        <v/>
      </c>
      <c r="X172" t="str">
        <f t="shared" si="43"/>
        <v/>
      </c>
      <c r="Z172" s="65" t="str">
        <f t="shared" si="51"/>
        <v>0.0041,0,0</v>
      </c>
      <c r="AA172" s="96">
        <v>0.0041</v>
      </c>
      <c r="AB172" t="str">
        <f t="shared" si="49"/>
        <v>0.0306</v>
      </c>
      <c r="AF172" s="37" t="s">
        <v>102</v>
      </c>
    </row>
    <row r="173" ht="16.25" spans="1:32">
      <c r="A173" s="31">
        <v>203</v>
      </c>
      <c r="B173" s="92">
        <v>260702</v>
      </c>
      <c r="C173" s="77">
        <v>11</v>
      </c>
      <c r="D173" s="78">
        <v>0.0051</v>
      </c>
      <c r="E173" s="78"/>
      <c r="F173" s="78"/>
      <c r="G173" s="79"/>
      <c r="H173" s="77">
        <v>11</v>
      </c>
      <c r="I173" s="79"/>
      <c r="J173" s="79"/>
      <c r="K173" s="84">
        <f t="shared" si="37"/>
        <v>0.0306</v>
      </c>
      <c r="L173" s="84" t="str">
        <f t="shared" si="38"/>
        <v/>
      </c>
      <c r="M173" s="84" t="str">
        <f t="shared" si="39"/>
        <v/>
      </c>
      <c r="N173" s="84" t="str">
        <f t="shared" si="40"/>
        <v/>
      </c>
      <c r="P173">
        <f t="shared" si="50"/>
        <v>160702</v>
      </c>
      <c r="Q173">
        <f t="shared" si="47"/>
        <v>0.0041</v>
      </c>
      <c r="R173" s="64" t="s">
        <v>301</v>
      </c>
      <c r="S173">
        <f>ROUND(E173*$Q$1,4)</f>
        <v>0</v>
      </c>
      <c r="T173" s="64" t="s">
        <v>301</v>
      </c>
      <c r="U173">
        <f t="shared" si="36"/>
        <v>0</v>
      </c>
      <c r="V173">
        <f t="shared" si="41"/>
        <v>0.0306</v>
      </c>
      <c r="W173" t="str">
        <f t="shared" si="42"/>
        <v/>
      </c>
      <c r="X173" t="str">
        <f t="shared" si="43"/>
        <v/>
      </c>
      <c r="Z173" s="65" t="str">
        <f t="shared" si="51"/>
        <v>0.0041,0,0</v>
      </c>
      <c r="AA173" s="96">
        <v>0.0041</v>
      </c>
      <c r="AB173" t="str">
        <f t="shared" si="49"/>
        <v>0.0306</v>
      </c>
      <c r="AF173" s="37" t="s">
        <v>106</v>
      </c>
    </row>
    <row r="174" ht="16.25" spans="1:32">
      <c r="A174" s="31">
        <v>203</v>
      </c>
      <c r="B174" s="92">
        <v>260802</v>
      </c>
      <c r="C174" s="77" t="s">
        <v>242</v>
      </c>
      <c r="D174" s="78">
        <v>0.006</v>
      </c>
      <c r="E174" s="78">
        <v>0.0043</v>
      </c>
      <c r="F174" s="78">
        <v>0.009</v>
      </c>
      <c r="G174" s="79"/>
      <c r="H174" s="77">
        <v>8</v>
      </c>
      <c r="I174" s="79">
        <v>10</v>
      </c>
      <c r="J174" s="79">
        <v>26</v>
      </c>
      <c r="K174" s="84">
        <f t="shared" si="37"/>
        <v>0.036</v>
      </c>
      <c r="L174" s="84">
        <f t="shared" si="38"/>
        <v>0.0258</v>
      </c>
      <c r="M174" s="84">
        <f t="shared" si="39"/>
        <v>0.054</v>
      </c>
      <c r="N174" s="84" t="str">
        <f t="shared" si="40"/>
        <v/>
      </c>
      <c r="P174">
        <f t="shared" si="50"/>
        <v>160802</v>
      </c>
      <c r="Q174">
        <f t="shared" si="47"/>
        <v>0.0048</v>
      </c>
      <c r="R174" s="64" t="s">
        <v>301</v>
      </c>
      <c r="S174">
        <f>ROUND(E174*$Q$1,4)</f>
        <v>0.0034</v>
      </c>
      <c r="T174" s="64" t="s">
        <v>301</v>
      </c>
      <c r="U174">
        <f t="shared" si="36"/>
        <v>0.0072</v>
      </c>
      <c r="V174">
        <f t="shared" si="41"/>
        <v>0.036</v>
      </c>
      <c r="W174">
        <f t="shared" si="42"/>
        <v>0.0258</v>
      </c>
      <c r="X174">
        <f t="shared" si="43"/>
        <v>0.054</v>
      </c>
      <c r="Z174" s="65" t="str">
        <f t="shared" si="51"/>
        <v>0.0048,0.0034,0.0072</v>
      </c>
      <c r="AA174" s="96" t="s">
        <v>247</v>
      </c>
      <c r="AB174" t="str">
        <f t="shared" si="49"/>
        <v>0.036,0.0258,0.054</v>
      </c>
      <c r="AF174" s="37" t="s">
        <v>110</v>
      </c>
    </row>
    <row r="175" ht="16.25" spans="1:32">
      <c r="A175" s="31">
        <v>203</v>
      </c>
      <c r="B175" s="92">
        <v>260902</v>
      </c>
      <c r="C175" s="77" t="s">
        <v>244</v>
      </c>
      <c r="D175" s="78">
        <v>0.006</v>
      </c>
      <c r="E175" s="78">
        <v>0.0043</v>
      </c>
      <c r="F175" s="78"/>
      <c r="G175" s="79"/>
      <c r="H175" s="77">
        <v>8</v>
      </c>
      <c r="I175" s="79">
        <v>10</v>
      </c>
      <c r="J175" s="79"/>
      <c r="K175" s="84">
        <f t="shared" si="37"/>
        <v>0.036</v>
      </c>
      <c r="L175" s="84">
        <f t="shared" si="38"/>
        <v>0.0258</v>
      </c>
      <c r="M175" s="84" t="str">
        <f t="shared" si="39"/>
        <v/>
      </c>
      <c r="N175" s="84" t="str">
        <f t="shared" si="40"/>
        <v/>
      </c>
      <c r="P175">
        <f t="shared" si="50"/>
        <v>160902</v>
      </c>
      <c r="Q175">
        <f t="shared" si="47"/>
        <v>0.0048</v>
      </c>
      <c r="R175" s="64" t="s">
        <v>301</v>
      </c>
      <c r="S175">
        <f>ROUND(E175*$Q$1,4)</f>
        <v>0.0034</v>
      </c>
      <c r="T175" s="64" t="s">
        <v>301</v>
      </c>
      <c r="U175">
        <f t="shared" si="36"/>
        <v>0</v>
      </c>
      <c r="V175">
        <f t="shared" si="41"/>
        <v>0.036</v>
      </c>
      <c r="W175">
        <f t="shared" si="42"/>
        <v>0.0258</v>
      </c>
      <c r="X175" t="str">
        <f t="shared" si="43"/>
        <v/>
      </c>
      <c r="Z175" s="65" t="str">
        <f t="shared" si="51"/>
        <v>0.0048,0.0034,0</v>
      </c>
      <c r="AA175" s="96" t="s">
        <v>248</v>
      </c>
      <c r="AB175" t="str">
        <f t="shared" si="49"/>
        <v>0.036,0.0258</v>
      </c>
      <c r="AF175" s="37" t="s">
        <v>114</v>
      </c>
    </row>
    <row r="176" ht="16.25" spans="1:32">
      <c r="A176" s="31">
        <v>204</v>
      </c>
      <c r="B176" s="95">
        <v>250102</v>
      </c>
      <c r="C176" s="68">
        <v>6</v>
      </c>
      <c r="D176" s="81">
        <v>0.0358</v>
      </c>
      <c r="E176" s="81"/>
      <c r="F176" s="81"/>
      <c r="G176" s="82"/>
      <c r="H176" s="68">
        <v>6</v>
      </c>
      <c r="I176" s="82"/>
      <c r="J176" s="82"/>
      <c r="K176" s="84">
        <f t="shared" si="37"/>
        <v>0.2148</v>
      </c>
      <c r="L176" s="84" t="str">
        <f t="shared" si="38"/>
        <v/>
      </c>
      <c r="M176" s="84" t="str">
        <f t="shared" si="39"/>
        <v/>
      </c>
      <c r="N176" s="84" t="str">
        <f t="shared" si="40"/>
        <v/>
      </c>
      <c r="P176">
        <f t="shared" si="50"/>
        <v>150102</v>
      </c>
      <c r="Q176">
        <f t="shared" si="47"/>
        <v>0.0286</v>
      </c>
      <c r="R176" s="64" t="s">
        <v>301</v>
      </c>
      <c r="S176">
        <f>ROUND(E176*$Q$1,4)</f>
        <v>0</v>
      </c>
      <c r="T176" s="64" t="s">
        <v>301</v>
      </c>
      <c r="U176">
        <f t="shared" si="36"/>
        <v>0</v>
      </c>
      <c r="V176">
        <f t="shared" si="41"/>
        <v>0.2148</v>
      </c>
      <c r="W176" t="str">
        <f t="shared" si="42"/>
        <v/>
      </c>
      <c r="X176" t="str">
        <f t="shared" si="43"/>
        <v/>
      </c>
      <c r="Z176" s="65" t="str">
        <f t="shared" si="51"/>
        <v>0.0286,0,0</v>
      </c>
      <c r="AA176" s="8">
        <v>0.0286</v>
      </c>
      <c r="AB176" t="str">
        <f t="shared" si="49"/>
        <v>0.2148</v>
      </c>
      <c r="AF176" s="38" t="s">
        <v>46</v>
      </c>
    </row>
    <row r="177" ht="16.25" spans="1:32">
      <c r="A177" s="31">
        <v>204</v>
      </c>
      <c r="B177" s="95">
        <v>250102</v>
      </c>
      <c r="C177" s="68">
        <v>4</v>
      </c>
      <c r="D177" s="81">
        <v>14.57</v>
      </c>
      <c r="E177" s="81"/>
      <c r="F177" s="81"/>
      <c r="G177" s="82"/>
      <c r="H177" s="68">
        <v>4</v>
      </c>
      <c r="I177" s="82"/>
      <c r="J177" s="82"/>
      <c r="K177" s="84">
        <f t="shared" si="37"/>
        <v>29.14</v>
      </c>
      <c r="L177" s="84" t="str">
        <f t="shared" si="38"/>
        <v/>
      </c>
      <c r="M177" s="84" t="str">
        <f t="shared" si="39"/>
        <v/>
      </c>
      <c r="N177" s="84" t="str">
        <f t="shared" si="40"/>
        <v/>
      </c>
      <c r="P177">
        <f t="shared" si="50"/>
        <v>150102</v>
      </c>
      <c r="Q177">
        <f t="shared" si="47"/>
        <v>11.656</v>
      </c>
      <c r="R177" s="64" t="s">
        <v>301</v>
      </c>
      <c r="S177">
        <f t="shared" ref="S177:S240" si="52">ROUND(E177*$Q$1,4)</f>
        <v>0</v>
      </c>
      <c r="T177" s="64" t="s">
        <v>301</v>
      </c>
      <c r="U177">
        <f t="shared" si="36"/>
        <v>0</v>
      </c>
      <c r="V177">
        <f t="shared" si="41"/>
        <v>30</v>
      </c>
      <c r="W177" t="str">
        <f t="shared" si="42"/>
        <v/>
      </c>
      <c r="X177" t="str">
        <f t="shared" si="43"/>
        <v/>
      </c>
      <c r="Z177" s="65" t="str">
        <f t="shared" si="51"/>
        <v>11.656,0,0</v>
      </c>
      <c r="AA177" s="8">
        <v>11.656</v>
      </c>
      <c r="AB177" t="str">
        <f t="shared" si="49"/>
        <v>30</v>
      </c>
      <c r="AF177" s="38"/>
    </row>
    <row r="178" ht="16.25" spans="1:32">
      <c r="A178" s="31">
        <v>204</v>
      </c>
      <c r="B178" s="95">
        <v>250202</v>
      </c>
      <c r="C178" s="68">
        <v>6</v>
      </c>
      <c r="D178" s="81">
        <v>0.009</v>
      </c>
      <c r="E178" s="81"/>
      <c r="F178" s="81"/>
      <c r="G178" s="82"/>
      <c r="H178" s="68">
        <v>6</v>
      </c>
      <c r="I178" s="82"/>
      <c r="J178" s="82"/>
      <c r="K178" s="84">
        <f t="shared" si="37"/>
        <v>0.054</v>
      </c>
      <c r="L178" s="84" t="str">
        <f t="shared" si="38"/>
        <v/>
      </c>
      <c r="M178" s="84" t="str">
        <f t="shared" si="39"/>
        <v/>
      </c>
      <c r="N178" s="84" t="str">
        <f t="shared" si="40"/>
        <v/>
      </c>
      <c r="P178">
        <f t="shared" si="50"/>
        <v>150202</v>
      </c>
      <c r="Q178">
        <f t="shared" si="47"/>
        <v>0.0072</v>
      </c>
      <c r="R178" s="64" t="s">
        <v>301</v>
      </c>
      <c r="S178">
        <f t="shared" si="52"/>
        <v>0</v>
      </c>
      <c r="T178" s="64" t="s">
        <v>301</v>
      </c>
      <c r="U178">
        <f t="shared" si="36"/>
        <v>0</v>
      </c>
      <c r="V178">
        <f t="shared" si="41"/>
        <v>0.054</v>
      </c>
      <c r="W178" t="str">
        <f t="shared" si="42"/>
        <v/>
      </c>
      <c r="X178" t="str">
        <f t="shared" si="43"/>
        <v/>
      </c>
      <c r="Z178" s="65" t="str">
        <f t="shared" si="51"/>
        <v>0.0072,0,0</v>
      </c>
      <c r="AA178" s="8">
        <v>0.0072</v>
      </c>
      <c r="AB178" t="str">
        <f t="shared" si="49"/>
        <v>0.054</v>
      </c>
      <c r="AF178" s="38" t="s">
        <v>50</v>
      </c>
    </row>
    <row r="179" ht="16.25" spans="1:32">
      <c r="A179" s="31">
        <v>204</v>
      </c>
      <c r="B179" s="95">
        <v>250202</v>
      </c>
      <c r="C179" s="68">
        <v>4</v>
      </c>
      <c r="D179" s="81">
        <v>14.57</v>
      </c>
      <c r="E179" s="81"/>
      <c r="F179" s="81"/>
      <c r="G179" s="82"/>
      <c r="H179" s="68">
        <v>4</v>
      </c>
      <c r="I179" s="82"/>
      <c r="J179" s="82"/>
      <c r="K179" s="84">
        <f t="shared" si="37"/>
        <v>29.14</v>
      </c>
      <c r="L179" s="84" t="str">
        <f t="shared" si="38"/>
        <v/>
      </c>
      <c r="M179" s="84" t="str">
        <f t="shared" si="39"/>
        <v/>
      </c>
      <c r="N179" s="84" t="str">
        <f t="shared" si="40"/>
        <v/>
      </c>
      <c r="P179">
        <f t="shared" si="50"/>
        <v>150202</v>
      </c>
      <c r="Q179">
        <f t="shared" si="47"/>
        <v>11.656</v>
      </c>
      <c r="R179" s="64" t="s">
        <v>301</v>
      </c>
      <c r="S179">
        <f t="shared" si="52"/>
        <v>0</v>
      </c>
      <c r="T179" s="64" t="s">
        <v>301</v>
      </c>
      <c r="U179">
        <f t="shared" si="36"/>
        <v>0</v>
      </c>
      <c r="V179">
        <f t="shared" si="41"/>
        <v>30</v>
      </c>
      <c r="W179" t="str">
        <f t="shared" si="42"/>
        <v/>
      </c>
      <c r="X179" t="str">
        <f t="shared" si="43"/>
        <v/>
      </c>
      <c r="Z179" s="65" t="str">
        <f t="shared" si="51"/>
        <v>11.656,0,0</v>
      </c>
      <c r="AA179" s="8">
        <v>11.656</v>
      </c>
      <c r="AB179" t="str">
        <f t="shared" si="49"/>
        <v>30</v>
      </c>
      <c r="AF179" s="38"/>
    </row>
    <row r="180" ht="16.25" spans="1:32">
      <c r="A180" s="31">
        <v>204</v>
      </c>
      <c r="B180" s="95">
        <v>250202</v>
      </c>
      <c r="C180" s="68">
        <v>35</v>
      </c>
      <c r="D180" s="81">
        <v>0.0307</v>
      </c>
      <c r="E180" s="81"/>
      <c r="F180" s="81"/>
      <c r="G180" s="82"/>
      <c r="H180" s="68">
        <v>35</v>
      </c>
      <c r="I180" s="82"/>
      <c r="J180" s="82"/>
      <c r="K180" s="84">
        <f t="shared" si="37"/>
        <v>0.1842</v>
      </c>
      <c r="L180" s="84" t="str">
        <f t="shared" si="38"/>
        <v/>
      </c>
      <c r="M180" s="84" t="str">
        <f t="shared" si="39"/>
        <v/>
      </c>
      <c r="N180" s="84" t="str">
        <f t="shared" si="40"/>
        <v/>
      </c>
      <c r="P180">
        <f t="shared" si="50"/>
        <v>150202</v>
      </c>
      <c r="Q180">
        <f t="shared" si="47"/>
        <v>0.0246</v>
      </c>
      <c r="R180" s="64" t="s">
        <v>301</v>
      </c>
      <c r="S180">
        <f t="shared" si="52"/>
        <v>0</v>
      </c>
      <c r="T180" s="64" t="s">
        <v>301</v>
      </c>
      <c r="U180">
        <f t="shared" si="36"/>
        <v>0</v>
      </c>
      <c r="V180">
        <f t="shared" si="41"/>
        <v>0.1842</v>
      </c>
      <c r="W180" t="str">
        <f t="shared" si="42"/>
        <v/>
      </c>
      <c r="X180" t="str">
        <f t="shared" si="43"/>
        <v/>
      </c>
      <c r="Z180" s="65" t="str">
        <f t="shared" si="51"/>
        <v>0.0246,0,0</v>
      </c>
      <c r="AA180" s="8">
        <v>0.0246</v>
      </c>
      <c r="AB180" t="str">
        <f t="shared" si="49"/>
        <v>0.1842</v>
      </c>
      <c r="AF180" s="38"/>
    </row>
    <row r="181" ht="16.25" spans="1:32">
      <c r="A181" s="31">
        <v>204</v>
      </c>
      <c r="B181" s="95">
        <v>250302</v>
      </c>
      <c r="C181" s="68">
        <v>6</v>
      </c>
      <c r="D181" s="81">
        <v>0.009</v>
      </c>
      <c r="E181" s="81"/>
      <c r="F181" s="81"/>
      <c r="G181" s="82"/>
      <c r="H181" s="68">
        <v>6</v>
      </c>
      <c r="I181" s="82"/>
      <c r="J181" s="82"/>
      <c r="K181" s="84">
        <f t="shared" si="37"/>
        <v>0.054</v>
      </c>
      <c r="L181" s="84" t="str">
        <f t="shared" si="38"/>
        <v/>
      </c>
      <c r="M181" s="84" t="str">
        <f t="shared" si="39"/>
        <v/>
      </c>
      <c r="N181" s="84" t="str">
        <f t="shared" si="40"/>
        <v/>
      </c>
      <c r="P181">
        <f t="shared" si="50"/>
        <v>150302</v>
      </c>
      <c r="Q181">
        <f t="shared" si="47"/>
        <v>0.0072</v>
      </c>
      <c r="R181" s="64" t="s">
        <v>301</v>
      </c>
      <c r="S181">
        <f t="shared" si="52"/>
        <v>0</v>
      </c>
      <c r="T181" s="64" t="s">
        <v>301</v>
      </c>
      <c r="U181">
        <f t="shared" si="36"/>
        <v>0</v>
      </c>
      <c r="V181">
        <f t="shared" si="41"/>
        <v>0.054</v>
      </c>
      <c r="W181" t="str">
        <f t="shared" si="42"/>
        <v/>
      </c>
      <c r="X181" t="str">
        <f t="shared" si="43"/>
        <v/>
      </c>
      <c r="Z181" s="65" t="str">
        <f t="shared" si="51"/>
        <v>0.0072,0,0</v>
      </c>
      <c r="AA181" s="8">
        <v>0.0072</v>
      </c>
      <c r="AB181" t="str">
        <f t="shared" si="49"/>
        <v>0.054</v>
      </c>
      <c r="AF181" s="38" t="s">
        <v>54</v>
      </c>
    </row>
    <row r="182" ht="16.25" spans="1:32">
      <c r="A182" s="31">
        <v>204</v>
      </c>
      <c r="B182" s="95">
        <v>250302</v>
      </c>
      <c r="C182" s="68">
        <v>4</v>
      </c>
      <c r="D182" s="81">
        <v>14.57</v>
      </c>
      <c r="E182" s="81"/>
      <c r="F182" s="81"/>
      <c r="G182" s="82"/>
      <c r="H182" s="68">
        <v>4</v>
      </c>
      <c r="I182" s="82"/>
      <c r="J182" s="82"/>
      <c r="K182" s="84">
        <f t="shared" si="37"/>
        <v>29.14</v>
      </c>
      <c r="L182" s="84" t="str">
        <f t="shared" si="38"/>
        <v/>
      </c>
      <c r="M182" s="84" t="str">
        <f t="shared" si="39"/>
        <v/>
      </c>
      <c r="N182" s="84" t="str">
        <f t="shared" si="40"/>
        <v/>
      </c>
      <c r="P182">
        <f t="shared" si="50"/>
        <v>150302</v>
      </c>
      <c r="Q182">
        <f t="shared" si="47"/>
        <v>11.656</v>
      </c>
      <c r="R182" s="64" t="s">
        <v>301</v>
      </c>
      <c r="S182">
        <f t="shared" si="52"/>
        <v>0</v>
      </c>
      <c r="T182" s="64" t="s">
        <v>301</v>
      </c>
      <c r="U182">
        <f t="shared" si="36"/>
        <v>0</v>
      </c>
      <c r="V182">
        <f t="shared" si="41"/>
        <v>30</v>
      </c>
      <c r="W182" t="str">
        <f t="shared" si="42"/>
        <v/>
      </c>
      <c r="X182" t="str">
        <f t="shared" si="43"/>
        <v/>
      </c>
      <c r="Z182" s="65" t="str">
        <f t="shared" si="51"/>
        <v>11.656,0,0</v>
      </c>
      <c r="AA182" s="8">
        <v>11.656</v>
      </c>
      <c r="AB182" t="str">
        <f t="shared" si="49"/>
        <v>30</v>
      </c>
      <c r="AF182" s="38"/>
    </row>
    <row r="183" ht="16.25" spans="1:32">
      <c r="A183" s="31">
        <v>204</v>
      </c>
      <c r="B183" s="95">
        <v>250402</v>
      </c>
      <c r="C183" s="68">
        <v>6</v>
      </c>
      <c r="D183" s="81">
        <v>0.0272</v>
      </c>
      <c r="E183" s="81"/>
      <c r="F183" s="81"/>
      <c r="G183" s="82"/>
      <c r="H183" s="68">
        <v>6</v>
      </c>
      <c r="I183" s="82"/>
      <c r="J183" s="82"/>
      <c r="K183" s="84">
        <f t="shared" si="37"/>
        <v>0.1632</v>
      </c>
      <c r="L183" s="84" t="str">
        <f t="shared" si="38"/>
        <v/>
      </c>
      <c r="M183" s="84" t="str">
        <f t="shared" si="39"/>
        <v/>
      </c>
      <c r="N183" s="84" t="str">
        <f t="shared" si="40"/>
        <v/>
      </c>
      <c r="P183">
        <f t="shared" si="50"/>
        <v>150402</v>
      </c>
      <c r="Q183">
        <f t="shared" si="47"/>
        <v>0.0218</v>
      </c>
      <c r="R183" s="64" t="s">
        <v>301</v>
      </c>
      <c r="S183">
        <f t="shared" si="52"/>
        <v>0</v>
      </c>
      <c r="T183" s="64" t="s">
        <v>301</v>
      </c>
      <c r="U183">
        <f t="shared" ref="U183:U246" si="53">ROUND(F183*$Q$1,4)</f>
        <v>0</v>
      </c>
      <c r="V183">
        <f t="shared" si="41"/>
        <v>0.1632</v>
      </c>
      <c r="W183" t="str">
        <f t="shared" si="42"/>
        <v/>
      </c>
      <c r="X183" t="str">
        <f t="shared" si="43"/>
        <v/>
      </c>
      <c r="Z183" s="65" t="str">
        <f t="shared" si="51"/>
        <v>0.0218,0,0</v>
      </c>
      <c r="AA183" s="8">
        <v>0.0218</v>
      </c>
      <c r="AB183" t="str">
        <f t="shared" si="49"/>
        <v>0.1632</v>
      </c>
      <c r="AF183" s="38" t="s">
        <v>58</v>
      </c>
    </row>
    <row r="184" ht="16.25" spans="1:32">
      <c r="A184" s="31">
        <v>204</v>
      </c>
      <c r="B184" s="95">
        <v>250402</v>
      </c>
      <c r="C184" s="68">
        <v>4</v>
      </c>
      <c r="D184" s="81">
        <v>14.57</v>
      </c>
      <c r="E184" s="81"/>
      <c r="F184" s="81"/>
      <c r="G184" s="82"/>
      <c r="H184" s="68">
        <v>4</v>
      </c>
      <c r="I184" s="82"/>
      <c r="J184" s="82"/>
      <c r="K184" s="84">
        <f t="shared" si="37"/>
        <v>29.14</v>
      </c>
      <c r="L184" s="84" t="str">
        <f t="shared" si="38"/>
        <v/>
      </c>
      <c r="M184" s="84" t="str">
        <f t="shared" si="39"/>
        <v/>
      </c>
      <c r="N184" s="84" t="str">
        <f t="shared" si="40"/>
        <v/>
      </c>
      <c r="P184">
        <f t="shared" si="50"/>
        <v>150402</v>
      </c>
      <c r="Q184">
        <f t="shared" si="47"/>
        <v>11.656</v>
      </c>
      <c r="R184" s="64" t="s">
        <v>301</v>
      </c>
      <c r="S184">
        <f t="shared" si="52"/>
        <v>0</v>
      </c>
      <c r="T184" s="64" t="s">
        <v>301</v>
      </c>
      <c r="U184">
        <f t="shared" si="53"/>
        <v>0</v>
      </c>
      <c r="V184">
        <f t="shared" si="41"/>
        <v>30</v>
      </c>
      <c r="W184" t="str">
        <f t="shared" si="42"/>
        <v/>
      </c>
      <c r="X184" t="str">
        <f t="shared" si="43"/>
        <v/>
      </c>
      <c r="Z184" s="65" t="str">
        <f t="shared" si="51"/>
        <v>11.656,0,0</v>
      </c>
      <c r="AA184" s="8">
        <v>11.656</v>
      </c>
      <c r="AB184" t="str">
        <f t="shared" si="49"/>
        <v>30</v>
      </c>
      <c r="AF184" s="38"/>
    </row>
    <row r="185" ht="16.25" spans="1:32">
      <c r="A185" s="31">
        <v>204</v>
      </c>
      <c r="B185" s="95">
        <v>250502</v>
      </c>
      <c r="C185" s="68">
        <v>11</v>
      </c>
      <c r="D185" s="81">
        <v>0.0117</v>
      </c>
      <c r="E185" s="81"/>
      <c r="F185" s="81"/>
      <c r="G185" s="82"/>
      <c r="H185" s="68">
        <v>11</v>
      </c>
      <c r="I185" s="82"/>
      <c r="J185" s="82"/>
      <c r="K185" s="84">
        <f t="shared" si="37"/>
        <v>0.0702</v>
      </c>
      <c r="L185" s="84" t="str">
        <f t="shared" si="38"/>
        <v/>
      </c>
      <c r="M185" s="84" t="str">
        <f t="shared" si="39"/>
        <v/>
      </c>
      <c r="N185" s="84" t="str">
        <f t="shared" si="40"/>
        <v/>
      </c>
      <c r="P185">
        <f t="shared" si="50"/>
        <v>150502</v>
      </c>
      <c r="Q185">
        <f t="shared" si="47"/>
        <v>0.0094</v>
      </c>
      <c r="R185" s="64" t="s">
        <v>301</v>
      </c>
      <c r="S185">
        <f t="shared" si="52"/>
        <v>0</v>
      </c>
      <c r="T185" s="64" t="s">
        <v>301</v>
      </c>
      <c r="U185">
        <f t="shared" si="53"/>
        <v>0</v>
      </c>
      <c r="V185">
        <f t="shared" si="41"/>
        <v>0.0702</v>
      </c>
      <c r="W185" t="str">
        <f t="shared" si="42"/>
        <v/>
      </c>
      <c r="X185" t="str">
        <f t="shared" si="43"/>
        <v/>
      </c>
      <c r="Z185" s="65" t="str">
        <f t="shared" ref="Z185:Z219" si="54">Q185&amp;R185&amp;S185&amp;T185&amp;U185</f>
        <v>0.0094,0,0</v>
      </c>
      <c r="AA185" s="8">
        <v>0.0094</v>
      </c>
      <c r="AB185" t="str">
        <f t="shared" si="49"/>
        <v>0.0702</v>
      </c>
      <c r="AF185" s="38" t="s">
        <v>62</v>
      </c>
    </row>
    <row r="186" ht="16.25" spans="1:32">
      <c r="A186" s="31">
        <v>204</v>
      </c>
      <c r="B186" s="95">
        <v>250502</v>
      </c>
      <c r="C186" s="68">
        <v>4</v>
      </c>
      <c r="D186" s="81">
        <v>14.57</v>
      </c>
      <c r="E186" s="81"/>
      <c r="F186" s="81"/>
      <c r="G186" s="82"/>
      <c r="H186" s="68">
        <v>4</v>
      </c>
      <c r="I186" s="82"/>
      <c r="J186" s="82"/>
      <c r="K186" s="84">
        <f t="shared" si="37"/>
        <v>29.14</v>
      </c>
      <c r="L186" s="84" t="str">
        <f t="shared" si="38"/>
        <v/>
      </c>
      <c r="M186" s="84" t="str">
        <f t="shared" si="39"/>
        <v/>
      </c>
      <c r="N186" s="84" t="str">
        <f t="shared" si="40"/>
        <v/>
      </c>
      <c r="P186">
        <f t="shared" si="50"/>
        <v>150502</v>
      </c>
      <c r="Q186">
        <f t="shared" si="47"/>
        <v>11.656</v>
      </c>
      <c r="R186" s="64" t="s">
        <v>301</v>
      </c>
      <c r="S186">
        <f t="shared" si="52"/>
        <v>0</v>
      </c>
      <c r="T186" s="64" t="s">
        <v>301</v>
      </c>
      <c r="U186">
        <f t="shared" si="53"/>
        <v>0</v>
      </c>
      <c r="V186">
        <f t="shared" si="41"/>
        <v>30</v>
      </c>
      <c r="W186" t="str">
        <f t="shared" si="42"/>
        <v/>
      </c>
      <c r="X186" t="str">
        <f t="shared" si="43"/>
        <v/>
      </c>
      <c r="Z186" s="65" t="str">
        <f t="shared" si="54"/>
        <v>11.656,0,0</v>
      </c>
      <c r="AA186" s="8">
        <v>11.656</v>
      </c>
      <c r="AB186" t="str">
        <f t="shared" si="49"/>
        <v>30</v>
      </c>
      <c r="AF186" s="38"/>
    </row>
    <row r="187" ht="16.25" spans="1:32">
      <c r="A187" s="31">
        <v>204</v>
      </c>
      <c r="B187" s="95">
        <v>250602</v>
      </c>
      <c r="C187" s="68">
        <v>11</v>
      </c>
      <c r="D187" s="81">
        <v>0.0058</v>
      </c>
      <c r="E187" s="81"/>
      <c r="F187" s="81"/>
      <c r="G187" s="82"/>
      <c r="H187" s="68">
        <v>11</v>
      </c>
      <c r="I187" s="82"/>
      <c r="J187" s="82"/>
      <c r="K187" s="84">
        <f t="shared" si="37"/>
        <v>0.0348</v>
      </c>
      <c r="L187" s="84" t="str">
        <f t="shared" si="38"/>
        <v/>
      </c>
      <c r="M187" s="84" t="str">
        <f t="shared" si="39"/>
        <v/>
      </c>
      <c r="N187" s="84" t="str">
        <f t="shared" si="40"/>
        <v/>
      </c>
      <c r="P187">
        <f t="shared" si="50"/>
        <v>150602</v>
      </c>
      <c r="Q187">
        <f t="shared" si="47"/>
        <v>0.0046</v>
      </c>
      <c r="R187" s="64" t="s">
        <v>301</v>
      </c>
      <c r="S187">
        <f t="shared" si="52"/>
        <v>0</v>
      </c>
      <c r="T187" s="64" t="s">
        <v>301</v>
      </c>
      <c r="U187">
        <f t="shared" si="53"/>
        <v>0</v>
      </c>
      <c r="V187">
        <f t="shared" si="41"/>
        <v>0.0348</v>
      </c>
      <c r="W187" t="str">
        <f t="shared" si="42"/>
        <v/>
      </c>
      <c r="X187" t="str">
        <f t="shared" si="43"/>
        <v/>
      </c>
      <c r="Z187" s="65" t="str">
        <f t="shared" si="54"/>
        <v>0.0046,0,0</v>
      </c>
      <c r="AA187" s="8">
        <v>0.0046</v>
      </c>
      <c r="AB187" t="str">
        <f t="shared" si="49"/>
        <v>0.0348</v>
      </c>
      <c r="AF187" s="38" t="s">
        <v>66</v>
      </c>
    </row>
    <row r="188" ht="16.25" spans="1:32">
      <c r="A188" s="31">
        <v>204</v>
      </c>
      <c r="B188" s="95">
        <v>250602</v>
      </c>
      <c r="C188" s="68">
        <v>4</v>
      </c>
      <c r="D188" s="81">
        <v>14.57</v>
      </c>
      <c r="E188" s="81"/>
      <c r="F188" s="81"/>
      <c r="G188" s="82"/>
      <c r="H188" s="68">
        <v>4</v>
      </c>
      <c r="I188" s="82"/>
      <c r="J188" s="82"/>
      <c r="K188" s="84">
        <f t="shared" si="37"/>
        <v>29.14</v>
      </c>
      <c r="L188" s="84" t="str">
        <f t="shared" si="38"/>
        <v/>
      </c>
      <c r="M188" s="84" t="str">
        <f t="shared" si="39"/>
        <v/>
      </c>
      <c r="N188" s="84" t="str">
        <f t="shared" si="40"/>
        <v/>
      </c>
      <c r="P188">
        <f t="shared" si="50"/>
        <v>150602</v>
      </c>
      <c r="Q188">
        <f t="shared" si="47"/>
        <v>11.656</v>
      </c>
      <c r="R188" s="64" t="s">
        <v>301</v>
      </c>
      <c r="S188">
        <f t="shared" si="52"/>
        <v>0</v>
      </c>
      <c r="T188" s="64" t="s">
        <v>301</v>
      </c>
      <c r="U188">
        <f t="shared" si="53"/>
        <v>0</v>
      </c>
      <c r="V188">
        <f t="shared" si="41"/>
        <v>30</v>
      </c>
      <c r="W188" t="str">
        <f t="shared" si="42"/>
        <v/>
      </c>
      <c r="X188" t="str">
        <f t="shared" si="43"/>
        <v/>
      </c>
      <c r="Z188" s="65" t="str">
        <f t="shared" si="54"/>
        <v>11.656,0,0</v>
      </c>
      <c r="AA188" s="8">
        <v>11.656</v>
      </c>
      <c r="AB188" t="str">
        <f t="shared" si="49"/>
        <v>30</v>
      </c>
      <c r="AF188" s="38"/>
    </row>
    <row r="189" ht="16.25" spans="1:32">
      <c r="A189" s="31">
        <v>204</v>
      </c>
      <c r="B189" s="95">
        <v>250702</v>
      </c>
      <c r="C189" s="68">
        <v>11</v>
      </c>
      <c r="D189" s="81">
        <v>0.0058</v>
      </c>
      <c r="E189" s="81"/>
      <c r="F189" s="81"/>
      <c r="G189" s="82"/>
      <c r="H189" s="68">
        <v>11</v>
      </c>
      <c r="I189" s="82"/>
      <c r="J189" s="82"/>
      <c r="K189" s="84">
        <f t="shared" si="37"/>
        <v>0.0348</v>
      </c>
      <c r="L189" s="84" t="str">
        <f t="shared" si="38"/>
        <v/>
      </c>
      <c r="M189" s="84" t="str">
        <f t="shared" si="39"/>
        <v/>
      </c>
      <c r="N189" s="84" t="str">
        <f t="shared" si="40"/>
        <v/>
      </c>
      <c r="P189">
        <f t="shared" si="50"/>
        <v>150702</v>
      </c>
      <c r="Q189">
        <f t="shared" si="47"/>
        <v>0.0046</v>
      </c>
      <c r="R189" s="64" t="s">
        <v>301</v>
      </c>
      <c r="S189">
        <f t="shared" si="52"/>
        <v>0</v>
      </c>
      <c r="T189" s="64" t="s">
        <v>301</v>
      </c>
      <c r="U189">
        <f t="shared" si="53"/>
        <v>0</v>
      </c>
      <c r="V189">
        <f t="shared" si="41"/>
        <v>0.0348</v>
      </c>
      <c r="W189" t="str">
        <f t="shared" si="42"/>
        <v/>
      </c>
      <c r="X189" t="str">
        <f t="shared" si="43"/>
        <v/>
      </c>
      <c r="Z189" s="65" t="str">
        <f t="shared" si="54"/>
        <v>0.0046,0,0</v>
      </c>
      <c r="AA189" s="8">
        <v>0.0046</v>
      </c>
      <c r="AB189" t="str">
        <f t="shared" si="49"/>
        <v>0.0348</v>
      </c>
      <c r="AF189" s="38" t="s">
        <v>70</v>
      </c>
    </row>
    <row r="190" ht="17" spans="1:32">
      <c r="A190" s="31">
        <v>204</v>
      </c>
      <c r="B190" s="95">
        <v>250702</v>
      </c>
      <c r="C190" s="68">
        <v>4</v>
      </c>
      <c r="D190" s="81">
        <v>14.57</v>
      </c>
      <c r="E190" s="81"/>
      <c r="F190" s="81"/>
      <c r="G190" s="82"/>
      <c r="H190" s="68">
        <v>4</v>
      </c>
      <c r="I190" s="82"/>
      <c r="J190" s="82"/>
      <c r="K190" s="84">
        <f t="shared" si="37"/>
        <v>29.14</v>
      </c>
      <c r="L190" s="84" t="str">
        <f t="shared" si="38"/>
        <v/>
      </c>
      <c r="M190" s="84" t="str">
        <f t="shared" si="39"/>
        <v/>
      </c>
      <c r="N190" s="84" t="str">
        <f t="shared" si="40"/>
        <v/>
      </c>
      <c r="P190">
        <f t="shared" si="50"/>
        <v>150702</v>
      </c>
      <c r="Q190">
        <f t="shared" si="47"/>
        <v>11.656</v>
      </c>
      <c r="R190" s="64" t="s">
        <v>301</v>
      </c>
      <c r="S190">
        <f t="shared" si="52"/>
        <v>0</v>
      </c>
      <c r="T190" s="64" t="s">
        <v>301</v>
      </c>
      <c r="U190">
        <f t="shared" si="53"/>
        <v>0</v>
      </c>
      <c r="V190">
        <f t="shared" si="41"/>
        <v>30</v>
      </c>
      <c r="W190" t="str">
        <f t="shared" si="42"/>
        <v/>
      </c>
      <c r="X190" t="str">
        <f t="shared" si="43"/>
        <v/>
      </c>
      <c r="Z190" s="65" t="str">
        <f t="shared" si="54"/>
        <v>11.656,0,0</v>
      </c>
      <c r="AA190" s="8">
        <v>11.656</v>
      </c>
      <c r="AB190" t="str">
        <f t="shared" si="49"/>
        <v>30</v>
      </c>
      <c r="AF190" s="38"/>
    </row>
    <row r="191" ht="16.25" spans="1:32">
      <c r="A191" s="31">
        <v>204</v>
      </c>
      <c r="B191" s="95">
        <v>250802</v>
      </c>
      <c r="C191" s="68">
        <v>7</v>
      </c>
      <c r="D191" s="89">
        <v>0.0082</v>
      </c>
      <c r="E191" s="89"/>
      <c r="F191" s="89"/>
      <c r="G191" s="82"/>
      <c r="H191" s="68">
        <v>7</v>
      </c>
      <c r="I191" s="82"/>
      <c r="J191" s="82"/>
      <c r="K191" s="84">
        <f t="shared" si="37"/>
        <v>0.0492</v>
      </c>
      <c r="L191" s="84" t="str">
        <f t="shared" si="38"/>
        <v/>
      </c>
      <c r="M191" s="84" t="str">
        <f t="shared" si="39"/>
        <v/>
      </c>
      <c r="N191" s="84" t="str">
        <f t="shared" si="40"/>
        <v/>
      </c>
      <c r="P191">
        <f t="shared" si="50"/>
        <v>150802</v>
      </c>
      <c r="Q191">
        <f t="shared" si="47"/>
        <v>0.0066</v>
      </c>
      <c r="R191" s="64" t="s">
        <v>301</v>
      </c>
      <c r="S191">
        <f t="shared" si="52"/>
        <v>0</v>
      </c>
      <c r="T191" s="64" t="s">
        <v>301</v>
      </c>
      <c r="U191">
        <f t="shared" si="53"/>
        <v>0</v>
      </c>
      <c r="V191">
        <f t="shared" si="41"/>
        <v>0.0492</v>
      </c>
      <c r="W191" t="str">
        <f t="shared" si="42"/>
        <v/>
      </c>
      <c r="X191" t="str">
        <f t="shared" si="43"/>
        <v/>
      </c>
      <c r="Z191" s="65" t="str">
        <f t="shared" si="54"/>
        <v>0.0066,0,0</v>
      </c>
      <c r="AA191" s="8">
        <v>0.0066</v>
      </c>
      <c r="AB191" t="str">
        <f t="shared" si="49"/>
        <v>0.0492</v>
      </c>
      <c r="AF191" s="38" t="s">
        <v>74</v>
      </c>
    </row>
    <row r="192" ht="16.25" spans="1:32">
      <c r="A192" s="31">
        <v>204</v>
      </c>
      <c r="B192" s="95">
        <v>250802</v>
      </c>
      <c r="C192" s="68">
        <v>4</v>
      </c>
      <c r="D192" s="90">
        <v>7.29</v>
      </c>
      <c r="E192" s="90"/>
      <c r="F192" s="90"/>
      <c r="G192" s="82"/>
      <c r="H192" s="68">
        <v>4</v>
      </c>
      <c r="I192" s="82"/>
      <c r="J192" s="82"/>
      <c r="K192" s="84">
        <f t="shared" si="37"/>
        <v>14.58</v>
      </c>
      <c r="L192" s="84" t="str">
        <f t="shared" si="38"/>
        <v/>
      </c>
      <c r="M192" s="84" t="str">
        <f t="shared" si="39"/>
        <v/>
      </c>
      <c r="N192" s="84" t="str">
        <f t="shared" si="40"/>
        <v/>
      </c>
      <c r="P192">
        <f t="shared" ref="P192:P217" si="55">B192-100000</f>
        <v>150802</v>
      </c>
      <c r="Q192">
        <f t="shared" si="47"/>
        <v>5.832</v>
      </c>
      <c r="R192" s="64" t="s">
        <v>301</v>
      </c>
      <c r="S192">
        <f t="shared" si="52"/>
        <v>0</v>
      </c>
      <c r="T192" s="64" t="s">
        <v>301</v>
      </c>
      <c r="U192">
        <f t="shared" si="53"/>
        <v>0</v>
      </c>
      <c r="V192">
        <f t="shared" si="41"/>
        <v>15</v>
      </c>
      <c r="W192" t="str">
        <f t="shared" si="42"/>
        <v/>
      </c>
      <c r="X192" t="str">
        <f t="shared" si="43"/>
        <v/>
      </c>
      <c r="Z192" s="65" t="str">
        <f t="shared" si="54"/>
        <v>5.832,0,0</v>
      </c>
      <c r="AA192" s="8">
        <v>5.832</v>
      </c>
      <c r="AB192" t="str">
        <f t="shared" si="49"/>
        <v>15</v>
      </c>
      <c r="AF192" s="38"/>
    </row>
    <row r="193" ht="16.25" spans="1:32">
      <c r="A193" s="31">
        <v>204</v>
      </c>
      <c r="B193" s="95">
        <v>250802</v>
      </c>
      <c r="C193" s="68">
        <v>10</v>
      </c>
      <c r="D193" s="90">
        <v>0.0058</v>
      </c>
      <c r="E193" s="90"/>
      <c r="F193" s="90"/>
      <c r="G193" s="82"/>
      <c r="H193" s="68">
        <v>10</v>
      </c>
      <c r="I193" s="82"/>
      <c r="J193" s="82"/>
      <c r="K193" s="84">
        <f t="shared" si="37"/>
        <v>0.0348</v>
      </c>
      <c r="L193" s="84" t="str">
        <f t="shared" si="38"/>
        <v/>
      </c>
      <c r="M193" s="84" t="str">
        <f t="shared" si="39"/>
        <v/>
      </c>
      <c r="N193" s="84" t="str">
        <f t="shared" si="40"/>
        <v/>
      </c>
      <c r="P193">
        <f t="shared" si="55"/>
        <v>150802</v>
      </c>
      <c r="Q193">
        <f t="shared" si="47"/>
        <v>0.0046</v>
      </c>
      <c r="R193" s="64" t="s">
        <v>301</v>
      </c>
      <c r="S193">
        <f t="shared" si="52"/>
        <v>0</v>
      </c>
      <c r="T193" s="64" t="s">
        <v>301</v>
      </c>
      <c r="U193">
        <f t="shared" si="53"/>
        <v>0</v>
      </c>
      <c r="V193">
        <f t="shared" si="41"/>
        <v>0.0348</v>
      </c>
      <c r="W193" t="str">
        <f t="shared" si="42"/>
        <v/>
      </c>
      <c r="X193" t="str">
        <f t="shared" si="43"/>
        <v/>
      </c>
      <c r="Z193" s="65" t="str">
        <f t="shared" si="54"/>
        <v>0.0046,0,0</v>
      </c>
      <c r="AA193" s="8">
        <v>0.0046</v>
      </c>
      <c r="AB193" t="str">
        <f t="shared" si="49"/>
        <v>0.0348</v>
      </c>
      <c r="AF193" s="38"/>
    </row>
    <row r="194" ht="17" spans="1:32">
      <c r="A194" s="31">
        <v>204</v>
      </c>
      <c r="B194" s="95">
        <v>250802</v>
      </c>
      <c r="C194" s="68">
        <v>26</v>
      </c>
      <c r="D194" s="91">
        <v>0.0123</v>
      </c>
      <c r="E194" s="91"/>
      <c r="F194" s="91"/>
      <c r="G194" s="82"/>
      <c r="H194" s="68">
        <v>26</v>
      </c>
      <c r="I194" s="82"/>
      <c r="J194" s="82"/>
      <c r="K194" s="84">
        <f t="shared" ref="K194:K257" si="56">IF(D194="","",IF(OR(RIGHT($A194,1)="1",RIGHT($A194,1)="2"),D194,IF(H194=4,D194*2,D194*6)))</f>
        <v>0.0738</v>
      </c>
      <c r="L194" s="84" t="str">
        <f t="shared" ref="L194:L257" si="57">IF(E194="","",IF(OR(RIGHT($A194,1)="1",RIGHT($A194,1)="2"),E194,IF(I194=4,E194*2,E194*6)))</f>
        <v/>
      </c>
      <c r="M194" s="84" t="str">
        <f t="shared" ref="M194:M257" si="58">IF(F194="","",IF(OR(RIGHT($A194,1)="1",RIGHT($A194,1)="2"),F194,IF(J194=4,F194*2,F194*6)))</f>
        <v/>
      </c>
      <c r="N194" s="84" t="str">
        <f t="shared" ref="N194:N257" si="59">IF(G194="","",IF(OR(RIGHT($A194,1)="1",RIGHT($A194,1)="2"),G194,IF(J194=4,G194*2,G194*6)))</f>
        <v/>
      </c>
      <c r="P194">
        <f t="shared" si="55"/>
        <v>150802</v>
      </c>
      <c r="Q194">
        <f t="shared" si="47"/>
        <v>0.0098</v>
      </c>
      <c r="R194" s="64" t="s">
        <v>301</v>
      </c>
      <c r="S194">
        <f t="shared" si="52"/>
        <v>0</v>
      </c>
      <c r="T194" s="64" t="s">
        <v>301</v>
      </c>
      <c r="U194">
        <f t="shared" si="53"/>
        <v>0</v>
      </c>
      <c r="V194">
        <f t="shared" si="41"/>
        <v>0.0738</v>
      </c>
      <c r="W194" t="str">
        <f t="shared" si="42"/>
        <v/>
      </c>
      <c r="X194" t="str">
        <f t="shared" si="43"/>
        <v/>
      </c>
      <c r="Z194" s="65" t="str">
        <f t="shared" si="54"/>
        <v>0.0098,0,0</v>
      </c>
      <c r="AA194" s="8">
        <v>0.0098</v>
      </c>
      <c r="AB194" t="str">
        <f t="shared" si="49"/>
        <v>0.0738</v>
      </c>
      <c r="AF194" s="38"/>
    </row>
    <row r="195" ht="16.25" spans="1:32">
      <c r="A195" s="31">
        <v>204</v>
      </c>
      <c r="B195" s="95">
        <v>250902</v>
      </c>
      <c r="C195" s="68">
        <v>8</v>
      </c>
      <c r="D195" s="89">
        <v>0.0082</v>
      </c>
      <c r="E195" s="89"/>
      <c r="F195" s="89"/>
      <c r="G195" s="82"/>
      <c r="H195" s="68">
        <v>8</v>
      </c>
      <c r="I195" s="82"/>
      <c r="J195" s="82"/>
      <c r="K195" s="84">
        <f t="shared" si="56"/>
        <v>0.0492</v>
      </c>
      <c r="L195" s="84" t="str">
        <f t="shared" si="57"/>
        <v/>
      </c>
      <c r="M195" s="84" t="str">
        <f t="shared" si="58"/>
        <v/>
      </c>
      <c r="N195" s="84" t="str">
        <f t="shared" si="59"/>
        <v/>
      </c>
      <c r="P195">
        <f t="shared" si="55"/>
        <v>150902</v>
      </c>
      <c r="Q195">
        <f t="shared" si="47"/>
        <v>0.0066</v>
      </c>
      <c r="R195" s="64" t="s">
        <v>301</v>
      </c>
      <c r="S195">
        <f t="shared" si="52"/>
        <v>0</v>
      </c>
      <c r="T195" s="64" t="s">
        <v>301</v>
      </c>
      <c r="U195">
        <f t="shared" si="53"/>
        <v>0</v>
      </c>
      <c r="V195">
        <f t="shared" ref="V195:V258" si="60">IF(K195="","",IF(K195&lt;1,ROUND(K195,4),CEILING(K195,5)))</f>
        <v>0.0492</v>
      </c>
      <c r="W195" t="str">
        <f t="shared" ref="W195:W258" si="61">IF(L195="","",IF(L195&lt;1,ROUND(L195,4),CEILING(L195,5)))</f>
        <v/>
      </c>
      <c r="X195" t="str">
        <f t="shared" ref="X195:X258" si="62">IF(M195="","",IF(M195&lt;1,ROUND(M195,4),CEILING(M195,5)))</f>
        <v/>
      </c>
      <c r="Z195" s="65" t="str">
        <f t="shared" si="54"/>
        <v>0.0066,0,0</v>
      </c>
      <c r="AA195" s="8">
        <v>0.0066</v>
      </c>
      <c r="AB195" t="str">
        <f t="shared" si="49"/>
        <v>0.0492</v>
      </c>
      <c r="AF195" s="38" t="s">
        <v>78</v>
      </c>
    </row>
    <row r="196" ht="16.25" spans="1:32">
      <c r="A196" s="31">
        <v>204</v>
      </c>
      <c r="B196" s="95">
        <v>250902</v>
      </c>
      <c r="C196" s="68">
        <v>10</v>
      </c>
      <c r="D196" s="90">
        <v>0.0058</v>
      </c>
      <c r="E196" s="90"/>
      <c r="F196" s="90"/>
      <c r="G196" s="82"/>
      <c r="H196" s="68">
        <v>10</v>
      </c>
      <c r="I196" s="82"/>
      <c r="J196" s="82"/>
      <c r="K196" s="84">
        <f t="shared" si="56"/>
        <v>0.0348</v>
      </c>
      <c r="L196" s="84" t="str">
        <f t="shared" si="57"/>
        <v/>
      </c>
      <c r="M196" s="84" t="str">
        <f t="shared" si="58"/>
        <v/>
      </c>
      <c r="N196" s="84" t="str">
        <f t="shared" si="59"/>
        <v/>
      </c>
      <c r="P196">
        <f t="shared" si="55"/>
        <v>150902</v>
      </c>
      <c r="Q196">
        <f t="shared" si="47"/>
        <v>0.0046</v>
      </c>
      <c r="R196" s="64" t="s">
        <v>301</v>
      </c>
      <c r="S196">
        <f t="shared" si="52"/>
        <v>0</v>
      </c>
      <c r="T196" s="64" t="s">
        <v>301</v>
      </c>
      <c r="U196">
        <f t="shared" si="53"/>
        <v>0</v>
      </c>
      <c r="V196">
        <f t="shared" si="60"/>
        <v>0.0348</v>
      </c>
      <c r="W196" t="str">
        <f t="shared" si="61"/>
        <v/>
      </c>
      <c r="X196" t="str">
        <f t="shared" si="62"/>
        <v/>
      </c>
      <c r="Z196" s="65" t="str">
        <f t="shared" si="54"/>
        <v>0.0046,0,0</v>
      </c>
      <c r="AA196" s="8">
        <v>0.0046</v>
      </c>
      <c r="AB196" t="str">
        <f t="shared" si="49"/>
        <v>0.0348</v>
      </c>
      <c r="AF196" s="38"/>
    </row>
    <row r="197" ht="17" spans="1:32">
      <c r="A197" s="31">
        <v>204</v>
      </c>
      <c r="B197" s="95">
        <v>250902</v>
      </c>
      <c r="C197" s="68">
        <v>4</v>
      </c>
      <c r="D197" s="91">
        <v>7.29</v>
      </c>
      <c r="E197" s="91"/>
      <c r="F197" s="91"/>
      <c r="G197" s="82"/>
      <c r="H197" s="68">
        <v>4</v>
      </c>
      <c r="I197" s="82"/>
      <c r="J197" s="82"/>
      <c r="K197" s="84">
        <f t="shared" si="56"/>
        <v>14.58</v>
      </c>
      <c r="L197" s="84" t="str">
        <f t="shared" si="57"/>
        <v/>
      </c>
      <c r="M197" s="84" t="str">
        <f t="shared" si="58"/>
        <v/>
      </c>
      <c r="N197" s="84" t="str">
        <f t="shared" si="59"/>
        <v/>
      </c>
      <c r="P197">
        <f t="shared" si="55"/>
        <v>150902</v>
      </c>
      <c r="Q197">
        <f t="shared" si="47"/>
        <v>5.832</v>
      </c>
      <c r="R197" s="64" t="s">
        <v>301</v>
      </c>
      <c r="S197">
        <f t="shared" si="52"/>
        <v>0</v>
      </c>
      <c r="T197" s="64" t="s">
        <v>301</v>
      </c>
      <c r="U197">
        <f t="shared" si="53"/>
        <v>0</v>
      </c>
      <c r="V197">
        <f t="shared" si="60"/>
        <v>15</v>
      </c>
      <c r="W197" t="str">
        <f t="shared" si="61"/>
        <v/>
      </c>
      <c r="X197" t="str">
        <f t="shared" si="62"/>
        <v/>
      </c>
      <c r="Z197" s="65" t="str">
        <f t="shared" si="54"/>
        <v>5.832,0,0</v>
      </c>
      <c r="AA197" s="8">
        <v>5.832</v>
      </c>
      <c r="AB197" t="str">
        <f t="shared" si="49"/>
        <v>15</v>
      </c>
      <c r="AF197" s="38"/>
    </row>
    <row r="198" ht="16.25" spans="1:32">
      <c r="A198" s="31">
        <v>204</v>
      </c>
      <c r="B198" s="92">
        <v>260102</v>
      </c>
      <c r="C198" s="68">
        <v>6</v>
      </c>
      <c r="D198" s="81">
        <v>0.0597</v>
      </c>
      <c r="E198" s="81"/>
      <c r="F198" s="81"/>
      <c r="G198" s="82"/>
      <c r="H198" s="68">
        <v>6</v>
      </c>
      <c r="I198" s="82"/>
      <c r="J198" s="82"/>
      <c r="K198" s="84">
        <f t="shared" si="56"/>
        <v>0.3582</v>
      </c>
      <c r="L198" s="84" t="str">
        <f t="shared" si="57"/>
        <v/>
      </c>
      <c r="M198" s="84" t="str">
        <f t="shared" si="58"/>
        <v/>
      </c>
      <c r="N198" s="84" t="str">
        <f t="shared" si="59"/>
        <v/>
      </c>
      <c r="P198">
        <f t="shared" si="55"/>
        <v>160102</v>
      </c>
      <c r="Q198">
        <f t="shared" si="47"/>
        <v>0.0478</v>
      </c>
      <c r="R198" s="64" t="s">
        <v>301</v>
      </c>
      <c r="S198">
        <f t="shared" si="52"/>
        <v>0</v>
      </c>
      <c r="T198" s="64" t="s">
        <v>301</v>
      </c>
      <c r="U198">
        <f t="shared" si="53"/>
        <v>0</v>
      </c>
      <c r="V198">
        <f t="shared" si="60"/>
        <v>0.3582</v>
      </c>
      <c r="W198" t="str">
        <f t="shared" si="61"/>
        <v/>
      </c>
      <c r="X198" t="str">
        <f t="shared" si="62"/>
        <v/>
      </c>
      <c r="Z198" s="65" t="str">
        <f t="shared" si="54"/>
        <v>0.0478,0,0</v>
      </c>
      <c r="AA198" s="8">
        <v>0.0478</v>
      </c>
      <c r="AB198" t="str">
        <f t="shared" si="49"/>
        <v>0.3582</v>
      </c>
      <c r="AF198" s="37" t="s">
        <v>82</v>
      </c>
    </row>
    <row r="199" ht="16.25" spans="1:32">
      <c r="A199" s="31">
        <v>204</v>
      </c>
      <c r="B199" s="92">
        <v>260102</v>
      </c>
      <c r="C199" s="68">
        <v>4</v>
      </c>
      <c r="D199" s="81">
        <v>24.29</v>
      </c>
      <c r="E199" s="81"/>
      <c r="F199" s="81"/>
      <c r="G199" s="82"/>
      <c r="H199" s="68">
        <v>4</v>
      </c>
      <c r="I199" s="82"/>
      <c r="J199" s="82"/>
      <c r="K199" s="84">
        <f t="shared" si="56"/>
        <v>48.58</v>
      </c>
      <c r="L199" s="84" t="str">
        <f t="shared" si="57"/>
        <v/>
      </c>
      <c r="M199" s="84" t="str">
        <f t="shared" si="58"/>
        <v/>
      </c>
      <c r="N199" s="84" t="str">
        <f t="shared" si="59"/>
        <v/>
      </c>
      <c r="P199">
        <f t="shared" si="55"/>
        <v>160102</v>
      </c>
      <c r="Q199">
        <f t="shared" si="47"/>
        <v>19.432</v>
      </c>
      <c r="R199" s="64" t="s">
        <v>301</v>
      </c>
      <c r="S199">
        <f t="shared" si="52"/>
        <v>0</v>
      </c>
      <c r="T199" s="64" t="s">
        <v>301</v>
      </c>
      <c r="U199">
        <f t="shared" si="53"/>
        <v>0</v>
      </c>
      <c r="V199">
        <f t="shared" si="60"/>
        <v>50</v>
      </c>
      <c r="W199" t="str">
        <f t="shared" si="61"/>
        <v/>
      </c>
      <c r="X199" t="str">
        <f t="shared" si="62"/>
        <v/>
      </c>
      <c r="Z199" s="65" t="str">
        <f t="shared" si="54"/>
        <v>19.432,0,0</v>
      </c>
      <c r="AA199" s="8">
        <v>19.432</v>
      </c>
      <c r="AB199" t="str">
        <f t="shared" si="49"/>
        <v>50</v>
      </c>
      <c r="AF199" s="37"/>
    </row>
    <row r="200" ht="16.25" spans="1:32">
      <c r="A200" s="31">
        <v>204</v>
      </c>
      <c r="B200" s="92">
        <v>260202</v>
      </c>
      <c r="C200" s="68">
        <v>6</v>
      </c>
      <c r="D200" s="81">
        <v>0.0149</v>
      </c>
      <c r="E200" s="81"/>
      <c r="F200" s="81"/>
      <c r="G200" s="82"/>
      <c r="H200" s="68">
        <v>6</v>
      </c>
      <c r="I200" s="82"/>
      <c r="J200" s="82"/>
      <c r="K200" s="84">
        <f t="shared" si="56"/>
        <v>0.0894</v>
      </c>
      <c r="L200" s="84" t="str">
        <f t="shared" si="57"/>
        <v/>
      </c>
      <c r="M200" s="84" t="str">
        <f t="shared" si="58"/>
        <v/>
      </c>
      <c r="N200" s="84" t="str">
        <f t="shared" si="59"/>
        <v/>
      </c>
      <c r="P200">
        <f t="shared" si="55"/>
        <v>160202</v>
      </c>
      <c r="Q200">
        <f t="shared" si="47"/>
        <v>0.0119</v>
      </c>
      <c r="R200" s="64" t="s">
        <v>301</v>
      </c>
      <c r="S200">
        <f t="shared" si="52"/>
        <v>0</v>
      </c>
      <c r="T200" s="64" t="s">
        <v>301</v>
      </c>
      <c r="U200">
        <f t="shared" si="53"/>
        <v>0</v>
      </c>
      <c r="V200">
        <f t="shared" si="60"/>
        <v>0.0894</v>
      </c>
      <c r="W200" t="str">
        <f t="shared" si="61"/>
        <v/>
      </c>
      <c r="X200" t="str">
        <f t="shared" si="62"/>
        <v/>
      </c>
      <c r="Z200" s="65" t="str">
        <f t="shared" si="54"/>
        <v>0.0119,0,0</v>
      </c>
      <c r="AA200" s="8">
        <v>0.0119</v>
      </c>
      <c r="AB200" t="str">
        <f t="shared" si="49"/>
        <v>0.0894</v>
      </c>
      <c r="AF200" s="37" t="s">
        <v>86</v>
      </c>
    </row>
    <row r="201" ht="16.25" spans="1:32">
      <c r="A201" s="31">
        <v>204</v>
      </c>
      <c r="B201" s="92">
        <v>260202</v>
      </c>
      <c r="C201" s="68">
        <v>4</v>
      </c>
      <c r="D201" s="81">
        <v>24.29</v>
      </c>
      <c r="E201" s="81"/>
      <c r="F201" s="81"/>
      <c r="G201" s="82"/>
      <c r="H201" s="68">
        <v>4</v>
      </c>
      <c r="I201" s="82"/>
      <c r="J201" s="82"/>
      <c r="K201" s="84">
        <f t="shared" si="56"/>
        <v>48.58</v>
      </c>
      <c r="L201" s="84" t="str">
        <f t="shared" si="57"/>
        <v/>
      </c>
      <c r="M201" s="84" t="str">
        <f t="shared" si="58"/>
        <v/>
      </c>
      <c r="N201" s="84" t="str">
        <f t="shared" si="59"/>
        <v/>
      </c>
      <c r="P201">
        <f t="shared" si="55"/>
        <v>160202</v>
      </c>
      <c r="Q201">
        <f t="shared" si="47"/>
        <v>19.432</v>
      </c>
      <c r="R201" s="64" t="s">
        <v>301</v>
      </c>
      <c r="S201">
        <f t="shared" si="52"/>
        <v>0</v>
      </c>
      <c r="T201" s="64" t="s">
        <v>301</v>
      </c>
      <c r="U201">
        <f t="shared" si="53"/>
        <v>0</v>
      </c>
      <c r="V201">
        <f t="shared" si="60"/>
        <v>50</v>
      </c>
      <c r="W201" t="str">
        <f t="shared" si="61"/>
        <v/>
      </c>
      <c r="X201" t="str">
        <f t="shared" si="62"/>
        <v/>
      </c>
      <c r="Z201" s="65" t="str">
        <f t="shared" si="54"/>
        <v>19.432,0,0</v>
      </c>
      <c r="AA201" s="8">
        <v>19.432</v>
      </c>
      <c r="AB201" t="str">
        <f t="shared" si="49"/>
        <v>50</v>
      </c>
      <c r="AF201" s="37"/>
    </row>
    <row r="202" ht="16.25" spans="1:32">
      <c r="A202" s="31">
        <v>204</v>
      </c>
      <c r="B202" s="92">
        <v>260202</v>
      </c>
      <c r="C202" s="68">
        <v>35</v>
      </c>
      <c r="D202" s="81">
        <v>0.0512</v>
      </c>
      <c r="E202" s="81"/>
      <c r="F202" s="81"/>
      <c r="G202" s="82"/>
      <c r="H202" s="68">
        <v>35</v>
      </c>
      <c r="I202" s="82"/>
      <c r="J202" s="82"/>
      <c r="K202" s="84">
        <f t="shared" si="56"/>
        <v>0.3072</v>
      </c>
      <c r="L202" s="84" t="str">
        <f t="shared" si="57"/>
        <v/>
      </c>
      <c r="M202" s="84" t="str">
        <f t="shared" si="58"/>
        <v/>
      </c>
      <c r="N202" s="84" t="str">
        <f t="shared" si="59"/>
        <v/>
      </c>
      <c r="P202">
        <f t="shared" si="55"/>
        <v>160202</v>
      </c>
      <c r="Q202">
        <f t="shared" si="47"/>
        <v>0.041</v>
      </c>
      <c r="R202" s="64" t="s">
        <v>301</v>
      </c>
      <c r="S202">
        <f t="shared" si="52"/>
        <v>0</v>
      </c>
      <c r="T202" s="64" t="s">
        <v>301</v>
      </c>
      <c r="U202">
        <f t="shared" si="53"/>
        <v>0</v>
      </c>
      <c r="V202">
        <f t="shared" si="60"/>
        <v>0.3072</v>
      </c>
      <c r="W202" t="str">
        <f t="shared" si="61"/>
        <v/>
      </c>
      <c r="X202" t="str">
        <f t="shared" si="62"/>
        <v/>
      </c>
      <c r="Z202" s="65" t="str">
        <f t="shared" si="54"/>
        <v>0.041,0,0</v>
      </c>
      <c r="AA202" s="8">
        <v>0.041</v>
      </c>
      <c r="AB202" t="str">
        <f t="shared" si="49"/>
        <v>0.3072</v>
      </c>
      <c r="AF202" s="37"/>
    </row>
    <row r="203" ht="16.25" spans="1:32">
      <c r="A203" s="31">
        <v>204</v>
      </c>
      <c r="B203" s="92">
        <v>260302</v>
      </c>
      <c r="C203" s="68">
        <v>6</v>
      </c>
      <c r="D203" s="81">
        <v>0.0149</v>
      </c>
      <c r="E203" s="81"/>
      <c r="F203" s="81"/>
      <c r="G203" s="82"/>
      <c r="H203" s="68">
        <v>6</v>
      </c>
      <c r="I203" s="82"/>
      <c r="J203" s="82"/>
      <c r="K203" s="84">
        <f t="shared" si="56"/>
        <v>0.0894</v>
      </c>
      <c r="L203" s="84" t="str">
        <f t="shared" si="57"/>
        <v/>
      </c>
      <c r="M203" s="84" t="str">
        <f t="shared" si="58"/>
        <v/>
      </c>
      <c r="N203" s="84" t="str">
        <f t="shared" si="59"/>
        <v/>
      </c>
      <c r="P203">
        <f t="shared" si="55"/>
        <v>160302</v>
      </c>
      <c r="Q203">
        <f t="shared" si="47"/>
        <v>0.0119</v>
      </c>
      <c r="R203" s="64" t="s">
        <v>301</v>
      </c>
      <c r="S203">
        <f t="shared" si="52"/>
        <v>0</v>
      </c>
      <c r="T203" s="64" t="s">
        <v>301</v>
      </c>
      <c r="U203">
        <f t="shared" si="53"/>
        <v>0</v>
      </c>
      <c r="V203">
        <f t="shared" si="60"/>
        <v>0.0894</v>
      </c>
      <c r="W203" t="str">
        <f t="shared" si="61"/>
        <v/>
      </c>
      <c r="X203" t="str">
        <f t="shared" si="62"/>
        <v/>
      </c>
      <c r="Z203" s="65" t="str">
        <f t="shared" si="54"/>
        <v>0.0119,0,0</v>
      </c>
      <c r="AA203" s="8">
        <v>0.0119</v>
      </c>
      <c r="AB203" t="str">
        <f t="shared" si="49"/>
        <v>0.0894</v>
      </c>
      <c r="AF203" s="37" t="s">
        <v>90</v>
      </c>
    </row>
    <row r="204" ht="16.25" spans="1:32">
      <c r="A204" s="31">
        <v>204</v>
      </c>
      <c r="B204" s="92">
        <v>260302</v>
      </c>
      <c r="C204" s="68">
        <v>4</v>
      </c>
      <c r="D204" s="81">
        <v>24.29</v>
      </c>
      <c r="E204" s="81"/>
      <c r="F204" s="81"/>
      <c r="G204" s="82"/>
      <c r="H204" s="68">
        <v>4</v>
      </c>
      <c r="I204" s="82"/>
      <c r="J204" s="82"/>
      <c r="K204" s="84">
        <f t="shared" si="56"/>
        <v>48.58</v>
      </c>
      <c r="L204" s="84" t="str">
        <f t="shared" si="57"/>
        <v/>
      </c>
      <c r="M204" s="84" t="str">
        <f t="shared" si="58"/>
        <v/>
      </c>
      <c r="N204" s="84" t="str">
        <f t="shared" si="59"/>
        <v/>
      </c>
      <c r="P204">
        <f t="shared" si="55"/>
        <v>160302</v>
      </c>
      <c r="Q204">
        <f t="shared" si="47"/>
        <v>19.432</v>
      </c>
      <c r="R204" s="64" t="s">
        <v>301</v>
      </c>
      <c r="S204">
        <f t="shared" si="52"/>
        <v>0</v>
      </c>
      <c r="T204" s="64" t="s">
        <v>301</v>
      </c>
      <c r="U204">
        <f t="shared" si="53"/>
        <v>0</v>
      </c>
      <c r="V204">
        <f t="shared" si="60"/>
        <v>50</v>
      </c>
      <c r="W204" t="str">
        <f t="shared" si="61"/>
        <v/>
      </c>
      <c r="X204" t="str">
        <f t="shared" si="62"/>
        <v/>
      </c>
      <c r="Z204" s="65" t="str">
        <f t="shared" si="54"/>
        <v>19.432,0,0</v>
      </c>
      <c r="AA204" s="8">
        <v>19.432</v>
      </c>
      <c r="AB204" t="str">
        <f t="shared" si="49"/>
        <v>50</v>
      </c>
      <c r="AF204" s="37"/>
    </row>
    <row r="205" ht="16.25" spans="1:32">
      <c r="A205" s="31">
        <v>204</v>
      </c>
      <c r="B205" s="92">
        <v>260402</v>
      </c>
      <c r="C205" s="68">
        <v>6</v>
      </c>
      <c r="D205" s="81">
        <v>0.0149</v>
      </c>
      <c r="E205" s="81"/>
      <c r="F205" s="81"/>
      <c r="G205" s="82"/>
      <c r="H205" s="68">
        <v>6</v>
      </c>
      <c r="I205" s="82"/>
      <c r="J205" s="82"/>
      <c r="K205" s="84">
        <f t="shared" si="56"/>
        <v>0.0894</v>
      </c>
      <c r="L205" s="84" t="str">
        <f t="shared" si="57"/>
        <v/>
      </c>
      <c r="M205" s="84" t="str">
        <f t="shared" si="58"/>
        <v/>
      </c>
      <c r="N205" s="84" t="str">
        <f t="shared" si="59"/>
        <v/>
      </c>
      <c r="P205">
        <f t="shared" si="55"/>
        <v>160402</v>
      </c>
      <c r="Q205">
        <f t="shared" si="47"/>
        <v>0.0119</v>
      </c>
      <c r="R205" s="64" t="s">
        <v>301</v>
      </c>
      <c r="S205">
        <f t="shared" si="52"/>
        <v>0</v>
      </c>
      <c r="T205" s="64" t="s">
        <v>301</v>
      </c>
      <c r="U205">
        <f t="shared" si="53"/>
        <v>0</v>
      </c>
      <c r="V205">
        <f t="shared" si="60"/>
        <v>0.0894</v>
      </c>
      <c r="W205" t="str">
        <f t="shared" si="61"/>
        <v/>
      </c>
      <c r="X205" t="str">
        <f t="shared" si="62"/>
        <v/>
      </c>
      <c r="Z205" s="65" t="str">
        <f t="shared" si="54"/>
        <v>0.0119,0,0</v>
      </c>
      <c r="AA205" s="8">
        <v>0.0119</v>
      </c>
      <c r="AB205" t="str">
        <f t="shared" si="49"/>
        <v>0.0894</v>
      </c>
      <c r="AF205" s="37" t="s">
        <v>94</v>
      </c>
    </row>
    <row r="206" ht="16.25" spans="1:32">
      <c r="A206" s="31">
        <v>204</v>
      </c>
      <c r="B206" s="92">
        <v>260402</v>
      </c>
      <c r="C206" s="68">
        <v>4</v>
      </c>
      <c r="D206" s="81">
        <v>24.29</v>
      </c>
      <c r="E206" s="81"/>
      <c r="F206" s="81"/>
      <c r="G206" s="82"/>
      <c r="H206" s="68">
        <v>4</v>
      </c>
      <c r="I206" s="82"/>
      <c r="J206" s="82"/>
      <c r="K206" s="84">
        <f t="shared" si="56"/>
        <v>48.58</v>
      </c>
      <c r="L206" s="84" t="str">
        <f t="shared" si="57"/>
        <v/>
      </c>
      <c r="M206" s="84" t="str">
        <f t="shared" si="58"/>
        <v/>
      </c>
      <c r="N206" s="84" t="str">
        <f t="shared" si="59"/>
        <v/>
      </c>
      <c r="P206">
        <f t="shared" si="55"/>
        <v>160402</v>
      </c>
      <c r="Q206">
        <f t="shared" si="47"/>
        <v>19.432</v>
      </c>
      <c r="R206" s="64" t="s">
        <v>301</v>
      </c>
      <c r="S206">
        <f t="shared" si="52"/>
        <v>0</v>
      </c>
      <c r="T206" s="64" t="s">
        <v>301</v>
      </c>
      <c r="U206">
        <f t="shared" si="53"/>
        <v>0</v>
      </c>
      <c r="V206">
        <f t="shared" si="60"/>
        <v>50</v>
      </c>
      <c r="W206" t="str">
        <f t="shared" si="61"/>
        <v/>
      </c>
      <c r="X206" t="str">
        <f t="shared" si="62"/>
        <v/>
      </c>
      <c r="Z206" s="65" t="str">
        <f t="shared" si="54"/>
        <v>19.432,0,0</v>
      </c>
      <c r="AA206" s="8">
        <v>19.432</v>
      </c>
      <c r="AB206" t="str">
        <f t="shared" si="49"/>
        <v>50</v>
      </c>
      <c r="AF206" s="37"/>
    </row>
    <row r="207" ht="16.25" spans="1:32">
      <c r="A207" s="31">
        <v>204</v>
      </c>
      <c r="B207" s="92">
        <v>260502</v>
      </c>
      <c r="C207" s="68">
        <v>11</v>
      </c>
      <c r="D207" s="81">
        <v>0.0194</v>
      </c>
      <c r="E207" s="81"/>
      <c r="F207" s="81"/>
      <c r="G207" s="82"/>
      <c r="H207" s="68">
        <v>11</v>
      </c>
      <c r="I207" s="82"/>
      <c r="J207" s="82"/>
      <c r="K207" s="84">
        <f t="shared" si="56"/>
        <v>0.1164</v>
      </c>
      <c r="L207" s="84" t="str">
        <f t="shared" si="57"/>
        <v/>
      </c>
      <c r="M207" s="84" t="str">
        <f t="shared" si="58"/>
        <v/>
      </c>
      <c r="N207" s="84" t="str">
        <f t="shared" si="59"/>
        <v/>
      </c>
      <c r="P207">
        <f t="shared" si="55"/>
        <v>160502</v>
      </c>
      <c r="Q207">
        <f t="shared" si="47"/>
        <v>0.0155</v>
      </c>
      <c r="R207" s="64" t="s">
        <v>301</v>
      </c>
      <c r="S207">
        <f t="shared" si="52"/>
        <v>0</v>
      </c>
      <c r="T207" s="64" t="s">
        <v>301</v>
      </c>
      <c r="U207">
        <f t="shared" si="53"/>
        <v>0</v>
      </c>
      <c r="V207">
        <f t="shared" si="60"/>
        <v>0.1164</v>
      </c>
      <c r="W207" t="str">
        <f t="shared" si="61"/>
        <v/>
      </c>
      <c r="X207" t="str">
        <f t="shared" si="62"/>
        <v/>
      </c>
      <c r="Z207" s="65" t="str">
        <f t="shared" si="54"/>
        <v>0.0155,0,0</v>
      </c>
      <c r="AA207" s="8">
        <v>0.0155</v>
      </c>
      <c r="AB207" t="str">
        <f t="shared" si="49"/>
        <v>0.1164</v>
      </c>
      <c r="AF207" s="37" t="s">
        <v>98</v>
      </c>
    </row>
    <row r="208" ht="16.25" spans="1:32">
      <c r="A208" s="31">
        <v>204</v>
      </c>
      <c r="B208" s="92">
        <v>260502</v>
      </c>
      <c r="C208" s="68">
        <v>4</v>
      </c>
      <c r="D208" s="81">
        <v>24.29</v>
      </c>
      <c r="E208" s="81"/>
      <c r="F208" s="81"/>
      <c r="G208" s="82"/>
      <c r="H208" s="68">
        <v>4</v>
      </c>
      <c r="I208" s="82"/>
      <c r="J208" s="82"/>
      <c r="K208" s="84">
        <f t="shared" si="56"/>
        <v>48.58</v>
      </c>
      <c r="L208" s="84" t="str">
        <f t="shared" si="57"/>
        <v/>
      </c>
      <c r="M208" s="84" t="str">
        <f t="shared" si="58"/>
        <v/>
      </c>
      <c r="N208" s="84" t="str">
        <f t="shared" si="59"/>
        <v/>
      </c>
      <c r="P208">
        <f t="shared" si="55"/>
        <v>160502</v>
      </c>
      <c r="Q208">
        <f t="shared" si="47"/>
        <v>19.432</v>
      </c>
      <c r="R208" s="64" t="s">
        <v>301</v>
      </c>
      <c r="S208">
        <f t="shared" si="52"/>
        <v>0</v>
      </c>
      <c r="T208" s="64" t="s">
        <v>301</v>
      </c>
      <c r="U208">
        <f t="shared" si="53"/>
        <v>0</v>
      </c>
      <c r="V208">
        <f t="shared" si="60"/>
        <v>50</v>
      </c>
      <c r="W208" t="str">
        <f t="shared" si="61"/>
        <v/>
      </c>
      <c r="X208" t="str">
        <f t="shared" si="62"/>
        <v/>
      </c>
      <c r="Z208" s="65" t="str">
        <f t="shared" si="54"/>
        <v>19.432,0,0</v>
      </c>
      <c r="AA208" s="8">
        <v>19.432</v>
      </c>
      <c r="AB208" t="str">
        <f t="shared" si="49"/>
        <v>50</v>
      </c>
      <c r="AF208" s="37"/>
    </row>
    <row r="209" ht="16.25" spans="1:32">
      <c r="A209" s="31">
        <v>204</v>
      </c>
      <c r="B209" s="92">
        <v>260602</v>
      </c>
      <c r="C209" s="68">
        <v>11</v>
      </c>
      <c r="D209" s="81">
        <v>0.0097</v>
      </c>
      <c r="E209" s="81"/>
      <c r="F209" s="81"/>
      <c r="G209" s="82"/>
      <c r="H209" s="68">
        <v>11</v>
      </c>
      <c r="I209" s="82"/>
      <c r="J209" s="82"/>
      <c r="K209" s="84">
        <f t="shared" si="56"/>
        <v>0.0582</v>
      </c>
      <c r="L209" s="84" t="str">
        <f t="shared" si="57"/>
        <v/>
      </c>
      <c r="M209" s="84" t="str">
        <f t="shared" si="58"/>
        <v/>
      </c>
      <c r="N209" s="84" t="str">
        <f t="shared" si="59"/>
        <v/>
      </c>
      <c r="P209">
        <f t="shared" si="55"/>
        <v>160602</v>
      </c>
      <c r="Q209">
        <f t="shared" si="47"/>
        <v>0.0078</v>
      </c>
      <c r="R209" s="64" t="s">
        <v>301</v>
      </c>
      <c r="S209">
        <f t="shared" si="52"/>
        <v>0</v>
      </c>
      <c r="T209" s="64" t="s">
        <v>301</v>
      </c>
      <c r="U209">
        <f t="shared" si="53"/>
        <v>0</v>
      </c>
      <c r="V209">
        <f t="shared" si="60"/>
        <v>0.0582</v>
      </c>
      <c r="W209" t="str">
        <f t="shared" si="61"/>
        <v/>
      </c>
      <c r="X209" t="str">
        <f t="shared" si="62"/>
        <v/>
      </c>
      <c r="Z209" s="65" t="str">
        <f t="shared" si="54"/>
        <v>0.0078,0,0</v>
      </c>
      <c r="AA209" s="8">
        <v>0.0078</v>
      </c>
      <c r="AB209" t="str">
        <f t="shared" si="49"/>
        <v>0.0582</v>
      </c>
      <c r="AF209" s="37" t="s">
        <v>102</v>
      </c>
    </row>
    <row r="210" ht="16.25" spans="1:32">
      <c r="A210" s="31">
        <v>204</v>
      </c>
      <c r="B210" s="92">
        <v>260602</v>
      </c>
      <c r="C210" s="68">
        <v>4</v>
      </c>
      <c r="D210" s="81">
        <v>24.29</v>
      </c>
      <c r="E210" s="81"/>
      <c r="F210" s="81"/>
      <c r="G210" s="82"/>
      <c r="H210" s="68">
        <v>4</v>
      </c>
      <c r="I210" s="82"/>
      <c r="J210" s="82"/>
      <c r="K210" s="84">
        <f t="shared" si="56"/>
        <v>48.58</v>
      </c>
      <c r="L210" s="84" t="str">
        <f t="shared" si="57"/>
        <v/>
      </c>
      <c r="M210" s="84" t="str">
        <f t="shared" si="58"/>
        <v/>
      </c>
      <c r="N210" s="84" t="str">
        <f t="shared" si="59"/>
        <v/>
      </c>
      <c r="P210">
        <f t="shared" si="55"/>
        <v>160602</v>
      </c>
      <c r="Q210">
        <f t="shared" si="47"/>
        <v>19.432</v>
      </c>
      <c r="R210" s="64" t="s">
        <v>301</v>
      </c>
      <c r="S210">
        <f t="shared" si="52"/>
        <v>0</v>
      </c>
      <c r="T210" s="64" t="s">
        <v>301</v>
      </c>
      <c r="U210">
        <f t="shared" si="53"/>
        <v>0</v>
      </c>
      <c r="V210">
        <f t="shared" si="60"/>
        <v>50</v>
      </c>
      <c r="W210" t="str">
        <f t="shared" si="61"/>
        <v/>
      </c>
      <c r="X210" t="str">
        <f t="shared" si="62"/>
        <v/>
      </c>
      <c r="Z210" s="65" t="str">
        <f t="shared" si="54"/>
        <v>19.432,0,0</v>
      </c>
      <c r="AA210" s="8">
        <v>19.432</v>
      </c>
      <c r="AB210" t="str">
        <f t="shared" si="49"/>
        <v>50</v>
      </c>
      <c r="AF210" s="37"/>
    </row>
    <row r="211" ht="16.25" spans="1:32">
      <c r="A211" s="31">
        <v>204</v>
      </c>
      <c r="B211" s="92">
        <v>260702</v>
      </c>
      <c r="C211" s="68">
        <v>11</v>
      </c>
      <c r="D211" s="81">
        <v>0.0097</v>
      </c>
      <c r="E211" s="81"/>
      <c r="F211" s="81"/>
      <c r="G211" s="82"/>
      <c r="H211" s="68">
        <v>11</v>
      </c>
      <c r="I211" s="82"/>
      <c r="J211" s="82"/>
      <c r="K211" s="84">
        <f t="shared" si="56"/>
        <v>0.0582</v>
      </c>
      <c r="L211" s="84" t="str">
        <f t="shared" si="57"/>
        <v/>
      </c>
      <c r="M211" s="84" t="str">
        <f t="shared" si="58"/>
        <v/>
      </c>
      <c r="N211" s="84" t="str">
        <f t="shared" si="59"/>
        <v/>
      </c>
      <c r="P211">
        <f t="shared" si="55"/>
        <v>160702</v>
      </c>
      <c r="Q211">
        <f t="shared" si="47"/>
        <v>0.0078</v>
      </c>
      <c r="R211" s="64" t="s">
        <v>301</v>
      </c>
      <c r="S211">
        <f t="shared" si="52"/>
        <v>0</v>
      </c>
      <c r="T211" s="64" t="s">
        <v>301</v>
      </c>
      <c r="U211">
        <f t="shared" si="53"/>
        <v>0</v>
      </c>
      <c r="V211">
        <f t="shared" si="60"/>
        <v>0.0582</v>
      </c>
      <c r="W211" t="str">
        <f t="shared" si="61"/>
        <v/>
      </c>
      <c r="X211" t="str">
        <f t="shared" si="62"/>
        <v/>
      </c>
      <c r="Z211" s="65" t="str">
        <f t="shared" si="54"/>
        <v>0.0078,0,0</v>
      </c>
      <c r="AA211" s="8">
        <v>0.0078</v>
      </c>
      <c r="AB211" t="str">
        <f t="shared" si="49"/>
        <v>0.0582</v>
      </c>
      <c r="AF211" s="37" t="s">
        <v>106</v>
      </c>
    </row>
    <row r="212" ht="17" spans="1:32">
      <c r="A212" s="31">
        <v>204</v>
      </c>
      <c r="B212" s="92">
        <v>260702</v>
      </c>
      <c r="C212" s="68">
        <v>4</v>
      </c>
      <c r="D212" s="81">
        <v>24.29</v>
      </c>
      <c r="E212" s="81"/>
      <c r="F212" s="81"/>
      <c r="G212" s="82"/>
      <c r="H212" s="68">
        <v>4</v>
      </c>
      <c r="I212" s="82"/>
      <c r="J212" s="82"/>
      <c r="K212" s="84">
        <f t="shared" si="56"/>
        <v>48.58</v>
      </c>
      <c r="L212" s="84" t="str">
        <f t="shared" si="57"/>
        <v/>
      </c>
      <c r="M212" s="84" t="str">
        <f t="shared" si="58"/>
        <v/>
      </c>
      <c r="N212" s="84" t="str">
        <f t="shared" si="59"/>
        <v/>
      </c>
      <c r="P212">
        <f t="shared" si="55"/>
        <v>160702</v>
      </c>
      <c r="Q212">
        <f t="shared" si="47"/>
        <v>19.432</v>
      </c>
      <c r="R212" s="64" t="s">
        <v>301</v>
      </c>
      <c r="S212">
        <f t="shared" si="52"/>
        <v>0</v>
      </c>
      <c r="T212" s="64" t="s">
        <v>301</v>
      </c>
      <c r="U212">
        <f t="shared" si="53"/>
        <v>0</v>
      </c>
      <c r="V212">
        <f t="shared" si="60"/>
        <v>50</v>
      </c>
      <c r="W212" t="str">
        <f t="shared" si="61"/>
        <v/>
      </c>
      <c r="X212" t="str">
        <f t="shared" si="62"/>
        <v/>
      </c>
      <c r="Z212" s="65" t="str">
        <f t="shared" si="54"/>
        <v>19.432,0,0</v>
      </c>
      <c r="AA212" s="8">
        <v>19.432</v>
      </c>
      <c r="AB212" t="str">
        <f t="shared" si="49"/>
        <v>50</v>
      </c>
      <c r="AF212" s="37"/>
    </row>
    <row r="213" ht="16.25" spans="1:32">
      <c r="A213" s="31">
        <v>204</v>
      </c>
      <c r="B213" s="92">
        <v>260802</v>
      </c>
      <c r="C213" s="68">
        <v>7</v>
      </c>
      <c r="D213" s="89">
        <v>0.0136</v>
      </c>
      <c r="E213" s="89"/>
      <c r="F213" s="89"/>
      <c r="G213" s="82"/>
      <c r="H213" s="68">
        <v>7</v>
      </c>
      <c r="I213" s="82"/>
      <c r="J213" s="82"/>
      <c r="K213" s="84">
        <f t="shared" si="56"/>
        <v>0.0816</v>
      </c>
      <c r="L213" s="84" t="str">
        <f t="shared" si="57"/>
        <v/>
      </c>
      <c r="M213" s="84" t="str">
        <f t="shared" si="58"/>
        <v/>
      </c>
      <c r="N213" s="84" t="str">
        <f t="shared" si="59"/>
        <v/>
      </c>
      <c r="P213">
        <f t="shared" si="55"/>
        <v>160802</v>
      </c>
      <c r="Q213">
        <f t="shared" si="47"/>
        <v>0.0109</v>
      </c>
      <c r="R213" s="64" t="s">
        <v>301</v>
      </c>
      <c r="S213">
        <f t="shared" si="52"/>
        <v>0</v>
      </c>
      <c r="T213" s="64" t="s">
        <v>301</v>
      </c>
      <c r="U213">
        <f t="shared" si="53"/>
        <v>0</v>
      </c>
      <c r="V213">
        <f t="shared" si="60"/>
        <v>0.0816</v>
      </c>
      <c r="W213" t="str">
        <f t="shared" si="61"/>
        <v/>
      </c>
      <c r="X213" t="str">
        <f t="shared" si="62"/>
        <v/>
      </c>
      <c r="Z213" s="65" t="str">
        <f t="shared" si="54"/>
        <v>0.0109,0,0</v>
      </c>
      <c r="AA213" s="8">
        <v>0.0109</v>
      </c>
      <c r="AB213" t="str">
        <f t="shared" si="49"/>
        <v>0.0816</v>
      </c>
      <c r="AF213" s="37" t="s">
        <v>110</v>
      </c>
    </row>
    <row r="214" ht="16.25" spans="1:32">
      <c r="A214" s="31">
        <v>204</v>
      </c>
      <c r="B214" s="92">
        <v>260802</v>
      </c>
      <c r="C214" s="68">
        <v>4</v>
      </c>
      <c r="D214" s="90">
        <v>12.14</v>
      </c>
      <c r="E214" s="90"/>
      <c r="F214" s="90"/>
      <c r="G214" s="82"/>
      <c r="H214" s="68">
        <v>4</v>
      </c>
      <c r="I214" s="82"/>
      <c r="J214" s="82"/>
      <c r="K214" s="84">
        <f t="shared" si="56"/>
        <v>24.28</v>
      </c>
      <c r="L214" s="84" t="str">
        <f t="shared" si="57"/>
        <v/>
      </c>
      <c r="M214" s="84" t="str">
        <f t="shared" si="58"/>
        <v/>
      </c>
      <c r="N214" s="84" t="str">
        <f t="shared" si="59"/>
        <v/>
      </c>
      <c r="P214">
        <f t="shared" si="55"/>
        <v>160802</v>
      </c>
      <c r="Q214">
        <f t="shared" si="47"/>
        <v>9.712</v>
      </c>
      <c r="R214" s="64" t="s">
        <v>301</v>
      </c>
      <c r="S214">
        <f t="shared" si="52"/>
        <v>0</v>
      </c>
      <c r="T214" s="64" t="s">
        <v>301</v>
      </c>
      <c r="U214">
        <f t="shared" si="53"/>
        <v>0</v>
      </c>
      <c r="V214">
        <f t="shared" si="60"/>
        <v>25</v>
      </c>
      <c r="W214" t="str">
        <f t="shared" si="61"/>
        <v/>
      </c>
      <c r="X214" t="str">
        <f t="shared" si="62"/>
        <v/>
      </c>
      <c r="Z214" s="65" t="str">
        <f t="shared" si="54"/>
        <v>9.712,0,0</v>
      </c>
      <c r="AA214" s="8">
        <v>9.712</v>
      </c>
      <c r="AB214" t="str">
        <f t="shared" si="49"/>
        <v>25</v>
      </c>
      <c r="AF214" s="37"/>
    </row>
    <row r="215" ht="16.25" spans="1:32">
      <c r="A215" s="31">
        <v>204</v>
      </c>
      <c r="B215" s="92">
        <v>260802</v>
      </c>
      <c r="C215" s="68">
        <v>10</v>
      </c>
      <c r="D215" s="90">
        <v>0.0097</v>
      </c>
      <c r="E215" s="90"/>
      <c r="F215" s="90"/>
      <c r="G215" s="82"/>
      <c r="H215" s="68">
        <v>10</v>
      </c>
      <c r="I215" s="82"/>
      <c r="J215" s="82"/>
      <c r="K215" s="84">
        <f t="shared" si="56"/>
        <v>0.0582</v>
      </c>
      <c r="L215" s="84" t="str">
        <f t="shared" si="57"/>
        <v/>
      </c>
      <c r="M215" s="84" t="str">
        <f t="shared" si="58"/>
        <v/>
      </c>
      <c r="N215" s="84" t="str">
        <f t="shared" si="59"/>
        <v/>
      </c>
      <c r="P215">
        <f t="shared" si="55"/>
        <v>160802</v>
      </c>
      <c r="Q215">
        <f t="shared" si="47"/>
        <v>0.0078</v>
      </c>
      <c r="R215" s="64" t="s">
        <v>301</v>
      </c>
      <c r="S215">
        <f t="shared" si="52"/>
        <v>0</v>
      </c>
      <c r="T215" s="64" t="s">
        <v>301</v>
      </c>
      <c r="U215">
        <f t="shared" si="53"/>
        <v>0</v>
      </c>
      <c r="V215">
        <f t="shared" si="60"/>
        <v>0.0582</v>
      </c>
      <c r="W215" t="str">
        <f t="shared" si="61"/>
        <v/>
      </c>
      <c r="X215" t="str">
        <f t="shared" si="62"/>
        <v/>
      </c>
      <c r="Z215" s="65" t="str">
        <f t="shared" si="54"/>
        <v>0.0078,0,0</v>
      </c>
      <c r="AA215" s="8">
        <v>0.0078</v>
      </c>
      <c r="AB215" t="str">
        <f t="shared" si="49"/>
        <v>0.0582</v>
      </c>
      <c r="AF215" s="37"/>
    </row>
    <row r="216" ht="17" spans="1:32">
      <c r="A216" s="31">
        <v>204</v>
      </c>
      <c r="B216" s="92">
        <v>260802</v>
      </c>
      <c r="C216" s="68">
        <v>26</v>
      </c>
      <c r="D216" s="91">
        <v>0.0205</v>
      </c>
      <c r="E216" s="91"/>
      <c r="F216" s="91"/>
      <c r="G216" s="82"/>
      <c r="H216" s="68">
        <v>26</v>
      </c>
      <c r="I216" s="82"/>
      <c r="J216" s="82"/>
      <c r="K216" s="84">
        <f t="shared" si="56"/>
        <v>0.123</v>
      </c>
      <c r="L216" s="84" t="str">
        <f t="shared" si="57"/>
        <v/>
      </c>
      <c r="M216" s="84" t="str">
        <f t="shared" si="58"/>
        <v/>
      </c>
      <c r="N216" s="84" t="str">
        <f t="shared" si="59"/>
        <v/>
      </c>
      <c r="P216">
        <f t="shared" si="55"/>
        <v>160802</v>
      </c>
      <c r="Q216">
        <f t="shared" si="47"/>
        <v>0.0164</v>
      </c>
      <c r="R216" s="64" t="s">
        <v>301</v>
      </c>
      <c r="S216">
        <f t="shared" si="52"/>
        <v>0</v>
      </c>
      <c r="T216" s="64" t="s">
        <v>301</v>
      </c>
      <c r="U216">
        <f t="shared" si="53"/>
        <v>0</v>
      </c>
      <c r="V216">
        <f t="shared" si="60"/>
        <v>0.123</v>
      </c>
      <c r="W216" t="str">
        <f t="shared" si="61"/>
        <v/>
      </c>
      <c r="X216" t="str">
        <f t="shared" si="62"/>
        <v/>
      </c>
      <c r="Z216" s="65" t="str">
        <f t="shared" si="54"/>
        <v>0.0164,0,0</v>
      </c>
      <c r="AA216" s="8">
        <v>0.0164</v>
      </c>
      <c r="AB216" t="str">
        <f t="shared" si="49"/>
        <v>0.123</v>
      </c>
      <c r="AF216" s="37"/>
    </row>
    <row r="217" ht="16.25" spans="1:32">
      <c r="A217" s="31">
        <v>204</v>
      </c>
      <c r="B217" s="92">
        <v>260902</v>
      </c>
      <c r="C217" s="68">
        <v>8</v>
      </c>
      <c r="D217" s="89">
        <v>0.0137</v>
      </c>
      <c r="E217" s="89"/>
      <c r="F217" s="89"/>
      <c r="G217" s="82"/>
      <c r="H217" s="68">
        <v>8</v>
      </c>
      <c r="I217" s="82"/>
      <c r="J217" s="82"/>
      <c r="K217" s="84">
        <f t="shared" si="56"/>
        <v>0.0822</v>
      </c>
      <c r="L217" s="84" t="str">
        <f t="shared" si="57"/>
        <v/>
      </c>
      <c r="M217" s="84" t="str">
        <f t="shared" si="58"/>
        <v/>
      </c>
      <c r="N217" s="84" t="str">
        <f t="shared" si="59"/>
        <v/>
      </c>
      <c r="P217">
        <f t="shared" si="55"/>
        <v>160902</v>
      </c>
      <c r="Q217">
        <f t="shared" si="47"/>
        <v>0.011</v>
      </c>
      <c r="R217" s="64" t="s">
        <v>301</v>
      </c>
      <c r="S217">
        <f t="shared" si="52"/>
        <v>0</v>
      </c>
      <c r="T217" s="64" t="s">
        <v>301</v>
      </c>
      <c r="U217">
        <f t="shared" si="53"/>
        <v>0</v>
      </c>
      <c r="V217">
        <f t="shared" si="60"/>
        <v>0.0822</v>
      </c>
      <c r="W217" t="str">
        <f t="shared" si="61"/>
        <v/>
      </c>
      <c r="X217" t="str">
        <f t="shared" si="62"/>
        <v/>
      </c>
      <c r="Z217" s="65" t="str">
        <f t="shared" si="54"/>
        <v>0.011,0,0</v>
      </c>
      <c r="AA217" s="8">
        <v>0.011</v>
      </c>
      <c r="AB217" t="str">
        <f t="shared" si="49"/>
        <v>0.0822</v>
      </c>
      <c r="AF217" s="37" t="s">
        <v>114</v>
      </c>
    </row>
    <row r="218" ht="16.25" spans="1:32">
      <c r="A218" s="31">
        <v>204</v>
      </c>
      <c r="B218" s="92">
        <v>260902</v>
      </c>
      <c r="C218" s="68">
        <v>10</v>
      </c>
      <c r="D218" s="90">
        <v>0.0097</v>
      </c>
      <c r="E218" s="90"/>
      <c r="F218" s="90"/>
      <c r="G218" s="82"/>
      <c r="H218" s="68">
        <v>10</v>
      </c>
      <c r="I218" s="82"/>
      <c r="J218" s="82"/>
      <c r="K218" s="84">
        <f t="shared" si="56"/>
        <v>0.0582</v>
      </c>
      <c r="L218" s="84" t="str">
        <f t="shared" si="57"/>
        <v/>
      </c>
      <c r="M218" s="84" t="str">
        <f t="shared" si="58"/>
        <v/>
      </c>
      <c r="N218" s="84" t="str">
        <f t="shared" si="59"/>
        <v/>
      </c>
      <c r="P218">
        <f t="shared" ref="P218:P243" si="63">B218-100000</f>
        <v>160902</v>
      </c>
      <c r="Q218">
        <f t="shared" si="47"/>
        <v>0.0078</v>
      </c>
      <c r="R218" s="64" t="s">
        <v>301</v>
      </c>
      <c r="S218">
        <f t="shared" si="52"/>
        <v>0</v>
      </c>
      <c r="T218" s="64" t="s">
        <v>301</v>
      </c>
      <c r="U218">
        <f t="shared" si="53"/>
        <v>0</v>
      </c>
      <c r="V218">
        <f t="shared" si="60"/>
        <v>0.0582</v>
      </c>
      <c r="W218" t="str">
        <f t="shared" si="61"/>
        <v/>
      </c>
      <c r="X218" t="str">
        <f t="shared" si="62"/>
        <v/>
      </c>
      <c r="Z218" s="65" t="str">
        <f t="shared" si="54"/>
        <v>0.0078,0,0</v>
      </c>
      <c r="AA218" s="8">
        <v>0.0078</v>
      </c>
      <c r="AB218" t="str">
        <f t="shared" si="49"/>
        <v>0.0582</v>
      </c>
      <c r="AF218" s="37"/>
    </row>
    <row r="219" ht="17" spans="1:32">
      <c r="A219" s="31">
        <v>204</v>
      </c>
      <c r="B219" s="92">
        <v>260902</v>
      </c>
      <c r="C219" s="68">
        <v>4</v>
      </c>
      <c r="D219" s="91">
        <v>12.14</v>
      </c>
      <c r="E219" s="91"/>
      <c r="F219" s="91"/>
      <c r="G219" s="82"/>
      <c r="H219" s="68">
        <v>4</v>
      </c>
      <c r="I219" s="82"/>
      <c r="J219" s="82"/>
      <c r="K219" s="84">
        <f t="shared" si="56"/>
        <v>24.28</v>
      </c>
      <c r="L219" s="84" t="str">
        <f t="shared" si="57"/>
        <v/>
      </c>
      <c r="M219" s="84" t="str">
        <f t="shared" si="58"/>
        <v/>
      </c>
      <c r="N219" s="84" t="str">
        <f t="shared" si="59"/>
        <v/>
      </c>
      <c r="P219">
        <f t="shared" si="63"/>
        <v>160902</v>
      </c>
      <c r="Q219">
        <f t="shared" si="47"/>
        <v>9.712</v>
      </c>
      <c r="R219" s="64" t="s">
        <v>301</v>
      </c>
      <c r="S219">
        <f t="shared" si="52"/>
        <v>0</v>
      </c>
      <c r="T219" s="64" t="s">
        <v>301</v>
      </c>
      <c r="U219">
        <f t="shared" si="53"/>
        <v>0</v>
      </c>
      <c r="V219">
        <f t="shared" si="60"/>
        <v>25</v>
      </c>
      <c r="W219" t="str">
        <f t="shared" si="61"/>
        <v/>
      </c>
      <c r="X219" t="str">
        <f t="shared" si="62"/>
        <v/>
      </c>
      <c r="Z219" s="65" t="str">
        <f t="shared" si="54"/>
        <v>9.712,0,0</v>
      </c>
      <c r="AA219" s="8">
        <v>9.712</v>
      </c>
      <c r="AB219" t="str">
        <f t="shared" si="49"/>
        <v>25</v>
      </c>
      <c r="AF219" s="37"/>
    </row>
    <row r="220" ht="16.25" spans="1:32">
      <c r="A220" s="31">
        <v>301</v>
      </c>
      <c r="B220" s="92">
        <v>220003</v>
      </c>
      <c r="C220" s="68" t="s">
        <v>249</v>
      </c>
      <c r="D220" s="69">
        <v>23</v>
      </c>
      <c r="E220" s="69">
        <v>7</v>
      </c>
      <c r="F220" s="69"/>
      <c r="G220" s="70"/>
      <c r="H220" s="68">
        <v>1</v>
      </c>
      <c r="I220" s="70">
        <v>3</v>
      </c>
      <c r="J220" s="70"/>
      <c r="K220" s="84">
        <f t="shared" si="56"/>
        <v>23</v>
      </c>
      <c r="L220" s="84">
        <f t="shared" si="57"/>
        <v>7</v>
      </c>
      <c r="M220" s="84" t="str">
        <f t="shared" si="58"/>
        <v/>
      </c>
      <c r="N220" s="84" t="str">
        <f t="shared" si="59"/>
        <v/>
      </c>
      <c r="P220">
        <f t="shared" si="63"/>
        <v>120003</v>
      </c>
      <c r="Q220">
        <f>ROUND(D220*0.8,0)</f>
        <v>18</v>
      </c>
      <c r="R220" s="64" t="s">
        <v>301</v>
      </c>
      <c r="S220">
        <f>ROUND(E220*$Q$1,0)</f>
        <v>6</v>
      </c>
      <c r="T220" s="64" t="s">
        <v>301</v>
      </c>
      <c r="U220">
        <f t="shared" si="53"/>
        <v>0</v>
      </c>
      <c r="V220">
        <f t="shared" si="60"/>
        <v>25</v>
      </c>
      <c r="W220">
        <f t="shared" si="61"/>
        <v>10</v>
      </c>
      <c r="X220" t="str">
        <f t="shared" si="62"/>
        <v/>
      </c>
      <c r="Z220" s="65" t="str">
        <f>Q220&amp;R220&amp;S220</f>
        <v>18,6</v>
      </c>
      <c r="AA220" s="96" t="s">
        <v>250</v>
      </c>
      <c r="AB220" t="str">
        <f t="shared" si="49"/>
        <v>25,10</v>
      </c>
      <c r="AF220" s="37" t="s">
        <v>27</v>
      </c>
    </row>
    <row r="221" ht="16.25" spans="1:32">
      <c r="A221" s="31">
        <v>301</v>
      </c>
      <c r="B221" s="92">
        <v>230003</v>
      </c>
      <c r="C221" s="68" t="s">
        <v>249</v>
      </c>
      <c r="D221" s="69">
        <v>30</v>
      </c>
      <c r="E221" s="69">
        <v>9</v>
      </c>
      <c r="F221" s="69"/>
      <c r="G221" s="70"/>
      <c r="H221" s="68">
        <v>1</v>
      </c>
      <c r="I221" s="70">
        <v>3</v>
      </c>
      <c r="J221" s="70"/>
      <c r="K221" s="84">
        <f t="shared" si="56"/>
        <v>30</v>
      </c>
      <c r="L221" s="84">
        <f t="shared" si="57"/>
        <v>9</v>
      </c>
      <c r="M221" s="84" t="str">
        <f t="shared" si="58"/>
        <v/>
      </c>
      <c r="N221" s="84" t="str">
        <f t="shared" si="59"/>
        <v/>
      </c>
      <c r="P221">
        <f t="shared" si="63"/>
        <v>130003</v>
      </c>
      <c r="Q221">
        <f t="shared" ref="Q221:Q243" si="64">ROUND(D221*0.8,0)</f>
        <v>24</v>
      </c>
      <c r="R221" s="64" t="s">
        <v>301</v>
      </c>
      <c r="S221">
        <f t="shared" ref="S221:S242" si="65">ROUND(E221*$Q$1,0)</f>
        <v>7</v>
      </c>
      <c r="T221" s="64" t="s">
        <v>301</v>
      </c>
      <c r="U221">
        <f t="shared" si="53"/>
        <v>0</v>
      </c>
      <c r="V221">
        <f t="shared" si="60"/>
        <v>30</v>
      </c>
      <c r="W221">
        <f t="shared" si="61"/>
        <v>10</v>
      </c>
      <c r="X221" t="str">
        <f t="shared" si="62"/>
        <v/>
      </c>
      <c r="Z221" s="65" t="str">
        <f t="shared" ref="Z221:Z243" si="66">Q221&amp;R221&amp;S221</f>
        <v>24,7</v>
      </c>
      <c r="AA221" s="96" t="s">
        <v>251</v>
      </c>
      <c r="AB221" t="str">
        <f t="shared" si="49"/>
        <v>30,10</v>
      </c>
      <c r="AF221" s="37" t="s">
        <v>31</v>
      </c>
    </row>
    <row r="222" ht="16.25" spans="1:32">
      <c r="A222" s="31">
        <v>301</v>
      </c>
      <c r="B222" s="92">
        <v>240003</v>
      </c>
      <c r="C222" s="68" t="s">
        <v>249</v>
      </c>
      <c r="D222" s="69">
        <v>46</v>
      </c>
      <c r="E222" s="69">
        <v>14</v>
      </c>
      <c r="F222" s="69"/>
      <c r="G222" s="70"/>
      <c r="H222" s="68">
        <v>1</v>
      </c>
      <c r="I222" s="70">
        <v>3</v>
      </c>
      <c r="J222" s="70"/>
      <c r="K222" s="84">
        <f t="shared" si="56"/>
        <v>46</v>
      </c>
      <c r="L222" s="84">
        <f t="shared" si="57"/>
        <v>14</v>
      </c>
      <c r="M222" s="84" t="str">
        <f t="shared" si="58"/>
        <v/>
      </c>
      <c r="N222" s="84" t="str">
        <f t="shared" si="59"/>
        <v/>
      </c>
      <c r="P222">
        <f t="shared" si="63"/>
        <v>140003</v>
      </c>
      <c r="Q222">
        <f t="shared" si="64"/>
        <v>37</v>
      </c>
      <c r="R222" s="64" t="s">
        <v>301</v>
      </c>
      <c r="S222">
        <f t="shared" si="65"/>
        <v>11</v>
      </c>
      <c r="T222" s="64" t="s">
        <v>301</v>
      </c>
      <c r="U222">
        <f t="shared" si="53"/>
        <v>0</v>
      </c>
      <c r="V222">
        <f t="shared" si="60"/>
        <v>50</v>
      </c>
      <c r="W222">
        <f t="shared" si="61"/>
        <v>15</v>
      </c>
      <c r="X222" t="str">
        <f t="shared" si="62"/>
        <v/>
      </c>
      <c r="Z222" s="65" t="str">
        <f t="shared" si="66"/>
        <v>37,11</v>
      </c>
      <c r="AA222" s="96" t="s">
        <v>252</v>
      </c>
      <c r="AB222" t="str">
        <f t="shared" si="49"/>
        <v>50,15</v>
      </c>
      <c r="AF222" s="37" t="s">
        <v>35</v>
      </c>
    </row>
    <row r="223" ht="16.25" spans="1:32">
      <c r="A223" s="31">
        <v>301</v>
      </c>
      <c r="B223" s="92">
        <v>240103</v>
      </c>
      <c r="C223" s="68" t="s">
        <v>249</v>
      </c>
      <c r="D223" s="69">
        <v>58</v>
      </c>
      <c r="E223" s="69">
        <v>11</v>
      </c>
      <c r="F223" s="69"/>
      <c r="G223" s="70"/>
      <c r="H223" s="68">
        <v>1</v>
      </c>
      <c r="I223" s="70">
        <v>3</v>
      </c>
      <c r="J223" s="70"/>
      <c r="K223" s="84">
        <f t="shared" si="56"/>
        <v>58</v>
      </c>
      <c r="L223" s="84">
        <f t="shared" si="57"/>
        <v>11</v>
      </c>
      <c r="M223" s="84" t="str">
        <f t="shared" si="58"/>
        <v/>
      </c>
      <c r="N223" s="84" t="str">
        <f t="shared" si="59"/>
        <v/>
      </c>
      <c r="P223">
        <f t="shared" si="63"/>
        <v>140103</v>
      </c>
      <c r="Q223">
        <f t="shared" si="64"/>
        <v>46</v>
      </c>
      <c r="R223" s="64" t="s">
        <v>301</v>
      </c>
      <c r="S223">
        <f t="shared" si="65"/>
        <v>9</v>
      </c>
      <c r="T223" s="64" t="s">
        <v>301</v>
      </c>
      <c r="U223">
        <f t="shared" si="53"/>
        <v>0</v>
      </c>
      <c r="V223">
        <f t="shared" si="60"/>
        <v>60</v>
      </c>
      <c r="W223">
        <f t="shared" si="61"/>
        <v>15</v>
      </c>
      <c r="X223" t="str">
        <f t="shared" si="62"/>
        <v/>
      </c>
      <c r="Z223" s="65" t="str">
        <f t="shared" si="66"/>
        <v>46,9</v>
      </c>
      <c r="AA223" s="96" t="s">
        <v>253</v>
      </c>
      <c r="AB223" t="str">
        <f t="shared" si="49"/>
        <v>60,15</v>
      </c>
      <c r="AF223" s="37" t="s">
        <v>39</v>
      </c>
    </row>
    <row r="224" ht="16.25" spans="1:32">
      <c r="A224" s="31">
        <v>301</v>
      </c>
      <c r="B224" s="92">
        <v>240203</v>
      </c>
      <c r="C224" s="68" t="s">
        <v>249</v>
      </c>
      <c r="D224" s="97">
        <v>37</v>
      </c>
      <c r="E224" s="97">
        <v>18</v>
      </c>
      <c r="F224" s="97"/>
      <c r="G224" s="98"/>
      <c r="H224" s="68">
        <v>1</v>
      </c>
      <c r="I224" s="98">
        <v>3</v>
      </c>
      <c r="J224" s="98"/>
      <c r="K224" s="84">
        <f t="shared" si="56"/>
        <v>37</v>
      </c>
      <c r="L224" s="84">
        <f t="shared" si="57"/>
        <v>18</v>
      </c>
      <c r="M224" s="84" t="str">
        <f t="shared" si="58"/>
        <v/>
      </c>
      <c r="N224" s="84" t="str">
        <f t="shared" si="59"/>
        <v/>
      </c>
      <c r="P224">
        <f t="shared" si="63"/>
        <v>140203</v>
      </c>
      <c r="Q224">
        <f t="shared" si="64"/>
        <v>30</v>
      </c>
      <c r="R224" s="64" t="s">
        <v>301</v>
      </c>
      <c r="S224">
        <f t="shared" si="65"/>
        <v>14</v>
      </c>
      <c r="T224" s="64" t="s">
        <v>301</v>
      </c>
      <c r="U224">
        <f t="shared" si="53"/>
        <v>0</v>
      </c>
      <c r="V224">
        <f t="shared" si="60"/>
        <v>40</v>
      </c>
      <c r="W224">
        <f t="shared" si="61"/>
        <v>20</v>
      </c>
      <c r="X224" t="str">
        <f t="shared" si="62"/>
        <v/>
      </c>
      <c r="Z224" s="65" t="str">
        <f t="shared" si="66"/>
        <v>30,14</v>
      </c>
      <c r="AA224" s="96" t="s">
        <v>254</v>
      </c>
      <c r="AB224" t="str">
        <f t="shared" si="49"/>
        <v>40,20</v>
      </c>
      <c r="AF224" s="37" t="s">
        <v>43</v>
      </c>
    </row>
    <row r="225" ht="16.25" spans="1:32">
      <c r="A225" s="31">
        <v>301</v>
      </c>
      <c r="B225" s="92">
        <v>250103</v>
      </c>
      <c r="C225" s="68" t="s">
        <v>249</v>
      </c>
      <c r="D225" s="69">
        <v>100</v>
      </c>
      <c r="E225" s="69">
        <v>30</v>
      </c>
      <c r="F225" s="69"/>
      <c r="G225" s="70"/>
      <c r="H225" s="68">
        <v>1</v>
      </c>
      <c r="I225" s="70">
        <v>3</v>
      </c>
      <c r="J225" s="70"/>
      <c r="K225" s="84">
        <f t="shared" si="56"/>
        <v>100</v>
      </c>
      <c r="L225" s="84">
        <f t="shared" si="57"/>
        <v>30</v>
      </c>
      <c r="M225" s="84" t="str">
        <f t="shared" si="58"/>
        <v/>
      </c>
      <c r="N225" s="84" t="str">
        <f t="shared" si="59"/>
        <v/>
      </c>
      <c r="P225">
        <f t="shared" si="63"/>
        <v>150103</v>
      </c>
      <c r="Q225">
        <f t="shared" si="64"/>
        <v>80</v>
      </c>
      <c r="R225" s="64" t="s">
        <v>301</v>
      </c>
      <c r="S225">
        <f t="shared" si="65"/>
        <v>24</v>
      </c>
      <c r="T225" s="64" t="s">
        <v>301</v>
      </c>
      <c r="U225">
        <f t="shared" si="53"/>
        <v>0</v>
      </c>
      <c r="V225">
        <f t="shared" si="60"/>
        <v>100</v>
      </c>
      <c r="W225">
        <f t="shared" si="61"/>
        <v>30</v>
      </c>
      <c r="X225" t="str">
        <f t="shared" si="62"/>
        <v/>
      </c>
      <c r="Z225" s="65" t="str">
        <f t="shared" si="66"/>
        <v>80,24</v>
      </c>
      <c r="AA225" s="96" t="s">
        <v>255</v>
      </c>
      <c r="AB225" t="str">
        <f t="shared" si="49"/>
        <v>100,30</v>
      </c>
      <c r="AF225" s="37" t="s">
        <v>47</v>
      </c>
    </row>
    <row r="226" ht="16.25" spans="1:32">
      <c r="A226" s="31">
        <v>301</v>
      </c>
      <c r="B226" s="92">
        <v>250203</v>
      </c>
      <c r="C226" s="68" t="s">
        <v>249</v>
      </c>
      <c r="D226" s="69">
        <v>100</v>
      </c>
      <c r="E226" s="69">
        <v>30</v>
      </c>
      <c r="F226" s="69"/>
      <c r="G226" s="70"/>
      <c r="H226" s="68">
        <v>1</v>
      </c>
      <c r="I226" s="70">
        <v>3</v>
      </c>
      <c r="J226" s="70"/>
      <c r="K226" s="84">
        <f t="shared" si="56"/>
        <v>100</v>
      </c>
      <c r="L226" s="84">
        <f t="shared" si="57"/>
        <v>30</v>
      </c>
      <c r="M226" s="84" t="str">
        <f t="shared" si="58"/>
        <v/>
      </c>
      <c r="N226" s="84" t="str">
        <f t="shared" si="59"/>
        <v/>
      </c>
      <c r="P226">
        <f t="shared" si="63"/>
        <v>150203</v>
      </c>
      <c r="Q226">
        <f t="shared" si="64"/>
        <v>80</v>
      </c>
      <c r="R226" s="64" t="s">
        <v>301</v>
      </c>
      <c r="S226">
        <f t="shared" si="65"/>
        <v>24</v>
      </c>
      <c r="T226" s="64" t="s">
        <v>301</v>
      </c>
      <c r="U226">
        <f t="shared" si="53"/>
        <v>0</v>
      </c>
      <c r="V226">
        <f t="shared" si="60"/>
        <v>100</v>
      </c>
      <c r="W226">
        <f t="shared" si="61"/>
        <v>30</v>
      </c>
      <c r="X226" t="str">
        <f t="shared" si="62"/>
        <v/>
      </c>
      <c r="Z226" s="65" t="str">
        <f t="shared" si="66"/>
        <v>80,24</v>
      </c>
      <c r="AA226" s="96" t="s">
        <v>255</v>
      </c>
      <c r="AB226" t="str">
        <f t="shared" si="49"/>
        <v>100,30</v>
      </c>
      <c r="AF226" s="37" t="s">
        <v>51</v>
      </c>
    </row>
    <row r="227" ht="16.25" spans="1:32">
      <c r="A227" s="31">
        <v>301</v>
      </c>
      <c r="B227" s="92">
        <v>250303</v>
      </c>
      <c r="C227" s="68" t="s">
        <v>249</v>
      </c>
      <c r="D227" s="69">
        <v>100</v>
      </c>
      <c r="E227" s="69">
        <v>30</v>
      </c>
      <c r="F227" s="69"/>
      <c r="G227" s="70"/>
      <c r="H227" s="68">
        <v>1</v>
      </c>
      <c r="I227" s="70">
        <v>3</v>
      </c>
      <c r="J227" s="70"/>
      <c r="K227" s="84">
        <f t="shared" si="56"/>
        <v>100</v>
      </c>
      <c r="L227" s="84">
        <f t="shared" si="57"/>
        <v>30</v>
      </c>
      <c r="M227" s="84" t="str">
        <f t="shared" si="58"/>
        <v/>
      </c>
      <c r="N227" s="84" t="str">
        <f t="shared" si="59"/>
        <v/>
      </c>
      <c r="P227">
        <f t="shared" si="63"/>
        <v>150303</v>
      </c>
      <c r="Q227">
        <f t="shared" si="64"/>
        <v>80</v>
      </c>
      <c r="R227" s="64" t="s">
        <v>301</v>
      </c>
      <c r="S227">
        <f t="shared" si="65"/>
        <v>24</v>
      </c>
      <c r="T227" s="64" t="s">
        <v>301</v>
      </c>
      <c r="U227">
        <f t="shared" si="53"/>
        <v>0</v>
      </c>
      <c r="V227">
        <f t="shared" si="60"/>
        <v>100</v>
      </c>
      <c r="W227">
        <f t="shared" si="61"/>
        <v>30</v>
      </c>
      <c r="X227" t="str">
        <f t="shared" si="62"/>
        <v/>
      </c>
      <c r="Z227" s="65" t="str">
        <f t="shared" si="66"/>
        <v>80,24</v>
      </c>
      <c r="AA227" s="96" t="s">
        <v>255</v>
      </c>
      <c r="AB227" t="str">
        <f t="shared" ref="AB227:AB290" si="67">_xlfn.TEXTJOIN(",",TRUE,V227,W227,X227)</f>
        <v>100,30</v>
      </c>
      <c r="AF227" s="37" t="s">
        <v>55</v>
      </c>
    </row>
    <row r="228" ht="16.25" spans="1:32">
      <c r="A228" s="31">
        <v>301</v>
      </c>
      <c r="B228" s="92">
        <v>250403</v>
      </c>
      <c r="C228" s="68" t="s">
        <v>249</v>
      </c>
      <c r="D228" s="69">
        <v>100</v>
      </c>
      <c r="E228" s="69">
        <v>30</v>
      </c>
      <c r="F228" s="69"/>
      <c r="G228" s="70"/>
      <c r="H228" s="68">
        <v>1</v>
      </c>
      <c r="I228" s="70">
        <v>3</v>
      </c>
      <c r="J228" s="70"/>
      <c r="K228" s="84">
        <f t="shared" si="56"/>
        <v>100</v>
      </c>
      <c r="L228" s="84">
        <f t="shared" si="57"/>
        <v>30</v>
      </c>
      <c r="M228" s="84" t="str">
        <f t="shared" si="58"/>
        <v/>
      </c>
      <c r="N228" s="84" t="str">
        <f t="shared" si="59"/>
        <v/>
      </c>
      <c r="P228">
        <f t="shared" si="63"/>
        <v>150403</v>
      </c>
      <c r="Q228">
        <f t="shared" si="64"/>
        <v>80</v>
      </c>
      <c r="R228" s="64" t="s">
        <v>301</v>
      </c>
      <c r="S228">
        <f t="shared" si="65"/>
        <v>24</v>
      </c>
      <c r="T228" s="64" t="s">
        <v>301</v>
      </c>
      <c r="U228">
        <f t="shared" si="53"/>
        <v>0</v>
      </c>
      <c r="V228">
        <f t="shared" si="60"/>
        <v>100</v>
      </c>
      <c r="W228">
        <f t="shared" si="61"/>
        <v>30</v>
      </c>
      <c r="X228" t="str">
        <f t="shared" si="62"/>
        <v/>
      </c>
      <c r="Z228" s="65" t="str">
        <f t="shared" si="66"/>
        <v>80,24</v>
      </c>
      <c r="AA228" s="96" t="s">
        <v>255</v>
      </c>
      <c r="AB228" t="str">
        <f t="shared" si="67"/>
        <v>100,30</v>
      </c>
      <c r="AF228" s="37" t="s">
        <v>59</v>
      </c>
    </row>
    <row r="229" ht="16.25" spans="1:32">
      <c r="A229" s="31">
        <v>301</v>
      </c>
      <c r="B229" s="92">
        <v>250503</v>
      </c>
      <c r="C229" s="68" t="s">
        <v>249</v>
      </c>
      <c r="D229" s="69">
        <v>100</v>
      </c>
      <c r="E229" s="69">
        <v>30</v>
      </c>
      <c r="F229" s="69"/>
      <c r="G229" s="70"/>
      <c r="H229" s="68">
        <v>1</v>
      </c>
      <c r="I229" s="70">
        <v>3</v>
      </c>
      <c r="J229" s="70"/>
      <c r="K229" s="84">
        <f t="shared" si="56"/>
        <v>100</v>
      </c>
      <c r="L229" s="84">
        <f t="shared" si="57"/>
        <v>30</v>
      </c>
      <c r="M229" s="84" t="str">
        <f t="shared" si="58"/>
        <v/>
      </c>
      <c r="N229" s="84" t="str">
        <f t="shared" si="59"/>
        <v/>
      </c>
      <c r="P229">
        <f t="shared" si="63"/>
        <v>150503</v>
      </c>
      <c r="Q229">
        <f t="shared" si="64"/>
        <v>80</v>
      </c>
      <c r="R229" s="64" t="s">
        <v>301</v>
      </c>
      <c r="S229">
        <f t="shared" si="65"/>
        <v>24</v>
      </c>
      <c r="T229" s="64" t="s">
        <v>301</v>
      </c>
      <c r="U229">
        <f t="shared" si="53"/>
        <v>0</v>
      </c>
      <c r="V229">
        <f t="shared" si="60"/>
        <v>100</v>
      </c>
      <c r="W229">
        <f t="shared" si="61"/>
        <v>30</v>
      </c>
      <c r="X229" t="str">
        <f t="shared" si="62"/>
        <v/>
      </c>
      <c r="Z229" s="65" t="str">
        <f t="shared" si="66"/>
        <v>80,24</v>
      </c>
      <c r="AA229" s="96" t="s">
        <v>255</v>
      </c>
      <c r="AB229" t="str">
        <f t="shared" si="67"/>
        <v>100,30</v>
      </c>
      <c r="AF229" s="37" t="s">
        <v>63</v>
      </c>
    </row>
    <row r="230" ht="16.25" spans="1:32">
      <c r="A230" s="31">
        <v>301</v>
      </c>
      <c r="B230" s="92">
        <v>250603</v>
      </c>
      <c r="C230" s="68" t="s">
        <v>249</v>
      </c>
      <c r="D230" s="69">
        <v>100</v>
      </c>
      <c r="E230" s="69">
        <v>30</v>
      </c>
      <c r="F230" s="69"/>
      <c r="G230" s="70"/>
      <c r="H230" s="68">
        <v>1</v>
      </c>
      <c r="I230" s="70">
        <v>3</v>
      </c>
      <c r="J230" s="70"/>
      <c r="K230" s="84">
        <f t="shared" si="56"/>
        <v>100</v>
      </c>
      <c r="L230" s="84">
        <f t="shared" si="57"/>
        <v>30</v>
      </c>
      <c r="M230" s="84" t="str">
        <f t="shared" si="58"/>
        <v/>
      </c>
      <c r="N230" s="84" t="str">
        <f t="shared" si="59"/>
        <v/>
      </c>
      <c r="P230">
        <f t="shared" si="63"/>
        <v>150603</v>
      </c>
      <c r="Q230">
        <f t="shared" si="64"/>
        <v>80</v>
      </c>
      <c r="R230" s="64" t="s">
        <v>301</v>
      </c>
      <c r="S230">
        <f t="shared" si="65"/>
        <v>24</v>
      </c>
      <c r="T230" s="64" t="s">
        <v>301</v>
      </c>
      <c r="U230">
        <f t="shared" si="53"/>
        <v>0</v>
      </c>
      <c r="V230">
        <f t="shared" si="60"/>
        <v>100</v>
      </c>
      <c r="W230">
        <f t="shared" si="61"/>
        <v>30</v>
      </c>
      <c r="X230" t="str">
        <f t="shared" si="62"/>
        <v/>
      </c>
      <c r="Z230" s="65" t="str">
        <f t="shared" si="66"/>
        <v>80,24</v>
      </c>
      <c r="AA230" s="96" t="s">
        <v>255</v>
      </c>
      <c r="AB230" t="str">
        <f t="shared" si="67"/>
        <v>100,30</v>
      </c>
      <c r="AF230" s="37" t="s">
        <v>67</v>
      </c>
    </row>
    <row r="231" ht="16.25" spans="1:32">
      <c r="A231" s="31">
        <v>301</v>
      </c>
      <c r="B231" s="92">
        <v>250703</v>
      </c>
      <c r="C231" s="68" t="s">
        <v>249</v>
      </c>
      <c r="D231" s="69">
        <v>100</v>
      </c>
      <c r="E231" s="69">
        <v>30</v>
      </c>
      <c r="F231" s="69"/>
      <c r="G231" s="70"/>
      <c r="H231" s="68">
        <v>1</v>
      </c>
      <c r="I231" s="70">
        <v>3</v>
      </c>
      <c r="J231" s="70"/>
      <c r="K231" s="84">
        <f t="shared" si="56"/>
        <v>100</v>
      </c>
      <c r="L231" s="84">
        <f t="shared" si="57"/>
        <v>30</v>
      </c>
      <c r="M231" s="84" t="str">
        <f t="shared" si="58"/>
        <v/>
      </c>
      <c r="N231" s="84" t="str">
        <f t="shared" si="59"/>
        <v/>
      </c>
      <c r="P231">
        <f t="shared" si="63"/>
        <v>150703</v>
      </c>
      <c r="Q231">
        <f t="shared" si="64"/>
        <v>80</v>
      </c>
      <c r="R231" s="64" t="s">
        <v>301</v>
      </c>
      <c r="S231">
        <f t="shared" si="65"/>
        <v>24</v>
      </c>
      <c r="T231" s="64" t="s">
        <v>301</v>
      </c>
      <c r="U231">
        <f t="shared" si="53"/>
        <v>0</v>
      </c>
      <c r="V231">
        <f t="shared" si="60"/>
        <v>100</v>
      </c>
      <c r="W231">
        <f t="shared" si="61"/>
        <v>30</v>
      </c>
      <c r="X231" t="str">
        <f t="shared" si="62"/>
        <v/>
      </c>
      <c r="Z231" s="65" t="str">
        <f t="shared" si="66"/>
        <v>80,24</v>
      </c>
      <c r="AA231" s="96" t="s">
        <v>255</v>
      </c>
      <c r="AB231" t="str">
        <f t="shared" si="67"/>
        <v>100,30</v>
      </c>
      <c r="AF231" s="37" t="s">
        <v>71</v>
      </c>
    </row>
    <row r="232" ht="16.25" spans="1:32">
      <c r="A232" s="31">
        <v>301</v>
      </c>
      <c r="B232" s="92">
        <v>250803</v>
      </c>
      <c r="C232" s="68" t="s">
        <v>249</v>
      </c>
      <c r="D232" s="69">
        <v>100</v>
      </c>
      <c r="E232" s="69">
        <v>30</v>
      </c>
      <c r="F232" s="69"/>
      <c r="G232" s="70"/>
      <c r="H232" s="68">
        <v>1</v>
      </c>
      <c r="I232" s="70">
        <v>3</v>
      </c>
      <c r="J232" s="70"/>
      <c r="K232" s="84">
        <f t="shared" si="56"/>
        <v>100</v>
      </c>
      <c r="L232" s="84">
        <f t="shared" si="57"/>
        <v>30</v>
      </c>
      <c r="M232" s="84" t="str">
        <f t="shared" si="58"/>
        <v/>
      </c>
      <c r="N232" s="84" t="str">
        <f t="shared" si="59"/>
        <v/>
      </c>
      <c r="P232">
        <f t="shared" si="63"/>
        <v>150803</v>
      </c>
      <c r="Q232">
        <f t="shared" si="64"/>
        <v>80</v>
      </c>
      <c r="R232" s="64" t="s">
        <v>301</v>
      </c>
      <c r="S232">
        <f t="shared" si="65"/>
        <v>24</v>
      </c>
      <c r="T232" s="64" t="s">
        <v>301</v>
      </c>
      <c r="U232">
        <f t="shared" si="53"/>
        <v>0</v>
      </c>
      <c r="V232">
        <f t="shared" si="60"/>
        <v>100</v>
      </c>
      <c r="W232">
        <f t="shared" si="61"/>
        <v>30</v>
      </c>
      <c r="X232" t="str">
        <f t="shared" si="62"/>
        <v/>
      </c>
      <c r="Z232" s="65" t="str">
        <f t="shared" si="66"/>
        <v>80,24</v>
      </c>
      <c r="AA232" s="96" t="s">
        <v>255</v>
      </c>
      <c r="AB232" t="str">
        <f t="shared" si="67"/>
        <v>100,30</v>
      </c>
      <c r="AF232" s="37" t="s">
        <v>75</v>
      </c>
    </row>
    <row r="233" ht="16.25" spans="1:32">
      <c r="A233" s="31">
        <v>301</v>
      </c>
      <c r="B233" s="92">
        <v>250903</v>
      </c>
      <c r="C233" s="68" t="s">
        <v>249</v>
      </c>
      <c r="D233" s="69">
        <v>100</v>
      </c>
      <c r="E233" s="69">
        <v>30</v>
      </c>
      <c r="F233" s="69"/>
      <c r="G233" s="70"/>
      <c r="H233" s="68">
        <v>1</v>
      </c>
      <c r="I233" s="70">
        <v>3</v>
      </c>
      <c r="J233" s="70"/>
      <c r="K233" s="84">
        <f t="shared" si="56"/>
        <v>100</v>
      </c>
      <c r="L233" s="84">
        <f t="shared" si="57"/>
        <v>30</v>
      </c>
      <c r="M233" s="84" t="str">
        <f t="shared" si="58"/>
        <v/>
      </c>
      <c r="N233" s="84" t="str">
        <f t="shared" si="59"/>
        <v/>
      </c>
      <c r="P233">
        <f t="shared" si="63"/>
        <v>150903</v>
      </c>
      <c r="Q233">
        <f t="shared" si="64"/>
        <v>80</v>
      </c>
      <c r="R233" s="64" t="s">
        <v>301</v>
      </c>
      <c r="S233">
        <f t="shared" si="65"/>
        <v>24</v>
      </c>
      <c r="T233" s="64" t="s">
        <v>301</v>
      </c>
      <c r="U233">
        <f t="shared" si="53"/>
        <v>0</v>
      </c>
      <c r="V233">
        <f t="shared" si="60"/>
        <v>100</v>
      </c>
      <c r="W233">
        <f t="shared" si="61"/>
        <v>30</v>
      </c>
      <c r="X233" t="str">
        <f t="shared" si="62"/>
        <v/>
      </c>
      <c r="Z233" s="65" t="str">
        <f t="shared" si="66"/>
        <v>80,24</v>
      </c>
      <c r="AA233" s="96" t="s">
        <v>255</v>
      </c>
      <c r="AB233" t="str">
        <f t="shared" si="67"/>
        <v>100,30</v>
      </c>
      <c r="AF233" s="37" t="s">
        <v>79</v>
      </c>
    </row>
    <row r="234" ht="16.25" spans="1:32">
      <c r="A234" s="31">
        <v>301</v>
      </c>
      <c r="B234" s="92">
        <v>260103</v>
      </c>
      <c r="C234" s="68" t="s">
        <v>249</v>
      </c>
      <c r="D234" s="69">
        <v>166</v>
      </c>
      <c r="E234" s="69">
        <v>50</v>
      </c>
      <c r="F234" s="69"/>
      <c r="G234" s="70"/>
      <c r="H234" s="68">
        <v>1</v>
      </c>
      <c r="I234" s="70">
        <v>3</v>
      </c>
      <c r="J234" s="70"/>
      <c r="K234" s="84">
        <f t="shared" si="56"/>
        <v>166</v>
      </c>
      <c r="L234" s="84">
        <f t="shared" si="57"/>
        <v>50</v>
      </c>
      <c r="M234" s="84" t="str">
        <f t="shared" si="58"/>
        <v/>
      </c>
      <c r="N234" s="84" t="str">
        <f t="shared" si="59"/>
        <v/>
      </c>
      <c r="P234">
        <f t="shared" si="63"/>
        <v>160103</v>
      </c>
      <c r="Q234">
        <f t="shared" si="64"/>
        <v>133</v>
      </c>
      <c r="R234" s="64" t="s">
        <v>301</v>
      </c>
      <c r="S234">
        <f t="shared" si="65"/>
        <v>40</v>
      </c>
      <c r="T234" s="64" t="s">
        <v>301</v>
      </c>
      <c r="U234">
        <f t="shared" si="53"/>
        <v>0</v>
      </c>
      <c r="V234">
        <f t="shared" si="60"/>
        <v>170</v>
      </c>
      <c r="W234">
        <f t="shared" si="61"/>
        <v>50</v>
      </c>
      <c r="X234" t="str">
        <f t="shared" si="62"/>
        <v/>
      </c>
      <c r="Z234" s="65" t="str">
        <f t="shared" si="66"/>
        <v>133,40</v>
      </c>
      <c r="AA234" s="96" t="s">
        <v>256</v>
      </c>
      <c r="AB234" t="str">
        <f t="shared" si="67"/>
        <v>170,50</v>
      </c>
      <c r="AF234" s="37" t="s">
        <v>83</v>
      </c>
    </row>
    <row r="235" ht="16.25" spans="1:32">
      <c r="A235" s="31">
        <v>301</v>
      </c>
      <c r="B235" s="92">
        <v>260203</v>
      </c>
      <c r="C235" s="68" t="s">
        <v>249</v>
      </c>
      <c r="D235" s="69">
        <v>166</v>
      </c>
      <c r="E235" s="69">
        <v>50</v>
      </c>
      <c r="F235" s="69"/>
      <c r="G235" s="70"/>
      <c r="H235" s="68">
        <v>1</v>
      </c>
      <c r="I235" s="70">
        <v>3</v>
      </c>
      <c r="J235" s="70"/>
      <c r="K235" s="84">
        <f t="shared" si="56"/>
        <v>166</v>
      </c>
      <c r="L235" s="84">
        <f t="shared" si="57"/>
        <v>50</v>
      </c>
      <c r="M235" s="84" t="str">
        <f t="shared" si="58"/>
        <v/>
      </c>
      <c r="N235" s="84" t="str">
        <f t="shared" si="59"/>
        <v/>
      </c>
      <c r="P235">
        <f t="shared" si="63"/>
        <v>160203</v>
      </c>
      <c r="Q235">
        <f t="shared" si="64"/>
        <v>133</v>
      </c>
      <c r="R235" s="64" t="s">
        <v>301</v>
      </c>
      <c r="S235">
        <f t="shared" si="65"/>
        <v>40</v>
      </c>
      <c r="T235" s="64" t="s">
        <v>301</v>
      </c>
      <c r="U235">
        <f t="shared" si="53"/>
        <v>0</v>
      </c>
      <c r="V235">
        <f t="shared" si="60"/>
        <v>170</v>
      </c>
      <c r="W235">
        <f t="shared" si="61"/>
        <v>50</v>
      </c>
      <c r="X235" t="str">
        <f t="shared" si="62"/>
        <v/>
      </c>
      <c r="Z235" s="65" t="str">
        <f t="shared" si="66"/>
        <v>133,40</v>
      </c>
      <c r="AA235" s="96" t="s">
        <v>256</v>
      </c>
      <c r="AB235" t="str">
        <f t="shared" si="67"/>
        <v>170,50</v>
      </c>
      <c r="AF235" s="37" t="s">
        <v>87</v>
      </c>
    </row>
    <row r="236" ht="16.25" spans="1:32">
      <c r="A236" s="31">
        <v>301</v>
      </c>
      <c r="B236" s="92">
        <v>260303</v>
      </c>
      <c r="C236" s="68" t="s">
        <v>249</v>
      </c>
      <c r="D236" s="69">
        <v>166</v>
      </c>
      <c r="E236" s="69">
        <v>50</v>
      </c>
      <c r="F236" s="69"/>
      <c r="G236" s="70"/>
      <c r="H236" s="68">
        <v>1</v>
      </c>
      <c r="I236" s="70">
        <v>3</v>
      </c>
      <c r="J236" s="70"/>
      <c r="K236" s="84">
        <f t="shared" si="56"/>
        <v>166</v>
      </c>
      <c r="L236" s="84">
        <f t="shared" si="57"/>
        <v>50</v>
      </c>
      <c r="M236" s="84" t="str">
        <f t="shared" si="58"/>
        <v/>
      </c>
      <c r="N236" s="84" t="str">
        <f t="shared" si="59"/>
        <v/>
      </c>
      <c r="P236">
        <f t="shared" si="63"/>
        <v>160303</v>
      </c>
      <c r="Q236">
        <f t="shared" si="64"/>
        <v>133</v>
      </c>
      <c r="R236" s="64" t="s">
        <v>301</v>
      </c>
      <c r="S236">
        <f t="shared" si="65"/>
        <v>40</v>
      </c>
      <c r="T236" s="64" t="s">
        <v>301</v>
      </c>
      <c r="U236">
        <f t="shared" si="53"/>
        <v>0</v>
      </c>
      <c r="V236">
        <f t="shared" si="60"/>
        <v>170</v>
      </c>
      <c r="W236">
        <f t="shared" si="61"/>
        <v>50</v>
      </c>
      <c r="X236" t="str">
        <f t="shared" si="62"/>
        <v/>
      </c>
      <c r="Z236" s="65" t="str">
        <f t="shared" si="66"/>
        <v>133,40</v>
      </c>
      <c r="AA236" s="96" t="s">
        <v>256</v>
      </c>
      <c r="AB236" t="str">
        <f t="shared" si="67"/>
        <v>170,50</v>
      </c>
      <c r="AF236" s="37" t="s">
        <v>91</v>
      </c>
    </row>
    <row r="237" ht="16.25" spans="1:32">
      <c r="A237" s="31">
        <v>301</v>
      </c>
      <c r="B237" s="92">
        <v>260403</v>
      </c>
      <c r="C237" s="68" t="s">
        <v>249</v>
      </c>
      <c r="D237" s="69">
        <v>166</v>
      </c>
      <c r="E237" s="69">
        <v>50</v>
      </c>
      <c r="F237" s="69"/>
      <c r="G237" s="70"/>
      <c r="H237" s="68">
        <v>1</v>
      </c>
      <c r="I237" s="70">
        <v>3</v>
      </c>
      <c r="J237" s="70"/>
      <c r="K237" s="84">
        <f t="shared" si="56"/>
        <v>166</v>
      </c>
      <c r="L237" s="84">
        <f t="shared" si="57"/>
        <v>50</v>
      </c>
      <c r="M237" s="84" t="str">
        <f t="shared" si="58"/>
        <v/>
      </c>
      <c r="N237" s="84" t="str">
        <f t="shared" si="59"/>
        <v/>
      </c>
      <c r="P237">
        <f t="shared" si="63"/>
        <v>160403</v>
      </c>
      <c r="Q237">
        <f t="shared" si="64"/>
        <v>133</v>
      </c>
      <c r="R237" s="64" t="s">
        <v>301</v>
      </c>
      <c r="S237">
        <f t="shared" si="65"/>
        <v>40</v>
      </c>
      <c r="T237" s="64" t="s">
        <v>301</v>
      </c>
      <c r="U237">
        <f t="shared" si="53"/>
        <v>0</v>
      </c>
      <c r="V237">
        <f t="shared" si="60"/>
        <v>170</v>
      </c>
      <c r="W237">
        <f t="shared" si="61"/>
        <v>50</v>
      </c>
      <c r="X237" t="str">
        <f t="shared" si="62"/>
        <v/>
      </c>
      <c r="Z237" s="65" t="str">
        <f t="shared" si="66"/>
        <v>133,40</v>
      </c>
      <c r="AA237" s="96" t="s">
        <v>256</v>
      </c>
      <c r="AB237" t="str">
        <f t="shared" si="67"/>
        <v>170,50</v>
      </c>
      <c r="AF237" s="37" t="s">
        <v>95</v>
      </c>
    </row>
    <row r="238" ht="16.25" spans="1:32">
      <c r="A238" s="31">
        <v>301</v>
      </c>
      <c r="B238" s="92">
        <v>260503</v>
      </c>
      <c r="C238" s="68" t="s">
        <v>249</v>
      </c>
      <c r="D238" s="69">
        <v>166</v>
      </c>
      <c r="E238" s="69">
        <v>50</v>
      </c>
      <c r="F238" s="69"/>
      <c r="G238" s="70"/>
      <c r="H238" s="68">
        <v>1</v>
      </c>
      <c r="I238" s="70">
        <v>3</v>
      </c>
      <c r="J238" s="70"/>
      <c r="K238" s="84">
        <f t="shared" si="56"/>
        <v>166</v>
      </c>
      <c r="L238" s="84">
        <f t="shared" si="57"/>
        <v>50</v>
      </c>
      <c r="M238" s="84" t="str">
        <f t="shared" si="58"/>
        <v/>
      </c>
      <c r="N238" s="84" t="str">
        <f t="shared" si="59"/>
        <v/>
      </c>
      <c r="P238">
        <f t="shared" si="63"/>
        <v>160503</v>
      </c>
      <c r="Q238">
        <f t="shared" si="64"/>
        <v>133</v>
      </c>
      <c r="R238" s="64" t="s">
        <v>301</v>
      </c>
      <c r="S238">
        <f t="shared" si="65"/>
        <v>40</v>
      </c>
      <c r="T238" s="64" t="s">
        <v>301</v>
      </c>
      <c r="U238">
        <f t="shared" si="53"/>
        <v>0</v>
      </c>
      <c r="V238">
        <f t="shared" si="60"/>
        <v>170</v>
      </c>
      <c r="W238">
        <f t="shared" si="61"/>
        <v>50</v>
      </c>
      <c r="X238" t="str">
        <f t="shared" si="62"/>
        <v/>
      </c>
      <c r="Z238" s="65" t="str">
        <f t="shared" si="66"/>
        <v>133,40</v>
      </c>
      <c r="AA238" s="96" t="s">
        <v>256</v>
      </c>
      <c r="AB238" t="str">
        <f t="shared" si="67"/>
        <v>170,50</v>
      </c>
      <c r="AF238" s="37" t="s">
        <v>99</v>
      </c>
    </row>
    <row r="239" ht="16.25" spans="1:32">
      <c r="A239" s="31">
        <v>301</v>
      </c>
      <c r="B239" s="92">
        <v>260603</v>
      </c>
      <c r="C239" s="68" t="s">
        <v>249</v>
      </c>
      <c r="D239" s="69">
        <v>166</v>
      </c>
      <c r="E239" s="69">
        <v>50</v>
      </c>
      <c r="F239" s="69"/>
      <c r="G239" s="70"/>
      <c r="H239" s="68">
        <v>1</v>
      </c>
      <c r="I239" s="70">
        <v>3</v>
      </c>
      <c r="J239" s="70"/>
      <c r="K239" s="84">
        <f t="shared" si="56"/>
        <v>166</v>
      </c>
      <c r="L239" s="84">
        <f t="shared" si="57"/>
        <v>50</v>
      </c>
      <c r="M239" s="84" t="str">
        <f t="shared" si="58"/>
        <v/>
      </c>
      <c r="N239" s="84" t="str">
        <f t="shared" si="59"/>
        <v/>
      </c>
      <c r="P239">
        <f t="shared" si="63"/>
        <v>160603</v>
      </c>
      <c r="Q239">
        <f t="shared" si="64"/>
        <v>133</v>
      </c>
      <c r="R239" s="64" t="s">
        <v>301</v>
      </c>
      <c r="S239">
        <f t="shared" si="65"/>
        <v>40</v>
      </c>
      <c r="T239" s="64" t="s">
        <v>301</v>
      </c>
      <c r="U239">
        <f t="shared" si="53"/>
        <v>0</v>
      </c>
      <c r="V239">
        <f t="shared" si="60"/>
        <v>170</v>
      </c>
      <c r="W239">
        <f t="shared" si="61"/>
        <v>50</v>
      </c>
      <c r="X239" t="str">
        <f t="shared" si="62"/>
        <v/>
      </c>
      <c r="Z239" s="65" t="str">
        <f t="shared" si="66"/>
        <v>133,40</v>
      </c>
      <c r="AA239" s="96" t="s">
        <v>256</v>
      </c>
      <c r="AB239" t="str">
        <f t="shared" si="67"/>
        <v>170,50</v>
      </c>
      <c r="AF239" s="37" t="s">
        <v>103</v>
      </c>
    </row>
    <row r="240" ht="16.25" spans="1:32">
      <c r="A240" s="31">
        <v>301</v>
      </c>
      <c r="B240" s="92">
        <v>260703</v>
      </c>
      <c r="C240" s="68" t="s">
        <v>249</v>
      </c>
      <c r="D240" s="69">
        <v>166</v>
      </c>
      <c r="E240" s="69">
        <v>50</v>
      </c>
      <c r="F240" s="69"/>
      <c r="G240" s="70"/>
      <c r="H240" s="68">
        <v>1</v>
      </c>
      <c r="I240" s="70">
        <v>3</v>
      </c>
      <c r="J240" s="70"/>
      <c r="K240" s="84">
        <f t="shared" si="56"/>
        <v>166</v>
      </c>
      <c r="L240" s="84">
        <f t="shared" si="57"/>
        <v>50</v>
      </c>
      <c r="M240" s="84" t="str">
        <f t="shared" si="58"/>
        <v/>
      </c>
      <c r="N240" s="84" t="str">
        <f t="shared" si="59"/>
        <v/>
      </c>
      <c r="P240">
        <f t="shared" si="63"/>
        <v>160703</v>
      </c>
      <c r="Q240">
        <f t="shared" si="64"/>
        <v>133</v>
      </c>
      <c r="R240" s="64" t="s">
        <v>301</v>
      </c>
      <c r="S240">
        <f t="shared" si="65"/>
        <v>40</v>
      </c>
      <c r="T240" s="64" t="s">
        <v>301</v>
      </c>
      <c r="U240">
        <f t="shared" si="53"/>
        <v>0</v>
      </c>
      <c r="V240">
        <f t="shared" si="60"/>
        <v>170</v>
      </c>
      <c r="W240">
        <f t="shared" si="61"/>
        <v>50</v>
      </c>
      <c r="X240" t="str">
        <f t="shared" si="62"/>
        <v/>
      </c>
      <c r="Z240" s="65" t="str">
        <f t="shared" si="66"/>
        <v>133,40</v>
      </c>
      <c r="AA240" s="96" t="s">
        <v>256</v>
      </c>
      <c r="AB240" t="str">
        <f t="shared" si="67"/>
        <v>170,50</v>
      </c>
      <c r="AF240" s="37" t="s">
        <v>107</v>
      </c>
    </row>
    <row r="241" ht="16.25" spans="1:32">
      <c r="A241" s="31">
        <v>301</v>
      </c>
      <c r="B241" s="92">
        <v>260803</v>
      </c>
      <c r="C241" s="68" t="s">
        <v>249</v>
      </c>
      <c r="D241" s="69">
        <v>166</v>
      </c>
      <c r="E241" s="69">
        <v>50</v>
      </c>
      <c r="F241" s="69"/>
      <c r="G241" s="70"/>
      <c r="H241" s="68">
        <v>1</v>
      </c>
      <c r="I241" s="70">
        <v>3</v>
      </c>
      <c r="J241" s="70"/>
      <c r="K241" s="84">
        <f t="shared" si="56"/>
        <v>166</v>
      </c>
      <c r="L241" s="84">
        <f t="shared" si="57"/>
        <v>50</v>
      </c>
      <c r="M241" s="84" t="str">
        <f t="shared" si="58"/>
        <v/>
      </c>
      <c r="N241" s="84" t="str">
        <f t="shared" si="59"/>
        <v/>
      </c>
      <c r="P241">
        <f t="shared" si="63"/>
        <v>160803</v>
      </c>
      <c r="Q241">
        <f t="shared" si="64"/>
        <v>133</v>
      </c>
      <c r="R241" s="64" t="s">
        <v>301</v>
      </c>
      <c r="S241">
        <f t="shared" si="65"/>
        <v>40</v>
      </c>
      <c r="T241" s="64" t="s">
        <v>301</v>
      </c>
      <c r="U241">
        <f t="shared" si="53"/>
        <v>0</v>
      </c>
      <c r="V241">
        <f t="shared" si="60"/>
        <v>170</v>
      </c>
      <c r="W241">
        <f t="shared" si="61"/>
        <v>50</v>
      </c>
      <c r="X241" t="str">
        <f t="shared" si="62"/>
        <v/>
      </c>
      <c r="Z241" s="65" t="str">
        <f t="shared" si="66"/>
        <v>133,40</v>
      </c>
      <c r="AA241" s="96" t="s">
        <v>256</v>
      </c>
      <c r="AB241" t="str">
        <f t="shared" si="67"/>
        <v>170,50</v>
      </c>
      <c r="AF241" s="37" t="s">
        <v>111</v>
      </c>
    </row>
    <row r="242" ht="16.25" spans="1:32">
      <c r="A242" s="31">
        <v>301</v>
      </c>
      <c r="B242" s="92">
        <v>260903</v>
      </c>
      <c r="C242" s="68" t="s">
        <v>249</v>
      </c>
      <c r="D242" s="69">
        <v>166</v>
      </c>
      <c r="E242" s="69">
        <v>50</v>
      </c>
      <c r="F242" s="69"/>
      <c r="G242" s="70"/>
      <c r="H242" s="68">
        <v>1</v>
      </c>
      <c r="I242" s="70">
        <v>3</v>
      </c>
      <c r="J242" s="70"/>
      <c r="K242" s="84">
        <f t="shared" si="56"/>
        <v>166</v>
      </c>
      <c r="L242" s="84">
        <f t="shared" si="57"/>
        <v>50</v>
      </c>
      <c r="M242" s="84" t="str">
        <f t="shared" si="58"/>
        <v/>
      </c>
      <c r="N242" s="84" t="str">
        <f t="shared" si="59"/>
        <v/>
      </c>
      <c r="P242">
        <f t="shared" si="63"/>
        <v>160903</v>
      </c>
      <c r="Q242">
        <f t="shared" si="64"/>
        <v>133</v>
      </c>
      <c r="R242" s="64" t="s">
        <v>301</v>
      </c>
      <c r="S242">
        <f t="shared" si="65"/>
        <v>40</v>
      </c>
      <c r="T242" s="64" t="s">
        <v>301</v>
      </c>
      <c r="U242">
        <f t="shared" si="53"/>
        <v>0</v>
      </c>
      <c r="V242">
        <f t="shared" si="60"/>
        <v>170</v>
      </c>
      <c r="W242">
        <f t="shared" si="61"/>
        <v>50</v>
      </c>
      <c r="X242" t="str">
        <f t="shared" si="62"/>
        <v/>
      </c>
      <c r="Z242" s="65" t="str">
        <f t="shared" si="66"/>
        <v>133,40</v>
      </c>
      <c r="AA242" s="96" t="s">
        <v>256</v>
      </c>
      <c r="AB242" t="str">
        <f t="shared" si="67"/>
        <v>170,50</v>
      </c>
      <c r="AF242" s="37" t="s">
        <v>115</v>
      </c>
    </row>
    <row r="243" ht="16.25" spans="1:32">
      <c r="A243" s="31">
        <v>302</v>
      </c>
      <c r="B243" s="92">
        <v>240003</v>
      </c>
      <c r="C243" s="68" t="s">
        <v>249</v>
      </c>
      <c r="D243" s="69">
        <v>73</v>
      </c>
      <c r="E243" s="69">
        <v>22</v>
      </c>
      <c r="F243" s="69"/>
      <c r="G243" s="70"/>
      <c r="H243" s="68">
        <v>1</v>
      </c>
      <c r="I243" s="70">
        <v>3</v>
      </c>
      <c r="J243" s="70"/>
      <c r="K243" s="84">
        <f t="shared" si="56"/>
        <v>73</v>
      </c>
      <c r="L243" s="84">
        <f t="shared" si="57"/>
        <v>22</v>
      </c>
      <c r="M243" s="84" t="str">
        <f t="shared" si="58"/>
        <v/>
      </c>
      <c r="N243" s="84" t="str">
        <f t="shared" si="59"/>
        <v/>
      </c>
      <c r="P243">
        <f t="shared" si="63"/>
        <v>140003</v>
      </c>
      <c r="Q243">
        <f t="shared" si="64"/>
        <v>58</v>
      </c>
      <c r="R243" s="64" t="s">
        <v>301</v>
      </c>
      <c r="S243">
        <f>ROUND(E243*$Q$1,0)</f>
        <v>18</v>
      </c>
      <c r="T243" s="64" t="s">
        <v>301</v>
      </c>
      <c r="U243">
        <f t="shared" si="53"/>
        <v>0</v>
      </c>
      <c r="V243">
        <f t="shared" si="60"/>
        <v>75</v>
      </c>
      <c r="W243">
        <f t="shared" si="61"/>
        <v>25</v>
      </c>
      <c r="X243" t="str">
        <f t="shared" si="62"/>
        <v/>
      </c>
      <c r="Z243" s="65" t="str">
        <f t="shared" si="66"/>
        <v>58,18</v>
      </c>
      <c r="AA243" s="99" t="s">
        <v>257</v>
      </c>
      <c r="AB243" t="str">
        <f t="shared" si="67"/>
        <v>75,25</v>
      </c>
      <c r="AF243" s="37" t="s">
        <v>35</v>
      </c>
    </row>
    <row r="244" ht="16.25" spans="1:32">
      <c r="A244" s="31">
        <v>302</v>
      </c>
      <c r="B244" s="92">
        <v>240103</v>
      </c>
      <c r="C244" s="68" t="s">
        <v>249</v>
      </c>
      <c r="D244" s="69">
        <v>92</v>
      </c>
      <c r="E244" s="69">
        <v>17</v>
      </c>
      <c r="F244" s="69"/>
      <c r="G244" s="70"/>
      <c r="H244" s="68">
        <v>1</v>
      </c>
      <c r="I244" s="70">
        <v>3</v>
      </c>
      <c r="J244" s="70"/>
      <c r="K244" s="84">
        <f t="shared" si="56"/>
        <v>92</v>
      </c>
      <c r="L244" s="84">
        <f t="shared" si="57"/>
        <v>17</v>
      </c>
      <c r="M244" s="84" t="str">
        <f t="shared" si="58"/>
        <v/>
      </c>
      <c r="N244" s="84" t="str">
        <f t="shared" si="59"/>
        <v/>
      </c>
      <c r="P244">
        <f t="shared" ref="P244:P271" si="68">B244-100000</f>
        <v>140103</v>
      </c>
      <c r="Q244">
        <f t="shared" ref="Q244:Q263" si="69">ROUND(D244*0.8,0)</f>
        <v>74</v>
      </c>
      <c r="R244" s="64" t="s">
        <v>301</v>
      </c>
      <c r="S244">
        <f t="shared" ref="S244:S263" si="70">ROUND(E244*$Q$1,0)</f>
        <v>14</v>
      </c>
      <c r="T244" s="64" t="s">
        <v>301</v>
      </c>
      <c r="U244">
        <f t="shared" si="53"/>
        <v>0</v>
      </c>
      <c r="V244">
        <f t="shared" si="60"/>
        <v>95</v>
      </c>
      <c r="W244">
        <f t="shared" si="61"/>
        <v>20</v>
      </c>
      <c r="X244" t="str">
        <f t="shared" si="62"/>
        <v/>
      </c>
      <c r="Z244" s="65" t="str">
        <f t="shared" ref="Z244:Z263" si="71">Q244&amp;R244&amp;S244</f>
        <v>74,14</v>
      </c>
      <c r="AA244" s="99" t="s">
        <v>258</v>
      </c>
      <c r="AB244" t="str">
        <f t="shared" si="67"/>
        <v>95,20</v>
      </c>
      <c r="AF244" s="37" t="s">
        <v>39</v>
      </c>
    </row>
    <row r="245" ht="16.25" spans="1:32">
      <c r="A245" s="31">
        <v>302</v>
      </c>
      <c r="B245" s="92">
        <v>240203</v>
      </c>
      <c r="C245" s="68" t="s">
        <v>249</v>
      </c>
      <c r="D245" s="69">
        <v>59</v>
      </c>
      <c r="E245" s="69">
        <v>28</v>
      </c>
      <c r="F245" s="69"/>
      <c r="G245" s="70"/>
      <c r="H245" s="68">
        <v>1</v>
      </c>
      <c r="I245" s="70">
        <v>3</v>
      </c>
      <c r="J245" s="70"/>
      <c r="K245" s="84">
        <f t="shared" si="56"/>
        <v>59</v>
      </c>
      <c r="L245" s="84">
        <f t="shared" si="57"/>
        <v>28</v>
      </c>
      <c r="M245" s="84" t="str">
        <f t="shared" si="58"/>
        <v/>
      </c>
      <c r="N245" s="84" t="str">
        <f t="shared" si="59"/>
        <v/>
      </c>
      <c r="P245">
        <f t="shared" si="68"/>
        <v>140203</v>
      </c>
      <c r="Q245">
        <f t="shared" si="69"/>
        <v>47</v>
      </c>
      <c r="R245" s="64" t="s">
        <v>301</v>
      </c>
      <c r="S245">
        <f t="shared" si="70"/>
        <v>22</v>
      </c>
      <c r="T245" s="64" t="s">
        <v>301</v>
      </c>
      <c r="U245">
        <f t="shared" si="53"/>
        <v>0</v>
      </c>
      <c r="V245">
        <f t="shared" si="60"/>
        <v>60</v>
      </c>
      <c r="W245">
        <f t="shared" si="61"/>
        <v>30</v>
      </c>
      <c r="X245" t="str">
        <f t="shared" si="62"/>
        <v/>
      </c>
      <c r="Z245" s="65" t="str">
        <f t="shared" si="71"/>
        <v>47,22</v>
      </c>
      <c r="AA245" s="99" t="s">
        <v>259</v>
      </c>
      <c r="AB245" t="str">
        <f t="shared" si="67"/>
        <v>60,30</v>
      </c>
      <c r="AF245" s="37" t="s">
        <v>43</v>
      </c>
    </row>
    <row r="246" ht="16.25" spans="1:32">
      <c r="A246" s="31">
        <v>302</v>
      </c>
      <c r="B246" s="92">
        <v>250103</v>
      </c>
      <c r="C246" s="68" t="s">
        <v>249</v>
      </c>
      <c r="D246" s="69">
        <v>151</v>
      </c>
      <c r="E246" s="69">
        <v>46</v>
      </c>
      <c r="F246" s="69"/>
      <c r="G246" s="70"/>
      <c r="H246" s="68">
        <v>1</v>
      </c>
      <c r="I246" s="70">
        <v>3</v>
      </c>
      <c r="J246" s="70"/>
      <c r="K246" s="84">
        <f t="shared" si="56"/>
        <v>151</v>
      </c>
      <c r="L246" s="84">
        <f t="shared" si="57"/>
        <v>46</v>
      </c>
      <c r="M246" s="84" t="str">
        <f t="shared" si="58"/>
        <v/>
      </c>
      <c r="N246" s="84" t="str">
        <f t="shared" si="59"/>
        <v/>
      </c>
      <c r="P246">
        <f t="shared" si="68"/>
        <v>150103</v>
      </c>
      <c r="Q246">
        <f t="shared" si="69"/>
        <v>121</v>
      </c>
      <c r="R246" s="64" t="s">
        <v>301</v>
      </c>
      <c r="S246">
        <f t="shared" si="70"/>
        <v>37</v>
      </c>
      <c r="T246" s="64" t="s">
        <v>301</v>
      </c>
      <c r="U246">
        <f t="shared" si="53"/>
        <v>0</v>
      </c>
      <c r="V246">
        <f t="shared" si="60"/>
        <v>155</v>
      </c>
      <c r="W246">
        <f t="shared" si="61"/>
        <v>50</v>
      </c>
      <c r="X246" t="str">
        <f t="shared" si="62"/>
        <v/>
      </c>
      <c r="Z246" s="65" t="str">
        <f t="shared" si="71"/>
        <v>121,37</v>
      </c>
      <c r="AA246" s="99" t="s">
        <v>260</v>
      </c>
      <c r="AB246" t="str">
        <f t="shared" si="67"/>
        <v>155,50</v>
      </c>
      <c r="AF246" s="37" t="s">
        <v>47</v>
      </c>
    </row>
    <row r="247" ht="16.25" spans="1:32">
      <c r="A247" s="31">
        <v>302</v>
      </c>
      <c r="B247" s="92">
        <v>250203</v>
      </c>
      <c r="C247" s="68" t="s">
        <v>249</v>
      </c>
      <c r="D247" s="69">
        <v>151</v>
      </c>
      <c r="E247" s="69">
        <v>46</v>
      </c>
      <c r="F247" s="69"/>
      <c r="G247" s="70"/>
      <c r="H247" s="68">
        <v>1</v>
      </c>
      <c r="I247" s="70">
        <v>3</v>
      </c>
      <c r="J247" s="70"/>
      <c r="K247" s="84">
        <f t="shared" si="56"/>
        <v>151</v>
      </c>
      <c r="L247" s="84">
        <f t="shared" si="57"/>
        <v>46</v>
      </c>
      <c r="M247" s="84" t="str">
        <f t="shared" si="58"/>
        <v/>
      </c>
      <c r="N247" s="84" t="str">
        <f t="shared" si="59"/>
        <v/>
      </c>
      <c r="P247">
        <f t="shared" si="68"/>
        <v>150203</v>
      </c>
      <c r="Q247">
        <f t="shared" si="69"/>
        <v>121</v>
      </c>
      <c r="R247" s="64" t="s">
        <v>301</v>
      </c>
      <c r="S247">
        <f t="shared" si="70"/>
        <v>37</v>
      </c>
      <c r="T247" s="64" t="s">
        <v>301</v>
      </c>
      <c r="U247">
        <f t="shared" ref="U247:U310" si="72">ROUND(F247*$Q$1,4)</f>
        <v>0</v>
      </c>
      <c r="V247">
        <f t="shared" si="60"/>
        <v>155</v>
      </c>
      <c r="W247">
        <f t="shared" si="61"/>
        <v>50</v>
      </c>
      <c r="X247" t="str">
        <f t="shared" si="62"/>
        <v/>
      </c>
      <c r="Z247" s="65" t="str">
        <f t="shared" si="71"/>
        <v>121,37</v>
      </c>
      <c r="AA247" s="99" t="s">
        <v>260</v>
      </c>
      <c r="AB247" t="str">
        <f t="shared" si="67"/>
        <v>155,50</v>
      </c>
      <c r="AF247" s="37" t="s">
        <v>51</v>
      </c>
    </row>
    <row r="248" ht="16.25" spans="1:32">
      <c r="A248" s="31">
        <v>302</v>
      </c>
      <c r="B248" s="92">
        <v>250303</v>
      </c>
      <c r="C248" s="68" t="s">
        <v>249</v>
      </c>
      <c r="D248" s="69">
        <v>151</v>
      </c>
      <c r="E248" s="69">
        <v>46</v>
      </c>
      <c r="F248" s="69"/>
      <c r="G248" s="70"/>
      <c r="H248" s="68">
        <v>1</v>
      </c>
      <c r="I248" s="70">
        <v>3</v>
      </c>
      <c r="J248" s="70"/>
      <c r="K248" s="84">
        <f t="shared" si="56"/>
        <v>151</v>
      </c>
      <c r="L248" s="84">
        <f t="shared" si="57"/>
        <v>46</v>
      </c>
      <c r="M248" s="84" t="str">
        <f t="shared" si="58"/>
        <v/>
      </c>
      <c r="N248" s="84" t="str">
        <f t="shared" si="59"/>
        <v/>
      </c>
      <c r="P248">
        <f t="shared" si="68"/>
        <v>150303</v>
      </c>
      <c r="Q248">
        <f t="shared" si="69"/>
        <v>121</v>
      </c>
      <c r="R248" s="64" t="s">
        <v>301</v>
      </c>
      <c r="S248">
        <f t="shared" si="70"/>
        <v>37</v>
      </c>
      <c r="T248" s="64" t="s">
        <v>301</v>
      </c>
      <c r="U248">
        <f t="shared" si="72"/>
        <v>0</v>
      </c>
      <c r="V248">
        <f t="shared" si="60"/>
        <v>155</v>
      </c>
      <c r="W248">
        <f t="shared" si="61"/>
        <v>50</v>
      </c>
      <c r="X248" t="str">
        <f t="shared" si="62"/>
        <v/>
      </c>
      <c r="Z248" s="65" t="str">
        <f t="shared" si="71"/>
        <v>121,37</v>
      </c>
      <c r="AA248" s="99" t="s">
        <v>260</v>
      </c>
      <c r="AB248" t="str">
        <f t="shared" si="67"/>
        <v>155,50</v>
      </c>
      <c r="AF248" s="37" t="s">
        <v>55</v>
      </c>
    </row>
    <row r="249" ht="16.25" spans="1:32">
      <c r="A249" s="31">
        <v>302</v>
      </c>
      <c r="B249" s="92">
        <v>250403</v>
      </c>
      <c r="C249" s="68" t="s">
        <v>249</v>
      </c>
      <c r="D249" s="69">
        <v>151</v>
      </c>
      <c r="E249" s="69">
        <v>46</v>
      </c>
      <c r="F249" s="69"/>
      <c r="G249" s="70"/>
      <c r="H249" s="68">
        <v>1</v>
      </c>
      <c r="I249" s="70">
        <v>3</v>
      </c>
      <c r="J249" s="70"/>
      <c r="K249" s="84">
        <f t="shared" si="56"/>
        <v>151</v>
      </c>
      <c r="L249" s="84">
        <f t="shared" si="57"/>
        <v>46</v>
      </c>
      <c r="M249" s="84" t="str">
        <f t="shared" si="58"/>
        <v/>
      </c>
      <c r="N249" s="84" t="str">
        <f t="shared" si="59"/>
        <v/>
      </c>
      <c r="P249">
        <f t="shared" si="68"/>
        <v>150403</v>
      </c>
      <c r="Q249">
        <f t="shared" si="69"/>
        <v>121</v>
      </c>
      <c r="R249" s="64" t="s">
        <v>301</v>
      </c>
      <c r="S249">
        <f t="shared" si="70"/>
        <v>37</v>
      </c>
      <c r="T249" s="64" t="s">
        <v>301</v>
      </c>
      <c r="U249">
        <f t="shared" si="72"/>
        <v>0</v>
      </c>
      <c r="V249">
        <f t="shared" si="60"/>
        <v>155</v>
      </c>
      <c r="W249">
        <f t="shared" si="61"/>
        <v>50</v>
      </c>
      <c r="X249" t="str">
        <f t="shared" si="62"/>
        <v/>
      </c>
      <c r="Z249" s="65" t="str">
        <f t="shared" si="71"/>
        <v>121,37</v>
      </c>
      <c r="AA249" s="99" t="s">
        <v>260</v>
      </c>
      <c r="AB249" t="str">
        <f t="shared" si="67"/>
        <v>155,50</v>
      </c>
      <c r="AF249" s="37" t="s">
        <v>59</v>
      </c>
    </row>
    <row r="250" ht="16.25" spans="1:32">
      <c r="A250" s="31">
        <v>302</v>
      </c>
      <c r="B250" s="92">
        <v>250503</v>
      </c>
      <c r="C250" s="68" t="s">
        <v>249</v>
      </c>
      <c r="D250" s="69">
        <v>151</v>
      </c>
      <c r="E250" s="69">
        <v>46</v>
      </c>
      <c r="F250" s="69"/>
      <c r="G250" s="70"/>
      <c r="H250" s="68">
        <v>1</v>
      </c>
      <c r="I250" s="70">
        <v>3</v>
      </c>
      <c r="J250" s="70"/>
      <c r="K250" s="84">
        <f t="shared" si="56"/>
        <v>151</v>
      </c>
      <c r="L250" s="84">
        <f t="shared" si="57"/>
        <v>46</v>
      </c>
      <c r="M250" s="84" t="str">
        <f t="shared" si="58"/>
        <v/>
      </c>
      <c r="N250" s="84" t="str">
        <f t="shared" si="59"/>
        <v/>
      </c>
      <c r="P250">
        <f t="shared" si="68"/>
        <v>150503</v>
      </c>
      <c r="Q250">
        <f t="shared" si="69"/>
        <v>121</v>
      </c>
      <c r="R250" s="64" t="s">
        <v>301</v>
      </c>
      <c r="S250">
        <f t="shared" si="70"/>
        <v>37</v>
      </c>
      <c r="T250" s="64" t="s">
        <v>301</v>
      </c>
      <c r="U250">
        <f t="shared" si="72"/>
        <v>0</v>
      </c>
      <c r="V250">
        <f t="shared" si="60"/>
        <v>155</v>
      </c>
      <c r="W250">
        <f t="shared" si="61"/>
        <v>50</v>
      </c>
      <c r="X250" t="str">
        <f t="shared" si="62"/>
        <v/>
      </c>
      <c r="Z250" s="65" t="str">
        <f t="shared" si="71"/>
        <v>121,37</v>
      </c>
      <c r="AA250" s="99" t="s">
        <v>260</v>
      </c>
      <c r="AB250" t="str">
        <f t="shared" si="67"/>
        <v>155,50</v>
      </c>
      <c r="AF250" s="37" t="s">
        <v>63</v>
      </c>
    </row>
    <row r="251" ht="16.25" spans="1:32">
      <c r="A251" s="31">
        <v>302</v>
      </c>
      <c r="B251" s="92">
        <v>250603</v>
      </c>
      <c r="C251" s="68" t="s">
        <v>249</v>
      </c>
      <c r="D251" s="69">
        <v>151</v>
      </c>
      <c r="E251" s="69">
        <v>46</v>
      </c>
      <c r="F251" s="69"/>
      <c r="G251" s="70"/>
      <c r="H251" s="68">
        <v>1</v>
      </c>
      <c r="I251" s="70">
        <v>3</v>
      </c>
      <c r="J251" s="70"/>
      <c r="K251" s="84">
        <f t="shared" si="56"/>
        <v>151</v>
      </c>
      <c r="L251" s="84">
        <f t="shared" si="57"/>
        <v>46</v>
      </c>
      <c r="M251" s="84" t="str">
        <f t="shared" si="58"/>
        <v/>
      </c>
      <c r="N251" s="84" t="str">
        <f t="shared" si="59"/>
        <v/>
      </c>
      <c r="P251">
        <f t="shared" si="68"/>
        <v>150603</v>
      </c>
      <c r="Q251">
        <f t="shared" si="69"/>
        <v>121</v>
      </c>
      <c r="R251" s="64" t="s">
        <v>301</v>
      </c>
      <c r="S251">
        <f t="shared" si="70"/>
        <v>37</v>
      </c>
      <c r="T251" s="64" t="s">
        <v>301</v>
      </c>
      <c r="U251">
        <f t="shared" si="72"/>
        <v>0</v>
      </c>
      <c r="V251">
        <f t="shared" si="60"/>
        <v>155</v>
      </c>
      <c r="W251">
        <f t="shared" si="61"/>
        <v>50</v>
      </c>
      <c r="X251" t="str">
        <f t="shared" si="62"/>
        <v/>
      </c>
      <c r="Z251" s="65" t="str">
        <f t="shared" si="71"/>
        <v>121,37</v>
      </c>
      <c r="AA251" s="99" t="s">
        <v>260</v>
      </c>
      <c r="AB251" t="str">
        <f t="shared" si="67"/>
        <v>155,50</v>
      </c>
      <c r="AF251" s="37" t="s">
        <v>67</v>
      </c>
    </row>
    <row r="252" ht="16.25" spans="1:32">
      <c r="A252" s="31">
        <v>302</v>
      </c>
      <c r="B252" s="92">
        <v>250703</v>
      </c>
      <c r="C252" s="68" t="s">
        <v>249</v>
      </c>
      <c r="D252" s="69">
        <v>151</v>
      </c>
      <c r="E252" s="69">
        <v>46</v>
      </c>
      <c r="F252" s="69"/>
      <c r="G252" s="70"/>
      <c r="H252" s="68">
        <v>1</v>
      </c>
      <c r="I252" s="70">
        <v>3</v>
      </c>
      <c r="J252" s="70"/>
      <c r="K252" s="84">
        <f t="shared" si="56"/>
        <v>151</v>
      </c>
      <c r="L252" s="84">
        <f t="shared" si="57"/>
        <v>46</v>
      </c>
      <c r="M252" s="84" t="str">
        <f t="shared" si="58"/>
        <v/>
      </c>
      <c r="N252" s="84" t="str">
        <f t="shared" si="59"/>
        <v/>
      </c>
      <c r="P252">
        <f t="shared" si="68"/>
        <v>150703</v>
      </c>
      <c r="Q252">
        <f t="shared" si="69"/>
        <v>121</v>
      </c>
      <c r="R252" s="64" t="s">
        <v>301</v>
      </c>
      <c r="S252">
        <f t="shared" si="70"/>
        <v>37</v>
      </c>
      <c r="T252" s="64" t="s">
        <v>301</v>
      </c>
      <c r="U252">
        <f t="shared" si="72"/>
        <v>0</v>
      </c>
      <c r="V252">
        <f t="shared" si="60"/>
        <v>155</v>
      </c>
      <c r="W252">
        <f t="shared" si="61"/>
        <v>50</v>
      </c>
      <c r="X252" t="str">
        <f t="shared" si="62"/>
        <v/>
      </c>
      <c r="Z252" s="65" t="str">
        <f t="shared" si="71"/>
        <v>121,37</v>
      </c>
      <c r="AA252" s="99" t="s">
        <v>260</v>
      </c>
      <c r="AB252" t="str">
        <f t="shared" si="67"/>
        <v>155,50</v>
      </c>
      <c r="AF252" s="37" t="s">
        <v>71</v>
      </c>
    </row>
    <row r="253" ht="16.25" spans="1:32">
      <c r="A253" s="31">
        <v>302</v>
      </c>
      <c r="B253" s="92">
        <v>250803</v>
      </c>
      <c r="C253" s="68" t="s">
        <v>249</v>
      </c>
      <c r="D253" s="69">
        <v>151</v>
      </c>
      <c r="E253" s="69">
        <v>46</v>
      </c>
      <c r="F253" s="69"/>
      <c r="G253" s="70"/>
      <c r="H253" s="68">
        <v>1</v>
      </c>
      <c r="I253" s="70">
        <v>3</v>
      </c>
      <c r="J253" s="70"/>
      <c r="K253" s="84">
        <f t="shared" si="56"/>
        <v>151</v>
      </c>
      <c r="L253" s="84">
        <f t="shared" si="57"/>
        <v>46</v>
      </c>
      <c r="M253" s="84" t="str">
        <f t="shared" si="58"/>
        <v/>
      </c>
      <c r="N253" s="84" t="str">
        <f t="shared" si="59"/>
        <v/>
      </c>
      <c r="P253">
        <f t="shared" si="68"/>
        <v>150803</v>
      </c>
      <c r="Q253">
        <f t="shared" si="69"/>
        <v>121</v>
      </c>
      <c r="R253" s="64" t="s">
        <v>301</v>
      </c>
      <c r="S253">
        <f t="shared" si="70"/>
        <v>37</v>
      </c>
      <c r="T253" s="64" t="s">
        <v>301</v>
      </c>
      <c r="U253">
        <f t="shared" si="72"/>
        <v>0</v>
      </c>
      <c r="V253">
        <f t="shared" si="60"/>
        <v>155</v>
      </c>
      <c r="W253">
        <f t="shared" si="61"/>
        <v>50</v>
      </c>
      <c r="X253" t="str">
        <f t="shared" si="62"/>
        <v/>
      </c>
      <c r="Z253" s="65" t="str">
        <f t="shared" si="71"/>
        <v>121,37</v>
      </c>
      <c r="AA253" s="99" t="s">
        <v>260</v>
      </c>
      <c r="AB253" t="str">
        <f t="shared" si="67"/>
        <v>155,50</v>
      </c>
      <c r="AF253" s="37" t="s">
        <v>75</v>
      </c>
    </row>
    <row r="254" ht="16.25" spans="1:32">
      <c r="A254" s="31">
        <v>302</v>
      </c>
      <c r="B254" s="92">
        <v>250903</v>
      </c>
      <c r="C254" s="68" t="s">
        <v>249</v>
      </c>
      <c r="D254" s="69">
        <v>151</v>
      </c>
      <c r="E254" s="69">
        <v>46</v>
      </c>
      <c r="F254" s="69"/>
      <c r="G254" s="70"/>
      <c r="H254" s="68">
        <v>1</v>
      </c>
      <c r="I254" s="70">
        <v>3</v>
      </c>
      <c r="J254" s="70"/>
      <c r="K254" s="84">
        <f t="shared" si="56"/>
        <v>151</v>
      </c>
      <c r="L254" s="84">
        <f t="shared" si="57"/>
        <v>46</v>
      </c>
      <c r="M254" s="84" t="str">
        <f t="shared" si="58"/>
        <v/>
      </c>
      <c r="N254" s="84" t="str">
        <f t="shared" si="59"/>
        <v/>
      </c>
      <c r="P254">
        <f t="shared" si="68"/>
        <v>150903</v>
      </c>
      <c r="Q254">
        <f t="shared" si="69"/>
        <v>121</v>
      </c>
      <c r="R254" s="64" t="s">
        <v>301</v>
      </c>
      <c r="S254">
        <f t="shared" si="70"/>
        <v>37</v>
      </c>
      <c r="T254" s="64" t="s">
        <v>301</v>
      </c>
      <c r="U254">
        <f t="shared" si="72"/>
        <v>0</v>
      </c>
      <c r="V254">
        <f t="shared" si="60"/>
        <v>155</v>
      </c>
      <c r="W254">
        <f t="shared" si="61"/>
        <v>50</v>
      </c>
      <c r="X254" t="str">
        <f t="shared" si="62"/>
        <v/>
      </c>
      <c r="Z254" s="65" t="str">
        <f t="shared" si="71"/>
        <v>121,37</v>
      </c>
      <c r="AA254" s="99" t="s">
        <v>260</v>
      </c>
      <c r="AB254" t="str">
        <f t="shared" si="67"/>
        <v>155,50</v>
      </c>
      <c r="AF254" s="37" t="s">
        <v>79</v>
      </c>
    </row>
    <row r="255" ht="16.25" spans="1:32">
      <c r="A255" s="31">
        <v>302</v>
      </c>
      <c r="B255" s="92">
        <v>260103</v>
      </c>
      <c r="C255" s="68" t="s">
        <v>249</v>
      </c>
      <c r="D255" s="69">
        <v>282</v>
      </c>
      <c r="E255" s="69">
        <v>85</v>
      </c>
      <c r="F255" s="69"/>
      <c r="G255" s="70"/>
      <c r="H255" s="68">
        <v>1</v>
      </c>
      <c r="I255" s="70">
        <v>3</v>
      </c>
      <c r="J255" s="70"/>
      <c r="K255" s="84">
        <f t="shared" si="56"/>
        <v>282</v>
      </c>
      <c r="L255" s="84">
        <f t="shared" si="57"/>
        <v>85</v>
      </c>
      <c r="M255" s="84" t="str">
        <f t="shared" si="58"/>
        <v/>
      </c>
      <c r="N255" s="84" t="str">
        <f t="shared" si="59"/>
        <v/>
      </c>
      <c r="P255">
        <f t="shared" si="68"/>
        <v>160103</v>
      </c>
      <c r="Q255">
        <f t="shared" si="69"/>
        <v>226</v>
      </c>
      <c r="R255" s="64" t="s">
        <v>301</v>
      </c>
      <c r="S255">
        <f t="shared" si="70"/>
        <v>68</v>
      </c>
      <c r="T255" s="64" t="s">
        <v>301</v>
      </c>
      <c r="U255">
        <f t="shared" si="72"/>
        <v>0</v>
      </c>
      <c r="V255">
        <f t="shared" si="60"/>
        <v>285</v>
      </c>
      <c r="W255">
        <f t="shared" si="61"/>
        <v>85</v>
      </c>
      <c r="X255" t="str">
        <f t="shared" si="62"/>
        <v/>
      </c>
      <c r="Z255" s="65" t="str">
        <f t="shared" si="71"/>
        <v>226,68</v>
      </c>
      <c r="AA255" s="99" t="s">
        <v>261</v>
      </c>
      <c r="AB255" t="str">
        <f t="shared" si="67"/>
        <v>285,85</v>
      </c>
      <c r="AF255" s="37" t="s">
        <v>83</v>
      </c>
    </row>
    <row r="256" ht="16.25" spans="1:32">
      <c r="A256" s="31">
        <v>302</v>
      </c>
      <c r="B256" s="92">
        <v>260203</v>
      </c>
      <c r="C256" s="68" t="s">
        <v>249</v>
      </c>
      <c r="D256" s="69">
        <v>282</v>
      </c>
      <c r="E256" s="69">
        <v>85</v>
      </c>
      <c r="F256" s="69"/>
      <c r="G256" s="70"/>
      <c r="H256" s="68">
        <v>1</v>
      </c>
      <c r="I256" s="70">
        <v>3</v>
      </c>
      <c r="J256" s="70"/>
      <c r="K256" s="84">
        <f t="shared" si="56"/>
        <v>282</v>
      </c>
      <c r="L256" s="84">
        <f t="shared" si="57"/>
        <v>85</v>
      </c>
      <c r="M256" s="84" t="str">
        <f t="shared" si="58"/>
        <v/>
      </c>
      <c r="N256" s="84" t="str">
        <f t="shared" si="59"/>
        <v/>
      </c>
      <c r="P256">
        <f t="shared" si="68"/>
        <v>160203</v>
      </c>
      <c r="Q256">
        <f t="shared" si="69"/>
        <v>226</v>
      </c>
      <c r="R256" s="64" t="s">
        <v>301</v>
      </c>
      <c r="S256">
        <f t="shared" si="70"/>
        <v>68</v>
      </c>
      <c r="T256" s="64" t="s">
        <v>301</v>
      </c>
      <c r="U256">
        <f t="shared" si="72"/>
        <v>0</v>
      </c>
      <c r="V256">
        <f t="shared" si="60"/>
        <v>285</v>
      </c>
      <c r="W256">
        <f t="shared" si="61"/>
        <v>85</v>
      </c>
      <c r="X256" t="str">
        <f t="shared" si="62"/>
        <v/>
      </c>
      <c r="Z256" s="65" t="str">
        <f t="shared" si="71"/>
        <v>226,68</v>
      </c>
      <c r="AA256" s="99" t="s">
        <v>261</v>
      </c>
      <c r="AB256" t="str">
        <f t="shared" si="67"/>
        <v>285,85</v>
      </c>
      <c r="AF256" s="37" t="s">
        <v>87</v>
      </c>
    </row>
    <row r="257" ht="16.25" spans="1:32">
      <c r="A257" s="31">
        <v>302</v>
      </c>
      <c r="B257" s="92">
        <v>260303</v>
      </c>
      <c r="C257" s="68" t="s">
        <v>249</v>
      </c>
      <c r="D257" s="69">
        <v>282</v>
      </c>
      <c r="E257" s="69">
        <v>85</v>
      </c>
      <c r="F257" s="69"/>
      <c r="G257" s="70"/>
      <c r="H257" s="68">
        <v>1</v>
      </c>
      <c r="I257" s="70">
        <v>3</v>
      </c>
      <c r="J257" s="70"/>
      <c r="K257" s="84">
        <f t="shared" si="56"/>
        <v>282</v>
      </c>
      <c r="L257" s="84">
        <f t="shared" si="57"/>
        <v>85</v>
      </c>
      <c r="M257" s="84" t="str">
        <f t="shared" si="58"/>
        <v/>
      </c>
      <c r="N257" s="84" t="str">
        <f t="shared" si="59"/>
        <v/>
      </c>
      <c r="P257">
        <f t="shared" si="68"/>
        <v>160303</v>
      </c>
      <c r="Q257">
        <f t="shared" si="69"/>
        <v>226</v>
      </c>
      <c r="R257" s="64" t="s">
        <v>301</v>
      </c>
      <c r="S257">
        <f t="shared" si="70"/>
        <v>68</v>
      </c>
      <c r="T257" s="64" t="s">
        <v>301</v>
      </c>
      <c r="U257">
        <f t="shared" si="72"/>
        <v>0</v>
      </c>
      <c r="V257">
        <f t="shared" si="60"/>
        <v>285</v>
      </c>
      <c r="W257">
        <f t="shared" si="61"/>
        <v>85</v>
      </c>
      <c r="X257" t="str">
        <f t="shared" si="62"/>
        <v/>
      </c>
      <c r="Z257" s="65" t="str">
        <f t="shared" si="71"/>
        <v>226,68</v>
      </c>
      <c r="AA257" s="99" t="s">
        <v>261</v>
      </c>
      <c r="AB257" t="str">
        <f t="shared" si="67"/>
        <v>285,85</v>
      </c>
      <c r="AF257" s="37" t="s">
        <v>91</v>
      </c>
    </row>
    <row r="258" ht="16.25" spans="1:32">
      <c r="A258" s="31">
        <v>302</v>
      </c>
      <c r="B258" s="92">
        <v>260403</v>
      </c>
      <c r="C258" s="68" t="s">
        <v>249</v>
      </c>
      <c r="D258" s="69">
        <v>282</v>
      </c>
      <c r="E258" s="69">
        <v>85</v>
      </c>
      <c r="F258" s="69"/>
      <c r="G258" s="70"/>
      <c r="H258" s="68">
        <v>1</v>
      </c>
      <c r="I258" s="70">
        <v>3</v>
      </c>
      <c r="J258" s="70"/>
      <c r="K258" s="84">
        <f t="shared" ref="K258:K321" si="73">IF(D258="","",IF(OR(RIGHT($A258,1)="1",RIGHT($A258,1)="2"),D258,IF(H258=4,D258*2,D258*6)))</f>
        <v>282</v>
      </c>
      <c r="L258" s="84">
        <f t="shared" ref="L258:L321" si="74">IF(E258="","",IF(OR(RIGHT($A258,1)="1",RIGHT($A258,1)="2"),E258,IF(I258=4,E258*2,E258*6)))</f>
        <v>85</v>
      </c>
      <c r="M258" s="84" t="str">
        <f t="shared" ref="M258:M321" si="75">IF(F258="","",IF(OR(RIGHT($A258,1)="1",RIGHT($A258,1)="2"),F258,IF(J258=4,F258*2,F258*6)))</f>
        <v/>
      </c>
      <c r="N258" s="84" t="str">
        <f t="shared" ref="N258:N321" si="76">IF(G258="","",IF(OR(RIGHT($A258,1)="1",RIGHT($A258,1)="2"),G258,IF(J258=4,G258*2,G258*6)))</f>
        <v/>
      </c>
      <c r="P258">
        <f t="shared" si="68"/>
        <v>160403</v>
      </c>
      <c r="Q258">
        <f t="shared" si="69"/>
        <v>226</v>
      </c>
      <c r="R258" s="64" t="s">
        <v>301</v>
      </c>
      <c r="S258">
        <f t="shared" si="70"/>
        <v>68</v>
      </c>
      <c r="T258" s="64" t="s">
        <v>301</v>
      </c>
      <c r="U258">
        <f t="shared" si="72"/>
        <v>0</v>
      </c>
      <c r="V258">
        <f t="shared" si="60"/>
        <v>285</v>
      </c>
      <c r="W258">
        <f t="shared" si="61"/>
        <v>85</v>
      </c>
      <c r="X258" t="str">
        <f t="shared" si="62"/>
        <v/>
      </c>
      <c r="Z258" s="65" t="str">
        <f t="shared" si="71"/>
        <v>226,68</v>
      </c>
      <c r="AA258" s="99" t="s">
        <v>261</v>
      </c>
      <c r="AB258" t="str">
        <f t="shared" si="67"/>
        <v>285,85</v>
      </c>
      <c r="AF258" s="37" t="s">
        <v>95</v>
      </c>
    </row>
    <row r="259" ht="16.25" spans="1:32">
      <c r="A259" s="31">
        <v>302</v>
      </c>
      <c r="B259" s="92">
        <v>260503</v>
      </c>
      <c r="C259" s="68" t="s">
        <v>249</v>
      </c>
      <c r="D259" s="69">
        <v>282</v>
      </c>
      <c r="E259" s="69">
        <v>85</v>
      </c>
      <c r="F259" s="69"/>
      <c r="G259" s="70"/>
      <c r="H259" s="68">
        <v>1</v>
      </c>
      <c r="I259" s="70">
        <v>3</v>
      </c>
      <c r="J259" s="70"/>
      <c r="K259" s="84">
        <f t="shared" si="73"/>
        <v>282</v>
      </c>
      <c r="L259" s="84">
        <f t="shared" si="74"/>
        <v>85</v>
      </c>
      <c r="M259" s="84" t="str">
        <f t="shared" si="75"/>
        <v/>
      </c>
      <c r="N259" s="84" t="str">
        <f t="shared" si="76"/>
        <v/>
      </c>
      <c r="P259">
        <f t="shared" si="68"/>
        <v>160503</v>
      </c>
      <c r="Q259">
        <f t="shared" si="69"/>
        <v>226</v>
      </c>
      <c r="R259" s="64" t="s">
        <v>301</v>
      </c>
      <c r="S259">
        <f t="shared" si="70"/>
        <v>68</v>
      </c>
      <c r="T259" s="64" t="s">
        <v>301</v>
      </c>
      <c r="U259">
        <f t="shared" si="72"/>
        <v>0</v>
      </c>
      <c r="V259">
        <f t="shared" ref="V259:V322" si="77">IF(K259="","",IF(K259&lt;1,ROUND(K259,4),CEILING(K259,5)))</f>
        <v>285</v>
      </c>
      <c r="W259">
        <f t="shared" ref="W259:W322" si="78">IF(L259="","",IF(L259&lt;1,ROUND(L259,4),CEILING(L259,5)))</f>
        <v>85</v>
      </c>
      <c r="X259" t="str">
        <f t="shared" ref="X259:X322" si="79">IF(M259="","",IF(M259&lt;1,ROUND(M259,4),CEILING(M259,5)))</f>
        <v/>
      </c>
      <c r="Z259" s="65" t="str">
        <f t="shared" si="71"/>
        <v>226,68</v>
      </c>
      <c r="AA259" s="99" t="s">
        <v>261</v>
      </c>
      <c r="AB259" t="str">
        <f t="shared" si="67"/>
        <v>285,85</v>
      </c>
      <c r="AF259" s="37" t="s">
        <v>99</v>
      </c>
    </row>
    <row r="260" ht="16.25" spans="1:32">
      <c r="A260" s="31">
        <v>302</v>
      </c>
      <c r="B260" s="92">
        <v>260603</v>
      </c>
      <c r="C260" s="68" t="s">
        <v>249</v>
      </c>
      <c r="D260" s="69">
        <v>282</v>
      </c>
      <c r="E260" s="69">
        <v>85</v>
      </c>
      <c r="F260" s="69"/>
      <c r="G260" s="70"/>
      <c r="H260" s="68">
        <v>1</v>
      </c>
      <c r="I260" s="70">
        <v>3</v>
      </c>
      <c r="J260" s="70"/>
      <c r="K260" s="84">
        <f t="shared" si="73"/>
        <v>282</v>
      </c>
      <c r="L260" s="84">
        <f t="shared" si="74"/>
        <v>85</v>
      </c>
      <c r="M260" s="84" t="str">
        <f t="shared" si="75"/>
        <v/>
      </c>
      <c r="N260" s="84" t="str">
        <f t="shared" si="76"/>
        <v/>
      </c>
      <c r="P260">
        <f t="shared" si="68"/>
        <v>160603</v>
      </c>
      <c r="Q260">
        <f t="shared" si="69"/>
        <v>226</v>
      </c>
      <c r="R260" s="64" t="s">
        <v>301</v>
      </c>
      <c r="S260">
        <f t="shared" si="70"/>
        <v>68</v>
      </c>
      <c r="T260" s="64" t="s">
        <v>301</v>
      </c>
      <c r="U260">
        <f t="shared" si="72"/>
        <v>0</v>
      </c>
      <c r="V260">
        <f t="shared" si="77"/>
        <v>285</v>
      </c>
      <c r="W260">
        <f t="shared" si="78"/>
        <v>85</v>
      </c>
      <c r="X260" t="str">
        <f t="shared" si="79"/>
        <v/>
      </c>
      <c r="Z260" s="65" t="str">
        <f t="shared" si="71"/>
        <v>226,68</v>
      </c>
      <c r="AA260" s="99" t="s">
        <v>261</v>
      </c>
      <c r="AB260" t="str">
        <f t="shared" si="67"/>
        <v>285,85</v>
      </c>
      <c r="AF260" s="37" t="s">
        <v>103</v>
      </c>
    </row>
    <row r="261" ht="16.25" spans="1:32">
      <c r="A261" s="31">
        <v>302</v>
      </c>
      <c r="B261" s="92">
        <v>260703</v>
      </c>
      <c r="C261" s="68" t="s">
        <v>249</v>
      </c>
      <c r="D261" s="69">
        <v>282</v>
      </c>
      <c r="E261" s="69">
        <v>85</v>
      </c>
      <c r="F261" s="69"/>
      <c r="G261" s="70"/>
      <c r="H261" s="68">
        <v>1</v>
      </c>
      <c r="I261" s="70">
        <v>3</v>
      </c>
      <c r="J261" s="70"/>
      <c r="K261" s="84">
        <f t="shared" si="73"/>
        <v>282</v>
      </c>
      <c r="L261" s="84">
        <f t="shared" si="74"/>
        <v>85</v>
      </c>
      <c r="M261" s="84" t="str">
        <f t="shared" si="75"/>
        <v/>
      </c>
      <c r="N261" s="84" t="str">
        <f t="shared" si="76"/>
        <v/>
      </c>
      <c r="P261">
        <f t="shared" si="68"/>
        <v>160703</v>
      </c>
      <c r="Q261">
        <f t="shared" si="69"/>
        <v>226</v>
      </c>
      <c r="R261" s="64" t="s">
        <v>301</v>
      </c>
      <c r="S261">
        <f t="shared" si="70"/>
        <v>68</v>
      </c>
      <c r="T261" s="64" t="s">
        <v>301</v>
      </c>
      <c r="U261">
        <f t="shared" si="72"/>
        <v>0</v>
      </c>
      <c r="V261">
        <f t="shared" si="77"/>
        <v>285</v>
      </c>
      <c r="W261">
        <f t="shared" si="78"/>
        <v>85</v>
      </c>
      <c r="X261" t="str">
        <f t="shared" si="79"/>
        <v/>
      </c>
      <c r="Z261" s="65" t="str">
        <f t="shared" si="71"/>
        <v>226,68</v>
      </c>
      <c r="AA261" s="99" t="s">
        <v>261</v>
      </c>
      <c r="AB261" t="str">
        <f t="shared" si="67"/>
        <v>285,85</v>
      </c>
      <c r="AF261" s="37" t="s">
        <v>107</v>
      </c>
    </row>
    <row r="262" ht="16.25" spans="1:32">
      <c r="A262" s="31">
        <v>302</v>
      </c>
      <c r="B262" s="92">
        <v>260803</v>
      </c>
      <c r="C262" s="68" t="s">
        <v>249</v>
      </c>
      <c r="D262" s="69">
        <v>282</v>
      </c>
      <c r="E262" s="69">
        <v>85</v>
      </c>
      <c r="F262" s="69"/>
      <c r="G262" s="70"/>
      <c r="H262" s="68">
        <v>1</v>
      </c>
      <c r="I262" s="70">
        <v>3</v>
      </c>
      <c r="J262" s="70"/>
      <c r="K262" s="84">
        <f t="shared" si="73"/>
        <v>282</v>
      </c>
      <c r="L262" s="84">
        <f t="shared" si="74"/>
        <v>85</v>
      </c>
      <c r="M262" s="84" t="str">
        <f t="shared" si="75"/>
        <v/>
      </c>
      <c r="N262" s="84" t="str">
        <f t="shared" si="76"/>
        <v/>
      </c>
      <c r="P262">
        <f t="shared" si="68"/>
        <v>160803</v>
      </c>
      <c r="Q262">
        <f t="shared" si="69"/>
        <v>226</v>
      </c>
      <c r="R262" s="64" t="s">
        <v>301</v>
      </c>
      <c r="S262">
        <f t="shared" si="70"/>
        <v>68</v>
      </c>
      <c r="T262" s="64" t="s">
        <v>301</v>
      </c>
      <c r="U262">
        <f t="shared" si="72"/>
        <v>0</v>
      </c>
      <c r="V262">
        <f t="shared" si="77"/>
        <v>285</v>
      </c>
      <c r="W262">
        <f t="shared" si="78"/>
        <v>85</v>
      </c>
      <c r="X262" t="str">
        <f t="shared" si="79"/>
        <v/>
      </c>
      <c r="Z262" s="65" t="str">
        <f t="shared" si="71"/>
        <v>226,68</v>
      </c>
      <c r="AA262" s="99" t="s">
        <v>261</v>
      </c>
      <c r="AB262" t="str">
        <f t="shared" si="67"/>
        <v>285,85</v>
      </c>
      <c r="AF262" s="37" t="s">
        <v>111</v>
      </c>
    </row>
    <row r="263" ht="16.25" spans="1:32">
      <c r="A263" s="31">
        <v>302</v>
      </c>
      <c r="B263" s="92">
        <v>260903</v>
      </c>
      <c r="C263" s="68" t="s">
        <v>249</v>
      </c>
      <c r="D263" s="69">
        <v>282</v>
      </c>
      <c r="E263" s="69">
        <v>85</v>
      </c>
      <c r="F263" s="69"/>
      <c r="G263" s="70"/>
      <c r="H263" s="68">
        <v>1</v>
      </c>
      <c r="I263" s="70">
        <v>3</v>
      </c>
      <c r="J263" s="70"/>
      <c r="K263" s="84">
        <f t="shared" si="73"/>
        <v>282</v>
      </c>
      <c r="L263" s="84">
        <f t="shared" si="74"/>
        <v>85</v>
      </c>
      <c r="M263" s="84" t="str">
        <f t="shared" si="75"/>
        <v/>
      </c>
      <c r="N263" s="84" t="str">
        <f t="shared" si="76"/>
        <v/>
      </c>
      <c r="P263">
        <f t="shared" si="68"/>
        <v>160903</v>
      </c>
      <c r="Q263">
        <f t="shared" si="69"/>
        <v>226</v>
      </c>
      <c r="R263" s="64" t="s">
        <v>301</v>
      </c>
      <c r="S263">
        <f t="shared" si="70"/>
        <v>68</v>
      </c>
      <c r="T263" s="64" t="s">
        <v>301</v>
      </c>
      <c r="U263">
        <f t="shared" si="72"/>
        <v>0</v>
      </c>
      <c r="V263">
        <f t="shared" si="77"/>
        <v>285</v>
      </c>
      <c r="W263">
        <f t="shared" si="78"/>
        <v>85</v>
      </c>
      <c r="X263" t="str">
        <f t="shared" si="79"/>
        <v/>
      </c>
      <c r="Z263" s="65" t="str">
        <f t="shared" si="71"/>
        <v>226,68</v>
      </c>
      <c r="AA263" s="99" t="s">
        <v>261</v>
      </c>
      <c r="AB263" t="str">
        <f t="shared" si="67"/>
        <v>285,85</v>
      </c>
      <c r="AF263" s="37" t="s">
        <v>115</v>
      </c>
    </row>
    <row r="264" ht="16.25" spans="1:32">
      <c r="A264" s="31">
        <v>303</v>
      </c>
      <c r="B264" s="92">
        <v>250103</v>
      </c>
      <c r="C264" s="71">
        <v>7</v>
      </c>
      <c r="D264" s="71">
        <v>0.0054</v>
      </c>
      <c r="E264" s="71"/>
      <c r="F264" s="71"/>
      <c r="G264" s="72"/>
      <c r="H264" s="71">
        <v>7</v>
      </c>
      <c r="I264" s="72"/>
      <c r="J264" s="72"/>
      <c r="K264" s="84">
        <f t="shared" si="73"/>
        <v>0.0324</v>
      </c>
      <c r="L264" s="84" t="str">
        <f t="shared" si="74"/>
        <v/>
      </c>
      <c r="M264" s="84" t="str">
        <f t="shared" si="75"/>
        <v/>
      </c>
      <c r="N264" s="84" t="str">
        <f t="shared" si="76"/>
        <v/>
      </c>
      <c r="P264">
        <f t="shared" si="68"/>
        <v>150103</v>
      </c>
      <c r="Q264">
        <f t="shared" ref="Q264:Q285" si="80">ROUND(D264*0.8,4)</f>
        <v>0.0043</v>
      </c>
      <c r="R264" s="64" t="s">
        <v>301</v>
      </c>
      <c r="S264">
        <f t="shared" ref="S241:S304" si="81">ROUND(E264*$Q$1,4)</f>
        <v>0</v>
      </c>
      <c r="T264" s="64" t="s">
        <v>301</v>
      </c>
      <c r="U264">
        <f t="shared" si="72"/>
        <v>0</v>
      </c>
      <c r="V264">
        <f t="shared" si="77"/>
        <v>0.0324</v>
      </c>
      <c r="W264" t="str">
        <f t="shared" si="78"/>
        <v/>
      </c>
      <c r="X264" t="str">
        <f t="shared" si="79"/>
        <v/>
      </c>
      <c r="Z264" s="65" t="str">
        <f>Q264&amp;R264&amp;S264&amp;T264&amp;U264</f>
        <v>0.0043,0,0</v>
      </c>
      <c r="AA264" s="96">
        <v>0.0043</v>
      </c>
      <c r="AB264" t="str">
        <f t="shared" si="67"/>
        <v>0.0324</v>
      </c>
      <c r="AF264" s="37" t="s">
        <v>47</v>
      </c>
    </row>
    <row r="265" ht="16.25" spans="1:32">
      <c r="A265" s="31">
        <v>303</v>
      </c>
      <c r="B265" s="92">
        <v>250203</v>
      </c>
      <c r="C265" s="71">
        <v>7</v>
      </c>
      <c r="D265" s="71">
        <v>0.0107</v>
      </c>
      <c r="E265" s="71"/>
      <c r="F265" s="71"/>
      <c r="G265" s="72"/>
      <c r="H265" s="71">
        <v>7</v>
      </c>
      <c r="I265" s="72"/>
      <c r="J265" s="72"/>
      <c r="K265" s="84">
        <f t="shared" si="73"/>
        <v>0.0642</v>
      </c>
      <c r="L265" s="84" t="str">
        <f t="shared" si="74"/>
        <v/>
      </c>
      <c r="M265" s="84" t="str">
        <f t="shared" si="75"/>
        <v/>
      </c>
      <c r="N265" s="84" t="str">
        <f t="shared" si="76"/>
        <v/>
      </c>
      <c r="P265">
        <f t="shared" si="68"/>
        <v>150203</v>
      </c>
      <c r="Q265">
        <f t="shared" si="80"/>
        <v>0.0086</v>
      </c>
      <c r="R265" s="64" t="s">
        <v>301</v>
      </c>
      <c r="S265">
        <f t="shared" si="81"/>
        <v>0</v>
      </c>
      <c r="T265" s="64" t="s">
        <v>301</v>
      </c>
      <c r="U265">
        <f t="shared" si="72"/>
        <v>0</v>
      </c>
      <c r="V265">
        <f t="shared" si="77"/>
        <v>0.0642</v>
      </c>
      <c r="W265" t="str">
        <f t="shared" si="78"/>
        <v/>
      </c>
      <c r="X265" t="str">
        <f t="shared" si="79"/>
        <v/>
      </c>
      <c r="Z265" s="65" t="str">
        <f>Q265&amp;R265&amp;S265&amp;T265&amp;U265</f>
        <v>0.0086,0,0</v>
      </c>
      <c r="AA265" s="96">
        <v>0.0086</v>
      </c>
      <c r="AB265" t="str">
        <f t="shared" si="67"/>
        <v>0.0642</v>
      </c>
      <c r="AF265" s="37" t="s">
        <v>51</v>
      </c>
    </row>
    <row r="266" ht="16.25" spans="1:32">
      <c r="A266" s="31">
        <v>303</v>
      </c>
      <c r="B266" s="92">
        <v>250303</v>
      </c>
      <c r="C266" s="71">
        <v>11</v>
      </c>
      <c r="D266" s="71">
        <v>0.0102</v>
      </c>
      <c r="E266" s="71"/>
      <c r="F266" s="71"/>
      <c r="G266" s="72"/>
      <c r="H266" s="71">
        <v>11</v>
      </c>
      <c r="I266" s="72"/>
      <c r="J266" s="72"/>
      <c r="K266" s="84">
        <f t="shared" si="73"/>
        <v>0.0612</v>
      </c>
      <c r="L266" s="84" t="str">
        <f t="shared" si="74"/>
        <v/>
      </c>
      <c r="M266" s="84" t="str">
        <f t="shared" si="75"/>
        <v/>
      </c>
      <c r="N266" s="84" t="str">
        <f t="shared" si="76"/>
        <v/>
      </c>
      <c r="P266">
        <f t="shared" si="68"/>
        <v>150303</v>
      </c>
      <c r="Q266">
        <f t="shared" si="80"/>
        <v>0.0082</v>
      </c>
      <c r="R266" s="64" t="s">
        <v>301</v>
      </c>
      <c r="S266">
        <f t="shared" si="81"/>
        <v>0</v>
      </c>
      <c r="T266" s="64" t="s">
        <v>301</v>
      </c>
      <c r="U266">
        <f t="shared" si="72"/>
        <v>0</v>
      </c>
      <c r="V266">
        <f t="shared" si="77"/>
        <v>0.0612</v>
      </c>
      <c r="W266" t="str">
        <f t="shared" si="78"/>
        <v/>
      </c>
      <c r="X266" t="str">
        <f t="shared" si="79"/>
        <v/>
      </c>
      <c r="Z266" s="65" t="str">
        <f>Q266&amp;R266&amp;S266&amp;T266&amp;U266</f>
        <v>0.0082,0,0</v>
      </c>
      <c r="AA266" s="96">
        <v>0.0082</v>
      </c>
      <c r="AB266" t="str">
        <f t="shared" si="67"/>
        <v>0.0612</v>
      </c>
      <c r="AF266" s="37" t="s">
        <v>55</v>
      </c>
    </row>
    <row r="267" ht="16.25" spans="1:32">
      <c r="A267" s="31">
        <v>303</v>
      </c>
      <c r="B267" s="92">
        <v>250403</v>
      </c>
      <c r="C267" s="71">
        <v>11</v>
      </c>
      <c r="D267" s="73">
        <v>0.0143</v>
      </c>
      <c r="E267" s="73"/>
      <c r="F267" s="73"/>
      <c r="G267" s="74"/>
      <c r="H267" s="71">
        <v>11</v>
      </c>
      <c r="I267" s="74"/>
      <c r="J267" s="74"/>
      <c r="K267" s="84">
        <f t="shared" si="73"/>
        <v>0.0858</v>
      </c>
      <c r="L267" s="84" t="str">
        <f t="shared" si="74"/>
        <v/>
      </c>
      <c r="M267" s="84" t="str">
        <f t="shared" si="75"/>
        <v/>
      </c>
      <c r="N267" s="84" t="str">
        <f t="shared" si="76"/>
        <v/>
      </c>
      <c r="P267">
        <f t="shared" si="68"/>
        <v>150403</v>
      </c>
      <c r="Q267">
        <f t="shared" si="80"/>
        <v>0.0114</v>
      </c>
      <c r="R267" s="64" t="s">
        <v>301</v>
      </c>
      <c r="S267">
        <f t="shared" si="81"/>
        <v>0</v>
      </c>
      <c r="T267" s="64" t="s">
        <v>301</v>
      </c>
      <c r="U267">
        <f t="shared" si="72"/>
        <v>0</v>
      </c>
      <c r="V267">
        <f t="shared" si="77"/>
        <v>0.0858</v>
      </c>
      <c r="W267" t="str">
        <f t="shared" si="78"/>
        <v/>
      </c>
      <c r="X267" t="str">
        <f t="shared" si="79"/>
        <v/>
      </c>
      <c r="Z267" s="65" t="str">
        <f>Q267&amp;R267&amp;S267&amp;T267&amp;U267</f>
        <v>0.0114,0,0</v>
      </c>
      <c r="AA267" s="96">
        <v>0.0114</v>
      </c>
      <c r="AB267" t="str">
        <f t="shared" si="67"/>
        <v>0.0858</v>
      </c>
      <c r="AF267" s="37" t="s">
        <v>59</v>
      </c>
    </row>
    <row r="268" ht="16.25" spans="1:32">
      <c r="A268" s="31">
        <v>303</v>
      </c>
      <c r="B268" s="92">
        <v>250503</v>
      </c>
      <c r="C268" s="71" t="s">
        <v>217</v>
      </c>
      <c r="D268" s="71">
        <v>0.0047</v>
      </c>
      <c r="E268" s="71">
        <v>0.018</v>
      </c>
      <c r="F268" s="71"/>
      <c r="G268" s="72"/>
      <c r="H268" s="71">
        <v>5</v>
      </c>
      <c r="I268" s="72">
        <v>9</v>
      </c>
      <c r="J268" s="72"/>
      <c r="K268" s="84">
        <f t="shared" si="73"/>
        <v>0.0282</v>
      </c>
      <c r="L268" s="84">
        <f t="shared" si="74"/>
        <v>0.108</v>
      </c>
      <c r="M268" s="84" t="str">
        <f t="shared" si="75"/>
        <v/>
      </c>
      <c r="N268" s="84" t="str">
        <f t="shared" si="76"/>
        <v/>
      </c>
      <c r="P268">
        <f t="shared" si="68"/>
        <v>150503</v>
      </c>
      <c r="Q268">
        <f t="shared" si="80"/>
        <v>0.0038</v>
      </c>
      <c r="R268" s="64" t="s">
        <v>301</v>
      </c>
      <c r="S268">
        <f t="shared" si="81"/>
        <v>0.0144</v>
      </c>
      <c r="T268" s="64" t="s">
        <v>301</v>
      </c>
      <c r="U268">
        <f t="shared" si="72"/>
        <v>0</v>
      </c>
      <c r="V268">
        <f t="shared" si="77"/>
        <v>0.0282</v>
      </c>
      <c r="W268">
        <f t="shared" si="78"/>
        <v>0.108</v>
      </c>
      <c r="X268" t="str">
        <f t="shared" si="79"/>
        <v/>
      </c>
      <c r="Z268" s="65" t="str">
        <f>Q268&amp;R268&amp;S268&amp;T268&amp;U268</f>
        <v>0.0038,0.0144,0</v>
      </c>
      <c r="AA268" s="96" t="s">
        <v>262</v>
      </c>
      <c r="AB268" t="str">
        <f t="shared" si="67"/>
        <v>0.0282,0.108</v>
      </c>
      <c r="AF268" s="37" t="s">
        <v>63</v>
      </c>
    </row>
    <row r="269" ht="16.25" spans="1:32">
      <c r="A269" s="31">
        <v>303</v>
      </c>
      <c r="B269" s="92">
        <v>250603</v>
      </c>
      <c r="C269" s="71" t="s">
        <v>217</v>
      </c>
      <c r="D269" s="71">
        <v>0.0189</v>
      </c>
      <c r="E269" s="71">
        <v>0.036</v>
      </c>
      <c r="F269" s="71"/>
      <c r="G269" s="72"/>
      <c r="H269" s="71">
        <v>5</v>
      </c>
      <c r="I269" s="72">
        <v>9</v>
      </c>
      <c r="J269" s="72"/>
      <c r="K269" s="84">
        <f t="shared" si="73"/>
        <v>0.1134</v>
      </c>
      <c r="L269" s="84">
        <f t="shared" si="74"/>
        <v>0.216</v>
      </c>
      <c r="M269" s="84" t="str">
        <f t="shared" si="75"/>
        <v/>
      </c>
      <c r="N269" s="84" t="str">
        <f t="shared" si="76"/>
        <v/>
      </c>
      <c r="P269">
        <f t="shared" si="68"/>
        <v>150603</v>
      </c>
      <c r="Q269">
        <f t="shared" si="80"/>
        <v>0.0151</v>
      </c>
      <c r="R269" s="64" t="s">
        <v>301</v>
      </c>
      <c r="S269">
        <f t="shared" si="81"/>
        <v>0.0288</v>
      </c>
      <c r="T269" s="64" t="s">
        <v>301</v>
      </c>
      <c r="U269">
        <f t="shared" si="72"/>
        <v>0</v>
      </c>
      <c r="V269">
        <f t="shared" si="77"/>
        <v>0.1134</v>
      </c>
      <c r="W269">
        <f t="shared" si="78"/>
        <v>0.216</v>
      </c>
      <c r="X269" t="str">
        <f t="shared" si="79"/>
        <v/>
      </c>
      <c r="Z269" s="65" t="str">
        <f t="shared" ref="Z269:Z301" si="82">Q269&amp;R269&amp;S269&amp;T269&amp;U269</f>
        <v>0.0151,0.0288,0</v>
      </c>
      <c r="AA269" s="96" t="s">
        <v>263</v>
      </c>
      <c r="AB269" t="str">
        <f t="shared" si="67"/>
        <v>0.1134,0.216</v>
      </c>
      <c r="AF269" s="37" t="s">
        <v>67</v>
      </c>
    </row>
    <row r="270" ht="16.25" spans="1:32">
      <c r="A270" s="31">
        <v>303</v>
      </c>
      <c r="B270" s="92">
        <v>250703</v>
      </c>
      <c r="C270" s="71" t="s">
        <v>264</v>
      </c>
      <c r="D270" s="75">
        <v>0.0028</v>
      </c>
      <c r="E270" s="75">
        <v>0.018</v>
      </c>
      <c r="F270" s="75"/>
      <c r="G270" s="76"/>
      <c r="H270" s="71">
        <v>6</v>
      </c>
      <c r="I270" s="76">
        <v>9</v>
      </c>
      <c r="J270" s="76"/>
      <c r="K270" s="84">
        <f t="shared" si="73"/>
        <v>0.0168</v>
      </c>
      <c r="L270" s="84">
        <f t="shared" si="74"/>
        <v>0.108</v>
      </c>
      <c r="M270" s="84" t="str">
        <f t="shared" si="75"/>
        <v/>
      </c>
      <c r="N270" s="84" t="str">
        <f t="shared" si="76"/>
        <v/>
      </c>
      <c r="P270">
        <f t="shared" si="68"/>
        <v>150703</v>
      </c>
      <c r="Q270">
        <f t="shared" si="80"/>
        <v>0.0022</v>
      </c>
      <c r="R270" s="64" t="s">
        <v>301</v>
      </c>
      <c r="S270">
        <f t="shared" si="81"/>
        <v>0.0144</v>
      </c>
      <c r="T270" s="64" t="s">
        <v>301</v>
      </c>
      <c r="U270">
        <f t="shared" si="72"/>
        <v>0</v>
      </c>
      <c r="V270">
        <f t="shared" si="77"/>
        <v>0.0168</v>
      </c>
      <c r="W270">
        <f t="shared" si="78"/>
        <v>0.108</v>
      </c>
      <c r="X270" t="str">
        <f t="shared" si="79"/>
        <v/>
      </c>
      <c r="Z270" s="65" t="str">
        <f t="shared" si="82"/>
        <v>0.0022,0.0144,0</v>
      </c>
      <c r="AA270" s="96" t="s">
        <v>265</v>
      </c>
      <c r="AB270" t="str">
        <f t="shared" si="67"/>
        <v>0.0168,0.108</v>
      </c>
      <c r="AF270" s="37" t="s">
        <v>71</v>
      </c>
    </row>
    <row r="271" ht="16.25" spans="1:32">
      <c r="A271" s="31">
        <v>303</v>
      </c>
      <c r="B271" s="92">
        <v>250803</v>
      </c>
      <c r="C271" s="71" t="s">
        <v>264</v>
      </c>
      <c r="D271" s="71">
        <v>0.0125</v>
      </c>
      <c r="E271" s="71">
        <v>0.012</v>
      </c>
      <c r="F271" s="71"/>
      <c r="G271" s="72"/>
      <c r="H271" s="71">
        <v>6</v>
      </c>
      <c r="I271" s="72">
        <v>9</v>
      </c>
      <c r="J271" s="72"/>
      <c r="K271" s="84">
        <f t="shared" si="73"/>
        <v>0.075</v>
      </c>
      <c r="L271" s="84">
        <f t="shared" si="74"/>
        <v>0.072</v>
      </c>
      <c r="M271" s="84" t="str">
        <f t="shared" si="75"/>
        <v/>
      </c>
      <c r="N271" s="84" t="str">
        <f t="shared" si="76"/>
        <v/>
      </c>
      <c r="P271">
        <f t="shared" si="68"/>
        <v>150803</v>
      </c>
      <c r="Q271">
        <f t="shared" si="80"/>
        <v>0.01</v>
      </c>
      <c r="R271" s="64" t="s">
        <v>301</v>
      </c>
      <c r="S271">
        <f t="shared" si="81"/>
        <v>0.0096</v>
      </c>
      <c r="T271" s="64" t="s">
        <v>301</v>
      </c>
      <c r="U271">
        <f t="shared" si="72"/>
        <v>0</v>
      </c>
      <c r="V271">
        <f t="shared" si="77"/>
        <v>0.075</v>
      </c>
      <c r="W271">
        <f t="shared" si="78"/>
        <v>0.072</v>
      </c>
      <c r="X271" t="str">
        <f t="shared" si="79"/>
        <v/>
      </c>
      <c r="Z271" s="65" t="str">
        <f t="shared" si="82"/>
        <v>0.01,0.0096,0</v>
      </c>
      <c r="AA271" s="96" t="s">
        <v>266</v>
      </c>
      <c r="AB271" t="str">
        <f t="shared" si="67"/>
        <v>0.075,0.072</v>
      </c>
      <c r="AF271" s="37" t="s">
        <v>75</v>
      </c>
    </row>
    <row r="272" ht="16.25" spans="1:32">
      <c r="A272" s="31">
        <v>303</v>
      </c>
      <c r="B272" s="92">
        <v>250903</v>
      </c>
      <c r="C272" s="71" t="s">
        <v>267</v>
      </c>
      <c r="D272" s="71">
        <v>0.0125</v>
      </c>
      <c r="E272" s="71">
        <v>0.015</v>
      </c>
      <c r="F272" s="71">
        <v>0.0017</v>
      </c>
      <c r="G272" s="72"/>
      <c r="H272" s="71">
        <v>6</v>
      </c>
      <c r="I272" s="72">
        <v>9</v>
      </c>
      <c r="J272" s="72">
        <v>11</v>
      </c>
      <c r="K272" s="84">
        <f t="shared" si="73"/>
        <v>0.075</v>
      </c>
      <c r="L272" s="84">
        <f t="shared" si="74"/>
        <v>0.09</v>
      </c>
      <c r="M272" s="84">
        <f t="shared" si="75"/>
        <v>0.0102</v>
      </c>
      <c r="N272" s="84" t="str">
        <f t="shared" si="76"/>
        <v/>
      </c>
      <c r="P272">
        <f t="shared" ref="P272:P298" si="83">B272-100000</f>
        <v>150903</v>
      </c>
      <c r="Q272">
        <f t="shared" si="80"/>
        <v>0.01</v>
      </c>
      <c r="R272" s="64" t="s">
        <v>301</v>
      </c>
      <c r="S272">
        <f t="shared" si="81"/>
        <v>0.012</v>
      </c>
      <c r="T272" s="64" t="s">
        <v>301</v>
      </c>
      <c r="U272">
        <f t="shared" si="72"/>
        <v>0.0014</v>
      </c>
      <c r="V272">
        <f t="shared" si="77"/>
        <v>0.075</v>
      </c>
      <c r="W272">
        <f t="shared" si="78"/>
        <v>0.09</v>
      </c>
      <c r="X272">
        <f t="shared" si="79"/>
        <v>0.0102</v>
      </c>
      <c r="Z272" s="65" t="str">
        <f t="shared" si="82"/>
        <v>0.01,0.012,0.0014</v>
      </c>
      <c r="AA272" s="96" t="s">
        <v>268</v>
      </c>
      <c r="AB272" t="str">
        <f t="shared" si="67"/>
        <v>0.075,0.09,0.0102</v>
      </c>
      <c r="AF272" s="37" t="s">
        <v>79</v>
      </c>
    </row>
    <row r="273" ht="16.25" spans="1:32">
      <c r="A273" s="31">
        <v>303</v>
      </c>
      <c r="B273" s="92">
        <v>260103</v>
      </c>
      <c r="C273" s="77">
        <v>7</v>
      </c>
      <c r="D273" s="100">
        <v>0.009</v>
      </c>
      <c r="E273" s="100"/>
      <c r="F273" s="100"/>
      <c r="G273" s="101"/>
      <c r="H273" s="77">
        <v>7</v>
      </c>
      <c r="I273" s="101"/>
      <c r="J273" s="101"/>
      <c r="K273" s="84">
        <f t="shared" si="73"/>
        <v>0.054</v>
      </c>
      <c r="L273" s="84" t="str">
        <f t="shared" si="74"/>
        <v/>
      </c>
      <c r="M273" s="84" t="str">
        <f t="shared" si="75"/>
        <v/>
      </c>
      <c r="N273" s="84" t="str">
        <f t="shared" si="76"/>
        <v/>
      </c>
      <c r="P273">
        <f t="shared" si="83"/>
        <v>160103</v>
      </c>
      <c r="Q273">
        <f t="shared" si="80"/>
        <v>0.0072</v>
      </c>
      <c r="R273" s="64" t="s">
        <v>301</v>
      </c>
      <c r="S273">
        <f t="shared" si="81"/>
        <v>0</v>
      </c>
      <c r="T273" s="64" t="s">
        <v>301</v>
      </c>
      <c r="U273">
        <f t="shared" si="72"/>
        <v>0</v>
      </c>
      <c r="V273">
        <f t="shared" si="77"/>
        <v>0.054</v>
      </c>
      <c r="W273" t="str">
        <f t="shared" si="78"/>
        <v/>
      </c>
      <c r="X273" t="str">
        <f t="shared" si="79"/>
        <v/>
      </c>
      <c r="Z273" s="65" t="str">
        <f t="shared" si="82"/>
        <v>0.0072,0,0</v>
      </c>
      <c r="AA273" s="96">
        <v>0.0072</v>
      </c>
      <c r="AB273" t="str">
        <f t="shared" si="67"/>
        <v>0.054</v>
      </c>
      <c r="AF273" s="37" t="s">
        <v>83</v>
      </c>
    </row>
    <row r="274" ht="16.25" spans="1:32">
      <c r="A274" s="31">
        <v>303</v>
      </c>
      <c r="B274" s="92">
        <v>260203</v>
      </c>
      <c r="C274" s="77">
        <v>7</v>
      </c>
      <c r="D274" s="100">
        <v>0.0179</v>
      </c>
      <c r="E274" s="100"/>
      <c r="F274" s="100"/>
      <c r="G274" s="101"/>
      <c r="H274" s="77">
        <v>7</v>
      </c>
      <c r="I274" s="101"/>
      <c r="J274" s="101"/>
      <c r="K274" s="84">
        <f t="shared" si="73"/>
        <v>0.1074</v>
      </c>
      <c r="L274" s="84" t="str">
        <f t="shared" si="74"/>
        <v/>
      </c>
      <c r="M274" s="84" t="str">
        <f t="shared" si="75"/>
        <v/>
      </c>
      <c r="N274" s="84" t="str">
        <f t="shared" si="76"/>
        <v/>
      </c>
      <c r="P274">
        <f t="shared" si="83"/>
        <v>160203</v>
      </c>
      <c r="Q274">
        <f t="shared" si="80"/>
        <v>0.0143</v>
      </c>
      <c r="R274" s="64" t="s">
        <v>301</v>
      </c>
      <c r="S274">
        <f t="shared" si="81"/>
        <v>0</v>
      </c>
      <c r="T274" s="64" t="s">
        <v>301</v>
      </c>
      <c r="U274">
        <f t="shared" si="72"/>
        <v>0</v>
      </c>
      <c r="V274">
        <f t="shared" si="77"/>
        <v>0.1074</v>
      </c>
      <c r="W274" t="str">
        <f t="shared" si="78"/>
        <v/>
      </c>
      <c r="X274" t="str">
        <f t="shared" si="79"/>
        <v/>
      </c>
      <c r="Z274" s="65" t="str">
        <f t="shared" si="82"/>
        <v>0.0143,0,0</v>
      </c>
      <c r="AA274" s="96">
        <v>0.0143</v>
      </c>
      <c r="AB274" t="str">
        <f t="shared" si="67"/>
        <v>0.1074</v>
      </c>
      <c r="AF274" s="37" t="s">
        <v>87</v>
      </c>
    </row>
    <row r="275" ht="16.25" spans="1:32">
      <c r="A275" s="31">
        <v>303</v>
      </c>
      <c r="B275" s="92">
        <v>260303</v>
      </c>
      <c r="C275" s="77">
        <v>11</v>
      </c>
      <c r="D275" s="100">
        <v>0.017</v>
      </c>
      <c r="E275" s="100"/>
      <c r="F275" s="100"/>
      <c r="G275" s="101"/>
      <c r="H275" s="77">
        <v>11</v>
      </c>
      <c r="I275" s="101"/>
      <c r="J275" s="101"/>
      <c r="K275" s="84">
        <f t="shared" si="73"/>
        <v>0.102</v>
      </c>
      <c r="L275" s="84" t="str">
        <f t="shared" si="74"/>
        <v/>
      </c>
      <c r="M275" s="84" t="str">
        <f t="shared" si="75"/>
        <v/>
      </c>
      <c r="N275" s="84" t="str">
        <f t="shared" si="76"/>
        <v/>
      </c>
      <c r="P275">
        <f t="shared" si="83"/>
        <v>160303</v>
      </c>
      <c r="Q275">
        <f t="shared" si="80"/>
        <v>0.0136</v>
      </c>
      <c r="R275" s="64" t="s">
        <v>301</v>
      </c>
      <c r="S275">
        <f t="shared" si="81"/>
        <v>0</v>
      </c>
      <c r="T275" s="64" t="s">
        <v>301</v>
      </c>
      <c r="U275">
        <f t="shared" si="72"/>
        <v>0</v>
      </c>
      <c r="V275">
        <f t="shared" si="77"/>
        <v>0.102</v>
      </c>
      <c r="W275" t="str">
        <f t="shared" si="78"/>
        <v/>
      </c>
      <c r="X275" t="str">
        <f t="shared" si="79"/>
        <v/>
      </c>
      <c r="Z275" s="65" t="str">
        <f t="shared" si="82"/>
        <v>0.0136,0,0</v>
      </c>
      <c r="AA275" s="96">
        <v>0.0136</v>
      </c>
      <c r="AB275" t="str">
        <f t="shared" si="67"/>
        <v>0.102</v>
      </c>
      <c r="AF275" s="37" t="s">
        <v>91</v>
      </c>
    </row>
    <row r="276" ht="16.25" spans="1:32">
      <c r="A276" s="31">
        <v>303</v>
      </c>
      <c r="B276" s="92">
        <v>260403</v>
      </c>
      <c r="C276" s="77">
        <v>11</v>
      </c>
      <c r="D276" s="100">
        <v>0.0238</v>
      </c>
      <c r="E276" s="100"/>
      <c r="F276" s="100"/>
      <c r="G276" s="101"/>
      <c r="H276" s="77">
        <v>11</v>
      </c>
      <c r="I276" s="101"/>
      <c r="J276" s="101"/>
      <c r="K276" s="84">
        <f t="shared" si="73"/>
        <v>0.1428</v>
      </c>
      <c r="L276" s="84" t="str">
        <f t="shared" si="74"/>
        <v/>
      </c>
      <c r="M276" s="84" t="str">
        <f t="shared" si="75"/>
        <v/>
      </c>
      <c r="N276" s="84" t="str">
        <f t="shared" si="76"/>
        <v/>
      </c>
      <c r="P276">
        <f t="shared" si="83"/>
        <v>160403</v>
      </c>
      <c r="Q276">
        <f t="shared" si="80"/>
        <v>0.019</v>
      </c>
      <c r="R276" s="64" t="s">
        <v>301</v>
      </c>
      <c r="S276">
        <f t="shared" si="81"/>
        <v>0</v>
      </c>
      <c r="T276" s="64" t="s">
        <v>301</v>
      </c>
      <c r="U276">
        <f t="shared" si="72"/>
        <v>0</v>
      </c>
      <c r="V276">
        <f t="shared" si="77"/>
        <v>0.1428</v>
      </c>
      <c r="W276" t="str">
        <f t="shared" si="78"/>
        <v/>
      </c>
      <c r="X276" t="str">
        <f t="shared" si="79"/>
        <v/>
      </c>
      <c r="Z276" s="65" t="str">
        <f t="shared" si="82"/>
        <v>0.019,0,0</v>
      </c>
      <c r="AA276" s="96">
        <v>0.019</v>
      </c>
      <c r="AB276" t="str">
        <f t="shared" si="67"/>
        <v>0.1428</v>
      </c>
      <c r="AF276" s="37" t="s">
        <v>95</v>
      </c>
    </row>
    <row r="277" ht="16.25" spans="1:32">
      <c r="A277" s="31">
        <v>303</v>
      </c>
      <c r="B277" s="92">
        <v>260503</v>
      </c>
      <c r="C277" s="77" t="s">
        <v>217</v>
      </c>
      <c r="D277" s="100">
        <v>0.0078</v>
      </c>
      <c r="E277" s="100">
        <v>0.03</v>
      </c>
      <c r="F277" s="100"/>
      <c r="G277" s="101"/>
      <c r="H277" s="77">
        <v>5</v>
      </c>
      <c r="I277" s="101">
        <v>9</v>
      </c>
      <c r="J277" s="101"/>
      <c r="K277" s="84">
        <f t="shared" si="73"/>
        <v>0.0468</v>
      </c>
      <c r="L277" s="84">
        <f t="shared" si="74"/>
        <v>0.18</v>
      </c>
      <c r="M277" s="84" t="str">
        <f t="shared" si="75"/>
        <v/>
      </c>
      <c r="N277" s="84" t="str">
        <f t="shared" si="76"/>
        <v/>
      </c>
      <c r="P277">
        <f t="shared" si="83"/>
        <v>160503</v>
      </c>
      <c r="Q277">
        <f t="shared" si="80"/>
        <v>0.0062</v>
      </c>
      <c r="R277" s="64" t="s">
        <v>301</v>
      </c>
      <c r="S277">
        <f t="shared" si="81"/>
        <v>0.024</v>
      </c>
      <c r="T277" s="64" t="s">
        <v>301</v>
      </c>
      <c r="U277">
        <f t="shared" si="72"/>
        <v>0</v>
      </c>
      <c r="V277">
        <f t="shared" si="77"/>
        <v>0.0468</v>
      </c>
      <c r="W277">
        <f t="shared" si="78"/>
        <v>0.18</v>
      </c>
      <c r="X277" t="str">
        <f t="shared" si="79"/>
        <v/>
      </c>
      <c r="Z277" s="65" t="str">
        <f t="shared" si="82"/>
        <v>0.0062,0.024,0</v>
      </c>
      <c r="AA277" s="96" t="s">
        <v>269</v>
      </c>
      <c r="AB277" t="str">
        <f t="shared" si="67"/>
        <v>0.0468,0.18</v>
      </c>
      <c r="AF277" s="37" t="s">
        <v>99</v>
      </c>
    </row>
    <row r="278" ht="16.25" spans="1:32">
      <c r="A278" s="31">
        <v>303</v>
      </c>
      <c r="B278" s="92">
        <v>260603</v>
      </c>
      <c r="C278" s="77" t="s">
        <v>217</v>
      </c>
      <c r="D278" s="100">
        <v>0.0313</v>
      </c>
      <c r="E278" s="100">
        <v>0.06</v>
      </c>
      <c r="F278" s="100"/>
      <c r="G278" s="101"/>
      <c r="H278" s="77">
        <v>5</v>
      </c>
      <c r="I278" s="101">
        <v>9</v>
      </c>
      <c r="J278" s="101"/>
      <c r="K278" s="84">
        <f t="shared" si="73"/>
        <v>0.1878</v>
      </c>
      <c r="L278" s="84">
        <f t="shared" si="74"/>
        <v>0.36</v>
      </c>
      <c r="M278" s="84" t="str">
        <f t="shared" si="75"/>
        <v/>
      </c>
      <c r="N278" s="84" t="str">
        <f t="shared" si="76"/>
        <v/>
      </c>
      <c r="P278">
        <f t="shared" si="83"/>
        <v>160603</v>
      </c>
      <c r="Q278">
        <f t="shared" si="80"/>
        <v>0.025</v>
      </c>
      <c r="R278" s="64" t="s">
        <v>301</v>
      </c>
      <c r="S278">
        <f t="shared" si="81"/>
        <v>0.048</v>
      </c>
      <c r="T278" s="64" t="s">
        <v>301</v>
      </c>
      <c r="U278">
        <f t="shared" si="72"/>
        <v>0</v>
      </c>
      <c r="V278">
        <f t="shared" si="77"/>
        <v>0.1878</v>
      </c>
      <c r="W278">
        <f t="shared" si="78"/>
        <v>0.36</v>
      </c>
      <c r="X278" t="str">
        <f t="shared" si="79"/>
        <v/>
      </c>
      <c r="Z278" s="65" t="str">
        <f t="shared" si="82"/>
        <v>0.025,0.048,0</v>
      </c>
      <c r="AA278" s="96" t="s">
        <v>270</v>
      </c>
      <c r="AB278" t="str">
        <f t="shared" si="67"/>
        <v>0.1878,0.36</v>
      </c>
      <c r="AF278" s="37" t="s">
        <v>103</v>
      </c>
    </row>
    <row r="279" ht="16.25" spans="1:32">
      <c r="A279" s="31">
        <v>303</v>
      </c>
      <c r="B279" s="92">
        <v>260703</v>
      </c>
      <c r="C279" s="77" t="s">
        <v>264</v>
      </c>
      <c r="D279" s="100">
        <v>0.0047</v>
      </c>
      <c r="E279" s="100">
        <v>0.03</v>
      </c>
      <c r="F279" s="100"/>
      <c r="G279" s="101"/>
      <c r="H279" s="77">
        <v>6</v>
      </c>
      <c r="I279" s="101">
        <v>9</v>
      </c>
      <c r="J279" s="101"/>
      <c r="K279" s="84">
        <f t="shared" si="73"/>
        <v>0.0282</v>
      </c>
      <c r="L279" s="84">
        <f t="shared" si="74"/>
        <v>0.18</v>
      </c>
      <c r="M279" s="84" t="str">
        <f t="shared" si="75"/>
        <v/>
      </c>
      <c r="N279" s="84" t="str">
        <f t="shared" si="76"/>
        <v/>
      </c>
      <c r="P279">
        <f t="shared" si="83"/>
        <v>160703</v>
      </c>
      <c r="Q279">
        <f t="shared" si="80"/>
        <v>0.0038</v>
      </c>
      <c r="R279" s="64" t="s">
        <v>301</v>
      </c>
      <c r="S279">
        <f t="shared" si="81"/>
        <v>0.024</v>
      </c>
      <c r="T279" s="64" t="s">
        <v>301</v>
      </c>
      <c r="U279">
        <f t="shared" si="72"/>
        <v>0</v>
      </c>
      <c r="V279">
        <f t="shared" si="77"/>
        <v>0.0282</v>
      </c>
      <c r="W279">
        <f t="shared" si="78"/>
        <v>0.18</v>
      </c>
      <c r="X279" t="str">
        <f t="shared" si="79"/>
        <v/>
      </c>
      <c r="Z279" s="65" t="str">
        <f t="shared" si="82"/>
        <v>0.0038,0.024,0</v>
      </c>
      <c r="AA279" s="96" t="s">
        <v>271</v>
      </c>
      <c r="AB279" t="str">
        <f t="shared" si="67"/>
        <v>0.0282,0.18</v>
      </c>
      <c r="AF279" s="37" t="s">
        <v>107</v>
      </c>
    </row>
    <row r="280" ht="16.25" spans="1:32">
      <c r="A280" s="31">
        <v>303</v>
      </c>
      <c r="B280" s="92">
        <v>260803</v>
      </c>
      <c r="C280" s="77" t="s">
        <v>264</v>
      </c>
      <c r="D280" s="100">
        <v>0.0209</v>
      </c>
      <c r="E280" s="100">
        <v>0.02</v>
      </c>
      <c r="F280" s="100"/>
      <c r="G280" s="101"/>
      <c r="H280" s="77">
        <v>6</v>
      </c>
      <c r="I280" s="101">
        <v>9</v>
      </c>
      <c r="J280" s="101"/>
      <c r="K280" s="84">
        <f t="shared" si="73"/>
        <v>0.1254</v>
      </c>
      <c r="L280" s="84">
        <f t="shared" si="74"/>
        <v>0.12</v>
      </c>
      <c r="M280" s="84" t="str">
        <f t="shared" si="75"/>
        <v/>
      </c>
      <c r="N280" s="84" t="str">
        <f t="shared" si="76"/>
        <v/>
      </c>
      <c r="P280">
        <f t="shared" si="83"/>
        <v>160803</v>
      </c>
      <c r="Q280">
        <f t="shared" si="80"/>
        <v>0.0167</v>
      </c>
      <c r="R280" s="64" t="s">
        <v>301</v>
      </c>
      <c r="S280">
        <f t="shared" si="81"/>
        <v>0.016</v>
      </c>
      <c r="T280" s="64" t="s">
        <v>301</v>
      </c>
      <c r="U280">
        <f t="shared" si="72"/>
        <v>0</v>
      </c>
      <c r="V280">
        <f t="shared" si="77"/>
        <v>0.1254</v>
      </c>
      <c r="W280">
        <f t="shared" si="78"/>
        <v>0.12</v>
      </c>
      <c r="X280" t="str">
        <f t="shared" si="79"/>
        <v/>
      </c>
      <c r="Z280" s="65" t="str">
        <f t="shared" si="82"/>
        <v>0.0167,0.016,0</v>
      </c>
      <c r="AA280" s="96" t="s">
        <v>272</v>
      </c>
      <c r="AB280" t="str">
        <f t="shared" si="67"/>
        <v>0.1254,0.12</v>
      </c>
      <c r="AF280" s="37" t="s">
        <v>111</v>
      </c>
    </row>
    <row r="281" ht="16.25" spans="1:32">
      <c r="A281" s="31">
        <v>303</v>
      </c>
      <c r="B281" s="92">
        <v>260903</v>
      </c>
      <c r="C281" s="77" t="s">
        <v>267</v>
      </c>
      <c r="D281" s="100">
        <v>0.0209</v>
      </c>
      <c r="E281" s="100">
        <v>0.025</v>
      </c>
      <c r="F281" s="100">
        <v>0.0028</v>
      </c>
      <c r="G281" s="101"/>
      <c r="H281" s="77">
        <v>6</v>
      </c>
      <c r="I281" s="101">
        <v>9</v>
      </c>
      <c r="J281" s="101">
        <v>11</v>
      </c>
      <c r="K281" s="84">
        <f t="shared" si="73"/>
        <v>0.1254</v>
      </c>
      <c r="L281" s="84">
        <f t="shared" si="74"/>
        <v>0.15</v>
      </c>
      <c r="M281" s="84">
        <f t="shared" si="75"/>
        <v>0.0168</v>
      </c>
      <c r="N281" s="84" t="str">
        <f t="shared" si="76"/>
        <v/>
      </c>
      <c r="P281">
        <f t="shared" si="83"/>
        <v>160903</v>
      </c>
      <c r="Q281">
        <f t="shared" si="80"/>
        <v>0.0167</v>
      </c>
      <c r="R281" s="64" t="s">
        <v>301</v>
      </c>
      <c r="S281">
        <f t="shared" si="81"/>
        <v>0.02</v>
      </c>
      <c r="T281" s="64" t="s">
        <v>301</v>
      </c>
      <c r="U281">
        <f t="shared" si="72"/>
        <v>0.0022</v>
      </c>
      <c r="V281">
        <f t="shared" si="77"/>
        <v>0.1254</v>
      </c>
      <c r="W281">
        <f t="shared" si="78"/>
        <v>0.15</v>
      </c>
      <c r="X281">
        <f t="shared" si="79"/>
        <v>0.0168</v>
      </c>
      <c r="Z281" s="65" t="str">
        <f t="shared" si="82"/>
        <v>0.0167,0.02,0.0022</v>
      </c>
      <c r="AA281" s="96" t="s">
        <v>273</v>
      </c>
      <c r="AB281" t="str">
        <f t="shared" si="67"/>
        <v>0.1254,0.15,0.0168</v>
      </c>
      <c r="AF281" s="37" t="s">
        <v>115</v>
      </c>
    </row>
    <row r="282" ht="16.25" spans="1:32">
      <c r="A282" s="31">
        <v>304</v>
      </c>
      <c r="B282" s="95">
        <v>250103</v>
      </c>
      <c r="C282" s="68">
        <v>7</v>
      </c>
      <c r="D282" s="81">
        <v>0.0102</v>
      </c>
      <c r="E282" s="81"/>
      <c r="F282" s="81"/>
      <c r="G282" s="82"/>
      <c r="H282" s="68">
        <v>7</v>
      </c>
      <c r="I282" s="82"/>
      <c r="J282" s="82"/>
      <c r="K282" s="84">
        <f t="shared" si="73"/>
        <v>0.0612</v>
      </c>
      <c r="L282" s="84" t="str">
        <f t="shared" si="74"/>
        <v/>
      </c>
      <c r="M282" s="84" t="str">
        <f t="shared" si="75"/>
        <v/>
      </c>
      <c r="N282" s="84" t="str">
        <f t="shared" si="76"/>
        <v/>
      </c>
      <c r="P282">
        <f t="shared" si="83"/>
        <v>150103</v>
      </c>
      <c r="Q282">
        <f t="shared" si="80"/>
        <v>0.0082</v>
      </c>
      <c r="R282" s="64" t="s">
        <v>301</v>
      </c>
      <c r="S282">
        <f t="shared" si="81"/>
        <v>0</v>
      </c>
      <c r="T282" s="64" t="s">
        <v>301</v>
      </c>
      <c r="U282">
        <f t="shared" si="72"/>
        <v>0</v>
      </c>
      <c r="V282">
        <f t="shared" si="77"/>
        <v>0.0612</v>
      </c>
      <c r="W282" t="str">
        <f t="shared" si="78"/>
        <v/>
      </c>
      <c r="X282" t="str">
        <f t="shared" si="79"/>
        <v/>
      </c>
      <c r="Z282" s="65" t="str">
        <f t="shared" si="82"/>
        <v>0.0082,0,0</v>
      </c>
      <c r="AA282" s="8">
        <v>0.0082</v>
      </c>
      <c r="AB282" t="str">
        <f t="shared" si="67"/>
        <v>0.0612</v>
      </c>
      <c r="AF282" s="38" t="s">
        <v>47</v>
      </c>
    </row>
    <row r="283" ht="16.25" spans="1:32">
      <c r="A283" s="31">
        <v>304</v>
      </c>
      <c r="B283" s="95">
        <v>250103</v>
      </c>
      <c r="C283" s="68">
        <v>4</v>
      </c>
      <c r="D283" s="81">
        <v>14.57</v>
      </c>
      <c r="E283" s="81"/>
      <c r="F283" s="81"/>
      <c r="G283" s="82"/>
      <c r="H283" s="68">
        <v>4</v>
      </c>
      <c r="I283" s="82"/>
      <c r="J283" s="82"/>
      <c r="K283" s="84">
        <f t="shared" si="73"/>
        <v>29.14</v>
      </c>
      <c r="L283" s="84" t="str">
        <f t="shared" si="74"/>
        <v/>
      </c>
      <c r="M283" s="84" t="str">
        <f t="shared" si="75"/>
        <v/>
      </c>
      <c r="N283" s="84" t="str">
        <f t="shared" si="76"/>
        <v/>
      </c>
      <c r="P283">
        <f t="shared" si="83"/>
        <v>150103</v>
      </c>
      <c r="Q283">
        <f t="shared" si="80"/>
        <v>11.656</v>
      </c>
      <c r="R283" s="64" t="s">
        <v>301</v>
      </c>
      <c r="S283">
        <f t="shared" si="81"/>
        <v>0</v>
      </c>
      <c r="T283" s="64" t="s">
        <v>301</v>
      </c>
      <c r="U283">
        <f t="shared" si="72"/>
        <v>0</v>
      </c>
      <c r="V283">
        <f t="shared" si="77"/>
        <v>30</v>
      </c>
      <c r="W283" t="str">
        <f t="shared" si="78"/>
        <v/>
      </c>
      <c r="X283" t="str">
        <f t="shared" si="79"/>
        <v/>
      </c>
      <c r="Z283" s="65" t="str">
        <f t="shared" si="82"/>
        <v>11.656,0,0</v>
      </c>
      <c r="AA283" s="8">
        <v>11.656</v>
      </c>
      <c r="AB283" t="str">
        <f t="shared" si="67"/>
        <v>30</v>
      </c>
      <c r="AF283" s="38"/>
    </row>
    <row r="284" ht="16.25" spans="1:32">
      <c r="A284" s="31">
        <v>304</v>
      </c>
      <c r="B284" s="95">
        <v>250203</v>
      </c>
      <c r="C284" s="68">
        <v>7</v>
      </c>
      <c r="D284" s="81">
        <v>0.0205</v>
      </c>
      <c r="E284" s="81"/>
      <c r="F284" s="81"/>
      <c r="G284" s="82"/>
      <c r="H284" s="68">
        <v>7</v>
      </c>
      <c r="I284" s="82"/>
      <c r="J284" s="82"/>
      <c r="K284" s="84">
        <f t="shared" si="73"/>
        <v>0.123</v>
      </c>
      <c r="L284" s="84" t="str">
        <f t="shared" si="74"/>
        <v/>
      </c>
      <c r="M284" s="84" t="str">
        <f t="shared" si="75"/>
        <v/>
      </c>
      <c r="N284" s="84" t="str">
        <f t="shared" si="76"/>
        <v/>
      </c>
      <c r="P284">
        <f t="shared" si="83"/>
        <v>150203</v>
      </c>
      <c r="Q284">
        <f t="shared" si="80"/>
        <v>0.0164</v>
      </c>
      <c r="R284" s="64" t="s">
        <v>301</v>
      </c>
      <c r="S284">
        <f t="shared" si="81"/>
        <v>0</v>
      </c>
      <c r="T284" s="64" t="s">
        <v>301</v>
      </c>
      <c r="U284">
        <f t="shared" si="72"/>
        <v>0</v>
      </c>
      <c r="V284">
        <f t="shared" si="77"/>
        <v>0.123</v>
      </c>
      <c r="W284" t="str">
        <f t="shared" si="78"/>
        <v/>
      </c>
      <c r="X284" t="str">
        <f t="shared" si="79"/>
        <v/>
      </c>
      <c r="Z284" s="65" t="str">
        <f t="shared" si="82"/>
        <v>0.0164,0,0</v>
      </c>
      <c r="AA284" s="8">
        <v>0.0164</v>
      </c>
      <c r="AB284" t="str">
        <f t="shared" si="67"/>
        <v>0.123</v>
      </c>
      <c r="AF284" s="38" t="s">
        <v>51</v>
      </c>
    </row>
    <row r="285" ht="16.25" spans="1:32">
      <c r="A285" s="31">
        <v>304</v>
      </c>
      <c r="B285" s="95">
        <v>250203</v>
      </c>
      <c r="C285" s="68">
        <v>4</v>
      </c>
      <c r="D285" s="81">
        <v>14.57</v>
      </c>
      <c r="E285" s="81"/>
      <c r="F285" s="81"/>
      <c r="G285" s="82"/>
      <c r="H285" s="68">
        <v>4</v>
      </c>
      <c r="I285" s="82"/>
      <c r="J285" s="82"/>
      <c r="K285" s="84">
        <f t="shared" si="73"/>
        <v>29.14</v>
      </c>
      <c r="L285" s="84" t="str">
        <f t="shared" si="74"/>
        <v/>
      </c>
      <c r="M285" s="84" t="str">
        <f t="shared" si="75"/>
        <v/>
      </c>
      <c r="N285" s="84" t="str">
        <f t="shared" si="76"/>
        <v/>
      </c>
      <c r="P285">
        <f t="shared" si="83"/>
        <v>150203</v>
      </c>
      <c r="Q285">
        <f t="shared" si="80"/>
        <v>11.656</v>
      </c>
      <c r="R285" s="64" t="s">
        <v>301</v>
      </c>
      <c r="S285">
        <f t="shared" si="81"/>
        <v>0</v>
      </c>
      <c r="T285" s="64" t="s">
        <v>301</v>
      </c>
      <c r="U285">
        <f t="shared" si="72"/>
        <v>0</v>
      </c>
      <c r="V285">
        <f t="shared" si="77"/>
        <v>30</v>
      </c>
      <c r="W285" t="str">
        <f t="shared" si="78"/>
        <v/>
      </c>
      <c r="X285" t="str">
        <f t="shared" si="79"/>
        <v/>
      </c>
      <c r="Z285" s="65" t="str">
        <f t="shared" si="82"/>
        <v>11.656,0,0</v>
      </c>
      <c r="AA285" s="8">
        <v>11.656</v>
      </c>
      <c r="AB285" t="str">
        <f t="shared" si="67"/>
        <v>30</v>
      </c>
      <c r="AF285" s="38"/>
    </row>
    <row r="286" ht="16.25" spans="1:32">
      <c r="A286" s="31">
        <v>304</v>
      </c>
      <c r="B286" s="95">
        <v>250303</v>
      </c>
      <c r="C286" s="68">
        <v>11</v>
      </c>
      <c r="D286" s="81">
        <v>0.0194</v>
      </c>
      <c r="E286" s="81"/>
      <c r="F286" s="81"/>
      <c r="G286" s="82"/>
      <c r="H286" s="68">
        <v>11</v>
      </c>
      <c r="I286" s="82"/>
      <c r="J286" s="82"/>
      <c r="K286" s="84">
        <f t="shared" si="73"/>
        <v>0.1164</v>
      </c>
      <c r="L286" s="84" t="str">
        <f t="shared" si="74"/>
        <v/>
      </c>
      <c r="M286" s="84" t="str">
        <f t="shared" si="75"/>
        <v/>
      </c>
      <c r="N286" s="84" t="str">
        <f t="shared" si="76"/>
        <v/>
      </c>
      <c r="P286">
        <f t="shared" si="83"/>
        <v>150303</v>
      </c>
      <c r="Q286">
        <f t="shared" ref="Q286:Q349" si="84">ROUND(D286*0.8,4)</f>
        <v>0.0155</v>
      </c>
      <c r="R286" s="64" t="s">
        <v>301</v>
      </c>
      <c r="S286">
        <f t="shared" si="81"/>
        <v>0</v>
      </c>
      <c r="T286" s="64" t="s">
        <v>301</v>
      </c>
      <c r="U286">
        <f t="shared" si="72"/>
        <v>0</v>
      </c>
      <c r="V286">
        <f t="shared" si="77"/>
        <v>0.1164</v>
      </c>
      <c r="W286" t="str">
        <f t="shared" si="78"/>
        <v/>
      </c>
      <c r="X286" t="str">
        <f t="shared" si="79"/>
        <v/>
      </c>
      <c r="Z286" s="65" t="str">
        <f t="shared" si="82"/>
        <v>0.0155,0,0</v>
      </c>
      <c r="AA286" s="8">
        <v>0.0155</v>
      </c>
      <c r="AB286" t="str">
        <f t="shared" si="67"/>
        <v>0.1164</v>
      </c>
      <c r="AF286" s="38" t="s">
        <v>55</v>
      </c>
    </row>
    <row r="287" ht="16.25" spans="1:32">
      <c r="A287" s="31">
        <v>304</v>
      </c>
      <c r="B287" s="95">
        <v>250303</v>
      </c>
      <c r="C287" s="68">
        <v>4</v>
      </c>
      <c r="D287" s="81">
        <v>14.57</v>
      </c>
      <c r="E287" s="81"/>
      <c r="F287" s="81"/>
      <c r="G287" s="82"/>
      <c r="H287" s="68">
        <v>4</v>
      </c>
      <c r="I287" s="82"/>
      <c r="J287" s="82"/>
      <c r="K287" s="84">
        <f t="shared" si="73"/>
        <v>29.14</v>
      </c>
      <c r="L287" s="84" t="str">
        <f t="shared" si="74"/>
        <v/>
      </c>
      <c r="M287" s="84" t="str">
        <f t="shared" si="75"/>
        <v/>
      </c>
      <c r="N287" s="84" t="str">
        <f t="shared" si="76"/>
        <v/>
      </c>
      <c r="P287">
        <f t="shared" si="83"/>
        <v>150303</v>
      </c>
      <c r="Q287">
        <f t="shared" si="84"/>
        <v>11.656</v>
      </c>
      <c r="R287" s="64" t="s">
        <v>301</v>
      </c>
      <c r="S287">
        <f t="shared" si="81"/>
        <v>0</v>
      </c>
      <c r="T287" s="64" t="s">
        <v>301</v>
      </c>
      <c r="U287">
        <f t="shared" si="72"/>
        <v>0</v>
      </c>
      <c r="V287">
        <f t="shared" si="77"/>
        <v>30</v>
      </c>
      <c r="W287" t="str">
        <f t="shared" si="78"/>
        <v/>
      </c>
      <c r="X287" t="str">
        <f t="shared" si="79"/>
        <v/>
      </c>
      <c r="Z287" s="65" t="str">
        <f t="shared" si="82"/>
        <v>11.656,0,0</v>
      </c>
      <c r="AA287" s="8">
        <v>11.656</v>
      </c>
      <c r="AB287" t="str">
        <f t="shared" si="67"/>
        <v>30</v>
      </c>
      <c r="AF287" s="38"/>
    </row>
    <row r="288" ht="16.25" spans="1:32">
      <c r="A288" s="31">
        <v>304</v>
      </c>
      <c r="B288" s="95">
        <v>250403</v>
      </c>
      <c r="C288" s="68">
        <v>11</v>
      </c>
      <c r="D288" s="81">
        <v>0.0272</v>
      </c>
      <c r="E288" s="81"/>
      <c r="F288" s="81"/>
      <c r="G288" s="82"/>
      <c r="H288" s="68">
        <v>11</v>
      </c>
      <c r="I288" s="82"/>
      <c r="J288" s="82"/>
      <c r="K288" s="84">
        <f t="shared" si="73"/>
        <v>0.1632</v>
      </c>
      <c r="L288" s="84" t="str">
        <f t="shared" si="74"/>
        <v/>
      </c>
      <c r="M288" s="84" t="str">
        <f t="shared" si="75"/>
        <v/>
      </c>
      <c r="N288" s="84" t="str">
        <f t="shared" si="76"/>
        <v/>
      </c>
      <c r="P288">
        <f t="shared" si="83"/>
        <v>150403</v>
      </c>
      <c r="Q288">
        <f t="shared" si="84"/>
        <v>0.0218</v>
      </c>
      <c r="R288" s="64" t="s">
        <v>301</v>
      </c>
      <c r="S288">
        <f t="shared" si="81"/>
        <v>0</v>
      </c>
      <c r="T288" s="64" t="s">
        <v>301</v>
      </c>
      <c r="U288">
        <f t="shared" si="72"/>
        <v>0</v>
      </c>
      <c r="V288">
        <f t="shared" si="77"/>
        <v>0.1632</v>
      </c>
      <c r="W288" t="str">
        <f t="shared" si="78"/>
        <v/>
      </c>
      <c r="X288" t="str">
        <f t="shared" si="79"/>
        <v/>
      </c>
      <c r="Z288" s="65" t="str">
        <f t="shared" si="82"/>
        <v>0.0218,0,0</v>
      </c>
      <c r="AA288" s="8">
        <v>0.0218</v>
      </c>
      <c r="AB288" t="str">
        <f t="shared" si="67"/>
        <v>0.1632</v>
      </c>
      <c r="AF288" s="38" t="s">
        <v>59</v>
      </c>
    </row>
    <row r="289" ht="16.25" spans="1:32">
      <c r="A289" s="31">
        <v>304</v>
      </c>
      <c r="B289" s="95">
        <v>250403</v>
      </c>
      <c r="C289" s="68">
        <v>4</v>
      </c>
      <c r="D289" s="81">
        <v>14.57</v>
      </c>
      <c r="E289" s="81"/>
      <c r="F289" s="81"/>
      <c r="G289" s="82"/>
      <c r="H289" s="68">
        <v>4</v>
      </c>
      <c r="I289" s="82"/>
      <c r="J289" s="82"/>
      <c r="K289" s="84">
        <f t="shared" si="73"/>
        <v>29.14</v>
      </c>
      <c r="L289" s="84" t="str">
        <f t="shared" si="74"/>
        <v/>
      </c>
      <c r="M289" s="84" t="str">
        <f t="shared" si="75"/>
        <v/>
      </c>
      <c r="N289" s="84" t="str">
        <f t="shared" si="76"/>
        <v/>
      </c>
      <c r="P289">
        <f t="shared" si="83"/>
        <v>150403</v>
      </c>
      <c r="Q289">
        <f t="shared" si="84"/>
        <v>11.656</v>
      </c>
      <c r="R289" s="64" t="s">
        <v>301</v>
      </c>
      <c r="S289">
        <f t="shared" si="81"/>
        <v>0</v>
      </c>
      <c r="T289" s="64" t="s">
        <v>301</v>
      </c>
      <c r="U289">
        <f t="shared" si="72"/>
        <v>0</v>
      </c>
      <c r="V289">
        <f t="shared" si="77"/>
        <v>30</v>
      </c>
      <c r="W289" t="str">
        <f t="shared" si="78"/>
        <v/>
      </c>
      <c r="X289" t="str">
        <f t="shared" si="79"/>
        <v/>
      </c>
      <c r="Z289" s="65" t="str">
        <f t="shared" si="82"/>
        <v>11.656,0,0</v>
      </c>
      <c r="AA289" s="8">
        <v>11.656</v>
      </c>
      <c r="AB289" t="str">
        <f t="shared" si="67"/>
        <v>30</v>
      </c>
      <c r="AF289" s="38"/>
    </row>
    <row r="290" ht="16.25" spans="1:32">
      <c r="A290" s="31">
        <v>304</v>
      </c>
      <c r="B290" s="95">
        <v>250503</v>
      </c>
      <c r="C290" s="68">
        <v>6</v>
      </c>
      <c r="D290" s="81">
        <v>0.009</v>
      </c>
      <c r="E290" s="81"/>
      <c r="F290" s="81"/>
      <c r="G290" s="82"/>
      <c r="H290" s="68">
        <v>6</v>
      </c>
      <c r="I290" s="82"/>
      <c r="J290" s="82"/>
      <c r="K290" s="84">
        <f t="shared" si="73"/>
        <v>0.054</v>
      </c>
      <c r="L290" s="84" t="str">
        <f t="shared" si="74"/>
        <v/>
      </c>
      <c r="M290" s="84" t="str">
        <f t="shared" si="75"/>
        <v/>
      </c>
      <c r="N290" s="84" t="str">
        <f t="shared" si="76"/>
        <v/>
      </c>
      <c r="P290">
        <f t="shared" si="83"/>
        <v>150503</v>
      </c>
      <c r="Q290">
        <f t="shared" si="84"/>
        <v>0.0072</v>
      </c>
      <c r="R290" s="64" t="s">
        <v>301</v>
      </c>
      <c r="S290">
        <f t="shared" si="81"/>
        <v>0</v>
      </c>
      <c r="T290" s="64" t="s">
        <v>301</v>
      </c>
      <c r="U290">
        <f t="shared" si="72"/>
        <v>0</v>
      </c>
      <c r="V290">
        <f t="shared" si="77"/>
        <v>0.054</v>
      </c>
      <c r="W290" t="str">
        <f t="shared" si="78"/>
        <v/>
      </c>
      <c r="X290" t="str">
        <f t="shared" si="79"/>
        <v/>
      </c>
      <c r="Z290" s="65" t="str">
        <f t="shared" si="82"/>
        <v>0.0072,0,0</v>
      </c>
      <c r="AA290" s="8">
        <v>0.0072</v>
      </c>
      <c r="AB290" t="str">
        <f t="shared" si="67"/>
        <v>0.054</v>
      </c>
      <c r="AF290" s="38" t="s">
        <v>63</v>
      </c>
    </row>
    <row r="291" ht="16.25" spans="1:32">
      <c r="A291" s="31">
        <v>304</v>
      </c>
      <c r="B291" s="95">
        <v>250503</v>
      </c>
      <c r="C291" s="68">
        <v>4</v>
      </c>
      <c r="D291" s="81">
        <v>14.57</v>
      </c>
      <c r="E291" s="81"/>
      <c r="F291" s="81"/>
      <c r="G291" s="82"/>
      <c r="H291" s="68">
        <v>4</v>
      </c>
      <c r="I291" s="82"/>
      <c r="J291" s="82"/>
      <c r="K291" s="84">
        <f t="shared" si="73"/>
        <v>29.14</v>
      </c>
      <c r="L291" s="84" t="str">
        <f t="shared" si="74"/>
        <v/>
      </c>
      <c r="M291" s="84" t="str">
        <f t="shared" si="75"/>
        <v/>
      </c>
      <c r="N291" s="84" t="str">
        <f t="shared" si="76"/>
        <v/>
      </c>
      <c r="P291">
        <f t="shared" si="83"/>
        <v>150503</v>
      </c>
      <c r="Q291">
        <f t="shared" si="84"/>
        <v>11.656</v>
      </c>
      <c r="R291" s="64" t="s">
        <v>301</v>
      </c>
      <c r="S291">
        <f t="shared" si="81"/>
        <v>0</v>
      </c>
      <c r="T291" s="64" t="s">
        <v>301</v>
      </c>
      <c r="U291">
        <f t="shared" si="72"/>
        <v>0</v>
      </c>
      <c r="V291">
        <f t="shared" si="77"/>
        <v>30</v>
      </c>
      <c r="W291" t="str">
        <f t="shared" si="78"/>
        <v/>
      </c>
      <c r="X291" t="str">
        <f t="shared" si="79"/>
        <v/>
      </c>
      <c r="Z291" s="65" t="str">
        <f t="shared" si="82"/>
        <v>11.656,0,0</v>
      </c>
      <c r="AA291" s="8">
        <v>11.656</v>
      </c>
      <c r="AB291" t="str">
        <f t="shared" ref="AB291:AB354" si="85">_xlfn.TEXTJOIN(",",TRUE,V291,W291,X291)</f>
        <v>30</v>
      </c>
      <c r="AF291" s="38"/>
    </row>
    <row r="292" ht="16.25" spans="1:32">
      <c r="A292" s="31">
        <v>304</v>
      </c>
      <c r="B292" s="95">
        <v>250503</v>
      </c>
      <c r="C292" s="68">
        <v>9</v>
      </c>
      <c r="D292" s="81">
        <v>0.0343</v>
      </c>
      <c r="E292" s="81"/>
      <c r="F292" s="81"/>
      <c r="G292" s="82"/>
      <c r="H292" s="68">
        <v>9</v>
      </c>
      <c r="I292" s="82"/>
      <c r="J292" s="82"/>
      <c r="K292" s="84">
        <f t="shared" si="73"/>
        <v>0.2058</v>
      </c>
      <c r="L292" s="84" t="str">
        <f t="shared" si="74"/>
        <v/>
      </c>
      <c r="M292" s="84" t="str">
        <f t="shared" si="75"/>
        <v/>
      </c>
      <c r="N292" s="84" t="str">
        <f t="shared" si="76"/>
        <v/>
      </c>
      <c r="P292">
        <f t="shared" si="83"/>
        <v>150503</v>
      </c>
      <c r="Q292">
        <f t="shared" si="84"/>
        <v>0.0274</v>
      </c>
      <c r="R292" s="64" t="s">
        <v>301</v>
      </c>
      <c r="S292">
        <f t="shared" si="81"/>
        <v>0</v>
      </c>
      <c r="T292" s="64" t="s">
        <v>301</v>
      </c>
      <c r="U292">
        <f t="shared" si="72"/>
        <v>0</v>
      </c>
      <c r="V292">
        <f t="shared" si="77"/>
        <v>0.2058</v>
      </c>
      <c r="W292" t="str">
        <f t="shared" si="78"/>
        <v/>
      </c>
      <c r="X292" t="str">
        <f t="shared" si="79"/>
        <v/>
      </c>
      <c r="Z292" s="65" t="str">
        <f t="shared" si="82"/>
        <v>0.0274,0,0</v>
      </c>
      <c r="AA292" s="8">
        <v>0.0274</v>
      </c>
      <c r="AB292" t="str">
        <f t="shared" si="85"/>
        <v>0.2058</v>
      </c>
      <c r="AF292" s="38"/>
    </row>
    <row r="293" ht="16.25" spans="1:32">
      <c r="A293" s="31">
        <v>304</v>
      </c>
      <c r="B293" s="95">
        <v>250603</v>
      </c>
      <c r="C293" s="68">
        <v>6</v>
      </c>
      <c r="D293" s="81">
        <v>0.0358</v>
      </c>
      <c r="E293" s="81"/>
      <c r="F293" s="81"/>
      <c r="G293" s="82"/>
      <c r="H293" s="68">
        <v>6</v>
      </c>
      <c r="I293" s="82"/>
      <c r="J293" s="82"/>
      <c r="K293" s="84">
        <f t="shared" si="73"/>
        <v>0.2148</v>
      </c>
      <c r="L293" s="84" t="str">
        <f t="shared" si="74"/>
        <v/>
      </c>
      <c r="M293" s="84" t="str">
        <f t="shared" si="75"/>
        <v/>
      </c>
      <c r="N293" s="84" t="str">
        <f t="shared" si="76"/>
        <v/>
      </c>
      <c r="P293">
        <f t="shared" si="83"/>
        <v>150603</v>
      </c>
      <c r="Q293">
        <f t="shared" si="84"/>
        <v>0.0286</v>
      </c>
      <c r="R293" s="64" t="s">
        <v>301</v>
      </c>
      <c r="S293">
        <f t="shared" si="81"/>
        <v>0</v>
      </c>
      <c r="T293" s="64" t="s">
        <v>301</v>
      </c>
      <c r="U293">
        <f t="shared" si="72"/>
        <v>0</v>
      </c>
      <c r="V293">
        <f t="shared" si="77"/>
        <v>0.2148</v>
      </c>
      <c r="W293" t="str">
        <f t="shared" si="78"/>
        <v/>
      </c>
      <c r="X293" t="str">
        <f t="shared" si="79"/>
        <v/>
      </c>
      <c r="Z293" s="65" t="str">
        <f t="shared" si="82"/>
        <v>0.0286,0,0</v>
      </c>
      <c r="AA293" s="8">
        <v>0.0286</v>
      </c>
      <c r="AB293" t="str">
        <f t="shared" si="85"/>
        <v>0.2148</v>
      </c>
      <c r="AF293" s="38" t="s">
        <v>67</v>
      </c>
    </row>
    <row r="294" ht="16.25" spans="1:32">
      <c r="A294" s="31">
        <v>304</v>
      </c>
      <c r="B294" s="95">
        <v>250603</v>
      </c>
      <c r="C294" s="68">
        <v>4</v>
      </c>
      <c r="D294" s="81">
        <v>14.57</v>
      </c>
      <c r="E294" s="81"/>
      <c r="F294" s="81"/>
      <c r="G294" s="82"/>
      <c r="H294" s="68">
        <v>4</v>
      </c>
      <c r="I294" s="82"/>
      <c r="J294" s="82"/>
      <c r="K294" s="84">
        <f t="shared" si="73"/>
        <v>29.14</v>
      </c>
      <c r="L294" s="84" t="str">
        <f t="shared" si="74"/>
        <v/>
      </c>
      <c r="M294" s="84" t="str">
        <f t="shared" si="75"/>
        <v/>
      </c>
      <c r="N294" s="84" t="str">
        <f t="shared" si="76"/>
        <v/>
      </c>
      <c r="P294">
        <f t="shared" si="83"/>
        <v>150603</v>
      </c>
      <c r="Q294">
        <f t="shared" si="84"/>
        <v>11.656</v>
      </c>
      <c r="R294" s="64" t="s">
        <v>301</v>
      </c>
      <c r="S294">
        <f t="shared" si="81"/>
        <v>0</v>
      </c>
      <c r="T294" s="64" t="s">
        <v>301</v>
      </c>
      <c r="U294">
        <f t="shared" si="72"/>
        <v>0</v>
      </c>
      <c r="V294">
        <f t="shared" si="77"/>
        <v>30</v>
      </c>
      <c r="W294" t="str">
        <f t="shared" si="78"/>
        <v/>
      </c>
      <c r="X294" t="str">
        <f t="shared" si="79"/>
        <v/>
      </c>
      <c r="Z294" s="65" t="str">
        <f t="shared" si="82"/>
        <v>11.656,0,0</v>
      </c>
      <c r="AA294" s="8">
        <v>11.656</v>
      </c>
      <c r="AB294" t="str">
        <f t="shared" si="85"/>
        <v>30</v>
      </c>
      <c r="AF294" s="38"/>
    </row>
    <row r="295" ht="16.25" spans="1:32">
      <c r="A295" s="31">
        <v>304</v>
      </c>
      <c r="B295" s="95">
        <v>250603</v>
      </c>
      <c r="C295" s="68">
        <v>9</v>
      </c>
      <c r="D295" s="81">
        <v>0.0686</v>
      </c>
      <c r="E295" s="81"/>
      <c r="F295" s="81"/>
      <c r="G295" s="82"/>
      <c r="H295" s="68">
        <v>9</v>
      </c>
      <c r="I295" s="82"/>
      <c r="J295" s="82"/>
      <c r="K295" s="84">
        <f t="shared" si="73"/>
        <v>0.4116</v>
      </c>
      <c r="L295" s="84" t="str">
        <f t="shared" si="74"/>
        <v/>
      </c>
      <c r="M295" s="84" t="str">
        <f t="shared" si="75"/>
        <v/>
      </c>
      <c r="N295" s="84" t="str">
        <f t="shared" si="76"/>
        <v/>
      </c>
      <c r="P295">
        <f t="shared" si="83"/>
        <v>150603</v>
      </c>
      <c r="Q295">
        <f t="shared" si="84"/>
        <v>0.0549</v>
      </c>
      <c r="R295" s="64" t="s">
        <v>301</v>
      </c>
      <c r="S295">
        <f t="shared" si="81"/>
        <v>0</v>
      </c>
      <c r="T295" s="64" t="s">
        <v>301</v>
      </c>
      <c r="U295">
        <f t="shared" si="72"/>
        <v>0</v>
      </c>
      <c r="V295">
        <f t="shared" si="77"/>
        <v>0.4116</v>
      </c>
      <c r="W295" t="str">
        <f t="shared" si="78"/>
        <v/>
      </c>
      <c r="X295" t="str">
        <f t="shared" si="79"/>
        <v/>
      </c>
      <c r="Z295" s="65" t="str">
        <f t="shared" si="82"/>
        <v>0.0549,0,0</v>
      </c>
      <c r="AA295" s="8">
        <v>0.0549</v>
      </c>
      <c r="AB295" t="str">
        <f t="shared" si="85"/>
        <v>0.4116</v>
      </c>
      <c r="AF295" s="38"/>
    </row>
    <row r="296" ht="16.25" spans="1:32">
      <c r="A296" s="31">
        <v>304</v>
      </c>
      <c r="B296" s="95">
        <v>250703</v>
      </c>
      <c r="C296" s="68">
        <v>6</v>
      </c>
      <c r="D296" s="81">
        <v>0.0054</v>
      </c>
      <c r="E296" s="81"/>
      <c r="F296" s="81"/>
      <c r="G296" s="82"/>
      <c r="H296" s="68">
        <v>6</v>
      </c>
      <c r="I296" s="82"/>
      <c r="J296" s="82"/>
      <c r="K296" s="84">
        <f t="shared" si="73"/>
        <v>0.0324</v>
      </c>
      <c r="L296" s="84" t="str">
        <f t="shared" si="74"/>
        <v/>
      </c>
      <c r="M296" s="84" t="str">
        <f t="shared" si="75"/>
        <v/>
      </c>
      <c r="N296" s="84" t="str">
        <f t="shared" si="76"/>
        <v/>
      </c>
      <c r="P296">
        <f t="shared" si="83"/>
        <v>150703</v>
      </c>
      <c r="Q296">
        <f t="shared" si="84"/>
        <v>0.0043</v>
      </c>
      <c r="R296" s="64" t="s">
        <v>301</v>
      </c>
      <c r="S296">
        <f t="shared" si="81"/>
        <v>0</v>
      </c>
      <c r="T296" s="64" t="s">
        <v>301</v>
      </c>
      <c r="U296">
        <f t="shared" si="72"/>
        <v>0</v>
      </c>
      <c r="V296">
        <f t="shared" si="77"/>
        <v>0.0324</v>
      </c>
      <c r="W296" t="str">
        <f t="shared" si="78"/>
        <v/>
      </c>
      <c r="X296" t="str">
        <f t="shared" si="79"/>
        <v/>
      </c>
      <c r="Z296" s="65" t="str">
        <f t="shared" si="82"/>
        <v>0.0043,0,0</v>
      </c>
      <c r="AA296" s="8">
        <v>0.0043</v>
      </c>
      <c r="AB296" t="str">
        <f t="shared" si="85"/>
        <v>0.0324</v>
      </c>
      <c r="AF296" s="38" t="s">
        <v>71</v>
      </c>
    </row>
    <row r="297" ht="16.25" spans="1:32">
      <c r="A297" s="31">
        <v>304</v>
      </c>
      <c r="B297" s="95">
        <v>250703</v>
      </c>
      <c r="C297" s="68">
        <v>4</v>
      </c>
      <c r="D297" s="81">
        <v>14.57</v>
      </c>
      <c r="E297" s="81"/>
      <c r="F297" s="81"/>
      <c r="G297" s="82"/>
      <c r="H297" s="68">
        <v>4</v>
      </c>
      <c r="I297" s="82"/>
      <c r="J297" s="82"/>
      <c r="K297" s="84">
        <f t="shared" si="73"/>
        <v>29.14</v>
      </c>
      <c r="L297" s="84" t="str">
        <f t="shared" si="74"/>
        <v/>
      </c>
      <c r="M297" s="84" t="str">
        <f t="shared" si="75"/>
        <v/>
      </c>
      <c r="N297" s="84" t="str">
        <f t="shared" si="76"/>
        <v/>
      </c>
      <c r="P297">
        <f t="shared" si="83"/>
        <v>150703</v>
      </c>
      <c r="Q297">
        <f t="shared" si="84"/>
        <v>11.656</v>
      </c>
      <c r="R297" s="64" t="s">
        <v>301</v>
      </c>
      <c r="S297">
        <f t="shared" si="81"/>
        <v>0</v>
      </c>
      <c r="T297" s="64" t="s">
        <v>301</v>
      </c>
      <c r="U297">
        <f t="shared" si="72"/>
        <v>0</v>
      </c>
      <c r="V297">
        <f t="shared" si="77"/>
        <v>30</v>
      </c>
      <c r="W297" t="str">
        <f t="shared" si="78"/>
        <v/>
      </c>
      <c r="X297" t="str">
        <f t="shared" si="79"/>
        <v/>
      </c>
      <c r="Z297" s="65" t="str">
        <f t="shared" si="82"/>
        <v>11.656,0,0</v>
      </c>
      <c r="AA297" s="8">
        <v>11.656</v>
      </c>
      <c r="AB297" t="str">
        <f t="shared" si="85"/>
        <v>30</v>
      </c>
      <c r="AF297" s="38"/>
    </row>
    <row r="298" ht="17" spans="1:32">
      <c r="A298" s="31">
        <v>304</v>
      </c>
      <c r="B298" s="95">
        <v>250703</v>
      </c>
      <c r="C298" s="68">
        <v>9</v>
      </c>
      <c r="D298" s="81">
        <v>0.0343</v>
      </c>
      <c r="E298" s="81"/>
      <c r="F298" s="81"/>
      <c r="G298" s="82"/>
      <c r="H298" s="68">
        <v>9</v>
      </c>
      <c r="I298" s="82"/>
      <c r="J298" s="82"/>
      <c r="K298" s="84">
        <f t="shared" si="73"/>
        <v>0.2058</v>
      </c>
      <c r="L298" s="84" t="str">
        <f t="shared" si="74"/>
        <v/>
      </c>
      <c r="M298" s="84" t="str">
        <f t="shared" si="75"/>
        <v/>
      </c>
      <c r="N298" s="84" t="str">
        <f t="shared" si="76"/>
        <v/>
      </c>
      <c r="P298">
        <f t="shared" si="83"/>
        <v>150703</v>
      </c>
      <c r="Q298">
        <f t="shared" si="84"/>
        <v>0.0274</v>
      </c>
      <c r="R298" s="64" t="s">
        <v>301</v>
      </c>
      <c r="S298">
        <f t="shared" si="81"/>
        <v>0</v>
      </c>
      <c r="T298" s="64" t="s">
        <v>301</v>
      </c>
      <c r="U298">
        <f t="shared" si="72"/>
        <v>0</v>
      </c>
      <c r="V298">
        <f t="shared" si="77"/>
        <v>0.2058</v>
      </c>
      <c r="W298" t="str">
        <f t="shared" si="78"/>
        <v/>
      </c>
      <c r="X298" t="str">
        <f t="shared" si="79"/>
        <v/>
      </c>
      <c r="Z298" s="65" t="str">
        <f t="shared" si="82"/>
        <v>0.0274,0,0</v>
      </c>
      <c r="AA298" s="8">
        <v>0.0274</v>
      </c>
      <c r="AB298" t="str">
        <f t="shared" si="85"/>
        <v>0.2058</v>
      </c>
      <c r="AF298" s="38"/>
    </row>
    <row r="299" ht="16.25" spans="1:32">
      <c r="A299" s="31">
        <v>304</v>
      </c>
      <c r="B299" s="95">
        <v>250803</v>
      </c>
      <c r="C299" s="68">
        <v>6</v>
      </c>
      <c r="D299" s="89">
        <v>0.0287</v>
      </c>
      <c r="E299" s="89"/>
      <c r="F299" s="89"/>
      <c r="G299" s="82"/>
      <c r="H299" s="68">
        <v>6</v>
      </c>
      <c r="I299" s="82"/>
      <c r="J299" s="82"/>
      <c r="K299" s="84">
        <f t="shared" si="73"/>
        <v>0.1722</v>
      </c>
      <c r="L299" s="84" t="str">
        <f t="shared" si="74"/>
        <v/>
      </c>
      <c r="M299" s="84" t="str">
        <f t="shared" si="75"/>
        <v/>
      </c>
      <c r="N299" s="84" t="str">
        <f t="shared" si="76"/>
        <v/>
      </c>
      <c r="P299">
        <f t="shared" ref="P299:P326" si="86">B299-100000</f>
        <v>150803</v>
      </c>
      <c r="Q299">
        <f t="shared" si="84"/>
        <v>0.023</v>
      </c>
      <c r="R299" s="64" t="s">
        <v>301</v>
      </c>
      <c r="S299">
        <f t="shared" si="81"/>
        <v>0</v>
      </c>
      <c r="T299" s="64" t="s">
        <v>301</v>
      </c>
      <c r="U299">
        <f t="shared" si="72"/>
        <v>0</v>
      </c>
      <c r="V299">
        <f t="shared" si="77"/>
        <v>0.1722</v>
      </c>
      <c r="W299" t="str">
        <f t="shared" si="78"/>
        <v/>
      </c>
      <c r="X299" t="str">
        <f t="shared" si="79"/>
        <v/>
      </c>
      <c r="Z299" s="65" t="str">
        <f t="shared" si="82"/>
        <v>0.023,0,0</v>
      </c>
      <c r="AA299" s="8">
        <v>0.023</v>
      </c>
      <c r="AB299" t="str">
        <f t="shared" si="85"/>
        <v>0.1722</v>
      </c>
      <c r="AF299" s="38" t="s">
        <v>75</v>
      </c>
    </row>
    <row r="300" ht="16.25" spans="1:32">
      <c r="A300" s="31">
        <v>304</v>
      </c>
      <c r="B300" s="95">
        <v>250803</v>
      </c>
      <c r="C300" s="68">
        <v>4</v>
      </c>
      <c r="D300" s="90">
        <v>7.29</v>
      </c>
      <c r="E300" s="90"/>
      <c r="F300" s="90"/>
      <c r="G300" s="82"/>
      <c r="H300" s="68">
        <v>4</v>
      </c>
      <c r="I300" s="82"/>
      <c r="J300" s="82"/>
      <c r="K300" s="84">
        <f t="shared" si="73"/>
        <v>14.58</v>
      </c>
      <c r="L300" s="84" t="str">
        <f t="shared" si="74"/>
        <v/>
      </c>
      <c r="M300" s="84" t="str">
        <f t="shared" si="75"/>
        <v/>
      </c>
      <c r="N300" s="84" t="str">
        <f t="shared" si="76"/>
        <v/>
      </c>
      <c r="P300">
        <f t="shared" si="86"/>
        <v>150803</v>
      </c>
      <c r="Q300">
        <f t="shared" si="84"/>
        <v>5.832</v>
      </c>
      <c r="R300" s="64" t="s">
        <v>301</v>
      </c>
      <c r="S300">
        <f t="shared" si="81"/>
        <v>0</v>
      </c>
      <c r="T300" s="64" t="s">
        <v>301</v>
      </c>
      <c r="U300">
        <f t="shared" si="72"/>
        <v>0</v>
      </c>
      <c r="V300">
        <f t="shared" si="77"/>
        <v>15</v>
      </c>
      <c r="W300" t="str">
        <f t="shared" si="78"/>
        <v/>
      </c>
      <c r="X300" t="str">
        <f t="shared" si="79"/>
        <v/>
      </c>
      <c r="Z300" s="65" t="str">
        <f t="shared" si="82"/>
        <v>5.832,0,0</v>
      </c>
      <c r="AA300" s="8">
        <v>5.832</v>
      </c>
      <c r="AB300" t="str">
        <f t="shared" si="85"/>
        <v>15</v>
      </c>
      <c r="AF300" s="38"/>
    </row>
    <row r="301" ht="17" spans="1:32">
      <c r="A301" s="31">
        <v>304</v>
      </c>
      <c r="B301" s="95">
        <v>250803</v>
      </c>
      <c r="C301" s="68">
        <v>9</v>
      </c>
      <c r="D301" s="91">
        <v>0.0274</v>
      </c>
      <c r="E301" s="91"/>
      <c r="F301" s="91"/>
      <c r="G301" s="82"/>
      <c r="H301" s="68">
        <v>9</v>
      </c>
      <c r="I301" s="82"/>
      <c r="J301" s="82"/>
      <c r="K301" s="84">
        <f t="shared" si="73"/>
        <v>0.1644</v>
      </c>
      <c r="L301" s="84" t="str">
        <f t="shared" si="74"/>
        <v/>
      </c>
      <c r="M301" s="84" t="str">
        <f t="shared" si="75"/>
        <v/>
      </c>
      <c r="N301" s="84" t="str">
        <f t="shared" si="76"/>
        <v/>
      </c>
      <c r="P301">
        <f t="shared" si="86"/>
        <v>150803</v>
      </c>
      <c r="Q301">
        <f t="shared" si="84"/>
        <v>0.0219</v>
      </c>
      <c r="R301" s="64" t="s">
        <v>301</v>
      </c>
      <c r="S301">
        <f t="shared" si="81"/>
        <v>0</v>
      </c>
      <c r="T301" s="64" t="s">
        <v>301</v>
      </c>
      <c r="U301">
        <f t="shared" si="72"/>
        <v>0</v>
      </c>
      <c r="V301">
        <f t="shared" si="77"/>
        <v>0.1644</v>
      </c>
      <c r="W301" t="str">
        <f t="shared" si="78"/>
        <v/>
      </c>
      <c r="X301" t="str">
        <f t="shared" si="79"/>
        <v/>
      </c>
      <c r="Z301" s="65" t="str">
        <f t="shared" si="82"/>
        <v>0.0219,0,0</v>
      </c>
      <c r="AA301" s="8">
        <v>0.0219</v>
      </c>
      <c r="AB301" t="str">
        <f t="shared" si="85"/>
        <v>0.1644</v>
      </c>
      <c r="AF301" s="38"/>
    </row>
    <row r="302" ht="16.25" spans="1:32">
      <c r="A302" s="31">
        <v>304</v>
      </c>
      <c r="B302" s="95">
        <v>250903</v>
      </c>
      <c r="C302" s="68">
        <v>6</v>
      </c>
      <c r="D302" s="89">
        <v>0.0286</v>
      </c>
      <c r="E302" s="89"/>
      <c r="F302" s="89"/>
      <c r="G302" s="82"/>
      <c r="H302" s="68">
        <v>6</v>
      </c>
      <c r="I302" s="82"/>
      <c r="J302" s="82"/>
      <c r="K302" s="84">
        <f t="shared" si="73"/>
        <v>0.1716</v>
      </c>
      <c r="L302" s="84" t="str">
        <f t="shared" si="74"/>
        <v/>
      </c>
      <c r="M302" s="84" t="str">
        <f t="shared" si="75"/>
        <v/>
      </c>
      <c r="N302" s="84" t="str">
        <f t="shared" si="76"/>
        <v/>
      </c>
      <c r="P302">
        <f t="shared" si="86"/>
        <v>150903</v>
      </c>
      <c r="Q302">
        <f t="shared" si="84"/>
        <v>0.0229</v>
      </c>
      <c r="R302" s="64" t="s">
        <v>301</v>
      </c>
      <c r="S302">
        <f t="shared" si="81"/>
        <v>0</v>
      </c>
      <c r="T302" s="64" t="s">
        <v>301</v>
      </c>
      <c r="U302">
        <f t="shared" si="72"/>
        <v>0</v>
      </c>
      <c r="V302">
        <f t="shared" si="77"/>
        <v>0.1716</v>
      </c>
      <c r="W302" t="str">
        <f t="shared" si="78"/>
        <v/>
      </c>
      <c r="X302" t="str">
        <f t="shared" si="79"/>
        <v/>
      </c>
      <c r="Z302" s="65" t="str">
        <f t="shared" ref="Z302:Z339" si="87">Q302&amp;R302&amp;S302&amp;T302&amp;U302</f>
        <v>0.0229,0,0</v>
      </c>
      <c r="AA302" s="8">
        <v>0.0229</v>
      </c>
      <c r="AB302" t="str">
        <f t="shared" si="85"/>
        <v>0.1716</v>
      </c>
      <c r="AF302" s="38" t="s">
        <v>79</v>
      </c>
    </row>
    <row r="303" ht="16.25" spans="1:32">
      <c r="A303" s="31">
        <v>304</v>
      </c>
      <c r="B303" s="95">
        <v>250903</v>
      </c>
      <c r="C303" s="68">
        <v>9</v>
      </c>
      <c r="D303" s="90">
        <v>0.0343</v>
      </c>
      <c r="E303" s="90"/>
      <c r="F303" s="90"/>
      <c r="G303" s="82"/>
      <c r="H303" s="68">
        <v>9</v>
      </c>
      <c r="I303" s="82"/>
      <c r="J303" s="82"/>
      <c r="K303" s="84">
        <f t="shared" si="73"/>
        <v>0.2058</v>
      </c>
      <c r="L303" s="84" t="str">
        <f t="shared" si="74"/>
        <v/>
      </c>
      <c r="M303" s="84" t="str">
        <f t="shared" si="75"/>
        <v/>
      </c>
      <c r="N303" s="84" t="str">
        <f t="shared" si="76"/>
        <v/>
      </c>
      <c r="P303">
        <f t="shared" si="86"/>
        <v>150903</v>
      </c>
      <c r="Q303">
        <f t="shared" si="84"/>
        <v>0.0274</v>
      </c>
      <c r="R303" s="64" t="s">
        <v>301</v>
      </c>
      <c r="S303">
        <f t="shared" si="81"/>
        <v>0</v>
      </c>
      <c r="T303" s="64" t="s">
        <v>301</v>
      </c>
      <c r="U303">
        <f t="shared" si="72"/>
        <v>0</v>
      </c>
      <c r="V303">
        <f t="shared" si="77"/>
        <v>0.2058</v>
      </c>
      <c r="W303" t="str">
        <f t="shared" si="78"/>
        <v/>
      </c>
      <c r="X303" t="str">
        <f t="shared" si="79"/>
        <v/>
      </c>
      <c r="Z303" s="65" t="str">
        <f t="shared" si="87"/>
        <v>0.0274,0,0</v>
      </c>
      <c r="AA303" s="8">
        <v>0.0274</v>
      </c>
      <c r="AB303" t="str">
        <f t="shared" si="85"/>
        <v>0.2058</v>
      </c>
      <c r="AF303" s="38"/>
    </row>
    <row r="304" ht="16.25" spans="1:32">
      <c r="A304" s="31">
        <v>304</v>
      </c>
      <c r="B304" s="95">
        <v>250903</v>
      </c>
      <c r="C304" s="68">
        <v>11</v>
      </c>
      <c r="D304" s="90">
        <v>0.0039</v>
      </c>
      <c r="E304" s="90"/>
      <c r="F304" s="90"/>
      <c r="G304" s="82"/>
      <c r="H304" s="68">
        <v>11</v>
      </c>
      <c r="I304" s="82"/>
      <c r="J304" s="82"/>
      <c r="K304" s="84">
        <f t="shared" si="73"/>
        <v>0.0234</v>
      </c>
      <c r="L304" s="84" t="str">
        <f t="shared" si="74"/>
        <v/>
      </c>
      <c r="M304" s="84" t="str">
        <f t="shared" si="75"/>
        <v/>
      </c>
      <c r="N304" s="84" t="str">
        <f t="shared" si="76"/>
        <v/>
      </c>
      <c r="P304">
        <f t="shared" si="86"/>
        <v>150903</v>
      </c>
      <c r="Q304">
        <f t="shared" si="84"/>
        <v>0.0031</v>
      </c>
      <c r="R304" s="64" t="s">
        <v>301</v>
      </c>
      <c r="S304">
        <f t="shared" si="81"/>
        <v>0</v>
      </c>
      <c r="T304" s="64" t="s">
        <v>301</v>
      </c>
      <c r="U304">
        <f t="shared" si="72"/>
        <v>0</v>
      </c>
      <c r="V304">
        <f t="shared" si="77"/>
        <v>0.0234</v>
      </c>
      <c r="W304" t="str">
        <f t="shared" si="78"/>
        <v/>
      </c>
      <c r="X304" t="str">
        <f t="shared" si="79"/>
        <v/>
      </c>
      <c r="Z304" s="65" t="str">
        <f t="shared" si="87"/>
        <v>0.0031,0,0</v>
      </c>
      <c r="AA304" s="8">
        <v>0.0031</v>
      </c>
      <c r="AB304" t="str">
        <f t="shared" si="85"/>
        <v>0.0234</v>
      </c>
      <c r="AF304" s="38"/>
    </row>
    <row r="305" ht="17" spans="1:32">
      <c r="A305" s="31">
        <v>304</v>
      </c>
      <c r="B305" s="95">
        <v>250903</v>
      </c>
      <c r="C305" s="68">
        <v>4</v>
      </c>
      <c r="D305" s="91">
        <v>7.29</v>
      </c>
      <c r="E305" s="91"/>
      <c r="F305" s="91"/>
      <c r="G305" s="82"/>
      <c r="H305" s="68">
        <v>4</v>
      </c>
      <c r="I305" s="82"/>
      <c r="J305" s="82"/>
      <c r="K305" s="84">
        <f t="shared" si="73"/>
        <v>14.58</v>
      </c>
      <c r="L305" s="84" t="str">
        <f t="shared" si="74"/>
        <v/>
      </c>
      <c r="M305" s="84" t="str">
        <f t="shared" si="75"/>
        <v/>
      </c>
      <c r="N305" s="84" t="str">
        <f t="shared" si="76"/>
        <v/>
      </c>
      <c r="P305">
        <f t="shared" si="86"/>
        <v>150903</v>
      </c>
      <c r="Q305">
        <f t="shared" si="84"/>
        <v>5.832</v>
      </c>
      <c r="R305" s="64" t="s">
        <v>301</v>
      </c>
      <c r="S305">
        <f>ROUND(E305*$Q$1,4)</f>
        <v>0</v>
      </c>
      <c r="T305" s="64" t="s">
        <v>301</v>
      </c>
      <c r="U305">
        <f t="shared" si="72"/>
        <v>0</v>
      </c>
      <c r="V305">
        <f t="shared" si="77"/>
        <v>15</v>
      </c>
      <c r="W305" t="str">
        <f t="shared" si="78"/>
        <v/>
      </c>
      <c r="X305" t="str">
        <f t="shared" si="79"/>
        <v/>
      </c>
      <c r="Z305" s="65" t="str">
        <f t="shared" si="87"/>
        <v>5.832,0,0</v>
      </c>
      <c r="AA305" s="8">
        <v>5.832</v>
      </c>
      <c r="AB305" t="str">
        <f t="shared" si="85"/>
        <v>15</v>
      </c>
      <c r="AF305" s="38"/>
    </row>
    <row r="306" ht="16.25" spans="1:32">
      <c r="A306" s="31">
        <v>304</v>
      </c>
      <c r="B306" s="92">
        <v>260103</v>
      </c>
      <c r="C306" s="68">
        <v>7</v>
      </c>
      <c r="D306" s="81">
        <v>0.0171</v>
      </c>
      <c r="E306" s="81"/>
      <c r="F306" s="81"/>
      <c r="G306" s="82"/>
      <c r="H306" s="68">
        <v>7</v>
      </c>
      <c r="I306" s="82"/>
      <c r="J306" s="82"/>
      <c r="K306" s="84">
        <f t="shared" si="73"/>
        <v>0.1026</v>
      </c>
      <c r="L306" s="84" t="str">
        <f t="shared" si="74"/>
        <v/>
      </c>
      <c r="M306" s="84" t="str">
        <f t="shared" si="75"/>
        <v/>
      </c>
      <c r="N306" s="84" t="str">
        <f t="shared" si="76"/>
        <v/>
      </c>
      <c r="P306">
        <f t="shared" si="86"/>
        <v>160103</v>
      </c>
      <c r="Q306">
        <f t="shared" si="84"/>
        <v>0.0137</v>
      </c>
      <c r="R306" s="64" t="s">
        <v>301</v>
      </c>
      <c r="S306">
        <f>ROUND(E306*$Q$1,4)</f>
        <v>0</v>
      </c>
      <c r="T306" s="64" t="s">
        <v>301</v>
      </c>
      <c r="U306">
        <f t="shared" si="72"/>
        <v>0</v>
      </c>
      <c r="V306">
        <f t="shared" si="77"/>
        <v>0.1026</v>
      </c>
      <c r="W306" t="str">
        <f t="shared" si="78"/>
        <v/>
      </c>
      <c r="X306" t="str">
        <f t="shared" si="79"/>
        <v/>
      </c>
      <c r="Z306" s="65" t="str">
        <f t="shared" si="87"/>
        <v>0.0137,0,0</v>
      </c>
      <c r="AA306" s="8">
        <v>0.0137</v>
      </c>
      <c r="AB306" t="str">
        <f t="shared" si="85"/>
        <v>0.1026</v>
      </c>
      <c r="AF306" s="37" t="s">
        <v>83</v>
      </c>
    </row>
    <row r="307" ht="16.25" spans="1:32">
      <c r="A307" s="31">
        <v>304</v>
      </c>
      <c r="B307" s="92">
        <v>260103</v>
      </c>
      <c r="C307" s="68">
        <v>4</v>
      </c>
      <c r="D307" s="81">
        <v>24.29</v>
      </c>
      <c r="E307" s="81"/>
      <c r="F307" s="81"/>
      <c r="G307" s="82"/>
      <c r="H307" s="68">
        <v>4</v>
      </c>
      <c r="I307" s="82"/>
      <c r="J307" s="82"/>
      <c r="K307" s="84">
        <f t="shared" si="73"/>
        <v>48.58</v>
      </c>
      <c r="L307" s="84" t="str">
        <f t="shared" si="74"/>
        <v/>
      </c>
      <c r="M307" s="84" t="str">
        <f t="shared" si="75"/>
        <v/>
      </c>
      <c r="N307" s="84" t="str">
        <f t="shared" si="76"/>
        <v/>
      </c>
      <c r="P307">
        <f t="shared" si="86"/>
        <v>160103</v>
      </c>
      <c r="Q307">
        <f t="shared" si="84"/>
        <v>19.432</v>
      </c>
      <c r="R307" s="64" t="s">
        <v>301</v>
      </c>
      <c r="S307">
        <f>ROUND(E307*$Q$1,4)</f>
        <v>0</v>
      </c>
      <c r="T307" s="64" t="s">
        <v>301</v>
      </c>
      <c r="U307">
        <f t="shared" si="72"/>
        <v>0</v>
      </c>
      <c r="V307">
        <f t="shared" si="77"/>
        <v>50</v>
      </c>
      <c r="W307" t="str">
        <f t="shared" si="78"/>
        <v/>
      </c>
      <c r="X307" t="str">
        <f t="shared" si="79"/>
        <v/>
      </c>
      <c r="Z307" s="65" t="str">
        <f t="shared" si="87"/>
        <v>19.432,0,0</v>
      </c>
      <c r="AA307" s="8">
        <v>19.432</v>
      </c>
      <c r="AB307" t="str">
        <f t="shared" si="85"/>
        <v>50</v>
      </c>
      <c r="AF307" s="37"/>
    </row>
    <row r="308" ht="16.25" spans="1:32">
      <c r="A308" s="31">
        <v>304</v>
      </c>
      <c r="B308" s="92">
        <v>260203</v>
      </c>
      <c r="C308" s="68">
        <v>7</v>
      </c>
      <c r="D308" s="81">
        <v>0.0341</v>
      </c>
      <c r="E308" s="81"/>
      <c r="F308" s="81"/>
      <c r="G308" s="82"/>
      <c r="H308" s="68">
        <v>7</v>
      </c>
      <c r="I308" s="82"/>
      <c r="J308" s="82"/>
      <c r="K308" s="84">
        <f t="shared" si="73"/>
        <v>0.2046</v>
      </c>
      <c r="L308" s="84" t="str">
        <f t="shared" si="74"/>
        <v/>
      </c>
      <c r="M308" s="84" t="str">
        <f t="shared" si="75"/>
        <v/>
      </c>
      <c r="N308" s="84" t="str">
        <f t="shared" si="76"/>
        <v/>
      </c>
      <c r="P308">
        <f t="shared" si="86"/>
        <v>160203</v>
      </c>
      <c r="Q308">
        <f t="shared" si="84"/>
        <v>0.0273</v>
      </c>
      <c r="R308" s="64" t="s">
        <v>301</v>
      </c>
      <c r="S308">
        <f>ROUND(E308*$Q$1,4)</f>
        <v>0</v>
      </c>
      <c r="T308" s="64" t="s">
        <v>301</v>
      </c>
      <c r="U308">
        <f t="shared" si="72"/>
        <v>0</v>
      </c>
      <c r="V308">
        <f t="shared" si="77"/>
        <v>0.2046</v>
      </c>
      <c r="W308" t="str">
        <f t="shared" si="78"/>
        <v/>
      </c>
      <c r="X308" t="str">
        <f t="shared" si="79"/>
        <v/>
      </c>
      <c r="Z308" s="65" t="str">
        <f t="shared" si="87"/>
        <v>0.0273,0,0</v>
      </c>
      <c r="AA308" s="8">
        <v>0.0273</v>
      </c>
      <c r="AB308" t="str">
        <f t="shared" si="85"/>
        <v>0.2046</v>
      </c>
      <c r="AF308" s="37" t="s">
        <v>87</v>
      </c>
    </row>
    <row r="309" ht="16.25" spans="1:32">
      <c r="A309" s="31">
        <v>304</v>
      </c>
      <c r="B309" s="92">
        <v>260203</v>
      </c>
      <c r="C309" s="68">
        <v>4</v>
      </c>
      <c r="D309" s="81">
        <v>24.29</v>
      </c>
      <c r="E309" s="81"/>
      <c r="F309" s="81"/>
      <c r="G309" s="82"/>
      <c r="H309" s="68">
        <v>4</v>
      </c>
      <c r="I309" s="82"/>
      <c r="J309" s="82"/>
      <c r="K309" s="84">
        <f t="shared" si="73"/>
        <v>48.58</v>
      </c>
      <c r="L309" s="84" t="str">
        <f t="shared" si="74"/>
        <v/>
      </c>
      <c r="M309" s="84" t="str">
        <f t="shared" si="75"/>
        <v/>
      </c>
      <c r="N309" s="84" t="str">
        <f t="shared" si="76"/>
        <v/>
      </c>
      <c r="P309">
        <f t="shared" si="86"/>
        <v>160203</v>
      </c>
      <c r="Q309">
        <f t="shared" si="84"/>
        <v>19.432</v>
      </c>
      <c r="R309" s="64" t="s">
        <v>301</v>
      </c>
      <c r="S309">
        <f>ROUND(E309*$Q$1,4)</f>
        <v>0</v>
      </c>
      <c r="T309" s="64" t="s">
        <v>301</v>
      </c>
      <c r="U309">
        <f t="shared" si="72"/>
        <v>0</v>
      </c>
      <c r="V309">
        <f t="shared" si="77"/>
        <v>50</v>
      </c>
      <c r="W309" t="str">
        <f t="shared" si="78"/>
        <v/>
      </c>
      <c r="X309" t="str">
        <f t="shared" si="79"/>
        <v/>
      </c>
      <c r="Z309" s="65" t="str">
        <f t="shared" si="87"/>
        <v>19.432,0,0</v>
      </c>
      <c r="AA309" s="8">
        <v>19.432</v>
      </c>
      <c r="AB309" t="str">
        <f t="shared" si="85"/>
        <v>50</v>
      </c>
      <c r="AF309" s="37"/>
    </row>
    <row r="310" ht="16.25" spans="1:32">
      <c r="A310" s="31">
        <v>304</v>
      </c>
      <c r="B310" s="92">
        <v>260303</v>
      </c>
      <c r="C310" s="68">
        <v>11</v>
      </c>
      <c r="D310" s="81">
        <v>0.0324</v>
      </c>
      <c r="E310" s="81"/>
      <c r="F310" s="81"/>
      <c r="G310" s="82"/>
      <c r="H310" s="68">
        <v>11</v>
      </c>
      <c r="I310" s="82"/>
      <c r="J310" s="82"/>
      <c r="K310" s="84">
        <f t="shared" si="73"/>
        <v>0.1944</v>
      </c>
      <c r="L310" s="84" t="str">
        <f t="shared" si="74"/>
        <v/>
      </c>
      <c r="M310" s="84" t="str">
        <f t="shared" si="75"/>
        <v/>
      </c>
      <c r="N310" s="84" t="str">
        <f t="shared" si="76"/>
        <v/>
      </c>
      <c r="P310">
        <f t="shared" si="86"/>
        <v>160303</v>
      </c>
      <c r="Q310">
        <f t="shared" si="84"/>
        <v>0.0259</v>
      </c>
      <c r="R310" s="64" t="s">
        <v>301</v>
      </c>
      <c r="S310">
        <f>ROUND(E310*$Q$1,4)</f>
        <v>0</v>
      </c>
      <c r="T310" s="64" t="s">
        <v>301</v>
      </c>
      <c r="U310">
        <f t="shared" si="72"/>
        <v>0</v>
      </c>
      <c r="V310">
        <f t="shared" si="77"/>
        <v>0.1944</v>
      </c>
      <c r="W310" t="str">
        <f t="shared" si="78"/>
        <v/>
      </c>
      <c r="X310" t="str">
        <f t="shared" si="79"/>
        <v/>
      </c>
      <c r="Z310" s="65" t="str">
        <f t="shared" si="87"/>
        <v>0.0259,0,0</v>
      </c>
      <c r="AA310" s="8">
        <v>0.0259</v>
      </c>
      <c r="AB310" t="str">
        <f t="shared" si="85"/>
        <v>0.1944</v>
      </c>
      <c r="AF310" s="37" t="s">
        <v>91</v>
      </c>
    </row>
    <row r="311" ht="16.25" spans="1:32">
      <c r="A311" s="31">
        <v>304</v>
      </c>
      <c r="B311" s="92">
        <v>260303</v>
      </c>
      <c r="C311" s="68">
        <v>4</v>
      </c>
      <c r="D311" s="81">
        <v>24.29</v>
      </c>
      <c r="E311" s="81"/>
      <c r="F311" s="81"/>
      <c r="G311" s="82"/>
      <c r="H311" s="68">
        <v>4</v>
      </c>
      <c r="I311" s="82"/>
      <c r="J311" s="82"/>
      <c r="K311" s="84">
        <f t="shared" si="73"/>
        <v>48.58</v>
      </c>
      <c r="L311" s="84" t="str">
        <f t="shared" si="74"/>
        <v/>
      </c>
      <c r="M311" s="84" t="str">
        <f t="shared" si="75"/>
        <v/>
      </c>
      <c r="N311" s="84" t="str">
        <f t="shared" si="76"/>
        <v/>
      </c>
      <c r="P311">
        <f t="shared" si="86"/>
        <v>160303</v>
      </c>
      <c r="Q311">
        <f t="shared" si="84"/>
        <v>19.432</v>
      </c>
      <c r="R311" s="64" t="s">
        <v>301</v>
      </c>
      <c r="S311">
        <f>ROUND(E311*$Q$1,4)</f>
        <v>0</v>
      </c>
      <c r="T311" s="64" t="s">
        <v>301</v>
      </c>
      <c r="U311">
        <f t="shared" ref="U311:U374" si="88">ROUND(F311*$Q$1,4)</f>
        <v>0</v>
      </c>
      <c r="V311">
        <f t="shared" si="77"/>
        <v>50</v>
      </c>
      <c r="W311" t="str">
        <f t="shared" si="78"/>
        <v/>
      </c>
      <c r="X311" t="str">
        <f t="shared" si="79"/>
        <v/>
      </c>
      <c r="Z311" s="65" t="str">
        <f t="shared" si="87"/>
        <v>19.432,0,0</v>
      </c>
      <c r="AA311" s="8">
        <v>19.432</v>
      </c>
      <c r="AB311" t="str">
        <f t="shared" si="85"/>
        <v>50</v>
      </c>
      <c r="AF311" s="37"/>
    </row>
    <row r="312" ht="16.25" spans="1:32">
      <c r="A312" s="31">
        <v>304</v>
      </c>
      <c r="B312" s="92">
        <v>260403</v>
      </c>
      <c r="C312" s="68">
        <v>11</v>
      </c>
      <c r="D312" s="81">
        <v>0.0454</v>
      </c>
      <c r="E312" s="81"/>
      <c r="F312" s="81"/>
      <c r="G312" s="82"/>
      <c r="H312" s="68">
        <v>11</v>
      </c>
      <c r="I312" s="82"/>
      <c r="J312" s="82"/>
      <c r="K312" s="84">
        <f t="shared" si="73"/>
        <v>0.2724</v>
      </c>
      <c r="L312" s="84" t="str">
        <f t="shared" si="74"/>
        <v/>
      </c>
      <c r="M312" s="84" t="str">
        <f t="shared" si="75"/>
        <v/>
      </c>
      <c r="N312" s="84" t="str">
        <f t="shared" si="76"/>
        <v/>
      </c>
      <c r="P312">
        <f t="shared" si="86"/>
        <v>160403</v>
      </c>
      <c r="Q312">
        <f t="shared" si="84"/>
        <v>0.0363</v>
      </c>
      <c r="R312" s="64" t="s">
        <v>301</v>
      </c>
      <c r="S312">
        <f>ROUND(E312*$Q$1,4)</f>
        <v>0</v>
      </c>
      <c r="T312" s="64" t="s">
        <v>301</v>
      </c>
      <c r="U312">
        <f t="shared" si="88"/>
        <v>0</v>
      </c>
      <c r="V312">
        <f t="shared" si="77"/>
        <v>0.2724</v>
      </c>
      <c r="W312" t="str">
        <f t="shared" si="78"/>
        <v/>
      </c>
      <c r="X312" t="str">
        <f t="shared" si="79"/>
        <v/>
      </c>
      <c r="Z312" s="65" t="str">
        <f t="shared" si="87"/>
        <v>0.0363,0,0</v>
      </c>
      <c r="AA312" s="8">
        <v>0.0363</v>
      </c>
      <c r="AB312" t="str">
        <f t="shared" si="85"/>
        <v>0.2724</v>
      </c>
      <c r="AF312" s="37" t="s">
        <v>95</v>
      </c>
    </row>
    <row r="313" ht="16.25" spans="1:32">
      <c r="A313" s="31">
        <v>304</v>
      </c>
      <c r="B313" s="92">
        <v>260403</v>
      </c>
      <c r="C313" s="68">
        <v>4</v>
      </c>
      <c r="D313" s="81">
        <v>24.29</v>
      </c>
      <c r="E313" s="81"/>
      <c r="F313" s="81"/>
      <c r="G313" s="82"/>
      <c r="H313" s="68">
        <v>4</v>
      </c>
      <c r="I313" s="82"/>
      <c r="J313" s="82"/>
      <c r="K313" s="84">
        <f t="shared" si="73"/>
        <v>48.58</v>
      </c>
      <c r="L313" s="84" t="str">
        <f t="shared" si="74"/>
        <v/>
      </c>
      <c r="M313" s="84" t="str">
        <f t="shared" si="75"/>
        <v/>
      </c>
      <c r="N313" s="84" t="str">
        <f t="shared" si="76"/>
        <v/>
      </c>
      <c r="P313">
        <f t="shared" si="86"/>
        <v>160403</v>
      </c>
      <c r="Q313">
        <f t="shared" si="84"/>
        <v>19.432</v>
      </c>
      <c r="R313" s="64" t="s">
        <v>301</v>
      </c>
      <c r="S313">
        <f>ROUND(E313*$Q$1,4)</f>
        <v>0</v>
      </c>
      <c r="T313" s="64" t="s">
        <v>301</v>
      </c>
      <c r="U313">
        <f t="shared" si="88"/>
        <v>0</v>
      </c>
      <c r="V313">
        <f t="shared" si="77"/>
        <v>50</v>
      </c>
      <c r="W313" t="str">
        <f t="shared" si="78"/>
        <v/>
      </c>
      <c r="X313" t="str">
        <f t="shared" si="79"/>
        <v/>
      </c>
      <c r="Z313" s="65" t="str">
        <f t="shared" si="87"/>
        <v>19.432,0,0</v>
      </c>
      <c r="AA313" s="8">
        <v>19.432</v>
      </c>
      <c r="AB313" t="str">
        <f t="shared" si="85"/>
        <v>50</v>
      </c>
      <c r="AF313" s="37"/>
    </row>
    <row r="314" ht="16.25" spans="1:32">
      <c r="A314" s="31">
        <v>304</v>
      </c>
      <c r="B314" s="92">
        <v>260503</v>
      </c>
      <c r="C314" s="68">
        <v>6</v>
      </c>
      <c r="D314" s="81">
        <v>0.0149</v>
      </c>
      <c r="E314" s="81"/>
      <c r="F314" s="81"/>
      <c r="G314" s="82"/>
      <c r="H314" s="68">
        <v>6</v>
      </c>
      <c r="I314" s="82"/>
      <c r="J314" s="82"/>
      <c r="K314" s="84">
        <f t="shared" si="73"/>
        <v>0.0894</v>
      </c>
      <c r="L314" s="84" t="str">
        <f t="shared" si="74"/>
        <v/>
      </c>
      <c r="M314" s="84" t="str">
        <f t="shared" si="75"/>
        <v/>
      </c>
      <c r="N314" s="84" t="str">
        <f t="shared" si="76"/>
        <v/>
      </c>
      <c r="P314">
        <f t="shared" si="86"/>
        <v>160503</v>
      </c>
      <c r="Q314">
        <f t="shared" si="84"/>
        <v>0.0119</v>
      </c>
      <c r="R314" s="64" t="s">
        <v>301</v>
      </c>
      <c r="S314">
        <f>ROUND(E314*$Q$1,4)</f>
        <v>0</v>
      </c>
      <c r="T314" s="64" t="s">
        <v>301</v>
      </c>
      <c r="U314">
        <f t="shared" si="88"/>
        <v>0</v>
      </c>
      <c r="V314">
        <f t="shared" si="77"/>
        <v>0.0894</v>
      </c>
      <c r="W314" t="str">
        <f t="shared" si="78"/>
        <v/>
      </c>
      <c r="X314" t="str">
        <f t="shared" si="79"/>
        <v/>
      </c>
      <c r="Z314" s="65" t="str">
        <f t="shared" si="87"/>
        <v>0.0119,0,0</v>
      </c>
      <c r="AA314" s="8">
        <v>0.0119</v>
      </c>
      <c r="AB314" t="str">
        <f t="shared" si="85"/>
        <v>0.0894</v>
      </c>
      <c r="AF314" s="37" t="s">
        <v>99</v>
      </c>
    </row>
    <row r="315" ht="16.25" spans="1:32">
      <c r="A315" s="31">
        <v>304</v>
      </c>
      <c r="B315" s="92">
        <v>260503</v>
      </c>
      <c r="C315" s="68">
        <v>4</v>
      </c>
      <c r="D315" s="81">
        <v>24.29</v>
      </c>
      <c r="E315" s="81"/>
      <c r="F315" s="81"/>
      <c r="G315" s="82"/>
      <c r="H315" s="68">
        <v>4</v>
      </c>
      <c r="I315" s="82"/>
      <c r="J315" s="82"/>
      <c r="K315" s="84">
        <f t="shared" si="73"/>
        <v>48.58</v>
      </c>
      <c r="L315" s="84" t="str">
        <f t="shared" si="74"/>
        <v/>
      </c>
      <c r="M315" s="84" t="str">
        <f t="shared" si="75"/>
        <v/>
      </c>
      <c r="N315" s="84" t="str">
        <f t="shared" si="76"/>
        <v/>
      </c>
      <c r="P315">
        <f t="shared" si="86"/>
        <v>160503</v>
      </c>
      <c r="Q315">
        <f t="shared" si="84"/>
        <v>19.432</v>
      </c>
      <c r="R315" s="64" t="s">
        <v>301</v>
      </c>
      <c r="S315">
        <f>ROUND(E315*$Q$1,4)</f>
        <v>0</v>
      </c>
      <c r="T315" s="64" t="s">
        <v>301</v>
      </c>
      <c r="U315">
        <f t="shared" si="88"/>
        <v>0</v>
      </c>
      <c r="V315">
        <f t="shared" si="77"/>
        <v>50</v>
      </c>
      <c r="W315" t="str">
        <f t="shared" si="78"/>
        <v/>
      </c>
      <c r="X315" t="str">
        <f t="shared" si="79"/>
        <v/>
      </c>
      <c r="Z315" s="65" t="str">
        <f t="shared" si="87"/>
        <v>19.432,0,0</v>
      </c>
      <c r="AA315" s="8">
        <v>19.432</v>
      </c>
      <c r="AB315" t="str">
        <f t="shared" si="85"/>
        <v>50</v>
      </c>
      <c r="AF315" s="37"/>
    </row>
    <row r="316" ht="16.25" spans="1:32">
      <c r="A316" s="31">
        <v>304</v>
      </c>
      <c r="B316" s="92">
        <v>260503</v>
      </c>
      <c r="C316" s="68">
        <v>9</v>
      </c>
      <c r="D316" s="81">
        <v>0.0571</v>
      </c>
      <c r="E316" s="81"/>
      <c r="F316" s="81"/>
      <c r="G316" s="82"/>
      <c r="H316" s="68">
        <v>9</v>
      </c>
      <c r="I316" s="82"/>
      <c r="J316" s="82"/>
      <c r="K316" s="84">
        <f t="shared" si="73"/>
        <v>0.3426</v>
      </c>
      <c r="L316" s="84" t="str">
        <f t="shared" si="74"/>
        <v/>
      </c>
      <c r="M316" s="84" t="str">
        <f t="shared" si="75"/>
        <v/>
      </c>
      <c r="N316" s="84" t="str">
        <f t="shared" si="76"/>
        <v/>
      </c>
      <c r="P316">
        <f t="shared" si="86"/>
        <v>160503</v>
      </c>
      <c r="Q316">
        <f t="shared" si="84"/>
        <v>0.0457</v>
      </c>
      <c r="R316" s="64" t="s">
        <v>301</v>
      </c>
      <c r="S316">
        <f>ROUND(E316*$Q$1,4)</f>
        <v>0</v>
      </c>
      <c r="T316" s="64" t="s">
        <v>301</v>
      </c>
      <c r="U316">
        <f t="shared" si="88"/>
        <v>0</v>
      </c>
      <c r="V316">
        <f t="shared" si="77"/>
        <v>0.3426</v>
      </c>
      <c r="W316" t="str">
        <f t="shared" si="78"/>
        <v/>
      </c>
      <c r="X316" t="str">
        <f t="shared" si="79"/>
        <v/>
      </c>
      <c r="Z316" s="65" t="str">
        <f t="shared" si="87"/>
        <v>0.0457,0,0</v>
      </c>
      <c r="AA316" s="8">
        <v>0.0457</v>
      </c>
      <c r="AB316" t="str">
        <f t="shared" si="85"/>
        <v>0.3426</v>
      </c>
      <c r="AF316" s="37"/>
    </row>
    <row r="317" ht="16.25" spans="1:32">
      <c r="A317" s="31">
        <v>304</v>
      </c>
      <c r="B317" s="92">
        <v>260603</v>
      </c>
      <c r="C317" s="68">
        <v>6</v>
      </c>
      <c r="D317" s="81">
        <v>0.0597</v>
      </c>
      <c r="E317" s="81"/>
      <c r="F317" s="81"/>
      <c r="G317" s="82"/>
      <c r="H317" s="68">
        <v>6</v>
      </c>
      <c r="I317" s="82"/>
      <c r="J317" s="82"/>
      <c r="K317" s="84">
        <f t="shared" si="73"/>
        <v>0.3582</v>
      </c>
      <c r="L317" s="84" t="str">
        <f t="shared" si="74"/>
        <v/>
      </c>
      <c r="M317" s="84" t="str">
        <f t="shared" si="75"/>
        <v/>
      </c>
      <c r="N317" s="84" t="str">
        <f t="shared" si="76"/>
        <v/>
      </c>
      <c r="P317">
        <f t="shared" si="86"/>
        <v>160603</v>
      </c>
      <c r="Q317">
        <f t="shared" si="84"/>
        <v>0.0478</v>
      </c>
      <c r="R317" s="64" t="s">
        <v>301</v>
      </c>
      <c r="S317">
        <f>ROUND(E317*$Q$1,4)</f>
        <v>0</v>
      </c>
      <c r="T317" s="64" t="s">
        <v>301</v>
      </c>
      <c r="U317">
        <f t="shared" si="88"/>
        <v>0</v>
      </c>
      <c r="V317">
        <f t="shared" si="77"/>
        <v>0.3582</v>
      </c>
      <c r="W317" t="str">
        <f t="shared" si="78"/>
        <v/>
      </c>
      <c r="X317" t="str">
        <f t="shared" si="79"/>
        <v/>
      </c>
      <c r="Z317" s="65" t="str">
        <f t="shared" si="87"/>
        <v>0.0478,0,0</v>
      </c>
      <c r="AA317" s="8">
        <v>0.0478</v>
      </c>
      <c r="AB317" t="str">
        <f t="shared" si="85"/>
        <v>0.3582</v>
      </c>
      <c r="AF317" s="37" t="s">
        <v>103</v>
      </c>
    </row>
    <row r="318" ht="16.25" spans="1:32">
      <c r="A318" s="31">
        <v>304</v>
      </c>
      <c r="B318" s="92">
        <v>260603</v>
      </c>
      <c r="C318" s="68">
        <v>4</v>
      </c>
      <c r="D318" s="81">
        <v>24.29</v>
      </c>
      <c r="E318" s="81"/>
      <c r="F318" s="81"/>
      <c r="G318" s="82"/>
      <c r="H318" s="68">
        <v>4</v>
      </c>
      <c r="I318" s="82"/>
      <c r="J318" s="82"/>
      <c r="K318" s="84">
        <f t="shared" si="73"/>
        <v>48.58</v>
      </c>
      <c r="L318" s="84" t="str">
        <f t="shared" si="74"/>
        <v/>
      </c>
      <c r="M318" s="84" t="str">
        <f t="shared" si="75"/>
        <v/>
      </c>
      <c r="N318" s="84" t="str">
        <f t="shared" si="76"/>
        <v/>
      </c>
      <c r="P318">
        <f t="shared" si="86"/>
        <v>160603</v>
      </c>
      <c r="Q318">
        <f t="shared" si="84"/>
        <v>19.432</v>
      </c>
      <c r="R318" s="64" t="s">
        <v>301</v>
      </c>
      <c r="S318">
        <f>ROUND(E318*$Q$1,4)</f>
        <v>0</v>
      </c>
      <c r="T318" s="64" t="s">
        <v>301</v>
      </c>
      <c r="U318">
        <f t="shared" si="88"/>
        <v>0</v>
      </c>
      <c r="V318">
        <f t="shared" si="77"/>
        <v>50</v>
      </c>
      <c r="W318" t="str">
        <f t="shared" si="78"/>
        <v/>
      </c>
      <c r="X318" t="str">
        <f t="shared" si="79"/>
        <v/>
      </c>
      <c r="Z318" s="65" t="str">
        <f t="shared" si="87"/>
        <v>19.432,0,0</v>
      </c>
      <c r="AA318" s="8">
        <v>19.432</v>
      </c>
      <c r="AB318" t="str">
        <f t="shared" si="85"/>
        <v>50</v>
      </c>
      <c r="AF318" s="37"/>
    </row>
    <row r="319" ht="16.25" spans="1:32">
      <c r="A319" s="31">
        <v>304</v>
      </c>
      <c r="B319" s="92">
        <v>260603</v>
      </c>
      <c r="C319" s="68">
        <v>9</v>
      </c>
      <c r="D319" s="81">
        <v>0.1143</v>
      </c>
      <c r="E319" s="81"/>
      <c r="F319" s="81"/>
      <c r="G319" s="82"/>
      <c r="H319" s="68">
        <v>9</v>
      </c>
      <c r="I319" s="82"/>
      <c r="J319" s="82"/>
      <c r="K319" s="84">
        <f t="shared" si="73"/>
        <v>0.6858</v>
      </c>
      <c r="L319" s="84" t="str">
        <f t="shared" si="74"/>
        <v/>
      </c>
      <c r="M319" s="84" t="str">
        <f t="shared" si="75"/>
        <v/>
      </c>
      <c r="N319" s="84" t="str">
        <f t="shared" si="76"/>
        <v/>
      </c>
      <c r="P319">
        <f t="shared" si="86"/>
        <v>160603</v>
      </c>
      <c r="Q319">
        <f t="shared" si="84"/>
        <v>0.0914</v>
      </c>
      <c r="R319" s="64" t="s">
        <v>301</v>
      </c>
      <c r="S319">
        <f>ROUND(E319*$Q$1,4)</f>
        <v>0</v>
      </c>
      <c r="T319" s="64" t="s">
        <v>301</v>
      </c>
      <c r="U319">
        <f t="shared" si="88"/>
        <v>0</v>
      </c>
      <c r="V319">
        <f t="shared" si="77"/>
        <v>0.6858</v>
      </c>
      <c r="W319" t="str">
        <f t="shared" si="78"/>
        <v/>
      </c>
      <c r="X319" t="str">
        <f t="shared" si="79"/>
        <v/>
      </c>
      <c r="Z319" s="65" t="str">
        <f t="shared" si="87"/>
        <v>0.0914,0,0</v>
      </c>
      <c r="AA319" s="8">
        <v>0.0914</v>
      </c>
      <c r="AB319" t="str">
        <f t="shared" si="85"/>
        <v>0.6858</v>
      </c>
      <c r="AF319" s="37"/>
    </row>
    <row r="320" ht="16.25" spans="1:32">
      <c r="A320" s="31">
        <v>304</v>
      </c>
      <c r="B320" s="92">
        <v>260703</v>
      </c>
      <c r="C320" s="68">
        <v>6</v>
      </c>
      <c r="D320" s="81">
        <v>0.00895522388059701</v>
      </c>
      <c r="E320" s="81"/>
      <c r="F320" s="81"/>
      <c r="G320" s="82"/>
      <c r="H320" s="68">
        <v>6</v>
      </c>
      <c r="I320" s="82"/>
      <c r="J320" s="82"/>
      <c r="K320" s="84">
        <f t="shared" si="73"/>
        <v>0.0537313432835821</v>
      </c>
      <c r="L320" s="84" t="str">
        <f t="shared" si="74"/>
        <v/>
      </c>
      <c r="M320" s="84" t="str">
        <f t="shared" si="75"/>
        <v/>
      </c>
      <c r="N320" s="84" t="str">
        <f t="shared" si="76"/>
        <v/>
      </c>
      <c r="P320">
        <f t="shared" si="86"/>
        <v>160703</v>
      </c>
      <c r="Q320">
        <f t="shared" si="84"/>
        <v>0.0072</v>
      </c>
      <c r="R320" s="64" t="s">
        <v>301</v>
      </c>
      <c r="S320">
        <f>ROUND(E320*$Q$1,4)</f>
        <v>0</v>
      </c>
      <c r="T320" s="64" t="s">
        <v>301</v>
      </c>
      <c r="U320">
        <f t="shared" si="88"/>
        <v>0</v>
      </c>
      <c r="V320">
        <f t="shared" si="77"/>
        <v>0.0537</v>
      </c>
      <c r="W320" t="str">
        <f t="shared" si="78"/>
        <v/>
      </c>
      <c r="X320" t="str">
        <f t="shared" si="79"/>
        <v/>
      </c>
      <c r="Z320" s="65" t="str">
        <f t="shared" si="87"/>
        <v>0.0072,0,0</v>
      </c>
      <c r="AA320" s="8">
        <v>0.0072</v>
      </c>
      <c r="AB320" t="str">
        <f t="shared" si="85"/>
        <v>0.0537</v>
      </c>
      <c r="AF320" s="37" t="s">
        <v>107</v>
      </c>
    </row>
    <row r="321" ht="16.25" spans="1:32">
      <c r="A321" s="31">
        <v>304</v>
      </c>
      <c r="B321" s="92">
        <v>260703</v>
      </c>
      <c r="C321" s="68">
        <v>4</v>
      </c>
      <c r="D321" s="81">
        <v>24.29</v>
      </c>
      <c r="E321" s="81"/>
      <c r="F321" s="81"/>
      <c r="G321" s="82"/>
      <c r="H321" s="68">
        <v>4</v>
      </c>
      <c r="I321" s="82"/>
      <c r="J321" s="82"/>
      <c r="K321" s="84">
        <f t="shared" si="73"/>
        <v>48.58</v>
      </c>
      <c r="L321" s="84" t="str">
        <f t="shared" si="74"/>
        <v/>
      </c>
      <c r="M321" s="84" t="str">
        <f t="shared" si="75"/>
        <v/>
      </c>
      <c r="N321" s="84" t="str">
        <f t="shared" si="76"/>
        <v/>
      </c>
      <c r="P321">
        <f t="shared" si="86"/>
        <v>160703</v>
      </c>
      <c r="Q321">
        <f t="shared" si="84"/>
        <v>19.432</v>
      </c>
      <c r="R321" s="64" t="s">
        <v>301</v>
      </c>
      <c r="S321">
        <f>ROUND(E321*$Q$1,4)</f>
        <v>0</v>
      </c>
      <c r="T321" s="64" t="s">
        <v>301</v>
      </c>
      <c r="U321">
        <f t="shared" si="88"/>
        <v>0</v>
      </c>
      <c r="V321">
        <f t="shared" si="77"/>
        <v>50</v>
      </c>
      <c r="W321" t="str">
        <f t="shared" si="78"/>
        <v/>
      </c>
      <c r="X321" t="str">
        <f t="shared" si="79"/>
        <v/>
      </c>
      <c r="Z321" s="65" t="str">
        <f t="shared" si="87"/>
        <v>19.432,0,0</v>
      </c>
      <c r="AA321" s="8">
        <v>19.432</v>
      </c>
      <c r="AB321" t="str">
        <f t="shared" si="85"/>
        <v>50</v>
      </c>
      <c r="AF321" s="37"/>
    </row>
    <row r="322" ht="17" spans="1:32">
      <c r="A322" s="31">
        <v>304</v>
      </c>
      <c r="B322" s="92">
        <v>260703</v>
      </c>
      <c r="C322" s="68">
        <v>9</v>
      </c>
      <c r="D322" s="81">
        <v>0.0571</v>
      </c>
      <c r="E322" s="81"/>
      <c r="F322" s="81"/>
      <c r="G322" s="82"/>
      <c r="H322" s="68">
        <v>9</v>
      </c>
      <c r="I322" s="82"/>
      <c r="J322" s="82"/>
      <c r="K322" s="84">
        <f t="shared" ref="K322:K385" si="89">IF(D322="","",IF(OR(RIGHT($A322,1)="1",RIGHT($A322,1)="2"),D322,IF(H322=4,D322*2,D322*6)))</f>
        <v>0.3426</v>
      </c>
      <c r="L322" s="84" t="str">
        <f t="shared" ref="L322:L385" si="90">IF(E322="","",IF(OR(RIGHT($A322,1)="1",RIGHT($A322,1)="2"),E322,IF(I322=4,E322*2,E322*6)))</f>
        <v/>
      </c>
      <c r="M322" s="84" t="str">
        <f t="shared" ref="M322:M385" si="91">IF(F322="","",IF(OR(RIGHT($A322,1)="1",RIGHT($A322,1)="2"),F322,IF(J322=4,F322*2,F322*6)))</f>
        <v/>
      </c>
      <c r="N322" s="84" t="str">
        <f t="shared" ref="N322:N385" si="92">IF(G322="","",IF(OR(RIGHT($A322,1)="1",RIGHT($A322,1)="2"),G322,IF(J322=4,G322*2,G322*6)))</f>
        <v/>
      </c>
      <c r="P322">
        <f t="shared" si="86"/>
        <v>160703</v>
      </c>
      <c r="Q322">
        <f t="shared" si="84"/>
        <v>0.0457</v>
      </c>
      <c r="R322" s="64" t="s">
        <v>301</v>
      </c>
      <c r="S322">
        <f>ROUND(E322*$Q$1,4)</f>
        <v>0</v>
      </c>
      <c r="T322" s="64" t="s">
        <v>301</v>
      </c>
      <c r="U322">
        <f t="shared" si="88"/>
        <v>0</v>
      </c>
      <c r="V322">
        <f t="shared" si="77"/>
        <v>0.3426</v>
      </c>
      <c r="W322" t="str">
        <f t="shared" si="78"/>
        <v/>
      </c>
      <c r="X322" t="str">
        <f t="shared" si="79"/>
        <v/>
      </c>
      <c r="Z322" s="65" t="str">
        <f t="shared" si="87"/>
        <v>0.0457,0,0</v>
      </c>
      <c r="AA322" s="8">
        <v>0.0457</v>
      </c>
      <c r="AB322" t="str">
        <f t="shared" si="85"/>
        <v>0.3426</v>
      </c>
      <c r="AF322" s="37"/>
    </row>
    <row r="323" ht="16.25" spans="1:32">
      <c r="A323" s="31">
        <v>304</v>
      </c>
      <c r="B323" s="92">
        <v>260803</v>
      </c>
      <c r="C323" s="68">
        <v>6</v>
      </c>
      <c r="D323" s="89">
        <v>0.0478</v>
      </c>
      <c r="E323" s="89"/>
      <c r="F323" s="89"/>
      <c r="G323" s="82"/>
      <c r="H323" s="68">
        <v>6</v>
      </c>
      <c r="I323" s="82"/>
      <c r="J323" s="82"/>
      <c r="K323" s="84">
        <f t="shared" si="89"/>
        <v>0.2868</v>
      </c>
      <c r="L323" s="84" t="str">
        <f t="shared" si="90"/>
        <v/>
      </c>
      <c r="M323" s="84" t="str">
        <f t="shared" si="91"/>
        <v/>
      </c>
      <c r="N323" s="84" t="str">
        <f t="shared" si="92"/>
        <v/>
      </c>
      <c r="P323">
        <f t="shared" si="86"/>
        <v>160803</v>
      </c>
      <c r="Q323">
        <f t="shared" si="84"/>
        <v>0.0382</v>
      </c>
      <c r="R323" s="64" t="s">
        <v>301</v>
      </c>
      <c r="S323">
        <f>ROUND(E323*$Q$1,4)</f>
        <v>0</v>
      </c>
      <c r="T323" s="64" t="s">
        <v>301</v>
      </c>
      <c r="U323">
        <f t="shared" si="88"/>
        <v>0</v>
      </c>
      <c r="V323">
        <f t="shared" ref="V323:V386" si="93">IF(K323="","",IF(K323&lt;1,ROUND(K323,4),CEILING(K323,5)))</f>
        <v>0.2868</v>
      </c>
      <c r="W323" t="str">
        <f t="shared" ref="W323:W386" si="94">IF(L323="","",IF(L323&lt;1,ROUND(L323,4),CEILING(L323,5)))</f>
        <v/>
      </c>
      <c r="X323" t="str">
        <f t="shared" ref="X323:X386" si="95">IF(M323="","",IF(M323&lt;1,ROUND(M323,4),CEILING(M323,5)))</f>
        <v/>
      </c>
      <c r="Z323" s="65" t="str">
        <f t="shared" si="87"/>
        <v>0.0382,0,0</v>
      </c>
      <c r="AA323" s="8">
        <v>0.0382</v>
      </c>
      <c r="AB323" t="str">
        <f t="shared" si="85"/>
        <v>0.2868</v>
      </c>
      <c r="AF323" s="37" t="s">
        <v>111</v>
      </c>
    </row>
    <row r="324" ht="16.25" spans="1:32">
      <c r="A324" s="31">
        <v>304</v>
      </c>
      <c r="B324" s="92">
        <v>260803</v>
      </c>
      <c r="C324" s="68">
        <v>4</v>
      </c>
      <c r="D324" s="90">
        <v>12.14</v>
      </c>
      <c r="E324" s="90"/>
      <c r="F324" s="90"/>
      <c r="G324" s="82"/>
      <c r="H324" s="68">
        <v>4</v>
      </c>
      <c r="I324" s="82"/>
      <c r="J324" s="82"/>
      <c r="K324" s="84">
        <f t="shared" si="89"/>
        <v>24.28</v>
      </c>
      <c r="L324" s="84" t="str">
        <f t="shared" si="90"/>
        <v/>
      </c>
      <c r="M324" s="84" t="str">
        <f t="shared" si="91"/>
        <v/>
      </c>
      <c r="N324" s="84" t="str">
        <f t="shared" si="92"/>
        <v/>
      </c>
      <c r="P324">
        <f t="shared" si="86"/>
        <v>160803</v>
      </c>
      <c r="Q324">
        <f t="shared" si="84"/>
        <v>9.712</v>
      </c>
      <c r="R324" s="64" t="s">
        <v>301</v>
      </c>
      <c r="S324">
        <f>ROUND(E324*$Q$1,4)</f>
        <v>0</v>
      </c>
      <c r="T324" s="64" t="s">
        <v>301</v>
      </c>
      <c r="U324">
        <f t="shared" si="88"/>
        <v>0</v>
      </c>
      <c r="V324">
        <f t="shared" si="93"/>
        <v>25</v>
      </c>
      <c r="W324" t="str">
        <f t="shared" si="94"/>
        <v/>
      </c>
      <c r="X324" t="str">
        <f t="shared" si="95"/>
        <v/>
      </c>
      <c r="Z324" s="65" t="str">
        <f t="shared" si="87"/>
        <v>9.712,0,0</v>
      </c>
      <c r="AA324" s="8">
        <v>9.712</v>
      </c>
      <c r="AB324" t="str">
        <f t="shared" si="85"/>
        <v>25</v>
      </c>
      <c r="AF324" s="37"/>
    </row>
    <row r="325" ht="17" spans="1:32">
      <c r="A325" s="31">
        <v>304</v>
      </c>
      <c r="B325" s="92">
        <v>260803</v>
      </c>
      <c r="C325" s="68">
        <v>9</v>
      </c>
      <c r="D325" s="91">
        <v>0.0457</v>
      </c>
      <c r="E325" s="91"/>
      <c r="F325" s="91"/>
      <c r="G325" s="82"/>
      <c r="H325" s="68">
        <v>9</v>
      </c>
      <c r="I325" s="82"/>
      <c r="J325" s="82"/>
      <c r="K325" s="84">
        <f t="shared" si="89"/>
        <v>0.2742</v>
      </c>
      <c r="L325" s="84" t="str">
        <f t="shared" si="90"/>
        <v/>
      </c>
      <c r="M325" s="84" t="str">
        <f t="shared" si="91"/>
        <v/>
      </c>
      <c r="N325" s="84" t="str">
        <f t="shared" si="92"/>
        <v/>
      </c>
      <c r="P325">
        <f t="shared" si="86"/>
        <v>160803</v>
      </c>
      <c r="Q325">
        <f t="shared" si="84"/>
        <v>0.0366</v>
      </c>
      <c r="R325" s="64" t="s">
        <v>301</v>
      </c>
      <c r="S325">
        <f>ROUND(E325*$Q$1,4)</f>
        <v>0</v>
      </c>
      <c r="T325" s="64" t="s">
        <v>301</v>
      </c>
      <c r="U325">
        <f t="shared" si="88"/>
        <v>0</v>
      </c>
      <c r="V325">
        <f t="shared" si="93"/>
        <v>0.2742</v>
      </c>
      <c r="W325" t="str">
        <f t="shared" si="94"/>
        <v/>
      </c>
      <c r="X325" t="str">
        <f t="shared" si="95"/>
        <v/>
      </c>
      <c r="Z325" s="65" t="str">
        <f t="shared" si="87"/>
        <v>0.0366,0,0</v>
      </c>
      <c r="AA325" s="8">
        <v>0.0366</v>
      </c>
      <c r="AB325" t="str">
        <f t="shared" si="85"/>
        <v>0.2742</v>
      </c>
      <c r="AF325" s="37"/>
    </row>
    <row r="326" ht="17" spans="1:32">
      <c r="A326" s="31">
        <v>304</v>
      </c>
      <c r="B326" s="92">
        <v>260903</v>
      </c>
      <c r="C326" s="68">
        <v>6</v>
      </c>
      <c r="D326" s="89">
        <v>0.0478</v>
      </c>
      <c r="E326" s="89"/>
      <c r="F326" s="89"/>
      <c r="G326" s="82"/>
      <c r="H326" s="68">
        <v>6</v>
      </c>
      <c r="I326" s="82"/>
      <c r="J326" s="82"/>
      <c r="K326" s="84">
        <f t="shared" si="89"/>
        <v>0.2868</v>
      </c>
      <c r="L326" s="84" t="str">
        <f t="shared" si="90"/>
        <v/>
      </c>
      <c r="M326" s="84" t="str">
        <f t="shared" si="91"/>
        <v/>
      </c>
      <c r="N326" s="84" t="str">
        <f t="shared" si="92"/>
        <v/>
      </c>
      <c r="P326">
        <f t="shared" si="86"/>
        <v>160903</v>
      </c>
      <c r="Q326">
        <f t="shared" si="84"/>
        <v>0.0382</v>
      </c>
      <c r="R326" s="64" t="s">
        <v>301</v>
      </c>
      <c r="S326">
        <f>ROUND(E326*$Q$1,4)</f>
        <v>0</v>
      </c>
      <c r="T326" s="64" t="s">
        <v>301</v>
      </c>
      <c r="U326">
        <f t="shared" si="88"/>
        <v>0</v>
      </c>
      <c r="V326">
        <f t="shared" si="93"/>
        <v>0.2868</v>
      </c>
      <c r="W326" t="str">
        <f t="shared" si="94"/>
        <v/>
      </c>
      <c r="X326" t="str">
        <f t="shared" si="95"/>
        <v/>
      </c>
      <c r="Z326" s="65" t="str">
        <f t="shared" si="87"/>
        <v>0.0382,0,0</v>
      </c>
      <c r="AA326" s="8">
        <v>0.0382</v>
      </c>
      <c r="AB326" t="str">
        <f t="shared" si="85"/>
        <v>0.2868</v>
      </c>
      <c r="AF326" s="37" t="s">
        <v>115</v>
      </c>
    </row>
    <row r="327" ht="17" spans="1:32">
      <c r="A327" s="31">
        <v>304</v>
      </c>
      <c r="B327" s="92">
        <v>260903</v>
      </c>
      <c r="C327" s="68">
        <v>9</v>
      </c>
      <c r="D327" s="89">
        <v>0.0571</v>
      </c>
      <c r="E327" s="89"/>
      <c r="F327" s="89"/>
      <c r="G327" s="82"/>
      <c r="H327" s="68">
        <v>9</v>
      </c>
      <c r="I327" s="82"/>
      <c r="J327" s="82"/>
      <c r="K327" s="84">
        <f t="shared" si="89"/>
        <v>0.3426</v>
      </c>
      <c r="L327" s="84" t="str">
        <f t="shared" si="90"/>
        <v/>
      </c>
      <c r="M327" s="84" t="str">
        <f t="shared" si="91"/>
        <v/>
      </c>
      <c r="N327" s="84" t="str">
        <f t="shared" si="92"/>
        <v/>
      </c>
      <c r="P327">
        <f t="shared" ref="P327:P357" si="96">B327-100000</f>
        <v>160903</v>
      </c>
      <c r="Q327">
        <f t="shared" si="84"/>
        <v>0.0457</v>
      </c>
      <c r="R327" s="64" t="s">
        <v>301</v>
      </c>
      <c r="S327">
        <f>ROUND(E327*$Q$1,4)</f>
        <v>0</v>
      </c>
      <c r="T327" s="64" t="s">
        <v>301</v>
      </c>
      <c r="U327">
        <f t="shared" si="88"/>
        <v>0</v>
      </c>
      <c r="V327">
        <f t="shared" si="93"/>
        <v>0.3426</v>
      </c>
      <c r="W327" t="str">
        <f t="shared" si="94"/>
        <v/>
      </c>
      <c r="X327" t="str">
        <f t="shared" si="95"/>
        <v/>
      </c>
      <c r="Z327" s="65" t="str">
        <f t="shared" si="87"/>
        <v>0.0457,0,0</v>
      </c>
      <c r="AA327" s="8">
        <v>0.0457</v>
      </c>
      <c r="AB327" t="str">
        <f t="shared" si="85"/>
        <v>0.3426</v>
      </c>
      <c r="AF327" s="37"/>
    </row>
    <row r="328" ht="17" spans="1:32">
      <c r="A328" s="31">
        <v>304</v>
      </c>
      <c r="B328" s="92">
        <v>260903</v>
      </c>
      <c r="C328" s="68">
        <v>11</v>
      </c>
      <c r="D328" s="89">
        <v>0.0065</v>
      </c>
      <c r="E328" s="89"/>
      <c r="F328" s="89"/>
      <c r="G328" s="82"/>
      <c r="H328" s="68">
        <v>11</v>
      </c>
      <c r="I328" s="82"/>
      <c r="J328" s="82"/>
      <c r="K328" s="84">
        <f t="shared" si="89"/>
        <v>0.039</v>
      </c>
      <c r="L328" s="84" t="str">
        <f t="shared" si="90"/>
        <v/>
      </c>
      <c r="M328" s="84" t="str">
        <f t="shared" si="91"/>
        <v/>
      </c>
      <c r="N328" s="84" t="str">
        <f t="shared" si="92"/>
        <v/>
      </c>
      <c r="P328">
        <f t="shared" si="96"/>
        <v>160903</v>
      </c>
      <c r="Q328">
        <f t="shared" si="84"/>
        <v>0.0052</v>
      </c>
      <c r="R328" s="64" t="s">
        <v>301</v>
      </c>
      <c r="S328">
        <f>ROUND(E328*$Q$1,4)</f>
        <v>0</v>
      </c>
      <c r="T328" s="64" t="s">
        <v>301</v>
      </c>
      <c r="U328">
        <f t="shared" si="88"/>
        <v>0</v>
      </c>
      <c r="V328">
        <f t="shared" si="93"/>
        <v>0.039</v>
      </c>
      <c r="W328" t="str">
        <f t="shared" si="94"/>
        <v/>
      </c>
      <c r="X328" t="str">
        <f t="shared" si="95"/>
        <v/>
      </c>
      <c r="Z328" s="65" t="str">
        <f t="shared" si="87"/>
        <v>0.0052,0,0</v>
      </c>
      <c r="AA328" s="8">
        <v>0.0052</v>
      </c>
      <c r="AB328" t="str">
        <f t="shared" si="85"/>
        <v>0.039</v>
      </c>
      <c r="AF328" s="37"/>
    </row>
    <row r="329" ht="16.25" spans="1:32">
      <c r="A329" s="31">
        <v>304</v>
      </c>
      <c r="B329" s="92">
        <v>260903</v>
      </c>
      <c r="C329" s="68">
        <v>4</v>
      </c>
      <c r="D329" s="89">
        <v>12.14</v>
      </c>
      <c r="E329" s="89"/>
      <c r="F329" s="89"/>
      <c r="G329" s="82"/>
      <c r="H329" s="68">
        <v>4</v>
      </c>
      <c r="I329" s="82"/>
      <c r="J329" s="82"/>
      <c r="K329" s="84">
        <f t="shared" si="89"/>
        <v>24.28</v>
      </c>
      <c r="L329" s="84" t="str">
        <f t="shared" si="90"/>
        <v/>
      </c>
      <c r="M329" s="84" t="str">
        <f t="shared" si="91"/>
        <v/>
      </c>
      <c r="N329" s="84" t="str">
        <f t="shared" si="92"/>
        <v/>
      </c>
      <c r="P329">
        <f t="shared" si="96"/>
        <v>160903</v>
      </c>
      <c r="Q329">
        <f t="shared" si="84"/>
        <v>9.712</v>
      </c>
      <c r="R329" s="64" t="s">
        <v>301</v>
      </c>
      <c r="S329">
        <f>ROUND(E329*$Q$1,4)</f>
        <v>0</v>
      </c>
      <c r="T329" s="64" t="s">
        <v>301</v>
      </c>
      <c r="U329">
        <f t="shared" si="88"/>
        <v>0</v>
      </c>
      <c r="V329">
        <f t="shared" si="93"/>
        <v>25</v>
      </c>
      <c r="W329" t="str">
        <f t="shared" si="94"/>
        <v/>
      </c>
      <c r="X329" t="str">
        <f t="shared" si="95"/>
        <v/>
      </c>
      <c r="Z329" s="65" t="str">
        <f t="shared" si="87"/>
        <v>9.712,0,0</v>
      </c>
      <c r="AA329" s="8">
        <v>9.712</v>
      </c>
      <c r="AB329" t="str">
        <f t="shared" si="85"/>
        <v>25</v>
      </c>
      <c r="AF329" s="37"/>
    </row>
    <row r="330" ht="16.25" spans="1:32">
      <c r="A330" s="31">
        <v>401</v>
      </c>
      <c r="B330" s="102">
        <v>220004</v>
      </c>
      <c r="C330" s="68" t="s">
        <v>227</v>
      </c>
      <c r="D330" s="69">
        <v>7</v>
      </c>
      <c r="E330" s="69">
        <v>373</v>
      </c>
      <c r="F330" s="69"/>
      <c r="G330" s="70"/>
      <c r="H330" s="68">
        <v>3</v>
      </c>
      <c r="I330" s="70">
        <v>2</v>
      </c>
      <c r="J330" s="70"/>
      <c r="K330" s="84">
        <f t="shared" si="89"/>
        <v>7</v>
      </c>
      <c r="L330" s="84">
        <f t="shared" si="90"/>
        <v>373</v>
      </c>
      <c r="M330" s="84" t="str">
        <f t="shared" si="91"/>
        <v/>
      </c>
      <c r="N330" s="84" t="str">
        <f t="shared" si="92"/>
        <v/>
      </c>
      <c r="P330">
        <f t="shared" si="96"/>
        <v>120004</v>
      </c>
      <c r="Q330">
        <f>ROUND(D330*0.8,0)</f>
        <v>6</v>
      </c>
      <c r="R330" s="64" t="s">
        <v>301</v>
      </c>
      <c r="S330">
        <f>ROUND(E330*$Q$1,0)</f>
        <v>298</v>
      </c>
      <c r="T330" s="64" t="s">
        <v>301</v>
      </c>
      <c r="U330">
        <f t="shared" si="88"/>
        <v>0</v>
      </c>
      <c r="V330">
        <f t="shared" si="93"/>
        <v>10</v>
      </c>
      <c r="W330">
        <f t="shared" si="94"/>
        <v>375</v>
      </c>
      <c r="X330" t="str">
        <f t="shared" si="95"/>
        <v/>
      </c>
      <c r="Z330" s="65" t="str">
        <f>Q330&amp;R330&amp;S330</f>
        <v>6,298</v>
      </c>
      <c r="AA330" s="8" t="s">
        <v>274</v>
      </c>
      <c r="AB330" t="str">
        <f t="shared" si="85"/>
        <v>10,375</v>
      </c>
      <c r="AF330" s="37" t="s">
        <v>28</v>
      </c>
    </row>
    <row r="331" ht="16.25" spans="1:32">
      <c r="A331" s="31">
        <v>401</v>
      </c>
      <c r="B331" s="102">
        <v>230004</v>
      </c>
      <c r="C331" s="68" t="s">
        <v>227</v>
      </c>
      <c r="D331" s="69">
        <v>9</v>
      </c>
      <c r="E331" s="69">
        <v>480</v>
      </c>
      <c r="F331" s="69"/>
      <c r="G331" s="70"/>
      <c r="H331" s="68">
        <v>3</v>
      </c>
      <c r="I331" s="70">
        <v>2</v>
      </c>
      <c r="J331" s="70"/>
      <c r="K331" s="84">
        <f t="shared" si="89"/>
        <v>9</v>
      </c>
      <c r="L331" s="84">
        <f t="shared" si="90"/>
        <v>480</v>
      </c>
      <c r="M331" s="84" t="str">
        <f t="shared" si="91"/>
        <v/>
      </c>
      <c r="N331" s="84" t="str">
        <f t="shared" si="92"/>
        <v/>
      </c>
      <c r="P331">
        <f t="shared" si="96"/>
        <v>130004</v>
      </c>
      <c r="Q331">
        <f t="shared" ref="Q331:Q373" si="97">ROUND(D331*0.8,0)</f>
        <v>7</v>
      </c>
      <c r="R331" s="64" t="s">
        <v>301</v>
      </c>
      <c r="S331">
        <f t="shared" ref="S331:S373" si="98">ROUND(E331*$Q$1,0)</f>
        <v>384</v>
      </c>
      <c r="T331" s="64" t="s">
        <v>301</v>
      </c>
      <c r="U331">
        <f t="shared" si="88"/>
        <v>0</v>
      </c>
      <c r="V331">
        <f t="shared" si="93"/>
        <v>10</v>
      </c>
      <c r="W331">
        <f t="shared" si="94"/>
        <v>480</v>
      </c>
      <c r="X331" t="str">
        <f t="shared" si="95"/>
        <v/>
      </c>
      <c r="Z331" s="65" t="str">
        <f t="shared" ref="Z331:Z373" si="99">Q331&amp;R331&amp;S331</f>
        <v>7,384</v>
      </c>
      <c r="AA331" s="8" t="s">
        <v>275</v>
      </c>
      <c r="AB331" t="str">
        <f t="shared" si="85"/>
        <v>10,480</v>
      </c>
      <c r="AF331" s="37" t="s">
        <v>32</v>
      </c>
    </row>
    <row r="332" ht="16.25" spans="1:32">
      <c r="A332" s="31">
        <v>401</v>
      </c>
      <c r="B332" s="102">
        <v>240004</v>
      </c>
      <c r="C332" s="68" t="s">
        <v>227</v>
      </c>
      <c r="D332" s="69">
        <v>14</v>
      </c>
      <c r="E332" s="69">
        <v>746</v>
      </c>
      <c r="F332" s="69"/>
      <c r="G332" s="70"/>
      <c r="H332" s="68">
        <v>3</v>
      </c>
      <c r="I332" s="70">
        <v>2</v>
      </c>
      <c r="J332" s="70"/>
      <c r="K332" s="84">
        <f t="shared" si="89"/>
        <v>14</v>
      </c>
      <c r="L332" s="84">
        <f t="shared" si="90"/>
        <v>746</v>
      </c>
      <c r="M332" s="84" t="str">
        <f t="shared" si="91"/>
        <v/>
      </c>
      <c r="N332" s="84" t="str">
        <f t="shared" si="92"/>
        <v/>
      </c>
      <c r="P332">
        <f t="shared" si="96"/>
        <v>140004</v>
      </c>
      <c r="Q332">
        <f t="shared" si="97"/>
        <v>11</v>
      </c>
      <c r="R332" s="64" t="s">
        <v>301</v>
      </c>
      <c r="S332">
        <f t="shared" si="98"/>
        <v>597</v>
      </c>
      <c r="T332" s="64" t="s">
        <v>301</v>
      </c>
      <c r="U332">
        <f t="shared" si="88"/>
        <v>0</v>
      </c>
      <c r="V332">
        <f t="shared" si="93"/>
        <v>15</v>
      </c>
      <c r="W332">
        <f t="shared" si="94"/>
        <v>750</v>
      </c>
      <c r="X332" t="str">
        <f t="shared" si="95"/>
        <v/>
      </c>
      <c r="Z332" s="65" t="str">
        <f t="shared" si="99"/>
        <v>11,597</v>
      </c>
      <c r="AA332" s="8" t="s">
        <v>276</v>
      </c>
      <c r="AB332" t="str">
        <f t="shared" si="85"/>
        <v>15,750</v>
      </c>
      <c r="AF332" s="37" t="s">
        <v>36</v>
      </c>
    </row>
    <row r="333" ht="16.25" spans="1:32">
      <c r="A333" s="31">
        <v>401</v>
      </c>
      <c r="B333" s="102">
        <v>240104</v>
      </c>
      <c r="C333" s="68" t="s">
        <v>227</v>
      </c>
      <c r="D333" s="69">
        <v>11</v>
      </c>
      <c r="E333" s="69">
        <v>597</v>
      </c>
      <c r="F333" s="69"/>
      <c r="G333" s="70"/>
      <c r="H333" s="68">
        <v>3</v>
      </c>
      <c r="I333" s="70">
        <v>2</v>
      </c>
      <c r="J333" s="70"/>
      <c r="K333" s="84">
        <f t="shared" si="89"/>
        <v>11</v>
      </c>
      <c r="L333" s="84">
        <f t="shared" si="90"/>
        <v>597</v>
      </c>
      <c r="M333" s="84" t="str">
        <f t="shared" si="91"/>
        <v/>
      </c>
      <c r="N333" s="84" t="str">
        <f t="shared" si="92"/>
        <v/>
      </c>
      <c r="P333">
        <f t="shared" si="96"/>
        <v>140104</v>
      </c>
      <c r="Q333">
        <f t="shared" si="97"/>
        <v>9</v>
      </c>
      <c r="R333" s="64" t="s">
        <v>301</v>
      </c>
      <c r="S333">
        <f t="shared" si="98"/>
        <v>478</v>
      </c>
      <c r="T333" s="64" t="s">
        <v>301</v>
      </c>
      <c r="U333">
        <f t="shared" si="88"/>
        <v>0</v>
      </c>
      <c r="V333">
        <f t="shared" si="93"/>
        <v>15</v>
      </c>
      <c r="W333">
        <f t="shared" si="94"/>
        <v>600</v>
      </c>
      <c r="X333" t="str">
        <f t="shared" si="95"/>
        <v/>
      </c>
      <c r="Z333" s="65" t="str">
        <f t="shared" si="99"/>
        <v>9,478</v>
      </c>
      <c r="AA333" s="8" t="s">
        <v>277</v>
      </c>
      <c r="AB333" t="str">
        <f t="shared" si="85"/>
        <v>15,600</v>
      </c>
      <c r="AF333" s="37" t="s">
        <v>40</v>
      </c>
    </row>
    <row r="334" ht="16.25" spans="1:32">
      <c r="A334" s="31">
        <v>401</v>
      </c>
      <c r="B334" s="102">
        <v>240204</v>
      </c>
      <c r="C334" s="68" t="s">
        <v>227</v>
      </c>
      <c r="D334" s="69">
        <v>18</v>
      </c>
      <c r="E334" s="69">
        <v>933</v>
      </c>
      <c r="F334" s="69"/>
      <c r="G334" s="70"/>
      <c r="H334" s="68">
        <v>3</v>
      </c>
      <c r="I334" s="70">
        <v>2</v>
      </c>
      <c r="J334" s="70"/>
      <c r="K334" s="84">
        <f t="shared" si="89"/>
        <v>18</v>
      </c>
      <c r="L334" s="84">
        <f t="shared" si="90"/>
        <v>933</v>
      </c>
      <c r="M334" s="84" t="str">
        <f t="shared" si="91"/>
        <v/>
      </c>
      <c r="N334" s="84" t="str">
        <f t="shared" si="92"/>
        <v/>
      </c>
      <c r="P334">
        <f t="shared" si="96"/>
        <v>140204</v>
      </c>
      <c r="Q334">
        <f t="shared" si="97"/>
        <v>14</v>
      </c>
      <c r="R334" s="64" t="s">
        <v>301</v>
      </c>
      <c r="S334">
        <f t="shared" si="98"/>
        <v>746</v>
      </c>
      <c r="T334" s="64" t="s">
        <v>301</v>
      </c>
      <c r="U334">
        <f t="shared" si="88"/>
        <v>0</v>
      </c>
      <c r="V334">
        <f t="shared" si="93"/>
        <v>20</v>
      </c>
      <c r="W334">
        <f t="shared" si="94"/>
        <v>935</v>
      </c>
      <c r="X334" t="str">
        <f t="shared" si="95"/>
        <v/>
      </c>
      <c r="Z334" s="65" t="str">
        <f t="shared" si="99"/>
        <v>14,746</v>
      </c>
      <c r="AA334" s="8" t="s">
        <v>278</v>
      </c>
      <c r="AB334" t="str">
        <f t="shared" si="85"/>
        <v>20,935</v>
      </c>
      <c r="AF334" s="37" t="s">
        <v>44</v>
      </c>
    </row>
    <row r="335" ht="16.25" spans="1:32">
      <c r="A335" s="31">
        <v>401</v>
      </c>
      <c r="B335" s="102">
        <v>250104</v>
      </c>
      <c r="C335" s="68" t="s">
        <v>227</v>
      </c>
      <c r="D335" s="69">
        <v>30</v>
      </c>
      <c r="E335" s="69">
        <v>1600</v>
      </c>
      <c r="F335" s="69"/>
      <c r="G335" s="70"/>
      <c r="H335" s="68">
        <v>3</v>
      </c>
      <c r="I335" s="70">
        <v>2</v>
      </c>
      <c r="J335" s="70"/>
      <c r="K335" s="84">
        <f t="shared" si="89"/>
        <v>30</v>
      </c>
      <c r="L335" s="84">
        <f t="shared" si="90"/>
        <v>1600</v>
      </c>
      <c r="M335" s="84" t="str">
        <f t="shared" si="91"/>
        <v/>
      </c>
      <c r="N335" s="84" t="str">
        <f t="shared" si="92"/>
        <v/>
      </c>
      <c r="P335">
        <f t="shared" si="96"/>
        <v>150104</v>
      </c>
      <c r="Q335">
        <f t="shared" si="97"/>
        <v>24</v>
      </c>
      <c r="R335" s="64" t="s">
        <v>301</v>
      </c>
      <c r="S335">
        <f t="shared" si="98"/>
        <v>1280</v>
      </c>
      <c r="T335" s="64" t="s">
        <v>301</v>
      </c>
      <c r="U335">
        <f t="shared" si="88"/>
        <v>0</v>
      </c>
      <c r="V335">
        <f t="shared" si="93"/>
        <v>30</v>
      </c>
      <c r="W335">
        <f t="shared" si="94"/>
        <v>1600</v>
      </c>
      <c r="X335" t="str">
        <f t="shared" si="95"/>
        <v/>
      </c>
      <c r="Z335" s="65" t="str">
        <f t="shared" si="99"/>
        <v>24,1280</v>
      </c>
      <c r="AA335" s="8" t="s">
        <v>279</v>
      </c>
      <c r="AB335" t="str">
        <f t="shared" si="85"/>
        <v>30,1600</v>
      </c>
      <c r="AF335" s="37" t="s">
        <v>48</v>
      </c>
    </row>
    <row r="336" ht="16.25" spans="1:32">
      <c r="A336" s="31">
        <v>401</v>
      </c>
      <c r="B336" s="102">
        <v>250204</v>
      </c>
      <c r="C336" s="68" t="s">
        <v>227</v>
      </c>
      <c r="D336" s="69">
        <v>30</v>
      </c>
      <c r="E336" s="69">
        <v>1600</v>
      </c>
      <c r="F336" s="69"/>
      <c r="G336" s="70"/>
      <c r="H336" s="68">
        <v>3</v>
      </c>
      <c r="I336" s="70">
        <v>2</v>
      </c>
      <c r="J336" s="70"/>
      <c r="K336" s="84">
        <f t="shared" si="89"/>
        <v>30</v>
      </c>
      <c r="L336" s="84">
        <f t="shared" si="90"/>
        <v>1600</v>
      </c>
      <c r="M336" s="84" t="str">
        <f t="shared" si="91"/>
        <v/>
      </c>
      <c r="N336" s="84" t="str">
        <f t="shared" si="92"/>
        <v/>
      </c>
      <c r="P336">
        <f t="shared" si="96"/>
        <v>150204</v>
      </c>
      <c r="Q336">
        <f t="shared" si="97"/>
        <v>24</v>
      </c>
      <c r="R336" s="64" t="s">
        <v>301</v>
      </c>
      <c r="S336">
        <f t="shared" si="98"/>
        <v>1280</v>
      </c>
      <c r="T336" s="64" t="s">
        <v>301</v>
      </c>
      <c r="U336">
        <f t="shared" si="88"/>
        <v>0</v>
      </c>
      <c r="V336">
        <f t="shared" si="93"/>
        <v>30</v>
      </c>
      <c r="W336">
        <f t="shared" si="94"/>
        <v>1600</v>
      </c>
      <c r="X336" t="str">
        <f t="shared" si="95"/>
        <v/>
      </c>
      <c r="Z336" s="65" t="str">
        <f t="shared" si="99"/>
        <v>24,1280</v>
      </c>
      <c r="AA336" s="8" t="s">
        <v>279</v>
      </c>
      <c r="AB336" t="str">
        <f t="shared" si="85"/>
        <v>30,1600</v>
      </c>
      <c r="AF336" s="37" t="s">
        <v>52</v>
      </c>
    </row>
    <row r="337" ht="16.25" spans="1:32">
      <c r="A337" s="31">
        <v>401</v>
      </c>
      <c r="B337" s="102">
        <v>250304</v>
      </c>
      <c r="C337" s="68" t="s">
        <v>227</v>
      </c>
      <c r="D337" s="69">
        <v>30</v>
      </c>
      <c r="E337" s="69">
        <v>1600</v>
      </c>
      <c r="F337" s="69"/>
      <c r="G337" s="70"/>
      <c r="H337" s="68">
        <v>3</v>
      </c>
      <c r="I337" s="70">
        <v>2</v>
      </c>
      <c r="J337" s="70"/>
      <c r="K337" s="84">
        <f t="shared" si="89"/>
        <v>30</v>
      </c>
      <c r="L337" s="84">
        <f t="shared" si="90"/>
        <v>1600</v>
      </c>
      <c r="M337" s="84" t="str">
        <f t="shared" si="91"/>
        <v/>
      </c>
      <c r="N337" s="84" t="str">
        <f t="shared" si="92"/>
        <v/>
      </c>
      <c r="P337">
        <f t="shared" si="96"/>
        <v>150304</v>
      </c>
      <c r="Q337">
        <f t="shared" si="97"/>
        <v>24</v>
      </c>
      <c r="R337" s="64" t="s">
        <v>301</v>
      </c>
      <c r="S337">
        <f t="shared" si="98"/>
        <v>1280</v>
      </c>
      <c r="T337" s="64" t="s">
        <v>301</v>
      </c>
      <c r="U337">
        <f t="shared" si="88"/>
        <v>0</v>
      </c>
      <c r="V337">
        <f t="shared" si="93"/>
        <v>30</v>
      </c>
      <c r="W337">
        <f t="shared" si="94"/>
        <v>1600</v>
      </c>
      <c r="X337" t="str">
        <f t="shared" si="95"/>
        <v/>
      </c>
      <c r="Z337" s="65" t="str">
        <f t="shared" si="99"/>
        <v>24,1280</v>
      </c>
      <c r="AA337" s="8" t="s">
        <v>279</v>
      </c>
      <c r="AB337" t="str">
        <f t="shared" si="85"/>
        <v>30,1600</v>
      </c>
      <c r="AF337" s="37" t="s">
        <v>56</v>
      </c>
    </row>
    <row r="338" ht="16.25" spans="1:32">
      <c r="A338" s="31">
        <v>401</v>
      </c>
      <c r="B338" s="102">
        <v>250404</v>
      </c>
      <c r="C338" s="68" t="s">
        <v>227</v>
      </c>
      <c r="D338" s="69">
        <v>30</v>
      </c>
      <c r="E338" s="69">
        <v>1600</v>
      </c>
      <c r="F338" s="69"/>
      <c r="G338" s="70"/>
      <c r="H338" s="68">
        <v>3</v>
      </c>
      <c r="I338" s="70">
        <v>2</v>
      </c>
      <c r="J338" s="70"/>
      <c r="K338" s="84">
        <f t="shared" si="89"/>
        <v>30</v>
      </c>
      <c r="L338" s="84">
        <f t="shared" si="90"/>
        <v>1600</v>
      </c>
      <c r="M338" s="84" t="str">
        <f t="shared" si="91"/>
        <v/>
      </c>
      <c r="N338" s="84" t="str">
        <f t="shared" si="92"/>
        <v/>
      </c>
      <c r="P338">
        <f t="shared" si="96"/>
        <v>150404</v>
      </c>
      <c r="Q338">
        <f t="shared" si="97"/>
        <v>24</v>
      </c>
      <c r="R338" s="64" t="s">
        <v>301</v>
      </c>
      <c r="S338">
        <f t="shared" si="98"/>
        <v>1280</v>
      </c>
      <c r="T338" s="64" t="s">
        <v>301</v>
      </c>
      <c r="U338">
        <f t="shared" si="88"/>
        <v>0</v>
      </c>
      <c r="V338">
        <f t="shared" si="93"/>
        <v>30</v>
      </c>
      <c r="W338">
        <f t="shared" si="94"/>
        <v>1600</v>
      </c>
      <c r="X338" t="str">
        <f t="shared" si="95"/>
        <v/>
      </c>
      <c r="Z338" s="65" t="str">
        <f t="shared" si="99"/>
        <v>24,1280</v>
      </c>
      <c r="AA338" s="8" t="s">
        <v>279</v>
      </c>
      <c r="AB338" t="str">
        <f t="shared" si="85"/>
        <v>30,1600</v>
      </c>
      <c r="AF338" s="37" t="s">
        <v>60</v>
      </c>
    </row>
    <row r="339" ht="16.25" spans="1:32">
      <c r="A339" s="31">
        <v>401</v>
      </c>
      <c r="B339" s="102">
        <v>250504</v>
      </c>
      <c r="C339" s="68" t="s">
        <v>227</v>
      </c>
      <c r="D339" s="69">
        <v>30</v>
      </c>
      <c r="E339" s="69">
        <v>1600</v>
      </c>
      <c r="F339" s="69"/>
      <c r="G339" s="70"/>
      <c r="H339" s="68">
        <v>3</v>
      </c>
      <c r="I339" s="70">
        <v>2</v>
      </c>
      <c r="J339" s="70"/>
      <c r="K339" s="84">
        <f t="shared" si="89"/>
        <v>30</v>
      </c>
      <c r="L339" s="84">
        <f t="shared" si="90"/>
        <v>1600</v>
      </c>
      <c r="M339" s="84" t="str">
        <f t="shared" si="91"/>
        <v/>
      </c>
      <c r="N339" s="84" t="str">
        <f t="shared" si="92"/>
        <v/>
      </c>
      <c r="P339">
        <f t="shared" si="96"/>
        <v>150504</v>
      </c>
      <c r="Q339">
        <f t="shared" si="97"/>
        <v>24</v>
      </c>
      <c r="R339" s="64" t="s">
        <v>301</v>
      </c>
      <c r="S339">
        <f t="shared" si="98"/>
        <v>1280</v>
      </c>
      <c r="T339" s="64" t="s">
        <v>301</v>
      </c>
      <c r="U339">
        <f t="shared" si="88"/>
        <v>0</v>
      </c>
      <c r="V339">
        <f t="shared" si="93"/>
        <v>30</v>
      </c>
      <c r="W339">
        <f t="shared" si="94"/>
        <v>1600</v>
      </c>
      <c r="X339" t="str">
        <f t="shared" si="95"/>
        <v/>
      </c>
      <c r="Z339" s="65" t="str">
        <f t="shared" si="99"/>
        <v>24,1280</v>
      </c>
      <c r="AA339" s="8" t="s">
        <v>279</v>
      </c>
      <c r="AB339" t="str">
        <f t="shared" si="85"/>
        <v>30,1600</v>
      </c>
      <c r="AF339" s="37" t="s">
        <v>64</v>
      </c>
    </row>
    <row r="340" ht="16.25" spans="1:32">
      <c r="A340" s="31">
        <v>401</v>
      </c>
      <c r="B340" s="102">
        <v>250604</v>
      </c>
      <c r="C340" s="68" t="s">
        <v>227</v>
      </c>
      <c r="D340" s="69">
        <v>30</v>
      </c>
      <c r="E340" s="69">
        <v>1600</v>
      </c>
      <c r="F340" s="69"/>
      <c r="G340" s="70"/>
      <c r="H340" s="68">
        <v>3</v>
      </c>
      <c r="I340" s="70">
        <v>2</v>
      </c>
      <c r="J340" s="70"/>
      <c r="K340" s="84">
        <f t="shared" si="89"/>
        <v>30</v>
      </c>
      <c r="L340" s="84">
        <f t="shared" si="90"/>
        <v>1600</v>
      </c>
      <c r="M340" s="84" t="str">
        <f t="shared" si="91"/>
        <v/>
      </c>
      <c r="N340" s="84" t="str">
        <f t="shared" si="92"/>
        <v/>
      </c>
      <c r="P340">
        <f t="shared" si="96"/>
        <v>150604</v>
      </c>
      <c r="Q340">
        <f t="shared" si="97"/>
        <v>24</v>
      </c>
      <c r="R340" s="64" t="s">
        <v>301</v>
      </c>
      <c r="S340">
        <f t="shared" si="98"/>
        <v>1280</v>
      </c>
      <c r="T340" s="64" t="s">
        <v>301</v>
      </c>
      <c r="U340">
        <f t="shared" si="88"/>
        <v>0</v>
      </c>
      <c r="V340">
        <f t="shared" si="93"/>
        <v>30</v>
      </c>
      <c r="W340">
        <f t="shared" si="94"/>
        <v>1600</v>
      </c>
      <c r="X340" t="str">
        <f t="shared" si="95"/>
        <v/>
      </c>
      <c r="Z340" s="65" t="str">
        <f t="shared" si="99"/>
        <v>24,1280</v>
      </c>
      <c r="AA340" s="8" t="s">
        <v>279</v>
      </c>
      <c r="AB340" t="str">
        <f t="shared" si="85"/>
        <v>30,1600</v>
      </c>
      <c r="AF340" s="37" t="s">
        <v>68</v>
      </c>
    </row>
    <row r="341" ht="16.25" spans="1:32">
      <c r="A341" s="31">
        <v>401</v>
      </c>
      <c r="B341" s="102">
        <v>250704</v>
      </c>
      <c r="C341" s="68" t="s">
        <v>227</v>
      </c>
      <c r="D341" s="69">
        <v>30</v>
      </c>
      <c r="E341" s="69">
        <v>1600</v>
      </c>
      <c r="F341" s="69"/>
      <c r="G341" s="70"/>
      <c r="H341" s="68">
        <v>3</v>
      </c>
      <c r="I341" s="70">
        <v>2</v>
      </c>
      <c r="J341" s="70"/>
      <c r="K341" s="84">
        <f t="shared" si="89"/>
        <v>30</v>
      </c>
      <c r="L341" s="84">
        <f t="shared" si="90"/>
        <v>1600</v>
      </c>
      <c r="M341" s="84" t="str">
        <f t="shared" si="91"/>
        <v/>
      </c>
      <c r="N341" s="84" t="str">
        <f t="shared" si="92"/>
        <v/>
      </c>
      <c r="P341">
        <f t="shared" si="96"/>
        <v>150704</v>
      </c>
      <c r="Q341">
        <f t="shared" si="97"/>
        <v>24</v>
      </c>
      <c r="R341" s="64" t="s">
        <v>301</v>
      </c>
      <c r="S341">
        <f t="shared" si="98"/>
        <v>1280</v>
      </c>
      <c r="T341" s="64" t="s">
        <v>301</v>
      </c>
      <c r="U341">
        <f t="shared" si="88"/>
        <v>0</v>
      </c>
      <c r="V341">
        <f t="shared" si="93"/>
        <v>30</v>
      </c>
      <c r="W341">
        <f t="shared" si="94"/>
        <v>1600</v>
      </c>
      <c r="X341" t="str">
        <f t="shared" si="95"/>
        <v/>
      </c>
      <c r="Z341" s="65" t="str">
        <f t="shared" si="99"/>
        <v>24,1280</v>
      </c>
      <c r="AA341" s="8" t="s">
        <v>279</v>
      </c>
      <c r="AB341" t="str">
        <f t="shared" si="85"/>
        <v>30,1600</v>
      </c>
      <c r="AF341" s="37" t="s">
        <v>72</v>
      </c>
    </row>
    <row r="342" ht="16.25" spans="1:32">
      <c r="A342" s="31">
        <v>401</v>
      </c>
      <c r="B342" s="102">
        <v>250804</v>
      </c>
      <c r="C342" s="68" t="s">
        <v>227</v>
      </c>
      <c r="D342" s="69">
        <v>30</v>
      </c>
      <c r="E342" s="69">
        <v>1600</v>
      </c>
      <c r="F342" s="69"/>
      <c r="G342" s="70"/>
      <c r="H342" s="68">
        <v>3</v>
      </c>
      <c r="I342" s="70">
        <v>2</v>
      </c>
      <c r="J342" s="70"/>
      <c r="K342" s="84">
        <f t="shared" si="89"/>
        <v>30</v>
      </c>
      <c r="L342" s="84">
        <f t="shared" si="90"/>
        <v>1600</v>
      </c>
      <c r="M342" s="84" t="str">
        <f t="shared" si="91"/>
        <v/>
      </c>
      <c r="N342" s="84" t="str">
        <f t="shared" si="92"/>
        <v/>
      </c>
      <c r="P342">
        <f t="shared" si="96"/>
        <v>150804</v>
      </c>
      <c r="Q342">
        <f t="shared" si="97"/>
        <v>24</v>
      </c>
      <c r="R342" s="64" t="s">
        <v>301</v>
      </c>
      <c r="S342">
        <f t="shared" si="98"/>
        <v>1280</v>
      </c>
      <c r="T342" s="64" t="s">
        <v>301</v>
      </c>
      <c r="U342">
        <f t="shared" si="88"/>
        <v>0</v>
      </c>
      <c r="V342">
        <f t="shared" si="93"/>
        <v>30</v>
      </c>
      <c r="W342">
        <f t="shared" si="94"/>
        <v>1600</v>
      </c>
      <c r="X342" t="str">
        <f t="shared" si="95"/>
        <v/>
      </c>
      <c r="Z342" s="65" t="str">
        <f t="shared" si="99"/>
        <v>24,1280</v>
      </c>
      <c r="AA342" s="8" t="s">
        <v>279</v>
      </c>
      <c r="AB342" t="str">
        <f t="shared" si="85"/>
        <v>30,1600</v>
      </c>
      <c r="AF342" s="37" t="s">
        <v>76</v>
      </c>
    </row>
    <row r="343" ht="16.25" spans="1:32">
      <c r="A343" s="31">
        <v>401</v>
      </c>
      <c r="B343" s="102">
        <v>250904</v>
      </c>
      <c r="C343" s="68" t="s">
        <v>227</v>
      </c>
      <c r="D343" s="69">
        <v>30</v>
      </c>
      <c r="E343" s="69">
        <v>1600</v>
      </c>
      <c r="F343" s="69"/>
      <c r="G343" s="70"/>
      <c r="H343" s="68">
        <v>3</v>
      </c>
      <c r="I343" s="70">
        <v>2</v>
      </c>
      <c r="J343" s="70"/>
      <c r="K343" s="84">
        <f t="shared" si="89"/>
        <v>30</v>
      </c>
      <c r="L343" s="84">
        <f t="shared" si="90"/>
        <v>1600</v>
      </c>
      <c r="M343" s="84" t="str">
        <f t="shared" si="91"/>
        <v/>
      </c>
      <c r="N343" s="84" t="str">
        <f t="shared" si="92"/>
        <v/>
      </c>
      <c r="P343">
        <f t="shared" si="96"/>
        <v>150904</v>
      </c>
      <c r="Q343">
        <f t="shared" si="97"/>
        <v>24</v>
      </c>
      <c r="R343" s="64" t="s">
        <v>301</v>
      </c>
      <c r="S343">
        <f t="shared" si="98"/>
        <v>1280</v>
      </c>
      <c r="T343" s="64" t="s">
        <v>301</v>
      </c>
      <c r="U343">
        <f t="shared" si="88"/>
        <v>0</v>
      </c>
      <c r="V343">
        <f t="shared" si="93"/>
        <v>30</v>
      </c>
      <c r="W343">
        <f t="shared" si="94"/>
        <v>1600</v>
      </c>
      <c r="X343" t="str">
        <f t="shared" si="95"/>
        <v/>
      </c>
      <c r="Z343" s="65" t="str">
        <f t="shared" si="99"/>
        <v>24,1280</v>
      </c>
      <c r="AA343" s="8" t="s">
        <v>279</v>
      </c>
      <c r="AB343" t="str">
        <f t="shared" si="85"/>
        <v>30,1600</v>
      </c>
      <c r="AF343" s="37" t="s">
        <v>80</v>
      </c>
    </row>
    <row r="344" ht="16.25" spans="1:32">
      <c r="A344" s="31">
        <v>401</v>
      </c>
      <c r="B344" s="102">
        <v>260104</v>
      </c>
      <c r="C344" s="68" t="s">
        <v>227</v>
      </c>
      <c r="D344" s="69">
        <v>50</v>
      </c>
      <c r="E344" s="69">
        <v>2666</v>
      </c>
      <c r="F344" s="69"/>
      <c r="G344" s="70"/>
      <c r="H344" s="68">
        <v>3</v>
      </c>
      <c r="I344" s="70">
        <v>2</v>
      </c>
      <c r="J344" s="70"/>
      <c r="K344" s="84">
        <f t="shared" si="89"/>
        <v>50</v>
      </c>
      <c r="L344" s="84">
        <f t="shared" si="90"/>
        <v>2666</v>
      </c>
      <c r="M344" s="84" t="str">
        <f t="shared" si="91"/>
        <v/>
      </c>
      <c r="N344" s="84" t="str">
        <f t="shared" si="92"/>
        <v/>
      </c>
      <c r="P344">
        <f t="shared" si="96"/>
        <v>160104</v>
      </c>
      <c r="Q344">
        <f t="shared" si="97"/>
        <v>40</v>
      </c>
      <c r="R344" s="64" t="s">
        <v>301</v>
      </c>
      <c r="S344">
        <f t="shared" si="98"/>
        <v>2133</v>
      </c>
      <c r="T344" s="64" t="s">
        <v>301</v>
      </c>
      <c r="U344">
        <f t="shared" si="88"/>
        <v>0</v>
      </c>
      <c r="V344">
        <f t="shared" si="93"/>
        <v>50</v>
      </c>
      <c r="W344">
        <f t="shared" si="94"/>
        <v>2670</v>
      </c>
      <c r="X344" t="str">
        <f t="shared" si="95"/>
        <v/>
      </c>
      <c r="Z344" s="65" t="str">
        <f t="shared" si="99"/>
        <v>40,2133</v>
      </c>
      <c r="AA344" s="8" t="s">
        <v>280</v>
      </c>
      <c r="AB344" t="str">
        <f t="shared" si="85"/>
        <v>50,2670</v>
      </c>
      <c r="AF344" s="37" t="s">
        <v>84</v>
      </c>
    </row>
    <row r="345" ht="16.25" spans="1:32">
      <c r="A345" s="31">
        <v>401</v>
      </c>
      <c r="B345" s="102">
        <v>260204</v>
      </c>
      <c r="C345" s="68" t="s">
        <v>227</v>
      </c>
      <c r="D345" s="69">
        <v>50</v>
      </c>
      <c r="E345" s="69">
        <v>2666</v>
      </c>
      <c r="F345" s="69"/>
      <c r="G345" s="70"/>
      <c r="H345" s="68">
        <v>3</v>
      </c>
      <c r="I345" s="70">
        <v>2</v>
      </c>
      <c r="J345" s="70"/>
      <c r="K345" s="84">
        <f t="shared" si="89"/>
        <v>50</v>
      </c>
      <c r="L345" s="84">
        <f t="shared" si="90"/>
        <v>2666</v>
      </c>
      <c r="M345" s="84" t="str">
        <f t="shared" si="91"/>
        <v/>
      </c>
      <c r="N345" s="84" t="str">
        <f t="shared" si="92"/>
        <v/>
      </c>
      <c r="P345">
        <f t="shared" si="96"/>
        <v>160204</v>
      </c>
      <c r="Q345">
        <f t="shared" si="97"/>
        <v>40</v>
      </c>
      <c r="R345" s="64" t="s">
        <v>301</v>
      </c>
      <c r="S345">
        <f t="shared" si="98"/>
        <v>2133</v>
      </c>
      <c r="T345" s="64" t="s">
        <v>301</v>
      </c>
      <c r="U345">
        <f t="shared" si="88"/>
        <v>0</v>
      </c>
      <c r="V345">
        <f t="shared" si="93"/>
        <v>50</v>
      </c>
      <c r="W345">
        <f t="shared" si="94"/>
        <v>2670</v>
      </c>
      <c r="X345" t="str">
        <f t="shared" si="95"/>
        <v/>
      </c>
      <c r="Z345" s="65" t="str">
        <f t="shared" si="99"/>
        <v>40,2133</v>
      </c>
      <c r="AA345" s="8" t="s">
        <v>280</v>
      </c>
      <c r="AB345" t="str">
        <f t="shared" si="85"/>
        <v>50,2670</v>
      </c>
      <c r="AF345" s="37" t="s">
        <v>88</v>
      </c>
    </row>
    <row r="346" ht="16.25" spans="1:32">
      <c r="A346" s="31">
        <v>401</v>
      </c>
      <c r="B346" s="102">
        <v>260304</v>
      </c>
      <c r="C346" s="68" t="s">
        <v>227</v>
      </c>
      <c r="D346" s="69">
        <v>50</v>
      </c>
      <c r="E346" s="69">
        <v>2666</v>
      </c>
      <c r="F346" s="69"/>
      <c r="G346" s="70"/>
      <c r="H346" s="68">
        <v>3</v>
      </c>
      <c r="I346" s="70">
        <v>2</v>
      </c>
      <c r="J346" s="70"/>
      <c r="K346" s="84">
        <f t="shared" si="89"/>
        <v>50</v>
      </c>
      <c r="L346" s="84">
        <f t="shared" si="90"/>
        <v>2666</v>
      </c>
      <c r="M346" s="84" t="str">
        <f t="shared" si="91"/>
        <v/>
      </c>
      <c r="N346" s="84" t="str">
        <f t="shared" si="92"/>
        <v/>
      </c>
      <c r="P346">
        <f t="shared" si="96"/>
        <v>160304</v>
      </c>
      <c r="Q346">
        <f t="shared" si="97"/>
        <v>40</v>
      </c>
      <c r="R346" s="64" t="s">
        <v>301</v>
      </c>
      <c r="S346">
        <f t="shared" si="98"/>
        <v>2133</v>
      </c>
      <c r="T346" s="64" t="s">
        <v>301</v>
      </c>
      <c r="U346">
        <f t="shared" si="88"/>
        <v>0</v>
      </c>
      <c r="V346">
        <f t="shared" si="93"/>
        <v>50</v>
      </c>
      <c r="W346">
        <f t="shared" si="94"/>
        <v>2670</v>
      </c>
      <c r="X346" t="str">
        <f t="shared" si="95"/>
        <v/>
      </c>
      <c r="Z346" s="65" t="str">
        <f t="shared" si="99"/>
        <v>40,2133</v>
      </c>
      <c r="AA346" s="8" t="s">
        <v>280</v>
      </c>
      <c r="AB346" t="str">
        <f t="shared" si="85"/>
        <v>50,2670</v>
      </c>
      <c r="AF346" s="37" t="s">
        <v>92</v>
      </c>
    </row>
    <row r="347" ht="16.25" spans="1:32">
      <c r="A347" s="31">
        <v>401</v>
      </c>
      <c r="B347" s="102">
        <v>260404</v>
      </c>
      <c r="C347" s="68" t="s">
        <v>227</v>
      </c>
      <c r="D347" s="69">
        <v>50</v>
      </c>
      <c r="E347" s="69">
        <v>2666</v>
      </c>
      <c r="F347" s="69"/>
      <c r="G347" s="70"/>
      <c r="H347" s="68">
        <v>3</v>
      </c>
      <c r="I347" s="70">
        <v>2</v>
      </c>
      <c r="J347" s="70"/>
      <c r="K347" s="84">
        <f t="shared" si="89"/>
        <v>50</v>
      </c>
      <c r="L347" s="84">
        <f t="shared" si="90"/>
        <v>2666</v>
      </c>
      <c r="M347" s="84" t="str">
        <f t="shared" si="91"/>
        <v/>
      </c>
      <c r="N347" s="84" t="str">
        <f t="shared" si="92"/>
        <v/>
      </c>
      <c r="P347">
        <f t="shared" si="96"/>
        <v>160404</v>
      </c>
      <c r="Q347">
        <f t="shared" si="97"/>
        <v>40</v>
      </c>
      <c r="R347" s="64" t="s">
        <v>301</v>
      </c>
      <c r="S347">
        <f t="shared" si="98"/>
        <v>2133</v>
      </c>
      <c r="T347" s="64" t="s">
        <v>301</v>
      </c>
      <c r="U347">
        <f t="shared" si="88"/>
        <v>0</v>
      </c>
      <c r="V347">
        <f t="shared" si="93"/>
        <v>50</v>
      </c>
      <c r="W347">
        <f t="shared" si="94"/>
        <v>2670</v>
      </c>
      <c r="X347" t="str">
        <f t="shared" si="95"/>
        <v/>
      </c>
      <c r="Z347" s="65" t="str">
        <f t="shared" si="99"/>
        <v>40,2133</v>
      </c>
      <c r="AA347" s="8" t="s">
        <v>280</v>
      </c>
      <c r="AB347" t="str">
        <f t="shared" si="85"/>
        <v>50,2670</v>
      </c>
      <c r="AF347" s="37" t="s">
        <v>96</v>
      </c>
    </row>
    <row r="348" ht="16.25" spans="1:32">
      <c r="A348" s="31">
        <v>401</v>
      </c>
      <c r="B348" s="102">
        <v>260504</v>
      </c>
      <c r="C348" s="68" t="s">
        <v>227</v>
      </c>
      <c r="D348" s="69">
        <v>50</v>
      </c>
      <c r="E348" s="69">
        <v>2666</v>
      </c>
      <c r="F348" s="69"/>
      <c r="G348" s="70"/>
      <c r="H348" s="68">
        <v>3</v>
      </c>
      <c r="I348" s="70">
        <v>2</v>
      </c>
      <c r="J348" s="70"/>
      <c r="K348" s="84">
        <f t="shared" si="89"/>
        <v>50</v>
      </c>
      <c r="L348" s="84">
        <f t="shared" si="90"/>
        <v>2666</v>
      </c>
      <c r="M348" s="84" t="str">
        <f t="shared" si="91"/>
        <v/>
      </c>
      <c r="N348" s="84" t="str">
        <f t="shared" si="92"/>
        <v/>
      </c>
      <c r="P348">
        <f t="shared" si="96"/>
        <v>160504</v>
      </c>
      <c r="Q348">
        <f t="shared" si="97"/>
        <v>40</v>
      </c>
      <c r="R348" s="64" t="s">
        <v>301</v>
      </c>
      <c r="S348">
        <f t="shared" si="98"/>
        <v>2133</v>
      </c>
      <c r="T348" s="64" t="s">
        <v>301</v>
      </c>
      <c r="U348">
        <f t="shared" si="88"/>
        <v>0</v>
      </c>
      <c r="V348">
        <f t="shared" si="93"/>
        <v>50</v>
      </c>
      <c r="W348">
        <f t="shared" si="94"/>
        <v>2670</v>
      </c>
      <c r="X348" t="str">
        <f t="shared" si="95"/>
        <v/>
      </c>
      <c r="Z348" s="65" t="str">
        <f t="shared" si="99"/>
        <v>40,2133</v>
      </c>
      <c r="AA348" s="8" t="s">
        <v>280</v>
      </c>
      <c r="AB348" t="str">
        <f t="shared" si="85"/>
        <v>50,2670</v>
      </c>
      <c r="AF348" s="37" t="s">
        <v>100</v>
      </c>
    </row>
    <row r="349" ht="16.25" spans="1:32">
      <c r="A349" s="31">
        <v>401</v>
      </c>
      <c r="B349" s="102">
        <v>260604</v>
      </c>
      <c r="C349" s="68" t="s">
        <v>227</v>
      </c>
      <c r="D349" s="69">
        <v>50</v>
      </c>
      <c r="E349" s="69">
        <v>2666</v>
      </c>
      <c r="F349" s="69"/>
      <c r="G349" s="70"/>
      <c r="H349" s="68">
        <v>3</v>
      </c>
      <c r="I349" s="70">
        <v>2</v>
      </c>
      <c r="J349" s="70"/>
      <c r="K349" s="84">
        <f t="shared" si="89"/>
        <v>50</v>
      </c>
      <c r="L349" s="84">
        <f t="shared" si="90"/>
        <v>2666</v>
      </c>
      <c r="M349" s="84" t="str">
        <f t="shared" si="91"/>
        <v/>
      </c>
      <c r="N349" s="84" t="str">
        <f t="shared" si="92"/>
        <v/>
      </c>
      <c r="P349">
        <f t="shared" si="96"/>
        <v>160604</v>
      </c>
      <c r="Q349">
        <f t="shared" si="97"/>
        <v>40</v>
      </c>
      <c r="R349" s="64" t="s">
        <v>301</v>
      </c>
      <c r="S349">
        <f t="shared" si="98"/>
        <v>2133</v>
      </c>
      <c r="T349" s="64" t="s">
        <v>301</v>
      </c>
      <c r="U349">
        <f t="shared" si="88"/>
        <v>0</v>
      </c>
      <c r="V349">
        <f t="shared" si="93"/>
        <v>50</v>
      </c>
      <c r="W349">
        <f t="shared" si="94"/>
        <v>2670</v>
      </c>
      <c r="X349" t="str">
        <f t="shared" si="95"/>
        <v/>
      </c>
      <c r="Z349" s="65" t="str">
        <f t="shared" si="99"/>
        <v>40,2133</v>
      </c>
      <c r="AA349" s="8" t="s">
        <v>280</v>
      </c>
      <c r="AB349" t="str">
        <f t="shared" si="85"/>
        <v>50,2670</v>
      </c>
      <c r="AF349" s="37" t="s">
        <v>104</v>
      </c>
    </row>
    <row r="350" ht="16.25" spans="1:32">
      <c r="A350" s="31">
        <v>401</v>
      </c>
      <c r="B350" s="102">
        <v>260704</v>
      </c>
      <c r="C350" s="68" t="s">
        <v>227</v>
      </c>
      <c r="D350" s="69">
        <v>50</v>
      </c>
      <c r="E350" s="69">
        <v>2666</v>
      </c>
      <c r="F350" s="69"/>
      <c r="G350" s="70"/>
      <c r="H350" s="68">
        <v>3</v>
      </c>
      <c r="I350" s="70">
        <v>2</v>
      </c>
      <c r="J350" s="70"/>
      <c r="K350" s="84">
        <f t="shared" si="89"/>
        <v>50</v>
      </c>
      <c r="L350" s="84">
        <f t="shared" si="90"/>
        <v>2666</v>
      </c>
      <c r="M350" s="84" t="str">
        <f t="shared" si="91"/>
        <v/>
      </c>
      <c r="N350" s="84" t="str">
        <f t="shared" si="92"/>
        <v/>
      </c>
      <c r="P350">
        <f t="shared" si="96"/>
        <v>160704</v>
      </c>
      <c r="Q350">
        <f t="shared" si="97"/>
        <v>40</v>
      </c>
      <c r="R350" s="64" t="s">
        <v>301</v>
      </c>
      <c r="S350">
        <f t="shared" si="98"/>
        <v>2133</v>
      </c>
      <c r="T350" s="64" t="s">
        <v>301</v>
      </c>
      <c r="U350">
        <f t="shared" si="88"/>
        <v>0</v>
      </c>
      <c r="V350">
        <f t="shared" si="93"/>
        <v>50</v>
      </c>
      <c r="W350">
        <f t="shared" si="94"/>
        <v>2670</v>
      </c>
      <c r="X350" t="str">
        <f t="shared" si="95"/>
        <v/>
      </c>
      <c r="Z350" s="65" t="str">
        <f t="shared" si="99"/>
        <v>40,2133</v>
      </c>
      <c r="AA350" s="8" t="s">
        <v>280</v>
      </c>
      <c r="AB350" t="str">
        <f t="shared" si="85"/>
        <v>50,2670</v>
      </c>
      <c r="AF350" s="37" t="s">
        <v>108</v>
      </c>
    </row>
    <row r="351" ht="16.25" spans="1:32">
      <c r="A351" s="31">
        <v>401</v>
      </c>
      <c r="B351" s="102">
        <v>260804</v>
      </c>
      <c r="C351" s="68" t="s">
        <v>227</v>
      </c>
      <c r="D351" s="69">
        <v>50</v>
      </c>
      <c r="E351" s="69">
        <v>2666</v>
      </c>
      <c r="F351" s="69"/>
      <c r="G351" s="70"/>
      <c r="H351" s="68">
        <v>3</v>
      </c>
      <c r="I351" s="70">
        <v>2</v>
      </c>
      <c r="J351" s="70"/>
      <c r="K351" s="84">
        <f t="shared" si="89"/>
        <v>50</v>
      </c>
      <c r="L351" s="84">
        <f t="shared" si="90"/>
        <v>2666</v>
      </c>
      <c r="M351" s="84" t="str">
        <f t="shared" si="91"/>
        <v/>
      </c>
      <c r="N351" s="84" t="str">
        <f t="shared" si="92"/>
        <v/>
      </c>
      <c r="P351">
        <f t="shared" si="96"/>
        <v>160804</v>
      </c>
      <c r="Q351">
        <f t="shared" si="97"/>
        <v>40</v>
      </c>
      <c r="R351" s="64" t="s">
        <v>301</v>
      </c>
      <c r="S351">
        <f t="shared" si="98"/>
        <v>2133</v>
      </c>
      <c r="T351" s="64" t="s">
        <v>301</v>
      </c>
      <c r="U351">
        <f t="shared" si="88"/>
        <v>0</v>
      </c>
      <c r="V351">
        <f t="shared" si="93"/>
        <v>50</v>
      </c>
      <c r="W351">
        <f t="shared" si="94"/>
        <v>2670</v>
      </c>
      <c r="X351" t="str">
        <f t="shared" si="95"/>
        <v/>
      </c>
      <c r="Z351" s="65" t="str">
        <f t="shared" si="99"/>
        <v>40,2133</v>
      </c>
      <c r="AA351" s="8" t="s">
        <v>280</v>
      </c>
      <c r="AB351" t="str">
        <f t="shared" si="85"/>
        <v>50,2670</v>
      </c>
      <c r="AF351" s="37" t="s">
        <v>112</v>
      </c>
    </row>
    <row r="352" ht="16.25" spans="1:32">
      <c r="A352" s="31">
        <v>401</v>
      </c>
      <c r="B352" s="102">
        <v>260904</v>
      </c>
      <c r="C352" s="68" t="s">
        <v>227</v>
      </c>
      <c r="D352" s="69">
        <v>50</v>
      </c>
      <c r="E352" s="69">
        <v>2666</v>
      </c>
      <c r="F352" s="69"/>
      <c r="G352" s="70"/>
      <c r="H352" s="68">
        <v>3</v>
      </c>
      <c r="I352" s="70">
        <v>2</v>
      </c>
      <c r="J352" s="70"/>
      <c r="K352" s="84">
        <f t="shared" si="89"/>
        <v>50</v>
      </c>
      <c r="L352" s="84">
        <f t="shared" si="90"/>
        <v>2666</v>
      </c>
      <c r="M352" s="84" t="str">
        <f t="shared" si="91"/>
        <v/>
      </c>
      <c r="N352" s="84" t="str">
        <f t="shared" si="92"/>
        <v/>
      </c>
      <c r="P352">
        <f t="shared" si="96"/>
        <v>160904</v>
      </c>
      <c r="Q352">
        <f t="shared" si="97"/>
        <v>40</v>
      </c>
      <c r="R352" s="64" t="s">
        <v>301</v>
      </c>
      <c r="S352">
        <f t="shared" si="98"/>
        <v>2133</v>
      </c>
      <c r="T352" s="64" t="s">
        <v>301</v>
      </c>
      <c r="U352">
        <f t="shared" si="88"/>
        <v>0</v>
      </c>
      <c r="V352">
        <f t="shared" si="93"/>
        <v>50</v>
      </c>
      <c r="W352">
        <f t="shared" si="94"/>
        <v>2670</v>
      </c>
      <c r="X352" t="str">
        <f t="shared" si="95"/>
        <v/>
      </c>
      <c r="Z352" s="65" t="str">
        <f t="shared" si="99"/>
        <v>40,2133</v>
      </c>
      <c r="AA352" s="8" t="s">
        <v>280</v>
      </c>
      <c r="AB352" t="str">
        <f t="shared" si="85"/>
        <v>50,2670</v>
      </c>
      <c r="AF352" s="37" t="s">
        <v>116</v>
      </c>
    </row>
    <row r="353" ht="16.25" spans="1:32">
      <c r="A353" s="31">
        <v>402</v>
      </c>
      <c r="B353" s="102">
        <v>240004</v>
      </c>
      <c r="C353" s="68" t="s">
        <v>227</v>
      </c>
      <c r="D353" s="69">
        <v>22</v>
      </c>
      <c r="E353" s="69">
        <v>1178</v>
      </c>
      <c r="F353" s="69"/>
      <c r="G353" s="70"/>
      <c r="H353" s="68">
        <v>3</v>
      </c>
      <c r="I353" s="70">
        <v>2</v>
      </c>
      <c r="J353" s="70"/>
      <c r="K353" s="84">
        <f t="shared" si="89"/>
        <v>22</v>
      </c>
      <c r="L353" s="84">
        <f t="shared" si="90"/>
        <v>1178</v>
      </c>
      <c r="M353" s="84" t="str">
        <f t="shared" si="91"/>
        <v/>
      </c>
      <c r="N353" s="84" t="str">
        <f t="shared" si="92"/>
        <v/>
      </c>
      <c r="P353">
        <f t="shared" si="96"/>
        <v>140004</v>
      </c>
      <c r="Q353">
        <f t="shared" si="97"/>
        <v>18</v>
      </c>
      <c r="R353" s="64" t="s">
        <v>301</v>
      </c>
      <c r="S353">
        <f t="shared" si="98"/>
        <v>942</v>
      </c>
      <c r="T353" s="64" t="s">
        <v>301</v>
      </c>
      <c r="U353">
        <f t="shared" si="88"/>
        <v>0</v>
      </c>
      <c r="V353">
        <f t="shared" si="93"/>
        <v>25</v>
      </c>
      <c r="W353">
        <f t="shared" si="94"/>
        <v>1180</v>
      </c>
      <c r="X353" t="str">
        <f t="shared" si="95"/>
        <v/>
      </c>
      <c r="Z353" s="65" t="str">
        <f t="shared" si="99"/>
        <v>18,942</v>
      </c>
      <c r="AA353" s="8" t="s">
        <v>281</v>
      </c>
      <c r="AB353" t="str">
        <f t="shared" si="85"/>
        <v>25,1180</v>
      </c>
      <c r="AF353" s="37" t="s">
        <v>36</v>
      </c>
    </row>
    <row r="354" ht="16.25" spans="1:32">
      <c r="A354" s="31">
        <v>402</v>
      </c>
      <c r="B354" s="102">
        <v>240104</v>
      </c>
      <c r="C354" s="68" t="s">
        <v>227</v>
      </c>
      <c r="D354" s="69">
        <v>18</v>
      </c>
      <c r="E354" s="69">
        <v>943</v>
      </c>
      <c r="F354" s="69"/>
      <c r="G354" s="70"/>
      <c r="H354" s="68">
        <v>3</v>
      </c>
      <c r="I354" s="70">
        <v>2</v>
      </c>
      <c r="J354" s="70"/>
      <c r="K354" s="84">
        <f t="shared" si="89"/>
        <v>18</v>
      </c>
      <c r="L354" s="84">
        <f t="shared" si="90"/>
        <v>943</v>
      </c>
      <c r="M354" s="84" t="str">
        <f t="shared" si="91"/>
        <v/>
      </c>
      <c r="N354" s="84" t="str">
        <f t="shared" si="92"/>
        <v/>
      </c>
      <c r="P354">
        <f t="shared" si="96"/>
        <v>140104</v>
      </c>
      <c r="Q354">
        <f t="shared" si="97"/>
        <v>14</v>
      </c>
      <c r="R354" s="64" t="s">
        <v>301</v>
      </c>
      <c r="S354">
        <f t="shared" si="98"/>
        <v>754</v>
      </c>
      <c r="T354" s="64" t="s">
        <v>301</v>
      </c>
      <c r="U354">
        <f t="shared" si="88"/>
        <v>0</v>
      </c>
      <c r="V354">
        <f t="shared" si="93"/>
        <v>20</v>
      </c>
      <c r="W354">
        <f t="shared" si="94"/>
        <v>945</v>
      </c>
      <c r="X354" t="str">
        <f t="shared" si="95"/>
        <v/>
      </c>
      <c r="Z354" s="65" t="str">
        <f t="shared" si="99"/>
        <v>14,754</v>
      </c>
      <c r="AA354" s="8" t="s">
        <v>282</v>
      </c>
      <c r="AB354" t="str">
        <f t="shared" si="85"/>
        <v>20,945</v>
      </c>
      <c r="AF354" s="37" t="s">
        <v>40</v>
      </c>
    </row>
    <row r="355" ht="16.25" spans="1:32">
      <c r="A355" s="31">
        <v>402</v>
      </c>
      <c r="B355" s="102">
        <v>240204</v>
      </c>
      <c r="C355" s="68" t="s">
        <v>227</v>
      </c>
      <c r="D355" s="69">
        <v>28</v>
      </c>
      <c r="E355" s="69">
        <v>1473</v>
      </c>
      <c r="F355" s="69"/>
      <c r="G355" s="70"/>
      <c r="H355" s="68">
        <v>3</v>
      </c>
      <c r="I355" s="70">
        <v>2</v>
      </c>
      <c r="J355" s="70"/>
      <c r="K355" s="84">
        <f t="shared" si="89"/>
        <v>28</v>
      </c>
      <c r="L355" s="84">
        <f t="shared" si="90"/>
        <v>1473</v>
      </c>
      <c r="M355" s="84" t="str">
        <f t="shared" si="91"/>
        <v/>
      </c>
      <c r="N355" s="84" t="str">
        <f t="shared" si="92"/>
        <v/>
      </c>
      <c r="P355">
        <f t="shared" si="96"/>
        <v>140204</v>
      </c>
      <c r="Q355">
        <f t="shared" si="97"/>
        <v>22</v>
      </c>
      <c r="R355" s="64" t="s">
        <v>301</v>
      </c>
      <c r="S355">
        <f t="shared" si="98"/>
        <v>1178</v>
      </c>
      <c r="T355" s="64" t="s">
        <v>301</v>
      </c>
      <c r="U355">
        <f t="shared" si="88"/>
        <v>0</v>
      </c>
      <c r="V355">
        <f t="shared" si="93"/>
        <v>30</v>
      </c>
      <c r="W355">
        <f t="shared" si="94"/>
        <v>1475</v>
      </c>
      <c r="X355" t="str">
        <f t="shared" si="95"/>
        <v/>
      </c>
      <c r="Z355" s="65" t="str">
        <f t="shared" si="99"/>
        <v>22,1178</v>
      </c>
      <c r="AA355" s="8" t="s">
        <v>283</v>
      </c>
      <c r="AB355" t="str">
        <f t="shared" ref="AB355:AB418" si="100">_xlfn.TEXTJOIN(",",TRUE,V355,W355,X355)</f>
        <v>30,1475</v>
      </c>
      <c r="AF355" s="37" t="s">
        <v>44</v>
      </c>
    </row>
    <row r="356" ht="16.25" spans="1:32">
      <c r="A356" s="31">
        <v>402</v>
      </c>
      <c r="B356" s="102">
        <v>250104</v>
      </c>
      <c r="C356" s="68" t="s">
        <v>227</v>
      </c>
      <c r="D356" s="69">
        <v>46</v>
      </c>
      <c r="E356" s="69">
        <v>2427</v>
      </c>
      <c r="F356" s="69"/>
      <c r="G356" s="70"/>
      <c r="H356" s="68">
        <v>3</v>
      </c>
      <c r="I356" s="70">
        <v>2</v>
      </c>
      <c r="J356" s="70"/>
      <c r="K356" s="84">
        <f t="shared" si="89"/>
        <v>46</v>
      </c>
      <c r="L356" s="84">
        <f t="shared" si="90"/>
        <v>2427</v>
      </c>
      <c r="M356" s="84" t="str">
        <f t="shared" si="91"/>
        <v/>
      </c>
      <c r="N356" s="84" t="str">
        <f t="shared" si="92"/>
        <v/>
      </c>
      <c r="P356">
        <f t="shared" si="96"/>
        <v>150104</v>
      </c>
      <c r="Q356">
        <f t="shared" si="97"/>
        <v>37</v>
      </c>
      <c r="R356" s="64" t="s">
        <v>301</v>
      </c>
      <c r="S356">
        <f t="shared" si="98"/>
        <v>1942</v>
      </c>
      <c r="T356" s="64" t="s">
        <v>301</v>
      </c>
      <c r="U356">
        <f t="shared" si="88"/>
        <v>0</v>
      </c>
      <c r="V356">
        <f t="shared" si="93"/>
        <v>50</v>
      </c>
      <c r="W356">
        <f t="shared" si="94"/>
        <v>2430</v>
      </c>
      <c r="X356" t="str">
        <f t="shared" si="95"/>
        <v/>
      </c>
      <c r="Z356" s="65" t="str">
        <f t="shared" si="99"/>
        <v>37,1942</v>
      </c>
      <c r="AA356" s="8" t="s">
        <v>284</v>
      </c>
      <c r="AB356" t="str">
        <f t="shared" si="100"/>
        <v>50,2430</v>
      </c>
      <c r="AF356" s="37" t="s">
        <v>48</v>
      </c>
    </row>
    <row r="357" ht="16.25" spans="1:32">
      <c r="A357" s="31">
        <v>402</v>
      </c>
      <c r="B357" s="102">
        <v>250204</v>
      </c>
      <c r="C357" s="68" t="s">
        <v>227</v>
      </c>
      <c r="D357" s="69">
        <v>46</v>
      </c>
      <c r="E357" s="69">
        <v>2427</v>
      </c>
      <c r="F357" s="69"/>
      <c r="G357" s="70"/>
      <c r="H357" s="68">
        <v>3</v>
      </c>
      <c r="I357" s="70">
        <v>2</v>
      </c>
      <c r="J357" s="70"/>
      <c r="K357" s="84">
        <f t="shared" si="89"/>
        <v>46</v>
      </c>
      <c r="L357" s="84">
        <f t="shared" si="90"/>
        <v>2427</v>
      </c>
      <c r="M357" s="84" t="str">
        <f t="shared" si="91"/>
        <v/>
      </c>
      <c r="N357" s="84" t="str">
        <f t="shared" si="92"/>
        <v/>
      </c>
      <c r="P357">
        <f t="shared" si="96"/>
        <v>150204</v>
      </c>
      <c r="Q357">
        <f t="shared" si="97"/>
        <v>37</v>
      </c>
      <c r="R357" s="64" t="s">
        <v>301</v>
      </c>
      <c r="S357">
        <f t="shared" si="98"/>
        <v>1942</v>
      </c>
      <c r="T357" s="64" t="s">
        <v>301</v>
      </c>
      <c r="U357">
        <f t="shared" si="88"/>
        <v>0</v>
      </c>
      <c r="V357">
        <f t="shared" si="93"/>
        <v>50</v>
      </c>
      <c r="W357">
        <f t="shared" si="94"/>
        <v>2430</v>
      </c>
      <c r="X357" t="str">
        <f t="shared" si="95"/>
        <v/>
      </c>
      <c r="Z357" s="65" t="str">
        <f t="shared" si="99"/>
        <v>37,1942</v>
      </c>
      <c r="AA357" s="8" t="s">
        <v>284</v>
      </c>
      <c r="AB357" t="str">
        <f t="shared" si="100"/>
        <v>50,2430</v>
      </c>
      <c r="AF357" s="37" t="s">
        <v>52</v>
      </c>
    </row>
    <row r="358" ht="16.25" spans="1:32">
      <c r="A358" s="31">
        <v>402</v>
      </c>
      <c r="B358" s="102">
        <v>250304</v>
      </c>
      <c r="C358" s="68" t="s">
        <v>227</v>
      </c>
      <c r="D358" s="69">
        <v>46</v>
      </c>
      <c r="E358" s="69">
        <v>2427</v>
      </c>
      <c r="F358" s="69"/>
      <c r="G358" s="70"/>
      <c r="H358" s="68">
        <v>3</v>
      </c>
      <c r="I358" s="70">
        <v>2</v>
      </c>
      <c r="J358" s="70"/>
      <c r="K358" s="84">
        <f t="shared" si="89"/>
        <v>46</v>
      </c>
      <c r="L358" s="84">
        <f t="shared" si="90"/>
        <v>2427</v>
      </c>
      <c r="M358" s="84" t="str">
        <f t="shared" si="91"/>
        <v/>
      </c>
      <c r="N358" s="84" t="str">
        <f t="shared" si="92"/>
        <v/>
      </c>
      <c r="P358">
        <f t="shared" ref="P358:P385" si="101">B358-100000</f>
        <v>150304</v>
      </c>
      <c r="Q358">
        <f t="shared" si="97"/>
        <v>37</v>
      </c>
      <c r="R358" s="64" t="s">
        <v>301</v>
      </c>
      <c r="S358">
        <f t="shared" si="98"/>
        <v>1942</v>
      </c>
      <c r="T358" s="64" t="s">
        <v>301</v>
      </c>
      <c r="U358">
        <f t="shared" si="88"/>
        <v>0</v>
      </c>
      <c r="V358">
        <f t="shared" si="93"/>
        <v>50</v>
      </c>
      <c r="W358">
        <f t="shared" si="94"/>
        <v>2430</v>
      </c>
      <c r="X358" t="str">
        <f t="shared" si="95"/>
        <v/>
      </c>
      <c r="Z358" s="65" t="str">
        <f t="shared" si="99"/>
        <v>37,1942</v>
      </c>
      <c r="AA358" s="8" t="s">
        <v>284</v>
      </c>
      <c r="AB358" t="str">
        <f t="shared" si="100"/>
        <v>50,2430</v>
      </c>
      <c r="AF358" s="37" t="s">
        <v>56</v>
      </c>
    </row>
    <row r="359" ht="16.25" spans="1:32">
      <c r="A359" s="31">
        <v>402</v>
      </c>
      <c r="B359" s="102">
        <v>250404</v>
      </c>
      <c r="C359" s="68" t="s">
        <v>227</v>
      </c>
      <c r="D359" s="69">
        <v>46</v>
      </c>
      <c r="E359" s="69">
        <v>2427</v>
      </c>
      <c r="F359" s="69"/>
      <c r="G359" s="70"/>
      <c r="H359" s="68">
        <v>3</v>
      </c>
      <c r="I359" s="70">
        <v>2</v>
      </c>
      <c r="J359" s="70"/>
      <c r="K359" s="84">
        <f t="shared" si="89"/>
        <v>46</v>
      </c>
      <c r="L359" s="84">
        <f t="shared" si="90"/>
        <v>2427</v>
      </c>
      <c r="M359" s="84" t="str">
        <f t="shared" si="91"/>
        <v/>
      </c>
      <c r="N359" s="84" t="str">
        <f t="shared" si="92"/>
        <v/>
      </c>
      <c r="P359">
        <f t="shared" si="101"/>
        <v>150404</v>
      </c>
      <c r="Q359">
        <f t="shared" si="97"/>
        <v>37</v>
      </c>
      <c r="R359" s="64" t="s">
        <v>301</v>
      </c>
      <c r="S359">
        <f t="shared" si="98"/>
        <v>1942</v>
      </c>
      <c r="T359" s="64" t="s">
        <v>301</v>
      </c>
      <c r="U359">
        <f t="shared" si="88"/>
        <v>0</v>
      </c>
      <c r="V359">
        <f t="shared" si="93"/>
        <v>50</v>
      </c>
      <c r="W359">
        <f t="shared" si="94"/>
        <v>2430</v>
      </c>
      <c r="X359" t="str">
        <f t="shared" si="95"/>
        <v/>
      </c>
      <c r="Z359" s="65" t="str">
        <f t="shared" si="99"/>
        <v>37,1942</v>
      </c>
      <c r="AA359" s="8" t="s">
        <v>284</v>
      </c>
      <c r="AB359" t="str">
        <f t="shared" si="100"/>
        <v>50,2430</v>
      </c>
      <c r="AF359" s="37" t="s">
        <v>60</v>
      </c>
    </row>
    <row r="360" ht="16.25" spans="1:32">
      <c r="A360" s="31">
        <v>402</v>
      </c>
      <c r="B360" s="102">
        <v>250504</v>
      </c>
      <c r="C360" s="68" t="s">
        <v>227</v>
      </c>
      <c r="D360" s="69">
        <v>46</v>
      </c>
      <c r="E360" s="69">
        <v>2427</v>
      </c>
      <c r="F360" s="69"/>
      <c r="G360" s="70"/>
      <c r="H360" s="68">
        <v>3</v>
      </c>
      <c r="I360" s="70">
        <v>2</v>
      </c>
      <c r="J360" s="70"/>
      <c r="K360" s="84">
        <f t="shared" si="89"/>
        <v>46</v>
      </c>
      <c r="L360" s="84">
        <f t="shared" si="90"/>
        <v>2427</v>
      </c>
      <c r="M360" s="84" t="str">
        <f t="shared" si="91"/>
        <v/>
      </c>
      <c r="N360" s="84" t="str">
        <f t="shared" si="92"/>
        <v/>
      </c>
      <c r="P360">
        <f t="shared" si="101"/>
        <v>150504</v>
      </c>
      <c r="Q360">
        <f t="shared" si="97"/>
        <v>37</v>
      </c>
      <c r="R360" s="64" t="s">
        <v>301</v>
      </c>
      <c r="S360">
        <f t="shared" si="98"/>
        <v>1942</v>
      </c>
      <c r="T360" s="64" t="s">
        <v>301</v>
      </c>
      <c r="U360">
        <f t="shared" si="88"/>
        <v>0</v>
      </c>
      <c r="V360">
        <f t="shared" si="93"/>
        <v>50</v>
      </c>
      <c r="W360">
        <f t="shared" si="94"/>
        <v>2430</v>
      </c>
      <c r="X360" t="str">
        <f t="shared" si="95"/>
        <v/>
      </c>
      <c r="Z360" s="65" t="str">
        <f t="shared" si="99"/>
        <v>37,1942</v>
      </c>
      <c r="AA360" s="8" t="s">
        <v>284</v>
      </c>
      <c r="AB360" t="str">
        <f t="shared" si="100"/>
        <v>50,2430</v>
      </c>
      <c r="AF360" s="37" t="s">
        <v>64</v>
      </c>
    </row>
    <row r="361" ht="16.25" spans="1:32">
      <c r="A361" s="31">
        <v>402</v>
      </c>
      <c r="B361" s="102">
        <v>250604</v>
      </c>
      <c r="C361" s="68" t="s">
        <v>227</v>
      </c>
      <c r="D361" s="69">
        <v>46</v>
      </c>
      <c r="E361" s="69">
        <v>2427</v>
      </c>
      <c r="F361" s="69"/>
      <c r="G361" s="70"/>
      <c r="H361" s="68">
        <v>3</v>
      </c>
      <c r="I361" s="70">
        <v>2</v>
      </c>
      <c r="J361" s="70"/>
      <c r="K361" s="84">
        <f t="shared" si="89"/>
        <v>46</v>
      </c>
      <c r="L361" s="84">
        <f t="shared" si="90"/>
        <v>2427</v>
      </c>
      <c r="M361" s="84" t="str">
        <f t="shared" si="91"/>
        <v/>
      </c>
      <c r="N361" s="84" t="str">
        <f t="shared" si="92"/>
        <v/>
      </c>
      <c r="P361">
        <f t="shared" si="101"/>
        <v>150604</v>
      </c>
      <c r="Q361">
        <f t="shared" si="97"/>
        <v>37</v>
      </c>
      <c r="R361" s="64" t="s">
        <v>301</v>
      </c>
      <c r="S361">
        <f t="shared" si="98"/>
        <v>1942</v>
      </c>
      <c r="T361" s="64" t="s">
        <v>301</v>
      </c>
      <c r="U361">
        <f t="shared" si="88"/>
        <v>0</v>
      </c>
      <c r="V361">
        <f t="shared" si="93"/>
        <v>50</v>
      </c>
      <c r="W361">
        <f t="shared" si="94"/>
        <v>2430</v>
      </c>
      <c r="X361" t="str">
        <f t="shared" si="95"/>
        <v/>
      </c>
      <c r="Z361" s="65" t="str">
        <f t="shared" si="99"/>
        <v>37,1942</v>
      </c>
      <c r="AA361" s="8" t="s">
        <v>284</v>
      </c>
      <c r="AB361" t="str">
        <f t="shared" si="100"/>
        <v>50,2430</v>
      </c>
      <c r="AF361" s="37" t="s">
        <v>68</v>
      </c>
    </row>
    <row r="362" ht="16.25" spans="1:32">
      <c r="A362" s="31">
        <v>402</v>
      </c>
      <c r="B362" s="102">
        <v>250704</v>
      </c>
      <c r="C362" s="68" t="s">
        <v>227</v>
      </c>
      <c r="D362" s="69">
        <v>46</v>
      </c>
      <c r="E362" s="69">
        <v>2427</v>
      </c>
      <c r="F362" s="69"/>
      <c r="G362" s="70"/>
      <c r="H362" s="68">
        <v>3</v>
      </c>
      <c r="I362" s="70">
        <v>2</v>
      </c>
      <c r="J362" s="70"/>
      <c r="K362" s="84">
        <f t="shared" si="89"/>
        <v>46</v>
      </c>
      <c r="L362" s="84">
        <f t="shared" si="90"/>
        <v>2427</v>
      </c>
      <c r="M362" s="84" t="str">
        <f t="shared" si="91"/>
        <v/>
      </c>
      <c r="N362" s="84" t="str">
        <f t="shared" si="92"/>
        <v/>
      </c>
      <c r="P362">
        <f t="shared" si="101"/>
        <v>150704</v>
      </c>
      <c r="Q362">
        <f t="shared" si="97"/>
        <v>37</v>
      </c>
      <c r="R362" s="64" t="s">
        <v>301</v>
      </c>
      <c r="S362">
        <f t="shared" si="98"/>
        <v>1942</v>
      </c>
      <c r="T362" s="64" t="s">
        <v>301</v>
      </c>
      <c r="U362">
        <f t="shared" si="88"/>
        <v>0</v>
      </c>
      <c r="V362">
        <f t="shared" si="93"/>
        <v>50</v>
      </c>
      <c r="W362">
        <f t="shared" si="94"/>
        <v>2430</v>
      </c>
      <c r="X362" t="str">
        <f t="shared" si="95"/>
        <v/>
      </c>
      <c r="Z362" s="65" t="str">
        <f t="shared" si="99"/>
        <v>37,1942</v>
      </c>
      <c r="AA362" s="8" t="s">
        <v>284</v>
      </c>
      <c r="AB362" t="str">
        <f t="shared" si="100"/>
        <v>50,2430</v>
      </c>
      <c r="AF362" s="37" t="s">
        <v>72</v>
      </c>
    </row>
    <row r="363" ht="16.25" spans="1:32">
      <c r="A363" s="31">
        <v>402</v>
      </c>
      <c r="B363" s="102">
        <v>250804</v>
      </c>
      <c r="C363" s="68" t="s">
        <v>227</v>
      </c>
      <c r="D363" s="69">
        <v>46</v>
      </c>
      <c r="E363" s="69">
        <v>2427</v>
      </c>
      <c r="F363" s="69"/>
      <c r="G363" s="70"/>
      <c r="H363" s="68">
        <v>3</v>
      </c>
      <c r="I363" s="70">
        <v>2</v>
      </c>
      <c r="J363" s="70"/>
      <c r="K363" s="84">
        <f t="shared" si="89"/>
        <v>46</v>
      </c>
      <c r="L363" s="84">
        <f t="shared" si="90"/>
        <v>2427</v>
      </c>
      <c r="M363" s="84" t="str">
        <f t="shared" si="91"/>
        <v/>
      </c>
      <c r="N363" s="84" t="str">
        <f t="shared" si="92"/>
        <v/>
      </c>
      <c r="P363">
        <f t="shared" si="101"/>
        <v>150804</v>
      </c>
      <c r="Q363">
        <f t="shared" si="97"/>
        <v>37</v>
      </c>
      <c r="R363" s="64" t="s">
        <v>301</v>
      </c>
      <c r="S363">
        <f t="shared" si="98"/>
        <v>1942</v>
      </c>
      <c r="T363" s="64" t="s">
        <v>301</v>
      </c>
      <c r="U363">
        <f t="shared" si="88"/>
        <v>0</v>
      </c>
      <c r="V363">
        <f t="shared" si="93"/>
        <v>50</v>
      </c>
      <c r="W363">
        <f t="shared" si="94"/>
        <v>2430</v>
      </c>
      <c r="X363" t="str">
        <f t="shared" si="95"/>
        <v/>
      </c>
      <c r="Z363" s="65" t="str">
        <f t="shared" si="99"/>
        <v>37,1942</v>
      </c>
      <c r="AA363" s="8" t="s">
        <v>284</v>
      </c>
      <c r="AB363" t="str">
        <f t="shared" si="100"/>
        <v>50,2430</v>
      </c>
      <c r="AF363" s="37" t="s">
        <v>76</v>
      </c>
    </row>
    <row r="364" ht="16.25" spans="1:32">
      <c r="A364" s="31">
        <v>402</v>
      </c>
      <c r="B364" s="102">
        <v>250904</v>
      </c>
      <c r="C364" s="68" t="s">
        <v>227</v>
      </c>
      <c r="D364" s="69">
        <v>46</v>
      </c>
      <c r="E364" s="69">
        <v>2427</v>
      </c>
      <c r="F364" s="69"/>
      <c r="G364" s="70"/>
      <c r="H364" s="68">
        <v>3</v>
      </c>
      <c r="I364" s="70">
        <v>2</v>
      </c>
      <c r="J364" s="70"/>
      <c r="K364" s="84">
        <f t="shared" si="89"/>
        <v>46</v>
      </c>
      <c r="L364" s="84">
        <f t="shared" si="90"/>
        <v>2427</v>
      </c>
      <c r="M364" s="84" t="str">
        <f t="shared" si="91"/>
        <v/>
      </c>
      <c r="N364" s="84" t="str">
        <f t="shared" si="92"/>
        <v/>
      </c>
      <c r="P364">
        <f t="shared" si="101"/>
        <v>150904</v>
      </c>
      <c r="Q364">
        <f t="shared" si="97"/>
        <v>37</v>
      </c>
      <c r="R364" s="64" t="s">
        <v>301</v>
      </c>
      <c r="S364">
        <f t="shared" si="98"/>
        <v>1942</v>
      </c>
      <c r="T364" s="64" t="s">
        <v>301</v>
      </c>
      <c r="U364">
        <f t="shared" si="88"/>
        <v>0</v>
      </c>
      <c r="V364">
        <f t="shared" si="93"/>
        <v>50</v>
      </c>
      <c r="W364">
        <f t="shared" si="94"/>
        <v>2430</v>
      </c>
      <c r="X364" t="str">
        <f t="shared" si="95"/>
        <v/>
      </c>
      <c r="Z364" s="65" t="str">
        <f t="shared" si="99"/>
        <v>37,1942</v>
      </c>
      <c r="AA364" s="8" t="s">
        <v>284</v>
      </c>
      <c r="AB364" t="str">
        <f t="shared" si="100"/>
        <v>50,2430</v>
      </c>
      <c r="AF364" s="37" t="s">
        <v>80</v>
      </c>
    </row>
    <row r="365" ht="16.25" spans="1:32">
      <c r="A365" s="31">
        <v>402</v>
      </c>
      <c r="B365" s="102">
        <v>260104</v>
      </c>
      <c r="C365" s="68" t="s">
        <v>227</v>
      </c>
      <c r="D365" s="69">
        <v>85</v>
      </c>
      <c r="E365" s="69">
        <v>4507</v>
      </c>
      <c r="F365" s="69"/>
      <c r="G365" s="70"/>
      <c r="H365" s="68">
        <v>3</v>
      </c>
      <c r="I365" s="70">
        <v>2</v>
      </c>
      <c r="J365" s="70"/>
      <c r="K365" s="84">
        <f t="shared" si="89"/>
        <v>85</v>
      </c>
      <c r="L365" s="84">
        <f t="shared" si="90"/>
        <v>4507</v>
      </c>
      <c r="M365" s="84" t="str">
        <f t="shared" si="91"/>
        <v/>
      </c>
      <c r="N365" s="84" t="str">
        <f t="shared" si="92"/>
        <v/>
      </c>
      <c r="P365">
        <f t="shared" si="101"/>
        <v>160104</v>
      </c>
      <c r="Q365">
        <f t="shared" si="97"/>
        <v>68</v>
      </c>
      <c r="R365" s="64" t="s">
        <v>301</v>
      </c>
      <c r="S365">
        <f t="shared" si="98"/>
        <v>3606</v>
      </c>
      <c r="T365" s="64" t="s">
        <v>301</v>
      </c>
      <c r="U365">
        <f t="shared" si="88"/>
        <v>0</v>
      </c>
      <c r="V365">
        <f t="shared" si="93"/>
        <v>85</v>
      </c>
      <c r="W365">
        <f t="shared" si="94"/>
        <v>4510</v>
      </c>
      <c r="X365" t="str">
        <f t="shared" si="95"/>
        <v/>
      </c>
      <c r="Z365" s="65" t="str">
        <f t="shared" si="99"/>
        <v>68,3606</v>
      </c>
      <c r="AA365" s="8" t="s">
        <v>285</v>
      </c>
      <c r="AB365" t="str">
        <f t="shared" si="100"/>
        <v>85,4510</v>
      </c>
      <c r="AF365" s="37" t="s">
        <v>84</v>
      </c>
    </row>
    <row r="366" ht="16.25" spans="1:32">
      <c r="A366" s="31">
        <v>402</v>
      </c>
      <c r="B366" s="102">
        <v>260204</v>
      </c>
      <c r="C366" s="68" t="s">
        <v>227</v>
      </c>
      <c r="D366" s="69">
        <v>85</v>
      </c>
      <c r="E366" s="69">
        <v>4507</v>
      </c>
      <c r="F366" s="69"/>
      <c r="G366" s="70"/>
      <c r="H366" s="68">
        <v>3</v>
      </c>
      <c r="I366" s="70">
        <v>2</v>
      </c>
      <c r="J366" s="70"/>
      <c r="K366" s="84">
        <f t="shared" si="89"/>
        <v>85</v>
      </c>
      <c r="L366" s="84">
        <f t="shared" si="90"/>
        <v>4507</v>
      </c>
      <c r="M366" s="84" t="str">
        <f t="shared" si="91"/>
        <v/>
      </c>
      <c r="N366" s="84" t="str">
        <f t="shared" si="92"/>
        <v/>
      </c>
      <c r="P366">
        <f t="shared" si="101"/>
        <v>160204</v>
      </c>
      <c r="Q366">
        <f t="shared" si="97"/>
        <v>68</v>
      </c>
      <c r="R366" s="64" t="s">
        <v>301</v>
      </c>
      <c r="S366">
        <f t="shared" si="98"/>
        <v>3606</v>
      </c>
      <c r="T366" s="64" t="s">
        <v>301</v>
      </c>
      <c r="U366">
        <f t="shared" si="88"/>
        <v>0</v>
      </c>
      <c r="V366">
        <f t="shared" si="93"/>
        <v>85</v>
      </c>
      <c r="W366">
        <f t="shared" si="94"/>
        <v>4510</v>
      </c>
      <c r="X366" t="str">
        <f t="shared" si="95"/>
        <v/>
      </c>
      <c r="Z366" s="65" t="str">
        <f t="shared" si="99"/>
        <v>68,3606</v>
      </c>
      <c r="AA366" s="8" t="s">
        <v>285</v>
      </c>
      <c r="AB366" t="str">
        <f t="shared" si="100"/>
        <v>85,4510</v>
      </c>
      <c r="AF366" s="37" t="s">
        <v>88</v>
      </c>
    </row>
    <row r="367" ht="16.25" spans="1:32">
      <c r="A367" s="31">
        <v>402</v>
      </c>
      <c r="B367" s="102">
        <v>260304</v>
      </c>
      <c r="C367" s="68" t="s">
        <v>227</v>
      </c>
      <c r="D367" s="69">
        <v>85</v>
      </c>
      <c r="E367" s="69">
        <v>4507</v>
      </c>
      <c r="F367" s="69"/>
      <c r="G367" s="70"/>
      <c r="H367" s="68">
        <v>3</v>
      </c>
      <c r="I367" s="70">
        <v>2</v>
      </c>
      <c r="J367" s="70"/>
      <c r="K367" s="84">
        <f t="shared" si="89"/>
        <v>85</v>
      </c>
      <c r="L367" s="84">
        <f t="shared" si="90"/>
        <v>4507</v>
      </c>
      <c r="M367" s="84" t="str">
        <f t="shared" si="91"/>
        <v/>
      </c>
      <c r="N367" s="84" t="str">
        <f t="shared" si="92"/>
        <v/>
      </c>
      <c r="P367">
        <f t="shared" si="101"/>
        <v>160304</v>
      </c>
      <c r="Q367">
        <f t="shared" si="97"/>
        <v>68</v>
      </c>
      <c r="R367" s="64" t="s">
        <v>301</v>
      </c>
      <c r="S367">
        <f t="shared" si="98"/>
        <v>3606</v>
      </c>
      <c r="T367" s="64" t="s">
        <v>301</v>
      </c>
      <c r="U367">
        <f t="shared" si="88"/>
        <v>0</v>
      </c>
      <c r="V367">
        <f t="shared" si="93"/>
        <v>85</v>
      </c>
      <c r="W367">
        <f t="shared" si="94"/>
        <v>4510</v>
      </c>
      <c r="X367" t="str">
        <f t="shared" si="95"/>
        <v/>
      </c>
      <c r="Z367" s="65" t="str">
        <f t="shared" si="99"/>
        <v>68,3606</v>
      </c>
      <c r="AA367" s="8" t="s">
        <v>285</v>
      </c>
      <c r="AB367" t="str">
        <f t="shared" si="100"/>
        <v>85,4510</v>
      </c>
      <c r="AF367" s="37" t="s">
        <v>92</v>
      </c>
    </row>
    <row r="368" ht="16.25" spans="1:32">
      <c r="A368" s="31">
        <v>402</v>
      </c>
      <c r="B368" s="102">
        <v>260404</v>
      </c>
      <c r="C368" s="68" t="s">
        <v>227</v>
      </c>
      <c r="D368" s="69">
        <v>85</v>
      </c>
      <c r="E368" s="69">
        <v>4507</v>
      </c>
      <c r="F368" s="69"/>
      <c r="G368" s="70"/>
      <c r="H368" s="68">
        <v>3</v>
      </c>
      <c r="I368" s="70">
        <v>2</v>
      </c>
      <c r="J368" s="70"/>
      <c r="K368" s="84">
        <f t="shared" si="89"/>
        <v>85</v>
      </c>
      <c r="L368" s="84">
        <f t="shared" si="90"/>
        <v>4507</v>
      </c>
      <c r="M368" s="84" t="str">
        <f t="shared" si="91"/>
        <v/>
      </c>
      <c r="N368" s="84" t="str">
        <f t="shared" si="92"/>
        <v/>
      </c>
      <c r="P368">
        <f t="shared" si="101"/>
        <v>160404</v>
      </c>
      <c r="Q368">
        <f t="shared" si="97"/>
        <v>68</v>
      </c>
      <c r="R368" s="64" t="s">
        <v>301</v>
      </c>
      <c r="S368">
        <f t="shared" si="98"/>
        <v>3606</v>
      </c>
      <c r="T368" s="64" t="s">
        <v>301</v>
      </c>
      <c r="U368">
        <f t="shared" si="88"/>
        <v>0</v>
      </c>
      <c r="V368">
        <f t="shared" si="93"/>
        <v>85</v>
      </c>
      <c r="W368">
        <f t="shared" si="94"/>
        <v>4510</v>
      </c>
      <c r="X368" t="str">
        <f t="shared" si="95"/>
        <v/>
      </c>
      <c r="Z368" s="65" t="str">
        <f t="shared" si="99"/>
        <v>68,3606</v>
      </c>
      <c r="AA368" s="8" t="s">
        <v>285</v>
      </c>
      <c r="AB368" t="str">
        <f t="shared" si="100"/>
        <v>85,4510</v>
      </c>
      <c r="AF368" s="37" t="s">
        <v>96</v>
      </c>
    </row>
    <row r="369" ht="16.25" spans="1:32">
      <c r="A369" s="31">
        <v>402</v>
      </c>
      <c r="B369" s="102">
        <v>260504</v>
      </c>
      <c r="C369" s="68" t="s">
        <v>227</v>
      </c>
      <c r="D369" s="69">
        <v>85</v>
      </c>
      <c r="E369" s="69">
        <v>4507</v>
      </c>
      <c r="F369" s="69"/>
      <c r="G369" s="70"/>
      <c r="H369" s="68">
        <v>3</v>
      </c>
      <c r="I369" s="70">
        <v>2</v>
      </c>
      <c r="J369" s="70"/>
      <c r="K369" s="84">
        <f t="shared" si="89"/>
        <v>85</v>
      </c>
      <c r="L369" s="84">
        <f t="shared" si="90"/>
        <v>4507</v>
      </c>
      <c r="M369" s="84" t="str">
        <f t="shared" si="91"/>
        <v/>
      </c>
      <c r="N369" s="84" t="str">
        <f t="shared" si="92"/>
        <v/>
      </c>
      <c r="P369">
        <f t="shared" si="101"/>
        <v>160504</v>
      </c>
      <c r="Q369">
        <f t="shared" si="97"/>
        <v>68</v>
      </c>
      <c r="R369" s="64" t="s">
        <v>301</v>
      </c>
      <c r="S369">
        <f t="shared" si="98"/>
        <v>3606</v>
      </c>
      <c r="T369" s="64" t="s">
        <v>301</v>
      </c>
      <c r="U369">
        <f t="shared" si="88"/>
        <v>0</v>
      </c>
      <c r="V369">
        <f t="shared" si="93"/>
        <v>85</v>
      </c>
      <c r="W369">
        <f t="shared" si="94"/>
        <v>4510</v>
      </c>
      <c r="X369" t="str">
        <f t="shared" si="95"/>
        <v/>
      </c>
      <c r="Z369" s="65" t="str">
        <f t="shared" si="99"/>
        <v>68,3606</v>
      </c>
      <c r="AA369" s="8" t="s">
        <v>285</v>
      </c>
      <c r="AB369" t="str">
        <f t="shared" si="100"/>
        <v>85,4510</v>
      </c>
      <c r="AF369" s="37" t="s">
        <v>100</v>
      </c>
    </row>
    <row r="370" ht="16.25" spans="1:32">
      <c r="A370" s="31">
        <v>402</v>
      </c>
      <c r="B370" s="102">
        <v>260604</v>
      </c>
      <c r="C370" s="68" t="s">
        <v>227</v>
      </c>
      <c r="D370" s="69">
        <v>85</v>
      </c>
      <c r="E370" s="69">
        <v>4507</v>
      </c>
      <c r="F370" s="69"/>
      <c r="G370" s="70"/>
      <c r="H370" s="68">
        <v>3</v>
      </c>
      <c r="I370" s="70">
        <v>2</v>
      </c>
      <c r="J370" s="70"/>
      <c r="K370" s="84">
        <f t="shared" si="89"/>
        <v>85</v>
      </c>
      <c r="L370" s="84">
        <f t="shared" si="90"/>
        <v>4507</v>
      </c>
      <c r="M370" s="84" t="str">
        <f t="shared" si="91"/>
        <v/>
      </c>
      <c r="N370" s="84" t="str">
        <f t="shared" si="92"/>
        <v/>
      </c>
      <c r="P370">
        <f t="shared" si="101"/>
        <v>160604</v>
      </c>
      <c r="Q370">
        <f t="shared" si="97"/>
        <v>68</v>
      </c>
      <c r="R370" s="64" t="s">
        <v>301</v>
      </c>
      <c r="S370">
        <f t="shared" si="98"/>
        <v>3606</v>
      </c>
      <c r="T370" s="64" t="s">
        <v>301</v>
      </c>
      <c r="U370">
        <f t="shared" si="88"/>
        <v>0</v>
      </c>
      <c r="V370">
        <f t="shared" si="93"/>
        <v>85</v>
      </c>
      <c r="W370">
        <f t="shared" si="94"/>
        <v>4510</v>
      </c>
      <c r="X370" t="str">
        <f t="shared" si="95"/>
        <v/>
      </c>
      <c r="Z370" s="65" t="str">
        <f t="shared" si="99"/>
        <v>68,3606</v>
      </c>
      <c r="AA370" s="8" t="s">
        <v>285</v>
      </c>
      <c r="AB370" t="str">
        <f t="shared" si="100"/>
        <v>85,4510</v>
      </c>
      <c r="AF370" s="37" t="s">
        <v>104</v>
      </c>
    </row>
    <row r="371" ht="16.25" spans="1:32">
      <c r="A371" s="31">
        <v>402</v>
      </c>
      <c r="B371" s="102">
        <v>260704</v>
      </c>
      <c r="C371" s="68" t="s">
        <v>227</v>
      </c>
      <c r="D371" s="69">
        <v>85</v>
      </c>
      <c r="E371" s="69">
        <v>4507</v>
      </c>
      <c r="F371" s="69"/>
      <c r="G371" s="70"/>
      <c r="H371" s="68">
        <v>3</v>
      </c>
      <c r="I371" s="70">
        <v>2</v>
      </c>
      <c r="J371" s="70"/>
      <c r="K371" s="84">
        <f t="shared" si="89"/>
        <v>85</v>
      </c>
      <c r="L371" s="84">
        <f t="shared" si="90"/>
        <v>4507</v>
      </c>
      <c r="M371" s="84" t="str">
        <f t="shared" si="91"/>
        <v/>
      </c>
      <c r="N371" s="84" t="str">
        <f t="shared" si="92"/>
        <v/>
      </c>
      <c r="P371">
        <f t="shared" si="101"/>
        <v>160704</v>
      </c>
      <c r="Q371">
        <f t="shared" si="97"/>
        <v>68</v>
      </c>
      <c r="R371" s="64" t="s">
        <v>301</v>
      </c>
      <c r="S371">
        <f t="shared" si="98"/>
        <v>3606</v>
      </c>
      <c r="T371" s="64" t="s">
        <v>301</v>
      </c>
      <c r="U371">
        <f t="shared" si="88"/>
        <v>0</v>
      </c>
      <c r="V371">
        <f t="shared" si="93"/>
        <v>85</v>
      </c>
      <c r="W371">
        <f t="shared" si="94"/>
        <v>4510</v>
      </c>
      <c r="X371" t="str">
        <f t="shared" si="95"/>
        <v/>
      </c>
      <c r="Z371" s="65" t="str">
        <f t="shared" si="99"/>
        <v>68,3606</v>
      </c>
      <c r="AA371" s="8" t="s">
        <v>285</v>
      </c>
      <c r="AB371" t="str">
        <f t="shared" si="100"/>
        <v>85,4510</v>
      </c>
      <c r="AF371" s="37" t="s">
        <v>108</v>
      </c>
    </row>
    <row r="372" ht="16.25" spans="1:32">
      <c r="A372" s="31">
        <v>402</v>
      </c>
      <c r="B372" s="102">
        <v>260804</v>
      </c>
      <c r="C372" s="68" t="s">
        <v>227</v>
      </c>
      <c r="D372" s="69">
        <v>85</v>
      </c>
      <c r="E372" s="69">
        <v>4507</v>
      </c>
      <c r="F372" s="69"/>
      <c r="G372" s="70"/>
      <c r="H372" s="68">
        <v>3</v>
      </c>
      <c r="I372" s="70">
        <v>2</v>
      </c>
      <c r="J372" s="70"/>
      <c r="K372" s="84">
        <f t="shared" si="89"/>
        <v>85</v>
      </c>
      <c r="L372" s="84">
        <f t="shared" si="90"/>
        <v>4507</v>
      </c>
      <c r="M372" s="84" t="str">
        <f t="shared" si="91"/>
        <v/>
      </c>
      <c r="N372" s="84" t="str">
        <f t="shared" si="92"/>
        <v/>
      </c>
      <c r="P372">
        <f t="shared" si="101"/>
        <v>160804</v>
      </c>
      <c r="Q372">
        <f t="shared" si="97"/>
        <v>68</v>
      </c>
      <c r="R372" s="64" t="s">
        <v>301</v>
      </c>
      <c r="S372">
        <f t="shared" si="98"/>
        <v>3606</v>
      </c>
      <c r="T372" s="64" t="s">
        <v>301</v>
      </c>
      <c r="U372">
        <f t="shared" si="88"/>
        <v>0</v>
      </c>
      <c r="V372">
        <f t="shared" si="93"/>
        <v>85</v>
      </c>
      <c r="W372">
        <f t="shared" si="94"/>
        <v>4510</v>
      </c>
      <c r="X372" t="str">
        <f t="shared" si="95"/>
        <v/>
      </c>
      <c r="Z372" s="65" t="str">
        <f t="shared" si="99"/>
        <v>68,3606</v>
      </c>
      <c r="AA372" s="8" t="s">
        <v>285</v>
      </c>
      <c r="AB372" t="str">
        <f t="shared" si="100"/>
        <v>85,4510</v>
      </c>
      <c r="AF372" s="37" t="s">
        <v>112</v>
      </c>
    </row>
    <row r="373" ht="16.25" spans="1:32">
      <c r="A373" s="31">
        <v>402</v>
      </c>
      <c r="B373" s="102">
        <v>260904</v>
      </c>
      <c r="C373" s="68" t="s">
        <v>227</v>
      </c>
      <c r="D373" s="69">
        <v>85</v>
      </c>
      <c r="E373" s="69">
        <v>4507</v>
      </c>
      <c r="F373" s="69"/>
      <c r="G373" s="70"/>
      <c r="H373" s="68">
        <v>3</v>
      </c>
      <c r="I373" s="70">
        <v>2</v>
      </c>
      <c r="J373" s="70"/>
      <c r="K373" s="84">
        <f t="shared" si="89"/>
        <v>85</v>
      </c>
      <c r="L373" s="84">
        <f t="shared" si="90"/>
        <v>4507</v>
      </c>
      <c r="M373" s="84" t="str">
        <f t="shared" si="91"/>
        <v/>
      </c>
      <c r="N373" s="84" t="str">
        <f t="shared" si="92"/>
        <v/>
      </c>
      <c r="P373">
        <f t="shared" si="101"/>
        <v>160904</v>
      </c>
      <c r="Q373">
        <f t="shared" si="97"/>
        <v>68</v>
      </c>
      <c r="R373" s="64" t="s">
        <v>301</v>
      </c>
      <c r="S373">
        <f t="shared" si="98"/>
        <v>3606</v>
      </c>
      <c r="T373" s="64" t="s">
        <v>301</v>
      </c>
      <c r="U373">
        <f t="shared" si="88"/>
        <v>0</v>
      </c>
      <c r="V373">
        <f t="shared" si="93"/>
        <v>85</v>
      </c>
      <c r="W373">
        <f t="shared" si="94"/>
        <v>4510</v>
      </c>
      <c r="X373" t="str">
        <f t="shared" si="95"/>
        <v/>
      </c>
      <c r="Z373" s="65" t="str">
        <f t="shared" si="99"/>
        <v>68,3606</v>
      </c>
      <c r="AA373" s="8" t="s">
        <v>285</v>
      </c>
      <c r="AB373" t="str">
        <f t="shared" si="100"/>
        <v>85,4510</v>
      </c>
      <c r="AF373" s="37" t="s">
        <v>116</v>
      </c>
    </row>
    <row r="374" ht="16.25" spans="1:32">
      <c r="A374" s="31">
        <v>403</v>
      </c>
      <c r="B374" s="102">
        <v>250104</v>
      </c>
      <c r="C374" s="71">
        <v>10</v>
      </c>
      <c r="D374" s="71">
        <v>0.0204</v>
      </c>
      <c r="E374" s="71"/>
      <c r="F374" s="71"/>
      <c r="G374" s="72"/>
      <c r="H374" s="71">
        <v>10</v>
      </c>
      <c r="I374" s="72"/>
      <c r="J374" s="72"/>
      <c r="K374" s="84">
        <f t="shared" si="89"/>
        <v>0.1224</v>
      </c>
      <c r="L374" s="84" t="str">
        <f t="shared" si="90"/>
        <v/>
      </c>
      <c r="M374" s="84" t="str">
        <f t="shared" si="91"/>
        <v/>
      </c>
      <c r="N374" s="84" t="str">
        <f t="shared" si="92"/>
        <v/>
      </c>
      <c r="P374">
        <f t="shared" si="101"/>
        <v>150104</v>
      </c>
      <c r="Q374">
        <f t="shared" ref="Q350:Q437" si="102">ROUND(D374*0.8,4)</f>
        <v>0.0163</v>
      </c>
      <c r="R374" s="64" t="s">
        <v>301</v>
      </c>
      <c r="S374">
        <f t="shared" ref="S369:S432" si="103">ROUND(E374*$Q$1,4)</f>
        <v>0</v>
      </c>
      <c r="T374" s="64" t="s">
        <v>301</v>
      </c>
      <c r="U374">
        <f t="shared" si="88"/>
        <v>0</v>
      </c>
      <c r="V374">
        <f t="shared" si="93"/>
        <v>0.1224</v>
      </c>
      <c r="W374" t="str">
        <f t="shared" si="94"/>
        <v/>
      </c>
      <c r="X374" t="str">
        <f t="shared" si="95"/>
        <v/>
      </c>
      <c r="Z374" s="65" t="str">
        <f t="shared" ref="Z374:Z396" si="104">Q374&amp;R374&amp;S374&amp;T374&amp;U374</f>
        <v>0.0163,0,0</v>
      </c>
      <c r="AA374" s="8">
        <v>0.0163</v>
      </c>
      <c r="AB374" t="str">
        <f t="shared" si="100"/>
        <v>0.1224</v>
      </c>
      <c r="AF374" s="37" t="s">
        <v>48</v>
      </c>
    </row>
    <row r="375" ht="16.25" spans="1:32">
      <c r="A375" s="31">
        <v>403</v>
      </c>
      <c r="B375" s="102">
        <v>250204</v>
      </c>
      <c r="C375" s="71" t="s">
        <v>286</v>
      </c>
      <c r="D375" s="71">
        <v>0.0051</v>
      </c>
      <c r="E375" s="71">
        <v>0.0161</v>
      </c>
      <c r="F375" s="71"/>
      <c r="G375" s="72"/>
      <c r="H375" s="71">
        <v>10</v>
      </c>
      <c r="I375" s="72">
        <v>35</v>
      </c>
      <c r="J375" s="72"/>
      <c r="K375" s="84">
        <f t="shared" si="89"/>
        <v>0.0306</v>
      </c>
      <c r="L375" s="84">
        <f t="shared" si="90"/>
        <v>0.0966</v>
      </c>
      <c r="M375" s="84" t="str">
        <f t="shared" si="91"/>
        <v/>
      </c>
      <c r="N375" s="84" t="str">
        <f t="shared" si="92"/>
        <v/>
      </c>
      <c r="P375">
        <f t="shared" si="101"/>
        <v>150204</v>
      </c>
      <c r="Q375">
        <f t="shared" si="102"/>
        <v>0.0041</v>
      </c>
      <c r="R375" s="64" t="s">
        <v>301</v>
      </c>
      <c r="S375">
        <f t="shared" si="103"/>
        <v>0.0129</v>
      </c>
      <c r="T375" s="64" t="s">
        <v>301</v>
      </c>
      <c r="U375">
        <f t="shared" ref="U375:U437" si="105">ROUND(F375*$Q$1,4)</f>
        <v>0</v>
      </c>
      <c r="V375">
        <f t="shared" si="93"/>
        <v>0.0306</v>
      </c>
      <c r="W375">
        <f t="shared" si="94"/>
        <v>0.0966</v>
      </c>
      <c r="X375" t="str">
        <f t="shared" si="95"/>
        <v/>
      </c>
      <c r="Z375" s="65" t="str">
        <f t="shared" si="104"/>
        <v>0.0041,0.0129,0</v>
      </c>
      <c r="AA375" s="8" t="s">
        <v>287</v>
      </c>
      <c r="AB375" t="str">
        <f t="shared" si="100"/>
        <v>0.0306,0.0966</v>
      </c>
      <c r="AF375" s="37" t="s">
        <v>52</v>
      </c>
    </row>
    <row r="376" ht="16.25" spans="1:32">
      <c r="A376" s="31">
        <v>403</v>
      </c>
      <c r="B376" s="102">
        <v>250304</v>
      </c>
      <c r="C376" s="71" t="s">
        <v>288</v>
      </c>
      <c r="D376" s="71">
        <v>0.0094</v>
      </c>
      <c r="E376" s="71">
        <v>0.0129</v>
      </c>
      <c r="F376" s="71"/>
      <c r="G376" s="72"/>
      <c r="H376" s="71">
        <v>5</v>
      </c>
      <c r="I376" s="72">
        <v>26</v>
      </c>
      <c r="J376" s="72"/>
      <c r="K376" s="84">
        <f t="shared" si="89"/>
        <v>0.0564</v>
      </c>
      <c r="L376" s="84">
        <f t="shared" si="90"/>
        <v>0.0774</v>
      </c>
      <c r="M376" s="84" t="str">
        <f t="shared" si="91"/>
        <v/>
      </c>
      <c r="N376" s="84" t="str">
        <f t="shared" si="92"/>
        <v/>
      </c>
      <c r="P376">
        <f t="shared" si="101"/>
        <v>150304</v>
      </c>
      <c r="Q376">
        <f t="shared" si="102"/>
        <v>0.0075</v>
      </c>
      <c r="R376" s="64" t="s">
        <v>301</v>
      </c>
      <c r="S376">
        <f t="shared" si="103"/>
        <v>0.0103</v>
      </c>
      <c r="T376" s="64" t="s">
        <v>301</v>
      </c>
      <c r="U376">
        <f t="shared" si="105"/>
        <v>0</v>
      </c>
      <c r="V376">
        <f t="shared" si="93"/>
        <v>0.0564</v>
      </c>
      <c r="W376">
        <f t="shared" si="94"/>
        <v>0.0774</v>
      </c>
      <c r="X376" t="str">
        <f t="shared" si="95"/>
        <v/>
      </c>
      <c r="Z376" s="65" t="str">
        <f t="shared" si="104"/>
        <v>0.0075,0.0103,0</v>
      </c>
      <c r="AA376" s="8" t="s">
        <v>289</v>
      </c>
      <c r="AB376" t="str">
        <f t="shared" si="100"/>
        <v>0.0564,0.0774</v>
      </c>
      <c r="AF376" s="37" t="s">
        <v>56</v>
      </c>
    </row>
    <row r="377" ht="16.25" spans="1:32">
      <c r="A377" s="31">
        <v>403</v>
      </c>
      <c r="B377" s="102">
        <v>250404</v>
      </c>
      <c r="C377" s="71">
        <v>5</v>
      </c>
      <c r="D377" s="73">
        <v>0.015</v>
      </c>
      <c r="E377" s="73"/>
      <c r="F377" s="73"/>
      <c r="G377" s="74"/>
      <c r="H377" s="71">
        <v>5</v>
      </c>
      <c r="I377" s="74"/>
      <c r="J377" s="74"/>
      <c r="K377" s="84">
        <f t="shared" si="89"/>
        <v>0.09</v>
      </c>
      <c r="L377" s="84" t="str">
        <f t="shared" si="90"/>
        <v/>
      </c>
      <c r="M377" s="84" t="str">
        <f t="shared" si="91"/>
        <v/>
      </c>
      <c r="N377" s="84" t="str">
        <f t="shared" si="92"/>
        <v/>
      </c>
      <c r="P377">
        <f t="shared" si="101"/>
        <v>150404</v>
      </c>
      <c r="Q377">
        <f t="shared" si="102"/>
        <v>0.012</v>
      </c>
      <c r="R377" s="64" t="s">
        <v>301</v>
      </c>
      <c r="S377">
        <f t="shared" si="103"/>
        <v>0</v>
      </c>
      <c r="T377" s="64" t="s">
        <v>301</v>
      </c>
      <c r="U377">
        <f t="shared" si="105"/>
        <v>0</v>
      </c>
      <c r="V377">
        <f t="shared" si="93"/>
        <v>0.09</v>
      </c>
      <c r="W377" t="str">
        <f t="shared" si="94"/>
        <v/>
      </c>
      <c r="X377" t="str">
        <f t="shared" si="95"/>
        <v/>
      </c>
      <c r="Z377" s="65" t="str">
        <f t="shared" si="104"/>
        <v>0.012,0,0</v>
      </c>
      <c r="AA377" s="8">
        <v>0.012</v>
      </c>
      <c r="AB377" t="str">
        <f t="shared" si="100"/>
        <v>0.09</v>
      </c>
      <c r="AF377" s="37" t="s">
        <v>60</v>
      </c>
    </row>
    <row r="378" ht="16.25" spans="1:32">
      <c r="A378" s="31">
        <v>403</v>
      </c>
      <c r="B378" s="102">
        <v>250504</v>
      </c>
      <c r="C378" s="71">
        <v>7</v>
      </c>
      <c r="D378" s="73">
        <v>0.0042</v>
      </c>
      <c r="E378" s="73"/>
      <c r="F378" s="73"/>
      <c r="G378" s="74"/>
      <c r="H378" s="71">
        <v>7</v>
      </c>
      <c r="I378" s="74"/>
      <c r="J378" s="74"/>
      <c r="K378" s="84">
        <f t="shared" si="89"/>
        <v>0.0252</v>
      </c>
      <c r="L378" s="84" t="str">
        <f t="shared" si="90"/>
        <v/>
      </c>
      <c r="M378" s="84" t="str">
        <f t="shared" si="91"/>
        <v/>
      </c>
      <c r="N378" s="84" t="str">
        <f t="shared" si="92"/>
        <v/>
      </c>
      <c r="P378">
        <f t="shared" si="101"/>
        <v>150504</v>
      </c>
      <c r="Q378">
        <f t="shared" si="102"/>
        <v>0.0034</v>
      </c>
      <c r="R378" s="64" t="s">
        <v>301</v>
      </c>
      <c r="S378">
        <f t="shared" si="103"/>
        <v>0</v>
      </c>
      <c r="T378" s="64" t="s">
        <v>301</v>
      </c>
      <c r="U378">
        <f t="shared" si="105"/>
        <v>0</v>
      </c>
      <c r="V378">
        <f t="shared" si="93"/>
        <v>0.0252</v>
      </c>
      <c r="W378" t="str">
        <f t="shared" si="94"/>
        <v/>
      </c>
      <c r="X378" t="str">
        <f t="shared" si="95"/>
        <v/>
      </c>
      <c r="Z378" s="65" t="str">
        <f t="shared" si="104"/>
        <v>0.0034,0,0</v>
      </c>
      <c r="AA378" s="8">
        <v>0.0034</v>
      </c>
      <c r="AB378" t="str">
        <f t="shared" si="100"/>
        <v>0.0252</v>
      </c>
      <c r="AF378" s="37" t="s">
        <v>64</v>
      </c>
    </row>
    <row r="379" ht="16.25" spans="1:32">
      <c r="A379" s="31">
        <v>403</v>
      </c>
      <c r="B379" s="102">
        <v>250604</v>
      </c>
      <c r="C379" s="71">
        <v>7</v>
      </c>
      <c r="D379" s="73">
        <v>0.0021</v>
      </c>
      <c r="E379" s="73"/>
      <c r="F379" s="73"/>
      <c r="G379" s="74"/>
      <c r="H379" s="71">
        <v>7</v>
      </c>
      <c r="I379" s="74"/>
      <c r="J379" s="74"/>
      <c r="K379" s="84">
        <f t="shared" si="89"/>
        <v>0.0126</v>
      </c>
      <c r="L379" s="84" t="str">
        <f t="shared" si="90"/>
        <v/>
      </c>
      <c r="M379" s="84" t="str">
        <f t="shared" si="91"/>
        <v/>
      </c>
      <c r="N379" s="84" t="str">
        <f t="shared" si="92"/>
        <v/>
      </c>
      <c r="P379">
        <f t="shared" si="101"/>
        <v>150604</v>
      </c>
      <c r="Q379">
        <f t="shared" si="102"/>
        <v>0.0017</v>
      </c>
      <c r="R379" s="64" t="s">
        <v>301</v>
      </c>
      <c r="S379">
        <f t="shared" si="103"/>
        <v>0</v>
      </c>
      <c r="T379" s="64" t="s">
        <v>301</v>
      </c>
      <c r="U379">
        <f t="shared" si="105"/>
        <v>0</v>
      </c>
      <c r="V379">
        <f t="shared" si="93"/>
        <v>0.0126</v>
      </c>
      <c r="W379" t="str">
        <f t="shared" si="94"/>
        <v/>
      </c>
      <c r="X379" t="str">
        <f t="shared" si="95"/>
        <v/>
      </c>
      <c r="Z379" s="65" t="str">
        <f t="shared" si="104"/>
        <v>0.0017,0,0</v>
      </c>
      <c r="AA379" s="8">
        <v>0.0017</v>
      </c>
      <c r="AB379" t="str">
        <f t="shared" si="100"/>
        <v>0.0126</v>
      </c>
      <c r="AF379" s="37" t="s">
        <v>68</v>
      </c>
    </row>
    <row r="380" ht="16.25" spans="1:32">
      <c r="A380" s="31">
        <v>403</v>
      </c>
      <c r="B380" s="102">
        <v>250704</v>
      </c>
      <c r="C380" s="71">
        <v>7</v>
      </c>
      <c r="D380" s="73">
        <v>0.0215</v>
      </c>
      <c r="E380" s="73"/>
      <c r="F380" s="73"/>
      <c r="G380" s="74"/>
      <c r="H380" s="71">
        <v>7</v>
      </c>
      <c r="I380" s="74"/>
      <c r="J380" s="74"/>
      <c r="K380" s="84">
        <f t="shared" si="89"/>
        <v>0.129</v>
      </c>
      <c r="L380" s="84" t="str">
        <f t="shared" si="90"/>
        <v/>
      </c>
      <c r="M380" s="84" t="str">
        <f t="shared" si="91"/>
        <v/>
      </c>
      <c r="N380" s="84" t="str">
        <f t="shared" si="92"/>
        <v/>
      </c>
      <c r="P380">
        <f t="shared" si="101"/>
        <v>150704</v>
      </c>
      <c r="Q380">
        <f t="shared" si="102"/>
        <v>0.0172</v>
      </c>
      <c r="R380" s="64" t="s">
        <v>301</v>
      </c>
      <c r="S380">
        <f t="shared" si="103"/>
        <v>0</v>
      </c>
      <c r="T380" s="64" t="s">
        <v>301</v>
      </c>
      <c r="U380">
        <f t="shared" si="105"/>
        <v>0</v>
      </c>
      <c r="V380">
        <f t="shared" si="93"/>
        <v>0.129</v>
      </c>
      <c r="W380" t="str">
        <f t="shared" si="94"/>
        <v/>
      </c>
      <c r="X380" t="str">
        <f t="shared" si="95"/>
        <v/>
      </c>
      <c r="Z380" s="65" t="str">
        <f t="shared" si="104"/>
        <v>0.0172,0,0</v>
      </c>
      <c r="AA380" s="8">
        <v>0.0172</v>
      </c>
      <c r="AB380" t="str">
        <f t="shared" si="100"/>
        <v>0.129</v>
      </c>
      <c r="AF380" s="37" t="s">
        <v>72</v>
      </c>
    </row>
    <row r="381" ht="16.25" spans="1:32">
      <c r="A381" s="31">
        <v>403</v>
      </c>
      <c r="B381" s="102">
        <v>250804</v>
      </c>
      <c r="C381" s="71" t="s">
        <v>290</v>
      </c>
      <c r="D381" s="71">
        <v>0.0026</v>
      </c>
      <c r="E381" s="71">
        <v>0.0054</v>
      </c>
      <c r="F381" s="71">
        <v>0.009</v>
      </c>
      <c r="G381" s="72"/>
      <c r="H381" s="71">
        <v>10</v>
      </c>
      <c r="I381" s="72">
        <v>26</v>
      </c>
      <c r="J381" s="72">
        <v>7</v>
      </c>
      <c r="K381" s="84">
        <f t="shared" si="89"/>
        <v>0.0156</v>
      </c>
      <c r="L381" s="84">
        <f t="shared" si="90"/>
        <v>0.0324</v>
      </c>
      <c r="M381" s="84">
        <f t="shared" si="91"/>
        <v>0.054</v>
      </c>
      <c r="N381" s="84" t="str">
        <f t="shared" si="92"/>
        <v/>
      </c>
      <c r="P381">
        <f t="shared" si="101"/>
        <v>150804</v>
      </c>
      <c r="Q381">
        <f t="shared" si="102"/>
        <v>0.0021</v>
      </c>
      <c r="R381" s="64" t="s">
        <v>301</v>
      </c>
      <c r="S381">
        <f t="shared" si="103"/>
        <v>0.0043</v>
      </c>
      <c r="T381" s="64" t="s">
        <v>301</v>
      </c>
      <c r="U381">
        <f t="shared" si="105"/>
        <v>0.0072</v>
      </c>
      <c r="V381">
        <f t="shared" si="93"/>
        <v>0.0156</v>
      </c>
      <c r="W381">
        <f t="shared" si="94"/>
        <v>0.0324</v>
      </c>
      <c r="X381">
        <f t="shared" si="95"/>
        <v>0.054</v>
      </c>
      <c r="Z381" s="65" t="str">
        <f t="shared" si="104"/>
        <v>0.0021,0.0043,0.0072</v>
      </c>
      <c r="AA381" s="8" t="s">
        <v>291</v>
      </c>
      <c r="AB381" t="str">
        <f t="shared" si="100"/>
        <v>0.0156,0.0324,0.054</v>
      </c>
      <c r="AF381" s="37" t="s">
        <v>76</v>
      </c>
    </row>
    <row r="382" ht="16.25" spans="1:32">
      <c r="A382" s="31">
        <v>403</v>
      </c>
      <c r="B382" s="102">
        <v>250904</v>
      </c>
      <c r="C382" s="71" t="s">
        <v>292</v>
      </c>
      <c r="D382" s="71">
        <v>0.009</v>
      </c>
      <c r="E382" s="71">
        <v>0.0026</v>
      </c>
      <c r="F382" s="71"/>
      <c r="G382" s="72"/>
      <c r="H382" s="71">
        <v>7</v>
      </c>
      <c r="I382" s="72">
        <v>10</v>
      </c>
      <c r="J382" s="72"/>
      <c r="K382" s="84">
        <f t="shared" si="89"/>
        <v>0.054</v>
      </c>
      <c r="L382" s="84">
        <f t="shared" si="90"/>
        <v>0.0156</v>
      </c>
      <c r="M382" s="84" t="str">
        <f t="shared" si="91"/>
        <v/>
      </c>
      <c r="N382" s="84" t="str">
        <f t="shared" si="92"/>
        <v/>
      </c>
      <c r="P382">
        <f t="shared" si="101"/>
        <v>150904</v>
      </c>
      <c r="Q382">
        <f t="shared" si="102"/>
        <v>0.0072</v>
      </c>
      <c r="R382" s="64" t="s">
        <v>301</v>
      </c>
      <c r="S382">
        <f t="shared" si="103"/>
        <v>0.0021</v>
      </c>
      <c r="T382" s="64" t="s">
        <v>301</v>
      </c>
      <c r="U382">
        <f t="shared" si="105"/>
        <v>0</v>
      </c>
      <c r="V382">
        <f t="shared" si="93"/>
        <v>0.054</v>
      </c>
      <c r="W382">
        <f t="shared" si="94"/>
        <v>0.0156</v>
      </c>
      <c r="X382" t="str">
        <f t="shared" si="95"/>
        <v/>
      </c>
      <c r="Z382" s="65" t="str">
        <f t="shared" si="104"/>
        <v>0.0072,0.0021,0</v>
      </c>
      <c r="AA382" s="8" t="s">
        <v>293</v>
      </c>
      <c r="AB382" t="str">
        <f t="shared" si="100"/>
        <v>0.054,0.0156</v>
      </c>
      <c r="AF382" s="37" t="s">
        <v>80</v>
      </c>
    </row>
    <row r="383" ht="16.25" spans="1:32">
      <c r="A383" s="31">
        <v>403</v>
      </c>
      <c r="B383" s="102">
        <v>260104</v>
      </c>
      <c r="C383" s="77">
        <v>10</v>
      </c>
      <c r="D383" s="100">
        <v>0.034</v>
      </c>
      <c r="E383" s="100"/>
      <c r="F383" s="100"/>
      <c r="G383" s="101"/>
      <c r="H383" s="77">
        <v>10</v>
      </c>
      <c r="I383" s="101"/>
      <c r="J383" s="101"/>
      <c r="K383" s="84">
        <f t="shared" si="89"/>
        <v>0.204</v>
      </c>
      <c r="L383" s="84" t="str">
        <f t="shared" si="90"/>
        <v/>
      </c>
      <c r="M383" s="84" t="str">
        <f t="shared" si="91"/>
        <v/>
      </c>
      <c r="N383" s="84" t="str">
        <f t="shared" si="92"/>
        <v/>
      </c>
      <c r="P383">
        <f t="shared" si="101"/>
        <v>160104</v>
      </c>
      <c r="Q383">
        <f t="shared" si="102"/>
        <v>0.0272</v>
      </c>
      <c r="R383" s="64" t="s">
        <v>301</v>
      </c>
      <c r="S383">
        <f t="shared" si="103"/>
        <v>0</v>
      </c>
      <c r="T383" s="64" t="s">
        <v>301</v>
      </c>
      <c r="U383">
        <f t="shared" si="105"/>
        <v>0</v>
      </c>
      <c r="V383">
        <f t="shared" si="93"/>
        <v>0.204</v>
      </c>
      <c r="W383" t="str">
        <f t="shared" si="94"/>
        <v/>
      </c>
      <c r="X383" t="str">
        <f t="shared" si="95"/>
        <v/>
      </c>
      <c r="Z383" s="65" t="str">
        <f t="shared" si="104"/>
        <v>0.0272,0,0</v>
      </c>
      <c r="AA383" s="8">
        <v>0.0272</v>
      </c>
      <c r="AB383" t="str">
        <f t="shared" si="100"/>
        <v>0.204</v>
      </c>
      <c r="AF383" s="37" t="s">
        <v>84</v>
      </c>
    </row>
    <row r="384" ht="16.25" spans="1:32">
      <c r="A384" s="31">
        <v>403</v>
      </c>
      <c r="B384" s="102">
        <v>260204</v>
      </c>
      <c r="C384" s="77" t="s">
        <v>286</v>
      </c>
      <c r="D384" s="100">
        <v>0.0085</v>
      </c>
      <c r="E384" s="100">
        <v>0.02</v>
      </c>
      <c r="F384" s="100"/>
      <c r="G384" s="101"/>
      <c r="H384" s="77">
        <v>10</v>
      </c>
      <c r="I384" s="101">
        <v>35</v>
      </c>
      <c r="J384" s="101"/>
      <c r="K384" s="84">
        <f t="shared" si="89"/>
        <v>0.051</v>
      </c>
      <c r="L384" s="84">
        <f t="shared" si="90"/>
        <v>0.12</v>
      </c>
      <c r="M384" s="84" t="str">
        <f t="shared" si="91"/>
        <v/>
      </c>
      <c r="N384" s="84" t="str">
        <f t="shared" si="92"/>
        <v/>
      </c>
      <c r="P384">
        <f t="shared" si="101"/>
        <v>160204</v>
      </c>
      <c r="Q384">
        <f t="shared" si="102"/>
        <v>0.0068</v>
      </c>
      <c r="R384" s="64" t="s">
        <v>301</v>
      </c>
      <c r="S384">
        <f t="shared" si="103"/>
        <v>0.016</v>
      </c>
      <c r="T384" s="64" t="s">
        <v>301</v>
      </c>
      <c r="U384">
        <f t="shared" si="105"/>
        <v>0</v>
      </c>
      <c r="V384">
        <f t="shared" si="93"/>
        <v>0.051</v>
      </c>
      <c r="W384">
        <f t="shared" si="94"/>
        <v>0.12</v>
      </c>
      <c r="X384" t="str">
        <f t="shared" si="95"/>
        <v/>
      </c>
      <c r="Z384" s="65" t="str">
        <f t="shared" si="104"/>
        <v>0.0068,0.016,0</v>
      </c>
      <c r="AA384" s="8" t="s">
        <v>294</v>
      </c>
      <c r="AB384" t="str">
        <f t="shared" si="100"/>
        <v>0.051,0.12</v>
      </c>
      <c r="AF384" s="37" t="s">
        <v>88</v>
      </c>
    </row>
    <row r="385" ht="16.25" spans="1:32">
      <c r="A385" s="31">
        <v>403</v>
      </c>
      <c r="B385" s="102">
        <v>260304</v>
      </c>
      <c r="C385" s="77" t="s">
        <v>288</v>
      </c>
      <c r="D385" s="100">
        <v>0.0157</v>
      </c>
      <c r="E385" s="100">
        <v>0.0215</v>
      </c>
      <c r="F385" s="100"/>
      <c r="G385" s="101"/>
      <c r="H385" s="77">
        <v>5</v>
      </c>
      <c r="I385" s="101">
        <v>26</v>
      </c>
      <c r="J385" s="101"/>
      <c r="K385" s="84">
        <f t="shared" si="89"/>
        <v>0.0942</v>
      </c>
      <c r="L385" s="84">
        <f t="shared" si="90"/>
        <v>0.129</v>
      </c>
      <c r="M385" s="84" t="str">
        <f t="shared" si="91"/>
        <v/>
      </c>
      <c r="N385" s="84" t="str">
        <f t="shared" si="92"/>
        <v/>
      </c>
      <c r="P385">
        <f t="shared" si="101"/>
        <v>160304</v>
      </c>
      <c r="Q385">
        <f t="shared" si="102"/>
        <v>0.0126</v>
      </c>
      <c r="R385" s="64" t="s">
        <v>301</v>
      </c>
      <c r="S385">
        <f t="shared" si="103"/>
        <v>0.0172</v>
      </c>
      <c r="T385" s="64" t="s">
        <v>301</v>
      </c>
      <c r="U385">
        <f t="shared" si="105"/>
        <v>0</v>
      </c>
      <c r="V385">
        <f t="shared" si="93"/>
        <v>0.0942</v>
      </c>
      <c r="W385">
        <f t="shared" si="94"/>
        <v>0.129</v>
      </c>
      <c r="X385" t="str">
        <f t="shared" si="95"/>
        <v/>
      </c>
      <c r="Z385" s="65" t="str">
        <f t="shared" si="104"/>
        <v>0.0126,0.0172,0</v>
      </c>
      <c r="AA385" s="8" t="s">
        <v>295</v>
      </c>
      <c r="AB385" t="str">
        <f t="shared" si="100"/>
        <v>0.0942,0.129</v>
      </c>
      <c r="AF385" s="37" t="s">
        <v>92</v>
      </c>
    </row>
    <row r="386" ht="16.25" spans="1:32">
      <c r="A386" s="31">
        <v>403</v>
      </c>
      <c r="B386" s="102">
        <v>260404</v>
      </c>
      <c r="C386" s="77">
        <v>5</v>
      </c>
      <c r="D386" s="100">
        <v>0.025</v>
      </c>
      <c r="E386" s="100"/>
      <c r="F386" s="100"/>
      <c r="G386" s="101"/>
      <c r="H386" s="77">
        <v>5</v>
      </c>
      <c r="I386" s="101"/>
      <c r="J386" s="101"/>
      <c r="K386" s="84">
        <f t="shared" ref="K386:K393" si="106">IF(D386="","",IF(OR(RIGHT($A386,1)="1",RIGHT($A386,1)="2"),D386,IF(H386=4,D386*2,D386*6)))</f>
        <v>0.15</v>
      </c>
      <c r="L386" s="84" t="str">
        <f t="shared" ref="L386:L393" si="107">IF(E386="","",IF(OR(RIGHT($A386,1)="1",RIGHT($A386,1)="2"),E386,IF(I386=4,E386*2,E386*6)))</f>
        <v/>
      </c>
      <c r="M386" s="84" t="str">
        <f t="shared" ref="M386:M393" si="108">IF(F386="","",IF(OR(RIGHT($A386,1)="1",RIGHT($A386,1)="2"),F386,IF(J386=4,F386*2,F386*6)))</f>
        <v/>
      </c>
      <c r="N386" s="84" t="str">
        <f t="shared" ref="N386:N390" si="109">IF(G386="","",IF(OR(RIGHT($A386,1)="1",RIGHT($A386,1)="2"),G386,IF(J386=4,G386*2,G386*6)))</f>
        <v/>
      </c>
      <c r="P386">
        <f t="shared" ref="P386:P420" si="110">B386-100000</f>
        <v>160404</v>
      </c>
      <c r="Q386">
        <f t="shared" si="102"/>
        <v>0.02</v>
      </c>
      <c r="R386" s="64" t="s">
        <v>301</v>
      </c>
      <c r="S386">
        <f t="shared" si="103"/>
        <v>0</v>
      </c>
      <c r="T386" s="64" t="s">
        <v>301</v>
      </c>
      <c r="U386">
        <f t="shared" si="105"/>
        <v>0</v>
      </c>
      <c r="V386">
        <f t="shared" si="93"/>
        <v>0.15</v>
      </c>
      <c r="W386" t="str">
        <f t="shared" si="94"/>
        <v/>
      </c>
      <c r="X386" t="str">
        <f t="shared" si="95"/>
        <v/>
      </c>
      <c r="Z386" s="65" t="str">
        <f t="shared" si="104"/>
        <v>0.02,0,0</v>
      </c>
      <c r="AA386" s="8">
        <v>0.02</v>
      </c>
      <c r="AB386" t="str">
        <f t="shared" si="100"/>
        <v>0.15</v>
      </c>
      <c r="AF386" s="37" t="s">
        <v>96</v>
      </c>
    </row>
    <row r="387" ht="16.25" spans="1:32">
      <c r="A387" s="31">
        <v>403</v>
      </c>
      <c r="B387" s="102">
        <v>260504</v>
      </c>
      <c r="C387" s="77">
        <v>7</v>
      </c>
      <c r="D387" s="100">
        <v>0.0072</v>
      </c>
      <c r="E387" s="100"/>
      <c r="F387" s="100"/>
      <c r="G387" s="101"/>
      <c r="H387" s="77">
        <v>7</v>
      </c>
      <c r="I387" s="101"/>
      <c r="J387" s="101"/>
      <c r="K387" s="84">
        <f t="shared" si="106"/>
        <v>0.0432</v>
      </c>
      <c r="L387" s="84" t="str">
        <f t="shared" si="107"/>
        <v/>
      </c>
      <c r="M387" s="84" t="str">
        <f t="shared" si="108"/>
        <v/>
      </c>
      <c r="N387" s="84" t="str">
        <f t="shared" si="109"/>
        <v/>
      </c>
      <c r="P387">
        <f t="shared" si="110"/>
        <v>160504</v>
      </c>
      <c r="Q387">
        <f t="shared" si="102"/>
        <v>0.0058</v>
      </c>
      <c r="R387" s="64" t="s">
        <v>301</v>
      </c>
      <c r="S387">
        <f t="shared" si="103"/>
        <v>0</v>
      </c>
      <c r="T387" s="64" t="s">
        <v>301</v>
      </c>
      <c r="U387">
        <f t="shared" si="105"/>
        <v>0</v>
      </c>
      <c r="V387">
        <f t="shared" ref="V387:V450" si="111">IF(K387="","",IF(K387&lt;1,ROUND(K387,4),CEILING(K387,5)))</f>
        <v>0.0432</v>
      </c>
      <c r="W387" t="str">
        <f t="shared" ref="W387:W450" si="112">IF(L387="","",IF(L387&lt;1,ROUND(L387,4),CEILING(L387,5)))</f>
        <v/>
      </c>
      <c r="X387" t="str">
        <f t="shared" ref="X387:X450" si="113">IF(M387="","",IF(M387&lt;1,ROUND(M387,4),CEILING(M387,5)))</f>
        <v/>
      </c>
      <c r="Z387" s="65" t="str">
        <f t="shared" si="104"/>
        <v>0.0058,0,0</v>
      </c>
      <c r="AA387" s="8">
        <v>0.0058</v>
      </c>
      <c r="AB387" t="str">
        <f t="shared" si="100"/>
        <v>0.0432</v>
      </c>
      <c r="AF387" s="37" t="s">
        <v>100</v>
      </c>
    </row>
    <row r="388" ht="16.25" spans="1:32">
      <c r="A388" s="31">
        <v>403</v>
      </c>
      <c r="B388" s="102">
        <v>260604</v>
      </c>
      <c r="C388" s="77">
        <v>7</v>
      </c>
      <c r="D388" s="100">
        <v>0.0036</v>
      </c>
      <c r="E388" s="100"/>
      <c r="F388" s="100"/>
      <c r="G388" s="101"/>
      <c r="H388" s="77">
        <v>7</v>
      </c>
      <c r="I388" s="101"/>
      <c r="J388" s="101"/>
      <c r="K388" s="84">
        <f t="shared" si="106"/>
        <v>0.0216</v>
      </c>
      <c r="L388" s="84" t="str">
        <f t="shared" si="107"/>
        <v/>
      </c>
      <c r="M388" s="84" t="str">
        <f t="shared" si="108"/>
        <v/>
      </c>
      <c r="N388" s="84" t="str">
        <f t="shared" si="109"/>
        <v/>
      </c>
      <c r="P388">
        <f t="shared" si="110"/>
        <v>160604</v>
      </c>
      <c r="Q388">
        <f t="shared" si="102"/>
        <v>0.0029</v>
      </c>
      <c r="R388" s="64" t="s">
        <v>301</v>
      </c>
      <c r="S388">
        <f t="shared" si="103"/>
        <v>0</v>
      </c>
      <c r="T388" s="64" t="s">
        <v>301</v>
      </c>
      <c r="U388">
        <f t="shared" si="105"/>
        <v>0</v>
      </c>
      <c r="V388">
        <f t="shared" si="111"/>
        <v>0.0216</v>
      </c>
      <c r="W388" t="str">
        <f t="shared" si="112"/>
        <v/>
      </c>
      <c r="X388" t="str">
        <f t="shared" si="113"/>
        <v/>
      </c>
      <c r="Z388" s="65" t="str">
        <f t="shared" si="104"/>
        <v>0.0029,0,0</v>
      </c>
      <c r="AA388" s="8">
        <v>0.0029</v>
      </c>
      <c r="AB388" t="str">
        <f t="shared" si="100"/>
        <v>0.0216</v>
      </c>
      <c r="AF388" s="37" t="s">
        <v>104</v>
      </c>
    </row>
    <row r="389" ht="16.25" spans="1:32">
      <c r="A389" s="31">
        <v>403</v>
      </c>
      <c r="B389" s="102">
        <v>260704</v>
      </c>
      <c r="C389" s="77">
        <v>7</v>
      </c>
      <c r="D389" s="100">
        <v>0.0036</v>
      </c>
      <c r="E389" s="100"/>
      <c r="F389" s="100"/>
      <c r="G389" s="101"/>
      <c r="H389" s="77">
        <v>7</v>
      </c>
      <c r="I389" s="101"/>
      <c r="J389" s="101"/>
      <c r="K389" s="84">
        <f t="shared" si="106"/>
        <v>0.0216</v>
      </c>
      <c r="L389" s="84" t="str">
        <f t="shared" si="107"/>
        <v/>
      </c>
      <c r="M389" s="84" t="str">
        <f t="shared" si="108"/>
        <v/>
      </c>
      <c r="N389" s="84" t="str">
        <f t="shared" si="109"/>
        <v/>
      </c>
      <c r="P389">
        <f t="shared" si="110"/>
        <v>160704</v>
      </c>
      <c r="Q389">
        <f t="shared" si="102"/>
        <v>0.0029</v>
      </c>
      <c r="R389" s="64" t="s">
        <v>301</v>
      </c>
      <c r="S389">
        <f t="shared" si="103"/>
        <v>0</v>
      </c>
      <c r="T389" s="64" t="s">
        <v>301</v>
      </c>
      <c r="U389">
        <f t="shared" si="105"/>
        <v>0</v>
      </c>
      <c r="V389">
        <f t="shared" si="111"/>
        <v>0.0216</v>
      </c>
      <c r="W389" t="str">
        <f t="shared" si="112"/>
        <v/>
      </c>
      <c r="X389" t="str">
        <f t="shared" si="113"/>
        <v/>
      </c>
      <c r="Z389" s="65" t="str">
        <f t="shared" si="104"/>
        <v>0.0029,0,0</v>
      </c>
      <c r="AA389" s="8">
        <v>0.0029</v>
      </c>
      <c r="AB389" t="str">
        <f t="shared" si="100"/>
        <v>0.0216</v>
      </c>
      <c r="AF389" s="37" t="s">
        <v>108</v>
      </c>
    </row>
    <row r="390" ht="16.25" spans="1:32">
      <c r="A390" s="31">
        <v>403</v>
      </c>
      <c r="B390" s="102">
        <v>260804</v>
      </c>
      <c r="C390" s="77" t="s">
        <v>290</v>
      </c>
      <c r="D390" s="100">
        <v>0.0043</v>
      </c>
      <c r="E390" s="100">
        <v>0.009</v>
      </c>
      <c r="F390" s="100">
        <v>0.0149</v>
      </c>
      <c r="G390" s="101"/>
      <c r="H390" s="77">
        <v>10</v>
      </c>
      <c r="I390" s="101">
        <v>26</v>
      </c>
      <c r="J390" s="101">
        <v>7</v>
      </c>
      <c r="K390" s="84">
        <f t="shared" si="106"/>
        <v>0.0258</v>
      </c>
      <c r="L390" s="84">
        <f t="shared" si="107"/>
        <v>0.054</v>
      </c>
      <c r="M390" s="84">
        <f t="shared" si="108"/>
        <v>0.0894</v>
      </c>
      <c r="N390" s="84" t="str">
        <f t="shared" si="109"/>
        <v/>
      </c>
      <c r="P390">
        <f t="shared" si="110"/>
        <v>160804</v>
      </c>
      <c r="Q390">
        <f t="shared" si="102"/>
        <v>0.0034</v>
      </c>
      <c r="R390" s="64" t="s">
        <v>301</v>
      </c>
      <c r="S390">
        <f t="shared" si="103"/>
        <v>0.0072</v>
      </c>
      <c r="T390" s="64" t="s">
        <v>301</v>
      </c>
      <c r="U390">
        <f t="shared" si="105"/>
        <v>0.0119</v>
      </c>
      <c r="V390">
        <f t="shared" si="111"/>
        <v>0.0258</v>
      </c>
      <c r="W390">
        <f t="shared" si="112"/>
        <v>0.054</v>
      </c>
      <c r="X390">
        <f t="shared" si="113"/>
        <v>0.0894</v>
      </c>
      <c r="Z390" s="65" t="str">
        <f t="shared" si="104"/>
        <v>0.0034,0.0072,0.0119</v>
      </c>
      <c r="AA390" s="8" t="s">
        <v>296</v>
      </c>
      <c r="AB390" t="str">
        <f t="shared" si="100"/>
        <v>0.0258,0.054,0.0894</v>
      </c>
      <c r="AF390" s="37" t="s">
        <v>112</v>
      </c>
    </row>
    <row r="391" ht="16.25" spans="1:32">
      <c r="A391" s="31">
        <v>403</v>
      </c>
      <c r="B391" s="102">
        <v>260904</v>
      </c>
      <c r="C391" s="77" t="s">
        <v>292</v>
      </c>
      <c r="D391" s="100">
        <v>0.0149</v>
      </c>
      <c r="E391" s="100">
        <v>0.0043</v>
      </c>
      <c r="F391" s="100"/>
      <c r="G391" s="101"/>
      <c r="H391" s="77">
        <v>7</v>
      </c>
      <c r="I391" s="101">
        <v>10</v>
      </c>
      <c r="J391" s="101"/>
      <c r="K391" s="84">
        <f t="shared" si="106"/>
        <v>0.0894</v>
      </c>
      <c r="L391" s="84">
        <f t="shared" si="107"/>
        <v>0.0258</v>
      </c>
      <c r="M391" s="84" t="str">
        <f t="shared" si="108"/>
        <v/>
      </c>
      <c r="N391" s="72" t="str">
        <f t="shared" ref="N374:N437" si="114">IF(G391="","",IF($C391=4,G391*2,G391*6))</f>
        <v/>
      </c>
      <c r="P391">
        <f t="shared" si="110"/>
        <v>160904</v>
      </c>
      <c r="Q391">
        <f t="shared" si="102"/>
        <v>0.0119</v>
      </c>
      <c r="R391" s="64" t="s">
        <v>301</v>
      </c>
      <c r="S391">
        <f t="shared" si="103"/>
        <v>0.0034</v>
      </c>
      <c r="T391" s="64" t="s">
        <v>301</v>
      </c>
      <c r="U391">
        <f t="shared" si="105"/>
        <v>0</v>
      </c>
      <c r="V391">
        <f t="shared" si="111"/>
        <v>0.0894</v>
      </c>
      <c r="W391">
        <f t="shared" si="112"/>
        <v>0.0258</v>
      </c>
      <c r="X391" t="str">
        <f t="shared" si="113"/>
        <v/>
      </c>
      <c r="Z391" s="65" t="str">
        <f t="shared" si="104"/>
        <v>0.0119,0.0034,0</v>
      </c>
      <c r="AA391" s="8" t="s">
        <v>297</v>
      </c>
      <c r="AB391" t="str">
        <f t="shared" si="100"/>
        <v>0.0894,0.0258</v>
      </c>
      <c r="AF391" s="37" t="s">
        <v>116</v>
      </c>
    </row>
    <row r="392" ht="16.25" spans="1:32">
      <c r="A392" s="31">
        <v>404</v>
      </c>
      <c r="B392" s="80">
        <v>250104</v>
      </c>
      <c r="C392" s="68">
        <v>10</v>
      </c>
      <c r="D392" s="81">
        <v>0.0389</v>
      </c>
      <c r="E392" s="81"/>
      <c r="F392" s="81"/>
      <c r="G392" s="82"/>
      <c r="H392" s="68">
        <v>10</v>
      </c>
      <c r="I392" s="82"/>
      <c r="J392" s="82"/>
      <c r="K392" s="84">
        <f t="shared" si="106"/>
        <v>0.2334</v>
      </c>
      <c r="L392" s="84" t="str">
        <f t="shared" si="107"/>
        <v/>
      </c>
      <c r="M392" s="84" t="str">
        <f t="shared" si="108"/>
        <v/>
      </c>
      <c r="N392" s="72" t="str">
        <f t="shared" si="114"/>
        <v/>
      </c>
      <c r="P392">
        <f t="shared" si="110"/>
        <v>150104</v>
      </c>
      <c r="Q392">
        <f t="shared" si="102"/>
        <v>0.0311</v>
      </c>
      <c r="R392" s="64" t="s">
        <v>301</v>
      </c>
      <c r="S392">
        <f t="shared" si="103"/>
        <v>0</v>
      </c>
      <c r="T392" s="64" t="s">
        <v>301</v>
      </c>
      <c r="U392">
        <f t="shared" si="105"/>
        <v>0</v>
      </c>
      <c r="V392">
        <f t="shared" si="111"/>
        <v>0.2334</v>
      </c>
      <c r="W392" t="str">
        <f t="shared" si="112"/>
        <v/>
      </c>
      <c r="X392" t="str">
        <f t="shared" si="113"/>
        <v/>
      </c>
      <c r="Z392" s="65" t="str">
        <f t="shared" si="104"/>
        <v>0.0311,0,0</v>
      </c>
      <c r="AA392" s="8">
        <v>0.0311</v>
      </c>
      <c r="AB392" t="str">
        <f t="shared" si="100"/>
        <v>0.2334</v>
      </c>
      <c r="AF392" s="38" t="s">
        <v>48</v>
      </c>
    </row>
    <row r="393" ht="16.25" spans="1:32">
      <c r="A393" s="31">
        <v>404</v>
      </c>
      <c r="B393" s="80">
        <v>250104</v>
      </c>
      <c r="C393" s="68">
        <v>4</v>
      </c>
      <c r="D393" s="81">
        <v>14.57</v>
      </c>
      <c r="E393" s="81"/>
      <c r="F393" s="81"/>
      <c r="G393" s="82"/>
      <c r="H393" s="68">
        <v>4</v>
      </c>
      <c r="I393" s="82"/>
      <c r="J393" s="82"/>
      <c r="K393" s="84">
        <f t="shared" si="106"/>
        <v>29.14</v>
      </c>
      <c r="L393" s="84" t="str">
        <f t="shared" si="107"/>
        <v/>
      </c>
      <c r="M393" s="84" t="str">
        <f t="shared" si="108"/>
        <v/>
      </c>
      <c r="N393" s="72" t="str">
        <f t="shared" si="114"/>
        <v/>
      </c>
      <c r="P393">
        <f t="shared" si="110"/>
        <v>150104</v>
      </c>
      <c r="Q393">
        <f t="shared" si="102"/>
        <v>11.656</v>
      </c>
      <c r="R393" s="64" t="s">
        <v>301</v>
      </c>
      <c r="S393">
        <f t="shared" si="103"/>
        <v>0</v>
      </c>
      <c r="T393" s="64" t="s">
        <v>301</v>
      </c>
      <c r="U393">
        <f t="shared" si="105"/>
        <v>0</v>
      </c>
      <c r="V393">
        <f t="shared" si="111"/>
        <v>30</v>
      </c>
      <c r="W393" t="str">
        <f t="shared" si="112"/>
        <v/>
      </c>
      <c r="X393" t="str">
        <f t="shared" si="113"/>
        <v/>
      </c>
      <c r="Z393" s="65" t="str">
        <f t="shared" si="104"/>
        <v>11.656,0,0</v>
      </c>
      <c r="AA393" s="8">
        <v>11.656</v>
      </c>
      <c r="AB393" t="str">
        <f t="shared" si="100"/>
        <v>30</v>
      </c>
      <c r="AF393" s="38"/>
    </row>
    <row r="394" ht="16.25" spans="1:32">
      <c r="A394" s="31">
        <v>404</v>
      </c>
      <c r="B394" s="80">
        <v>250204</v>
      </c>
      <c r="C394" s="68">
        <v>10</v>
      </c>
      <c r="D394" s="81">
        <v>0.0097</v>
      </c>
      <c r="E394" s="81"/>
      <c r="F394" s="81"/>
      <c r="G394" s="82"/>
      <c r="H394" s="68">
        <v>10</v>
      </c>
      <c r="I394" s="82"/>
      <c r="J394" s="82"/>
      <c r="K394" s="84">
        <f t="shared" ref="K394:K437" si="115">IF(D394="","",IF(OR(RIGHT($A394,1)="1",RIGHT($A394,1)="2"),D394,IF(H394=4,D394*2,D394*6)))</f>
        <v>0.0582</v>
      </c>
      <c r="L394" s="84" t="str">
        <f t="shared" ref="L394:L437" si="116">IF(E394="","",IF(OR(RIGHT($A394,1)="1",RIGHT($A394,1)="2"),E394,IF(I394=4,E394*2,E394*6)))</f>
        <v/>
      </c>
      <c r="M394" s="84" t="str">
        <f t="shared" ref="M394:M437" si="117">IF(F394="","",IF(OR(RIGHT($A394,1)="1",RIGHT($A394,1)="2"),F394,IF(J394=4,F394*2,F394*6)))</f>
        <v/>
      </c>
      <c r="N394" s="72" t="str">
        <f t="shared" si="114"/>
        <v/>
      </c>
      <c r="P394">
        <f t="shared" si="110"/>
        <v>150204</v>
      </c>
      <c r="Q394">
        <f t="shared" si="102"/>
        <v>0.0078</v>
      </c>
      <c r="R394" s="64" t="s">
        <v>301</v>
      </c>
      <c r="S394">
        <f t="shared" si="103"/>
        <v>0</v>
      </c>
      <c r="T394" s="64" t="s">
        <v>301</v>
      </c>
      <c r="U394">
        <f t="shared" si="105"/>
        <v>0</v>
      </c>
      <c r="V394">
        <f t="shared" si="111"/>
        <v>0.0582</v>
      </c>
      <c r="W394" t="str">
        <f t="shared" si="112"/>
        <v/>
      </c>
      <c r="X394" t="str">
        <f t="shared" si="113"/>
        <v/>
      </c>
      <c r="Z394" s="65" t="str">
        <f t="shared" si="104"/>
        <v>0.0078,0,0</v>
      </c>
      <c r="AA394" s="8">
        <v>0.0078</v>
      </c>
      <c r="AB394" t="str">
        <f t="shared" si="100"/>
        <v>0.0582</v>
      </c>
      <c r="AF394" s="38" t="s">
        <v>52</v>
      </c>
    </row>
    <row r="395" ht="16.25" spans="1:32">
      <c r="A395" s="31">
        <v>404</v>
      </c>
      <c r="B395" s="80">
        <v>250204</v>
      </c>
      <c r="C395" s="68">
        <v>4</v>
      </c>
      <c r="D395" s="81">
        <v>14.57</v>
      </c>
      <c r="E395" s="81"/>
      <c r="F395" s="81"/>
      <c r="G395" s="82"/>
      <c r="H395" s="68">
        <v>4</v>
      </c>
      <c r="I395" s="82"/>
      <c r="J395" s="82"/>
      <c r="K395" s="84">
        <f t="shared" si="115"/>
        <v>29.14</v>
      </c>
      <c r="L395" s="84" t="str">
        <f t="shared" si="116"/>
        <v/>
      </c>
      <c r="M395" s="84" t="str">
        <f t="shared" si="117"/>
        <v/>
      </c>
      <c r="N395" s="72" t="str">
        <f t="shared" si="114"/>
        <v/>
      </c>
      <c r="P395">
        <f t="shared" si="110"/>
        <v>150204</v>
      </c>
      <c r="Q395">
        <f t="shared" si="102"/>
        <v>11.656</v>
      </c>
      <c r="R395" s="64" t="s">
        <v>301</v>
      </c>
      <c r="S395">
        <f t="shared" si="103"/>
        <v>0</v>
      </c>
      <c r="T395" s="64" t="s">
        <v>301</v>
      </c>
      <c r="U395">
        <f t="shared" si="105"/>
        <v>0</v>
      </c>
      <c r="V395">
        <f t="shared" si="111"/>
        <v>30</v>
      </c>
      <c r="W395" t="str">
        <f t="shared" si="112"/>
        <v/>
      </c>
      <c r="X395" t="str">
        <f t="shared" si="113"/>
        <v/>
      </c>
      <c r="Z395" s="65" t="str">
        <f t="shared" si="104"/>
        <v>11.656,0,0</v>
      </c>
      <c r="AA395" s="8">
        <v>11.656</v>
      </c>
      <c r="AB395" t="str">
        <f t="shared" si="100"/>
        <v>30</v>
      </c>
      <c r="AF395" s="38"/>
    </row>
    <row r="396" ht="16.25" spans="1:32">
      <c r="A396" s="31">
        <v>404</v>
      </c>
      <c r="B396" s="80">
        <v>250204</v>
      </c>
      <c r="C396" s="68">
        <v>35</v>
      </c>
      <c r="D396" s="81">
        <v>0.0307</v>
      </c>
      <c r="E396" s="81"/>
      <c r="F396" s="81"/>
      <c r="G396" s="82"/>
      <c r="H396" s="68">
        <v>35</v>
      </c>
      <c r="I396" s="82"/>
      <c r="J396" s="82"/>
      <c r="K396" s="84">
        <f t="shared" si="115"/>
        <v>0.1842</v>
      </c>
      <c r="L396" s="84" t="str">
        <f t="shared" si="116"/>
        <v/>
      </c>
      <c r="M396" s="84" t="str">
        <f t="shared" si="117"/>
        <v/>
      </c>
      <c r="N396" s="72" t="str">
        <f t="shared" si="114"/>
        <v/>
      </c>
      <c r="P396">
        <f t="shared" si="110"/>
        <v>150204</v>
      </c>
      <c r="Q396">
        <f t="shared" si="102"/>
        <v>0.0246</v>
      </c>
      <c r="R396" s="64" t="s">
        <v>301</v>
      </c>
      <c r="S396">
        <f t="shared" si="103"/>
        <v>0</v>
      </c>
      <c r="T396" s="64" t="s">
        <v>301</v>
      </c>
      <c r="U396">
        <f t="shared" si="105"/>
        <v>0</v>
      </c>
      <c r="V396">
        <f t="shared" si="111"/>
        <v>0.1842</v>
      </c>
      <c r="W396" t="str">
        <f t="shared" si="112"/>
        <v/>
      </c>
      <c r="X396" t="str">
        <f t="shared" si="113"/>
        <v/>
      </c>
      <c r="Z396" s="65" t="str">
        <f t="shared" si="104"/>
        <v>0.0246,0,0</v>
      </c>
      <c r="AA396" s="8">
        <v>0.0246</v>
      </c>
      <c r="AB396" t="str">
        <f t="shared" si="100"/>
        <v>0.1842</v>
      </c>
      <c r="AF396" s="38"/>
    </row>
    <row r="397" ht="16.25" spans="1:32">
      <c r="A397" s="31">
        <v>404</v>
      </c>
      <c r="B397" s="80">
        <v>250304</v>
      </c>
      <c r="C397" s="68">
        <v>5</v>
      </c>
      <c r="D397" s="81">
        <v>0.0179</v>
      </c>
      <c r="E397" s="81"/>
      <c r="F397" s="81"/>
      <c r="G397" s="82"/>
      <c r="H397" s="68">
        <v>5</v>
      </c>
      <c r="I397" s="82"/>
      <c r="J397" s="82"/>
      <c r="K397" s="84">
        <f t="shared" si="115"/>
        <v>0.1074</v>
      </c>
      <c r="L397" s="84" t="str">
        <f t="shared" si="116"/>
        <v/>
      </c>
      <c r="M397" s="84" t="str">
        <f t="shared" si="117"/>
        <v/>
      </c>
      <c r="N397" s="72" t="str">
        <f t="shared" si="114"/>
        <v/>
      </c>
      <c r="P397">
        <f t="shared" si="110"/>
        <v>150304</v>
      </c>
      <c r="Q397">
        <f t="shared" si="102"/>
        <v>0.0143</v>
      </c>
      <c r="R397" s="64" t="s">
        <v>301</v>
      </c>
      <c r="S397">
        <f t="shared" si="103"/>
        <v>0</v>
      </c>
      <c r="T397" s="64" t="s">
        <v>301</v>
      </c>
      <c r="U397">
        <f t="shared" si="105"/>
        <v>0</v>
      </c>
      <c r="V397">
        <f t="shared" si="111"/>
        <v>0.1074</v>
      </c>
      <c r="W397" t="str">
        <f t="shared" si="112"/>
        <v/>
      </c>
      <c r="X397" t="str">
        <f t="shared" si="113"/>
        <v/>
      </c>
      <c r="Z397" s="65" t="str">
        <f t="shared" ref="Z397:Z425" si="118">Q397&amp;R397&amp;S397&amp;T397&amp;U397</f>
        <v>0.0143,0,0</v>
      </c>
      <c r="AA397" s="8">
        <v>0.0143</v>
      </c>
      <c r="AB397" t="str">
        <f t="shared" si="100"/>
        <v>0.1074</v>
      </c>
      <c r="AF397" s="38" t="s">
        <v>56</v>
      </c>
    </row>
    <row r="398" ht="16.25" spans="1:32">
      <c r="A398" s="31">
        <v>404</v>
      </c>
      <c r="B398" s="80">
        <v>250304</v>
      </c>
      <c r="C398" s="68">
        <v>26</v>
      </c>
      <c r="D398" s="81">
        <v>0.0246</v>
      </c>
      <c r="E398" s="81"/>
      <c r="F398" s="81"/>
      <c r="G398" s="82"/>
      <c r="H398" s="68">
        <v>26</v>
      </c>
      <c r="I398" s="82"/>
      <c r="J398" s="82"/>
      <c r="K398" s="84">
        <f t="shared" si="115"/>
        <v>0.1476</v>
      </c>
      <c r="L398" s="84" t="str">
        <f t="shared" si="116"/>
        <v/>
      </c>
      <c r="M398" s="84" t="str">
        <f t="shared" si="117"/>
        <v/>
      </c>
      <c r="N398" s="72" t="str">
        <f t="shared" si="114"/>
        <v/>
      </c>
      <c r="P398">
        <f t="shared" si="110"/>
        <v>150304</v>
      </c>
      <c r="Q398">
        <f t="shared" si="102"/>
        <v>0.0197</v>
      </c>
      <c r="R398" s="64" t="s">
        <v>301</v>
      </c>
      <c r="S398">
        <f t="shared" si="103"/>
        <v>0</v>
      </c>
      <c r="T398" s="64" t="s">
        <v>301</v>
      </c>
      <c r="U398">
        <f t="shared" si="105"/>
        <v>0</v>
      </c>
      <c r="V398">
        <f t="shared" si="111"/>
        <v>0.1476</v>
      </c>
      <c r="W398" t="str">
        <f t="shared" si="112"/>
        <v/>
      </c>
      <c r="X398" t="str">
        <f t="shared" si="113"/>
        <v/>
      </c>
      <c r="Z398" s="65" t="str">
        <f t="shared" si="118"/>
        <v>0.0197,0,0</v>
      </c>
      <c r="AA398" s="8">
        <v>0.0197</v>
      </c>
      <c r="AB398" t="str">
        <f t="shared" si="100"/>
        <v>0.1476</v>
      </c>
      <c r="AF398" s="38"/>
    </row>
    <row r="399" ht="16.25" spans="1:32">
      <c r="A399" s="31">
        <v>404</v>
      </c>
      <c r="B399" s="80">
        <v>250304</v>
      </c>
      <c r="C399" s="68">
        <v>4</v>
      </c>
      <c r="D399" s="81">
        <v>14.57</v>
      </c>
      <c r="E399" s="81"/>
      <c r="F399" s="81"/>
      <c r="G399" s="82"/>
      <c r="H399" s="68">
        <v>4</v>
      </c>
      <c r="I399" s="82"/>
      <c r="J399" s="82"/>
      <c r="K399" s="84">
        <f t="shared" si="115"/>
        <v>29.14</v>
      </c>
      <c r="L399" s="84" t="str">
        <f t="shared" si="116"/>
        <v/>
      </c>
      <c r="M399" s="84" t="str">
        <f t="shared" si="117"/>
        <v/>
      </c>
      <c r="N399" s="72" t="str">
        <f t="shared" si="114"/>
        <v/>
      </c>
      <c r="P399">
        <f t="shared" si="110"/>
        <v>150304</v>
      </c>
      <c r="Q399">
        <f t="shared" si="102"/>
        <v>11.656</v>
      </c>
      <c r="R399" s="64" t="s">
        <v>301</v>
      </c>
      <c r="S399">
        <f t="shared" si="103"/>
        <v>0</v>
      </c>
      <c r="T399" s="64" t="s">
        <v>301</v>
      </c>
      <c r="U399">
        <f t="shared" si="105"/>
        <v>0</v>
      </c>
      <c r="V399">
        <f t="shared" si="111"/>
        <v>30</v>
      </c>
      <c r="W399" t="str">
        <f t="shared" si="112"/>
        <v/>
      </c>
      <c r="X399" t="str">
        <f t="shared" si="113"/>
        <v/>
      </c>
      <c r="Z399" s="65" t="str">
        <f t="shared" si="118"/>
        <v>11.656,0,0</v>
      </c>
      <c r="AA399" s="8">
        <v>11.656</v>
      </c>
      <c r="AB399" t="str">
        <f t="shared" si="100"/>
        <v>30</v>
      </c>
      <c r="AF399" s="38"/>
    </row>
    <row r="400" ht="16.25" spans="1:32">
      <c r="A400" s="31">
        <v>404</v>
      </c>
      <c r="B400" s="80">
        <v>250404</v>
      </c>
      <c r="C400" s="68">
        <v>5</v>
      </c>
      <c r="D400" s="81">
        <v>0.0287</v>
      </c>
      <c r="E400" s="81"/>
      <c r="F400" s="81"/>
      <c r="G400" s="82"/>
      <c r="H400" s="68">
        <v>5</v>
      </c>
      <c r="I400" s="82"/>
      <c r="J400" s="82"/>
      <c r="K400" s="84">
        <f t="shared" si="115"/>
        <v>0.1722</v>
      </c>
      <c r="L400" s="84" t="str">
        <f t="shared" si="116"/>
        <v/>
      </c>
      <c r="M400" s="84" t="str">
        <f t="shared" si="117"/>
        <v/>
      </c>
      <c r="N400" s="72" t="str">
        <f t="shared" si="114"/>
        <v/>
      </c>
      <c r="P400">
        <f t="shared" si="110"/>
        <v>150404</v>
      </c>
      <c r="Q400">
        <f t="shared" si="102"/>
        <v>0.023</v>
      </c>
      <c r="R400" s="64" t="s">
        <v>301</v>
      </c>
      <c r="S400">
        <f t="shared" si="103"/>
        <v>0</v>
      </c>
      <c r="T400" s="64" t="s">
        <v>301</v>
      </c>
      <c r="U400">
        <f t="shared" si="105"/>
        <v>0</v>
      </c>
      <c r="V400">
        <f t="shared" si="111"/>
        <v>0.1722</v>
      </c>
      <c r="W400" t="str">
        <f t="shared" si="112"/>
        <v/>
      </c>
      <c r="X400" t="str">
        <f t="shared" si="113"/>
        <v/>
      </c>
      <c r="Z400" s="65" t="str">
        <f t="shared" si="118"/>
        <v>0.023,0,0</v>
      </c>
      <c r="AA400" s="8">
        <v>0.023</v>
      </c>
      <c r="AB400" t="str">
        <f t="shared" si="100"/>
        <v>0.1722</v>
      </c>
      <c r="AF400" s="38" t="s">
        <v>60</v>
      </c>
    </row>
    <row r="401" ht="16.25" spans="1:32">
      <c r="A401" s="31">
        <v>404</v>
      </c>
      <c r="B401" s="80">
        <v>250404</v>
      </c>
      <c r="C401" s="68">
        <v>4</v>
      </c>
      <c r="D401" s="81">
        <v>14.57</v>
      </c>
      <c r="E401" s="81"/>
      <c r="F401" s="81"/>
      <c r="G401" s="82"/>
      <c r="H401" s="68">
        <v>4</v>
      </c>
      <c r="I401" s="82"/>
      <c r="J401" s="82"/>
      <c r="K401" s="84">
        <f t="shared" si="115"/>
        <v>29.14</v>
      </c>
      <c r="L401" s="84" t="str">
        <f t="shared" si="116"/>
        <v/>
      </c>
      <c r="M401" s="84" t="str">
        <f t="shared" si="117"/>
        <v/>
      </c>
      <c r="N401" s="72" t="str">
        <f t="shared" si="114"/>
        <v/>
      </c>
      <c r="P401">
        <f t="shared" si="110"/>
        <v>150404</v>
      </c>
      <c r="Q401">
        <f t="shared" si="102"/>
        <v>11.656</v>
      </c>
      <c r="R401" s="64" t="s">
        <v>301</v>
      </c>
      <c r="S401">
        <f t="shared" si="103"/>
        <v>0</v>
      </c>
      <c r="T401" s="64" t="s">
        <v>301</v>
      </c>
      <c r="U401">
        <f t="shared" si="105"/>
        <v>0</v>
      </c>
      <c r="V401">
        <f t="shared" si="111"/>
        <v>30</v>
      </c>
      <c r="W401" t="str">
        <f t="shared" si="112"/>
        <v/>
      </c>
      <c r="X401" t="str">
        <f t="shared" si="113"/>
        <v/>
      </c>
      <c r="Z401" s="65" t="str">
        <f t="shared" si="118"/>
        <v>11.656,0,0</v>
      </c>
      <c r="AA401" s="8">
        <v>11.656</v>
      </c>
      <c r="AB401" t="str">
        <f t="shared" si="100"/>
        <v>30</v>
      </c>
      <c r="AF401" s="38"/>
    </row>
    <row r="402" ht="16.25" spans="1:32">
      <c r="A402" s="31">
        <v>404</v>
      </c>
      <c r="B402" s="80">
        <v>250504</v>
      </c>
      <c r="C402" s="68">
        <v>7</v>
      </c>
      <c r="D402" s="81">
        <v>0.0082</v>
      </c>
      <c r="E402" s="81"/>
      <c r="F402" s="81"/>
      <c r="G402" s="82"/>
      <c r="H402" s="68">
        <v>7</v>
      </c>
      <c r="I402" s="82"/>
      <c r="J402" s="82"/>
      <c r="K402" s="84">
        <f t="shared" si="115"/>
        <v>0.0492</v>
      </c>
      <c r="L402" s="84" t="str">
        <f t="shared" si="116"/>
        <v/>
      </c>
      <c r="M402" s="84" t="str">
        <f t="shared" si="117"/>
        <v/>
      </c>
      <c r="N402" s="72" t="str">
        <f t="shared" si="114"/>
        <v/>
      </c>
      <c r="P402">
        <f t="shared" si="110"/>
        <v>150504</v>
      </c>
      <c r="Q402">
        <f t="shared" si="102"/>
        <v>0.0066</v>
      </c>
      <c r="R402" s="64" t="s">
        <v>301</v>
      </c>
      <c r="S402">
        <f t="shared" si="103"/>
        <v>0</v>
      </c>
      <c r="T402" s="64" t="s">
        <v>301</v>
      </c>
      <c r="U402">
        <f t="shared" si="105"/>
        <v>0</v>
      </c>
      <c r="V402">
        <f t="shared" si="111"/>
        <v>0.0492</v>
      </c>
      <c r="W402" t="str">
        <f t="shared" si="112"/>
        <v/>
      </c>
      <c r="X402" t="str">
        <f t="shared" si="113"/>
        <v/>
      </c>
      <c r="Z402" s="65" t="str">
        <f t="shared" si="118"/>
        <v>0.0066,0,0</v>
      </c>
      <c r="AA402" s="8">
        <v>0.0066</v>
      </c>
      <c r="AB402" t="str">
        <f t="shared" si="100"/>
        <v>0.0492</v>
      </c>
      <c r="AF402" s="38" t="s">
        <v>64</v>
      </c>
    </row>
    <row r="403" ht="16.25" spans="1:32">
      <c r="A403" s="31">
        <v>404</v>
      </c>
      <c r="B403" s="80">
        <v>250504</v>
      </c>
      <c r="C403" s="68">
        <v>4</v>
      </c>
      <c r="D403" s="81">
        <v>14.57</v>
      </c>
      <c r="E403" s="81"/>
      <c r="F403" s="81"/>
      <c r="G403" s="82"/>
      <c r="H403" s="68">
        <v>4</v>
      </c>
      <c r="I403" s="82"/>
      <c r="J403" s="82"/>
      <c r="K403" s="84">
        <f t="shared" si="115"/>
        <v>29.14</v>
      </c>
      <c r="L403" s="84" t="str">
        <f t="shared" si="116"/>
        <v/>
      </c>
      <c r="M403" s="84" t="str">
        <f t="shared" si="117"/>
        <v/>
      </c>
      <c r="N403" s="72" t="str">
        <f t="shared" si="114"/>
        <v/>
      </c>
      <c r="P403">
        <f t="shared" si="110"/>
        <v>150504</v>
      </c>
      <c r="Q403">
        <f t="shared" si="102"/>
        <v>11.656</v>
      </c>
      <c r="R403" s="64" t="s">
        <v>301</v>
      </c>
      <c r="S403">
        <f t="shared" si="103"/>
        <v>0</v>
      </c>
      <c r="T403" s="64" t="s">
        <v>301</v>
      </c>
      <c r="U403">
        <f t="shared" si="105"/>
        <v>0</v>
      </c>
      <c r="V403">
        <f t="shared" si="111"/>
        <v>30</v>
      </c>
      <c r="W403" t="str">
        <f t="shared" si="112"/>
        <v/>
      </c>
      <c r="X403" t="str">
        <f t="shared" si="113"/>
        <v/>
      </c>
      <c r="Z403" s="65" t="str">
        <f t="shared" si="118"/>
        <v>11.656,0,0</v>
      </c>
      <c r="AA403" s="8">
        <v>11.656</v>
      </c>
      <c r="AB403" t="str">
        <f t="shared" si="100"/>
        <v>30</v>
      </c>
      <c r="AF403" s="38"/>
    </row>
    <row r="404" ht="16.25" spans="1:32">
      <c r="A404" s="31">
        <v>404</v>
      </c>
      <c r="B404" s="80">
        <v>250604</v>
      </c>
      <c r="C404" s="68">
        <v>7</v>
      </c>
      <c r="D404" s="81">
        <v>0.0041</v>
      </c>
      <c r="E404" s="81"/>
      <c r="F404" s="81"/>
      <c r="G404" s="82"/>
      <c r="H404" s="68">
        <v>7</v>
      </c>
      <c r="I404" s="82"/>
      <c r="J404" s="82"/>
      <c r="K404" s="84">
        <f t="shared" si="115"/>
        <v>0.0246</v>
      </c>
      <c r="L404" s="84" t="str">
        <f t="shared" si="116"/>
        <v/>
      </c>
      <c r="M404" s="84" t="str">
        <f t="shared" si="117"/>
        <v/>
      </c>
      <c r="N404" s="72" t="str">
        <f t="shared" si="114"/>
        <v/>
      </c>
      <c r="P404">
        <f t="shared" si="110"/>
        <v>150604</v>
      </c>
      <c r="Q404">
        <f t="shared" si="102"/>
        <v>0.0033</v>
      </c>
      <c r="R404" s="64" t="s">
        <v>301</v>
      </c>
      <c r="S404">
        <f t="shared" si="103"/>
        <v>0</v>
      </c>
      <c r="T404" s="64" t="s">
        <v>301</v>
      </c>
      <c r="U404">
        <f t="shared" si="105"/>
        <v>0</v>
      </c>
      <c r="V404">
        <f t="shared" si="111"/>
        <v>0.0246</v>
      </c>
      <c r="W404" t="str">
        <f t="shared" si="112"/>
        <v/>
      </c>
      <c r="X404" t="str">
        <f t="shared" si="113"/>
        <v/>
      </c>
      <c r="Z404" s="65" t="str">
        <f t="shared" si="118"/>
        <v>0.0033,0,0</v>
      </c>
      <c r="AA404" s="8">
        <v>0.0033</v>
      </c>
      <c r="AB404" t="str">
        <f t="shared" si="100"/>
        <v>0.0246</v>
      </c>
      <c r="AF404" s="38" t="s">
        <v>68</v>
      </c>
    </row>
    <row r="405" ht="16.25" spans="1:32">
      <c r="A405" s="31">
        <v>404</v>
      </c>
      <c r="B405" s="80">
        <v>250604</v>
      </c>
      <c r="C405" s="68">
        <v>4</v>
      </c>
      <c r="D405" s="81">
        <v>14.57</v>
      </c>
      <c r="E405" s="81"/>
      <c r="F405" s="81"/>
      <c r="G405" s="82"/>
      <c r="H405" s="68">
        <v>4</v>
      </c>
      <c r="I405" s="82"/>
      <c r="J405" s="82"/>
      <c r="K405" s="84">
        <f t="shared" si="115"/>
        <v>29.14</v>
      </c>
      <c r="L405" s="84" t="str">
        <f t="shared" si="116"/>
        <v/>
      </c>
      <c r="M405" s="84" t="str">
        <f t="shared" si="117"/>
        <v/>
      </c>
      <c r="N405" s="72" t="str">
        <f t="shared" si="114"/>
        <v/>
      </c>
      <c r="P405">
        <f t="shared" si="110"/>
        <v>150604</v>
      </c>
      <c r="Q405">
        <f t="shared" si="102"/>
        <v>11.656</v>
      </c>
      <c r="R405" s="64" t="s">
        <v>301</v>
      </c>
      <c r="S405">
        <f t="shared" si="103"/>
        <v>0</v>
      </c>
      <c r="T405" s="64" t="s">
        <v>301</v>
      </c>
      <c r="U405">
        <f t="shared" si="105"/>
        <v>0</v>
      </c>
      <c r="V405">
        <f t="shared" si="111"/>
        <v>30</v>
      </c>
      <c r="W405" t="str">
        <f t="shared" si="112"/>
        <v/>
      </c>
      <c r="X405" t="str">
        <f t="shared" si="113"/>
        <v/>
      </c>
      <c r="Z405" s="65" t="str">
        <f t="shared" si="118"/>
        <v>11.656,0,0</v>
      </c>
      <c r="AA405" s="8">
        <v>11.656</v>
      </c>
      <c r="AB405" t="str">
        <f t="shared" si="100"/>
        <v>30</v>
      </c>
      <c r="AF405" s="38"/>
    </row>
    <row r="406" ht="16.25" spans="1:32">
      <c r="A406" s="31">
        <v>404</v>
      </c>
      <c r="B406" s="80">
        <v>250704</v>
      </c>
      <c r="C406" s="68">
        <v>7</v>
      </c>
      <c r="D406" s="81">
        <v>0.0409</v>
      </c>
      <c r="E406" s="81"/>
      <c r="F406" s="81"/>
      <c r="G406" s="82"/>
      <c r="H406" s="68">
        <v>7</v>
      </c>
      <c r="I406" s="82"/>
      <c r="J406" s="82"/>
      <c r="K406" s="84">
        <f t="shared" si="115"/>
        <v>0.2454</v>
      </c>
      <c r="L406" s="84" t="str">
        <f t="shared" si="116"/>
        <v/>
      </c>
      <c r="M406" s="84" t="str">
        <f t="shared" si="117"/>
        <v/>
      </c>
      <c r="N406" s="72" t="str">
        <f t="shared" si="114"/>
        <v/>
      </c>
      <c r="P406">
        <f t="shared" si="110"/>
        <v>150704</v>
      </c>
      <c r="Q406">
        <f t="shared" si="102"/>
        <v>0.0327</v>
      </c>
      <c r="R406" s="64" t="s">
        <v>301</v>
      </c>
      <c r="S406">
        <f t="shared" si="103"/>
        <v>0</v>
      </c>
      <c r="T406" s="64" t="s">
        <v>301</v>
      </c>
      <c r="U406">
        <f t="shared" si="105"/>
        <v>0</v>
      </c>
      <c r="V406">
        <f t="shared" si="111"/>
        <v>0.2454</v>
      </c>
      <c r="W406" t="str">
        <f t="shared" si="112"/>
        <v/>
      </c>
      <c r="X406" t="str">
        <f t="shared" si="113"/>
        <v/>
      </c>
      <c r="Z406" s="65" t="str">
        <f t="shared" si="118"/>
        <v>0.0327,0,0</v>
      </c>
      <c r="AA406" s="8">
        <v>0.0327</v>
      </c>
      <c r="AB406" t="str">
        <f t="shared" si="100"/>
        <v>0.2454</v>
      </c>
      <c r="AF406" s="38" t="s">
        <v>72</v>
      </c>
    </row>
    <row r="407" ht="17" spans="1:32">
      <c r="A407" s="31">
        <v>404</v>
      </c>
      <c r="B407" s="80">
        <v>250704</v>
      </c>
      <c r="C407" s="68">
        <v>4</v>
      </c>
      <c r="D407" s="81">
        <v>14.57</v>
      </c>
      <c r="E407" s="81"/>
      <c r="F407" s="81"/>
      <c r="G407" s="82"/>
      <c r="H407" s="68">
        <v>4</v>
      </c>
      <c r="I407" s="82"/>
      <c r="J407" s="82"/>
      <c r="K407" s="84">
        <f t="shared" si="115"/>
        <v>29.14</v>
      </c>
      <c r="L407" s="84" t="str">
        <f t="shared" si="116"/>
        <v/>
      </c>
      <c r="M407" s="84" t="str">
        <f t="shared" si="117"/>
        <v/>
      </c>
      <c r="N407" s="72" t="str">
        <f t="shared" si="114"/>
        <v/>
      </c>
      <c r="P407">
        <f t="shared" si="110"/>
        <v>150704</v>
      </c>
      <c r="Q407">
        <f t="shared" si="102"/>
        <v>11.656</v>
      </c>
      <c r="R407" s="64" t="s">
        <v>301</v>
      </c>
      <c r="S407">
        <f t="shared" si="103"/>
        <v>0</v>
      </c>
      <c r="T407" s="64" t="s">
        <v>301</v>
      </c>
      <c r="U407">
        <f t="shared" si="105"/>
        <v>0</v>
      </c>
      <c r="V407">
        <f t="shared" si="111"/>
        <v>30</v>
      </c>
      <c r="W407" t="str">
        <f t="shared" si="112"/>
        <v/>
      </c>
      <c r="X407" t="str">
        <f t="shared" si="113"/>
        <v/>
      </c>
      <c r="Z407" s="65" t="str">
        <f t="shared" si="118"/>
        <v>11.656,0,0</v>
      </c>
      <c r="AA407" s="8">
        <v>11.656</v>
      </c>
      <c r="AB407" t="str">
        <f t="shared" si="100"/>
        <v>30</v>
      </c>
      <c r="AF407" s="38"/>
    </row>
    <row r="408" ht="16.25" spans="1:32">
      <c r="A408" s="31">
        <v>404</v>
      </c>
      <c r="B408" s="80">
        <v>250804</v>
      </c>
      <c r="C408" s="68">
        <v>10</v>
      </c>
      <c r="D408" s="89">
        <v>0.0058</v>
      </c>
      <c r="E408" s="89"/>
      <c r="F408" s="89"/>
      <c r="G408" s="82"/>
      <c r="H408" s="68">
        <v>10</v>
      </c>
      <c r="I408" s="82"/>
      <c r="J408" s="82"/>
      <c r="K408" s="84">
        <f t="shared" si="115"/>
        <v>0.0348</v>
      </c>
      <c r="L408" s="84" t="str">
        <f t="shared" si="116"/>
        <v/>
      </c>
      <c r="M408" s="84" t="str">
        <f t="shared" si="117"/>
        <v/>
      </c>
      <c r="N408" s="72" t="str">
        <f t="shared" si="114"/>
        <v/>
      </c>
      <c r="P408">
        <f t="shared" si="110"/>
        <v>150804</v>
      </c>
      <c r="Q408">
        <f t="shared" si="102"/>
        <v>0.0046</v>
      </c>
      <c r="R408" s="64" t="s">
        <v>301</v>
      </c>
      <c r="S408">
        <f t="shared" si="103"/>
        <v>0</v>
      </c>
      <c r="T408" s="64" t="s">
        <v>301</v>
      </c>
      <c r="U408">
        <f t="shared" si="105"/>
        <v>0</v>
      </c>
      <c r="V408">
        <f t="shared" si="111"/>
        <v>0.0348</v>
      </c>
      <c r="W408" t="str">
        <f t="shared" si="112"/>
        <v/>
      </c>
      <c r="X408" t="str">
        <f t="shared" si="113"/>
        <v/>
      </c>
      <c r="Z408" s="65" t="str">
        <f t="shared" si="118"/>
        <v>0.0046,0,0</v>
      </c>
      <c r="AA408" s="8">
        <v>0.0046</v>
      </c>
      <c r="AB408" t="str">
        <f t="shared" si="100"/>
        <v>0.0348</v>
      </c>
      <c r="AF408" s="38" t="s">
        <v>76</v>
      </c>
    </row>
    <row r="409" ht="16.25" spans="1:32">
      <c r="A409" s="31">
        <v>404</v>
      </c>
      <c r="B409" s="80">
        <v>250804</v>
      </c>
      <c r="C409" s="68">
        <v>26</v>
      </c>
      <c r="D409" s="90">
        <v>0.0123</v>
      </c>
      <c r="E409" s="90"/>
      <c r="F409" s="90"/>
      <c r="G409" s="82"/>
      <c r="H409" s="68">
        <v>26</v>
      </c>
      <c r="I409" s="82"/>
      <c r="J409" s="82"/>
      <c r="K409" s="84">
        <f t="shared" si="115"/>
        <v>0.0738</v>
      </c>
      <c r="L409" s="84" t="str">
        <f t="shared" si="116"/>
        <v/>
      </c>
      <c r="M409" s="84" t="str">
        <f t="shared" si="117"/>
        <v/>
      </c>
      <c r="N409" s="72" t="str">
        <f t="shared" si="114"/>
        <v/>
      </c>
      <c r="P409">
        <f t="shared" si="110"/>
        <v>150804</v>
      </c>
      <c r="Q409">
        <f t="shared" si="102"/>
        <v>0.0098</v>
      </c>
      <c r="R409" s="64" t="s">
        <v>301</v>
      </c>
      <c r="S409">
        <f t="shared" si="103"/>
        <v>0</v>
      </c>
      <c r="T409" s="64" t="s">
        <v>301</v>
      </c>
      <c r="U409">
        <f t="shared" si="105"/>
        <v>0</v>
      </c>
      <c r="V409">
        <f t="shared" si="111"/>
        <v>0.0738</v>
      </c>
      <c r="W409" t="str">
        <f t="shared" si="112"/>
        <v/>
      </c>
      <c r="X409" t="str">
        <f t="shared" si="113"/>
        <v/>
      </c>
      <c r="Z409" s="65" t="str">
        <f t="shared" si="118"/>
        <v>0.0098,0,0</v>
      </c>
      <c r="AA409" s="8">
        <v>0.0098</v>
      </c>
      <c r="AB409" t="str">
        <f t="shared" si="100"/>
        <v>0.0738</v>
      </c>
      <c r="AF409" s="38"/>
    </row>
    <row r="410" ht="16.25" spans="1:32">
      <c r="A410" s="31">
        <v>404</v>
      </c>
      <c r="B410" s="80">
        <v>250804</v>
      </c>
      <c r="C410" s="68">
        <v>7</v>
      </c>
      <c r="D410" s="90">
        <v>0.0205</v>
      </c>
      <c r="E410" s="90"/>
      <c r="F410" s="90"/>
      <c r="G410" s="82"/>
      <c r="H410" s="68">
        <v>7</v>
      </c>
      <c r="I410" s="82"/>
      <c r="J410" s="82"/>
      <c r="K410" s="84">
        <f t="shared" si="115"/>
        <v>0.123</v>
      </c>
      <c r="L410" s="84" t="str">
        <f t="shared" si="116"/>
        <v/>
      </c>
      <c r="M410" s="84" t="str">
        <f t="shared" si="117"/>
        <v/>
      </c>
      <c r="N410" s="72" t="str">
        <f t="shared" si="114"/>
        <v/>
      </c>
      <c r="P410">
        <f t="shared" si="110"/>
        <v>150804</v>
      </c>
      <c r="Q410">
        <f t="shared" si="102"/>
        <v>0.0164</v>
      </c>
      <c r="R410" s="64" t="s">
        <v>301</v>
      </c>
      <c r="S410">
        <f t="shared" si="103"/>
        <v>0</v>
      </c>
      <c r="T410" s="64" t="s">
        <v>301</v>
      </c>
      <c r="U410">
        <f t="shared" si="105"/>
        <v>0</v>
      </c>
      <c r="V410">
        <f t="shared" si="111"/>
        <v>0.123</v>
      </c>
      <c r="W410" t="str">
        <f t="shared" si="112"/>
        <v/>
      </c>
      <c r="X410" t="str">
        <f t="shared" si="113"/>
        <v/>
      </c>
      <c r="Z410" s="65" t="str">
        <f t="shared" si="118"/>
        <v>0.0164,0,0</v>
      </c>
      <c r="AA410" s="8">
        <v>0.0164</v>
      </c>
      <c r="AB410" t="str">
        <f t="shared" si="100"/>
        <v>0.123</v>
      </c>
      <c r="AF410" s="38"/>
    </row>
    <row r="411" ht="17" spans="1:32">
      <c r="A411" s="31">
        <v>404</v>
      </c>
      <c r="B411" s="80">
        <v>250804</v>
      </c>
      <c r="C411" s="68">
        <v>4</v>
      </c>
      <c r="D411" s="91">
        <v>7.29</v>
      </c>
      <c r="E411" s="91"/>
      <c r="F411" s="91"/>
      <c r="G411" s="82"/>
      <c r="H411" s="68">
        <v>4</v>
      </c>
      <c r="I411" s="82"/>
      <c r="J411" s="82"/>
      <c r="K411" s="84">
        <f t="shared" si="115"/>
        <v>14.58</v>
      </c>
      <c r="L411" s="84" t="str">
        <f t="shared" si="116"/>
        <v/>
      </c>
      <c r="M411" s="84" t="str">
        <f t="shared" si="117"/>
        <v/>
      </c>
      <c r="N411" s="72" t="str">
        <f t="shared" si="114"/>
        <v/>
      </c>
      <c r="P411">
        <f t="shared" si="110"/>
        <v>150804</v>
      </c>
      <c r="Q411">
        <f t="shared" si="102"/>
        <v>5.832</v>
      </c>
      <c r="R411" s="64" t="s">
        <v>301</v>
      </c>
      <c r="S411">
        <f t="shared" si="103"/>
        <v>0</v>
      </c>
      <c r="T411" s="64" t="s">
        <v>301</v>
      </c>
      <c r="U411">
        <f t="shared" si="105"/>
        <v>0</v>
      </c>
      <c r="V411">
        <f t="shared" si="111"/>
        <v>15</v>
      </c>
      <c r="W411" t="str">
        <f t="shared" si="112"/>
        <v/>
      </c>
      <c r="X411" t="str">
        <f t="shared" si="113"/>
        <v/>
      </c>
      <c r="Z411" s="65" t="str">
        <f t="shared" si="118"/>
        <v>5.832,0,0</v>
      </c>
      <c r="AA411" s="8">
        <v>5.832</v>
      </c>
      <c r="AB411" t="str">
        <f t="shared" si="100"/>
        <v>15</v>
      </c>
      <c r="AF411" s="38"/>
    </row>
    <row r="412" ht="16.25" spans="1:32">
      <c r="A412" s="31">
        <v>404</v>
      </c>
      <c r="B412" s="80">
        <v>250904</v>
      </c>
      <c r="C412" s="68">
        <v>7</v>
      </c>
      <c r="D412" s="103">
        <v>0.0205</v>
      </c>
      <c r="E412" s="103"/>
      <c r="F412" s="103"/>
      <c r="G412" s="82"/>
      <c r="H412" s="68">
        <v>7</v>
      </c>
      <c r="I412" s="82"/>
      <c r="J412" s="82"/>
      <c r="K412" s="84">
        <f t="shared" si="115"/>
        <v>0.123</v>
      </c>
      <c r="L412" s="84" t="str">
        <f t="shared" si="116"/>
        <v/>
      </c>
      <c r="M412" s="84" t="str">
        <f t="shared" si="117"/>
        <v/>
      </c>
      <c r="N412" s="72" t="str">
        <f t="shared" si="114"/>
        <v/>
      </c>
      <c r="P412">
        <f t="shared" si="110"/>
        <v>150904</v>
      </c>
      <c r="Q412">
        <f t="shared" si="102"/>
        <v>0.0164</v>
      </c>
      <c r="R412" s="64" t="s">
        <v>301</v>
      </c>
      <c r="S412">
        <f t="shared" si="103"/>
        <v>0</v>
      </c>
      <c r="T412" s="64" t="s">
        <v>301</v>
      </c>
      <c r="U412">
        <f t="shared" si="105"/>
        <v>0</v>
      </c>
      <c r="V412">
        <f t="shared" si="111"/>
        <v>0.123</v>
      </c>
      <c r="W412" t="str">
        <f t="shared" si="112"/>
        <v/>
      </c>
      <c r="X412" t="str">
        <f t="shared" si="113"/>
        <v/>
      </c>
      <c r="Z412" s="65" t="str">
        <f t="shared" si="118"/>
        <v>0.0164,0,0</v>
      </c>
      <c r="AA412" s="8">
        <v>0.0164</v>
      </c>
      <c r="AB412" t="str">
        <f t="shared" si="100"/>
        <v>0.123</v>
      </c>
      <c r="AF412" s="38" t="s">
        <v>80</v>
      </c>
    </row>
    <row r="413" ht="16.25" spans="1:32">
      <c r="A413" s="31">
        <v>404</v>
      </c>
      <c r="B413" s="80">
        <v>250904</v>
      </c>
      <c r="C413" s="68">
        <v>10</v>
      </c>
      <c r="D413" s="90">
        <v>0.0058</v>
      </c>
      <c r="E413" s="90"/>
      <c r="F413" s="90"/>
      <c r="G413" s="82"/>
      <c r="H413" s="68">
        <v>10</v>
      </c>
      <c r="I413" s="82"/>
      <c r="J413" s="82"/>
      <c r="K413" s="84">
        <f t="shared" si="115"/>
        <v>0.0348</v>
      </c>
      <c r="L413" s="84" t="str">
        <f t="shared" si="116"/>
        <v/>
      </c>
      <c r="M413" s="84" t="str">
        <f t="shared" si="117"/>
        <v/>
      </c>
      <c r="N413" s="72" t="str">
        <f t="shared" si="114"/>
        <v/>
      </c>
      <c r="P413">
        <f t="shared" si="110"/>
        <v>150904</v>
      </c>
      <c r="Q413">
        <f t="shared" si="102"/>
        <v>0.0046</v>
      </c>
      <c r="R413" s="64" t="s">
        <v>301</v>
      </c>
      <c r="S413">
        <f t="shared" si="103"/>
        <v>0</v>
      </c>
      <c r="T413" s="64" t="s">
        <v>301</v>
      </c>
      <c r="U413">
        <f t="shared" si="105"/>
        <v>0</v>
      </c>
      <c r="V413">
        <f t="shared" si="111"/>
        <v>0.0348</v>
      </c>
      <c r="W413" t="str">
        <f t="shared" si="112"/>
        <v/>
      </c>
      <c r="X413" t="str">
        <f t="shared" si="113"/>
        <v/>
      </c>
      <c r="Z413" s="65" t="str">
        <f t="shared" si="118"/>
        <v>0.0046,0,0</v>
      </c>
      <c r="AA413" s="8">
        <v>0.0046</v>
      </c>
      <c r="AB413" t="str">
        <f t="shared" si="100"/>
        <v>0.0348</v>
      </c>
      <c r="AF413" s="44"/>
    </row>
    <row r="414" ht="17" spans="1:32">
      <c r="A414" s="31">
        <v>404</v>
      </c>
      <c r="B414" s="80">
        <v>250904</v>
      </c>
      <c r="C414" s="68">
        <v>4</v>
      </c>
      <c r="D414" s="91">
        <v>7.29</v>
      </c>
      <c r="E414" s="91"/>
      <c r="F414" s="91"/>
      <c r="G414" s="82"/>
      <c r="H414" s="68">
        <v>4</v>
      </c>
      <c r="I414" s="82"/>
      <c r="J414" s="82"/>
      <c r="K414" s="84">
        <f t="shared" si="115"/>
        <v>14.58</v>
      </c>
      <c r="L414" s="84" t="str">
        <f t="shared" si="116"/>
        <v/>
      </c>
      <c r="M414" s="84" t="str">
        <f t="shared" si="117"/>
        <v/>
      </c>
      <c r="N414" s="72" t="str">
        <f t="shared" si="114"/>
        <v/>
      </c>
      <c r="P414">
        <f t="shared" si="110"/>
        <v>150904</v>
      </c>
      <c r="Q414">
        <f t="shared" si="102"/>
        <v>5.832</v>
      </c>
      <c r="R414" s="64" t="s">
        <v>301</v>
      </c>
      <c r="S414">
        <f t="shared" si="103"/>
        <v>0</v>
      </c>
      <c r="T414" s="64" t="s">
        <v>301</v>
      </c>
      <c r="U414">
        <f t="shared" si="105"/>
        <v>0</v>
      </c>
      <c r="V414">
        <f t="shared" si="111"/>
        <v>15</v>
      </c>
      <c r="W414" t="str">
        <f t="shared" si="112"/>
        <v/>
      </c>
      <c r="X414" t="str">
        <f t="shared" si="113"/>
        <v/>
      </c>
      <c r="Z414" s="65" t="str">
        <f t="shared" si="118"/>
        <v>5.832,0,0</v>
      </c>
      <c r="AA414" s="8">
        <v>5.832</v>
      </c>
      <c r="AB414" t="str">
        <f t="shared" si="100"/>
        <v>15</v>
      </c>
      <c r="AF414" s="44"/>
    </row>
    <row r="415" ht="16.25" spans="1:32">
      <c r="A415" s="31">
        <v>404</v>
      </c>
      <c r="B415" s="102">
        <v>260104</v>
      </c>
      <c r="C415" s="68">
        <v>10</v>
      </c>
      <c r="D415" s="81">
        <v>0.0648</v>
      </c>
      <c r="E415" s="81"/>
      <c r="F415" s="81"/>
      <c r="G415" s="82"/>
      <c r="H415" s="68">
        <v>10</v>
      </c>
      <c r="I415" s="82"/>
      <c r="J415" s="82"/>
      <c r="K415" s="84">
        <f t="shared" si="115"/>
        <v>0.3888</v>
      </c>
      <c r="L415" s="84" t="str">
        <f t="shared" si="116"/>
        <v/>
      </c>
      <c r="M415" s="84" t="str">
        <f t="shared" si="117"/>
        <v/>
      </c>
      <c r="N415" s="72" t="str">
        <f t="shared" si="114"/>
        <v/>
      </c>
      <c r="P415">
        <f t="shared" si="110"/>
        <v>160104</v>
      </c>
      <c r="Q415">
        <f t="shared" si="102"/>
        <v>0.0518</v>
      </c>
      <c r="R415" s="64" t="s">
        <v>301</v>
      </c>
      <c r="S415">
        <f t="shared" si="103"/>
        <v>0</v>
      </c>
      <c r="T415" s="64" t="s">
        <v>301</v>
      </c>
      <c r="U415">
        <f t="shared" si="105"/>
        <v>0</v>
      </c>
      <c r="V415">
        <f t="shared" si="111"/>
        <v>0.3888</v>
      </c>
      <c r="W415" t="str">
        <f t="shared" si="112"/>
        <v/>
      </c>
      <c r="X415" t="str">
        <f t="shared" si="113"/>
        <v/>
      </c>
      <c r="Z415" s="65" t="str">
        <f t="shared" si="118"/>
        <v>0.0518,0,0</v>
      </c>
      <c r="AA415" s="8">
        <v>0.0518</v>
      </c>
      <c r="AB415" t="str">
        <f t="shared" si="100"/>
        <v>0.3888</v>
      </c>
      <c r="AF415" s="37" t="s">
        <v>84</v>
      </c>
    </row>
    <row r="416" ht="16.25" spans="1:32">
      <c r="A416" s="31">
        <v>404</v>
      </c>
      <c r="B416" s="102">
        <v>260104</v>
      </c>
      <c r="C416" s="68">
        <v>4</v>
      </c>
      <c r="D416" s="81">
        <v>24.29</v>
      </c>
      <c r="E416" s="81"/>
      <c r="F416" s="81"/>
      <c r="G416" s="82"/>
      <c r="H416" s="68">
        <v>4</v>
      </c>
      <c r="I416" s="82"/>
      <c r="J416" s="82"/>
      <c r="K416" s="84">
        <f t="shared" si="115"/>
        <v>48.58</v>
      </c>
      <c r="L416" s="84" t="str">
        <f t="shared" si="116"/>
        <v/>
      </c>
      <c r="M416" s="84" t="str">
        <f t="shared" si="117"/>
        <v/>
      </c>
      <c r="N416" s="72" t="str">
        <f t="shared" si="114"/>
        <v/>
      </c>
      <c r="P416">
        <f t="shared" si="110"/>
        <v>160104</v>
      </c>
      <c r="Q416">
        <f t="shared" si="102"/>
        <v>19.432</v>
      </c>
      <c r="R416" s="64" t="s">
        <v>301</v>
      </c>
      <c r="S416">
        <f t="shared" si="103"/>
        <v>0</v>
      </c>
      <c r="T416" s="64" t="s">
        <v>301</v>
      </c>
      <c r="U416">
        <f t="shared" si="105"/>
        <v>0</v>
      </c>
      <c r="V416">
        <f t="shared" si="111"/>
        <v>50</v>
      </c>
      <c r="W416" t="str">
        <f t="shared" si="112"/>
        <v/>
      </c>
      <c r="X416" t="str">
        <f t="shared" si="113"/>
        <v/>
      </c>
      <c r="Z416" s="65" t="str">
        <f t="shared" si="118"/>
        <v>19.432,0,0</v>
      </c>
      <c r="AA416" s="8">
        <v>19.432</v>
      </c>
      <c r="AB416" t="str">
        <f t="shared" si="100"/>
        <v>50</v>
      </c>
      <c r="AF416" s="37"/>
    </row>
    <row r="417" ht="16.25" spans="1:32">
      <c r="A417" s="31">
        <v>404</v>
      </c>
      <c r="B417" s="102">
        <v>260204</v>
      </c>
      <c r="C417" s="68">
        <v>10</v>
      </c>
      <c r="D417" s="81">
        <v>0.0162</v>
      </c>
      <c r="E417" s="81"/>
      <c r="F417" s="81"/>
      <c r="G417" s="82"/>
      <c r="H417" s="68">
        <v>10</v>
      </c>
      <c r="I417" s="82"/>
      <c r="J417" s="82"/>
      <c r="K417" s="84">
        <f t="shared" si="115"/>
        <v>0.0972</v>
      </c>
      <c r="L417" s="84" t="str">
        <f t="shared" si="116"/>
        <v/>
      </c>
      <c r="M417" s="84" t="str">
        <f t="shared" si="117"/>
        <v/>
      </c>
      <c r="N417" s="72" t="str">
        <f t="shared" si="114"/>
        <v/>
      </c>
      <c r="P417">
        <f t="shared" si="110"/>
        <v>160204</v>
      </c>
      <c r="Q417">
        <f t="shared" si="102"/>
        <v>0.013</v>
      </c>
      <c r="R417" s="64" t="s">
        <v>301</v>
      </c>
      <c r="S417">
        <f t="shared" si="103"/>
        <v>0</v>
      </c>
      <c r="T417" s="64" t="s">
        <v>301</v>
      </c>
      <c r="U417">
        <f t="shared" si="105"/>
        <v>0</v>
      </c>
      <c r="V417">
        <f t="shared" si="111"/>
        <v>0.0972</v>
      </c>
      <c r="W417" t="str">
        <f t="shared" si="112"/>
        <v/>
      </c>
      <c r="X417" t="str">
        <f t="shared" si="113"/>
        <v/>
      </c>
      <c r="Z417" s="65" t="str">
        <f t="shared" si="118"/>
        <v>0.013,0,0</v>
      </c>
      <c r="AA417" s="8">
        <v>0.013</v>
      </c>
      <c r="AB417" t="str">
        <f t="shared" si="100"/>
        <v>0.0972</v>
      </c>
      <c r="AF417" s="37" t="s">
        <v>88</v>
      </c>
    </row>
    <row r="418" ht="16.25" spans="1:32">
      <c r="A418" s="31">
        <v>404</v>
      </c>
      <c r="B418" s="102">
        <v>260204</v>
      </c>
      <c r="C418" s="68">
        <v>4</v>
      </c>
      <c r="D418" s="81">
        <v>24.29</v>
      </c>
      <c r="E418" s="81"/>
      <c r="F418" s="81"/>
      <c r="G418" s="82"/>
      <c r="H418" s="68">
        <v>4</v>
      </c>
      <c r="I418" s="82"/>
      <c r="J418" s="82"/>
      <c r="K418" s="84">
        <f t="shared" si="115"/>
        <v>48.58</v>
      </c>
      <c r="L418" s="84" t="str">
        <f t="shared" si="116"/>
        <v/>
      </c>
      <c r="M418" s="84" t="str">
        <f t="shared" si="117"/>
        <v/>
      </c>
      <c r="N418" s="72" t="str">
        <f t="shared" si="114"/>
        <v/>
      </c>
      <c r="P418">
        <f t="shared" si="110"/>
        <v>160204</v>
      </c>
      <c r="Q418">
        <f t="shared" si="102"/>
        <v>19.432</v>
      </c>
      <c r="R418" s="64" t="s">
        <v>301</v>
      </c>
      <c r="S418">
        <f t="shared" si="103"/>
        <v>0</v>
      </c>
      <c r="T418" s="64" t="s">
        <v>301</v>
      </c>
      <c r="U418">
        <f t="shared" si="105"/>
        <v>0</v>
      </c>
      <c r="V418">
        <f t="shared" si="111"/>
        <v>50</v>
      </c>
      <c r="W418" t="str">
        <f t="shared" si="112"/>
        <v/>
      </c>
      <c r="X418" t="str">
        <f t="shared" si="113"/>
        <v/>
      </c>
      <c r="Z418" s="65" t="str">
        <f t="shared" si="118"/>
        <v>19.432,0,0</v>
      </c>
      <c r="AA418" s="8">
        <v>19.432</v>
      </c>
      <c r="AB418" t="str">
        <f t="shared" si="100"/>
        <v>50</v>
      </c>
      <c r="AF418" s="37"/>
    </row>
    <row r="419" ht="16.25" spans="1:32">
      <c r="A419" s="31">
        <v>404</v>
      </c>
      <c r="B419" s="102">
        <v>260204</v>
      </c>
      <c r="C419" s="68">
        <v>35</v>
      </c>
      <c r="D419" s="81">
        <v>0.0512</v>
      </c>
      <c r="E419" s="81"/>
      <c r="F419" s="81"/>
      <c r="G419" s="82"/>
      <c r="H419" s="68">
        <v>35</v>
      </c>
      <c r="I419" s="82"/>
      <c r="J419" s="82"/>
      <c r="K419" s="84">
        <f t="shared" si="115"/>
        <v>0.3072</v>
      </c>
      <c r="L419" s="84" t="str">
        <f t="shared" si="116"/>
        <v/>
      </c>
      <c r="M419" s="84" t="str">
        <f t="shared" si="117"/>
        <v/>
      </c>
      <c r="N419" s="72" t="str">
        <f t="shared" si="114"/>
        <v/>
      </c>
      <c r="P419">
        <f t="shared" si="110"/>
        <v>160204</v>
      </c>
      <c r="Q419">
        <f t="shared" si="102"/>
        <v>0.041</v>
      </c>
      <c r="R419" s="64" t="s">
        <v>301</v>
      </c>
      <c r="S419">
        <f t="shared" si="103"/>
        <v>0</v>
      </c>
      <c r="T419" s="64" t="s">
        <v>301</v>
      </c>
      <c r="U419">
        <f t="shared" si="105"/>
        <v>0</v>
      </c>
      <c r="V419">
        <f t="shared" si="111"/>
        <v>0.3072</v>
      </c>
      <c r="W419" t="str">
        <f t="shared" si="112"/>
        <v/>
      </c>
      <c r="X419" t="str">
        <f t="shared" si="113"/>
        <v/>
      </c>
      <c r="Z419" s="65" t="str">
        <f t="shared" si="118"/>
        <v>0.041,0,0</v>
      </c>
      <c r="AA419" s="8">
        <v>0.041</v>
      </c>
      <c r="AB419" t="str">
        <f t="shared" ref="AB419:AB482" si="119">_xlfn.TEXTJOIN(",",TRUE,V419,W419,X419)</f>
        <v>0.3072</v>
      </c>
      <c r="AF419" s="37"/>
    </row>
    <row r="420" ht="16.25" spans="1:32">
      <c r="A420" s="31">
        <v>404</v>
      </c>
      <c r="B420" s="102">
        <v>260304</v>
      </c>
      <c r="C420" s="68">
        <v>5</v>
      </c>
      <c r="D420" s="81">
        <v>0.0299</v>
      </c>
      <c r="E420" s="81"/>
      <c r="F420" s="81"/>
      <c r="G420" s="82"/>
      <c r="H420" s="68">
        <v>5</v>
      </c>
      <c r="I420" s="82"/>
      <c r="J420" s="82"/>
      <c r="K420" s="84">
        <f t="shared" si="115"/>
        <v>0.1794</v>
      </c>
      <c r="L420" s="84" t="str">
        <f t="shared" si="116"/>
        <v/>
      </c>
      <c r="M420" s="84" t="str">
        <f t="shared" si="117"/>
        <v/>
      </c>
      <c r="N420" s="72" t="str">
        <f t="shared" si="114"/>
        <v/>
      </c>
      <c r="P420">
        <f t="shared" si="110"/>
        <v>160304</v>
      </c>
      <c r="Q420">
        <f t="shared" si="102"/>
        <v>0.0239</v>
      </c>
      <c r="R420" s="64" t="s">
        <v>301</v>
      </c>
      <c r="S420">
        <f t="shared" si="103"/>
        <v>0</v>
      </c>
      <c r="T420" s="64" t="s">
        <v>301</v>
      </c>
      <c r="U420">
        <f t="shared" si="105"/>
        <v>0</v>
      </c>
      <c r="V420">
        <f t="shared" si="111"/>
        <v>0.1794</v>
      </c>
      <c r="W420" t="str">
        <f t="shared" si="112"/>
        <v/>
      </c>
      <c r="X420" t="str">
        <f t="shared" si="113"/>
        <v/>
      </c>
      <c r="Z420" s="65" t="str">
        <f t="shared" si="118"/>
        <v>0.0239,0,0</v>
      </c>
      <c r="AA420" s="8">
        <v>0.0239</v>
      </c>
      <c r="AB420" t="str">
        <f t="shared" si="119"/>
        <v>0.1794</v>
      </c>
      <c r="AF420" s="37" t="s">
        <v>92</v>
      </c>
    </row>
    <row r="421" ht="16.25" spans="1:32">
      <c r="A421" s="31">
        <v>404</v>
      </c>
      <c r="B421" s="102">
        <v>260304</v>
      </c>
      <c r="C421" s="68">
        <v>26</v>
      </c>
      <c r="D421" s="81">
        <v>0.0409</v>
      </c>
      <c r="E421" s="81"/>
      <c r="F421" s="81"/>
      <c r="G421" s="82"/>
      <c r="H421" s="68">
        <v>26</v>
      </c>
      <c r="I421" s="82"/>
      <c r="J421" s="82"/>
      <c r="K421" s="84">
        <f t="shared" si="115"/>
        <v>0.2454</v>
      </c>
      <c r="L421" s="84" t="str">
        <f t="shared" si="116"/>
        <v/>
      </c>
      <c r="M421" s="84" t="str">
        <f t="shared" si="117"/>
        <v/>
      </c>
      <c r="N421" s="72" t="str">
        <f t="shared" si="114"/>
        <v/>
      </c>
      <c r="P421">
        <f t="shared" ref="P421:P437" si="120">B421-100000</f>
        <v>160304</v>
      </c>
      <c r="Q421">
        <f t="shared" si="102"/>
        <v>0.0327</v>
      </c>
      <c r="R421" s="64" t="s">
        <v>301</v>
      </c>
      <c r="S421">
        <f t="shared" si="103"/>
        <v>0</v>
      </c>
      <c r="T421" s="64" t="s">
        <v>301</v>
      </c>
      <c r="U421">
        <f t="shared" si="105"/>
        <v>0</v>
      </c>
      <c r="V421">
        <f t="shared" si="111"/>
        <v>0.2454</v>
      </c>
      <c r="W421" t="str">
        <f t="shared" si="112"/>
        <v/>
      </c>
      <c r="X421" t="str">
        <f t="shared" si="113"/>
        <v/>
      </c>
      <c r="Z421" s="65" t="str">
        <f t="shared" si="118"/>
        <v>0.0327,0,0</v>
      </c>
      <c r="AA421" s="8">
        <v>0.0327</v>
      </c>
      <c r="AB421" t="str">
        <f t="shared" si="119"/>
        <v>0.2454</v>
      </c>
      <c r="AF421" s="37"/>
    </row>
    <row r="422" ht="16.25" spans="1:32">
      <c r="A422" s="31">
        <v>404</v>
      </c>
      <c r="B422" s="102">
        <v>260304</v>
      </c>
      <c r="C422" s="68">
        <v>4</v>
      </c>
      <c r="D422" s="81">
        <v>24.29</v>
      </c>
      <c r="E422" s="81"/>
      <c r="F422" s="81"/>
      <c r="G422" s="82"/>
      <c r="H422" s="68">
        <v>4</v>
      </c>
      <c r="I422" s="82"/>
      <c r="J422" s="82"/>
      <c r="K422" s="84">
        <f t="shared" si="115"/>
        <v>48.58</v>
      </c>
      <c r="L422" s="84" t="str">
        <f t="shared" si="116"/>
        <v/>
      </c>
      <c r="M422" s="84" t="str">
        <f t="shared" si="117"/>
        <v/>
      </c>
      <c r="N422" s="72" t="str">
        <f t="shared" si="114"/>
        <v/>
      </c>
      <c r="P422">
        <f t="shared" si="120"/>
        <v>160304</v>
      </c>
      <c r="Q422">
        <f t="shared" si="102"/>
        <v>19.432</v>
      </c>
      <c r="R422" s="64" t="s">
        <v>301</v>
      </c>
      <c r="S422">
        <f t="shared" si="103"/>
        <v>0</v>
      </c>
      <c r="T422" s="64" t="s">
        <v>301</v>
      </c>
      <c r="U422">
        <f t="shared" si="105"/>
        <v>0</v>
      </c>
      <c r="V422">
        <f t="shared" si="111"/>
        <v>50</v>
      </c>
      <c r="W422" t="str">
        <f t="shared" si="112"/>
        <v/>
      </c>
      <c r="X422" t="str">
        <f t="shared" si="113"/>
        <v/>
      </c>
      <c r="Z422" s="65" t="str">
        <f t="shared" si="118"/>
        <v>19.432,0,0</v>
      </c>
      <c r="AA422" s="8">
        <v>19.432</v>
      </c>
      <c r="AB422" t="str">
        <f t="shared" si="119"/>
        <v>50</v>
      </c>
      <c r="AF422" s="37"/>
    </row>
    <row r="423" ht="16.25" spans="1:32">
      <c r="A423" s="31">
        <v>404</v>
      </c>
      <c r="B423" s="102">
        <v>260404</v>
      </c>
      <c r="C423" s="68">
        <v>5</v>
      </c>
      <c r="D423" s="81">
        <v>0.0478</v>
      </c>
      <c r="E423" s="81"/>
      <c r="F423" s="81"/>
      <c r="G423" s="82"/>
      <c r="H423" s="68">
        <v>5</v>
      </c>
      <c r="I423" s="82"/>
      <c r="J423" s="82"/>
      <c r="K423" s="84">
        <f t="shared" si="115"/>
        <v>0.2868</v>
      </c>
      <c r="L423" s="84" t="str">
        <f t="shared" si="116"/>
        <v/>
      </c>
      <c r="M423" s="84" t="str">
        <f t="shared" si="117"/>
        <v/>
      </c>
      <c r="N423" s="72" t="str">
        <f t="shared" si="114"/>
        <v/>
      </c>
      <c r="P423">
        <f t="shared" si="120"/>
        <v>160404</v>
      </c>
      <c r="Q423">
        <f t="shared" si="102"/>
        <v>0.0382</v>
      </c>
      <c r="R423" s="64" t="s">
        <v>301</v>
      </c>
      <c r="S423">
        <f t="shared" si="103"/>
        <v>0</v>
      </c>
      <c r="T423" s="64" t="s">
        <v>301</v>
      </c>
      <c r="U423">
        <f t="shared" si="105"/>
        <v>0</v>
      </c>
      <c r="V423">
        <f t="shared" si="111"/>
        <v>0.2868</v>
      </c>
      <c r="W423" t="str">
        <f t="shared" si="112"/>
        <v/>
      </c>
      <c r="X423" t="str">
        <f t="shared" si="113"/>
        <v/>
      </c>
      <c r="Z423" s="65" t="str">
        <f t="shared" si="118"/>
        <v>0.0382,0,0</v>
      </c>
      <c r="AA423" s="8">
        <v>0.0382</v>
      </c>
      <c r="AB423" t="str">
        <f t="shared" si="119"/>
        <v>0.2868</v>
      </c>
      <c r="AF423" s="37" t="s">
        <v>96</v>
      </c>
    </row>
    <row r="424" ht="16.25" spans="1:32">
      <c r="A424" s="31">
        <v>404</v>
      </c>
      <c r="B424" s="102">
        <v>260404</v>
      </c>
      <c r="C424" s="68">
        <v>4</v>
      </c>
      <c r="D424" s="81">
        <v>24.29</v>
      </c>
      <c r="E424" s="81"/>
      <c r="F424" s="81"/>
      <c r="G424" s="82"/>
      <c r="H424" s="68">
        <v>4</v>
      </c>
      <c r="I424" s="82"/>
      <c r="J424" s="82"/>
      <c r="K424" s="84">
        <f t="shared" si="115"/>
        <v>48.58</v>
      </c>
      <c r="L424" s="84" t="str">
        <f t="shared" si="116"/>
        <v/>
      </c>
      <c r="M424" s="84" t="str">
        <f t="shared" si="117"/>
        <v/>
      </c>
      <c r="N424" s="72" t="str">
        <f t="shared" si="114"/>
        <v/>
      </c>
      <c r="P424">
        <f t="shared" si="120"/>
        <v>160404</v>
      </c>
      <c r="Q424">
        <f t="shared" si="102"/>
        <v>19.432</v>
      </c>
      <c r="R424" s="64" t="s">
        <v>301</v>
      </c>
      <c r="S424">
        <f t="shared" si="103"/>
        <v>0</v>
      </c>
      <c r="T424" s="64" t="s">
        <v>301</v>
      </c>
      <c r="U424">
        <f t="shared" si="105"/>
        <v>0</v>
      </c>
      <c r="V424">
        <f t="shared" si="111"/>
        <v>50</v>
      </c>
      <c r="W424" t="str">
        <f t="shared" si="112"/>
        <v/>
      </c>
      <c r="X424" t="str">
        <f t="shared" si="113"/>
        <v/>
      </c>
      <c r="Z424" s="65" t="str">
        <f t="shared" si="118"/>
        <v>19.432,0,0</v>
      </c>
      <c r="AA424" s="8">
        <v>19.432</v>
      </c>
      <c r="AB424" t="str">
        <f t="shared" si="119"/>
        <v>50</v>
      </c>
      <c r="AF424" s="37"/>
    </row>
    <row r="425" ht="16.25" spans="1:32">
      <c r="A425" s="31">
        <v>404</v>
      </c>
      <c r="B425" s="102">
        <v>260504</v>
      </c>
      <c r="C425" s="68">
        <v>7</v>
      </c>
      <c r="D425" s="81">
        <v>0.0136</v>
      </c>
      <c r="E425" s="81"/>
      <c r="F425" s="81"/>
      <c r="G425" s="82"/>
      <c r="H425" s="68">
        <v>7</v>
      </c>
      <c r="I425" s="82"/>
      <c r="J425" s="82"/>
      <c r="K425" s="84">
        <f t="shared" si="115"/>
        <v>0.0816</v>
      </c>
      <c r="L425" s="84" t="str">
        <f t="shared" si="116"/>
        <v/>
      </c>
      <c r="M425" s="84" t="str">
        <f t="shared" si="117"/>
        <v/>
      </c>
      <c r="N425" s="72" t="str">
        <f t="shared" si="114"/>
        <v/>
      </c>
      <c r="P425">
        <f t="shared" si="120"/>
        <v>160504</v>
      </c>
      <c r="Q425">
        <f t="shared" si="102"/>
        <v>0.0109</v>
      </c>
      <c r="R425" s="64" t="s">
        <v>301</v>
      </c>
      <c r="S425">
        <f t="shared" si="103"/>
        <v>0</v>
      </c>
      <c r="T425" s="64" t="s">
        <v>301</v>
      </c>
      <c r="U425">
        <f t="shared" si="105"/>
        <v>0</v>
      </c>
      <c r="V425">
        <f t="shared" si="111"/>
        <v>0.0816</v>
      </c>
      <c r="W425" t="str">
        <f t="shared" si="112"/>
        <v/>
      </c>
      <c r="X425" t="str">
        <f t="shared" si="113"/>
        <v/>
      </c>
      <c r="Z425" s="65" t="str">
        <f t="shared" si="118"/>
        <v>0.0109,0,0</v>
      </c>
      <c r="AA425" s="8">
        <v>0.0109</v>
      </c>
      <c r="AB425" t="str">
        <f t="shared" si="119"/>
        <v>0.0816</v>
      </c>
      <c r="AF425" s="37" t="s">
        <v>100</v>
      </c>
    </row>
    <row r="426" ht="16.25" spans="1:32">
      <c r="A426" s="31">
        <v>404</v>
      </c>
      <c r="B426" s="102">
        <v>260504</v>
      </c>
      <c r="C426" s="68">
        <v>4</v>
      </c>
      <c r="D426" s="81">
        <v>24.29</v>
      </c>
      <c r="E426" s="81"/>
      <c r="F426" s="81"/>
      <c r="G426" s="82"/>
      <c r="H426" s="68">
        <v>4</v>
      </c>
      <c r="I426" s="82"/>
      <c r="J426" s="82"/>
      <c r="K426" s="84">
        <f t="shared" si="115"/>
        <v>48.58</v>
      </c>
      <c r="L426" s="84" t="str">
        <f t="shared" si="116"/>
        <v/>
      </c>
      <c r="M426" s="84" t="str">
        <f t="shared" si="117"/>
        <v/>
      </c>
      <c r="N426" s="72" t="str">
        <f t="shared" si="114"/>
        <v/>
      </c>
      <c r="P426">
        <f t="shared" si="120"/>
        <v>160504</v>
      </c>
      <c r="Q426">
        <f t="shared" si="102"/>
        <v>19.432</v>
      </c>
      <c r="R426" s="64" t="s">
        <v>301</v>
      </c>
      <c r="S426">
        <f t="shared" si="103"/>
        <v>0</v>
      </c>
      <c r="T426" s="64" t="s">
        <v>301</v>
      </c>
      <c r="U426">
        <f t="shared" si="105"/>
        <v>0</v>
      </c>
      <c r="V426">
        <f t="shared" si="111"/>
        <v>50</v>
      </c>
      <c r="W426" t="str">
        <f t="shared" si="112"/>
        <v/>
      </c>
      <c r="X426" t="str">
        <f t="shared" si="113"/>
        <v/>
      </c>
      <c r="Z426" s="65" t="str">
        <f t="shared" ref="Z426:Z437" si="121">Q426&amp;R426&amp;S426&amp;T426&amp;U426</f>
        <v>19.432,0,0</v>
      </c>
      <c r="AA426" s="8">
        <v>19.432</v>
      </c>
      <c r="AB426" t="str">
        <f t="shared" si="119"/>
        <v>50</v>
      </c>
      <c r="AF426" s="37"/>
    </row>
    <row r="427" ht="16.25" spans="1:32">
      <c r="A427" s="31">
        <v>404</v>
      </c>
      <c r="B427" s="102">
        <v>260604</v>
      </c>
      <c r="C427" s="68">
        <v>7</v>
      </c>
      <c r="D427" s="81">
        <v>0.0068</v>
      </c>
      <c r="E427" s="81"/>
      <c r="F427" s="81"/>
      <c r="G427" s="82"/>
      <c r="H427" s="68">
        <v>7</v>
      </c>
      <c r="I427" s="82"/>
      <c r="J427" s="82"/>
      <c r="K427" s="84">
        <f t="shared" si="115"/>
        <v>0.0408</v>
      </c>
      <c r="L427" s="84" t="str">
        <f t="shared" si="116"/>
        <v/>
      </c>
      <c r="M427" s="84" t="str">
        <f t="shared" si="117"/>
        <v/>
      </c>
      <c r="N427" s="72" t="str">
        <f t="shared" si="114"/>
        <v/>
      </c>
      <c r="P427">
        <f t="shared" si="120"/>
        <v>160604</v>
      </c>
      <c r="Q427">
        <f t="shared" si="102"/>
        <v>0.0054</v>
      </c>
      <c r="R427" s="64" t="s">
        <v>301</v>
      </c>
      <c r="S427">
        <f t="shared" si="103"/>
        <v>0</v>
      </c>
      <c r="T427" s="64" t="s">
        <v>301</v>
      </c>
      <c r="U427">
        <f t="shared" si="105"/>
        <v>0</v>
      </c>
      <c r="V427">
        <f t="shared" si="111"/>
        <v>0.0408</v>
      </c>
      <c r="W427" t="str">
        <f t="shared" si="112"/>
        <v/>
      </c>
      <c r="X427" t="str">
        <f t="shared" si="113"/>
        <v/>
      </c>
      <c r="Z427" s="65" t="str">
        <f t="shared" si="121"/>
        <v>0.0054,0,0</v>
      </c>
      <c r="AA427" s="8">
        <v>0.0054</v>
      </c>
      <c r="AB427" t="str">
        <f t="shared" si="119"/>
        <v>0.0408</v>
      </c>
      <c r="AF427" s="37" t="s">
        <v>104</v>
      </c>
    </row>
    <row r="428" ht="16.25" spans="1:32">
      <c r="A428" s="31">
        <v>404</v>
      </c>
      <c r="B428" s="102">
        <v>260604</v>
      </c>
      <c r="C428" s="68">
        <v>4</v>
      </c>
      <c r="D428" s="81">
        <v>24.29</v>
      </c>
      <c r="E428" s="81"/>
      <c r="F428" s="81"/>
      <c r="G428" s="82"/>
      <c r="H428" s="68">
        <v>4</v>
      </c>
      <c r="I428" s="82"/>
      <c r="J428" s="82"/>
      <c r="K428" s="84">
        <f t="shared" si="115"/>
        <v>48.58</v>
      </c>
      <c r="L428" s="84" t="str">
        <f t="shared" si="116"/>
        <v/>
      </c>
      <c r="M428" s="84" t="str">
        <f t="shared" si="117"/>
        <v/>
      </c>
      <c r="N428" s="72" t="str">
        <f t="shared" si="114"/>
        <v/>
      </c>
      <c r="P428">
        <f t="shared" si="120"/>
        <v>160604</v>
      </c>
      <c r="Q428">
        <f t="shared" si="102"/>
        <v>19.432</v>
      </c>
      <c r="R428" s="64" t="s">
        <v>301</v>
      </c>
      <c r="S428">
        <f t="shared" si="103"/>
        <v>0</v>
      </c>
      <c r="T428" s="64" t="s">
        <v>301</v>
      </c>
      <c r="U428">
        <f t="shared" si="105"/>
        <v>0</v>
      </c>
      <c r="V428">
        <f t="shared" si="111"/>
        <v>50</v>
      </c>
      <c r="W428" t="str">
        <f t="shared" si="112"/>
        <v/>
      </c>
      <c r="X428" t="str">
        <f t="shared" si="113"/>
        <v/>
      </c>
      <c r="Z428" s="65" t="str">
        <f t="shared" si="121"/>
        <v>19.432,0,0</v>
      </c>
      <c r="AA428" s="8">
        <v>19.432</v>
      </c>
      <c r="AB428" t="str">
        <f t="shared" si="119"/>
        <v>50</v>
      </c>
      <c r="AF428" s="37"/>
    </row>
    <row r="429" ht="16.25" spans="1:32">
      <c r="A429" s="31">
        <v>404</v>
      </c>
      <c r="B429" s="102">
        <v>260704</v>
      </c>
      <c r="C429" s="68">
        <v>7</v>
      </c>
      <c r="D429" s="81">
        <v>0.0682</v>
      </c>
      <c r="E429" s="81"/>
      <c r="F429" s="81"/>
      <c r="G429" s="82"/>
      <c r="H429" s="68">
        <v>7</v>
      </c>
      <c r="I429" s="82"/>
      <c r="J429" s="82"/>
      <c r="K429" s="84">
        <f t="shared" si="115"/>
        <v>0.4092</v>
      </c>
      <c r="L429" s="84" t="str">
        <f t="shared" si="116"/>
        <v/>
      </c>
      <c r="M429" s="84" t="str">
        <f t="shared" si="117"/>
        <v/>
      </c>
      <c r="N429" s="72" t="str">
        <f t="shared" si="114"/>
        <v/>
      </c>
      <c r="P429">
        <f t="shared" si="120"/>
        <v>160704</v>
      </c>
      <c r="Q429">
        <f t="shared" si="102"/>
        <v>0.0546</v>
      </c>
      <c r="R429" s="64" t="s">
        <v>301</v>
      </c>
      <c r="S429">
        <f t="shared" si="103"/>
        <v>0</v>
      </c>
      <c r="T429" s="64" t="s">
        <v>301</v>
      </c>
      <c r="U429">
        <f t="shared" si="105"/>
        <v>0</v>
      </c>
      <c r="V429">
        <f t="shared" si="111"/>
        <v>0.4092</v>
      </c>
      <c r="W429" t="str">
        <f t="shared" si="112"/>
        <v/>
      </c>
      <c r="X429" t="str">
        <f t="shared" si="113"/>
        <v/>
      </c>
      <c r="Z429" s="65" t="str">
        <f t="shared" si="121"/>
        <v>0.0546,0,0</v>
      </c>
      <c r="AA429" s="8">
        <v>0.0546</v>
      </c>
      <c r="AB429" t="str">
        <f t="shared" si="119"/>
        <v>0.4092</v>
      </c>
      <c r="AF429" s="37" t="s">
        <v>108</v>
      </c>
    </row>
    <row r="430" ht="17" spans="1:32">
      <c r="A430" s="31">
        <v>404</v>
      </c>
      <c r="B430" s="102">
        <v>260704</v>
      </c>
      <c r="C430" s="68">
        <v>4</v>
      </c>
      <c r="D430" s="81">
        <v>24.29</v>
      </c>
      <c r="E430" s="81"/>
      <c r="F430" s="81"/>
      <c r="G430" s="82"/>
      <c r="H430" s="68">
        <v>4</v>
      </c>
      <c r="I430" s="82"/>
      <c r="J430" s="82"/>
      <c r="K430" s="84">
        <f t="shared" si="115"/>
        <v>48.58</v>
      </c>
      <c r="L430" s="84" t="str">
        <f t="shared" si="116"/>
        <v/>
      </c>
      <c r="M430" s="84" t="str">
        <f t="shared" si="117"/>
        <v/>
      </c>
      <c r="N430" s="72" t="str">
        <f t="shared" si="114"/>
        <v/>
      </c>
      <c r="P430">
        <f t="shared" si="120"/>
        <v>160704</v>
      </c>
      <c r="Q430">
        <f t="shared" si="102"/>
        <v>19.432</v>
      </c>
      <c r="R430" s="64" t="s">
        <v>301</v>
      </c>
      <c r="S430">
        <f t="shared" si="103"/>
        <v>0</v>
      </c>
      <c r="T430" s="64" t="s">
        <v>301</v>
      </c>
      <c r="U430">
        <f t="shared" si="105"/>
        <v>0</v>
      </c>
      <c r="V430">
        <f t="shared" si="111"/>
        <v>50</v>
      </c>
      <c r="W430" t="str">
        <f t="shared" si="112"/>
        <v/>
      </c>
      <c r="X430" t="str">
        <f t="shared" si="113"/>
        <v/>
      </c>
      <c r="Z430" s="65" t="str">
        <f t="shared" si="121"/>
        <v>19.432,0,0</v>
      </c>
      <c r="AA430" s="8">
        <v>19.432</v>
      </c>
      <c r="AB430" t="str">
        <f t="shared" si="119"/>
        <v>50</v>
      </c>
      <c r="AF430" s="37"/>
    </row>
    <row r="431" ht="16.25" spans="1:32">
      <c r="A431" s="31">
        <v>404</v>
      </c>
      <c r="B431" s="102">
        <v>260804</v>
      </c>
      <c r="C431" s="68">
        <v>10</v>
      </c>
      <c r="D431" s="89">
        <v>0.0097</v>
      </c>
      <c r="E431" s="89"/>
      <c r="F431" s="89"/>
      <c r="G431" s="82"/>
      <c r="H431" s="68">
        <v>10</v>
      </c>
      <c r="I431" s="82"/>
      <c r="J431" s="82"/>
      <c r="K431" s="84">
        <f t="shared" si="115"/>
        <v>0.0582</v>
      </c>
      <c r="L431" s="84" t="str">
        <f t="shared" si="116"/>
        <v/>
      </c>
      <c r="M431" s="84" t="str">
        <f t="shared" si="117"/>
        <v/>
      </c>
      <c r="N431" s="72" t="str">
        <f t="shared" si="114"/>
        <v/>
      </c>
      <c r="P431">
        <f t="shared" si="120"/>
        <v>160804</v>
      </c>
      <c r="Q431">
        <f t="shared" si="102"/>
        <v>0.0078</v>
      </c>
      <c r="R431" s="64" t="s">
        <v>301</v>
      </c>
      <c r="S431">
        <f t="shared" si="103"/>
        <v>0</v>
      </c>
      <c r="T431" s="64" t="s">
        <v>301</v>
      </c>
      <c r="U431">
        <f t="shared" si="105"/>
        <v>0</v>
      </c>
      <c r="V431">
        <f t="shared" si="111"/>
        <v>0.0582</v>
      </c>
      <c r="W431" t="str">
        <f t="shared" si="112"/>
        <v/>
      </c>
      <c r="X431" t="str">
        <f t="shared" si="113"/>
        <v/>
      </c>
      <c r="Z431" s="65" t="str">
        <f t="shared" si="121"/>
        <v>0.0078,0,0</v>
      </c>
      <c r="AA431" s="8">
        <v>0.0078</v>
      </c>
      <c r="AB431" t="str">
        <f t="shared" si="119"/>
        <v>0.0582</v>
      </c>
      <c r="AF431" s="37" t="s">
        <v>112</v>
      </c>
    </row>
    <row r="432" ht="16.25" spans="1:32">
      <c r="A432" s="31">
        <v>404</v>
      </c>
      <c r="B432" s="102">
        <v>260804</v>
      </c>
      <c r="C432" s="68">
        <v>26</v>
      </c>
      <c r="D432" s="90">
        <v>0.0205</v>
      </c>
      <c r="E432" s="90"/>
      <c r="F432" s="90"/>
      <c r="G432" s="82"/>
      <c r="H432" s="68">
        <v>26</v>
      </c>
      <c r="I432" s="82"/>
      <c r="J432" s="82"/>
      <c r="K432" s="84">
        <f t="shared" si="115"/>
        <v>0.123</v>
      </c>
      <c r="L432" s="84" t="str">
        <f t="shared" si="116"/>
        <v/>
      </c>
      <c r="M432" s="84" t="str">
        <f t="shared" si="117"/>
        <v/>
      </c>
      <c r="N432" s="72" t="str">
        <f t="shared" si="114"/>
        <v/>
      </c>
      <c r="P432">
        <f t="shared" si="120"/>
        <v>160804</v>
      </c>
      <c r="Q432">
        <f t="shared" si="102"/>
        <v>0.0164</v>
      </c>
      <c r="R432" s="64" t="s">
        <v>301</v>
      </c>
      <c r="S432">
        <f t="shared" si="103"/>
        <v>0</v>
      </c>
      <c r="T432" s="64" t="s">
        <v>301</v>
      </c>
      <c r="U432">
        <f t="shared" si="105"/>
        <v>0</v>
      </c>
      <c r="V432">
        <f t="shared" si="111"/>
        <v>0.123</v>
      </c>
      <c r="W432" t="str">
        <f t="shared" si="112"/>
        <v/>
      </c>
      <c r="X432" t="str">
        <f t="shared" si="113"/>
        <v/>
      </c>
      <c r="Z432" s="65" t="str">
        <f t="shared" si="121"/>
        <v>0.0164,0,0</v>
      </c>
      <c r="AA432" s="8">
        <v>0.0164</v>
      </c>
      <c r="AB432" t="str">
        <f t="shared" si="119"/>
        <v>0.123</v>
      </c>
      <c r="AF432" s="37"/>
    </row>
    <row r="433" ht="16.25" spans="1:32">
      <c r="A433" s="31">
        <v>404</v>
      </c>
      <c r="B433" s="102">
        <v>260804</v>
      </c>
      <c r="C433" s="68">
        <v>7</v>
      </c>
      <c r="D433" s="90">
        <v>0.0341</v>
      </c>
      <c r="E433" s="90"/>
      <c r="F433" s="90"/>
      <c r="G433" s="82"/>
      <c r="H433" s="68">
        <v>7</v>
      </c>
      <c r="I433" s="82"/>
      <c r="J433" s="82"/>
      <c r="K433" s="84">
        <f t="shared" si="115"/>
        <v>0.2046</v>
      </c>
      <c r="L433" s="84" t="str">
        <f t="shared" si="116"/>
        <v/>
      </c>
      <c r="M433" s="84" t="str">
        <f t="shared" si="117"/>
        <v/>
      </c>
      <c r="N433" s="72" t="str">
        <f t="shared" si="114"/>
        <v/>
      </c>
      <c r="P433">
        <f t="shared" si="120"/>
        <v>160804</v>
      </c>
      <c r="Q433">
        <f t="shared" si="102"/>
        <v>0.0273</v>
      </c>
      <c r="R433" s="64" t="s">
        <v>301</v>
      </c>
      <c r="S433">
        <f>ROUND(E433*$Q$1,4)</f>
        <v>0</v>
      </c>
      <c r="T433" s="64" t="s">
        <v>301</v>
      </c>
      <c r="U433">
        <f t="shared" si="105"/>
        <v>0</v>
      </c>
      <c r="V433">
        <f t="shared" si="111"/>
        <v>0.2046</v>
      </c>
      <c r="W433" t="str">
        <f t="shared" si="112"/>
        <v/>
      </c>
      <c r="X433" t="str">
        <f t="shared" si="113"/>
        <v/>
      </c>
      <c r="Z433" s="65" t="str">
        <f t="shared" si="121"/>
        <v>0.0273,0,0</v>
      </c>
      <c r="AA433" s="8">
        <v>0.0273</v>
      </c>
      <c r="AB433" t="str">
        <f t="shared" si="119"/>
        <v>0.2046</v>
      </c>
      <c r="AF433" s="37"/>
    </row>
    <row r="434" ht="17" spans="1:32">
      <c r="A434" s="31">
        <v>404</v>
      </c>
      <c r="B434" s="102">
        <v>260804</v>
      </c>
      <c r="C434" s="68">
        <v>4</v>
      </c>
      <c r="D434" s="91">
        <v>12.14</v>
      </c>
      <c r="E434" s="91"/>
      <c r="F434" s="91"/>
      <c r="G434" s="82"/>
      <c r="H434" s="68">
        <v>4</v>
      </c>
      <c r="I434" s="82"/>
      <c r="J434" s="82"/>
      <c r="K434" s="84">
        <f t="shared" si="115"/>
        <v>24.28</v>
      </c>
      <c r="L434" s="84" t="str">
        <f t="shared" si="116"/>
        <v/>
      </c>
      <c r="M434" s="84" t="str">
        <f t="shared" si="117"/>
        <v/>
      </c>
      <c r="N434" s="72" t="str">
        <f t="shared" si="114"/>
        <v/>
      </c>
      <c r="P434">
        <f t="shared" si="120"/>
        <v>160804</v>
      </c>
      <c r="Q434">
        <f t="shared" si="102"/>
        <v>9.712</v>
      </c>
      <c r="R434" s="64" t="s">
        <v>301</v>
      </c>
      <c r="S434">
        <f>ROUND(E434*$Q$1,4)</f>
        <v>0</v>
      </c>
      <c r="T434" s="64" t="s">
        <v>301</v>
      </c>
      <c r="U434">
        <f t="shared" si="105"/>
        <v>0</v>
      </c>
      <c r="V434">
        <f t="shared" si="111"/>
        <v>25</v>
      </c>
      <c r="W434" t="str">
        <f t="shared" si="112"/>
        <v/>
      </c>
      <c r="X434" t="str">
        <f t="shared" si="113"/>
        <v/>
      </c>
      <c r="Z434" s="65" t="str">
        <f t="shared" si="121"/>
        <v>9.712,0,0</v>
      </c>
      <c r="AA434" s="8">
        <v>9.712</v>
      </c>
      <c r="AB434" t="str">
        <f t="shared" si="119"/>
        <v>25</v>
      </c>
      <c r="AF434" s="37"/>
    </row>
    <row r="435" ht="16.25" spans="1:32">
      <c r="A435" s="31">
        <v>404</v>
      </c>
      <c r="B435" s="102">
        <v>260904</v>
      </c>
      <c r="C435" s="68">
        <v>7</v>
      </c>
      <c r="D435" s="103">
        <v>0.0341</v>
      </c>
      <c r="E435" s="103"/>
      <c r="F435" s="103"/>
      <c r="G435" s="82"/>
      <c r="H435" s="68">
        <v>7</v>
      </c>
      <c r="I435" s="82"/>
      <c r="J435" s="82"/>
      <c r="K435" s="84">
        <f t="shared" si="115"/>
        <v>0.2046</v>
      </c>
      <c r="L435" s="84" t="str">
        <f t="shared" si="116"/>
        <v/>
      </c>
      <c r="M435" s="84" t="str">
        <f t="shared" si="117"/>
        <v/>
      </c>
      <c r="N435" s="72" t="str">
        <f t="shared" si="114"/>
        <v/>
      </c>
      <c r="P435">
        <f t="shared" si="120"/>
        <v>160904</v>
      </c>
      <c r="Q435">
        <f t="shared" si="102"/>
        <v>0.0273</v>
      </c>
      <c r="R435" s="64" t="s">
        <v>301</v>
      </c>
      <c r="S435">
        <f>ROUND(E435*$Q$1,4)</f>
        <v>0</v>
      </c>
      <c r="T435" s="64" t="s">
        <v>301</v>
      </c>
      <c r="U435">
        <f t="shared" si="105"/>
        <v>0</v>
      </c>
      <c r="V435">
        <f t="shared" si="111"/>
        <v>0.2046</v>
      </c>
      <c r="W435" t="str">
        <f t="shared" si="112"/>
        <v/>
      </c>
      <c r="X435" t="str">
        <f t="shared" si="113"/>
        <v/>
      </c>
      <c r="Z435" s="65" t="str">
        <f t="shared" si="121"/>
        <v>0.0273,0,0</v>
      </c>
      <c r="AA435" s="8">
        <v>0.0273</v>
      </c>
      <c r="AB435" t="str">
        <f t="shared" si="119"/>
        <v>0.2046</v>
      </c>
      <c r="AF435" s="37" t="s">
        <v>116</v>
      </c>
    </row>
    <row r="436" ht="16.25" spans="1:32">
      <c r="A436" s="31">
        <v>404</v>
      </c>
      <c r="B436" s="102">
        <v>260904</v>
      </c>
      <c r="C436" s="68">
        <v>10</v>
      </c>
      <c r="D436" s="90">
        <v>0.0097</v>
      </c>
      <c r="E436" s="90"/>
      <c r="F436" s="90"/>
      <c r="G436" s="82"/>
      <c r="H436" s="68">
        <v>10</v>
      </c>
      <c r="I436" s="82"/>
      <c r="J436" s="82"/>
      <c r="K436" s="84">
        <f t="shared" si="115"/>
        <v>0.0582</v>
      </c>
      <c r="L436" s="84" t="str">
        <f t="shared" si="116"/>
        <v/>
      </c>
      <c r="M436" s="84" t="str">
        <f t="shared" si="117"/>
        <v/>
      </c>
      <c r="N436" s="72" t="str">
        <f t="shared" si="114"/>
        <v/>
      </c>
      <c r="P436">
        <f t="shared" si="120"/>
        <v>160904</v>
      </c>
      <c r="Q436">
        <f t="shared" si="102"/>
        <v>0.0078</v>
      </c>
      <c r="R436" s="64" t="s">
        <v>301</v>
      </c>
      <c r="S436">
        <f>ROUND(E436*$Q$1,4)</f>
        <v>0</v>
      </c>
      <c r="T436" s="64" t="s">
        <v>301</v>
      </c>
      <c r="U436">
        <f t="shared" si="105"/>
        <v>0</v>
      </c>
      <c r="V436">
        <f t="shared" si="111"/>
        <v>0.0582</v>
      </c>
      <c r="W436" t="str">
        <f t="shared" si="112"/>
        <v/>
      </c>
      <c r="X436" t="str">
        <f t="shared" si="113"/>
        <v/>
      </c>
      <c r="Z436" s="65" t="str">
        <f t="shared" si="121"/>
        <v>0.0078,0,0</v>
      </c>
      <c r="AA436" s="8">
        <v>0.0078</v>
      </c>
      <c r="AB436" t="str">
        <f t="shared" si="119"/>
        <v>0.0582</v>
      </c>
      <c r="AF436" s="59"/>
    </row>
    <row r="437" ht="17" spans="1:28">
      <c r="A437" s="31">
        <v>404</v>
      </c>
      <c r="B437" s="102">
        <v>260904</v>
      </c>
      <c r="C437" s="68">
        <v>4</v>
      </c>
      <c r="D437" s="91">
        <v>12.14</v>
      </c>
      <c r="E437" s="91"/>
      <c r="F437" s="91"/>
      <c r="G437" s="82"/>
      <c r="H437" s="68">
        <v>4</v>
      </c>
      <c r="I437" s="82"/>
      <c r="J437" s="82"/>
      <c r="K437" s="84">
        <f t="shared" si="115"/>
        <v>24.28</v>
      </c>
      <c r="L437" s="84" t="str">
        <f t="shared" si="116"/>
        <v/>
      </c>
      <c r="M437" s="84" t="str">
        <f t="shared" si="117"/>
        <v/>
      </c>
      <c r="N437" s="72" t="str">
        <f t="shared" si="114"/>
        <v/>
      </c>
      <c r="P437">
        <f t="shared" si="120"/>
        <v>160904</v>
      </c>
      <c r="Q437">
        <f t="shared" si="102"/>
        <v>9.712</v>
      </c>
      <c r="R437" s="64" t="s">
        <v>301</v>
      </c>
      <c r="S437">
        <f>ROUND(E437*$Q$1,4)</f>
        <v>0</v>
      </c>
      <c r="T437" s="64" t="s">
        <v>301</v>
      </c>
      <c r="U437">
        <f t="shared" si="105"/>
        <v>0</v>
      </c>
      <c r="V437">
        <f t="shared" si="111"/>
        <v>25</v>
      </c>
      <c r="W437" t="str">
        <f t="shared" si="112"/>
        <v/>
      </c>
      <c r="X437" t="str">
        <f t="shared" si="113"/>
        <v/>
      </c>
      <c r="Z437" s="65" t="str">
        <f t="shared" si="121"/>
        <v>9.712,0,0</v>
      </c>
      <c r="AA437" s="8">
        <v>9.712</v>
      </c>
      <c r="AB437" t="str">
        <f t="shared" si="119"/>
        <v>25</v>
      </c>
    </row>
    <row r="438" ht="16.25" spans="1:28">
      <c r="A438" s="104">
        <v>401</v>
      </c>
      <c r="B438" s="105">
        <v>600160</v>
      </c>
      <c r="C438" s="23" t="s">
        <v>302</v>
      </c>
      <c r="D438" s="23">
        <v>13</v>
      </c>
      <c r="E438">
        <v>8</v>
      </c>
      <c r="F438">
        <v>0.5</v>
      </c>
      <c r="H438" s="23">
        <v>1</v>
      </c>
      <c r="I438">
        <v>2</v>
      </c>
      <c r="J438">
        <v>61</v>
      </c>
      <c r="K438" s="84">
        <f t="shared" ref="K438:K501" si="122">IF(D438="","",IF(OR(RIGHT($A438,1)="1",RIGHT($A438,1)="2"),D438,IF(H438=4,D438*2,D438*6)))</f>
        <v>13</v>
      </c>
      <c r="L438" s="84">
        <f t="shared" ref="L438:L501" si="123">IF(E438="","",IF(OR(RIGHT($A438,1)="1",RIGHT($A438,1)="2"),E438,IF(I438=4,E438*2,E438*6)))</f>
        <v>8</v>
      </c>
      <c r="M438" s="84">
        <f t="shared" ref="M438:M501" si="124">IF(F438="","",IF(OR(RIGHT($A438,1)="1",RIGHT($A438,1)="2"),F438,IF(J438=4,F438*2,F438*6)))</f>
        <v>0.5</v>
      </c>
      <c r="V438">
        <f t="shared" si="111"/>
        <v>15</v>
      </c>
      <c r="W438">
        <f t="shared" si="112"/>
        <v>10</v>
      </c>
      <c r="X438">
        <f t="shared" si="113"/>
        <v>0.5</v>
      </c>
      <c r="AB438" t="str">
        <f t="shared" si="119"/>
        <v>15,10,0.5</v>
      </c>
    </row>
    <row r="439" ht="16.25" spans="1:28">
      <c r="A439" s="104">
        <v>401</v>
      </c>
      <c r="B439" s="105">
        <v>600160</v>
      </c>
      <c r="C439" s="23" t="s">
        <v>302</v>
      </c>
      <c r="D439" s="23">
        <v>15</v>
      </c>
      <c r="E439">
        <v>10</v>
      </c>
      <c r="F439">
        <v>0.5</v>
      </c>
      <c r="H439" s="23">
        <v>1</v>
      </c>
      <c r="I439">
        <v>2</v>
      </c>
      <c r="J439">
        <v>61</v>
      </c>
      <c r="K439" s="84">
        <f t="shared" si="122"/>
        <v>15</v>
      </c>
      <c r="L439" s="84">
        <f t="shared" si="123"/>
        <v>10</v>
      </c>
      <c r="M439" s="84">
        <f t="shared" si="124"/>
        <v>0.5</v>
      </c>
      <c r="V439">
        <f t="shared" si="111"/>
        <v>15</v>
      </c>
      <c r="W439">
        <f t="shared" si="112"/>
        <v>10</v>
      </c>
      <c r="X439">
        <f t="shared" si="113"/>
        <v>0.5</v>
      </c>
      <c r="AB439" t="str">
        <f t="shared" si="119"/>
        <v>15,10,0.5</v>
      </c>
    </row>
    <row r="440" ht="16.25" spans="1:28">
      <c r="A440" s="104">
        <v>401</v>
      </c>
      <c r="B440" s="105">
        <v>600160</v>
      </c>
      <c r="C440" s="23" t="s">
        <v>302</v>
      </c>
      <c r="D440" s="23">
        <v>17</v>
      </c>
      <c r="E440">
        <v>12</v>
      </c>
      <c r="F440">
        <v>0.5</v>
      </c>
      <c r="H440" s="23">
        <v>1</v>
      </c>
      <c r="I440">
        <v>2</v>
      </c>
      <c r="J440">
        <v>61</v>
      </c>
      <c r="K440" s="84">
        <f t="shared" si="122"/>
        <v>17</v>
      </c>
      <c r="L440" s="84">
        <f t="shared" si="123"/>
        <v>12</v>
      </c>
      <c r="M440" s="84">
        <f t="shared" si="124"/>
        <v>0.5</v>
      </c>
      <c r="V440">
        <f t="shared" si="111"/>
        <v>20</v>
      </c>
      <c r="W440">
        <f t="shared" si="112"/>
        <v>15</v>
      </c>
      <c r="X440">
        <f t="shared" si="113"/>
        <v>0.5</v>
      </c>
      <c r="AB440" t="str">
        <f t="shared" si="119"/>
        <v>20,15,0.5</v>
      </c>
    </row>
    <row r="441" ht="16.25" spans="1:28">
      <c r="A441" s="104">
        <v>401</v>
      </c>
      <c r="B441" s="105">
        <v>600161</v>
      </c>
      <c r="C441" s="23">
        <v>61</v>
      </c>
      <c r="D441" s="23">
        <v>0.25</v>
      </c>
      <c r="H441" s="23">
        <v>61</v>
      </c>
      <c r="K441" s="84">
        <f t="shared" si="122"/>
        <v>0.25</v>
      </c>
      <c r="L441" s="84" t="str">
        <f t="shared" si="123"/>
        <v/>
      </c>
      <c r="M441" s="84" t="str">
        <f t="shared" si="124"/>
        <v/>
      </c>
      <c r="V441">
        <f t="shared" si="111"/>
        <v>0.25</v>
      </c>
      <c r="W441" t="str">
        <f t="shared" si="112"/>
        <v/>
      </c>
      <c r="X441" t="str">
        <f t="shared" si="113"/>
        <v/>
      </c>
      <c r="AB441" t="str">
        <f t="shared" si="119"/>
        <v>0.25</v>
      </c>
    </row>
    <row r="442" ht="16.25" spans="1:28">
      <c r="A442" s="104">
        <v>402</v>
      </c>
      <c r="B442" s="105">
        <v>600160</v>
      </c>
      <c r="C442" s="23">
        <v>61</v>
      </c>
      <c r="D442" s="23">
        <v>0.25</v>
      </c>
      <c r="H442" s="23">
        <v>61</v>
      </c>
      <c r="K442" s="84">
        <f t="shared" si="122"/>
        <v>0.25</v>
      </c>
      <c r="L442" s="84" t="str">
        <f t="shared" si="123"/>
        <v/>
      </c>
      <c r="M442" s="84" t="str">
        <f t="shared" si="124"/>
        <v/>
      </c>
      <c r="V442">
        <f t="shared" si="111"/>
        <v>0.25</v>
      </c>
      <c r="W442" t="str">
        <f t="shared" si="112"/>
        <v/>
      </c>
      <c r="X442" t="str">
        <f t="shared" si="113"/>
        <v/>
      </c>
      <c r="AB442" t="str">
        <f t="shared" si="119"/>
        <v>0.25</v>
      </c>
    </row>
    <row r="443" ht="16.25" spans="1:28">
      <c r="A443" s="104">
        <v>402</v>
      </c>
      <c r="B443" s="105">
        <v>600160</v>
      </c>
      <c r="C443" s="23">
        <v>61</v>
      </c>
      <c r="D443" s="23">
        <v>0.25</v>
      </c>
      <c r="H443" s="23">
        <v>61</v>
      </c>
      <c r="K443" s="84">
        <f t="shared" si="122"/>
        <v>0.25</v>
      </c>
      <c r="L443" s="84" t="str">
        <f t="shared" si="123"/>
        <v/>
      </c>
      <c r="M443" s="84" t="str">
        <f t="shared" si="124"/>
        <v/>
      </c>
      <c r="V443">
        <f t="shared" si="111"/>
        <v>0.25</v>
      </c>
      <c r="W443" t="str">
        <f t="shared" si="112"/>
        <v/>
      </c>
      <c r="X443" t="str">
        <f t="shared" si="113"/>
        <v/>
      </c>
      <c r="AB443" t="str">
        <f t="shared" si="119"/>
        <v>0.25</v>
      </c>
    </row>
    <row r="444" ht="16.25" spans="1:28">
      <c r="A444" s="104">
        <v>402</v>
      </c>
      <c r="B444" s="105">
        <v>600160</v>
      </c>
      <c r="C444" s="23">
        <v>61</v>
      </c>
      <c r="D444" s="23">
        <v>0.25</v>
      </c>
      <c r="H444" s="23">
        <v>61</v>
      </c>
      <c r="K444" s="84">
        <f t="shared" si="122"/>
        <v>0.25</v>
      </c>
      <c r="L444" s="84" t="str">
        <f t="shared" si="123"/>
        <v/>
      </c>
      <c r="M444" s="84" t="str">
        <f t="shared" si="124"/>
        <v/>
      </c>
      <c r="V444">
        <f t="shared" si="111"/>
        <v>0.25</v>
      </c>
      <c r="W444" t="str">
        <f t="shared" si="112"/>
        <v/>
      </c>
      <c r="X444" t="str">
        <f t="shared" si="113"/>
        <v/>
      </c>
      <c r="AB444" t="str">
        <f t="shared" si="119"/>
        <v>0.25</v>
      </c>
    </row>
    <row r="445" ht="16.25" spans="1:28">
      <c r="A445" s="104">
        <v>402</v>
      </c>
      <c r="B445" s="105">
        <v>600161</v>
      </c>
      <c r="C445" s="23">
        <v>61</v>
      </c>
      <c r="D445" s="23">
        <v>0.25</v>
      </c>
      <c r="H445" s="23">
        <v>61</v>
      </c>
      <c r="K445" s="84">
        <f t="shared" si="122"/>
        <v>0.25</v>
      </c>
      <c r="L445" s="84" t="str">
        <f t="shared" si="123"/>
        <v/>
      </c>
      <c r="M445" s="84" t="str">
        <f t="shared" si="124"/>
        <v/>
      </c>
      <c r="V445">
        <f t="shared" si="111"/>
        <v>0.25</v>
      </c>
      <c r="W445" t="str">
        <f t="shared" si="112"/>
        <v/>
      </c>
      <c r="X445" t="str">
        <f t="shared" si="113"/>
        <v/>
      </c>
      <c r="AB445" t="str">
        <f t="shared" si="119"/>
        <v>0.25</v>
      </c>
    </row>
    <row r="446" ht="16.25" spans="1:28">
      <c r="A446" s="45">
        <v>101</v>
      </c>
      <c r="B446" s="106">
        <v>120001</v>
      </c>
      <c r="C446" s="23">
        <v>1</v>
      </c>
      <c r="D446" s="40">
        <v>37</v>
      </c>
      <c r="H446" s="23">
        <v>1</v>
      </c>
      <c r="K446" s="84">
        <f t="shared" si="122"/>
        <v>37</v>
      </c>
      <c r="L446" s="84" t="str">
        <f t="shared" si="123"/>
        <v/>
      </c>
      <c r="M446" s="84" t="str">
        <f t="shared" si="124"/>
        <v/>
      </c>
      <c r="V446">
        <f t="shared" si="111"/>
        <v>40</v>
      </c>
      <c r="W446" t="str">
        <f t="shared" si="112"/>
        <v/>
      </c>
      <c r="X446" t="str">
        <f t="shared" si="113"/>
        <v/>
      </c>
      <c r="AB446" t="str">
        <f t="shared" si="119"/>
        <v>40</v>
      </c>
    </row>
    <row r="447" ht="16.25" spans="1:28">
      <c r="A447" s="45">
        <v>101</v>
      </c>
      <c r="B447" s="106">
        <v>130001</v>
      </c>
      <c r="C447" s="23">
        <v>1</v>
      </c>
      <c r="D447" s="40">
        <v>48</v>
      </c>
      <c r="H447" s="23">
        <v>1</v>
      </c>
      <c r="K447" s="84">
        <f t="shared" si="122"/>
        <v>48</v>
      </c>
      <c r="L447" s="84" t="str">
        <f t="shared" si="123"/>
        <v/>
      </c>
      <c r="M447" s="84" t="str">
        <f t="shared" si="124"/>
        <v/>
      </c>
      <c r="V447">
        <f t="shared" si="111"/>
        <v>50</v>
      </c>
      <c r="W447" t="str">
        <f t="shared" si="112"/>
        <v/>
      </c>
      <c r="X447" t="str">
        <f t="shared" si="113"/>
        <v/>
      </c>
      <c r="AB447" t="str">
        <f t="shared" si="119"/>
        <v>50</v>
      </c>
    </row>
    <row r="448" ht="16.25" spans="1:28">
      <c r="A448" s="45">
        <v>101</v>
      </c>
      <c r="B448" s="106">
        <v>140001</v>
      </c>
      <c r="C448" s="23">
        <v>1</v>
      </c>
      <c r="D448" s="40">
        <v>74</v>
      </c>
      <c r="H448" s="23">
        <v>1</v>
      </c>
      <c r="K448" s="84">
        <f t="shared" si="122"/>
        <v>74</v>
      </c>
      <c r="L448" s="84" t="str">
        <f t="shared" si="123"/>
        <v/>
      </c>
      <c r="M448" s="84" t="str">
        <f t="shared" si="124"/>
        <v/>
      </c>
      <c r="V448">
        <f t="shared" si="111"/>
        <v>75</v>
      </c>
      <c r="W448" t="str">
        <f t="shared" si="112"/>
        <v/>
      </c>
      <c r="X448" t="str">
        <f t="shared" si="113"/>
        <v/>
      </c>
      <c r="AB448" t="str">
        <f t="shared" si="119"/>
        <v>75</v>
      </c>
    </row>
    <row r="449" ht="16.25" spans="1:28">
      <c r="A449" s="45">
        <v>101</v>
      </c>
      <c r="B449" s="106">
        <v>140101</v>
      </c>
      <c r="C449" s="23">
        <v>1</v>
      </c>
      <c r="D449" s="40">
        <v>93</v>
      </c>
      <c r="H449" s="23">
        <v>1</v>
      </c>
      <c r="K449" s="84">
        <f t="shared" si="122"/>
        <v>93</v>
      </c>
      <c r="L449" s="84" t="str">
        <f t="shared" si="123"/>
        <v/>
      </c>
      <c r="M449" s="84" t="str">
        <f t="shared" si="124"/>
        <v/>
      </c>
      <c r="V449">
        <f t="shared" si="111"/>
        <v>95</v>
      </c>
      <c r="W449" t="str">
        <f t="shared" si="112"/>
        <v/>
      </c>
      <c r="X449" t="str">
        <f t="shared" si="113"/>
        <v/>
      </c>
      <c r="AB449" t="str">
        <f t="shared" si="119"/>
        <v>95</v>
      </c>
    </row>
    <row r="450" ht="16.25" spans="1:28">
      <c r="A450" s="45">
        <v>101</v>
      </c>
      <c r="B450" s="106">
        <v>140201</v>
      </c>
      <c r="C450" s="23">
        <v>1</v>
      </c>
      <c r="D450" s="40">
        <v>60</v>
      </c>
      <c r="H450" s="23">
        <v>1</v>
      </c>
      <c r="K450" s="84">
        <f t="shared" si="122"/>
        <v>60</v>
      </c>
      <c r="L450" s="84" t="str">
        <f t="shared" si="123"/>
        <v/>
      </c>
      <c r="M450" s="84" t="str">
        <f t="shared" si="124"/>
        <v/>
      </c>
      <c r="V450">
        <f t="shared" si="111"/>
        <v>60</v>
      </c>
      <c r="W450" t="str">
        <f t="shared" si="112"/>
        <v/>
      </c>
      <c r="X450" t="str">
        <f t="shared" si="113"/>
        <v/>
      </c>
      <c r="AB450" t="str">
        <f t="shared" si="119"/>
        <v>60</v>
      </c>
    </row>
    <row r="451" ht="16.25" spans="1:28">
      <c r="A451" s="45">
        <v>101</v>
      </c>
      <c r="B451" s="106">
        <v>150101</v>
      </c>
      <c r="C451" s="23">
        <v>1</v>
      </c>
      <c r="D451" s="40">
        <v>160</v>
      </c>
      <c r="H451" s="23">
        <v>1</v>
      </c>
      <c r="K451" s="84">
        <f t="shared" si="122"/>
        <v>160</v>
      </c>
      <c r="L451" s="84" t="str">
        <f t="shared" si="123"/>
        <v/>
      </c>
      <c r="M451" s="84" t="str">
        <f t="shared" si="124"/>
        <v/>
      </c>
      <c r="V451">
        <f t="shared" ref="V451:V514" si="125">IF(K451="","",IF(K451&lt;1,ROUND(K451,4),CEILING(K451,5)))</f>
        <v>160</v>
      </c>
      <c r="W451" t="str">
        <f t="shared" ref="W451:W514" si="126">IF(L451="","",IF(L451&lt;1,ROUND(L451,4),CEILING(L451,5)))</f>
        <v/>
      </c>
      <c r="X451" t="str">
        <f t="shared" ref="X451:X514" si="127">IF(M451="","",IF(M451&lt;1,ROUND(M451,4),CEILING(M451,5)))</f>
        <v/>
      </c>
      <c r="AB451" t="str">
        <f t="shared" si="119"/>
        <v>160</v>
      </c>
    </row>
    <row r="452" ht="16.25" spans="1:28">
      <c r="A452" s="45">
        <v>101</v>
      </c>
      <c r="B452" s="106">
        <v>150201</v>
      </c>
      <c r="C452" s="23">
        <v>1</v>
      </c>
      <c r="D452" s="40">
        <v>160</v>
      </c>
      <c r="H452" s="23">
        <v>1</v>
      </c>
      <c r="K452" s="84">
        <f t="shared" si="122"/>
        <v>160</v>
      </c>
      <c r="L452" s="84" t="str">
        <f t="shared" si="123"/>
        <v/>
      </c>
      <c r="M452" s="84" t="str">
        <f t="shared" si="124"/>
        <v/>
      </c>
      <c r="V452">
        <f t="shared" si="125"/>
        <v>160</v>
      </c>
      <c r="W452" t="str">
        <f t="shared" si="126"/>
        <v/>
      </c>
      <c r="X452" t="str">
        <f t="shared" si="127"/>
        <v/>
      </c>
      <c r="AB452" t="str">
        <f t="shared" si="119"/>
        <v>160</v>
      </c>
    </row>
    <row r="453" ht="16.25" spans="1:28">
      <c r="A453" s="45">
        <v>101</v>
      </c>
      <c r="B453" s="106">
        <v>150301</v>
      </c>
      <c r="C453" s="23">
        <v>1</v>
      </c>
      <c r="D453" s="40">
        <v>160</v>
      </c>
      <c r="H453" s="23">
        <v>1</v>
      </c>
      <c r="K453" s="84">
        <f t="shared" si="122"/>
        <v>160</v>
      </c>
      <c r="L453" s="84" t="str">
        <f t="shared" si="123"/>
        <v/>
      </c>
      <c r="M453" s="84" t="str">
        <f t="shared" si="124"/>
        <v/>
      </c>
      <c r="V453">
        <f t="shared" si="125"/>
        <v>160</v>
      </c>
      <c r="W453" t="str">
        <f t="shared" si="126"/>
        <v/>
      </c>
      <c r="X453" t="str">
        <f t="shared" si="127"/>
        <v/>
      </c>
      <c r="AB453" t="str">
        <f t="shared" si="119"/>
        <v>160</v>
      </c>
    </row>
    <row r="454" ht="16.25" spans="1:28">
      <c r="A454" s="45">
        <v>101</v>
      </c>
      <c r="B454" s="106">
        <v>150401</v>
      </c>
      <c r="C454" s="23">
        <v>1</v>
      </c>
      <c r="D454" s="40">
        <v>160</v>
      </c>
      <c r="H454" s="23">
        <v>1</v>
      </c>
      <c r="K454" s="84">
        <f t="shared" si="122"/>
        <v>160</v>
      </c>
      <c r="L454" s="84" t="str">
        <f t="shared" si="123"/>
        <v/>
      </c>
      <c r="M454" s="84" t="str">
        <f t="shared" si="124"/>
        <v/>
      </c>
      <c r="V454">
        <f t="shared" si="125"/>
        <v>160</v>
      </c>
      <c r="W454" t="str">
        <f t="shared" si="126"/>
        <v/>
      </c>
      <c r="X454" t="str">
        <f t="shared" si="127"/>
        <v/>
      </c>
      <c r="AB454" t="str">
        <f t="shared" si="119"/>
        <v>160</v>
      </c>
    </row>
    <row r="455" ht="16.25" spans="1:28">
      <c r="A455" s="45">
        <v>101</v>
      </c>
      <c r="B455" s="106">
        <v>150501</v>
      </c>
      <c r="C455" s="23">
        <v>1</v>
      </c>
      <c r="D455" s="40">
        <v>160</v>
      </c>
      <c r="H455" s="23">
        <v>1</v>
      </c>
      <c r="K455" s="84">
        <f t="shared" si="122"/>
        <v>160</v>
      </c>
      <c r="L455" s="84" t="str">
        <f t="shared" si="123"/>
        <v/>
      </c>
      <c r="M455" s="84" t="str">
        <f t="shared" si="124"/>
        <v/>
      </c>
      <c r="V455">
        <f t="shared" si="125"/>
        <v>160</v>
      </c>
      <c r="W455" t="str">
        <f t="shared" si="126"/>
        <v/>
      </c>
      <c r="X455" t="str">
        <f t="shared" si="127"/>
        <v/>
      </c>
      <c r="AB455" t="str">
        <f t="shared" si="119"/>
        <v>160</v>
      </c>
    </row>
    <row r="456" ht="16.25" spans="1:28">
      <c r="A456" s="45">
        <v>101</v>
      </c>
      <c r="B456" s="106">
        <v>150601</v>
      </c>
      <c r="C456" s="23">
        <v>1</v>
      </c>
      <c r="D456" s="40">
        <v>160</v>
      </c>
      <c r="H456" s="23">
        <v>1</v>
      </c>
      <c r="K456" s="84">
        <f t="shared" si="122"/>
        <v>160</v>
      </c>
      <c r="L456" s="84" t="str">
        <f t="shared" si="123"/>
        <v/>
      </c>
      <c r="M456" s="84" t="str">
        <f t="shared" si="124"/>
        <v/>
      </c>
      <c r="V456">
        <f t="shared" si="125"/>
        <v>160</v>
      </c>
      <c r="W456" t="str">
        <f t="shared" si="126"/>
        <v/>
      </c>
      <c r="X456" t="str">
        <f t="shared" si="127"/>
        <v/>
      </c>
      <c r="AB456" t="str">
        <f t="shared" si="119"/>
        <v>160</v>
      </c>
    </row>
    <row r="457" ht="16.25" spans="1:28">
      <c r="A457" s="45">
        <v>101</v>
      </c>
      <c r="B457" s="106">
        <v>150701</v>
      </c>
      <c r="C457" s="23">
        <v>1</v>
      </c>
      <c r="D457" s="40">
        <v>160</v>
      </c>
      <c r="H457" s="23">
        <v>1</v>
      </c>
      <c r="K457" s="84">
        <f t="shared" si="122"/>
        <v>160</v>
      </c>
      <c r="L457" s="84" t="str">
        <f t="shared" si="123"/>
        <v/>
      </c>
      <c r="M457" s="84" t="str">
        <f t="shared" si="124"/>
        <v/>
      </c>
      <c r="V457">
        <f t="shared" si="125"/>
        <v>160</v>
      </c>
      <c r="W457" t="str">
        <f t="shared" si="126"/>
        <v/>
      </c>
      <c r="X457" t="str">
        <f t="shared" si="127"/>
        <v/>
      </c>
      <c r="AB457" t="str">
        <f t="shared" si="119"/>
        <v>160</v>
      </c>
    </row>
    <row r="458" ht="16.25" spans="1:28">
      <c r="A458" s="45">
        <v>101</v>
      </c>
      <c r="B458" s="106">
        <v>150801</v>
      </c>
      <c r="C458" s="23">
        <v>1</v>
      </c>
      <c r="D458" s="40">
        <v>160</v>
      </c>
      <c r="H458" s="23">
        <v>1</v>
      </c>
      <c r="K458" s="84">
        <f t="shared" si="122"/>
        <v>160</v>
      </c>
      <c r="L458" s="84" t="str">
        <f t="shared" si="123"/>
        <v/>
      </c>
      <c r="M458" s="84" t="str">
        <f t="shared" si="124"/>
        <v/>
      </c>
      <c r="V458">
        <f t="shared" si="125"/>
        <v>160</v>
      </c>
      <c r="W458" t="str">
        <f t="shared" si="126"/>
        <v/>
      </c>
      <c r="X458" t="str">
        <f t="shared" si="127"/>
        <v/>
      </c>
      <c r="AB458" t="str">
        <f t="shared" si="119"/>
        <v>160</v>
      </c>
    </row>
    <row r="459" ht="16.25" spans="1:28">
      <c r="A459" s="45">
        <v>101</v>
      </c>
      <c r="B459" s="106">
        <v>150901</v>
      </c>
      <c r="C459" s="23">
        <v>1</v>
      </c>
      <c r="D459" s="40">
        <v>160</v>
      </c>
      <c r="H459" s="23">
        <v>1</v>
      </c>
      <c r="K459" s="84">
        <f t="shared" si="122"/>
        <v>160</v>
      </c>
      <c r="L459" s="84" t="str">
        <f t="shared" si="123"/>
        <v/>
      </c>
      <c r="M459" s="84" t="str">
        <f t="shared" si="124"/>
        <v/>
      </c>
      <c r="V459">
        <f t="shared" si="125"/>
        <v>160</v>
      </c>
      <c r="W459" t="str">
        <f t="shared" si="126"/>
        <v/>
      </c>
      <c r="X459" t="str">
        <f t="shared" si="127"/>
        <v/>
      </c>
      <c r="AB459" t="str">
        <f t="shared" si="119"/>
        <v>160</v>
      </c>
    </row>
    <row r="460" ht="16.25" spans="1:28">
      <c r="A460" s="45">
        <v>101</v>
      </c>
      <c r="B460" s="106">
        <v>160101</v>
      </c>
      <c r="C460" s="23">
        <v>1</v>
      </c>
      <c r="D460" s="40">
        <v>266</v>
      </c>
      <c r="H460" s="23">
        <v>1</v>
      </c>
      <c r="K460" s="84">
        <f t="shared" si="122"/>
        <v>266</v>
      </c>
      <c r="L460" s="84" t="str">
        <f t="shared" si="123"/>
        <v/>
      </c>
      <c r="M460" s="84" t="str">
        <f t="shared" si="124"/>
        <v/>
      </c>
      <c r="V460">
        <f t="shared" si="125"/>
        <v>270</v>
      </c>
      <c r="W460" t="str">
        <f t="shared" si="126"/>
        <v/>
      </c>
      <c r="X460" t="str">
        <f t="shared" si="127"/>
        <v/>
      </c>
      <c r="AB460" t="str">
        <f t="shared" si="119"/>
        <v>270</v>
      </c>
    </row>
    <row r="461" ht="16.25" spans="1:28">
      <c r="A461" s="45">
        <v>101</v>
      </c>
      <c r="B461" s="106">
        <v>160201</v>
      </c>
      <c r="C461" s="23">
        <v>1</v>
      </c>
      <c r="D461" s="40">
        <v>266</v>
      </c>
      <c r="H461" s="23">
        <v>1</v>
      </c>
      <c r="K461" s="84">
        <f t="shared" si="122"/>
        <v>266</v>
      </c>
      <c r="L461" s="84" t="str">
        <f t="shared" si="123"/>
        <v/>
      </c>
      <c r="M461" s="84" t="str">
        <f t="shared" si="124"/>
        <v/>
      </c>
      <c r="V461">
        <f t="shared" si="125"/>
        <v>270</v>
      </c>
      <c r="W461" t="str">
        <f t="shared" si="126"/>
        <v/>
      </c>
      <c r="X461" t="str">
        <f t="shared" si="127"/>
        <v/>
      </c>
      <c r="AB461" t="str">
        <f t="shared" si="119"/>
        <v>270</v>
      </c>
    </row>
    <row r="462" ht="16.25" spans="1:28">
      <c r="A462" s="45">
        <v>101</v>
      </c>
      <c r="B462" s="106">
        <v>160301</v>
      </c>
      <c r="C462" s="23">
        <v>1</v>
      </c>
      <c r="D462" s="40">
        <v>266</v>
      </c>
      <c r="H462" s="23">
        <v>1</v>
      </c>
      <c r="K462" s="84">
        <f t="shared" si="122"/>
        <v>266</v>
      </c>
      <c r="L462" s="84" t="str">
        <f t="shared" si="123"/>
        <v/>
      </c>
      <c r="M462" s="84" t="str">
        <f t="shared" si="124"/>
        <v/>
      </c>
      <c r="V462">
        <f t="shared" si="125"/>
        <v>270</v>
      </c>
      <c r="W462" t="str">
        <f t="shared" si="126"/>
        <v/>
      </c>
      <c r="X462" t="str">
        <f t="shared" si="127"/>
        <v/>
      </c>
      <c r="AB462" t="str">
        <f t="shared" si="119"/>
        <v>270</v>
      </c>
    </row>
    <row r="463" ht="16.25" spans="1:28">
      <c r="A463" s="45">
        <v>101</v>
      </c>
      <c r="B463" s="106">
        <v>160401</v>
      </c>
      <c r="C463" s="23">
        <v>1</v>
      </c>
      <c r="D463" s="40">
        <v>266</v>
      </c>
      <c r="H463" s="23">
        <v>1</v>
      </c>
      <c r="K463" s="84">
        <f t="shared" si="122"/>
        <v>266</v>
      </c>
      <c r="L463" s="84" t="str">
        <f t="shared" si="123"/>
        <v/>
      </c>
      <c r="M463" s="84" t="str">
        <f t="shared" si="124"/>
        <v/>
      </c>
      <c r="V463">
        <f t="shared" si="125"/>
        <v>270</v>
      </c>
      <c r="W463" t="str">
        <f t="shared" si="126"/>
        <v/>
      </c>
      <c r="X463" t="str">
        <f t="shared" si="127"/>
        <v/>
      </c>
      <c r="AB463" t="str">
        <f t="shared" si="119"/>
        <v>270</v>
      </c>
    </row>
    <row r="464" ht="16.25" spans="1:28">
      <c r="A464" s="45">
        <v>101</v>
      </c>
      <c r="B464" s="106">
        <v>160501</v>
      </c>
      <c r="C464" s="23">
        <v>1</v>
      </c>
      <c r="D464" s="40">
        <v>266</v>
      </c>
      <c r="H464" s="23">
        <v>1</v>
      </c>
      <c r="K464" s="84">
        <f t="shared" si="122"/>
        <v>266</v>
      </c>
      <c r="L464" s="84" t="str">
        <f t="shared" si="123"/>
        <v/>
      </c>
      <c r="M464" s="84" t="str">
        <f t="shared" si="124"/>
        <v/>
      </c>
      <c r="V464">
        <f t="shared" si="125"/>
        <v>270</v>
      </c>
      <c r="W464" t="str">
        <f t="shared" si="126"/>
        <v/>
      </c>
      <c r="X464" t="str">
        <f t="shared" si="127"/>
        <v/>
      </c>
      <c r="AB464" t="str">
        <f t="shared" si="119"/>
        <v>270</v>
      </c>
    </row>
    <row r="465" ht="16.25" spans="1:28">
      <c r="A465" s="45">
        <v>101</v>
      </c>
      <c r="B465" s="106">
        <v>160601</v>
      </c>
      <c r="C465" s="23">
        <v>1</v>
      </c>
      <c r="D465" s="40">
        <v>266</v>
      </c>
      <c r="H465" s="23">
        <v>1</v>
      </c>
      <c r="K465" s="84">
        <f t="shared" si="122"/>
        <v>266</v>
      </c>
      <c r="L465" s="84" t="str">
        <f t="shared" si="123"/>
        <v/>
      </c>
      <c r="M465" s="84" t="str">
        <f t="shared" si="124"/>
        <v/>
      </c>
      <c r="V465">
        <f t="shared" si="125"/>
        <v>270</v>
      </c>
      <c r="W465" t="str">
        <f t="shared" si="126"/>
        <v/>
      </c>
      <c r="X465" t="str">
        <f t="shared" si="127"/>
        <v/>
      </c>
      <c r="AB465" t="str">
        <f t="shared" si="119"/>
        <v>270</v>
      </c>
    </row>
    <row r="466" ht="16.25" spans="1:28">
      <c r="A466" s="45">
        <v>101</v>
      </c>
      <c r="B466" s="106">
        <v>160701</v>
      </c>
      <c r="C466" s="23">
        <v>1</v>
      </c>
      <c r="D466" s="40">
        <v>266</v>
      </c>
      <c r="H466" s="23">
        <v>1</v>
      </c>
      <c r="K466" s="84">
        <f t="shared" si="122"/>
        <v>266</v>
      </c>
      <c r="L466" s="84" t="str">
        <f t="shared" si="123"/>
        <v/>
      </c>
      <c r="M466" s="84" t="str">
        <f t="shared" si="124"/>
        <v/>
      </c>
      <c r="V466">
        <f t="shared" si="125"/>
        <v>270</v>
      </c>
      <c r="W466" t="str">
        <f t="shared" si="126"/>
        <v/>
      </c>
      <c r="X466" t="str">
        <f t="shared" si="127"/>
        <v/>
      </c>
      <c r="AB466" t="str">
        <f t="shared" si="119"/>
        <v>270</v>
      </c>
    </row>
    <row r="467" ht="16.25" spans="1:28">
      <c r="A467" s="45">
        <v>101</v>
      </c>
      <c r="B467" s="106">
        <v>160801</v>
      </c>
      <c r="C467" s="23">
        <v>1</v>
      </c>
      <c r="D467" s="40">
        <v>266</v>
      </c>
      <c r="H467" s="23">
        <v>1</v>
      </c>
      <c r="K467" s="84">
        <f t="shared" si="122"/>
        <v>266</v>
      </c>
      <c r="L467" s="84" t="str">
        <f t="shared" si="123"/>
        <v/>
      </c>
      <c r="M467" s="84" t="str">
        <f t="shared" si="124"/>
        <v/>
      </c>
      <c r="V467">
        <f t="shared" si="125"/>
        <v>270</v>
      </c>
      <c r="W467" t="str">
        <f t="shared" si="126"/>
        <v/>
      </c>
      <c r="X467" t="str">
        <f t="shared" si="127"/>
        <v/>
      </c>
      <c r="AB467" t="str">
        <f t="shared" si="119"/>
        <v>270</v>
      </c>
    </row>
    <row r="468" ht="16.25" spans="1:28">
      <c r="A468" s="45">
        <v>101</v>
      </c>
      <c r="B468" s="106">
        <v>160901</v>
      </c>
      <c r="C468" s="23">
        <v>1</v>
      </c>
      <c r="D468" s="40">
        <v>266</v>
      </c>
      <c r="H468" s="23">
        <v>1</v>
      </c>
      <c r="K468" s="84">
        <f t="shared" si="122"/>
        <v>266</v>
      </c>
      <c r="L468" s="84" t="str">
        <f t="shared" si="123"/>
        <v/>
      </c>
      <c r="M468" s="84" t="str">
        <f t="shared" si="124"/>
        <v/>
      </c>
      <c r="V468">
        <f t="shared" si="125"/>
        <v>270</v>
      </c>
      <c r="W468" t="str">
        <f t="shared" si="126"/>
        <v/>
      </c>
      <c r="X468" t="str">
        <f t="shared" si="127"/>
        <v/>
      </c>
      <c r="AB468" t="str">
        <f t="shared" si="119"/>
        <v>270</v>
      </c>
    </row>
    <row r="469" ht="16.25" spans="1:28">
      <c r="A469" s="45">
        <v>102</v>
      </c>
      <c r="B469" s="106">
        <v>140001</v>
      </c>
      <c r="C469" s="23">
        <v>1</v>
      </c>
      <c r="D469" s="40">
        <v>118</v>
      </c>
      <c r="H469" s="23">
        <v>1</v>
      </c>
      <c r="K469" s="84">
        <f t="shared" si="122"/>
        <v>118</v>
      </c>
      <c r="L469" s="84" t="str">
        <f t="shared" si="123"/>
        <v/>
      </c>
      <c r="M469" s="84" t="str">
        <f t="shared" si="124"/>
        <v/>
      </c>
      <c r="V469">
        <f t="shared" si="125"/>
        <v>120</v>
      </c>
      <c r="W469" t="str">
        <f t="shared" si="126"/>
        <v/>
      </c>
      <c r="X469" t="str">
        <f t="shared" si="127"/>
        <v/>
      </c>
      <c r="AB469" t="str">
        <f t="shared" si="119"/>
        <v>120</v>
      </c>
    </row>
    <row r="470" ht="16.25" spans="1:28">
      <c r="A470" s="45">
        <v>102</v>
      </c>
      <c r="B470" s="106">
        <v>140101</v>
      </c>
      <c r="C470" s="23">
        <v>1</v>
      </c>
      <c r="D470" s="40">
        <v>147</v>
      </c>
      <c r="H470" s="23">
        <v>1</v>
      </c>
      <c r="K470" s="84">
        <f t="shared" si="122"/>
        <v>147</v>
      </c>
      <c r="L470" s="84" t="str">
        <f t="shared" si="123"/>
        <v/>
      </c>
      <c r="M470" s="84" t="str">
        <f t="shared" si="124"/>
        <v/>
      </c>
      <c r="V470">
        <f t="shared" si="125"/>
        <v>150</v>
      </c>
      <c r="W470" t="str">
        <f t="shared" si="126"/>
        <v/>
      </c>
      <c r="X470" t="str">
        <f t="shared" si="127"/>
        <v/>
      </c>
      <c r="AB470" t="str">
        <f t="shared" si="119"/>
        <v>150</v>
      </c>
    </row>
    <row r="471" ht="16.25" spans="1:28">
      <c r="A471" s="45">
        <v>102</v>
      </c>
      <c r="B471" s="106">
        <v>140201</v>
      </c>
      <c r="C471" s="23">
        <v>1</v>
      </c>
      <c r="D471" s="40">
        <v>94</v>
      </c>
      <c r="H471" s="23">
        <v>1</v>
      </c>
      <c r="K471" s="84">
        <f t="shared" si="122"/>
        <v>94</v>
      </c>
      <c r="L471" s="84" t="str">
        <f t="shared" si="123"/>
        <v/>
      </c>
      <c r="M471" s="84" t="str">
        <f t="shared" si="124"/>
        <v/>
      </c>
      <c r="V471">
        <f t="shared" si="125"/>
        <v>95</v>
      </c>
      <c r="W471" t="str">
        <f t="shared" si="126"/>
        <v/>
      </c>
      <c r="X471" t="str">
        <f t="shared" si="127"/>
        <v/>
      </c>
      <c r="AB471" t="str">
        <f t="shared" si="119"/>
        <v>95</v>
      </c>
    </row>
    <row r="472" ht="16.25" spans="1:28">
      <c r="A472" s="45">
        <v>102</v>
      </c>
      <c r="B472" s="106">
        <v>150101</v>
      </c>
      <c r="C472" s="23">
        <v>1</v>
      </c>
      <c r="D472" s="40">
        <v>242</v>
      </c>
      <c r="H472" s="23">
        <v>1</v>
      </c>
      <c r="K472" s="84">
        <f t="shared" si="122"/>
        <v>242</v>
      </c>
      <c r="L472" s="84" t="str">
        <f t="shared" si="123"/>
        <v/>
      </c>
      <c r="M472" s="84" t="str">
        <f t="shared" si="124"/>
        <v/>
      </c>
      <c r="V472">
        <f t="shared" si="125"/>
        <v>245</v>
      </c>
      <c r="W472" t="str">
        <f t="shared" si="126"/>
        <v/>
      </c>
      <c r="X472" t="str">
        <f t="shared" si="127"/>
        <v/>
      </c>
      <c r="AB472" t="str">
        <f t="shared" si="119"/>
        <v>245</v>
      </c>
    </row>
    <row r="473" ht="16.25" spans="1:28">
      <c r="A473" s="45">
        <v>102</v>
      </c>
      <c r="B473" s="106">
        <v>150201</v>
      </c>
      <c r="C473" s="23">
        <v>1</v>
      </c>
      <c r="D473" s="40">
        <v>242</v>
      </c>
      <c r="H473" s="23">
        <v>1</v>
      </c>
      <c r="K473" s="84">
        <f t="shared" si="122"/>
        <v>242</v>
      </c>
      <c r="L473" s="84" t="str">
        <f t="shared" si="123"/>
        <v/>
      </c>
      <c r="M473" s="84" t="str">
        <f t="shared" si="124"/>
        <v/>
      </c>
      <c r="V473">
        <f t="shared" si="125"/>
        <v>245</v>
      </c>
      <c r="W473" t="str">
        <f t="shared" si="126"/>
        <v/>
      </c>
      <c r="X473" t="str">
        <f t="shared" si="127"/>
        <v/>
      </c>
      <c r="AB473" t="str">
        <f t="shared" si="119"/>
        <v>245</v>
      </c>
    </row>
    <row r="474" ht="16.25" spans="1:28">
      <c r="A474" s="45">
        <v>102</v>
      </c>
      <c r="B474" s="106">
        <v>150301</v>
      </c>
      <c r="C474" s="23">
        <v>1</v>
      </c>
      <c r="D474" s="40">
        <v>242</v>
      </c>
      <c r="H474" s="23">
        <v>1</v>
      </c>
      <c r="K474" s="84">
        <f t="shared" si="122"/>
        <v>242</v>
      </c>
      <c r="L474" s="84" t="str">
        <f t="shared" si="123"/>
        <v/>
      </c>
      <c r="M474" s="84" t="str">
        <f t="shared" si="124"/>
        <v/>
      </c>
      <c r="V474">
        <f t="shared" si="125"/>
        <v>245</v>
      </c>
      <c r="W474" t="str">
        <f t="shared" si="126"/>
        <v/>
      </c>
      <c r="X474" t="str">
        <f t="shared" si="127"/>
        <v/>
      </c>
      <c r="AB474" t="str">
        <f t="shared" si="119"/>
        <v>245</v>
      </c>
    </row>
    <row r="475" ht="16.25" spans="1:28">
      <c r="A475" s="45">
        <v>102</v>
      </c>
      <c r="B475" s="106">
        <v>150401</v>
      </c>
      <c r="C475" s="23">
        <v>1</v>
      </c>
      <c r="D475" s="40">
        <v>242</v>
      </c>
      <c r="H475" s="23">
        <v>1</v>
      </c>
      <c r="K475" s="84">
        <f t="shared" si="122"/>
        <v>242</v>
      </c>
      <c r="L475" s="84" t="str">
        <f t="shared" si="123"/>
        <v/>
      </c>
      <c r="M475" s="84" t="str">
        <f t="shared" si="124"/>
        <v/>
      </c>
      <c r="V475">
        <f t="shared" si="125"/>
        <v>245</v>
      </c>
      <c r="W475" t="str">
        <f t="shared" si="126"/>
        <v/>
      </c>
      <c r="X475" t="str">
        <f t="shared" si="127"/>
        <v/>
      </c>
      <c r="AB475" t="str">
        <f t="shared" si="119"/>
        <v>245</v>
      </c>
    </row>
    <row r="476" ht="16.25" spans="1:28">
      <c r="A476" s="45">
        <v>102</v>
      </c>
      <c r="B476" s="106">
        <v>150501</v>
      </c>
      <c r="C476" s="23">
        <v>1</v>
      </c>
      <c r="D476" s="40">
        <v>242</v>
      </c>
      <c r="H476" s="23">
        <v>1</v>
      </c>
      <c r="K476" s="84">
        <f t="shared" si="122"/>
        <v>242</v>
      </c>
      <c r="L476" s="84" t="str">
        <f t="shared" si="123"/>
        <v/>
      </c>
      <c r="M476" s="84" t="str">
        <f t="shared" si="124"/>
        <v/>
      </c>
      <c r="V476">
        <f t="shared" si="125"/>
        <v>245</v>
      </c>
      <c r="W476" t="str">
        <f t="shared" si="126"/>
        <v/>
      </c>
      <c r="X476" t="str">
        <f t="shared" si="127"/>
        <v/>
      </c>
      <c r="AB476" t="str">
        <f t="shared" si="119"/>
        <v>245</v>
      </c>
    </row>
    <row r="477" ht="16.25" spans="1:28">
      <c r="A477" s="45">
        <v>102</v>
      </c>
      <c r="B477" s="106">
        <v>150601</v>
      </c>
      <c r="C477" s="23">
        <v>1</v>
      </c>
      <c r="D477" s="40">
        <v>242</v>
      </c>
      <c r="H477" s="23">
        <v>1</v>
      </c>
      <c r="K477" s="84">
        <f t="shared" si="122"/>
        <v>242</v>
      </c>
      <c r="L477" s="84" t="str">
        <f t="shared" si="123"/>
        <v/>
      </c>
      <c r="M477" s="84" t="str">
        <f t="shared" si="124"/>
        <v/>
      </c>
      <c r="V477">
        <f t="shared" si="125"/>
        <v>245</v>
      </c>
      <c r="W477" t="str">
        <f t="shared" si="126"/>
        <v/>
      </c>
      <c r="X477" t="str">
        <f t="shared" si="127"/>
        <v/>
      </c>
      <c r="AB477" t="str">
        <f t="shared" si="119"/>
        <v>245</v>
      </c>
    </row>
    <row r="478" ht="16.25" spans="1:28">
      <c r="A478" s="45">
        <v>102</v>
      </c>
      <c r="B478" s="106">
        <v>150701</v>
      </c>
      <c r="C478" s="23">
        <v>1</v>
      </c>
      <c r="D478" s="40">
        <v>242</v>
      </c>
      <c r="H478" s="23">
        <v>1</v>
      </c>
      <c r="K478" s="84">
        <f t="shared" si="122"/>
        <v>242</v>
      </c>
      <c r="L478" s="84" t="str">
        <f t="shared" si="123"/>
        <v/>
      </c>
      <c r="M478" s="84" t="str">
        <f t="shared" si="124"/>
        <v/>
      </c>
      <c r="V478">
        <f t="shared" si="125"/>
        <v>245</v>
      </c>
      <c r="W478" t="str">
        <f t="shared" si="126"/>
        <v/>
      </c>
      <c r="X478" t="str">
        <f t="shared" si="127"/>
        <v/>
      </c>
      <c r="AB478" t="str">
        <f t="shared" si="119"/>
        <v>245</v>
      </c>
    </row>
    <row r="479" ht="16.25" spans="1:28">
      <c r="A479" s="45">
        <v>102</v>
      </c>
      <c r="B479" s="106">
        <v>150801</v>
      </c>
      <c r="C479" s="23">
        <v>1</v>
      </c>
      <c r="D479" s="40">
        <v>242</v>
      </c>
      <c r="H479" s="23">
        <v>1</v>
      </c>
      <c r="K479" s="84">
        <f t="shared" si="122"/>
        <v>242</v>
      </c>
      <c r="L479" s="84" t="str">
        <f t="shared" si="123"/>
        <v/>
      </c>
      <c r="M479" s="84" t="str">
        <f t="shared" si="124"/>
        <v/>
      </c>
      <c r="V479">
        <f t="shared" si="125"/>
        <v>245</v>
      </c>
      <c r="W479" t="str">
        <f t="shared" si="126"/>
        <v/>
      </c>
      <c r="X479" t="str">
        <f t="shared" si="127"/>
        <v/>
      </c>
      <c r="AB479" t="str">
        <f t="shared" si="119"/>
        <v>245</v>
      </c>
    </row>
    <row r="480" ht="16.25" spans="1:28">
      <c r="A480" s="45">
        <v>102</v>
      </c>
      <c r="B480" s="106">
        <v>150901</v>
      </c>
      <c r="C480" s="23">
        <v>1</v>
      </c>
      <c r="D480" s="40">
        <v>242</v>
      </c>
      <c r="H480" s="23">
        <v>1</v>
      </c>
      <c r="K480" s="84">
        <f t="shared" si="122"/>
        <v>242</v>
      </c>
      <c r="L480" s="84" t="str">
        <f t="shared" si="123"/>
        <v/>
      </c>
      <c r="M480" s="84" t="str">
        <f t="shared" si="124"/>
        <v/>
      </c>
      <c r="V480">
        <f t="shared" si="125"/>
        <v>245</v>
      </c>
      <c r="W480" t="str">
        <f t="shared" si="126"/>
        <v/>
      </c>
      <c r="X480" t="str">
        <f t="shared" si="127"/>
        <v/>
      </c>
      <c r="AB480" t="str">
        <f t="shared" si="119"/>
        <v>245</v>
      </c>
    </row>
    <row r="481" ht="16.25" spans="1:28">
      <c r="A481" s="45">
        <v>102</v>
      </c>
      <c r="B481" s="106">
        <v>160101</v>
      </c>
      <c r="C481" s="23">
        <v>1</v>
      </c>
      <c r="D481" s="40">
        <v>450</v>
      </c>
      <c r="H481" s="23">
        <v>1</v>
      </c>
      <c r="K481" s="84">
        <f t="shared" si="122"/>
        <v>450</v>
      </c>
      <c r="L481" s="84" t="str">
        <f t="shared" si="123"/>
        <v/>
      </c>
      <c r="M481" s="84" t="str">
        <f t="shared" si="124"/>
        <v/>
      </c>
      <c r="V481">
        <f t="shared" si="125"/>
        <v>450</v>
      </c>
      <c r="W481" t="str">
        <f t="shared" si="126"/>
        <v/>
      </c>
      <c r="X481" t="str">
        <f t="shared" si="127"/>
        <v/>
      </c>
      <c r="AB481" t="str">
        <f t="shared" si="119"/>
        <v>450</v>
      </c>
    </row>
    <row r="482" ht="16.25" spans="1:28">
      <c r="A482" s="45">
        <v>102</v>
      </c>
      <c r="B482" s="106">
        <v>160201</v>
      </c>
      <c r="C482" s="23">
        <v>1</v>
      </c>
      <c r="D482" s="40">
        <v>450</v>
      </c>
      <c r="H482" s="23">
        <v>1</v>
      </c>
      <c r="K482" s="84">
        <f t="shared" si="122"/>
        <v>450</v>
      </c>
      <c r="L482" s="84" t="str">
        <f t="shared" si="123"/>
        <v/>
      </c>
      <c r="M482" s="84" t="str">
        <f t="shared" si="124"/>
        <v/>
      </c>
      <c r="V482">
        <f t="shared" si="125"/>
        <v>450</v>
      </c>
      <c r="W482" t="str">
        <f t="shared" si="126"/>
        <v/>
      </c>
      <c r="X482" t="str">
        <f t="shared" si="127"/>
        <v/>
      </c>
      <c r="AB482" t="str">
        <f t="shared" si="119"/>
        <v>450</v>
      </c>
    </row>
    <row r="483" ht="16.25" spans="1:28">
      <c r="A483" s="45">
        <v>102</v>
      </c>
      <c r="B483" s="106">
        <v>160301</v>
      </c>
      <c r="C483" s="23">
        <v>1</v>
      </c>
      <c r="D483" s="40">
        <v>450</v>
      </c>
      <c r="H483" s="23">
        <v>1</v>
      </c>
      <c r="K483" s="84">
        <f t="shared" si="122"/>
        <v>450</v>
      </c>
      <c r="L483" s="84" t="str">
        <f t="shared" si="123"/>
        <v/>
      </c>
      <c r="M483" s="84" t="str">
        <f t="shared" si="124"/>
        <v/>
      </c>
      <c r="V483">
        <f t="shared" si="125"/>
        <v>450</v>
      </c>
      <c r="W483" t="str">
        <f t="shared" si="126"/>
        <v/>
      </c>
      <c r="X483" t="str">
        <f t="shared" si="127"/>
        <v/>
      </c>
      <c r="AB483" t="str">
        <f t="shared" ref="AB483:AB546" si="128">_xlfn.TEXTJOIN(",",TRUE,V483,W483,X483)</f>
        <v>450</v>
      </c>
    </row>
    <row r="484" ht="16.25" spans="1:28">
      <c r="A484" s="45">
        <v>102</v>
      </c>
      <c r="B484" s="106">
        <v>160401</v>
      </c>
      <c r="C484" s="23">
        <v>1</v>
      </c>
      <c r="D484" s="40">
        <v>450</v>
      </c>
      <c r="H484" s="23">
        <v>1</v>
      </c>
      <c r="K484" s="84">
        <f t="shared" si="122"/>
        <v>450</v>
      </c>
      <c r="L484" s="84" t="str">
        <f t="shared" si="123"/>
        <v/>
      </c>
      <c r="M484" s="84" t="str">
        <f t="shared" si="124"/>
        <v/>
      </c>
      <c r="V484">
        <f t="shared" si="125"/>
        <v>450</v>
      </c>
      <c r="W484" t="str">
        <f t="shared" si="126"/>
        <v/>
      </c>
      <c r="X484" t="str">
        <f t="shared" si="127"/>
        <v/>
      </c>
      <c r="AB484" t="str">
        <f t="shared" si="128"/>
        <v>450</v>
      </c>
    </row>
    <row r="485" ht="16.25" spans="1:28">
      <c r="A485" s="45">
        <v>102</v>
      </c>
      <c r="B485" s="106">
        <v>160501</v>
      </c>
      <c r="C485" s="23">
        <v>1</v>
      </c>
      <c r="D485" s="40">
        <v>450</v>
      </c>
      <c r="H485" s="23">
        <v>1</v>
      </c>
      <c r="K485" s="84">
        <f t="shared" si="122"/>
        <v>450</v>
      </c>
      <c r="L485" s="84" t="str">
        <f t="shared" si="123"/>
        <v/>
      </c>
      <c r="M485" s="84" t="str">
        <f t="shared" si="124"/>
        <v/>
      </c>
      <c r="V485">
        <f t="shared" si="125"/>
        <v>450</v>
      </c>
      <c r="W485" t="str">
        <f t="shared" si="126"/>
        <v/>
      </c>
      <c r="X485" t="str">
        <f t="shared" si="127"/>
        <v/>
      </c>
      <c r="AB485" t="str">
        <f t="shared" si="128"/>
        <v>450</v>
      </c>
    </row>
    <row r="486" ht="16.25" spans="1:28">
      <c r="A486" s="45">
        <v>102</v>
      </c>
      <c r="B486" s="106">
        <v>160601</v>
      </c>
      <c r="C486" s="23">
        <v>1</v>
      </c>
      <c r="D486" s="40">
        <v>450</v>
      </c>
      <c r="H486" s="23">
        <v>1</v>
      </c>
      <c r="K486" s="84">
        <f t="shared" si="122"/>
        <v>450</v>
      </c>
      <c r="L486" s="84" t="str">
        <f t="shared" si="123"/>
        <v/>
      </c>
      <c r="M486" s="84" t="str">
        <f t="shared" si="124"/>
        <v/>
      </c>
      <c r="V486">
        <f t="shared" si="125"/>
        <v>450</v>
      </c>
      <c r="W486" t="str">
        <f t="shared" si="126"/>
        <v/>
      </c>
      <c r="X486" t="str">
        <f t="shared" si="127"/>
        <v/>
      </c>
      <c r="AB486" t="str">
        <f t="shared" si="128"/>
        <v>450</v>
      </c>
    </row>
    <row r="487" ht="16.25" spans="1:28">
      <c r="A487" s="45">
        <v>102</v>
      </c>
      <c r="B487" s="106">
        <v>160701</v>
      </c>
      <c r="C487" s="23">
        <v>1</v>
      </c>
      <c r="D487" s="40">
        <v>450</v>
      </c>
      <c r="H487" s="23">
        <v>1</v>
      </c>
      <c r="K487" s="84">
        <f t="shared" si="122"/>
        <v>450</v>
      </c>
      <c r="L487" s="84" t="str">
        <f t="shared" si="123"/>
        <v/>
      </c>
      <c r="M487" s="84" t="str">
        <f t="shared" si="124"/>
        <v/>
      </c>
      <c r="V487">
        <f t="shared" si="125"/>
        <v>450</v>
      </c>
      <c r="W487" t="str">
        <f t="shared" si="126"/>
        <v/>
      </c>
      <c r="X487" t="str">
        <f t="shared" si="127"/>
        <v/>
      </c>
      <c r="AB487" t="str">
        <f t="shared" si="128"/>
        <v>450</v>
      </c>
    </row>
    <row r="488" ht="16.25" spans="1:28">
      <c r="A488" s="45">
        <v>102</v>
      </c>
      <c r="B488" s="106">
        <v>160801</v>
      </c>
      <c r="C488" s="23">
        <v>1</v>
      </c>
      <c r="D488" s="40">
        <v>450</v>
      </c>
      <c r="H488" s="23">
        <v>1</v>
      </c>
      <c r="K488" s="84">
        <f t="shared" si="122"/>
        <v>450</v>
      </c>
      <c r="L488" s="84" t="str">
        <f t="shared" si="123"/>
        <v/>
      </c>
      <c r="M488" s="84" t="str">
        <f t="shared" si="124"/>
        <v/>
      </c>
      <c r="V488">
        <f t="shared" si="125"/>
        <v>450</v>
      </c>
      <c r="W488" t="str">
        <f t="shared" si="126"/>
        <v/>
      </c>
      <c r="X488" t="str">
        <f t="shared" si="127"/>
        <v/>
      </c>
      <c r="AB488" t="str">
        <f t="shared" si="128"/>
        <v>450</v>
      </c>
    </row>
    <row r="489" ht="16.25" spans="1:28">
      <c r="A489" s="45">
        <v>102</v>
      </c>
      <c r="B489" s="106">
        <v>160901</v>
      </c>
      <c r="C489" s="23">
        <v>1</v>
      </c>
      <c r="D489" s="40">
        <v>450</v>
      </c>
      <c r="H489" s="23">
        <v>1</v>
      </c>
      <c r="K489" s="84">
        <f t="shared" si="122"/>
        <v>450</v>
      </c>
      <c r="L489" s="84" t="str">
        <f t="shared" si="123"/>
        <v/>
      </c>
      <c r="M489" s="84" t="str">
        <f t="shared" si="124"/>
        <v/>
      </c>
      <c r="V489">
        <f t="shared" si="125"/>
        <v>450</v>
      </c>
      <c r="W489" t="str">
        <f t="shared" si="126"/>
        <v/>
      </c>
      <c r="X489" t="str">
        <f t="shared" si="127"/>
        <v/>
      </c>
      <c r="AB489" t="str">
        <f t="shared" si="128"/>
        <v>450</v>
      </c>
    </row>
    <row r="490" ht="16.25" spans="1:28">
      <c r="A490" s="45">
        <v>103</v>
      </c>
      <c r="B490" s="106">
        <v>150101</v>
      </c>
      <c r="C490" s="12">
        <v>8</v>
      </c>
      <c r="D490" s="107">
        <v>0.009</v>
      </c>
      <c r="H490" s="12">
        <v>8</v>
      </c>
      <c r="K490" s="84">
        <f t="shared" si="122"/>
        <v>0.054</v>
      </c>
      <c r="L490" s="84" t="str">
        <f t="shared" si="123"/>
        <v/>
      </c>
      <c r="M490" s="84" t="str">
        <f t="shared" si="124"/>
        <v/>
      </c>
      <c r="V490">
        <f t="shared" si="125"/>
        <v>0.054</v>
      </c>
      <c r="W490" t="str">
        <f t="shared" si="126"/>
        <v/>
      </c>
      <c r="X490" t="str">
        <f t="shared" si="127"/>
        <v/>
      </c>
      <c r="AB490" t="str">
        <f t="shared" si="128"/>
        <v>0.054</v>
      </c>
    </row>
    <row r="491" ht="16.25" spans="1:28">
      <c r="A491" s="45">
        <v>103</v>
      </c>
      <c r="B491" s="106">
        <v>150201</v>
      </c>
      <c r="C491" s="12">
        <v>8</v>
      </c>
      <c r="D491" s="108">
        <v>0.009</v>
      </c>
      <c r="H491" s="12">
        <v>8</v>
      </c>
      <c r="K491" s="84">
        <f t="shared" si="122"/>
        <v>0.054</v>
      </c>
      <c r="L491" s="84" t="str">
        <f t="shared" si="123"/>
        <v/>
      </c>
      <c r="M491" s="84" t="str">
        <f t="shared" si="124"/>
        <v/>
      </c>
      <c r="V491">
        <f t="shared" si="125"/>
        <v>0.054</v>
      </c>
      <c r="W491" t="str">
        <f t="shared" si="126"/>
        <v/>
      </c>
      <c r="X491" t="str">
        <f t="shared" si="127"/>
        <v/>
      </c>
      <c r="AB491" t="str">
        <f t="shared" si="128"/>
        <v>0.054</v>
      </c>
    </row>
    <row r="492" ht="16.25" spans="1:28">
      <c r="A492" s="45">
        <v>103</v>
      </c>
      <c r="B492" s="106">
        <v>150301</v>
      </c>
      <c r="C492" s="12" t="s">
        <v>210</v>
      </c>
      <c r="D492" s="108">
        <v>0.0125</v>
      </c>
      <c r="E492">
        <v>0.0107</v>
      </c>
      <c r="H492" s="12">
        <v>8</v>
      </c>
      <c r="I492">
        <v>26</v>
      </c>
      <c r="K492" s="84">
        <f t="shared" si="122"/>
        <v>0.075</v>
      </c>
      <c r="L492" s="84">
        <f t="shared" si="123"/>
        <v>0.0642</v>
      </c>
      <c r="M492" s="84" t="str">
        <f t="shared" si="124"/>
        <v/>
      </c>
      <c r="V492">
        <f t="shared" si="125"/>
        <v>0.075</v>
      </c>
      <c r="W492">
        <f t="shared" si="126"/>
        <v>0.0642</v>
      </c>
      <c r="X492" t="str">
        <f t="shared" si="127"/>
        <v/>
      </c>
      <c r="AB492" t="str">
        <f t="shared" si="128"/>
        <v>0.075,0.0642</v>
      </c>
    </row>
    <row r="493" ht="16.25" spans="1:28">
      <c r="A493" s="45">
        <v>103</v>
      </c>
      <c r="B493" s="106">
        <v>150401</v>
      </c>
      <c r="C493" s="12">
        <v>8</v>
      </c>
      <c r="D493" s="108">
        <v>0.0179</v>
      </c>
      <c r="H493" s="12">
        <v>8</v>
      </c>
      <c r="K493" s="84">
        <f t="shared" si="122"/>
        <v>0.1074</v>
      </c>
      <c r="L493" s="84" t="str">
        <f t="shared" si="123"/>
        <v/>
      </c>
      <c r="M493" s="84" t="str">
        <f t="shared" si="124"/>
        <v/>
      </c>
      <c r="V493">
        <f t="shared" si="125"/>
        <v>0.1074</v>
      </c>
      <c r="W493" t="str">
        <f t="shared" si="126"/>
        <v/>
      </c>
      <c r="X493" t="str">
        <f t="shared" si="127"/>
        <v/>
      </c>
      <c r="AB493" t="str">
        <f t="shared" si="128"/>
        <v>0.1074</v>
      </c>
    </row>
    <row r="494" ht="16.25" spans="1:28">
      <c r="A494" s="45">
        <v>103</v>
      </c>
      <c r="B494" s="106">
        <v>150501</v>
      </c>
      <c r="C494" s="12" t="s">
        <v>210</v>
      </c>
      <c r="D494" s="108">
        <v>0.009</v>
      </c>
      <c r="E494">
        <v>0.0269</v>
      </c>
      <c r="H494" s="12">
        <v>8</v>
      </c>
      <c r="I494">
        <v>26</v>
      </c>
      <c r="K494" s="84">
        <f t="shared" si="122"/>
        <v>0.054</v>
      </c>
      <c r="L494" s="84">
        <f t="shared" si="123"/>
        <v>0.1614</v>
      </c>
      <c r="M494" s="84" t="str">
        <f t="shared" si="124"/>
        <v/>
      </c>
      <c r="V494">
        <f t="shared" si="125"/>
        <v>0.054</v>
      </c>
      <c r="W494">
        <f t="shared" si="126"/>
        <v>0.1614</v>
      </c>
      <c r="X494" t="str">
        <f t="shared" si="127"/>
        <v/>
      </c>
      <c r="AB494" t="str">
        <f t="shared" si="128"/>
        <v>0.054,0.1614</v>
      </c>
    </row>
    <row r="495" ht="16.25" spans="1:28">
      <c r="A495" s="45">
        <v>103</v>
      </c>
      <c r="B495" s="106">
        <v>150601</v>
      </c>
      <c r="C495" s="12" t="s">
        <v>213</v>
      </c>
      <c r="D495" s="108">
        <v>0.009</v>
      </c>
      <c r="E495">
        <v>0.03</v>
      </c>
      <c r="H495" s="12">
        <v>8</v>
      </c>
      <c r="I495">
        <v>9</v>
      </c>
      <c r="K495" s="84">
        <f t="shared" si="122"/>
        <v>0.054</v>
      </c>
      <c r="L495" s="84">
        <f t="shared" si="123"/>
        <v>0.18</v>
      </c>
      <c r="M495" s="84" t="str">
        <f t="shared" si="124"/>
        <v/>
      </c>
      <c r="V495">
        <f t="shared" si="125"/>
        <v>0.054</v>
      </c>
      <c r="W495">
        <f t="shared" si="126"/>
        <v>0.18</v>
      </c>
      <c r="X495" t="str">
        <f t="shared" si="127"/>
        <v/>
      </c>
      <c r="AB495" t="str">
        <f t="shared" si="128"/>
        <v>0.054,0.18</v>
      </c>
    </row>
    <row r="496" ht="16.25" spans="1:28">
      <c r="A496" s="45">
        <v>103</v>
      </c>
      <c r="B496" s="106">
        <v>150701</v>
      </c>
      <c r="C496" s="12" t="s">
        <v>217</v>
      </c>
      <c r="D496" s="108">
        <v>0.011</v>
      </c>
      <c r="E496">
        <v>0.015</v>
      </c>
      <c r="H496" s="12">
        <v>5</v>
      </c>
      <c r="I496">
        <v>9</v>
      </c>
      <c r="K496" s="84">
        <f t="shared" si="122"/>
        <v>0.066</v>
      </c>
      <c r="L496" s="84">
        <f t="shared" si="123"/>
        <v>0.09</v>
      </c>
      <c r="M496" s="84" t="str">
        <f t="shared" si="124"/>
        <v/>
      </c>
      <c r="V496">
        <f t="shared" si="125"/>
        <v>0.066</v>
      </c>
      <c r="W496">
        <f t="shared" si="126"/>
        <v>0.09</v>
      </c>
      <c r="X496" t="str">
        <f t="shared" si="127"/>
        <v/>
      </c>
      <c r="AB496" t="str">
        <f t="shared" si="128"/>
        <v>0.066,0.09</v>
      </c>
    </row>
    <row r="497" ht="16.25" spans="1:28">
      <c r="A497" s="45">
        <v>103</v>
      </c>
      <c r="B497" s="106">
        <v>150801</v>
      </c>
      <c r="C497" s="12" t="s">
        <v>217</v>
      </c>
      <c r="D497" s="108">
        <v>0.0063</v>
      </c>
      <c r="E497">
        <v>0.012</v>
      </c>
      <c r="H497" s="12">
        <v>5</v>
      </c>
      <c r="I497">
        <v>9</v>
      </c>
      <c r="K497" s="84">
        <f t="shared" si="122"/>
        <v>0.0378</v>
      </c>
      <c r="L497" s="84">
        <f t="shared" si="123"/>
        <v>0.072</v>
      </c>
      <c r="M497" s="84" t="str">
        <f t="shared" si="124"/>
        <v/>
      </c>
      <c r="V497">
        <f t="shared" si="125"/>
        <v>0.0378</v>
      </c>
      <c r="W497">
        <f t="shared" si="126"/>
        <v>0.072</v>
      </c>
      <c r="X497" t="str">
        <f t="shared" si="127"/>
        <v/>
      </c>
      <c r="AB497" t="str">
        <f t="shared" si="128"/>
        <v>0.0378,0.072</v>
      </c>
    </row>
    <row r="498" ht="16.25" spans="1:28">
      <c r="A498" s="45">
        <v>103</v>
      </c>
      <c r="B498" s="106">
        <v>150901</v>
      </c>
      <c r="C498" s="12" t="s">
        <v>219</v>
      </c>
      <c r="D498" s="108">
        <v>0.0078</v>
      </c>
      <c r="E498">
        <v>0.015</v>
      </c>
      <c r="F498">
        <v>0.0017</v>
      </c>
      <c r="H498" s="12">
        <v>5</v>
      </c>
      <c r="I498">
        <v>9</v>
      </c>
      <c r="J498">
        <v>11</v>
      </c>
      <c r="K498" s="84">
        <f t="shared" si="122"/>
        <v>0.0468</v>
      </c>
      <c r="L498" s="84">
        <f t="shared" si="123"/>
        <v>0.09</v>
      </c>
      <c r="M498" s="84">
        <f t="shared" si="124"/>
        <v>0.0102</v>
      </c>
      <c r="V498">
        <f t="shared" si="125"/>
        <v>0.0468</v>
      </c>
      <c r="W498">
        <f t="shared" si="126"/>
        <v>0.09</v>
      </c>
      <c r="X498">
        <f t="shared" si="127"/>
        <v>0.0102</v>
      </c>
      <c r="AB498" t="str">
        <f t="shared" si="128"/>
        <v>0.0468,0.09,0.0102</v>
      </c>
    </row>
    <row r="499" ht="16.25" spans="1:28">
      <c r="A499" s="45">
        <v>103</v>
      </c>
      <c r="B499" s="106">
        <v>160101</v>
      </c>
      <c r="C499" s="21">
        <v>8</v>
      </c>
      <c r="D499" s="108">
        <v>0.0149</v>
      </c>
      <c r="H499" s="21">
        <v>8</v>
      </c>
      <c r="K499" s="84">
        <f t="shared" si="122"/>
        <v>0.0894</v>
      </c>
      <c r="L499" s="84" t="str">
        <f t="shared" si="123"/>
        <v/>
      </c>
      <c r="M499" s="84" t="str">
        <f t="shared" si="124"/>
        <v/>
      </c>
      <c r="V499">
        <f t="shared" si="125"/>
        <v>0.0894</v>
      </c>
      <c r="W499" t="str">
        <f t="shared" si="126"/>
        <v/>
      </c>
      <c r="X499" t="str">
        <f t="shared" si="127"/>
        <v/>
      </c>
      <c r="AB499" t="str">
        <f t="shared" si="128"/>
        <v>0.0894</v>
      </c>
    </row>
    <row r="500" ht="16.25" spans="1:28">
      <c r="A500" s="45">
        <v>103</v>
      </c>
      <c r="B500" s="106">
        <v>160201</v>
      </c>
      <c r="C500" s="21">
        <v>8</v>
      </c>
      <c r="D500" s="108">
        <v>0.0149</v>
      </c>
      <c r="H500" s="21">
        <v>8</v>
      </c>
      <c r="K500" s="84">
        <f t="shared" si="122"/>
        <v>0.0894</v>
      </c>
      <c r="L500" s="84" t="str">
        <f t="shared" si="123"/>
        <v/>
      </c>
      <c r="M500" s="84" t="str">
        <f t="shared" si="124"/>
        <v/>
      </c>
      <c r="V500">
        <f t="shared" si="125"/>
        <v>0.0894</v>
      </c>
      <c r="W500" t="str">
        <f t="shared" si="126"/>
        <v/>
      </c>
      <c r="X500" t="str">
        <f t="shared" si="127"/>
        <v/>
      </c>
      <c r="AB500" t="str">
        <f t="shared" si="128"/>
        <v>0.0894</v>
      </c>
    </row>
    <row r="501" ht="16.25" spans="1:28">
      <c r="A501" s="45">
        <v>103</v>
      </c>
      <c r="B501" s="106">
        <v>160301</v>
      </c>
      <c r="C501" s="21" t="s">
        <v>210</v>
      </c>
      <c r="D501" s="108">
        <v>0.0209</v>
      </c>
      <c r="E501">
        <v>0.0179</v>
      </c>
      <c r="H501" s="21">
        <v>8</v>
      </c>
      <c r="I501">
        <v>26</v>
      </c>
      <c r="K501" s="84">
        <f t="shared" si="122"/>
        <v>0.1254</v>
      </c>
      <c r="L501" s="84">
        <f t="shared" si="123"/>
        <v>0.1074</v>
      </c>
      <c r="M501" s="84" t="str">
        <f t="shared" si="124"/>
        <v/>
      </c>
      <c r="V501">
        <f t="shared" si="125"/>
        <v>0.1254</v>
      </c>
      <c r="W501">
        <f t="shared" si="126"/>
        <v>0.1074</v>
      </c>
      <c r="X501" t="str">
        <f t="shared" si="127"/>
        <v/>
      </c>
      <c r="AB501" t="str">
        <f t="shared" si="128"/>
        <v>0.1254,0.1074</v>
      </c>
    </row>
    <row r="502" ht="16.25" spans="1:28">
      <c r="A502" s="45">
        <v>103</v>
      </c>
      <c r="B502" s="106">
        <v>160401</v>
      </c>
      <c r="C502" s="21">
        <v>8</v>
      </c>
      <c r="D502" s="108">
        <v>0.03</v>
      </c>
      <c r="H502" s="21">
        <v>8</v>
      </c>
      <c r="K502" s="84">
        <f t="shared" ref="K502:K565" si="129">IF(D502="","",IF(OR(RIGHT($A502,1)="1",RIGHT($A502,1)="2"),D502,IF(H502=4,D502*2,D502*6)))</f>
        <v>0.18</v>
      </c>
      <c r="L502" s="84" t="str">
        <f t="shared" ref="L502:L565" si="130">IF(E502="","",IF(OR(RIGHT($A502,1)="1",RIGHT($A502,1)="2"),E502,IF(I502=4,E502*2,E502*6)))</f>
        <v/>
      </c>
      <c r="M502" s="84" t="str">
        <f t="shared" ref="M502:M565" si="131">IF(F502="","",IF(OR(RIGHT($A502,1)="1",RIGHT($A502,1)="2"),F502,IF(J502=4,F502*2,F502*6)))</f>
        <v/>
      </c>
      <c r="V502">
        <f t="shared" si="125"/>
        <v>0.18</v>
      </c>
      <c r="W502" t="str">
        <f t="shared" si="126"/>
        <v/>
      </c>
      <c r="X502" t="str">
        <f t="shared" si="127"/>
        <v/>
      </c>
      <c r="AB502" t="str">
        <f t="shared" si="128"/>
        <v>0.18</v>
      </c>
    </row>
    <row r="503" ht="16.25" spans="1:28">
      <c r="A503" s="45">
        <v>103</v>
      </c>
      <c r="B503" s="106">
        <v>160501</v>
      </c>
      <c r="C503" s="21" t="s">
        <v>210</v>
      </c>
      <c r="D503" s="108">
        <v>0.0149</v>
      </c>
      <c r="E503">
        <v>0.0448</v>
      </c>
      <c r="H503" s="21">
        <v>8</v>
      </c>
      <c r="I503">
        <v>26</v>
      </c>
      <c r="K503" s="84">
        <f t="shared" si="129"/>
        <v>0.0894</v>
      </c>
      <c r="L503" s="84">
        <f t="shared" si="130"/>
        <v>0.2688</v>
      </c>
      <c r="M503" s="84" t="str">
        <f t="shared" si="131"/>
        <v/>
      </c>
      <c r="V503">
        <f t="shared" si="125"/>
        <v>0.0894</v>
      </c>
      <c r="W503">
        <f t="shared" si="126"/>
        <v>0.2688</v>
      </c>
      <c r="X503" t="str">
        <f t="shared" si="127"/>
        <v/>
      </c>
      <c r="AB503" t="str">
        <f t="shared" si="128"/>
        <v>0.0894,0.2688</v>
      </c>
    </row>
    <row r="504" ht="16.25" spans="1:28">
      <c r="A504" s="45">
        <v>103</v>
      </c>
      <c r="B504" s="106">
        <v>160601</v>
      </c>
      <c r="C504" s="21" t="s">
        <v>213</v>
      </c>
      <c r="D504" s="108">
        <v>0.0149</v>
      </c>
      <c r="E504">
        <v>0.05</v>
      </c>
      <c r="H504" s="21">
        <v>8</v>
      </c>
      <c r="I504">
        <v>9</v>
      </c>
      <c r="K504" s="84">
        <f t="shared" si="129"/>
        <v>0.0894</v>
      </c>
      <c r="L504" s="84">
        <f t="shared" si="130"/>
        <v>0.3</v>
      </c>
      <c r="M504" s="84" t="str">
        <f t="shared" si="131"/>
        <v/>
      </c>
      <c r="V504">
        <f t="shared" si="125"/>
        <v>0.0894</v>
      </c>
      <c r="W504">
        <f t="shared" si="126"/>
        <v>0.3</v>
      </c>
      <c r="X504" t="str">
        <f t="shared" si="127"/>
        <v/>
      </c>
      <c r="AB504" t="str">
        <f t="shared" si="128"/>
        <v>0.0894,0.3</v>
      </c>
    </row>
    <row r="505" ht="16.25" spans="1:28">
      <c r="A505" s="45">
        <v>103</v>
      </c>
      <c r="B505" s="106">
        <v>160701</v>
      </c>
      <c r="C505" s="21" t="s">
        <v>217</v>
      </c>
      <c r="D505" s="108">
        <v>0.0183</v>
      </c>
      <c r="E505">
        <v>0.025</v>
      </c>
      <c r="H505" s="21">
        <v>5</v>
      </c>
      <c r="I505">
        <v>9</v>
      </c>
      <c r="K505" s="84">
        <f t="shared" si="129"/>
        <v>0.1098</v>
      </c>
      <c r="L505" s="84">
        <f t="shared" si="130"/>
        <v>0.15</v>
      </c>
      <c r="M505" s="84" t="str">
        <f t="shared" si="131"/>
        <v/>
      </c>
      <c r="V505">
        <f t="shared" si="125"/>
        <v>0.1098</v>
      </c>
      <c r="W505">
        <f t="shared" si="126"/>
        <v>0.15</v>
      </c>
      <c r="X505" t="str">
        <f t="shared" si="127"/>
        <v/>
      </c>
      <c r="AB505" t="str">
        <f t="shared" si="128"/>
        <v>0.1098,0.15</v>
      </c>
    </row>
    <row r="506" ht="16.25" spans="1:28">
      <c r="A506" s="45">
        <v>103</v>
      </c>
      <c r="B506" s="106">
        <v>160801</v>
      </c>
      <c r="C506" s="21" t="s">
        <v>217</v>
      </c>
      <c r="D506" s="108">
        <v>0.0104</v>
      </c>
      <c r="E506">
        <v>0.02</v>
      </c>
      <c r="H506" s="21">
        <v>5</v>
      </c>
      <c r="I506">
        <v>9</v>
      </c>
      <c r="K506" s="84">
        <f t="shared" si="129"/>
        <v>0.0624</v>
      </c>
      <c r="L506" s="84">
        <f t="shared" si="130"/>
        <v>0.12</v>
      </c>
      <c r="M506" s="84" t="str">
        <f t="shared" si="131"/>
        <v/>
      </c>
      <c r="V506">
        <f t="shared" si="125"/>
        <v>0.0624</v>
      </c>
      <c r="W506">
        <f t="shared" si="126"/>
        <v>0.12</v>
      </c>
      <c r="X506" t="str">
        <f t="shared" si="127"/>
        <v/>
      </c>
      <c r="AB506" t="str">
        <f t="shared" si="128"/>
        <v>0.0624,0.12</v>
      </c>
    </row>
    <row r="507" ht="16.25" spans="1:28">
      <c r="A507" s="45">
        <v>103</v>
      </c>
      <c r="B507" s="106">
        <v>160901</v>
      </c>
      <c r="C507" s="21" t="s">
        <v>219</v>
      </c>
      <c r="D507" s="108">
        <v>0.0131</v>
      </c>
      <c r="E507">
        <v>0.025</v>
      </c>
      <c r="F507">
        <v>0.0028</v>
      </c>
      <c r="H507" s="21">
        <v>5</v>
      </c>
      <c r="I507">
        <v>9</v>
      </c>
      <c r="J507">
        <v>11</v>
      </c>
      <c r="K507" s="84">
        <f t="shared" si="129"/>
        <v>0.0786</v>
      </c>
      <c r="L507" s="84">
        <f t="shared" si="130"/>
        <v>0.15</v>
      </c>
      <c r="M507" s="84">
        <f t="shared" si="131"/>
        <v>0.0168</v>
      </c>
      <c r="V507">
        <f t="shared" si="125"/>
        <v>0.0786</v>
      </c>
      <c r="W507">
        <f t="shared" si="126"/>
        <v>0.15</v>
      </c>
      <c r="X507">
        <f t="shared" si="127"/>
        <v>0.0168</v>
      </c>
      <c r="AB507" t="str">
        <f t="shared" si="128"/>
        <v>0.0786,0.15,0.0168</v>
      </c>
    </row>
    <row r="508" ht="16.25" spans="1:28">
      <c r="A508" s="39">
        <v>104</v>
      </c>
      <c r="B508" s="106">
        <v>150101</v>
      </c>
      <c r="C508" s="23">
        <v>8</v>
      </c>
      <c r="D508" s="109">
        <v>0.0205</v>
      </c>
      <c r="H508" s="23">
        <v>8</v>
      </c>
      <c r="K508" s="84">
        <f t="shared" si="129"/>
        <v>0.123</v>
      </c>
      <c r="L508" s="84" t="str">
        <f t="shared" si="130"/>
        <v/>
      </c>
      <c r="M508" s="84" t="str">
        <f t="shared" si="131"/>
        <v/>
      </c>
      <c r="V508">
        <f t="shared" si="125"/>
        <v>0.123</v>
      </c>
      <c r="W508" t="str">
        <f t="shared" si="126"/>
        <v/>
      </c>
      <c r="X508" t="str">
        <f t="shared" si="127"/>
        <v/>
      </c>
      <c r="AB508" t="str">
        <f t="shared" si="128"/>
        <v>0.123</v>
      </c>
    </row>
    <row r="509" ht="16.25" spans="1:28">
      <c r="A509" s="39">
        <v>104</v>
      </c>
      <c r="B509" s="106">
        <v>150101</v>
      </c>
      <c r="C509" s="23">
        <v>4</v>
      </c>
      <c r="D509" s="109">
        <v>7.29</v>
      </c>
      <c r="H509" s="23">
        <v>4</v>
      </c>
      <c r="K509" s="84">
        <f t="shared" si="129"/>
        <v>14.58</v>
      </c>
      <c r="L509" s="84" t="str">
        <f t="shared" si="130"/>
        <v/>
      </c>
      <c r="M509" s="84" t="str">
        <f t="shared" si="131"/>
        <v/>
      </c>
      <c r="V509">
        <f t="shared" si="125"/>
        <v>15</v>
      </c>
      <c r="W509" t="str">
        <f t="shared" si="126"/>
        <v/>
      </c>
      <c r="X509" t="str">
        <f t="shared" si="127"/>
        <v/>
      </c>
      <c r="AB509" t="str">
        <f t="shared" si="128"/>
        <v>15</v>
      </c>
    </row>
    <row r="510" ht="16.25" spans="1:28">
      <c r="A510" s="39">
        <v>104</v>
      </c>
      <c r="B510" s="106">
        <v>150201</v>
      </c>
      <c r="C510" s="23">
        <v>8</v>
      </c>
      <c r="D510" s="109">
        <v>0.0205</v>
      </c>
      <c r="H510" s="23">
        <v>8</v>
      </c>
      <c r="K510" s="84">
        <f t="shared" si="129"/>
        <v>0.123</v>
      </c>
      <c r="L510" s="84" t="str">
        <f t="shared" si="130"/>
        <v/>
      </c>
      <c r="M510" s="84" t="str">
        <f t="shared" si="131"/>
        <v/>
      </c>
      <c r="V510">
        <f t="shared" si="125"/>
        <v>0.123</v>
      </c>
      <c r="W510" t="str">
        <f t="shared" si="126"/>
        <v/>
      </c>
      <c r="X510" t="str">
        <f t="shared" si="127"/>
        <v/>
      </c>
      <c r="AB510" t="str">
        <f t="shared" si="128"/>
        <v>0.123</v>
      </c>
    </row>
    <row r="511" ht="16.25" spans="1:28">
      <c r="A511" s="39">
        <v>104</v>
      </c>
      <c r="B511" s="106">
        <v>150201</v>
      </c>
      <c r="C511" s="23">
        <v>4</v>
      </c>
      <c r="D511" s="109">
        <v>7.29</v>
      </c>
      <c r="H511" s="23">
        <v>4</v>
      </c>
      <c r="K511" s="84">
        <f t="shared" si="129"/>
        <v>14.58</v>
      </c>
      <c r="L511" s="84" t="str">
        <f t="shared" si="130"/>
        <v/>
      </c>
      <c r="M511" s="84" t="str">
        <f t="shared" si="131"/>
        <v/>
      </c>
      <c r="V511">
        <f t="shared" si="125"/>
        <v>15</v>
      </c>
      <c r="W511" t="str">
        <f t="shared" si="126"/>
        <v/>
      </c>
      <c r="X511" t="str">
        <f t="shared" si="127"/>
        <v/>
      </c>
      <c r="AB511" t="str">
        <f t="shared" si="128"/>
        <v>15</v>
      </c>
    </row>
    <row r="512" ht="16.25" spans="1:28">
      <c r="A512" s="39">
        <v>104</v>
      </c>
      <c r="B512" s="106">
        <v>150301</v>
      </c>
      <c r="C512" s="23">
        <v>8</v>
      </c>
      <c r="D512" s="109">
        <v>0.0287</v>
      </c>
      <c r="H512" s="23">
        <v>8</v>
      </c>
      <c r="K512" s="84">
        <f t="shared" si="129"/>
        <v>0.1722</v>
      </c>
      <c r="L512" s="84" t="str">
        <f t="shared" si="130"/>
        <v/>
      </c>
      <c r="M512" s="84" t="str">
        <f t="shared" si="131"/>
        <v/>
      </c>
      <c r="V512">
        <f t="shared" si="125"/>
        <v>0.1722</v>
      </c>
      <c r="W512" t="str">
        <f t="shared" si="126"/>
        <v/>
      </c>
      <c r="X512" t="str">
        <f t="shared" si="127"/>
        <v/>
      </c>
      <c r="AB512" t="str">
        <f t="shared" si="128"/>
        <v>0.1722</v>
      </c>
    </row>
    <row r="513" ht="16.25" spans="1:28">
      <c r="A513" s="39">
        <v>104</v>
      </c>
      <c r="B513" s="106">
        <v>150301</v>
      </c>
      <c r="C513" s="23">
        <v>4</v>
      </c>
      <c r="D513" s="109">
        <v>7.29</v>
      </c>
      <c r="H513" s="23">
        <v>4</v>
      </c>
      <c r="K513" s="84">
        <f t="shared" si="129"/>
        <v>14.58</v>
      </c>
      <c r="L513" s="84" t="str">
        <f t="shared" si="130"/>
        <v/>
      </c>
      <c r="M513" s="84" t="str">
        <f t="shared" si="131"/>
        <v/>
      </c>
      <c r="V513">
        <f t="shared" si="125"/>
        <v>15</v>
      </c>
      <c r="W513" t="str">
        <f t="shared" si="126"/>
        <v/>
      </c>
      <c r="X513" t="str">
        <f t="shared" si="127"/>
        <v/>
      </c>
      <c r="AB513" t="str">
        <f t="shared" si="128"/>
        <v>15</v>
      </c>
    </row>
    <row r="514" ht="16.25" spans="1:28">
      <c r="A514" s="39">
        <v>104</v>
      </c>
      <c r="B514" s="106">
        <v>150301</v>
      </c>
      <c r="C514" s="23">
        <v>26</v>
      </c>
      <c r="D514" s="109">
        <v>0.0246</v>
      </c>
      <c r="H514" s="23">
        <v>26</v>
      </c>
      <c r="K514" s="84">
        <f t="shared" si="129"/>
        <v>0.1476</v>
      </c>
      <c r="L514" s="84" t="str">
        <f t="shared" si="130"/>
        <v/>
      </c>
      <c r="M514" s="84" t="str">
        <f t="shared" si="131"/>
        <v/>
      </c>
      <c r="V514">
        <f t="shared" si="125"/>
        <v>0.1476</v>
      </c>
      <c r="W514" t="str">
        <f t="shared" si="126"/>
        <v/>
      </c>
      <c r="X514" t="str">
        <f t="shared" si="127"/>
        <v/>
      </c>
      <c r="AB514" t="str">
        <f t="shared" si="128"/>
        <v>0.1476</v>
      </c>
    </row>
    <row r="515" ht="16.25" spans="1:28">
      <c r="A515" s="39">
        <v>104</v>
      </c>
      <c r="B515" s="106">
        <v>150401</v>
      </c>
      <c r="C515" s="23">
        <v>8</v>
      </c>
      <c r="D515" s="109">
        <v>0.0409</v>
      </c>
      <c r="H515" s="23">
        <v>8</v>
      </c>
      <c r="K515" s="84">
        <f t="shared" si="129"/>
        <v>0.2454</v>
      </c>
      <c r="L515" s="84" t="str">
        <f t="shared" si="130"/>
        <v/>
      </c>
      <c r="M515" s="84" t="str">
        <f t="shared" si="131"/>
        <v/>
      </c>
      <c r="V515">
        <f t="shared" ref="V515:V578" si="132">IF(K515="","",IF(K515&lt;1,ROUND(K515,4),CEILING(K515,5)))</f>
        <v>0.2454</v>
      </c>
      <c r="W515" t="str">
        <f t="shared" ref="W515:W578" si="133">IF(L515="","",IF(L515&lt;1,ROUND(L515,4),CEILING(L515,5)))</f>
        <v/>
      </c>
      <c r="X515" t="str">
        <f t="shared" ref="X515:X578" si="134">IF(M515="","",IF(M515&lt;1,ROUND(M515,4),CEILING(M515,5)))</f>
        <v/>
      </c>
      <c r="AB515" t="str">
        <f t="shared" si="128"/>
        <v>0.2454</v>
      </c>
    </row>
    <row r="516" ht="16.25" spans="1:28">
      <c r="A516" s="39">
        <v>104</v>
      </c>
      <c r="B516" s="106">
        <v>150401</v>
      </c>
      <c r="C516" s="23">
        <v>4</v>
      </c>
      <c r="D516" s="109">
        <v>7.29</v>
      </c>
      <c r="H516" s="23">
        <v>4</v>
      </c>
      <c r="K516" s="84">
        <f t="shared" si="129"/>
        <v>14.58</v>
      </c>
      <c r="L516" s="84" t="str">
        <f t="shared" si="130"/>
        <v/>
      </c>
      <c r="M516" s="84" t="str">
        <f t="shared" si="131"/>
        <v/>
      </c>
      <c r="V516">
        <f t="shared" si="132"/>
        <v>15</v>
      </c>
      <c r="W516" t="str">
        <f t="shared" si="133"/>
        <v/>
      </c>
      <c r="X516" t="str">
        <f t="shared" si="134"/>
        <v/>
      </c>
      <c r="AB516" t="str">
        <f t="shared" si="128"/>
        <v>15</v>
      </c>
    </row>
    <row r="517" ht="16.25" spans="1:28">
      <c r="A517" s="39">
        <v>104</v>
      </c>
      <c r="B517" s="106">
        <v>150501</v>
      </c>
      <c r="C517" s="23">
        <v>8</v>
      </c>
      <c r="D517" s="109">
        <v>0.0205</v>
      </c>
      <c r="H517" s="23">
        <v>8</v>
      </c>
      <c r="K517" s="84">
        <f t="shared" si="129"/>
        <v>0.123</v>
      </c>
      <c r="L517" s="84" t="str">
        <f t="shared" si="130"/>
        <v/>
      </c>
      <c r="M517" s="84" t="str">
        <f t="shared" si="131"/>
        <v/>
      </c>
      <c r="V517">
        <f t="shared" si="132"/>
        <v>0.123</v>
      </c>
      <c r="W517" t="str">
        <f t="shared" si="133"/>
        <v/>
      </c>
      <c r="X517" t="str">
        <f t="shared" si="134"/>
        <v/>
      </c>
      <c r="AB517" t="str">
        <f t="shared" si="128"/>
        <v>0.123</v>
      </c>
    </row>
    <row r="518" ht="16.25" spans="1:28">
      <c r="A518" s="39">
        <v>104</v>
      </c>
      <c r="B518" s="106">
        <v>150501</v>
      </c>
      <c r="C518" s="23">
        <v>4</v>
      </c>
      <c r="D518" s="109">
        <v>7.29</v>
      </c>
      <c r="H518" s="23">
        <v>4</v>
      </c>
      <c r="K518" s="84">
        <f t="shared" si="129"/>
        <v>14.58</v>
      </c>
      <c r="L518" s="84" t="str">
        <f t="shared" si="130"/>
        <v/>
      </c>
      <c r="M518" s="84" t="str">
        <f t="shared" si="131"/>
        <v/>
      </c>
      <c r="V518">
        <f t="shared" si="132"/>
        <v>15</v>
      </c>
      <c r="W518" t="str">
        <f t="shared" si="133"/>
        <v/>
      </c>
      <c r="X518" t="str">
        <f t="shared" si="134"/>
        <v/>
      </c>
      <c r="AB518" t="str">
        <f t="shared" si="128"/>
        <v>15</v>
      </c>
    </row>
    <row r="519" ht="16.25" spans="1:28">
      <c r="A519" s="39">
        <v>104</v>
      </c>
      <c r="B519" s="106">
        <v>150501</v>
      </c>
      <c r="C519" s="23">
        <v>26</v>
      </c>
      <c r="D519" s="109">
        <v>0.0614</v>
      </c>
      <c r="H519" s="23">
        <v>26</v>
      </c>
      <c r="K519" s="84">
        <f t="shared" si="129"/>
        <v>0.3684</v>
      </c>
      <c r="L519" s="84" t="str">
        <f t="shared" si="130"/>
        <v/>
      </c>
      <c r="M519" s="84" t="str">
        <f t="shared" si="131"/>
        <v/>
      </c>
      <c r="V519">
        <f t="shared" si="132"/>
        <v>0.3684</v>
      </c>
      <c r="W519" t="str">
        <f t="shared" si="133"/>
        <v/>
      </c>
      <c r="X519" t="str">
        <f t="shared" si="134"/>
        <v/>
      </c>
      <c r="AB519" t="str">
        <f t="shared" si="128"/>
        <v>0.3684</v>
      </c>
    </row>
    <row r="520" ht="16.25" spans="1:28">
      <c r="A520" s="39">
        <v>104</v>
      </c>
      <c r="B520" s="106">
        <v>150601</v>
      </c>
      <c r="C520" s="23">
        <v>8</v>
      </c>
      <c r="D520" s="109">
        <v>0.0205</v>
      </c>
      <c r="H520" s="23">
        <v>8</v>
      </c>
      <c r="K520" s="84">
        <f t="shared" si="129"/>
        <v>0.123</v>
      </c>
      <c r="L520" s="84" t="str">
        <f t="shared" si="130"/>
        <v/>
      </c>
      <c r="M520" s="84" t="str">
        <f t="shared" si="131"/>
        <v/>
      </c>
      <c r="V520">
        <f t="shared" si="132"/>
        <v>0.123</v>
      </c>
      <c r="W520" t="str">
        <f t="shared" si="133"/>
        <v/>
      </c>
      <c r="X520" t="str">
        <f t="shared" si="134"/>
        <v/>
      </c>
      <c r="AB520" t="str">
        <f t="shared" si="128"/>
        <v>0.123</v>
      </c>
    </row>
    <row r="521" ht="16.25" spans="1:28">
      <c r="A521" s="39">
        <v>104</v>
      </c>
      <c r="B521" s="106">
        <v>150601</v>
      </c>
      <c r="C521" s="23">
        <v>4</v>
      </c>
      <c r="D521" s="109">
        <v>7.29</v>
      </c>
      <c r="H521" s="23">
        <v>4</v>
      </c>
      <c r="K521" s="84">
        <f t="shared" si="129"/>
        <v>14.58</v>
      </c>
      <c r="L521" s="84" t="str">
        <f t="shared" si="130"/>
        <v/>
      </c>
      <c r="M521" s="84" t="str">
        <f t="shared" si="131"/>
        <v/>
      </c>
      <c r="V521">
        <f t="shared" si="132"/>
        <v>15</v>
      </c>
      <c r="W521" t="str">
        <f t="shared" si="133"/>
        <v/>
      </c>
      <c r="X521" t="str">
        <f t="shared" si="134"/>
        <v/>
      </c>
      <c r="AB521" t="str">
        <f t="shared" si="128"/>
        <v>15</v>
      </c>
    </row>
    <row r="522" ht="16.25" spans="1:28">
      <c r="A522" s="39">
        <v>104</v>
      </c>
      <c r="B522" s="106">
        <v>150601</v>
      </c>
      <c r="C522" s="23">
        <v>9</v>
      </c>
      <c r="D522" s="109">
        <v>0.0686</v>
      </c>
      <c r="H522" s="23">
        <v>9</v>
      </c>
      <c r="K522" s="84">
        <f t="shared" si="129"/>
        <v>0.4116</v>
      </c>
      <c r="L522" s="84" t="str">
        <f t="shared" si="130"/>
        <v/>
      </c>
      <c r="M522" s="84" t="str">
        <f t="shared" si="131"/>
        <v/>
      </c>
      <c r="V522">
        <f t="shared" si="132"/>
        <v>0.4116</v>
      </c>
      <c r="W522" t="str">
        <f t="shared" si="133"/>
        <v/>
      </c>
      <c r="X522" t="str">
        <f t="shared" si="134"/>
        <v/>
      </c>
      <c r="AB522" t="str">
        <f t="shared" si="128"/>
        <v>0.4116</v>
      </c>
    </row>
    <row r="523" ht="16.25" spans="1:28">
      <c r="A523" s="39">
        <v>104</v>
      </c>
      <c r="B523" s="106">
        <v>150701</v>
      </c>
      <c r="C523" s="23">
        <v>5</v>
      </c>
      <c r="D523" s="109">
        <v>0.0251</v>
      </c>
      <c r="H523" s="23">
        <v>5</v>
      </c>
      <c r="K523" s="84">
        <f t="shared" si="129"/>
        <v>0.1506</v>
      </c>
      <c r="L523" s="84" t="str">
        <f t="shared" si="130"/>
        <v/>
      </c>
      <c r="M523" s="84" t="str">
        <f t="shared" si="131"/>
        <v/>
      </c>
      <c r="V523">
        <f t="shared" si="132"/>
        <v>0.1506</v>
      </c>
      <c r="W523" t="str">
        <f t="shared" si="133"/>
        <v/>
      </c>
      <c r="X523" t="str">
        <f t="shared" si="134"/>
        <v/>
      </c>
      <c r="AB523" t="str">
        <f t="shared" si="128"/>
        <v>0.1506</v>
      </c>
    </row>
    <row r="524" ht="16.25" spans="1:28">
      <c r="A524" s="39">
        <v>104</v>
      </c>
      <c r="B524" s="106">
        <v>150701</v>
      </c>
      <c r="C524" s="23">
        <v>4</v>
      </c>
      <c r="D524" s="109">
        <v>7.29</v>
      </c>
      <c r="H524" s="23">
        <v>4</v>
      </c>
      <c r="K524" s="84">
        <f t="shared" si="129"/>
        <v>14.58</v>
      </c>
      <c r="L524" s="84" t="str">
        <f t="shared" si="130"/>
        <v/>
      </c>
      <c r="M524" s="84" t="str">
        <f t="shared" si="131"/>
        <v/>
      </c>
      <c r="V524">
        <f t="shared" si="132"/>
        <v>15</v>
      </c>
      <c r="W524" t="str">
        <f t="shared" si="133"/>
        <v/>
      </c>
      <c r="X524" t="str">
        <f t="shared" si="134"/>
        <v/>
      </c>
      <c r="AB524" t="str">
        <f t="shared" si="128"/>
        <v>15</v>
      </c>
    </row>
    <row r="525" ht="16.25" spans="1:28">
      <c r="A525" s="39">
        <v>104</v>
      </c>
      <c r="B525" s="106">
        <v>150701</v>
      </c>
      <c r="C525" s="23">
        <v>9</v>
      </c>
      <c r="D525" s="109">
        <v>0.0343</v>
      </c>
      <c r="H525" s="23">
        <v>9</v>
      </c>
      <c r="K525" s="84">
        <f t="shared" si="129"/>
        <v>0.2058</v>
      </c>
      <c r="L525" s="84" t="str">
        <f t="shared" si="130"/>
        <v/>
      </c>
      <c r="M525" s="84" t="str">
        <f t="shared" si="131"/>
        <v/>
      </c>
      <c r="V525">
        <f t="shared" si="132"/>
        <v>0.2058</v>
      </c>
      <c r="W525" t="str">
        <f t="shared" si="133"/>
        <v/>
      </c>
      <c r="X525" t="str">
        <f t="shared" si="134"/>
        <v/>
      </c>
      <c r="AB525" t="str">
        <f t="shared" si="128"/>
        <v>0.2058</v>
      </c>
    </row>
    <row r="526" ht="16.25" spans="1:28">
      <c r="A526" s="39">
        <v>104</v>
      </c>
      <c r="B526" s="110">
        <v>150801</v>
      </c>
      <c r="C526" s="23">
        <v>5</v>
      </c>
      <c r="D526" s="109">
        <v>0.0143</v>
      </c>
      <c r="H526" s="23">
        <v>5</v>
      </c>
      <c r="K526" s="84">
        <f t="shared" si="129"/>
        <v>0.0858</v>
      </c>
      <c r="L526" s="84" t="str">
        <f t="shared" si="130"/>
        <v/>
      </c>
      <c r="M526" s="84" t="str">
        <f t="shared" si="131"/>
        <v/>
      </c>
      <c r="V526">
        <f t="shared" si="132"/>
        <v>0.0858</v>
      </c>
      <c r="W526" t="str">
        <f t="shared" si="133"/>
        <v/>
      </c>
      <c r="X526" t="str">
        <f t="shared" si="134"/>
        <v/>
      </c>
      <c r="AB526" t="str">
        <f t="shared" si="128"/>
        <v>0.0858</v>
      </c>
    </row>
    <row r="527" ht="16.25" spans="1:28">
      <c r="A527" s="39">
        <v>104</v>
      </c>
      <c r="B527" s="110">
        <v>150801</v>
      </c>
      <c r="C527" s="23">
        <v>4</v>
      </c>
      <c r="D527" s="109">
        <v>7.29</v>
      </c>
      <c r="H527" s="23">
        <v>4</v>
      </c>
      <c r="K527" s="84">
        <f t="shared" si="129"/>
        <v>14.58</v>
      </c>
      <c r="L527" s="84" t="str">
        <f t="shared" si="130"/>
        <v/>
      </c>
      <c r="M527" s="84" t="str">
        <f t="shared" si="131"/>
        <v/>
      </c>
      <c r="V527">
        <f t="shared" si="132"/>
        <v>15</v>
      </c>
      <c r="W527" t="str">
        <f t="shared" si="133"/>
        <v/>
      </c>
      <c r="X527" t="str">
        <f t="shared" si="134"/>
        <v/>
      </c>
      <c r="AB527" t="str">
        <f t="shared" si="128"/>
        <v>15</v>
      </c>
    </row>
    <row r="528" ht="16.25" spans="1:28">
      <c r="A528" s="39">
        <v>104</v>
      </c>
      <c r="B528" s="110">
        <v>150801</v>
      </c>
      <c r="C528" s="23">
        <v>9</v>
      </c>
      <c r="D528" s="109">
        <v>0.0274</v>
      </c>
      <c r="H528" s="23">
        <v>9</v>
      </c>
      <c r="K528" s="84">
        <f t="shared" si="129"/>
        <v>0.1644</v>
      </c>
      <c r="L528" s="84" t="str">
        <f t="shared" si="130"/>
        <v/>
      </c>
      <c r="M528" s="84" t="str">
        <f t="shared" si="131"/>
        <v/>
      </c>
      <c r="V528">
        <f t="shared" si="132"/>
        <v>0.1644</v>
      </c>
      <c r="W528" t="str">
        <f t="shared" si="133"/>
        <v/>
      </c>
      <c r="X528" t="str">
        <f t="shared" si="134"/>
        <v/>
      </c>
      <c r="AB528" t="str">
        <f t="shared" si="128"/>
        <v>0.1644</v>
      </c>
    </row>
    <row r="529" ht="16.25" spans="1:28">
      <c r="A529" s="39">
        <v>104</v>
      </c>
      <c r="B529" s="110">
        <v>150901</v>
      </c>
      <c r="C529" s="23">
        <v>5</v>
      </c>
      <c r="D529" s="109">
        <v>0.0179</v>
      </c>
      <c r="H529" s="23">
        <v>5</v>
      </c>
      <c r="K529" s="84">
        <f t="shared" si="129"/>
        <v>0.1074</v>
      </c>
      <c r="L529" s="84" t="str">
        <f t="shared" si="130"/>
        <v/>
      </c>
      <c r="M529" s="84" t="str">
        <f t="shared" si="131"/>
        <v/>
      </c>
      <c r="V529">
        <f t="shared" si="132"/>
        <v>0.1074</v>
      </c>
      <c r="W529" t="str">
        <f t="shared" si="133"/>
        <v/>
      </c>
      <c r="X529" t="str">
        <f t="shared" si="134"/>
        <v/>
      </c>
      <c r="AB529" t="str">
        <f t="shared" si="128"/>
        <v>0.1074</v>
      </c>
    </row>
    <row r="530" ht="16.25" spans="1:28">
      <c r="A530" s="39">
        <v>104</v>
      </c>
      <c r="B530" s="110">
        <v>150901</v>
      </c>
      <c r="C530" s="23">
        <v>9</v>
      </c>
      <c r="D530" s="109">
        <v>0.0343</v>
      </c>
      <c r="H530" s="23">
        <v>9</v>
      </c>
      <c r="K530" s="84">
        <f t="shared" si="129"/>
        <v>0.2058</v>
      </c>
      <c r="L530" s="84" t="str">
        <f t="shared" si="130"/>
        <v/>
      </c>
      <c r="M530" s="84" t="str">
        <f t="shared" si="131"/>
        <v/>
      </c>
      <c r="V530">
        <f t="shared" si="132"/>
        <v>0.2058</v>
      </c>
      <c r="W530" t="str">
        <f t="shared" si="133"/>
        <v/>
      </c>
      <c r="X530" t="str">
        <f t="shared" si="134"/>
        <v/>
      </c>
      <c r="AB530" t="str">
        <f t="shared" si="128"/>
        <v>0.2058</v>
      </c>
    </row>
    <row r="531" ht="16.25" spans="1:28">
      <c r="A531" s="39">
        <v>104</v>
      </c>
      <c r="B531" s="110">
        <v>150901</v>
      </c>
      <c r="C531" s="23">
        <v>11</v>
      </c>
      <c r="D531" s="109">
        <v>0.0039</v>
      </c>
      <c r="H531" s="23">
        <v>11</v>
      </c>
      <c r="K531" s="84">
        <f t="shared" si="129"/>
        <v>0.0234</v>
      </c>
      <c r="L531" s="84" t="str">
        <f t="shared" si="130"/>
        <v/>
      </c>
      <c r="M531" s="84" t="str">
        <f t="shared" si="131"/>
        <v/>
      </c>
      <c r="V531">
        <f t="shared" si="132"/>
        <v>0.0234</v>
      </c>
      <c r="W531" t="str">
        <f t="shared" si="133"/>
        <v/>
      </c>
      <c r="X531" t="str">
        <f t="shared" si="134"/>
        <v/>
      </c>
      <c r="AB531" t="str">
        <f t="shared" si="128"/>
        <v>0.0234</v>
      </c>
    </row>
    <row r="532" ht="16.25" spans="1:28">
      <c r="A532" s="39">
        <v>104</v>
      </c>
      <c r="B532" s="110">
        <v>150901</v>
      </c>
      <c r="C532" s="23">
        <v>4</v>
      </c>
      <c r="D532" s="109">
        <v>7.29</v>
      </c>
      <c r="H532" s="23">
        <v>4</v>
      </c>
      <c r="K532" s="84">
        <f t="shared" si="129"/>
        <v>14.58</v>
      </c>
      <c r="L532" s="84" t="str">
        <f t="shared" si="130"/>
        <v/>
      </c>
      <c r="M532" s="84" t="str">
        <f t="shared" si="131"/>
        <v/>
      </c>
      <c r="V532">
        <f t="shared" si="132"/>
        <v>15</v>
      </c>
      <c r="W532" t="str">
        <f t="shared" si="133"/>
        <v/>
      </c>
      <c r="X532" t="str">
        <f t="shared" si="134"/>
        <v/>
      </c>
      <c r="AB532" t="str">
        <f t="shared" si="128"/>
        <v>15</v>
      </c>
    </row>
    <row r="533" ht="16.25" spans="1:28">
      <c r="A533" s="39">
        <v>104</v>
      </c>
      <c r="B533" s="110">
        <v>160101</v>
      </c>
      <c r="C533" s="23">
        <v>8</v>
      </c>
      <c r="D533" s="109">
        <v>0.0341</v>
      </c>
      <c r="H533" s="23">
        <v>8</v>
      </c>
      <c r="K533" s="84">
        <f t="shared" si="129"/>
        <v>0.2046</v>
      </c>
      <c r="L533" s="84" t="str">
        <f t="shared" si="130"/>
        <v/>
      </c>
      <c r="M533" s="84" t="str">
        <f t="shared" si="131"/>
        <v/>
      </c>
      <c r="V533">
        <f t="shared" si="132"/>
        <v>0.2046</v>
      </c>
      <c r="W533" t="str">
        <f t="shared" si="133"/>
        <v/>
      </c>
      <c r="X533" t="str">
        <f t="shared" si="134"/>
        <v/>
      </c>
      <c r="AB533" t="str">
        <f t="shared" si="128"/>
        <v>0.2046</v>
      </c>
    </row>
    <row r="534" ht="16.25" spans="1:28">
      <c r="A534" s="39">
        <v>104</v>
      </c>
      <c r="B534" s="110">
        <v>160101</v>
      </c>
      <c r="C534" s="23">
        <v>4</v>
      </c>
      <c r="D534" s="109">
        <v>12.14</v>
      </c>
      <c r="H534" s="23">
        <v>4</v>
      </c>
      <c r="K534" s="84">
        <f t="shared" si="129"/>
        <v>24.28</v>
      </c>
      <c r="L534" s="84" t="str">
        <f t="shared" si="130"/>
        <v/>
      </c>
      <c r="M534" s="84" t="str">
        <f t="shared" si="131"/>
        <v/>
      </c>
      <c r="V534">
        <f t="shared" si="132"/>
        <v>25</v>
      </c>
      <c r="W534" t="str">
        <f t="shared" si="133"/>
        <v/>
      </c>
      <c r="X534" t="str">
        <f t="shared" si="134"/>
        <v/>
      </c>
      <c r="AB534" t="str">
        <f t="shared" si="128"/>
        <v>25</v>
      </c>
    </row>
    <row r="535" ht="16.25" spans="1:28">
      <c r="A535" s="39">
        <v>104</v>
      </c>
      <c r="B535" s="110">
        <v>160201</v>
      </c>
      <c r="C535" s="23">
        <v>8</v>
      </c>
      <c r="D535" s="109">
        <v>0.0341</v>
      </c>
      <c r="H535" s="23">
        <v>8</v>
      </c>
      <c r="K535" s="84">
        <f t="shared" si="129"/>
        <v>0.2046</v>
      </c>
      <c r="L535" s="84" t="str">
        <f t="shared" si="130"/>
        <v/>
      </c>
      <c r="M535" s="84" t="str">
        <f t="shared" si="131"/>
        <v/>
      </c>
      <c r="V535">
        <f t="shared" si="132"/>
        <v>0.2046</v>
      </c>
      <c r="W535" t="str">
        <f t="shared" si="133"/>
        <v/>
      </c>
      <c r="X535" t="str">
        <f t="shared" si="134"/>
        <v/>
      </c>
      <c r="AB535" t="str">
        <f t="shared" si="128"/>
        <v>0.2046</v>
      </c>
    </row>
    <row r="536" ht="16.25" spans="1:28">
      <c r="A536" s="39">
        <v>104</v>
      </c>
      <c r="B536" s="110">
        <v>160201</v>
      </c>
      <c r="C536" s="23">
        <v>4</v>
      </c>
      <c r="D536" s="109">
        <v>12.14</v>
      </c>
      <c r="H536" s="23">
        <v>4</v>
      </c>
      <c r="K536" s="84">
        <f t="shared" si="129"/>
        <v>24.28</v>
      </c>
      <c r="L536" s="84" t="str">
        <f t="shared" si="130"/>
        <v/>
      </c>
      <c r="M536" s="84" t="str">
        <f t="shared" si="131"/>
        <v/>
      </c>
      <c r="V536">
        <f t="shared" si="132"/>
        <v>25</v>
      </c>
      <c r="W536" t="str">
        <f t="shared" si="133"/>
        <v/>
      </c>
      <c r="X536" t="str">
        <f t="shared" si="134"/>
        <v/>
      </c>
      <c r="AB536" t="str">
        <f t="shared" si="128"/>
        <v>25</v>
      </c>
    </row>
    <row r="537" ht="16.25" spans="1:28">
      <c r="A537" s="39">
        <v>104</v>
      </c>
      <c r="B537" s="110">
        <v>160301</v>
      </c>
      <c r="C537" s="23">
        <v>8</v>
      </c>
      <c r="D537" s="109">
        <v>0.0478</v>
      </c>
      <c r="H537" s="23">
        <v>8</v>
      </c>
      <c r="K537" s="84">
        <f t="shared" si="129"/>
        <v>0.2868</v>
      </c>
      <c r="L537" s="84" t="str">
        <f t="shared" si="130"/>
        <v/>
      </c>
      <c r="M537" s="84" t="str">
        <f t="shared" si="131"/>
        <v/>
      </c>
      <c r="V537">
        <f t="shared" si="132"/>
        <v>0.2868</v>
      </c>
      <c r="W537" t="str">
        <f t="shared" si="133"/>
        <v/>
      </c>
      <c r="X537" t="str">
        <f t="shared" si="134"/>
        <v/>
      </c>
      <c r="AB537" t="str">
        <f t="shared" si="128"/>
        <v>0.2868</v>
      </c>
    </row>
    <row r="538" ht="16.25" spans="1:28">
      <c r="A538" s="39">
        <v>104</v>
      </c>
      <c r="B538" s="110">
        <v>160301</v>
      </c>
      <c r="C538" s="23">
        <v>4</v>
      </c>
      <c r="D538" s="109">
        <v>12.14</v>
      </c>
      <c r="H538" s="23">
        <v>4</v>
      </c>
      <c r="K538" s="84">
        <f t="shared" si="129"/>
        <v>24.28</v>
      </c>
      <c r="L538" s="84" t="str">
        <f t="shared" si="130"/>
        <v/>
      </c>
      <c r="M538" s="84" t="str">
        <f t="shared" si="131"/>
        <v/>
      </c>
      <c r="V538">
        <f t="shared" si="132"/>
        <v>25</v>
      </c>
      <c r="W538" t="str">
        <f t="shared" si="133"/>
        <v/>
      </c>
      <c r="X538" t="str">
        <f t="shared" si="134"/>
        <v/>
      </c>
      <c r="AB538" t="str">
        <f t="shared" si="128"/>
        <v>25</v>
      </c>
    </row>
    <row r="539" ht="16.25" spans="1:28">
      <c r="A539" s="39">
        <v>104</v>
      </c>
      <c r="B539" s="110">
        <v>160301</v>
      </c>
      <c r="C539" s="23">
        <v>26</v>
      </c>
      <c r="D539" s="109">
        <v>0.0409</v>
      </c>
      <c r="H539" s="23">
        <v>26</v>
      </c>
      <c r="K539" s="84">
        <f t="shared" si="129"/>
        <v>0.2454</v>
      </c>
      <c r="L539" s="84" t="str">
        <f t="shared" si="130"/>
        <v/>
      </c>
      <c r="M539" s="84" t="str">
        <f t="shared" si="131"/>
        <v/>
      </c>
      <c r="V539">
        <f t="shared" si="132"/>
        <v>0.2454</v>
      </c>
      <c r="W539" t="str">
        <f t="shared" si="133"/>
        <v/>
      </c>
      <c r="X539" t="str">
        <f t="shared" si="134"/>
        <v/>
      </c>
      <c r="AB539" t="str">
        <f t="shared" si="128"/>
        <v>0.2454</v>
      </c>
    </row>
    <row r="540" ht="16.25" spans="1:28">
      <c r="A540" s="39">
        <v>104</v>
      </c>
      <c r="B540" s="110">
        <v>160401</v>
      </c>
      <c r="C540" s="23">
        <v>8</v>
      </c>
      <c r="D540" s="109">
        <v>0.0682</v>
      </c>
      <c r="H540" s="23">
        <v>8</v>
      </c>
      <c r="K540" s="84">
        <f t="shared" si="129"/>
        <v>0.4092</v>
      </c>
      <c r="L540" s="84" t="str">
        <f t="shared" si="130"/>
        <v/>
      </c>
      <c r="M540" s="84" t="str">
        <f t="shared" si="131"/>
        <v/>
      </c>
      <c r="V540">
        <f t="shared" si="132"/>
        <v>0.4092</v>
      </c>
      <c r="W540" t="str">
        <f t="shared" si="133"/>
        <v/>
      </c>
      <c r="X540" t="str">
        <f t="shared" si="134"/>
        <v/>
      </c>
      <c r="AB540" t="str">
        <f t="shared" si="128"/>
        <v>0.4092</v>
      </c>
    </row>
    <row r="541" ht="16.25" spans="1:28">
      <c r="A541" s="39">
        <v>104</v>
      </c>
      <c r="B541" s="110">
        <v>160401</v>
      </c>
      <c r="C541" s="23">
        <v>4</v>
      </c>
      <c r="D541" s="109">
        <v>12.14</v>
      </c>
      <c r="H541" s="23">
        <v>4</v>
      </c>
      <c r="K541" s="84">
        <f t="shared" si="129"/>
        <v>24.28</v>
      </c>
      <c r="L541" s="84" t="str">
        <f t="shared" si="130"/>
        <v/>
      </c>
      <c r="M541" s="84" t="str">
        <f t="shared" si="131"/>
        <v/>
      </c>
      <c r="V541">
        <f t="shared" si="132"/>
        <v>25</v>
      </c>
      <c r="W541" t="str">
        <f t="shared" si="133"/>
        <v/>
      </c>
      <c r="X541" t="str">
        <f t="shared" si="134"/>
        <v/>
      </c>
      <c r="AB541" t="str">
        <f t="shared" si="128"/>
        <v>25</v>
      </c>
    </row>
    <row r="542" ht="16.25" spans="1:28">
      <c r="A542" s="39">
        <v>104</v>
      </c>
      <c r="B542" s="110">
        <v>160501</v>
      </c>
      <c r="C542" s="23">
        <v>8</v>
      </c>
      <c r="D542" s="109">
        <v>0.0341</v>
      </c>
      <c r="H542" s="23">
        <v>8</v>
      </c>
      <c r="K542" s="84">
        <f t="shared" si="129"/>
        <v>0.2046</v>
      </c>
      <c r="L542" s="84" t="str">
        <f t="shared" si="130"/>
        <v/>
      </c>
      <c r="M542" s="84" t="str">
        <f t="shared" si="131"/>
        <v/>
      </c>
      <c r="V542">
        <f t="shared" si="132"/>
        <v>0.2046</v>
      </c>
      <c r="W542" t="str">
        <f t="shared" si="133"/>
        <v/>
      </c>
      <c r="X542" t="str">
        <f t="shared" si="134"/>
        <v/>
      </c>
      <c r="AB542" t="str">
        <f t="shared" si="128"/>
        <v>0.2046</v>
      </c>
    </row>
    <row r="543" ht="16.25" spans="1:28">
      <c r="A543" s="39">
        <v>104</v>
      </c>
      <c r="B543" s="110">
        <v>160501</v>
      </c>
      <c r="C543" s="23">
        <v>4</v>
      </c>
      <c r="D543" s="109">
        <v>12.14</v>
      </c>
      <c r="H543" s="23">
        <v>4</v>
      </c>
      <c r="K543" s="84">
        <f t="shared" si="129"/>
        <v>24.28</v>
      </c>
      <c r="L543" s="84" t="str">
        <f t="shared" si="130"/>
        <v/>
      </c>
      <c r="M543" s="84" t="str">
        <f t="shared" si="131"/>
        <v/>
      </c>
      <c r="V543">
        <f t="shared" si="132"/>
        <v>25</v>
      </c>
      <c r="W543" t="str">
        <f t="shared" si="133"/>
        <v/>
      </c>
      <c r="X543" t="str">
        <f t="shared" si="134"/>
        <v/>
      </c>
      <c r="AB543" t="str">
        <f t="shared" si="128"/>
        <v>25</v>
      </c>
    </row>
    <row r="544" ht="16.25" spans="1:28">
      <c r="A544" s="39">
        <v>104</v>
      </c>
      <c r="B544" s="110">
        <v>160501</v>
      </c>
      <c r="C544" s="23">
        <v>26</v>
      </c>
      <c r="D544" s="109">
        <v>0.1023</v>
      </c>
      <c r="H544" s="23">
        <v>26</v>
      </c>
      <c r="K544" s="84">
        <f t="shared" si="129"/>
        <v>0.6138</v>
      </c>
      <c r="L544" s="84" t="str">
        <f t="shared" si="130"/>
        <v/>
      </c>
      <c r="M544" s="84" t="str">
        <f t="shared" si="131"/>
        <v/>
      </c>
      <c r="V544">
        <f t="shared" si="132"/>
        <v>0.6138</v>
      </c>
      <c r="W544" t="str">
        <f t="shared" si="133"/>
        <v/>
      </c>
      <c r="X544" t="str">
        <f t="shared" si="134"/>
        <v/>
      </c>
      <c r="AB544" t="str">
        <f t="shared" si="128"/>
        <v>0.6138</v>
      </c>
    </row>
    <row r="545" ht="16.25" spans="1:28">
      <c r="A545" s="39">
        <v>104</v>
      </c>
      <c r="B545" s="110">
        <v>160601</v>
      </c>
      <c r="C545" s="23">
        <v>8</v>
      </c>
      <c r="D545" s="109">
        <v>0.0341</v>
      </c>
      <c r="H545" s="23">
        <v>8</v>
      </c>
      <c r="K545" s="84">
        <f t="shared" si="129"/>
        <v>0.2046</v>
      </c>
      <c r="L545" s="84" t="str">
        <f t="shared" si="130"/>
        <v/>
      </c>
      <c r="M545" s="84" t="str">
        <f t="shared" si="131"/>
        <v/>
      </c>
      <c r="V545">
        <f t="shared" si="132"/>
        <v>0.2046</v>
      </c>
      <c r="W545" t="str">
        <f t="shared" si="133"/>
        <v/>
      </c>
      <c r="X545" t="str">
        <f t="shared" si="134"/>
        <v/>
      </c>
      <c r="AB545" t="str">
        <f t="shared" si="128"/>
        <v>0.2046</v>
      </c>
    </row>
    <row r="546" ht="16.25" spans="1:28">
      <c r="A546" s="39">
        <v>104</v>
      </c>
      <c r="B546" s="110">
        <v>160601</v>
      </c>
      <c r="C546" s="23">
        <v>4</v>
      </c>
      <c r="D546" s="109">
        <v>12.14</v>
      </c>
      <c r="H546" s="23">
        <v>4</v>
      </c>
      <c r="K546" s="84">
        <f t="shared" si="129"/>
        <v>24.28</v>
      </c>
      <c r="L546" s="84" t="str">
        <f t="shared" si="130"/>
        <v/>
      </c>
      <c r="M546" s="84" t="str">
        <f t="shared" si="131"/>
        <v/>
      </c>
      <c r="V546">
        <f t="shared" si="132"/>
        <v>25</v>
      </c>
      <c r="W546" t="str">
        <f t="shared" si="133"/>
        <v/>
      </c>
      <c r="X546" t="str">
        <f t="shared" si="134"/>
        <v/>
      </c>
      <c r="AB546" t="str">
        <f t="shared" si="128"/>
        <v>25</v>
      </c>
    </row>
    <row r="547" ht="16.25" spans="1:28">
      <c r="A547" s="39">
        <v>104</v>
      </c>
      <c r="B547" s="110">
        <v>160601</v>
      </c>
      <c r="C547" s="23">
        <v>9</v>
      </c>
      <c r="D547" s="109">
        <v>0.1143</v>
      </c>
      <c r="H547" s="23">
        <v>9</v>
      </c>
      <c r="K547" s="84">
        <f t="shared" si="129"/>
        <v>0.6858</v>
      </c>
      <c r="L547" s="84" t="str">
        <f t="shared" si="130"/>
        <v/>
      </c>
      <c r="M547" s="84" t="str">
        <f t="shared" si="131"/>
        <v/>
      </c>
      <c r="V547">
        <f t="shared" si="132"/>
        <v>0.6858</v>
      </c>
      <c r="W547" t="str">
        <f t="shared" si="133"/>
        <v/>
      </c>
      <c r="X547" t="str">
        <f t="shared" si="134"/>
        <v/>
      </c>
      <c r="AB547" t="str">
        <f t="shared" ref="AB547:AB610" si="135">_xlfn.TEXTJOIN(",",TRUE,V547,W547,X547)</f>
        <v>0.6858</v>
      </c>
    </row>
    <row r="548" ht="16.25" spans="1:28">
      <c r="A548" s="39">
        <v>104</v>
      </c>
      <c r="B548" s="110">
        <v>160701</v>
      </c>
      <c r="C548" s="23">
        <v>5</v>
      </c>
      <c r="D548" s="109">
        <v>0.0418</v>
      </c>
      <c r="H548" s="23">
        <v>5</v>
      </c>
      <c r="K548" s="84">
        <f t="shared" si="129"/>
        <v>0.2508</v>
      </c>
      <c r="L548" s="84" t="str">
        <f t="shared" si="130"/>
        <v/>
      </c>
      <c r="M548" s="84" t="str">
        <f t="shared" si="131"/>
        <v/>
      </c>
      <c r="V548">
        <f t="shared" si="132"/>
        <v>0.2508</v>
      </c>
      <c r="W548" t="str">
        <f t="shared" si="133"/>
        <v/>
      </c>
      <c r="X548" t="str">
        <f t="shared" si="134"/>
        <v/>
      </c>
      <c r="AB548" t="str">
        <f t="shared" si="135"/>
        <v>0.2508</v>
      </c>
    </row>
    <row r="549" ht="16.25" spans="1:28">
      <c r="A549" s="39">
        <v>104</v>
      </c>
      <c r="B549" s="110">
        <v>160701</v>
      </c>
      <c r="C549" s="23">
        <v>4</v>
      </c>
      <c r="D549" s="109">
        <v>12.14</v>
      </c>
      <c r="H549" s="23">
        <v>4</v>
      </c>
      <c r="K549" s="84">
        <f t="shared" si="129"/>
        <v>24.28</v>
      </c>
      <c r="L549" s="84" t="str">
        <f t="shared" si="130"/>
        <v/>
      </c>
      <c r="M549" s="84" t="str">
        <f t="shared" si="131"/>
        <v/>
      </c>
      <c r="V549">
        <f t="shared" si="132"/>
        <v>25</v>
      </c>
      <c r="W549" t="str">
        <f t="shared" si="133"/>
        <v/>
      </c>
      <c r="X549" t="str">
        <f t="shared" si="134"/>
        <v/>
      </c>
      <c r="AB549" t="str">
        <f t="shared" si="135"/>
        <v>25</v>
      </c>
    </row>
    <row r="550" ht="16.25" spans="1:28">
      <c r="A550" s="39">
        <v>104</v>
      </c>
      <c r="B550" s="110">
        <v>160701</v>
      </c>
      <c r="C550" s="23">
        <v>9</v>
      </c>
      <c r="D550" s="109">
        <v>0.0571</v>
      </c>
      <c r="H550" s="23">
        <v>9</v>
      </c>
      <c r="K550" s="84">
        <f t="shared" si="129"/>
        <v>0.3426</v>
      </c>
      <c r="L550" s="84" t="str">
        <f t="shared" si="130"/>
        <v/>
      </c>
      <c r="M550" s="84" t="str">
        <f t="shared" si="131"/>
        <v/>
      </c>
      <c r="V550">
        <f t="shared" si="132"/>
        <v>0.3426</v>
      </c>
      <c r="W550" t="str">
        <f t="shared" si="133"/>
        <v/>
      </c>
      <c r="X550" t="str">
        <f t="shared" si="134"/>
        <v/>
      </c>
      <c r="AB550" t="str">
        <f t="shared" si="135"/>
        <v>0.3426</v>
      </c>
    </row>
    <row r="551" ht="16.25" spans="1:28">
      <c r="A551" s="39">
        <v>104</v>
      </c>
      <c r="B551" s="110">
        <v>160801</v>
      </c>
      <c r="C551" s="23">
        <v>5</v>
      </c>
      <c r="D551" s="109">
        <v>0.0239</v>
      </c>
      <c r="H551" s="23">
        <v>5</v>
      </c>
      <c r="K551" s="84">
        <f t="shared" si="129"/>
        <v>0.1434</v>
      </c>
      <c r="L551" s="84" t="str">
        <f t="shared" si="130"/>
        <v/>
      </c>
      <c r="M551" s="84" t="str">
        <f t="shared" si="131"/>
        <v/>
      </c>
      <c r="V551">
        <f t="shared" si="132"/>
        <v>0.1434</v>
      </c>
      <c r="W551" t="str">
        <f t="shared" si="133"/>
        <v/>
      </c>
      <c r="X551" t="str">
        <f t="shared" si="134"/>
        <v/>
      </c>
      <c r="AB551" t="str">
        <f t="shared" si="135"/>
        <v>0.1434</v>
      </c>
    </row>
    <row r="552" ht="16.25" spans="1:28">
      <c r="A552" s="39">
        <v>104</v>
      </c>
      <c r="B552" s="110">
        <v>160801</v>
      </c>
      <c r="C552" s="23">
        <v>4</v>
      </c>
      <c r="D552" s="109">
        <v>12.14</v>
      </c>
      <c r="H552" s="23">
        <v>4</v>
      </c>
      <c r="K552" s="84">
        <f t="shared" si="129"/>
        <v>24.28</v>
      </c>
      <c r="L552" s="84" t="str">
        <f t="shared" si="130"/>
        <v/>
      </c>
      <c r="M552" s="84" t="str">
        <f t="shared" si="131"/>
        <v/>
      </c>
      <c r="V552">
        <f t="shared" si="132"/>
        <v>25</v>
      </c>
      <c r="W552" t="str">
        <f t="shared" si="133"/>
        <v/>
      </c>
      <c r="X552" t="str">
        <f t="shared" si="134"/>
        <v/>
      </c>
      <c r="AB552" t="str">
        <f t="shared" si="135"/>
        <v>25</v>
      </c>
    </row>
    <row r="553" ht="16.25" spans="1:28">
      <c r="A553" s="39">
        <v>104</v>
      </c>
      <c r="B553" s="110">
        <v>160801</v>
      </c>
      <c r="C553" s="23">
        <v>9</v>
      </c>
      <c r="D553" s="109">
        <v>0.0457</v>
      </c>
      <c r="H553" s="23">
        <v>9</v>
      </c>
      <c r="K553" s="84">
        <f t="shared" si="129"/>
        <v>0.2742</v>
      </c>
      <c r="L553" s="84" t="str">
        <f t="shared" si="130"/>
        <v/>
      </c>
      <c r="M553" s="84" t="str">
        <f t="shared" si="131"/>
        <v/>
      </c>
      <c r="V553">
        <f t="shared" si="132"/>
        <v>0.2742</v>
      </c>
      <c r="W553" t="str">
        <f t="shared" si="133"/>
        <v/>
      </c>
      <c r="X553" t="str">
        <f t="shared" si="134"/>
        <v/>
      </c>
      <c r="AB553" t="str">
        <f t="shared" si="135"/>
        <v>0.2742</v>
      </c>
    </row>
    <row r="554" ht="16.25" spans="1:28">
      <c r="A554" s="39">
        <v>104</v>
      </c>
      <c r="B554" s="110">
        <v>160901</v>
      </c>
      <c r="C554" s="23">
        <v>5</v>
      </c>
      <c r="D554" s="109">
        <v>0.03</v>
      </c>
      <c r="H554" s="23">
        <v>5</v>
      </c>
      <c r="K554" s="84">
        <f t="shared" si="129"/>
        <v>0.18</v>
      </c>
      <c r="L554" s="84" t="str">
        <f t="shared" si="130"/>
        <v/>
      </c>
      <c r="M554" s="84" t="str">
        <f t="shared" si="131"/>
        <v/>
      </c>
      <c r="V554">
        <f t="shared" si="132"/>
        <v>0.18</v>
      </c>
      <c r="W554" t="str">
        <f t="shared" si="133"/>
        <v/>
      </c>
      <c r="X554" t="str">
        <f t="shared" si="134"/>
        <v/>
      </c>
      <c r="AB554" t="str">
        <f t="shared" si="135"/>
        <v>0.18</v>
      </c>
    </row>
    <row r="555" ht="16.25" spans="1:28">
      <c r="A555" s="39">
        <v>104</v>
      </c>
      <c r="B555" s="110">
        <v>160901</v>
      </c>
      <c r="C555" s="23">
        <v>9</v>
      </c>
      <c r="D555" s="109">
        <v>0.0571</v>
      </c>
      <c r="H555" s="23">
        <v>9</v>
      </c>
      <c r="K555" s="84">
        <f t="shared" si="129"/>
        <v>0.3426</v>
      </c>
      <c r="L555" s="84" t="str">
        <f t="shared" si="130"/>
        <v/>
      </c>
      <c r="M555" s="84" t="str">
        <f t="shared" si="131"/>
        <v/>
      </c>
      <c r="V555">
        <f t="shared" si="132"/>
        <v>0.3426</v>
      </c>
      <c r="W555" t="str">
        <f t="shared" si="133"/>
        <v/>
      </c>
      <c r="X555" t="str">
        <f t="shared" si="134"/>
        <v/>
      </c>
      <c r="AB555" t="str">
        <f t="shared" si="135"/>
        <v>0.3426</v>
      </c>
    </row>
    <row r="556" ht="16.25" spans="1:28">
      <c r="A556" s="39">
        <v>104</v>
      </c>
      <c r="B556" s="110">
        <v>160901</v>
      </c>
      <c r="C556" s="23">
        <v>11</v>
      </c>
      <c r="D556" s="109">
        <v>0.0065</v>
      </c>
      <c r="H556" s="23">
        <v>11</v>
      </c>
      <c r="K556" s="84">
        <f t="shared" si="129"/>
        <v>0.039</v>
      </c>
      <c r="L556" s="84" t="str">
        <f t="shared" si="130"/>
        <v/>
      </c>
      <c r="M556" s="84" t="str">
        <f t="shared" si="131"/>
        <v/>
      </c>
      <c r="V556">
        <f t="shared" si="132"/>
        <v>0.039</v>
      </c>
      <c r="W556" t="str">
        <f t="shared" si="133"/>
        <v/>
      </c>
      <c r="X556" t="str">
        <f t="shared" si="134"/>
        <v/>
      </c>
      <c r="AB556" t="str">
        <f t="shared" si="135"/>
        <v>0.039</v>
      </c>
    </row>
    <row r="557" ht="16.25" spans="1:28">
      <c r="A557" s="39">
        <v>104</v>
      </c>
      <c r="B557" s="110">
        <v>160901</v>
      </c>
      <c r="C557" s="23">
        <v>4</v>
      </c>
      <c r="D557" s="111">
        <v>12.14</v>
      </c>
      <c r="H557" s="23">
        <v>4</v>
      </c>
      <c r="K557" s="84">
        <f t="shared" si="129"/>
        <v>24.28</v>
      </c>
      <c r="L557" s="84" t="str">
        <f t="shared" si="130"/>
        <v/>
      </c>
      <c r="M557" s="84" t="str">
        <f t="shared" si="131"/>
        <v/>
      </c>
      <c r="V557">
        <f t="shared" si="132"/>
        <v>25</v>
      </c>
      <c r="W557" t="str">
        <f t="shared" si="133"/>
        <v/>
      </c>
      <c r="X557" t="str">
        <f t="shared" si="134"/>
        <v/>
      </c>
      <c r="AB557" t="str">
        <f t="shared" si="135"/>
        <v>25</v>
      </c>
    </row>
    <row r="558" ht="16.25" spans="1:28">
      <c r="A558" s="31">
        <v>201</v>
      </c>
      <c r="B558" s="110">
        <v>120002</v>
      </c>
      <c r="C558" s="23" t="s">
        <v>227</v>
      </c>
      <c r="D558" s="40">
        <v>11</v>
      </c>
      <c r="E558">
        <v>150</v>
      </c>
      <c r="H558" s="23">
        <v>3</v>
      </c>
      <c r="I558">
        <v>2</v>
      </c>
      <c r="K558" s="84">
        <f t="shared" si="129"/>
        <v>11</v>
      </c>
      <c r="L558" s="84">
        <f t="shared" si="130"/>
        <v>150</v>
      </c>
      <c r="M558" s="84" t="str">
        <f t="shared" si="131"/>
        <v/>
      </c>
      <c r="V558">
        <f t="shared" si="132"/>
        <v>15</v>
      </c>
      <c r="W558">
        <f t="shared" si="133"/>
        <v>150</v>
      </c>
      <c r="X558" t="str">
        <f t="shared" si="134"/>
        <v/>
      </c>
      <c r="AB558" t="str">
        <f t="shared" si="135"/>
        <v>15,150</v>
      </c>
    </row>
    <row r="559" ht="16.25" spans="1:28">
      <c r="A559" s="31">
        <v>201</v>
      </c>
      <c r="B559" s="110">
        <v>130002</v>
      </c>
      <c r="C559" s="23" t="s">
        <v>227</v>
      </c>
      <c r="D559" s="40">
        <v>14</v>
      </c>
      <c r="E559">
        <v>192</v>
      </c>
      <c r="H559" s="23">
        <v>3</v>
      </c>
      <c r="I559">
        <v>2</v>
      </c>
      <c r="K559" s="84">
        <f t="shared" si="129"/>
        <v>14</v>
      </c>
      <c r="L559" s="84">
        <f t="shared" si="130"/>
        <v>192</v>
      </c>
      <c r="M559" s="84" t="str">
        <f t="shared" si="131"/>
        <v/>
      </c>
      <c r="V559">
        <f t="shared" si="132"/>
        <v>15</v>
      </c>
      <c r="W559">
        <f t="shared" si="133"/>
        <v>195</v>
      </c>
      <c r="X559" t="str">
        <f t="shared" si="134"/>
        <v/>
      </c>
      <c r="AB559" t="str">
        <f t="shared" si="135"/>
        <v>15,195</v>
      </c>
    </row>
    <row r="560" ht="16.25" spans="1:28">
      <c r="A560" s="31">
        <v>201</v>
      </c>
      <c r="B560" s="110">
        <v>140002</v>
      </c>
      <c r="C560" s="23" t="s">
        <v>227</v>
      </c>
      <c r="D560" s="40">
        <v>22</v>
      </c>
      <c r="E560">
        <v>298</v>
      </c>
      <c r="H560" s="23">
        <v>3</v>
      </c>
      <c r="I560">
        <v>2</v>
      </c>
      <c r="K560" s="84">
        <f t="shared" si="129"/>
        <v>22</v>
      </c>
      <c r="L560" s="84">
        <f t="shared" si="130"/>
        <v>298</v>
      </c>
      <c r="M560" s="84" t="str">
        <f t="shared" si="131"/>
        <v/>
      </c>
      <c r="V560">
        <f t="shared" si="132"/>
        <v>25</v>
      </c>
      <c r="W560">
        <f t="shared" si="133"/>
        <v>300</v>
      </c>
      <c r="X560" t="str">
        <f t="shared" si="134"/>
        <v/>
      </c>
      <c r="AB560" t="str">
        <f t="shared" si="135"/>
        <v>25,300</v>
      </c>
    </row>
    <row r="561" ht="16.25" spans="1:28">
      <c r="A561" s="31">
        <v>201</v>
      </c>
      <c r="B561" s="110">
        <v>140102</v>
      </c>
      <c r="C561" s="23" t="s">
        <v>227</v>
      </c>
      <c r="D561" s="40">
        <v>18</v>
      </c>
      <c r="E561">
        <v>238</v>
      </c>
      <c r="H561" s="23">
        <v>3</v>
      </c>
      <c r="I561">
        <v>2</v>
      </c>
      <c r="K561" s="84">
        <f t="shared" si="129"/>
        <v>18</v>
      </c>
      <c r="L561" s="84">
        <f t="shared" si="130"/>
        <v>238</v>
      </c>
      <c r="M561" s="84" t="str">
        <f t="shared" si="131"/>
        <v/>
      </c>
      <c r="V561">
        <f t="shared" si="132"/>
        <v>20</v>
      </c>
      <c r="W561">
        <f t="shared" si="133"/>
        <v>240</v>
      </c>
      <c r="X561" t="str">
        <f t="shared" si="134"/>
        <v/>
      </c>
      <c r="AB561" t="str">
        <f t="shared" si="135"/>
        <v>20,240</v>
      </c>
    </row>
    <row r="562" ht="16.25" spans="1:28">
      <c r="A562" s="31">
        <v>201</v>
      </c>
      <c r="B562" s="110">
        <v>140202</v>
      </c>
      <c r="C562" s="23" t="s">
        <v>227</v>
      </c>
      <c r="D562" s="40">
        <v>28</v>
      </c>
      <c r="E562">
        <v>374</v>
      </c>
      <c r="H562" s="23">
        <v>3</v>
      </c>
      <c r="I562">
        <v>2</v>
      </c>
      <c r="K562" s="84">
        <f t="shared" si="129"/>
        <v>28</v>
      </c>
      <c r="L562" s="84">
        <f t="shared" si="130"/>
        <v>374</v>
      </c>
      <c r="M562" s="84" t="str">
        <f t="shared" si="131"/>
        <v/>
      </c>
      <c r="V562">
        <f t="shared" si="132"/>
        <v>30</v>
      </c>
      <c r="W562">
        <f t="shared" si="133"/>
        <v>375</v>
      </c>
      <c r="X562" t="str">
        <f t="shared" si="134"/>
        <v/>
      </c>
      <c r="AB562" t="str">
        <f t="shared" si="135"/>
        <v>30,375</v>
      </c>
    </row>
    <row r="563" ht="16.25" spans="1:28">
      <c r="A563" s="31">
        <v>201</v>
      </c>
      <c r="B563" s="110">
        <v>150102</v>
      </c>
      <c r="C563" s="23" t="s">
        <v>227</v>
      </c>
      <c r="D563" s="40">
        <v>48</v>
      </c>
      <c r="E563">
        <v>640</v>
      </c>
      <c r="H563" s="23">
        <v>3</v>
      </c>
      <c r="I563">
        <v>2</v>
      </c>
      <c r="K563" s="84">
        <f t="shared" si="129"/>
        <v>48</v>
      </c>
      <c r="L563" s="84">
        <f t="shared" si="130"/>
        <v>640</v>
      </c>
      <c r="M563" s="84" t="str">
        <f t="shared" si="131"/>
        <v/>
      </c>
      <c r="V563">
        <f t="shared" si="132"/>
        <v>50</v>
      </c>
      <c r="W563">
        <f t="shared" si="133"/>
        <v>640</v>
      </c>
      <c r="X563" t="str">
        <f t="shared" si="134"/>
        <v/>
      </c>
      <c r="AB563" t="str">
        <f t="shared" si="135"/>
        <v>50,640</v>
      </c>
    </row>
    <row r="564" ht="16.25" spans="1:28">
      <c r="A564" s="31">
        <v>201</v>
      </c>
      <c r="B564" s="110">
        <v>150202</v>
      </c>
      <c r="C564" s="23" t="s">
        <v>227</v>
      </c>
      <c r="D564" s="40">
        <v>48</v>
      </c>
      <c r="E564">
        <v>640</v>
      </c>
      <c r="H564" s="23">
        <v>3</v>
      </c>
      <c r="I564">
        <v>2</v>
      </c>
      <c r="K564" s="84">
        <f t="shared" si="129"/>
        <v>48</v>
      </c>
      <c r="L564" s="84">
        <f t="shared" si="130"/>
        <v>640</v>
      </c>
      <c r="M564" s="84" t="str">
        <f t="shared" si="131"/>
        <v/>
      </c>
      <c r="V564">
        <f t="shared" si="132"/>
        <v>50</v>
      </c>
      <c r="W564">
        <f t="shared" si="133"/>
        <v>640</v>
      </c>
      <c r="X564" t="str">
        <f t="shared" si="134"/>
        <v/>
      </c>
      <c r="AB564" t="str">
        <f t="shared" si="135"/>
        <v>50,640</v>
      </c>
    </row>
    <row r="565" ht="16.25" spans="1:28">
      <c r="A565" s="31">
        <v>201</v>
      </c>
      <c r="B565" s="110">
        <v>150302</v>
      </c>
      <c r="C565" s="23" t="s">
        <v>227</v>
      </c>
      <c r="D565" s="40">
        <v>48</v>
      </c>
      <c r="E565">
        <v>640</v>
      </c>
      <c r="H565" s="23">
        <v>3</v>
      </c>
      <c r="I565">
        <v>2</v>
      </c>
      <c r="K565" s="84">
        <f t="shared" si="129"/>
        <v>48</v>
      </c>
      <c r="L565" s="84">
        <f t="shared" si="130"/>
        <v>640</v>
      </c>
      <c r="M565" s="84" t="str">
        <f t="shared" si="131"/>
        <v/>
      </c>
      <c r="V565">
        <f t="shared" si="132"/>
        <v>50</v>
      </c>
      <c r="W565">
        <f t="shared" si="133"/>
        <v>640</v>
      </c>
      <c r="X565" t="str">
        <f t="shared" si="134"/>
        <v/>
      </c>
      <c r="AB565" t="str">
        <f t="shared" si="135"/>
        <v>50,640</v>
      </c>
    </row>
    <row r="566" ht="16.25" spans="1:28">
      <c r="A566" s="31">
        <v>201</v>
      </c>
      <c r="B566" s="110">
        <v>150402</v>
      </c>
      <c r="C566" s="23" t="s">
        <v>227</v>
      </c>
      <c r="D566" s="40">
        <v>48</v>
      </c>
      <c r="E566">
        <v>640</v>
      </c>
      <c r="H566" s="23">
        <v>3</v>
      </c>
      <c r="I566">
        <v>2</v>
      </c>
      <c r="K566" s="84">
        <f t="shared" ref="K566:K629" si="136">IF(D566="","",IF(OR(RIGHT($A566,1)="1",RIGHT($A566,1)="2"),D566,IF(H566=4,D566*2,D566*6)))</f>
        <v>48</v>
      </c>
      <c r="L566" s="84">
        <f t="shared" ref="L566:L629" si="137">IF(E566="","",IF(OR(RIGHT($A566,1)="1",RIGHT($A566,1)="2"),E566,IF(I566=4,E566*2,E566*6)))</f>
        <v>640</v>
      </c>
      <c r="M566" s="84" t="str">
        <f t="shared" ref="M566:M629" si="138">IF(F566="","",IF(OR(RIGHT($A566,1)="1",RIGHT($A566,1)="2"),F566,IF(J566=4,F566*2,F566*6)))</f>
        <v/>
      </c>
      <c r="V566">
        <f t="shared" si="132"/>
        <v>50</v>
      </c>
      <c r="W566">
        <f t="shared" si="133"/>
        <v>640</v>
      </c>
      <c r="X566" t="str">
        <f t="shared" si="134"/>
        <v/>
      </c>
      <c r="AB566" t="str">
        <f t="shared" si="135"/>
        <v>50,640</v>
      </c>
    </row>
    <row r="567" ht="16.25" spans="1:28">
      <c r="A567" s="31">
        <v>201</v>
      </c>
      <c r="B567" s="110">
        <v>150502</v>
      </c>
      <c r="C567" s="23" t="s">
        <v>227</v>
      </c>
      <c r="D567" s="40">
        <v>48</v>
      </c>
      <c r="E567">
        <v>640</v>
      </c>
      <c r="H567" s="23">
        <v>3</v>
      </c>
      <c r="I567">
        <v>2</v>
      </c>
      <c r="K567" s="84">
        <f t="shared" si="136"/>
        <v>48</v>
      </c>
      <c r="L567" s="84">
        <f t="shared" si="137"/>
        <v>640</v>
      </c>
      <c r="M567" s="84" t="str">
        <f t="shared" si="138"/>
        <v/>
      </c>
      <c r="V567">
        <f t="shared" si="132"/>
        <v>50</v>
      </c>
      <c r="W567">
        <f t="shared" si="133"/>
        <v>640</v>
      </c>
      <c r="X567" t="str">
        <f t="shared" si="134"/>
        <v/>
      </c>
      <c r="AB567" t="str">
        <f t="shared" si="135"/>
        <v>50,640</v>
      </c>
    </row>
    <row r="568" ht="16.25" spans="1:28">
      <c r="A568" s="31">
        <v>201</v>
      </c>
      <c r="B568" s="110">
        <v>150602</v>
      </c>
      <c r="C568" s="23" t="s">
        <v>227</v>
      </c>
      <c r="D568" s="40">
        <v>48</v>
      </c>
      <c r="E568">
        <v>640</v>
      </c>
      <c r="H568" s="23">
        <v>3</v>
      </c>
      <c r="I568">
        <v>2</v>
      </c>
      <c r="K568" s="84">
        <f t="shared" si="136"/>
        <v>48</v>
      </c>
      <c r="L568" s="84">
        <f t="shared" si="137"/>
        <v>640</v>
      </c>
      <c r="M568" s="84" t="str">
        <f t="shared" si="138"/>
        <v/>
      </c>
      <c r="V568">
        <f t="shared" si="132"/>
        <v>50</v>
      </c>
      <c r="W568">
        <f t="shared" si="133"/>
        <v>640</v>
      </c>
      <c r="X568" t="str">
        <f t="shared" si="134"/>
        <v/>
      </c>
      <c r="AB568" t="str">
        <f t="shared" si="135"/>
        <v>50,640</v>
      </c>
    </row>
    <row r="569" ht="16.25" spans="1:28">
      <c r="A569" s="31">
        <v>201</v>
      </c>
      <c r="B569" s="110">
        <v>150702</v>
      </c>
      <c r="C569" s="23" t="s">
        <v>227</v>
      </c>
      <c r="D569" s="40">
        <v>48</v>
      </c>
      <c r="E569">
        <v>640</v>
      </c>
      <c r="H569" s="23">
        <v>3</v>
      </c>
      <c r="I569">
        <v>2</v>
      </c>
      <c r="K569" s="84">
        <f t="shared" si="136"/>
        <v>48</v>
      </c>
      <c r="L569" s="84">
        <f t="shared" si="137"/>
        <v>640</v>
      </c>
      <c r="M569" s="84" t="str">
        <f t="shared" si="138"/>
        <v/>
      </c>
      <c r="V569">
        <f t="shared" si="132"/>
        <v>50</v>
      </c>
      <c r="W569">
        <f t="shared" si="133"/>
        <v>640</v>
      </c>
      <c r="X569" t="str">
        <f t="shared" si="134"/>
        <v/>
      </c>
      <c r="AB569" t="str">
        <f t="shared" si="135"/>
        <v>50,640</v>
      </c>
    </row>
    <row r="570" ht="16.25" spans="1:28">
      <c r="A570" s="31">
        <v>201</v>
      </c>
      <c r="B570" s="110">
        <v>150802</v>
      </c>
      <c r="C570" s="23" t="s">
        <v>227</v>
      </c>
      <c r="D570" s="12">
        <v>48</v>
      </c>
      <c r="E570">
        <v>640</v>
      </c>
      <c r="H570" s="23">
        <v>3</v>
      </c>
      <c r="I570">
        <v>2</v>
      </c>
      <c r="K570" s="84">
        <f t="shared" si="136"/>
        <v>48</v>
      </c>
      <c r="L570" s="84">
        <f t="shared" si="137"/>
        <v>640</v>
      </c>
      <c r="M570" s="84" t="str">
        <f t="shared" si="138"/>
        <v/>
      </c>
      <c r="V570">
        <f t="shared" si="132"/>
        <v>50</v>
      </c>
      <c r="W570">
        <f t="shared" si="133"/>
        <v>640</v>
      </c>
      <c r="X570" t="str">
        <f t="shared" si="134"/>
        <v/>
      </c>
      <c r="AB570" t="str">
        <f t="shared" si="135"/>
        <v>50,640</v>
      </c>
    </row>
    <row r="571" ht="16.25" spans="1:28">
      <c r="A571" s="31">
        <v>201</v>
      </c>
      <c r="B571" s="110">
        <v>150902</v>
      </c>
      <c r="C571" s="23" t="s">
        <v>227</v>
      </c>
      <c r="D571" s="12">
        <v>48</v>
      </c>
      <c r="E571">
        <v>640</v>
      </c>
      <c r="H571" s="23">
        <v>3</v>
      </c>
      <c r="I571">
        <v>2</v>
      </c>
      <c r="K571" s="84">
        <f t="shared" si="136"/>
        <v>48</v>
      </c>
      <c r="L571" s="84">
        <f t="shared" si="137"/>
        <v>640</v>
      </c>
      <c r="M571" s="84" t="str">
        <f t="shared" si="138"/>
        <v/>
      </c>
      <c r="V571">
        <f t="shared" si="132"/>
        <v>50</v>
      </c>
      <c r="W571">
        <f t="shared" si="133"/>
        <v>640</v>
      </c>
      <c r="X571" t="str">
        <f t="shared" si="134"/>
        <v/>
      </c>
      <c r="AB571" t="str">
        <f t="shared" si="135"/>
        <v>50,640</v>
      </c>
    </row>
    <row r="572" ht="16.25" spans="1:28">
      <c r="A572" s="31">
        <v>201</v>
      </c>
      <c r="B572" s="110">
        <v>160102</v>
      </c>
      <c r="C572" s="23" t="s">
        <v>227</v>
      </c>
      <c r="D572" s="12">
        <v>80</v>
      </c>
      <c r="E572">
        <v>1066</v>
      </c>
      <c r="H572" s="23">
        <v>3</v>
      </c>
      <c r="I572">
        <v>2</v>
      </c>
      <c r="K572" s="84">
        <f t="shared" si="136"/>
        <v>80</v>
      </c>
      <c r="L572" s="84">
        <f t="shared" si="137"/>
        <v>1066</v>
      </c>
      <c r="M572" s="84" t="str">
        <f t="shared" si="138"/>
        <v/>
      </c>
      <c r="V572">
        <f t="shared" si="132"/>
        <v>80</v>
      </c>
      <c r="W572">
        <f t="shared" si="133"/>
        <v>1070</v>
      </c>
      <c r="X572" t="str">
        <f t="shared" si="134"/>
        <v/>
      </c>
      <c r="AB572" t="str">
        <f t="shared" si="135"/>
        <v>80,1070</v>
      </c>
    </row>
    <row r="573" ht="16.25" spans="1:28">
      <c r="A573" s="31">
        <v>201</v>
      </c>
      <c r="B573" s="110">
        <v>160202</v>
      </c>
      <c r="C573" s="23" t="s">
        <v>227</v>
      </c>
      <c r="D573" s="12">
        <v>80</v>
      </c>
      <c r="E573">
        <v>1066</v>
      </c>
      <c r="H573" s="23">
        <v>3</v>
      </c>
      <c r="I573">
        <v>2</v>
      </c>
      <c r="K573" s="84">
        <f t="shared" si="136"/>
        <v>80</v>
      </c>
      <c r="L573" s="84">
        <f t="shared" si="137"/>
        <v>1066</v>
      </c>
      <c r="M573" s="84" t="str">
        <f t="shared" si="138"/>
        <v/>
      </c>
      <c r="V573">
        <f t="shared" si="132"/>
        <v>80</v>
      </c>
      <c r="W573">
        <f t="shared" si="133"/>
        <v>1070</v>
      </c>
      <c r="X573" t="str">
        <f t="shared" si="134"/>
        <v/>
      </c>
      <c r="AB573" t="str">
        <f t="shared" si="135"/>
        <v>80,1070</v>
      </c>
    </row>
    <row r="574" ht="16.25" spans="1:28">
      <c r="A574" s="31">
        <v>201</v>
      </c>
      <c r="B574" s="110">
        <v>160302</v>
      </c>
      <c r="C574" s="23" t="s">
        <v>227</v>
      </c>
      <c r="D574" s="12">
        <v>80</v>
      </c>
      <c r="E574">
        <v>1066</v>
      </c>
      <c r="H574" s="23">
        <v>3</v>
      </c>
      <c r="I574">
        <v>2</v>
      </c>
      <c r="K574" s="84">
        <f t="shared" si="136"/>
        <v>80</v>
      </c>
      <c r="L574" s="84">
        <f t="shared" si="137"/>
        <v>1066</v>
      </c>
      <c r="M574" s="84" t="str">
        <f t="shared" si="138"/>
        <v/>
      </c>
      <c r="V574">
        <f t="shared" si="132"/>
        <v>80</v>
      </c>
      <c r="W574">
        <f t="shared" si="133"/>
        <v>1070</v>
      </c>
      <c r="X574" t="str">
        <f t="shared" si="134"/>
        <v/>
      </c>
      <c r="AB574" t="str">
        <f t="shared" si="135"/>
        <v>80,1070</v>
      </c>
    </row>
    <row r="575" ht="16.25" spans="1:28">
      <c r="A575" s="31">
        <v>201</v>
      </c>
      <c r="B575" s="110">
        <v>160402</v>
      </c>
      <c r="C575" s="23" t="s">
        <v>227</v>
      </c>
      <c r="D575" s="12">
        <v>80</v>
      </c>
      <c r="E575">
        <v>1066</v>
      </c>
      <c r="H575" s="23">
        <v>3</v>
      </c>
      <c r="I575">
        <v>2</v>
      </c>
      <c r="K575" s="84">
        <f t="shared" si="136"/>
        <v>80</v>
      </c>
      <c r="L575" s="84">
        <f t="shared" si="137"/>
        <v>1066</v>
      </c>
      <c r="M575" s="84" t="str">
        <f t="shared" si="138"/>
        <v/>
      </c>
      <c r="V575">
        <f t="shared" si="132"/>
        <v>80</v>
      </c>
      <c r="W575">
        <f t="shared" si="133"/>
        <v>1070</v>
      </c>
      <c r="X575" t="str">
        <f t="shared" si="134"/>
        <v/>
      </c>
      <c r="AB575" t="str">
        <f t="shared" si="135"/>
        <v>80,1070</v>
      </c>
    </row>
    <row r="576" ht="16.25" spans="1:28">
      <c r="A576" s="31">
        <v>201</v>
      </c>
      <c r="B576" s="110">
        <v>160502</v>
      </c>
      <c r="C576" s="23" t="s">
        <v>227</v>
      </c>
      <c r="D576" s="12">
        <v>80</v>
      </c>
      <c r="E576">
        <v>1066</v>
      </c>
      <c r="H576" s="23">
        <v>3</v>
      </c>
      <c r="I576">
        <v>2</v>
      </c>
      <c r="K576" s="84">
        <f t="shared" si="136"/>
        <v>80</v>
      </c>
      <c r="L576" s="84">
        <f t="shared" si="137"/>
        <v>1066</v>
      </c>
      <c r="M576" s="84" t="str">
        <f t="shared" si="138"/>
        <v/>
      </c>
      <c r="V576">
        <f t="shared" si="132"/>
        <v>80</v>
      </c>
      <c r="W576">
        <f t="shared" si="133"/>
        <v>1070</v>
      </c>
      <c r="X576" t="str">
        <f t="shared" si="134"/>
        <v/>
      </c>
      <c r="AB576" t="str">
        <f t="shared" si="135"/>
        <v>80,1070</v>
      </c>
    </row>
    <row r="577" ht="16.25" spans="1:28">
      <c r="A577" s="31">
        <v>201</v>
      </c>
      <c r="B577" s="110">
        <v>160602</v>
      </c>
      <c r="C577" s="23" t="s">
        <v>227</v>
      </c>
      <c r="D577" s="12">
        <v>80</v>
      </c>
      <c r="E577">
        <v>1066</v>
      </c>
      <c r="H577" s="23">
        <v>3</v>
      </c>
      <c r="I577">
        <v>2</v>
      </c>
      <c r="K577" s="84">
        <f t="shared" si="136"/>
        <v>80</v>
      </c>
      <c r="L577" s="84">
        <f t="shared" si="137"/>
        <v>1066</v>
      </c>
      <c r="M577" s="84" t="str">
        <f t="shared" si="138"/>
        <v/>
      </c>
      <c r="V577">
        <f t="shared" si="132"/>
        <v>80</v>
      </c>
      <c r="W577">
        <f t="shared" si="133"/>
        <v>1070</v>
      </c>
      <c r="X577" t="str">
        <f t="shared" si="134"/>
        <v/>
      </c>
      <c r="AB577" t="str">
        <f t="shared" si="135"/>
        <v>80,1070</v>
      </c>
    </row>
    <row r="578" ht="16.25" spans="1:28">
      <c r="A578" s="31">
        <v>201</v>
      </c>
      <c r="B578" s="110">
        <v>160702</v>
      </c>
      <c r="C578" s="23" t="s">
        <v>227</v>
      </c>
      <c r="D578" s="12">
        <v>80</v>
      </c>
      <c r="E578">
        <v>1066</v>
      </c>
      <c r="H578" s="23">
        <v>3</v>
      </c>
      <c r="I578">
        <v>2</v>
      </c>
      <c r="K578" s="84">
        <f t="shared" si="136"/>
        <v>80</v>
      </c>
      <c r="L578" s="84">
        <f t="shared" si="137"/>
        <v>1066</v>
      </c>
      <c r="M578" s="84" t="str">
        <f t="shared" si="138"/>
        <v/>
      </c>
      <c r="V578">
        <f t="shared" si="132"/>
        <v>80</v>
      </c>
      <c r="W578">
        <f t="shared" si="133"/>
        <v>1070</v>
      </c>
      <c r="X578" t="str">
        <f t="shared" si="134"/>
        <v/>
      </c>
      <c r="AB578" t="str">
        <f t="shared" si="135"/>
        <v>80,1070</v>
      </c>
    </row>
    <row r="579" ht="16.25" spans="1:28">
      <c r="A579" s="31">
        <v>201</v>
      </c>
      <c r="B579" s="110">
        <v>160802</v>
      </c>
      <c r="C579" s="23" t="s">
        <v>227</v>
      </c>
      <c r="D579" s="12">
        <v>80</v>
      </c>
      <c r="E579">
        <v>1066</v>
      </c>
      <c r="H579" s="23">
        <v>3</v>
      </c>
      <c r="I579">
        <v>2</v>
      </c>
      <c r="K579" s="84">
        <f t="shared" si="136"/>
        <v>80</v>
      </c>
      <c r="L579" s="84">
        <f t="shared" si="137"/>
        <v>1066</v>
      </c>
      <c r="M579" s="84" t="str">
        <f t="shared" si="138"/>
        <v/>
      </c>
      <c r="V579">
        <f t="shared" ref="V579:V642" si="139">IF(K579="","",IF(K579&lt;1,ROUND(K579,4),CEILING(K579,5)))</f>
        <v>80</v>
      </c>
      <c r="W579">
        <f t="shared" ref="W579:W642" si="140">IF(L579="","",IF(L579&lt;1,ROUND(L579,4),CEILING(L579,5)))</f>
        <v>1070</v>
      </c>
      <c r="X579" t="str">
        <f t="shared" ref="X579:X642" si="141">IF(M579="","",IF(M579&lt;1,ROUND(M579,4),CEILING(M579,5)))</f>
        <v/>
      </c>
      <c r="AB579" t="str">
        <f t="shared" si="135"/>
        <v>80,1070</v>
      </c>
    </row>
    <row r="580" ht="16.25" spans="1:28">
      <c r="A580" s="31">
        <v>201</v>
      </c>
      <c r="B580" s="110">
        <v>160902</v>
      </c>
      <c r="C580" s="23" t="s">
        <v>227</v>
      </c>
      <c r="D580" s="12">
        <v>80</v>
      </c>
      <c r="E580">
        <v>1066</v>
      </c>
      <c r="H580" s="23">
        <v>3</v>
      </c>
      <c r="I580">
        <v>2</v>
      </c>
      <c r="K580" s="84">
        <f t="shared" si="136"/>
        <v>80</v>
      </c>
      <c r="L580" s="84">
        <f t="shared" si="137"/>
        <v>1066</v>
      </c>
      <c r="M580" s="84" t="str">
        <f t="shared" si="138"/>
        <v/>
      </c>
      <c r="V580">
        <f t="shared" si="139"/>
        <v>80</v>
      </c>
      <c r="W580">
        <f t="shared" si="140"/>
        <v>1070</v>
      </c>
      <c r="X580" t="str">
        <f t="shared" si="141"/>
        <v/>
      </c>
      <c r="AB580" t="str">
        <f t="shared" si="135"/>
        <v>80,1070</v>
      </c>
    </row>
    <row r="581" ht="16.25" spans="1:28">
      <c r="A581" s="31">
        <v>202</v>
      </c>
      <c r="B581" s="110">
        <v>140002</v>
      </c>
      <c r="C581" s="23" t="s">
        <v>227</v>
      </c>
      <c r="D581" s="12">
        <v>35</v>
      </c>
      <c r="E581">
        <v>471</v>
      </c>
      <c r="H581" s="23">
        <v>3</v>
      </c>
      <c r="I581">
        <v>2</v>
      </c>
      <c r="K581" s="84">
        <f t="shared" si="136"/>
        <v>35</v>
      </c>
      <c r="L581" s="84">
        <f t="shared" si="137"/>
        <v>471</v>
      </c>
      <c r="M581" s="84" t="str">
        <f t="shared" si="138"/>
        <v/>
      </c>
      <c r="V581">
        <f t="shared" si="139"/>
        <v>35</v>
      </c>
      <c r="W581">
        <f t="shared" si="140"/>
        <v>475</v>
      </c>
      <c r="X581" t="str">
        <f t="shared" si="141"/>
        <v/>
      </c>
      <c r="AB581" t="str">
        <f t="shared" si="135"/>
        <v>35,475</v>
      </c>
    </row>
    <row r="582" ht="16.25" spans="1:28">
      <c r="A582" s="31">
        <v>202</v>
      </c>
      <c r="B582" s="110">
        <v>140102</v>
      </c>
      <c r="C582" s="23" t="s">
        <v>227</v>
      </c>
      <c r="D582" s="12">
        <v>28</v>
      </c>
      <c r="E582">
        <v>377</v>
      </c>
      <c r="H582" s="23">
        <v>3</v>
      </c>
      <c r="I582">
        <v>2</v>
      </c>
      <c r="K582" s="84">
        <f t="shared" si="136"/>
        <v>28</v>
      </c>
      <c r="L582" s="84">
        <f t="shared" si="137"/>
        <v>377</v>
      </c>
      <c r="M582" s="84" t="str">
        <f t="shared" si="138"/>
        <v/>
      </c>
      <c r="V582">
        <f t="shared" si="139"/>
        <v>30</v>
      </c>
      <c r="W582">
        <f t="shared" si="140"/>
        <v>380</v>
      </c>
      <c r="X582" t="str">
        <f t="shared" si="141"/>
        <v/>
      </c>
      <c r="AB582" t="str">
        <f t="shared" si="135"/>
        <v>30,380</v>
      </c>
    </row>
    <row r="583" ht="16.25" spans="1:28">
      <c r="A583" s="31">
        <v>202</v>
      </c>
      <c r="B583" s="110">
        <v>140202</v>
      </c>
      <c r="C583" s="23" t="s">
        <v>227</v>
      </c>
      <c r="D583" s="12">
        <v>44</v>
      </c>
      <c r="E583">
        <v>589</v>
      </c>
      <c r="H583" s="23">
        <v>3</v>
      </c>
      <c r="I583">
        <v>2</v>
      </c>
      <c r="K583" s="84">
        <f t="shared" si="136"/>
        <v>44</v>
      </c>
      <c r="L583" s="84">
        <f t="shared" si="137"/>
        <v>589</v>
      </c>
      <c r="M583" s="84" t="str">
        <f t="shared" si="138"/>
        <v/>
      </c>
      <c r="V583">
        <f t="shared" si="139"/>
        <v>45</v>
      </c>
      <c r="W583">
        <f t="shared" si="140"/>
        <v>590</v>
      </c>
      <c r="X583" t="str">
        <f t="shared" si="141"/>
        <v/>
      </c>
      <c r="AB583" t="str">
        <f t="shared" si="135"/>
        <v>45,590</v>
      </c>
    </row>
    <row r="584" ht="16.25" spans="1:28">
      <c r="A584" s="31">
        <v>202</v>
      </c>
      <c r="B584" s="110">
        <v>150102</v>
      </c>
      <c r="C584" s="23" t="s">
        <v>227</v>
      </c>
      <c r="D584" s="12">
        <v>73</v>
      </c>
      <c r="E584">
        <v>970</v>
      </c>
      <c r="H584" s="23">
        <v>3</v>
      </c>
      <c r="I584">
        <v>2</v>
      </c>
      <c r="K584" s="84">
        <f t="shared" si="136"/>
        <v>73</v>
      </c>
      <c r="L584" s="84">
        <f t="shared" si="137"/>
        <v>970</v>
      </c>
      <c r="M584" s="84" t="str">
        <f t="shared" si="138"/>
        <v/>
      </c>
      <c r="V584">
        <f t="shared" si="139"/>
        <v>75</v>
      </c>
      <c r="W584">
        <f t="shared" si="140"/>
        <v>970</v>
      </c>
      <c r="X584" t="str">
        <f t="shared" si="141"/>
        <v/>
      </c>
      <c r="AB584" t="str">
        <f t="shared" si="135"/>
        <v>75,970</v>
      </c>
    </row>
    <row r="585" ht="16.25" spans="1:28">
      <c r="A585" s="31">
        <v>202</v>
      </c>
      <c r="B585" s="110">
        <v>150202</v>
      </c>
      <c r="C585" s="23" t="s">
        <v>227</v>
      </c>
      <c r="D585" s="12">
        <v>73</v>
      </c>
      <c r="E585">
        <v>970</v>
      </c>
      <c r="H585" s="23">
        <v>3</v>
      </c>
      <c r="I585">
        <v>2</v>
      </c>
      <c r="K585" s="84">
        <f t="shared" si="136"/>
        <v>73</v>
      </c>
      <c r="L585" s="84">
        <f t="shared" si="137"/>
        <v>970</v>
      </c>
      <c r="M585" s="84" t="str">
        <f t="shared" si="138"/>
        <v/>
      </c>
      <c r="V585">
        <f t="shared" si="139"/>
        <v>75</v>
      </c>
      <c r="W585">
        <f t="shared" si="140"/>
        <v>970</v>
      </c>
      <c r="X585" t="str">
        <f t="shared" si="141"/>
        <v/>
      </c>
      <c r="AB585" t="str">
        <f t="shared" si="135"/>
        <v>75,970</v>
      </c>
    </row>
    <row r="586" ht="16.25" spans="1:28">
      <c r="A586" s="31">
        <v>202</v>
      </c>
      <c r="B586" s="110">
        <v>150302</v>
      </c>
      <c r="C586" s="23" t="s">
        <v>227</v>
      </c>
      <c r="D586" s="12">
        <v>73</v>
      </c>
      <c r="E586">
        <v>970</v>
      </c>
      <c r="H586" s="23">
        <v>3</v>
      </c>
      <c r="I586">
        <v>2</v>
      </c>
      <c r="K586" s="84">
        <f t="shared" si="136"/>
        <v>73</v>
      </c>
      <c r="L586" s="84">
        <f t="shared" si="137"/>
        <v>970</v>
      </c>
      <c r="M586" s="84" t="str">
        <f t="shared" si="138"/>
        <v/>
      </c>
      <c r="V586">
        <f t="shared" si="139"/>
        <v>75</v>
      </c>
      <c r="W586">
        <f t="shared" si="140"/>
        <v>970</v>
      </c>
      <c r="X586" t="str">
        <f t="shared" si="141"/>
        <v/>
      </c>
      <c r="AB586" t="str">
        <f t="shared" si="135"/>
        <v>75,970</v>
      </c>
    </row>
    <row r="587" ht="16.25" spans="1:28">
      <c r="A587" s="31">
        <v>202</v>
      </c>
      <c r="B587" s="110">
        <v>150402</v>
      </c>
      <c r="C587" s="23" t="s">
        <v>227</v>
      </c>
      <c r="D587" s="12">
        <v>73</v>
      </c>
      <c r="E587">
        <v>970</v>
      </c>
      <c r="H587" s="23">
        <v>3</v>
      </c>
      <c r="I587">
        <v>2</v>
      </c>
      <c r="K587" s="84">
        <f t="shared" si="136"/>
        <v>73</v>
      </c>
      <c r="L587" s="84">
        <f t="shared" si="137"/>
        <v>970</v>
      </c>
      <c r="M587" s="84" t="str">
        <f t="shared" si="138"/>
        <v/>
      </c>
      <c r="V587">
        <f t="shared" si="139"/>
        <v>75</v>
      </c>
      <c r="W587">
        <f t="shared" si="140"/>
        <v>970</v>
      </c>
      <c r="X587" t="str">
        <f t="shared" si="141"/>
        <v/>
      </c>
      <c r="AB587" t="str">
        <f t="shared" si="135"/>
        <v>75,970</v>
      </c>
    </row>
    <row r="588" ht="16.25" spans="1:28">
      <c r="A588" s="31">
        <v>202</v>
      </c>
      <c r="B588" s="110">
        <v>150502</v>
      </c>
      <c r="C588" s="23" t="s">
        <v>227</v>
      </c>
      <c r="D588" s="12">
        <v>73</v>
      </c>
      <c r="E588">
        <v>970</v>
      </c>
      <c r="H588" s="23">
        <v>3</v>
      </c>
      <c r="I588">
        <v>2</v>
      </c>
      <c r="K588" s="84">
        <f t="shared" si="136"/>
        <v>73</v>
      </c>
      <c r="L588" s="84">
        <f t="shared" si="137"/>
        <v>970</v>
      </c>
      <c r="M588" s="84" t="str">
        <f t="shared" si="138"/>
        <v/>
      </c>
      <c r="V588">
        <f t="shared" si="139"/>
        <v>75</v>
      </c>
      <c r="W588">
        <f t="shared" si="140"/>
        <v>970</v>
      </c>
      <c r="X588" t="str">
        <f t="shared" si="141"/>
        <v/>
      </c>
      <c r="AB588" t="str">
        <f t="shared" si="135"/>
        <v>75,970</v>
      </c>
    </row>
    <row r="589" ht="16.25" spans="1:28">
      <c r="A589" s="31">
        <v>202</v>
      </c>
      <c r="B589" s="110">
        <v>150602</v>
      </c>
      <c r="C589" s="23" t="s">
        <v>227</v>
      </c>
      <c r="D589" s="12">
        <v>73</v>
      </c>
      <c r="E589">
        <v>970</v>
      </c>
      <c r="H589" s="23">
        <v>3</v>
      </c>
      <c r="I589">
        <v>2</v>
      </c>
      <c r="K589" s="84">
        <f t="shared" si="136"/>
        <v>73</v>
      </c>
      <c r="L589" s="84">
        <f t="shared" si="137"/>
        <v>970</v>
      </c>
      <c r="M589" s="84" t="str">
        <f t="shared" si="138"/>
        <v/>
      </c>
      <c r="V589">
        <f t="shared" si="139"/>
        <v>75</v>
      </c>
      <c r="W589">
        <f t="shared" si="140"/>
        <v>970</v>
      </c>
      <c r="X589" t="str">
        <f t="shared" si="141"/>
        <v/>
      </c>
      <c r="AB589" t="str">
        <f t="shared" si="135"/>
        <v>75,970</v>
      </c>
    </row>
    <row r="590" ht="16.25" spans="1:28">
      <c r="A590" s="31">
        <v>202</v>
      </c>
      <c r="B590" s="110">
        <v>150702</v>
      </c>
      <c r="C590" s="23" t="s">
        <v>227</v>
      </c>
      <c r="D590" s="12">
        <v>73</v>
      </c>
      <c r="E590">
        <v>970</v>
      </c>
      <c r="H590" s="23">
        <v>3</v>
      </c>
      <c r="I590">
        <v>2</v>
      </c>
      <c r="K590" s="84">
        <f t="shared" si="136"/>
        <v>73</v>
      </c>
      <c r="L590" s="84">
        <f t="shared" si="137"/>
        <v>970</v>
      </c>
      <c r="M590" s="84" t="str">
        <f t="shared" si="138"/>
        <v/>
      </c>
      <c r="V590">
        <f t="shared" si="139"/>
        <v>75</v>
      </c>
      <c r="W590">
        <f t="shared" si="140"/>
        <v>970</v>
      </c>
      <c r="X590" t="str">
        <f t="shared" si="141"/>
        <v/>
      </c>
      <c r="AB590" t="str">
        <f t="shared" si="135"/>
        <v>75,970</v>
      </c>
    </row>
    <row r="591" ht="16.25" spans="1:28">
      <c r="A591" s="31">
        <v>202</v>
      </c>
      <c r="B591" s="110">
        <v>150802</v>
      </c>
      <c r="C591" s="23" t="s">
        <v>227</v>
      </c>
      <c r="D591" s="12">
        <v>73</v>
      </c>
      <c r="E591">
        <v>970</v>
      </c>
      <c r="H591" s="23">
        <v>3</v>
      </c>
      <c r="I591">
        <v>2</v>
      </c>
      <c r="K591" s="84">
        <f t="shared" si="136"/>
        <v>73</v>
      </c>
      <c r="L591" s="84">
        <f t="shared" si="137"/>
        <v>970</v>
      </c>
      <c r="M591" s="84" t="str">
        <f t="shared" si="138"/>
        <v/>
      </c>
      <c r="V591">
        <f t="shared" si="139"/>
        <v>75</v>
      </c>
      <c r="W591">
        <f t="shared" si="140"/>
        <v>970</v>
      </c>
      <c r="X591" t="str">
        <f t="shared" si="141"/>
        <v/>
      </c>
      <c r="AB591" t="str">
        <f t="shared" si="135"/>
        <v>75,970</v>
      </c>
    </row>
    <row r="592" ht="16.25" spans="1:28">
      <c r="A592" s="31">
        <v>202</v>
      </c>
      <c r="B592" s="110">
        <v>150902</v>
      </c>
      <c r="C592" s="23" t="s">
        <v>227</v>
      </c>
      <c r="D592" s="12">
        <v>73</v>
      </c>
      <c r="E592">
        <v>970</v>
      </c>
      <c r="H592" s="23">
        <v>3</v>
      </c>
      <c r="I592">
        <v>2</v>
      </c>
      <c r="K592" s="84">
        <f t="shared" si="136"/>
        <v>73</v>
      </c>
      <c r="L592" s="84">
        <f t="shared" si="137"/>
        <v>970</v>
      </c>
      <c r="M592" s="84" t="str">
        <f t="shared" si="138"/>
        <v/>
      </c>
      <c r="V592">
        <f t="shared" si="139"/>
        <v>75</v>
      </c>
      <c r="W592">
        <f t="shared" si="140"/>
        <v>970</v>
      </c>
      <c r="X592" t="str">
        <f t="shared" si="141"/>
        <v/>
      </c>
      <c r="AB592" t="str">
        <f t="shared" si="135"/>
        <v>75,970</v>
      </c>
    </row>
    <row r="593" ht="16.25" spans="1:28">
      <c r="A593" s="31">
        <v>202</v>
      </c>
      <c r="B593" s="110">
        <v>160102</v>
      </c>
      <c r="C593" s="23" t="s">
        <v>227</v>
      </c>
      <c r="D593" s="12">
        <v>135</v>
      </c>
      <c r="E593">
        <v>1802</v>
      </c>
      <c r="H593" s="23">
        <v>3</v>
      </c>
      <c r="I593">
        <v>2</v>
      </c>
      <c r="K593" s="84">
        <f t="shared" si="136"/>
        <v>135</v>
      </c>
      <c r="L593" s="84">
        <f t="shared" si="137"/>
        <v>1802</v>
      </c>
      <c r="M593" s="84" t="str">
        <f t="shared" si="138"/>
        <v/>
      </c>
      <c r="V593">
        <f t="shared" si="139"/>
        <v>135</v>
      </c>
      <c r="W593">
        <f t="shared" si="140"/>
        <v>1805</v>
      </c>
      <c r="X593" t="str">
        <f t="shared" si="141"/>
        <v/>
      </c>
      <c r="AB593" t="str">
        <f t="shared" si="135"/>
        <v>135,1805</v>
      </c>
    </row>
    <row r="594" ht="16.25" spans="1:28">
      <c r="A594" s="31">
        <v>202</v>
      </c>
      <c r="B594" s="110">
        <v>160202</v>
      </c>
      <c r="C594" s="23" t="s">
        <v>227</v>
      </c>
      <c r="D594" s="12">
        <v>135</v>
      </c>
      <c r="E594">
        <v>1802</v>
      </c>
      <c r="H594" s="23">
        <v>3</v>
      </c>
      <c r="I594">
        <v>2</v>
      </c>
      <c r="K594" s="84">
        <f t="shared" si="136"/>
        <v>135</v>
      </c>
      <c r="L594" s="84">
        <f t="shared" si="137"/>
        <v>1802</v>
      </c>
      <c r="M594" s="84" t="str">
        <f t="shared" si="138"/>
        <v/>
      </c>
      <c r="V594">
        <f t="shared" si="139"/>
        <v>135</v>
      </c>
      <c r="W594">
        <f t="shared" si="140"/>
        <v>1805</v>
      </c>
      <c r="X594" t="str">
        <f t="shared" si="141"/>
        <v/>
      </c>
      <c r="AB594" t="str">
        <f t="shared" si="135"/>
        <v>135,1805</v>
      </c>
    </row>
    <row r="595" ht="16.25" spans="1:28">
      <c r="A595" s="31">
        <v>202</v>
      </c>
      <c r="B595" s="110">
        <v>160302</v>
      </c>
      <c r="C595" s="23" t="s">
        <v>227</v>
      </c>
      <c r="D595" s="12">
        <v>135</v>
      </c>
      <c r="E595">
        <v>1802</v>
      </c>
      <c r="H595" s="23">
        <v>3</v>
      </c>
      <c r="I595">
        <v>2</v>
      </c>
      <c r="K595" s="84">
        <f t="shared" si="136"/>
        <v>135</v>
      </c>
      <c r="L595" s="84">
        <f t="shared" si="137"/>
        <v>1802</v>
      </c>
      <c r="M595" s="84" t="str">
        <f t="shared" si="138"/>
        <v/>
      </c>
      <c r="V595">
        <f t="shared" si="139"/>
        <v>135</v>
      </c>
      <c r="W595">
        <f t="shared" si="140"/>
        <v>1805</v>
      </c>
      <c r="X595" t="str">
        <f t="shared" si="141"/>
        <v/>
      </c>
      <c r="AB595" t="str">
        <f t="shared" si="135"/>
        <v>135,1805</v>
      </c>
    </row>
    <row r="596" ht="16.25" spans="1:28">
      <c r="A596" s="31">
        <v>202</v>
      </c>
      <c r="B596" s="110">
        <v>160402</v>
      </c>
      <c r="C596" s="23" t="s">
        <v>227</v>
      </c>
      <c r="D596" s="12">
        <v>135</v>
      </c>
      <c r="E596">
        <v>1802</v>
      </c>
      <c r="H596" s="23">
        <v>3</v>
      </c>
      <c r="I596">
        <v>2</v>
      </c>
      <c r="K596" s="84">
        <f t="shared" si="136"/>
        <v>135</v>
      </c>
      <c r="L596" s="84">
        <f t="shared" si="137"/>
        <v>1802</v>
      </c>
      <c r="M596" s="84" t="str">
        <f t="shared" si="138"/>
        <v/>
      </c>
      <c r="V596">
        <f t="shared" si="139"/>
        <v>135</v>
      </c>
      <c r="W596">
        <f t="shared" si="140"/>
        <v>1805</v>
      </c>
      <c r="X596" t="str">
        <f t="shared" si="141"/>
        <v/>
      </c>
      <c r="AB596" t="str">
        <f t="shared" si="135"/>
        <v>135,1805</v>
      </c>
    </row>
    <row r="597" ht="16.25" spans="1:28">
      <c r="A597" s="31">
        <v>202</v>
      </c>
      <c r="B597" s="110">
        <v>160502</v>
      </c>
      <c r="C597" s="23" t="s">
        <v>227</v>
      </c>
      <c r="D597" s="12">
        <v>135</v>
      </c>
      <c r="E597">
        <v>1802</v>
      </c>
      <c r="H597" s="23">
        <v>3</v>
      </c>
      <c r="I597">
        <v>2</v>
      </c>
      <c r="K597" s="84">
        <f t="shared" si="136"/>
        <v>135</v>
      </c>
      <c r="L597" s="84">
        <f t="shared" si="137"/>
        <v>1802</v>
      </c>
      <c r="M597" s="84" t="str">
        <f t="shared" si="138"/>
        <v/>
      </c>
      <c r="V597">
        <f t="shared" si="139"/>
        <v>135</v>
      </c>
      <c r="W597">
        <f t="shared" si="140"/>
        <v>1805</v>
      </c>
      <c r="X597" t="str">
        <f t="shared" si="141"/>
        <v/>
      </c>
      <c r="AB597" t="str">
        <f t="shared" si="135"/>
        <v>135,1805</v>
      </c>
    </row>
    <row r="598" ht="16.25" spans="1:28">
      <c r="A598" s="31">
        <v>202</v>
      </c>
      <c r="B598" s="110">
        <v>160602</v>
      </c>
      <c r="C598" s="23" t="s">
        <v>227</v>
      </c>
      <c r="D598" s="12">
        <v>135</v>
      </c>
      <c r="E598">
        <v>1802</v>
      </c>
      <c r="H598" s="23">
        <v>3</v>
      </c>
      <c r="I598">
        <v>2</v>
      </c>
      <c r="K598" s="84">
        <f t="shared" si="136"/>
        <v>135</v>
      </c>
      <c r="L598" s="84">
        <f t="shared" si="137"/>
        <v>1802</v>
      </c>
      <c r="M598" s="84" t="str">
        <f t="shared" si="138"/>
        <v/>
      </c>
      <c r="V598">
        <f t="shared" si="139"/>
        <v>135</v>
      </c>
      <c r="W598">
        <f t="shared" si="140"/>
        <v>1805</v>
      </c>
      <c r="X598" t="str">
        <f t="shared" si="141"/>
        <v/>
      </c>
      <c r="AB598" t="str">
        <f t="shared" si="135"/>
        <v>135,1805</v>
      </c>
    </row>
    <row r="599" ht="16.25" spans="1:28">
      <c r="A599" s="31">
        <v>202</v>
      </c>
      <c r="B599" s="110">
        <v>160702</v>
      </c>
      <c r="C599" s="23" t="s">
        <v>227</v>
      </c>
      <c r="D599" s="12">
        <v>135</v>
      </c>
      <c r="E599">
        <v>1802</v>
      </c>
      <c r="H599" s="23">
        <v>3</v>
      </c>
      <c r="I599">
        <v>2</v>
      </c>
      <c r="K599" s="84">
        <f t="shared" si="136"/>
        <v>135</v>
      </c>
      <c r="L599" s="84">
        <f t="shared" si="137"/>
        <v>1802</v>
      </c>
      <c r="M599" s="84" t="str">
        <f t="shared" si="138"/>
        <v/>
      </c>
      <c r="V599">
        <f t="shared" si="139"/>
        <v>135</v>
      </c>
      <c r="W599">
        <f t="shared" si="140"/>
        <v>1805</v>
      </c>
      <c r="X599" t="str">
        <f t="shared" si="141"/>
        <v/>
      </c>
      <c r="AB599" t="str">
        <f t="shared" si="135"/>
        <v>135,1805</v>
      </c>
    </row>
    <row r="600" ht="16.25" spans="1:28">
      <c r="A600" s="31">
        <v>202</v>
      </c>
      <c r="B600" s="110">
        <v>160802</v>
      </c>
      <c r="C600" s="23" t="s">
        <v>227</v>
      </c>
      <c r="D600" s="12">
        <v>135</v>
      </c>
      <c r="E600">
        <v>1802</v>
      </c>
      <c r="H600" s="23">
        <v>3</v>
      </c>
      <c r="I600">
        <v>2</v>
      </c>
      <c r="K600" s="84">
        <f t="shared" si="136"/>
        <v>135</v>
      </c>
      <c r="L600" s="84">
        <f t="shared" si="137"/>
        <v>1802</v>
      </c>
      <c r="M600" s="84" t="str">
        <f t="shared" si="138"/>
        <v/>
      </c>
      <c r="V600">
        <f t="shared" si="139"/>
        <v>135</v>
      </c>
      <c r="W600">
        <f t="shared" si="140"/>
        <v>1805</v>
      </c>
      <c r="X600" t="str">
        <f t="shared" si="141"/>
        <v/>
      </c>
      <c r="AB600" t="str">
        <f t="shared" si="135"/>
        <v>135,1805</v>
      </c>
    </row>
    <row r="601" ht="16.25" spans="1:28">
      <c r="A601" s="31">
        <v>202</v>
      </c>
      <c r="B601" s="110">
        <v>160902</v>
      </c>
      <c r="C601" s="23" t="s">
        <v>227</v>
      </c>
      <c r="D601" s="12">
        <v>135</v>
      </c>
      <c r="E601">
        <v>1802</v>
      </c>
      <c r="H601" s="23">
        <v>3</v>
      </c>
      <c r="I601">
        <v>2</v>
      </c>
      <c r="K601" s="84">
        <f t="shared" si="136"/>
        <v>135</v>
      </c>
      <c r="L601" s="84">
        <f t="shared" si="137"/>
        <v>1802</v>
      </c>
      <c r="M601" s="84" t="str">
        <f t="shared" si="138"/>
        <v/>
      </c>
      <c r="V601">
        <f t="shared" si="139"/>
        <v>135</v>
      </c>
      <c r="W601">
        <f t="shared" si="140"/>
        <v>1805</v>
      </c>
      <c r="X601" t="str">
        <f t="shared" si="141"/>
        <v/>
      </c>
      <c r="AB601" t="str">
        <f t="shared" si="135"/>
        <v>135,1805</v>
      </c>
    </row>
    <row r="602" ht="16.25" spans="1:28">
      <c r="A602" s="31">
        <v>203</v>
      </c>
      <c r="B602" s="110">
        <v>150102</v>
      </c>
      <c r="C602" s="12">
        <v>6</v>
      </c>
      <c r="D602" s="107">
        <v>0.0157</v>
      </c>
      <c r="H602" s="12">
        <v>6</v>
      </c>
      <c r="K602" s="84">
        <f t="shared" si="136"/>
        <v>0.0942</v>
      </c>
      <c r="L602" s="84" t="str">
        <f t="shared" si="137"/>
        <v/>
      </c>
      <c r="M602" s="84" t="str">
        <f t="shared" si="138"/>
        <v/>
      </c>
      <c r="V602">
        <f t="shared" si="139"/>
        <v>0.0942</v>
      </c>
      <c r="W602" t="str">
        <f t="shared" si="140"/>
        <v/>
      </c>
      <c r="X602" t="str">
        <f t="shared" si="141"/>
        <v/>
      </c>
      <c r="AB602" t="str">
        <f t="shared" si="135"/>
        <v>0.0942</v>
      </c>
    </row>
    <row r="603" ht="16.25" spans="1:28">
      <c r="A603" s="31">
        <v>203</v>
      </c>
      <c r="B603" s="110">
        <v>150202</v>
      </c>
      <c r="C603" s="12" t="s">
        <v>240</v>
      </c>
      <c r="D603" s="108">
        <v>0.0078</v>
      </c>
      <c r="E603">
        <v>0.0134</v>
      </c>
      <c r="H603" s="12">
        <v>6</v>
      </c>
      <c r="I603">
        <v>35</v>
      </c>
      <c r="K603" s="84">
        <f t="shared" si="136"/>
        <v>0.0468</v>
      </c>
      <c r="L603" s="84">
        <f t="shared" si="137"/>
        <v>0.0804</v>
      </c>
      <c r="M603" s="84" t="str">
        <f t="shared" si="138"/>
        <v/>
      </c>
      <c r="V603">
        <f t="shared" si="139"/>
        <v>0.0468</v>
      </c>
      <c r="W603">
        <f t="shared" si="140"/>
        <v>0.0804</v>
      </c>
      <c r="X603" t="str">
        <f t="shared" si="141"/>
        <v/>
      </c>
      <c r="AB603" t="str">
        <f t="shared" si="135"/>
        <v>0.0468,0.0804</v>
      </c>
    </row>
    <row r="604" ht="16.25" spans="1:28">
      <c r="A604" s="31">
        <v>203</v>
      </c>
      <c r="B604" s="110">
        <v>150302</v>
      </c>
      <c r="C604" s="12">
        <v>7</v>
      </c>
      <c r="D604" s="108">
        <v>0.0078</v>
      </c>
      <c r="H604" s="12">
        <v>7</v>
      </c>
      <c r="K604" s="84">
        <f t="shared" si="136"/>
        <v>0.0468</v>
      </c>
      <c r="L604" s="84" t="str">
        <f t="shared" si="137"/>
        <v/>
      </c>
      <c r="M604" s="84" t="str">
        <f t="shared" si="138"/>
        <v/>
      </c>
      <c r="V604">
        <f t="shared" si="139"/>
        <v>0.0468</v>
      </c>
      <c r="W604" t="str">
        <f t="shared" si="140"/>
        <v/>
      </c>
      <c r="X604" t="str">
        <f t="shared" si="141"/>
        <v/>
      </c>
      <c r="AB604" t="str">
        <f t="shared" si="135"/>
        <v>0.0468</v>
      </c>
    </row>
    <row r="605" ht="16.25" spans="1:28">
      <c r="A605" s="31">
        <v>203</v>
      </c>
      <c r="B605" s="110">
        <v>150402</v>
      </c>
      <c r="C605" s="12">
        <v>7</v>
      </c>
      <c r="D605" s="108">
        <v>0.0078</v>
      </c>
      <c r="H605" s="12">
        <v>7</v>
      </c>
      <c r="K605" s="84">
        <f t="shared" si="136"/>
        <v>0.0468</v>
      </c>
      <c r="L605" s="84" t="str">
        <f t="shared" si="137"/>
        <v/>
      </c>
      <c r="M605" s="84" t="str">
        <f t="shared" si="138"/>
        <v/>
      </c>
      <c r="V605">
        <f t="shared" si="139"/>
        <v>0.0468</v>
      </c>
      <c r="W605" t="str">
        <f t="shared" si="140"/>
        <v/>
      </c>
      <c r="X605" t="str">
        <f t="shared" si="141"/>
        <v/>
      </c>
      <c r="AB605" t="str">
        <f t="shared" si="135"/>
        <v>0.0468</v>
      </c>
    </row>
    <row r="606" ht="16.25" spans="1:28">
      <c r="A606" s="31">
        <v>203</v>
      </c>
      <c r="B606" s="110">
        <v>150502</v>
      </c>
      <c r="C606" s="12">
        <v>11</v>
      </c>
      <c r="D606" s="112">
        <v>0.0051</v>
      </c>
      <c r="H606" s="12">
        <v>11</v>
      </c>
      <c r="K606" s="84">
        <f t="shared" si="136"/>
        <v>0.0306</v>
      </c>
      <c r="L606" s="84" t="str">
        <f t="shared" si="137"/>
        <v/>
      </c>
      <c r="M606" s="84" t="str">
        <f t="shared" si="138"/>
        <v/>
      </c>
      <c r="V606">
        <f t="shared" si="139"/>
        <v>0.0306</v>
      </c>
      <c r="W606" t="str">
        <f t="shared" si="140"/>
        <v/>
      </c>
      <c r="X606" t="str">
        <f t="shared" si="141"/>
        <v/>
      </c>
      <c r="AB606" t="str">
        <f t="shared" si="135"/>
        <v>0.0306</v>
      </c>
    </row>
    <row r="607" ht="16.25" spans="1:28">
      <c r="A607" s="31">
        <v>203</v>
      </c>
      <c r="B607" s="110">
        <v>150602</v>
      </c>
      <c r="C607" s="12">
        <v>11</v>
      </c>
      <c r="D607" s="112">
        <v>0.0051</v>
      </c>
      <c r="H607" s="12">
        <v>11</v>
      </c>
      <c r="K607" s="84">
        <f t="shared" si="136"/>
        <v>0.0306</v>
      </c>
      <c r="L607" s="84" t="str">
        <f t="shared" si="137"/>
        <v/>
      </c>
      <c r="M607" s="84" t="str">
        <f t="shared" si="138"/>
        <v/>
      </c>
      <c r="V607">
        <f t="shared" si="139"/>
        <v>0.0306</v>
      </c>
      <c r="W607" t="str">
        <f t="shared" si="140"/>
        <v/>
      </c>
      <c r="X607" t="str">
        <f t="shared" si="141"/>
        <v/>
      </c>
      <c r="AB607" t="str">
        <f t="shared" si="135"/>
        <v>0.0306</v>
      </c>
    </row>
    <row r="608" ht="16.25" spans="1:28">
      <c r="A608" s="31">
        <v>203</v>
      </c>
      <c r="B608" s="110">
        <v>150702</v>
      </c>
      <c r="C608" s="12">
        <v>11</v>
      </c>
      <c r="D608" s="112">
        <v>0.0085</v>
      </c>
      <c r="H608" s="12">
        <v>11</v>
      </c>
      <c r="K608" s="84">
        <f t="shared" si="136"/>
        <v>0.051</v>
      </c>
      <c r="L608" s="84" t="str">
        <f t="shared" si="137"/>
        <v/>
      </c>
      <c r="M608" s="84" t="str">
        <f t="shared" si="138"/>
        <v/>
      </c>
      <c r="V608">
        <f t="shared" si="139"/>
        <v>0.051</v>
      </c>
      <c r="W608" t="str">
        <f t="shared" si="140"/>
        <v/>
      </c>
      <c r="X608" t="str">
        <f t="shared" si="141"/>
        <v/>
      </c>
      <c r="AB608" t="str">
        <f t="shared" si="135"/>
        <v>0.051</v>
      </c>
    </row>
    <row r="609" ht="16.25" spans="1:28">
      <c r="A609" s="31">
        <v>203</v>
      </c>
      <c r="B609" s="110">
        <v>150802</v>
      </c>
      <c r="C609" s="12" t="s">
        <v>242</v>
      </c>
      <c r="D609" s="112">
        <v>0.0036</v>
      </c>
      <c r="E609">
        <v>0.0026</v>
      </c>
      <c r="F609">
        <v>0.0054</v>
      </c>
      <c r="H609" s="12">
        <v>8</v>
      </c>
      <c r="I609">
        <v>10</v>
      </c>
      <c r="J609">
        <v>26</v>
      </c>
      <c r="K609" s="84">
        <f t="shared" si="136"/>
        <v>0.0216</v>
      </c>
      <c r="L609" s="84">
        <f t="shared" si="137"/>
        <v>0.0156</v>
      </c>
      <c r="M609" s="84">
        <f t="shared" si="138"/>
        <v>0.0324</v>
      </c>
      <c r="V609">
        <f t="shared" si="139"/>
        <v>0.0216</v>
      </c>
      <c r="W609">
        <f t="shared" si="140"/>
        <v>0.0156</v>
      </c>
      <c r="X609">
        <f t="shared" si="141"/>
        <v>0.0324</v>
      </c>
      <c r="AB609" t="str">
        <f t="shared" si="135"/>
        <v>0.0216,0.0156,0.0324</v>
      </c>
    </row>
    <row r="610" ht="16.25" spans="1:28">
      <c r="A610" s="31">
        <v>203</v>
      </c>
      <c r="B610" s="110">
        <v>150902</v>
      </c>
      <c r="C610" s="12" t="s">
        <v>244</v>
      </c>
      <c r="D610" s="112">
        <v>0.0036</v>
      </c>
      <c r="E610">
        <v>0.0026</v>
      </c>
      <c r="H610" s="12">
        <v>8</v>
      </c>
      <c r="I610">
        <v>10</v>
      </c>
      <c r="K610" s="84">
        <f t="shared" si="136"/>
        <v>0.0216</v>
      </c>
      <c r="L610" s="84">
        <f t="shared" si="137"/>
        <v>0.0156</v>
      </c>
      <c r="M610" s="84" t="str">
        <f t="shared" si="138"/>
        <v/>
      </c>
      <c r="V610">
        <f t="shared" si="139"/>
        <v>0.0216</v>
      </c>
      <c r="W610">
        <f t="shared" si="140"/>
        <v>0.0156</v>
      </c>
      <c r="X610" t="str">
        <f t="shared" si="141"/>
        <v/>
      </c>
      <c r="AB610" t="str">
        <f t="shared" si="135"/>
        <v>0.0216,0.0156</v>
      </c>
    </row>
    <row r="611" ht="16.25" spans="1:28">
      <c r="A611" s="31">
        <v>203</v>
      </c>
      <c r="B611" s="110">
        <v>160102</v>
      </c>
      <c r="C611" s="21">
        <v>6</v>
      </c>
      <c r="D611" s="112">
        <v>0.0261</v>
      </c>
      <c r="H611" s="21">
        <v>6</v>
      </c>
      <c r="K611" s="84">
        <f t="shared" si="136"/>
        <v>0.1566</v>
      </c>
      <c r="L611" s="84" t="str">
        <f t="shared" si="137"/>
        <v/>
      </c>
      <c r="M611" s="84" t="str">
        <f t="shared" si="138"/>
        <v/>
      </c>
      <c r="V611">
        <f t="shared" si="139"/>
        <v>0.1566</v>
      </c>
      <c r="W611" t="str">
        <f t="shared" si="140"/>
        <v/>
      </c>
      <c r="X611" t="str">
        <f t="shared" si="141"/>
        <v/>
      </c>
      <c r="AB611" t="str">
        <f t="shared" ref="AB611:AB674" si="142">_xlfn.TEXTJOIN(",",TRUE,V611,W611,X611)</f>
        <v>0.1566</v>
      </c>
    </row>
    <row r="612" ht="16.25" spans="1:28">
      <c r="A612" s="31">
        <v>203</v>
      </c>
      <c r="B612" s="110">
        <v>160202</v>
      </c>
      <c r="C612" s="21" t="s">
        <v>240</v>
      </c>
      <c r="D612" s="112">
        <v>0.0131</v>
      </c>
      <c r="E612">
        <v>0.0224</v>
      </c>
      <c r="H612" s="21">
        <v>6</v>
      </c>
      <c r="I612">
        <v>35</v>
      </c>
      <c r="K612" s="84">
        <f t="shared" si="136"/>
        <v>0.0786</v>
      </c>
      <c r="L612" s="84">
        <f t="shared" si="137"/>
        <v>0.1344</v>
      </c>
      <c r="M612" s="84" t="str">
        <f t="shared" si="138"/>
        <v/>
      </c>
      <c r="V612">
        <f t="shared" si="139"/>
        <v>0.0786</v>
      </c>
      <c r="W612">
        <f t="shared" si="140"/>
        <v>0.1344</v>
      </c>
      <c r="X612" t="str">
        <f t="shared" si="141"/>
        <v/>
      </c>
      <c r="AB612" t="str">
        <f t="shared" si="142"/>
        <v>0.0786,0.1344</v>
      </c>
    </row>
    <row r="613" ht="16.25" spans="1:28">
      <c r="A613" s="31">
        <v>203</v>
      </c>
      <c r="B613" s="110">
        <v>160302</v>
      </c>
      <c r="C613" s="21">
        <v>7</v>
      </c>
      <c r="D613" s="112">
        <v>0.0131</v>
      </c>
      <c r="H613" s="21">
        <v>7</v>
      </c>
      <c r="K613" s="84">
        <f t="shared" si="136"/>
        <v>0.0786</v>
      </c>
      <c r="L613" s="84" t="str">
        <f t="shared" si="137"/>
        <v/>
      </c>
      <c r="M613" s="84" t="str">
        <f t="shared" si="138"/>
        <v/>
      </c>
      <c r="V613">
        <f t="shared" si="139"/>
        <v>0.0786</v>
      </c>
      <c r="W613" t="str">
        <f t="shared" si="140"/>
        <v/>
      </c>
      <c r="X613" t="str">
        <f t="shared" si="141"/>
        <v/>
      </c>
      <c r="AB613" t="str">
        <f t="shared" si="142"/>
        <v>0.0786</v>
      </c>
    </row>
    <row r="614" ht="16.25" spans="1:28">
      <c r="A614" s="31">
        <v>203</v>
      </c>
      <c r="B614" s="110">
        <v>160402</v>
      </c>
      <c r="C614" s="21">
        <v>7</v>
      </c>
      <c r="D614" s="112">
        <v>0.0131</v>
      </c>
      <c r="H614" s="21">
        <v>7</v>
      </c>
      <c r="K614" s="84">
        <f t="shared" si="136"/>
        <v>0.0786</v>
      </c>
      <c r="L614" s="84" t="str">
        <f t="shared" si="137"/>
        <v/>
      </c>
      <c r="M614" s="84" t="str">
        <f t="shared" si="138"/>
        <v/>
      </c>
      <c r="V614">
        <f t="shared" si="139"/>
        <v>0.0786</v>
      </c>
      <c r="W614" t="str">
        <f t="shared" si="140"/>
        <v/>
      </c>
      <c r="X614" t="str">
        <f t="shared" si="141"/>
        <v/>
      </c>
      <c r="AB614" t="str">
        <f t="shared" si="142"/>
        <v>0.0786</v>
      </c>
    </row>
    <row r="615" ht="16.25" spans="1:28">
      <c r="A615" s="31">
        <v>203</v>
      </c>
      <c r="B615" s="110">
        <v>160502</v>
      </c>
      <c r="C615" s="21">
        <v>11</v>
      </c>
      <c r="D615" s="112">
        <v>0.0085</v>
      </c>
      <c r="H615" s="21">
        <v>11</v>
      </c>
      <c r="K615" s="84">
        <f t="shared" si="136"/>
        <v>0.051</v>
      </c>
      <c r="L615" s="84" t="str">
        <f t="shared" si="137"/>
        <v/>
      </c>
      <c r="M615" s="84" t="str">
        <f t="shared" si="138"/>
        <v/>
      </c>
      <c r="V615">
        <f t="shared" si="139"/>
        <v>0.051</v>
      </c>
      <c r="W615" t="str">
        <f t="shared" si="140"/>
        <v/>
      </c>
      <c r="X615" t="str">
        <f t="shared" si="141"/>
        <v/>
      </c>
      <c r="AB615" t="str">
        <f t="shared" si="142"/>
        <v>0.051</v>
      </c>
    </row>
    <row r="616" ht="16.25" spans="1:28">
      <c r="A616" s="31">
        <v>203</v>
      </c>
      <c r="B616" s="110">
        <v>160602</v>
      </c>
      <c r="C616" s="21">
        <v>11</v>
      </c>
      <c r="D616" s="112">
        <v>0.0085</v>
      </c>
      <c r="H616" s="21">
        <v>11</v>
      </c>
      <c r="K616" s="84">
        <f t="shared" si="136"/>
        <v>0.051</v>
      </c>
      <c r="L616" s="84" t="str">
        <f t="shared" si="137"/>
        <v/>
      </c>
      <c r="M616" s="84" t="str">
        <f t="shared" si="138"/>
        <v/>
      </c>
      <c r="V616">
        <f t="shared" si="139"/>
        <v>0.051</v>
      </c>
      <c r="W616" t="str">
        <f t="shared" si="140"/>
        <v/>
      </c>
      <c r="X616" t="str">
        <f t="shared" si="141"/>
        <v/>
      </c>
      <c r="AB616" t="str">
        <f t="shared" si="142"/>
        <v>0.051</v>
      </c>
    </row>
    <row r="617" ht="16.25" spans="1:28">
      <c r="A617" s="31">
        <v>203</v>
      </c>
      <c r="B617" s="110">
        <v>160702</v>
      </c>
      <c r="C617" s="21">
        <v>11</v>
      </c>
      <c r="D617" s="112">
        <v>0.0142</v>
      </c>
      <c r="H617" s="21">
        <v>11</v>
      </c>
      <c r="K617" s="84">
        <f t="shared" si="136"/>
        <v>0.0852</v>
      </c>
      <c r="L617" s="84" t="str">
        <f t="shared" si="137"/>
        <v/>
      </c>
      <c r="M617" s="84" t="str">
        <f t="shared" si="138"/>
        <v/>
      </c>
      <c r="V617">
        <f t="shared" si="139"/>
        <v>0.0852</v>
      </c>
      <c r="W617" t="str">
        <f t="shared" si="140"/>
        <v/>
      </c>
      <c r="X617" t="str">
        <f t="shared" si="141"/>
        <v/>
      </c>
      <c r="AB617" t="str">
        <f t="shared" si="142"/>
        <v>0.0852</v>
      </c>
    </row>
    <row r="618" ht="16.25" spans="1:28">
      <c r="A618" s="31">
        <v>203</v>
      </c>
      <c r="B618" s="110">
        <v>160802</v>
      </c>
      <c r="C618" s="21" t="s">
        <v>242</v>
      </c>
      <c r="D618" s="112">
        <v>0.006</v>
      </c>
      <c r="E618">
        <v>0.0043</v>
      </c>
      <c r="F618">
        <v>0.009</v>
      </c>
      <c r="H618" s="21">
        <v>8</v>
      </c>
      <c r="I618">
        <v>10</v>
      </c>
      <c r="J618">
        <v>26</v>
      </c>
      <c r="K618" s="84">
        <f t="shared" si="136"/>
        <v>0.036</v>
      </c>
      <c r="L618" s="84">
        <f t="shared" si="137"/>
        <v>0.0258</v>
      </c>
      <c r="M618" s="84">
        <f t="shared" si="138"/>
        <v>0.054</v>
      </c>
      <c r="V618">
        <f t="shared" si="139"/>
        <v>0.036</v>
      </c>
      <c r="W618">
        <f t="shared" si="140"/>
        <v>0.0258</v>
      </c>
      <c r="X618">
        <f t="shared" si="141"/>
        <v>0.054</v>
      </c>
      <c r="AB618" t="str">
        <f t="shared" si="142"/>
        <v>0.036,0.0258,0.054</v>
      </c>
    </row>
    <row r="619" ht="16.25" spans="1:28">
      <c r="A619" s="31">
        <v>203</v>
      </c>
      <c r="B619" s="110">
        <v>160902</v>
      </c>
      <c r="C619" s="21" t="s">
        <v>244</v>
      </c>
      <c r="D619" s="112">
        <v>0.006</v>
      </c>
      <c r="E619">
        <v>0.0043</v>
      </c>
      <c r="H619" s="21">
        <v>8</v>
      </c>
      <c r="I619">
        <v>10</v>
      </c>
      <c r="K619" s="84">
        <f t="shared" si="136"/>
        <v>0.036</v>
      </c>
      <c r="L619" s="84">
        <f t="shared" si="137"/>
        <v>0.0258</v>
      </c>
      <c r="M619" s="84" t="str">
        <f t="shared" si="138"/>
        <v/>
      </c>
      <c r="V619">
        <f t="shared" si="139"/>
        <v>0.036</v>
      </c>
      <c r="W619">
        <f t="shared" si="140"/>
        <v>0.0258</v>
      </c>
      <c r="X619" t="str">
        <f t="shared" si="141"/>
        <v/>
      </c>
      <c r="AB619" t="str">
        <f t="shared" si="142"/>
        <v>0.036,0.0258</v>
      </c>
    </row>
    <row r="620" ht="16.25" spans="1:28">
      <c r="A620" s="39">
        <v>204</v>
      </c>
      <c r="B620" s="110">
        <v>150102</v>
      </c>
      <c r="C620" s="23">
        <v>6</v>
      </c>
      <c r="D620" s="109">
        <v>0.0358</v>
      </c>
      <c r="H620" s="23">
        <v>6</v>
      </c>
      <c r="K620" s="84">
        <f t="shared" si="136"/>
        <v>0.2148</v>
      </c>
      <c r="L620" s="84" t="str">
        <f t="shared" si="137"/>
        <v/>
      </c>
      <c r="M620" s="84" t="str">
        <f t="shared" si="138"/>
        <v/>
      </c>
      <c r="V620">
        <f t="shared" si="139"/>
        <v>0.2148</v>
      </c>
      <c r="W620" t="str">
        <f t="shared" si="140"/>
        <v/>
      </c>
      <c r="X620" t="str">
        <f t="shared" si="141"/>
        <v/>
      </c>
      <c r="AB620" t="str">
        <f t="shared" si="142"/>
        <v>0.2148</v>
      </c>
    </row>
    <row r="621" ht="16.25" spans="1:28">
      <c r="A621" s="39">
        <v>204</v>
      </c>
      <c r="B621" s="110">
        <v>150102</v>
      </c>
      <c r="C621" s="23">
        <v>4</v>
      </c>
      <c r="D621" s="109">
        <v>7.29</v>
      </c>
      <c r="H621" s="23">
        <v>4</v>
      </c>
      <c r="K621" s="84">
        <f t="shared" si="136"/>
        <v>14.58</v>
      </c>
      <c r="L621" s="84" t="str">
        <f t="shared" si="137"/>
        <v/>
      </c>
      <c r="M621" s="84" t="str">
        <f t="shared" si="138"/>
        <v/>
      </c>
      <c r="V621">
        <f t="shared" si="139"/>
        <v>15</v>
      </c>
      <c r="W621" t="str">
        <f t="shared" si="140"/>
        <v/>
      </c>
      <c r="X621" t="str">
        <f t="shared" si="141"/>
        <v/>
      </c>
      <c r="AB621" t="str">
        <f t="shared" si="142"/>
        <v>15</v>
      </c>
    </row>
    <row r="622" ht="16.25" spans="1:28">
      <c r="A622" s="39">
        <v>204</v>
      </c>
      <c r="B622" s="110">
        <v>150202</v>
      </c>
      <c r="C622" s="23">
        <v>6</v>
      </c>
      <c r="D622" s="109">
        <v>0.0179</v>
      </c>
      <c r="H622" s="23">
        <v>6</v>
      </c>
      <c r="K622" s="84">
        <f t="shared" si="136"/>
        <v>0.1074</v>
      </c>
      <c r="L622" s="84" t="str">
        <f t="shared" si="137"/>
        <v/>
      </c>
      <c r="M622" s="84" t="str">
        <f t="shared" si="138"/>
        <v/>
      </c>
      <c r="V622">
        <f t="shared" si="139"/>
        <v>0.1074</v>
      </c>
      <c r="W622" t="str">
        <f t="shared" si="140"/>
        <v/>
      </c>
      <c r="X622" t="str">
        <f t="shared" si="141"/>
        <v/>
      </c>
      <c r="AB622" t="str">
        <f t="shared" si="142"/>
        <v>0.1074</v>
      </c>
    </row>
    <row r="623" ht="16.25" spans="1:28">
      <c r="A623" s="39">
        <v>204</v>
      </c>
      <c r="B623" s="110">
        <v>150202</v>
      </c>
      <c r="C623" s="23">
        <v>4</v>
      </c>
      <c r="D623" s="109">
        <v>7.29</v>
      </c>
      <c r="H623" s="23">
        <v>4</v>
      </c>
      <c r="K623" s="84">
        <f t="shared" si="136"/>
        <v>14.58</v>
      </c>
      <c r="L623" s="84" t="str">
        <f t="shared" si="137"/>
        <v/>
      </c>
      <c r="M623" s="84" t="str">
        <f t="shared" si="138"/>
        <v/>
      </c>
      <c r="V623">
        <f t="shared" si="139"/>
        <v>15</v>
      </c>
      <c r="W623" t="str">
        <f t="shared" si="140"/>
        <v/>
      </c>
      <c r="X623" t="str">
        <f t="shared" si="141"/>
        <v/>
      </c>
      <c r="AB623" t="str">
        <f t="shared" si="142"/>
        <v>15</v>
      </c>
    </row>
    <row r="624" ht="16.25" spans="1:28">
      <c r="A624" s="39">
        <v>204</v>
      </c>
      <c r="B624" s="110">
        <v>150202</v>
      </c>
      <c r="C624" s="23">
        <v>35</v>
      </c>
      <c r="D624" s="109">
        <v>0.0307</v>
      </c>
      <c r="H624" s="23">
        <v>35</v>
      </c>
      <c r="K624" s="84">
        <f t="shared" si="136"/>
        <v>0.1842</v>
      </c>
      <c r="L624" s="84" t="str">
        <f t="shared" si="137"/>
        <v/>
      </c>
      <c r="M624" s="84" t="str">
        <f t="shared" si="138"/>
        <v/>
      </c>
      <c r="V624">
        <f t="shared" si="139"/>
        <v>0.1842</v>
      </c>
      <c r="W624" t="str">
        <f t="shared" si="140"/>
        <v/>
      </c>
      <c r="X624" t="str">
        <f t="shared" si="141"/>
        <v/>
      </c>
      <c r="AB624" t="str">
        <f t="shared" si="142"/>
        <v>0.1842</v>
      </c>
    </row>
    <row r="625" ht="16.25" spans="1:28">
      <c r="A625" s="39">
        <v>204</v>
      </c>
      <c r="B625" s="110">
        <v>150302</v>
      </c>
      <c r="C625" s="23">
        <v>6</v>
      </c>
      <c r="D625" s="109">
        <v>0.0179</v>
      </c>
      <c r="H625" s="23">
        <v>6</v>
      </c>
      <c r="K625" s="84">
        <f t="shared" si="136"/>
        <v>0.1074</v>
      </c>
      <c r="L625" s="84" t="str">
        <f t="shared" si="137"/>
        <v/>
      </c>
      <c r="M625" s="84" t="str">
        <f t="shared" si="138"/>
        <v/>
      </c>
      <c r="V625">
        <f t="shared" si="139"/>
        <v>0.1074</v>
      </c>
      <c r="W625" t="str">
        <f t="shared" si="140"/>
        <v/>
      </c>
      <c r="X625" t="str">
        <f t="shared" si="141"/>
        <v/>
      </c>
      <c r="AB625" t="str">
        <f t="shared" si="142"/>
        <v>0.1074</v>
      </c>
    </row>
    <row r="626" ht="16.25" spans="1:28">
      <c r="A626" s="39">
        <v>204</v>
      </c>
      <c r="B626" s="110">
        <v>150302</v>
      </c>
      <c r="C626" s="23">
        <v>4</v>
      </c>
      <c r="D626" s="109">
        <v>7.29</v>
      </c>
      <c r="H626" s="23">
        <v>4</v>
      </c>
      <c r="K626" s="84">
        <f t="shared" si="136"/>
        <v>14.58</v>
      </c>
      <c r="L626" s="84" t="str">
        <f t="shared" si="137"/>
        <v/>
      </c>
      <c r="M626" s="84" t="str">
        <f t="shared" si="138"/>
        <v/>
      </c>
      <c r="V626">
        <f t="shared" si="139"/>
        <v>15</v>
      </c>
      <c r="W626" t="str">
        <f t="shared" si="140"/>
        <v/>
      </c>
      <c r="X626" t="str">
        <f t="shared" si="141"/>
        <v/>
      </c>
      <c r="AB626" t="str">
        <f t="shared" si="142"/>
        <v>15</v>
      </c>
    </row>
    <row r="627" ht="16.25" spans="1:28">
      <c r="A627" s="39">
        <v>204</v>
      </c>
      <c r="B627" s="110">
        <v>150402</v>
      </c>
      <c r="C627" s="23">
        <v>6</v>
      </c>
      <c r="D627" s="109">
        <v>0.0179</v>
      </c>
      <c r="H627" s="23">
        <v>6</v>
      </c>
      <c r="K627" s="84">
        <f t="shared" si="136"/>
        <v>0.1074</v>
      </c>
      <c r="L627" s="84" t="str">
        <f t="shared" si="137"/>
        <v/>
      </c>
      <c r="M627" s="84" t="str">
        <f t="shared" si="138"/>
        <v/>
      </c>
      <c r="V627">
        <f t="shared" si="139"/>
        <v>0.1074</v>
      </c>
      <c r="W627" t="str">
        <f t="shared" si="140"/>
        <v/>
      </c>
      <c r="X627" t="str">
        <f t="shared" si="141"/>
        <v/>
      </c>
      <c r="AB627" t="str">
        <f t="shared" si="142"/>
        <v>0.1074</v>
      </c>
    </row>
    <row r="628" ht="16.25" spans="1:28">
      <c r="A628" s="39">
        <v>204</v>
      </c>
      <c r="B628" s="110">
        <v>150402</v>
      </c>
      <c r="C628" s="23">
        <v>4</v>
      </c>
      <c r="D628" s="109">
        <v>7.29</v>
      </c>
      <c r="H628" s="23">
        <v>4</v>
      </c>
      <c r="K628" s="84">
        <f t="shared" si="136"/>
        <v>14.58</v>
      </c>
      <c r="L628" s="84" t="str">
        <f t="shared" si="137"/>
        <v/>
      </c>
      <c r="M628" s="84" t="str">
        <f t="shared" si="138"/>
        <v/>
      </c>
      <c r="V628">
        <f t="shared" si="139"/>
        <v>15</v>
      </c>
      <c r="W628" t="str">
        <f t="shared" si="140"/>
        <v/>
      </c>
      <c r="X628" t="str">
        <f t="shared" si="141"/>
        <v/>
      </c>
      <c r="AB628" t="str">
        <f t="shared" si="142"/>
        <v>15</v>
      </c>
    </row>
    <row r="629" ht="16.25" spans="1:28">
      <c r="A629" s="39">
        <v>204</v>
      </c>
      <c r="B629" s="110">
        <v>150502</v>
      </c>
      <c r="C629" s="23">
        <v>11</v>
      </c>
      <c r="D629" s="109">
        <v>0.0117</v>
      </c>
      <c r="H629" s="23">
        <v>11</v>
      </c>
      <c r="K629" s="84">
        <f t="shared" si="136"/>
        <v>0.0702</v>
      </c>
      <c r="L629" s="84" t="str">
        <f t="shared" si="137"/>
        <v/>
      </c>
      <c r="M629" s="84" t="str">
        <f t="shared" si="138"/>
        <v/>
      </c>
      <c r="V629">
        <f t="shared" si="139"/>
        <v>0.0702</v>
      </c>
      <c r="W629" t="str">
        <f t="shared" si="140"/>
        <v/>
      </c>
      <c r="X629" t="str">
        <f t="shared" si="141"/>
        <v/>
      </c>
      <c r="AB629" t="str">
        <f t="shared" si="142"/>
        <v>0.0702</v>
      </c>
    </row>
    <row r="630" ht="16.25" spans="1:28">
      <c r="A630" s="39">
        <v>204</v>
      </c>
      <c r="B630" s="110">
        <v>150502</v>
      </c>
      <c r="C630" s="23">
        <v>4</v>
      </c>
      <c r="D630" s="109">
        <v>7.29</v>
      </c>
      <c r="H630" s="23">
        <v>4</v>
      </c>
      <c r="K630" s="84">
        <f t="shared" ref="K630:K693" si="143">IF(D630="","",IF(OR(RIGHT($A630,1)="1",RIGHT($A630,1)="2"),D630,IF(H630=4,D630*2,D630*6)))</f>
        <v>14.58</v>
      </c>
      <c r="L630" s="84" t="str">
        <f t="shared" ref="L630:L693" si="144">IF(E630="","",IF(OR(RIGHT($A630,1)="1",RIGHT($A630,1)="2"),E630,IF(I630=4,E630*2,E630*6)))</f>
        <v/>
      </c>
      <c r="M630" s="84" t="str">
        <f t="shared" ref="M630:M693" si="145">IF(F630="","",IF(OR(RIGHT($A630,1)="1",RIGHT($A630,1)="2"),F630,IF(J630=4,F630*2,F630*6)))</f>
        <v/>
      </c>
      <c r="V630">
        <f t="shared" si="139"/>
        <v>15</v>
      </c>
      <c r="W630" t="str">
        <f t="shared" si="140"/>
        <v/>
      </c>
      <c r="X630" t="str">
        <f t="shared" si="141"/>
        <v/>
      </c>
      <c r="AB630" t="str">
        <f t="shared" si="142"/>
        <v>15</v>
      </c>
    </row>
    <row r="631" ht="16.25" spans="1:28">
      <c r="A631" s="39">
        <v>204</v>
      </c>
      <c r="B631" s="110">
        <v>150602</v>
      </c>
      <c r="C631" s="23">
        <v>11</v>
      </c>
      <c r="D631" s="109">
        <v>0.0117</v>
      </c>
      <c r="H631" s="23">
        <v>11</v>
      </c>
      <c r="K631" s="84">
        <f t="shared" si="143"/>
        <v>0.0702</v>
      </c>
      <c r="L631" s="84" t="str">
        <f t="shared" si="144"/>
        <v/>
      </c>
      <c r="M631" s="84" t="str">
        <f t="shared" si="145"/>
        <v/>
      </c>
      <c r="V631">
        <f t="shared" si="139"/>
        <v>0.0702</v>
      </c>
      <c r="W631" t="str">
        <f t="shared" si="140"/>
        <v/>
      </c>
      <c r="X631" t="str">
        <f t="shared" si="141"/>
        <v/>
      </c>
      <c r="AB631" t="str">
        <f t="shared" si="142"/>
        <v>0.0702</v>
      </c>
    </row>
    <row r="632" ht="16.25" spans="1:28">
      <c r="A632" s="39">
        <v>204</v>
      </c>
      <c r="B632" s="110">
        <v>150602</v>
      </c>
      <c r="C632" s="23">
        <v>4</v>
      </c>
      <c r="D632" s="109">
        <v>7.29</v>
      </c>
      <c r="H632" s="23">
        <v>4</v>
      </c>
      <c r="K632" s="84">
        <f t="shared" si="143"/>
        <v>14.58</v>
      </c>
      <c r="L632" s="84" t="str">
        <f t="shared" si="144"/>
        <v/>
      </c>
      <c r="M632" s="84" t="str">
        <f t="shared" si="145"/>
        <v/>
      </c>
      <c r="V632">
        <f t="shared" si="139"/>
        <v>15</v>
      </c>
      <c r="W632" t="str">
        <f t="shared" si="140"/>
        <v/>
      </c>
      <c r="X632" t="str">
        <f t="shared" si="141"/>
        <v/>
      </c>
      <c r="AB632" t="str">
        <f t="shared" si="142"/>
        <v>15</v>
      </c>
    </row>
    <row r="633" ht="16.25" spans="1:28">
      <c r="A633" s="39">
        <v>204</v>
      </c>
      <c r="B633" s="110">
        <v>150702</v>
      </c>
      <c r="C633" s="23">
        <v>11</v>
      </c>
      <c r="D633" s="109">
        <v>0.0194</v>
      </c>
      <c r="H633" s="23">
        <v>11</v>
      </c>
      <c r="K633" s="84">
        <f t="shared" si="143"/>
        <v>0.1164</v>
      </c>
      <c r="L633" s="84" t="str">
        <f t="shared" si="144"/>
        <v/>
      </c>
      <c r="M633" s="84" t="str">
        <f t="shared" si="145"/>
        <v/>
      </c>
      <c r="V633">
        <f t="shared" si="139"/>
        <v>0.1164</v>
      </c>
      <c r="W633" t="str">
        <f t="shared" si="140"/>
        <v/>
      </c>
      <c r="X633" t="str">
        <f t="shared" si="141"/>
        <v/>
      </c>
      <c r="AB633" t="str">
        <f t="shared" si="142"/>
        <v>0.1164</v>
      </c>
    </row>
    <row r="634" ht="16.25" spans="1:28">
      <c r="A634" s="39">
        <v>204</v>
      </c>
      <c r="B634" s="110">
        <v>150702</v>
      </c>
      <c r="C634" s="23">
        <v>4</v>
      </c>
      <c r="D634" s="109">
        <v>7.29</v>
      </c>
      <c r="H634" s="23">
        <v>4</v>
      </c>
      <c r="K634" s="84">
        <f t="shared" si="143"/>
        <v>14.58</v>
      </c>
      <c r="L634" s="84" t="str">
        <f t="shared" si="144"/>
        <v/>
      </c>
      <c r="M634" s="84" t="str">
        <f t="shared" si="145"/>
        <v/>
      </c>
      <c r="V634">
        <f t="shared" si="139"/>
        <v>15</v>
      </c>
      <c r="W634" t="str">
        <f t="shared" si="140"/>
        <v/>
      </c>
      <c r="X634" t="str">
        <f t="shared" si="141"/>
        <v/>
      </c>
      <c r="AB634" t="str">
        <f t="shared" si="142"/>
        <v>15</v>
      </c>
    </row>
    <row r="635" ht="16.25" spans="1:28">
      <c r="A635" s="39">
        <v>204</v>
      </c>
      <c r="B635" s="110">
        <v>150802</v>
      </c>
      <c r="C635" s="23">
        <v>7</v>
      </c>
      <c r="D635" s="109">
        <v>0.0082</v>
      </c>
      <c r="H635" s="23">
        <v>7</v>
      </c>
      <c r="K635" s="84">
        <f t="shared" si="143"/>
        <v>0.0492</v>
      </c>
      <c r="L635" s="84" t="str">
        <f t="shared" si="144"/>
        <v/>
      </c>
      <c r="M635" s="84" t="str">
        <f t="shared" si="145"/>
        <v/>
      </c>
      <c r="V635">
        <f t="shared" si="139"/>
        <v>0.0492</v>
      </c>
      <c r="W635" t="str">
        <f t="shared" si="140"/>
        <v/>
      </c>
      <c r="X635" t="str">
        <f t="shared" si="141"/>
        <v/>
      </c>
      <c r="AB635" t="str">
        <f t="shared" si="142"/>
        <v>0.0492</v>
      </c>
    </row>
    <row r="636" ht="16.25" spans="1:28">
      <c r="A636" s="39">
        <v>204</v>
      </c>
      <c r="B636" s="110">
        <v>150802</v>
      </c>
      <c r="C636" s="23">
        <v>4</v>
      </c>
      <c r="D636" s="109">
        <v>7.29</v>
      </c>
      <c r="H636" s="23">
        <v>4</v>
      </c>
      <c r="K636" s="84">
        <f t="shared" si="143"/>
        <v>14.58</v>
      </c>
      <c r="L636" s="84" t="str">
        <f t="shared" si="144"/>
        <v/>
      </c>
      <c r="M636" s="84" t="str">
        <f t="shared" si="145"/>
        <v/>
      </c>
      <c r="V636">
        <f t="shared" si="139"/>
        <v>15</v>
      </c>
      <c r="W636" t="str">
        <f t="shared" si="140"/>
        <v/>
      </c>
      <c r="X636" t="str">
        <f t="shared" si="141"/>
        <v/>
      </c>
      <c r="AB636" t="str">
        <f t="shared" si="142"/>
        <v>15</v>
      </c>
    </row>
    <row r="637" ht="16.25" spans="1:28">
      <c r="A637" s="39">
        <v>204</v>
      </c>
      <c r="B637" s="110">
        <v>150802</v>
      </c>
      <c r="C637" s="23">
        <v>10</v>
      </c>
      <c r="D637" s="109">
        <v>0.0058</v>
      </c>
      <c r="H637" s="23">
        <v>10</v>
      </c>
      <c r="K637" s="84">
        <f t="shared" si="143"/>
        <v>0.0348</v>
      </c>
      <c r="L637" s="84" t="str">
        <f t="shared" si="144"/>
        <v/>
      </c>
      <c r="M637" s="84" t="str">
        <f t="shared" si="145"/>
        <v/>
      </c>
      <c r="V637">
        <f t="shared" si="139"/>
        <v>0.0348</v>
      </c>
      <c r="W637" t="str">
        <f t="shared" si="140"/>
        <v/>
      </c>
      <c r="X637" t="str">
        <f t="shared" si="141"/>
        <v/>
      </c>
      <c r="AB637" t="str">
        <f t="shared" si="142"/>
        <v>0.0348</v>
      </c>
    </row>
    <row r="638" ht="16.25" spans="1:28">
      <c r="A638" s="39">
        <v>204</v>
      </c>
      <c r="B638" s="110">
        <v>150802</v>
      </c>
      <c r="C638" s="23">
        <v>26</v>
      </c>
      <c r="D638" s="109">
        <v>0.0123</v>
      </c>
      <c r="H638" s="23">
        <v>26</v>
      </c>
      <c r="K638" s="84">
        <f t="shared" si="143"/>
        <v>0.0738</v>
      </c>
      <c r="L638" s="84" t="str">
        <f t="shared" si="144"/>
        <v/>
      </c>
      <c r="M638" s="84" t="str">
        <f t="shared" si="145"/>
        <v/>
      </c>
      <c r="V638">
        <f t="shared" si="139"/>
        <v>0.0738</v>
      </c>
      <c r="W638" t="str">
        <f t="shared" si="140"/>
        <v/>
      </c>
      <c r="X638" t="str">
        <f t="shared" si="141"/>
        <v/>
      </c>
      <c r="AB638" t="str">
        <f t="shared" si="142"/>
        <v>0.0738</v>
      </c>
    </row>
    <row r="639" ht="16.25" spans="1:28">
      <c r="A639" s="39">
        <v>204</v>
      </c>
      <c r="B639" s="110">
        <v>150902</v>
      </c>
      <c r="C639" s="23">
        <v>8</v>
      </c>
      <c r="D639" s="109">
        <v>0.0082</v>
      </c>
      <c r="H639" s="23">
        <v>8</v>
      </c>
      <c r="K639" s="84">
        <f t="shared" si="143"/>
        <v>0.0492</v>
      </c>
      <c r="L639" s="84" t="str">
        <f t="shared" si="144"/>
        <v/>
      </c>
      <c r="M639" s="84" t="str">
        <f t="shared" si="145"/>
        <v/>
      </c>
      <c r="V639">
        <f t="shared" si="139"/>
        <v>0.0492</v>
      </c>
      <c r="W639" t="str">
        <f t="shared" si="140"/>
        <v/>
      </c>
      <c r="X639" t="str">
        <f t="shared" si="141"/>
        <v/>
      </c>
      <c r="AB639" t="str">
        <f t="shared" si="142"/>
        <v>0.0492</v>
      </c>
    </row>
    <row r="640" ht="16.25" spans="1:28">
      <c r="A640" s="39">
        <v>204</v>
      </c>
      <c r="B640" s="110">
        <v>150902</v>
      </c>
      <c r="C640" s="23">
        <v>10</v>
      </c>
      <c r="D640" s="109">
        <v>0.0058</v>
      </c>
      <c r="H640" s="23">
        <v>10</v>
      </c>
      <c r="K640" s="84">
        <f t="shared" si="143"/>
        <v>0.0348</v>
      </c>
      <c r="L640" s="84" t="str">
        <f t="shared" si="144"/>
        <v/>
      </c>
      <c r="M640" s="84" t="str">
        <f t="shared" si="145"/>
        <v/>
      </c>
      <c r="V640">
        <f t="shared" si="139"/>
        <v>0.0348</v>
      </c>
      <c r="W640" t="str">
        <f t="shared" si="140"/>
        <v/>
      </c>
      <c r="X640" t="str">
        <f t="shared" si="141"/>
        <v/>
      </c>
      <c r="AB640" t="str">
        <f t="shared" si="142"/>
        <v>0.0348</v>
      </c>
    </row>
    <row r="641" ht="16.25" spans="1:28">
      <c r="A641" s="39">
        <v>204</v>
      </c>
      <c r="B641" s="110">
        <v>150902</v>
      </c>
      <c r="C641" s="23">
        <v>4</v>
      </c>
      <c r="D641" s="109">
        <v>7.29</v>
      </c>
      <c r="H641" s="23">
        <v>4</v>
      </c>
      <c r="K641" s="84">
        <f t="shared" si="143"/>
        <v>14.58</v>
      </c>
      <c r="L641" s="84" t="str">
        <f t="shared" si="144"/>
        <v/>
      </c>
      <c r="M641" s="84" t="str">
        <f t="shared" si="145"/>
        <v/>
      </c>
      <c r="V641">
        <f t="shared" si="139"/>
        <v>15</v>
      </c>
      <c r="W641" t="str">
        <f t="shared" si="140"/>
        <v/>
      </c>
      <c r="X641" t="str">
        <f t="shared" si="141"/>
        <v/>
      </c>
      <c r="AB641" t="str">
        <f t="shared" si="142"/>
        <v>15</v>
      </c>
    </row>
    <row r="642" ht="16.25" spans="1:28">
      <c r="A642" s="39">
        <v>204</v>
      </c>
      <c r="B642" s="110">
        <v>160102</v>
      </c>
      <c r="C642" s="23">
        <v>6</v>
      </c>
      <c r="D642" s="109">
        <v>0.0597</v>
      </c>
      <c r="H642" s="23">
        <v>6</v>
      </c>
      <c r="K642" s="84">
        <f t="shared" si="143"/>
        <v>0.3582</v>
      </c>
      <c r="L642" s="84" t="str">
        <f t="shared" si="144"/>
        <v/>
      </c>
      <c r="M642" s="84" t="str">
        <f t="shared" si="145"/>
        <v/>
      </c>
      <c r="V642">
        <f t="shared" si="139"/>
        <v>0.3582</v>
      </c>
      <c r="W642" t="str">
        <f t="shared" si="140"/>
        <v/>
      </c>
      <c r="X642" t="str">
        <f t="shared" si="141"/>
        <v/>
      </c>
      <c r="AB642" t="str">
        <f t="shared" si="142"/>
        <v>0.3582</v>
      </c>
    </row>
    <row r="643" ht="16.25" spans="1:28">
      <c r="A643" s="39">
        <v>204</v>
      </c>
      <c r="B643" s="110">
        <v>160102</v>
      </c>
      <c r="C643" s="23">
        <v>4</v>
      </c>
      <c r="D643" s="109">
        <v>12.14</v>
      </c>
      <c r="H643" s="23">
        <v>4</v>
      </c>
      <c r="K643" s="84">
        <f t="shared" si="143"/>
        <v>24.28</v>
      </c>
      <c r="L643" s="84" t="str">
        <f t="shared" si="144"/>
        <v/>
      </c>
      <c r="M643" s="84" t="str">
        <f t="shared" si="145"/>
        <v/>
      </c>
      <c r="V643">
        <f t="shared" ref="V643:V706" si="146">IF(K643="","",IF(K643&lt;1,ROUND(K643,4),CEILING(K643,5)))</f>
        <v>25</v>
      </c>
      <c r="W643" t="str">
        <f t="shared" ref="W643:W706" si="147">IF(L643="","",IF(L643&lt;1,ROUND(L643,4),CEILING(L643,5)))</f>
        <v/>
      </c>
      <c r="X643" t="str">
        <f t="shared" ref="X643:X706" si="148">IF(M643="","",IF(M643&lt;1,ROUND(M643,4),CEILING(M643,5)))</f>
        <v/>
      </c>
      <c r="AB643" t="str">
        <f t="shared" si="142"/>
        <v>25</v>
      </c>
    </row>
    <row r="644" ht="16.25" spans="1:28">
      <c r="A644" s="39">
        <v>204</v>
      </c>
      <c r="B644" s="110">
        <v>160202</v>
      </c>
      <c r="C644" s="23">
        <v>6</v>
      </c>
      <c r="D644" s="109">
        <v>0.03</v>
      </c>
      <c r="H644" s="23">
        <v>6</v>
      </c>
      <c r="K644" s="84">
        <f t="shared" si="143"/>
        <v>0.18</v>
      </c>
      <c r="L644" s="84" t="str">
        <f t="shared" si="144"/>
        <v/>
      </c>
      <c r="M644" s="84" t="str">
        <f t="shared" si="145"/>
        <v/>
      </c>
      <c r="V644">
        <f t="shared" si="146"/>
        <v>0.18</v>
      </c>
      <c r="W644" t="str">
        <f t="shared" si="147"/>
        <v/>
      </c>
      <c r="X644" t="str">
        <f t="shared" si="148"/>
        <v/>
      </c>
      <c r="AB644" t="str">
        <f t="shared" si="142"/>
        <v>0.18</v>
      </c>
    </row>
    <row r="645" ht="16.25" spans="1:28">
      <c r="A645" s="39">
        <v>204</v>
      </c>
      <c r="B645" s="110">
        <v>160202</v>
      </c>
      <c r="C645" s="23">
        <v>4</v>
      </c>
      <c r="D645" s="109">
        <v>12.14</v>
      </c>
      <c r="H645" s="23">
        <v>4</v>
      </c>
      <c r="K645" s="84">
        <f t="shared" si="143"/>
        <v>24.28</v>
      </c>
      <c r="L645" s="84" t="str">
        <f t="shared" si="144"/>
        <v/>
      </c>
      <c r="M645" s="84" t="str">
        <f t="shared" si="145"/>
        <v/>
      </c>
      <c r="V645">
        <f t="shared" si="146"/>
        <v>25</v>
      </c>
      <c r="W645" t="str">
        <f t="shared" si="147"/>
        <v/>
      </c>
      <c r="X645" t="str">
        <f t="shared" si="148"/>
        <v/>
      </c>
      <c r="AB645" t="str">
        <f t="shared" si="142"/>
        <v>25</v>
      </c>
    </row>
    <row r="646" ht="16.25" spans="1:28">
      <c r="A646" s="39">
        <v>204</v>
      </c>
      <c r="B646" s="110">
        <v>160202</v>
      </c>
      <c r="C646" s="23">
        <v>35</v>
      </c>
      <c r="D646" s="109">
        <v>0.0512</v>
      </c>
      <c r="H646" s="23">
        <v>35</v>
      </c>
      <c r="K646" s="84">
        <f t="shared" si="143"/>
        <v>0.3072</v>
      </c>
      <c r="L646" s="84" t="str">
        <f t="shared" si="144"/>
        <v/>
      </c>
      <c r="M646" s="84" t="str">
        <f t="shared" si="145"/>
        <v/>
      </c>
      <c r="V646">
        <f t="shared" si="146"/>
        <v>0.3072</v>
      </c>
      <c r="W646" t="str">
        <f t="shared" si="147"/>
        <v/>
      </c>
      <c r="X646" t="str">
        <f t="shared" si="148"/>
        <v/>
      </c>
      <c r="AB646" t="str">
        <f t="shared" si="142"/>
        <v>0.3072</v>
      </c>
    </row>
    <row r="647" ht="16.25" spans="1:28">
      <c r="A647" s="39">
        <v>204</v>
      </c>
      <c r="B647" s="110">
        <v>160302</v>
      </c>
      <c r="C647" s="23">
        <v>6</v>
      </c>
      <c r="D647" s="109">
        <v>0.03</v>
      </c>
      <c r="H647" s="23">
        <v>6</v>
      </c>
      <c r="K647" s="84">
        <f t="shared" si="143"/>
        <v>0.18</v>
      </c>
      <c r="L647" s="84" t="str">
        <f t="shared" si="144"/>
        <v/>
      </c>
      <c r="M647" s="84" t="str">
        <f t="shared" si="145"/>
        <v/>
      </c>
      <c r="V647">
        <f t="shared" si="146"/>
        <v>0.18</v>
      </c>
      <c r="W647" t="str">
        <f t="shared" si="147"/>
        <v/>
      </c>
      <c r="X647" t="str">
        <f t="shared" si="148"/>
        <v/>
      </c>
      <c r="AB647" t="str">
        <f t="shared" si="142"/>
        <v>0.18</v>
      </c>
    </row>
    <row r="648" ht="16.25" spans="1:28">
      <c r="A648" s="39">
        <v>204</v>
      </c>
      <c r="B648" s="110">
        <v>160302</v>
      </c>
      <c r="C648" s="23">
        <v>4</v>
      </c>
      <c r="D648" s="109">
        <v>12.14</v>
      </c>
      <c r="H648" s="23">
        <v>4</v>
      </c>
      <c r="K648" s="84">
        <f t="shared" si="143"/>
        <v>24.28</v>
      </c>
      <c r="L648" s="84" t="str">
        <f t="shared" si="144"/>
        <v/>
      </c>
      <c r="M648" s="84" t="str">
        <f t="shared" si="145"/>
        <v/>
      </c>
      <c r="V648">
        <f t="shared" si="146"/>
        <v>25</v>
      </c>
      <c r="W648" t="str">
        <f t="shared" si="147"/>
        <v/>
      </c>
      <c r="X648" t="str">
        <f t="shared" si="148"/>
        <v/>
      </c>
      <c r="AB648" t="str">
        <f t="shared" si="142"/>
        <v>25</v>
      </c>
    </row>
    <row r="649" ht="16.25" spans="1:28">
      <c r="A649" s="39">
        <v>204</v>
      </c>
      <c r="B649" s="110">
        <v>160402</v>
      </c>
      <c r="C649" s="23">
        <v>6</v>
      </c>
      <c r="D649" s="109">
        <v>0.03</v>
      </c>
      <c r="H649" s="23">
        <v>6</v>
      </c>
      <c r="K649" s="84">
        <f t="shared" si="143"/>
        <v>0.18</v>
      </c>
      <c r="L649" s="84" t="str">
        <f t="shared" si="144"/>
        <v/>
      </c>
      <c r="M649" s="84" t="str">
        <f t="shared" si="145"/>
        <v/>
      </c>
      <c r="V649">
        <f t="shared" si="146"/>
        <v>0.18</v>
      </c>
      <c r="W649" t="str">
        <f t="shared" si="147"/>
        <v/>
      </c>
      <c r="X649" t="str">
        <f t="shared" si="148"/>
        <v/>
      </c>
      <c r="AB649" t="str">
        <f t="shared" si="142"/>
        <v>0.18</v>
      </c>
    </row>
    <row r="650" ht="16.25" spans="1:28">
      <c r="A650" s="39">
        <v>204</v>
      </c>
      <c r="B650" s="110">
        <v>160402</v>
      </c>
      <c r="C650" s="23">
        <v>4</v>
      </c>
      <c r="D650" s="109">
        <v>12.14</v>
      </c>
      <c r="H650" s="23">
        <v>4</v>
      </c>
      <c r="K650" s="84">
        <f t="shared" si="143"/>
        <v>24.28</v>
      </c>
      <c r="L650" s="84" t="str">
        <f t="shared" si="144"/>
        <v/>
      </c>
      <c r="M650" s="84" t="str">
        <f t="shared" si="145"/>
        <v/>
      </c>
      <c r="V650">
        <f t="shared" si="146"/>
        <v>25</v>
      </c>
      <c r="W650" t="str">
        <f t="shared" si="147"/>
        <v/>
      </c>
      <c r="X650" t="str">
        <f t="shared" si="148"/>
        <v/>
      </c>
      <c r="AB650" t="str">
        <f t="shared" si="142"/>
        <v>25</v>
      </c>
    </row>
    <row r="651" ht="16.25" spans="1:28">
      <c r="A651" s="39">
        <v>204</v>
      </c>
      <c r="B651" s="110">
        <v>160502</v>
      </c>
      <c r="C651" s="23">
        <v>11</v>
      </c>
      <c r="D651" s="109">
        <v>0.0194</v>
      </c>
      <c r="H651" s="23">
        <v>11</v>
      </c>
      <c r="K651" s="84">
        <f t="shared" si="143"/>
        <v>0.1164</v>
      </c>
      <c r="L651" s="84" t="str">
        <f t="shared" si="144"/>
        <v/>
      </c>
      <c r="M651" s="84" t="str">
        <f t="shared" si="145"/>
        <v/>
      </c>
      <c r="V651">
        <f t="shared" si="146"/>
        <v>0.1164</v>
      </c>
      <c r="W651" t="str">
        <f t="shared" si="147"/>
        <v/>
      </c>
      <c r="X651" t="str">
        <f t="shared" si="148"/>
        <v/>
      </c>
      <c r="AB651" t="str">
        <f t="shared" si="142"/>
        <v>0.1164</v>
      </c>
    </row>
    <row r="652" ht="16.25" spans="1:28">
      <c r="A652" s="39">
        <v>204</v>
      </c>
      <c r="B652" s="110">
        <v>160502</v>
      </c>
      <c r="C652" s="23">
        <v>4</v>
      </c>
      <c r="D652" s="109">
        <v>12.14</v>
      </c>
      <c r="H652" s="23">
        <v>4</v>
      </c>
      <c r="K652" s="84">
        <f t="shared" si="143"/>
        <v>24.28</v>
      </c>
      <c r="L652" s="84" t="str">
        <f t="shared" si="144"/>
        <v/>
      </c>
      <c r="M652" s="84" t="str">
        <f t="shared" si="145"/>
        <v/>
      </c>
      <c r="V652">
        <f t="shared" si="146"/>
        <v>25</v>
      </c>
      <c r="W652" t="str">
        <f t="shared" si="147"/>
        <v/>
      </c>
      <c r="X652" t="str">
        <f t="shared" si="148"/>
        <v/>
      </c>
      <c r="AB652" t="str">
        <f t="shared" si="142"/>
        <v>25</v>
      </c>
    </row>
    <row r="653" ht="16.25" spans="1:28">
      <c r="A653" s="39">
        <v>204</v>
      </c>
      <c r="B653" s="110">
        <v>160602</v>
      </c>
      <c r="C653" s="23">
        <v>11</v>
      </c>
      <c r="D653" s="109">
        <v>0.0194</v>
      </c>
      <c r="H653" s="23">
        <v>11</v>
      </c>
      <c r="K653" s="84">
        <f t="shared" si="143"/>
        <v>0.1164</v>
      </c>
      <c r="L653" s="84" t="str">
        <f t="shared" si="144"/>
        <v/>
      </c>
      <c r="M653" s="84" t="str">
        <f t="shared" si="145"/>
        <v/>
      </c>
      <c r="V653">
        <f t="shared" si="146"/>
        <v>0.1164</v>
      </c>
      <c r="W653" t="str">
        <f t="shared" si="147"/>
        <v/>
      </c>
      <c r="X653" t="str">
        <f t="shared" si="148"/>
        <v/>
      </c>
      <c r="AB653" t="str">
        <f t="shared" si="142"/>
        <v>0.1164</v>
      </c>
    </row>
    <row r="654" ht="16.25" spans="1:28">
      <c r="A654" s="39">
        <v>204</v>
      </c>
      <c r="B654" s="110">
        <v>160602</v>
      </c>
      <c r="C654" s="23">
        <v>4</v>
      </c>
      <c r="D654" s="109">
        <v>12.14</v>
      </c>
      <c r="H654" s="23">
        <v>4</v>
      </c>
      <c r="K654" s="84">
        <f t="shared" si="143"/>
        <v>24.28</v>
      </c>
      <c r="L654" s="84" t="str">
        <f t="shared" si="144"/>
        <v/>
      </c>
      <c r="M654" s="84" t="str">
        <f t="shared" si="145"/>
        <v/>
      </c>
      <c r="V654">
        <f t="shared" si="146"/>
        <v>25</v>
      </c>
      <c r="W654" t="str">
        <f t="shared" si="147"/>
        <v/>
      </c>
      <c r="X654" t="str">
        <f t="shared" si="148"/>
        <v/>
      </c>
      <c r="AB654" t="str">
        <f t="shared" si="142"/>
        <v>25</v>
      </c>
    </row>
    <row r="655" ht="16.25" spans="1:28">
      <c r="A655" s="39">
        <v>204</v>
      </c>
      <c r="B655" s="110">
        <v>160702</v>
      </c>
      <c r="C655" s="23">
        <v>11</v>
      </c>
      <c r="D655" s="109">
        <v>0.0324</v>
      </c>
      <c r="H655" s="23">
        <v>11</v>
      </c>
      <c r="K655" s="84">
        <f t="shared" si="143"/>
        <v>0.1944</v>
      </c>
      <c r="L655" s="84" t="str">
        <f t="shared" si="144"/>
        <v/>
      </c>
      <c r="M655" s="84" t="str">
        <f t="shared" si="145"/>
        <v/>
      </c>
      <c r="V655">
        <f t="shared" si="146"/>
        <v>0.1944</v>
      </c>
      <c r="W655" t="str">
        <f t="shared" si="147"/>
        <v/>
      </c>
      <c r="X655" t="str">
        <f t="shared" si="148"/>
        <v/>
      </c>
      <c r="AB655" t="str">
        <f t="shared" si="142"/>
        <v>0.1944</v>
      </c>
    </row>
    <row r="656" ht="16.25" spans="1:28">
      <c r="A656" s="39">
        <v>204</v>
      </c>
      <c r="B656" s="110">
        <v>160702</v>
      </c>
      <c r="C656" s="23">
        <v>4</v>
      </c>
      <c r="D656" s="109">
        <v>12.14</v>
      </c>
      <c r="H656" s="23">
        <v>4</v>
      </c>
      <c r="K656" s="84">
        <f t="shared" si="143"/>
        <v>24.28</v>
      </c>
      <c r="L656" s="84" t="str">
        <f t="shared" si="144"/>
        <v/>
      </c>
      <c r="M656" s="84" t="str">
        <f t="shared" si="145"/>
        <v/>
      </c>
      <c r="V656">
        <f t="shared" si="146"/>
        <v>25</v>
      </c>
      <c r="W656" t="str">
        <f t="shared" si="147"/>
        <v/>
      </c>
      <c r="X656" t="str">
        <f t="shared" si="148"/>
        <v/>
      </c>
      <c r="AB656" t="str">
        <f t="shared" si="142"/>
        <v>25</v>
      </c>
    </row>
    <row r="657" ht="16.25" spans="1:28">
      <c r="A657" s="39">
        <v>204</v>
      </c>
      <c r="B657" s="110">
        <v>160802</v>
      </c>
      <c r="C657" s="23">
        <v>7</v>
      </c>
      <c r="D657" s="109">
        <v>0.0136</v>
      </c>
      <c r="H657" s="23">
        <v>7</v>
      </c>
      <c r="K657" s="84">
        <f t="shared" si="143"/>
        <v>0.0816</v>
      </c>
      <c r="L657" s="84" t="str">
        <f t="shared" si="144"/>
        <v/>
      </c>
      <c r="M657" s="84" t="str">
        <f t="shared" si="145"/>
        <v/>
      </c>
      <c r="V657">
        <f t="shared" si="146"/>
        <v>0.0816</v>
      </c>
      <c r="W657" t="str">
        <f t="shared" si="147"/>
        <v/>
      </c>
      <c r="X657" t="str">
        <f t="shared" si="148"/>
        <v/>
      </c>
      <c r="AB657" t="str">
        <f t="shared" si="142"/>
        <v>0.0816</v>
      </c>
    </row>
    <row r="658" ht="16.25" spans="1:28">
      <c r="A658" s="39">
        <v>204</v>
      </c>
      <c r="B658" s="110">
        <v>160802</v>
      </c>
      <c r="C658" s="23">
        <v>4</v>
      </c>
      <c r="D658" s="109">
        <v>12.14</v>
      </c>
      <c r="H658" s="23">
        <v>4</v>
      </c>
      <c r="K658" s="84">
        <f t="shared" si="143"/>
        <v>24.28</v>
      </c>
      <c r="L658" s="84" t="str">
        <f t="shared" si="144"/>
        <v/>
      </c>
      <c r="M658" s="84" t="str">
        <f t="shared" si="145"/>
        <v/>
      </c>
      <c r="V658">
        <f t="shared" si="146"/>
        <v>25</v>
      </c>
      <c r="W658" t="str">
        <f t="shared" si="147"/>
        <v/>
      </c>
      <c r="X658" t="str">
        <f t="shared" si="148"/>
        <v/>
      </c>
      <c r="AB658" t="str">
        <f t="shared" si="142"/>
        <v>25</v>
      </c>
    </row>
    <row r="659" ht="16.25" spans="1:28">
      <c r="A659" s="39">
        <v>204</v>
      </c>
      <c r="B659" s="110">
        <v>160802</v>
      </c>
      <c r="C659" s="23">
        <v>10</v>
      </c>
      <c r="D659" s="109">
        <v>0.0097</v>
      </c>
      <c r="H659" s="23">
        <v>10</v>
      </c>
      <c r="K659" s="84">
        <f t="shared" si="143"/>
        <v>0.0582</v>
      </c>
      <c r="L659" s="84" t="str">
        <f t="shared" si="144"/>
        <v/>
      </c>
      <c r="M659" s="84" t="str">
        <f t="shared" si="145"/>
        <v/>
      </c>
      <c r="V659">
        <f t="shared" si="146"/>
        <v>0.0582</v>
      </c>
      <c r="W659" t="str">
        <f t="shared" si="147"/>
        <v/>
      </c>
      <c r="X659" t="str">
        <f t="shared" si="148"/>
        <v/>
      </c>
      <c r="AB659" t="str">
        <f t="shared" si="142"/>
        <v>0.0582</v>
      </c>
    </row>
    <row r="660" ht="16.25" spans="1:28">
      <c r="A660" s="39">
        <v>204</v>
      </c>
      <c r="B660" s="110">
        <v>160802</v>
      </c>
      <c r="C660" s="23">
        <v>26</v>
      </c>
      <c r="D660" s="109">
        <v>0.0205</v>
      </c>
      <c r="H660" s="23">
        <v>26</v>
      </c>
      <c r="K660" s="84">
        <f t="shared" si="143"/>
        <v>0.123</v>
      </c>
      <c r="L660" s="84" t="str">
        <f t="shared" si="144"/>
        <v/>
      </c>
      <c r="M660" s="84" t="str">
        <f t="shared" si="145"/>
        <v/>
      </c>
      <c r="V660">
        <f t="shared" si="146"/>
        <v>0.123</v>
      </c>
      <c r="W660" t="str">
        <f t="shared" si="147"/>
        <v/>
      </c>
      <c r="X660" t="str">
        <f t="shared" si="148"/>
        <v/>
      </c>
      <c r="AB660" t="str">
        <f t="shared" si="142"/>
        <v>0.123</v>
      </c>
    </row>
    <row r="661" ht="16.25" spans="1:28">
      <c r="A661" s="39">
        <v>204</v>
      </c>
      <c r="B661" s="110">
        <v>160902</v>
      </c>
      <c r="C661" s="23">
        <v>8</v>
      </c>
      <c r="D661" s="109">
        <v>0.0136</v>
      </c>
      <c r="H661" s="23">
        <v>8</v>
      </c>
      <c r="K661" s="84">
        <f t="shared" si="143"/>
        <v>0.0816</v>
      </c>
      <c r="L661" s="84" t="str">
        <f t="shared" si="144"/>
        <v/>
      </c>
      <c r="M661" s="84" t="str">
        <f t="shared" si="145"/>
        <v/>
      </c>
      <c r="V661">
        <f t="shared" si="146"/>
        <v>0.0816</v>
      </c>
      <c r="W661" t="str">
        <f t="shared" si="147"/>
        <v/>
      </c>
      <c r="X661" t="str">
        <f t="shared" si="148"/>
        <v/>
      </c>
      <c r="AB661" t="str">
        <f t="shared" si="142"/>
        <v>0.0816</v>
      </c>
    </row>
    <row r="662" ht="16.25" spans="1:28">
      <c r="A662" s="39">
        <v>204</v>
      </c>
      <c r="B662" s="110">
        <v>160902</v>
      </c>
      <c r="C662" s="23">
        <v>10</v>
      </c>
      <c r="D662" s="109">
        <v>0.0097</v>
      </c>
      <c r="H662" s="23">
        <v>10</v>
      </c>
      <c r="K662" s="84">
        <f t="shared" si="143"/>
        <v>0.0582</v>
      </c>
      <c r="L662" s="84" t="str">
        <f t="shared" si="144"/>
        <v/>
      </c>
      <c r="M662" s="84" t="str">
        <f t="shared" si="145"/>
        <v/>
      </c>
      <c r="V662">
        <f t="shared" si="146"/>
        <v>0.0582</v>
      </c>
      <c r="W662" t="str">
        <f t="shared" si="147"/>
        <v/>
      </c>
      <c r="X662" t="str">
        <f t="shared" si="148"/>
        <v/>
      </c>
      <c r="AB662" t="str">
        <f t="shared" si="142"/>
        <v>0.0582</v>
      </c>
    </row>
    <row r="663" ht="16.25" spans="1:28">
      <c r="A663" s="39">
        <v>204</v>
      </c>
      <c r="B663" s="110">
        <v>160902</v>
      </c>
      <c r="C663" s="23">
        <v>4</v>
      </c>
      <c r="D663" s="111">
        <v>12.14</v>
      </c>
      <c r="H663" s="23">
        <v>4</v>
      </c>
      <c r="K663" s="84">
        <f t="shared" si="143"/>
        <v>24.28</v>
      </c>
      <c r="L663" s="84" t="str">
        <f t="shared" si="144"/>
        <v/>
      </c>
      <c r="M663" s="84" t="str">
        <f t="shared" si="145"/>
        <v/>
      </c>
      <c r="V663">
        <f t="shared" si="146"/>
        <v>25</v>
      </c>
      <c r="W663" t="str">
        <f t="shared" si="147"/>
        <v/>
      </c>
      <c r="X663" t="str">
        <f t="shared" si="148"/>
        <v/>
      </c>
      <c r="AB663" t="str">
        <f t="shared" si="142"/>
        <v>25</v>
      </c>
    </row>
    <row r="664" ht="16.25" spans="1:28">
      <c r="A664" s="31">
        <v>301</v>
      </c>
      <c r="B664" s="110">
        <v>120003</v>
      </c>
      <c r="C664" s="23" t="s">
        <v>249</v>
      </c>
      <c r="D664" s="23">
        <v>18</v>
      </c>
      <c r="E664">
        <v>6</v>
      </c>
      <c r="H664" s="23">
        <v>1</v>
      </c>
      <c r="I664">
        <v>3</v>
      </c>
      <c r="K664" s="84">
        <f t="shared" si="143"/>
        <v>18</v>
      </c>
      <c r="L664" s="84">
        <f t="shared" si="144"/>
        <v>6</v>
      </c>
      <c r="M664" s="84" t="str">
        <f t="shared" si="145"/>
        <v/>
      </c>
      <c r="V664">
        <f t="shared" si="146"/>
        <v>20</v>
      </c>
      <c r="W664">
        <f t="shared" si="147"/>
        <v>10</v>
      </c>
      <c r="X664" t="str">
        <f t="shared" si="148"/>
        <v/>
      </c>
      <c r="AB664" t="str">
        <f t="shared" si="142"/>
        <v>20,10</v>
      </c>
    </row>
    <row r="665" ht="16.25" spans="1:28">
      <c r="A665" s="31">
        <v>301</v>
      </c>
      <c r="B665" s="110">
        <v>130003</v>
      </c>
      <c r="C665" s="23" t="s">
        <v>249</v>
      </c>
      <c r="D665" s="23">
        <v>24</v>
      </c>
      <c r="E665">
        <v>7</v>
      </c>
      <c r="H665" s="23">
        <v>1</v>
      </c>
      <c r="I665">
        <v>3</v>
      </c>
      <c r="K665" s="84">
        <f t="shared" si="143"/>
        <v>24</v>
      </c>
      <c r="L665" s="84">
        <f t="shared" si="144"/>
        <v>7</v>
      </c>
      <c r="M665" s="84" t="str">
        <f t="shared" si="145"/>
        <v/>
      </c>
      <c r="V665">
        <f t="shared" si="146"/>
        <v>25</v>
      </c>
      <c r="W665">
        <f t="shared" si="147"/>
        <v>10</v>
      </c>
      <c r="X665" t="str">
        <f t="shared" si="148"/>
        <v/>
      </c>
      <c r="AB665" t="str">
        <f t="shared" si="142"/>
        <v>25,10</v>
      </c>
    </row>
    <row r="666" ht="16.25" spans="1:28">
      <c r="A666" s="31">
        <v>301</v>
      </c>
      <c r="B666" s="110">
        <v>140003</v>
      </c>
      <c r="C666" s="23" t="s">
        <v>249</v>
      </c>
      <c r="D666" s="23">
        <v>37</v>
      </c>
      <c r="E666">
        <v>11</v>
      </c>
      <c r="H666" s="23">
        <v>1</v>
      </c>
      <c r="I666">
        <v>3</v>
      </c>
      <c r="K666" s="84">
        <f t="shared" si="143"/>
        <v>37</v>
      </c>
      <c r="L666" s="84">
        <f t="shared" si="144"/>
        <v>11</v>
      </c>
      <c r="M666" s="84" t="str">
        <f t="shared" si="145"/>
        <v/>
      </c>
      <c r="V666">
        <f t="shared" si="146"/>
        <v>40</v>
      </c>
      <c r="W666">
        <f t="shared" si="147"/>
        <v>15</v>
      </c>
      <c r="X666" t="str">
        <f t="shared" si="148"/>
        <v/>
      </c>
      <c r="AB666" t="str">
        <f t="shared" si="142"/>
        <v>40,15</v>
      </c>
    </row>
    <row r="667" ht="16.25" spans="1:28">
      <c r="A667" s="31">
        <v>301</v>
      </c>
      <c r="B667" s="110">
        <v>140103</v>
      </c>
      <c r="C667" s="23" t="s">
        <v>249</v>
      </c>
      <c r="D667" s="23">
        <v>46</v>
      </c>
      <c r="E667">
        <v>9</v>
      </c>
      <c r="H667" s="23">
        <v>1</v>
      </c>
      <c r="I667">
        <v>3</v>
      </c>
      <c r="K667" s="84">
        <f t="shared" si="143"/>
        <v>46</v>
      </c>
      <c r="L667" s="84">
        <f t="shared" si="144"/>
        <v>9</v>
      </c>
      <c r="M667" s="84" t="str">
        <f t="shared" si="145"/>
        <v/>
      </c>
      <c r="V667">
        <f t="shared" si="146"/>
        <v>50</v>
      </c>
      <c r="W667">
        <f t="shared" si="147"/>
        <v>10</v>
      </c>
      <c r="X667" t="str">
        <f t="shared" si="148"/>
        <v/>
      </c>
      <c r="AB667" t="str">
        <f t="shared" si="142"/>
        <v>50,10</v>
      </c>
    </row>
    <row r="668" ht="16.25" spans="1:28">
      <c r="A668" s="31">
        <v>301</v>
      </c>
      <c r="B668" s="110">
        <v>140203</v>
      </c>
      <c r="C668" s="23" t="s">
        <v>249</v>
      </c>
      <c r="D668" s="23">
        <v>30</v>
      </c>
      <c r="E668">
        <v>14</v>
      </c>
      <c r="H668" s="23">
        <v>1</v>
      </c>
      <c r="I668">
        <v>3</v>
      </c>
      <c r="K668" s="84">
        <f t="shared" si="143"/>
        <v>30</v>
      </c>
      <c r="L668" s="84">
        <f t="shared" si="144"/>
        <v>14</v>
      </c>
      <c r="M668" s="84" t="str">
        <f t="shared" si="145"/>
        <v/>
      </c>
      <c r="V668">
        <f t="shared" si="146"/>
        <v>30</v>
      </c>
      <c r="W668">
        <f t="shared" si="147"/>
        <v>15</v>
      </c>
      <c r="X668" t="str">
        <f t="shared" si="148"/>
        <v/>
      </c>
      <c r="AB668" t="str">
        <f t="shared" si="142"/>
        <v>30,15</v>
      </c>
    </row>
    <row r="669" ht="16.25" spans="1:28">
      <c r="A669" s="31">
        <v>301</v>
      </c>
      <c r="B669" s="110">
        <v>150103</v>
      </c>
      <c r="C669" s="23" t="s">
        <v>249</v>
      </c>
      <c r="D669" s="23">
        <v>80</v>
      </c>
      <c r="E669">
        <v>24</v>
      </c>
      <c r="H669" s="23">
        <v>1</v>
      </c>
      <c r="I669">
        <v>3</v>
      </c>
      <c r="K669" s="84">
        <f t="shared" si="143"/>
        <v>80</v>
      </c>
      <c r="L669" s="84">
        <f t="shared" si="144"/>
        <v>24</v>
      </c>
      <c r="M669" s="84" t="str">
        <f t="shared" si="145"/>
        <v/>
      </c>
      <c r="V669">
        <f t="shared" si="146"/>
        <v>80</v>
      </c>
      <c r="W669">
        <f t="shared" si="147"/>
        <v>25</v>
      </c>
      <c r="X669" t="str">
        <f t="shared" si="148"/>
        <v/>
      </c>
      <c r="AB669" t="str">
        <f t="shared" si="142"/>
        <v>80,25</v>
      </c>
    </row>
    <row r="670" ht="16.25" spans="1:28">
      <c r="A670" s="31">
        <v>301</v>
      </c>
      <c r="B670" s="110">
        <v>150203</v>
      </c>
      <c r="C670" s="23" t="s">
        <v>249</v>
      </c>
      <c r="D670" s="23">
        <v>80</v>
      </c>
      <c r="E670">
        <v>24</v>
      </c>
      <c r="H670" s="23">
        <v>1</v>
      </c>
      <c r="I670">
        <v>3</v>
      </c>
      <c r="K670" s="84">
        <f t="shared" si="143"/>
        <v>80</v>
      </c>
      <c r="L670" s="84">
        <f t="shared" si="144"/>
        <v>24</v>
      </c>
      <c r="M670" s="84" t="str">
        <f t="shared" si="145"/>
        <v/>
      </c>
      <c r="V670">
        <f t="shared" si="146"/>
        <v>80</v>
      </c>
      <c r="W670">
        <f t="shared" si="147"/>
        <v>25</v>
      </c>
      <c r="X670" t="str">
        <f t="shared" si="148"/>
        <v/>
      </c>
      <c r="AB670" t="str">
        <f t="shared" si="142"/>
        <v>80,25</v>
      </c>
    </row>
    <row r="671" ht="16.25" spans="1:28">
      <c r="A671" s="31">
        <v>301</v>
      </c>
      <c r="B671" s="110">
        <v>150303</v>
      </c>
      <c r="C671" s="23" t="s">
        <v>249</v>
      </c>
      <c r="D671" s="23">
        <v>80</v>
      </c>
      <c r="E671">
        <v>24</v>
      </c>
      <c r="H671" s="23">
        <v>1</v>
      </c>
      <c r="I671">
        <v>3</v>
      </c>
      <c r="K671" s="84">
        <f t="shared" si="143"/>
        <v>80</v>
      </c>
      <c r="L671" s="84">
        <f t="shared" si="144"/>
        <v>24</v>
      </c>
      <c r="M671" s="84" t="str">
        <f t="shared" si="145"/>
        <v/>
      </c>
      <c r="V671">
        <f t="shared" si="146"/>
        <v>80</v>
      </c>
      <c r="W671">
        <f t="shared" si="147"/>
        <v>25</v>
      </c>
      <c r="X671" t="str">
        <f t="shared" si="148"/>
        <v/>
      </c>
      <c r="AB671" t="str">
        <f t="shared" si="142"/>
        <v>80,25</v>
      </c>
    </row>
    <row r="672" ht="16.25" spans="1:28">
      <c r="A672" s="31">
        <v>301</v>
      </c>
      <c r="B672" s="110">
        <v>150403</v>
      </c>
      <c r="C672" s="23" t="s">
        <v>249</v>
      </c>
      <c r="D672" s="23">
        <v>80</v>
      </c>
      <c r="E672">
        <v>24</v>
      </c>
      <c r="H672" s="23">
        <v>1</v>
      </c>
      <c r="I672">
        <v>3</v>
      </c>
      <c r="K672" s="84">
        <f t="shared" si="143"/>
        <v>80</v>
      </c>
      <c r="L672" s="84">
        <f t="shared" si="144"/>
        <v>24</v>
      </c>
      <c r="M672" s="84" t="str">
        <f t="shared" si="145"/>
        <v/>
      </c>
      <c r="V672">
        <f t="shared" si="146"/>
        <v>80</v>
      </c>
      <c r="W672">
        <f t="shared" si="147"/>
        <v>25</v>
      </c>
      <c r="X672" t="str">
        <f t="shared" si="148"/>
        <v/>
      </c>
      <c r="AB672" t="str">
        <f t="shared" si="142"/>
        <v>80,25</v>
      </c>
    </row>
    <row r="673" ht="16.25" spans="1:28">
      <c r="A673" s="31">
        <v>301</v>
      </c>
      <c r="B673" s="110">
        <v>150503</v>
      </c>
      <c r="C673" s="23" t="s">
        <v>249</v>
      </c>
      <c r="D673" s="23">
        <v>80</v>
      </c>
      <c r="E673">
        <v>24</v>
      </c>
      <c r="H673" s="23">
        <v>1</v>
      </c>
      <c r="I673">
        <v>3</v>
      </c>
      <c r="K673" s="84">
        <f t="shared" si="143"/>
        <v>80</v>
      </c>
      <c r="L673" s="84">
        <f t="shared" si="144"/>
        <v>24</v>
      </c>
      <c r="M673" s="84" t="str">
        <f t="shared" si="145"/>
        <v/>
      </c>
      <c r="V673">
        <f t="shared" si="146"/>
        <v>80</v>
      </c>
      <c r="W673">
        <f t="shared" si="147"/>
        <v>25</v>
      </c>
      <c r="X673" t="str">
        <f t="shared" si="148"/>
        <v/>
      </c>
      <c r="AB673" t="str">
        <f t="shared" si="142"/>
        <v>80,25</v>
      </c>
    </row>
    <row r="674" ht="16.25" spans="1:28">
      <c r="A674" s="31">
        <v>301</v>
      </c>
      <c r="B674" s="110">
        <v>150603</v>
      </c>
      <c r="C674" s="23" t="s">
        <v>249</v>
      </c>
      <c r="D674" s="23">
        <v>80</v>
      </c>
      <c r="E674">
        <v>24</v>
      </c>
      <c r="H674" s="23">
        <v>1</v>
      </c>
      <c r="I674">
        <v>3</v>
      </c>
      <c r="K674" s="84">
        <f t="shared" si="143"/>
        <v>80</v>
      </c>
      <c r="L674" s="84">
        <f t="shared" si="144"/>
        <v>24</v>
      </c>
      <c r="M674" s="84" t="str">
        <f t="shared" si="145"/>
        <v/>
      </c>
      <c r="V674">
        <f t="shared" si="146"/>
        <v>80</v>
      </c>
      <c r="W674">
        <f t="shared" si="147"/>
        <v>25</v>
      </c>
      <c r="X674" t="str">
        <f t="shared" si="148"/>
        <v/>
      </c>
      <c r="AB674" t="str">
        <f t="shared" si="142"/>
        <v>80,25</v>
      </c>
    </row>
    <row r="675" ht="16.25" spans="1:28">
      <c r="A675" s="31">
        <v>301</v>
      </c>
      <c r="B675" s="110">
        <v>150703</v>
      </c>
      <c r="C675" s="23" t="s">
        <v>249</v>
      </c>
      <c r="D675" s="23">
        <v>80</v>
      </c>
      <c r="E675">
        <v>24</v>
      </c>
      <c r="H675" s="23">
        <v>1</v>
      </c>
      <c r="I675">
        <v>3</v>
      </c>
      <c r="K675" s="84">
        <f t="shared" si="143"/>
        <v>80</v>
      </c>
      <c r="L675" s="84">
        <f t="shared" si="144"/>
        <v>24</v>
      </c>
      <c r="M675" s="84" t="str">
        <f t="shared" si="145"/>
        <v/>
      </c>
      <c r="V675">
        <f t="shared" si="146"/>
        <v>80</v>
      </c>
      <c r="W675">
        <f t="shared" si="147"/>
        <v>25</v>
      </c>
      <c r="X675" t="str">
        <f t="shared" si="148"/>
        <v/>
      </c>
      <c r="AB675" t="str">
        <f t="shared" ref="AB675:AB738" si="149">_xlfn.TEXTJOIN(",",TRUE,V675,W675,X675)</f>
        <v>80,25</v>
      </c>
    </row>
    <row r="676" ht="16.25" spans="1:28">
      <c r="A676" s="31">
        <v>301</v>
      </c>
      <c r="B676" s="110">
        <v>150803</v>
      </c>
      <c r="C676" s="23" t="s">
        <v>249</v>
      </c>
      <c r="D676" s="23">
        <v>80</v>
      </c>
      <c r="E676">
        <v>24</v>
      </c>
      <c r="H676" s="23">
        <v>1</v>
      </c>
      <c r="I676">
        <v>3</v>
      </c>
      <c r="K676" s="84">
        <f t="shared" si="143"/>
        <v>80</v>
      </c>
      <c r="L676" s="84">
        <f t="shared" si="144"/>
        <v>24</v>
      </c>
      <c r="M676" s="84" t="str">
        <f t="shared" si="145"/>
        <v/>
      </c>
      <c r="V676">
        <f t="shared" si="146"/>
        <v>80</v>
      </c>
      <c r="W676">
        <f t="shared" si="147"/>
        <v>25</v>
      </c>
      <c r="X676" t="str">
        <f t="shared" si="148"/>
        <v/>
      </c>
      <c r="AB676" t="str">
        <f t="shared" si="149"/>
        <v>80,25</v>
      </c>
    </row>
    <row r="677" ht="16.25" spans="1:28">
      <c r="A677" s="31">
        <v>301</v>
      </c>
      <c r="B677" s="110">
        <v>150903</v>
      </c>
      <c r="C677" s="23" t="s">
        <v>249</v>
      </c>
      <c r="D677" s="23">
        <v>80</v>
      </c>
      <c r="E677">
        <v>24</v>
      </c>
      <c r="H677" s="23">
        <v>1</v>
      </c>
      <c r="I677">
        <v>3</v>
      </c>
      <c r="K677" s="84">
        <f t="shared" si="143"/>
        <v>80</v>
      </c>
      <c r="L677" s="84">
        <f t="shared" si="144"/>
        <v>24</v>
      </c>
      <c r="M677" s="84" t="str">
        <f t="shared" si="145"/>
        <v/>
      </c>
      <c r="V677">
        <f t="shared" si="146"/>
        <v>80</v>
      </c>
      <c r="W677">
        <f t="shared" si="147"/>
        <v>25</v>
      </c>
      <c r="X677" t="str">
        <f t="shared" si="148"/>
        <v/>
      </c>
      <c r="AB677" t="str">
        <f t="shared" si="149"/>
        <v>80,25</v>
      </c>
    </row>
    <row r="678" ht="16.25" spans="1:28">
      <c r="A678" s="31">
        <v>301</v>
      </c>
      <c r="B678" s="110">
        <v>160103</v>
      </c>
      <c r="C678" s="23" t="s">
        <v>249</v>
      </c>
      <c r="D678" s="23">
        <v>133</v>
      </c>
      <c r="E678">
        <v>40</v>
      </c>
      <c r="H678" s="23">
        <v>1</v>
      </c>
      <c r="I678">
        <v>3</v>
      </c>
      <c r="K678" s="84">
        <f t="shared" si="143"/>
        <v>133</v>
      </c>
      <c r="L678" s="84">
        <f t="shared" si="144"/>
        <v>40</v>
      </c>
      <c r="M678" s="84" t="str">
        <f t="shared" si="145"/>
        <v/>
      </c>
      <c r="V678">
        <f t="shared" si="146"/>
        <v>135</v>
      </c>
      <c r="W678">
        <f t="shared" si="147"/>
        <v>40</v>
      </c>
      <c r="X678" t="str">
        <f t="shared" si="148"/>
        <v/>
      </c>
      <c r="AB678" t="str">
        <f t="shared" si="149"/>
        <v>135,40</v>
      </c>
    </row>
    <row r="679" ht="16.25" spans="1:28">
      <c r="A679" s="31">
        <v>301</v>
      </c>
      <c r="B679" s="110">
        <v>160203</v>
      </c>
      <c r="C679" s="23" t="s">
        <v>249</v>
      </c>
      <c r="D679" s="23">
        <v>133</v>
      </c>
      <c r="E679">
        <v>40</v>
      </c>
      <c r="H679" s="23">
        <v>1</v>
      </c>
      <c r="I679">
        <v>3</v>
      </c>
      <c r="K679" s="84">
        <f t="shared" si="143"/>
        <v>133</v>
      </c>
      <c r="L679" s="84">
        <f t="shared" si="144"/>
        <v>40</v>
      </c>
      <c r="M679" s="84" t="str">
        <f t="shared" si="145"/>
        <v/>
      </c>
      <c r="V679">
        <f t="shared" si="146"/>
        <v>135</v>
      </c>
      <c r="W679">
        <f t="shared" si="147"/>
        <v>40</v>
      </c>
      <c r="X679" t="str">
        <f t="shared" si="148"/>
        <v/>
      </c>
      <c r="AB679" t="str">
        <f t="shared" si="149"/>
        <v>135,40</v>
      </c>
    </row>
    <row r="680" ht="16.25" spans="1:28">
      <c r="A680" s="31">
        <v>301</v>
      </c>
      <c r="B680" s="110">
        <v>160303</v>
      </c>
      <c r="C680" s="23" t="s">
        <v>249</v>
      </c>
      <c r="D680" s="23">
        <v>133</v>
      </c>
      <c r="E680">
        <v>40</v>
      </c>
      <c r="H680" s="23">
        <v>1</v>
      </c>
      <c r="I680">
        <v>3</v>
      </c>
      <c r="K680" s="84">
        <f t="shared" si="143"/>
        <v>133</v>
      </c>
      <c r="L680" s="84">
        <f t="shared" si="144"/>
        <v>40</v>
      </c>
      <c r="M680" s="84" t="str">
        <f t="shared" si="145"/>
        <v/>
      </c>
      <c r="V680">
        <f t="shared" si="146"/>
        <v>135</v>
      </c>
      <c r="W680">
        <f t="shared" si="147"/>
        <v>40</v>
      </c>
      <c r="X680" t="str">
        <f t="shared" si="148"/>
        <v/>
      </c>
      <c r="AB680" t="str">
        <f t="shared" si="149"/>
        <v>135,40</v>
      </c>
    </row>
    <row r="681" ht="16.25" spans="1:28">
      <c r="A681" s="31">
        <v>301</v>
      </c>
      <c r="B681" s="110">
        <v>160403</v>
      </c>
      <c r="C681" s="23" t="s">
        <v>249</v>
      </c>
      <c r="D681" s="23">
        <v>133</v>
      </c>
      <c r="E681">
        <v>40</v>
      </c>
      <c r="H681" s="23">
        <v>1</v>
      </c>
      <c r="I681">
        <v>3</v>
      </c>
      <c r="K681" s="84">
        <f t="shared" si="143"/>
        <v>133</v>
      </c>
      <c r="L681" s="84">
        <f t="shared" si="144"/>
        <v>40</v>
      </c>
      <c r="M681" s="84" t="str">
        <f t="shared" si="145"/>
        <v/>
      </c>
      <c r="V681">
        <f t="shared" si="146"/>
        <v>135</v>
      </c>
      <c r="W681">
        <f t="shared" si="147"/>
        <v>40</v>
      </c>
      <c r="X681" t="str">
        <f t="shared" si="148"/>
        <v/>
      </c>
      <c r="AB681" t="str">
        <f t="shared" si="149"/>
        <v>135,40</v>
      </c>
    </row>
    <row r="682" ht="16.25" spans="1:28">
      <c r="A682" s="31">
        <v>301</v>
      </c>
      <c r="B682" s="110">
        <v>160503</v>
      </c>
      <c r="C682" s="23" t="s">
        <v>249</v>
      </c>
      <c r="D682" s="23">
        <v>133</v>
      </c>
      <c r="E682">
        <v>40</v>
      </c>
      <c r="H682" s="23">
        <v>1</v>
      </c>
      <c r="I682">
        <v>3</v>
      </c>
      <c r="K682" s="84">
        <f t="shared" si="143"/>
        <v>133</v>
      </c>
      <c r="L682" s="84">
        <f t="shared" si="144"/>
        <v>40</v>
      </c>
      <c r="M682" s="84" t="str">
        <f t="shared" si="145"/>
        <v/>
      </c>
      <c r="V682">
        <f t="shared" si="146"/>
        <v>135</v>
      </c>
      <c r="W682">
        <f t="shared" si="147"/>
        <v>40</v>
      </c>
      <c r="X682" t="str">
        <f t="shared" si="148"/>
        <v/>
      </c>
      <c r="AB682" t="str">
        <f t="shared" si="149"/>
        <v>135,40</v>
      </c>
    </row>
    <row r="683" ht="16.25" spans="1:28">
      <c r="A683" s="31">
        <v>301</v>
      </c>
      <c r="B683" s="110">
        <v>160603</v>
      </c>
      <c r="C683" s="23" t="s">
        <v>249</v>
      </c>
      <c r="D683" s="23">
        <v>133</v>
      </c>
      <c r="E683">
        <v>40</v>
      </c>
      <c r="H683" s="23">
        <v>1</v>
      </c>
      <c r="I683">
        <v>3</v>
      </c>
      <c r="K683" s="84">
        <f t="shared" si="143"/>
        <v>133</v>
      </c>
      <c r="L683" s="84">
        <f t="shared" si="144"/>
        <v>40</v>
      </c>
      <c r="M683" s="84" t="str">
        <f t="shared" si="145"/>
        <v/>
      </c>
      <c r="V683">
        <f t="shared" si="146"/>
        <v>135</v>
      </c>
      <c r="W683">
        <f t="shared" si="147"/>
        <v>40</v>
      </c>
      <c r="X683" t="str">
        <f t="shared" si="148"/>
        <v/>
      </c>
      <c r="AB683" t="str">
        <f t="shared" si="149"/>
        <v>135,40</v>
      </c>
    </row>
    <row r="684" ht="16.25" spans="1:28">
      <c r="A684" s="31">
        <v>301</v>
      </c>
      <c r="B684" s="110">
        <v>160703</v>
      </c>
      <c r="C684" s="23" t="s">
        <v>249</v>
      </c>
      <c r="D684" s="23">
        <v>133</v>
      </c>
      <c r="E684">
        <v>40</v>
      </c>
      <c r="H684" s="23">
        <v>1</v>
      </c>
      <c r="I684">
        <v>3</v>
      </c>
      <c r="K684" s="84">
        <f t="shared" si="143"/>
        <v>133</v>
      </c>
      <c r="L684" s="84">
        <f t="shared" si="144"/>
        <v>40</v>
      </c>
      <c r="M684" s="84" t="str">
        <f t="shared" si="145"/>
        <v/>
      </c>
      <c r="V684">
        <f t="shared" si="146"/>
        <v>135</v>
      </c>
      <c r="W684">
        <f t="shared" si="147"/>
        <v>40</v>
      </c>
      <c r="X684" t="str">
        <f t="shared" si="148"/>
        <v/>
      </c>
      <c r="AB684" t="str">
        <f t="shared" si="149"/>
        <v>135,40</v>
      </c>
    </row>
    <row r="685" ht="16.25" spans="1:28">
      <c r="A685" s="31">
        <v>301</v>
      </c>
      <c r="B685" s="110">
        <v>160803</v>
      </c>
      <c r="C685" s="23" t="s">
        <v>249</v>
      </c>
      <c r="D685" s="23">
        <v>133</v>
      </c>
      <c r="E685">
        <v>40</v>
      </c>
      <c r="H685" s="23">
        <v>1</v>
      </c>
      <c r="I685">
        <v>3</v>
      </c>
      <c r="K685" s="84">
        <f t="shared" si="143"/>
        <v>133</v>
      </c>
      <c r="L685" s="84">
        <f t="shared" si="144"/>
        <v>40</v>
      </c>
      <c r="M685" s="84" t="str">
        <f t="shared" si="145"/>
        <v/>
      </c>
      <c r="V685">
        <f t="shared" si="146"/>
        <v>135</v>
      </c>
      <c r="W685">
        <f t="shared" si="147"/>
        <v>40</v>
      </c>
      <c r="X685" t="str">
        <f t="shared" si="148"/>
        <v/>
      </c>
      <c r="AB685" t="str">
        <f t="shared" si="149"/>
        <v>135,40</v>
      </c>
    </row>
    <row r="686" ht="16.25" spans="1:28">
      <c r="A686" s="31">
        <v>301</v>
      </c>
      <c r="B686" s="113">
        <v>160903</v>
      </c>
      <c r="C686" s="23" t="s">
        <v>249</v>
      </c>
      <c r="D686" s="40">
        <v>133</v>
      </c>
      <c r="E686">
        <v>40</v>
      </c>
      <c r="H686" s="23">
        <v>1</v>
      </c>
      <c r="I686">
        <v>3</v>
      </c>
      <c r="K686" s="84">
        <f t="shared" si="143"/>
        <v>133</v>
      </c>
      <c r="L686" s="84">
        <f t="shared" si="144"/>
        <v>40</v>
      </c>
      <c r="M686" s="84" t="str">
        <f t="shared" si="145"/>
        <v/>
      </c>
      <c r="V686">
        <f t="shared" si="146"/>
        <v>135</v>
      </c>
      <c r="W686">
        <f t="shared" si="147"/>
        <v>40</v>
      </c>
      <c r="X686" t="str">
        <f t="shared" si="148"/>
        <v/>
      </c>
      <c r="AB686" t="str">
        <f t="shared" si="149"/>
        <v>135,40</v>
      </c>
    </row>
    <row r="687" ht="16.25" spans="1:28">
      <c r="A687" s="31">
        <v>302</v>
      </c>
      <c r="B687" s="113">
        <v>140003</v>
      </c>
      <c r="C687" s="23" t="s">
        <v>249</v>
      </c>
      <c r="D687" s="40">
        <v>58</v>
      </c>
      <c r="E687">
        <v>18</v>
      </c>
      <c r="H687" s="23">
        <v>1</v>
      </c>
      <c r="I687">
        <v>3</v>
      </c>
      <c r="K687" s="84">
        <f t="shared" si="143"/>
        <v>58</v>
      </c>
      <c r="L687" s="84">
        <f t="shared" si="144"/>
        <v>18</v>
      </c>
      <c r="M687" s="84" t="str">
        <f t="shared" si="145"/>
        <v/>
      </c>
      <c r="V687">
        <f t="shared" si="146"/>
        <v>60</v>
      </c>
      <c r="W687">
        <f t="shared" si="147"/>
        <v>20</v>
      </c>
      <c r="X687" t="str">
        <f t="shared" si="148"/>
        <v/>
      </c>
      <c r="AB687" t="str">
        <f t="shared" si="149"/>
        <v>60,20</v>
      </c>
    </row>
    <row r="688" ht="16.25" spans="1:28">
      <c r="A688" s="31">
        <v>302</v>
      </c>
      <c r="B688" s="113">
        <v>140103</v>
      </c>
      <c r="C688" s="23" t="s">
        <v>249</v>
      </c>
      <c r="D688" s="40">
        <v>74</v>
      </c>
      <c r="E688">
        <v>14</v>
      </c>
      <c r="H688" s="23">
        <v>1</v>
      </c>
      <c r="I688">
        <v>3</v>
      </c>
      <c r="K688" s="84">
        <f t="shared" si="143"/>
        <v>74</v>
      </c>
      <c r="L688" s="84">
        <f t="shared" si="144"/>
        <v>14</v>
      </c>
      <c r="M688" s="84" t="str">
        <f t="shared" si="145"/>
        <v/>
      </c>
      <c r="V688">
        <f t="shared" si="146"/>
        <v>75</v>
      </c>
      <c r="W688">
        <f t="shared" si="147"/>
        <v>15</v>
      </c>
      <c r="X688" t="str">
        <f t="shared" si="148"/>
        <v/>
      </c>
      <c r="AB688" t="str">
        <f t="shared" si="149"/>
        <v>75,15</v>
      </c>
    </row>
    <row r="689" ht="16.25" spans="1:28">
      <c r="A689" s="31">
        <v>302</v>
      </c>
      <c r="B689" s="113">
        <v>140203</v>
      </c>
      <c r="C689" s="23" t="s">
        <v>249</v>
      </c>
      <c r="D689" s="40">
        <v>47</v>
      </c>
      <c r="E689">
        <v>22</v>
      </c>
      <c r="H689" s="23">
        <v>1</v>
      </c>
      <c r="I689">
        <v>3</v>
      </c>
      <c r="K689" s="84">
        <f t="shared" si="143"/>
        <v>47</v>
      </c>
      <c r="L689" s="84">
        <f t="shared" si="144"/>
        <v>22</v>
      </c>
      <c r="M689" s="84" t="str">
        <f t="shared" si="145"/>
        <v/>
      </c>
      <c r="V689">
        <f t="shared" si="146"/>
        <v>50</v>
      </c>
      <c r="W689">
        <f t="shared" si="147"/>
        <v>25</v>
      </c>
      <c r="X689" t="str">
        <f t="shared" si="148"/>
        <v/>
      </c>
      <c r="AB689" t="str">
        <f t="shared" si="149"/>
        <v>50,25</v>
      </c>
    </row>
    <row r="690" ht="16.25" spans="1:28">
      <c r="A690" s="31">
        <v>302</v>
      </c>
      <c r="B690" s="113">
        <v>150103</v>
      </c>
      <c r="C690" s="23" t="s">
        <v>249</v>
      </c>
      <c r="D690" s="40">
        <v>121</v>
      </c>
      <c r="E690">
        <v>37</v>
      </c>
      <c r="H690" s="23">
        <v>1</v>
      </c>
      <c r="I690">
        <v>3</v>
      </c>
      <c r="K690" s="84">
        <f t="shared" si="143"/>
        <v>121</v>
      </c>
      <c r="L690" s="84">
        <f t="shared" si="144"/>
        <v>37</v>
      </c>
      <c r="M690" s="84" t="str">
        <f t="shared" si="145"/>
        <v/>
      </c>
      <c r="V690">
        <f t="shared" si="146"/>
        <v>125</v>
      </c>
      <c r="W690">
        <f t="shared" si="147"/>
        <v>40</v>
      </c>
      <c r="X690" t="str">
        <f t="shared" si="148"/>
        <v/>
      </c>
      <c r="AB690" t="str">
        <f t="shared" si="149"/>
        <v>125,40</v>
      </c>
    </row>
    <row r="691" ht="16.25" spans="1:28">
      <c r="A691" s="31">
        <v>302</v>
      </c>
      <c r="B691" s="113">
        <v>150203</v>
      </c>
      <c r="C691" s="23" t="s">
        <v>249</v>
      </c>
      <c r="D691" s="40">
        <v>121</v>
      </c>
      <c r="E691">
        <v>37</v>
      </c>
      <c r="H691" s="23">
        <v>1</v>
      </c>
      <c r="I691">
        <v>3</v>
      </c>
      <c r="K691" s="84">
        <f t="shared" si="143"/>
        <v>121</v>
      </c>
      <c r="L691" s="84">
        <f t="shared" si="144"/>
        <v>37</v>
      </c>
      <c r="M691" s="84" t="str">
        <f t="shared" si="145"/>
        <v/>
      </c>
      <c r="V691">
        <f t="shared" si="146"/>
        <v>125</v>
      </c>
      <c r="W691">
        <f t="shared" si="147"/>
        <v>40</v>
      </c>
      <c r="X691" t="str">
        <f t="shared" si="148"/>
        <v/>
      </c>
      <c r="AB691" t="str">
        <f t="shared" si="149"/>
        <v>125,40</v>
      </c>
    </row>
    <row r="692" ht="16.25" spans="1:28">
      <c r="A692" s="31">
        <v>302</v>
      </c>
      <c r="B692" s="113">
        <v>150303</v>
      </c>
      <c r="C692" s="23" t="s">
        <v>249</v>
      </c>
      <c r="D692" s="40">
        <v>121</v>
      </c>
      <c r="E692">
        <v>37</v>
      </c>
      <c r="H692" s="23">
        <v>1</v>
      </c>
      <c r="I692">
        <v>3</v>
      </c>
      <c r="K692" s="84">
        <f t="shared" si="143"/>
        <v>121</v>
      </c>
      <c r="L692" s="84">
        <f t="shared" si="144"/>
        <v>37</v>
      </c>
      <c r="M692" s="84" t="str">
        <f t="shared" si="145"/>
        <v/>
      </c>
      <c r="V692">
        <f t="shared" si="146"/>
        <v>125</v>
      </c>
      <c r="W692">
        <f t="shared" si="147"/>
        <v>40</v>
      </c>
      <c r="X692" t="str">
        <f t="shared" si="148"/>
        <v/>
      </c>
      <c r="AB692" t="str">
        <f t="shared" si="149"/>
        <v>125,40</v>
      </c>
    </row>
    <row r="693" ht="16.25" spans="1:28">
      <c r="A693" s="31">
        <v>302</v>
      </c>
      <c r="B693" s="113">
        <v>150403</v>
      </c>
      <c r="C693" s="23" t="s">
        <v>249</v>
      </c>
      <c r="D693" s="40">
        <v>121</v>
      </c>
      <c r="E693">
        <v>37</v>
      </c>
      <c r="H693" s="23">
        <v>1</v>
      </c>
      <c r="I693">
        <v>3</v>
      </c>
      <c r="K693" s="84">
        <f t="shared" si="143"/>
        <v>121</v>
      </c>
      <c r="L693" s="84">
        <f t="shared" si="144"/>
        <v>37</v>
      </c>
      <c r="M693" s="84" t="str">
        <f t="shared" si="145"/>
        <v/>
      </c>
      <c r="V693">
        <f t="shared" si="146"/>
        <v>125</v>
      </c>
      <c r="W693">
        <f t="shared" si="147"/>
        <v>40</v>
      </c>
      <c r="X693" t="str">
        <f t="shared" si="148"/>
        <v/>
      </c>
      <c r="AB693" t="str">
        <f t="shared" si="149"/>
        <v>125,40</v>
      </c>
    </row>
    <row r="694" ht="16.25" spans="1:28">
      <c r="A694" s="31">
        <v>302</v>
      </c>
      <c r="B694" s="113">
        <v>150503</v>
      </c>
      <c r="C694" s="23" t="s">
        <v>249</v>
      </c>
      <c r="D694" s="40">
        <v>121</v>
      </c>
      <c r="E694">
        <v>37</v>
      </c>
      <c r="H694" s="23">
        <v>1</v>
      </c>
      <c r="I694">
        <v>3</v>
      </c>
      <c r="K694" s="84">
        <f t="shared" ref="K694:K757" si="150">IF(D694="","",IF(OR(RIGHT($A694,1)="1",RIGHT($A694,1)="2"),D694,IF(H694=4,D694*2,D694*6)))</f>
        <v>121</v>
      </c>
      <c r="L694" s="84">
        <f t="shared" ref="L694:L757" si="151">IF(E694="","",IF(OR(RIGHT($A694,1)="1",RIGHT($A694,1)="2"),E694,IF(I694=4,E694*2,E694*6)))</f>
        <v>37</v>
      </c>
      <c r="M694" s="84" t="str">
        <f t="shared" ref="M694:M757" si="152">IF(F694="","",IF(OR(RIGHT($A694,1)="1",RIGHT($A694,1)="2"),F694,IF(J694=4,F694*2,F694*6)))</f>
        <v/>
      </c>
      <c r="V694">
        <f t="shared" si="146"/>
        <v>125</v>
      </c>
      <c r="W694">
        <f t="shared" si="147"/>
        <v>40</v>
      </c>
      <c r="X694" t="str">
        <f t="shared" si="148"/>
        <v/>
      </c>
      <c r="AB694" t="str">
        <f t="shared" si="149"/>
        <v>125,40</v>
      </c>
    </row>
    <row r="695" ht="16.25" spans="1:28">
      <c r="A695" s="31">
        <v>302</v>
      </c>
      <c r="B695" s="113">
        <v>150603</v>
      </c>
      <c r="C695" s="23" t="s">
        <v>249</v>
      </c>
      <c r="D695" s="40">
        <v>121</v>
      </c>
      <c r="E695">
        <v>37</v>
      </c>
      <c r="H695" s="23">
        <v>1</v>
      </c>
      <c r="I695">
        <v>3</v>
      </c>
      <c r="K695" s="84">
        <f t="shared" si="150"/>
        <v>121</v>
      </c>
      <c r="L695" s="84">
        <f t="shared" si="151"/>
        <v>37</v>
      </c>
      <c r="M695" s="84" t="str">
        <f t="shared" si="152"/>
        <v/>
      </c>
      <c r="V695">
        <f t="shared" si="146"/>
        <v>125</v>
      </c>
      <c r="W695">
        <f t="shared" si="147"/>
        <v>40</v>
      </c>
      <c r="X695" t="str">
        <f t="shared" si="148"/>
        <v/>
      </c>
      <c r="AB695" t="str">
        <f t="shared" si="149"/>
        <v>125,40</v>
      </c>
    </row>
    <row r="696" ht="16.25" spans="1:28">
      <c r="A696" s="31">
        <v>302</v>
      </c>
      <c r="B696" s="113">
        <v>150703</v>
      </c>
      <c r="C696" s="23" t="s">
        <v>249</v>
      </c>
      <c r="D696" s="40">
        <v>121</v>
      </c>
      <c r="E696">
        <v>37</v>
      </c>
      <c r="H696" s="23">
        <v>1</v>
      </c>
      <c r="I696">
        <v>3</v>
      </c>
      <c r="K696" s="84">
        <f t="shared" si="150"/>
        <v>121</v>
      </c>
      <c r="L696" s="84">
        <f t="shared" si="151"/>
        <v>37</v>
      </c>
      <c r="M696" s="84" t="str">
        <f t="shared" si="152"/>
        <v/>
      </c>
      <c r="V696">
        <f t="shared" si="146"/>
        <v>125</v>
      </c>
      <c r="W696">
        <f t="shared" si="147"/>
        <v>40</v>
      </c>
      <c r="X696" t="str">
        <f t="shared" si="148"/>
        <v/>
      </c>
      <c r="AB696" t="str">
        <f t="shared" si="149"/>
        <v>125,40</v>
      </c>
    </row>
    <row r="697" ht="16.25" spans="1:28">
      <c r="A697" s="31">
        <v>302</v>
      </c>
      <c r="B697" s="113">
        <v>150803</v>
      </c>
      <c r="C697" s="23" t="s">
        <v>249</v>
      </c>
      <c r="D697" s="40">
        <v>121</v>
      </c>
      <c r="E697">
        <v>37</v>
      </c>
      <c r="H697" s="23">
        <v>1</v>
      </c>
      <c r="I697">
        <v>3</v>
      </c>
      <c r="K697" s="84">
        <f t="shared" si="150"/>
        <v>121</v>
      </c>
      <c r="L697" s="84">
        <f t="shared" si="151"/>
        <v>37</v>
      </c>
      <c r="M697" s="84" t="str">
        <f t="shared" si="152"/>
        <v/>
      </c>
      <c r="V697">
        <f t="shared" si="146"/>
        <v>125</v>
      </c>
      <c r="W697">
        <f t="shared" si="147"/>
        <v>40</v>
      </c>
      <c r="X697" t="str">
        <f t="shared" si="148"/>
        <v/>
      </c>
      <c r="AB697" t="str">
        <f t="shared" si="149"/>
        <v>125,40</v>
      </c>
    </row>
    <row r="698" ht="16.25" spans="1:28">
      <c r="A698" s="31">
        <v>302</v>
      </c>
      <c r="B698" s="113">
        <v>150903</v>
      </c>
      <c r="C698" s="23" t="s">
        <v>249</v>
      </c>
      <c r="D698" s="40">
        <v>121</v>
      </c>
      <c r="E698">
        <v>37</v>
      </c>
      <c r="H698" s="23">
        <v>1</v>
      </c>
      <c r="I698">
        <v>3</v>
      </c>
      <c r="K698" s="84">
        <f t="shared" si="150"/>
        <v>121</v>
      </c>
      <c r="L698" s="84">
        <f t="shared" si="151"/>
        <v>37</v>
      </c>
      <c r="M698" s="84" t="str">
        <f t="shared" si="152"/>
        <v/>
      </c>
      <c r="V698">
        <f t="shared" si="146"/>
        <v>125</v>
      </c>
      <c r="W698">
        <f t="shared" si="147"/>
        <v>40</v>
      </c>
      <c r="X698" t="str">
        <f t="shared" si="148"/>
        <v/>
      </c>
      <c r="AB698" t="str">
        <f t="shared" si="149"/>
        <v>125,40</v>
      </c>
    </row>
    <row r="699" ht="16.25" spans="1:28">
      <c r="A699" s="31">
        <v>302</v>
      </c>
      <c r="B699" s="113">
        <v>160103</v>
      </c>
      <c r="C699" s="23" t="s">
        <v>249</v>
      </c>
      <c r="D699" s="40">
        <v>226</v>
      </c>
      <c r="E699">
        <v>68</v>
      </c>
      <c r="H699" s="23">
        <v>1</v>
      </c>
      <c r="I699">
        <v>3</v>
      </c>
      <c r="K699" s="84">
        <f t="shared" si="150"/>
        <v>226</v>
      </c>
      <c r="L699" s="84">
        <f t="shared" si="151"/>
        <v>68</v>
      </c>
      <c r="M699" s="84" t="str">
        <f t="shared" si="152"/>
        <v/>
      </c>
      <c r="V699">
        <f t="shared" si="146"/>
        <v>230</v>
      </c>
      <c r="W699">
        <f t="shared" si="147"/>
        <v>70</v>
      </c>
      <c r="X699" t="str">
        <f t="shared" si="148"/>
        <v/>
      </c>
      <c r="AB699" t="str">
        <f t="shared" si="149"/>
        <v>230,70</v>
      </c>
    </row>
    <row r="700" ht="16.25" spans="1:28">
      <c r="A700" s="31">
        <v>302</v>
      </c>
      <c r="B700" s="113">
        <v>160203</v>
      </c>
      <c r="C700" s="23" t="s">
        <v>249</v>
      </c>
      <c r="D700" s="40">
        <v>226</v>
      </c>
      <c r="E700">
        <v>68</v>
      </c>
      <c r="H700" s="23">
        <v>1</v>
      </c>
      <c r="I700">
        <v>3</v>
      </c>
      <c r="K700" s="84">
        <f t="shared" si="150"/>
        <v>226</v>
      </c>
      <c r="L700" s="84">
        <f t="shared" si="151"/>
        <v>68</v>
      </c>
      <c r="M700" s="84" t="str">
        <f t="shared" si="152"/>
        <v/>
      </c>
      <c r="V700">
        <f t="shared" si="146"/>
        <v>230</v>
      </c>
      <c r="W700">
        <f t="shared" si="147"/>
        <v>70</v>
      </c>
      <c r="X700" t="str">
        <f t="shared" si="148"/>
        <v/>
      </c>
      <c r="AB700" t="str">
        <f t="shared" si="149"/>
        <v>230,70</v>
      </c>
    </row>
    <row r="701" ht="16.25" spans="1:28">
      <c r="A701" s="31">
        <v>302</v>
      </c>
      <c r="B701" s="113">
        <v>160303</v>
      </c>
      <c r="C701" s="23" t="s">
        <v>249</v>
      </c>
      <c r="D701" s="40">
        <v>226</v>
      </c>
      <c r="E701">
        <v>68</v>
      </c>
      <c r="H701" s="23">
        <v>1</v>
      </c>
      <c r="I701">
        <v>3</v>
      </c>
      <c r="K701" s="84">
        <f t="shared" si="150"/>
        <v>226</v>
      </c>
      <c r="L701" s="84">
        <f t="shared" si="151"/>
        <v>68</v>
      </c>
      <c r="M701" s="84" t="str">
        <f t="shared" si="152"/>
        <v/>
      </c>
      <c r="V701">
        <f t="shared" si="146"/>
        <v>230</v>
      </c>
      <c r="W701">
        <f t="shared" si="147"/>
        <v>70</v>
      </c>
      <c r="X701" t="str">
        <f t="shared" si="148"/>
        <v/>
      </c>
      <c r="AB701" t="str">
        <f t="shared" si="149"/>
        <v>230,70</v>
      </c>
    </row>
    <row r="702" ht="16.25" spans="1:28">
      <c r="A702" s="31">
        <v>302</v>
      </c>
      <c r="B702" s="113">
        <v>160403</v>
      </c>
      <c r="C702" s="23" t="s">
        <v>249</v>
      </c>
      <c r="D702" s="40">
        <v>226</v>
      </c>
      <c r="E702">
        <v>68</v>
      </c>
      <c r="H702" s="23">
        <v>1</v>
      </c>
      <c r="I702">
        <v>3</v>
      </c>
      <c r="K702" s="84">
        <f t="shared" si="150"/>
        <v>226</v>
      </c>
      <c r="L702" s="84">
        <f t="shared" si="151"/>
        <v>68</v>
      </c>
      <c r="M702" s="84" t="str">
        <f t="shared" si="152"/>
        <v/>
      </c>
      <c r="V702">
        <f t="shared" si="146"/>
        <v>230</v>
      </c>
      <c r="W702">
        <f t="shared" si="147"/>
        <v>70</v>
      </c>
      <c r="X702" t="str">
        <f t="shared" si="148"/>
        <v/>
      </c>
      <c r="AB702" t="str">
        <f t="shared" si="149"/>
        <v>230,70</v>
      </c>
    </row>
    <row r="703" ht="16.25" spans="1:28">
      <c r="A703" s="31">
        <v>302</v>
      </c>
      <c r="B703" s="113">
        <v>160503</v>
      </c>
      <c r="C703" s="23" t="s">
        <v>249</v>
      </c>
      <c r="D703" s="40">
        <v>226</v>
      </c>
      <c r="E703">
        <v>68</v>
      </c>
      <c r="H703" s="23">
        <v>1</v>
      </c>
      <c r="I703">
        <v>3</v>
      </c>
      <c r="K703" s="84">
        <f t="shared" si="150"/>
        <v>226</v>
      </c>
      <c r="L703" s="84">
        <f t="shared" si="151"/>
        <v>68</v>
      </c>
      <c r="M703" s="84" t="str">
        <f t="shared" si="152"/>
        <v/>
      </c>
      <c r="V703">
        <f t="shared" si="146"/>
        <v>230</v>
      </c>
      <c r="W703">
        <f t="shared" si="147"/>
        <v>70</v>
      </c>
      <c r="X703" t="str">
        <f t="shared" si="148"/>
        <v/>
      </c>
      <c r="AB703" t="str">
        <f t="shared" si="149"/>
        <v>230,70</v>
      </c>
    </row>
    <row r="704" ht="16.25" spans="1:28">
      <c r="A704" s="31">
        <v>302</v>
      </c>
      <c r="B704" s="113">
        <v>160603</v>
      </c>
      <c r="C704" s="23" t="s">
        <v>249</v>
      </c>
      <c r="D704" s="40">
        <v>226</v>
      </c>
      <c r="E704">
        <v>68</v>
      </c>
      <c r="H704" s="23">
        <v>1</v>
      </c>
      <c r="I704">
        <v>3</v>
      </c>
      <c r="K704" s="84">
        <f t="shared" si="150"/>
        <v>226</v>
      </c>
      <c r="L704" s="84">
        <f t="shared" si="151"/>
        <v>68</v>
      </c>
      <c r="M704" s="84" t="str">
        <f t="shared" si="152"/>
        <v/>
      </c>
      <c r="V704">
        <f t="shared" si="146"/>
        <v>230</v>
      </c>
      <c r="W704">
        <f t="shared" si="147"/>
        <v>70</v>
      </c>
      <c r="X704" t="str">
        <f t="shared" si="148"/>
        <v/>
      </c>
      <c r="AB704" t="str">
        <f t="shared" si="149"/>
        <v>230,70</v>
      </c>
    </row>
    <row r="705" ht="16.25" spans="1:28">
      <c r="A705" s="31">
        <v>302</v>
      </c>
      <c r="B705" s="113">
        <v>160703</v>
      </c>
      <c r="C705" s="23" t="s">
        <v>249</v>
      </c>
      <c r="D705" s="40">
        <v>226</v>
      </c>
      <c r="E705">
        <v>68</v>
      </c>
      <c r="H705" s="23">
        <v>1</v>
      </c>
      <c r="I705">
        <v>3</v>
      </c>
      <c r="K705" s="84">
        <f t="shared" si="150"/>
        <v>226</v>
      </c>
      <c r="L705" s="84">
        <f t="shared" si="151"/>
        <v>68</v>
      </c>
      <c r="M705" s="84" t="str">
        <f t="shared" si="152"/>
        <v/>
      </c>
      <c r="V705">
        <f t="shared" si="146"/>
        <v>230</v>
      </c>
      <c r="W705">
        <f t="shared" si="147"/>
        <v>70</v>
      </c>
      <c r="X705" t="str">
        <f t="shared" si="148"/>
        <v/>
      </c>
      <c r="AB705" t="str">
        <f t="shared" si="149"/>
        <v>230,70</v>
      </c>
    </row>
    <row r="706" ht="16.25" spans="1:28">
      <c r="A706" s="31">
        <v>302</v>
      </c>
      <c r="B706" s="113">
        <v>160803</v>
      </c>
      <c r="C706" s="23" t="s">
        <v>249</v>
      </c>
      <c r="D706" s="40">
        <v>226</v>
      </c>
      <c r="E706">
        <v>68</v>
      </c>
      <c r="H706" s="23">
        <v>1</v>
      </c>
      <c r="I706">
        <v>3</v>
      </c>
      <c r="K706" s="84">
        <f t="shared" si="150"/>
        <v>226</v>
      </c>
      <c r="L706" s="84">
        <f t="shared" si="151"/>
        <v>68</v>
      </c>
      <c r="M706" s="84" t="str">
        <f t="shared" si="152"/>
        <v/>
      </c>
      <c r="V706">
        <f t="shared" si="146"/>
        <v>230</v>
      </c>
      <c r="W706">
        <f t="shared" si="147"/>
        <v>70</v>
      </c>
      <c r="X706" t="str">
        <f t="shared" si="148"/>
        <v/>
      </c>
      <c r="AB706" t="str">
        <f t="shared" si="149"/>
        <v>230,70</v>
      </c>
    </row>
    <row r="707" ht="16.25" spans="1:28">
      <c r="A707" s="31">
        <v>302</v>
      </c>
      <c r="B707" s="113">
        <v>160903</v>
      </c>
      <c r="C707" s="23" t="s">
        <v>249</v>
      </c>
      <c r="D707" s="40">
        <v>226</v>
      </c>
      <c r="E707">
        <v>68</v>
      </c>
      <c r="H707" s="23">
        <v>1</v>
      </c>
      <c r="I707">
        <v>3</v>
      </c>
      <c r="K707" s="84">
        <f t="shared" si="150"/>
        <v>226</v>
      </c>
      <c r="L707" s="84">
        <f t="shared" si="151"/>
        <v>68</v>
      </c>
      <c r="M707" s="84" t="str">
        <f t="shared" si="152"/>
        <v/>
      </c>
      <c r="V707">
        <f t="shared" ref="V707:V770" si="153">IF(K707="","",IF(K707&lt;1,ROUND(K707,4),CEILING(K707,5)))</f>
        <v>230</v>
      </c>
      <c r="W707">
        <f t="shared" ref="W707:W770" si="154">IF(L707="","",IF(L707&lt;1,ROUND(L707,4),CEILING(L707,5)))</f>
        <v>70</v>
      </c>
      <c r="X707" t="str">
        <f t="shared" ref="X707:X770" si="155">IF(M707="","",IF(M707&lt;1,ROUND(M707,4),CEILING(M707,5)))</f>
        <v/>
      </c>
      <c r="AB707" t="str">
        <f t="shared" si="149"/>
        <v>230,70</v>
      </c>
    </row>
    <row r="708" ht="16.25" spans="1:28">
      <c r="A708" s="31">
        <v>303</v>
      </c>
      <c r="B708" s="113">
        <v>150103</v>
      </c>
      <c r="C708" s="12">
        <v>7</v>
      </c>
      <c r="D708" s="114">
        <v>0.009</v>
      </c>
      <c r="H708" s="12">
        <v>7</v>
      </c>
      <c r="K708" s="84">
        <f t="shared" si="150"/>
        <v>0.054</v>
      </c>
      <c r="L708" s="84" t="str">
        <f t="shared" si="151"/>
        <v/>
      </c>
      <c r="M708" s="84" t="str">
        <f t="shared" si="152"/>
        <v/>
      </c>
      <c r="V708">
        <f t="shared" si="153"/>
        <v>0.054</v>
      </c>
      <c r="W708" t="str">
        <f t="shared" si="154"/>
        <v/>
      </c>
      <c r="X708" t="str">
        <f t="shared" si="155"/>
        <v/>
      </c>
      <c r="AB708" t="str">
        <f t="shared" si="149"/>
        <v>0.054</v>
      </c>
    </row>
    <row r="709" ht="16.25" spans="1:28">
      <c r="A709" s="31">
        <v>303</v>
      </c>
      <c r="B709" s="113">
        <v>150203</v>
      </c>
      <c r="C709" s="12">
        <v>7</v>
      </c>
      <c r="D709" s="112">
        <v>0.009</v>
      </c>
      <c r="H709" s="12">
        <v>7</v>
      </c>
      <c r="K709" s="84">
        <f t="shared" si="150"/>
        <v>0.054</v>
      </c>
      <c r="L709" s="84" t="str">
        <f t="shared" si="151"/>
        <v/>
      </c>
      <c r="M709" s="84" t="str">
        <f t="shared" si="152"/>
        <v/>
      </c>
      <c r="V709">
        <f t="shared" si="153"/>
        <v>0.054</v>
      </c>
      <c r="W709" t="str">
        <f t="shared" si="154"/>
        <v/>
      </c>
      <c r="X709" t="str">
        <f t="shared" si="155"/>
        <v/>
      </c>
      <c r="AB709" t="str">
        <f t="shared" si="149"/>
        <v>0.054</v>
      </c>
    </row>
    <row r="710" ht="16.25" spans="1:28">
      <c r="A710" s="31">
        <v>303</v>
      </c>
      <c r="B710" s="113">
        <v>150303</v>
      </c>
      <c r="C710" s="12">
        <v>11</v>
      </c>
      <c r="D710" s="112">
        <v>0.009</v>
      </c>
      <c r="H710" s="12">
        <v>11</v>
      </c>
      <c r="K710" s="84">
        <f t="shared" si="150"/>
        <v>0.054</v>
      </c>
      <c r="L710" s="84" t="str">
        <f t="shared" si="151"/>
        <v/>
      </c>
      <c r="M710" s="84" t="str">
        <f t="shared" si="152"/>
        <v/>
      </c>
      <c r="V710">
        <f t="shared" si="153"/>
        <v>0.054</v>
      </c>
      <c r="W710" t="str">
        <f t="shared" si="154"/>
        <v/>
      </c>
      <c r="X710" t="str">
        <f t="shared" si="155"/>
        <v/>
      </c>
      <c r="AB710" t="str">
        <f t="shared" si="149"/>
        <v>0.054</v>
      </c>
    </row>
    <row r="711" ht="16.25" spans="1:28">
      <c r="A711" s="31">
        <v>303</v>
      </c>
      <c r="B711" s="113">
        <v>150403</v>
      </c>
      <c r="C711" s="12">
        <v>11</v>
      </c>
      <c r="D711" s="112">
        <v>0.0119</v>
      </c>
      <c r="H711" s="12">
        <v>11</v>
      </c>
      <c r="K711" s="84">
        <f t="shared" si="150"/>
        <v>0.0714</v>
      </c>
      <c r="L711" s="84" t="str">
        <f t="shared" si="151"/>
        <v/>
      </c>
      <c r="M711" s="84" t="str">
        <f t="shared" si="152"/>
        <v/>
      </c>
      <c r="V711">
        <f t="shared" si="153"/>
        <v>0.0714</v>
      </c>
      <c r="W711" t="str">
        <f t="shared" si="154"/>
        <v/>
      </c>
      <c r="X711" t="str">
        <f t="shared" si="155"/>
        <v/>
      </c>
      <c r="AB711" t="str">
        <f t="shared" si="149"/>
        <v>0.0714</v>
      </c>
    </row>
    <row r="712" ht="16.25" spans="1:28">
      <c r="A712" s="31">
        <v>303</v>
      </c>
      <c r="B712" s="113">
        <v>150503</v>
      </c>
      <c r="C712" s="12" t="s">
        <v>217</v>
      </c>
      <c r="D712" s="112">
        <v>0.0078</v>
      </c>
      <c r="E712">
        <v>0.03</v>
      </c>
      <c r="H712" s="12">
        <v>5</v>
      </c>
      <c r="I712">
        <v>9</v>
      </c>
      <c r="K712" s="84">
        <f t="shared" si="150"/>
        <v>0.0468</v>
      </c>
      <c r="L712" s="84">
        <f t="shared" si="151"/>
        <v>0.18</v>
      </c>
      <c r="M712" s="84" t="str">
        <f t="shared" si="152"/>
        <v/>
      </c>
      <c r="V712">
        <f t="shared" si="153"/>
        <v>0.0468</v>
      </c>
      <c r="W712">
        <f t="shared" si="154"/>
        <v>0.18</v>
      </c>
      <c r="X712" t="str">
        <f t="shared" si="155"/>
        <v/>
      </c>
      <c r="AB712" t="str">
        <f t="shared" si="149"/>
        <v>0.0468,0.18</v>
      </c>
    </row>
    <row r="713" ht="16.25" spans="1:28">
      <c r="A713" s="31">
        <v>303</v>
      </c>
      <c r="B713" s="113">
        <v>150603</v>
      </c>
      <c r="C713" s="12" t="s">
        <v>217</v>
      </c>
      <c r="D713" s="112">
        <v>0.0157</v>
      </c>
      <c r="E713">
        <v>0.03</v>
      </c>
      <c r="H713" s="12">
        <v>5</v>
      </c>
      <c r="I713">
        <v>9</v>
      </c>
      <c r="K713" s="84">
        <f t="shared" si="150"/>
        <v>0.0942</v>
      </c>
      <c r="L713" s="84">
        <f t="shared" si="151"/>
        <v>0.18</v>
      </c>
      <c r="M713" s="84" t="str">
        <f t="shared" si="152"/>
        <v/>
      </c>
      <c r="V713">
        <f t="shared" si="153"/>
        <v>0.0942</v>
      </c>
      <c r="W713">
        <f t="shared" si="154"/>
        <v>0.18</v>
      </c>
      <c r="X713" t="str">
        <f t="shared" si="155"/>
        <v/>
      </c>
      <c r="AB713" t="str">
        <f t="shared" si="149"/>
        <v>0.0942,0.18</v>
      </c>
    </row>
    <row r="714" ht="16.25" spans="1:28">
      <c r="A714" s="31">
        <v>303</v>
      </c>
      <c r="B714" s="113">
        <v>150703</v>
      </c>
      <c r="C714" s="12" t="s">
        <v>264</v>
      </c>
      <c r="D714" s="112">
        <v>0.0047</v>
      </c>
      <c r="E714">
        <v>0.015</v>
      </c>
      <c r="H714" s="12">
        <v>6</v>
      </c>
      <c r="I714">
        <v>9</v>
      </c>
      <c r="K714" s="84">
        <f t="shared" si="150"/>
        <v>0.0282</v>
      </c>
      <c r="L714" s="84">
        <f t="shared" si="151"/>
        <v>0.09</v>
      </c>
      <c r="M714" s="84" t="str">
        <f t="shared" si="152"/>
        <v/>
      </c>
      <c r="V714">
        <f t="shared" si="153"/>
        <v>0.0282</v>
      </c>
      <c r="W714">
        <f t="shared" si="154"/>
        <v>0.09</v>
      </c>
      <c r="X714" t="str">
        <f t="shared" si="155"/>
        <v/>
      </c>
      <c r="AB714" t="str">
        <f t="shared" si="149"/>
        <v>0.0282,0.09</v>
      </c>
    </row>
    <row r="715" ht="16.25" spans="1:28">
      <c r="A715" s="31">
        <v>303</v>
      </c>
      <c r="B715" s="113">
        <v>150803</v>
      </c>
      <c r="C715" s="12" t="s">
        <v>264</v>
      </c>
      <c r="D715" s="112">
        <v>0.0125</v>
      </c>
      <c r="E715">
        <v>0.012</v>
      </c>
      <c r="H715" s="12">
        <v>6</v>
      </c>
      <c r="I715">
        <v>9</v>
      </c>
      <c r="K715" s="84">
        <f t="shared" si="150"/>
        <v>0.075</v>
      </c>
      <c r="L715" s="84">
        <f t="shared" si="151"/>
        <v>0.072</v>
      </c>
      <c r="M715" s="84" t="str">
        <f t="shared" si="152"/>
        <v/>
      </c>
      <c r="V715">
        <f t="shared" si="153"/>
        <v>0.075</v>
      </c>
      <c r="W715">
        <f t="shared" si="154"/>
        <v>0.072</v>
      </c>
      <c r="X715" t="str">
        <f t="shared" si="155"/>
        <v/>
      </c>
      <c r="AB715" t="str">
        <f t="shared" si="149"/>
        <v>0.075,0.072</v>
      </c>
    </row>
    <row r="716" ht="16.25" spans="1:28">
      <c r="A716" s="31">
        <v>303</v>
      </c>
      <c r="B716" s="113">
        <v>150903</v>
      </c>
      <c r="C716" s="12" t="s">
        <v>267</v>
      </c>
      <c r="D716" s="112">
        <v>0.0125</v>
      </c>
      <c r="E716">
        <v>0.015</v>
      </c>
      <c r="F716">
        <v>0.0017</v>
      </c>
      <c r="H716" s="12">
        <v>6</v>
      </c>
      <c r="I716">
        <v>9</v>
      </c>
      <c r="J716">
        <v>11</v>
      </c>
      <c r="K716" s="84">
        <f t="shared" si="150"/>
        <v>0.075</v>
      </c>
      <c r="L716" s="84">
        <f t="shared" si="151"/>
        <v>0.09</v>
      </c>
      <c r="M716" s="84">
        <f t="shared" si="152"/>
        <v>0.0102</v>
      </c>
      <c r="V716">
        <f t="shared" si="153"/>
        <v>0.075</v>
      </c>
      <c r="W716">
        <f t="shared" si="154"/>
        <v>0.09</v>
      </c>
      <c r="X716">
        <f t="shared" si="155"/>
        <v>0.0102</v>
      </c>
      <c r="AB716" t="str">
        <f t="shared" si="149"/>
        <v>0.075,0.09,0.0102</v>
      </c>
    </row>
    <row r="717" ht="16.25" spans="1:28">
      <c r="A717" s="31">
        <v>303</v>
      </c>
      <c r="B717" s="113">
        <v>160103</v>
      </c>
      <c r="C717" s="21">
        <v>7</v>
      </c>
      <c r="D717" s="112">
        <v>0.0149</v>
      </c>
      <c r="H717" s="21">
        <v>7</v>
      </c>
      <c r="K717" s="84">
        <f t="shared" si="150"/>
        <v>0.0894</v>
      </c>
      <c r="L717" s="84" t="str">
        <f t="shared" si="151"/>
        <v/>
      </c>
      <c r="M717" s="84" t="str">
        <f t="shared" si="152"/>
        <v/>
      </c>
      <c r="V717">
        <f t="shared" si="153"/>
        <v>0.0894</v>
      </c>
      <c r="W717" t="str">
        <f t="shared" si="154"/>
        <v/>
      </c>
      <c r="X717" t="str">
        <f t="shared" si="155"/>
        <v/>
      </c>
      <c r="AB717" t="str">
        <f t="shared" si="149"/>
        <v>0.0894</v>
      </c>
    </row>
    <row r="718" ht="16.25" spans="1:28">
      <c r="A718" s="31">
        <v>303</v>
      </c>
      <c r="B718" s="113">
        <v>160203</v>
      </c>
      <c r="C718" s="21">
        <v>7</v>
      </c>
      <c r="D718" s="112">
        <v>0.0149</v>
      </c>
      <c r="H718" s="21">
        <v>7</v>
      </c>
      <c r="K718" s="84">
        <f t="shared" si="150"/>
        <v>0.0894</v>
      </c>
      <c r="L718" s="84" t="str">
        <f t="shared" si="151"/>
        <v/>
      </c>
      <c r="M718" s="84" t="str">
        <f t="shared" si="152"/>
        <v/>
      </c>
      <c r="V718">
        <f t="shared" si="153"/>
        <v>0.0894</v>
      </c>
      <c r="W718" t="str">
        <f t="shared" si="154"/>
        <v/>
      </c>
      <c r="X718" t="str">
        <f t="shared" si="155"/>
        <v/>
      </c>
      <c r="AB718" t="str">
        <f t="shared" si="149"/>
        <v>0.0894</v>
      </c>
    </row>
    <row r="719" ht="16.25" spans="1:28">
      <c r="A719" s="31">
        <v>303</v>
      </c>
      <c r="B719" s="113">
        <v>160303</v>
      </c>
      <c r="C719" s="21">
        <v>11</v>
      </c>
      <c r="D719" s="112">
        <v>0.0142</v>
      </c>
      <c r="H719" s="21">
        <v>11</v>
      </c>
      <c r="K719" s="84">
        <f t="shared" si="150"/>
        <v>0.0852</v>
      </c>
      <c r="L719" s="84" t="str">
        <f t="shared" si="151"/>
        <v/>
      </c>
      <c r="M719" s="84" t="str">
        <f t="shared" si="152"/>
        <v/>
      </c>
      <c r="V719">
        <f t="shared" si="153"/>
        <v>0.0852</v>
      </c>
      <c r="W719" t="str">
        <f t="shared" si="154"/>
        <v/>
      </c>
      <c r="X719" t="str">
        <f t="shared" si="155"/>
        <v/>
      </c>
      <c r="AB719" t="str">
        <f t="shared" si="149"/>
        <v>0.0852</v>
      </c>
    </row>
    <row r="720" ht="16.25" spans="1:28">
      <c r="A720" s="31">
        <v>303</v>
      </c>
      <c r="B720" s="113">
        <v>160403</v>
      </c>
      <c r="C720" s="21">
        <v>11</v>
      </c>
      <c r="D720" s="112">
        <v>0.02</v>
      </c>
      <c r="H720" s="21">
        <v>11</v>
      </c>
      <c r="K720" s="84">
        <f t="shared" si="150"/>
        <v>0.12</v>
      </c>
      <c r="L720" s="84" t="str">
        <f t="shared" si="151"/>
        <v/>
      </c>
      <c r="M720" s="84" t="str">
        <f t="shared" si="152"/>
        <v/>
      </c>
      <c r="V720">
        <f t="shared" si="153"/>
        <v>0.12</v>
      </c>
      <c r="W720" t="str">
        <f t="shared" si="154"/>
        <v/>
      </c>
      <c r="X720" t="str">
        <f t="shared" si="155"/>
        <v/>
      </c>
      <c r="AB720" t="str">
        <f t="shared" si="149"/>
        <v>0.12</v>
      </c>
    </row>
    <row r="721" ht="16.25" spans="1:28">
      <c r="A721" s="31">
        <v>303</v>
      </c>
      <c r="B721" s="113">
        <v>160503</v>
      </c>
      <c r="C721" s="21" t="s">
        <v>217</v>
      </c>
      <c r="D721" s="112">
        <v>0.0131</v>
      </c>
      <c r="E721">
        <v>0.05</v>
      </c>
      <c r="H721" s="21">
        <v>5</v>
      </c>
      <c r="I721">
        <v>9</v>
      </c>
      <c r="K721" s="84">
        <f t="shared" si="150"/>
        <v>0.0786</v>
      </c>
      <c r="L721" s="84">
        <f t="shared" si="151"/>
        <v>0.3</v>
      </c>
      <c r="M721" s="84" t="str">
        <f t="shared" si="152"/>
        <v/>
      </c>
      <c r="V721">
        <f t="shared" si="153"/>
        <v>0.0786</v>
      </c>
      <c r="W721">
        <f t="shared" si="154"/>
        <v>0.3</v>
      </c>
      <c r="X721" t="str">
        <f t="shared" si="155"/>
        <v/>
      </c>
      <c r="AB721" t="str">
        <f t="shared" si="149"/>
        <v>0.0786,0.3</v>
      </c>
    </row>
    <row r="722" ht="16.25" spans="1:28">
      <c r="A722" s="31">
        <v>303</v>
      </c>
      <c r="B722" s="113">
        <v>160603</v>
      </c>
      <c r="C722" s="21" t="s">
        <v>217</v>
      </c>
      <c r="D722" s="112">
        <v>0.0261</v>
      </c>
      <c r="E722">
        <v>0.05</v>
      </c>
      <c r="H722" s="21">
        <v>5</v>
      </c>
      <c r="I722">
        <v>9</v>
      </c>
      <c r="K722" s="84">
        <f t="shared" si="150"/>
        <v>0.1566</v>
      </c>
      <c r="L722" s="84">
        <f t="shared" si="151"/>
        <v>0.3</v>
      </c>
      <c r="M722" s="84" t="str">
        <f t="shared" si="152"/>
        <v/>
      </c>
      <c r="V722">
        <f t="shared" si="153"/>
        <v>0.1566</v>
      </c>
      <c r="W722">
        <f t="shared" si="154"/>
        <v>0.3</v>
      </c>
      <c r="X722" t="str">
        <f t="shared" si="155"/>
        <v/>
      </c>
      <c r="AB722" t="str">
        <f t="shared" si="149"/>
        <v>0.1566,0.3</v>
      </c>
    </row>
    <row r="723" ht="16.25" spans="1:28">
      <c r="A723" s="31">
        <v>303</v>
      </c>
      <c r="B723" s="113">
        <v>160703</v>
      </c>
      <c r="C723" s="21" t="s">
        <v>264</v>
      </c>
      <c r="D723" s="112">
        <v>0.0078</v>
      </c>
      <c r="E723">
        <v>0.025</v>
      </c>
      <c r="H723" s="21">
        <v>6</v>
      </c>
      <c r="I723">
        <v>9</v>
      </c>
      <c r="K723" s="84">
        <f t="shared" si="150"/>
        <v>0.0468</v>
      </c>
      <c r="L723" s="84">
        <f t="shared" si="151"/>
        <v>0.15</v>
      </c>
      <c r="M723" s="84" t="str">
        <f t="shared" si="152"/>
        <v/>
      </c>
      <c r="V723">
        <f t="shared" si="153"/>
        <v>0.0468</v>
      </c>
      <c r="W723">
        <f t="shared" si="154"/>
        <v>0.15</v>
      </c>
      <c r="X723" t="str">
        <f t="shared" si="155"/>
        <v/>
      </c>
      <c r="AB723" t="str">
        <f t="shared" si="149"/>
        <v>0.0468,0.15</v>
      </c>
    </row>
    <row r="724" ht="16.25" spans="1:28">
      <c r="A724" s="31">
        <v>303</v>
      </c>
      <c r="B724" s="113">
        <v>160803</v>
      </c>
      <c r="C724" s="21" t="s">
        <v>264</v>
      </c>
      <c r="D724" s="112">
        <v>0.0209</v>
      </c>
      <c r="E724">
        <v>0.02</v>
      </c>
      <c r="H724" s="21">
        <v>6</v>
      </c>
      <c r="I724">
        <v>9</v>
      </c>
      <c r="K724" s="84">
        <f t="shared" si="150"/>
        <v>0.1254</v>
      </c>
      <c r="L724" s="84">
        <f t="shared" si="151"/>
        <v>0.12</v>
      </c>
      <c r="M724" s="84" t="str">
        <f t="shared" si="152"/>
        <v/>
      </c>
      <c r="V724">
        <f t="shared" si="153"/>
        <v>0.1254</v>
      </c>
      <c r="W724">
        <f t="shared" si="154"/>
        <v>0.12</v>
      </c>
      <c r="X724" t="str">
        <f t="shared" si="155"/>
        <v/>
      </c>
      <c r="AB724" t="str">
        <f t="shared" si="149"/>
        <v>0.1254,0.12</v>
      </c>
    </row>
    <row r="725" ht="16.25" spans="1:28">
      <c r="A725" s="31">
        <v>303</v>
      </c>
      <c r="B725" s="113">
        <v>160903</v>
      </c>
      <c r="C725" s="21" t="s">
        <v>267</v>
      </c>
      <c r="D725" s="112">
        <v>0.0209</v>
      </c>
      <c r="E725">
        <v>0.025</v>
      </c>
      <c r="F725">
        <v>0.0028</v>
      </c>
      <c r="H725" s="21">
        <v>6</v>
      </c>
      <c r="I725">
        <v>9</v>
      </c>
      <c r="J725">
        <v>11</v>
      </c>
      <c r="K725" s="84">
        <f t="shared" si="150"/>
        <v>0.1254</v>
      </c>
      <c r="L725" s="84">
        <f t="shared" si="151"/>
        <v>0.15</v>
      </c>
      <c r="M725" s="84">
        <f t="shared" si="152"/>
        <v>0.0168</v>
      </c>
      <c r="V725">
        <f t="shared" si="153"/>
        <v>0.1254</v>
      </c>
      <c r="W725">
        <f t="shared" si="154"/>
        <v>0.15</v>
      </c>
      <c r="X725">
        <f t="shared" si="155"/>
        <v>0.0168</v>
      </c>
      <c r="AB725" t="str">
        <f t="shared" si="149"/>
        <v>0.1254,0.15,0.0168</v>
      </c>
    </row>
    <row r="726" ht="16.25" spans="1:28">
      <c r="A726" s="39">
        <v>304</v>
      </c>
      <c r="B726" s="113">
        <v>150103</v>
      </c>
      <c r="C726" s="23">
        <v>7</v>
      </c>
      <c r="D726" s="109">
        <v>0.0205</v>
      </c>
      <c r="H726" s="23">
        <v>7</v>
      </c>
      <c r="K726" s="84">
        <f t="shared" si="150"/>
        <v>0.123</v>
      </c>
      <c r="L726" s="84" t="str">
        <f t="shared" si="151"/>
        <v/>
      </c>
      <c r="M726" s="84" t="str">
        <f t="shared" si="152"/>
        <v/>
      </c>
      <c r="V726">
        <f t="shared" si="153"/>
        <v>0.123</v>
      </c>
      <c r="W726" t="str">
        <f t="shared" si="154"/>
        <v/>
      </c>
      <c r="X726" t="str">
        <f t="shared" si="155"/>
        <v/>
      </c>
      <c r="AB726" t="str">
        <f t="shared" si="149"/>
        <v>0.123</v>
      </c>
    </row>
    <row r="727" ht="16.25" spans="1:28">
      <c r="A727" s="39">
        <v>304</v>
      </c>
      <c r="B727" s="113">
        <v>150103</v>
      </c>
      <c r="C727" s="23">
        <v>4</v>
      </c>
      <c r="D727" s="109">
        <v>7.29</v>
      </c>
      <c r="H727" s="23">
        <v>4</v>
      </c>
      <c r="K727" s="84">
        <f t="shared" si="150"/>
        <v>14.58</v>
      </c>
      <c r="L727" s="84" t="str">
        <f t="shared" si="151"/>
        <v/>
      </c>
      <c r="M727" s="84" t="str">
        <f t="shared" si="152"/>
        <v/>
      </c>
      <c r="V727">
        <f t="shared" si="153"/>
        <v>15</v>
      </c>
      <c r="W727" t="str">
        <f t="shared" si="154"/>
        <v/>
      </c>
      <c r="X727" t="str">
        <f t="shared" si="155"/>
        <v/>
      </c>
      <c r="AB727" t="str">
        <f t="shared" si="149"/>
        <v>15</v>
      </c>
    </row>
    <row r="728" ht="16.25" spans="1:28">
      <c r="A728" s="39">
        <v>304</v>
      </c>
      <c r="B728" s="113">
        <v>150203</v>
      </c>
      <c r="C728" s="23">
        <v>7</v>
      </c>
      <c r="D728" s="109">
        <v>0.0205</v>
      </c>
      <c r="H728" s="23">
        <v>7</v>
      </c>
      <c r="K728" s="84">
        <f t="shared" si="150"/>
        <v>0.123</v>
      </c>
      <c r="L728" s="84" t="str">
        <f t="shared" si="151"/>
        <v/>
      </c>
      <c r="M728" s="84" t="str">
        <f t="shared" si="152"/>
        <v/>
      </c>
      <c r="V728">
        <f t="shared" si="153"/>
        <v>0.123</v>
      </c>
      <c r="W728" t="str">
        <f t="shared" si="154"/>
        <v/>
      </c>
      <c r="X728" t="str">
        <f t="shared" si="155"/>
        <v/>
      </c>
      <c r="AB728" t="str">
        <f t="shared" si="149"/>
        <v>0.123</v>
      </c>
    </row>
    <row r="729" ht="16.25" spans="1:28">
      <c r="A729" s="39">
        <v>304</v>
      </c>
      <c r="B729" s="113">
        <v>150203</v>
      </c>
      <c r="C729" s="23">
        <v>4</v>
      </c>
      <c r="D729" s="109">
        <v>7.29</v>
      </c>
      <c r="H729" s="23">
        <v>4</v>
      </c>
      <c r="K729" s="84">
        <f t="shared" si="150"/>
        <v>14.58</v>
      </c>
      <c r="L729" s="84" t="str">
        <f t="shared" si="151"/>
        <v/>
      </c>
      <c r="M729" s="84" t="str">
        <f t="shared" si="152"/>
        <v/>
      </c>
      <c r="V729">
        <f t="shared" si="153"/>
        <v>15</v>
      </c>
      <c r="W729" t="str">
        <f t="shared" si="154"/>
        <v/>
      </c>
      <c r="X729" t="str">
        <f t="shared" si="155"/>
        <v/>
      </c>
      <c r="AB729" t="str">
        <f t="shared" si="149"/>
        <v>15</v>
      </c>
    </row>
    <row r="730" ht="16.25" spans="1:28">
      <c r="A730" s="39">
        <v>304</v>
      </c>
      <c r="B730" s="113">
        <v>150303</v>
      </c>
      <c r="C730" s="23">
        <v>11</v>
      </c>
      <c r="D730" s="109">
        <v>0.0194</v>
      </c>
      <c r="H730" s="23">
        <v>11</v>
      </c>
      <c r="K730" s="84">
        <f t="shared" si="150"/>
        <v>0.1164</v>
      </c>
      <c r="L730" s="84" t="str">
        <f t="shared" si="151"/>
        <v/>
      </c>
      <c r="M730" s="84" t="str">
        <f t="shared" si="152"/>
        <v/>
      </c>
      <c r="V730">
        <f t="shared" si="153"/>
        <v>0.1164</v>
      </c>
      <c r="W730" t="str">
        <f t="shared" si="154"/>
        <v/>
      </c>
      <c r="X730" t="str">
        <f t="shared" si="155"/>
        <v/>
      </c>
      <c r="AB730" t="str">
        <f t="shared" si="149"/>
        <v>0.1164</v>
      </c>
    </row>
    <row r="731" ht="16.25" spans="1:28">
      <c r="A731" s="39">
        <v>304</v>
      </c>
      <c r="B731" s="113">
        <v>150303</v>
      </c>
      <c r="C731" s="23">
        <v>4</v>
      </c>
      <c r="D731" s="109">
        <v>7.29</v>
      </c>
      <c r="H731" s="23">
        <v>4</v>
      </c>
      <c r="K731" s="84">
        <f t="shared" si="150"/>
        <v>14.58</v>
      </c>
      <c r="L731" s="84" t="str">
        <f t="shared" si="151"/>
        <v/>
      </c>
      <c r="M731" s="84" t="str">
        <f t="shared" si="152"/>
        <v/>
      </c>
      <c r="V731">
        <f t="shared" si="153"/>
        <v>15</v>
      </c>
      <c r="W731" t="str">
        <f t="shared" si="154"/>
        <v/>
      </c>
      <c r="X731" t="str">
        <f t="shared" si="155"/>
        <v/>
      </c>
      <c r="AB731" t="str">
        <f t="shared" si="149"/>
        <v>15</v>
      </c>
    </row>
    <row r="732" ht="16.25" spans="1:28">
      <c r="A732" s="39">
        <v>304</v>
      </c>
      <c r="B732" s="113">
        <v>150403</v>
      </c>
      <c r="C732" s="23">
        <v>11</v>
      </c>
      <c r="D732" s="109">
        <v>0.0272</v>
      </c>
      <c r="H732" s="23">
        <v>11</v>
      </c>
      <c r="K732" s="84">
        <f t="shared" si="150"/>
        <v>0.1632</v>
      </c>
      <c r="L732" s="84" t="str">
        <f t="shared" si="151"/>
        <v/>
      </c>
      <c r="M732" s="84" t="str">
        <f t="shared" si="152"/>
        <v/>
      </c>
      <c r="V732">
        <f t="shared" si="153"/>
        <v>0.1632</v>
      </c>
      <c r="W732" t="str">
        <f t="shared" si="154"/>
        <v/>
      </c>
      <c r="X732" t="str">
        <f t="shared" si="155"/>
        <v/>
      </c>
      <c r="AB732" t="str">
        <f t="shared" si="149"/>
        <v>0.1632</v>
      </c>
    </row>
    <row r="733" ht="16.25" spans="1:28">
      <c r="A733" s="39">
        <v>304</v>
      </c>
      <c r="B733" s="113">
        <v>150403</v>
      </c>
      <c r="C733" s="23">
        <v>4</v>
      </c>
      <c r="D733" s="109">
        <v>7.29</v>
      </c>
      <c r="H733" s="23">
        <v>4</v>
      </c>
      <c r="K733" s="84">
        <f t="shared" si="150"/>
        <v>14.58</v>
      </c>
      <c r="L733" s="84" t="str">
        <f t="shared" si="151"/>
        <v/>
      </c>
      <c r="M733" s="84" t="str">
        <f t="shared" si="152"/>
        <v/>
      </c>
      <c r="V733">
        <f t="shared" si="153"/>
        <v>15</v>
      </c>
      <c r="W733" t="str">
        <f t="shared" si="154"/>
        <v/>
      </c>
      <c r="X733" t="str">
        <f t="shared" si="155"/>
        <v/>
      </c>
      <c r="AB733" t="str">
        <f t="shared" si="149"/>
        <v>15</v>
      </c>
    </row>
    <row r="734" ht="16.25" spans="1:28">
      <c r="A734" s="39">
        <v>304</v>
      </c>
      <c r="B734" s="113">
        <v>150503</v>
      </c>
      <c r="C734" s="23">
        <v>6</v>
      </c>
      <c r="D734" s="109">
        <v>0.0179</v>
      </c>
      <c r="H734" s="23">
        <v>6</v>
      </c>
      <c r="K734" s="84">
        <f t="shared" si="150"/>
        <v>0.1074</v>
      </c>
      <c r="L734" s="84" t="str">
        <f t="shared" si="151"/>
        <v/>
      </c>
      <c r="M734" s="84" t="str">
        <f t="shared" si="152"/>
        <v/>
      </c>
      <c r="V734">
        <f t="shared" si="153"/>
        <v>0.1074</v>
      </c>
      <c r="W734" t="str">
        <f t="shared" si="154"/>
        <v/>
      </c>
      <c r="X734" t="str">
        <f t="shared" si="155"/>
        <v/>
      </c>
      <c r="AB734" t="str">
        <f t="shared" si="149"/>
        <v>0.1074</v>
      </c>
    </row>
    <row r="735" ht="16.25" spans="1:28">
      <c r="A735" s="39">
        <v>304</v>
      </c>
      <c r="B735" s="113">
        <v>150503</v>
      </c>
      <c r="C735" s="23">
        <v>4</v>
      </c>
      <c r="D735" s="109">
        <v>7.29</v>
      </c>
      <c r="H735" s="23">
        <v>4</v>
      </c>
      <c r="K735" s="84">
        <f t="shared" si="150"/>
        <v>14.58</v>
      </c>
      <c r="L735" s="84" t="str">
        <f t="shared" si="151"/>
        <v/>
      </c>
      <c r="M735" s="84" t="str">
        <f t="shared" si="152"/>
        <v/>
      </c>
      <c r="V735">
        <f t="shared" si="153"/>
        <v>15</v>
      </c>
      <c r="W735" t="str">
        <f t="shared" si="154"/>
        <v/>
      </c>
      <c r="X735" t="str">
        <f t="shared" si="155"/>
        <v/>
      </c>
      <c r="AB735" t="str">
        <f t="shared" si="149"/>
        <v>15</v>
      </c>
    </row>
    <row r="736" ht="16.25" spans="1:28">
      <c r="A736" s="39">
        <v>304</v>
      </c>
      <c r="B736" s="113">
        <v>150503</v>
      </c>
      <c r="C736" s="23">
        <v>9</v>
      </c>
      <c r="D736" s="109">
        <v>0.0686</v>
      </c>
      <c r="H736" s="23">
        <v>9</v>
      </c>
      <c r="K736" s="84">
        <f t="shared" si="150"/>
        <v>0.4116</v>
      </c>
      <c r="L736" s="84" t="str">
        <f t="shared" si="151"/>
        <v/>
      </c>
      <c r="M736" s="84" t="str">
        <f t="shared" si="152"/>
        <v/>
      </c>
      <c r="V736">
        <f t="shared" si="153"/>
        <v>0.4116</v>
      </c>
      <c r="W736" t="str">
        <f t="shared" si="154"/>
        <v/>
      </c>
      <c r="X736" t="str">
        <f t="shared" si="155"/>
        <v/>
      </c>
      <c r="AB736" t="str">
        <f t="shared" si="149"/>
        <v>0.4116</v>
      </c>
    </row>
    <row r="737" ht="16.25" spans="1:28">
      <c r="A737" s="39">
        <v>304</v>
      </c>
      <c r="B737" s="113">
        <v>150603</v>
      </c>
      <c r="C737" s="23">
        <v>6</v>
      </c>
      <c r="D737" s="109">
        <v>0.0358</v>
      </c>
      <c r="H737" s="23">
        <v>6</v>
      </c>
      <c r="K737" s="84">
        <f t="shared" si="150"/>
        <v>0.2148</v>
      </c>
      <c r="L737" s="84" t="str">
        <f t="shared" si="151"/>
        <v/>
      </c>
      <c r="M737" s="84" t="str">
        <f t="shared" si="152"/>
        <v/>
      </c>
      <c r="V737">
        <f t="shared" si="153"/>
        <v>0.2148</v>
      </c>
      <c r="W737" t="str">
        <f t="shared" si="154"/>
        <v/>
      </c>
      <c r="X737" t="str">
        <f t="shared" si="155"/>
        <v/>
      </c>
      <c r="AB737" t="str">
        <f t="shared" si="149"/>
        <v>0.2148</v>
      </c>
    </row>
    <row r="738" ht="16.25" spans="1:28">
      <c r="A738" s="39">
        <v>304</v>
      </c>
      <c r="B738" s="113">
        <v>150603</v>
      </c>
      <c r="C738" s="23">
        <v>4</v>
      </c>
      <c r="D738" s="109">
        <v>7.29</v>
      </c>
      <c r="H738" s="23">
        <v>4</v>
      </c>
      <c r="K738" s="84">
        <f t="shared" si="150"/>
        <v>14.58</v>
      </c>
      <c r="L738" s="84" t="str">
        <f t="shared" si="151"/>
        <v/>
      </c>
      <c r="M738" s="84" t="str">
        <f t="shared" si="152"/>
        <v/>
      </c>
      <c r="V738">
        <f t="shared" si="153"/>
        <v>15</v>
      </c>
      <c r="W738" t="str">
        <f t="shared" si="154"/>
        <v/>
      </c>
      <c r="X738" t="str">
        <f t="shared" si="155"/>
        <v/>
      </c>
      <c r="AB738" t="str">
        <f t="shared" si="149"/>
        <v>15</v>
      </c>
    </row>
    <row r="739" ht="16.25" spans="1:28">
      <c r="A739" s="39">
        <v>304</v>
      </c>
      <c r="B739" s="113">
        <v>150603</v>
      </c>
      <c r="C739" s="23">
        <v>9</v>
      </c>
      <c r="D739" s="109">
        <v>0.0686</v>
      </c>
      <c r="H739" s="23">
        <v>9</v>
      </c>
      <c r="K739" s="84">
        <f t="shared" si="150"/>
        <v>0.4116</v>
      </c>
      <c r="L739" s="84" t="str">
        <f t="shared" si="151"/>
        <v/>
      </c>
      <c r="M739" s="84" t="str">
        <f t="shared" si="152"/>
        <v/>
      </c>
      <c r="V739">
        <f t="shared" si="153"/>
        <v>0.4116</v>
      </c>
      <c r="W739" t="str">
        <f t="shared" si="154"/>
        <v/>
      </c>
      <c r="X739" t="str">
        <f t="shared" si="155"/>
        <v/>
      </c>
      <c r="AB739" t="str">
        <f t="shared" ref="AB739:AB802" si="156">_xlfn.TEXTJOIN(",",TRUE,V739,W739,X739)</f>
        <v>0.4116</v>
      </c>
    </row>
    <row r="740" ht="16.25" spans="1:28">
      <c r="A740" s="39">
        <v>304</v>
      </c>
      <c r="B740" s="113">
        <v>150703</v>
      </c>
      <c r="C740" s="23">
        <v>6</v>
      </c>
      <c r="D740" s="109">
        <v>0.0107</v>
      </c>
      <c r="H740" s="23">
        <v>6</v>
      </c>
      <c r="K740" s="84">
        <f t="shared" si="150"/>
        <v>0.0642</v>
      </c>
      <c r="L740" s="84" t="str">
        <f t="shared" si="151"/>
        <v/>
      </c>
      <c r="M740" s="84" t="str">
        <f t="shared" si="152"/>
        <v/>
      </c>
      <c r="V740">
        <f t="shared" si="153"/>
        <v>0.0642</v>
      </c>
      <c r="W740" t="str">
        <f t="shared" si="154"/>
        <v/>
      </c>
      <c r="X740" t="str">
        <f t="shared" si="155"/>
        <v/>
      </c>
      <c r="AB740" t="str">
        <f t="shared" si="156"/>
        <v>0.0642</v>
      </c>
    </row>
    <row r="741" ht="16.25" spans="1:28">
      <c r="A741" s="39">
        <v>304</v>
      </c>
      <c r="B741" s="113">
        <v>150703</v>
      </c>
      <c r="C741" s="23">
        <v>4</v>
      </c>
      <c r="D741" s="109">
        <v>7.29</v>
      </c>
      <c r="H741" s="23">
        <v>4</v>
      </c>
      <c r="K741" s="84">
        <f t="shared" si="150"/>
        <v>14.58</v>
      </c>
      <c r="L741" s="84" t="str">
        <f t="shared" si="151"/>
        <v/>
      </c>
      <c r="M741" s="84" t="str">
        <f t="shared" si="152"/>
        <v/>
      </c>
      <c r="V741">
        <f t="shared" si="153"/>
        <v>15</v>
      </c>
      <c r="W741" t="str">
        <f t="shared" si="154"/>
        <v/>
      </c>
      <c r="X741" t="str">
        <f t="shared" si="155"/>
        <v/>
      </c>
      <c r="AB741" t="str">
        <f t="shared" si="156"/>
        <v>15</v>
      </c>
    </row>
    <row r="742" ht="16.25" spans="1:28">
      <c r="A742" s="39">
        <v>304</v>
      </c>
      <c r="B742" s="113">
        <v>150703</v>
      </c>
      <c r="C742" s="23">
        <v>9</v>
      </c>
      <c r="D742" s="109">
        <v>0.0343</v>
      </c>
      <c r="H742" s="23">
        <v>9</v>
      </c>
      <c r="K742" s="84">
        <f t="shared" si="150"/>
        <v>0.2058</v>
      </c>
      <c r="L742" s="84" t="str">
        <f t="shared" si="151"/>
        <v/>
      </c>
      <c r="M742" s="84" t="str">
        <f t="shared" si="152"/>
        <v/>
      </c>
      <c r="V742">
        <f t="shared" si="153"/>
        <v>0.2058</v>
      </c>
      <c r="W742" t="str">
        <f t="shared" si="154"/>
        <v/>
      </c>
      <c r="X742" t="str">
        <f t="shared" si="155"/>
        <v/>
      </c>
      <c r="AB742" t="str">
        <f t="shared" si="156"/>
        <v>0.2058</v>
      </c>
    </row>
    <row r="743" ht="16.25" spans="1:28">
      <c r="A743" s="39">
        <v>304</v>
      </c>
      <c r="B743" s="113">
        <v>150803</v>
      </c>
      <c r="C743" s="23">
        <v>6</v>
      </c>
      <c r="D743" s="109">
        <v>0.0287</v>
      </c>
      <c r="H743" s="23">
        <v>6</v>
      </c>
      <c r="K743" s="84">
        <f t="shared" si="150"/>
        <v>0.1722</v>
      </c>
      <c r="L743" s="84" t="str">
        <f t="shared" si="151"/>
        <v/>
      </c>
      <c r="M743" s="84" t="str">
        <f t="shared" si="152"/>
        <v/>
      </c>
      <c r="V743">
        <f t="shared" si="153"/>
        <v>0.1722</v>
      </c>
      <c r="W743" t="str">
        <f t="shared" si="154"/>
        <v/>
      </c>
      <c r="X743" t="str">
        <f t="shared" si="155"/>
        <v/>
      </c>
      <c r="AB743" t="str">
        <f t="shared" si="156"/>
        <v>0.1722</v>
      </c>
    </row>
    <row r="744" ht="16.25" spans="1:28">
      <c r="A744" s="39">
        <v>304</v>
      </c>
      <c r="B744" s="113">
        <v>150803</v>
      </c>
      <c r="C744" s="23">
        <v>4</v>
      </c>
      <c r="D744" s="109">
        <v>7.29</v>
      </c>
      <c r="H744" s="23">
        <v>4</v>
      </c>
      <c r="K744" s="84">
        <f t="shared" si="150"/>
        <v>14.58</v>
      </c>
      <c r="L744" s="84" t="str">
        <f t="shared" si="151"/>
        <v/>
      </c>
      <c r="M744" s="84" t="str">
        <f t="shared" si="152"/>
        <v/>
      </c>
      <c r="V744">
        <f t="shared" si="153"/>
        <v>15</v>
      </c>
      <c r="W744" t="str">
        <f t="shared" si="154"/>
        <v/>
      </c>
      <c r="X744" t="str">
        <f t="shared" si="155"/>
        <v/>
      </c>
      <c r="AB744" t="str">
        <f t="shared" si="156"/>
        <v>15</v>
      </c>
    </row>
    <row r="745" ht="16.25" spans="1:28">
      <c r="A745" s="39">
        <v>304</v>
      </c>
      <c r="B745" s="113">
        <v>150803</v>
      </c>
      <c r="C745" s="23">
        <v>9</v>
      </c>
      <c r="D745" s="109">
        <v>0.0274</v>
      </c>
      <c r="H745" s="23">
        <v>9</v>
      </c>
      <c r="K745" s="84">
        <f t="shared" si="150"/>
        <v>0.1644</v>
      </c>
      <c r="L745" s="84" t="str">
        <f t="shared" si="151"/>
        <v/>
      </c>
      <c r="M745" s="84" t="str">
        <f t="shared" si="152"/>
        <v/>
      </c>
      <c r="V745">
        <f t="shared" si="153"/>
        <v>0.1644</v>
      </c>
      <c r="W745" t="str">
        <f t="shared" si="154"/>
        <v/>
      </c>
      <c r="X745" t="str">
        <f t="shared" si="155"/>
        <v/>
      </c>
      <c r="AB745" t="str">
        <f t="shared" si="156"/>
        <v>0.1644</v>
      </c>
    </row>
    <row r="746" ht="16.25" spans="1:28">
      <c r="A746" s="39">
        <v>304</v>
      </c>
      <c r="B746" s="113">
        <v>150903</v>
      </c>
      <c r="C746" s="23">
        <v>6</v>
      </c>
      <c r="D746" s="109">
        <v>0.0287</v>
      </c>
      <c r="H746" s="23">
        <v>6</v>
      </c>
      <c r="K746" s="84">
        <f t="shared" si="150"/>
        <v>0.1722</v>
      </c>
      <c r="L746" s="84" t="str">
        <f t="shared" si="151"/>
        <v/>
      </c>
      <c r="M746" s="84" t="str">
        <f t="shared" si="152"/>
        <v/>
      </c>
      <c r="V746">
        <f t="shared" si="153"/>
        <v>0.1722</v>
      </c>
      <c r="W746" t="str">
        <f t="shared" si="154"/>
        <v/>
      </c>
      <c r="X746" t="str">
        <f t="shared" si="155"/>
        <v/>
      </c>
      <c r="AB746" t="str">
        <f t="shared" si="156"/>
        <v>0.1722</v>
      </c>
    </row>
    <row r="747" ht="16.25" spans="1:28">
      <c r="A747" s="39">
        <v>304</v>
      </c>
      <c r="B747" s="113">
        <v>150903</v>
      </c>
      <c r="C747" s="23">
        <v>9</v>
      </c>
      <c r="D747" s="109">
        <v>0.0343</v>
      </c>
      <c r="H747" s="23">
        <v>9</v>
      </c>
      <c r="K747" s="84">
        <f t="shared" si="150"/>
        <v>0.2058</v>
      </c>
      <c r="L747" s="84" t="str">
        <f t="shared" si="151"/>
        <v/>
      </c>
      <c r="M747" s="84" t="str">
        <f t="shared" si="152"/>
        <v/>
      </c>
      <c r="V747">
        <f t="shared" si="153"/>
        <v>0.2058</v>
      </c>
      <c r="W747" t="str">
        <f t="shared" si="154"/>
        <v/>
      </c>
      <c r="X747" t="str">
        <f t="shared" si="155"/>
        <v/>
      </c>
      <c r="AB747" t="str">
        <f t="shared" si="156"/>
        <v>0.2058</v>
      </c>
    </row>
    <row r="748" ht="16.25" spans="1:28">
      <c r="A748" s="39">
        <v>304</v>
      </c>
      <c r="B748" s="113">
        <v>150903</v>
      </c>
      <c r="C748" s="23">
        <v>11</v>
      </c>
      <c r="D748" s="109">
        <v>0.0039</v>
      </c>
      <c r="H748" s="23">
        <v>11</v>
      </c>
      <c r="K748" s="84">
        <f t="shared" si="150"/>
        <v>0.0234</v>
      </c>
      <c r="L748" s="84" t="str">
        <f t="shared" si="151"/>
        <v/>
      </c>
      <c r="M748" s="84" t="str">
        <f t="shared" si="152"/>
        <v/>
      </c>
      <c r="V748">
        <f t="shared" si="153"/>
        <v>0.0234</v>
      </c>
      <c r="W748" t="str">
        <f t="shared" si="154"/>
        <v/>
      </c>
      <c r="X748" t="str">
        <f t="shared" si="155"/>
        <v/>
      </c>
      <c r="AB748" t="str">
        <f t="shared" si="156"/>
        <v>0.0234</v>
      </c>
    </row>
    <row r="749" ht="16.25" spans="1:28">
      <c r="A749" s="39">
        <v>304</v>
      </c>
      <c r="B749" s="113">
        <v>150903</v>
      </c>
      <c r="C749" s="23">
        <v>4</v>
      </c>
      <c r="D749" s="109">
        <v>7.29</v>
      </c>
      <c r="H749" s="23">
        <v>4</v>
      </c>
      <c r="K749" s="84">
        <f t="shared" si="150"/>
        <v>14.58</v>
      </c>
      <c r="L749" s="84" t="str">
        <f t="shared" si="151"/>
        <v/>
      </c>
      <c r="M749" s="84" t="str">
        <f t="shared" si="152"/>
        <v/>
      </c>
      <c r="V749">
        <f t="shared" si="153"/>
        <v>15</v>
      </c>
      <c r="W749" t="str">
        <f t="shared" si="154"/>
        <v/>
      </c>
      <c r="X749" t="str">
        <f t="shared" si="155"/>
        <v/>
      </c>
      <c r="AB749" t="str">
        <f t="shared" si="156"/>
        <v>15</v>
      </c>
    </row>
    <row r="750" ht="16.25" spans="1:28">
      <c r="A750" s="39">
        <v>304</v>
      </c>
      <c r="B750" s="113">
        <v>160103</v>
      </c>
      <c r="C750" s="23">
        <v>7</v>
      </c>
      <c r="D750" s="109">
        <v>0.0341</v>
      </c>
      <c r="H750" s="23">
        <v>7</v>
      </c>
      <c r="K750" s="84">
        <f t="shared" si="150"/>
        <v>0.2046</v>
      </c>
      <c r="L750" s="84" t="str">
        <f t="shared" si="151"/>
        <v/>
      </c>
      <c r="M750" s="84" t="str">
        <f t="shared" si="152"/>
        <v/>
      </c>
      <c r="V750">
        <f t="shared" si="153"/>
        <v>0.2046</v>
      </c>
      <c r="W750" t="str">
        <f t="shared" si="154"/>
        <v/>
      </c>
      <c r="X750" t="str">
        <f t="shared" si="155"/>
        <v/>
      </c>
      <c r="AB750" t="str">
        <f t="shared" si="156"/>
        <v>0.2046</v>
      </c>
    </row>
    <row r="751" ht="16.25" spans="1:28">
      <c r="A751" s="39">
        <v>304</v>
      </c>
      <c r="B751" s="113">
        <v>160103</v>
      </c>
      <c r="C751" s="23">
        <v>4</v>
      </c>
      <c r="D751" s="109">
        <v>12.14</v>
      </c>
      <c r="H751" s="23">
        <v>4</v>
      </c>
      <c r="K751" s="84">
        <f t="shared" si="150"/>
        <v>24.28</v>
      </c>
      <c r="L751" s="84" t="str">
        <f t="shared" si="151"/>
        <v/>
      </c>
      <c r="M751" s="84" t="str">
        <f t="shared" si="152"/>
        <v/>
      </c>
      <c r="V751">
        <f t="shared" si="153"/>
        <v>25</v>
      </c>
      <c r="W751" t="str">
        <f t="shared" si="154"/>
        <v/>
      </c>
      <c r="X751" t="str">
        <f t="shared" si="155"/>
        <v/>
      </c>
      <c r="AB751" t="str">
        <f t="shared" si="156"/>
        <v>25</v>
      </c>
    </row>
    <row r="752" ht="16.25" spans="1:28">
      <c r="A752" s="39">
        <v>304</v>
      </c>
      <c r="B752" s="113">
        <v>160203</v>
      </c>
      <c r="C752" s="23">
        <v>7</v>
      </c>
      <c r="D752" s="109">
        <v>0.0341</v>
      </c>
      <c r="H752" s="23">
        <v>7</v>
      </c>
      <c r="K752" s="84">
        <f t="shared" si="150"/>
        <v>0.2046</v>
      </c>
      <c r="L752" s="84" t="str">
        <f t="shared" si="151"/>
        <v/>
      </c>
      <c r="M752" s="84" t="str">
        <f t="shared" si="152"/>
        <v/>
      </c>
      <c r="V752">
        <f t="shared" si="153"/>
        <v>0.2046</v>
      </c>
      <c r="W752" t="str">
        <f t="shared" si="154"/>
        <v/>
      </c>
      <c r="X752" t="str">
        <f t="shared" si="155"/>
        <v/>
      </c>
      <c r="AB752" t="str">
        <f t="shared" si="156"/>
        <v>0.2046</v>
      </c>
    </row>
    <row r="753" ht="16.25" spans="1:28">
      <c r="A753" s="39">
        <v>304</v>
      </c>
      <c r="B753" s="113">
        <v>160203</v>
      </c>
      <c r="C753" s="23">
        <v>4</v>
      </c>
      <c r="D753" s="109">
        <v>12.14</v>
      </c>
      <c r="H753" s="23">
        <v>4</v>
      </c>
      <c r="K753" s="84">
        <f t="shared" si="150"/>
        <v>24.28</v>
      </c>
      <c r="L753" s="84" t="str">
        <f t="shared" si="151"/>
        <v/>
      </c>
      <c r="M753" s="84" t="str">
        <f t="shared" si="152"/>
        <v/>
      </c>
      <c r="V753">
        <f t="shared" si="153"/>
        <v>25</v>
      </c>
      <c r="W753" t="str">
        <f t="shared" si="154"/>
        <v/>
      </c>
      <c r="X753" t="str">
        <f t="shared" si="155"/>
        <v/>
      </c>
      <c r="AB753" t="str">
        <f t="shared" si="156"/>
        <v>25</v>
      </c>
    </row>
    <row r="754" ht="16.25" spans="1:28">
      <c r="A754" s="39">
        <v>304</v>
      </c>
      <c r="B754" s="113">
        <v>160303</v>
      </c>
      <c r="C754" s="23">
        <v>11</v>
      </c>
      <c r="D754" s="109">
        <v>0.0324</v>
      </c>
      <c r="H754" s="23">
        <v>11</v>
      </c>
      <c r="K754" s="84">
        <f t="shared" si="150"/>
        <v>0.1944</v>
      </c>
      <c r="L754" s="84" t="str">
        <f t="shared" si="151"/>
        <v/>
      </c>
      <c r="M754" s="84" t="str">
        <f t="shared" si="152"/>
        <v/>
      </c>
      <c r="V754">
        <f t="shared" si="153"/>
        <v>0.1944</v>
      </c>
      <c r="W754" t="str">
        <f t="shared" si="154"/>
        <v/>
      </c>
      <c r="X754" t="str">
        <f t="shared" si="155"/>
        <v/>
      </c>
      <c r="AB754" t="str">
        <f t="shared" si="156"/>
        <v>0.1944</v>
      </c>
    </row>
    <row r="755" ht="16.25" spans="1:28">
      <c r="A755" s="39">
        <v>304</v>
      </c>
      <c r="B755" s="113">
        <v>160303</v>
      </c>
      <c r="C755" s="23">
        <v>4</v>
      </c>
      <c r="D755" s="109">
        <v>12.14</v>
      </c>
      <c r="H755" s="23">
        <v>4</v>
      </c>
      <c r="K755" s="84">
        <f t="shared" si="150"/>
        <v>24.28</v>
      </c>
      <c r="L755" s="84" t="str">
        <f t="shared" si="151"/>
        <v/>
      </c>
      <c r="M755" s="84" t="str">
        <f t="shared" si="152"/>
        <v/>
      </c>
      <c r="V755">
        <f t="shared" si="153"/>
        <v>25</v>
      </c>
      <c r="W755" t="str">
        <f t="shared" si="154"/>
        <v/>
      </c>
      <c r="X755" t="str">
        <f t="shared" si="155"/>
        <v/>
      </c>
      <c r="AB755" t="str">
        <f t="shared" si="156"/>
        <v>25</v>
      </c>
    </row>
    <row r="756" ht="16.25" spans="1:28">
      <c r="A756" s="39">
        <v>304</v>
      </c>
      <c r="B756" s="113">
        <v>160403</v>
      </c>
      <c r="C756" s="23">
        <v>11</v>
      </c>
      <c r="D756" s="109">
        <v>0.0454</v>
      </c>
      <c r="H756" s="23">
        <v>11</v>
      </c>
      <c r="K756" s="84">
        <f t="shared" si="150"/>
        <v>0.2724</v>
      </c>
      <c r="L756" s="84" t="str">
        <f t="shared" si="151"/>
        <v/>
      </c>
      <c r="M756" s="84" t="str">
        <f t="shared" si="152"/>
        <v/>
      </c>
      <c r="V756">
        <f t="shared" si="153"/>
        <v>0.2724</v>
      </c>
      <c r="W756" t="str">
        <f t="shared" si="154"/>
        <v/>
      </c>
      <c r="X756" t="str">
        <f t="shared" si="155"/>
        <v/>
      </c>
      <c r="AB756" t="str">
        <f t="shared" si="156"/>
        <v>0.2724</v>
      </c>
    </row>
    <row r="757" ht="16.25" spans="1:28">
      <c r="A757" s="39">
        <v>304</v>
      </c>
      <c r="B757" s="113">
        <v>160403</v>
      </c>
      <c r="C757" s="23">
        <v>4</v>
      </c>
      <c r="D757" s="109">
        <v>12.14</v>
      </c>
      <c r="H757" s="23">
        <v>4</v>
      </c>
      <c r="K757" s="84">
        <f t="shared" si="150"/>
        <v>24.28</v>
      </c>
      <c r="L757" s="84" t="str">
        <f t="shared" si="151"/>
        <v/>
      </c>
      <c r="M757" s="84" t="str">
        <f t="shared" si="152"/>
        <v/>
      </c>
      <c r="V757">
        <f t="shared" si="153"/>
        <v>25</v>
      </c>
      <c r="W757" t="str">
        <f t="shared" si="154"/>
        <v/>
      </c>
      <c r="X757" t="str">
        <f t="shared" si="155"/>
        <v/>
      </c>
      <c r="AB757" t="str">
        <f t="shared" si="156"/>
        <v>25</v>
      </c>
    </row>
    <row r="758" ht="16.25" spans="1:28">
      <c r="A758" s="39">
        <v>304</v>
      </c>
      <c r="B758" s="113">
        <v>160503</v>
      </c>
      <c r="C758" s="23">
        <v>6</v>
      </c>
      <c r="D758" s="109">
        <v>0.03</v>
      </c>
      <c r="H758" s="23">
        <v>6</v>
      </c>
      <c r="K758" s="84">
        <f t="shared" ref="K758:K821" si="157">IF(D758="","",IF(OR(RIGHT($A758,1)="1",RIGHT($A758,1)="2"),D758,IF(H758=4,D758*2,D758*6)))</f>
        <v>0.18</v>
      </c>
      <c r="L758" s="84" t="str">
        <f t="shared" ref="L758:L821" si="158">IF(E758="","",IF(OR(RIGHT($A758,1)="1",RIGHT($A758,1)="2"),E758,IF(I758=4,E758*2,E758*6)))</f>
        <v/>
      </c>
      <c r="M758" s="84" t="str">
        <f t="shared" ref="M758:M821" si="159">IF(F758="","",IF(OR(RIGHT($A758,1)="1",RIGHT($A758,1)="2"),F758,IF(J758=4,F758*2,F758*6)))</f>
        <v/>
      </c>
      <c r="V758">
        <f t="shared" si="153"/>
        <v>0.18</v>
      </c>
      <c r="W758" t="str">
        <f t="shared" si="154"/>
        <v/>
      </c>
      <c r="X758" t="str">
        <f t="shared" si="155"/>
        <v/>
      </c>
      <c r="AB758" t="str">
        <f t="shared" si="156"/>
        <v>0.18</v>
      </c>
    </row>
    <row r="759" ht="16.25" spans="1:28">
      <c r="A759" s="39">
        <v>304</v>
      </c>
      <c r="B759" s="113">
        <v>160503</v>
      </c>
      <c r="C759" s="23">
        <v>4</v>
      </c>
      <c r="D759" s="109">
        <v>12.14</v>
      </c>
      <c r="H759" s="23">
        <v>4</v>
      </c>
      <c r="K759" s="84">
        <f t="shared" si="157"/>
        <v>24.28</v>
      </c>
      <c r="L759" s="84" t="str">
        <f t="shared" si="158"/>
        <v/>
      </c>
      <c r="M759" s="84" t="str">
        <f t="shared" si="159"/>
        <v/>
      </c>
      <c r="V759">
        <f t="shared" si="153"/>
        <v>25</v>
      </c>
      <c r="W759" t="str">
        <f t="shared" si="154"/>
        <v/>
      </c>
      <c r="X759" t="str">
        <f t="shared" si="155"/>
        <v/>
      </c>
      <c r="AB759" t="str">
        <f t="shared" si="156"/>
        <v>25</v>
      </c>
    </row>
    <row r="760" ht="16.25" spans="1:28">
      <c r="A760" s="39">
        <v>304</v>
      </c>
      <c r="B760" s="113">
        <v>160503</v>
      </c>
      <c r="C760" s="23">
        <v>9</v>
      </c>
      <c r="D760" s="109">
        <v>0.1143</v>
      </c>
      <c r="H760" s="23">
        <v>9</v>
      </c>
      <c r="K760" s="84">
        <f t="shared" si="157"/>
        <v>0.6858</v>
      </c>
      <c r="L760" s="84" t="str">
        <f t="shared" si="158"/>
        <v/>
      </c>
      <c r="M760" s="84" t="str">
        <f t="shared" si="159"/>
        <v/>
      </c>
      <c r="V760">
        <f t="shared" si="153"/>
        <v>0.6858</v>
      </c>
      <c r="W760" t="str">
        <f t="shared" si="154"/>
        <v/>
      </c>
      <c r="X760" t="str">
        <f t="shared" si="155"/>
        <v/>
      </c>
      <c r="AB760" t="str">
        <f t="shared" si="156"/>
        <v>0.6858</v>
      </c>
    </row>
    <row r="761" ht="16.25" spans="1:28">
      <c r="A761" s="39">
        <v>304</v>
      </c>
      <c r="B761" s="113">
        <v>160603</v>
      </c>
      <c r="C761" s="23">
        <v>6</v>
      </c>
      <c r="D761" s="109">
        <v>0.0597</v>
      </c>
      <c r="H761" s="23">
        <v>6</v>
      </c>
      <c r="K761" s="84">
        <f t="shared" si="157"/>
        <v>0.3582</v>
      </c>
      <c r="L761" s="84" t="str">
        <f t="shared" si="158"/>
        <v/>
      </c>
      <c r="M761" s="84" t="str">
        <f t="shared" si="159"/>
        <v/>
      </c>
      <c r="V761">
        <f t="shared" si="153"/>
        <v>0.3582</v>
      </c>
      <c r="W761" t="str">
        <f t="shared" si="154"/>
        <v/>
      </c>
      <c r="X761" t="str">
        <f t="shared" si="155"/>
        <v/>
      </c>
      <c r="AB761" t="str">
        <f t="shared" si="156"/>
        <v>0.3582</v>
      </c>
    </row>
    <row r="762" ht="16.25" spans="1:28">
      <c r="A762" s="39">
        <v>304</v>
      </c>
      <c r="B762" s="113">
        <v>160603</v>
      </c>
      <c r="C762" s="23">
        <v>4</v>
      </c>
      <c r="D762" s="109">
        <v>12.14</v>
      </c>
      <c r="H762" s="23">
        <v>4</v>
      </c>
      <c r="K762" s="84">
        <f t="shared" si="157"/>
        <v>24.28</v>
      </c>
      <c r="L762" s="84" t="str">
        <f t="shared" si="158"/>
        <v/>
      </c>
      <c r="M762" s="84" t="str">
        <f t="shared" si="159"/>
        <v/>
      </c>
      <c r="V762">
        <f t="shared" si="153"/>
        <v>25</v>
      </c>
      <c r="W762" t="str">
        <f t="shared" si="154"/>
        <v/>
      </c>
      <c r="X762" t="str">
        <f t="shared" si="155"/>
        <v/>
      </c>
      <c r="AB762" t="str">
        <f t="shared" si="156"/>
        <v>25</v>
      </c>
    </row>
    <row r="763" ht="16.25" spans="1:28">
      <c r="A763" s="39">
        <v>304</v>
      </c>
      <c r="B763" s="113">
        <v>160603</v>
      </c>
      <c r="C763" s="23">
        <v>9</v>
      </c>
      <c r="D763" s="109">
        <v>0.1143</v>
      </c>
      <c r="H763" s="23">
        <v>9</v>
      </c>
      <c r="K763" s="84">
        <f t="shared" si="157"/>
        <v>0.6858</v>
      </c>
      <c r="L763" s="84" t="str">
        <f t="shared" si="158"/>
        <v/>
      </c>
      <c r="M763" s="84" t="str">
        <f t="shared" si="159"/>
        <v/>
      </c>
      <c r="V763">
        <f t="shared" si="153"/>
        <v>0.6858</v>
      </c>
      <c r="W763" t="str">
        <f t="shared" si="154"/>
        <v/>
      </c>
      <c r="X763" t="str">
        <f t="shared" si="155"/>
        <v/>
      </c>
      <c r="AB763" t="str">
        <f t="shared" si="156"/>
        <v>0.6858</v>
      </c>
    </row>
    <row r="764" ht="16.25" spans="1:28">
      <c r="A764" s="39">
        <v>304</v>
      </c>
      <c r="B764" s="113">
        <v>160703</v>
      </c>
      <c r="C764" s="23">
        <v>6</v>
      </c>
      <c r="D764" s="109">
        <v>0.0179</v>
      </c>
      <c r="H764" s="23">
        <v>6</v>
      </c>
      <c r="K764" s="84">
        <f t="shared" si="157"/>
        <v>0.1074</v>
      </c>
      <c r="L764" s="84" t="str">
        <f t="shared" si="158"/>
        <v/>
      </c>
      <c r="M764" s="84" t="str">
        <f t="shared" si="159"/>
        <v/>
      </c>
      <c r="V764">
        <f t="shared" si="153"/>
        <v>0.1074</v>
      </c>
      <c r="W764" t="str">
        <f t="shared" si="154"/>
        <v/>
      </c>
      <c r="X764" t="str">
        <f t="shared" si="155"/>
        <v/>
      </c>
      <c r="AB764" t="str">
        <f t="shared" si="156"/>
        <v>0.1074</v>
      </c>
    </row>
    <row r="765" ht="16.25" spans="1:28">
      <c r="A765" s="39">
        <v>304</v>
      </c>
      <c r="B765" s="113">
        <v>160703</v>
      </c>
      <c r="C765" s="23">
        <v>4</v>
      </c>
      <c r="D765" s="109">
        <v>12.14</v>
      </c>
      <c r="H765" s="23">
        <v>4</v>
      </c>
      <c r="K765" s="84">
        <f t="shared" si="157"/>
        <v>24.28</v>
      </c>
      <c r="L765" s="84" t="str">
        <f t="shared" si="158"/>
        <v/>
      </c>
      <c r="M765" s="84" t="str">
        <f t="shared" si="159"/>
        <v/>
      </c>
      <c r="V765">
        <f t="shared" si="153"/>
        <v>25</v>
      </c>
      <c r="W765" t="str">
        <f t="shared" si="154"/>
        <v/>
      </c>
      <c r="X765" t="str">
        <f t="shared" si="155"/>
        <v/>
      </c>
      <c r="AB765" t="str">
        <f t="shared" si="156"/>
        <v>25</v>
      </c>
    </row>
    <row r="766" ht="16.25" spans="1:28">
      <c r="A766" s="39">
        <v>304</v>
      </c>
      <c r="B766" s="8">
        <v>160703</v>
      </c>
      <c r="C766" s="23">
        <v>9</v>
      </c>
      <c r="D766" s="109">
        <v>0.0571</v>
      </c>
      <c r="H766" s="23">
        <v>9</v>
      </c>
      <c r="K766" s="84">
        <f t="shared" si="157"/>
        <v>0.3426</v>
      </c>
      <c r="L766" s="84" t="str">
        <f t="shared" si="158"/>
        <v/>
      </c>
      <c r="M766" s="84" t="str">
        <f t="shared" si="159"/>
        <v/>
      </c>
      <c r="V766">
        <f t="shared" si="153"/>
        <v>0.3426</v>
      </c>
      <c r="W766" t="str">
        <f t="shared" si="154"/>
        <v/>
      </c>
      <c r="X766" t="str">
        <f t="shared" si="155"/>
        <v/>
      </c>
      <c r="AB766" t="str">
        <f t="shared" si="156"/>
        <v>0.3426</v>
      </c>
    </row>
    <row r="767" ht="16.25" spans="1:28">
      <c r="A767" s="39">
        <v>304</v>
      </c>
      <c r="B767" s="8">
        <v>160803</v>
      </c>
      <c r="C767" s="23">
        <v>6</v>
      </c>
      <c r="D767" s="109">
        <v>0.0478</v>
      </c>
      <c r="H767" s="23">
        <v>6</v>
      </c>
      <c r="K767" s="84">
        <f t="shared" si="157"/>
        <v>0.2868</v>
      </c>
      <c r="L767" s="84" t="str">
        <f t="shared" si="158"/>
        <v/>
      </c>
      <c r="M767" s="84" t="str">
        <f t="shared" si="159"/>
        <v/>
      </c>
      <c r="V767">
        <f t="shared" si="153"/>
        <v>0.2868</v>
      </c>
      <c r="W767" t="str">
        <f t="shared" si="154"/>
        <v/>
      </c>
      <c r="X767" t="str">
        <f t="shared" si="155"/>
        <v/>
      </c>
      <c r="AB767" t="str">
        <f t="shared" si="156"/>
        <v>0.2868</v>
      </c>
    </row>
    <row r="768" ht="16.25" spans="1:28">
      <c r="A768" s="39">
        <v>304</v>
      </c>
      <c r="B768" s="8">
        <v>160803</v>
      </c>
      <c r="C768" s="23">
        <v>4</v>
      </c>
      <c r="D768" s="109">
        <v>12.14</v>
      </c>
      <c r="H768" s="23">
        <v>4</v>
      </c>
      <c r="K768" s="84">
        <f t="shared" si="157"/>
        <v>24.28</v>
      </c>
      <c r="L768" s="84" t="str">
        <f t="shared" si="158"/>
        <v/>
      </c>
      <c r="M768" s="84" t="str">
        <f t="shared" si="159"/>
        <v/>
      </c>
      <c r="V768">
        <f t="shared" si="153"/>
        <v>25</v>
      </c>
      <c r="W768" t="str">
        <f t="shared" si="154"/>
        <v/>
      </c>
      <c r="X768" t="str">
        <f t="shared" si="155"/>
        <v/>
      </c>
      <c r="AB768" t="str">
        <f t="shared" si="156"/>
        <v>25</v>
      </c>
    </row>
    <row r="769" ht="16.25" spans="1:28">
      <c r="A769" s="39">
        <v>304</v>
      </c>
      <c r="B769" s="8">
        <v>160803</v>
      </c>
      <c r="C769" s="23">
        <v>9</v>
      </c>
      <c r="D769" s="109">
        <v>0.0457</v>
      </c>
      <c r="H769" s="23">
        <v>9</v>
      </c>
      <c r="K769" s="84">
        <f t="shared" si="157"/>
        <v>0.2742</v>
      </c>
      <c r="L769" s="84" t="str">
        <f t="shared" si="158"/>
        <v/>
      </c>
      <c r="M769" s="84" t="str">
        <f t="shared" si="159"/>
        <v/>
      </c>
      <c r="V769">
        <f t="shared" si="153"/>
        <v>0.2742</v>
      </c>
      <c r="W769" t="str">
        <f t="shared" si="154"/>
        <v/>
      </c>
      <c r="X769" t="str">
        <f t="shared" si="155"/>
        <v/>
      </c>
      <c r="AB769" t="str">
        <f t="shared" si="156"/>
        <v>0.2742</v>
      </c>
    </row>
    <row r="770" ht="16.25" spans="1:28">
      <c r="A770" s="39">
        <v>304</v>
      </c>
      <c r="B770" s="8">
        <v>160903</v>
      </c>
      <c r="C770" s="23">
        <v>6</v>
      </c>
      <c r="D770" s="109">
        <v>0.0478</v>
      </c>
      <c r="H770" s="23">
        <v>6</v>
      </c>
      <c r="K770" s="84">
        <f t="shared" si="157"/>
        <v>0.2868</v>
      </c>
      <c r="L770" s="84" t="str">
        <f t="shared" si="158"/>
        <v/>
      </c>
      <c r="M770" s="84" t="str">
        <f t="shared" si="159"/>
        <v/>
      </c>
      <c r="V770">
        <f t="shared" si="153"/>
        <v>0.2868</v>
      </c>
      <c r="W770" t="str">
        <f t="shared" si="154"/>
        <v/>
      </c>
      <c r="X770" t="str">
        <f t="shared" si="155"/>
        <v/>
      </c>
      <c r="AB770" t="str">
        <f t="shared" si="156"/>
        <v>0.2868</v>
      </c>
    </row>
    <row r="771" ht="16.25" spans="1:28">
      <c r="A771" s="39">
        <v>304</v>
      </c>
      <c r="B771" s="8">
        <v>160903</v>
      </c>
      <c r="C771" s="23">
        <v>9</v>
      </c>
      <c r="D771" s="109">
        <v>0.0571</v>
      </c>
      <c r="H771" s="23">
        <v>9</v>
      </c>
      <c r="K771" s="84">
        <f t="shared" si="157"/>
        <v>0.3426</v>
      </c>
      <c r="L771" s="84" t="str">
        <f t="shared" si="158"/>
        <v/>
      </c>
      <c r="M771" s="84" t="str">
        <f t="shared" si="159"/>
        <v/>
      </c>
      <c r="V771">
        <f t="shared" ref="V771:V834" si="160">IF(K771="","",IF(K771&lt;1,ROUND(K771,4),CEILING(K771,5)))</f>
        <v>0.3426</v>
      </c>
      <c r="W771" t="str">
        <f t="shared" ref="W771:W834" si="161">IF(L771="","",IF(L771&lt;1,ROUND(L771,4),CEILING(L771,5)))</f>
        <v/>
      </c>
      <c r="X771" t="str">
        <f t="shared" ref="X771:X834" si="162">IF(M771="","",IF(M771&lt;1,ROUND(M771,4),CEILING(M771,5)))</f>
        <v/>
      </c>
      <c r="AB771" t="str">
        <f t="shared" si="156"/>
        <v>0.3426</v>
      </c>
    </row>
    <row r="772" ht="16.25" spans="1:28">
      <c r="A772" s="39">
        <v>304</v>
      </c>
      <c r="B772" s="8">
        <v>160903</v>
      </c>
      <c r="C772" s="23">
        <v>11</v>
      </c>
      <c r="D772" s="109">
        <v>0.0065</v>
      </c>
      <c r="H772" s="23">
        <v>11</v>
      </c>
      <c r="K772" s="84">
        <f t="shared" si="157"/>
        <v>0.039</v>
      </c>
      <c r="L772" s="84" t="str">
        <f t="shared" si="158"/>
        <v/>
      </c>
      <c r="M772" s="84" t="str">
        <f t="shared" si="159"/>
        <v/>
      </c>
      <c r="V772">
        <f t="shared" si="160"/>
        <v>0.039</v>
      </c>
      <c r="W772" t="str">
        <f t="shared" si="161"/>
        <v/>
      </c>
      <c r="X772" t="str">
        <f t="shared" si="162"/>
        <v/>
      </c>
      <c r="AB772" t="str">
        <f t="shared" si="156"/>
        <v>0.039</v>
      </c>
    </row>
    <row r="773" ht="16.25" spans="1:28">
      <c r="A773" s="39">
        <v>304</v>
      </c>
      <c r="B773" s="8">
        <v>160903</v>
      </c>
      <c r="C773" s="23">
        <v>4</v>
      </c>
      <c r="D773" s="111">
        <v>12.14</v>
      </c>
      <c r="H773" s="23">
        <v>4</v>
      </c>
      <c r="K773" s="84">
        <f t="shared" si="157"/>
        <v>24.28</v>
      </c>
      <c r="L773" s="84" t="str">
        <f t="shared" si="158"/>
        <v/>
      </c>
      <c r="M773" s="84" t="str">
        <f t="shared" si="159"/>
        <v/>
      </c>
      <c r="V773">
        <f t="shared" si="160"/>
        <v>25</v>
      </c>
      <c r="W773" t="str">
        <f t="shared" si="161"/>
        <v/>
      </c>
      <c r="X773" t="str">
        <f t="shared" si="162"/>
        <v/>
      </c>
      <c r="AB773" t="str">
        <f t="shared" si="156"/>
        <v>25</v>
      </c>
    </row>
    <row r="774" ht="16.25" spans="1:28">
      <c r="A774" s="31">
        <v>401</v>
      </c>
      <c r="B774" s="8">
        <v>120004</v>
      </c>
      <c r="C774" s="23" t="s">
        <v>227</v>
      </c>
      <c r="D774" s="8">
        <v>6</v>
      </c>
      <c r="E774">
        <v>298</v>
      </c>
      <c r="H774" s="23">
        <v>3</v>
      </c>
      <c r="I774">
        <v>2</v>
      </c>
      <c r="K774" s="84">
        <f t="shared" si="157"/>
        <v>6</v>
      </c>
      <c r="L774" s="84">
        <f t="shared" si="158"/>
        <v>298</v>
      </c>
      <c r="M774" s="84" t="str">
        <f t="shared" si="159"/>
        <v/>
      </c>
      <c r="V774">
        <f t="shared" si="160"/>
        <v>10</v>
      </c>
      <c r="W774">
        <f t="shared" si="161"/>
        <v>300</v>
      </c>
      <c r="X774" t="str">
        <f t="shared" si="162"/>
        <v/>
      </c>
      <c r="AB774" t="str">
        <f t="shared" si="156"/>
        <v>10,300</v>
      </c>
    </row>
    <row r="775" ht="16.25" spans="1:28">
      <c r="A775" s="31">
        <v>401</v>
      </c>
      <c r="B775" s="8">
        <v>130004</v>
      </c>
      <c r="C775" s="23" t="s">
        <v>227</v>
      </c>
      <c r="D775" s="8">
        <v>7</v>
      </c>
      <c r="E775">
        <v>384</v>
      </c>
      <c r="H775" s="23">
        <v>3</v>
      </c>
      <c r="I775">
        <v>2</v>
      </c>
      <c r="K775" s="84">
        <f t="shared" si="157"/>
        <v>7</v>
      </c>
      <c r="L775" s="84">
        <f t="shared" si="158"/>
        <v>384</v>
      </c>
      <c r="M775" s="84" t="str">
        <f t="shared" si="159"/>
        <v/>
      </c>
      <c r="V775">
        <f t="shared" si="160"/>
        <v>10</v>
      </c>
      <c r="W775">
        <f t="shared" si="161"/>
        <v>385</v>
      </c>
      <c r="X775" t="str">
        <f t="shared" si="162"/>
        <v/>
      </c>
      <c r="AB775" t="str">
        <f t="shared" si="156"/>
        <v>10,385</v>
      </c>
    </row>
    <row r="776" ht="16.25" spans="1:28">
      <c r="A776" s="31">
        <v>401</v>
      </c>
      <c r="B776" s="8">
        <v>140004</v>
      </c>
      <c r="C776" s="23" t="s">
        <v>227</v>
      </c>
      <c r="D776" s="8">
        <v>11</v>
      </c>
      <c r="E776">
        <v>597</v>
      </c>
      <c r="H776" s="23">
        <v>3</v>
      </c>
      <c r="I776">
        <v>2</v>
      </c>
      <c r="K776" s="84">
        <f t="shared" si="157"/>
        <v>11</v>
      </c>
      <c r="L776" s="84">
        <f t="shared" si="158"/>
        <v>597</v>
      </c>
      <c r="M776" s="84" t="str">
        <f t="shared" si="159"/>
        <v/>
      </c>
      <c r="V776">
        <f t="shared" si="160"/>
        <v>15</v>
      </c>
      <c r="W776">
        <f t="shared" si="161"/>
        <v>600</v>
      </c>
      <c r="X776" t="str">
        <f t="shared" si="162"/>
        <v/>
      </c>
      <c r="AB776" t="str">
        <f t="shared" si="156"/>
        <v>15,600</v>
      </c>
    </row>
    <row r="777" ht="16.25" spans="1:28">
      <c r="A777" s="31">
        <v>401</v>
      </c>
      <c r="B777" s="8">
        <v>140104</v>
      </c>
      <c r="C777" s="23" t="s">
        <v>227</v>
      </c>
      <c r="D777" s="8">
        <v>9</v>
      </c>
      <c r="E777">
        <v>478</v>
      </c>
      <c r="H777" s="23">
        <v>3</v>
      </c>
      <c r="I777">
        <v>2</v>
      </c>
      <c r="K777" s="84">
        <f t="shared" si="157"/>
        <v>9</v>
      </c>
      <c r="L777" s="84">
        <f t="shared" si="158"/>
        <v>478</v>
      </c>
      <c r="M777" s="84" t="str">
        <f t="shared" si="159"/>
        <v/>
      </c>
      <c r="V777">
        <f t="shared" si="160"/>
        <v>10</v>
      </c>
      <c r="W777">
        <f t="shared" si="161"/>
        <v>480</v>
      </c>
      <c r="X777" t="str">
        <f t="shared" si="162"/>
        <v/>
      </c>
      <c r="AB777" t="str">
        <f t="shared" si="156"/>
        <v>10,480</v>
      </c>
    </row>
    <row r="778" ht="16.25" spans="1:28">
      <c r="A778" s="31">
        <v>401</v>
      </c>
      <c r="B778" s="8">
        <v>140204</v>
      </c>
      <c r="C778" s="23" t="s">
        <v>227</v>
      </c>
      <c r="D778" s="8">
        <v>14</v>
      </c>
      <c r="E778">
        <v>746</v>
      </c>
      <c r="H778" s="23">
        <v>3</v>
      </c>
      <c r="I778">
        <v>2</v>
      </c>
      <c r="K778" s="84">
        <f t="shared" si="157"/>
        <v>14</v>
      </c>
      <c r="L778" s="84">
        <f t="shared" si="158"/>
        <v>746</v>
      </c>
      <c r="M778" s="84" t="str">
        <f t="shared" si="159"/>
        <v/>
      </c>
      <c r="V778">
        <f t="shared" si="160"/>
        <v>15</v>
      </c>
      <c r="W778">
        <f t="shared" si="161"/>
        <v>750</v>
      </c>
      <c r="X778" t="str">
        <f t="shared" si="162"/>
        <v/>
      </c>
      <c r="AB778" t="str">
        <f t="shared" si="156"/>
        <v>15,750</v>
      </c>
    </row>
    <row r="779" ht="16.25" spans="1:28">
      <c r="A779" s="31">
        <v>401</v>
      </c>
      <c r="B779" s="8">
        <v>150104</v>
      </c>
      <c r="C779" s="23" t="s">
        <v>227</v>
      </c>
      <c r="D779" s="8">
        <v>24</v>
      </c>
      <c r="E779">
        <v>1280</v>
      </c>
      <c r="H779" s="23">
        <v>3</v>
      </c>
      <c r="I779">
        <v>2</v>
      </c>
      <c r="K779" s="84">
        <f t="shared" si="157"/>
        <v>24</v>
      </c>
      <c r="L779" s="84">
        <f t="shared" si="158"/>
        <v>1280</v>
      </c>
      <c r="M779" s="84" t="str">
        <f t="shared" si="159"/>
        <v/>
      </c>
      <c r="V779">
        <f t="shared" si="160"/>
        <v>25</v>
      </c>
      <c r="W779">
        <f t="shared" si="161"/>
        <v>1280</v>
      </c>
      <c r="X779" t="str">
        <f t="shared" si="162"/>
        <v/>
      </c>
      <c r="AB779" t="str">
        <f t="shared" si="156"/>
        <v>25,1280</v>
      </c>
    </row>
    <row r="780" ht="16.25" spans="1:28">
      <c r="A780" s="31">
        <v>401</v>
      </c>
      <c r="B780" s="8">
        <v>150204</v>
      </c>
      <c r="C780" s="23" t="s">
        <v>227</v>
      </c>
      <c r="D780" s="8">
        <v>24</v>
      </c>
      <c r="E780">
        <v>1280</v>
      </c>
      <c r="H780" s="23">
        <v>3</v>
      </c>
      <c r="I780">
        <v>2</v>
      </c>
      <c r="K780" s="84">
        <f t="shared" si="157"/>
        <v>24</v>
      </c>
      <c r="L780" s="84">
        <f t="shared" si="158"/>
        <v>1280</v>
      </c>
      <c r="M780" s="84" t="str">
        <f t="shared" si="159"/>
        <v/>
      </c>
      <c r="V780">
        <f t="shared" si="160"/>
        <v>25</v>
      </c>
      <c r="W780">
        <f t="shared" si="161"/>
        <v>1280</v>
      </c>
      <c r="X780" t="str">
        <f t="shared" si="162"/>
        <v/>
      </c>
      <c r="AB780" t="str">
        <f t="shared" si="156"/>
        <v>25,1280</v>
      </c>
    </row>
    <row r="781" ht="16.25" spans="1:28">
      <c r="A781" s="31">
        <v>401</v>
      </c>
      <c r="B781" s="8">
        <v>150304</v>
      </c>
      <c r="C781" s="23" t="s">
        <v>227</v>
      </c>
      <c r="D781" s="8">
        <v>24</v>
      </c>
      <c r="E781">
        <v>1280</v>
      </c>
      <c r="H781" s="23">
        <v>3</v>
      </c>
      <c r="I781">
        <v>2</v>
      </c>
      <c r="K781" s="84">
        <f t="shared" si="157"/>
        <v>24</v>
      </c>
      <c r="L781" s="84">
        <f t="shared" si="158"/>
        <v>1280</v>
      </c>
      <c r="M781" s="84" t="str">
        <f t="shared" si="159"/>
        <v/>
      </c>
      <c r="V781">
        <f t="shared" si="160"/>
        <v>25</v>
      </c>
      <c r="W781">
        <f t="shared" si="161"/>
        <v>1280</v>
      </c>
      <c r="X781" t="str">
        <f t="shared" si="162"/>
        <v/>
      </c>
      <c r="AB781" t="str">
        <f t="shared" si="156"/>
        <v>25,1280</v>
      </c>
    </row>
    <row r="782" ht="16.25" spans="1:28">
      <c r="A782" s="31">
        <v>401</v>
      </c>
      <c r="B782" s="8">
        <v>150404</v>
      </c>
      <c r="C782" s="23" t="s">
        <v>227</v>
      </c>
      <c r="D782" s="8">
        <v>24</v>
      </c>
      <c r="E782">
        <v>1280</v>
      </c>
      <c r="H782" s="23">
        <v>3</v>
      </c>
      <c r="I782">
        <v>2</v>
      </c>
      <c r="K782" s="84">
        <f t="shared" si="157"/>
        <v>24</v>
      </c>
      <c r="L782" s="84">
        <f t="shared" si="158"/>
        <v>1280</v>
      </c>
      <c r="M782" s="84" t="str">
        <f t="shared" si="159"/>
        <v/>
      </c>
      <c r="V782">
        <f t="shared" si="160"/>
        <v>25</v>
      </c>
      <c r="W782">
        <f t="shared" si="161"/>
        <v>1280</v>
      </c>
      <c r="X782" t="str">
        <f t="shared" si="162"/>
        <v/>
      </c>
      <c r="AB782" t="str">
        <f t="shared" si="156"/>
        <v>25,1280</v>
      </c>
    </row>
    <row r="783" ht="16.25" spans="1:28">
      <c r="A783" s="31">
        <v>401</v>
      </c>
      <c r="B783" s="8">
        <v>150504</v>
      </c>
      <c r="C783" s="23" t="s">
        <v>227</v>
      </c>
      <c r="D783" s="8">
        <v>24</v>
      </c>
      <c r="E783">
        <v>1280</v>
      </c>
      <c r="H783" s="23">
        <v>3</v>
      </c>
      <c r="I783">
        <v>2</v>
      </c>
      <c r="K783" s="84">
        <f t="shared" si="157"/>
        <v>24</v>
      </c>
      <c r="L783" s="84">
        <f t="shared" si="158"/>
        <v>1280</v>
      </c>
      <c r="M783" s="84" t="str">
        <f t="shared" si="159"/>
        <v/>
      </c>
      <c r="V783">
        <f t="shared" si="160"/>
        <v>25</v>
      </c>
      <c r="W783">
        <f t="shared" si="161"/>
        <v>1280</v>
      </c>
      <c r="X783" t="str">
        <f t="shared" si="162"/>
        <v/>
      </c>
      <c r="AB783" t="str">
        <f t="shared" si="156"/>
        <v>25,1280</v>
      </c>
    </row>
    <row r="784" ht="16.25" spans="1:28">
      <c r="A784" s="31">
        <v>401</v>
      </c>
      <c r="B784" s="8">
        <v>150604</v>
      </c>
      <c r="C784" s="23" t="s">
        <v>227</v>
      </c>
      <c r="D784" s="8">
        <v>24</v>
      </c>
      <c r="E784">
        <v>1280</v>
      </c>
      <c r="H784" s="23">
        <v>3</v>
      </c>
      <c r="I784">
        <v>2</v>
      </c>
      <c r="K784" s="84">
        <f t="shared" si="157"/>
        <v>24</v>
      </c>
      <c r="L784" s="84">
        <f t="shared" si="158"/>
        <v>1280</v>
      </c>
      <c r="M784" s="84" t="str">
        <f t="shared" si="159"/>
        <v/>
      </c>
      <c r="V784">
        <f t="shared" si="160"/>
        <v>25</v>
      </c>
      <c r="W784">
        <f t="shared" si="161"/>
        <v>1280</v>
      </c>
      <c r="X784" t="str">
        <f t="shared" si="162"/>
        <v/>
      </c>
      <c r="AB784" t="str">
        <f t="shared" si="156"/>
        <v>25,1280</v>
      </c>
    </row>
    <row r="785" ht="16.25" spans="1:28">
      <c r="A785" s="31">
        <v>401</v>
      </c>
      <c r="B785" s="8">
        <v>150704</v>
      </c>
      <c r="C785" s="23" t="s">
        <v>227</v>
      </c>
      <c r="D785" s="8">
        <v>24</v>
      </c>
      <c r="E785">
        <v>1280</v>
      </c>
      <c r="H785" s="23">
        <v>3</v>
      </c>
      <c r="I785">
        <v>2</v>
      </c>
      <c r="K785" s="84">
        <f t="shared" si="157"/>
        <v>24</v>
      </c>
      <c r="L785" s="84">
        <f t="shared" si="158"/>
        <v>1280</v>
      </c>
      <c r="M785" s="84" t="str">
        <f t="shared" si="159"/>
        <v/>
      </c>
      <c r="V785">
        <f t="shared" si="160"/>
        <v>25</v>
      </c>
      <c r="W785">
        <f t="shared" si="161"/>
        <v>1280</v>
      </c>
      <c r="X785" t="str">
        <f t="shared" si="162"/>
        <v/>
      </c>
      <c r="AB785" t="str">
        <f t="shared" si="156"/>
        <v>25,1280</v>
      </c>
    </row>
    <row r="786" ht="16.25" spans="1:28">
      <c r="A786" s="31">
        <v>401</v>
      </c>
      <c r="B786" s="8">
        <v>150804</v>
      </c>
      <c r="C786" s="23" t="s">
        <v>227</v>
      </c>
      <c r="D786" s="8">
        <v>24</v>
      </c>
      <c r="E786">
        <v>1280</v>
      </c>
      <c r="H786" s="23">
        <v>3</v>
      </c>
      <c r="I786">
        <v>2</v>
      </c>
      <c r="K786" s="84">
        <f t="shared" si="157"/>
        <v>24</v>
      </c>
      <c r="L786" s="84">
        <f t="shared" si="158"/>
        <v>1280</v>
      </c>
      <c r="M786" s="84" t="str">
        <f t="shared" si="159"/>
        <v/>
      </c>
      <c r="V786">
        <f t="shared" si="160"/>
        <v>25</v>
      </c>
      <c r="W786">
        <f t="shared" si="161"/>
        <v>1280</v>
      </c>
      <c r="X786" t="str">
        <f t="shared" si="162"/>
        <v/>
      </c>
      <c r="AB786" t="str">
        <f t="shared" si="156"/>
        <v>25,1280</v>
      </c>
    </row>
    <row r="787" ht="16.25" spans="1:28">
      <c r="A787" s="31">
        <v>401</v>
      </c>
      <c r="B787" s="8">
        <v>150904</v>
      </c>
      <c r="C787" s="23" t="s">
        <v>227</v>
      </c>
      <c r="D787" s="8">
        <v>24</v>
      </c>
      <c r="E787">
        <v>1280</v>
      </c>
      <c r="H787" s="23">
        <v>3</v>
      </c>
      <c r="I787">
        <v>2</v>
      </c>
      <c r="K787" s="84">
        <f t="shared" si="157"/>
        <v>24</v>
      </c>
      <c r="L787" s="84">
        <f t="shared" si="158"/>
        <v>1280</v>
      </c>
      <c r="M787" s="84" t="str">
        <f t="shared" si="159"/>
        <v/>
      </c>
      <c r="V787">
        <f t="shared" si="160"/>
        <v>25</v>
      </c>
      <c r="W787">
        <f t="shared" si="161"/>
        <v>1280</v>
      </c>
      <c r="X787" t="str">
        <f t="shared" si="162"/>
        <v/>
      </c>
      <c r="AB787" t="str">
        <f t="shared" si="156"/>
        <v>25,1280</v>
      </c>
    </row>
    <row r="788" ht="16.25" spans="1:28">
      <c r="A788" s="31">
        <v>401</v>
      </c>
      <c r="B788" s="8">
        <v>160104</v>
      </c>
      <c r="C788" s="23" t="s">
        <v>227</v>
      </c>
      <c r="D788" s="8">
        <v>40</v>
      </c>
      <c r="E788">
        <v>2133</v>
      </c>
      <c r="H788" s="23">
        <v>3</v>
      </c>
      <c r="I788">
        <v>2</v>
      </c>
      <c r="K788" s="84">
        <f t="shared" si="157"/>
        <v>40</v>
      </c>
      <c r="L788" s="84">
        <f t="shared" si="158"/>
        <v>2133</v>
      </c>
      <c r="M788" s="84" t="str">
        <f t="shared" si="159"/>
        <v/>
      </c>
      <c r="V788">
        <f t="shared" si="160"/>
        <v>40</v>
      </c>
      <c r="W788">
        <f t="shared" si="161"/>
        <v>2135</v>
      </c>
      <c r="X788" t="str">
        <f t="shared" si="162"/>
        <v/>
      </c>
      <c r="AB788" t="str">
        <f t="shared" si="156"/>
        <v>40,2135</v>
      </c>
    </row>
    <row r="789" ht="16.25" spans="1:28">
      <c r="A789" s="31">
        <v>401</v>
      </c>
      <c r="B789" s="8">
        <v>160204</v>
      </c>
      <c r="C789" s="23" t="s">
        <v>227</v>
      </c>
      <c r="D789" s="8">
        <v>40</v>
      </c>
      <c r="E789">
        <v>2133</v>
      </c>
      <c r="H789" s="23">
        <v>3</v>
      </c>
      <c r="I789">
        <v>2</v>
      </c>
      <c r="K789" s="84">
        <f t="shared" si="157"/>
        <v>40</v>
      </c>
      <c r="L789" s="84">
        <f t="shared" si="158"/>
        <v>2133</v>
      </c>
      <c r="M789" s="84" t="str">
        <f t="shared" si="159"/>
        <v/>
      </c>
      <c r="V789">
        <f t="shared" si="160"/>
        <v>40</v>
      </c>
      <c r="W789">
        <f t="shared" si="161"/>
        <v>2135</v>
      </c>
      <c r="X789" t="str">
        <f t="shared" si="162"/>
        <v/>
      </c>
      <c r="AB789" t="str">
        <f t="shared" si="156"/>
        <v>40,2135</v>
      </c>
    </row>
    <row r="790" ht="16.25" spans="1:28">
      <c r="A790" s="31">
        <v>401</v>
      </c>
      <c r="B790" s="8">
        <v>160304</v>
      </c>
      <c r="C790" s="23" t="s">
        <v>227</v>
      </c>
      <c r="D790" s="8">
        <v>40</v>
      </c>
      <c r="E790">
        <v>2133</v>
      </c>
      <c r="H790" s="23">
        <v>3</v>
      </c>
      <c r="I790">
        <v>2</v>
      </c>
      <c r="K790" s="84">
        <f t="shared" si="157"/>
        <v>40</v>
      </c>
      <c r="L790" s="84">
        <f t="shared" si="158"/>
        <v>2133</v>
      </c>
      <c r="M790" s="84" t="str">
        <f t="shared" si="159"/>
        <v/>
      </c>
      <c r="V790">
        <f t="shared" si="160"/>
        <v>40</v>
      </c>
      <c r="W790">
        <f t="shared" si="161"/>
        <v>2135</v>
      </c>
      <c r="X790" t="str">
        <f t="shared" si="162"/>
        <v/>
      </c>
      <c r="AB790" t="str">
        <f t="shared" si="156"/>
        <v>40,2135</v>
      </c>
    </row>
    <row r="791" ht="16.25" spans="1:28">
      <c r="A791" s="31">
        <v>401</v>
      </c>
      <c r="B791" s="8">
        <v>160404</v>
      </c>
      <c r="C791" s="23" t="s">
        <v>227</v>
      </c>
      <c r="D791" s="8">
        <v>40</v>
      </c>
      <c r="E791">
        <v>2133</v>
      </c>
      <c r="H791" s="23">
        <v>3</v>
      </c>
      <c r="I791">
        <v>2</v>
      </c>
      <c r="K791" s="84">
        <f t="shared" si="157"/>
        <v>40</v>
      </c>
      <c r="L791" s="84">
        <f t="shared" si="158"/>
        <v>2133</v>
      </c>
      <c r="M791" s="84" t="str">
        <f t="shared" si="159"/>
        <v/>
      </c>
      <c r="V791">
        <f t="shared" si="160"/>
        <v>40</v>
      </c>
      <c r="W791">
        <f t="shared" si="161"/>
        <v>2135</v>
      </c>
      <c r="X791" t="str">
        <f t="shared" si="162"/>
        <v/>
      </c>
      <c r="AB791" t="str">
        <f t="shared" si="156"/>
        <v>40,2135</v>
      </c>
    </row>
    <row r="792" ht="16.25" spans="1:28">
      <c r="A792" s="31">
        <v>401</v>
      </c>
      <c r="B792" s="8">
        <v>160504</v>
      </c>
      <c r="C792" s="23" t="s">
        <v>227</v>
      </c>
      <c r="D792" s="8">
        <v>40</v>
      </c>
      <c r="E792">
        <v>2133</v>
      </c>
      <c r="H792" s="23">
        <v>3</v>
      </c>
      <c r="I792">
        <v>2</v>
      </c>
      <c r="K792" s="84">
        <f t="shared" si="157"/>
        <v>40</v>
      </c>
      <c r="L792" s="84">
        <f t="shared" si="158"/>
        <v>2133</v>
      </c>
      <c r="M792" s="84" t="str">
        <f t="shared" si="159"/>
        <v/>
      </c>
      <c r="V792">
        <f t="shared" si="160"/>
        <v>40</v>
      </c>
      <c r="W792">
        <f t="shared" si="161"/>
        <v>2135</v>
      </c>
      <c r="X792" t="str">
        <f t="shared" si="162"/>
        <v/>
      </c>
      <c r="AB792" t="str">
        <f t="shared" si="156"/>
        <v>40,2135</v>
      </c>
    </row>
    <row r="793" ht="16.25" spans="1:28">
      <c r="A793" s="31">
        <v>401</v>
      </c>
      <c r="B793" s="8">
        <v>160604</v>
      </c>
      <c r="C793" s="23" t="s">
        <v>227</v>
      </c>
      <c r="D793" s="8">
        <v>40</v>
      </c>
      <c r="E793">
        <v>2133</v>
      </c>
      <c r="H793" s="23">
        <v>3</v>
      </c>
      <c r="I793">
        <v>2</v>
      </c>
      <c r="K793" s="84">
        <f t="shared" si="157"/>
        <v>40</v>
      </c>
      <c r="L793" s="84">
        <f t="shared" si="158"/>
        <v>2133</v>
      </c>
      <c r="M793" s="84" t="str">
        <f t="shared" si="159"/>
        <v/>
      </c>
      <c r="V793">
        <f t="shared" si="160"/>
        <v>40</v>
      </c>
      <c r="W793">
        <f t="shared" si="161"/>
        <v>2135</v>
      </c>
      <c r="X793" t="str">
        <f t="shared" si="162"/>
        <v/>
      </c>
      <c r="AB793" t="str">
        <f t="shared" si="156"/>
        <v>40,2135</v>
      </c>
    </row>
    <row r="794" ht="16.25" spans="1:28">
      <c r="A794" s="31">
        <v>401</v>
      </c>
      <c r="B794" s="8">
        <v>160704</v>
      </c>
      <c r="C794" s="23" t="s">
        <v>227</v>
      </c>
      <c r="D794" s="8">
        <v>40</v>
      </c>
      <c r="E794">
        <v>2133</v>
      </c>
      <c r="H794" s="23">
        <v>3</v>
      </c>
      <c r="I794">
        <v>2</v>
      </c>
      <c r="K794" s="84">
        <f t="shared" si="157"/>
        <v>40</v>
      </c>
      <c r="L794" s="84">
        <f t="shared" si="158"/>
        <v>2133</v>
      </c>
      <c r="M794" s="84" t="str">
        <f t="shared" si="159"/>
        <v/>
      </c>
      <c r="V794">
        <f t="shared" si="160"/>
        <v>40</v>
      </c>
      <c r="W794">
        <f t="shared" si="161"/>
        <v>2135</v>
      </c>
      <c r="X794" t="str">
        <f t="shared" si="162"/>
        <v/>
      </c>
      <c r="AB794" t="str">
        <f t="shared" si="156"/>
        <v>40,2135</v>
      </c>
    </row>
    <row r="795" ht="16.25" spans="1:28">
      <c r="A795" s="31">
        <v>401</v>
      </c>
      <c r="B795" s="8">
        <v>160804</v>
      </c>
      <c r="C795" s="23" t="s">
        <v>227</v>
      </c>
      <c r="D795" s="8">
        <v>40</v>
      </c>
      <c r="E795">
        <v>2133</v>
      </c>
      <c r="H795" s="23">
        <v>3</v>
      </c>
      <c r="I795">
        <v>2</v>
      </c>
      <c r="K795" s="84">
        <f t="shared" si="157"/>
        <v>40</v>
      </c>
      <c r="L795" s="84">
        <f t="shared" si="158"/>
        <v>2133</v>
      </c>
      <c r="M795" s="84" t="str">
        <f t="shared" si="159"/>
        <v/>
      </c>
      <c r="V795">
        <f t="shared" si="160"/>
        <v>40</v>
      </c>
      <c r="W795">
        <f t="shared" si="161"/>
        <v>2135</v>
      </c>
      <c r="X795" t="str">
        <f t="shared" si="162"/>
        <v/>
      </c>
      <c r="AB795" t="str">
        <f t="shared" si="156"/>
        <v>40,2135</v>
      </c>
    </row>
    <row r="796" ht="16.25" spans="1:28">
      <c r="A796" s="31">
        <v>401</v>
      </c>
      <c r="B796" s="8">
        <v>160904</v>
      </c>
      <c r="C796" s="23" t="s">
        <v>227</v>
      </c>
      <c r="D796" s="8">
        <v>40</v>
      </c>
      <c r="E796">
        <v>2133</v>
      </c>
      <c r="H796" s="23">
        <v>3</v>
      </c>
      <c r="I796">
        <v>2</v>
      </c>
      <c r="K796" s="84">
        <f t="shared" si="157"/>
        <v>40</v>
      </c>
      <c r="L796" s="84">
        <f t="shared" si="158"/>
        <v>2133</v>
      </c>
      <c r="M796" s="84" t="str">
        <f t="shared" si="159"/>
        <v/>
      </c>
      <c r="V796">
        <f t="shared" si="160"/>
        <v>40</v>
      </c>
      <c r="W796">
        <f t="shared" si="161"/>
        <v>2135</v>
      </c>
      <c r="X796" t="str">
        <f t="shared" si="162"/>
        <v/>
      </c>
      <c r="AB796" t="str">
        <f t="shared" si="156"/>
        <v>40,2135</v>
      </c>
    </row>
    <row r="797" ht="16.25" spans="1:28">
      <c r="A797" s="31">
        <v>402</v>
      </c>
      <c r="B797" s="8">
        <v>140004</v>
      </c>
      <c r="C797" s="23" t="s">
        <v>227</v>
      </c>
      <c r="D797" s="8">
        <v>18</v>
      </c>
      <c r="E797">
        <v>942</v>
      </c>
      <c r="H797" s="23">
        <v>3</v>
      </c>
      <c r="I797">
        <v>2</v>
      </c>
      <c r="K797" s="84">
        <f t="shared" si="157"/>
        <v>18</v>
      </c>
      <c r="L797" s="84">
        <f t="shared" si="158"/>
        <v>942</v>
      </c>
      <c r="M797" s="84" t="str">
        <f t="shared" si="159"/>
        <v/>
      </c>
      <c r="V797">
        <f t="shared" si="160"/>
        <v>20</v>
      </c>
      <c r="W797">
        <f t="shared" si="161"/>
        <v>945</v>
      </c>
      <c r="X797" t="str">
        <f t="shared" si="162"/>
        <v/>
      </c>
      <c r="AB797" t="str">
        <f t="shared" si="156"/>
        <v>20,945</v>
      </c>
    </row>
    <row r="798" ht="16.25" spans="1:28">
      <c r="A798" s="31">
        <v>402</v>
      </c>
      <c r="B798" s="8">
        <v>140104</v>
      </c>
      <c r="C798" s="23" t="s">
        <v>227</v>
      </c>
      <c r="D798" s="8">
        <v>14</v>
      </c>
      <c r="E798">
        <v>754</v>
      </c>
      <c r="H798" s="23">
        <v>3</v>
      </c>
      <c r="I798">
        <v>2</v>
      </c>
      <c r="K798" s="84">
        <f t="shared" si="157"/>
        <v>14</v>
      </c>
      <c r="L798" s="84">
        <f t="shared" si="158"/>
        <v>754</v>
      </c>
      <c r="M798" s="84" t="str">
        <f t="shared" si="159"/>
        <v/>
      </c>
      <c r="V798">
        <f t="shared" si="160"/>
        <v>15</v>
      </c>
      <c r="W798">
        <f t="shared" si="161"/>
        <v>755</v>
      </c>
      <c r="X798" t="str">
        <f t="shared" si="162"/>
        <v/>
      </c>
      <c r="AB798" t="str">
        <f t="shared" si="156"/>
        <v>15,755</v>
      </c>
    </row>
    <row r="799" ht="16.25" spans="1:28">
      <c r="A799" s="31">
        <v>402</v>
      </c>
      <c r="B799" s="8">
        <v>140204</v>
      </c>
      <c r="C799" s="23" t="s">
        <v>227</v>
      </c>
      <c r="D799" s="8">
        <v>22</v>
      </c>
      <c r="E799">
        <v>1178</v>
      </c>
      <c r="H799" s="23">
        <v>3</v>
      </c>
      <c r="I799">
        <v>2</v>
      </c>
      <c r="K799" s="84">
        <f t="shared" si="157"/>
        <v>22</v>
      </c>
      <c r="L799" s="84">
        <f t="shared" si="158"/>
        <v>1178</v>
      </c>
      <c r="M799" s="84" t="str">
        <f t="shared" si="159"/>
        <v/>
      </c>
      <c r="V799">
        <f t="shared" si="160"/>
        <v>25</v>
      </c>
      <c r="W799">
        <f t="shared" si="161"/>
        <v>1180</v>
      </c>
      <c r="X799" t="str">
        <f t="shared" si="162"/>
        <v/>
      </c>
      <c r="AB799" t="str">
        <f t="shared" si="156"/>
        <v>25,1180</v>
      </c>
    </row>
    <row r="800" ht="16.25" spans="1:28">
      <c r="A800" s="31">
        <v>402</v>
      </c>
      <c r="B800" s="8">
        <v>150104</v>
      </c>
      <c r="C800" s="23" t="s">
        <v>227</v>
      </c>
      <c r="D800" s="8">
        <v>37</v>
      </c>
      <c r="E800">
        <v>1942</v>
      </c>
      <c r="H800" s="23">
        <v>3</v>
      </c>
      <c r="I800">
        <v>2</v>
      </c>
      <c r="K800" s="84">
        <f t="shared" si="157"/>
        <v>37</v>
      </c>
      <c r="L800" s="84">
        <f t="shared" si="158"/>
        <v>1942</v>
      </c>
      <c r="M800" s="84" t="str">
        <f t="shared" si="159"/>
        <v/>
      </c>
      <c r="V800">
        <f t="shared" si="160"/>
        <v>40</v>
      </c>
      <c r="W800">
        <f t="shared" si="161"/>
        <v>1945</v>
      </c>
      <c r="X800" t="str">
        <f t="shared" si="162"/>
        <v/>
      </c>
      <c r="AB800" t="str">
        <f t="shared" si="156"/>
        <v>40,1945</v>
      </c>
    </row>
    <row r="801" ht="16.25" spans="1:28">
      <c r="A801" s="31">
        <v>402</v>
      </c>
      <c r="B801" s="8">
        <v>150204</v>
      </c>
      <c r="C801" s="23" t="s">
        <v>227</v>
      </c>
      <c r="D801" s="8">
        <v>37</v>
      </c>
      <c r="E801">
        <v>1942</v>
      </c>
      <c r="H801" s="23">
        <v>3</v>
      </c>
      <c r="I801">
        <v>2</v>
      </c>
      <c r="K801" s="84">
        <f t="shared" si="157"/>
        <v>37</v>
      </c>
      <c r="L801" s="84">
        <f t="shared" si="158"/>
        <v>1942</v>
      </c>
      <c r="M801" s="84" t="str">
        <f t="shared" si="159"/>
        <v/>
      </c>
      <c r="V801">
        <f t="shared" si="160"/>
        <v>40</v>
      </c>
      <c r="W801">
        <f t="shared" si="161"/>
        <v>1945</v>
      </c>
      <c r="X801" t="str">
        <f t="shared" si="162"/>
        <v/>
      </c>
      <c r="AB801" t="str">
        <f t="shared" si="156"/>
        <v>40,1945</v>
      </c>
    </row>
    <row r="802" ht="16.25" spans="1:28">
      <c r="A802" s="31">
        <v>402</v>
      </c>
      <c r="B802" s="8">
        <v>150304</v>
      </c>
      <c r="C802" s="23" t="s">
        <v>227</v>
      </c>
      <c r="D802" s="8">
        <v>37</v>
      </c>
      <c r="E802">
        <v>1942</v>
      </c>
      <c r="H802" s="23">
        <v>3</v>
      </c>
      <c r="I802">
        <v>2</v>
      </c>
      <c r="K802" s="84">
        <f t="shared" si="157"/>
        <v>37</v>
      </c>
      <c r="L802" s="84">
        <f t="shared" si="158"/>
        <v>1942</v>
      </c>
      <c r="M802" s="84" t="str">
        <f t="shared" si="159"/>
        <v/>
      </c>
      <c r="V802">
        <f t="shared" si="160"/>
        <v>40</v>
      </c>
      <c r="W802">
        <f t="shared" si="161"/>
        <v>1945</v>
      </c>
      <c r="X802" t="str">
        <f t="shared" si="162"/>
        <v/>
      </c>
      <c r="AB802" t="str">
        <f t="shared" si="156"/>
        <v>40,1945</v>
      </c>
    </row>
    <row r="803" ht="16.25" spans="1:28">
      <c r="A803" s="31">
        <v>402</v>
      </c>
      <c r="B803" s="8">
        <v>150404</v>
      </c>
      <c r="C803" s="23" t="s">
        <v>227</v>
      </c>
      <c r="D803" s="8">
        <v>37</v>
      </c>
      <c r="E803">
        <v>1942</v>
      </c>
      <c r="H803" s="23">
        <v>3</v>
      </c>
      <c r="I803">
        <v>2</v>
      </c>
      <c r="K803" s="84">
        <f t="shared" si="157"/>
        <v>37</v>
      </c>
      <c r="L803" s="84">
        <f t="shared" si="158"/>
        <v>1942</v>
      </c>
      <c r="M803" s="84" t="str">
        <f t="shared" si="159"/>
        <v/>
      </c>
      <c r="V803">
        <f t="shared" si="160"/>
        <v>40</v>
      </c>
      <c r="W803">
        <f t="shared" si="161"/>
        <v>1945</v>
      </c>
      <c r="X803" t="str">
        <f t="shared" si="162"/>
        <v/>
      </c>
      <c r="AB803" t="str">
        <f t="shared" ref="AB803:AB866" si="163">_xlfn.TEXTJOIN(",",TRUE,V803,W803,X803)</f>
        <v>40,1945</v>
      </c>
    </row>
    <row r="804" ht="16.25" spans="1:28">
      <c r="A804" s="31">
        <v>402</v>
      </c>
      <c r="B804" s="8">
        <v>150504</v>
      </c>
      <c r="C804" s="23" t="s">
        <v>227</v>
      </c>
      <c r="D804" s="8">
        <v>37</v>
      </c>
      <c r="E804">
        <v>1942</v>
      </c>
      <c r="H804" s="23">
        <v>3</v>
      </c>
      <c r="I804">
        <v>2</v>
      </c>
      <c r="K804" s="84">
        <f t="shared" si="157"/>
        <v>37</v>
      </c>
      <c r="L804" s="84">
        <f t="shared" si="158"/>
        <v>1942</v>
      </c>
      <c r="M804" s="84" t="str">
        <f t="shared" si="159"/>
        <v/>
      </c>
      <c r="V804">
        <f t="shared" si="160"/>
        <v>40</v>
      </c>
      <c r="W804">
        <f t="shared" si="161"/>
        <v>1945</v>
      </c>
      <c r="X804" t="str">
        <f t="shared" si="162"/>
        <v/>
      </c>
      <c r="AB804" t="str">
        <f t="shared" si="163"/>
        <v>40,1945</v>
      </c>
    </row>
    <row r="805" ht="16.25" spans="1:28">
      <c r="A805" s="31">
        <v>402</v>
      </c>
      <c r="B805" s="8">
        <v>150604</v>
      </c>
      <c r="C805" s="23" t="s">
        <v>227</v>
      </c>
      <c r="D805" s="8">
        <v>37</v>
      </c>
      <c r="E805">
        <v>1942</v>
      </c>
      <c r="H805" s="23">
        <v>3</v>
      </c>
      <c r="I805">
        <v>2</v>
      </c>
      <c r="K805" s="84">
        <f t="shared" si="157"/>
        <v>37</v>
      </c>
      <c r="L805" s="84">
        <f t="shared" si="158"/>
        <v>1942</v>
      </c>
      <c r="M805" s="84" t="str">
        <f t="shared" si="159"/>
        <v/>
      </c>
      <c r="V805">
        <f t="shared" si="160"/>
        <v>40</v>
      </c>
      <c r="W805">
        <f t="shared" si="161"/>
        <v>1945</v>
      </c>
      <c r="X805" t="str">
        <f t="shared" si="162"/>
        <v/>
      </c>
      <c r="AB805" t="str">
        <f t="shared" si="163"/>
        <v>40,1945</v>
      </c>
    </row>
    <row r="806" ht="16.25" spans="1:28">
      <c r="A806" s="31">
        <v>402</v>
      </c>
      <c r="B806" s="8">
        <v>150704</v>
      </c>
      <c r="C806" s="23" t="s">
        <v>227</v>
      </c>
      <c r="D806" s="8">
        <v>37</v>
      </c>
      <c r="E806">
        <v>1942</v>
      </c>
      <c r="H806" s="23">
        <v>3</v>
      </c>
      <c r="I806">
        <v>2</v>
      </c>
      <c r="K806" s="84">
        <f t="shared" si="157"/>
        <v>37</v>
      </c>
      <c r="L806" s="84">
        <f t="shared" si="158"/>
        <v>1942</v>
      </c>
      <c r="M806" s="84" t="str">
        <f t="shared" si="159"/>
        <v/>
      </c>
      <c r="V806">
        <f t="shared" si="160"/>
        <v>40</v>
      </c>
      <c r="W806">
        <f t="shared" si="161"/>
        <v>1945</v>
      </c>
      <c r="X806" t="str">
        <f t="shared" si="162"/>
        <v/>
      </c>
      <c r="AB806" t="str">
        <f t="shared" si="163"/>
        <v>40,1945</v>
      </c>
    </row>
    <row r="807" ht="16.25" spans="1:28">
      <c r="A807" s="31">
        <v>402</v>
      </c>
      <c r="B807" s="8">
        <v>150804</v>
      </c>
      <c r="C807" s="23" t="s">
        <v>227</v>
      </c>
      <c r="D807" s="8">
        <v>37</v>
      </c>
      <c r="E807">
        <v>1942</v>
      </c>
      <c r="H807" s="23">
        <v>3</v>
      </c>
      <c r="I807">
        <v>2</v>
      </c>
      <c r="K807" s="84">
        <f t="shared" si="157"/>
        <v>37</v>
      </c>
      <c r="L807" s="84">
        <f t="shared" si="158"/>
        <v>1942</v>
      </c>
      <c r="M807" s="84" t="str">
        <f t="shared" si="159"/>
        <v/>
      </c>
      <c r="V807">
        <f t="shared" si="160"/>
        <v>40</v>
      </c>
      <c r="W807">
        <f t="shared" si="161"/>
        <v>1945</v>
      </c>
      <c r="X807" t="str">
        <f t="shared" si="162"/>
        <v/>
      </c>
      <c r="AB807" t="str">
        <f t="shared" si="163"/>
        <v>40,1945</v>
      </c>
    </row>
    <row r="808" ht="16.25" spans="1:28">
      <c r="A808" s="31">
        <v>402</v>
      </c>
      <c r="B808" s="8">
        <v>150904</v>
      </c>
      <c r="C808" s="23" t="s">
        <v>227</v>
      </c>
      <c r="D808" s="8">
        <v>37</v>
      </c>
      <c r="E808">
        <v>1942</v>
      </c>
      <c r="H808" s="23">
        <v>3</v>
      </c>
      <c r="I808">
        <v>2</v>
      </c>
      <c r="K808" s="84">
        <f t="shared" si="157"/>
        <v>37</v>
      </c>
      <c r="L808" s="84">
        <f t="shared" si="158"/>
        <v>1942</v>
      </c>
      <c r="M808" s="84" t="str">
        <f t="shared" si="159"/>
        <v/>
      </c>
      <c r="V808">
        <f t="shared" si="160"/>
        <v>40</v>
      </c>
      <c r="W808">
        <f t="shared" si="161"/>
        <v>1945</v>
      </c>
      <c r="X808" t="str">
        <f t="shared" si="162"/>
        <v/>
      </c>
      <c r="AB808" t="str">
        <f t="shared" si="163"/>
        <v>40,1945</v>
      </c>
    </row>
    <row r="809" ht="16.25" spans="1:28">
      <c r="A809" s="31">
        <v>402</v>
      </c>
      <c r="B809" s="8">
        <v>160104</v>
      </c>
      <c r="C809" s="23" t="s">
        <v>227</v>
      </c>
      <c r="D809" s="8">
        <v>68</v>
      </c>
      <c r="E809">
        <v>3606</v>
      </c>
      <c r="H809" s="23">
        <v>3</v>
      </c>
      <c r="I809">
        <v>2</v>
      </c>
      <c r="K809" s="84">
        <f t="shared" si="157"/>
        <v>68</v>
      </c>
      <c r="L809" s="84">
        <f t="shared" si="158"/>
        <v>3606</v>
      </c>
      <c r="M809" s="84" t="str">
        <f t="shared" si="159"/>
        <v/>
      </c>
      <c r="V809">
        <f t="shared" si="160"/>
        <v>70</v>
      </c>
      <c r="W809">
        <f t="shared" si="161"/>
        <v>3610</v>
      </c>
      <c r="X809" t="str">
        <f t="shared" si="162"/>
        <v/>
      </c>
      <c r="AB809" t="str">
        <f t="shared" si="163"/>
        <v>70,3610</v>
      </c>
    </row>
    <row r="810" ht="16.25" spans="1:28">
      <c r="A810" s="31">
        <v>402</v>
      </c>
      <c r="B810" s="8">
        <v>160204</v>
      </c>
      <c r="C810" s="23" t="s">
        <v>227</v>
      </c>
      <c r="D810" s="8">
        <v>68</v>
      </c>
      <c r="E810">
        <v>3606</v>
      </c>
      <c r="H810" s="23">
        <v>3</v>
      </c>
      <c r="I810">
        <v>2</v>
      </c>
      <c r="K810" s="84">
        <f t="shared" si="157"/>
        <v>68</v>
      </c>
      <c r="L810" s="84">
        <f t="shared" si="158"/>
        <v>3606</v>
      </c>
      <c r="M810" s="84" t="str">
        <f t="shared" si="159"/>
        <v/>
      </c>
      <c r="V810">
        <f t="shared" si="160"/>
        <v>70</v>
      </c>
      <c r="W810">
        <f t="shared" si="161"/>
        <v>3610</v>
      </c>
      <c r="X810" t="str">
        <f t="shared" si="162"/>
        <v/>
      </c>
      <c r="AB810" t="str">
        <f t="shared" si="163"/>
        <v>70,3610</v>
      </c>
    </row>
    <row r="811" ht="16.25" spans="1:28">
      <c r="A811" s="31">
        <v>402</v>
      </c>
      <c r="B811" s="8">
        <v>160304</v>
      </c>
      <c r="C811" s="23" t="s">
        <v>227</v>
      </c>
      <c r="D811" s="8">
        <v>68</v>
      </c>
      <c r="E811">
        <v>3606</v>
      </c>
      <c r="H811" s="23">
        <v>3</v>
      </c>
      <c r="I811">
        <v>2</v>
      </c>
      <c r="K811" s="84">
        <f t="shared" si="157"/>
        <v>68</v>
      </c>
      <c r="L811" s="84">
        <f t="shared" si="158"/>
        <v>3606</v>
      </c>
      <c r="M811" s="84" t="str">
        <f t="shared" si="159"/>
        <v/>
      </c>
      <c r="V811">
        <f t="shared" si="160"/>
        <v>70</v>
      </c>
      <c r="W811">
        <f t="shared" si="161"/>
        <v>3610</v>
      </c>
      <c r="X811" t="str">
        <f t="shared" si="162"/>
        <v/>
      </c>
      <c r="AB811" t="str">
        <f t="shared" si="163"/>
        <v>70,3610</v>
      </c>
    </row>
    <row r="812" ht="16.25" spans="1:28">
      <c r="A812" s="31">
        <v>402</v>
      </c>
      <c r="B812" s="8">
        <v>160404</v>
      </c>
      <c r="C812" s="23" t="s">
        <v>227</v>
      </c>
      <c r="D812" s="8">
        <v>68</v>
      </c>
      <c r="E812">
        <v>3606</v>
      </c>
      <c r="H812" s="23">
        <v>3</v>
      </c>
      <c r="I812">
        <v>2</v>
      </c>
      <c r="K812" s="84">
        <f t="shared" si="157"/>
        <v>68</v>
      </c>
      <c r="L812" s="84">
        <f t="shared" si="158"/>
        <v>3606</v>
      </c>
      <c r="M812" s="84" t="str">
        <f t="shared" si="159"/>
        <v/>
      </c>
      <c r="V812">
        <f t="shared" si="160"/>
        <v>70</v>
      </c>
      <c r="W812">
        <f t="shared" si="161"/>
        <v>3610</v>
      </c>
      <c r="X812" t="str">
        <f t="shared" si="162"/>
        <v/>
      </c>
      <c r="AB812" t="str">
        <f t="shared" si="163"/>
        <v>70,3610</v>
      </c>
    </row>
    <row r="813" ht="16.25" spans="1:28">
      <c r="A813" s="31">
        <v>402</v>
      </c>
      <c r="B813" s="8">
        <v>160504</v>
      </c>
      <c r="C813" s="23" t="s">
        <v>227</v>
      </c>
      <c r="D813" s="8">
        <v>68</v>
      </c>
      <c r="E813">
        <v>3606</v>
      </c>
      <c r="H813" s="23">
        <v>3</v>
      </c>
      <c r="I813">
        <v>2</v>
      </c>
      <c r="K813" s="84">
        <f t="shared" si="157"/>
        <v>68</v>
      </c>
      <c r="L813" s="84">
        <f t="shared" si="158"/>
        <v>3606</v>
      </c>
      <c r="M813" s="84" t="str">
        <f t="shared" si="159"/>
        <v/>
      </c>
      <c r="V813">
        <f t="shared" si="160"/>
        <v>70</v>
      </c>
      <c r="W813">
        <f t="shared" si="161"/>
        <v>3610</v>
      </c>
      <c r="X813" t="str">
        <f t="shared" si="162"/>
        <v/>
      </c>
      <c r="AB813" t="str">
        <f t="shared" si="163"/>
        <v>70,3610</v>
      </c>
    </row>
    <row r="814" ht="16.25" spans="1:28">
      <c r="A814" s="31">
        <v>402</v>
      </c>
      <c r="B814" s="8">
        <v>160604</v>
      </c>
      <c r="C814" s="23" t="s">
        <v>227</v>
      </c>
      <c r="D814" s="8">
        <v>68</v>
      </c>
      <c r="E814">
        <v>3606</v>
      </c>
      <c r="H814" s="23">
        <v>3</v>
      </c>
      <c r="I814">
        <v>2</v>
      </c>
      <c r="K814" s="84">
        <f t="shared" si="157"/>
        <v>68</v>
      </c>
      <c r="L814" s="84">
        <f t="shared" si="158"/>
        <v>3606</v>
      </c>
      <c r="M814" s="84" t="str">
        <f t="shared" si="159"/>
        <v/>
      </c>
      <c r="V814">
        <f t="shared" si="160"/>
        <v>70</v>
      </c>
      <c r="W814">
        <f t="shared" si="161"/>
        <v>3610</v>
      </c>
      <c r="X814" t="str">
        <f t="shared" si="162"/>
        <v/>
      </c>
      <c r="AB814" t="str">
        <f t="shared" si="163"/>
        <v>70,3610</v>
      </c>
    </row>
    <row r="815" ht="16.25" spans="1:28">
      <c r="A815" s="31">
        <v>402</v>
      </c>
      <c r="B815" s="8">
        <v>160704</v>
      </c>
      <c r="C815" s="23" t="s">
        <v>227</v>
      </c>
      <c r="D815" s="8">
        <v>68</v>
      </c>
      <c r="E815">
        <v>3606</v>
      </c>
      <c r="H815" s="23">
        <v>3</v>
      </c>
      <c r="I815">
        <v>2</v>
      </c>
      <c r="K815" s="84">
        <f t="shared" si="157"/>
        <v>68</v>
      </c>
      <c r="L815" s="84">
        <f t="shared" si="158"/>
        <v>3606</v>
      </c>
      <c r="M815" s="84" t="str">
        <f t="shared" si="159"/>
        <v/>
      </c>
      <c r="V815">
        <f t="shared" si="160"/>
        <v>70</v>
      </c>
      <c r="W815">
        <f t="shared" si="161"/>
        <v>3610</v>
      </c>
      <c r="X815" t="str">
        <f t="shared" si="162"/>
        <v/>
      </c>
      <c r="AB815" t="str">
        <f t="shared" si="163"/>
        <v>70,3610</v>
      </c>
    </row>
    <row r="816" ht="16.25" spans="1:28">
      <c r="A816" s="31">
        <v>402</v>
      </c>
      <c r="B816" s="8">
        <v>160804</v>
      </c>
      <c r="C816" s="23" t="s">
        <v>227</v>
      </c>
      <c r="D816" s="8">
        <v>68</v>
      </c>
      <c r="E816">
        <v>3606</v>
      </c>
      <c r="H816" s="23">
        <v>3</v>
      </c>
      <c r="I816">
        <v>2</v>
      </c>
      <c r="K816" s="84">
        <f t="shared" si="157"/>
        <v>68</v>
      </c>
      <c r="L816" s="84">
        <f t="shared" si="158"/>
        <v>3606</v>
      </c>
      <c r="M816" s="84" t="str">
        <f t="shared" si="159"/>
        <v/>
      </c>
      <c r="V816">
        <f t="shared" si="160"/>
        <v>70</v>
      </c>
      <c r="W816">
        <f t="shared" si="161"/>
        <v>3610</v>
      </c>
      <c r="X816" t="str">
        <f t="shared" si="162"/>
        <v/>
      </c>
      <c r="AB816" t="str">
        <f t="shared" si="163"/>
        <v>70,3610</v>
      </c>
    </row>
    <row r="817" ht="16.25" spans="1:28">
      <c r="A817" s="31">
        <v>402</v>
      </c>
      <c r="B817" s="8">
        <v>160904</v>
      </c>
      <c r="C817" s="23" t="s">
        <v>227</v>
      </c>
      <c r="D817" s="8">
        <v>68</v>
      </c>
      <c r="E817">
        <v>3606</v>
      </c>
      <c r="H817" s="23">
        <v>3</v>
      </c>
      <c r="I817">
        <v>2</v>
      </c>
      <c r="K817" s="84">
        <f t="shared" si="157"/>
        <v>68</v>
      </c>
      <c r="L817" s="84">
        <f t="shared" si="158"/>
        <v>3606</v>
      </c>
      <c r="M817" s="84" t="str">
        <f t="shared" si="159"/>
        <v/>
      </c>
      <c r="V817">
        <f t="shared" si="160"/>
        <v>70</v>
      </c>
      <c r="W817">
        <f t="shared" si="161"/>
        <v>3610</v>
      </c>
      <c r="X817" t="str">
        <f t="shared" si="162"/>
        <v/>
      </c>
      <c r="AB817" t="str">
        <f t="shared" si="163"/>
        <v>70,3610</v>
      </c>
    </row>
    <row r="818" ht="16.25" spans="1:28">
      <c r="A818" s="31">
        <v>403</v>
      </c>
      <c r="B818" s="8">
        <v>150104</v>
      </c>
      <c r="C818" s="12">
        <v>10</v>
      </c>
      <c r="D818" s="115">
        <v>0.017</v>
      </c>
      <c r="H818" s="12">
        <v>10</v>
      </c>
      <c r="K818" s="84">
        <f t="shared" si="157"/>
        <v>0.102</v>
      </c>
      <c r="L818" s="84" t="str">
        <f t="shared" si="158"/>
        <v/>
      </c>
      <c r="M818" s="84" t="str">
        <f t="shared" si="159"/>
        <v/>
      </c>
      <c r="V818">
        <f t="shared" si="160"/>
        <v>0.102</v>
      </c>
      <c r="W818" t="str">
        <f t="shared" si="161"/>
        <v/>
      </c>
      <c r="X818" t="str">
        <f t="shared" si="162"/>
        <v/>
      </c>
      <c r="AB818" t="str">
        <f t="shared" si="163"/>
        <v>0.102</v>
      </c>
    </row>
    <row r="819" ht="16.25" spans="1:28">
      <c r="A819" s="31">
        <v>403</v>
      </c>
      <c r="B819" s="8">
        <v>150204</v>
      </c>
      <c r="C819" s="12" t="s">
        <v>286</v>
      </c>
      <c r="D819" s="116">
        <v>0.0085</v>
      </c>
      <c r="E819">
        <v>0.0134</v>
      </c>
      <c r="H819" s="12">
        <v>10</v>
      </c>
      <c r="I819">
        <v>35</v>
      </c>
      <c r="K819" s="84">
        <f t="shared" si="157"/>
        <v>0.051</v>
      </c>
      <c r="L819" s="84">
        <f t="shared" si="158"/>
        <v>0.0804</v>
      </c>
      <c r="M819" s="84" t="str">
        <f t="shared" si="159"/>
        <v/>
      </c>
      <c r="V819">
        <f t="shared" si="160"/>
        <v>0.051</v>
      </c>
      <c r="W819">
        <f t="shared" si="161"/>
        <v>0.0804</v>
      </c>
      <c r="X819" t="str">
        <f t="shared" si="162"/>
        <v/>
      </c>
      <c r="AB819" t="str">
        <f t="shared" si="163"/>
        <v>0.051,0.0804</v>
      </c>
    </row>
    <row r="820" ht="16.25" spans="1:28">
      <c r="A820" s="31">
        <v>403</v>
      </c>
      <c r="B820" s="8">
        <v>150304</v>
      </c>
      <c r="C820" s="12" t="s">
        <v>288</v>
      </c>
      <c r="D820" s="116">
        <v>0.0078</v>
      </c>
      <c r="E820">
        <v>0.0107</v>
      </c>
      <c r="H820" s="12">
        <v>5</v>
      </c>
      <c r="I820">
        <v>26</v>
      </c>
      <c r="K820" s="84">
        <f t="shared" si="157"/>
        <v>0.0468</v>
      </c>
      <c r="L820" s="84">
        <f t="shared" si="158"/>
        <v>0.0642</v>
      </c>
      <c r="M820" s="84" t="str">
        <f t="shared" si="159"/>
        <v/>
      </c>
      <c r="V820">
        <f t="shared" si="160"/>
        <v>0.0468</v>
      </c>
      <c r="W820">
        <f t="shared" si="161"/>
        <v>0.0642</v>
      </c>
      <c r="X820" t="str">
        <f t="shared" si="162"/>
        <v/>
      </c>
      <c r="AB820" t="str">
        <f t="shared" si="163"/>
        <v>0.0468,0.0642</v>
      </c>
    </row>
    <row r="821" ht="16.25" spans="1:28">
      <c r="A821" s="31">
        <v>403</v>
      </c>
      <c r="B821" s="8">
        <v>150404</v>
      </c>
      <c r="C821" s="12">
        <v>5</v>
      </c>
      <c r="D821" s="116">
        <v>0.0125</v>
      </c>
      <c r="H821" s="12">
        <v>5</v>
      </c>
      <c r="K821" s="84">
        <f t="shared" si="157"/>
        <v>0.075</v>
      </c>
      <c r="L821" s="84" t="str">
        <f t="shared" si="158"/>
        <v/>
      </c>
      <c r="M821" s="84" t="str">
        <f t="shared" si="159"/>
        <v/>
      </c>
      <c r="V821">
        <f t="shared" si="160"/>
        <v>0.075</v>
      </c>
      <c r="W821" t="str">
        <f t="shared" si="161"/>
        <v/>
      </c>
      <c r="X821" t="str">
        <f t="shared" si="162"/>
        <v/>
      </c>
      <c r="AB821" t="str">
        <f t="shared" si="163"/>
        <v>0.075</v>
      </c>
    </row>
    <row r="822" ht="16.25" spans="1:28">
      <c r="A822" s="31">
        <v>403</v>
      </c>
      <c r="B822" s="8">
        <v>150504</v>
      </c>
      <c r="C822" s="12">
        <v>7</v>
      </c>
      <c r="D822" s="116">
        <v>0.0036</v>
      </c>
      <c r="H822" s="12">
        <v>7</v>
      </c>
      <c r="K822" s="84">
        <f t="shared" ref="K822:K881" si="164">IF(D822="","",IF(OR(RIGHT($A822,1)="1",RIGHT($A822,1)="2"),D822,IF(H822=4,D822*2,D822*6)))</f>
        <v>0.0216</v>
      </c>
      <c r="L822" s="84" t="str">
        <f t="shared" ref="L822:L881" si="165">IF(E822="","",IF(OR(RIGHT($A822,1)="1",RIGHT($A822,1)="2"),E822,IF(I822=4,E822*2,E822*6)))</f>
        <v/>
      </c>
      <c r="M822" s="84" t="str">
        <f t="shared" ref="M822:M881" si="166">IF(F822="","",IF(OR(RIGHT($A822,1)="1",RIGHT($A822,1)="2"),F822,IF(J822=4,F822*2,F822*6)))</f>
        <v/>
      </c>
      <c r="V822">
        <f t="shared" si="160"/>
        <v>0.0216</v>
      </c>
      <c r="W822" t="str">
        <f t="shared" si="161"/>
        <v/>
      </c>
      <c r="X822" t="str">
        <f t="shared" si="162"/>
        <v/>
      </c>
      <c r="AB822" t="str">
        <f t="shared" si="163"/>
        <v>0.0216</v>
      </c>
    </row>
    <row r="823" ht="16.25" spans="1:28">
      <c r="A823" s="31">
        <v>403</v>
      </c>
      <c r="B823" s="8">
        <v>150604</v>
      </c>
      <c r="C823" s="12">
        <v>7</v>
      </c>
      <c r="D823" s="116">
        <v>0.0036</v>
      </c>
      <c r="H823" s="12">
        <v>7</v>
      </c>
      <c r="K823" s="84">
        <f t="shared" si="164"/>
        <v>0.0216</v>
      </c>
      <c r="L823" s="84" t="str">
        <f t="shared" si="165"/>
        <v/>
      </c>
      <c r="M823" s="84" t="str">
        <f t="shared" si="166"/>
        <v/>
      </c>
      <c r="V823">
        <f t="shared" si="160"/>
        <v>0.0216</v>
      </c>
      <c r="W823" t="str">
        <f t="shared" si="161"/>
        <v/>
      </c>
      <c r="X823" t="str">
        <f t="shared" si="162"/>
        <v/>
      </c>
      <c r="AB823" t="str">
        <f t="shared" si="163"/>
        <v>0.0216</v>
      </c>
    </row>
    <row r="824" ht="16.25" spans="1:28">
      <c r="A824" s="31">
        <v>403</v>
      </c>
      <c r="B824" s="8">
        <v>150704</v>
      </c>
      <c r="C824" s="12">
        <v>7</v>
      </c>
      <c r="D824" s="116">
        <v>0.0179</v>
      </c>
      <c r="H824" s="12">
        <v>7</v>
      </c>
      <c r="K824" s="84">
        <f t="shared" si="164"/>
        <v>0.1074</v>
      </c>
      <c r="L824" s="84" t="str">
        <f t="shared" si="165"/>
        <v/>
      </c>
      <c r="M824" s="84" t="str">
        <f t="shared" si="166"/>
        <v/>
      </c>
      <c r="V824">
        <f t="shared" si="160"/>
        <v>0.1074</v>
      </c>
      <c r="W824" t="str">
        <f t="shared" si="161"/>
        <v/>
      </c>
      <c r="X824" t="str">
        <f t="shared" si="162"/>
        <v/>
      </c>
      <c r="AB824" t="str">
        <f t="shared" si="163"/>
        <v>0.1074</v>
      </c>
    </row>
    <row r="825" ht="16.25" spans="1:28">
      <c r="A825" s="31">
        <v>403</v>
      </c>
      <c r="B825" s="8">
        <v>150804</v>
      </c>
      <c r="C825" s="12" t="s">
        <v>290</v>
      </c>
      <c r="D825" s="116">
        <v>0.0026</v>
      </c>
      <c r="E825">
        <v>0.0054</v>
      </c>
      <c r="F825">
        <v>0.009</v>
      </c>
      <c r="H825" s="12">
        <v>10</v>
      </c>
      <c r="I825">
        <v>26</v>
      </c>
      <c r="J825">
        <v>7</v>
      </c>
      <c r="K825" s="84">
        <f t="shared" si="164"/>
        <v>0.0156</v>
      </c>
      <c r="L825" s="84">
        <f t="shared" si="165"/>
        <v>0.0324</v>
      </c>
      <c r="M825" s="84">
        <f t="shared" si="166"/>
        <v>0.054</v>
      </c>
      <c r="V825">
        <f t="shared" si="160"/>
        <v>0.0156</v>
      </c>
      <c r="W825">
        <f t="shared" si="161"/>
        <v>0.0324</v>
      </c>
      <c r="X825">
        <f t="shared" si="162"/>
        <v>0.054</v>
      </c>
      <c r="AB825" t="str">
        <f t="shared" si="163"/>
        <v>0.0156,0.0324,0.054</v>
      </c>
    </row>
    <row r="826" ht="16.25" spans="1:28">
      <c r="A826" s="31">
        <v>403</v>
      </c>
      <c r="B826" s="8">
        <v>150904</v>
      </c>
      <c r="C826" s="12" t="s">
        <v>292</v>
      </c>
      <c r="D826" s="116">
        <v>0.009</v>
      </c>
      <c r="E826">
        <v>0.0026</v>
      </c>
      <c r="H826" s="12">
        <v>7</v>
      </c>
      <c r="I826">
        <v>10</v>
      </c>
      <c r="K826" s="84">
        <f t="shared" si="164"/>
        <v>0.054</v>
      </c>
      <c r="L826" s="84">
        <f t="shared" si="165"/>
        <v>0.0156</v>
      </c>
      <c r="M826" s="84" t="str">
        <f t="shared" si="166"/>
        <v/>
      </c>
      <c r="V826">
        <f t="shared" si="160"/>
        <v>0.054</v>
      </c>
      <c r="W826">
        <f t="shared" si="161"/>
        <v>0.0156</v>
      </c>
      <c r="X826" t="str">
        <f t="shared" si="162"/>
        <v/>
      </c>
      <c r="AB826" t="str">
        <f t="shared" si="163"/>
        <v>0.054,0.0156</v>
      </c>
    </row>
    <row r="827" ht="16.25" spans="1:28">
      <c r="A827" s="31">
        <v>403</v>
      </c>
      <c r="B827" s="8">
        <v>160104</v>
      </c>
      <c r="C827" s="21">
        <v>10</v>
      </c>
      <c r="D827" s="116">
        <v>0.0284</v>
      </c>
      <c r="H827" s="21">
        <v>10</v>
      </c>
      <c r="K827" s="84">
        <f t="shared" si="164"/>
        <v>0.1704</v>
      </c>
      <c r="L827" s="84" t="str">
        <f t="shared" si="165"/>
        <v/>
      </c>
      <c r="M827" s="84" t="str">
        <f t="shared" si="166"/>
        <v/>
      </c>
      <c r="V827">
        <f t="shared" si="160"/>
        <v>0.1704</v>
      </c>
      <c r="W827" t="str">
        <f t="shared" si="161"/>
        <v/>
      </c>
      <c r="X827" t="str">
        <f t="shared" si="162"/>
        <v/>
      </c>
      <c r="AB827" t="str">
        <f t="shared" si="163"/>
        <v>0.1704</v>
      </c>
    </row>
    <row r="828" ht="16.25" spans="1:28">
      <c r="A828" s="31">
        <v>403</v>
      </c>
      <c r="B828" s="8">
        <v>160204</v>
      </c>
      <c r="C828" s="21" t="s">
        <v>286</v>
      </c>
      <c r="D828" s="116">
        <v>0.0142</v>
      </c>
      <c r="E828">
        <v>0.0224</v>
      </c>
      <c r="H828" s="21">
        <v>10</v>
      </c>
      <c r="I828">
        <v>35</v>
      </c>
      <c r="K828" s="84">
        <f t="shared" si="164"/>
        <v>0.0852</v>
      </c>
      <c r="L828" s="84">
        <f t="shared" si="165"/>
        <v>0.1344</v>
      </c>
      <c r="M828" s="84" t="str">
        <f t="shared" si="166"/>
        <v/>
      </c>
      <c r="V828">
        <f t="shared" si="160"/>
        <v>0.0852</v>
      </c>
      <c r="W828">
        <f t="shared" si="161"/>
        <v>0.1344</v>
      </c>
      <c r="X828" t="str">
        <f t="shared" si="162"/>
        <v/>
      </c>
      <c r="AB828" t="str">
        <f t="shared" si="163"/>
        <v>0.0852,0.1344</v>
      </c>
    </row>
    <row r="829" ht="16.25" spans="1:28">
      <c r="A829" s="31">
        <v>403</v>
      </c>
      <c r="B829" s="8">
        <v>160304</v>
      </c>
      <c r="C829" s="21" t="s">
        <v>288</v>
      </c>
      <c r="D829" s="116">
        <v>0.0131</v>
      </c>
      <c r="E829">
        <v>0.0179</v>
      </c>
      <c r="H829" s="21">
        <v>5</v>
      </c>
      <c r="I829">
        <v>26</v>
      </c>
      <c r="K829" s="84">
        <f t="shared" si="164"/>
        <v>0.0786</v>
      </c>
      <c r="L829" s="84">
        <f t="shared" si="165"/>
        <v>0.1074</v>
      </c>
      <c r="M829" s="84" t="str">
        <f t="shared" si="166"/>
        <v/>
      </c>
      <c r="V829">
        <f t="shared" si="160"/>
        <v>0.0786</v>
      </c>
      <c r="W829">
        <f t="shared" si="161"/>
        <v>0.1074</v>
      </c>
      <c r="X829" t="str">
        <f t="shared" si="162"/>
        <v/>
      </c>
      <c r="AB829" t="str">
        <f t="shared" si="163"/>
        <v>0.0786,0.1074</v>
      </c>
    </row>
    <row r="830" ht="16.25" spans="1:28">
      <c r="A830" s="31">
        <v>403</v>
      </c>
      <c r="B830" s="8">
        <v>160404</v>
      </c>
      <c r="C830" s="21">
        <v>5</v>
      </c>
      <c r="D830" s="116">
        <v>0.0209</v>
      </c>
      <c r="H830" s="21">
        <v>5</v>
      </c>
      <c r="K830" s="84">
        <f t="shared" si="164"/>
        <v>0.1254</v>
      </c>
      <c r="L830" s="84" t="str">
        <f t="shared" si="165"/>
        <v/>
      </c>
      <c r="M830" s="84" t="str">
        <f t="shared" si="166"/>
        <v/>
      </c>
      <c r="V830">
        <f t="shared" si="160"/>
        <v>0.1254</v>
      </c>
      <c r="W830" t="str">
        <f t="shared" si="161"/>
        <v/>
      </c>
      <c r="X830" t="str">
        <f t="shared" si="162"/>
        <v/>
      </c>
      <c r="AB830" t="str">
        <f t="shared" si="163"/>
        <v>0.1254</v>
      </c>
    </row>
    <row r="831" ht="16.25" spans="1:28">
      <c r="A831" s="31">
        <v>403</v>
      </c>
      <c r="B831" s="8">
        <v>160504</v>
      </c>
      <c r="C831" s="21">
        <v>7</v>
      </c>
      <c r="D831" s="116">
        <v>0.006</v>
      </c>
      <c r="H831" s="21">
        <v>7</v>
      </c>
      <c r="K831" s="84">
        <f t="shared" si="164"/>
        <v>0.036</v>
      </c>
      <c r="L831" s="84" t="str">
        <f t="shared" si="165"/>
        <v/>
      </c>
      <c r="M831" s="84" t="str">
        <f t="shared" si="166"/>
        <v/>
      </c>
      <c r="V831">
        <f t="shared" si="160"/>
        <v>0.036</v>
      </c>
      <c r="W831" t="str">
        <f t="shared" si="161"/>
        <v/>
      </c>
      <c r="X831" t="str">
        <f t="shared" si="162"/>
        <v/>
      </c>
      <c r="AB831" t="str">
        <f t="shared" si="163"/>
        <v>0.036</v>
      </c>
    </row>
    <row r="832" ht="16.25" spans="1:28">
      <c r="A832" s="31">
        <v>403</v>
      </c>
      <c r="B832" s="8">
        <v>160604</v>
      </c>
      <c r="C832" s="21">
        <v>7</v>
      </c>
      <c r="D832" s="116">
        <v>0.006</v>
      </c>
      <c r="H832" s="21">
        <v>7</v>
      </c>
      <c r="K832" s="84">
        <f t="shared" si="164"/>
        <v>0.036</v>
      </c>
      <c r="L832" s="84" t="str">
        <f t="shared" si="165"/>
        <v/>
      </c>
      <c r="M832" s="84" t="str">
        <f t="shared" si="166"/>
        <v/>
      </c>
      <c r="V832">
        <f t="shared" si="160"/>
        <v>0.036</v>
      </c>
      <c r="W832" t="str">
        <f t="shared" si="161"/>
        <v/>
      </c>
      <c r="X832" t="str">
        <f t="shared" si="162"/>
        <v/>
      </c>
      <c r="AB832" t="str">
        <f t="shared" si="163"/>
        <v>0.036</v>
      </c>
    </row>
    <row r="833" ht="16.25" spans="1:28">
      <c r="A833" s="31">
        <v>403</v>
      </c>
      <c r="B833" s="8">
        <v>160704</v>
      </c>
      <c r="C833" s="21">
        <v>7</v>
      </c>
      <c r="D833" s="116">
        <v>0.03</v>
      </c>
      <c r="H833" s="21">
        <v>7</v>
      </c>
      <c r="K833" s="84">
        <f t="shared" si="164"/>
        <v>0.18</v>
      </c>
      <c r="L833" s="84" t="str">
        <f t="shared" si="165"/>
        <v/>
      </c>
      <c r="M833" s="84" t="str">
        <f t="shared" si="166"/>
        <v/>
      </c>
      <c r="V833">
        <f t="shared" si="160"/>
        <v>0.18</v>
      </c>
      <c r="W833" t="str">
        <f t="shared" si="161"/>
        <v/>
      </c>
      <c r="X833" t="str">
        <f t="shared" si="162"/>
        <v/>
      </c>
      <c r="AB833" t="str">
        <f t="shared" si="163"/>
        <v>0.18</v>
      </c>
    </row>
    <row r="834" ht="16.25" spans="1:28">
      <c r="A834" s="31">
        <v>403</v>
      </c>
      <c r="B834" s="8">
        <v>160804</v>
      </c>
      <c r="C834" s="21" t="s">
        <v>290</v>
      </c>
      <c r="D834" s="116">
        <v>0.0043</v>
      </c>
      <c r="E834">
        <v>0.009</v>
      </c>
      <c r="F834">
        <v>0.0149</v>
      </c>
      <c r="H834" s="21">
        <v>10</v>
      </c>
      <c r="I834">
        <v>26</v>
      </c>
      <c r="J834">
        <v>7</v>
      </c>
      <c r="K834" s="84">
        <f t="shared" si="164"/>
        <v>0.0258</v>
      </c>
      <c r="L834" s="84">
        <f t="shared" si="165"/>
        <v>0.054</v>
      </c>
      <c r="M834" s="84">
        <f t="shared" si="166"/>
        <v>0.0894</v>
      </c>
      <c r="V834">
        <f t="shared" si="160"/>
        <v>0.0258</v>
      </c>
      <c r="W834">
        <f t="shared" si="161"/>
        <v>0.054</v>
      </c>
      <c r="X834">
        <f t="shared" si="162"/>
        <v>0.0894</v>
      </c>
      <c r="AB834" t="str">
        <f t="shared" si="163"/>
        <v>0.0258,0.054,0.0894</v>
      </c>
    </row>
    <row r="835" ht="16.25" spans="1:28">
      <c r="A835" s="31">
        <v>403</v>
      </c>
      <c r="B835" s="8">
        <v>160904</v>
      </c>
      <c r="C835" s="21" t="s">
        <v>292</v>
      </c>
      <c r="D835" s="116">
        <v>0.0149</v>
      </c>
      <c r="E835">
        <v>0.0043</v>
      </c>
      <c r="H835" s="21">
        <v>7</v>
      </c>
      <c r="I835">
        <v>10</v>
      </c>
      <c r="K835" s="84">
        <f t="shared" si="164"/>
        <v>0.0894</v>
      </c>
      <c r="L835" s="84">
        <f t="shared" si="165"/>
        <v>0.0258</v>
      </c>
      <c r="M835" s="84" t="str">
        <f t="shared" si="166"/>
        <v/>
      </c>
      <c r="V835">
        <f t="shared" ref="V835:V881" si="167">IF(K835="","",IF(K835&lt;1,ROUND(K835,4),CEILING(K835,5)))</f>
        <v>0.0894</v>
      </c>
      <c r="W835">
        <f t="shared" ref="W835:W881" si="168">IF(L835="","",IF(L835&lt;1,ROUND(L835,4),CEILING(L835,5)))</f>
        <v>0.0258</v>
      </c>
      <c r="X835" t="str">
        <f t="shared" ref="X835:X881" si="169">IF(M835="","",IF(M835&lt;1,ROUND(M835,4),CEILING(M835,5)))</f>
        <v/>
      </c>
      <c r="AB835" t="str">
        <f t="shared" si="163"/>
        <v>0.0894,0.0258</v>
      </c>
    </row>
    <row r="836" ht="16.25" spans="1:28">
      <c r="A836" s="39">
        <v>404</v>
      </c>
      <c r="B836" s="8">
        <v>150104</v>
      </c>
      <c r="C836" s="23">
        <v>10</v>
      </c>
      <c r="D836" s="109">
        <v>0.0389</v>
      </c>
      <c r="H836" s="23">
        <v>10</v>
      </c>
      <c r="K836" s="84">
        <f t="shared" si="164"/>
        <v>0.2334</v>
      </c>
      <c r="L836" s="84" t="str">
        <f t="shared" si="165"/>
        <v/>
      </c>
      <c r="M836" s="84" t="str">
        <f t="shared" si="166"/>
        <v/>
      </c>
      <c r="V836">
        <f t="shared" si="167"/>
        <v>0.2334</v>
      </c>
      <c r="W836" t="str">
        <f t="shared" si="168"/>
        <v/>
      </c>
      <c r="X836" t="str">
        <f t="shared" si="169"/>
        <v/>
      </c>
      <c r="AB836" t="str">
        <f t="shared" si="163"/>
        <v>0.2334</v>
      </c>
    </row>
    <row r="837" ht="16.25" spans="1:28">
      <c r="A837" s="39">
        <v>404</v>
      </c>
      <c r="B837" s="8">
        <v>150104</v>
      </c>
      <c r="C837" s="23">
        <v>4</v>
      </c>
      <c r="D837" s="109">
        <v>7.29</v>
      </c>
      <c r="H837" s="23">
        <v>4</v>
      </c>
      <c r="K837" s="84">
        <f t="shared" si="164"/>
        <v>14.58</v>
      </c>
      <c r="L837" s="84" t="str">
        <f t="shared" si="165"/>
        <v/>
      </c>
      <c r="M837" s="84" t="str">
        <f t="shared" si="166"/>
        <v/>
      </c>
      <c r="V837">
        <f t="shared" si="167"/>
        <v>15</v>
      </c>
      <c r="W837" t="str">
        <f t="shared" si="168"/>
        <v/>
      </c>
      <c r="X837" t="str">
        <f t="shared" si="169"/>
        <v/>
      </c>
      <c r="AB837" t="str">
        <f t="shared" si="163"/>
        <v>15</v>
      </c>
    </row>
    <row r="838" ht="16.25" spans="1:28">
      <c r="A838" s="39">
        <v>404</v>
      </c>
      <c r="B838" s="8">
        <v>150204</v>
      </c>
      <c r="C838" s="23">
        <v>10</v>
      </c>
      <c r="D838" s="109">
        <v>0.0194</v>
      </c>
      <c r="H838" s="23">
        <v>10</v>
      </c>
      <c r="K838" s="84">
        <f t="shared" si="164"/>
        <v>0.1164</v>
      </c>
      <c r="L838" s="84" t="str">
        <f t="shared" si="165"/>
        <v/>
      </c>
      <c r="M838" s="84" t="str">
        <f t="shared" si="166"/>
        <v/>
      </c>
      <c r="V838">
        <f t="shared" si="167"/>
        <v>0.1164</v>
      </c>
      <c r="W838" t="str">
        <f t="shared" si="168"/>
        <v/>
      </c>
      <c r="X838" t="str">
        <f t="shared" si="169"/>
        <v/>
      </c>
      <c r="AB838" t="str">
        <f t="shared" si="163"/>
        <v>0.1164</v>
      </c>
    </row>
    <row r="839" ht="16.25" spans="1:28">
      <c r="A839" s="39">
        <v>404</v>
      </c>
      <c r="B839" s="8">
        <v>150204</v>
      </c>
      <c r="C839" s="23">
        <v>4</v>
      </c>
      <c r="D839" s="109">
        <v>7.29</v>
      </c>
      <c r="H839" s="23">
        <v>4</v>
      </c>
      <c r="K839" s="84">
        <f t="shared" si="164"/>
        <v>14.58</v>
      </c>
      <c r="L839" s="84" t="str">
        <f t="shared" si="165"/>
        <v/>
      </c>
      <c r="M839" s="84" t="str">
        <f t="shared" si="166"/>
        <v/>
      </c>
      <c r="V839">
        <f t="shared" si="167"/>
        <v>15</v>
      </c>
      <c r="W839" t="str">
        <f t="shared" si="168"/>
        <v/>
      </c>
      <c r="X839" t="str">
        <f t="shared" si="169"/>
        <v/>
      </c>
      <c r="AB839" t="str">
        <f t="shared" si="163"/>
        <v>15</v>
      </c>
    </row>
    <row r="840" ht="16.25" spans="1:28">
      <c r="A840" s="39">
        <v>404</v>
      </c>
      <c r="B840" s="8">
        <v>150204</v>
      </c>
      <c r="C840" s="23">
        <v>35</v>
      </c>
      <c r="D840" s="109">
        <v>0.0307</v>
      </c>
      <c r="H840" s="23">
        <v>35</v>
      </c>
      <c r="K840" s="84">
        <f t="shared" si="164"/>
        <v>0.1842</v>
      </c>
      <c r="L840" s="84" t="str">
        <f t="shared" si="165"/>
        <v/>
      </c>
      <c r="M840" s="84" t="str">
        <f t="shared" si="166"/>
        <v/>
      </c>
      <c r="V840">
        <f t="shared" si="167"/>
        <v>0.1842</v>
      </c>
      <c r="W840" t="str">
        <f t="shared" si="168"/>
        <v/>
      </c>
      <c r="X840" t="str">
        <f t="shared" si="169"/>
        <v/>
      </c>
      <c r="AB840" t="str">
        <f t="shared" si="163"/>
        <v>0.1842</v>
      </c>
    </row>
    <row r="841" ht="16.25" spans="1:28">
      <c r="A841" s="39">
        <v>404</v>
      </c>
      <c r="B841" s="8">
        <v>150304</v>
      </c>
      <c r="C841" s="23">
        <v>5</v>
      </c>
      <c r="D841" s="109">
        <v>0.0179</v>
      </c>
      <c r="H841" s="23">
        <v>5</v>
      </c>
      <c r="K841" s="84">
        <f t="shared" si="164"/>
        <v>0.1074</v>
      </c>
      <c r="L841" s="84" t="str">
        <f t="shared" si="165"/>
        <v/>
      </c>
      <c r="M841" s="84" t="str">
        <f t="shared" si="166"/>
        <v/>
      </c>
      <c r="V841">
        <f t="shared" si="167"/>
        <v>0.1074</v>
      </c>
      <c r="W841" t="str">
        <f t="shared" si="168"/>
        <v/>
      </c>
      <c r="X841" t="str">
        <f t="shared" si="169"/>
        <v/>
      </c>
      <c r="AB841" t="str">
        <f t="shared" si="163"/>
        <v>0.1074</v>
      </c>
    </row>
    <row r="842" ht="16.25" spans="1:28">
      <c r="A842" s="39">
        <v>404</v>
      </c>
      <c r="B842" s="8">
        <v>150304</v>
      </c>
      <c r="C842" s="23">
        <v>26</v>
      </c>
      <c r="D842" s="109">
        <v>0.0246</v>
      </c>
      <c r="H842" s="23">
        <v>26</v>
      </c>
      <c r="K842" s="84">
        <f t="shared" si="164"/>
        <v>0.1476</v>
      </c>
      <c r="L842" s="84" t="str">
        <f t="shared" si="165"/>
        <v/>
      </c>
      <c r="M842" s="84" t="str">
        <f t="shared" si="166"/>
        <v/>
      </c>
      <c r="V842">
        <f t="shared" si="167"/>
        <v>0.1476</v>
      </c>
      <c r="W842" t="str">
        <f t="shared" si="168"/>
        <v/>
      </c>
      <c r="X842" t="str">
        <f t="shared" si="169"/>
        <v/>
      </c>
      <c r="AB842" t="str">
        <f t="shared" si="163"/>
        <v>0.1476</v>
      </c>
    </row>
    <row r="843" ht="16.25" spans="1:28">
      <c r="A843" s="39">
        <v>404</v>
      </c>
      <c r="B843" s="8">
        <v>150304</v>
      </c>
      <c r="C843" s="23">
        <v>4</v>
      </c>
      <c r="D843" s="109">
        <v>7.29</v>
      </c>
      <c r="H843" s="23">
        <v>4</v>
      </c>
      <c r="K843" s="84">
        <f t="shared" si="164"/>
        <v>14.58</v>
      </c>
      <c r="L843" s="84" t="str">
        <f t="shared" si="165"/>
        <v/>
      </c>
      <c r="M843" s="84" t="str">
        <f t="shared" si="166"/>
        <v/>
      </c>
      <c r="V843">
        <f t="shared" si="167"/>
        <v>15</v>
      </c>
      <c r="W843" t="str">
        <f t="shared" si="168"/>
        <v/>
      </c>
      <c r="X843" t="str">
        <f t="shared" si="169"/>
        <v/>
      </c>
      <c r="AB843" t="str">
        <f t="shared" si="163"/>
        <v>15</v>
      </c>
    </row>
    <row r="844" ht="16.25" spans="1:28">
      <c r="A844" s="39">
        <v>404</v>
      </c>
      <c r="B844" s="8">
        <v>150404</v>
      </c>
      <c r="C844" s="23">
        <v>5</v>
      </c>
      <c r="D844" s="109">
        <v>0.0287</v>
      </c>
      <c r="H844" s="23">
        <v>5</v>
      </c>
      <c r="K844" s="84">
        <f t="shared" si="164"/>
        <v>0.1722</v>
      </c>
      <c r="L844" s="84" t="str">
        <f t="shared" si="165"/>
        <v/>
      </c>
      <c r="M844" s="84" t="str">
        <f t="shared" si="166"/>
        <v/>
      </c>
      <c r="V844">
        <f t="shared" si="167"/>
        <v>0.1722</v>
      </c>
      <c r="W844" t="str">
        <f t="shared" si="168"/>
        <v/>
      </c>
      <c r="X844" t="str">
        <f t="shared" si="169"/>
        <v/>
      </c>
      <c r="AB844" t="str">
        <f t="shared" si="163"/>
        <v>0.1722</v>
      </c>
    </row>
    <row r="845" ht="16.25" spans="1:28">
      <c r="A845" s="39">
        <v>404</v>
      </c>
      <c r="B845" s="8">
        <v>150404</v>
      </c>
      <c r="C845" s="23">
        <v>4</v>
      </c>
      <c r="D845" s="109">
        <v>7.29</v>
      </c>
      <c r="H845" s="23">
        <v>4</v>
      </c>
      <c r="K845" s="84">
        <f t="shared" si="164"/>
        <v>14.58</v>
      </c>
      <c r="L845" s="84" t="str">
        <f t="shared" si="165"/>
        <v/>
      </c>
      <c r="M845" s="84" t="str">
        <f t="shared" si="166"/>
        <v/>
      </c>
      <c r="V845">
        <f t="shared" si="167"/>
        <v>15</v>
      </c>
      <c r="W845" t="str">
        <f t="shared" si="168"/>
        <v/>
      </c>
      <c r="X845" t="str">
        <f t="shared" si="169"/>
        <v/>
      </c>
      <c r="AB845" t="str">
        <f t="shared" si="163"/>
        <v>15</v>
      </c>
    </row>
    <row r="846" ht="16.25" spans="1:28">
      <c r="A846" s="39">
        <v>404</v>
      </c>
      <c r="B846" s="8">
        <v>150504</v>
      </c>
      <c r="C846" s="23">
        <v>7</v>
      </c>
      <c r="D846" s="109">
        <v>0.0082</v>
      </c>
      <c r="H846" s="23">
        <v>7</v>
      </c>
      <c r="K846" s="84">
        <f t="shared" si="164"/>
        <v>0.0492</v>
      </c>
      <c r="L846" s="84" t="str">
        <f t="shared" si="165"/>
        <v/>
      </c>
      <c r="M846" s="84" t="str">
        <f t="shared" si="166"/>
        <v/>
      </c>
      <c r="V846">
        <f t="shared" si="167"/>
        <v>0.0492</v>
      </c>
      <c r="W846" t="str">
        <f t="shared" si="168"/>
        <v/>
      </c>
      <c r="X846" t="str">
        <f t="shared" si="169"/>
        <v/>
      </c>
      <c r="AB846" t="str">
        <f t="shared" si="163"/>
        <v>0.0492</v>
      </c>
    </row>
    <row r="847" ht="16.25" spans="1:28">
      <c r="A847" s="39">
        <v>404</v>
      </c>
      <c r="B847" s="8">
        <v>150504</v>
      </c>
      <c r="C847" s="23">
        <v>4</v>
      </c>
      <c r="D847" s="109">
        <v>7.29</v>
      </c>
      <c r="H847" s="23">
        <v>4</v>
      </c>
      <c r="K847" s="84">
        <f t="shared" si="164"/>
        <v>14.58</v>
      </c>
      <c r="L847" s="84" t="str">
        <f t="shared" si="165"/>
        <v/>
      </c>
      <c r="M847" s="84" t="str">
        <f t="shared" si="166"/>
        <v/>
      </c>
      <c r="V847">
        <f t="shared" si="167"/>
        <v>15</v>
      </c>
      <c r="W847" t="str">
        <f t="shared" si="168"/>
        <v/>
      </c>
      <c r="X847" t="str">
        <f t="shared" si="169"/>
        <v/>
      </c>
      <c r="AB847" t="str">
        <f t="shared" si="163"/>
        <v>15</v>
      </c>
    </row>
    <row r="848" ht="16.25" spans="1:28">
      <c r="A848" s="39">
        <v>404</v>
      </c>
      <c r="B848" s="8">
        <v>150604</v>
      </c>
      <c r="C848" s="23">
        <v>7</v>
      </c>
      <c r="D848" s="109">
        <v>0.0082</v>
      </c>
      <c r="H848" s="23">
        <v>7</v>
      </c>
      <c r="K848" s="84">
        <f t="shared" si="164"/>
        <v>0.0492</v>
      </c>
      <c r="L848" s="84" t="str">
        <f t="shared" si="165"/>
        <v/>
      </c>
      <c r="M848" s="84" t="str">
        <f t="shared" si="166"/>
        <v/>
      </c>
      <c r="V848">
        <f t="shared" si="167"/>
        <v>0.0492</v>
      </c>
      <c r="W848" t="str">
        <f t="shared" si="168"/>
        <v/>
      </c>
      <c r="X848" t="str">
        <f t="shared" si="169"/>
        <v/>
      </c>
      <c r="AB848" t="str">
        <f t="shared" si="163"/>
        <v>0.0492</v>
      </c>
    </row>
    <row r="849" ht="16.25" spans="1:28">
      <c r="A849" s="39">
        <v>404</v>
      </c>
      <c r="B849" s="8">
        <v>150604</v>
      </c>
      <c r="C849" s="23">
        <v>4</v>
      </c>
      <c r="D849" s="109">
        <v>7.29</v>
      </c>
      <c r="H849" s="23">
        <v>4</v>
      </c>
      <c r="K849" s="84">
        <f t="shared" si="164"/>
        <v>14.58</v>
      </c>
      <c r="L849" s="84" t="str">
        <f t="shared" si="165"/>
        <v/>
      </c>
      <c r="M849" s="84" t="str">
        <f t="shared" si="166"/>
        <v/>
      </c>
      <c r="V849">
        <f t="shared" si="167"/>
        <v>15</v>
      </c>
      <c r="W849" t="str">
        <f t="shared" si="168"/>
        <v/>
      </c>
      <c r="X849" t="str">
        <f t="shared" si="169"/>
        <v/>
      </c>
      <c r="AB849" t="str">
        <f t="shared" si="163"/>
        <v>15</v>
      </c>
    </row>
    <row r="850" ht="16.25" spans="1:28">
      <c r="A850" s="39">
        <v>404</v>
      </c>
      <c r="B850" s="8">
        <v>150704</v>
      </c>
      <c r="C850" s="23">
        <v>7</v>
      </c>
      <c r="D850" s="109">
        <v>0.0409</v>
      </c>
      <c r="H850" s="23">
        <v>7</v>
      </c>
      <c r="K850" s="84">
        <f t="shared" si="164"/>
        <v>0.2454</v>
      </c>
      <c r="L850" s="84" t="str">
        <f t="shared" si="165"/>
        <v/>
      </c>
      <c r="M850" s="84" t="str">
        <f t="shared" si="166"/>
        <v/>
      </c>
      <c r="V850">
        <f t="shared" si="167"/>
        <v>0.2454</v>
      </c>
      <c r="W850" t="str">
        <f t="shared" si="168"/>
        <v/>
      </c>
      <c r="X850" t="str">
        <f t="shared" si="169"/>
        <v/>
      </c>
      <c r="AB850" t="str">
        <f t="shared" si="163"/>
        <v>0.2454</v>
      </c>
    </row>
    <row r="851" ht="16.25" spans="1:28">
      <c r="A851" s="39">
        <v>404</v>
      </c>
      <c r="B851" s="8">
        <v>150704</v>
      </c>
      <c r="C851" s="23">
        <v>4</v>
      </c>
      <c r="D851" s="109">
        <v>7.29</v>
      </c>
      <c r="H851" s="23">
        <v>4</v>
      </c>
      <c r="K851" s="84">
        <f t="shared" si="164"/>
        <v>14.58</v>
      </c>
      <c r="L851" s="84" t="str">
        <f t="shared" si="165"/>
        <v/>
      </c>
      <c r="M851" s="84" t="str">
        <f t="shared" si="166"/>
        <v/>
      </c>
      <c r="V851">
        <f t="shared" si="167"/>
        <v>15</v>
      </c>
      <c r="W851" t="str">
        <f t="shared" si="168"/>
        <v/>
      </c>
      <c r="X851" t="str">
        <f t="shared" si="169"/>
        <v/>
      </c>
      <c r="AB851" t="str">
        <f t="shared" si="163"/>
        <v>15</v>
      </c>
    </row>
    <row r="852" ht="16.25" spans="1:28">
      <c r="A852" s="39">
        <v>404</v>
      </c>
      <c r="B852" s="8">
        <v>150804</v>
      </c>
      <c r="C852" s="23">
        <v>10</v>
      </c>
      <c r="D852" s="109">
        <v>0.0058</v>
      </c>
      <c r="H852" s="23">
        <v>10</v>
      </c>
      <c r="K852" s="84">
        <f t="shared" si="164"/>
        <v>0.0348</v>
      </c>
      <c r="L852" s="84" t="str">
        <f t="shared" si="165"/>
        <v/>
      </c>
      <c r="M852" s="84" t="str">
        <f t="shared" si="166"/>
        <v/>
      </c>
      <c r="V852">
        <f t="shared" si="167"/>
        <v>0.0348</v>
      </c>
      <c r="W852" t="str">
        <f t="shared" si="168"/>
        <v/>
      </c>
      <c r="X852" t="str">
        <f t="shared" si="169"/>
        <v/>
      </c>
      <c r="AB852" t="str">
        <f t="shared" si="163"/>
        <v>0.0348</v>
      </c>
    </row>
    <row r="853" ht="16.25" spans="1:28">
      <c r="A853" s="39">
        <v>404</v>
      </c>
      <c r="B853" s="8">
        <v>150804</v>
      </c>
      <c r="C853" s="23">
        <v>26</v>
      </c>
      <c r="D853" s="109">
        <v>0.0123</v>
      </c>
      <c r="H853" s="23">
        <v>26</v>
      </c>
      <c r="K853" s="84">
        <f t="shared" si="164"/>
        <v>0.0738</v>
      </c>
      <c r="L853" s="84" t="str">
        <f t="shared" si="165"/>
        <v/>
      </c>
      <c r="M853" s="84" t="str">
        <f t="shared" si="166"/>
        <v/>
      </c>
      <c r="V853">
        <f t="shared" si="167"/>
        <v>0.0738</v>
      </c>
      <c r="W853" t="str">
        <f t="shared" si="168"/>
        <v/>
      </c>
      <c r="X853" t="str">
        <f t="shared" si="169"/>
        <v/>
      </c>
      <c r="AB853" t="str">
        <f t="shared" si="163"/>
        <v>0.0738</v>
      </c>
    </row>
    <row r="854" ht="16.25" spans="1:28">
      <c r="A854" s="39">
        <v>404</v>
      </c>
      <c r="B854" s="8">
        <v>150804</v>
      </c>
      <c r="C854" s="23">
        <v>7</v>
      </c>
      <c r="D854" s="109">
        <v>0.0205</v>
      </c>
      <c r="H854" s="23">
        <v>7</v>
      </c>
      <c r="K854" s="84">
        <f t="shared" si="164"/>
        <v>0.123</v>
      </c>
      <c r="L854" s="84" t="str">
        <f t="shared" si="165"/>
        <v/>
      </c>
      <c r="M854" s="84" t="str">
        <f t="shared" si="166"/>
        <v/>
      </c>
      <c r="V854">
        <f t="shared" si="167"/>
        <v>0.123</v>
      </c>
      <c r="W854" t="str">
        <f t="shared" si="168"/>
        <v/>
      </c>
      <c r="X854" t="str">
        <f t="shared" si="169"/>
        <v/>
      </c>
      <c r="AB854" t="str">
        <f t="shared" si="163"/>
        <v>0.123</v>
      </c>
    </row>
    <row r="855" ht="16.25" spans="1:28">
      <c r="A855" s="39">
        <v>404</v>
      </c>
      <c r="B855" s="8">
        <v>150804</v>
      </c>
      <c r="C855" s="23">
        <v>4</v>
      </c>
      <c r="D855" s="109">
        <v>7.29</v>
      </c>
      <c r="H855" s="23">
        <v>4</v>
      </c>
      <c r="K855" s="84">
        <f t="shared" si="164"/>
        <v>14.58</v>
      </c>
      <c r="L855" s="84" t="str">
        <f t="shared" si="165"/>
        <v/>
      </c>
      <c r="M855" s="84" t="str">
        <f t="shared" si="166"/>
        <v/>
      </c>
      <c r="V855">
        <f t="shared" si="167"/>
        <v>15</v>
      </c>
      <c r="W855" t="str">
        <f t="shared" si="168"/>
        <v/>
      </c>
      <c r="X855" t="str">
        <f t="shared" si="169"/>
        <v/>
      </c>
      <c r="AB855" t="str">
        <f t="shared" si="163"/>
        <v>15</v>
      </c>
    </row>
    <row r="856" ht="16.25" spans="1:28">
      <c r="A856" s="39">
        <v>404</v>
      </c>
      <c r="B856" s="8">
        <v>150904</v>
      </c>
      <c r="C856" s="23">
        <v>7</v>
      </c>
      <c r="D856" s="109">
        <v>0.0205</v>
      </c>
      <c r="H856" s="23">
        <v>7</v>
      </c>
      <c r="K856" s="84">
        <f t="shared" si="164"/>
        <v>0.123</v>
      </c>
      <c r="L856" s="84" t="str">
        <f t="shared" si="165"/>
        <v/>
      </c>
      <c r="M856" s="84" t="str">
        <f t="shared" si="166"/>
        <v/>
      </c>
      <c r="V856">
        <f t="shared" si="167"/>
        <v>0.123</v>
      </c>
      <c r="W856" t="str">
        <f t="shared" si="168"/>
        <v/>
      </c>
      <c r="X856" t="str">
        <f t="shared" si="169"/>
        <v/>
      </c>
      <c r="AB856" t="str">
        <f t="shared" si="163"/>
        <v>0.123</v>
      </c>
    </row>
    <row r="857" ht="16.25" spans="1:28">
      <c r="A857" s="39">
        <v>404</v>
      </c>
      <c r="B857" s="8">
        <v>150904</v>
      </c>
      <c r="C857" s="23">
        <v>10</v>
      </c>
      <c r="D857" s="109">
        <v>0.0058</v>
      </c>
      <c r="H857" s="23">
        <v>10</v>
      </c>
      <c r="K857" s="84">
        <f t="shared" si="164"/>
        <v>0.0348</v>
      </c>
      <c r="L857" s="84" t="str">
        <f t="shared" si="165"/>
        <v/>
      </c>
      <c r="M857" s="84" t="str">
        <f t="shared" si="166"/>
        <v/>
      </c>
      <c r="V857">
        <f t="shared" si="167"/>
        <v>0.0348</v>
      </c>
      <c r="W857" t="str">
        <f t="shared" si="168"/>
        <v/>
      </c>
      <c r="X857" t="str">
        <f t="shared" si="169"/>
        <v/>
      </c>
      <c r="AB857" t="str">
        <f t="shared" si="163"/>
        <v>0.0348</v>
      </c>
    </row>
    <row r="858" ht="16.25" spans="1:28">
      <c r="A858" s="39">
        <v>404</v>
      </c>
      <c r="B858" s="8">
        <v>150904</v>
      </c>
      <c r="C858" s="23">
        <v>4</v>
      </c>
      <c r="D858" s="109">
        <v>7.29</v>
      </c>
      <c r="H858" s="23">
        <v>4</v>
      </c>
      <c r="K858" s="84">
        <f t="shared" si="164"/>
        <v>14.58</v>
      </c>
      <c r="L858" s="84" t="str">
        <f t="shared" si="165"/>
        <v/>
      </c>
      <c r="M858" s="84" t="str">
        <f t="shared" si="166"/>
        <v/>
      </c>
      <c r="V858">
        <f t="shared" si="167"/>
        <v>15</v>
      </c>
      <c r="W858" t="str">
        <f t="shared" si="168"/>
        <v/>
      </c>
      <c r="X858" t="str">
        <f t="shared" si="169"/>
        <v/>
      </c>
      <c r="AB858" t="str">
        <f t="shared" si="163"/>
        <v>15</v>
      </c>
    </row>
    <row r="859" ht="16.25" spans="1:28">
      <c r="A859" s="39">
        <v>404</v>
      </c>
      <c r="B859" s="8">
        <v>160104</v>
      </c>
      <c r="C859" s="23">
        <v>10</v>
      </c>
      <c r="D859" s="109">
        <v>0.0648</v>
      </c>
      <c r="H859" s="23">
        <v>10</v>
      </c>
      <c r="K859" s="84">
        <f t="shared" si="164"/>
        <v>0.3888</v>
      </c>
      <c r="L859" s="84" t="str">
        <f t="shared" si="165"/>
        <v/>
      </c>
      <c r="M859" s="84" t="str">
        <f t="shared" si="166"/>
        <v/>
      </c>
      <c r="V859">
        <f t="shared" si="167"/>
        <v>0.3888</v>
      </c>
      <c r="W859" t="str">
        <f t="shared" si="168"/>
        <v/>
      </c>
      <c r="X859" t="str">
        <f t="shared" si="169"/>
        <v/>
      </c>
      <c r="AB859" t="str">
        <f t="shared" si="163"/>
        <v>0.3888</v>
      </c>
    </row>
    <row r="860" ht="16.25" spans="1:28">
      <c r="A860" s="39">
        <v>404</v>
      </c>
      <c r="B860" s="8">
        <v>160104</v>
      </c>
      <c r="C860" s="23">
        <v>4</v>
      </c>
      <c r="D860" s="109">
        <v>12.14</v>
      </c>
      <c r="H860" s="23">
        <v>4</v>
      </c>
      <c r="K860" s="84">
        <f t="shared" si="164"/>
        <v>24.28</v>
      </c>
      <c r="L860" s="84" t="str">
        <f t="shared" si="165"/>
        <v/>
      </c>
      <c r="M860" s="84" t="str">
        <f t="shared" si="166"/>
        <v/>
      </c>
      <c r="V860">
        <f t="shared" si="167"/>
        <v>25</v>
      </c>
      <c r="W860" t="str">
        <f t="shared" si="168"/>
        <v/>
      </c>
      <c r="X860" t="str">
        <f t="shared" si="169"/>
        <v/>
      </c>
      <c r="AB860" t="str">
        <f t="shared" si="163"/>
        <v>25</v>
      </c>
    </row>
    <row r="861" ht="16.25" spans="1:28">
      <c r="A861" s="39">
        <v>404</v>
      </c>
      <c r="B861" s="8">
        <v>160204</v>
      </c>
      <c r="C861" s="23">
        <v>10</v>
      </c>
      <c r="D861" s="109">
        <v>0.0324</v>
      </c>
      <c r="H861" s="23">
        <v>10</v>
      </c>
      <c r="K861" s="84">
        <f t="shared" si="164"/>
        <v>0.1944</v>
      </c>
      <c r="L861" s="84" t="str">
        <f t="shared" si="165"/>
        <v/>
      </c>
      <c r="M861" s="84" t="str">
        <f t="shared" si="166"/>
        <v/>
      </c>
      <c r="V861">
        <f t="shared" si="167"/>
        <v>0.1944</v>
      </c>
      <c r="W861" t="str">
        <f t="shared" si="168"/>
        <v/>
      </c>
      <c r="X861" t="str">
        <f t="shared" si="169"/>
        <v/>
      </c>
      <c r="AB861" t="str">
        <f t="shared" si="163"/>
        <v>0.1944</v>
      </c>
    </row>
    <row r="862" ht="16.25" spans="1:28">
      <c r="A862" s="39">
        <v>404</v>
      </c>
      <c r="B862" s="8">
        <v>160204</v>
      </c>
      <c r="C862" s="23">
        <v>4</v>
      </c>
      <c r="D862" s="109">
        <v>12.14</v>
      </c>
      <c r="H862" s="23">
        <v>4</v>
      </c>
      <c r="K862" s="84">
        <f t="shared" si="164"/>
        <v>24.28</v>
      </c>
      <c r="L862" s="84" t="str">
        <f t="shared" si="165"/>
        <v/>
      </c>
      <c r="M862" s="84" t="str">
        <f t="shared" si="166"/>
        <v/>
      </c>
      <c r="V862">
        <f t="shared" si="167"/>
        <v>25</v>
      </c>
      <c r="W862" t="str">
        <f t="shared" si="168"/>
        <v/>
      </c>
      <c r="X862" t="str">
        <f t="shared" si="169"/>
        <v/>
      </c>
      <c r="AB862" t="str">
        <f t="shared" si="163"/>
        <v>25</v>
      </c>
    </row>
    <row r="863" ht="16.25" spans="1:28">
      <c r="A863" s="39">
        <v>404</v>
      </c>
      <c r="B863" s="8">
        <v>160204</v>
      </c>
      <c r="C863" s="23">
        <v>35</v>
      </c>
      <c r="D863" s="109">
        <v>0.0512</v>
      </c>
      <c r="H863" s="23">
        <v>35</v>
      </c>
      <c r="K863" s="84">
        <f t="shared" si="164"/>
        <v>0.3072</v>
      </c>
      <c r="L863" s="84" t="str">
        <f t="shared" si="165"/>
        <v/>
      </c>
      <c r="M863" s="84" t="str">
        <f t="shared" si="166"/>
        <v/>
      </c>
      <c r="V863">
        <f t="shared" si="167"/>
        <v>0.3072</v>
      </c>
      <c r="W863" t="str">
        <f t="shared" si="168"/>
        <v/>
      </c>
      <c r="X863" t="str">
        <f t="shared" si="169"/>
        <v/>
      </c>
      <c r="AB863" t="str">
        <f t="shared" si="163"/>
        <v>0.3072</v>
      </c>
    </row>
    <row r="864" ht="16.25" spans="1:28">
      <c r="A864" s="39">
        <v>404</v>
      </c>
      <c r="B864" s="8">
        <v>160304</v>
      </c>
      <c r="C864" s="23">
        <v>5</v>
      </c>
      <c r="D864" s="109">
        <v>0.03</v>
      </c>
      <c r="H864" s="23">
        <v>5</v>
      </c>
      <c r="K864" s="84">
        <f t="shared" si="164"/>
        <v>0.18</v>
      </c>
      <c r="L864" s="84" t="str">
        <f t="shared" si="165"/>
        <v/>
      </c>
      <c r="M864" s="84" t="str">
        <f t="shared" si="166"/>
        <v/>
      </c>
      <c r="V864">
        <f t="shared" si="167"/>
        <v>0.18</v>
      </c>
      <c r="W864" t="str">
        <f t="shared" si="168"/>
        <v/>
      </c>
      <c r="X864" t="str">
        <f t="shared" si="169"/>
        <v/>
      </c>
      <c r="AB864" t="str">
        <f t="shared" si="163"/>
        <v>0.18</v>
      </c>
    </row>
    <row r="865" ht="16.25" spans="1:28">
      <c r="A865" s="39">
        <v>404</v>
      </c>
      <c r="B865" s="8">
        <v>160304</v>
      </c>
      <c r="C865" s="23">
        <v>26</v>
      </c>
      <c r="D865" s="109">
        <v>0.0409</v>
      </c>
      <c r="H865" s="23">
        <v>26</v>
      </c>
      <c r="K865" s="84">
        <f t="shared" si="164"/>
        <v>0.2454</v>
      </c>
      <c r="L865" s="84" t="str">
        <f t="shared" si="165"/>
        <v/>
      </c>
      <c r="M865" s="84" t="str">
        <f t="shared" si="166"/>
        <v/>
      </c>
      <c r="V865">
        <f t="shared" si="167"/>
        <v>0.2454</v>
      </c>
      <c r="W865" t="str">
        <f t="shared" si="168"/>
        <v/>
      </c>
      <c r="X865" t="str">
        <f t="shared" si="169"/>
        <v/>
      </c>
      <c r="AB865" t="str">
        <f t="shared" si="163"/>
        <v>0.2454</v>
      </c>
    </row>
    <row r="866" ht="16.25" spans="1:28">
      <c r="A866" s="39">
        <v>404</v>
      </c>
      <c r="B866" s="8">
        <v>160304</v>
      </c>
      <c r="C866" s="23">
        <v>4</v>
      </c>
      <c r="D866" s="109">
        <v>12.14</v>
      </c>
      <c r="H866" s="23">
        <v>4</v>
      </c>
      <c r="K866" s="84">
        <f t="shared" si="164"/>
        <v>24.28</v>
      </c>
      <c r="L866" s="84" t="str">
        <f t="shared" si="165"/>
        <v/>
      </c>
      <c r="M866" s="84" t="str">
        <f t="shared" si="166"/>
        <v/>
      </c>
      <c r="V866">
        <f t="shared" si="167"/>
        <v>25</v>
      </c>
      <c r="W866" t="str">
        <f t="shared" si="168"/>
        <v/>
      </c>
      <c r="X866" t="str">
        <f t="shared" si="169"/>
        <v/>
      </c>
      <c r="AB866" t="str">
        <f t="shared" si="163"/>
        <v>25</v>
      </c>
    </row>
    <row r="867" ht="16.25" spans="1:28">
      <c r="A867" s="39">
        <v>404</v>
      </c>
      <c r="B867" s="8">
        <v>160404</v>
      </c>
      <c r="C867" s="23">
        <v>5</v>
      </c>
      <c r="D867" s="109">
        <v>0.0478</v>
      </c>
      <c r="H867" s="23">
        <v>5</v>
      </c>
      <c r="K867" s="84">
        <f t="shared" si="164"/>
        <v>0.2868</v>
      </c>
      <c r="L867" s="84" t="str">
        <f t="shared" si="165"/>
        <v/>
      </c>
      <c r="M867" s="84" t="str">
        <f t="shared" si="166"/>
        <v/>
      </c>
      <c r="V867">
        <f t="shared" si="167"/>
        <v>0.2868</v>
      </c>
      <c r="W867" t="str">
        <f t="shared" si="168"/>
        <v/>
      </c>
      <c r="X867" t="str">
        <f t="shared" si="169"/>
        <v/>
      </c>
      <c r="AB867" t="str">
        <f t="shared" ref="AB867:AB881" si="170">_xlfn.TEXTJOIN(",",TRUE,V867,W867,X867)</f>
        <v>0.2868</v>
      </c>
    </row>
    <row r="868" ht="16.25" spans="1:28">
      <c r="A868" s="39">
        <v>404</v>
      </c>
      <c r="B868" s="8">
        <v>160404</v>
      </c>
      <c r="C868" s="23">
        <v>4</v>
      </c>
      <c r="D868" s="109">
        <v>12.14</v>
      </c>
      <c r="H868" s="23">
        <v>4</v>
      </c>
      <c r="K868" s="84">
        <f t="shared" si="164"/>
        <v>24.28</v>
      </c>
      <c r="L868" s="84" t="str">
        <f t="shared" si="165"/>
        <v/>
      </c>
      <c r="M868" s="84" t="str">
        <f t="shared" si="166"/>
        <v/>
      </c>
      <c r="V868">
        <f t="shared" si="167"/>
        <v>25</v>
      </c>
      <c r="W868" t="str">
        <f t="shared" si="168"/>
        <v/>
      </c>
      <c r="X868" t="str">
        <f t="shared" si="169"/>
        <v/>
      </c>
      <c r="AB868" t="str">
        <f t="shared" si="170"/>
        <v>25</v>
      </c>
    </row>
    <row r="869" ht="16.25" spans="1:28">
      <c r="A869" s="39">
        <v>404</v>
      </c>
      <c r="B869" s="8">
        <v>160504</v>
      </c>
      <c r="C869" s="23">
        <v>7</v>
      </c>
      <c r="D869" s="109">
        <v>0.0136</v>
      </c>
      <c r="H869" s="23">
        <v>7</v>
      </c>
      <c r="K869" s="84">
        <f t="shared" si="164"/>
        <v>0.0816</v>
      </c>
      <c r="L869" s="84" t="str">
        <f t="shared" si="165"/>
        <v/>
      </c>
      <c r="M869" s="84" t="str">
        <f t="shared" si="166"/>
        <v/>
      </c>
      <c r="V869">
        <f t="shared" si="167"/>
        <v>0.0816</v>
      </c>
      <c r="W869" t="str">
        <f t="shared" si="168"/>
        <v/>
      </c>
      <c r="X869" t="str">
        <f t="shared" si="169"/>
        <v/>
      </c>
      <c r="AB869" t="str">
        <f t="shared" si="170"/>
        <v>0.0816</v>
      </c>
    </row>
    <row r="870" ht="16.25" spans="1:28">
      <c r="A870" s="39">
        <v>404</v>
      </c>
      <c r="B870" s="8">
        <v>160504</v>
      </c>
      <c r="C870" s="23">
        <v>4</v>
      </c>
      <c r="D870" s="109">
        <v>12.14</v>
      </c>
      <c r="H870" s="23">
        <v>4</v>
      </c>
      <c r="K870" s="84">
        <f t="shared" si="164"/>
        <v>24.28</v>
      </c>
      <c r="L870" s="84" t="str">
        <f t="shared" si="165"/>
        <v/>
      </c>
      <c r="M870" s="84" t="str">
        <f t="shared" si="166"/>
        <v/>
      </c>
      <c r="V870">
        <f t="shared" si="167"/>
        <v>25</v>
      </c>
      <c r="W870" t="str">
        <f t="shared" si="168"/>
        <v/>
      </c>
      <c r="X870" t="str">
        <f t="shared" si="169"/>
        <v/>
      </c>
      <c r="AB870" t="str">
        <f t="shared" si="170"/>
        <v>25</v>
      </c>
    </row>
    <row r="871" ht="16.25" spans="1:28">
      <c r="A871" s="39">
        <v>404</v>
      </c>
      <c r="B871" s="8">
        <v>160604</v>
      </c>
      <c r="C871" s="23">
        <v>7</v>
      </c>
      <c r="D871" s="109">
        <v>0.0136</v>
      </c>
      <c r="H871" s="23">
        <v>7</v>
      </c>
      <c r="K871" s="84">
        <f t="shared" si="164"/>
        <v>0.0816</v>
      </c>
      <c r="L871" s="84" t="str">
        <f t="shared" si="165"/>
        <v/>
      </c>
      <c r="M871" s="84" t="str">
        <f t="shared" si="166"/>
        <v/>
      </c>
      <c r="V871">
        <f t="shared" si="167"/>
        <v>0.0816</v>
      </c>
      <c r="W871" t="str">
        <f t="shared" si="168"/>
        <v/>
      </c>
      <c r="X871" t="str">
        <f t="shared" si="169"/>
        <v/>
      </c>
      <c r="AB871" t="str">
        <f t="shared" si="170"/>
        <v>0.0816</v>
      </c>
    </row>
    <row r="872" ht="16.25" spans="1:28">
      <c r="A872" s="39">
        <v>404</v>
      </c>
      <c r="B872" s="8">
        <v>160604</v>
      </c>
      <c r="C872" s="23">
        <v>4</v>
      </c>
      <c r="D872" s="109">
        <v>12.14</v>
      </c>
      <c r="H872" s="23">
        <v>4</v>
      </c>
      <c r="K872" s="84">
        <f t="shared" si="164"/>
        <v>24.28</v>
      </c>
      <c r="L872" s="84" t="str">
        <f t="shared" si="165"/>
        <v/>
      </c>
      <c r="M872" s="84" t="str">
        <f t="shared" si="166"/>
        <v/>
      </c>
      <c r="V872">
        <f t="shared" si="167"/>
        <v>25</v>
      </c>
      <c r="W872" t="str">
        <f t="shared" si="168"/>
        <v/>
      </c>
      <c r="X872" t="str">
        <f t="shared" si="169"/>
        <v/>
      </c>
      <c r="AB872" t="str">
        <f t="shared" si="170"/>
        <v>25</v>
      </c>
    </row>
    <row r="873" ht="16.25" spans="1:28">
      <c r="A873" s="39">
        <v>404</v>
      </c>
      <c r="B873" s="8">
        <v>160704</v>
      </c>
      <c r="C873" s="23">
        <v>7</v>
      </c>
      <c r="D873" s="109">
        <v>0.0682</v>
      </c>
      <c r="H873" s="23">
        <v>7</v>
      </c>
      <c r="K873" s="84">
        <f t="shared" si="164"/>
        <v>0.4092</v>
      </c>
      <c r="L873" s="84" t="str">
        <f t="shared" si="165"/>
        <v/>
      </c>
      <c r="M873" s="84" t="str">
        <f t="shared" si="166"/>
        <v/>
      </c>
      <c r="V873">
        <f t="shared" si="167"/>
        <v>0.4092</v>
      </c>
      <c r="W873" t="str">
        <f t="shared" si="168"/>
        <v/>
      </c>
      <c r="X873" t="str">
        <f t="shared" si="169"/>
        <v/>
      </c>
      <c r="AB873" t="str">
        <f t="shared" si="170"/>
        <v>0.4092</v>
      </c>
    </row>
    <row r="874" ht="16.25" spans="1:28">
      <c r="A874" s="39">
        <v>404</v>
      </c>
      <c r="B874" s="8">
        <v>160704</v>
      </c>
      <c r="C874" s="23">
        <v>4</v>
      </c>
      <c r="D874" s="109">
        <v>12.14</v>
      </c>
      <c r="H874" s="23">
        <v>4</v>
      </c>
      <c r="K874" s="84">
        <f t="shared" si="164"/>
        <v>24.28</v>
      </c>
      <c r="L874" s="84" t="str">
        <f t="shared" si="165"/>
        <v/>
      </c>
      <c r="M874" s="84" t="str">
        <f t="shared" si="166"/>
        <v/>
      </c>
      <c r="V874">
        <f t="shared" si="167"/>
        <v>25</v>
      </c>
      <c r="W874" t="str">
        <f t="shared" si="168"/>
        <v/>
      </c>
      <c r="X874" t="str">
        <f t="shared" si="169"/>
        <v/>
      </c>
      <c r="AB874" t="str">
        <f t="shared" si="170"/>
        <v>25</v>
      </c>
    </row>
    <row r="875" ht="16.25" spans="1:28">
      <c r="A875" s="39">
        <v>404</v>
      </c>
      <c r="B875" s="8">
        <v>160804</v>
      </c>
      <c r="C875" s="23">
        <v>10</v>
      </c>
      <c r="D875" s="109">
        <v>0.0097</v>
      </c>
      <c r="H875" s="23">
        <v>10</v>
      </c>
      <c r="K875" s="84">
        <f t="shared" si="164"/>
        <v>0.0582</v>
      </c>
      <c r="L875" s="84" t="str">
        <f t="shared" si="165"/>
        <v/>
      </c>
      <c r="M875" s="84" t="str">
        <f t="shared" si="166"/>
        <v/>
      </c>
      <c r="V875">
        <f t="shared" si="167"/>
        <v>0.0582</v>
      </c>
      <c r="W875" t="str">
        <f t="shared" si="168"/>
        <v/>
      </c>
      <c r="X875" t="str">
        <f t="shared" si="169"/>
        <v/>
      </c>
      <c r="AB875" t="str">
        <f t="shared" si="170"/>
        <v>0.0582</v>
      </c>
    </row>
    <row r="876" ht="16.25" spans="1:28">
      <c r="A876" s="39">
        <v>404</v>
      </c>
      <c r="B876" s="8">
        <v>160804</v>
      </c>
      <c r="C876" s="23">
        <v>26</v>
      </c>
      <c r="D876" s="109">
        <v>0.0205</v>
      </c>
      <c r="H876" s="23">
        <v>26</v>
      </c>
      <c r="K876" s="84">
        <f t="shared" si="164"/>
        <v>0.123</v>
      </c>
      <c r="L876" s="84" t="str">
        <f t="shared" si="165"/>
        <v/>
      </c>
      <c r="M876" s="84" t="str">
        <f t="shared" si="166"/>
        <v/>
      </c>
      <c r="V876">
        <f t="shared" si="167"/>
        <v>0.123</v>
      </c>
      <c r="W876" t="str">
        <f t="shared" si="168"/>
        <v/>
      </c>
      <c r="X876" t="str">
        <f t="shared" si="169"/>
        <v/>
      </c>
      <c r="AB876" t="str">
        <f t="shared" si="170"/>
        <v>0.123</v>
      </c>
    </row>
    <row r="877" ht="16.25" spans="1:28">
      <c r="A877" s="39">
        <v>404</v>
      </c>
      <c r="B877" s="8">
        <v>160804</v>
      </c>
      <c r="C877" s="23">
        <v>7</v>
      </c>
      <c r="D877" s="109">
        <v>0.0341</v>
      </c>
      <c r="H877" s="23">
        <v>7</v>
      </c>
      <c r="K877" s="84">
        <f t="shared" si="164"/>
        <v>0.2046</v>
      </c>
      <c r="L877" s="84" t="str">
        <f t="shared" si="165"/>
        <v/>
      </c>
      <c r="M877" s="84" t="str">
        <f t="shared" si="166"/>
        <v/>
      </c>
      <c r="V877">
        <f t="shared" si="167"/>
        <v>0.2046</v>
      </c>
      <c r="W877" t="str">
        <f t="shared" si="168"/>
        <v/>
      </c>
      <c r="X877" t="str">
        <f t="shared" si="169"/>
        <v/>
      </c>
      <c r="AB877" t="str">
        <f t="shared" si="170"/>
        <v>0.2046</v>
      </c>
    </row>
    <row r="878" ht="16.25" spans="1:28">
      <c r="A878" s="39">
        <v>404</v>
      </c>
      <c r="B878" s="8">
        <v>160804</v>
      </c>
      <c r="C878" s="23">
        <v>4</v>
      </c>
      <c r="D878" s="109">
        <v>12.14</v>
      </c>
      <c r="H878" s="23">
        <v>4</v>
      </c>
      <c r="K878" s="84">
        <f t="shared" si="164"/>
        <v>24.28</v>
      </c>
      <c r="L878" s="84" t="str">
        <f t="shared" si="165"/>
        <v/>
      </c>
      <c r="M878" s="84" t="str">
        <f t="shared" si="166"/>
        <v/>
      </c>
      <c r="V878">
        <f t="shared" si="167"/>
        <v>25</v>
      </c>
      <c r="W878" t="str">
        <f t="shared" si="168"/>
        <v/>
      </c>
      <c r="X878" t="str">
        <f t="shared" si="169"/>
        <v/>
      </c>
      <c r="AB878" t="str">
        <f t="shared" si="170"/>
        <v>25</v>
      </c>
    </row>
    <row r="879" ht="16.25" spans="1:28">
      <c r="A879" s="39">
        <v>404</v>
      </c>
      <c r="B879" s="8">
        <v>160904</v>
      </c>
      <c r="C879" s="23">
        <v>7</v>
      </c>
      <c r="D879" s="109">
        <v>0.0341</v>
      </c>
      <c r="H879" s="23">
        <v>7</v>
      </c>
      <c r="K879" s="84">
        <f t="shared" si="164"/>
        <v>0.2046</v>
      </c>
      <c r="L879" s="84" t="str">
        <f t="shared" si="165"/>
        <v/>
      </c>
      <c r="M879" s="84" t="str">
        <f t="shared" si="166"/>
        <v/>
      </c>
      <c r="V879">
        <f t="shared" si="167"/>
        <v>0.2046</v>
      </c>
      <c r="W879" t="str">
        <f t="shared" si="168"/>
        <v/>
      </c>
      <c r="X879" t="str">
        <f t="shared" si="169"/>
        <v/>
      </c>
      <c r="AB879" t="str">
        <f t="shared" si="170"/>
        <v>0.2046</v>
      </c>
    </row>
    <row r="880" ht="16.25" spans="1:28">
      <c r="A880" s="39">
        <v>404</v>
      </c>
      <c r="B880" s="8">
        <v>160904</v>
      </c>
      <c r="C880" s="23">
        <v>10</v>
      </c>
      <c r="D880" s="109">
        <v>0.0097</v>
      </c>
      <c r="H880" s="23">
        <v>10</v>
      </c>
      <c r="K880" s="84">
        <f t="shared" si="164"/>
        <v>0.0582</v>
      </c>
      <c r="L880" s="84" t="str">
        <f t="shared" si="165"/>
        <v/>
      </c>
      <c r="M880" s="84" t="str">
        <f t="shared" si="166"/>
        <v/>
      </c>
      <c r="V880">
        <f t="shared" si="167"/>
        <v>0.0582</v>
      </c>
      <c r="W880" t="str">
        <f t="shared" si="168"/>
        <v/>
      </c>
      <c r="X880" t="str">
        <f t="shared" si="169"/>
        <v/>
      </c>
      <c r="AB880" t="str">
        <f t="shared" si="170"/>
        <v>0.0582</v>
      </c>
    </row>
    <row r="881" ht="16.25" spans="1:28">
      <c r="A881" s="39">
        <v>404</v>
      </c>
      <c r="B881" s="8">
        <v>160904</v>
      </c>
      <c r="C881" s="23">
        <v>4</v>
      </c>
      <c r="D881" s="111">
        <v>12.14</v>
      </c>
      <c r="H881" s="23">
        <v>4</v>
      </c>
      <c r="K881" s="84">
        <f t="shared" si="164"/>
        <v>24.28</v>
      </c>
      <c r="L881" s="84" t="str">
        <f t="shared" si="165"/>
        <v/>
      </c>
      <c r="M881" s="84" t="str">
        <f t="shared" si="166"/>
        <v/>
      </c>
      <c r="V881">
        <f t="shared" si="167"/>
        <v>25</v>
      </c>
      <c r="W881" t="str">
        <f t="shared" si="168"/>
        <v/>
      </c>
      <c r="X881" t="str">
        <f t="shared" si="169"/>
        <v/>
      </c>
      <c r="AB881" t="str">
        <f t="shared" si="170"/>
        <v>25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521"/>
  <sheetViews>
    <sheetView workbookViewId="0">
      <pane ySplit="1" topLeftCell="A2" activePane="bottomLeft" state="frozen"/>
      <selection/>
      <selection pane="bottomLeft" activeCell="AI170" sqref="AI170"/>
    </sheetView>
  </sheetViews>
  <sheetFormatPr defaultColWidth="8.61261261261261" defaultRowHeight="14.1"/>
  <cols>
    <col min="2" max="2" width="27.8738738738739" customWidth="1"/>
    <col min="3" max="15" width="8.61261261261261" hidden="1" customWidth="1"/>
    <col min="16" max="27" width="22.6936936936937" style="8" hidden="1" customWidth="1"/>
    <col min="28" max="28" width="31.5045045045045" customWidth="1"/>
    <col min="29" max="29" width="9.25225225225225"/>
  </cols>
  <sheetData>
    <row r="1" s="6" customFormat="1" ht="14.85" spans="3:29">
      <c r="C1" s="9" t="s">
        <v>303</v>
      </c>
      <c r="D1" s="9"/>
      <c r="E1" s="9" t="s">
        <v>304</v>
      </c>
      <c r="F1" s="9"/>
      <c r="G1" s="9" t="s">
        <v>305</v>
      </c>
      <c r="H1" s="9"/>
      <c r="I1" s="9"/>
      <c r="J1" s="9" t="s">
        <v>306</v>
      </c>
      <c r="K1" s="9"/>
      <c r="L1" s="9"/>
      <c r="M1" s="9"/>
      <c r="N1" s="9"/>
      <c r="O1" s="9"/>
      <c r="P1" s="9" t="s">
        <v>303</v>
      </c>
      <c r="Q1" s="9"/>
      <c r="R1" s="9" t="s">
        <v>304</v>
      </c>
      <c r="S1" s="9"/>
      <c r="T1" s="9" t="s">
        <v>305</v>
      </c>
      <c r="U1" s="9"/>
      <c r="V1" s="9"/>
      <c r="W1" s="9" t="s">
        <v>306</v>
      </c>
      <c r="X1" s="9"/>
      <c r="Y1" s="9"/>
      <c r="Z1" s="9"/>
      <c r="AA1" s="9"/>
      <c r="AB1" s="6" t="s">
        <v>307</v>
      </c>
      <c r="AC1" s="6" t="s">
        <v>308</v>
      </c>
    </row>
    <row r="2" ht="17" hidden="1" spans="1:30">
      <c r="A2" s="10">
        <v>120001</v>
      </c>
      <c r="B2" s="11" t="s">
        <v>25</v>
      </c>
      <c r="C2" s="12" t="s">
        <v>309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>
        <v>45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30" t="str">
        <f>IF(N2="","",_xlfn.XLOOKUP(N2,Sheet6!$E:$E,Sheet6!$D:$D,"",0,1))</f>
        <v/>
      </c>
      <c r="AB2" s="12" t="str">
        <f t="shared" ref="AB2:AB65" si="0">_xlfn.TEXTJOIN(",",TRUE,T2,U2,V2)</f>
        <v/>
      </c>
      <c r="AC2" s="31" t="str">
        <f t="shared" ref="AC2:AC65" si="1">_xlfn.TEXTJOIN(",",TRUE,X2,Y2,Z2,AA2)</f>
        <v/>
      </c>
      <c r="AD2" s="32"/>
    </row>
    <row r="3" ht="16.25" hidden="1" spans="1:30">
      <c r="A3" s="13">
        <v>120002</v>
      </c>
      <c r="B3" s="14" t="s">
        <v>26</v>
      </c>
      <c r="C3" s="12" t="s">
        <v>310</v>
      </c>
      <c r="D3" s="12" t="s">
        <v>311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>
        <v>15</v>
      </c>
      <c r="Q3" s="12">
        <v>185</v>
      </c>
      <c r="R3" s="12"/>
      <c r="S3" s="12"/>
      <c r="T3" s="12"/>
      <c r="U3" s="12"/>
      <c r="V3" s="12"/>
      <c r="W3" s="12"/>
      <c r="X3" s="12"/>
      <c r="Y3" s="12"/>
      <c r="Z3" s="12"/>
      <c r="AA3" s="30" t="str">
        <f>IF(N3="","",_xlfn.XLOOKUP(N3,Sheet6!$E:$E,Sheet6!$D:$D,"",0,1))</f>
        <v/>
      </c>
      <c r="AB3" s="12" t="str">
        <f t="shared" si="0"/>
        <v/>
      </c>
      <c r="AC3" s="31" t="str">
        <f t="shared" si="1"/>
        <v/>
      </c>
      <c r="AD3" s="32"/>
    </row>
    <row r="4" ht="16.25" hidden="1" spans="1:30">
      <c r="A4" s="13">
        <v>120003</v>
      </c>
      <c r="B4" s="14" t="s">
        <v>27</v>
      </c>
      <c r="C4" s="12" t="s">
        <v>309</v>
      </c>
      <c r="D4" s="12" t="s">
        <v>310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>
        <v>23</v>
      </c>
      <c r="Q4" s="12">
        <v>7</v>
      </c>
      <c r="R4" s="12"/>
      <c r="S4" s="12"/>
      <c r="T4" s="12"/>
      <c r="U4" s="12"/>
      <c r="V4" s="12"/>
      <c r="W4" s="12"/>
      <c r="X4" s="12"/>
      <c r="Y4" s="12"/>
      <c r="Z4" s="12"/>
      <c r="AA4" s="30" t="str">
        <f>IF(N4="","",_xlfn.XLOOKUP(N4,Sheet6!$E:$E,Sheet6!$D:$D,"",0,1))</f>
        <v/>
      </c>
      <c r="AB4" s="12" t="str">
        <f t="shared" si="0"/>
        <v/>
      </c>
      <c r="AC4" s="31" t="str">
        <f t="shared" si="1"/>
        <v/>
      </c>
      <c r="AD4" s="32"/>
    </row>
    <row r="5" ht="16.25" hidden="1" spans="1:30">
      <c r="A5" s="13">
        <v>120004</v>
      </c>
      <c r="B5" s="14" t="s">
        <v>28</v>
      </c>
      <c r="C5" s="12" t="s">
        <v>310</v>
      </c>
      <c r="D5" s="12" t="s">
        <v>311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>
        <v>7</v>
      </c>
      <c r="Q5" s="12">
        <v>375</v>
      </c>
      <c r="R5" s="12"/>
      <c r="S5" s="12"/>
      <c r="T5" s="12"/>
      <c r="U5" s="12"/>
      <c r="V5" s="12"/>
      <c r="W5" s="12"/>
      <c r="X5" s="12"/>
      <c r="Y5" s="12"/>
      <c r="Z5" s="12"/>
      <c r="AA5" s="30" t="str">
        <f>IF(N5="","",_xlfn.XLOOKUP(N5,Sheet6!$E:$E,Sheet6!$D:$D,"",0,1))</f>
        <v/>
      </c>
      <c r="AB5" s="12" t="str">
        <f t="shared" si="0"/>
        <v/>
      </c>
      <c r="AC5" s="31" t="str">
        <f t="shared" si="1"/>
        <v/>
      </c>
      <c r="AD5" s="32"/>
    </row>
    <row r="6" ht="16.25" hidden="1" spans="1:30">
      <c r="A6" s="15">
        <v>220001</v>
      </c>
      <c r="B6" s="16" t="s">
        <v>117</v>
      </c>
      <c r="C6" s="12" t="s">
        <v>309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>
        <v>45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30" t="str">
        <f>IF(N6="","",_xlfn.XLOOKUP(N6,Sheet6!$E:$E,Sheet6!$D:$D,"",0,1))</f>
        <v/>
      </c>
      <c r="AB6" s="12" t="str">
        <f t="shared" si="0"/>
        <v/>
      </c>
      <c r="AC6" s="31" t="str">
        <f t="shared" si="1"/>
        <v/>
      </c>
      <c r="AD6" s="32"/>
    </row>
    <row r="7" ht="16.25" hidden="1" spans="1:30">
      <c r="A7" s="17">
        <v>220002</v>
      </c>
      <c r="B7" s="18" t="s">
        <v>118</v>
      </c>
      <c r="C7" s="12" t="s">
        <v>310</v>
      </c>
      <c r="D7" s="12" t="s">
        <v>311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>
        <v>15</v>
      </c>
      <c r="Q7" s="12">
        <v>185</v>
      </c>
      <c r="R7" s="12"/>
      <c r="S7" s="12"/>
      <c r="T7" s="12"/>
      <c r="U7" s="12"/>
      <c r="V7" s="12"/>
      <c r="W7" s="12"/>
      <c r="X7" s="12"/>
      <c r="Y7" s="12"/>
      <c r="Z7" s="12"/>
      <c r="AA7" s="30" t="str">
        <f>IF(N7="","",_xlfn.XLOOKUP(N7,Sheet6!$E:$E,Sheet6!$D:$D,"",0,1))</f>
        <v/>
      </c>
      <c r="AB7" s="12" t="str">
        <f t="shared" si="0"/>
        <v/>
      </c>
      <c r="AC7" s="31" t="str">
        <f t="shared" si="1"/>
        <v/>
      </c>
      <c r="AD7" s="32"/>
    </row>
    <row r="8" ht="16.25" hidden="1" spans="1:30">
      <c r="A8" s="17">
        <v>220003</v>
      </c>
      <c r="B8" s="18" t="s">
        <v>119</v>
      </c>
      <c r="C8" s="12" t="s">
        <v>309</v>
      </c>
      <c r="D8" s="12" t="s">
        <v>310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>
        <v>23</v>
      </c>
      <c r="Q8" s="12">
        <v>7</v>
      </c>
      <c r="R8" s="12"/>
      <c r="S8" s="12"/>
      <c r="T8" s="12"/>
      <c r="U8" s="12"/>
      <c r="V8" s="12"/>
      <c r="W8" s="12"/>
      <c r="X8" s="12"/>
      <c r="Y8" s="12"/>
      <c r="Z8" s="12"/>
      <c r="AA8" s="30" t="str">
        <f>IF(N8="","",_xlfn.XLOOKUP(N8,Sheet6!$E:$E,Sheet6!$D:$D,"",0,1))</f>
        <v/>
      </c>
      <c r="AB8" s="12" t="str">
        <f t="shared" si="0"/>
        <v/>
      </c>
      <c r="AC8" s="31" t="str">
        <f t="shared" si="1"/>
        <v/>
      </c>
      <c r="AD8" s="32"/>
    </row>
    <row r="9" ht="17" hidden="1" spans="1:30">
      <c r="A9" s="19">
        <v>220004</v>
      </c>
      <c r="B9" s="20" t="s">
        <v>120</v>
      </c>
      <c r="C9" s="12" t="s">
        <v>310</v>
      </c>
      <c r="D9" s="12" t="s">
        <v>311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>
        <v>7</v>
      </c>
      <c r="Q9" s="12">
        <v>375</v>
      </c>
      <c r="R9" s="12"/>
      <c r="S9" s="12"/>
      <c r="T9" s="12"/>
      <c r="U9" s="12"/>
      <c r="V9" s="12"/>
      <c r="W9" s="12"/>
      <c r="X9" s="12"/>
      <c r="Y9" s="12"/>
      <c r="Z9" s="12"/>
      <c r="AA9" s="30" t="str">
        <f>IF(N9="","",_xlfn.XLOOKUP(N9,Sheet6!$E:$E,Sheet6!$D:$D,"",0,1))</f>
        <v/>
      </c>
      <c r="AB9" s="12" t="str">
        <f t="shared" si="0"/>
        <v/>
      </c>
      <c r="AC9" s="31" t="str">
        <f t="shared" si="1"/>
        <v/>
      </c>
      <c r="AD9" s="32"/>
    </row>
    <row r="10" ht="17" hidden="1" spans="1:30">
      <c r="A10" s="10">
        <v>130001</v>
      </c>
      <c r="B10" s="11" t="s">
        <v>29</v>
      </c>
      <c r="C10" s="12" t="s">
        <v>309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>
        <v>60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30" t="str">
        <f>IF(N10="","",_xlfn.XLOOKUP(N10,Sheet6!$E:$E,Sheet6!$D:$D,"",0,1))</f>
        <v/>
      </c>
      <c r="AB10" s="12" t="str">
        <f t="shared" si="0"/>
        <v/>
      </c>
      <c r="AC10" s="31" t="str">
        <f t="shared" si="1"/>
        <v/>
      </c>
      <c r="AD10" s="32"/>
    </row>
    <row r="11" ht="16.25" hidden="1" spans="1:30">
      <c r="A11" s="13">
        <v>130002</v>
      </c>
      <c r="B11" s="14" t="s">
        <v>30</v>
      </c>
      <c r="C11" s="12" t="s">
        <v>310</v>
      </c>
      <c r="D11" s="12" t="s">
        <v>311</v>
      </c>
      <c r="E11" s="12"/>
      <c r="F11" s="12"/>
      <c r="G11" s="21"/>
      <c r="H11" s="21"/>
      <c r="I11" s="21"/>
      <c r="J11" s="21"/>
      <c r="K11" s="21"/>
      <c r="L11" s="21"/>
      <c r="M11" s="21"/>
      <c r="N11" s="21"/>
      <c r="O11" s="21"/>
      <c r="P11" s="12">
        <v>18</v>
      </c>
      <c r="Q11" s="12">
        <v>240</v>
      </c>
      <c r="R11" s="12"/>
      <c r="S11" s="12"/>
      <c r="T11" s="12"/>
      <c r="U11" s="12"/>
      <c r="V11" s="12"/>
      <c r="W11" s="12"/>
      <c r="X11" s="12"/>
      <c r="Y11" s="12"/>
      <c r="Z11" s="12"/>
      <c r="AA11" s="30" t="str">
        <f>IF(N11="","",_xlfn.XLOOKUP(N11,Sheet6!$E:$E,Sheet6!$D:$D,"",0,1))</f>
        <v/>
      </c>
      <c r="AB11" s="12" t="str">
        <f t="shared" si="0"/>
        <v/>
      </c>
      <c r="AC11" s="31" t="str">
        <f t="shared" si="1"/>
        <v/>
      </c>
      <c r="AD11" s="32"/>
    </row>
    <row r="12" ht="16.25" hidden="1" spans="1:30">
      <c r="A12" s="13">
        <v>130003</v>
      </c>
      <c r="B12" s="14" t="s">
        <v>31</v>
      </c>
      <c r="C12" s="12" t="s">
        <v>309</v>
      </c>
      <c r="D12" s="12" t="s">
        <v>310</v>
      </c>
      <c r="E12" s="12"/>
      <c r="F12" s="12"/>
      <c r="G12" s="21"/>
      <c r="H12" s="21"/>
      <c r="I12" s="21"/>
      <c r="J12" s="21"/>
      <c r="K12" s="21"/>
      <c r="L12" s="21"/>
      <c r="M12" s="21"/>
      <c r="N12" s="21"/>
      <c r="O12" s="21"/>
      <c r="P12" s="12">
        <v>30</v>
      </c>
      <c r="Q12" s="12">
        <v>9</v>
      </c>
      <c r="R12" s="12"/>
      <c r="S12" s="12"/>
      <c r="T12" s="12"/>
      <c r="U12" s="12"/>
      <c r="V12" s="12"/>
      <c r="W12" s="12"/>
      <c r="X12" s="12"/>
      <c r="Y12" s="12"/>
      <c r="Z12" s="12"/>
      <c r="AA12" s="30" t="str">
        <f>IF(N12="","",_xlfn.XLOOKUP(N12,Sheet6!$E:$E,Sheet6!$D:$D,"",0,1))</f>
        <v/>
      </c>
      <c r="AB12" s="12" t="str">
        <f t="shared" si="0"/>
        <v/>
      </c>
      <c r="AC12" s="31" t="str">
        <f t="shared" si="1"/>
        <v/>
      </c>
      <c r="AD12" s="32"/>
    </row>
    <row r="13" ht="16.25" hidden="1" spans="1:30">
      <c r="A13" s="13">
        <v>130004</v>
      </c>
      <c r="B13" s="14" t="s">
        <v>32</v>
      </c>
      <c r="C13" s="12" t="s">
        <v>310</v>
      </c>
      <c r="D13" s="12" t="s">
        <v>311</v>
      </c>
      <c r="E13" s="12"/>
      <c r="F13" s="12"/>
      <c r="G13" s="21"/>
      <c r="H13" s="21"/>
      <c r="I13" s="21"/>
      <c r="J13" s="21"/>
      <c r="K13" s="21"/>
      <c r="L13" s="21"/>
      <c r="M13" s="21"/>
      <c r="N13" s="21"/>
      <c r="O13" s="21"/>
      <c r="P13" s="12">
        <v>9</v>
      </c>
      <c r="Q13" s="12">
        <v>480</v>
      </c>
      <c r="R13" s="12"/>
      <c r="S13" s="12"/>
      <c r="T13" s="12"/>
      <c r="U13" s="12"/>
      <c r="V13" s="12"/>
      <c r="W13" s="12"/>
      <c r="X13" s="12"/>
      <c r="Y13" s="12"/>
      <c r="Z13" s="12"/>
      <c r="AA13" s="30" t="str">
        <f>IF(N13="","",_xlfn.XLOOKUP(N13,Sheet6!$E:$E,Sheet6!$D:$D,"",0,1))</f>
        <v/>
      </c>
      <c r="AB13" s="12" t="str">
        <f t="shared" si="0"/>
        <v/>
      </c>
      <c r="AC13" s="31" t="str">
        <f t="shared" si="1"/>
        <v/>
      </c>
      <c r="AD13" s="32"/>
    </row>
    <row r="14" ht="16.25" hidden="1" spans="1:30">
      <c r="A14" s="15">
        <v>230001</v>
      </c>
      <c r="B14" s="16" t="s">
        <v>121</v>
      </c>
      <c r="C14" s="12" t="s">
        <v>309</v>
      </c>
      <c r="D14" s="12"/>
      <c r="E14" s="12"/>
      <c r="F14" s="12"/>
      <c r="G14" s="21"/>
      <c r="H14" s="21"/>
      <c r="I14" s="21"/>
      <c r="J14" s="21"/>
      <c r="K14" s="21"/>
      <c r="L14" s="21"/>
      <c r="M14" s="21"/>
      <c r="N14" s="21"/>
      <c r="O14" s="12"/>
      <c r="P14" s="12">
        <v>60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30" t="str">
        <f>IF(N14="","",_xlfn.XLOOKUP(N14,Sheet6!$E:$E,Sheet6!$D:$D,"",0,1))</f>
        <v/>
      </c>
      <c r="AB14" s="12" t="str">
        <f t="shared" si="0"/>
        <v/>
      </c>
      <c r="AC14" s="31" t="str">
        <f t="shared" si="1"/>
        <v/>
      </c>
      <c r="AD14" s="32"/>
    </row>
    <row r="15" ht="16.25" hidden="1" spans="1:30">
      <c r="A15" s="17">
        <v>230002</v>
      </c>
      <c r="B15" s="18" t="s">
        <v>122</v>
      </c>
      <c r="C15" s="12" t="s">
        <v>310</v>
      </c>
      <c r="D15" s="12" t="s">
        <v>311</v>
      </c>
      <c r="E15" s="12"/>
      <c r="F15" s="12"/>
      <c r="G15" s="21"/>
      <c r="H15" s="21"/>
      <c r="I15" s="21"/>
      <c r="J15" s="21"/>
      <c r="K15" s="21"/>
      <c r="L15" s="21"/>
      <c r="M15" s="21"/>
      <c r="N15" s="21"/>
      <c r="O15" s="21"/>
      <c r="P15" s="12">
        <v>18</v>
      </c>
      <c r="Q15" s="12">
        <v>240</v>
      </c>
      <c r="R15" s="12"/>
      <c r="S15" s="12"/>
      <c r="T15" s="12"/>
      <c r="U15" s="12"/>
      <c r="V15" s="12"/>
      <c r="W15" s="12"/>
      <c r="X15" s="12"/>
      <c r="Y15" s="12"/>
      <c r="Z15" s="12"/>
      <c r="AA15" s="30" t="str">
        <f>IF(N15="","",_xlfn.XLOOKUP(N15,Sheet6!$E:$E,Sheet6!$D:$D,"",0,1))</f>
        <v/>
      </c>
      <c r="AB15" s="12" t="str">
        <f t="shared" si="0"/>
        <v/>
      </c>
      <c r="AC15" s="31" t="str">
        <f t="shared" si="1"/>
        <v/>
      </c>
      <c r="AD15" s="32"/>
    </row>
    <row r="16" ht="16.25" hidden="1" spans="1:30">
      <c r="A16" s="17">
        <v>230003</v>
      </c>
      <c r="B16" s="18" t="s">
        <v>123</v>
      </c>
      <c r="C16" s="12" t="s">
        <v>309</v>
      </c>
      <c r="D16" s="12" t="s">
        <v>310</v>
      </c>
      <c r="E16" s="12"/>
      <c r="F16" s="12"/>
      <c r="G16" s="21"/>
      <c r="H16" s="21"/>
      <c r="I16" s="21"/>
      <c r="J16" s="21"/>
      <c r="K16" s="21"/>
      <c r="L16" s="21"/>
      <c r="M16" s="21"/>
      <c r="N16" s="21"/>
      <c r="O16" s="21"/>
      <c r="P16" s="12">
        <v>30</v>
      </c>
      <c r="Q16" s="12">
        <v>9</v>
      </c>
      <c r="R16" s="12"/>
      <c r="S16" s="12"/>
      <c r="T16" s="12"/>
      <c r="U16" s="12"/>
      <c r="V16" s="12"/>
      <c r="W16" s="12"/>
      <c r="X16" s="12"/>
      <c r="Y16" s="12"/>
      <c r="Z16" s="12"/>
      <c r="AA16" s="30" t="str">
        <f>IF(N16="","",_xlfn.XLOOKUP(N16,Sheet6!$E:$E,Sheet6!$D:$D,"",0,1))</f>
        <v/>
      </c>
      <c r="AB16" s="12" t="str">
        <f t="shared" si="0"/>
        <v/>
      </c>
      <c r="AC16" s="31" t="str">
        <f t="shared" si="1"/>
        <v/>
      </c>
      <c r="AD16" s="32"/>
    </row>
    <row r="17" ht="17" hidden="1" spans="1:30">
      <c r="A17" s="19">
        <v>230004</v>
      </c>
      <c r="B17" s="20" t="s">
        <v>124</v>
      </c>
      <c r="C17" s="12" t="s">
        <v>310</v>
      </c>
      <c r="D17" s="12" t="s">
        <v>311</v>
      </c>
      <c r="E17" s="12"/>
      <c r="F17" s="12"/>
      <c r="G17" s="21"/>
      <c r="H17" s="21"/>
      <c r="I17" s="21"/>
      <c r="J17" s="21"/>
      <c r="K17" s="21"/>
      <c r="L17" s="21"/>
      <c r="M17" s="21"/>
      <c r="N17" s="21"/>
      <c r="O17" s="21"/>
      <c r="P17" s="12">
        <v>9</v>
      </c>
      <c r="Q17" s="12">
        <v>480</v>
      </c>
      <c r="R17" s="12"/>
      <c r="S17" s="12"/>
      <c r="T17" s="12"/>
      <c r="U17" s="12"/>
      <c r="V17" s="12"/>
      <c r="W17" s="12"/>
      <c r="X17" s="12"/>
      <c r="Y17" s="12"/>
      <c r="Z17" s="12"/>
      <c r="AA17" s="30" t="str">
        <f>IF(N17="","",_xlfn.XLOOKUP(N17,Sheet6!$E:$E,Sheet6!$D:$D,"",0,1))</f>
        <v/>
      </c>
      <c r="AB17" s="12" t="str">
        <f t="shared" si="0"/>
        <v/>
      </c>
      <c r="AC17" s="31" t="str">
        <f t="shared" si="1"/>
        <v/>
      </c>
      <c r="AD17" s="32"/>
    </row>
    <row r="18" ht="17" hidden="1" spans="1:30">
      <c r="A18" s="10">
        <v>140001</v>
      </c>
      <c r="B18" s="11" t="s">
        <v>33</v>
      </c>
      <c r="C18" s="12" t="s">
        <v>309</v>
      </c>
      <c r="D18" s="12"/>
      <c r="E18" s="12" t="s">
        <v>309</v>
      </c>
      <c r="F18" s="12"/>
      <c r="G18" s="21"/>
      <c r="H18" s="21"/>
      <c r="I18" s="21"/>
      <c r="J18" s="21"/>
      <c r="K18" s="21"/>
      <c r="L18" s="21"/>
      <c r="M18" s="21"/>
      <c r="N18" s="21"/>
      <c r="O18" s="21"/>
      <c r="P18" s="12">
        <f>P22*0.8</f>
        <v>76</v>
      </c>
      <c r="Q18" s="12"/>
      <c r="R18" s="12">
        <v>0.65</v>
      </c>
      <c r="S18" s="12"/>
      <c r="T18" s="12"/>
      <c r="U18" s="12"/>
      <c r="V18" s="12"/>
      <c r="W18" s="12"/>
      <c r="X18" s="12"/>
      <c r="Y18" s="12"/>
      <c r="Z18" s="12"/>
      <c r="AA18" s="30" t="str">
        <f>IF(N18="","",_xlfn.XLOOKUP(N18,Sheet6!$E:$E,Sheet6!$D:$D,"",0,1))</f>
        <v/>
      </c>
      <c r="AB18" s="12" t="str">
        <f t="shared" si="0"/>
        <v/>
      </c>
      <c r="AC18" s="31" t="str">
        <f t="shared" si="1"/>
        <v/>
      </c>
      <c r="AD18" s="32"/>
    </row>
    <row r="19" ht="16.25" hidden="1" spans="1:30">
      <c r="A19" s="13">
        <v>140002</v>
      </c>
      <c r="B19" s="22" t="s">
        <v>34</v>
      </c>
      <c r="C19" s="12" t="s">
        <v>310</v>
      </c>
      <c r="D19" s="12" t="s">
        <v>311</v>
      </c>
      <c r="E19" s="12" t="s">
        <v>310</v>
      </c>
      <c r="F19" s="12" t="s">
        <v>311</v>
      </c>
      <c r="G19" s="21"/>
      <c r="H19" s="21"/>
      <c r="I19" s="21"/>
      <c r="J19" s="21"/>
      <c r="K19" s="21"/>
      <c r="L19" s="21"/>
      <c r="M19" s="21"/>
      <c r="N19" s="21"/>
      <c r="O19" s="21"/>
      <c r="P19" s="12">
        <f t="shared" ref="P19:S19" si="2">P23*0.8</f>
        <v>22.4</v>
      </c>
      <c r="Q19" s="12">
        <f t="shared" si="2"/>
        <v>298.4</v>
      </c>
      <c r="R19" s="12">
        <v>0.65</v>
      </c>
      <c r="S19" s="12">
        <v>0.65</v>
      </c>
      <c r="T19" s="12"/>
      <c r="U19" s="12"/>
      <c r="V19" s="12"/>
      <c r="W19" s="12"/>
      <c r="X19" s="12"/>
      <c r="Y19" s="12"/>
      <c r="Z19" s="12"/>
      <c r="AA19" s="30" t="str">
        <f>IF(N19="","",_xlfn.XLOOKUP(N19,Sheet6!$E:$E,Sheet6!$D:$D,"",0,1))</f>
        <v/>
      </c>
      <c r="AB19" s="12" t="str">
        <f t="shared" si="0"/>
        <v/>
      </c>
      <c r="AC19" s="31" t="str">
        <f t="shared" si="1"/>
        <v/>
      </c>
      <c r="AD19" s="32"/>
    </row>
    <row r="20" ht="16.25" hidden="1" spans="1:30">
      <c r="A20" s="13">
        <v>140003</v>
      </c>
      <c r="B20" s="22" t="s">
        <v>35</v>
      </c>
      <c r="C20" s="12" t="s">
        <v>309</v>
      </c>
      <c r="D20" s="12" t="s">
        <v>310</v>
      </c>
      <c r="E20" s="12" t="s">
        <v>309</v>
      </c>
      <c r="F20" s="12" t="s">
        <v>310</v>
      </c>
      <c r="G20" s="23"/>
      <c r="H20" s="23"/>
      <c r="I20" s="23"/>
      <c r="J20" s="23"/>
      <c r="K20" s="23"/>
      <c r="L20" s="23"/>
      <c r="M20" s="23"/>
      <c r="N20" s="23"/>
      <c r="O20" s="23"/>
      <c r="P20" s="12">
        <f t="shared" ref="P20:S20" si="3">P24*0.8</f>
        <v>36.8</v>
      </c>
      <c r="Q20" s="12">
        <f t="shared" si="3"/>
        <v>11.2</v>
      </c>
      <c r="R20" s="12">
        <v>0.65</v>
      </c>
      <c r="S20" s="12">
        <v>0.65</v>
      </c>
      <c r="T20" s="30"/>
      <c r="U20" s="30"/>
      <c r="V20" s="30"/>
      <c r="W20" s="30"/>
      <c r="X20" s="30"/>
      <c r="Y20" s="30"/>
      <c r="Z20" s="30"/>
      <c r="AA20" s="30" t="str">
        <f>IF(N20="","",_xlfn.XLOOKUP(N20,Sheet6!$E:$E,Sheet6!$D:$D,"",0,1))</f>
        <v/>
      </c>
      <c r="AB20" s="12" t="str">
        <f t="shared" si="0"/>
        <v/>
      </c>
      <c r="AC20" s="31" t="str">
        <f t="shared" si="1"/>
        <v/>
      </c>
      <c r="AD20" s="33"/>
    </row>
    <row r="21" ht="16.25" hidden="1" spans="1:30">
      <c r="A21" s="13">
        <v>140004</v>
      </c>
      <c r="B21" s="22" t="s">
        <v>36</v>
      </c>
      <c r="C21" s="12" t="s">
        <v>310</v>
      </c>
      <c r="D21" s="12" t="s">
        <v>311</v>
      </c>
      <c r="E21" s="12" t="s">
        <v>310</v>
      </c>
      <c r="F21" s="12" t="s">
        <v>311</v>
      </c>
      <c r="G21" s="23"/>
      <c r="H21" s="23"/>
      <c r="I21" s="23"/>
      <c r="J21" s="23"/>
      <c r="K21" s="23"/>
      <c r="L21" s="23"/>
      <c r="M21" s="23"/>
      <c r="N21" s="23"/>
      <c r="O21" s="23"/>
      <c r="P21" s="12">
        <f t="shared" ref="P21:S21" si="4">P25*0.8</f>
        <v>11.2</v>
      </c>
      <c r="Q21" s="12">
        <f t="shared" si="4"/>
        <v>596.8</v>
      </c>
      <c r="R21" s="12">
        <v>0.65</v>
      </c>
      <c r="S21" s="12">
        <v>0.65</v>
      </c>
      <c r="T21" s="30"/>
      <c r="U21" s="30"/>
      <c r="V21" s="30"/>
      <c r="W21" s="30"/>
      <c r="X21" s="30"/>
      <c r="Y21" s="30"/>
      <c r="Z21" s="30"/>
      <c r="AA21" s="30" t="str">
        <f>IF(N21="","",_xlfn.XLOOKUP(N21,Sheet6!$E:$E,Sheet6!$D:$D,"",0,1))</f>
        <v/>
      </c>
      <c r="AB21" s="12" t="str">
        <f t="shared" si="0"/>
        <v/>
      </c>
      <c r="AC21" s="31" t="str">
        <f t="shared" si="1"/>
        <v/>
      </c>
      <c r="AD21" s="33"/>
    </row>
    <row r="22" ht="16.25" hidden="1" spans="1:30">
      <c r="A22" s="15">
        <v>240001</v>
      </c>
      <c r="B22" s="24" t="s">
        <v>125</v>
      </c>
      <c r="C22" s="12" t="s">
        <v>309</v>
      </c>
      <c r="D22" s="12"/>
      <c r="E22" s="12" t="s">
        <v>309</v>
      </c>
      <c r="F22" s="12"/>
      <c r="G22" s="23"/>
      <c r="H22" s="23"/>
      <c r="I22" s="23"/>
      <c r="J22" s="23"/>
      <c r="K22" s="23"/>
      <c r="L22" s="23"/>
      <c r="M22" s="23"/>
      <c r="N22" s="23"/>
      <c r="O22" s="23"/>
      <c r="P22" s="12">
        <v>95</v>
      </c>
      <c r="Q22" s="12"/>
      <c r="R22" s="12">
        <v>0.65</v>
      </c>
      <c r="S22" s="12"/>
      <c r="T22" s="30"/>
      <c r="U22" s="30"/>
      <c r="V22" s="30"/>
      <c r="W22" s="30"/>
      <c r="X22" s="30"/>
      <c r="Y22" s="30"/>
      <c r="Z22" s="30"/>
      <c r="AA22" s="30" t="str">
        <f>IF(N22="","",_xlfn.XLOOKUP(N22,Sheet6!$E:$E,Sheet6!$D:$D,"",0,1))</f>
        <v/>
      </c>
      <c r="AB22" s="12" t="str">
        <f t="shared" si="0"/>
        <v/>
      </c>
      <c r="AC22" s="31" t="str">
        <f t="shared" si="1"/>
        <v/>
      </c>
      <c r="AD22" s="33"/>
    </row>
    <row r="23" ht="16.25" hidden="1" spans="1:30">
      <c r="A23" s="17">
        <v>240002</v>
      </c>
      <c r="B23" s="25" t="s">
        <v>126</v>
      </c>
      <c r="C23" s="12" t="s">
        <v>310</v>
      </c>
      <c r="D23" s="12" t="s">
        <v>311</v>
      </c>
      <c r="E23" s="12" t="s">
        <v>310</v>
      </c>
      <c r="F23" s="12" t="s">
        <v>311</v>
      </c>
      <c r="G23" s="23"/>
      <c r="H23" s="23"/>
      <c r="I23" s="23"/>
      <c r="J23" s="23"/>
      <c r="K23" s="23"/>
      <c r="L23" s="23"/>
      <c r="M23" s="23"/>
      <c r="N23" s="23"/>
      <c r="O23" s="23"/>
      <c r="P23" s="12">
        <v>28</v>
      </c>
      <c r="Q23" s="12">
        <v>373</v>
      </c>
      <c r="R23" s="12">
        <v>0.65</v>
      </c>
      <c r="S23" s="12">
        <v>0.65</v>
      </c>
      <c r="T23" s="30"/>
      <c r="U23" s="30"/>
      <c r="V23" s="30"/>
      <c r="W23" s="30"/>
      <c r="X23" s="30"/>
      <c r="Y23" s="30"/>
      <c r="Z23" s="30"/>
      <c r="AA23" s="30" t="str">
        <f>IF(N23="","",_xlfn.XLOOKUP(N23,Sheet6!$E:$E,Sheet6!$D:$D,"",0,1))</f>
        <v/>
      </c>
      <c r="AB23" s="12" t="str">
        <f t="shared" si="0"/>
        <v/>
      </c>
      <c r="AC23" s="31" t="str">
        <f t="shared" si="1"/>
        <v/>
      </c>
      <c r="AD23" s="33"/>
    </row>
    <row r="24" ht="16.25" hidden="1" spans="1:30">
      <c r="A24" s="17">
        <v>240003</v>
      </c>
      <c r="B24" s="25" t="s">
        <v>127</v>
      </c>
      <c r="C24" s="12" t="s">
        <v>309</v>
      </c>
      <c r="D24" s="12" t="s">
        <v>310</v>
      </c>
      <c r="E24" s="12" t="s">
        <v>309</v>
      </c>
      <c r="F24" s="12" t="s">
        <v>310</v>
      </c>
      <c r="G24" s="23"/>
      <c r="H24" s="23"/>
      <c r="I24" s="23"/>
      <c r="J24" s="23"/>
      <c r="K24" s="23"/>
      <c r="L24" s="23"/>
      <c r="M24" s="23"/>
      <c r="N24" s="23"/>
      <c r="O24" s="23"/>
      <c r="P24" s="30">
        <v>46</v>
      </c>
      <c r="Q24" s="30">
        <v>14</v>
      </c>
      <c r="R24" s="12">
        <v>0.65</v>
      </c>
      <c r="S24" s="12">
        <v>0.65</v>
      </c>
      <c r="T24" s="30"/>
      <c r="U24" s="30"/>
      <c r="V24" s="30"/>
      <c r="W24" s="30"/>
      <c r="X24" s="30"/>
      <c r="Y24" s="30"/>
      <c r="Z24" s="30"/>
      <c r="AA24" s="30" t="str">
        <f>IF(N24="","",_xlfn.XLOOKUP(N24,Sheet6!$E:$E,Sheet6!$D:$D,"",0,1))</f>
        <v/>
      </c>
      <c r="AB24" s="12" t="str">
        <f t="shared" si="0"/>
        <v/>
      </c>
      <c r="AC24" s="31" t="str">
        <f t="shared" si="1"/>
        <v/>
      </c>
      <c r="AD24" s="33"/>
    </row>
    <row r="25" ht="16.25" hidden="1" spans="1:30">
      <c r="A25" s="17">
        <v>240004</v>
      </c>
      <c r="B25" s="25" t="s">
        <v>128</v>
      </c>
      <c r="C25" s="12" t="s">
        <v>310</v>
      </c>
      <c r="D25" s="12" t="s">
        <v>311</v>
      </c>
      <c r="E25" s="12" t="s">
        <v>310</v>
      </c>
      <c r="F25" s="12" t="s">
        <v>311</v>
      </c>
      <c r="G25" s="23"/>
      <c r="H25" s="23"/>
      <c r="I25" s="23"/>
      <c r="J25" s="23"/>
      <c r="K25" s="23"/>
      <c r="L25" s="23"/>
      <c r="M25" s="23"/>
      <c r="N25" s="23"/>
      <c r="O25" s="23"/>
      <c r="P25" s="30">
        <v>14</v>
      </c>
      <c r="Q25" s="30">
        <v>746</v>
      </c>
      <c r="R25" s="12">
        <v>0.65</v>
      </c>
      <c r="S25" s="12">
        <v>0.65</v>
      </c>
      <c r="T25" s="30"/>
      <c r="U25" s="30"/>
      <c r="V25" s="30"/>
      <c r="W25" s="30"/>
      <c r="X25" s="30"/>
      <c r="Y25" s="30"/>
      <c r="Z25" s="30"/>
      <c r="AA25" s="30" t="str">
        <f>IF(N25="","",_xlfn.XLOOKUP(N25,Sheet6!$E:$E,Sheet6!$D:$D,"",0,1))</f>
        <v/>
      </c>
      <c r="AB25" s="12" t="str">
        <f t="shared" si="0"/>
        <v/>
      </c>
      <c r="AC25" s="31" t="str">
        <f t="shared" si="1"/>
        <v/>
      </c>
      <c r="AD25" s="33"/>
    </row>
    <row r="26" ht="16.25" hidden="1" spans="1:30">
      <c r="A26" s="26">
        <v>140101</v>
      </c>
      <c r="B26" s="27" t="s">
        <v>37</v>
      </c>
      <c r="C26" s="12" t="s">
        <v>309</v>
      </c>
      <c r="D26" s="12"/>
      <c r="E26" s="12" t="s">
        <v>309</v>
      </c>
      <c r="F26" s="12"/>
      <c r="G26" s="23"/>
      <c r="H26" s="23"/>
      <c r="I26" s="23"/>
      <c r="J26" s="23"/>
      <c r="K26" s="23"/>
      <c r="L26" s="23"/>
      <c r="M26" s="23"/>
      <c r="N26" s="23"/>
      <c r="O26" s="23"/>
      <c r="P26" s="30">
        <f>P30*0.8</f>
        <v>92.8</v>
      </c>
      <c r="Q26" s="30"/>
      <c r="R26" s="12">
        <v>0.65</v>
      </c>
      <c r="S26" s="30"/>
      <c r="T26" s="30"/>
      <c r="U26" s="30"/>
      <c r="V26" s="30"/>
      <c r="W26" s="30"/>
      <c r="X26" s="30"/>
      <c r="Y26" s="30"/>
      <c r="Z26" s="30"/>
      <c r="AA26" s="30" t="str">
        <f>IF(N26="","",_xlfn.XLOOKUP(N26,Sheet6!$E:$E,Sheet6!$D:$D,"",0,1))</f>
        <v/>
      </c>
      <c r="AB26" s="12" t="str">
        <f t="shared" si="0"/>
        <v/>
      </c>
      <c r="AC26" s="31" t="str">
        <f t="shared" si="1"/>
        <v/>
      </c>
      <c r="AD26" s="33"/>
    </row>
    <row r="27" ht="16.25" hidden="1" spans="1:30">
      <c r="A27" s="13">
        <v>140102</v>
      </c>
      <c r="B27" s="22" t="s">
        <v>38</v>
      </c>
      <c r="C27" s="12" t="s">
        <v>310</v>
      </c>
      <c r="D27" s="12" t="s">
        <v>311</v>
      </c>
      <c r="E27" s="12" t="s">
        <v>310</v>
      </c>
      <c r="F27" s="12" t="s">
        <v>311</v>
      </c>
      <c r="G27" s="23"/>
      <c r="H27" s="23"/>
      <c r="I27" s="23"/>
      <c r="J27" s="23"/>
      <c r="K27" s="23"/>
      <c r="L27" s="23"/>
      <c r="M27" s="23"/>
      <c r="N27" s="23"/>
      <c r="O27" s="23"/>
      <c r="P27" s="30">
        <f t="shared" ref="P27:S27" si="5">P31*0.8</f>
        <v>17.6</v>
      </c>
      <c r="Q27" s="30">
        <f t="shared" si="5"/>
        <v>238.4</v>
      </c>
      <c r="R27" s="12">
        <v>0.65</v>
      </c>
      <c r="S27" s="12">
        <v>0.65</v>
      </c>
      <c r="T27" s="30"/>
      <c r="U27" s="30"/>
      <c r="V27" s="30"/>
      <c r="W27" s="30"/>
      <c r="X27" s="30"/>
      <c r="Y27" s="30"/>
      <c r="Z27" s="30"/>
      <c r="AA27" s="30" t="str">
        <f>IF(N27="","",_xlfn.XLOOKUP(N27,Sheet6!$E:$E,Sheet6!$D:$D,"",0,1))</f>
        <v/>
      </c>
      <c r="AB27" s="12" t="str">
        <f t="shared" si="0"/>
        <v/>
      </c>
      <c r="AC27" s="31" t="str">
        <f t="shared" si="1"/>
        <v/>
      </c>
      <c r="AD27" s="33"/>
    </row>
    <row r="28" ht="16.25" hidden="1" spans="1:30">
      <c r="A28" s="13">
        <v>140103</v>
      </c>
      <c r="B28" s="22" t="s">
        <v>39</v>
      </c>
      <c r="C28" s="12" t="s">
        <v>309</v>
      </c>
      <c r="D28" s="12" t="s">
        <v>310</v>
      </c>
      <c r="E28" s="12" t="s">
        <v>309</v>
      </c>
      <c r="F28" s="12" t="s">
        <v>310</v>
      </c>
      <c r="G28" s="23"/>
      <c r="H28" s="23"/>
      <c r="I28" s="23"/>
      <c r="J28" s="23"/>
      <c r="K28" s="23"/>
      <c r="L28" s="23"/>
      <c r="M28" s="23"/>
      <c r="N28" s="23"/>
      <c r="O28" s="23"/>
      <c r="P28" s="30">
        <f t="shared" ref="P28:S28" si="6">P32*0.8</f>
        <v>46.4</v>
      </c>
      <c r="Q28" s="30">
        <f t="shared" si="6"/>
        <v>8.8</v>
      </c>
      <c r="R28" s="12">
        <v>0.65</v>
      </c>
      <c r="S28" s="12">
        <v>0.65</v>
      </c>
      <c r="T28" s="30"/>
      <c r="U28" s="30"/>
      <c r="V28" s="30"/>
      <c r="W28" s="30"/>
      <c r="X28" s="30"/>
      <c r="Y28" s="30"/>
      <c r="Z28" s="30"/>
      <c r="AA28" s="30" t="str">
        <f>IF(N28="","",_xlfn.XLOOKUP(N28,Sheet6!$E:$E,Sheet6!$D:$D,"",0,1))</f>
        <v/>
      </c>
      <c r="AB28" s="12" t="str">
        <f t="shared" si="0"/>
        <v/>
      </c>
      <c r="AC28" s="31" t="str">
        <f t="shared" si="1"/>
        <v/>
      </c>
      <c r="AD28" s="33"/>
    </row>
    <row r="29" ht="16.25" hidden="1" spans="1:30">
      <c r="A29" s="13">
        <v>140104</v>
      </c>
      <c r="B29" s="22" t="s">
        <v>40</v>
      </c>
      <c r="C29" s="12" t="s">
        <v>310</v>
      </c>
      <c r="D29" s="12" t="s">
        <v>311</v>
      </c>
      <c r="E29" s="12" t="s">
        <v>310</v>
      </c>
      <c r="F29" s="12" t="s">
        <v>311</v>
      </c>
      <c r="G29" s="23"/>
      <c r="H29" s="23"/>
      <c r="I29" s="23"/>
      <c r="J29" s="23"/>
      <c r="K29" s="23"/>
      <c r="L29" s="23"/>
      <c r="M29" s="23"/>
      <c r="N29" s="23"/>
      <c r="O29" s="23"/>
      <c r="P29" s="30">
        <f t="shared" ref="P29:S29" si="7">P33*0.8</f>
        <v>8.8</v>
      </c>
      <c r="Q29" s="30">
        <f t="shared" si="7"/>
        <v>477.6</v>
      </c>
      <c r="R29" s="12">
        <v>0.65</v>
      </c>
      <c r="S29" s="12">
        <v>0.65</v>
      </c>
      <c r="T29" s="30"/>
      <c r="U29" s="30"/>
      <c r="V29" s="30"/>
      <c r="W29" s="30"/>
      <c r="X29" s="30"/>
      <c r="Y29" s="30"/>
      <c r="Z29" s="30"/>
      <c r="AA29" s="30" t="str">
        <f>IF(N29="","",_xlfn.XLOOKUP(N29,Sheet6!$E:$E,Sheet6!$D:$D,"",0,1))</f>
        <v/>
      </c>
      <c r="AB29" s="12" t="str">
        <f t="shared" si="0"/>
        <v/>
      </c>
      <c r="AC29" s="31" t="str">
        <f t="shared" si="1"/>
        <v/>
      </c>
      <c r="AD29" s="33"/>
    </row>
    <row r="30" ht="16.25" hidden="1" spans="1:30">
      <c r="A30" s="15">
        <v>240101</v>
      </c>
      <c r="B30" s="24" t="s">
        <v>37</v>
      </c>
      <c r="C30" s="12" t="s">
        <v>309</v>
      </c>
      <c r="D30" s="12"/>
      <c r="E30" s="12" t="s">
        <v>309</v>
      </c>
      <c r="F30" s="12"/>
      <c r="G30" s="23"/>
      <c r="H30" s="23"/>
      <c r="I30" s="23"/>
      <c r="J30" s="23"/>
      <c r="K30" s="23"/>
      <c r="L30" s="23"/>
      <c r="M30" s="23"/>
      <c r="N30" s="23"/>
      <c r="O30" s="23"/>
      <c r="P30" s="30">
        <v>116</v>
      </c>
      <c r="Q30" s="30"/>
      <c r="R30" s="12">
        <v>0.65</v>
      </c>
      <c r="S30" s="30"/>
      <c r="T30" s="30"/>
      <c r="U30" s="30"/>
      <c r="V30" s="30"/>
      <c r="W30" s="30"/>
      <c r="X30" s="30"/>
      <c r="Y30" s="30"/>
      <c r="Z30" s="30"/>
      <c r="AA30" s="30" t="str">
        <f>IF(N30="","",_xlfn.XLOOKUP(N30,Sheet6!$E:$E,Sheet6!$D:$D,"",0,1))</f>
        <v/>
      </c>
      <c r="AB30" s="12" t="str">
        <f t="shared" si="0"/>
        <v/>
      </c>
      <c r="AC30" s="31" t="str">
        <f t="shared" si="1"/>
        <v/>
      </c>
      <c r="AD30" s="33"/>
    </row>
    <row r="31" ht="16.25" hidden="1" spans="1:30">
      <c r="A31" s="17">
        <v>240102</v>
      </c>
      <c r="B31" s="25" t="s">
        <v>129</v>
      </c>
      <c r="C31" s="12" t="s">
        <v>310</v>
      </c>
      <c r="D31" s="12" t="s">
        <v>311</v>
      </c>
      <c r="E31" s="12" t="s">
        <v>310</v>
      </c>
      <c r="F31" s="12" t="s">
        <v>311</v>
      </c>
      <c r="G31" s="23"/>
      <c r="H31" s="23"/>
      <c r="I31" s="23"/>
      <c r="J31" s="23"/>
      <c r="K31" s="23"/>
      <c r="L31" s="23"/>
      <c r="M31" s="23"/>
      <c r="N31" s="23"/>
      <c r="O31" s="23"/>
      <c r="P31" s="30">
        <v>22</v>
      </c>
      <c r="Q31" s="30">
        <v>298</v>
      </c>
      <c r="R31" s="12">
        <v>0.65</v>
      </c>
      <c r="S31" s="12">
        <v>0.65</v>
      </c>
      <c r="T31" s="30"/>
      <c r="U31" s="30"/>
      <c r="V31" s="30"/>
      <c r="W31" s="30"/>
      <c r="X31" s="30"/>
      <c r="Y31" s="30"/>
      <c r="Z31" s="30"/>
      <c r="AA31" s="30" t="str">
        <f>IF(N31="","",_xlfn.XLOOKUP(N31,Sheet6!$E:$E,Sheet6!$D:$D,"",0,1))</f>
        <v/>
      </c>
      <c r="AB31" s="12" t="str">
        <f t="shared" si="0"/>
        <v/>
      </c>
      <c r="AC31" s="31" t="str">
        <f t="shared" si="1"/>
        <v/>
      </c>
      <c r="AD31" s="33"/>
    </row>
    <row r="32" ht="16.25" hidden="1" spans="1:30">
      <c r="A32" s="17">
        <v>240103</v>
      </c>
      <c r="B32" s="25" t="s">
        <v>130</v>
      </c>
      <c r="C32" s="12" t="s">
        <v>309</v>
      </c>
      <c r="D32" s="12" t="s">
        <v>310</v>
      </c>
      <c r="E32" s="12" t="s">
        <v>309</v>
      </c>
      <c r="F32" s="12" t="s">
        <v>310</v>
      </c>
      <c r="G32" s="23"/>
      <c r="H32" s="23"/>
      <c r="I32" s="23"/>
      <c r="J32" s="23"/>
      <c r="K32" s="23"/>
      <c r="L32" s="23"/>
      <c r="M32" s="23"/>
      <c r="N32" s="23"/>
      <c r="O32" s="23"/>
      <c r="P32" s="30">
        <v>58</v>
      </c>
      <c r="Q32" s="30">
        <v>11</v>
      </c>
      <c r="R32" s="12">
        <v>0.65</v>
      </c>
      <c r="S32" s="12">
        <v>0.65</v>
      </c>
      <c r="T32" s="30"/>
      <c r="U32" s="30"/>
      <c r="V32" s="30"/>
      <c r="W32" s="30"/>
      <c r="X32" s="30"/>
      <c r="Y32" s="30"/>
      <c r="Z32" s="30"/>
      <c r="AA32" s="30" t="str">
        <f>IF(N32="","",_xlfn.XLOOKUP(N32,Sheet6!$E:$E,Sheet6!$D:$D,"",0,1))</f>
        <v/>
      </c>
      <c r="AB32" s="12" t="str">
        <f t="shared" si="0"/>
        <v/>
      </c>
      <c r="AC32" s="31" t="str">
        <f t="shared" si="1"/>
        <v/>
      </c>
      <c r="AD32" s="33"/>
    </row>
    <row r="33" ht="16.25" hidden="1" spans="1:30">
      <c r="A33" s="17">
        <v>240104</v>
      </c>
      <c r="B33" s="25" t="s">
        <v>131</v>
      </c>
      <c r="C33" s="12" t="s">
        <v>310</v>
      </c>
      <c r="D33" s="12" t="s">
        <v>311</v>
      </c>
      <c r="E33" s="12" t="s">
        <v>310</v>
      </c>
      <c r="F33" s="12" t="s">
        <v>311</v>
      </c>
      <c r="G33" s="23"/>
      <c r="H33" s="23"/>
      <c r="I33" s="23"/>
      <c r="J33" s="23"/>
      <c r="K33" s="23"/>
      <c r="L33" s="23"/>
      <c r="M33" s="23"/>
      <c r="N33" s="23"/>
      <c r="O33" s="23"/>
      <c r="P33" s="30">
        <v>11</v>
      </c>
      <c r="Q33" s="30">
        <v>597</v>
      </c>
      <c r="R33" s="12">
        <v>0.65</v>
      </c>
      <c r="S33" s="12">
        <v>0.65</v>
      </c>
      <c r="T33" s="30"/>
      <c r="U33" s="30"/>
      <c r="V33" s="30"/>
      <c r="W33" s="30"/>
      <c r="X33" s="30"/>
      <c r="Y33" s="30"/>
      <c r="Z33" s="30"/>
      <c r="AA33" s="30" t="str">
        <f>IF(N33="","",_xlfn.XLOOKUP(N33,Sheet6!$E:$E,Sheet6!$D:$D,"",0,1))</f>
        <v/>
      </c>
      <c r="AB33" s="12" t="str">
        <f t="shared" si="0"/>
        <v/>
      </c>
      <c r="AC33" s="31" t="str">
        <f t="shared" si="1"/>
        <v/>
      </c>
      <c r="AD33" s="33"/>
    </row>
    <row r="34" ht="16.25" hidden="1" spans="1:30">
      <c r="A34" s="26">
        <v>140201</v>
      </c>
      <c r="B34" s="27" t="s">
        <v>41</v>
      </c>
      <c r="C34" s="12" t="s">
        <v>309</v>
      </c>
      <c r="D34" s="12"/>
      <c r="E34" s="12" t="s">
        <v>309</v>
      </c>
      <c r="F34" s="12"/>
      <c r="G34" s="23"/>
      <c r="H34" s="23"/>
      <c r="I34" s="23"/>
      <c r="J34" s="23"/>
      <c r="K34" s="23"/>
      <c r="L34" s="23"/>
      <c r="M34" s="23"/>
      <c r="N34" s="23"/>
      <c r="O34" s="23"/>
      <c r="P34" s="30">
        <f>P38*0.8</f>
        <v>59.2</v>
      </c>
      <c r="Q34" s="30"/>
      <c r="R34" s="12">
        <v>0.65</v>
      </c>
      <c r="S34" s="30"/>
      <c r="T34" s="30"/>
      <c r="U34" s="30"/>
      <c r="V34" s="30"/>
      <c r="W34" s="30"/>
      <c r="X34" s="30"/>
      <c r="Y34" s="30"/>
      <c r="Z34" s="30"/>
      <c r="AA34" s="30" t="str">
        <f>IF(N34="","",_xlfn.XLOOKUP(N34,Sheet6!$E:$E,Sheet6!$D:$D,"",0,1))</f>
        <v/>
      </c>
      <c r="AB34" s="12" t="str">
        <f t="shared" si="0"/>
        <v/>
      </c>
      <c r="AC34" s="31" t="str">
        <f t="shared" si="1"/>
        <v/>
      </c>
      <c r="AD34" s="33"/>
    </row>
    <row r="35" ht="16.25" hidden="1" spans="1:30">
      <c r="A35" s="13">
        <v>140202</v>
      </c>
      <c r="B35" s="22" t="s">
        <v>42</v>
      </c>
      <c r="C35" s="12" t="s">
        <v>310</v>
      </c>
      <c r="D35" s="12" t="s">
        <v>311</v>
      </c>
      <c r="E35" s="12" t="s">
        <v>310</v>
      </c>
      <c r="F35" s="12" t="s">
        <v>311</v>
      </c>
      <c r="G35" s="23"/>
      <c r="H35" s="23"/>
      <c r="I35" s="23"/>
      <c r="J35" s="23"/>
      <c r="K35" s="23"/>
      <c r="L35" s="23"/>
      <c r="M35" s="23"/>
      <c r="N35" s="23"/>
      <c r="O35" s="23"/>
      <c r="P35" s="30">
        <f t="shared" ref="P35:S35" si="8">P39*0.8</f>
        <v>28</v>
      </c>
      <c r="Q35" s="30">
        <f t="shared" si="8"/>
        <v>372.8</v>
      </c>
      <c r="R35" s="12">
        <v>0.65</v>
      </c>
      <c r="S35" s="12">
        <v>0.65</v>
      </c>
      <c r="T35" s="30"/>
      <c r="U35" s="30"/>
      <c r="V35" s="30"/>
      <c r="W35" s="30"/>
      <c r="X35" s="30"/>
      <c r="Y35" s="30"/>
      <c r="Z35" s="30"/>
      <c r="AA35" s="30" t="str">
        <f>IF(N35="","",_xlfn.XLOOKUP(N35,Sheet6!$E:$E,Sheet6!$D:$D,"",0,1))</f>
        <v/>
      </c>
      <c r="AB35" s="12" t="str">
        <f t="shared" si="0"/>
        <v/>
      </c>
      <c r="AC35" s="31" t="str">
        <f t="shared" si="1"/>
        <v/>
      </c>
      <c r="AD35" s="33"/>
    </row>
    <row r="36" ht="16.25" hidden="1" spans="1:30">
      <c r="A36" s="13">
        <v>140203</v>
      </c>
      <c r="B36" s="22" t="s">
        <v>43</v>
      </c>
      <c r="C36" s="12" t="s">
        <v>309</v>
      </c>
      <c r="D36" s="12" t="s">
        <v>310</v>
      </c>
      <c r="E36" s="12" t="s">
        <v>309</v>
      </c>
      <c r="F36" s="12" t="s">
        <v>310</v>
      </c>
      <c r="G36" s="23"/>
      <c r="H36" s="23"/>
      <c r="I36" s="23"/>
      <c r="J36" s="23"/>
      <c r="K36" s="23"/>
      <c r="L36" s="23"/>
      <c r="M36" s="23"/>
      <c r="N36" s="23"/>
      <c r="O36" s="23"/>
      <c r="P36" s="30">
        <f t="shared" ref="P36:S36" si="9">P40*0.8</f>
        <v>29.6</v>
      </c>
      <c r="Q36" s="30">
        <f t="shared" si="9"/>
        <v>13.6</v>
      </c>
      <c r="R36" s="12">
        <v>0.65</v>
      </c>
      <c r="S36" s="12">
        <v>0.65</v>
      </c>
      <c r="T36" s="30"/>
      <c r="U36" s="30"/>
      <c r="V36" s="30"/>
      <c r="W36" s="30"/>
      <c r="X36" s="30"/>
      <c r="Y36" s="30"/>
      <c r="Z36" s="30"/>
      <c r="AA36" s="30" t="str">
        <f>IF(N36="","",_xlfn.XLOOKUP(N36,Sheet6!$E:$E,Sheet6!$D:$D,"",0,1))</f>
        <v/>
      </c>
      <c r="AB36" s="12" t="str">
        <f t="shared" si="0"/>
        <v/>
      </c>
      <c r="AC36" s="31" t="str">
        <f t="shared" si="1"/>
        <v/>
      </c>
      <c r="AD36" s="33"/>
    </row>
    <row r="37" ht="16.25" hidden="1" spans="1:30">
      <c r="A37" s="13">
        <v>140204</v>
      </c>
      <c r="B37" s="22" t="s">
        <v>44</v>
      </c>
      <c r="C37" s="12" t="s">
        <v>310</v>
      </c>
      <c r="D37" s="12" t="s">
        <v>311</v>
      </c>
      <c r="E37" s="12" t="s">
        <v>310</v>
      </c>
      <c r="F37" s="12" t="s">
        <v>311</v>
      </c>
      <c r="G37" s="23"/>
      <c r="H37" s="23"/>
      <c r="I37" s="23"/>
      <c r="J37" s="23"/>
      <c r="K37" s="23"/>
      <c r="L37" s="23"/>
      <c r="M37" s="23"/>
      <c r="N37" s="23"/>
      <c r="O37" s="23"/>
      <c r="P37" s="30">
        <f t="shared" ref="P37:S37" si="10">P41*0.8</f>
        <v>13.6</v>
      </c>
      <c r="Q37" s="30">
        <f t="shared" si="10"/>
        <v>746.4</v>
      </c>
      <c r="R37" s="12">
        <v>0.65</v>
      </c>
      <c r="S37" s="12">
        <v>0.65</v>
      </c>
      <c r="T37" s="30"/>
      <c r="U37" s="30"/>
      <c r="V37" s="30"/>
      <c r="W37" s="30"/>
      <c r="X37" s="30"/>
      <c r="Y37" s="30"/>
      <c r="Z37" s="30"/>
      <c r="AA37" s="30" t="str">
        <f>IF(N37="","",_xlfn.XLOOKUP(N37,Sheet6!$E:$E,Sheet6!$D:$D,"",0,1))</f>
        <v/>
      </c>
      <c r="AB37" s="12" t="str">
        <f t="shared" si="0"/>
        <v/>
      </c>
      <c r="AC37" s="31" t="str">
        <f t="shared" si="1"/>
        <v/>
      </c>
      <c r="AD37" s="33"/>
    </row>
    <row r="38" ht="16.25" hidden="1" spans="1:30">
      <c r="A38" s="15">
        <v>240201</v>
      </c>
      <c r="B38" s="24" t="s">
        <v>132</v>
      </c>
      <c r="C38" s="12" t="s">
        <v>309</v>
      </c>
      <c r="D38" s="12"/>
      <c r="E38" s="12" t="s">
        <v>309</v>
      </c>
      <c r="F38" s="12"/>
      <c r="G38" s="23"/>
      <c r="H38" s="23"/>
      <c r="I38" s="23"/>
      <c r="J38" s="23"/>
      <c r="K38" s="23"/>
      <c r="L38" s="23"/>
      <c r="M38" s="23"/>
      <c r="N38" s="23"/>
      <c r="O38" s="23"/>
      <c r="P38" s="30">
        <v>74</v>
      </c>
      <c r="Q38" s="30"/>
      <c r="R38" s="12">
        <v>0.65</v>
      </c>
      <c r="S38" s="30"/>
      <c r="T38" s="30"/>
      <c r="U38" s="30"/>
      <c r="V38" s="30"/>
      <c r="W38" s="30"/>
      <c r="X38" s="30"/>
      <c r="Y38" s="30"/>
      <c r="Z38" s="30"/>
      <c r="AA38" s="30" t="str">
        <f>IF(N38="","",_xlfn.XLOOKUP(N38,Sheet6!$E:$E,Sheet6!$D:$D,"",0,1))</f>
        <v/>
      </c>
      <c r="AB38" s="12" t="str">
        <f t="shared" si="0"/>
        <v/>
      </c>
      <c r="AC38" s="31" t="str">
        <f t="shared" si="1"/>
        <v/>
      </c>
      <c r="AD38" s="33"/>
    </row>
    <row r="39" ht="16.25" hidden="1" spans="1:30">
      <c r="A39" s="17">
        <v>240202</v>
      </c>
      <c r="B39" s="25" t="s">
        <v>133</v>
      </c>
      <c r="C39" s="12" t="s">
        <v>310</v>
      </c>
      <c r="D39" s="12" t="s">
        <v>311</v>
      </c>
      <c r="E39" s="12" t="s">
        <v>310</v>
      </c>
      <c r="F39" s="12" t="s">
        <v>311</v>
      </c>
      <c r="G39" s="23"/>
      <c r="H39" s="23"/>
      <c r="I39" s="23"/>
      <c r="J39" s="23"/>
      <c r="K39" s="23"/>
      <c r="L39" s="23"/>
      <c r="M39" s="23"/>
      <c r="N39" s="23"/>
      <c r="O39" s="23"/>
      <c r="P39" s="30">
        <v>35</v>
      </c>
      <c r="Q39" s="30">
        <v>466</v>
      </c>
      <c r="R39" s="12">
        <v>0.65</v>
      </c>
      <c r="S39" s="12">
        <v>0.65</v>
      </c>
      <c r="T39" s="30"/>
      <c r="U39" s="30"/>
      <c r="V39" s="30"/>
      <c r="W39" s="30"/>
      <c r="X39" s="30"/>
      <c r="Y39" s="30"/>
      <c r="Z39" s="30"/>
      <c r="AA39" s="30" t="str">
        <f>IF(N39="","",_xlfn.XLOOKUP(N39,Sheet6!$E:$E,Sheet6!$D:$D,"",0,1))</f>
        <v/>
      </c>
      <c r="AB39" s="12" t="str">
        <f t="shared" si="0"/>
        <v/>
      </c>
      <c r="AC39" s="31" t="str">
        <f t="shared" si="1"/>
        <v/>
      </c>
      <c r="AD39" s="33"/>
    </row>
    <row r="40" ht="16.25" hidden="1" spans="1:30">
      <c r="A40" s="17">
        <v>240203</v>
      </c>
      <c r="B40" s="25" t="s">
        <v>134</v>
      </c>
      <c r="C40" s="12" t="s">
        <v>309</v>
      </c>
      <c r="D40" s="12" t="s">
        <v>310</v>
      </c>
      <c r="E40" s="12" t="s">
        <v>309</v>
      </c>
      <c r="F40" s="12" t="s">
        <v>310</v>
      </c>
      <c r="G40" s="23"/>
      <c r="H40" s="23"/>
      <c r="I40" s="23"/>
      <c r="J40" s="23"/>
      <c r="K40" s="23"/>
      <c r="L40" s="23"/>
      <c r="M40" s="23"/>
      <c r="N40" s="23"/>
      <c r="O40" s="23"/>
      <c r="P40" s="30">
        <v>37</v>
      </c>
      <c r="Q40" s="30">
        <v>17</v>
      </c>
      <c r="R40" s="12">
        <v>0.65</v>
      </c>
      <c r="S40" s="12">
        <v>0.65</v>
      </c>
      <c r="T40" s="30"/>
      <c r="U40" s="30"/>
      <c r="V40" s="30"/>
      <c r="W40" s="30"/>
      <c r="X40" s="30"/>
      <c r="Y40" s="30"/>
      <c r="Z40" s="30"/>
      <c r="AA40" s="30" t="str">
        <f>IF(N40="","",_xlfn.XLOOKUP(N40,Sheet6!$E:$E,Sheet6!$D:$D,"",0,1))</f>
        <v/>
      </c>
      <c r="AB40" s="12" t="str">
        <f t="shared" si="0"/>
        <v/>
      </c>
      <c r="AC40" s="31" t="str">
        <f t="shared" si="1"/>
        <v/>
      </c>
      <c r="AD40" s="33"/>
    </row>
    <row r="41" ht="17" hidden="1" spans="1:30">
      <c r="A41" s="19">
        <v>240204</v>
      </c>
      <c r="B41" s="20" t="s">
        <v>135</v>
      </c>
      <c r="C41" s="12" t="s">
        <v>310</v>
      </c>
      <c r="D41" s="12" t="s">
        <v>311</v>
      </c>
      <c r="E41" s="12" t="s">
        <v>310</v>
      </c>
      <c r="F41" s="12" t="s">
        <v>311</v>
      </c>
      <c r="G41" s="23"/>
      <c r="H41" s="23"/>
      <c r="I41" s="23"/>
      <c r="J41" s="23"/>
      <c r="K41" s="23"/>
      <c r="L41" s="23"/>
      <c r="M41" s="23"/>
      <c r="N41" s="23"/>
      <c r="O41" s="23"/>
      <c r="P41" s="30">
        <v>17</v>
      </c>
      <c r="Q41" s="30">
        <v>933</v>
      </c>
      <c r="R41" s="12">
        <v>0.65</v>
      </c>
      <c r="S41" s="12">
        <v>0.65</v>
      </c>
      <c r="T41" s="30"/>
      <c r="U41" s="30"/>
      <c r="V41" s="30"/>
      <c r="W41" s="30"/>
      <c r="X41" s="30"/>
      <c r="Y41" s="30"/>
      <c r="Z41" s="30"/>
      <c r="AA41" s="30" t="str">
        <f>IF(N41="","",_xlfn.XLOOKUP(N41,Sheet6!$E:$E,Sheet6!$D:$D,"",0,1))</f>
        <v/>
      </c>
      <c r="AB41" s="12" t="str">
        <f t="shared" si="0"/>
        <v/>
      </c>
      <c r="AC41" s="31" t="str">
        <f t="shared" si="1"/>
        <v/>
      </c>
      <c r="AD41" s="33"/>
    </row>
    <row r="42" ht="17" spans="1:30">
      <c r="A42" s="10">
        <v>150101</v>
      </c>
      <c r="B42" s="11" t="s">
        <v>312</v>
      </c>
      <c r="C42" s="12" t="s">
        <v>309</v>
      </c>
      <c r="D42" s="12"/>
      <c r="E42" s="12" t="s">
        <v>309</v>
      </c>
      <c r="F42" s="12"/>
      <c r="G42" s="23" t="s">
        <v>313</v>
      </c>
      <c r="H42" s="23"/>
      <c r="I42" s="23"/>
      <c r="J42" s="23"/>
      <c r="K42" s="23"/>
      <c r="L42" s="23"/>
      <c r="M42" s="23"/>
      <c r="N42" s="23"/>
      <c r="O42" s="23"/>
      <c r="P42" s="30">
        <v>200</v>
      </c>
      <c r="Q42" s="30"/>
      <c r="R42" s="12">
        <v>0.65</v>
      </c>
      <c r="S42" s="30"/>
      <c r="T42" s="30">
        <f>IF(G42="","",_xlfn.XLOOKUP(G42,Sheet6!$E:$E,Sheet6!$D:$D,"",0,1))</f>
        <v>8</v>
      </c>
      <c r="U42" s="30" t="str">
        <f>IF(H42="","",_xlfn.XLOOKUP(H42,Sheet6!$E:$E,Sheet6!$D:$D,"",0,1))</f>
        <v/>
      </c>
      <c r="V42" s="30" t="str">
        <f>IF(I42="","",_xlfn.XLOOKUP(I42,Sheet6!$E:$E,Sheet6!$D:$D,"",0,1))</f>
        <v/>
      </c>
      <c r="W42" s="30" t="str">
        <f>IF(J42="","",_xlfn.XLOOKUP(J42,Sheet6!$E:$E,Sheet6!$D:$D,"",0,1))</f>
        <v/>
      </c>
      <c r="X42" s="30" t="str">
        <f>IF(K42="","",_xlfn.XLOOKUP(K42,Sheet6!$E:$E,Sheet6!$D:$D,"",0,1))</f>
        <v/>
      </c>
      <c r="Y42" s="30" t="str">
        <f>IF(L42="","",_xlfn.XLOOKUP(L42,Sheet6!$E:$E,Sheet6!$D:$D,"",0,1))</f>
        <v/>
      </c>
      <c r="Z42" s="30" t="str">
        <f>IF(M42="","",_xlfn.XLOOKUP(M42,Sheet6!$E:$E,Sheet6!$D:$D,"",0,1))</f>
        <v/>
      </c>
      <c r="AA42" s="30" t="str">
        <f>IF(N42="","",_xlfn.XLOOKUP(N42,Sheet6!$E:$E,Sheet6!$D:$D,"",0,1))</f>
        <v/>
      </c>
      <c r="AB42" s="12" t="str">
        <f t="shared" si="0"/>
        <v>8</v>
      </c>
      <c r="AC42" s="31" t="str">
        <f t="shared" si="1"/>
        <v/>
      </c>
      <c r="AD42" s="33"/>
    </row>
    <row r="43" ht="16.25" hidden="1" spans="1:30">
      <c r="A43" s="13">
        <v>150102</v>
      </c>
      <c r="B43" s="22" t="s">
        <v>314</v>
      </c>
      <c r="C43" s="12" t="s">
        <v>310</v>
      </c>
      <c r="D43" s="12" t="s">
        <v>311</v>
      </c>
      <c r="E43" s="12" t="s">
        <v>310</v>
      </c>
      <c r="F43" s="12" t="s">
        <v>311</v>
      </c>
      <c r="G43" s="23" t="s">
        <v>315</v>
      </c>
      <c r="H43" s="23"/>
      <c r="I43" s="23"/>
      <c r="J43" s="23"/>
      <c r="K43" s="23"/>
      <c r="L43" s="23"/>
      <c r="M43" s="23"/>
      <c r="N43" s="23"/>
      <c r="O43" s="23"/>
      <c r="P43" s="30">
        <v>60</v>
      </c>
      <c r="Q43" s="30">
        <v>80</v>
      </c>
      <c r="R43" s="12">
        <v>0.65</v>
      </c>
      <c r="S43" s="12">
        <v>0.65</v>
      </c>
      <c r="T43" s="30">
        <f>IF(G43="","",_xlfn.XLOOKUP(G43,Sheet6!$E:$E,Sheet6!$D:$D,"",0,1))</f>
        <v>6</v>
      </c>
      <c r="U43" s="30" t="str">
        <f>IF(H43="","",_xlfn.XLOOKUP(H43,Sheet6!$E:$E,Sheet6!$D:$D,"",0,1))</f>
        <v/>
      </c>
      <c r="V43" s="30" t="str">
        <f>IF(I43="","",_xlfn.XLOOKUP(I43,Sheet6!$E:$E,Sheet6!$D:$D,"",0,1))</f>
        <v/>
      </c>
      <c r="W43" s="30" t="str">
        <f>IF(J43="","",_xlfn.XLOOKUP(J43,Sheet6!$E:$E,Sheet6!$D:$D,"",0,1))</f>
        <v/>
      </c>
      <c r="X43" s="30" t="str">
        <f>IF(K43="","",_xlfn.XLOOKUP(K43,Sheet6!$E:$E,Sheet6!$D:$D,"",0,1))</f>
        <v/>
      </c>
      <c r="Y43" s="30" t="str">
        <f>IF(L43="","",_xlfn.XLOOKUP(L43,Sheet6!$E:$E,Sheet6!$D:$D,"",0,1))</f>
        <v/>
      </c>
      <c r="Z43" s="30" t="str">
        <f>IF(M43="","",_xlfn.XLOOKUP(M43,Sheet6!$E:$E,Sheet6!$D:$D,"",0,1))</f>
        <v/>
      </c>
      <c r="AA43" s="30" t="str">
        <f>IF(N43="","",_xlfn.XLOOKUP(N43,Sheet6!$E:$E,Sheet6!$D:$D,"",0,1))</f>
        <v/>
      </c>
      <c r="AB43" s="12" t="str">
        <f t="shared" si="0"/>
        <v>6</v>
      </c>
      <c r="AC43" s="31" t="str">
        <f t="shared" si="1"/>
        <v/>
      </c>
      <c r="AD43" s="33"/>
    </row>
    <row r="44" ht="16.25" hidden="1" spans="1:30">
      <c r="A44" s="13">
        <v>150103</v>
      </c>
      <c r="B44" s="22" t="s">
        <v>316</v>
      </c>
      <c r="C44" s="12" t="s">
        <v>309</v>
      </c>
      <c r="D44" s="12" t="s">
        <v>310</v>
      </c>
      <c r="E44" s="12" t="s">
        <v>309</v>
      </c>
      <c r="F44" s="12" t="s">
        <v>310</v>
      </c>
      <c r="G44" s="23" t="s">
        <v>317</v>
      </c>
      <c r="H44" s="23"/>
      <c r="I44" s="23"/>
      <c r="J44" s="23"/>
      <c r="K44" s="23"/>
      <c r="L44" s="23"/>
      <c r="M44" s="23"/>
      <c r="N44" s="23"/>
      <c r="O44" s="23"/>
      <c r="P44" s="30">
        <v>100</v>
      </c>
      <c r="Q44" s="30">
        <v>30</v>
      </c>
      <c r="R44" s="12">
        <v>0.65</v>
      </c>
      <c r="S44" s="12">
        <v>0.65</v>
      </c>
      <c r="T44" s="30">
        <f>IF(G44="","",_xlfn.XLOOKUP(G44,Sheet6!$E:$E,Sheet6!$D:$D,"",0,1))</f>
        <v>7</v>
      </c>
      <c r="U44" s="30" t="str">
        <f>IF(H44="","",_xlfn.XLOOKUP(H44,Sheet6!$E:$E,Sheet6!$D:$D,"",0,1))</f>
        <v/>
      </c>
      <c r="V44" s="30" t="str">
        <f>IF(I44="","",_xlfn.XLOOKUP(I44,Sheet6!$E:$E,Sheet6!$D:$D,"",0,1))</f>
        <v/>
      </c>
      <c r="W44" s="30" t="str">
        <f>IF(J44="","",_xlfn.XLOOKUP(J44,Sheet6!$E:$E,Sheet6!$D:$D,"",0,1))</f>
        <v/>
      </c>
      <c r="X44" s="30" t="str">
        <f>IF(K44="","",_xlfn.XLOOKUP(K44,Sheet6!$E:$E,Sheet6!$D:$D,"",0,1))</f>
        <v/>
      </c>
      <c r="Y44" s="30" t="str">
        <f>IF(L44="","",_xlfn.XLOOKUP(L44,Sheet6!$E:$E,Sheet6!$D:$D,"",0,1))</f>
        <v/>
      </c>
      <c r="Z44" s="30" t="str">
        <f>IF(M44="","",_xlfn.XLOOKUP(M44,Sheet6!$E:$E,Sheet6!$D:$D,"",0,1))</f>
        <v/>
      </c>
      <c r="AA44" s="30" t="str">
        <f>IF(N44="","",_xlfn.XLOOKUP(N44,Sheet6!$E:$E,Sheet6!$D:$D,"",0,1))</f>
        <v/>
      </c>
      <c r="AB44" s="12" t="str">
        <f t="shared" si="0"/>
        <v>7</v>
      </c>
      <c r="AC44" s="31" t="str">
        <f t="shared" si="1"/>
        <v/>
      </c>
      <c r="AD44" s="33"/>
    </row>
    <row r="45" ht="16.25" hidden="1" spans="1:30">
      <c r="A45" s="13">
        <v>150104</v>
      </c>
      <c r="B45" s="22" t="s">
        <v>318</v>
      </c>
      <c r="C45" s="12" t="s">
        <v>310</v>
      </c>
      <c r="D45" s="12" t="s">
        <v>311</v>
      </c>
      <c r="E45" s="12" t="s">
        <v>310</v>
      </c>
      <c r="F45" s="12" t="s">
        <v>311</v>
      </c>
      <c r="G45" s="23" t="s">
        <v>319</v>
      </c>
      <c r="H45" s="23"/>
      <c r="I45" s="23"/>
      <c r="J45" s="23"/>
      <c r="K45" s="23"/>
      <c r="L45" s="23"/>
      <c r="M45" s="23"/>
      <c r="N45" s="23"/>
      <c r="O45" s="23"/>
      <c r="P45" s="30">
        <v>30</v>
      </c>
      <c r="Q45" s="30">
        <v>1600</v>
      </c>
      <c r="R45" s="12">
        <v>0.65</v>
      </c>
      <c r="S45" s="12">
        <v>0.65</v>
      </c>
      <c r="T45" s="30">
        <f>IF(G45="","",_xlfn.XLOOKUP(G45,Sheet6!$E:$E,Sheet6!$D:$D,"",0,1))</f>
        <v>10</v>
      </c>
      <c r="U45" s="30" t="str">
        <f>IF(H45="","",_xlfn.XLOOKUP(H45,Sheet6!$E:$E,Sheet6!$D:$D,"",0,1))</f>
        <v/>
      </c>
      <c r="V45" s="30" t="str">
        <f>IF(I45="","",_xlfn.XLOOKUP(I45,Sheet6!$E:$E,Sheet6!$D:$D,"",0,1))</f>
        <v/>
      </c>
      <c r="W45" s="30" t="str">
        <f>IF(J45="","",_xlfn.XLOOKUP(J45,Sheet6!$E:$E,Sheet6!$D:$D,"",0,1))</f>
        <v/>
      </c>
      <c r="X45" s="30" t="str">
        <f>IF(K45="","",_xlfn.XLOOKUP(K45,Sheet6!$E:$E,Sheet6!$D:$D,"",0,1))</f>
        <v/>
      </c>
      <c r="Y45" s="30" t="str">
        <f>IF(L45="","",_xlfn.XLOOKUP(L45,Sheet6!$E:$E,Sheet6!$D:$D,"",0,1))</f>
        <v/>
      </c>
      <c r="Z45" s="30" t="str">
        <f>IF(M45="","",_xlfn.XLOOKUP(M45,Sheet6!$E:$E,Sheet6!$D:$D,"",0,1))</f>
        <v/>
      </c>
      <c r="AA45" s="30" t="str">
        <f>IF(N45="","",_xlfn.XLOOKUP(N45,Sheet6!$E:$E,Sheet6!$D:$D,"",0,1))</f>
        <v/>
      </c>
      <c r="AB45" s="12" t="str">
        <f t="shared" si="0"/>
        <v>10</v>
      </c>
      <c r="AC45" s="31" t="str">
        <f t="shared" si="1"/>
        <v/>
      </c>
      <c r="AD45" s="32"/>
    </row>
    <row r="46" ht="16.25" hidden="1" spans="1:30">
      <c r="A46" s="15">
        <v>250101</v>
      </c>
      <c r="B46" s="24" t="s">
        <v>320</v>
      </c>
      <c r="C46" s="12" t="s">
        <v>309</v>
      </c>
      <c r="D46" s="12"/>
      <c r="E46" s="12" t="s">
        <v>309</v>
      </c>
      <c r="F46" s="12"/>
      <c r="G46" s="23" t="s">
        <v>313</v>
      </c>
      <c r="H46" s="23"/>
      <c r="I46" s="23"/>
      <c r="J46" s="23"/>
      <c r="K46" s="23"/>
      <c r="L46" s="23"/>
      <c r="M46" s="23"/>
      <c r="N46" s="23"/>
      <c r="O46" s="23"/>
      <c r="P46" s="30">
        <v>200</v>
      </c>
      <c r="Q46" s="30"/>
      <c r="R46" s="12">
        <v>0.65</v>
      </c>
      <c r="S46" s="30"/>
      <c r="T46" s="30">
        <f>IF(G46="","",_xlfn.XLOOKUP(G46,Sheet6!$E:$E,Sheet6!$D:$D,"",0,1))</f>
        <v>8</v>
      </c>
      <c r="U46" s="30" t="str">
        <f>IF(H46="","",_xlfn.XLOOKUP(H46,Sheet6!$E:$E,Sheet6!$D:$D,"",0,1))</f>
        <v/>
      </c>
      <c r="V46" s="30" t="str">
        <f>IF(I46="","",_xlfn.XLOOKUP(I46,Sheet6!$E:$E,Sheet6!$D:$D,"",0,1))</f>
        <v/>
      </c>
      <c r="W46" s="30" t="str">
        <f>IF(J46="","",_xlfn.XLOOKUP(J46,Sheet6!$E:$E,Sheet6!$D:$D,"",0,1))</f>
        <v/>
      </c>
      <c r="X46" s="30" t="str">
        <f>IF(K46="","",_xlfn.XLOOKUP(K46,Sheet6!$E:$E,Sheet6!$D:$D,"",0,1))</f>
        <v/>
      </c>
      <c r="Y46" s="30" t="str">
        <f>IF(L46="","",_xlfn.XLOOKUP(L46,Sheet6!$E:$E,Sheet6!$D:$D,"",0,1))</f>
        <v/>
      </c>
      <c r="Z46" s="30" t="str">
        <f>IF(M46="","",_xlfn.XLOOKUP(M46,Sheet6!$E:$E,Sheet6!$D:$D,"",0,1))</f>
        <v/>
      </c>
      <c r="AA46" s="30" t="str">
        <f>IF(N46="","",_xlfn.XLOOKUP(N46,Sheet6!$E:$E,Sheet6!$D:$D,"",0,1))</f>
        <v/>
      </c>
      <c r="AB46" s="12" t="str">
        <f t="shared" si="0"/>
        <v>8</v>
      </c>
      <c r="AC46" s="31" t="str">
        <f t="shared" si="1"/>
        <v/>
      </c>
      <c r="AD46" s="32"/>
    </row>
    <row r="47" ht="16.25" hidden="1" spans="1:30">
      <c r="A47" s="17">
        <v>250102</v>
      </c>
      <c r="B47" s="25" t="s">
        <v>321</v>
      </c>
      <c r="C47" s="12" t="s">
        <v>310</v>
      </c>
      <c r="D47" s="12" t="s">
        <v>311</v>
      </c>
      <c r="E47" s="12" t="s">
        <v>310</v>
      </c>
      <c r="F47" s="12" t="s">
        <v>311</v>
      </c>
      <c r="G47" s="23" t="s">
        <v>315</v>
      </c>
      <c r="H47" s="23"/>
      <c r="I47" s="23"/>
      <c r="J47" s="23"/>
      <c r="K47" s="23"/>
      <c r="L47" s="23"/>
      <c r="M47" s="23"/>
      <c r="N47" s="23"/>
      <c r="O47" s="23"/>
      <c r="P47" s="30">
        <v>60</v>
      </c>
      <c r="Q47" s="30">
        <v>80</v>
      </c>
      <c r="R47" s="12">
        <v>0.65</v>
      </c>
      <c r="S47" s="12">
        <v>0.65</v>
      </c>
      <c r="T47" s="30">
        <f>IF(G47="","",_xlfn.XLOOKUP(G47,Sheet6!$E:$E,Sheet6!$D:$D,"",0,1))</f>
        <v>6</v>
      </c>
      <c r="U47" s="30" t="str">
        <f>IF(H47="","",_xlfn.XLOOKUP(H47,Sheet6!$E:$E,Sheet6!$D:$D,"",0,1))</f>
        <v/>
      </c>
      <c r="V47" s="30" t="str">
        <f>IF(I47="","",_xlfn.XLOOKUP(I47,Sheet6!$E:$E,Sheet6!$D:$D,"",0,1))</f>
        <v/>
      </c>
      <c r="W47" s="30" t="str">
        <f>IF(J47="","",_xlfn.XLOOKUP(J47,Sheet6!$E:$E,Sheet6!$D:$D,"",0,1))</f>
        <v/>
      </c>
      <c r="X47" s="30" t="str">
        <f>IF(K47="","",_xlfn.XLOOKUP(K47,Sheet6!$E:$E,Sheet6!$D:$D,"",0,1))</f>
        <v/>
      </c>
      <c r="Y47" s="30" t="str">
        <f>IF(L47="","",_xlfn.XLOOKUP(L47,Sheet6!$E:$E,Sheet6!$D:$D,"",0,1))</f>
        <v/>
      </c>
      <c r="Z47" s="30" t="str">
        <f>IF(M47="","",_xlfn.XLOOKUP(M47,Sheet6!$E:$E,Sheet6!$D:$D,"",0,1))</f>
        <v/>
      </c>
      <c r="AA47" s="30" t="str">
        <f>IF(N47="","",_xlfn.XLOOKUP(N47,Sheet6!$E:$E,Sheet6!$D:$D,"",0,1))</f>
        <v/>
      </c>
      <c r="AB47" s="12" t="str">
        <f t="shared" si="0"/>
        <v>6</v>
      </c>
      <c r="AC47" s="31" t="str">
        <f t="shared" si="1"/>
        <v/>
      </c>
      <c r="AD47" s="32"/>
    </row>
    <row r="48" ht="16.25" hidden="1" spans="1:30">
      <c r="A48" s="17">
        <v>250103</v>
      </c>
      <c r="B48" s="25" t="s">
        <v>322</v>
      </c>
      <c r="C48" s="12" t="s">
        <v>309</v>
      </c>
      <c r="D48" s="12" t="s">
        <v>310</v>
      </c>
      <c r="E48" s="12" t="s">
        <v>309</v>
      </c>
      <c r="F48" s="12" t="s">
        <v>310</v>
      </c>
      <c r="G48" s="23" t="s">
        <v>317</v>
      </c>
      <c r="H48" s="23"/>
      <c r="I48" s="23"/>
      <c r="J48" s="23"/>
      <c r="K48" s="23"/>
      <c r="L48" s="23"/>
      <c r="M48" s="23"/>
      <c r="N48" s="23"/>
      <c r="O48" s="23"/>
      <c r="P48" s="30">
        <v>100</v>
      </c>
      <c r="Q48" s="30">
        <v>30</v>
      </c>
      <c r="R48" s="12">
        <v>0.65</v>
      </c>
      <c r="S48" s="12">
        <v>0.65</v>
      </c>
      <c r="T48" s="30">
        <f>IF(G48="","",_xlfn.XLOOKUP(G48,Sheet6!$E:$E,Sheet6!$D:$D,"",0,1))</f>
        <v>7</v>
      </c>
      <c r="U48" s="30" t="str">
        <f>IF(H48="","",_xlfn.XLOOKUP(H48,Sheet6!$E:$E,Sheet6!$D:$D,"",0,1))</f>
        <v/>
      </c>
      <c r="V48" s="30" t="str">
        <f>IF(I48="","",_xlfn.XLOOKUP(I48,Sheet6!$E:$E,Sheet6!$D:$D,"",0,1))</f>
        <v/>
      </c>
      <c r="W48" s="30" t="str">
        <f>IF(J48="","",_xlfn.XLOOKUP(J48,Sheet6!$E:$E,Sheet6!$D:$D,"",0,1))</f>
        <v/>
      </c>
      <c r="X48" s="30" t="str">
        <f>IF(K48="","",_xlfn.XLOOKUP(K48,Sheet6!$E:$E,Sheet6!$D:$D,"",0,1))</f>
        <v/>
      </c>
      <c r="Y48" s="30" t="str">
        <f>IF(L48="","",_xlfn.XLOOKUP(L48,Sheet6!$E:$E,Sheet6!$D:$D,"",0,1))</f>
        <v/>
      </c>
      <c r="Z48" s="30" t="str">
        <f>IF(M48="","",_xlfn.XLOOKUP(M48,Sheet6!$E:$E,Sheet6!$D:$D,"",0,1))</f>
        <v/>
      </c>
      <c r="AA48" s="30" t="str">
        <f>IF(N48="","",_xlfn.XLOOKUP(N48,Sheet6!$E:$E,Sheet6!$D:$D,"",0,1))</f>
        <v/>
      </c>
      <c r="AB48" s="12" t="str">
        <f t="shared" si="0"/>
        <v>7</v>
      </c>
      <c r="AC48" s="31" t="str">
        <f t="shared" si="1"/>
        <v/>
      </c>
      <c r="AD48" s="32"/>
    </row>
    <row r="49" ht="16.25" hidden="1" spans="1:30">
      <c r="A49" s="17">
        <v>250104</v>
      </c>
      <c r="B49" s="25" t="s">
        <v>323</v>
      </c>
      <c r="C49" s="12" t="s">
        <v>310</v>
      </c>
      <c r="D49" s="12" t="s">
        <v>311</v>
      </c>
      <c r="E49" s="12" t="s">
        <v>310</v>
      </c>
      <c r="F49" s="12" t="s">
        <v>311</v>
      </c>
      <c r="G49" s="23" t="s">
        <v>319</v>
      </c>
      <c r="H49" s="23"/>
      <c r="I49" s="23"/>
      <c r="J49" s="23"/>
      <c r="K49" s="23"/>
      <c r="L49" s="23"/>
      <c r="M49" s="23"/>
      <c r="N49" s="23"/>
      <c r="O49" s="23"/>
      <c r="P49" s="30">
        <v>30</v>
      </c>
      <c r="Q49" s="30">
        <v>1600</v>
      </c>
      <c r="R49" s="12">
        <v>0.65</v>
      </c>
      <c r="S49" s="12">
        <v>0.65</v>
      </c>
      <c r="T49" s="30">
        <f>IF(G49="","",_xlfn.XLOOKUP(G49,Sheet6!$E:$E,Sheet6!$D:$D,"",0,1))</f>
        <v>10</v>
      </c>
      <c r="U49" s="30" t="str">
        <f>IF(H49="","",_xlfn.XLOOKUP(H49,Sheet6!$E:$E,Sheet6!$D:$D,"",0,1))</f>
        <v/>
      </c>
      <c r="V49" s="30" t="str">
        <f>IF(I49="","",_xlfn.XLOOKUP(I49,Sheet6!$E:$E,Sheet6!$D:$D,"",0,1))</f>
        <v/>
      </c>
      <c r="W49" s="30" t="str">
        <f>IF(J49="","",_xlfn.XLOOKUP(J49,Sheet6!$E:$E,Sheet6!$D:$D,"",0,1))</f>
        <v/>
      </c>
      <c r="X49" s="30" t="str">
        <f>IF(K49="","",_xlfn.XLOOKUP(K49,Sheet6!$E:$E,Sheet6!$D:$D,"",0,1))</f>
        <v/>
      </c>
      <c r="Y49" s="30" t="str">
        <f>IF(L49="","",_xlfn.XLOOKUP(L49,Sheet6!$E:$E,Sheet6!$D:$D,"",0,1))</f>
        <v/>
      </c>
      <c r="Z49" s="30" t="str">
        <f>IF(M49="","",_xlfn.XLOOKUP(M49,Sheet6!$E:$E,Sheet6!$D:$D,"",0,1))</f>
        <v/>
      </c>
      <c r="AA49" s="30" t="str">
        <f>IF(N49="","",_xlfn.XLOOKUP(N49,Sheet6!$E:$E,Sheet6!$D:$D,"",0,1))</f>
        <v/>
      </c>
      <c r="AB49" s="12" t="str">
        <f t="shared" si="0"/>
        <v>10</v>
      </c>
      <c r="AC49" s="31" t="str">
        <f t="shared" si="1"/>
        <v/>
      </c>
      <c r="AD49" s="32"/>
    </row>
    <row r="50" ht="16.25" spans="1:30">
      <c r="A50" s="28">
        <v>150201</v>
      </c>
      <c r="B50" s="29" t="s">
        <v>324</v>
      </c>
      <c r="C50" s="12" t="s">
        <v>309</v>
      </c>
      <c r="D50" s="12"/>
      <c r="E50" s="12" t="s">
        <v>309</v>
      </c>
      <c r="F50" s="12"/>
      <c r="G50" s="23" t="s">
        <v>313</v>
      </c>
      <c r="H50" s="23"/>
      <c r="I50" s="23"/>
      <c r="J50" s="23"/>
      <c r="K50" s="23"/>
      <c r="L50" s="23"/>
      <c r="M50" s="23"/>
      <c r="N50" s="23"/>
      <c r="O50" s="23"/>
      <c r="P50" s="30">
        <v>200</v>
      </c>
      <c r="Q50" s="30"/>
      <c r="R50" s="12">
        <v>0.65</v>
      </c>
      <c r="S50" s="30"/>
      <c r="T50" s="30">
        <f>IF(G50="","",_xlfn.XLOOKUP(G50,Sheet6!$E:$E,Sheet6!$D:$D,"",0,1))</f>
        <v>8</v>
      </c>
      <c r="U50" s="30" t="str">
        <f>IF(H50="","",_xlfn.XLOOKUP(H50,Sheet6!$E:$E,Sheet6!$D:$D,"",0,1))</f>
        <v/>
      </c>
      <c r="V50" s="30" t="str">
        <f>IF(I50="","",_xlfn.XLOOKUP(I50,Sheet6!$E:$E,Sheet6!$D:$D,"",0,1))</f>
        <v/>
      </c>
      <c r="W50" s="30" t="str">
        <f>IF(J50="","",_xlfn.XLOOKUP(J50,Sheet6!$E:$E,Sheet6!$D:$D,"",0,1))</f>
        <v/>
      </c>
      <c r="X50" s="30" t="str">
        <f>IF(K50="","",_xlfn.XLOOKUP(K50,Sheet6!$E:$E,Sheet6!$D:$D,"",0,1))</f>
        <v/>
      </c>
      <c r="Y50" s="30" t="str">
        <f>IF(L50="","",_xlfn.XLOOKUP(L50,Sheet6!$E:$E,Sheet6!$D:$D,"",0,1))</f>
        <v/>
      </c>
      <c r="Z50" s="30" t="str">
        <f>IF(M50="","",_xlfn.XLOOKUP(M50,Sheet6!$E:$E,Sheet6!$D:$D,"",0,1))</f>
        <v/>
      </c>
      <c r="AA50" s="30" t="str">
        <f>IF(N50="","",_xlfn.XLOOKUP(N50,Sheet6!$E:$E,Sheet6!$D:$D,"",0,1))</f>
        <v/>
      </c>
      <c r="AB50" s="12" t="str">
        <f t="shared" si="0"/>
        <v>8</v>
      </c>
      <c r="AC50" s="31" t="str">
        <f t="shared" si="1"/>
        <v/>
      </c>
      <c r="AD50" s="32"/>
    </row>
    <row r="51" ht="16.25" hidden="1" spans="1:30">
      <c r="A51" s="13">
        <v>150202</v>
      </c>
      <c r="B51" s="22" t="s">
        <v>325</v>
      </c>
      <c r="C51" s="12" t="s">
        <v>310</v>
      </c>
      <c r="D51" s="12" t="s">
        <v>311</v>
      </c>
      <c r="E51" s="12" t="s">
        <v>310</v>
      </c>
      <c r="F51" s="12" t="s">
        <v>311</v>
      </c>
      <c r="G51" s="23" t="s">
        <v>315</v>
      </c>
      <c r="H51" s="23" t="s">
        <v>326</v>
      </c>
      <c r="I51" s="23"/>
      <c r="J51" s="23"/>
      <c r="K51" s="23"/>
      <c r="L51" s="23"/>
      <c r="M51" s="23"/>
      <c r="N51" s="23"/>
      <c r="O51" s="23"/>
      <c r="P51" s="30">
        <v>60</v>
      </c>
      <c r="Q51" s="30">
        <v>80</v>
      </c>
      <c r="R51" s="12">
        <v>0.65</v>
      </c>
      <c r="S51" s="12">
        <v>0.65</v>
      </c>
      <c r="T51" s="30">
        <f>IF(G51="","",_xlfn.XLOOKUP(G51,Sheet6!$E:$E,Sheet6!$D:$D,"",0,1))</f>
        <v>6</v>
      </c>
      <c r="U51" s="30">
        <f>IF(H51="","",_xlfn.XLOOKUP(H51,Sheet6!$E:$E,Sheet6!$D:$D,"",0,1))</f>
        <v>35</v>
      </c>
      <c r="V51" s="30" t="str">
        <f>IF(I51="","",_xlfn.XLOOKUP(I51,Sheet6!$E:$E,Sheet6!$D:$D,"",0,1))</f>
        <v/>
      </c>
      <c r="W51" s="30" t="str">
        <f>IF(J51="","",_xlfn.XLOOKUP(J51,Sheet6!$E:$E,Sheet6!$D:$D,"",0,1))</f>
        <v/>
      </c>
      <c r="X51" s="30" t="str">
        <f>IF(K51="","",_xlfn.XLOOKUP(K51,Sheet6!$E:$E,Sheet6!$D:$D,"",0,1))</f>
        <v/>
      </c>
      <c r="Y51" s="30" t="str">
        <f>IF(L51="","",_xlfn.XLOOKUP(L51,Sheet6!$E:$E,Sheet6!$D:$D,"",0,1))</f>
        <v/>
      </c>
      <c r="Z51" s="30" t="str">
        <f>IF(M51="","",_xlfn.XLOOKUP(M51,Sheet6!$E:$E,Sheet6!$D:$D,"",0,1))</f>
        <v/>
      </c>
      <c r="AA51" s="30" t="str">
        <f>IF(N51="","",_xlfn.XLOOKUP(N51,Sheet6!$E:$E,Sheet6!$D:$D,"",0,1))</f>
        <v/>
      </c>
      <c r="AB51" s="12" t="str">
        <f t="shared" si="0"/>
        <v>6,35</v>
      </c>
      <c r="AC51" s="31" t="str">
        <f t="shared" si="1"/>
        <v/>
      </c>
      <c r="AD51" s="32"/>
    </row>
    <row r="52" ht="16.25" hidden="1" spans="1:30">
      <c r="A52" s="13">
        <v>150203</v>
      </c>
      <c r="B52" s="22" t="s">
        <v>327</v>
      </c>
      <c r="C52" s="12" t="s">
        <v>309</v>
      </c>
      <c r="D52" s="12" t="s">
        <v>310</v>
      </c>
      <c r="E52" s="12" t="s">
        <v>309</v>
      </c>
      <c r="F52" s="12" t="s">
        <v>310</v>
      </c>
      <c r="G52" t="s">
        <v>317</v>
      </c>
      <c r="H52" s="23"/>
      <c r="I52" s="23"/>
      <c r="J52" s="23"/>
      <c r="K52" s="23"/>
      <c r="L52" s="23"/>
      <c r="M52" s="23"/>
      <c r="N52" s="23"/>
      <c r="O52" s="23"/>
      <c r="P52" s="30">
        <v>100</v>
      </c>
      <c r="Q52" s="30">
        <v>30</v>
      </c>
      <c r="R52" s="12">
        <v>0.65</v>
      </c>
      <c r="S52" s="12">
        <v>0.65</v>
      </c>
      <c r="T52" s="30">
        <f>IF(G52="","",_xlfn.XLOOKUP(G52,Sheet6!$E:$E,Sheet6!$D:$D,"",0,1))</f>
        <v>7</v>
      </c>
      <c r="U52" s="30" t="str">
        <f>IF(H52="","",_xlfn.XLOOKUP(H52,Sheet6!$E:$E,Sheet6!$D:$D,"",0,1))</f>
        <v/>
      </c>
      <c r="V52" s="30" t="str">
        <f>IF(I52="","",_xlfn.XLOOKUP(I52,Sheet6!$E:$E,Sheet6!$D:$D,"",0,1))</f>
        <v/>
      </c>
      <c r="W52" s="30" t="str">
        <f>IF(J52="","",_xlfn.XLOOKUP(J52,Sheet6!$E:$E,Sheet6!$D:$D,"",0,1))</f>
        <v/>
      </c>
      <c r="X52" s="30" t="str">
        <f>IF(K52="","",_xlfn.XLOOKUP(K52,Sheet6!$E:$E,Sheet6!$D:$D,"",0,1))</f>
        <v/>
      </c>
      <c r="Y52" s="30" t="str">
        <f>IF(L52="","",_xlfn.XLOOKUP(L52,Sheet6!$E:$E,Sheet6!$D:$D,"",0,1))</f>
        <v/>
      </c>
      <c r="Z52" s="30" t="str">
        <f>IF(M52="","",_xlfn.XLOOKUP(M52,Sheet6!$E:$E,Sheet6!$D:$D,"",0,1))</f>
        <v/>
      </c>
      <c r="AA52" s="30" t="str">
        <f>IF(N52="","",_xlfn.XLOOKUP(N52,Sheet6!$E:$E,Sheet6!$D:$D,"",0,1))</f>
        <v/>
      </c>
      <c r="AB52" s="12" t="str">
        <f t="shared" si="0"/>
        <v>7</v>
      </c>
      <c r="AC52" s="31" t="str">
        <f t="shared" si="1"/>
        <v/>
      </c>
      <c r="AD52" s="32"/>
    </row>
    <row r="53" ht="16.25" hidden="1" spans="1:30">
      <c r="A53" s="13">
        <v>150204</v>
      </c>
      <c r="B53" s="22" t="s">
        <v>328</v>
      </c>
      <c r="C53" s="12" t="s">
        <v>310</v>
      </c>
      <c r="D53" s="12" t="s">
        <v>311</v>
      </c>
      <c r="E53" s="12" t="s">
        <v>310</v>
      </c>
      <c r="F53" s="12" t="s">
        <v>311</v>
      </c>
      <c r="G53" s="23" t="s">
        <v>319</v>
      </c>
      <c r="H53" s="23" t="s">
        <v>326</v>
      </c>
      <c r="I53" s="23"/>
      <c r="J53" s="23"/>
      <c r="K53" s="23"/>
      <c r="L53" s="23"/>
      <c r="M53" s="23"/>
      <c r="N53" s="23"/>
      <c r="O53" s="23"/>
      <c r="P53" s="30">
        <v>30</v>
      </c>
      <c r="Q53" s="30">
        <v>1600</v>
      </c>
      <c r="R53" s="12">
        <v>0.65</v>
      </c>
      <c r="S53" s="12">
        <v>0.65</v>
      </c>
      <c r="T53" s="30">
        <f>IF(G53="","",_xlfn.XLOOKUP(G53,Sheet6!$E:$E,Sheet6!$D:$D,"",0,1))</f>
        <v>10</v>
      </c>
      <c r="U53" s="30">
        <f>IF(H53="","",_xlfn.XLOOKUP(H53,Sheet6!$E:$E,Sheet6!$D:$D,"",0,1))</f>
        <v>35</v>
      </c>
      <c r="V53" s="30" t="str">
        <f>IF(I53="","",_xlfn.XLOOKUP(I53,Sheet6!$E:$E,Sheet6!$D:$D,"",0,1))</f>
        <v/>
      </c>
      <c r="W53" s="30" t="str">
        <f>IF(J53="","",_xlfn.XLOOKUP(J53,Sheet6!$E:$E,Sheet6!$D:$D,"",0,1))</f>
        <v/>
      </c>
      <c r="X53" s="30" t="str">
        <f>IF(K53="","",_xlfn.XLOOKUP(K53,Sheet6!$E:$E,Sheet6!$D:$D,"",0,1))</f>
        <v/>
      </c>
      <c r="Y53" s="30" t="str">
        <f>IF(L53="","",_xlfn.XLOOKUP(L53,Sheet6!$E:$E,Sheet6!$D:$D,"",0,1))</f>
        <v/>
      </c>
      <c r="Z53" s="30" t="str">
        <f>IF(M53="","",_xlfn.XLOOKUP(M53,Sheet6!$E:$E,Sheet6!$D:$D,"",0,1))</f>
        <v/>
      </c>
      <c r="AA53" s="30" t="str">
        <f>IF(N53="","",_xlfn.XLOOKUP(N53,Sheet6!$E:$E,Sheet6!$D:$D,"",0,1))</f>
        <v/>
      </c>
      <c r="AB53" s="12" t="str">
        <f t="shared" si="0"/>
        <v>10,35</v>
      </c>
      <c r="AC53" s="31" t="str">
        <f t="shared" si="1"/>
        <v/>
      </c>
      <c r="AD53" s="32"/>
    </row>
    <row r="54" ht="16.25" hidden="1" spans="1:30">
      <c r="A54" s="15">
        <v>250201</v>
      </c>
      <c r="B54" s="24" t="s">
        <v>329</v>
      </c>
      <c r="C54" s="12" t="s">
        <v>309</v>
      </c>
      <c r="D54" s="12"/>
      <c r="E54" s="12" t="s">
        <v>309</v>
      </c>
      <c r="F54" s="12"/>
      <c r="G54" s="23" t="s">
        <v>313</v>
      </c>
      <c r="H54" s="23"/>
      <c r="I54" s="23"/>
      <c r="J54" s="23"/>
      <c r="K54" s="23"/>
      <c r="L54" s="23"/>
      <c r="M54" s="23"/>
      <c r="N54" s="23"/>
      <c r="O54" s="23"/>
      <c r="P54" s="30">
        <v>200</v>
      </c>
      <c r="Q54" s="30"/>
      <c r="R54" s="12">
        <v>0.65</v>
      </c>
      <c r="S54" s="30"/>
      <c r="T54" s="30">
        <f>IF(G54="","",_xlfn.XLOOKUP(G54,Sheet6!$E:$E,Sheet6!$D:$D,"",0,1))</f>
        <v>8</v>
      </c>
      <c r="U54" s="30" t="str">
        <f>IF(H54="","",_xlfn.XLOOKUP(H54,Sheet6!$E:$E,Sheet6!$D:$D,"",0,1))</f>
        <v/>
      </c>
      <c r="V54" s="30" t="str">
        <f>IF(I54="","",_xlfn.XLOOKUP(I54,Sheet6!$E:$E,Sheet6!$D:$D,"",0,1))</f>
        <v/>
      </c>
      <c r="W54" s="30" t="str">
        <f>IF(J54="","",_xlfn.XLOOKUP(J54,Sheet6!$E:$E,Sheet6!$D:$D,"",0,1))</f>
        <v/>
      </c>
      <c r="X54" s="30" t="str">
        <f>IF(K54="","",_xlfn.XLOOKUP(K54,Sheet6!$E:$E,Sheet6!$D:$D,"",0,1))</f>
        <v/>
      </c>
      <c r="Y54" s="30" t="str">
        <f>IF(L54="","",_xlfn.XLOOKUP(L54,Sheet6!$E:$E,Sheet6!$D:$D,"",0,1))</f>
        <v/>
      </c>
      <c r="Z54" s="30" t="str">
        <f>IF(M54="","",_xlfn.XLOOKUP(M54,Sheet6!$E:$E,Sheet6!$D:$D,"",0,1))</f>
        <v/>
      </c>
      <c r="AA54" s="30" t="str">
        <f>IF(N54="","",_xlfn.XLOOKUP(N54,Sheet6!$E:$E,Sheet6!$D:$D,"",0,1))</f>
        <v/>
      </c>
      <c r="AB54" s="12" t="str">
        <f t="shared" si="0"/>
        <v>8</v>
      </c>
      <c r="AC54" s="31" t="str">
        <f t="shared" si="1"/>
        <v/>
      </c>
      <c r="AD54" s="32"/>
    </row>
    <row r="55" ht="16.25" hidden="1" spans="1:30">
      <c r="A55" s="17">
        <v>250202</v>
      </c>
      <c r="B55" s="25" t="s">
        <v>330</v>
      </c>
      <c r="C55" s="12" t="s">
        <v>310</v>
      </c>
      <c r="D55" s="12" t="s">
        <v>311</v>
      </c>
      <c r="E55" s="12" t="s">
        <v>310</v>
      </c>
      <c r="F55" s="12" t="s">
        <v>311</v>
      </c>
      <c r="G55" s="23" t="s">
        <v>315</v>
      </c>
      <c r="H55" s="23" t="s">
        <v>326</v>
      </c>
      <c r="I55" s="23"/>
      <c r="J55" s="23"/>
      <c r="K55" s="23"/>
      <c r="L55" s="23"/>
      <c r="M55" s="23"/>
      <c r="N55" s="23"/>
      <c r="O55" s="23"/>
      <c r="P55" s="30">
        <v>60</v>
      </c>
      <c r="Q55" s="30">
        <v>80</v>
      </c>
      <c r="R55" s="12">
        <v>0.65</v>
      </c>
      <c r="S55" s="12">
        <v>0.65</v>
      </c>
      <c r="T55" s="30">
        <f>IF(G55="","",_xlfn.XLOOKUP(G55,Sheet6!$E:$E,Sheet6!$D:$D,"",0,1))</f>
        <v>6</v>
      </c>
      <c r="U55" s="30">
        <f>IF(H55="","",_xlfn.XLOOKUP(H55,Sheet6!$E:$E,Sheet6!$D:$D,"",0,1))</f>
        <v>35</v>
      </c>
      <c r="V55" s="30" t="str">
        <f>IF(I55="","",_xlfn.XLOOKUP(I55,Sheet6!$E:$E,Sheet6!$D:$D,"",0,1))</f>
        <v/>
      </c>
      <c r="W55" s="30" t="str">
        <f>IF(J55="","",_xlfn.XLOOKUP(J55,Sheet6!$E:$E,Sheet6!$D:$D,"",0,1))</f>
        <v/>
      </c>
      <c r="X55" s="30" t="str">
        <f>IF(K55="","",_xlfn.XLOOKUP(K55,Sheet6!$E:$E,Sheet6!$D:$D,"",0,1))</f>
        <v/>
      </c>
      <c r="Y55" s="30" t="str">
        <f>IF(L55="","",_xlfn.XLOOKUP(L55,Sheet6!$E:$E,Sheet6!$D:$D,"",0,1))</f>
        <v/>
      </c>
      <c r="Z55" s="30" t="str">
        <f>IF(M55="","",_xlfn.XLOOKUP(M55,Sheet6!$E:$E,Sheet6!$D:$D,"",0,1))</f>
        <v/>
      </c>
      <c r="AA55" s="30" t="str">
        <f>IF(N55="","",_xlfn.XLOOKUP(N55,Sheet6!$E:$E,Sheet6!$D:$D,"",0,1))</f>
        <v/>
      </c>
      <c r="AB55" s="12" t="str">
        <f t="shared" si="0"/>
        <v>6,35</v>
      </c>
      <c r="AC55" s="31" t="str">
        <f t="shared" si="1"/>
        <v/>
      </c>
      <c r="AD55" s="32"/>
    </row>
    <row r="56" ht="16.25" hidden="1" spans="1:30">
      <c r="A56" s="17">
        <v>250203</v>
      </c>
      <c r="B56" s="25" t="s">
        <v>331</v>
      </c>
      <c r="C56" s="12" t="s">
        <v>309</v>
      </c>
      <c r="D56" s="12" t="s">
        <v>310</v>
      </c>
      <c r="E56" s="12" t="s">
        <v>309</v>
      </c>
      <c r="F56" s="12" t="s">
        <v>310</v>
      </c>
      <c r="G56" t="s">
        <v>317</v>
      </c>
      <c r="H56" s="23"/>
      <c r="I56" s="23"/>
      <c r="J56" s="23"/>
      <c r="K56" s="23"/>
      <c r="L56" s="23"/>
      <c r="M56" s="23"/>
      <c r="N56" s="23"/>
      <c r="O56" s="23"/>
      <c r="P56" s="30">
        <v>100</v>
      </c>
      <c r="Q56" s="30">
        <v>30</v>
      </c>
      <c r="R56" s="12">
        <v>0.65</v>
      </c>
      <c r="S56" s="12">
        <v>0.65</v>
      </c>
      <c r="T56" s="30">
        <f>IF(G56="","",_xlfn.XLOOKUP(G56,Sheet6!$E:$E,Sheet6!$D:$D,"",0,1))</f>
        <v>7</v>
      </c>
      <c r="U56" s="30" t="str">
        <f>IF(H56="","",_xlfn.XLOOKUP(H56,Sheet6!$E:$E,Sheet6!$D:$D,"",0,1))</f>
        <v/>
      </c>
      <c r="V56" s="30" t="str">
        <f>IF(I56="","",_xlfn.XLOOKUP(I56,Sheet6!$E:$E,Sheet6!$D:$D,"",0,1))</f>
        <v/>
      </c>
      <c r="W56" s="30" t="str">
        <f>IF(J56="","",_xlfn.XLOOKUP(J56,Sheet6!$E:$E,Sheet6!$D:$D,"",0,1))</f>
        <v/>
      </c>
      <c r="X56" s="30" t="str">
        <f>IF(K56="","",_xlfn.XLOOKUP(K56,Sheet6!$E:$E,Sheet6!$D:$D,"",0,1))</f>
        <v/>
      </c>
      <c r="Y56" s="30" t="str">
        <f>IF(L56="","",_xlfn.XLOOKUP(L56,Sheet6!$E:$E,Sheet6!$D:$D,"",0,1))</f>
        <v/>
      </c>
      <c r="Z56" s="30" t="str">
        <f>IF(M56="","",_xlfn.XLOOKUP(M56,Sheet6!$E:$E,Sheet6!$D:$D,"",0,1))</f>
        <v/>
      </c>
      <c r="AA56" s="30" t="str">
        <f>IF(N56="","",_xlfn.XLOOKUP(N56,Sheet6!$E:$E,Sheet6!$D:$D,"",0,1))</f>
        <v/>
      </c>
      <c r="AB56" s="12" t="str">
        <f t="shared" si="0"/>
        <v>7</v>
      </c>
      <c r="AC56" s="31" t="str">
        <f t="shared" si="1"/>
        <v/>
      </c>
      <c r="AD56" s="32"/>
    </row>
    <row r="57" ht="16.25" hidden="1" spans="1:30">
      <c r="A57" s="17">
        <v>250204</v>
      </c>
      <c r="B57" s="25" t="s">
        <v>332</v>
      </c>
      <c r="C57" s="12" t="s">
        <v>310</v>
      </c>
      <c r="D57" s="12" t="s">
        <v>311</v>
      </c>
      <c r="E57" s="12" t="s">
        <v>310</v>
      </c>
      <c r="F57" s="12" t="s">
        <v>311</v>
      </c>
      <c r="G57" s="23" t="s">
        <v>319</v>
      </c>
      <c r="H57" s="23" t="s">
        <v>326</v>
      </c>
      <c r="I57" s="23"/>
      <c r="J57" s="23"/>
      <c r="K57" s="23"/>
      <c r="L57" s="23"/>
      <c r="M57" s="23"/>
      <c r="N57" s="23"/>
      <c r="O57" s="23"/>
      <c r="P57" s="30">
        <v>30</v>
      </c>
      <c r="Q57" s="30">
        <v>1600</v>
      </c>
      <c r="R57" s="12">
        <v>0.65</v>
      </c>
      <c r="S57" s="12">
        <v>0.65</v>
      </c>
      <c r="T57" s="30">
        <f>IF(G57="","",_xlfn.XLOOKUP(G57,Sheet6!$E:$E,Sheet6!$D:$D,"",0,1))</f>
        <v>10</v>
      </c>
      <c r="U57" s="30">
        <f>IF(H57="","",_xlfn.XLOOKUP(H57,Sheet6!$E:$E,Sheet6!$D:$D,"",0,1))</f>
        <v>35</v>
      </c>
      <c r="V57" s="30" t="str">
        <f>IF(I57="","",_xlfn.XLOOKUP(I57,Sheet6!$E:$E,Sheet6!$D:$D,"",0,1))</f>
        <v/>
      </c>
      <c r="W57" s="30" t="str">
        <f>IF(J57="","",_xlfn.XLOOKUP(J57,Sheet6!$E:$E,Sheet6!$D:$D,"",0,1))</f>
        <v/>
      </c>
      <c r="X57" s="30" t="str">
        <f>IF(K57="","",_xlfn.XLOOKUP(K57,Sheet6!$E:$E,Sheet6!$D:$D,"",0,1))</f>
        <v/>
      </c>
      <c r="Y57" s="30" t="str">
        <f>IF(L57="","",_xlfn.XLOOKUP(L57,Sheet6!$E:$E,Sheet6!$D:$D,"",0,1))</f>
        <v/>
      </c>
      <c r="Z57" s="30" t="str">
        <f>IF(M57="","",_xlfn.XLOOKUP(M57,Sheet6!$E:$E,Sheet6!$D:$D,"",0,1))</f>
        <v/>
      </c>
      <c r="AA57" s="30" t="str">
        <f>IF(N57="","",_xlfn.XLOOKUP(N57,Sheet6!$E:$E,Sheet6!$D:$D,"",0,1))</f>
        <v/>
      </c>
      <c r="AB57" s="12" t="str">
        <f t="shared" si="0"/>
        <v>10,35</v>
      </c>
      <c r="AC57" s="31" t="str">
        <f t="shared" si="1"/>
        <v/>
      </c>
      <c r="AD57" s="32"/>
    </row>
    <row r="58" ht="16.25" spans="1:30">
      <c r="A58" s="28">
        <v>150301</v>
      </c>
      <c r="B58" s="29" t="s">
        <v>333</v>
      </c>
      <c r="C58" s="12" t="s">
        <v>309</v>
      </c>
      <c r="D58" s="12"/>
      <c r="E58" s="12" t="s">
        <v>309</v>
      </c>
      <c r="F58" s="12"/>
      <c r="G58" s="23" t="s">
        <v>313</v>
      </c>
      <c r="H58" s="23" t="s">
        <v>334</v>
      </c>
      <c r="I58" s="23"/>
      <c r="J58" s="23"/>
      <c r="K58" s="23"/>
      <c r="L58" s="23"/>
      <c r="M58" s="23"/>
      <c r="N58" s="23"/>
      <c r="O58" s="23"/>
      <c r="P58" s="30">
        <v>200</v>
      </c>
      <c r="Q58" s="30"/>
      <c r="R58" s="12">
        <v>0.65</v>
      </c>
      <c r="S58" s="30"/>
      <c r="T58" s="30">
        <f>IF(G58="","",_xlfn.XLOOKUP(G58,Sheet6!$E:$E,Sheet6!$D:$D,"",0,1))</f>
        <v>8</v>
      </c>
      <c r="U58" s="30">
        <f>IF(H58="","",_xlfn.XLOOKUP(H58,Sheet6!$E:$E,Sheet6!$D:$D,"",0,1))</f>
        <v>26</v>
      </c>
      <c r="V58" s="30" t="str">
        <f>IF(I58="","",_xlfn.XLOOKUP(I58,Sheet6!$E:$E,Sheet6!$D:$D,"",0,1))</f>
        <v/>
      </c>
      <c r="W58" s="30" t="str">
        <f>IF(J58="","",_xlfn.XLOOKUP(J58,Sheet6!$E:$E,Sheet6!$D:$D,"",0,1))</f>
        <v/>
      </c>
      <c r="X58" s="30" t="str">
        <f>IF(K58="","",_xlfn.XLOOKUP(K58,Sheet6!$E:$E,Sheet6!$D:$D,"",0,1))</f>
        <v/>
      </c>
      <c r="Y58" s="30" t="str">
        <f>IF(L58="","",_xlfn.XLOOKUP(L58,Sheet6!$E:$E,Sheet6!$D:$D,"",0,1))</f>
        <v/>
      </c>
      <c r="Z58" s="30" t="str">
        <f>IF(M58="","",_xlfn.XLOOKUP(M58,Sheet6!$E:$E,Sheet6!$D:$D,"",0,1))</f>
        <v/>
      </c>
      <c r="AA58" s="30" t="str">
        <f>IF(N58="","",_xlfn.XLOOKUP(N58,Sheet6!$E:$E,Sheet6!$D:$D,"",0,1))</f>
        <v/>
      </c>
      <c r="AB58" s="12" t="str">
        <f t="shared" si="0"/>
        <v>8,26</v>
      </c>
      <c r="AC58" s="31" t="str">
        <f t="shared" si="1"/>
        <v/>
      </c>
      <c r="AD58" s="32"/>
    </row>
    <row r="59" ht="16.25" hidden="1" spans="1:30">
      <c r="A59" s="13">
        <v>150302</v>
      </c>
      <c r="B59" s="22" t="s">
        <v>335</v>
      </c>
      <c r="C59" s="12" t="s">
        <v>310</v>
      </c>
      <c r="D59" s="12" t="s">
        <v>311</v>
      </c>
      <c r="E59" s="12" t="s">
        <v>310</v>
      </c>
      <c r="F59" s="12" t="s">
        <v>311</v>
      </c>
      <c r="G59" s="23" t="s">
        <v>315</v>
      </c>
      <c r="H59" s="23"/>
      <c r="I59" s="23"/>
      <c r="J59" s="23"/>
      <c r="K59" s="23"/>
      <c r="L59" s="23"/>
      <c r="M59" s="23"/>
      <c r="N59" s="23"/>
      <c r="O59" s="23"/>
      <c r="P59" s="30">
        <v>60</v>
      </c>
      <c r="Q59" s="30">
        <v>80</v>
      </c>
      <c r="R59" s="12">
        <v>0.65</v>
      </c>
      <c r="S59" s="12">
        <v>0.65</v>
      </c>
      <c r="T59" s="30">
        <f>IF(G59="","",_xlfn.XLOOKUP(G59,Sheet6!$E:$E,Sheet6!$D:$D,"",0,1))</f>
        <v>6</v>
      </c>
      <c r="U59" s="30" t="str">
        <f>IF(H59="","",_xlfn.XLOOKUP(H59,Sheet6!$E:$E,Sheet6!$D:$D,"",0,1))</f>
        <v/>
      </c>
      <c r="V59" s="30" t="str">
        <f>IF(I59="","",_xlfn.XLOOKUP(I59,Sheet6!$E:$E,Sheet6!$D:$D,"",0,1))</f>
        <v/>
      </c>
      <c r="W59" s="30" t="str">
        <f>IF(J59="","",_xlfn.XLOOKUP(J59,Sheet6!$E:$E,Sheet6!$D:$D,"",0,1))</f>
        <v/>
      </c>
      <c r="X59" s="30" t="str">
        <f>IF(K59="","",_xlfn.XLOOKUP(K59,Sheet6!$E:$E,Sheet6!$D:$D,"",0,1))</f>
        <v/>
      </c>
      <c r="Y59" s="30" t="str">
        <f>IF(L59="","",_xlfn.XLOOKUP(L59,Sheet6!$E:$E,Sheet6!$D:$D,"",0,1))</f>
        <v/>
      </c>
      <c r="Z59" s="30" t="str">
        <f>IF(M59="","",_xlfn.XLOOKUP(M59,Sheet6!$E:$E,Sheet6!$D:$D,"",0,1))</f>
        <v/>
      </c>
      <c r="AA59" s="30" t="str">
        <f>IF(N59="","",_xlfn.XLOOKUP(N59,Sheet6!$E:$E,Sheet6!$D:$D,"",0,1))</f>
        <v/>
      </c>
      <c r="AB59" s="12" t="str">
        <f t="shared" si="0"/>
        <v>6</v>
      </c>
      <c r="AC59" s="31" t="str">
        <f t="shared" si="1"/>
        <v/>
      </c>
      <c r="AD59" s="32"/>
    </row>
    <row r="60" ht="16.25" hidden="1" spans="1:30">
      <c r="A60" s="13">
        <v>150303</v>
      </c>
      <c r="B60" s="22" t="s">
        <v>336</v>
      </c>
      <c r="C60" s="12" t="s">
        <v>309</v>
      </c>
      <c r="D60" s="12" t="s">
        <v>310</v>
      </c>
      <c r="E60" s="12" t="s">
        <v>309</v>
      </c>
      <c r="F60" s="12" t="s">
        <v>310</v>
      </c>
      <c r="G60" s="23" t="s">
        <v>337</v>
      </c>
      <c r="H60" s="23"/>
      <c r="I60" s="23"/>
      <c r="J60" s="23"/>
      <c r="K60" s="23"/>
      <c r="L60" s="23"/>
      <c r="M60" s="23"/>
      <c r="N60" s="23"/>
      <c r="O60" s="23"/>
      <c r="P60" s="30">
        <v>100</v>
      </c>
      <c r="Q60" s="30">
        <v>30</v>
      </c>
      <c r="R60" s="12">
        <v>0.65</v>
      </c>
      <c r="S60" s="12">
        <v>0.65</v>
      </c>
      <c r="T60" s="30">
        <f>IF(G60="","",_xlfn.XLOOKUP(G60,Sheet6!$E:$E,Sheet6!$D:$D,"",0,1))</f>
        <v>11</v>
      </c>
      <c r="U60" s="30" t="str">
        <f>IF(H60="","",_xlfn.XLOOKUP(H60,Sheet6!$E:$E,Sheet6!$D:$D,"",0,1))</f>
        <v/>
      </c>
      <c r="V60" s="30" t="str">
        <f>IF(I60="","",_xlfn.XLOOKUP(I60,Sheet6!$E:$E,Sheet6!$D:$D,"",0,1))</f>
        <v/>
      </c>
      <c r="W60" s="30" t="str">
        <f>IF(J60="","",_xlfn.XLOOKUP(J60,Sheet6!$E:$E,Sheet6!$D:$D,"",0,1))</f>
        <v/>
      </c>
      <c r="X60" s="30" t="str">
        <f>IF(K60="","",_xlfn.XLOOKUP(K60,Sheet6!$E:$E,Sheet6!$D:$D,"",0,1))</f>
        <v/>
      </c>
      <c r="Y60" s="30" t="str">
        <f>IF(L60="","",_xlfn.XLOOKUP(L60,Sheet6!$E:$E,Sheet6!$D:$D,"",0,1))</f>
        <v/>
      </c>
      <c r="Z60" s="30" t="str">
        <f>IF(M60="","",_xlfn.XLOOKUP(M60,Sheet6!$E:$E,Sheet6!$D:$D,"",0,1))</f>
        <v/>
      </c>
      <c r="AA60" s="30" t="str">
        <f>IF(N60="","",_xlfn.XLOOKUP(N60,Sheet6!$E:$E,Sheet6!$D:$D,"",0,1))</f>
        <v/>
      </c>
      <c r="AB60" s="12" t="str">
        <f t="shared" si="0"/>
        <v>11</v>
      </c>
      <c r="AC60" s="31" t="str">
        <f t="shared" si="1"/>
        <v/>
      </c>
      <c r="AD60" s="32"/>
    </row>
    <row r="61" ht="16.25" hidden="1" spans="1:30">
      <c r="A61" s="13">
        <v>150304</v>
      </c>
      <c r="B61" s="22" t="s">
        <v>338</v>
      </c>
      <c r="C61" s="12" t="s">
        <v>310</v>
      </c>
      <c r="D61" s="12" t="s">
        <v>311</v>
      </c>
      <c r="E61" s="12" t="s">
        <v>310</v>
      </c>
      <c r="F61" s="12" t="s">
        <v>311</v>
      </c>
      <c r="G61" s="23" t="s">
        <v>339</v>
      </c>
      <c r="H61" s="23" t="s">
        <v>334</v>
      </c>
      <c r="I61" s="23"/>
      <c r="J61" s="23"/>
      <c r="K61" s="23"/>
      <c r="L61" s="23"/>
      <c r="M61" s="23"/>
      <c r="N61" s="23"/>
      <c r="O61" s="23"/>
      <c r="P61" s="30">
        <v>30</v>
      </c>
      <c r="Q61" s="30">
        <v>1600</v>
      </c>
      <c r="R61" s="12">
        <v>0.65</v>
      </c>
      <c r="S61" s="12">
        <v>0.65</v>
      </c>
      <c r="T61" s="30">
        <f>IF(G61="","",_xlfn.XLOOKUP(G61,Sheet6!$E:$E,Sheet6!$D:$D,"",0,1))</f>
        <v>5</v>
      </c>
      <c r="U61" s="30">
        <f>IF(H61="","",_xlfn.XLOOKUP(H61,Sheet6!$E:$E,Sheet6!$D:$D,"",0,1))</f>
        <v>26</v>
      </c>
      <c r="V61" s="30" t="str">
        <f>IF(I61="","",_xlfn.XLOOKUP(I61,Sheet6!$E:$E,Sheet6!$D:$D,"",0,1))</f>
        <v/>
      </c>
      <c r="W61" s="30" t="str">
        <f>IF(J61="","",_xlfn.XLOOKUP(J61,Sheet6!$E:$E,Sheet6!$D:$D,"",0,1))</f>
        <v/>
      </c>
      <c r="X61" s="30" t="str">
        <f>IF(K61="","",_xlfn.XLOOKUP(K61,Sheet6!$E:$E,Sheet6!$D:$D,"",0,1))</f>
        <v/>
      </c>
      <c r="Y61" s="30" t="str">
        <f>IF(L61="","",_xlfn.XLOOKUP(L61,Sheet6!$E:$E,Sheet6!$D:$D,"",0,1))</f>
        <v/>
      </c>
      <c r="Z61" s="30" t="str">
        <f>IF(M61="","",_xlfn.XLOOKUP(M61,Sheet6!$E:$E,Sheet6!$D:$D,"",0,1))</f>
        <v/>
      </c>
      <c r="AA61" s="30" t="str">
        <f>IF(N61="","",_xlfn.XLOOKUP(N61,Sheet6!$E:$E,Sheet6!$D:$D,"",0,1))</f>
        <v/>
      </c>
      <c r="AB61" s="12" t="str">
        <f t="shared" si="0"/>
        <v>5,26</v>
      </c>
      <c r="AC61" s="31" t="str">
        <f t="shared" si="1"/>
        <v/>
      </c>
      <c r="AD61" s="32"/>
    </row>
    <row r="62" ht="16.25" hidden="1" spans="1:30">
      <c r="A62" s="15">
        <v>250301</v>
      </c>
      <c r="B62" s="24" t="s">
        <v>340</v>
      </c>
      <c r="C62" s="12" t="s">
        <v>309</v>
      </c>
      <c r="D62" s="12"/>
      <c r="E62" s="12" t="s">
        <v>309</v>
      </c>
      <c r="F62" s="12"/>
      <c r="G62" s="23" t="s">
        <v>313</v>
      </c>
      <c r="H62" s="23" t="s">
        <v>334</v>
      </c>
      <c r="I62" s="23"/>
      <c r="J62" s="23"/>
      <c r="K62" s="23"/>
      <c r="L62" s="23"/>
      <c r="M62" s="23"/>
      <c r="N62" s="23"/>
      <c r="O62" s="23"/>
      <c r="P62" s="30">
        <v>200</v>
      </c>
      <c r="Q62" s="30"/>
      <c r="R62" s="12">
        <v>0.65</v>
      </c>
      <c r="S62" s="30"/>
      <c r="T62" s="30">
        <f>IF(G62="","",_xlfn.XLOOKUP(G62,Sheet6!$E:$E,Sheet6!$D:$D,"",0,1))</f>
        <v>8</v>
      </c>
      <c r="U62" s="30">
        <f>IF(H62="","",_xlfn.XLOOKUP(H62,Sheet6!$E:$E,Sheet6!$D:$D,"",0,1))</f>
        <v>26</v>
      </c>
      <c r="V62" s="30" t="str">
        <f>IF(I62="","",_xlfn.XLOOKUP(I62,Sheet6!$E:$E,Sheet6!$D:$D,"",0,1))</f>
        <v/>
      </c>
      <c r="W62" s="30" t="str">
        <f>IF(J62="","",_xlfn.XLOOKUP(J62,Sheet6!$E:$E,Sheet6!$D:$D,"",0,1))</f>
        <v/>
      </c>
      <c r="X62" s="30" t="str">
        <f>IF(K62="","",_xlfn.XLOOKUP(K62,Sheet6!$E:$E,Sheet6!$D:$D,"",0,1))</f>
        <v/>
      </c>
      <c r="Y62" s="30" t="str">
        <f>IF(L62="","",_xlfn.XLOOKUP(L62,Sheet6!$E:$E,Sheet6!$D:$D,"",0,1))</f>
        <v/>
      </c>
      <c r="Z62" s="30" t="str">
        <f>IF(M62="","",_xlfn.XLOOKUP(M62,Sheet6!$E:$E,Sheet6!$D:$D,"",0,1))</f>
        <v/>
      </c>
      <c r="AA62" s="30" t="str">
        <f>IF(N62="","",_xlfn.XLOOKUP(N62,Sheet6!$E:$E,Sheet6!$D:$D,"",0,1))</f>
        <v/>
      </c>
      <c r="AB62" s="12" t="str">
        <f t="shared" si="0"/>
        <v>8,26</v>
      </c>
      <c r="AC62" s="31" t="str">
        <f t="shared" si="1"/>
        <v/>
      </c>
      <c r="AD62" s="32"/>
    </row>
    <row r="63" ht="16.25" hidden="1" spans="1:30">
      <c r="A63" s="17">
        <v>250302</v>
      </c>
      <c r="B63" s="25" t="s">
        <v>341</v>
      </c>
      <c r="C63" s="12" t="s">
        <v>310</v>
      </c>
      <c r="D63" s="12" t="s">
        <v>311</v>
      </c>
      <c r="E63" s="12" t="s">
        <v>310</v>
      </c>
      <c r="F63" s="12" t="s">
        <v>311</v>
      </c>
      <c r="G63" s="23" t="s">
        <v>315</v>
      </c>
      <c r="H63" s="23"/>
      <c r="I63" s="23"/>
      <c r="J63" s="23"/>
      <c r="K63" s="23"/>
      <c r="L63" s="23"/>
      <c r="M63" s="23"/>
      <c r="N63" s="23"/>
      <c r="O63" s="23"/>
      <c r="P63" s="30">
        <v>60</v>
      </c>
      <c r="Q63" s="30">
        <v>80</v>
      </c>
      <c r="R63" s="12">
        <v>0.65</v>
      </c>
      <c r="S63" s="12">
        <v>0.65</v>
      </c>
      <c r="T63" s="30">
        <f>IF(G63="","",_xlfn.XLOOKUP(G63,Sheet6!$E:$E,Sheet6!$D:$D,"",0,1))</f>
        <v>6</v>
      </c>
      <c r="U63" s="30" t="str">
        <f>IF(H63="","",_xlfn.XLOOKUP(H63,Sheet6!$E:$E,Sheet6!$D:$D,"",0,1))</f>
        <v/>
      </c>
      <c r="V63" s="30" t="str">
        <f>IF(I63="","",_xlfn.XLOOKUP(I63,Sheet6!$E:$E,Sheet6!$D:$D,"",0,1))</f>
        <v/>
      </c>
      <c r="W63" s="30" t="str">
        <f>IF(J63="","",_xlfn.XLOOKUP(J63,Sheet6!$E:$E,Sheet6!$D:$D,"",0,1))</f>
        <v/>
      </c>
      <c r="X63" s="30" t="str">
        <f>IF(K63="","",_xlfn.XLOOKUP(K63,Sheet6!$E:$E,Sheet6!$D:$D,"",0,1))</f>
        <v/>
      </c>
      <c r="Y63" s="30" t="str">
        <f>IF(L63="","",_xlfn.XLOOKUP(L63,Sheet6!$E:$E,Sheet6!$D:$D,"",0,1))</f>
        <v/>
      </c>
      <c r="Z63" s="30" t="str">
        <f>IF(M63="","",_xlfn.XLOOKUP(M63,Sheet6!$E:$E,Sheet6!$D:$D,"",0,1))</f>
        <v/>
      </c>
      <c r="AA63" s="30" t="str">
        <f>IF(N63="","",_xlfn.XLOOKUP(N63,Sheet6!$E:$E,Sheet6!$D:$D,"",0,1))</f>
        <v/>
      </c>
      <c r="AB63" s="12" t="str">
        <f t="shared" si="0"/>
        <v>6</v>
      </c>
      <c r="AC63" s="31" t="str">
        <f t="shared" si="1"/>
        <v/>
      </c>
      <c r="AD63" s="32"/>
    </row>
    <row r="64" ht="16.25" hidden="1" spans="1:30">
      <c r="A64" s="17">
        <v>250303</v>
      </c>
      <c r="B64" s="25" t="s">
        <v>342</v>
      </c>
      <c r="C64" s="12" t="s">
        <v>309</v>
      </c>
      <c r="D64" s="12" t="s">
        <v>310</v>
      </c>
      <c r="E64" s="12" t="s">
        <v>309</v>
      </c>
      <c r="F64" s="12" t="s">
        <v>310</v>
      </c>
      <c r="G64" s="23" t="s">
        <v>337</v>
      </c>
      <c r="H64" s="23"/>
      <c r="I64" s="23"/>
      <c r="J64" s="23"/>
      <c r="K64" s="23"/>
      <c r="L64" s="23"/>
      <c r="M64" s="23"/>
      <c r="N64" s="23"/>
      <c r="O64" s="23"/>
      <c r="P64" s="30">
        <v>100</v>
      </c>
      <c r="Q64" s="30">
        <v>30</v>
      </c>
      <c r="R64" s="12">
        <v>0.65</v>
      </c>
      <c r="S64" s="12">
        <v>0.65</v>
      </c>
      <c r="T64" s="30">
        <f>IF(G64="","",_xlfn.XLOOKUP(G64,Sheet6!$E:$E,Sheet6!$D:$D,"",0,1))</f>
        <v>11</v>
      </c>
      <c r="U64" s="30" t="str">
        <f>IF(H64="","",_xlfn.XLOOKUP(H64,Sheet6!$E:$E,Sheet6!$D:$D,"",0,1))</f>
        <v/>
      </c>
      <c r="V64" s="30" t="str">
        <f>IF(I64="","",_xlfn.XLOOKUP(I64,Sheet6!$E:$E,Sheet6!$D:$D,"",0,1))</f>
        <v/>
      </c>
      <c r="W64" s="30" t="str">
        <f>IF(J64="","",_xlfn.XLOOKUP(J64,Sheet6!$E:$E,Sheet6!$D:$D,"",0,1))</f>
        <v/>
      </c>
      <c r="X64" s="30" t="str">
        <f>IF(K64="","",_xlfn.XLOOKUP(K64,Sheet6!$E:$E,Sheet6!$D:$D,"",0,1))</f>
        <v/>
      </c>
      <c r="Y64" s="30" t="str">
        <f>IF(L64="","",_xlfn.XLOOKUP(L64,Sheet6!$E:$E,Sheet6!$D:$D,"",0,1))</f>
        <v/>
      </c>
      <c r="Z64" s="30" t="str">
        <f>IF(M64="","",_xlfn.XLOOKUP(M64,Sheet6!$E:$E,Sheet6!$D:$D,"",0,1))</f>
        <v/>
      </c>
      <c r="AA64" s="30" t="str">
        <f>IF(N64="","",_xlfn.XLOOKUP(N64,Sheet6!$E:$E,Sheet6!$D:$D,"",0,1))</f>
        <v/>
      </c>
      <c r="AB64" s="12" t="str">
        <f t="shared" si="0"/>
        <v>11</v>
      </c>
      <c r="AC64" s="31" t="str">
        <f t="shared" si="1"/>
        <v/>
      </c>
      <c r="AD64" s="32"/>
    </row>
    <row r="65" ht="16.25" hidden="1" spans="1:30">
      <c r="A65" s="34">
        <v>250304</v>
      </c>
      <c r="B65" s="35" t="s">
        <v>343</v>
      </c>
      <c r="C65" s="12" t="s">
        <v>310</v>
      </c>
      <c r="D65" s="12" t="s">
        <v>311</v>
      </c>
      <c r="E65" s="12" t="s">
        <v>310</v>
      </c>
      <c r="F65" s="12" t="s">
        <v>311</v>
      </c>
      <c r="G65" s="23" t="s">
        <v>339</v>
      </c>
      <c r="H65" s="23" t="s">
        <v>334</v>
      </c>
      <c r="I65" s="23"/>
      <c r="J65" s="23"/>
      <c r="K65" s="23"/>
      <c r="L65" s="23"/>
      <c r="M65" s="23"/>
      <c r="N65" s="23"/>
      <c r="O65" s="23"/>
      <c r="P65" s="30">
        <v>30</v>
      </c>
      <c r="Q65" s="30">
        <v>1600</v>
      </c>
      <c r="R65" s="12">
        <v>0.65</v>
      </c>
      <c r="S65" s="12">
        <v>0.65</v>
      </c>
      <c r="T65" s="30">
        <f>IF(G65="","",_xlfn.XLOOKUP(G65,Sheet6!$E:$E,Sheet6!$D:$D,"",0,1))</f>
        <v>5</v>
      </c>
      <c r="U65" s="30">
        <f>IF(H65="","",_xlfn.XLOOKUP(H65,Sheet6!$E:$E,Sheet6!$D:$D,"",0,1))</f>
        <v>26</v>
      </c>
      <c r="V65" s="30" t="str">
        <f>IF(I65="","",_xlfn.XLOOKUP(I65,Sheet6!$E:$E,Sheet6!$D:$D,"",0,1))</f>
        <v/>
      </c>
      <c r="W65" s="30" t="str">
        <f>IF(J65="","",_xlfn.XLOOKUP(J65,Sheet6!$E:$E,Sheet6!$D:$D,"",0,1))</f>
        <v/>
      </c>
      <c r="X65" s="30" t="str">
        <f>IF(K65="","",_xlfn.XLOOKUP(K65,Sheet6!$E:$E,Sheet6!$D:$D,"",0,1))</f>
        <v/>
      </c>
      <c r="Y65" s="30" t="str">
        <f>IF(L65="","",_xlfn.XLOOKUP(L65,Sheet6!$E:$E,Sheet6!$D:$D,"",0,1))</f>
        <v/>
      </c>
      <c r="Z65" s="30" t="str">
        <f>IF(M65="","",_xlfn.XLOOKUP(M65,Sheet6!$E:$E,Sheet6!$D:$D,"",0,1))</f>
        <v/>
      </c>
      <c r="AA65" s="30" t="str">
        <f>IF(N65="","",_xlfn.XLOOKUP(N65,Sheet6!$E:$E,Sheet6!$D:$D,"",0,1))</f>
        <v/>
      </c>
      <c r="AB65" s="12" t="str">
        <f t="shared" si="0"/>
        <v>5,26</v>
      </c>
      <c r="AC65" s="31" t="str">
        <f t="shared" si="1"/>
        <v/>
      </c>
      <c r="AD65" s="32"/>
    </row>
    <row r="66" ht="16.25" spans="1:30">
      <c r="A66" s="28">
        <v>150401</v>
      </c>
      <c r="B66" s="29" t="s">
        <v>344</v>
      </c>
      <c r="C66" s="12" t="s">
        <v>309</v>
      </c>
      <c r="D66" s="12"/>
      <c r="E66" s="12" t="s">
        <v>309</v>
      </c>
      <c r="F66" s="12"/>
      <c r="G66" s="23" t="s">
        <v>313</v>
      </c>
      <c r="H66" s="23"/>
      <c r="I66" s="23"/>
      <c r="J66" s="23"/>
      <c r="K66" s="23"/>
      <c r="L66" s="23"/>
      <c r="M66" s="23"/>
      <c r="N66" s="23"/>
      <c r="O66" s="23"/>
      <c r="P66" s="30">
        <v>200</v>
      </c>
      <c r="Q66" s="30"/>
      <c r="R66" s="12">
        <v>0.65</v>
      </c>
      <c r="S66" s="30"/>
      <c r="T66" s="30">
        <f>IF(G66="","",_xlfn.XLOOKUP(G66,Sheet6!$E:$E,Sheet6!$D:$D,"",0,1))</f>
        <v>8</v>
      </c>
      <c r="U66" s="30" t="str">
        <f>IF(H66="","",_xlfn.XLOOKUP(H66,Sheet6!$E:$E,Sheet6!$D:$D,"",0,1))</f>
        <v/>
      </c>
      <c r="V66" s="30" t="str">
        <f>IF(I66="","",_xlfn.XLOOKUP(I66,Sheet6!$E:$E,Sheet6!$D:$D,"",0,1))</f>
        <v/>
      </c>
      <c r="W66" s="30" t="str">
        <f>IF(J66="","",_xlfn.XLOOKUP(J66,Sheet6!$E:$E,Sheet6!$D:$D,"",0,1))</f>
        <v/>
      </c>
      <c r="X66" s="30" t="str">
        <f>IF(K66="","",_xlfn.XLOOKUP(K66,Sheet6!$E:$E,Sheet6!$D:$D,"",0,1))</f>
        <v/>
      </c>
      <c r="Y66" s="30" t="str">
        <f>IF(L66="","",_xlfn.XLOOKUP(L66,Sheet6!$E:$E,Sheet6!$D:$D,"",0,1))</f>
        <v/>
      </c>
      <c r="Z66" s="30" t="str">
        <f>IF(M66="","",_xlfn.XLOOKUP(M66,Sheet6!$E:$E,Sheet6!$D:$D,"",0,1))</f>
        <v/>
      </c>
      <c r="AA66" s="30" t="str">
        <f>IF(N66="","",_xlfn.XLOOKUP(N66,Sheet6!$E:$E,Sheet6!$D:$D,"",0,1))</f>
        <v/>
      </c>
      <c r="AB66" s="12" t="str">
        <f t="shared" ref="AB66:AB129" si="11">_xlfn.TEXTJOIN(",",TRUE,T66,U66,V66)</f>
        <v>8</v>
      </c>
      <c r="AC66" s="31" t="str">
        <f t="shared" ref="AC66:AC129" si="12">_xlfn.TEXTJOIN(",",TRUE,X66,Y66,Z66,AA66)</f>
        <v/>
      </c>
      <c r="AD66" s="32"/>
    </row>
    <row r="67" ht="16.25" hidden="1" spans="1:30">
      <c r="A67" s="13">
        <v>150402</v>
      </c>
      <c r="B67" s="22" t="s">
        <v>345</v>
      </c>
      <c r="C67" s="12" t="s">
        <v>310</v>
      </c>
      <c r="D67" s="12" t="s">
        <v>311</v>
      </c>
      <c r="E67" s="12" t="s">
        <v>310</v>
      </c>
      <c r="F67" s="12" t="s">
        <v>311</v>
      </c>
      <c r="G67" s="23" t="s">
        <v>315</v>
      </c>
      <c r="H67" s="23"/>
      <c r="I67" s="23"/>
      <c r="J67" s="23"/>
      <c r="K67" s="23"/>
      <c r="L67" s="23"/>
      <c r="M67" s="23"/>
      <c r="N67" s="23"/>
      <c r="O67" s="23"/>
      <c r="P67" s="30">
        <v>60</v>
      </c>
      <c r="Q67" s="30">
        <v>80</v>
      </c>
      <c r="R67" s="12">
        <v>0.65</v>
      </c>
      <c r="S67" s="12">
        <v>0.65</v>
      </c>
      <c r="T67" s="30">
        <f>IF(G67="","",_xlfn.XLOOKUP(G67,Sheet6!$E:$E,Sheet6!$D:$D,"",0,1))</f>
        <v>6</v>
      </c>
      <c r="U67" s="30" t="str">
        <f>IF(H67="","",_xlfn.XLOOKUP(H67,Sheet6!$E:$E,Sheet6!$D:$D,"",0,1))</f>
        <v/>
      </c>
      <c r="V67" s="30" t="str">
        <f>IF(I67="","",_xlfn.XLOOKUP(I67,Sheet6!$E:$E,Sheet6!$D:$D,"",0,1))</f>
        <v/>
      </c>
      <c r="W67" s="30" t="str">
        <f>IF(J67="","",_xlfn.XLOOKUP(J67,Sheet6!$E:$E,Sheet6!$D:$D,"",0,1))</f>
        <v/>
      </c>
      <c r="X67" s="30" t="str">
        <f>IF(K67="","",_xlfn.XLOOKUP(K67,Sheet6!$E:$E,Sheet6!$D:$D,"",0,1))</f>
        <v/>
      </c>
      <c r="Y67" s="30" t="str">
        <f>IF(L67="","",_xlfn.XLOOKUP(L67,Sheet6!$E:$E,Sheet6!$D:$D,"",0,1))</f>
        <v/>
      </c>
      <c r="Z67" s="30" t="str">
        <f>IF(M67="","",_xlfn.XLOOKUP(M67,Sheet6!$E:$E,Sheet6!$D:$D,"",0,1))</f>
        <v/>
      </c>
      <c r="AA67" s="30" t="str">
        <f>IF(N67="","",_xlfn.XLOOKUP(N67,Sheet6!$E:$E,Sheet6!$D:$D,"",0,1))</f>
        <v/>
      </c>
      <c r="AB67" s="12" t="str">
        <f t="shared" si="11"/>
        <v>6</v>
      </c>
      <c r="AC67" s="31" t="str">
        <f t="shared" si="12"/>
        <v/>
      </c>
      <c r="AD67" s="32"/>
    </row>
    <row r="68" ht="16.25" hidden="1" spans="1:30">
      <c r="A68" s="13">
        <v>150403</v>
      </c>
      <c r="B68" s="22" t="s">
        <v>346</v>
      </c>
      <c r="C68" s="12" t="s">
        <v>309</v>
      </c>
      <c r="D68" s="12" t="s">
        <v>310</v>
      </c>
      <c r="E68" s="12" t="s">
        <v>309</v>
      </c>
      <c r="F68" s="12" t="s">
        <v>310</v>
      </c>
      <c r="G68" s="23" t="s">
        <v>337</v>
      </c>
      <c r="H68" s="23"/>
      <c r="I68" s="23"/>
      <c r="J68" s="23"/>
      <c r="K68" s="23"/>
      <c r="L68" s="23"/>
      <c r="M68" s="23"/>
      <c r="N68" s="23"/>
      <c r="O68" s="23"/>
      <c r="P68" s="30">
        <v>100</v>
      </c>
      <c r="Q68" s="30">
        <v>30</v>
      </c>
      <c r="R68" s="12">
        <v>0.65</v>
      </c>
      <c r="S68" s="12">
        <v>0.65</v>
      </c>
      <c r="T68" s="30">
        <f>IF(G68="","",_xlfn.XLOOKUP(G68,Sheet6!$E:$E,Sheet6!$D:$D,"",0,1))</f>
        <v>11</v>
      </c>
      <c r="U68" s="30" t="str">
        <f>IF(H68="","",_xlfn.XLOOKUP(H68,Sheet6!$E:$E,Sheet6!$D:$D,"",0,1))</f>
        <v/>
      </c>
      <c r="V68" s="30" t="str">
        <f>IF(I68="","",_xlfn.XLOOKUP(I68,Sheet6!$E:$E,Sheet6!$D:$D,"",0,1))</f>
        <v/>
      </c>
      <c r="W68" s="30" t="str">
        <f>IF(J68="","",_xlfn.XLOOKUP(J68,Sheet6!$E:$E,Sheet6!$D:$D,"",0,1))</f>
        <v/>
      </c>
      <c r="X68" s="30" t="str">
        <f>IF(K68="","",_xlfn.XLOOKUP(K68,Sheet6!$E:$E,Sheet6!$D:$D,"",0,1))</f>
        <v/>
      </c>
      <c r="Y68" s="30" t="str">
        <f>IF(L68="","",_xlfn.XLOOKUP(L68,Sheet6!$E:$E,Sheet6!$D:$D,"",0,1))</f>
        <v/>
      </c>
      <c r="Z68" s="30" t="str">
        <f>IF(M68="","",_xlfn.XLOOKUP(M68,Sheet6!$E:$E,Sheet6!$D:$D,"",0,1))</f>
        <v/>
      </c>
      <c r="AA68" s="30" t="str">
        <f>IF(N68="","",_xlfn.XLOOKUP(N68,Sheet6!$E:$E,Sheet6!$D:$D,"",0,1))</f>
        <v/>
      </c>
      <c r="AB68" s="12" t="str">
        <f t="shared" si="11"/>
        <v>11</v>
      </c>
      <c r="AC68" s="31" t="str">
        <f t="shared" si="12"/>
        <v/>
      </c>
      <c r="AD68" s="32"/>
    </row>
    <row r="69" ht="16.25" hidden="1" spans="1:30">
      <c r="A69" s="13">
        <v>150404</v>
      </c>
      <c r="B69" s="22" t="s">
        <v>347</v>
      </c>
      <c r="C69" s="12" t="s">
        <v>310</v>
      </c>
      <c r="D69" s="12" t="s">
        <v>311</v>
      </c>
      <c r="E69" s="12" t="s">
        <v>310</v>
      </c>
      <c r="F69" s="12" t="s">
        <v>311</v>
      </c>
      <c r="G69" s="23" t="s">
        <v>339</v>
      </c>
      <c r="H69" s="23"/>
      <c r="I69" s="23"/>
      <c r="J69" s="23"/>
      <c r="K69" s="23"/>
      <c r="L69" s="23"/>
      <c r="M69" s="23"/>
      <c r="N69" s="23"/>
      <c r="O69" s="23"/>
      <c r="P69" s="30">
        <v>30</v>
      </c>
      <c r="Q69" s="30">
        <v>1600</v>
      </c>
      <c r="R69" s="12">
        <v>0.65</v>
      </c>
      <c r="S69" s="12">
        <v>0.65</v>
      </c>
      <c r="T69" s="30">
        <f>IF(G69="","",_xlfn.XLOOKUP(G69,Sheet6!$E:$E,Sheet6!$D:$D,"",0,1))</f>
        <v>5</v>
      </c>
      <c r="U69" s="30" t="str">
        <f>IF(H69="","",_xlfn.XLOOKUP(H69,Sheet6!$E:$E,Sheet6!$D:$D,"",0,1))</f>
        <v/>
      </c>
      <c r="V69" s="30" t="str">
        <f>IF(I69="","",_xlfn.XLOOKUP(I69,Sheet6!$E:$E,Sheet6!$D:$D,"",0,1))</f>
        <v/>
      </c>
      <c r="W69" s="30" t="str">
        <f>IF(J69="","",_xlfn.XLOOKUP(J69,Sheet6!$E:$E,Sheet6!$D:$D,"",0,1))</f>
        <v/>
      </c>
      <c r="X69" s="30" t="str">
        <f>IF(K69="","",_xlfn.XLOOKUP(K69,Sheet6!$E:$E,Sheet6!$D:$D,"",0,1))</f>
        <v/>
      </c>
      <c r="Y69" s="30" t="str">
        <f>IF(L69="","",_xlfn.XLOOKUP(L69,Sheet6!$E:$E,Sheet6!$D:$D,"",0,1))</f>
        <v/>
      </c>
      <c r="Z69" s="30" t="str">
        <f>IF(M69="","",_xlfn.XLOOKUP(M69,Sheet6!$E:$E,Sheet6!$D:$D,"",0,1))</f>
        <v/>
      </c>
      <c r="AA69" s="30" t="str">
        <f>IF(N69="","",_xlfn.XLOOKUP(N69,Sheet6!$E:$E,Sheet6!$D:$D,"",0,1))</f>
        <v/>
      </c>
      <c r="AB69" s="12" t="str">
        <f t="shared" si="11"/>
        <v>5</v>
      </c>
      <c r="AC69" s="31" t="str">
        <f t="shared" si="12"/>
        <v/>
      </c>
      <c r="AD69" s="32"/>
    </row>
    <row r="70" ht="16.25" hidden="1" spans="1:30">
      <c r="A70" s="15">
        <v>250401</v>
      </c>
      <c r="B70" s="24" t="s">
        <v>348</v>
      </c>
      <c r="C70" s="12" t="s">
        <v>309</v>
      </c>
      <c r="D70" s="12"/>
      <c r="E70" s="12" t="s">
        <v>309</v>
      </c>
      <c r="F70" s="12"/>
      <c r="G70" s="23" t="s">
        <v>313</v>
      </c>
      <c r="H70" s="12"/>
      <c r="I70" s="12"/>
      <c r="J70" s="12"/>
      <c r="K70" s="12"/>
      <c r="L70" s="12"/>
      <c r="M70" s="12"/>
      <c r="N70" s="12"/>
      <c r="O70" s="12"/>
      <c r="P70" s="30">
        <v>200</v>
      </c>
      <c r="Q70" s="30"/>
      <c r="R70" s="12">
        <v>0.65</v>
      </c>
      <c r="S70" s="30"/>
      <c r="T70" s="30">
        <f>IF(G70="","",_xlfn.XLOOKUP(G70,Sheet6!$E:$E,Sheet6!$D:$D,"",0,1))</f>
        <v>8</v>
      </c>
      <c r="U70" s="30" t="str">
        <f>IF(H70="","",_xlfn.XLOOKUP(H70,Sheet6!$E:$E,Sheet6!$D:$D,"",0,1))</f>
        <v/>
      </c>
      <c r="V70" s="30" t="str">
        <f>IF(I70="","",_xlfn.XLOOKUP(I70,Sheet6!$E:$E,Sheet6!$D:$D,"",0,1))</f>
        <v/>
      </c>
      <c r="W70" s="30" t="str">
        <f>IF(J70="","",_xlfn.XLOOKUP(J70,Sheet6!$E:$E,Sheet6!$D:$D,"",0,1))</f>
        <v/>
      </c>
      <c r="X70" s="30" t="str">
        <f>IF(K70="","",_xlfn.XLOOKUP(K70,Sheet6!$E:$E,Sheet6!$D:$D,"",0,1))</f>
        <v/>
      </c>
      <c r="Y70" s="30" t="str">
        <f>IF(L70="","",_xlfn.XLOOKUP(L70,Sheet6!$E:$E,Sheet6!$D:$D,"",0,1))</f>
        <v/>
      </c>
      <c r="Z70" s="30" t="str">
        <f>IF(M70="","",_xlfn.XLOOKUP(M70,Sheet6!$E:$E,Sheet6!$D:$D,"",0,1))</f>
        <v/>
      </c>
      <c r="AA70" s="30" t="str">
        <f>IF(N70="","",_xlfn.XLOOKUP(N70,Sheet6!$E:$E,Sheet6!$D:$D,"",0,1))</f>
        <v/>
      </c>
      <c r="AB70" s="12" t="str">
        <f t="shared" si="11"/>
        <v>8</v>
      </c>
      <c r="AC70" s="31" t="str">
        <f t="shared" si="12"/>
        <v/>
      </c>
      <c r="AD70" s="37"/>
    </row>
    <row r="71" ht="16.25" hidden="1" spans="1:30">
      <c r="A71" s="17">
        <v>250402</v>
      </c>
      <c r="B71" s="25" t="s">
        <v>349</v>
      </c>
      <c r="C71" s="12" t="s">
        <v>310</v>
      </c>
      <c r="D71" s="12" t="s">
        <v>311</v>
      </c>
      <c r="E71" s="12" t="s">
        <v>310</v>
      </c>
      <c r="F71" s="12" t="s">
        <v>311</v>
      </c>
      <c r="G71" s="23" t="s">
        <v>315</v>
      </c>
      <c r="H71" s="12"/>
      <c r="I71" s="12"/>
      <c r="J71" s="12"/>
      <c r="K71" s="12"/>
      <c r="L71" s="12"/>
      <c r="M71" s="12"/>
      <c r="N71" s="12"/>
      <c r="O71" s="12"/>
      <c r="P71" s="30">
        <v>60</v>
      </c>
      <c r="Q71" s="30">
        <v>80</v>
      </c>
      <c r="R71" s="12">
        <v>0.65</v>
      </c>
      <c r="S71" s="12">
        <v>0.65</v>
      </c>
      <c r="T71" s="30">
        <f>IF(G71="","",_xlfn.XLOOKUP(G71,Sheet6!$E:$E,Sheet6!$D:$D,"",0,1))</f>
        <v>6</v>
      </c>
      <c r="U71" s="30" t="str">
        <f>IF(H71="","",_xlfn.XLOOKUP(H71,Sheet6!$E:$E,Sheet6!$D:$D,"",0,1))</f>
        <v/>
      </c>
      <c r="V71" s="30" t="str">
        <f>IF(I71="","",_xlfn.XLOOKUP(I71,Sheet6!$E:$E,Sheet6!$D:$D,"",0,1))</f>
        <v/>
      </c>
      <c r="W71" s="30" t="str">
        <f>IF(J71="","",_xlfn.XLOOKUP(J71,Sheet6!$E:$E,Sheet6!$D:$D,"",0,1))</f>
        <v/>
      </c>
      <c r="X71" s="30" t="str">
        <f>IF(K71="","",_xlfn.XLOOKUP(K71,Sheet6!$E:$E,Sheet6!$D:$D,"",0,1))</f>
        <v/>
      </c>
      <c r="Y71" s="30" t="str">
        <f>IF(L71="","",_xlfn.XLOOKUP(L71,Sheet6!$E:$E,Sheet6!$D:$D,"",0,1))</f>
        <v/>
      </c>
      <c r="Z71" s="30" t="str">
        <f>IF(M71="","",_xlfn.XLOOKUP(M71,Sheet6!$E:$E,Sheet6!$D:$D,"",0,1))</f>
        <v/>
      </c>
      <c r="AA71" s="30" t="str">
        <f>IF(N71="","",_xlfn.XLOOKUP(N71,Sheet6!$E:$E,Sheet6!$D:$D,"",0,1))</f>
        <v/>
      </c>
      <c r="AB71" s="12" t="str">
        <f t="shared" si="11"/>
        <v>6</v>
      </c>
      <c r="AC71" s="31" t="str">
        <f t="shared" si="12"/>
        <v/>
      </c>
      <c r="AD71" s="37"/>
    </row>
    <row r="72" ht="16.25" hidden="1" spans="1:30">
      <c r="A72" s="17">
        <v>250403</v>
      </c>
      <c r="B72" s="25" t="s">
        <v>350</v>
      </c>
      <c r="C72" s="12" t="s">
        <v>309</v>
      </c>
      <c r="D72" s="12" t="s">
        <v>310</v>
      </c>
      <c r="E72" s="12" t="s">
        <v>309</v>
      </c>
      <c r="F72" s="12" t="s">
        <v>310</v>
      </c>
      <c r="G72" s="23" t="s">
        <v>337</v>
      </c>
      <c r="H72" s="12"/>
      <c r="I72" s="12"/>
      <c r="J72" s="12"/>
      <c r="K72" s="12"/>
      <c r="L72" s="12"/>
      <c r="M72" s="12"/>
      <c r="N72" s="12"/>
      <c r="O72" s="12"/>
      <c r="P72" s="30">
        <v>100</v>
      </c>
      <c r="Q72" s="30">
        <v>30</v>
      </c>
      <c r="R72" s="12">
        <v>0.65</v>
      </c>
      <c r="S72" s="12">
        <v>0.65</v>
      </c>
      <c r="T72" s="30">
        <f>IF(G72="","",_xlfn.XLOOKUP(G72,Sheet6!$E:$E,Sheet6!$D:$D,"",0,1))</f>
        <v>11</v>
      </c>
      <c r="U72" s="30" t="str">
        <f>IF(H72="","",_xlfn.XLOOKUP(H72,Sheet6!$E:$E,Sheet6!$D:$D,"",0,1))</f>
        <v/>
      </c>
      <c r="V72" s="30" t="str">
        <f>IF(I72="","",_xlfn.XLOOKUP(I72,Sheet6!$E:$E,Sheet6!$D:$D,"",0,1))</f>
        <v/>
      </c>
      <c r="W72" s="30" t="str">
        <f>IF(J72="","",_xlfn.XLOOKUP(J72,Sheet6!$E:$E,Sheet6!$D:$D,"",0,1))</f>
        <v/>
      </c>
      <c r="X72" s="30" t="str">
        <f>IF(K72="","",_xlfn.XLOOKUP(K72,Sheet6!$E:$E,Sheet6!$D:$D,"",0,1))</f>
        <v/>
      </c>
      <c r="Y72" s="30" t="str">
        <f>IF(L72="","",_xlfn.XLOOKUP(L72,Sheet6!$E:$E,Sheet6!$D:$D,"",0,1))</f>
        <v/>
      </c>
      <c r="Z72" s="30" t="str">
        <f>IF(M72="","",_xlfn.XLOOKUP(M72,Sheet6!$E:$E,Sheet6!$D:$D,"",0,1))</f>
        <v/>
      </c>
      <c r="AA72" s="30" t="str">
        <f>IF(N72="","",_xlfn.XLOOKUP(N72,Sheet6!$E:$E,Sheet6!$D:$D,"",0,1))</f>
        <v/>
      </c>
      <c r="AB72" s="12" t="str">
        <f t="shared" si="11"/>
        <v>11</v>
      </c>
      <c r="AC72" s="31" t="str">
        <f t="shared" si="12"/>
        <v/>
      </c>
      <c r="AD72" s="37"/>
    </row>
    <row r="73" ht="16.25" hidden="1" spans="1:30">
      <c r="A73" s="34">
        <v>250404</v>
      </c>
      <c r="B73" s="35" t="s">
        <v>351</v>
      </c>
      <c r="C73" s="12" t="s">
        <v>310</v>
      </c>
      <c r="D73" s="12" t="s">
        <v>311</v>
      </c>
      <c r="E73" s="12" t="s">
        <v>310</v>
      </c>
      <c r="F73" s="12" t="s">
        <v>311</v>
      </c>
      <c r="G73" s="23" t="s">
        <v>339</v>
      </c>
      <c r="H73" s="12"/>
      <c r="I73" s="12"/>
      <c r="J73" s="12"/>
      <c r="K73" s="12"/>
      <c r="L73" s="12"/>
      <c r="M73" s="12"/>
      <c r="N73" s="12"/>
      <c r="O73" s="12"/>
      <c r="P73" s="30">
        <v>30</v>
      </c>
      <c r="Q73" s="30">
        <v>1600</v>
      </c>
      <c r="R73" s="12">
        <v>0.65</v>
      </c>
      <c r="S73" s="12">
        <v>0.65</v>
      </c>
      <c r="T73" s="30">
        <f>IF(G73="","",_xlfn.XLOOKUP(G73,Sheet6!$E:$E,Sheet6!$D:$D,"",0,1))</f>
        <v>5</v>
      </c>
      <c r="U73" s="30" t="str">
        <f>IF(H73="","",_xlfn.XLOOKUP(H73,Sheet6!$E:$E,Sheet6!$D:$D,"",0,1))</f>
        <v/>
      </c>
      <c r="V73" s="30" t="str">
        <f>IF(I73="","",_xlfn.XLOOKUP(I73,Sheet6!$E:$E,Sheet6!$D:$D,"",0,1))</f>
        <v/>
      </c>
      <c r="W73" s="30" t="str">
        <f>IF(J73="","",_xlfn.XLOOKUP(J73,Sheet6!$E:$E,Sheet6!$D:$D,"",0,1))</f>
        <v/>
      </c>
      <c r="X73" s="30" t="str">
        <f>IF(K73="","",_xlfn.XLOOKUP(K73,Sheet6!$E:$E,Sheet6!$D:$D,"",0,1))</f>
        <v/>
      </c>
      <c r="Y73" s="30" t="str">
        <f>IF(L73="","",_xlfn.XLOOKUP(L73,Sheet6!$E:$E,Sheet6!$D:$D,"",0,1))</f>
        <v/>
      </c>
      <c r="Z73" s="30" t="str">
        <f>IF(M73="","",_xlfn.XLOOKUP(M73,Sheet6!$E:$E,Sheet6!$D:$D,"",0,1))</f>
        <v/>
      </c>
      <c r="AA73" s="30" t="str">
        <f>IF(N73="","",_xlfn.XLOOKUP(N73,Sheet6!$E:$E,Sheet6!$D:$D,"",0,1))</f>
        <v/>
      </c>
      <c r="AB73" s="12" t="str">
        <f t="shared" si="11"/>
        <v>5</v>
      </c>
      <c r="AC73" s="31" t="str">
        <f t="shared" si="12"/>
        <v/>
      </c>
      <c r="AD73" s="37"/>
    </row>
    <row r="74" ht="16.25" spans="1:30">
      <c r="A74" s="28">
        <v>150501</v>
      </c>
      <c r="B74" s="29" t="s">
        <v>352</v>
      </c>
      <c r="C74" s="12" t="s">
        <v>309</v>
      </c>
      <c r="D74" s="12"/>
      <c r="E74" s="12" t="s">
        <v>309</v>
      </c>
      <c r="F74" s="12"/>
      <c r="G74" s="12" t="s">
        <v>313</v>
      </c>
      <c r="H74" s="12" t="s">
        <v>334</v>
      </c>
      <c r="I74" s="12"/>
      <c r="J74" s="12"/>
      <c r="K74" s="12"/>
      <c r="L74" s="12"/>
      <c r="M74" s="12"/>
      <c r="N74" s="12"/>
      <c r="O74" s="12"/>
      <c r="P74" s="30">
        <v>200</v>
      </c>
      <c r="Q74" s="30"/>
      <c r="R74" s="12">
        <v>0.65</v>
      </c>
      <c r="S74" s="30"/>
      <c r="T74" s="30">
        <f>IF(G74="","",_xlfn.XLOOKUP(G74,Sheet6!$E:$E,Sheet6!$D:$D,"",0,1))</f>
        <v>8</v>
      </c>
      <c r="U74" s="30">
        <f>IF(H74="","",_xlfn.XLOOKUP(H74,Sheet6!$E:$E,Sheet6!$D:$D,"",0,1))</f>
        <v>26</v>
      </c>
      <c r="V74" s="30" t="str">
        <f>IF(I74="","",_xlfn.XLOOKUP(I74,Sheet6!$E:$E,Sheet6!$D:$D,"",0,1))</f>
        <v/>
      </c>
      <c r="W74" s="30" t="str">
        <f>IF(J74="","",_xlfn.XLOOKUP(J74,Sheet6!$E:$E,Sheet6!$D:$D,"",0,1))</f>
        <v/>
      </c>
      <c r="X74" s="30" t="str">
        <f>IF(K74="","",_xlfn.XLOOKUP(K74,Sheet6!$E:$E,Sheet6!$D:$D,"",0,1))</f>
        <v/>
      </c>
      <c r="Y74" s="30" t="str">
        <f>IF(L74="","",_xlfn.XLOOKUP(L74,Sheet6!$E:$E,Sheet6!$D:$D,"",0,1))</f>
        <v/>
      </c>
      <c r="Z74" s="30" t="str">
        <f>IF(M74="","",_xlfn.XLOOKUP(M74,Sheet6!$E:$E,Sheet6!$D:$D,"",0,1))</f>
        <v/>
      </c>
      <c r="AA74" s="30" t="str">
        <f>IF(N74="","",_xlfn.XLOOKUP(N74,Sheet6!$E:$E,Sheet6!$D:$D,"",0,1))</f>
        <v/>
      </c>
      <c r="AB74" s="12" t="str">
        <f t="shared" si="11"/>
        <v>8,26</v>
      </c>
      <c r="AC74" s="31" t="str">
        <f t="shared" si="12"/>
        <v/>
      </c>
      <c r="AD74" s="37"/>
    </row>
    <row r="75" ht="16.25" hidden="1" spans="1:30">
      <c r="A75" s="13">
        <v>150502</v>
      </c>
      <c r="B75" s="22" t="s">
        <v>353</v>
      </c>
      <c r="C75" s="12" t="s">
        <v>310</v>
      </c>
      <c r="D75" s="12" t="s">
        <v>311</v>
      </c>
      <c r="E75" s="12" t="s">
        <v>310</v>
      </c>
      <c r="F75" s="12" t="s">
        <v>311</v>
      </c>
      <c r="G75" s="12" t="s">
        <v>337</v>
      </c>
      <c r="H75" s="12"/>
      <c r="I75" s="12"/>
      <c r="J75" s="12"/>
      <c r="K75" s="12"/>
      <c r="L75" s="12"/>
      <c r="M75" s="12"/>
      <c r="N75" s="12"/>
      <c r="O75" s="12"/>
      <c r="P75" s="30">
        <v>60</v>
      </c>
      <c r="Q75" s="30">
        <v>80</v>
      </c>
      <c r="R75" s="12">
        <v>0.65</v>
      </c>
      <c r="S75" s="12">
        <v>0.65</v>
      </c>
      <c r="T75" s="30">
        <f>IF(G75="","",_xlfn.XLOOKUP(G75,Sheet6!$E:$E,Sheet6!$D:$D,"",0,1))</f>
        <v>11</v>
      </c>
      <c r="U75" s="30" t="str">
        <f>IF(H75="","",_xlfn.XLOOKUP(H75,Sheet6!$E:$E,Sheet6!$D:$D,"",0,1))</f>
        <v/>
      </c>
      <c r="V75" s="30" t="str">
        <f>IF(I75="","",_xlfn.XLOOKUP(I75,Sheet6!$E:$E,Sheet6!$D:$D,"",0,1))</f>
        <v/>
      </c>
      <c r="W75" s="30" t="str">
        <f>IF(J75="","",_xlfn.XLOOKUP(J75,Sheet6!$E:$E,Sheet6!$D:$D,"",0,1))</f>
        <v/>
      </c>
      <c r="X75" s="30" t="str">
        <f>IF(K75="","",_xlfn.XLOOKUP(K75,Sheet6!$E:$E,Sheet6!$D:$D,"",0,1))</f>
        <v/>
      </c>
      <c r="Y75" s="30" t="str">
        <f>IF(L75="","",_xlfn.XLOOKUP(L75,Sheet6!$E:$E,Sheet6!$D:$D,"",0,1))</f>
        <v/>
      </c>
      <c r="Z75" s="30" t="str">
        <f>IF(M75="","",_xlfn.XLOOKUP(M75,Sheet6!$E:$E,Sheet6!$D:$D,"",0,1))</f>
        <v/>
      </c>
      <c r="AA75" s="30" t="str">
        <f>IF(N75="","",_xlfn.XLOOKUP(N75,Sheet6!$E:$E,Sheet6!$D:$D,"",0,1))</f>
        <v/>
      </c>
      <c r="AB75" s="12" t="str">
        <f t="shared" si="11"/>
        <v>11</v>
      </c>
      <c r="AC75" s="31" t="str">
        <f t="shared" si="12"/>
        <v/>
      </c>
      <c r="AD75" s="37"/>
    </row>
    <row r="76" ht="16.25" hidden="1" spans="1:30">
      <c r="A76" s="13">
        <v>150503</v>
      </c>
      <c r="B76" s="22" t="s">
        <v>354</v>
      </c>
      <c r="C76" s="12" t="s">
        <v>309</v>
      </c>
      <c r="D76" s="12" t="s">
        <v>310</v>
      </c>
      <c r="E76" s="12" t="s">
        <v>309</v>
      </c>
      <c r="F76" s="12" t="s">
        <v>310</v>
      </c>
      <c r="G76" s="12" t="s">
        <v>339</v>
      </c>
      <c r="H76" s="12" t="s">
        <v>355</v>
      </c>
      <c r="I76" s="12"/>
      <c r="J76" s="12"/>
      <c r="K76" s="12"/>
      <c r="L76" s="12"/>
      <c r="M76" s="12"/>
      <c r="N76" s="12"/>
      <c r="O76" s="12"/>
      <c r="P76" s="30">
        <v>100</v>
      </c>
      <c r="Q76" s="30">
        <v>30</v>
      </c>
      <c r="R76" s="12">
        <v>0.65</v>
      </c>
      <c r="S76" s="12">
        <v>0.65</v>
      </c>
      <c r="T76" s="30">
        <f>IF(G76="","",_xlfn.XLOOKUP(G76,Sheet6!$E:$E,Sheet6!$D:$D,"",0,1))</f>
        <v>5</v>
      </c>
      <c r="U76" s="30">
        <f>IF(H76="","",_xlfn.XLOOKUP(H76,Sheet6!$E:$E,Sheet6!$D:$D,"",0,1))</f>
        <v>9</v>
      </c>
      <c r="V76" s="30" t="str">
        <f>IF(I76="","",_xlfn.XLOOKUP(I76,Sheet6!$E:$E,Sheet6!$D:$D,"",0,1))</f>
        <v/>
      </c>
      <c r="W76" s="30" t="str">
        <f>IF(J76="","",_xlfn.XLOOKUP(J76,Sheet6!$E:$E,Sheet6!$D:$D,"",0,1))</f>
        <v/>
      </c>
      <c r="X76" s="30" t="str">
        <f>IF(K76="","",_xlfn.XLOOKUP(K76,Sheet6!$E:$E,Sheet6!$D:$D,"",0,1))</f>
        <v/>
      </c>
      <c r="Y76" s="30" t="str">
        <f>IF(L76="","",_xlfn.XLOOKUP(L76,Sheet6!$E:$E,Sheet6!$D:$D,"",0,1))</f>
        <v/>
      </c>
      <c r="Z76" s="30" t="str">
        <f>IF(M76="","",_xlfn.XLOOKUP(M76,Sheet6!$E:$E,Sheet6!$D:$D,"",0,1))</f>
        <v/>
      </c>
      <c r="AA76" s="30" t="str">
        <f>IF(N76="","",_xlfn.XLOOKUP(N76,Sheet6!$E:$E,Sheet6!$D:$D,"",0,1))</f>
        <v/>
      </c>
      <c r="AB76" s="12" t="str">
        <f t="shared" si="11"/>
        <v>5,9</v>
      </c>
      <c r="AC76" s="31" t="str">
        <f t="shared" si="12"/>
        <v/>
      </c>
      <c r="AD76" s="37"/>
    </row>
    <row r="77" ht="16.25" hidden="1" spans="1:30">
      <c r="A77" s="13">
        <v>150504</v>
      </c>
      <c r="B77" s="22" t="s">
        <v>356</v>
      </c>
      <c r="C77" s="12" t="s">
        <v>310</v>
      </c>
      <c r="D77" s="12" t="s">
        <v>311</v>
      </c>
      <c r="E77" s="12" t="s">
        <v>310</v>
      </c>
      <c r="F77" s="12" t="s">
        <v>311</v>
      </c>
      <c r="G77" s="12" t="s">
        <v>317</v>
      </c>
      <c r="H77" s="12"/>
      <c r="I77" s="12"/>
      <c r="J77" s="12"/>
      <c r="K77" s="12"/>
      <c r="L77" s="12"/>
      <c r="M77" s="12"/>
      <c r="N77" s="12"/>
      <c r="O77" s="12"/>
      <c r="P77" s="30">
        <v>30</v>
      </c>
      <c r="Q77" s="30">
        <v>1600</v>
      </c>
      <c r="R77" s="12">
        <v>0.65</v>
      </c>
      <c r="S77" s="12">
        <v>0.65</v>
      </c>
      <c r="T77" s="30">
        <f>IF(G77="","",_xlfn.XLOOKUP(G77,Sheet6!$E:$E,Sheet6!$D:$D,"",0,1))</f>
        <v>7</v>
      </c>
      <c r="U77" s="30" t="str">
        <f>IF(H77="","",_xlfn.XLOOKUP(H77,Sheet6!$E:$E,Sheet6!$D:$D,"",0,1))</f>
        <v/>
      </c>
      <c r="V77" s="30" t="str">
        <f>IF(I77="","",_xlfn.XLOOKUP(I77,Sheet6!$E:$E,Sheet6!$D:$D,"",0,1))</f>
        <v/>
      </c>
      <c r="W77" s="30" t="str">
        <f>IF(J77="","",_xlfn.XLOOKUP(J77,Sheet6!$E:$E,Sheet6!$D:$D,"",0,1))</f>
        <v/>
      </c>
      <c r="X77" s="30" t="str">
        <f>IF(K77="","",_xlfn.XLOOKUP(K77,Sheet6!$E:$E,Sheet6!$D:$D,"",0,1))</f>
        <v/>
      </c>
      <c r="Y77" s="30" t="str">
        <f>IF(L77="","",_xlfn.XLOOKUP(L77,Sheet6!$E:$E,Sheet6!$D:$D,"",0,1))</f>
        <v/>
      </c>
      <c r="Z77" s="30" t="str">
        <f>IF(M77="","",_xlfn.XLOOKUP(M77,Sheet6!$E:$E,Sheet6!$D:$D,"",0,1))</f>
        <v/>
      </c>
      <c r="AA77" s="30" t="str">
        <f>IF(N77="","",_xlfn.XLOOKUP(N77,Sheet6!$E:$E,Sheet6!$D:$D,"",0,1))</f>
        <v/>
      </c>
      <c r="AB77" s="12" t="str">
        <f t="shared" si="11"/>
        <v>7</v>
      </c>
      <c r="AC77" s="31" t="str">
        <f t="shared" si="12"/>
        <v/>
      </c>
      <c r="AD77" s="37"/>
    </row>
    <row r="78" ht="16.25" hidden="1" spans="1:30">
      <c r="A78" s="15">
        <v>250501</v>
      </c>
      <c r="B78" s="24" t="s">
        <v>357</v>
      </c>
      <c r="C78" s="12" t="s">
        <v>309</v>
      </c>
      <c r="D78" s="12"/>
      <c r="E78" s="12" t="s">
        <v>309</v>
      </c>
      <c r="F78" s="12"/>
      <c r="G78" s="12" t="s">
        <v>313</v>
      </c>
      <c r="H78" s="12" t="s">
        <v>334</v>
      </c>
      <c r="I78" s="12"/>
      <c r="J78" s="12"/>
      <c r="K78" s="12"/>
      <c r="L78" s="12"/>
      <c r="M78" s="12"/>
      <c r="N78" s="12"/>
      <c r="O78" s="12"/>
      <c r="P78" s="30">
        <v>200</v>
      </c>
      <c r="Q78" s="30"/>
      <c r="R78" s="12">
        <v>0.65</v>
      </c>
      <c r="S78" s="30"/>
      <c r="T78" s="30">
        <f>IF(G78="","",_xlfn.XLOOKUP(G78,Sheet6!$E:$E,Sheet6!$D:$D,"",0,1))</f>
        <v>8</v>
      </c>
      <c r="U78" s="30">
        <f>IF(H78="","",_xlfn.XLOOKUP(H78,Sheet6!$E:$E,Sheet6!$D:$D,"",0,1))</f>
        <v>26</v>
      </c>
      <c r="V78" s="30" t="str">
        <f>IF(I78="","",_xlfn.XLOOKUP(I78,Sheet6!$E:$E,Sheet6!$D:$D,"",0,1))</f>
        <v/>
      </c>
      <c r="W78" s="30" t="str">
        <f>IF(J78="","",_xlfn.XLOOKUP(J78,Sheet6!$E:$E,Sheet6!$D:$D,"",0,1))</f>
        <v/>
      </c>
      <c r="X78" s="30" t="str">
        <f>IF(K78="","",_xlfn.XLOOKUP(K78,Sheet6!$E:$E,Sheet6!$D:$D,"",0,1))</f>
        <v/>
      </c>
      <c r="Y78" s="30" t="str">
        <f>IF(L78="","",_xlfn.XLOOKUP(L78,Sheet6!$E:$E,Sheet6!$D:$D,"",0,1))</f>
        <v/>
      </c>
      <c r="Z78" s="30" t="str">
        <f>IF(M78="","",_xlfn.XLOOKUP(M78,Sheet6!$E:$E,Sheet6!$D:$D,"",0,1))</f>
        <v/>
      </c>
      <c r="AA78" s="30" t="str">
        <f>IF(N78="","",_xlfn.XLOOKUP(N78,Sheet6!$E:$E,Sheet6!$D:$D,"",0,1))</f>
        <v/>
      </c>
      <c r="AB78" s="12" t="str">
        <f t="shared" si="11"/>
        <v>8,26</v>
      </c>
      <c r="AC78" s="31" t="str">
        <f t="shared" si="12"/>
        <v/>
      </c>
      <c r="AD78" s="37"/>
    </row>
    <row r="79" ht="16.25" hidden="1" spans="1:30">
      <c r="A79" s="17">
        <v>250502</v>
      </c>
      <c r="B79" s="25" t="s">
        <v>358</v>
      </c>
      <c r="C79" s="12" t="s">
        <v>310</v>
      </c>
      <c r="D79" s="12" t="s">
        <v>311</v>
      </c>
      <c r="E79" s="12" t="s">
        <v>310</v>
      </c>
      <c r="F79" s="12" t="s">
        <v>311</v>
      </c>
      <c r="G79" s="12" t="s">
        <v>337</v>
      </c>
      <c r="H79" s="12"/>
      <c r="I79" s="21"/>
      <c r="J79" s="21"/>
      <c r="K79" s="21"/>
      <c r="L79" s="21"/>
      <c r="M79" s="21"/>
      <c r="N79" s="21"/>
      <c r="O79" s="21"/>
      <c r="P79" s="30">
        <v>60</v>
      </c>
      <c r="Q79" s="30">
        <v>80</v>
      </c>
      <c r="R79" s="12">
        <v>0.65</v>
      </c>
      <c r="S79" s="30">
        <v>1213</v>
      </c>
      <c r="T79" s="30">
        <f>IF(G79="","",_xlfn.XLOOKUP(G79,Sheet6!$E:$E,Sheet6!$D:$D,"",0,1))</f>
        <v>11</v>
      </c>
      <c r="U79" s="30" t="str">
        <f>IF(H79="","",_xlfn.XLOOKUP(H79,Sheet6!$E:$E,Sheet6!$D:$D,"",0,1))</f>
        <v/>
      </c>
      <c r="V79" s="30" t="str">
        <f>IF(I79="","",_xlfn.XLOOKUP(I79,Sheet6!$E:$E,Sheet6!$D:$D,"",0,1))</f>
        <v/>
      </c>
      <c r="W79" s="30" t="str">
        <f>IF(J79="","",_xlfn.XLOOKUP(J79,Sheet6!$E:$E,Sheet6!$D:$D,"",0,1))</f>
        <v/>
      </c>
      <c r="X79" s="30" t="str">
        <f>IF(K79="","",_xlfn.XLOOKUP(K79,Sheet6!$E:$E,Sheet6!$D:$D,"",0,1))</f>
        <v/>
      </c>
      <c r="Y79" s="30" t="str">
        <f>IF(L79="","",_xlfn.XLOOKUP(L79,Sheet6!$E:$E,Sheet6!$D:$D,"",0,1))</f>
        <v/>
      </c>
      <c r="Z79" s="30" t="str">
        <f>IF(M79="","",_xlfn.XLOOKUP(M79,Sheet6!$E:$E,Sheet6!$D:$D,"",0,1))</f>
        <v/>
      </c>
      <c r="AA79" s="30" t="str">
        <f>IF(N79="","",_xlfn.XLOOKUP(N79,Sheet6!$E:$E,Sheet6!$D:$D,"",0,1))</f>
        <v/>
      </c>
      <c r="AB79" s="12" t="str">
        <f t="shared" si="11"/>
        <v>11</v>
      </c>
      <c r="AC79" s="31" t="str">
        <f t="shared" si="12"/>
        <v/>
      </c>
      <c r="AD79" s="37"/>
    </row>
    <row r="80" ht="16.25" hidden="1" spans="1:30">
      <c r="A80" s="17">
        <v>250503</v>
      </c>
      <c r="B80" s="25" t="s">
        <v>359</v>
      </c>
      <c r="C80" s="12" t="s">
        <v>309</v>
      </c>
      <c r="D80" s="12" t="s">
        <v>310</v>
      </c>
      <c r="E80" s="12" t="s">
        <v>309</v>
      </c>
      <c r="F80" s="12" t="s">
        <v>310</v>
      </c>
      <c r="G80" s="12" t="s">
        <v>339</v>
      </c>
      <c r="H80" s="12" t="s">
        <v>355</v>
      </c>
      <c r="I80" s="21"/>
      <c r="J80" s="21"/>
      <c r="K80" s="21"/>
      <c r="L80" s="21"/>
      <c r="M80" s="21"/>
      <c r="N80" s="21"/>
      <c r="O80" s="21"/>
      <c r="P80" s="30">
        <v>100</v>
      </c>
      <c r="Q80" s="30">
        <v>30</v>
      </c>
      <c r="R80" s="12">
        <v>0.65</v>
      </c>
      <c r="S80" s="30">
        <v>45</v>
      </c>
      <c r="T80" s="30">
        <f>IF(G80="","",_xlfn.XLOOKUP(G80,Sheet6!$E:$E,Sheet6!$D:$D,"",0,1))</f>
        <v>5</v>
      </c>
      <c r="U80" s="30">
        <f>IF(H80="","",_xlfn.XLOOKUP(H80,Sheet6!$E:$E,Sheet6!$D:$D,"",0,1))</f>
        <v>9</v>
      </c>
      <c r="V80" s="30" t="str">
        <f>IF(I80="","",_xlfn.XLOOKUP(I80,Sheet6!$E:$E,Sheet6!$D:$D,"",0,1))</f>
        <v/>
      </c>
      <c r="W80" s="30" t="str">
        <f>IF(J80="","",_xlfn.XLOOKUP(J80,Sheet6!$E:$E,Sheet6!$D:$D,"",0,1))</f>
        <v/>
      </c>
      <c r="X80" s="30" t="str">
        <f>IF(K80="","",_xlfn.XLOOKUP(K80,Sheet6!$E:$E,Sheet6!$D:$D,"",0,1))</f>
        <v/>
      </c>
      <c r="Y80" s="30" t="str">
        <f>IF(L80="","",_xlfn.XLOOKUP(L80,Sheet6!$E:$E,Sheet6!$D:$D,"",0,1))</f>
        <v/>
      </c>
      <c r="Z80" s="30" t="str">
        <f>IF(M80="","",_xlfn.XLOOKUP(M80,Sheet6!$E:$E,Sheet6!$D:$D,"",0,1))</f>
        <v/>
      </c>
      <c r="AA80" s="30" t="str">
        <f>IF(N80="","",_xlfn.XLOOKUP(N80,Sheet6!$E:$E,Sheet6!$D:$D,"",0,1))</f>
        <v/>
      </c>
      <c r="AB80" s="12" t="str">
        <f t="shared" si="11"/>
        <v>5,9</v>
      </c>
      <c r="AC80" s="31" t="str">
        <f t="shared" si="12"/>
        <v/>
      </c>
      <c r="AD80" s="37"/>
    </row>
    <row r="81" ht="16.25" hidden="1" spans="1:30">
      <c r="A81" s="34">
        <v>250504</v>
      </c>
      <c r="B81" s="35" t="s">
        <v>360</v>
      </c>
      <c r="C81" s="12" t="s">
        <v>310</v>
      </c>
      <c r="D81" s="12" t="s">
        <v>311</v>
      </c>
      <c r="E81" s="12" t="s">
        <v>310</v>
      </c>
      <c r="F81" s="12" t="s">
        <v>311</v>
      </c>
      <c r="G81" s="12" t="s">
        <v>317</v>
      </c>
      <c r="H81" s="12"/>
      <c r="I81" s="21"/>
      <c r="J81" s="21"/>
      <c r="K81" s="21"/>
      <c r="L81" s="21"/>
      <c r="M81" s="21"/>
      <c r="N81" s="21"/>
      <c r="O81" s="21"/>
      <c r="P81" s="30">
        <v>30</v>
      </c>
      <c r="Q81" s="30">
        <v>1600</v>
      </c>
      <c r="R81" s="12">
        <v>0.65</v>
      </c>
      <c r="S81" s="30">
        <v>2426</v>
      </c>
      <c r="T81" s="30">
        <f>IF(G81="","",_xlfn.XLOOKUP(G81,Sheet6!$E:$E,Sheet6!$D:$D,"",0,1))</f>
        <v>7</v>
      </c>
      <c r="U81" s="30" t="str">
        <f>IF(H81="","",_xlfn.XLOOKUP(H81,Sheet6!$E:$E,Sheet6!$D:$D,"",0,1))</f>
        <v/>
      </c>
      <c r="V81" s="30" t="str">
        <f>IF(I81="","",_xlfn.XLOOKUP(I81,Sheet6!$E:$E,Sheet6!$D:$D,"",0,1))</f>
        <v/>
      </c>
      <c r="W81" s="30" t="str">
        <f>IF(J81="","",_xlfn.XLOOKUP(J81,Sheet6!$E:$E,Sheet6!$D:$D,"",0,1))</f>
        <v/>
      </c>
      <c r="X81" s="30" t="str">
        <f>IF(K81="","",_xlfn.XLOOKUP(K81,Sheet6!$E:$E,Sheet6!$D:$D,"",0,1))</f>
        <v/>
      </c>
      <c r="Y81" s="30" t="str">
        <f>IF(L81="","",_xlfn.XLOOKUP(L81,Sheet6!$E:$E,Sheet6!$D:$D,"",0,1))</f>
        <v/>
      </c>
      <c r="Z81" s="30" t="str">
        <f>IF(M81="","",_xlfn.XLOOKUP(M81,Sheet6!$E:$E,Sheet6!$D:$D,"",0,1))</f>
        <v/>
      </c>
      <c r="AA81" s="30" t="str">
        <f>IF(N81="","",_xlfn.XLOOKUP(N81,Sheet6!$E:$E,Sheet6!$D:$D,"",0,1))</f>
        <v/>
      </c>
      <c r="AB81" s="12" t="str">
        <f t="shared" si="11"/>
        <v>7</v>
      </c>
      <c r="AC81" s="31" t="str">
        <f t="shared" si="12"/>
        <v/>
      </c>
      <c r="AD81" s="37"/>
    </row>
    <row r="82" ht="16.25" spans="1:30">
      <c r="A82" s="28">
        <v>150601</v>
      </c>
      <c r="B82" s="29" t="s">
        <v>361</v>
      </c>
      <c r="C82" s="12" t="s">
        <v>309</v>
      </c>
      <c r="D82" s="12"/>
      <c r="E82" s="12" t="s">
        <v>309</v>
      </c>
      <c r="F82" s="12"/>
      <c r="G82" s="21" t="s">
        <v>313</v>
      </c>
      <c r="H82" s="21" t="s">
        <v>355</v>
      </c>
      <c r="I82" s="21"/>
      <c r="J82" s="21"/>
      <c r="K82" s="21"/>
      <c r="L82" s="21"/>
      <c r="M82" s="21"/>
      <c r="N82" s="21"/>
      <c r="O82" s="21"/>
      <c r="P82" s="30">
        <v>200</v>
      </c>
      <c r="Q82" s="30"/>
      <c r="R82" s="12">
        <v>0.65</v>
      </c>
      <c r="S82" s="30"/>
      <c r="T82" s="30">
        <f>IF(G82="","",_xlfn.XLOOKUP(G82,Sheet6!$E:$E,Sheet6!$D:$D,"",0,1))</f>
        <v>8</v>
      </c>
      <c r="U82" s="30">
        <f>IF(H82="","",_xlfn.XLOOKUP(H82,Sheet6!$E:$E,Sheet6!$D:$D,"",0,1))</f>
        <v>9</v>
      </c>
      <c r="V82" s="30" t="str">
        <f>IF(I82="","",_xlfn.XLOOKUP(I82,Sheet6!$E:$E,Sheet6!$D:$D,"",0,1))</f>
        <v/>
      </c>
      <c r="W82" s="30" t="str">
        <f>IF(J82="","",_xlfn.XLOOKUP(J82,Sheet6!$E:$E,Sheet6!$D:$D,"",0,1))</f>
        <v/>
      </c>
      <c r="X82" s="30" t="str">
        <f>IF(K82="","",_xlfn.XLOOKUP(K82,Sheet6!$E:$E,Sheet6!$D:$D,"",0,1))</f>
        <v/>
      </c>
      <c r="Y82" s="30" t="str">
        <f>IF(L82="","",_xlfn.XLOOKUP(L82,Sheet6!$E:$E,Sheet6!$D:$D,"",0,1))</f>
        <v/>
      </c>
      <c r="Z82" s="30" t="str">
        <f>IF(M82="","",_xlfn.XLOOKUP(M82,Sheet6!$E:$E,Sheet6!$D:$D,"",0,1))</f>
        <v/>
      </c>
      <c r="AA82" s="30" t="str">
        <f>IF(N82="","",_xlfn.XLOOKUP(N82,Sheet6!$E:$E,Sheet6!$D:$D,"",0,1))</f>
        <v/>
      </c>
      <c r="AB82" s="12" t="str">
        <f t="shared" si="11"/>
        <v>8,9</v>
      </c>
      <c r="AC82" s="31" t="str">
        <f t="shared" si="12"/>
        <v/>
      </c>
      <c r="AD82" s="37"/>
    </row>
    <row r="83" ht="16.25" hidden="1" spans="1:30">
      <c r="A83" s="13">
        <v>150602</v>
      </c>
      <c r="B83" s="22" t="s">
        <v>362</v>
      </c>
      <c r="C83" s="12" t="s">
        <v>310</v>
      </c>
      <c r="D83" s="12" t="s">
        <v>311</v>
      </c>
      <c r="E83" s="12" t="s">
        <v>310</v>
      </c>
      <c r="F83" s="12" t="s">
        <v>311</v>
      </c>
      <c r="G83" s="21" t="s">
        <v>337</v>
      </c>
      <c r="H83" s="21"/>
      <c r="I83" s="21"/>
      <c r="J83" s="21"/>
      <c r="K83" s="21"/>
      <c r="L83" s="21"/>
      <c r="M83" s="21"/>
      <c r="N83" s="21"/>
      <c r="O83" s="21"/>
      <c r="P83" s="30">
        <v>60</v>
      </c>
      <c r="Q83" s="30">
        <v>80</v>
      </c>
      <c r="R83" s="12">
        <v>0.65</v>
      </c>
      <c r="S83" s="30">
        <v>1213</v>
      </c>
      <c r="T83" s="30">
        <f>IF(G83="","",_xlfn.XLOOKUP(G83,Sheet6!$E:$E,Sheet6!$D:$D,"",0,1))</f>
        <v>11</v>
      </c>
      <c r="U83" s="30" t="str">
        <f>IF(H83="","",_xlfn.XLOOKUP(H83,Sheet6!$E:$E,Sheet6!$D:$D,"",0,1))</f>
        <v/>
      </c>
      <c r="V83" s="30" t="str">
        <f>IF(I83="","",_xlfn.XLOOKUP(I83,Sheet6!$E:$E,Sheet6!$D:$D,"",0,1))</f>
        <v/>
      </c>
      <c r="W83" s="30" t="str">
        <f>IF(J83="","",_xlfn.XLOOKUP(J83,Sheet6!$E:$E,Sheet6!$D:$D,"",0,1))</f>
        <v/>
      </c>
      <c r="X83" s="30" t="str">
        <f>IF(K83="","",_xlfn.XLOOKUP(K83,Sheet6!$E:$E,Sheet6!$D:$D,"",0,1))</f>
        <v/>
      </c>
      <c r="Y83" s="30" t="str">
        <f>IF(L83="","",_xlfn.XLOOKUP(L83,Sheet6!$E:$E,Sheet6!$D:$D,"",0,1))</f>
        <v/>
      </c>
      <c r="Z83" s="30" t="str">
        <f>IF(M83="","",_xlfn.XLOOKUP(M83,Sheet6!$E:$E,Sheet6!$D:$D,"",0,1))</f>
        <v/>
      </c>
      <c r="AA83" s="30" t="str">
        <f>IF(N83="","",_xlfn.XLOOKUP(N83,Sheet6!$E:$E,Sheet6!$D:$D,"",0,1))</f>
        <v/>
      </c>
      <c r="AB83" s="12" t="str">
        <f t="shared" si="11"/>
        <v>11</v>
      </c>
      <c r="AC83" s="31" t="str">
        <f t="shared" si="12"/>
        <v/>
      </c>
      <c r="AD83" s="37"/>
    </row>
    <row r="84" ht="16.25" hidden="1" spans="1:30">
      <c r="A84" s="13">
        <v>150603</v>
      </c>
      <c r="B84" s="22" t="s">
        <v>363</v>
      </c>
      <c r="C84" s="12" t="s">
        <v>309</v>
      </c>
      <c r="D84" s="12" t="s">
        <v>310</v>
      </c>
      <c r="E84" s="12" t="s">
        <v>309</v>
      </c>
      <c r="F84" s="12" t="s">
        <v>310</v>
      </c>
      <c r="G84" s="21" t="s">
        <v>339</v>
      </c>
      <c r="H84" s="21" t="s">
        <v>355</v>
      </c>
      <c r="I84" s="21"/>
      <c r="J84" s="21"/>
      <c r="K84" s="21"/>
      <c r="L84" s="21"/>
      <c r="M84" s="21"/>
      <c r="N84" s="21"/>
      <c r="O84" s="21"/>
      <c r="P84" s="30">
        <v>100</v>
      </c>
      <c r="Q84" s="30">
        <v>30</v>
      </c>
      <c r="R84" s="12">
        <v>0.65</v>
      </c>
      <c r="S84" s="30">
        <v>45</v>
      </c>
      <c r="T84" s="30">
        <f>IF(G84="","",_xlfn.XLOOKUP(G84,Sheet6!$E:$E,Sheet6!$D:$D,"",0,1))</f>
        <v>5</v>
      </c>
      <c r="U84" s="30">
        <f>IF(H84="","",_xlfn.XLOOKUP(H84,Sheet6!$E:$E,Sheet6!$D:$D,"",0,1))</f>
        <v>9</v>
      </c>
      <c r="V84" s="30" t="str">
        <f>IF(I84="","",_xlfn.XLOOKUP(I84,Sheet6!$E:$E,Sheet6!$D:$D,"",0,1))</f>
        <v/>
      </c>
      <c r="W84" s="30" t="str">
        <f>IF(J84="","",_xlfn.XLOOKUP(J84,Sheet6!$E:$E,Sheet6!$D:$D,"",0,1))</f>
        <v/>
      </c>
      <c r="X84" s="30" t="str">
        <f>IF(K84="","",_xlfn.XLOOKUP(K84,Sheet6!$E:$E,Sheet6!$D:$D,"",0,1))</f>
        <v/>
      </c>
      <c r="Y84" s="30" t="str">
        <f>IF(L84="","",_xlfn.XLOOKUP(L84,Sheet6!$E:$E,Sheet6!$D:$D,"",0,1))</f>
        <v/>
      </c>
      <c r="Z84" s="30" t="str">
        <f>IF(M84="","",_xlfn.XLOOKUP(M84,Sheet6!$E:$E,Sheet6!$D:$D,"",0,1))</f>
        <v/>
      </c>
      <c r="AA84" s="30" t="str">
        <f>IF(N84="","",_xlfn.XLOOKUP(N84,Sheet6!$E:$E,Sheet6!$D:$D,"",0,1))</f>
        <v/>
      </c>
      <c r="AB84" s="12" t="str">
        <f t="shared" si="11"/>
        <v>5,9</v>
      </c>
      <c r="AC84" s="31" t="str">
        <f t="shared" si="12"/>
        <v/>
      </c>
      <c r="AD84" s="37"/>
    </row>
    <row r="85" ht="16.25" hidden="1" spans="1:30">
      <c r="A85" s="13">
        <v>150604</v>
      </c>
      <c r="B85" s="22" t="s">
        <v>364</v>
      </c>
      <c r="C85" s="12" t="s">
        <v>310</v>
      </c>
      <c r="D85" s="12" t="s">
        <v>311</v>
      </c>
      <c r="E85" s="12" t="s">
        <v>310</v>
      </c>
      <c r="F85" s="12" t="s">
        <v>311</v>
      </c>
      <c r="G85" s="21" t="s">
        <v>317</v>
      </c>
      <c r="H85" s="21"/>
      <c r="I85" s="21"/>
      <c r="J85" s="21"/>
      <c r="K85" s="21"/>
      <c r="L85" s="21"/>
      <c r="M85" s="21"/>
      <c r="N85" s="21"/>
      <c r="O85" s="21"/>
      <c r="P85" s="30">
        <v>30</v>
      </c>
      <c r="Q85" s="30">
        <v>1600</v>
      </c>
      <c r="R85" s="12">
        <v>0.65</v>
      </c>
      <c r="S85" s="30">
        <v>2426</v>
      </c>
      <c r="T85" s="30">
        <f>IF(G85="","",_xlfn.XLOOKUP(G85,Sheet6!$E:$E,Sheet6!$D:$D,"",0,1))</f>
        <v>7</v>
      </c>
      <c r="U85" s="30" t="str">
        <f>IF(H85="","",_xlfn.XLOOKUP(H85,Sheet6!$E:$E,Sheet6!$D:$D,"",0,1))</f>
        <v/>
      </c>
      <c r="V85" s="30" t="str">
        <f>IF(I85="","",_xlfn.XLOOKUP(I85,Sheet6!$E:$E,Sheet6!$D:$D,"",0,1))</f>
        <v/>
      </c>
      <c r="W85" s="30" t="str">
        <f>IF(J85="","",_xlfn.XLOOKUP(J85,Sheet6!$E:$E,Sheet6!$D:$D,"",0,1))</f>
        <v/>
      </c>
      <c r="X85" s="30" t="str">
        <f>IF(K85="","",_xlfn.XLOOKUP(K85,Sheet6!$E:$E,Sheet6!$D:$D,"",0,1))</f>
        <v/>
      </c>
      <c r="Y85" s="30" t="str">
        <f>IF(L85="","",_xlfn.XLOOKUP(L85,Sheet6!$E:$E,Sheet6!$D:$D,"",0,1))</f>
        <v/>
      </c>
      <c r="Z85" s="30" t="str">
        <f>IF(M85="","",_xlfn.XLOOKUP(M85,Sheet6!$E:$E,Sheet6!$D:$D,"",0,1))</f>
        <v/>
      </c>
      <c r="AA85" s="30" t="str">
        <f>IF(N85="","",_xlfn.XLOOKUP(N85,Sheet6!$E:$E,Sheet6!$D:$D,"",0,1))</f>
        <v/>
      </c>
      <c r="AB85" s="12" t="str">
        <f t="shared" si="11"/>
        <v>7</v>
      </c>
      <c r="AC85" s="31" t="str">
        <f t="shared" si="12"/>
        <v/>
      </c>
      <c r="AD85" s="37"/>
    </row>
    <row r="86" ht="16.25" hidden="1" spans="1:30">
      <c r="A86" s="15">
        <v>250601</v>
      </c>
      <c r="B86" s="24" t="s">
        <v>365</v>
      </c>
      <c r="C86" s="12" t="s">
        <v>309</v>
      </c>
      <c r="D86" s="12"/>
      <c r="E86" s="12" t="s">
        <v>309</v>
      </c>
      <c r="F86" s="12"/>
      <c r="G86" s="21" t="s">
        <v>313</v>
      </c>
      <c r="H86" s="21" t="s">
        <v>355</v>
      </c>
      <c r="I86" s="21"/>
      <c r="J86" s="21"/>
      <c r="K86" s="21"/>
      <c r="L86" s="21"/>
      <c r="M86" s="21"/>
      <c r="N86" s="21"/>
      <c r="O86" s="21"/>
      <c r="P86" s="30">
        <v>200</v>
      </c>
      <c r="Q86" s="30"/>
      <c r="R86" s="12">
        <v>0.65</v>
      </c>
      <c r="S86" s="30"/>
      <c r="T86" s="30">
        <f>IF(G86="","",_xlfn.XLOOKUP(G86,Sheet6!$E:$E,Sheet6!$D:$D,"",0,1))</f>
        <v>8</v>
      </c>
      <c r="U86" s="30">
        <f>IF(H86="","",_xlfn.XLOOKUP(H86,Sheet6!$E:$E,Sheet6!$D:$D,"",0,1))</f>
        <v>9</v>
      </c>
      <c r="V86" s="30" t="str">
        <f>IF(I86="","",_xlfn.XLOOKUP(I86,Sheet6!$E:$E,Sheet6!$D:$D,"",0,1))</f>
        <v/>
      </c>
      <c r="W86" s="30" t="str">
        <f>IF(J86="","",_xlfn.XLOOKUP(J86,Sheet6!$E:$E,Sheet6!$D:$D,"",0,1))</f>
        <v/>
      </c>
      <c r="X86" s="30" t="str">
        <f>IF(K86="","",_xlfn.XLOOKUP(K86,Sheet6!$E:$E,Sheet6!$D:$D,"",0,1))</f>
        <v/>
      </c>
      <c r="Y86" s="30" t="str">
        <f>IF(L86="","",_xlfn.XLOOKUP(L86,Sheet6!$E:$E,Sheet6!$D:$D,"",0,1))</f>
        <v/>
      </c>
      <c r="Z86" s="30" t="str">
        <f>IF(M86="","",_xlfn.XLOOKUP(M86,Sheet6!$E:$E,Sheet6!$D:$D,"",0,1))</f>
        <v/>
      </c>
      <c r="AA86" s="30" t="str">
        <f>IF(N86="","",_xlfn.XLOOKUP(N86,Sheet6!$E:$E,Sheet6!$D:$D,"",0,1))</f>
        <v/>
      </c>
      <c r="AB86" s="12" t="str">
        <f t="shared" si="11"/>
        <v>8,9</v>
      </c>
      <c r="AC86" s="31" t="str">
        <f t="shared" si="12"/>
        <v/>
      </c>
      <c r="AD86" s="37"/>
    </row>
    <row r="87" ht="16.25" hidden="1" spans="1:30">
      <c r="A87" s="17">
        <v>250602</v>
      </c>
      <c r="B87" s="25" t="s">
        <v>366</v>
      </c>
      <c r="C87" s="12" t="s">
        <v>310</v>
      </c>
      <c r="D87" s="12" t="s">
        <v>311</v>
      </c>
      <c r="E87" s="12" t="s">
        <v>310</v>
      </c>
      <c r="F87" s="12" t="s">
        <v>311</v>
      </c>
      <c r="G87" s="21" t="s">
        <v>337</v>
      </c>
      <c r="H87" s="21"/>
      <c r="I87" s="21"/>
      <c r="J87" s="21"/>
      <c r="K87" s="21"/>
      <c r="L87" s="21"/>
      <c r="M87" s="21"/>
      <c r="N87" s="21"/>
      <c r="O87" s="21"/>
      <c r="P87" s="30">
        <v>60</v>
      </c>
      <c r="Q87" s="30">
        <v>80</v>
      </c>
      <c r="R87" s="12">
        <v>0.65</v>
      </c>
      <c r="S87" s="30">
        <v>1213</v>
      </c>
      <c r="T87" s="30">
        <f>IF(G87="","",_xlfn.XLOOKUP(G87,Sheet6!$E:$E,Sheet6!$D:$D,"",0,1))</f>
        <v>11</v>
      </c>
      <c r="U87" s="30" t="str">
        <f>IF(H87="","",_xlfn.XLOOKUP(H87,Sheet6!$E:$E,Sheet6!$D:$D,"",0,1))</f>
        <v/>
      </c>
      <c r="V87" s="30" t="str">
        <f>IF(I87="","",_xlfn.XLOOKUP(I87,Sheet6!$E:$E,Sheet6!$D:$D,"",0,1))</f>
        <v/>
      </c>
      <c r="W87" s="30" t="str">
        <f>IF(J87="","",_xlfn.XLOOKUP(J87,Sheet6!$E:$E,Sheet6!$D:$D,"",0,1))</f>
        <v/>
      </c>
      <c r="X87" s="30" t="str">
        <f>IF(K87="","",_xlfn.XLOOKUP(K87,Sheet6!$E:$E,Sheet6!$D:$D,"",0,1))</f>
        <v/>
      </c>
      <c r="Y87" s="30" t="str">
        <f>IF(L87="","",_xlfn.XLOOKUP(L87,Sheet6!$E:$E,Sheet6!$D:$D,"",0,1))</f>
        <v/>
      </c>
      <c r="Z87" s="30" t="str">
        <f>IF(M87="","",_xlfn.XLOOKUP(M87,Sheet6!$E:$E,Sheet6!$D:$D,"",0,1))</f>
        <v/>
      </c>
      <c r="AA87" s="30" t="str">
        <f>IF(N87="","",_xlfn.XLOOKUP(N87,Sheet6!$E:$E,Sheet6!$D:$D,"",0,1))</f>
        <v/>
      </c>
      <c r="AB87" s="12" t="str">
        <f t="shared" si="11"/>
        <v>11</v>
      </c>
      <c r="AC87" s="31" t="str">
        <f t="shared" si="12"/>
        <v/>
      </c>
      <c r="AD87" s="37"/>
    </row>
    <row r="88" ht="16.25" hidden="1" spans="1:30">
      <c r="A88" s="17">
        <v>250603</v>
      </c>
      <c r="B88" s="25" t="s">
        <v>367</v>
      </c>
      <c r="C88" s="12" t="s">
        <v>309</v>
      </c>
      <c r="D88" s="12" t="s">
        <v>310</v>
      </c>
      <c r="E88" s="12" t="s">
        <v>309</v>
      </c>
      <c r="F88" s="12" t="s">
        <v>310</v>
      </c>
      <c r="G88" s="21" t="s">
        <v>339</v>
      </c>
      <c r="H88" s="21" t="s">
        <v>355</v>
      </c>
      <c r="I88" s="23"/>
      <c r="J88" s="23"/>
      <c r="K88" s="23"/>
      <c r="L88" s="23"/>
      <c r="M88" s="23"/>
      <c r="N88" s="23"/>
      <c r="O88" s="23"/>
      <c r="P88" s="30">
        <v>100</v>
      </c>
      <c r="Q88" s="30">
        <v>30</v>
      </c>
      <c r="R88" s="12">
        <v>0.65</v>
      </c>
      <c r="S88" s="30">
        <v>45</v>
      </c>
      <c r="T88" s="30">
        <f>IF(G88="","",_xlfn.XLOOKUP(G88,Sheet6!$E:$E,Sheet6!$D:$D,"",0,1))</f>
        <v>5</v>
      </c>
      <c r="U88" s="30">
        <f>IF(H88="","",_xlfn.XLOOKUP(H88,Sheet6!$E:$E,Sheet6!$D:$D,"",0,1))</f>
        <v>9</v>
      </c>
      <c r="V88" s="30" t="str">
        <f>IF(I88="","",_xlfn.XLOOKUP(I88,Sheet6!$E:$E,Sheet6!$D:$D,"",0,1))</f>
        <v/>
      </c>
      <c r="W88" s="30" t="str">
        <f>IF(J88="","",_xlfn.XLOOKUP(J88,Sheet6!$E:$E,Sheet6!$D:$D,"",0,1))</f>
        <v/>
      </c>
      <c r="X88" s="30" t="str">
        <f>IF(K88="","",_xlfn.XLOOKUP(K88,Sheet6!$E:$E,Sheet6!$D:$D,"",0,1))</f>
        <v/>
      </c>
      <c r="Y88" s="30" t="str">
        <f>IF(L88="","",_xlfn.XLOOKUP(L88,Sheet6!$E:$E,Sheet6!$D:$D,"",0,1))</f>
        <v/>
      </c>
      <c r="Z88" s="30" t="str">
        <f>IF(M88="","",_xlfn.XLOOKUP(M88,Sheet6!$E:$E,Sheet6!$D:$D,"",0,1))</f>
        <v/>
      </c>
      <c r="AA88" s="30" t="str">
        <f>IF(N88="","",_xlfn.XLOOKUP(N88,Sheet6!$E:$E,Sheet6!$D:$D,"",0,1))</f>
        <v/>
      </c>
      <c r="AB88" s="12" t="str">
        <f t="shared" si="11"/>
        <v>5,9</v>
      </c>
      <c r="AC88" s="31" t="str">
        <f t="shared" si="12"/>
        <v/>
      </c>
      <c r="AD88" s="38"/>
    </row>
    <row r="89" ht="16.25" hidden="1" spans="1:30">
      <c r="A89" s="34">
        <v>250604</v>
      </c>
      <c r="B89" s="35" t="s">
        <v>368</v>
      </c>
      <c r="C89" s="12" t="s">
        <v>310</v>
      </c>
      <c r="D89" s="12" t="s">
        <v>311</v>
      </c>
      <c r="E89" s="12" t="s">
        <v>310</v>
      </c>
      <c r="F89" s="12" t="s">
        <v>311</v>
      </c>
      <c r="G89" s="21" t="s">
        <v>317</v>
      </c>
      <c r="H89" s="21"/>
      <c r="I89" s="23"/>
      <c r="J89" s="23"/>
      <c r="K89" s="23"/>
      <c r="L89" s="23"/>
      <c r="M89" s="23"/>
      <c r="N89" s="23"/>
      <c r="O89" s="23"/>
      <c r="P89" s="30">
        <v>30</v>
      </c>
      <c r="Q89" s="30">
        <v>1600</v>
      </c>
      <c r="R89" s="12">
        <v>0.65</v>
      </c>
      <c r="S89" s="30">
        <v>2426</v>
      </c>
      <c r="T89" s="30">
        <f>IF(G89="","",_xlfn.XLOOKUP(G89,Sheet6!$E:$E,Sheet6!$D:$D,"",0,1))</f>
        <v>7</v>
      </c>
      <c r="U89" s="30" t="str">
        <f>IF(H89="","",_xlfn.XLOOKUP(H89,Sheet6!$E:$E,Sheet6!$D:$D,"",0,1))</f>
        <v/>
      </c>
      <c r="V89" s="30" t="str">
        <f>IF(I89="","",_xlfn.XLOOKUP(I89,Sheet6!$E:$E,Sheet6!$D:$D,"",0,1))</f>
        <v/>
      </c>
      <c r="W89" s="30" t="str">
        <f>IF(J89="","",_xlfn.XLOOKUP(J89,Sheet6!$E:$E,Sheet6!$D:$D,"",0,1))</f>
        <v/>
      </c>
      <c r="X89" s="30" t="str">
        <f>IF(K89="","",_xlfn.XLOOKUP(K89,Sheet6!$E:$E,Sheet6!$D:$D,"",0,1))</f>
        <v/>
      </c>
      <c r="Y89" s="30" t="str">
        <f>IF(L89="","",_xlfn.XLOOKUP(L89,Sheet6!$E:$E,Sheet6!$D:$D,"",0,1))</f>
        <v/>
      </c>
      <c r="Z89" s="30" t="str">
        <f>IF(M89="","",_xlfn.XLOOKUP(M89,Sheet6!$E:$E,Sheet6!$D:$D,"",0,1))</f>
        <v/>
      </c>
      <c r="AA89" s="30" t="str">
        <f>IF(N89="","",_xlfn.XLOOKUP(N89,Sheet6!$E:$E,Sheet6!$D:$D,"",0,1))</f>
        <v/>
      </c>
      <c r="AB89" s="12" t="str">
        <f t="shared" si="11"/>
        <v>7</v>
      </c>
      <c r="AC89" s="31" t="str">
        <f t="shared" si="12"/>
        <v/>
      </c>
      <c r="AD89" s="38"/>
    </row>
    <row r="90" ht="16.25" spans="1:30">
      <c r="A90" s="28">
        <v>150701</v>
      </c>
      <c r="B90" s="29" t="s">
        <v>369</v>
      </c>
      <c r="C90" s="12" t="s">
        <v>309</v>
      </c>
      <c r="D90" s="12"/>
      <c r="E90" s="12" t="s">
        <v>309</v>
      </c>
      <c r="F90" s="12"/>
      <c r="G90" s="23" t="s">
        <v>339</v>
      </c>
      <c r="H90" s="23" t="s">
        <v>355</v>
      </c>
      <c r="I90" s="23"/>
      <c r="J90" s="23"/>
      <c r="K90" s="23"/>
      <c r="L90" s="23"/>
      <c r="M90" s="23"/>
      <c r="N90" s="23"/>
      <c r="O90" s="23"/>
      <c r="P90" s="30">
        <v>200</v>
      </c>
      <c r="Q90" s="30"/>
      <c r="R90" s="12">
        <v>0.65</v>
      </c>
      <c r="S90" s="30"/>
      <c r="T90" s="30">
        <f>IF(G90="","",_xlfn.XLOOKUP(G90,Sheet6!$E:$E,Sheet6!$D:$D,"",0,1))</f>
        <v>5</v>
      </c>
      <c r="U90" s="30">
        <f>IF(H90="","",_xlfn.XLOOKUP(H90,Sheet6!$E:$E,Sheet6!$D:$D,"",0,1))</f>
        <v>9</v>
      </c>
      <c r="V90" s="30" t="str">
        <f>IF(I90="","",_xlfn.XLOOKUP(I90,Sheet6!$E:$E,Sheet6!$D:$D,"",0,1))</f>
        <v/>
      </c>
      <c r="W90" s="30" t="str">
        <f>IF(J90="","",_xlfn.XLOOKUP(J90,Sheet6!$E:$E,Sheet6!$D:$D,"",0,1))</f>
        <v/>
      </c>
      <c r="X90" s="30" t="str">
        <f>IF(K90="","",_xlfn.XLOOKUP(K90,Sheet6!$E:$E,Sheet6!$D:$D,"",0,1))</f>
        <v/>
      </c>
      <c r="Y90" s="30" t="str">
        <f>IF(L90="","",_xlfn.XLOOKUP(L90,Sheet6!$E:$E,Sheet6!$D:$D,"",0,1))</f>
        <v/>
      </c>
      <c r="Z90" s="30" t="str">
        <f>IF(M90="","",_xlfn.XLOOKUP(M90,Sheet6!$E:$E,Sheet6!$D:$D,"",0,1))</f>
        <v/>
      </c>
      <c r="AA90" s="30" t="str">
        <f>IF(N90="","",_xlfn.XLOOKUP(N90,Sheet6!$E:$E,Sheet6!$D:$D,"",0,1))</f>
        <v/>
      </c>
      <c r="AB90" s="12" t="str">
        <f t="shared" si="11"/>
        <v>5,9</v>
      </c>
      <c r="AC90" s="31" t="str">
        <f t="shared" si="12"/>
        <v/>
      </c>
      <c r="AD90" s="38"/>
    </row>
    <row r="91" ht="16.25" hidden="1" spans="1:30">
      <c r="A91" s="13">
        <v>150702</v>
      </c>
      <c r="B91" s="22" t="s">
        <v>370</v>
      </c>
      <c r="C91" s="12" t="s">
        <v>310</v>
      </c>
      <c r="D91" s="12" t="s">
        <v>311</v>
      </c>
      <c r="E91" s="12" t="s">
        <v>310</v>
      </c>
      <c r="F91" s="12" t="s">
        <v>311</v>
      </c>
      <c r="G91" s="23" t="s">
        <v>337</v>
      </c>
      <c r="H91" s="23"/>
      <c r="I91" s="23"/>
      <c r="J91" s="23"/>
      <c r="K91" s="23"/>
      <c r="L91" s="23"/>
      <c r="M91" s="23"/>
      <c r="N91" s="23"/>
      <c r="O91" s="23"/>
      <c r="P91" s="30">
        <v>60</v>
      </c>
      <c r="Q91" s="30">
        <v>80</v>
      </c>
      <c r="R91" s="12">
        <v>0.65</v>
      </c>
      <c r="S91" s="30">
        <v>1213</v>
      </c>
      <c r="T91" s="30">
        <f>IF(G91="","",_xlfn.XLOOKUP(G91,Sheet6!$E:$E,Sheet6!$D:$D,"",0,1))</f>
        <v>11</v>
      </c>
      <c r="U91" s="30" t="str">
        <f>IF(H91="","",_xlfn.XLOOKUP(H91,Sheet6!$E:$E,Sheet6!$D:$D,"",0,1))</f>
        <v/>
      </c>
      <c r="V91" s="30" t="str">
        <f>IF(I91="","",_xlfn.XLOOKUP(I91,Sheet6!$E:$E,Sheet6!$D:$D,"",0,1))</f>
        <v/>
      </c>
      <c r="W91" s="30" t="str">
        <f>IF(J91="","",_xlfn.XLOOKUP(J91,Sheet6!$E:$E,Sheet6!$D:$D,"",0,1))</f>
        <v/>
      </c>
      <c r="X91" s="30" t="str">
        <f>IF(K91="","",_xlfn.XLOOKUP(K91,Sheet6!$E:$E,Sheet6!$D:$D,"",0,1))</f>
        <v/>
      </c>
      <c r="Y91" s="30" t="str">
        <f>IF(L91="","",_xlfn.XLOOKUP(L91,Sheet6!$E:$E,Sheet6!$D:$D,"",0,1))</f>
        <v/>
      </c>
      <c r="Z91" s="30" t="str">
        <f>IF(M91="","",_xlfn.XLOOKUP(M91,Sheet6!$E:$E,Sheet6!$D:$D,"",0,1))</f>
        <v/>
      </c>
      <c r="AA91" s="30" t="str">
        <f>IF(N91="","",_xlfn.XLOOKUP(N91,Sheet6!$E:$E,Sheet6!$D:$D,"",0,1))</f>
        <v/>
      </c>
      <c r="AB91" s="12" t="str">
        <f t="shared" si="11"/>
        <v>11</v>
      </c>
      <c r="AC91" s="31" t="str">
        <f t="shared" si="12"/>
        <v/>
      </c>
      <c r="AD91" s="38"/>
    </row>
    <row r="92" ht="16.25" hidden="1" spans="1:30">
      <c r="A92" s="13">
        <v>150703</v>
      </c>
      <c r="B92" s="22" t="s">
        <v>371</v>
      </c>
      <c r="C92" s="12" t="s">
        <v>309</v>
      </c>
      <c r="D92" s="12" t="s">
        <v>310</v>
      </c>
      <c r="E92" s="12" t="s">
        <v>309</v>
      </c>
      <c r="F92" s="12" t="s">
        <v>310</v>
      </c>
      <c r="G92" s="23" t="s">
        <v>315</v>
      </c>
      <c r="H92" s="23" t="s">
        <v>355</v>
      </c>
      <c r="I92" s="23"/>
      <c r="J92" s="23"/>
      <c r="K92" s="23"/>
      <c r="L92" s="23"/>
      <c r="M92" s="23"/>
      <c r="N92" s="23"/>
      <c r="O92" s="23"/>
      <c r="P92" s="30">
        <v>100</v>
      </c>
      <c r="Q92" s="30">
        <v>30</v>
      </c>
      <c r="R92" s="12">
        <v>0.65</v>
      </c>
      <c r="S92" s="30">
        <v>45</v>
      </c>
      <c r="T92" s="30">
        <f>IF(G92="","",_xlfn.XLOOKUP(G92,Sheet6!$E:$E,Sheet6!$D:$D,"",0,1))</f>
        <v>6</v>
      </c>
      <c r="U92" s="30">
        <f>IF(H92="","",_xlfn.XLOOKUP(H92,Sheet6!$E:$E,Sheet6!$D:$D,"",0,1))</f>
        <v>9</v>
      </c>
      <c r="V92" s="30" t="str">
        <f>IF(I92="","",_xlfn.XLOOKUP(I92,Sheet6!$E:$E,Sheet6!$D:$D,"",0,1))</f>
        <v/>
      </c>
      <c r="W92" s="30" t="str">
        <f>IF(J92="","",_xlfn.XLOOKUP(J92,Sheet6!$E:$E,Sheet6!$D:$D,"",0,1))</f>
        <v/>
      </c>
      <c r="X92" s="30" t="str">
        <f>IF(K92="","",_xlfn.XLOOKUP(K92,Sheet6!$E:$E,Sheet6!$D:$D,"",0,1))</f>
        <v/>
      </c>
      <c r="Y92" s="30" t="str">
        <f>IF(L92="","",_xlfn.XLOOKUP(L92,Sheet6!$E:$E,Sheet6!$D:$D,"",0,1))</f>
        <v/>
      </c>
      <c r="Z92" s="30" t="str">
        <f>IF(M92="","",_xlfn.XLOOKUP(M92,Sheet6!$E:$E,Sheet6!$D:$D,"",0,1))</f>
        <v/>
      </c>
      <c r="AA92" s="30" t="str">
        <f>IF(N92="","",_xlfn.XLOOKUP(N92,Sheet6!$E:$E,Sheet6!$D:$D,"",0,1))</f>
        <v/>
      </c>
      <c r="AB92" s="12" t="str">
        <f t="shared" si="11"/>
        <v>6,9</v>
      </c>
      <c r="AC92" s="31" t="str">
        <f t="shared" si="12"/>
        <v/>
      </c>
      <c r="AD92" s="38"/>
    </row>
    <row r="93" ht="16.25" hidden="1" spans="1:30">
      <c r="A93" s="13">
        <v>150704</v>
      </c>
      <c r="B93" s="22" t="s">
        <v>372</v>
      </c>
      <c r="C93" s="12" t="s">
        <v>310</v>
      </c>
      <c r="D93" s="12" t="s">
        <v>311</v>
      </c>
      <c r="E93" s="12" t="s">
        <v>310</v>
      </c>
      <c r="F93" s="12" t="s">
        <v>311</v>
      </c>
      <c r="G93" s="23" t="s">
        <v>317</v>
      </c>
      <c r="H93" s="23"/>
      <c r="I93" s="23"/>
      <c r="J93" s="23"/>
      <c r="K93" s="23"/>
      <c r="L93" s="23"/>
      <c r="M93" s="23"/>
      <c r="N93" s="23"/>
      <c r="O93" s="23"/>
      <c r="P93" s="30">
        <v>30</v>
      </c>
      <c r="Q93" s="30">
        <v>1600</v>
      </c>
      <c r="R93" s="12">
        <v>0.65</v>
      </c>
      <c r="S93" s="30">
        <v>2426</v>
      </c>
      <c r="T93" s="30">
        <f>IF(G93="","",_xlfn.XLOOKUP(G93,Sheet6!$E:$E,Sheet6!$D:$D,"",0,1))</f>
        <v>7</v>
      </c>
      <c r="U93" s="30" t="str">
        <f>IF(H93="","",_xlfn.XLOOKUP(H93,Sheet6!$E:$E,Sheet6!$D:$D,"",0,1))</f>
        <v/>
      </c>
      <c r="V93" s="30" t="str">
        <f>IF(I93="","",_xlfn.XLOOKUP(I93,Sheet6!$E:$E,Sheet6!$D:$D,"",0,1))</f>
        <v/>
      </c>
      <c r="W93" s="30" t="str">
        <f>IF(J93="","",_xlfn.XLOOKUP(J93,Sheet6!$E:$E,Sheet6!$D:$D,"",0,1))</f>
        <v/>
      </c>
      <c r="X93" s="30" t="str">
        <f>IF(K93="","",_xlfn.XLOOKUP(K93,Sheet6!$E:$E,Sheet6!$D:$D,"",0,1))</f>
        <v/>
      </c>
      <c r="Y93" s="30" t="str">
        <f>IF(L93="","",_xlfn.XLOOKUP(L93,Sheet6!$E:$E,Sheet6!$D:$D,"",0,1))</f>
        <v/>
      </c>
      <c r="Z93" s="30" t="str">
        <f>IF(M93="","",_xlfn.XLOOKUP(M93,Sheet6!$E:$E,Sheet6!$D:$D,"",0,1))</f>
        <v/>
      </c>
      <c r="AA93" s="30" t="str">
        <f>IF(N93="","",_xlfn.XLOOKUP(N93,Sheet6!$E:$E,Sheet6!$D:$D,"",0,1))</f>
        <v/>
      </c>
      <c r="AB93" s="12" t="str">
        <f t="shared" si="11"/>
        <v>7</v>
      </c>
      <c r="AC93" s="31" t="str">
        <f t="shared" si="12"/>
        <v/>
      </c>
      <c r="AD93" s="38"/>
    </row>
    <row r="94" ht="16.25" hidden="1" spans="1:30">
      <c r="A94" s="15">
        <v>250701</v>
      </c>
      <c r="B94" s="24" t="s">
        <v>373</v>
      </c>
      <c r="C94" s="12" t="s">
        <v>309</v>
      </c>
      <c r="D94" s="12"/>
      <c r="E94" s="12" t="s">
        <v>309</v>
      </c>
      <c r="F94" s="12"/>
      <c r="G94" s="23" t="s">
        <v>339</v>
      </c>
      <c r="H94" s="23" t="s">
        <v>355</v>
      </c>
      <c r="I94" s="23"/>
      <c r="J94" s="23"/>
      <c r="K94" s="23"/>
      <c r="L94" s="23"/>
      <c r="M94" s="23"/>
      <c r="N94" s="23"/>
      <c r="O94" s="23"/>
      <c r="P94" s="30">
        <v>200</v>
      </c>
      <c r="Q94" s="30"/>
      <c r="R94" s="12">
        <v>0.65</v>
      </c>
      <c r="S94" s="30"/>
      <c r="T94" s="30">
        <f>IF(G94="","",_xlfn.XLOOKUP(G94,Sheet6!$E:$E,Sheet6!$D:$D,"",0,1))</f>
        <v>5</v>
      </c>
      <c r="U94" s="30">
        <f>IF(H94="","",_xlfn.XLOOKUP(H94,Sheet6!$E:$E,Sheet6!$D:$D,"",0,1))</f>
        <v>9</v>
      </c>
      <c r="V94" s="30" t="str">
        <f>IF(I94="","",_xlfn.XLOOKUP(I94,Sheet6!$E:$E,Sheet6!$D:$D,"",0,1))</f>
        <v/>
      </c>
      <c r="W94" s="30" t="str">
        <f>IF(J94="","",_xlfn.XLOOKUP(J94,Sheet6!$E:$E,Sheet6!$D:$D,"",0,1))</f>
        <v/>
      </c>
      <c r="X94" s="30" t="str">
        <f>IF(K94="","",_xlfn.XLOOKUP(K94,Sheet6!$E:$E,Sheet6!$D:$D,"",0,1))</f>
        <v/>
      </c>
      <c r="Y94" s="30" t="str">
        <f>IF(L94="","",_xlfn.XLOOKUP(L94,Sheet6!$E:$E,Sheet6!$D:$D,"",0,1))</f>
        <v/>
      </c>
      <c r="Z94" s="30" t="str">
        <f>IF(M94="","",_xlfn.XLOOKUP(M94,Sheet6!$E:$E,Sheet6!$D:$D,"",0,1))</f>
        <v/>
      </c>
      <c r="AA94" s="30" t="str">
        <f>IF(N94="","",_xlfn.XLOOKUP(N94,Sheet6!$E:$E,Sheet6!$D:$D,"",0,1))</f>
        <v/>
      </c>
      <c r="AB94" s="12" t="str">
        <f t="shared" si="11"/>
        <v>5,9</v>
      </c>
      <c r="AC94" s="31" t="str">
        <f t="shared" si="12"/>
        <v/>
      </c>
      <c r="AD94" s="38"/>
    </row>
    <row r="95" ht="16.25" hidden="1" spans="1:30">
      <c r="A95" s="17">
        <v>250702</v>
      </c>
      <c r="B95" s="25" t="s">
        <v>374</v>
      </c>
      <c r="C95" s="12" t="s">
        <v>310</v>
      </c>
      <c r="D95" s="12" t="s">
        <v>311</v>
      </c>
      <c r="E95" s="12" t="s">
        <v>310</v>
      </c>
      <c r="F95" s="12" t="s">
        <v>311</v>
      </c>
      <c r="G95" s="23" t="s">
        <v>337</v>
      </c>
      <c r="H95" s="23"/>
      <c r="I95" s="23"/>
      <c r="J95" s="23"/>
      <c r="K95" s="23"/>
      <c r="L95" s="23"/>
      <c r="M95" s="23"/>
      <c r="N95" s="23"/>
      <c r="O95" s="23"/>
      <c r="P95" s="30">
        <v>60</v>
      </c>
      <c r="Q95" s="30">
        <v>80</v>
      </c>
      <c r="R95" s="12">
        <v>0.65</v>
      </c>
      <c r="S95" s="30">
        <v>1213</v>
      </c>
      <c r="T95" s="30">
        <f>IF(G95="","",_xlfn.XLOOKUP(G95,Sheet6!$E:$E,Sheet6!$D:$D,"",0,1))</f>
        <v>11</v>
      </c>
      <c r="U95" s="30" t="str">
        <f>IF(H95="","",_xlfn.XLOOKUP(H95,Sheet6!$E:$E,Sheet6!$D:$D,"",0,1))</f>
        <v/>
      </c>
      <c r="V95" s="30" t="str">
        <f>IF(I95="","",_xlfn.XLOOKUP(I95,Sheet6!$E:$E,Sheet6!$D:$D,"",0,1))</f>
        <v/>
      </c>
      <c r="W95" s="30" t="str">
        <f>IF(J95="","",_xlfn.XLOOKUP(J95,Sheet6!$E:$E,Sheet6!$D:$D,"",0,1))</f>
        <v/>
      </c>
      <c r="X95" s="30" t="str">
        <f>IF(K95="","",_xlfn.XLOOKUP(K95,Sheet6!$E:$E,Sheet6!$D:$D,"",0,1))</f>
        <v/>
      </c>
      <c r="Y95" s="30" t="str">
        <f>IF(L95="","",_xlfn.XLOOKUP(L95,Sheet6!$E:$E,Sheet6!$D:$D,"",0,1))</f>
        <v/>
      </c>
      <c r="Z95" s="30" t="str">
        <f>IF(M95="","",_xlfn.XLOOKUP(M95,Sheet6!$E:$E,Sheet6!$D:$D,"",0,1))</f>
        <v/>
      </c>
      <c r="AA95" s="30" t="str">
        <f>IF(N95="","",_xlfn.XLOOKUP(N95,Sheet6!$E:$E,Sheet6!$D:$D,"",0,1))</f>
        <v/>
      </c>
      <c r="AB95" s="12" t="str">
        <f t="shared" si="11"/>
        <v>11</v>
      </c>
      <c r="AC95" s="31" t="str">
        <f t="shared" si="12"/>
        <v/>
      </c>
      <c r="AD95" s="38"/>
    </row>
    <row r="96" ht="16.25" hidden="1" spans="1:30">
      <c r="A96" s="17">
        <v>250703</v>
      </c>
      <c r="B96" s="25" t="s">
        <v>375</v>
      </c>
      <c r="C96" s="12" t="s">
        <v>309</v>
      </c>
      <c r="D96" s="12" t="s">
        <v>310</v>
      </c>
      <c r="E96" s="12" t="s">
        <v>309</v>
      </c>
      <c r="F96" s="12" t="s">
        <v>310</v>
      </c>
      <c r="G96" s="23" t="s">
        <v>315</v>
      </c>
      <c r="H96" s="23" t="s">
        <v>355</v>
      </c>
      <c r="I96" s="23"/>
      <c r="J96" s="23"/>
      <c r="K96" s="23"/>
      <c r="L96" s="23"/>
      <c r="M96" s="23"/>
      <c r="N96" s="23"/>
      <c r="O96" s="23"/>
      <c r="P96" s="30">
        <v>100</v>
      </c>
      <c r="Q96" s="30">
        <v>30</v>
      </c>
      <c r="R96" s="12">
        <v>0.65</v>
      </c>
      <c r="S96" s="30">
        <v>45</v>
      </c>
      <c r="T96" s="30">
        <f>IF(G96="","",_xlfn.XLOOKUP(G96,Sheet6!$E:$E,Sheet6!$D:$D,"",0,1))</f>
        <v>6</v>
      </c>
      <c r="U96" s="30">
        <f>IF(H96="","",_xlfn.XLOOKUP(H96,Sheet6!$E:$E,Sheet6!$D:$D,"",0,1))</f>
        <v>9</v>
      </c>
      <c r="V96" s="30" t="str">
        <f>IF(I96="","",_xlfn.XLOOKUP(I96,Sheet6!$E:$E,Sheet6!$D:$D,"",0,1))</f>
        <v/>
      </c>
      <c r="W96" s="30" t="str">
        <f>IF(J96="","",_xlfn.XLOOKUP(J96,Sheet6!$E:$E,Sheet6!$D:$D,"",0,1))</f>
        <v/>
      </c>
      <c r="X96" s="30" t="str">
        <f>IF(K96="","",_xlfn.XLOOKUP(K96,Sheet6!$E:$E,Sheet6!$D:$D,"",0,1))</f>
        <v/>
      </c>
      <c r="Y96" s="30" t="str">
        <f>IF(L96="","",_xlfn.XLOOKUP(L96,Sheet6!$E:$E,Sheet6!$D:$D,"",0,1))</f>
        <v/>
      </c>
      <c r="Z96" s="30" t="str">
        <f>IF(M96="","",_xlfn.XLOOKUP(M96,Sheet6!$E:$E,Sheet6!$D:$D,"",0,1))</f>
        <v/>
      </c>
      <c r="AA96" s="30" t="str">
        <f>IF(N96="","",_xlfn.XLOOKUP(N96,Sheet6!$E:$E,Sheet6!$D:$D,"",0,1))</f>
        <v/>
      </c>
      <c r="AB96" s="12" t="str">
        <f t="shared" si="11"/>
        <v>6,9</v>
      </c>
      <c r="AC96" s="31" t="str">
        <f t="shared" si="12"/>
        <v/>
      </c>
      <c r="AD96" s="38"/>
    </row>
    <row r="97" ht="16.25" hidden="1" spans="1:30">
      <c r="A97" s="34">
        <v>250704</v>
      </c>
      <c r="B97" s="35" t="s">
        <v>376</v>
      </c>
      <c r="C97" s="12" t="s">
        <v>310</v>
      </c>
      <c r="D97" s="12" t="s">
        <v>311</v>
      </c>
      <c r="E97" s="12" t="s">
        <v>310</v>
      </c>
      <c r="F97" s="12" t="s">
        <v>311</v>
      </c>
      <c r="G97" s="23" t="s">
        <v>317</v>
      </c>
      <c r="H97" s="23"/>
      <c r="I97" s="23"/>
      <c r="J97" s="23"/>
      <c r="K97" s="23"/>
      <c r="L97" s="23"/>
      <c r="M97" s="23"/>
      <c r="N97" s="23"/>
      <c r="O97" s="23"/>
      <c r="P97" s="30">
        <v>30</v>
      </c>
      <c r="Q97" s="30">
        <v>1600</v>
      </c>
      <c r="R97" s="12">
        <v>0.65</v>
      </c>
      <c r="S97" s="30">
        <v>2426</v>
      </c>
      <c r="T97" s="30">
        <f>IF(G97="","",_xlfn.XLOOKUP(G97,Sheet6!$E:$E,Sheet6!$D:$D,"",0,1))</f>
        <v>7</v>
      </c>
      <c r="U97" s="30" t="str">
        <f>IF(H97="","",_xlfn.XLOOKUP(H97,Sheet6!$E:$E,Sheet6!$D:$D,"",0,1))</f>
        <v/>
      </c>
      <c r="V97" s="30" t="str">
        <f>IF(I97="","",_xlfn.XLOOKUP(I97,Sheet6!$E:$E,Sheet6!$D:$D,"",0,1))</f>
        <v/>
      </c>
      <c r="W97" s="30" t="str">
        <f>IF(J97="","",_xlfn.XLOOKUP(J97,Sheet6!$E:$E,Sheet6!$D:$D,"",0,1))</f>
        <v/>
      </c>
      <c r="X97" s="30" t="str">
        <f>IF(K97="","",_xlfn.XLOOKUP(K97,Sheet6!$E:$E,Sheet6!$D:$D,"",0,1))</f>
        <v/>
      </c>
      <c r="Y97" s="30" t="str">
        <f>IF(L97="","",_xlfn.XLOOKUP(L97,Sheet6!$E:$E,Sheet6!$D:$D,"",0,1))</f>
        <v/>
      </c>
      <c r="Z97" s="30" t="str">
        <f>IF(M97="","",_xlfn.XLOOKUP(M97,Sheet6!$E:$E,Sheet6!$D:$D,"",0,1))</f>
        <v/>
      </c>
      <c r="AA97" s="30" t="str">
        <f>IF(N97="","",_xlfn.XLOOKUP(N97,Sheet6!$E:$E,Sheet6!$D:$D,"",0,1))</f>
        <v/>
      </c>
      <c r="AB97" s="12" t="str">
        <f t="shared" si="11"/>
        <v>7</v>
      </c>
      <c r="AC97" s="31" t="str">
        <f t="shared" si="12"/>
        <v/>
      </c>
      <c r="AD97" s="38"/>
    </row>
    <row r="98" ht="16.25" spans="1:30">
      <c r="A98" s="26">
        <v>150801</v>
      </c>
      <c r="B98" s="27" t="s">
        <v>377</v>
      </c>
      <c r="C98" s="12" t="s">
        <v>309</v>
      </c>
      <c r="D98" s="12"/>
      <c r="E98" s="12" t="s">
        <v>309</v>
      </c>
      <c r="F98" s="12"/>
      <c r="G98" s="23" t="s">
        <v>339</v>
      </c>
      <c r="H98" s="23" t="s">
        <v>355</v>
      </c>
      <c r="I98" s="23"/>
      <c r="J98" s="23"/>
      <c r="K98" s="23"/>
      <c r="L98" s="23"/>
      <c r="M98" s="23"/>
      <c r="N98" s="23"/>
      <c r="O98" s="23"/>
      <c r="P98" s="30">
        <v>200</v>
      </c>
      <c r="Q98" s="30"/>
      <c r="R98" s="12">
        <v>0.65</v>
      </c>
      <c r="S98" s="30"/>
      <c r="T98" s="30">
        <f>IF(G98="","",_xlfn.XLOOKUP(G98,Sheet6!$E:$E,Sheet6!$D:$D,"",0,1))</f>
        <v>5</v>
      </c>
      <c r="U98" s="30">
        <f>IF(H98="","",_xlfn.XLOOKUP(H98,Sheet6!$E:$E,Sheet6!$D:$D,"",0,1))</f>
        <v>9</v>
      </c>
      <c r="V98" s="30" t="str">
        <f>IF(I98="","",_xlfn.XLOOKUP(I98,Sheet6!$E:$E,Sheet6!$D:$D,"",0,1))</f>
        <v/>
      </c>
      <c r="W98" s="30" t="str">
        <f>IF(J98="","",_xlfn.XLOOKUP(J98,Sheet6!$E:$E,Sheet6!$D:$D,"",0,1))</f>
        <v/>
      </c>
      <c r="X98" s="30" t="str">
        <f>IF(K98="","",_xlfn.XLOOKUP(K98,Sheet6!$E:$E,Sheet6!$D:$D,"",0,1))</f>
        <v/>
      </c>
      <c r="Y98" s="30" t="str">
        <f>IF(L98="","",_xlfn.XLOOKUP(L98,Sheet6!$E:$E,Sheet6!$D:$D,"",0,1))</f>
        <v/>
      </c>
      <c r="Z98" s="30" t="str">
        <f>IF(M98="","",_xlfn.XLOOKUP(M98,Sheet6!$E:$E,Sheet6!$D:$D,"",0,1))</f>
        <v/>
      </c>
      <c r="AA98" s="30" t="str">
        <f>IF(N98="","",_xlfn.XLOOKUP(N98,Sheet6!$E:$E,Sheet6!$D:$D,"",0,1))</f>
        <v/>
      </c>
      <c r="AB98" s="12" t="str">
        <f t="shared" si="11"/>
        <v>5,9</v>
      </c>
      <c r="AC98" s="31" t="str">
        <f t="shared" si="12"/>
        <v/>
      </c>
      <c r="AD98" s="38"/>
    </row>
    <row r="99" ht="16.25" hidden="1" spans="1:30">
      <c r="A99" s="13">
        <v>150802</v>
      </c>
      <c r="B99" s="22" t="s">
        <v>378</v>
      </c>
      <c r="C99" s="12" t="s">
        <v>310</v>
      </c>
      <c r="D99" s="12" t="s">
        <v>311</v>
      </c>
      <c r="E99" s="12" t="s">
        <v>310</v>
      </c>
      <c r="F99" s="12" t="s">
        <v>311</v>
      </c>
      <c r="G99" s="23" t="s">
        <v>313</v>
      </c>
      <c r="H99" s="23" t="s">
        <v>319</v>
      </c>
      <c r="I99" s="23" t="s">
        <v>334</v>
      </c>
      <c r="J99" s="23"/>
      <c r="K99" s="23"/>
      <c r="L99" s="23"/>
      <c r="M99" s="23"/>
      <c r="N99" s="23"/>
      <c r="O99" s="23"/>
      <c r="P99" s="30">
        <v>60</v>
      </c>
      <c r="Q99" s="30">
        <v>80</v>
      </c>
      <c r="R99" s="12">
        <v>0.65</v>
      </c>
      <c r="S99" s="30">
        <v>1213</v>
      </c>
      <c r="T99" s="30">
        <f>IF(G99="","",_xlfn.XLOOKUP(G99,Sheet6!$E:$E,Sheet6!$D:$D,"",0,1))</f>
        <v>8</v>
      </c>
      <c r="U99" s="30">
        <f>IF(H99="","",_xlfn.XLOOKUP(H99,Sheet6!$E:$E,Sheet6!$D:$D,"",0,1))</f>
        <v>10</v>
      </c>
      <c r="V99" s="30">
        <f>IF(I99="","",_xlfn.XLOOKUP(I99,Sheet6!$E:$E,Sheet6!$D:$D,"",0,1))</f>
        <v>26</v>
      </c>
      <c r="W99" s="30" t="str">
        <f>IF(J99="","",_xlfn.XLOOKUP(J99,Sheet6!$E:$E,Sheet6!$D:$D,"",0,1))</f>
        <v/>
      </c>
      <c r="X99" s="30" t="str">
        <f>IF(K99="","",_xlfn.XLOOKUP(K99,Sheet6!$E:$E,Sheet6!$D:$D,"",0,1))</f>
        <v/>
      </c>
      <c r="Y99" s="30" t="str">
        <f>IF(L99="","",_xlfn.XLOOKUP(L99,Sheet6!$E:$E,Sheet6!$D:$D,"",0,1))</f>
        <v/>
      </c>
      <c r="Z99" s="30" t="str">
        <f>IF(M99="","",_xlfn.XLOOKUP(M99,Sheet6!$E:$E,Sheet6!$D:$D,"",0,1))</f>
        <v/>
      </c>
      <c r="AA99" s="30" t="str">
        <f>IF(N99="","",_xlfn.XLOOKUP(N99,Sheet6!$E:$E,Sheet6!$D:$D,"",0,1))</f>
        <v/>
      </c>
      <c r="AB99" s="12" t="str">
        <f t="shared" si="11"/>
        <v>8,10,26</v>
      </c>
      <c r="AC99" s="31" t="str">
        <f t="shared" si="12"/>
        <v/>
      </c>
      <c r="AD99" s="38"/>
    </row>
    <row r="100" ht="16.25" hidden="1" spans="1:30">
      <c r="A100" s="13">
        <v>150803</v>
      </c>
      <c r="B100" s="22" t="s">
        <v>379</v>
      </c>
      <c r="C100" s="12" t="s">
        <v>309</v>
      </c>
      <c r="D100" s="12" t="s">
        <v>310</v>
      </c>
      <c r="E100" s="12" t="s">
        <v>309</v>
      </c>
      <c r="F100" s="12" t="s">
        <v>310</v>
      </c>
      <c r="G100" s="23" t="s">
        <v>315</v>
      </c>
      <c r="H100" s="23" t="s">
        <v>355</v>
      </c>
      <c r="I100" s="23"/>
      <c r="J100" s="23"/>
      <c r="K100" s="23"/>
      <c r="L100" s="23"/>
      <c r="M100" s="23"/>
      <c r="N100" s="23"/>
      <c r="O100" s="23"/>
      <c r="P100" s="30">
        <v>100</v>
      </c>
      <c r="Q100" s="30">
        <v>30</v>
      </c>
      <c r="R100" s="12">
        <v>0.65</v>
      </c>
      <c r="S100" s="30">
        <v>45</v>
      </c>
      <c r="T100" s="30">
        <f>IF(G100="","",_xlfn.XLOOKUP(G100,Sheet6!$E:$E,Sheet6!$D:$D,"",0,1))</f>
        <v>6</v>
      </c>
      <c r="U100" s="30">
        <f>IF(H100="","",_xlfn.XLOOKUP(H100,Sheet6!$E:$E,Sheet6!$D:$D,"",0,1))</f>
        <v>9</v>
      </c>
      <c r="V100" s="30" t="str">
        <f>IF(I100="","",_xlfn.XLOOKUP(I100,Sheet6!$E:$E,Sheet6!$D:$D,"",0,1))</f>
        <v/>
      </c>
      <c r="W100" s="30" t="str">
        <f>IF(J100="","",_xlfn.XLOOKUP(J100,Sheet6!$E:$E,Sheet6!$D:$D,"",0,1))</f>
        <v/>
      </c>
      <c r="X100" s="30" t="str">
        <f>IF(K100="","",_xlfn.XLOOKUP(K100,Sheet6!$E:$E,Sheet6!$D:$D,"",0,1))</f>
        <v/>
      </c>
      <c r="Y100" s="30" t="str">
        <f>IF(L100="","",_xlfn.XLOOKUP(L100,Sheet6!$E:$E,Sheet6!$D:$D,"",0,1))</f>
        <v/>
      </c>
      <c r="Z100" s="30" t="str">
        <f>IF(M100="","",_xlfn.XLOOKUP(M100,Sheet6!$E:$E,Sheet6!$D:$D,"",0,1))</f>
        <v/>
      </c>
      <c r="AA100" s="30" t="str">
        <f>IF(N100="","",_xlfn.XLOOKUP(N100,Sheet6!$E:$E,Sheet6!$D:$D,"",0,1))</f>
        <v/>
      </c>
      <c r="AB100" s="12" t="str">
        <f t="shared" si="11"/>
        <v>6,9</v>
      </c>
      <c r="AC100" s="31" t="str">
        <f t="shared" si="12"/>
        <v/>
      </c>
      <c r="AD100" s="38"/>
    </row>
    <row r="101" ht="16.25" hidden="1" spans="1:30">
      <c r="A101" s="13">
        <v>150804</v>
      </c>
      <c r="B101" s="22" t="s">
        <v>380</v>
      </c>
      <c r="C101" s="12" t="s">
        <v>310</v>
      </c>
      <c r="D101" s="12" t="s">
        <v>311</v>
      </c>
      <c r="E101" s="12" t="s">
        <v>310</v>
      </c>
      <c r="F101" s="12" t="s">
        <v>311</v>
      </c>
      <c r="G101" s="23" t="s">
        <v>319</v>
      </c>
      <c r="H101" s="23" t="s">
        <v>334</v>
      </c>
      <c r="I101" s="23" t="s">
        <v>317</v>
      </c>
      <c r="J101" s="23"/>
      <c r="K101" s="23"/>
      <c r="L101" s="23"/>
      <c r="M101" s="23"/>
      <c r="N101" s="23"/>
      <c r="O101" s="23"/>
      <c r="P101" s="30">
        <v>30</v>
      </c>
      <c r="Q101" s="30">
        <v>1600</v>
      </c>
      <c r="R101" s="12">
        <v>0.65</v>
      </c>
      <c r="S101" s="30">
        <v>2426</v>
      </c>
      <c r="T101" s="30">
        <f>IF(G101="","",_xlfn.XLOOKUP(G101,Sheet6!$E:$E,Sheet6!$D:$D,"",0,1))</f>
        <v>10</v>
      </c>
      <c r="U101" s="30">
        <f>IF(H101="","",_xlfn.XLOOKUP(H101,Sheet6!$E:$E,Sheet6!$D:$D,"",0,1))</f>
        <v>26</v>
      </c>
      <c r="V101" s="30">
        <f>IF(I101="","",_xlfn.XLOOKUP(I101,Sheet6!$E:$E,Sheet6!$D:$D,"",0,1))</f>
        <v>7</v>
      </c>
      <c r="W101" s="30" t="str">
        <f>IF(J101="","",_xlfn.XLOOKUP(J101,Sheet6!$E:$E,Sheet6!$D:$D,"",0,1))</f>
        <v/>
      </c>
      <c r="X101" s="30" t="str">
        <f>IF(K101="","",_xlfn.XLOOKUP(K101,Sheet6!$E:$E,Sheet6!$D:$D,"",0,1))</f>
        <v/>
      </c>
      <c r="Y101" s="30" t="str">
        <f>IF(L101="","",_xlfn.XLOOKUP(L101,Sheet6!$E:$E,Sheet6!$D:$D,"",0,1))</f>
        <v/>
      </c>
      <c r="Z101" s="30" t="str">
        <f>IF(M101="","",_xlfn.XLOOKUP(M101,Sheet6!$E:$E,Sheet6!$D:$D,"",0,1))</f>
        <v/>
      </c>
      <c r="AA101" s="30" t="str">
        <f>IF(N101="","",_xlfn.XLOOKUP(N101,Sheet6!$E:$E,Sheet6!$D:$D,"",0,1))</f>
        <v/>
      </c>
      <c r="AB101" s="12" t="str">
        <f t="shared" si="11"/>
        <v>10,26,7</v>
      </c>
      <c r="AC101" s="31" t="str">
        <f t="shared" si="12"/>
        <v/>
      </c>
      <c r="AD101" s="38"/>
    </row>
    <row r="102" ht="16.25" hidden="1" spans="1:30">
      <c r="A102" s="15">
        <v>250801</v>
      </c>
      <c r="B102" s="24" t="s">
        <v>381</v>
      </c>
      <c r="C102" s="12" t="s">
        <v>309</v>
      </c>
      <c r="D102" s="12"/>
      <c r="E102" s="12" t="s">
        <v>309</v>
      </c>
      <c r="F102" s="12"/>
      <c r="G102" s="23" t="s">
        <v>339</v>
      </c>
      <c r="H102" s="23" t="s">
        <v>355</v>
      </c>
      <c r="I102" s="23"/>
      <c r="J102" s="23"/>
      <c r="K102" s="23"/>
      <c r="L102" s="23"/>
      <c r="M102" s="23"/>
      <c r="N102" s="23"/>
      <c r="O102" s="23"/>
      <c r="P102" s="30">
        <v>200</v>
      </c>
      <c r="Q102" s="30"/>
      <c r="R102" s="12">
        <v>0.65</v>
      </c>
      <c r="S102" s="30"/>
      <c r="T102" s="30">
        <f>IF(G102="","",_xlfn.XLOOKUP(G102,Sheet6!$E:$E,Sheet6!$D:$D,"",0,1))</f>
        <v>5</v>
      </c>
      <c r="U102" s="30">
        <f>IF(H102="","",_xlfn.XLOOKUP(H102,Sheet6!$E:$E,Sheet6!$D:$D,"",0,1))</f>
        <v>9</v>
      </c>
      <c r="V102" s="30" t="str">
        <f>IF(I102="","",_xlfn.XLOOKUP(I102,Sheet6!$E:$E,Sheet6!$D:$D,"",0,1))</f>
        <v/>
      </c>
      <c r="W102" s="30" t="str">
        <f>IF(J102="","",_xlfn.XLOOKUP(J102,Sheet6!$E:$E,Sheet6!$D:$D,"",0,1))</f>
        <v/>
      </c>
      <c r="X102" s="30" t="str">
        <f>IF(K102="","",_xlfn.XLOOKUP(K102,Sheet6!$E:$E,Sheet6!$D:$D,"",0,1))</f>
        <v/>
      </c>
      <c r="Y102" s="30" t="str">
        <f>IF(L102="","",_xlfn.XLOOKUP(L102,Sheet6!$E:$E,Sheet6!$D:$D,"",0,1))</f>
        <v/>
      </c>
      <c r="Z102" s="30" t="str">
        <f>IF(M102="","",_xlfn.XLOOKUP(M102,Sheet6!$E:$E,Sheet6!$D:$D,"",0,1))</f>
        <v/>
      </c>
      <c r="AA102" s="30" t="str">
        <f>IF(N102="","",_xlfn.XLOOKUP(N102,Sheet6!$E:$E,Sheet6!$D:$D,"",0,1))</f>
        <v/>
      </c>
      <c r="AB102" s="12" t="str">
        <f t="shared" si="11"/>
        <v>5,9</v>
      </c>
      <c r="AC102" s="31" t="str">
        <f t="shared" si="12"/>
        <v/>
      </c>
      <c r="AD102" s="38"/>
    </row>
    <row r="103" ht="16.25" hidden="1" spans="1:30">
      <c r="A103" s="17">
        <v>250802</v>
      </c>
      <c r="B103" s="25" t="s">
        <v>382</v>
      </c>
      <c r="C103" s="12" t="s">
        <v>310</v>
      </c>
      <c r="D103" s="12" t="s">
        <v>311</v>
      </c>
      <c r="E103" s="12" t="s">
        <v>310</v>
      </c>
      <c r="F103" s="12" t="s">
        <v>311</v>
      </c>
      <c r="G103" s="23" t="s">
        <v>313</v>
      </c>
      <c r="H103" s="23" t="s">
        <v>319</v>
      </c>
      <c r="I103" s="23" t="s">
        <v>334</v>
      </c>
      <c r="J103" s="23"/>
      <c r="K103" s="23"/>
      <c r="L103" s="23"/>
      <c r="M103" s="23"/>
      <c r="N103" s="23"/>
      <c r="O103" s="23"/>
      <c r="P103" s="30">
        <v>60</v>
      </c>
      <c r="Q103" s="30">
        <v>80</v>
      </c>
      <c r="R103" s="12">
        <v>0.65</v>
      </c>
      <c r="S103" s="30">
        <v>1213</v>
      </c>
      <c r="T103" s="30">
        <f>IF(G103="","",_xlfn.XLOOKUP(G103,Sheet6!$E:$E,Sheet6!$D:$D,"",0,1))</f>
        <v>8</v>
      </c>
      <c r="U103" s="30">
        <f>IF(H103="","",_xlfn.XLOOKUP(H103,Sheet6!$E:$E,Sheet6!$D:$D,"",0,1))</f>
        <v>10</v>
      </c>
      <c r="V103" s="30">
        <f>IF(I103="","",_xlfn.XLOOKUP(I103,Sheet6!$E:$E,Sheet6!$D:$D,"",0,1))</f>
        <v>26</v>
      </c>
      <c r="W103" s="30" t="str">
        <f>IF(J103="","",_xlfn.XLOOKUP(J103,Sheet6!$E:$E,Sheet6!$D:$D,"",0,1))</f>
        <v/>
      </c>
      <c r="X103" s="30" t="str">
        <f>IF(K103="","",_xlfn.XLOOKUP(K103,Sheet6!$E:$E,Sheet6!$D:$D,"",0,1))</f>
        <v/>
      </c>
      <c r="Y103" s="30" t="str">
        <f>IF(L103="","",_xlfn.XLOOKUP(L103,Sheet6!$E:$E,Sheet6!$D:$D,"",0,1))</f>
        <v/>
      </c>
      <c r="Z103" s="30" t="str">
        <f>IF(M103="","",_xlfn.XLOOKUP(M103,Sheet6!$E:$E,Sheet6!$D:$D,"",0,1))</f>
        <v/>
      </c>
      <c r="AA103" s="30" t="str">
        <f>IF(N103="","",_xlfn.XLOOKUP(N103,Sheet6!$E:$E,Sheet6!$D:$D,"",0,1))</f>
        <v/>
      </c>
      <c r="AB103" s="12" t="str">
        <f t="shared" si="11"/>
        <v>8,10,26</v>
      </c>
      <c r="AC103" s="31" t="str">
        <f t="shared" si="12"/>
        <v/>
      </c>
      <c r="AD103" s="38"/>
    </row>
    <row r="104" ht="16.25" hidden="1" spans="1:30">
      <c r="A104" s="17">
        <v>250803</v>
      </c>
      <c r="B104" s="25" t="s">
        <v>383</v>
      </c>
      <c r="C104" s="12" t="s">
        <v>309</v>
      </c>
      <c r="D104" s="12" t="s">
        <v>310</v>
      </c>
      <c r="E104" s="12" t="s">
        <v>309</v>
      </c>
      <c r="F104" s="12" t="s">
        <v>310</v>
      </c>
      <c r="G104" s="23" t="s">
        <v>315</v>
      </c>
      <c r="H104" s="23" t="s">
        <v>355</v>
      </c>
      <c r="I104" s="23"/>
      <c r="J104" s="23"/>
      <c r="K104" s="23"/>
      <c r="L104" s="23"/>
      <c r="M104" s="23"/>
      <c r="N104" s="23"/>
      <c r="O104" s="23"/>
      <c r="P104" s="30">
        <v>100</v>
      </c>
      <c r="Q104" s="30">
        <v>30</v>
      </c>
      <c r="R104" s="12">
        <v>0.65</v>
      </c>
      <c r="S104" s="30">
        <v>45</v>
      </c>
      <c r="T104" s="30">
        <f>IF(G104="","",_xlfn.XLOOKUP(G104,Sheet6!$E:$E,Sheet6!$D:$D,"",0,1))</f>
        <v>6</v>
      </c>
      <c r="U104" s="30">
        <f>IF(H104="","",_xlfn.XLOOKUP(H104,Sheet6!$E:$E,Sheet6!$D:$D,"",0,1))</f>
        <v>9</v>
      </c>
      <c r="V104" s="30" t="str">
        <f>IF(I104="","",_xlfn.XLOOKUP(I104,Sheet6!$E:$E,Sheet6!$D:$D,"",0,1))</f>
        <v/>
      </c>
      <c r="W104" s="30" t="str">
        <f>IF(J104="","",_xlfn.XLOOKUP(J104,Sheet6!$E:$E,Sheet6!$D:$D,"",0,1))</f>
        <v/>
      </c>
      <c r="X104" s="30" t="str">
        <f>IF(K104="","",_xlfn.XLOOKUP(K104,Sheet6!$E:$E,Sheet6!$D:$D,"",0,1))</f>
        <v/>
      </c>
      <c r="Y104" s="30" t="str">
        <f>IF(L104="","",_xlfn.XLOOKUP(L104,Sheet6!$E:$E,Sheet6!$D:$D,"",0,1))</f>
        <v/>
      </c>
      <c r="Z104" s="30" t="str">
        <f>IF(M104="","",_xlfn.XLOOKUP(M104,Sheet6!$E:$E,Sheet6!$D:$D,"",0,1))</f>
        <v/>
      </c>
      <c r="AA104" s="30" t="str">
        <f>IF(N104="","",_xlfn.XLOOKUP(N104,Sheet6!$E:$E,Sheet6!$D:$D,"",0,1))</f>
        <v/>
      </c>
      <c r="AB104" s="12" t="str">
        <f t="shared" si="11"/>
        <v>6,9</v>
      </c>
      <c r="AC104" s="31" t="str">
        <f t="shared" si="12"/>
        <v/>
      </c>
      <c r="AD104" s="38"/>
    </row>
    <row r="105" ht="16.25" hidden="1" spans="1:30">
      <c r="A105" s="34">
        <v>250804</v>
      </c>
      <c r="B105" s="35" t="s">
        <v>384</v>
      </c>
      <c r="C105" s="12" t="s">
        <v>310</v>
      </c>
      <c r="D105" s="12" t="s">
        <v>311</v>
      </c>
      <c r="E105" s="12" t="s">
        <v>310</v>
      </c>
      <c r="F105" s="12" t="s">
        <v>311</v>
      </c>
      <c r="G105" s="23" t="s">
        <v>319</v>
      </c>
      <c r="H105" s="23" t="s">
        <v>334</v>
      </c>
      <c r="I105" s="23" t="s">
        <v>317</v>
      </c>
      <c r="J105" s="23"/>
      <c r="K105" s="23"/>
      <c r="L105" s="23"/>
      <c r="M105" s="23"/>
      <c r="N105" s="23"/>
      <c r="O105" s="23"/>
      <c r="P105" s="30">
        <v>30</v>
      </c>
      <c r="Q105" s="30">
        <v>1600</v>
      </c>
      <c r="R105" s="12">
        <v>0.65</v>
      </c>
      <c r="S105" s="30">
        <v>2426</v>
      </c>
      <c r="T105" s="30">
        <f>IF(G105="","",_xlfn.XLOOKUP(G105,Sheet6!$E:$E,Sheet6!$D:$D,"",0,1))</f>
        <v>10</v>
      </c>
      <c r="U105" s="30">
        <f>IF(H105="","",_xlfn.XLOOKUP(H105,Sheet6!$E:$E,Sheet6!$D:$D,"",0,1))</f>
        <v>26</v>
      </c>
      <c r="V105" s="30">
        <f>IF(I105="","",_xlfn.XLOOKUP(I105,Sheet6!$E:$E,Sheet6!$D:$D,"",0,1))</f>
        <v>7</v>
      </c>
      <c r="W105" s="30" t="str">
        <f>IF(J105="","",_xlfn.XLOOKUP(J105,Sheet6!$E:$E,Sheet6!$D:$D,"",0,1))</f>
        <v/>
      </c>
      <c r="X105" s="30" t="str">
        <f>IF(K105="","",_xlfn.XLOOKUP(K105,Sheet6!$E:$E,Sheet6!$D:$D,"",0,1))</f>
        <v/>
      </c>
      <c r="Y105" s="30" t="str">
        <f>IF(L105="","",_xlfn.XLOOKUP(L105,Sheet6!$E:$E,Sheet6!$D:$D,"",0,1))</f>
        <v/>
      </c>
      <c r="Z105" s="30" t="str">
        <f>IF(M105="","",_xlfn.XLOOKUP(M105,Sheet6!$E:$E,Sheet6!$D:$D,"",0,1))</f>
        <v/>
      </c>
      <c r="AA105" s="30" t="str">
        <f>IF(N105="","",_xlfn.XLOOKUP(N105,Sheet6!$E:$E,Sheet6!$D:$D,"",0,1))</f>
        <v/>
      </c>
      <c r="AB105" s="12" t="str">
        <f t="shared" si="11"/>
        <v>10,26,7</v>
      </c>
      <c r="AC105" s="31" t="str">
        <f t="shared" si="12"/>
        <v/>
      </c>
      <c r="AD105" s="38"/>
    </row>
    <row r="106" ht="17" spans="1:30">
      <c r="A106" s="26">
        <v>150901</v>
      </c>
      <c r="B106" s="27" t="s">
        <v>385</v>
      </c>
      <c r="C106" s="12" t="s">
        <v>309</v>
      </c>
      <c r="D106" s="12"/>
      <c r="E106" s="12" t="s">
        <v>309</v>
      </c>
      <c r="F106" s="12"/>
      <c r="G106" s="23" t="s">
        <v>339</v>
      </c>
      <c r="H106" s="23" t="s">
        <v>355</v>
      </c>
      <c r="I106" s="23" t="s">
        <v>337</v>
      </c>
      <c r="J106" s="23"/>
      <c r="K106" s="23"/>
      <c r="L106" s="23"/>
      <c r="M106" s="23"/>
      <c r="N106" s="23"/>
      <c r="O106" s="23"/>
      <c r="P106" s="30">
        <v>200</v>
      </c>
      <c r="Q106" s="30"/>
      <c r="R106" s="12">
        <v>0.65</v>
      </c>
      <c r="S106" s="30"/>
      <c r="T106" s="30">
        <f>IF(G106="","",_xlfn.XLOOKUP(G106,Sheet6!$E:$E,Sheet6!$D:$D,"",0,1))</f>
        <v>5</v>
      </c>
      <c r="U106" s="30">
        <f>IF(H106="","",_xlfn.XLOOKUP(H106,Sheet6!$E:$E,Sheet6!$D:$D,"",0,1))</f>
        <v>9</v>
      </c>
      <c r="V106" s="30">
        <f>IF(I106="","",_xlfn.XLOOKUP(I106,Sheet6!$E:$E,Sheet6!$D:$D,"",0,1))</f>
        <v>11</v>
      </c>
      <c r="W106" s="30" t="str">
        <f>IF(J106="","",_xlfn.XLOOKUP(J106,Sheet6!$E:$E,Sheet6!$D:$D,"",0,1))</f>
        <v/>
      </c>
      <c r="X106" s="30" t="str">
        <f>IF(K106="","",_xlfn.XLOOKUP(K106,Sheet6!$E:$E,Sheet6!$D:$D,"",0,1))</f>
        <v/>
      </c>
      <c r="Y106" s="30" t="str">
        <f>IF(L106="","",_xlfn.XLOOKUP(L106,Sheet6!$E:$E,Sheet6!$D:$D,"",0,1))</f>
        <v/>
      </c>
      <c r="Z106" s="30" t="str">
        <f>IF(M106="","",_xlfn.XLOOKUP(M106,Sheet6!$E:$E,Sheet6!$D:$D,"",0,1))</f>
        <v/>
      </c>
      <c r="AA106" s="30" t="str">
        <f>IF(N106="","",_xlfn.XLOOKUP(N106,Sheet6!$E:$E,Sheet6!$D:$D,"",0,1))</f>
        <v/>
      </c>
      <c r="AB106" s="12" t="str">
        <f t="shared" si="11"/>
        <v>5,9,11</v>
      </c>
      <c r="AC106" s="31" t="str">
        <f t="shared" si="12"/>
        <v/>
      </c>
      <c r="AD106" s="38"/>
    </row>
    <row r="107" ht="16.25" hidden="1" spans="1:30">
      <c r="A107" s="13">
        <v>150902</v>
      </c>
      <c r="B107" s="22" t="s">
        <v>386</v>
      </c>
      <c r="C107" s="12" t="s">
        <v>310</v>
      </c>
      <c r="D107" s="12" t="s">
        <v>311</v>
      </c>
      <c r="E107" s="12" t="s">
        <v>310</v>
      </c>
      <c r="F107" s="12" t="s">
        <v>311</v>
      </c>
      <c r="G107" s="23" t="s">
        <v>313</v>
      </c>
      <c r="H107" s="23" t="s">
        <v>319</v>
      </c>
      <c r="I107" s="23"/>
      <c r="J107" s="23"/>
      <c r="K107" s="23"/>
      <c r="L107" s="23"/>
      <c r="M107" s="23"/>
      <c r="N107" s="23"/>
      <c r="O107" s="23"/>
      <c r="P107" s="30">
        <v>60</v>
      </c>
      <c r="Q107" s="30">
        <v>80</v>
      </c>
      <c r="R107" s="12">
        <v>0.65</v>
      </c>
      <c r="S107" s="30">
        <v>1213</v>
      </c>
      <c r="T107" s="30">
        <f>IF(G107="","",_xlfn.XLOOKUP(G107,Sheet6!$E:$E,Sheet6!$D:$D,"",0,1))</f>
        <v>8</v>
      </c>
      <c r="U107" s="30">
        <f>IF(H107="","",_xlfn.XLOOKUP(H107,Sheet6!$E:$E,Sheet6!$D:$D,"",0,1))</f>
        <v>10</v>
      </c>
      <c r="V107" s="30" t="str">
        <f>IF(I107="","",_xlfn.XLOOKUP(I107,Sheet6!$E:$E,Sheet6!$D:$D,"",0,1))</f>
        <v/>
      </c>
      <c r="W107" s="30" t="str">
        <f>IF(J107="","",_xlfn.XLOOKUP(J107,Sheet6!$E:$E,Sheet6!$D:$D,"",0,1))</f>
        <v/>
      </c>
      <c r="X107" s="30" t="str">
        <f>IF(K107="","",_xlfn.XLOOKUP(K107,Sheet6!$E:$E,Sheet6!$D:$D,"",0,1))</f>
        <v/>
      </c>
      <c r="Y107" s="30" t="str">
        <f>IF(L107="","",_xlfn.XLOOKUP(L107,Sheet6!$E:$E,Sheet6!$D:$D,"",0,1))</f>
        <v/>
      </c>
      <c r="Z107" s="30" t="str">
        <f>IF(M107="","",_xlfn.XLOOKUP(M107,Sheet6!$E:$E,Sheet6!$D:$D,"",0,1))</f>
        <v/>
      </c>
      <c r="AA107" s="30" t="str">
        <f>IF(N107="","",_xlfn.XLOOKUP(N107,Sheet6!$E:$E,Sheet6!$D:$D,"",0,1))</f>
        <v/>
      </c>
      <c r="AB107" s="12" t="str">
        <f t="shared" si="11"/>
        <v>8,10</v>
      </c>
      <c r="AC107" s="31" t="str">
        <f t="shared" si="12"/>
        <v/>
      </c>
      <c r="AD107" s="38"/>
    </row>
    <row r="108" ht="16.25" hidden="1" spans="1:30">
      <c r="A108" s="13">
        <v>150903</v>
      </c>
      <c r="B108" s="22" t="s">
        <v>387</v>
      </c>
      <c r="C108" s="12" t="s">
        <v>309</v>
      </c>
      <c r="D108" s="12" t="s">
        <v>310</v>
      </c>
      <c r="E108" s="12" t="s">
        <v>309</v>
      </c>
      <c r="F108" s="12" t="s">
        <v>310</v>
      </c>
      <c r="G108" s="23" t="s">
        <v>315</v>
      </c>
      <c r="H108" s="23" t="s">
        <v>355</v>
      </c>
      <c r="I108" s="23" t="s">
        <v>337</v>
      </c>
      <c r="J108" s="23"/>
      <c r="K108" s="23"/>
      <c r="L108" s="23"/>
      <c r="M108" s="23"/>
      <c r="N108" s="23"/>
      <c r="O108" s="23"/>
      <c r="P108" s="30">
        <v>100</v>
      </c>
      <c r="Q108" s="30">
        <v>30</v>
      </c>
      <c r="R108" s="12">
        <v>0.65</v>
      </c>
      <c r="S108" s="30">
        <v>45</v>
      </c>
      <c r="T108" s="30">
        <f>IF(G108="","",_xlfn.XLOOKUP(G108,Sheet6!$E:$E,Sheet6!$D:$D,"",0,1))</f>
        <v>6</v>
      </c>
      <c r="U108" s="30">
        <f>IF(H108="","",_xlfn.XLOOKUP(H108,Sheet6!$E:$E,Sheet6!$D:$D,"",0,1))</f>
        <v>9</v>
      </c>
      <c r="V108" s="30">
        <f>IF(I108="","",_xlfn.XLOOKUP(I108,Sheet6!$E:$E,Sheet6!$D:$D,"",0,1))</f>
        <v>11</v>
      </c>
      <c r="W108" s="30" t="str">
        <f>IF(J108="","",_xlfn.XLOOKUP(J108,Sheet6!$E:$E,Sheet6!$D:$D,"",0,1))</f>
        <v/>
      </c>
      <c r="X108" s="30" t="str">
        <f>IF(K108="","",_xlfn.XLOOKUP(K108,Sheet6!$E:$E,Sheet6!$D:$D,"",0,1))</f>
        <v/>
      </c>
      <c r="Y108" s="30" t="str">
        <f>IF(L108="","",_xlfn.XLOOKUP(L108,Sheet6!$E:$E,Sheet6!$D:$D,"",0,1))</f>
        <v/>
      </c>
      <c r="Z108" s="30" t="str">
        <f>IF(M108="","",_xlfn.XLOOKUP(M108,Sheet6!$E:$E,Sheet6!$D:$D,"",0,1))</f>
        <v/>
      </c>
      <c r="AA108" s="30" t="str">
        <f>IF(N108="","",_xlfn.XLOOKUP(N108,Sheet6!$E:$E,Sheet6!$D:$D,"",0,1))</f>
        <v/>
      </c>
      <c r="AB108" s="12" t="str">
        <f t="shared" si="11"/>
        <v>6,9,11</v>
      </c>
      <c r="AC108" s="31" t="str">
        <f t="shared" si="12"/>
        <v/>
      </c>
      <c r="AD108" s="38"/>
    </row>
    <row r="109" ht="16.25" hidden="1" spans="1:30">
      <c r="A109" s="13">
        <v>150904</v>
      </c>
      <c r="B109" s="22" t="s">
        <v>388</v>
      </c>
      <c r="C109" s="12" t="s">
        <v>310</v>
      </c>
      <c r="D109" s="12" t="s">
        <v>311</v>
      </c>
      <c r="E109" s="12" t="s">
        <v>310</v>
      </c>
      <c r="F109" s="12" t="s">
        <v>311</v>
      </c>
      <c r="G109" s="23" t="s">
        <v>317</v>
      </c>
      <c r="H109" s="23" t="s">
        <v>319</v>
      </c>
      <c r="I109" s="23"/>
      <c r="J109" s="23"/>
      <c r="K109" s="23"/>
      <c r="L109" s="23"/>
      <c r="M109" s="23"/>
      <c r="N109" s="23"/>
      <c r="O109" s="23"/>
      <c r="P109" s="30">
        <v>30</v>
      </c>
      <c r="Q109" s="30">
        <v>1600</v>
      </c>
      <c r="R109" s="12">
        <v>0.65</v>
      </c>
      <c r="S109" s="30">
        <v>2426</v>
      </c>
      <c r="T109" s="30">
        <f>IF(G109="","",_xlfn.XLOOKUP(G109,Sheet6!$E:$E,Sheet6!$D:$D,"",0,1))</f>
        <v>7</v>
      </c>
      <c r="U109" s="30">
        <f>IF(H109="","",_xlfn.XLOOKUP(H109,Sheet6!$E:$E,Sheet6!$D:$D,"",0,1))</f>
        <v>10</v>
      </c>
      <c r="V109" s="30" t="str">
        <f>IF(I109="","",_xlfn.XLOOKUP(I109,Sheet6!$E:$E,Sheet6!$D:$D,"",0,1))</f>
        <v/>
      </c>
      <c r="W109" s="30" t="str">
        <f>IF(J109="","",_xlfn.XLOOKUP(J109,Sheet6!$E:$E,Sheet6!$D:$D,"",0,1))</f>
        <v/>
      </c>
      <c r="X109" s="30" t="str">
        <f>IF(K109="","",_xlfn.XLOOKUP(K109,Sheet6!$E:$E,Sheet6!$D:$D,"",0,1))</f>
        <v/>
      </c>
      <c r="Y109" s="30" t="str">
        <f>IF(L109="","",_xlfn.XLOOKUP(L109,Sheet6!$E:$E,Sheet6!$D:$D,"",0,1))</f>
        <v/>
      </c>
      <c r="Z109" s="30" t="str">
        <f>IF(M109="","",_xlfn.XLOOKUP(M109,Sheet6!$E:$E,Sheet6!$D:$D,"",0,1))</f>
        <v/>
      </c>
      <c r="AA109" s="30" t="str">
        <f>IF(N109="","",_xlfn.XLOOKUP(N109,Sheet6!$E:$E,Sheet6!$D:$D,"",0,1))</f>
        <v/>
      </c>
      <c r="AB109" s="12" t="str">
        <f t="shared" si="11"/>
        <v>7,10</v>
      </c>
      <c r="AC109" s="31" t="str">
        <f t="shared" si="12"/>
        <v/>
      </c>
      <c r="AD109" s="38"/>
    </row>
    <row r="110" ht="16.25" hidden="1" spans="1:30">
      <c r="A110" s="15">
        <v>250901</v>
      </c>
      <c r="B110" s="24" t="s">
        <v>389</v>
      </c>
      <c r="C110" s="12" t="s">
        <v>309</v>
      </c>
      <c r="D110" s="12"/>
      <c r="E110" s="12" t="s">
        <v>309</v>
      </c>
      <c r="F110" s="12"/>
      <c r="G110" s="23" t="s">
        <v>339</v>
      </c>
      <c r="H110" s="23" t="s">
        <v>355</v>
      </c>
      <c r="I110" s="23" t="s">
        <v>337</v>
      </c>
      <c r="J110" s="23"/>
      <c r="K110" s="23"/>
      <c r="L110" s="23"/>
      <c r="M110" s="23"/>
      <c r="N110" s="23"/>
      <c r="O110" s="23"/>
      <c r="P110" s="30">
        <v>200</v>
      </c>
      <c r="Q110" s="30"/>
      <c r="R110" s="12">
        <v>0.65</v>
      </c>
      <c r="S110" s="30"/>
      <c r="T110" s="30">
        <f>IF(G110="","",_xlfn.XLOOKUP(G110,Sheet6!$E:$E,Sheet6!$D:$D,"",0,1))</f>
        <v>5</v>
      </c>
      <c r="U110" s="30">
        <f>IF(H110="","",_xlfn.XLOOKUP(H110,Sheet6!$E:$E,Sheet6!$D:$D,"",0,1))</f>
        <v>9</v>
      </c>
      <c r="V110" s="30">
        <f>IF(I110="","",_xlfn.XLOOKUP(I110,Sheet6!$E:$E,Sheet6!$D:$D,"",0,1))</f>
        <v>11</v>
      </c>
      <c r="W110" s="30" t="str">
        <f>IF(J110="","",_xlfn.XLOOKUP(J110,Sheet6!$E:$E,Sheet6!$D:$D,"",0,1))</f>
        <v/>
      </c>
      <c r="X110" s="30" t="str">
        <f>IF(K110="","",_xlfn.XLOOKUP(K110,Sheet6!$E:$E,Sheet6!$D:$D,"",0,1))</f>
        <v/>
      </c>
      <c r="Y110" s="30" t="str">
        <f>IF(L110="","",_xlfn.XLOOKUP(L110,Sheet6!$E:$E,Sheet6!$D:$D,"",0,1))</f>
        <v/>
      </c>
      <c r="Z110" s="30" t="str">
        <f>IF(M110="","",_xlfn.XLOOKUP(M110,Sheet6!$E:$E,Sheet6!$D:$D,"",0,1))</f>
        <v/>
      </c>
      <c r="AA110" s="30" t="str">
        <f>IF(N110="","",_xlfn.XLOOKUP(N110,Sheet6!$E:$E,Sheet6!$D:$D,"",0,1))</f>
        <v/>
      </c>
      <c r="AB110" s="12" t="str">
        <f t="shared" si="11"/>
        <v>5,9,11</v>
      </c>
      <c r="AC110" s="31" t="str">
        <f t="shared" si="12"/>
        <v/>
      </c>
      <c r="AD110" s="37"/>
    </row>
    <row r="111" ht="16.25" hidden="1" spans="1:30">
      <c r="A111" s="17">
        <v>250902</v>
      </c>
      <c r="B111" s="25" t="s">
        <v>390</v>
      </c>
      <c r="C111" s="12" t="s">
        <v>310</v>
      </c>
      <c r="D111" s="12" t="s">
        <v>311</v>
      </c>
      <c r="E111" s="12" t="s">
        <v>310</v>
      </c>
      <c r="F111" s="12" t="s">
        <v>311</v>
      </c>
      <c r="G111" s="23" t="s">
        <v>313</v>
      </c>
      <c r="H111" s="23" t="s">
        <v>319</v>
      </c>
      <c r="I111" s="23"/>
      <c r="J111" s="23"/>
      <c r="K111" s="23"/>
      <c r="L111" s="23"/>
      <c r="M111" s="23"/>
      <c r="N111" s="23"/>
      <c r="O111" s="23"/>
      <c r="P111" s="30">
        <v>60</v>
      </c>
      <c r="Q111" s="30">
        <v>80</v>
      </c>
      <c r="R111" s="12">
        <v>0.65</v>
      </c>
      <c r="S111" s="30">
        <v>1213</v>
      </c>
      <c r="T111" s="30">
        <f>IF(G111="","",_xlfn.XLOOKUP(G111,Sheet6!$E:$E,Sheet6!$D:$D,"",0,1))</f>
        <v>8</v>
      </c>
      <c r="U111" s="30">
        <f>IF(H111="","",_xlfn.XLOOKUP(H111,Sheet6!$E:$E,Sheet6!$D:$D,"",0,1))</f>
        <v>10</v>
      </c>
      <c r="V111" s="30" t="str">
        <f>IF(I111="","",_xlfn.XLOOKUP(I111,Sheet6!$E:$E,Sheet6!$D:$D,"",0,1))</f>
        <v/>
      </c>
      <c r="W111" s="30" t="str">
        <f>IF(J111="","",_xlfn.XLOOKUP(J111,Sheet6!$E:$E,Sheet6!$D:$D,"",0,1))</f>
        <v/>
      </c>
      <c r="X111" s="30" t="str">
        <f>IF(K111="","",_xlfn.XLOOKUP(K111,Sheet6!$E:$E,Sheet6!$D:$D,"",0,1))</f>
        <v/>
      </c>
      <c r="Y111" s="30" t="str">
        <f>IF(L111="","",_xlfn.XLOOKUP(L111,Sheet6!$E:$E,Sheet6!$D:$D,"",0,1))</f>
        <v/>
      </c>
      <c r="Z111" s="30" t="str">
        <f>IF(M111="","",_xlfn.XLOOKUP(M111,Sheet6!$E:$E,Sheet6!$D:$D,"",0,1))</f>
        <v/>
      </c>
      <c r="AA111" s="30" t="str">
        <f>IF(N111="","",_xlfn.XLOOKUP(N111,Sheet6!$E:$E,Sheet6!$D:$D,"",0,1))</f>
        <v/>
      </c>
      <c r="AB111" s="12" t="str">
        <f t="shared" si="11"/>
        <v>8,10</v>
      </c>
      <c r="AC111" s="31" t="str">
        <f t="shared" si="12"/>
        <v/>
      </c>
      <c r="AD111" s="37"/>
    </row>
    <row r="112" ht="16.25" hidden="1" spans="1:30">
      <c r="A112" s="17">
        <v>250903</v>
      </c>
      <c r="B112" s="25" t="s">
        <v>391</v>
      </c>
      <c r="C112" s="12" t="s">
        <v>309</v>
      </c>
      <c r="D112" s="12" t="s">
        <v>310</v>
      </c>
      <c r="E112" s="12" t="s">
        <v>309</v>
      </c>
      <c r="F112" s="12" t="s">
        <v>310</v>
      </c>
      <c r="G112" s="23" t="s">
        <v>315</v>
      </c>
      <c r="H112" s="23" t="s">
        <v>355</v>
      </c>
      <c r="I112" s="23" t="s">
        <v>337</v>
      </c>
      <c r="J112" s="23"/>
      <c r="K112" s="23"/>
      <c r="L112" s="23"/>
      <c r="M112" s="23"/>
      <c r="N112" s="23"/>
      <c r="O112" s="23"/>
      <c r="P112" s="30">
        <v>100</v>
      </c>
      <c r="Q112" s="30">
        <v>30</v>
      </c>
      <c r="R112" s="12">
        <v>0.65</v>
      </c>
      <c r="S112" s="30">
        <v>45</v>
      </c>
      <c r="T112" s="30">
        <f>IF(G112="","",_xlfn.XLOOKUP(G112,Sheet6!$E:$E,Sheet6!$D:$D,"",0,1))</f>
        <v>6</v>
      </c>
      <c r="U112" s="30">
        <f>IF(H112="","",_xlfn.XLOOKUP(H112,Sheet6!$E:$E,Sheet6!$D:$D,"",0,1))</f>
        <v>9</v>
      </c>
      <c r="V112" s="30">
        <f>IF(I112="","",_xlfn.XLOOKUP(I112,Sheet6!$E:$E,Sheet6!$D:$D,"",0,1))</f>
        <v>11</v>
      </c>
      <c r="W112" s="30" t="str">
        <f>IF(J112="","",_xlfn.XLOOKUP(J112,Sheet6!$E:$E,Sheet6!$D:$D,"",0,1))</f>
        <v/>
      </c>
      <c r="X112" s="30" t="str">
        <f>IF(K112="","",_xlfn.XLOOKUP(K112,Sheet6!$E:$E,Sheet6!$D:$D,"",0,1))</f>
        <v/>
      </c>
      <c r="Y112" s="30" t="str">
        <f>IF(L112="","",_xlfn.XLOOKUP(L112,Sheet6!$E:$E,Sheet6!$D:$D,"",0,1))</f>
        <v/>
      </c>
      <c r="Z112" s="30" t="str">
        <f>IF(M112="","",_xlfn.XLOOKUP(M112,Sheet6!$E:$E,Sheet6!$D:$D,"",0,1))</f>
        <v/>
      </c>
      <c r="AA112" s="30" t="str">
        <f>IF(N112="","",_xlfn.XLOOKUP(N112,Sheet6!$E:$E,Sheet6!$D:$D,"",0,1))</f>
        <v/>
      </c>
      <c r="AB112" s="12" t="str">
        <f t="shared" si="11"/>
        <v>6,9,11</v>
      </c>
      <c r="AC112" s="31" t="str">
        <f t="shared" si="12"/>
        <v/>
      </c>
      <c r="AD112" s="37"/>
    </row>
    <row r="113" ht="17" hidden="1" spans="1:30">
      <c r="A113" s="19">
        <v>250904</v>
      </c>
      <c r="B113" s="20" t="s">
        <v>392</v>
      </c>
      <c r="C113" s="12" t="s">
        <v>310</v>
      </c>
      <c r="D113" s="12" t="s">
        <v>311</v>
      </c>
      <c r="E113" s="12" t="s">
        <v>310</v>
      </c>
      <c r="F113" s="12" t="s">
        <v>311</v>
      </c>
      <c r="G113" s="23" t="s">
        <v>317</v>
      </c>
      <c r="H113" s="23" t="s">
        <v>319</v>
      </c>
      <c r="I113" s="23"/>
      <c r="J113" s="23"/>
      <c r="K113" s="23"/>
      <c r="L113" s="23"/>
      <c r="M113" s="23"/>
      <c r="N113" s="23"/>
      <c r="O113" s="23"/>
      <c r="P113" s="30">
        <v>30</v>
      </c>
      <c r="Q113" s="30">
        <v>1600</v>
      </c>
      <c r="R113" s="12">
        <v>0.65</v>
      </c>
      <c r="S113" s="30">
        <v>2426</v>
      </c>
      <c r="T113" s="30">
        <f>IF(G113="","",_xlfn.XLOOKUP(G113,Sheet6!$E:$E,Sheet6!$D:$D,"",0,1))</f>
        <v>7</v>
      </c>
      <c r="U113" s="30">
        <f>IF(H113="","",_xlfn.XLOOKUP(H113,Sheet6!$E:$E,Sheet6!$D:$D,"",0,1))</f>
        <v>10</v>
      </c>
      <c r="V113" s="30" t="str">
        <f>IF(I113="","",_xlfn.XLOOKUP(I113,Sheet6!$E:$E,Sheet6!$D:$D,"",0,1))</f>
        <v/>
      </c>
      <c r="W113" s="30" t="str">
        <f>IF(J113="","",_xlfn.XLOOKUP(J113,Sheet6!$E:$E,Sheet6!$D:$D,"",0,1))</f>
        <v/>
      </c>
      <c r="X113" s="30" t="str">
        <f>IF(K113="","",_xlfn.XLOOKUP(K113,Sheet6!$E:$E,Sheet6!$D:$D,"",0,1))</f>
        <v/>
      </c>
      <c r="Y113" s="30" t="str">
        <f>IF(L113="","",_xlfn.XLOOKUP(L113,Sheet6!$E:$E,Sheet6!$D:$D,"",0,1))</f>
        <v/>
      </c>
      <c r="Z113" s="30" t="str">
        <f>IF(M113="","",_xlfn.XLOOKUP(M113,Sheet6!$E:$E,Sheet6!$D:$D,"",0,1))</f>
        <v/>
      </c>
      <c r="AA113" s="30" t="str">
        <f>IF(N113="","",_xlfn.XLOOKUP(N113,Sheet6!$E:$E,Sheet6!$D:$D,"",0,1))</f>
        <v/>
      </c>
      <c r="AB113" s="12" t="str">
        <f t="shared" si="11"/>
        <v>7,10</v>
      </c>
      <c r="AC113" s="31" t="str">
        <f t="shared" si="12"/>
        <v/>
      </c>
      <c r="AD113" s="37"/>
    </row>
    <row r="114" ht="17" spans="1:30">
      <c r="A114" s="10">
        <v>160101</v>
      </c>
      <c r="B114" s="11" t="s">
        <v>393</v>
      </c>
      <c r="C114" s="12" t="s">
        <v>309</v>
      </c>
      <c r="D114" s="12"/>
      <c r="E114" s="12" t="s">
        <v>309</v>
      </c>
      <c r="F114" s="12"/>
      <c r="G114" s="23" t="s">
        <v>313</v>
      </c>
      <c r="H114" s="23"/>
      <c r="I114" s="23"/>
      <c r="J114" s="23"/>
      <c r="K114" s="36" t="s">
        <v>313</v>
      </c>
      <c r="L114" s="36" t="s">
        <v>394</v>
      </c>
      <c r="M114" s="23"/>
      <c r="N114" s="23"/>
      <c r="O114" s="23"/>
      <c r="P114" s="30">
        <v>0.0512</v>
      </c>
      <c r="Q114" s="30"/>
      <c r="R114" s="30"/>
      <c r="S114" s="30"/>
      <c r="T114" s="30">
        <f>IF(G114="","",_xlfn.XLOOKUP(G114,Sheet6!$E:$E,Sheet6!$D:$D,"",0,1))</f>
        <v>8</v>
      </c>
      <c r="U114" s="30" t="str">
        <f>IF(H114="","",_xlfn.XLOOKUP(H114,Sheet6!$E:$E,Sheet6!$D:$D,"",0,1))</f>
        <v/>
      </c>
      <c r="V114" s="30" t="str">
        <f>IF(I114="","",_xlfn.XLOOKUP(I114,Sheet6!$E:$E,Sheet6!$D:$D,"",0,1))</f>
        <v/>
      </c>
      <c r="W114" s="30" t="str">
        <f>IF(J114="","",_xlfn.XLOOKUP(J114,Sheet6!$E:$E,Sheet6!$D:$D,"",0,1))</f>
        <v/>
      </c>
      <c r="X114" s="30">
        <f>IF(K114="","",_xlfn.XLOOKUP(K114,Sheet6!$E:$E,Sheet6!$D:$D,"",0,1))</f>
        <v>8</v>
      </c>
      <c r="Y114" s="30">
        <f>IF(L114="","",_xlfn.XLOOKUP(L114,Sheet6!$E:$E,Sheet6!$D:$D,"",0,1))</f>
        <v>4</v>
      </c>
      <c r="Z114" s="30" t="str">
        <f>IF(M114="","",_xlfn.XLOOKUP(M114,Sheet6!$E:$E,Sheet6!$D:$D,"",0,1))</f>
        <v/>
      </c>
      <c r="AA114" s="30" t="str">
        <f>IF(N114="","",_xlfn.XLOOKUP(N114,Sheet6!$E:$E,Sheet6!$D:$D,"",0,1))</f>
        <v/>
      </c>
      <c r="AB114" s="12" t="str">
        <f t="shared" si="11"/>
        <v>8</v>
      </c>
      <c r="AC114" s="31" t="str">
        <f t="shared" si="12"/>
        <v>8,4</v>
      </c>
      <c r="AD114" s="37"/>
    </row>
    <row r="115" ht="16.25" hidden="1" spans="1:30">
      <c r="A115" s="13">
        <v>160102</v>
      </c>
      <c r="B115" s="22" t="s">
        <v>395</v>
      </c>
      <c r="C115" s="12" t="s">
        <v>310</v>
      </c>
      <c r="D115" s="12" t="s">
        <v>311</v>
      </c>
      <c r="E115" s="12" t="s">
        <v>310</v>
      </c>
      <c r="F115" s="12" t="s">
        <v>311</v>
      </c>
      <c r="G115" s="23" t="s">
        <v>315</v>
      </c>
      <c r="H115" s="23"/>
      <c r="I115" s="23"/>
      <c r="J115" s="23"/>
      <c r="K115" s="36" t="s">
        <v>315</v>
      </c>
      <c r="L115" s="36" t="s">
        <v>394</v>
      </c>
      <c r="M115" s="23"/>
      <c r="N115" s="23"/>
      <c r="O115" s="23"/>
      <c r="P115" s="30">
        <v>0.03</v>
      </c>
      <c r="Q115" s="30"/>
      <c r="R115" s="30"/>
      <c r="S115" s="30"/>
      <c r="T115" s="30">
        <f>IF(G115="","",_xlfn.XLOOKUP(G115,Sheet6!$E:$E,Sheet6!$D:$D,"",0,1))</f>
        <v>6</v>
      </c>
      <c r="U115" s="30" t="str">
        <f>IF(H115="","",_xlfn.XLOOKUP(H115,Sheet6!$E:$E,Sheet6!$D:$D,"",0,1))</f>
        <v/>
      </c>
      <c r="V115" s="30" t="str">
        <f>IF(I115="","",_xlfn.XLOOKUP(I115,Sheet6!$E:$E,Sheet6!$D:$D,"",0,1))</f>
        <v/>
      </c>
      <c r="W115" s="30" t="str">
        <f>IF(J115="","",_xlfn.XLOOKUP(J115,Sheet6!$E:$E,Sheet6!$D:$D,"",0,1))</f>
        <v/>
      </c>
      <c r="X115" s="30">
        <f>IF(K115="","",_xlfn.XLOOKUP(K115,Sheet6!$E:$E,Sheet6!$D:$D,"",0,1))</f>
        <v>6</v>
      </c>
      <c r="Y115" s="30">
        <f>IF(L115="","",_xlfn.XLOOKUP(L115,Sheet6!$E:$E,Sheet6!$D:$D,"",0,1))</f>
        <v>4</v>
      </c>
      <c r="Z115" s="30" t="str">
        <f>IF(M115="","",_xlfn.XLOOKUP(M115,Sheet6!$E:$E,Sheet6!$D:$D,"",0,1))</f>
        <v/>
      </c>
      <c r="AA115" s="30" t="str">
        <f>IF(N115="","",_xlfn.XLOOKUP(N115,Sheet6!$E:$E,Sheet6!$D:$D,"",0,1))</f>
        <v/>
      </c>
      <c r="AB115" s="12" t="str">
        <f t="shared" si="11"/>
        <v>6</v>
      </c>
      <c r="AC115" s="31" t="str">
        <f t="shared" si="12"/>
        <v>6,4</v>
      </c>
      <c r="AD115" s="37"/>
    </row>
    <row r="116" ht="16.25" hidden="1" spans="1:30">
      <c r="A116" s="13">
        <v>160103</v>
      </c>
      <c r="B116" s="22" t="s">
        <v>396</v>
      </c>
      <c r="C116" s="12" t="s">
        <v>309</v>
      </c>
      <c r="D116" s="12" t="s">
        <v>310</v>
      </c>
      <c r="E116" s="12" t="s">
        <v>309</v>
      </c>
      <c r="F116" s="12" t="s">
        <v>310</v>
      </c>
      <c r="G116" s="23" t="s">
        <v>317</v>
      </c>
      <c r="H116" s="23"/>
      <c r="I116" s="23"/>
      <c r="J116" s="23"/>
      <c r="K116" s="36" t="s">
        <v>317</v>
      </c>
      <c r="L116" s="36" t="s">
        <v>394</v>
      </c>
      <c r="M116" s="23"/>
      <c r="N116" s="23"/>
      <c r="O116" s="23"/>
      <c r="P116" s="30">
        <v>12.14</v>
      </c>
      <c r="Q116" s="30"/>
      <c r="R116" s="30"/>
      <c r="S116" s="30"/>
      <c r="T116" s="30">
        <f>IF(G116="","",_xlfn.XLOOKUP(G116,Sheet6!$E:$E,Sheet6!$D:$D,"",0,1))</f>
        <v>7</v>
      </c>
      <c r="U116" s="30" t="str">
        <f>IF(H116="","",_xlfn.XLOOKUP(H116,Sheet6!$E:$E,Sheet6!$D:$D,"",0,1))</f>
        <v/>
      </c>
      <c r="V116" s="30" t="str">
        <f>IF(I116="","",_xlfn.XLOOKUP(I116,Sheet6!$E:$E,Sheet6!$D:$D,"",0,1))</f>
        <v/>
      </c>
      <c r="W116" s="30" t="str">
        <f>IF(J116="","",_xlfn.XLOOKUP(J116,Sheet6!$E:$E,Sheet6!$D:$D,"",0,1))</f>
        <v/>
      </c>
      <c r="X116" s="30">
        <f>IF(K116="","",_xlfn.XLOOKUP(K116,Sheet6!$E:$E,Sheet6!$D:$D,"",0,1))</f>
        <v>7</v>
      </c>
      <c r="Y116" s="30">
        <f>IF(L116="","",_xlfn.XLOOKUP(L116,Sheet6!$E:$E,Sheet6!$D:$D,"",0,1))</f>
        <v>4</v>
      </c>
      <c r="Z116" s="30" t="str">
        <f>IF(M116="","",_xlfn.XLOOKUP(M116,Sheet6!$E:$E,Sheet6!$D:$D,"",0,1))</f>
        <v/>
      </c>
      <c r="AA116" s="30" t="str">
        <f>IF(N116="","",_xlfn.XLOOKUP(N116,Sheet6!$E:$E,Sheet6!$D:$D,"",0,1))</f>
        <v/>
      </c>
      <c r="AB116" s="12" t="str">
        <f t="shared" si="11"/>
        <v>7</v>
      </c>
      <c r="AC116" s="31" t="str">
        <f t="shared" si="12"/>
        <v>7,4</v>
      </c>
      <c r="AD116" s="37"/>
    </row>
    <row r="117" ht="16.25" hidden="1" spans="1:30">
      <c r="A117" s="13">
        <v>160104</v>
      </c>
      <c r="B117" s="22" t="s">
        <v>397</v>
      </c>
      <c r="C117" s="12" t="s">
        <v>310</v>
      </c>
      <c r="D117" s="12" t="s">
        <v>311</v>
      </c>
      <c r="E117" s="12" t="s">
        <v>310</v>
      </c>
      <c r="F117" s="12" t="s">
        <v>311</v>
      </c>
      <c r="G117" s="23" t="s">
        <v>319</v>
      </c>
      <c r="H117" s="23"/>
      <c r="I117" s="23"/>
      <c r="J117" s="23"/>
      <c r="K117" s="36" t="s">
        <v>319</v>
      </c>
      <c r="L117" s="36" t="s">
        <v>394</v>
      </c>
      <c r="M117" s="23"/>
      <c r="N117" s="23"/>
      <c r="O117" s="23"/>
      <c r="P117" s="30">
        <v>0.03</v>
      </c>
      <c r="Q117" s="30"/>
      <c r="R117" s="30"/>
      <c r="S117" s="30"/>
      <c r="T117" s="30">
        <f>IF(G117="","",_xlfn.XLOOKUP(G117,Sheet6!$E:$E,Sheet6!$D:$D,"",0,1))</f>
        <v>10</v>
      </c>
      <c r="U117" s="30" t="str">
        <f>IF(H117="","",_xlfn.XLOOKUP(H117,Sheet6!$E:$E,Sheet6!$D:$D,"",0,1))</f>
        <v/>
      </c>
      <c r="V117" s="30" t="str">
        <f>IF(I117="","",_xlfn.XLOOKUP(I117,Sheet6!$E:$E,Sheet6!$D:$D,"",0,1))</f>
        <v/>
      </c>
      <c r="W117" s="30" t="str">
        <f>IF(J117="","",_xlfn.XLOOKUP(J117,Sheet6!$E:$E,Sheet6!$D:$D,"",0,1))</f>
        <v/>
      </c>
      <c r="X117" s="30">
        <f>IF(K117="","",_xlfn.XLOOKUP(K117,Sheet6!$E:$E,Sheet6!$D:$D,"",0,1))</f>
        <v>10</v>
      </c>
      <c r="Y117" s="30">
        <f>IF(L117="","",_xlfn.XLOOKUP(L117,Sheet6!$E:$E,Sheet6!$D:$D,"",0,1))</f>
        <v>4</v>
      </c>
      <c r="Z117" s="30" t="str">
        <f>IF(M117="","",_xlfn.XLOOKUP(M117,Sheet6!$E:$E,Sheet6!$D:$D,"",0,1))</f>
        <v/>
      </c>
      <c r="AA117" s="30" t="str">
        <f>IF(N117="","",_xlfn.XLOOKUP(N117,Sheet6!$E:$E,Sheet6!$D:$D,"",0,1))</f>
        <v/>
      </c>
      <c r="AB117" s="12" t="str">
        <f t="shared" si="11"/>
        <v>10</v>
      </c>
      <c r="AC117" s="31" t="str">
        <f t="shared" si="12"/>
        <v>10,4</v>
      </c>
      <c r="AD117" s="37"/>
    </row>
    <row r="118" ht="16.25" hidden="1" spans="1:30">
      <c r="A118" s="15">
        <v>260101</v>
      </c>
      <c r="B118" s="24" t="s">
        <v>398</v>
      </c>
      <c r="C118" s="12" t="s">
        <v>309</v>
      </c>
      <c r="D118" s="12"/>
      <c r="E118" s="12" t="s">
        <v>309</v>
      </c>
      <c r="F118" s="12"/>
      <c r="G118" s="23" t="s">
        <v>313</v>
      </c>
      <c r="H118" s="23"/>
      <c r="I118" s="23"/>
      <c r="J118" s="23"/>
      <c r="K118" s="36" t="s">
        <v>313</v>
      </c>
      <c r="L118" s="36" t="s">
        <v>394</v>
      </c>
      <c r="M118" s="23"/>
      <c r="N118" s="23"/>
      <c r="O118" s="23"/>
      <c r="P118" s="30">
        <v>12.14</v>
      </c>
      <c r="Q118" s="30"/>
      <c r="R118" s="30"/>
      <c r="S118" s="30"/>
      <c r="T118" s="30">
        <f>IF(G118="","",_xlfn.XLOOKUP(G118,Sheet6!$E:$E,Sheet6!$D:$D,"",0,1))</f>
        <v>8</v>
      </c>
      <c r="U118" s="30" t="str">
        <f>IF(H118="","",_xlfn.XLOOKUP(H118,Sheet6!$E:$E,Sheet6!$D:$D,"",0,1))</f>
        <v/>
      </c>
      <c r="V118" s="30" t="str">
        <f>IF(I118="","",_xlfn.XLOOKUP(I118,Sheet6!$E:$E,Sheet6!$D:$D,"",0,1))</f>
        <v/>
      </c>
      <c r="W118" s="30" t="str">
        <f>IF(J118="","",_xlfn.XLOOKUP(J118,Sheet6!$E:$E,Sheet6!$D:$D,"",0,1))</f>
        <v/>
      </c>
      <c r="X118" s="30">
        <f>IF(K118="","",_xlfn.XLOOKUP(K118,Sheet6!$E:$E,Sheet6!$D:$D,"",0,1))</f>
        <v>8</v>
      </c>
      <c r="Y118" s="30">
        <f>IF(L118="","",_xlfn.XLOOKUP(L118,Sheet6!$E:$E,Sheet6!$D:$D,"",0,1))</f>
        <v>4</v>
      </c>
      <c r="Z118" s="30" t="str">
        <f>IF(M118="","",_xlfn.XLOOKUP(M118,Sheet6!$E:$E,Sheet6!$D:$D,"",0,1))</f>
        <v/>
      </c>
      <c r="AA118" s="30" t="str">
        <f>IF(N118="","",_xlfn.XLOOKUP(N118,Sheet6!$E:$E,Sheet6!$D:$D,"",0,1))</f>
        <v/>
      </c>
      <c r="AB118" s="12" t="str">
        <f t="shared" si="11"/>
        <v>8</v>
      </c>
      <c r="AC118" s="31" t="str">
        <f t="shared" si="12"/>
        <v>8,4</v>
      </c>
      <c r="AD118" s="37"/>
    </row>
    <row r="119" ht="16.25" hidden="1" spans="1:30">
      <c r="A119" s="17">
        <v>260102</v>
      </c>
      <c r="B119" s="25" t="s">
        <v>399</v>
      </c>
      <c r="C119" s="12" t="s">
        <v>310</v>
      </c>
      <c r="D119" s="12" t="s">
        <v>311</v>
      </c>
      <c r="E119" s="12" t="s">
        <v>310</v>
      </c>
      <c r="F119" s="12" t="s">
        <v>311</v>
      </c>
      <c r="G119" s="23" t="s">
        <v>315</v>
      </c>
      <c r="H119" s="23"/>
      <c r="I119" s="23"/>
      <c r="J119" s="23"/>
      <c r="K119" s="36" t="s">
        <v>315</v>
      </c>
      <c r="L119" s="36" t="s">
        <v>394</v>
      </c>
      <c r="M119" s="23"/>
      <c r="N119" s="23"/>
      <c r="O119" s="23"/>
      <c r="P119" s="30">
        <v>0.0194</v>
      </c>
      <c r="Q119" s="30"/>
      <c r="R119" s="30"/>
      <c r="S119" s="30"/>
      <c r="T119" s="30">
        <f>IF(G119="","",_xlfn.XLOOKUP(G119,Sheet6!$E:$E,Sheet6!$D:$D,"",0,1))</f>
        <v>6</v>
      </c>
      <c r="U119" s="30" t="str">
        <f>IF(H119="","",_xlfn.XLOOKUP(H119,Sheet6!$E:$E,Sheet6!$D:$D,"",0,1))</f>
        <v/>
      </c>
      <c r="V119" s="30" t="str">
        <f>IF(I119="","",_xlfn.XLOOKUP(I119,Sheet6!$E:$E,Sheet6!$D:$D,"",0,1))</f>
        <v/>
      </c>
      <c r="W119" s="30" t="str">
        <f>IF(J119="","",_xlfn.XLOOKUP(J119,Sheet6!$E:$E,Sheet6!$D:$D,"",0,1))</f>
        <v/>
      </c>
      <c r="X119" s="30">
        <f>IF(K119="","",_xlfn.XLOOKUP(K119,Sheet6!$E:$E,Sheet6!$D:$D,"",0,1))</f>
        <v>6</v>
      </c>
      <c r="Y119" s="30">
        <f>IF(L119="","",_xlfn.XLOOKUP(L119,Sheet6!$E:$E,Sheet6!$D:$D,"",0,1))</f>
        <v>4</v>
      </c>
      <c r="Z119" s="30" t="str">
        <f>IF(M119="","",_xlfn.XLOOKUP(M119,Sheet6!$E:$E,Sheet6!$D:$D,"",0,1))</f>
        <v/>
      </c>
      <c r="AA119" s="30" t="str">
        <f>IF(N119="","",_xlfn.XLOOKUP(N119,Sheet6!$E:$E,Sheet6!$D:$D,"",0,1))</f>
        <v/>
      </c>
      <c r="AB119" s="12" t="str">
        <f t="shared" si="11"/>
        <v>6</v>
      </c>
      <c r="AC119" s="31" t="str">
        <f t="shared" si="12"/>
        <v>6,4</v>
      </c>
      <c r="AD119" s="37"/>
    </row>
    <row r="120" ht="16.25" hidden="1" spans="1:30">
      <c r="A120" s="17">
        <v>260103</v>
      </c>
      <c r="B120" s="25" t="s">
        <v>400</v>
      </c>
      <c r="C120" s="12" t="s">
        <v>309</v>
      </c>
      <c r="D120" s="12" t="s">
        <v>310</v>
      </c>
      <c r="E120" s="12" t="s">
        <v>309</v>
      </c>
      <c r="F120" s="12" t="s">
        <v>310</v>
      </c>
      <c r="G120" s="23" t="s">
        <v>317</v>
      </c>
      <c r="H120" s="23"/>
      <c r="I120" s="23"/>
      <c r="J120" s="23"/>
      <c r="K120" s="36" t="s">
        <v>317</v>
      </c>
      <c r="L120" s="36" t="s">
        <v>394</v>
      </c>
      <c r="M120" s="23"/>
      <c r="N120" s="23"/>
      <c r="O120" s="23"/>
      <c r="P120" s="30">
        <v>12.14</v>
      </c>
      <c r="Q120" s="30"/>
      <c r="R120" s="30"/>
      <c r="S120" s="30"/>
      <c r="T120" s="30">
        <f>IF(G120="","",_xlfn.XLOOKUP(G120,Sheet6!$E:$E,Sheet6!$D:$D,"",0,1))</f>
        <v>7</v>
      </c>
      <c r="U120" s="30" t="str">
        <f>IF(H120="","",_xlfn.XLOOKUP(H120,Sheet6!$E:$E,Sheet6!$D:$D,"",0,1))</f>
        <v/>
      </c>
      <c r="V120" s="30" t="str">
        <f>IF(I120="","",_xlfn.XLOOKUP(I120,Sheet6!$E:$E,Sheet6!$D:$D,"",0,1))</f>
        <v/>
      </c>
      <c r="W120" s="30" t="str">
        <f>IF(J120="","",_xlfn.XLOOKUP(J120,Sheet6!$E:$E,Sheet6!$D:$D,"",0,1))</f>
        <v/>
      </c>
      <c r="X120" s="30">
        <f>IF(K120="","",_xlfn.XLOOKUP(K120,Sheet6!$E:$E,Sheet6!$D:$D,"",0,1))</f>
        <v>7</v>
      </c>
      <c r="Y120" s="30">
        <f>IF(L120="","",_xlfn.XLOOKUP(L120,Sheet6!$E:$E,Sheet6!$D:$D,"",0,1))</f>
        <v>4</v>
      </c>
      <c r="Z120" s="30" t="str">
        <f>IF(M120="","",_xlfn.XLOOKUP(M120,Sheet6!$E:$E,Sheet6!$D:$D,"",0,1))</f>
        <v/>
      </c>
      <c r="AA120" s="30" t="str">
        <f>IF(N120="","",_xlfn.XLOOKUP(N120,Sheet6!$E:$E,Sheet6!$D:$D,"",0,1))</f>
        <v/>
      </c>
      <c r="AB120" s="12" t="str">
        <f t="shared" si="11"/>
        <v>7</v>
      </c>
      <c r="AC120" s="31" t="str">
        <f t="shared" si="12"/>
        <v>7,4</v>
      </c>
      <c r="AD120" s="37"/>
    </row>
    <row r="121" ht="16.25" hidden="1" spans="1:30">
      <c r="A121" s="17">
        <v>260104</v>
      </c>
      <c r="B121" s="25" t="s">
        <v>401</v>
      </c>
      <c r="C121" s="12" t="s">
        <v>310</v>
      </c>
      <c r="D121" s="12" t="s">
        <v>311</v>
      </c>
      <c r="E121" s="12" t="s">
        <v>310</v>
      </c>
      <c r="F121" s="12" t="s">
        <v>311</v>
      </c>
      <c r="G121" s="23" t="s">
        <v>319</v>
      </c>
      <c r="H121" s="23"/>
      <c r="I121" s="23"/>
      <c r="J121" s="23"/>
      <c r="K121" s="36" t="s">
        <v>319</v>
      </c>
      <c r="L121" s="36" t="s">
        <v>394</v>
      </c>
      <c r="M121" s="23"/>
      <c r="N121" s="23"/>
      <c r="O121" s="23"/>
      <c r="P121" s="30">
        <v>0.0194</v>
      </c>
      <c r="Q121" s="30"/>
      <c r="R121" s="30"/>
      <c r="S121" s="30"/>
      <c r="T121" s="30">
        <f>IF(G121="","",_xlfn.XLOOKUP(G121,Sheet6!$E:$E,Sheet6!$D:$D,"",0,1))</f>
        <v>10</v>
      </c>
      <c r="U121" s="30" t="str">
        <f>IF(H121="","",_xlfn.XLOOKUP(H121,Sheet6!$E:$E,Sheet6!$D:$D,"",0,1))</f>
        <v/>
      </c>
      <c r="V121" s="30" t="str">
        <f>IF(I121="","",_xlfn.XLOOKUP(I121,Sheet6!$E:$E,Sheet6!$D:$D,"",0,1))</f>
        <v/>
      </c>
      <c r="W121" s="30" t="str">
        <f>IF(J121="","",_xlfn.XLOOKUP(J121,Sheet6!$E:$E,Sheet6!$D:$D,"",0,1))</f>
        <v/>
      </c>
      <c r="X121" s="30">
        <f>IF(K121="","",_xlfn.XLOOKUP(K121,Sheet6!$E:$E,Sheet6!$D:$D,"",0,1))</f>
        <v>10</v>
      </c>
      <c r="Y121" s="30">
        <f>IF(L121="","",_xlfn.XLOOKUP(L121,Sheet6!$E:$E,Sheet6!$D:$D,"",0,1))</f>
        <v>4</v>
      </c>
      <c r="Z121" s="30" t="str">
        <f>IF(M121="","",_xlfn.XLOOKUP(M121,Sheet6!$E:$E,Sheet6!$D:$D,"",0,1))</f>
        <v/>
      </c>
      <c r="AA121" s="30" t="str">
        <f>IF(N121="","",_xlfn.XLOOKUP(N121,Sheet6!$E:$E,Sheet6!$D:$D,"",0,1))</f>
        <v/>
      </c>
      <c r="AB121" s="12" t="str">
        <f t="shared" si="11"/>
        <v>10</v>
      </c>
      <c r="AC121" s="31" t="str">
        <f t="shared" si="12"/>
        <v>10,4</v>
      </c>
      <c r="AD121" s="37"/>
    </row>
    <row r="122" ht="16.25" spans="1:30">
      <c r="A122" s="28">
        <v>160201</v>
      </c>
      <c r="B122" s="29" t="s">
        <v>402</v>
      </c>
      <c r="C122" s="12" t="s">
        <v>309</v>
      </c>
      <c r="D122" s="12"/>
      <c r="E122" s="12" t="s">
        <v>309</v>
      </c>
      <c r="F122" s="12"/>
      <c r="G122" s="23" t="s">
        <v>313</v>
      </c>
      <c r="H122" s="23"/>
      <c r="I122" s="23"/>
      <c r="J122" s="23"/>
      <c r="K122" s="36" t="s">
        <v>313</v>
      </c>
      <c r="L122" s="36" t="s">
        <v>394</v>
      </c>
      <c r="M122" s="36"/>
      <c r="N122" s="23"/>
      <c r="O122" s="23"/>
      <c r="P122" s="30">
        <v>12.14</v>
      </c>
      <c r="Q122" s="30"/>
      <c r="R122" s="30"/>
      <c r="S122" s="30"/>
      <c r="T122" s="30">
        <f>IF(G122="","",_xlfn.XLOOKUP(G122,Sheet6!$E:$E,Sheet6!$D:$D,"",0,1))</f>
        <v>8</v>
      </c>
      <c r="U122" s="30" t="str">
        <f>IF(H122="","",_xlfn.XLOOKUP(H122,Sheet6!$E:$E,Sheet6!$D:$D,"",0,1))</f>
        <v/>
      </c>
      <c r="V122" s="30" t="str">
        <f>IF(I122="","",_xlfn.XLOOKUP(I122,Sheet6!$E:$E,Sheet6!$D:$D,"",0,1))</f>
        <v/>
      </c>
      <c r="W122" s="30" t="str">
        <f>IF(J122="","",_xlfn.XLOOKUP(J122,Sheet6!$E:$E,Sheet6!$D:$D,"",0,1))</f>
        <v/>
      </c>
      <c r="X122" s="30">
        <f>IF(K122="","",_xlfn.XLOOKUP(K122,Sheet6!$E:$E,Sheet6!$D:$D,"",0,1))</f>
        <v>8</v>
      </c>
      <c r="Y122" s="30">
        <f>IF(L122="","",_xlfn.XLOOKUP(L122,Sheet6!$E:$E,Sheet6!$D:$D,"",0,1))</f>
        <v>4</v>
      </c>
      <c r="Z122" s="30" t="str">
        <f>IF(M122="","",_xlfn.XLOOKUP(M122,Sheet6!$E:$E,Sheet6!$D:$D,"",0,1))</f>
        <v/>
      </c>
      <c r="AA122" s="30" t="str">
        <f>IF(N122="","",_xlfn.XLOOKUP(N122,Sheet6!$E:$E,Sheet6!$D:$D,"",0,1))</f>
        <v/>
      </c>
      <c r="AB122" s="12" t="str">
        <f t="shared" si="11"/>
        <v>8</v>
      </c>
      <c r="AC122" s="31" t="str">
        <f t="shared" si="12"/>
        <v>8,4</v>
      </c>
      <c r="AD122" s="37"/>
    </row>
    <row r="123" ht="16.25" hidden="1" spans="1:30">
      <c r="A123" s="13">
        <v>160202</v>
      </c>
      <c r="B123" s="22" t="s">
        <v>403</v>
      </c>
      <c r="C123" s="12" t="s">
        <v>310</v>
      </c>
      <c r="D123" s="12" t="s">
        <v>311</v>
      </c>
      <c r="E123" s="12" t="s">
        <v>310</v>
      </c>
      <c r="F123" s="12" t="s">
        <v>311</v>
      </c>
      <c r="G123" s="23" t="s">
        <v>315</v>
      </c>
      <c r="H123" s="23" t="s">
        <v>326</v>
      </c>
      <c r="I123" s="23"/>
      <c r="J123" s="23"/>
      <c r="K123" s="36" t="s">
        <v>315</v>
      </c>
      <c r="L123" s="36" t="s">
        <v>326</v>
      </c>
      <c r="M123" s="36" t="s">
        <v>394</v>
      </c>
      <c r="N123" s="23"/>
      <c r="O123" s="23"/>
      <c r="P123" s="30">
        <v>0.0324</v>
      </c>
      <c r="Q123" s="30"/>
      <c r="R123" s="30"/>
      <c r="S123" s="30"/>
      <c r="T123" s="30">
        <f>IF(G123="","",_xlfn.XLOOKUP(G123,Sheet6!$E:$E,Sheet6!$D:$D,"",0,1))</f>
        <v>6</v>
      </c>
      <c r="U123" s="30">
        <f>IF(H123="","",_xlfn.XLOOKUP(H123,Sheet6!$E:$E,Sheet6!$D:$D,"",0,1))</f>
        <v>35</v>
      </c>
      <c r="V123" s="30" t="str">
        <f>IF(I123="","",_xlfn.XLOOKUP(I123,Sheet6!$E:$E,Sheet6!$D:$D,"",0,1))</f>
        <v/>
      </c>
      <c r="W123" s="30" t="str">
        <f>IF(J123="","",_xlfn.XLOOKUP(J123,Sheet6!$E:$E,Sheet6!$D:$D,"",0,1))</f>
        <v/>
      </c>
      <c r="X123" s="30">
        <f>IF(K123="","",_xlfn.XLOOKUP(K123,Sheet6!$E:$E,Sheet6!$D:$D,"",0,1))</f>
        <v>6</v>
      </c>
      <c r="Y123" s="30">
        <f>IF(L123="","",_xlfn.XLOOKUP(L123,Sheet6!$E:$E,Sheet6!$D:$D,"",0,1))</f>
        <v>35</v>
      </c>
      <c r="Z123" s="30">
        <f>IF(M123="","",_xlfn.XLOOKUP(M123,Sheet6!$E:$E,Sheet6!$D:$D,"",0,1))</f>
        <v>4</v>
      </c>
      <c r="AA123" s="30" t="str">
        <f>IF(N123="","",_xlfn.XLOOKUP(N123,Sheet6!$E:$E,Sheet6!$D:$D,"",0,1))</f>
        <v/>
      </c>
      <c r="AB123" s="12" t="str">
        <f t="shared" si="11"/>
        <v>6,35</v>
      </c>
      <c r="AC123" s="31" t="str">
        <f t="shared" si="12"/>
        <v>6,35,4</v>
      </c>
      <c r="AD123" s="37"/>
    </row>
    <row r="124" ht="16.25" hidden="1" spans="1:30">
      <c r="A124" s="13">
        <v>160203</v>
      </c>
      <c r="B124" s="22" t="s">
        <v>404</v>
      </c>
      <c r="C124" s="12" t="s">
        <v>309</v>
      </c>
      <c r="D124" s="12" t="s">
        <v>310</v>
      </c>
      <c r="E124" s="12" t="s">
        <v>309</v>
      </c>
      <c r="F124" s="12" t="s">
        <v>310</v>
      </c>
      <c r="G124" t="s">
        <v>317</v>
      </c>
      <c r="H124" s="23"/>
      <c r="I124" s="23"/>
      <c r="J124" s="23"/>
      <c r="K124" s="36" t="s">
        <v>317</v>
      </c>
      <c r="L124" s="36" t="s">
        <v>394</v>
      </c>
      <c r="M124" s="36"/>
      <c r="N124" s="23"/>
      <c r="O124" s="23"/>
      <c r="P124" s="30">
        <v>12.14</v>
      </c>
      <c r="Q124" s="30"/>
      <c r="R124" s="30"/>
      <c r="S124" s="30"/>
      <c r="T124" s="30">
        <f>IF(G124="","",_xlfn.XLOOKUP(G124,Sheet6!$E:$E,Sheet6!$D:$D,"",0,1))</f>
        <v>7</v>
      </c>
      <c r="U124" s="30" t="str">
        <f>IF(H124="","",_xlfn.XLOOKUP(H124,Sheet6!$E:$E,Sheet6!$D:$D,"",0,1))</f>
        <v/>
      </c>
      <c r="V124" s="30" t="str">
        <f>IF(I124="","",_xlfn.XLOOKUP(I124,Sheet6!$E:$E,Sheet6!$D:$D,"",0,1))</f>
        <v/>
      </c>
      <c r="W124" s="30" t="str">
        <f>IF(J124="","",_xlfn.XLOOKUP(J124,Sheet6!$E:$E,Sheet6!$D:$D,"",0,1))</f>
        <v/>
      </c>
      <c r="X124" s="30">
        <f>IF(K124="","",_xlfn.XLOOKUP(K124,Sheet6!$E:$E,Sheet6!$D:$D,"",0,1))</f>
        <v>7</v>
      </c>
      <c r="Y124" s="30">
        <f>IF(L124="","",_xlfn.XLOOKUP(L124,Sheet6!$E:$E,Sheet6!$D:$D,"",0,1))</f>
        <v>4</v>
      </c>
      <c r="Z124" s="30" t="str">
        <f>IF(M124="","",_xlfn.XLOOKUP(M124,Sheet6!$E:$E,Sheet6!$D:$D,"",0,1))</f>
        <v/>
      </c>
      <c r="AA124" s="30" t="str">
        <f>IF(N124="","",_xlfn.XLOOKUP(N124,Sheet6!$E:$E,Sheet6!$D:$D,"",0,1))</f>
        <v/>
      </c>
      <c r="AB124" s="12" t="str">
        <f t="shared" si="11"/>
        <v>7</v>
      </c>
      <c r="AC124" s="31" t="str">
        <f t="shared" si="12"/>
        <v>7,4</v>
      </c>
      <c r="AD124" s="37"/>
    </row>
    <row r="125" ht="16.25" hidden="1" spans="1:30">
      <c r="A125" s="13">
        <v>160204</v>
      </c>
      <c r="B125" s="22" t="s">
        <v>405</v>
      </c>
      <c r="C125" s="12" t="s">
        <v>310</v>
      </c>
      <c r="D125" s="12" t="s">
        <v>311</v>
      </c>
      <c r="E125" s="12" t="s">
        <v>310</v>
      </c>
      <c r="F125" s="12" t="s">
        <v>311</v>
      </c>
      <c r="G125" s="23" t="s">
        <v>319</v>
      </c>
      <c r="H125" s="23" t="s">
        <v>326</v>
      </c>
      <c r="I125" s="23"/>
      <c r="J125" s="23"/>
      <c r="K125" s="36" t="s">
        <v>319</v>
      </c>
      <c r="L125" s="36" t="s">
        <v>326</v>
      </c>
      <c r="M125" s="36" t="s">
        <v>394</v>
      </c>
      <c r="N125" s="23"/>
      <c r="O125" s="23"/>
      <c r="P125" s="30">
        <v>0.0136</v>
      </c>
      <c r="Q125" s="30"/>
      <c r="R125" s="30"/>
      <c r="S125" s="30"/>
      <c r="T125" s="30">
        <f>IF(G125="","",_xlfn.XLOOKUP(G125,Sheet6!$E:$E,Sheet6!$D:$D,"",0,1))</f>
        <v>10</v>
      </c>
      <c r="U125" s="30">
        <f>IF(H125="","",_xlfn.XLOOKUP(H125,Sheet6!$E:$E,Sheet6!$D:$D,"",0,1))</f>
        <v>35</v>
      </c>
      <c r="V125" s="30" t="str">
        <f>IF(I125="","",_xlfn.XLOOKUP(I125,Sheet6!$E:$E,Sheet6!$D:$D,"",0,1))</f>
        <v/>
      </c>
      <c r="W125" s="30" t="str">
        <f>IF(J125="","",_xlfn.XLOOKUP(J125,Sheet6!$E:$E,Sheet6!$D:$D,"",0,1))</f>
        <v/>
      </c>
      <c r="X125" s="30">
        <f>IF(K125="","",_xlfn.XLOOKUP(K125,Sheet6!$E:$E,Sheet6!$D:$D,"",0,1))</f>
        <v>10</v>
      </c>
      <c r="Y125" s="30">
        <f>IF(L125="","",_xlfn.XLOOKUP(L125,Sheet6!$E:$E,Sheet6!$D:$D,"",0,1))</f>
        <v>35</v>
      </c>
      <c r="Z125" s="30">
        <f>IF(M125="","",_xlfn.XLOOKUP(M125,Sheet6!$E:$E,Sheet6!$D:$D,"",0,1))</f>
        <v>4</v>
      </c>
      <c r="AA125" s="30" t="str">
        <f>IF(N125="","",_xlfn.XLOOKUP(N125,Sheet6!$E:$E,Sheet6!$D:$D,"",0,1))</f>
        <v/>
      </c>
      <c r="AB125" s="12" t="str">
        <f t="shared" si="11"/>
        <v>10,35</v>
      </c>
      <c r="AC125" s="31" t="str">
        <f t="shared" si="12"/>
        <v>10,35,4</v>
      </c>
      <c r="AD125" s="37"/>
    </row>
    <row r="126" ht="16.25" hidden="1" spans="1:30">
      <c r="A126" s="15">
        <v>260201</v>
      </c>
      <c r="B126" s="24" t="s">
        <v>406</v>
      </c>
      <c r="C126" s="12" t="s">
        <v>309</v>
      </c>
      <c r="D126" s="12"/>
      <c r="E126" s="12" t="s">
        <v>309</v>
      </c>
      <c r="F126" s="12"/>
      <c r="G126" s="23" t="s">
        <v>313</v>
      </c>
      <c r="H126" s="23"/>
      <c r="I126" s="23"/>
      <c r="J126" s="23"/>
      <c r="K126" s="36" t="s">
        <v>313</v>
      </c>
      <c r="L126" s="36" t="s">
        <v>394</v>
      </c>
      <c r="M126" s="36"/>
      <c r="N126" s="23"/>
      <c r="O126" s="23"/>
      <c r="P126" s="30">
        <v>12.14</v>
      </c>
      <c r="Q126" s="30"/>
      <c r="R126" s="30"/>
      <c r="S126" s="30"/>
      <c r="T126" s="30">
        <f>IF(G126="","",_xlfn.XLOOKUP(G126,Sheet6!$E:$E,Sheet6!$D:$D,"",0,1))</f>
        <v>8</v>
      </c>
      <c r="U126" s="30" t="str">
        <f>IF(H126="","",_xlfn.XLOOKUP(H126,Sheet6!$E:$E,Sheet6!$D:$D,"",0,1))</f>
        <v/>
      </c>
      <c r="V126" s="30" t="str">
        <f>IF(I126="","",_xlfn.XLOOKUP(I126,Sheet6!$E:$E,Sheet6!$D:$D,"",0,1))</f>
        <v/>
      </c>
      <c r="W126" s="30" t="str">
        <f>IF(J126="","",_xlfn.XLOOKUP(J126,Sheet6!$E:$E,Sheet6!$D:$D,"",0,1))</f>
        <v/>
      </c>
      <c r="X126" s="30">
        <f>IF(K126="","",_xlfn.XLOOKUP(K126,Sheet6!$E:$E,Sheet6!$D:$D,"",0,1))</f>
        <v>8</v>
      </c>
      <c r="Y126" s="30">
        <f>IF(L126="","",_xlfn.XLOOKUP(L126,Sheet6!$E:$E,Sheet6!$D:$D,"",0,1))</f>
        <v>4</v>
      </c>
      <c r="Z126" s="30" t="str">
        <f>IF(M126="","",_xlfn.XLOOKUP(M126,Sheet6!$E:$E,Sheet6!$D:$D,"",0,1))</f>
        <v/>
      </c>
      <c r="AA126" s="30" t="str">
        <f>IF(N126="","",_xlfn.XLOOKUP(N126,Sheet6!$E:$E,Sheet6!$D:$D,"",0,1))</f>
        <v/>
      </c>
      <c r="AB126" s="12" t="str">
        <f t="shared" si="11"/>
        <v>8</v>
      </c>
      <c r="AC126" s="31" t="str">
        <f t="shared" si="12"/>
        <v>8,4</v>
      </c>
      <c r="AD126" s="37"/>
    </row>
    <row r="127" ht="16.25" hidden="1" spans="1:30">
      <c r="A127" s="17">
        <v>260202</v>
      </c>
      <c r="B127" s="25" t="s">
        <v>407</v>
      </c>
      <c r="C127" s="12" t="s">
        <v>310</v>
      </c>
      <c r="D127" s="12" t="s">
        <v>311</v>
      </c>
      <c r="E127" s="12" t="s">
        <v>310</v>
      </c>
      <c r="F127" s="12" t="s">
        <v>311</v>
      </c>
      <c r="G127" s="23" t="s">
        <v>315</v>
      </c>
      <c r="H127" s="23" t="s">
        <v>326</v>
      </c>
      <c r="I127" s="23"/>
      <c r="J127" s="23"/>
      <c r="K127" s="36" t="s">
        <v>315</v>
      </c>
      <c r="L127" s="36" t="s">
        <v>326</v>
      </c>
      <c r="M127" s="36" t="s">
        <v>394</v>
      </c>
      <c r="N127" s="23"/>
      <c r="O127" s="23"/>
      <c r="P127" s="30">
        <v>0.0097</v>
      </c>
      <c r="Q127" s="30"/>
      <c r="R127" s="30"/>
      <c r="S127" s="30"/>
      <c r="T127" s="30">
        <f>IF(G127="","",_xlfn.XLOOKUP(G127,Sheet6!$E:$E,Sheet6!$D:$D,"",0,1))</f>
        <v>6</v>
      </c>
      <c r="U127" s="30">
        <f>IF(H127="","",_xlfn.XLOOKUP(H127,Sheet6!$E:$E,Sheet6!$D:$D,"",0,1))</f>
        <v>35</v>
      </c>
      <c r="V127" s="30" t="str">
        <f>IF(I127="","",_xlfn.XLOOKUP(I127,Sheet6!$E:$E,Sheet6!$D:$D,"",0,1))</f>
        <v/>
      </c>
      <c r="W127" s="30" t="str">
        <f>IF(J127="","",_xlfn.XLOOKUP(J127,Sheet6!$E:$E,Sheet6!$D:$D,"",0,1))</f>
        <v/>
      </c>
      <c r="X127" s="30">
        <f>IF(K127="","",_xlfn.XLOOKUP(K127,Sheet6!$E:$E,Sheet6!$D:$D,"",0,1))</f>
        <v>6</v>
      </c>
      <c r="Y127" s="30">
        <f>IF(L127="","",_xlfn.XLOOKUP(L127,Sheet6!$E:$E,Sheet6!$D:$D,"",0,1))</f>
        <v>35</v>
      </c>
      <c r="Z127" s="30">
        <f>IF(M127="","",_xlfn.XLOOKUP(M127,Sheet6!$E:$E,Sheet6!$D:$D,"",0,1))</f>
        <v>4</v>
      </c>
      <c r="AA127" s="30" t="str">
        <f>IF(N127="","",_xlfn.XLOOKUP(N127,Sheet6!$E:$E,Sheet6!$D:$D,"",0,1))</f>
        <v/>
      </c>
      <c r="AB127" s="12" t="str">
        <f t="shared" si="11"/>
        <v>6,35</v>
      </c>
      <c r="AC127" s="31" t="str">
        <f t="shared" si="12"/>
        <v>6,35,4</v>
      </c>
      <c r="AD127" s="37"/>
    </row>
    <row r="128" ht="16.25" hidden="1" spans="1:30">
      <c r="A128" s="17">
        <v>260203</v>
      </c>
      <c r="B128" s="25" t="s">
        <v>408</v>
      </c>
      <c r="C128" s="12" t="s">
        <v>309</v>
      </c>
      <c r="D128" s="12" t="s">
        <v>310</v>
      </c>
      <c r="E128" s="12" t="s">
        <v>309</v>
      </c>
      <c r="F128" s="12" t="s">
        <v>310</v>
      </c>
      <c r="G128" t="s">
        <v>317</v>
      </c>
      <c r="H128" s="23"/>
      <c r="I128" s="23"/>
      <c r="J128" s="23"/>
      <c r="K128" s="36" t="s">
        <v>317</v>
      </c>
      <c r="L128" s="36" t="s">
        <v>394</v>
      </c>
      <c r="M128" s="36"/>
      <c r="N128" s="23"/>
      <c r="O128" s="23"/>
      <c r="P128" s="30">
        <v>0.0205</v>
      </c>
      <c r="Q128" s="30"/>
      <c r="R128" s="30"/>
      <c r="S128" s="30"/>
      <c r="T128" s="30">
        <f>IF(G128="","",_xlfn.XLOOKUP(G128,Sheet6!$E:$E,Sheet6!$D:$D,"",0,1))</f>
        <v>7</v>
      </c>
      <c r="U128" s="30" t="str">
        <f>IF(H128="","",_xlfn.XLOOKUP(H128,Sheet6!$E:$E,Sheet6!$D:$D,"",0,1))</f>
        <v/>
      </c>
      <c r="V128" s="30" t="str">
        <f>IF(I128="","",_xlfn.XLOOKUP(I128,Sheet6!$E:$E,Sheet6!$D:$D,"",0,1))</f>
        <v/>
      </c>
      <c r="W128" s="30" t="str">
        <f>IF(J128="","",_xlfn.XLOOKUP(J128,Sheet6!$E:$E,Sheet6!$D:$D,"",0,1))</f>
        <v/>
      </c>
      <c r="X128" s="30">
        <f>IF(K128="","",_xlfn.XLOOKUP(K128,Sheet6!$E:$E,Sheet6!$D:$D,"",0,1))</f>
        <v>7</v>
      </c>
      <c r="Y128" s="30">
        <f>IF(L128="","",_xlfn.XLOOKUP(L128,Sheet6!$E:$E,Sheet6!$D:$D,"",0,1))</f>
        <v>4</v>
      </c>
      <c r="Z128" s="30" t="str">
        <f>IF(M128="","",_xlfn.XLOOKUP(M128,Sheet6!$E:$E,Sheet6!$D:$D,"",0,1))</f>
        <v/>
      </c>
      <c r="AA128" s="30" t="str">
        <f>IF(N128="","",_xlfn.XLOOKUP(N128,Sheet6!$E:$E,Sheet6!$D:$D,"",0,1))</f>
        <v/>
      </c>
      <c r="AB128" s="12" t="str">
        <f t="shared" si="11"/>
        <v>7</v>
      </c>
      <c r="AC128" s="31" t="str">
        <f t="shared" si="12"/>
        <v>7,4</v>
      </c>
      <c r="AD128" s="37"/>
    </row>
    <row r="129" ht="16.25" hidden="1" spans="1:30">
      <c r="A129" s="34">
        <v>260204</v>
      </c>
      <c r="B129" s="35" t="s">
        <v>409</v>
      </c>
      <c r="C129" s="12" t="s">
        <v>310</v>
      </c>
      <c r="D129" s="12" t="s">
        <v>311</v>
      </c>
      <c r="E129" s="12" t="s">
        <v>310</v>
      </c>
      <c r="F129" s="12" t="s">
        <v>311</v>
      </c>
      <c r="G129" s="23" t="s">
        <v>319</v>
      </c>
      <c r="H129" s="23" t="s">
        <v>326</v>
      </c>
      <c r="I129" s="23"/>
      <c r="J129" s="23"/>
      <c r="K129" s="36" t="s">
        <v>319</v>
      </c>
      <c r="L129" s="36" t="s">
        <v>326</v>
      </c>
      <c r="M129" s="36" t="s">
        <v>394</v>
      </c>
      <c r="N129" s="23"/>
      <c r="O129" s="23"/>
      <c r="P129" s="30">
        <v>0.0136</v>
      </c>
      <c r="Q129" s="30"/>
      <c r="R129" s="30"/>
      <c r="S129" s="30"/>
      <c r="T129" s="30">
        <f>IF(G129="","",_xlfn.XLOOKUP(G129,Sheet6!$E:$E,Sheet6!$D:$D,"",0,1))</f>
        <v>10</v>
      </c>
      <c r="U129" s="30">
        <f>IF(H129="","",_xlfn.XLOOKUP(H129,Sheet6!$E:$E,Sheet6!$D:$D,"",0,1))</f>
        <v>35</v>
      </c>
      <c r="V129" s="30" t="str">
        <f>IF(I129="","",_xlfn.XLOOKUP(I129,Sheet6!$E:$E,Sheet6!$D:$D,"",0,1))</f>
        <v/>
      </c>
      <c r="W129" s="30" t="str">
        <f>IF(J129="","",_xlfn.XLOOKUP(J129,Sheet6!$E:$E,Sheet6!$D:$D,"",0,1))</f>
        <v/>
      </c>
      <c r="X129" s="30">
        <f>IF(K129="","",_xlfn.XLOOKUP(K129,Sheet6!$E:$E,Sheet6!$D:$D,"",0,1))</f>
        <v>10</v>
      </c>
      <c r="Y129" s="30">
        <f>IF(L129="","",_xlfn.XLOOKUP(L129,Sheet6!$E:$E,Sheet6!$D:$D,"",0,1))</f>
        <v>35</v>
      </c>
      <c r="Z129" s="30">
        <f>IF(M129="","",_xlfn.XLOOKUP(M129,Sheet6!$E:$E,Sheet6!$D:$D,"",0,1))</f>
        <v>4</v>
      </c>
      <c r="AA129" s="30" t="str">
        <f>IF(N129="","",_xlfn.XLOOKUP(N129,Sheet6!$E:$E,Sheet6!$D:$D,"",0,1))</f>
        <v/>
      </c>
      <c r="AB129" s="12" t="str">
        <f t="shared" si="11"/>
        <v>10,35</v>
      </c>
      <c r="AC129" s="31" t="str">
        <f t="shared" si="12"/>
        <v>10,35,4</v>
      </c>
      <c r="AD129" s="37"/>
    </row>
    <row r="130" ht="16.25" spans="1:30">
      <c r="A130" s="28">
        <v>160301</v>
      </c>
      <c r="B130" s="29" t="s">
        <v>410</v>
      </c>
      <c r="C130" s="12" t="s">
        <v>309</v>
      </c>
      <c r="D130" s="12"/>
      <c r="E130" s="12" t="s">
        <v>309</v>
      </c>
      <c r="F130" s="12"/>
      <c r="G130" s="23" t="s">
        <v>313</v>
      </c>
      <c r="H130" s="23" t="s">
        <v>334</v>
      </c>
      <c r="I130" s="23"/>
      <c r="J130" s="23"/>
      <c r="K130" s="36" t="s">
        <v>313</v>
      </c>
      <c r="L130" s="36" t="s">
        <v>334</v>
      </c>
      <c r="M130" s="36" t="s">
        <v>394</v>
      </c>
      <c r="N130" s="23"/>
      <c r="O130" s="23"/>
      <c r="P130" s="30">
        <v>0.0097</v>
      </c>
      <c r="Q130" s="30"/>
      <c r="R130" s="30"/>
      <c r="S130" s="30"/>
      <c r="T130" s="30">
        <f>IF(G130="","",_xlfn.XLOOKUP(G130,Sheet6!$E:$E,Sheet6!$D:$D,"",0,1))</f>
        <v>8</v>
      </c>
      <c r="U130" s="30">
        <f>IF(H130="","",_xlfn.XLOOKUP(H130,Sheet6!$E:$E,Sheet6!$D:$D,"",0,1))</f>
        <v>26</v>
      </c>
      <c r="V130" s="30" t="str">
        <f>IF(I130="","",_xlfn.XLOOKUP(I130,Sheet6!$E:$E,Sheet6!$D:$D,"",0,1))</f>
        <v/>
      </c>
      <c r="W130" s="30" t="str">
        <f>IF(J130="","",_xlfn.XLOOKUP(J130,Sheet6!$E:$E,Sheet6!$D:$D,"",0,1))</f>
        <v/>
      </c>
      <c r="X130" s="30">
        <f>IF(K130="","",_xlfn.XLOOKUP(K130,Sheet6!$E:$E,Sheet6!$D:$D,"",0,1))</f>
        <v>8</v>
      </c>
      <c r="Y130" s="30">
        <f>IF(L130="","",_xlfn.XLOOKUP(L130,Sheet6!$E:$E,Sheet6!$D:$D,"",0,1))</f>
        <v>26</v>
      </c>
      <c r="Z130" s="30">
        <f>IF(M130="","",_xlfn.XLOOKUP(M130,Sheet6!$E:$E,Sheet6!$D:$D,"",0,1))</f>
        <v>4</v>
      </c>
      <c r="AA130" s="30" t="str">
        <f>IF(N130="","",_xlfn.XLOOKUP(N130,Sheet6!$E:$E,Sheet6!$D:$D,"",0,1))</f>
        <v/>
      </c>
      <c r="AB130" s="12" t="str">
        <f t="shared" ref="AB130:AB185" si="13">_xlfn.TEXTJOIN(",",TRUE,T130,U130,V130)</f>
        <v>8,26</v>
      </c>
      <c r="AC130" s="31" t="str">
        <f t="shared" ref="AC130:AC185" si="14">_xlfn.TEXTJOIN(",",TRUE,X130,Y130,Z130,AA130)</f>
        <v>8,26,4</v>
      </c>
      <c r="AD130" s="37"/>
    </row>
    <row r="131" ht="16.25" hidden="1" spans="1:30">
      <c r="A131" s="13">
        <v>160302</v>
      </c>
      <c r="B131" s="22" t="s">
        <v>411</v>
      </c>
      <c r="C131" s="12" t="s">
        <v>310</v>
      </c>
      <c r="D131" s="12" t="s">
        <v>311</v>
      </c>
      <c r="E131" s="12" t="s">
        <v>310</v>
      </c>
      <c r="F131" s="12" t="s">
        <v>311</v>
      </c>
      <c r="G131" s="23" t="s">
        <v>315</v>
      </c>
      <c r="H131" s="23"/>
      <c r="I131" s="23"/>
      <c r="J131" s="23"/>
      <c r="K131" s="36" t="s">
        <v>315</v>
      </c>
      <c r="L131" s="36"/>
      <c r="M131" s="36" t="s">
        <v>394</v>
      </c>
      <c r="N131" s="23"/>
      <c r="O131" s="23"/>
      <c r="P131" s="30">
        <v>12.14</v>
      </c>
      <c r="Q131" s="30"/>
      <c r="R131" s="30"/>
      <c r="S131" s="30"/>
      <c r="T131" s="30">
        <f>IF(G131="","",_xlfn.XLOOKUP(G131,Sheet6!$E:$E,Sheet6!$D:$D,"",0,1))</f>
        <v>6</v>
      </c>
      <c r="U131" s="30" t="str">
        <f>IF(H131="","",_xlfn.XLOOKUP(H131,Sheet6!$E:$E,Sheet6!$D:$D,"",0,1))</f>
        <v/>
      </c>
      <c r="V131" s="30" t="str">
        <f>IF(I131="","",_xlfn.XLOOKUP(I131,Sheet6!$E:$E,Sheet6!$D:$D,"",0,1))</f>
        <v/>
      </c>
      <c r="W131" s="30" t="str">
        <f>IF(J131="","",_xlfn.XLOOKUP(J131,Sheet6!$E:$E,Sheet6!$D:$D,"",0,1))</f>
        <v/>
      </c>
      <c r="X131" s="30">
        <f>IF(K131="","",_xlfn.XLOOKUP(K131,Sheet6!$E:$E,Sheet6!$D:$D,"",0,1))</f>
        <v>6</v>
      </c>
      <c r="Y131" s="30" t="str">
        <f>IF(L131="","",_xlfn.XLOOKUP(L131,Sheet6!$E:$E,Sheet6!$D:$D,"",0,1))</f>
        <v/>
      </c>
      <c r="Z131" s="30">
        <f>IF(M131="","",_xlfn.XLOOKUP(M131,Sheet6!$E:$E,Sheet6!$D:$D,"",0,1))</f>
        <v>4</v>
      </c>
      <c r="AA131" s="30" t="str">
        <f>IF(N131="","",_xlfn.XLOOKUP(N131,Sheet6!$E:$E,Sheet6!$D:$D,"",0,1))</f>
        <v/>
      </c>
      <c r="AB131" s="12" t="str">
        <f t="shared" si="13"/>
        <v>6</v>
      </c>
      <c r="AC131" s="31" t="str">
        <f t="shared" si="14"/>
        <v>6,4</v>
      </c>
      <c r="AD131" s="37"/>
    </row>
    <row r="132" ht="16.25" hidden="1" spans="1:30">
      <c r="A132" s="13">
        <v>160303</v>
      </c>
      <c r="B132" s="22" t="s">
        <v>412</v>
      </c>
      <c r="C132" s="12" t="s">
        <v>309</v>
      </c>
      <c r="D132" s="12" t="s">
        <v>310</v>
      </c>
      <c r="E132" s="12" t="s">
        <v>309</v>
      </c>
      <c r="F132" s="12" t="s">
        <v>310</v>
      </c>
      <c r="G132" s="23" t="s">
        <v>337</v>
      </c>
      <c r="H132" s="23"/>
      <c r="I132" s="23"/>
      <c r="J132" s="12"/>
      <c r="K132" s="36" t="s">
        <v>337</v>
      </c>
      <c r="L132" s="36"/>
      <c r="M132" s="36" t="s">
        <v>394</v>
      </c>
      <c r="N132" s="12"/>
      <c r="O132" s="12"/>
      <c r="P132" s="40" t="s">
        <v>413</v>
      </c>
      <c r="Q132" s="40"/>
      <c r="R132" s="40"/>
      <c r="S132" s="40"/>
      <c r="T132" s="30">
        <f>IF(G132="","",_xlfn.XLOOKUP(G132,Sheet6!$E:$E,Sheet6!$D:$D,"",0,1))</f>
        <v>11</v>
      </c>
      <c r="U132" s="30" t="str">
        <f>IF(H132="","",_xlfn.XLOOKUP(H132,Sheet6!$E:$E,Sheet6!$D:$D,"",0,1))</f>
        <v/>
      </c>
      <c r="V132" s="30" t="str">
        <f>IF(I132="","",_xlfn.XLOOKUP(I132,Sheet6!$E:$E,Sheet6!$D:$D,"",0,1))</f>
        <v/>
      </c>
      <c r="W132" s="30" t="str">
        <f>IF(J132="","",_xlfn.XLOOKUP(J132,Sheet6!$E:$E,Sheet6!$D:$D,"",0,1))</f>
        <v/>
      </c>
      <c r="X132" s="30">
        <f>IF(K132="","",_xlfn.XLOOKUP(K132,Sheet6!$E:$E,Sheet6!$D:$D,"",0,1))</f>
        <v>11</v>
      </c>
      <c r="Y132" s="30" t="str">
        <f>IF(L132="","",_xlfn.XLOOKUP(L132,Sheet6!$E:$E,Sheet6!$D:$D,"",0,1))</f>
        <v/>
      </c>
      <c r="Z132" s="30">
        <f>IF(M132="","",_xlfn.XLOOKUP(M132,Sheet6!$E:$E,Sheet6!$D:$D,"",0,1))</f>
        <v>4</v>
      </c>
      <c r="AA132" s="30" t="str">
        <f>IF(N132="","",_xlfn.XLOOKUP(N132,Sheet6!$E:$E,Sheet6!$D:$D,"",0,1))</f>
        <v/>
      </c>
      <c r="AB132" s="12" t="str">
        <f t="shared" si="13"/>
        <v>11</v>
      </c>
      <c r="AC132" s="31" t="str">
        <f t="shared" si="14"/>
        <v>11,4</v>
      </c>
      <c r="AD132" s="37"/>
    </row>
    <row r="133" ht="16.25" hidden="1" spans="1:30">
      <c r="A133" s="13">
        <v>160304</v>
      </c>
      <c r="B133" s="22" t="s">
        <v>414</v>
      </c>
      <c r="C133" s="12" t="s">
        <v>310</v>
      </c>
      <c r="D133" s="12" t="s">
        <v>311</v>
      </c>
      <c r="E133" s="12" t="s">
        <v>310</v>
      </c>
      <c r="F133" s="12" t="s">
        <v>311</v>
      </c>
      <c r="G133" s="23" t="s">
        <v>339</v>
      </c>
      <c r="H133" s="23" t="s">
        <v>334</v>
      </c>
      <c r="I133" s="23"/>
      <c r="J133" s="12"/>
      <c r="K133" s="36" t="s">
        <v>339</v>
      </c>
      <c r="L133" s="36" t="s">
        <v>334</v>
      </c>
      <c r="M133" s="36" t="s">
        <v>394</v>
      </c>
      <c r="N133" s="12"/>
      <c r="O133" s="12"/>
      <c r="P133" s="40" t="s">
        <v>413</v>
      </c>
      <c r="Q133" s="40"/>
      <c r="R133" s="40"/>
      <c r="S133" s="40"/>
      <c r="T133" s="30">
        <f>IF(G133="","",_xlfn.XLOOKUP(G133,Sheet6!$E:$E,Sheet6!$D:$D,"",0,1))</f>
        <v>5</v>
      </c>
      <c r="U133" s="30">
        <f>IF(H133="","",_xlfn.XLOOKUP(H133,Sheet6!$E:$E,Sheet6!$D:$D,"",0,1))</f>
        <v>26</v>
      </c>
      <c r="V133" s="30" t="str">
        <f>IF(I133="","",_xlfn.XLOOKUP(I133,Sheet6!$E:$E,Sheet6!$D:$D,"",0,1))</f>
        <v/>
      </c>
      <c r="W133" s="30" t="str">
        <f>IF(J133="","",_xlfn.XLOOKUP(J133,Sheet6!$E:$E,Sheet6!$D:$D,"",0,1))</f>
        <v/>
      </c>
      <c r="X133" s="30">
        <f>IF(K133="","",_xlfn.XLOOKUP(K133,Sheet6!$E:$E,Sheet6!$D:$D,"",0,1))</f>
        <v>5</v>
      </c>
      <c r="Y133" s="30">
        <f>IF(L133="","",_xlfn.XLOOKUP(L133,Sheet6!$E:$E,Sheet6!$D:$D,"",0,1))</f>
        <v>26</v>
      </c>
      <c r="Z133" s="30">
        <f>IF(M133="","",_xlfn.XLOOKUP(M133,Sheet6!$E:$E,Sheet6!$D:$D,"",0,1))</f>
        <v>4</v>
      </c>
      <c r="AA133" s="30" t="str">
        <f>IF(N133="","",_xlfn.XLOOKUP(N133,Sheet6!$E:$E,Sheet6!$D:$D,"",0,1))</f>
        <v/>
      </c>
      <c r="AB133" s="12" t="str">
        <f t="shared" si="13"/>
        <v>5,26</v>
      </c>
      <c r="AC133" s="31" t="str">
        <f t="shared" si="14"/>
        <v>5,26,4</v>
      </c>
      <c r="AD133" s="37"/>
    </row>
    <row r="134" ht="16.25" hidden="1" spans="1:30">
      <c r="A134" s="15">
        <v>260301</v>
      </c>
      <c r="B134" s="24" t="s">
        <v>415</v>
      </c>
      <c r="C134" s="12" t="s">
        <v>309</v>
      </c>
      <c r="D134" s="12"/>
      <c r="E134" s="12" t="s">
        <v>309</v>
      </c>
      <c r="F134" s="12"/>
      <c r="G134" s="23" t="s">
        <v>313</v>
      </c>
      <c r="H134" s="23" t="s">
        <v>334</v>
      </c>
      <c r="I134" s="23"/>
      <c r="J134" s="12"/>
      <c r="K134" s="36" t="s">
        <v>313</v>
      </c>
      <c r="L134" s="36" t="s">
        <v>334</v>
      </c>
      <c r="M134" s="36" t="s">
        <v>394</v>
      </c>
      <c r="N134" s="12"/>
      <c r="O134" s="12"/>
      <c r="P134" s="40" t="s">
        <v>413</v>
      </c>
      <c r="Q134" s="40"/>
      <c r="R134" s="40"/>
      <c r="S134" s="40"/>
      <c r="T134" s="30">
        <f>IF(G134="","",_xlfn.XLOOKUP(G134,Sheet6!$E:$E,Sheet6!$D:$D,"",0,1))</f>
        <v>8</v>
      </c>
      <c r="U134" s="30">
        <f>IF(H134="","",_xlfn.XLOOKUP(H134,Sheet6!$E:$E,Sheet6!$D:$D,"",0,1))</f>
        <v>26</v>
      </c>
      <c r="V134" s="30" t="str">
        <f>IF(I134="","",_xlfn.XLOOKUP(I134,Sheet6!$E:$E,Sheet6!$D:$D,"",0,1))</f>
        <v/>
      </c>
      <c r="W134" s="30" t="str">
        <f>IF(J134="","",_xlfn.XLOOKUP(J134,Sheet6!$E:$E,Sheet6!$D:$D,"",0,1))</f>
        <v/>
      </c>
      <c r="X134" s="30">
        <f>IF(K134="","",_xlfn.XLOOKUP(K134,Sheet6!$E:$E,Sheet6!$D:$D,"",0,1))</f>
        <v>8</v>
      </c>
      <c r="Y134" s="30">
        <f>IF(L134="","",_xlfn.XLOOKUP(L134,Sheet6!$E:$E,Sheet6!$D:$D,"",0,1))</f>
        <v>26</v>
      </c>
      <c r="Z134" s="30">
        <f>IF(M134="","",_xlfn.XLOOKUP(M134,Sheet6!$E:$E,Sheet6!$D:$D,"",0,1))</f>
        <v>4</v>
      </c>
      <c r="AA134" s="30" t="str">
        <f>IF(N134="","",_xlfn.XLOOKUP(N134,Sheet6!$E:$E,Sheet6!$D:$D,"",0,1))</f>
        <v/>
      </c>
      <c r="AB134" s="12" t="str">
        <f t="shared" si="13"/>
        <v>8,26</v>
      </c>
      <c r="AC134" s="31" t="str">
        <f t="shared" si="14"/>
        <v>8,26,4</v>
      </c>
      <c r="AD134" s="37"/>
    </row>
    <row r="135" ht="16.25" hidden="1" spans="1:30">
      <c r="A135" s="17">
        <v>260302</v>
      </c>
      <c r="B135" s="25" t="s">
        <v>416</v>
      </c>
      <c r="C135" s="12" t="s">
        <v>310</v>
      </c>
      <c r="D135" s="12" t="s">
        <v>311</v>
      </c>
      <c r="E135" s="12" t="s">
        <v>310</v>
      </c>
      <c r="F135" s="12" t="s">
        <v>311</v>
      </c>
      <c r="G135" s="23" t="s">
        <v>315</v>
      </c>
      <c r="H135" s="23"/>
      <c r="I135" s="23"/>
      <c r="J135" s="12"/>
      <c r="K135" s="36" t="s">
        <v>315</v>
      </c>
      <c r="L135" s="36"/>
      <c r="M135" s="36" t="s">
        <v>394</v>
      </c>
      <c r="N135" s="12"/>
      <c r="O135" s="12"/>
      <c r="P135" s="40" t="s">
        <v>417</v>
      </c>
      <c r="Q135" s="40"/>
      <c r="R135" s="40"/>
      <c r="S135" s="40"/>
      <c r="T135" s="30">
        <f>IF(G135="","",_xlfn.XLOOKUP(G135,Sheet6!$E:$E,Sheet6!$D:$D,"",0,1))</f>
        <v>6</v>
      </c>
      <c r="U135" s="30" t="str">
        <f>IF(H135="","",_xlfn.XLOOKUP(H135,Sheet6!$E:$E,Sheet6!$D:$D,"",0,1))</f>
        <v/>
      </c>
      <c r="V135" s="30" t="str">
        <f>IF(I135="","",_xlfn.XLOOKUP(I135,Sheet6!$E:$E,Sheet6!$D:$D,"",0,1))</f>
        <v/>
      </c>
      <c r="W135" s="30" t="str">
        <f>IF(J135="","",_xlfn.XLOOKUP(J135,Sheet6!$E:$E,Sheet6!$D:$D,"",0,1))</f>
        <v/>
      </c>
      <c r="X135" s="30">
        <f>IF(K135="","",_xlfn.XLOOKUP(K135,Sheet6!$E:$E,Sheet6!$D:$D,"",0,1))</f>
        <v>6</v>
      </c>
      <c r="Y135" s="30" t="str">
        <f>IF(L135="","",_xlfn.XLOOKUP(L135,Sheet6!$E:$E,Sheet6!$D:$D,"",0,1))</f>
        <v/>
      </c>
      <c r="Z135" s="30">
        <f>IF(M135="","",_xlfn.XLOOKUP(M135,Sheet6!$E:$E,Sheet6!$D:$D,"",0,1))</f>
        <v>4</v>
      </c>
      <c r="AA135" s="30" t="str">
        <f>IF(N135="","",_xlfn.XLOOKUP(N135,Sheet6!$E:$E,Sheet6!$D:$D,"",0,1))</f>
        <v/>
      </c>
      <c r="AB135" s="12" t="str">
        <f t="shared" si="13"/>
        <v>6</v>
      </c>
      <c r="AC135" s="31" t="str">
        <f t="shared" si="14"/>
        <v>6,4</v>
      </c>
      <c r="AD135" s="37"/>
    </row>
    <row r="136" ht="16.25" hidden="1" spans="1:30">
      <c r="A136" s="17">
        <v>260303</v>
      </c>
      <c r="B136" s="25" t="s">
        <v>418</v>
      </c>
      <c r="C136" s="12" t="s">
        <v>309</v>
      </c>
      <c r="D136" s="12" t="s">
        <v>310</v>
      </c>
      <c r="E136" s="12" t="s">
        <v>309</v>
      </c>
      <c r="F136" s="12" t="s">
        <v>310</v>
      </c>
      <c r="G136" s="23" t="s">
        <v>337</v>
      </c>
      <c r="H136" s="23"/>
      <c r="I136" s="23"/>
      <c r="J136" s="12"/>
      <c r="K136" s="36" t="s">
        <v>337</v>
      </c>
      <c r="L136" s="36"/>
      <c r="M136" s="36" t="s">
        <v>394</v>
      </c>
      <c r="N136" s="12"/>
      <c r="O136" s="12"/>
      <c r="P136" s="40" t="s">
        <v>419</v>
      </c>
      <c r="Q136" s="40"/>
      <c r="R136" s="40"/>
      <c r="S136" s="40"/>
      <c r="T136" s="30">
        <f>IF(G136="","",_xlfn.XLOOKUP(G136,Sheet6!$E:$E,Sheet6!$D:$D,"",0,1))</f>
        <v>11</v>
      </c>
      <c r="U136" s="30" t="str">
        <f>IF(H136="","",_xlfn.XLOOKUP(H136,Sheet6!$E:$E,Sheet6!$D:$D,"",0,1))</f>
        <v/>
      </c>
      <c r="V136" s="30" t="str">
        <f>IF(I136="","",_xlfn.XLOOKUP(I136,Sheet6!$E:$E,Sheet6!$D:$D,"",0,1))</f>
        <v/>
      </c>
      <c r="W136" s="30" t="str">
        <f>IF(J136="","",_xlfn.XLOOKUP(J136,Sheet6!$E:$E,Sheet6!$D:$D,"",0,1))</f>
        <v/>
      </c>
      <c r="X136" s="30">
        <f>IF(K136="","",_xlfn.XLOOKUP(K136,Sheet6!$E:$E,Sheet6!$D:$D,"",0,1))</f>
        <v>11</v>
      </c>
      <c r="Y136" s="30" t="str">
        <f>IF(L136="","",_xlfn.XLOOKUP(L136,Sheet6!$E:$E,Sheet6!$D:$D,"",0,1))</f>
        <v/>
      </c>
      <c r="Z136" s="30">
        <f>IF(M136="","",_xlfn.XLOOKUP(M136,Sheet6!$E:$E,Sheet6!$D:$D,"",0,1))</f>
        <v>4</v>
      </c>
      <c r="AA136" s="30" t="str">
        <f>IF(N136="","",_xlfn.XLOOKUP(N136,Sheet6!$E:$E,Sheet6!$D:$D,"",0,1))</f>
        <v/>
      </c>
      <c r="AB136" s="12" t="str">
        <f t="shared" si="13"/>
        <v>11</v>
      </c>
      <c r="AC136" s="31" t="str">
        <f t="shared" si="14"/>
        <v>11,4</v>
      </c>
      <c r="AD136" s="37"/>
    </row>
    <row r="137" ht="16.25" hidden="1" spans="1:30">
      <c r="A137" s="34">
        <v>260304</v>
      </c>
      <c r="B137" s="35" t="s">
        <v>420</v>
      </c>
      <c r="C137" s="12" t="s">
        <v>310</v>
      </c>
      <c r="D137" s="12" t="s">
        <v>311</v>
      </c>
      <c r="E137" s="12" t="s">
        <v>310</v>
      </c>
      <c r="F137" s="12" t="s">
        <v>311</v>
      </c>
      <c r="G137" s="23" t="s">
        <v>339</v>
      </c>
      <c r="H137" s="23" t="s">
        <v>334</v>
      </c>
      <c r="I137" s="23"/>
      <c r="J137" s="12"/>
      <c r="K137" s="36" t="s">
        <v>339</v>
      </c>
      <c r="L137" s="36" t="s">
        <v>334</v>
      </c>
      <c r="M137" s="36" t="s">
        <v>394</v>
      </c>
      <c r="N137" s="12"/>
      <c r="O137" s="12"/>
      <c r="P137" s="40" t="s">
        <v>421</v>
      </c>
      <c r="Q137" s="40"/>
      <c r="R137" s="40"/>
      <c r="S137" s="40"/>
      <c r="T137" s="30">
        <f>IF(G137="","",_xlfn.XLOOKUP(G137,Sheet6!$E:$E,Sheet6!$D:$D,"",0,1))</f>
        <v>5</v>
      </c>
      <c r="U137" s="30">
        <f>IF(H137="","",_xlfn.XLOOKUP(H137,Sheet6!$E:$E,Sheet6!$D:$D,"",0,1))</f>
        <v>26</v>
      </c>
      <c r="V137" s="30" t="str">
        <f>IF(I137="","",_xlfn.XLOOKUP(I137,Sheet6!$E:$E,Sheet6!$D:$D,"",0,1))</f>
        <v/>
      </c>
      <c r="W137" s="30" t="str">
        <f>IF(J137="","",_xlfn.XLOOKUP(J137,Sheet6!$E:$E,Sheet6!$D:$D,"",0,1))</f>
        <v/>
      </c>
      <c r="X137" s="30">
        <f>IF(K137="","",_xlfn.XLOOKUP(K137,Sheet6!$E:$E,Sheet6!$D:$D,"",0,1))</f>
        <v>5</v>
      </c>
      <c r="Y137" s="30">
        <f>IF(L137="","",_xlfn.XLOOKUP(L137,Sheet6!$E:$E,Sheet6!$D:$D,"",0,1))</f>
        <v>26</v>
      </c>
      <c r="Z137" s="30">
        <f>IF(M137="","",_xlfn.XLOOKUP(M137,Sheet6!$E:$E,Sheet6!$D:$D,"",0,1))</f>
        <v>4</v>
      </c>
      <c r="AA137" s="30" t="str">
        <f>IF(N137="","",_xlfn.XLOOKUP(N137,Sheet6!$E:$E,Sheet6!$D:$D,"",0,1))</f>
        <v/>
      </c>
      <c r="AB137" s="12" t="str">
        <f t="shared" si="13"/>
        <v>5,26</v>
      </c>
      <c r="AC137" s="31" t="str">
        <f t="shared" si="14"/>
        <v>5,26,4</v>
      </c>
      <c r="AD137" s="37"/>
    </row>
    <row r="138" ht="16.25" spans="1:30">
      <c r="A138" s="28">
        <v>160401</v>
      </c>
      <c r="B138" s="29" t="s">
        <v>422</v>
      </c>
      <c r="C138" s="12" t="s">
        <v>309</v>
      </c>
      <c r="D138" s="12"/>
      <c r="E138" s="12" t="s">
        <v>309</v>
      </c>
      <c r="F138" s="12"/>
      <c r="G138" s="23" t="s">
        <v>313</v>
      </c>
      <c r="H138" s="23"/>
      <c r="I138" s="23"/>
      <c r="J138" s="12"/>
      <c r="K138" s="36" t="s">
        <v>313</v>
      </c>
      <c r="L138" s="36" t="s">
        <v>394</v>
      </c>
      <c r="M138" s="12"/>
      <c r="N138" s="12"/>
      <c r="O138" s="12"/>
      <c r="P138" s="40" t="s">
        <v>423</v>
      </c>
      <c r="Q138" s="40"/>
      <c r="R138" s="40"/>
      <c r="S138" s="40"/>
      <c r="T138" s="30">
        <f>IF(G138="","",_xlfn.XLOOKUP(G138,Sheet6!$E:$E,Sheet6!$D:$D,"",0,1))</f>
        <v>8</v>
      </c>
      <c r="U138" s="30" t="str">
        <f>IF(H138="","",_xlfn.XLOOKUP(H138,Sheet6!$E:$E,Sheet6!$D:$D,"",0,1))</f>
        <v/>
      </c>
      <c r="V138" s="30" t="str">
        <f>IF(I138="","",_xlfn.XLOOKUP(I138,Sheet6!$E:$E,Sheet6!$D:$D,"",0,1))</f>
        <v/>
      </c>
      <c r="W138" s="30" t="str">
        <f>IF(J138="","",_xlfn.XLOOKUP(J138,Sheet6!$E:$E,Sheet6!$D:$D,"",0,1))</f>
        <v/>
      </c>
      <c r="X138" s="30">
        <f>IF(K138="","",_xlfn.XLOOKUP(K138,Sheet6!$E:$E,Sheet6!$D:$D,"",0,1))</f>
        <v>8</v>
      </c>
      <c r="Y138" s="30">
        <f>IF(L138="","",_xlfn.XLOOKUP(L138,Sheet6!$E:$E,Sheet6!$D:$D,"",0,1))</f>
        <v>4</v>
      </c>
      <c r="Z138" s="30" t="str">
        <f>IF(M138="","",_xlfn.XLOOKUP(M138,Sheet6!$E:$E,Sheet6!$D:$D,"",0,1))</f>
        <v/>
      </c>
      <c r="AA138" s="30" t="str">
        <f>IF(N138="","",_xlfn.XLOOKUP(N138,Sheet6!$E:$E,Sheet6!$D:$D,"",0,1))</f>
        <v/>
      </c>
      <c r="AB138" s="12" t="str">
        <f t="shared" si="13"/>
        <v>8</v>
      </c>
      <c r="AC138" s="31" t="str">
        <f t="shared" si="14"/>
        <v>8,4</v>
      </c>
      <c r="AD138" s="37"/>
    </row>
    <row r="139" ht="16.25" hidden="1" spans="1:30">
      <c r="A139" s="13">
        <v>160402</v>
      </c>
      <c r="B139" s="22" t="s">
        <v>424</v>
      </c>
      <c r="C139" s="12" t="s">
        <v>310</v>
      </c>
      <c r="D139" s="12" t="s">
        <v>311</v>
      </c>
      <c r="E139" s="12" t="s">
        <v>310</v>
      </c>
      <c r="F139" s="12" t="s">
        <v>311</v>
      </c>
      <c r="G139" s="23" t="s">
        <v>315</v>
      </c>
      <c r="H139" s="23"/>
      <c r="I139" s="23"/>
      <c r="J139" s="12"/>
      <c r="K139" s="36" t="s">
        <v>315</v>
      </c>
      <c r="L139" s="36" t="s">
        <v>394</v>
      </c>
      <c r="M139" s="12"/>
      <c r="N139" s="12"/>
      <c r="O139" s="12"/>
      <c r="P139" s="40" t="s">
        <v>425</v>
      </c>
      <c r="Q139" s="40"/>
      <c r="R139" s="40"/>
      <c r="S139" s="40"/>
      <c r="T139" s="30">
        <f>IF(G139="","",_xlfn.XLOOKUP(G139,Sheet6!$E:$E,Sheet6!$D:$D,"",0,1))</f>
        <v>6</v>
      </c>
      <c r="U139" s="30" t="str">
        <f>IF(H139="","",_xlfn.XLOOKUP(H139,Sheet6!$E:$E,Sheet6!$D:$D,"",0,1))</f>
        <v/>
      </c>
      <c r="V139" s="30" t="str">
        <f>IF(I139="","",_xlfn.XLOOKUP(I139,Sheet6!$E:$E,Sheet6!$D:$D,"",0,1))</f>
        <v/>
      </c>
      <c r="W139" s="30" t="str">
        <f>IF(J139="","",_xlfn.XLOOKUP(J139,Sheet6!$E:$E,Sheet6!$D:$D,"",0,1))</f>
        <v/>
      </c>
      <c r="X139" s="30">
        <f>IF(K139="","",_xlfn.XLOOKUP(K139,Sheet6!$E:$E,Sheet6!$D:$D,"",0,1))</f>
        <v>6</v>
      </c>
      <c r="Y139" s="30">
        <f>IF(L139="","",_xlfn.XLOOKUP(L139,Sheet6!$E:$E,Sheet6!$D:$D,"",0,1))</f>
        <v>4</v>
      </c>
      <c r="Z139" s="30" t="str">
        <f>IF(M139="","",_xlfn.XLOOKUP(M139,Sheet6!$E:$E,Sheet6!$D:$D,"",0,1))</f>
        <v/>
      </c>
      <c r="AA139" s="30" t="str">
        <f>IF(N139="","",_xlfn.XLOOKUP(N139,Sheet6!$E:$E,Sheet6!$D:$D,"",0,1))</f>
        <v/>
      </c>
      <c r="AB139" s="12" t="str">
        <f t="shared" si="13"/>
        <v>6</v>
      </c>
      <c r="AC139" s="31" t="str">
        <f t="shared" si="14"/>
        <v>6,4</v>
      </c>
      <c r="AD139" s="37"/>
    </row>
    <row r="140" ht="16.25" hidden="1" spans="1:30">
      <c r="A140" s="13">
        <v>160403</v>
      </c>
      <c r="B140" s="22" t="s">
        <v>426</v>
      </c>
      <c r="C140" s="12" t="s">
        <v>309</v>
      </c>
      <c r="D140" s="12" t="s">
        <v>310</v>
      </c>
      <c r="E140" s="12" t="s">
        <v>309</v>
      </c>
      <c r="F140" s="12" t="s">
        <v>310</v>
      </c>
      <c r="G140" s="23" t="s">
        <v>337</v>
      </c>
      <c r="H140" s="23"/>
      <c r="I140" s="23"/>
      <c r="J140" s="12"/>
      <c r="K140" s="36" t="s">
        <v>337</v>
      </c>
      <c r="L140" s="36" t="s">
        <v>394</v>
      </c>
      <c r="M140" s="12"/>
      <c r="N140" s="12"/>
      <c r="O140" s="12"/>
      <c r="P140" s="40" t="s">
        <v>427</v>
      </c>
      <c r="Q140" s="40"/>
      <c r="R140" s="40"/>
      <c r="S140" s="40"/>
      <c r="T140" s="30">
        <f>IF(G140="","",_xlfn.XLOOKUP(G140,Sheet6!$E:$E,Sheet6!$D:$D,"",0,1))</f>
        <v>11</v>
      </c>
      <c r="U140" s="30" t="str">
        <f>IF(H140="","",_xlfn.XLOOKUP(H140,Sheet6!$E:$E,Sheet6!$D:$D,"",0,1))</f>
        <v/>
      </c>
      <c r="V140" s="30" t="str">
        <f>IF(I140="","",_xlfn.XLOOKUP(I140,Sheet6!$E:$E,Sheet6!$D:$D,"",0,1))</f>
        <v/>
      </c>
      <c r="W140" s="30" t="str">
        <f>IF(J140="","",_xlfn.XLOOKUP(J140,Sheet6!$E:$E,Sheet6!$D:$D,"",0,1))</f>
        <v/>
      </c>
      <c r="X140" s="30">
        <f>IF(K140="","",_xlfn.XLOOKUP(K140,Sheet6!$E:$E,Sheet6!$D:$D,"",0,1))</f>
        <v>11</v>
      </c>
      <c r="Y140" s="30">
        <f>IF(L140="","",_xlfn.XLOOKUP(L140,Sheet6!$E:$E,Sheet6!$D:$D,"",0,1))</f>
        <v>4</v>
      </c>
      <c r="Z140" s="30" t="str">
        <f>IF(M140="","",_xlfn.XLOOKUP(M140,Sheet6!$E:$E,Sheet6!$D:$D,"",0,1))</f>
        <v/>
      </c>
      <c r="AA140" s="30" t="str">
        <f>IF(N140="","",_xlfn.XLOOKUP(N140,Sheet6!$E:$E,Sheet6!$D:$D,"",0,1))</f>
        <v/>
      </c>
      <c r="AB140" s="12" t="str">
        <f t="shared" si="13"/>
        <v>11</v>
      </c>
      <c r="AC140" s="31" t="str">
        <f t="shared" si="14"/>
        <v>11,4</v>
      </c>
      <c r="AD140" s="37"/>
    </row>
    <row r="141" ht="16.25" hidden="1" spans="1:30">
      <c r="A141" s="13">
        <v>160404</v>
      </c>
      <c r="B141" s="22" t="s">
        <v>428</v>
      </c>
      <c r="C141" s="12" t="s">
        <v>310</v>
      </c>
      <c r="D141" s="12" t="s">
        <v>311</v>
      </c>
      <c r="E141" s="12" t="s">
        <v>310</v>
      </c>
      <c r="F141" s="12" t="s">
        <v>311</v>
      </c>
      <c r="G141" s="23" t="s">
        <v>339</v>
      </c>
      <c r="H141" s="23"/>
      <c r="I141" s="23"/>
      <c r="J141" s="21"/>
      <c r="K141" s="36" t="s">
        <v>339</v>
      </c>
      <c r="L141" s="36" t="s">
        <v>394</v>
      </c>
      <c r="M141" s="21"/>
      <c r="N141" s="21"/>
      <c r="O141" s="21"/>
      <c r="P141" s="40" t="s">
        <v>429</v>
      </c>
      <c r="Q141" s="40"/>
      <c r="R141" s="40"/>
      <c r="S141" s="40"/>
      <c r="T141" s="30">
        <f>IF(G141="","",_xlfn.XLOOKUP(G141,Sheet6!$E:$E,Sheet6!$D:$D,"",0,1))</f>
        <v>5</v>
      </c>
      <c r="U141" s="30" t="str">
        <f>IF(H141="","",_xlfn.XLOOKUP(H141,Sheet6!$E:$E,Sheet6!$D:$D,"",0,1))</f>
        <v/>
      </c>
      <c r="V141" s="30" t="str">
        <f>IF(I141="","",_xlfn.XLOOKUP(I141,Sheet6!$E:$E,Sheet6!$D:$D,"",0,1))</f>
        <v/>
      </c>
      <c r="W141" s="30" t="str">
        <f>IF(J141="","",_xlfn.XLOOKUP(J141,Sheet6!$E:$E,Sheet6!$D:$D,"",0,1))</f>
        <v/>
      </c>
      <c r="X141" s="30">
        <f>IF(K141="","",_xlfn.XLOOKUP(K141,Sheet6!$E:$E,Sheet6!$D:$D,"",0,1))</f>
        <v>5</v>
      </c>
      <c r="Y141" s="30">
        <f>IF(L141="","",_xlfn.XLOOKUP(L141,Sheet6!$E:$E,Sheet6!$D:$D,"",0,1))</f>
        <v>4</v>
      </c>
      <c r="Z141" s="30" t="str">
        <f>IF(M141="","",_xlfn.XLOOKUP(M141,Sheet6!$E:$E,Sheet6!$D:$D,"",0,1))</f>
        <v/>
      </c>
      <c r="AA141" s="30" t="str">
        <f>IF(N141="","",_xlfn.XLOOKUP(N141,Sheet6!$E:$E,Sheet6!$D:$D,"",0,1))</f>
        <v/>
      </c>
      <c r="AB141" s="12" t="str">
        <f t="shared" si="13"/>
        <v>5</v>
      </c>
      <c r="AC141" s="31" t="str">
        <f t="shared" si="14"/>
        <v>5,4</v>
      </c>
      <c r="AD141" s="37"/>
    </row>
    <row r="142" ht="16.25" hidden="1" spans="1:30">
      <c r="A142" s="15">
        <v>260401</v>
      </c>
      <c r="B142" s="24" t="s">
        <v>430</v>
      </c>
      <c r="C142" s="12" t="s">
        <v>309</v>
      </c>
      <c r="D142" s="12"/>
      <c r="E142" s="12" t="s">
        <v>309</v>
      </c>
      <c r="F142" s="12"/>
      <c r="G142" s="23" t="s">
        <v>313</v>
      </c>
      <c r="H142" s="12"/>
      <c r="I142" s="12"/>
      <c r="J142" s="21"/>
      <c r="K142" s="36" t="s">
        <v>313</v>
      </c>
      <c r="L142" s="36" t="s">
        <v>394</v>
      </c>
      <c r="M142" s="21"/>
      <c r="N142" s="21"/>
      <c r="O142" s="21"/>
      <c r="P142" s="40" t="s">
        <v>429</v>
      </c>
      <c r="Q142" s="40"/>
      <c r="R142" s="40"/>
      <c r="S142" s="40"/>
      <c r="T142" s="30">
        <f>IF(G142="","",_xlfn.XLOOKUP(G142,Sheet6!$E:$E,Sheet6!$D:$D,"",0,1))</f>
        <v>8</v>
      </c>
      <c r="U142" s="30" t="str">
        <f>IF(H142="","",_xlfn.XLOOKUP(H142,Sheet6!$E:$E,Sheet6!$D:$D,"",0,1))</f>
        <v/>
      </c>
      <c r="V142" s="30" t="str">
        <f>IF(I142="","",_xlfn.XLOOKUP(I142,Sheet6!$E:$E,Sheet6!$D:$D,"",0,1))</f>
        <v/>
      </c>
      <c r="W142" s="30" t="str">
        <f>IF(J142="","",_xlfn.XLOOKUP(J142,Sheet6!$E:$E,Sheet6!$D:$D,"",0,1))</f>
        <v/>
      </c>
      <c r="X142" s="30">
        <f>IF(K142="","",_xlfn.XLOOKUP(K142,Sheet6!$E:$E,Sheet6!$D:$D,"",0,1))</f>
        <v>8</v>
      </c>
      <c r="Y142" s="30">
        <f>IF(L142="","",_xlfn.XLOOKUP(L142,Sheet6!$E:$E,Sheet6!$D:$D,"",0,1))</f>
        <v>4</v>
      </c>
      <c r="Z142" s="30" t="str">
        <f>IF(M142="","",_xlfn.XLOOKUP(M142,Sheet6!$E:$E,Sheet6!$D:$D,"",0,1))</f>
        <v/>
      </c>
      <c r="AA142" s="30" t="str">
        <f>IF(N142="","",_xlfn.XLOOKUP(N142,Sheet6!$E:$E,Sheet6!$D:$D,"",0,1))</f>
        <v/>
      </c>
      <c r="AB142" s="12" t="str">
        <f t="shared" si="13"/>
        <v>8</v>
      </c>
      <c r="AC142" s="31" t="str">
        <f t="shared" si="14"/>
        <v>8,4</v>
      </c>
      <c r="AD142" s="37"/>
    </row>
    <row r="143" ht="16.25" hidden="1" spans="1:30">
      <c r="A143" s="17">
        <v>260402</v>
      </c>
      <c r="B143" s="25" t="s">
        <v>431</v>
      </c>
      <c r="C143" s="12" t="s">
        <v>310</v>
      </c>
      <c r="D143" s="12" t="s">
        <v>311</v>
      </c>
      <c r="E143" s="12" t="s">
        <v>310</v>
      </c>
      <c r="F143" s="12" t="s">
        <v>311</v>
      </c>
      <c r="G143" s="23" t="s">
        <v>315</v>
      </c>
      <c r="H143" s="12"/>
      <c r="I143" s="12"/>
      <c r="J143" s="21"/>
      <c r="K143" s="36" t="s">
        <v>315</v>
      </c>
      <c r="L143" s="36" t="s">
        <v>394</v>
      </c>
      <c r="M143" s="21"/>
      <c r="N143" s="21"/>
      <c r="O143" s="21"/>
      <c r="P143" s="40" t="s">
        <v>432</v>
      </c>
      <c r="Q143" s="40"/>
      <c r="R143" s="40"/>
      <c r="S143" s="40"/>
      <c r="T143" s="30">
        <f>IF(G143="","",_xlfn.XLOOKUP(G143,Sheet6!$E:$E,Sheet6!$D:$D,"",0,1))</f>
        <v>6</v>
      </c>
      <c r="U143" s="30" t="str">
        <f>IF(H143="","",_xlfn.XLOOKUP(H143,Sheet6!$E:$E,Sheet6!$D:$D,"",0,1))</f>
        <v/>
      </c>
      <c r="V143" s="30" t="str">
        <f>IF(I143="","",_xlfn.XLOOKUP(I143,Sheet6!$E:$E,Sheet6!$D:$D,"",0,1))</f>
        <v/>
      </c>
      <c r="W143" s="30" t="str">
        <f>IF(J143="","",_xlfn.XLOOKUP(J143,Sheet6!$E:$E,Sheet6!$D:$D,"",0,1))</f>
        <v/>
      </c>
      <c r="X143" s="30">
        <f>IF(K143="","",_xlfn.XLOOKUP(K143,Sheet6!$E:$E,Sheet6!$D:$D,"",0,1))</f>
        <v>6</v>
      </c>
      <c r="Y143" s="30">
        <f>IF(L143="","",_xlfn.XLOOKUP(L143,Sheet6!$E:$E,Sheet6!$D:$D,"",0,1))</f>
        <v>4</v>
      </c>
      <c r="Z143" s="30" t="str">
        <f>IF(M143="","",_xlfn.XLOOKUP(M143,Sheet6!$E:$E,Sheet6!$D:$D,"",0,1))</f>
        <v/>
      </c>
      <c r="AA143" s="30" t="str">
        <f>IF(N143="","",_xlfn.XLOOKUP(N143,Sheet6!$E:$E,Sheet6!$D:$D,"",0,1))</f>
        <v/>
      </c>
      <c r="AB143" s="12" t="str">
        <f t="shared" si="13"/>
        <v>6</v>
      </c>
      <c r="AC143" s="31" t="str">
        <f t="shared" si="14"/>
        <v>6,4</v>
      </c>
      <c r="AD143" s="37"/>
    </row>
    <row r="144" ht="16.25" hidden="1" spans="1:30">
      <c r="A144" s="17">
        <v>260403</v>
      </c>
      <c r="B144" s="25" t="s">
        <v>433</v>
      </c>
      <c r="C144" s="12" t="s">
        <v>309</v>
      </c>
      <c r="D144" s="12" t="s">
        <v>310</v>
      </c>
      <c r="E144" s="12" t="s">
        <v>309</v>
      </c>
      <c r="F144" s="12" t="s">
        <v>310</v>
      </c>
      <c r="G144" s="23" t="s">
        <v>337</v>
      </c>
      <c r="H144" s="12"/>
      <c r="I144" s="12"/>
      <c r="J144" s="21"/>
      <c r="K144" s="36" t="s">
        <v>337</v>
      </c>
      <c r="L144" s="36" t="s">
        <v>394</v>
      </c>
      <c r="M144" s="21"/>
      <c r="N144" s="21"/>
      <c r="O144" s="21"/>
      <c r="P144" s="40" t="s">
        <v>434</v>
      </c>
      <c r="Q144" s="40"/>
      <c r="R144" s="40"/>
      <c r="S144" s="40"/>
      <c r="T144" s="30">
        <f>IF(G144="","",_xlfn.XLOOKUP(G144,Sheet6!$E:$E,Sheet6!$D:$D,"",0,1))</f>
        <v>11</v>
      </c>
      <c r="U144" s="30" t="str">
        <f>IF(H144="","",_xlfn.XLOOKUP(H144,Sheet6!$E:$E,Sheet6!$D:$D,"",0,1))</f>
        <v/>
      </c>
      <c r="V144" s="30" t="str">
        <f>IF(I144="","",_xlfn.XLOOKUP(I144,Sheet6!$E:$E,Sheet6!$D:$D,"",0,1))</f>
        <v/>
      </c>
      <c r="W144" s="30" t="str">
        <f>IF(J144="","",_xlfn.XLOOKUP(J144,Sheet6!$E:$E,Sheet6!$D:$D,"",0,1))</f>
        <v/>
      </c>
      <c r="X144" s="30">
        <f>IF(K144="","",_xlfn.XLOOKUP(K144,Sheet6!$E:$E,Sheet6!$D:$D,"",0,1))</f>
        <v>11</v>
      </c>
      <c r="Y144" s="30">
        <f>IF(L144="","",_xlfn.XLOOKUP(L144,Sheet6!$E:$E,Sheet6!$D:$D,"",0,1))</f>
        <v>4</v>
      </c>
      <c r="Z144" s="30" t="str">
        <f>IF(M144="","",_xlfn.XLOOKUP(M144,Sheet6!$E:$E,Sheet6!$D:$D,"",0,1))</f>
        <v/>
      </c>
      <c r="AA144" s="30" t="str">
        <f>IF(N144="","",_xlfn.XLOOKUP(N144,Sheet6!$E:$E,Sheet6!$D:$D,"",0,1))</f>
        <v/>
      </c>
      <c r="AB144" s="12" t="str">
        <f t="shared" si="13"/>
        <v>11</v>
      </c>
      <c r="AC144" s="31" t="str">
        <f t="shared" si="14"/>
        <v>11,4</v>
      </c>
      <c r="AD144" s="37"/>
    </row>
    <row r="145" ht="16.25" hidden="1" spans="1:30">
      <c r="A145" s="34">
        <v>260404</v>
      </c>
      <c r="B145" s="35" t="s">
        <v>435</v>
      </c>
      <c r="C145" s="12" t="s">
        <v>310</v>
      </c>
      <c r="D145" s="12" t="s">
        <v>311</v>
      </c>
      <c r="E145" s="12" t="s">
        <v>310</v>
      </c>
      <c r="F145" s="12" t="s">
        <v>311</v>
      </c>
      <c r="G145" s="23" t="s">
        <v>339</v>
      </c>
      <c r="H145" s="12"/>
      <c r="I145" s="12"/>
      <c r="J145" s="21"/>
      <c r="K145" s="36" t="s">
        <v>339</v>
      </c>
      <c r="L145" s="36" t="s">
        <v>394</v>
      </c>
      <c r="M145" s="21"/>
      <c r="N145" s="21"/>
      <c r="O145" s="21"/>
      <c r="P145" s="40" t="s">
        <v>436</v>
      </c>
      <c r="Q145" s="40"/>
      <c r="R145" s="40"/>
      <c r="S145" s="40"/>
      <c r="T145" s="30">
        <f>IF(G145="","",_xlfn.XLOOKUP(G145,Sheet6!$E:$E,Sheet6!$D:$D,"",0,1))</f>
        <v>5</v>
      </c>
      <c r="U145" s="30" t="str">
        <f>IF(H145="","",_xlfn.XLOOKUP(H145,Sheet6!$E:$E,Sheet6!$D:$D,"",0,1))</f>
        <v/>
      </c>
      <c r="V145" s="30" t="str">
        <f>IF(I145="","",_xlfn.XLOOKUP(I145,Sheet6!$E:$E,Sheet6!$D:$D,"",0,1))</f>
        <v/>
      </c>
      <c r="W145" s="30" t="str">
        <f>IF(J145="","",_xlfn.XLOOKUP(J145,Sheet6!$E:$E,Sheet6!$D:$D,"",0,1))</f>
        <v/>
      </c>
      <c r="X145" s="30">
        <f>IF(K145="","",_xlfn.XLOOKUP(K145,Sheet6!$E:$E,Sheet6!$D:$D,"",0,1))</f>
        <v>5</v>
      </c>
      <c r="Y145" s="30">
        <f>IF(L145="","",_xlfn.XLOOKUP(L145,Sheet6!$E:$E,Sheet6!$D:$D,"",0,1))</f>
        <v>4</v>
      </c>
      <c r="Z145" s="30" t="str">
        <f>IF(M145="","",_xlfn.XLOOKUP(M145,Sheet6!$E:$E,Sheet6!$D:$D,"",0,1))</f>
        <v/>
      </c>
      <c r="AA145" s="30" t="str">
        <f>IF(N145="","",_xlfn.XLOOKUP(N145,Sheet6!$E:$E,Sheet6!$D:$D,"",0,1))</f>
        <v/>
      </c>
      <c r="AB145" s="12" t="str">
        <f t="shared" si="13"/>
        <v>5</v>
      </c>
      <c r="AC145" s="31" t="str">
        <f t="shared" si="14"/>
        <v>5,4</v>
      </c>
      <c r="AD145" s="37"/>
    </row>
    <row r="146" ht="16.25" spans="1:30">
      <c r="A146" s="28">
        <v>160501</v>
      </c>
      <c r="B146" s="29" t="s">
        <v>437</v>
      </c>
      <c r="C146" s="12" t="s">
        <v>309</v>
      </c>
      <c r="D146" s="12"/>
      <c r="E146" s="12" t="s">
        <v>309</v>
      </c>
      <c r="F146" s="12"/>
      <c r="G146" s="12" t="s">
        <v>313</v>
      </c>
      <c r="H146" s="12" t="s">
        <v>334</v>
      </c>
      <c r="I146" s="12"/>
      <c r="J146" s="21"/>
      <c r="K146" s="36" t="s">
        <v>313</v>
      </c>
      <c r="L146" s="36" t="s">
        <v>334</v>
      </c>
      <c r="M146" s="36" t="s">
        <v>394</v>
      </c>
      <c r="N146" s="21"/>
      <c r="O146" s="21"/>
      <c r="P146" s="40" t="s">
        <v>438</v>
      </c>
      <c r="Q146" s="40"/>
      <c r="R146" s="40"/>
      <c r="S146" s="40"/>
      <c r="T146" s="30">
        <f>IF(G146="","",_xlfn.XLOOKUP(G146,Sheet6!$E:$E,Sheet6!$D:$D,"",0,1))</f>
        <v>8</v>
      </c>
      <c r="U146" s="30">
        <f>IF(H146="","",_xlfn.XLOOKUP(H146,Sheet6!$E:$E,Sheet6!$D:$D,"",0,1))</f>
        <v>26</v>
      </c>
      <c r="V146" s="30" t="str">
        <f>IF(I146="","",_xlfn.XLOOKUP(I146,Sheet6!$E:$E,Sheet6!$D:$D,"",0,1))</f>
        <v/>
      </c>
      <c r="W146" s="30" t="str">
        <f>IF(J146="","",_xlfn.XLOOKUP(J146,Sheet6!$E:$E,Sheet6!$D:$D,"",0,1))</f>
        <v/>
      </c>
      <c r="X146" s="30">
        <f>IF(K146="","",_xlfn.XLOOKUP(K146,Sheet6!$E:$E,Sheet6!$D:$D,"",0,1))</f>
        <v>8</v>
      </c>
      <c r="Y146" s="30">
        <f>IF(L146="","",_xlfn.XLOOKUP(L146,Sheet6!$E:$E,Sheet6!$D:$D,"",0,1))</f>
        <v>26</v>
      </c>
      <c r="Z146" s="30">
        <f>IF(M146="","",_xlfn.XLOOKUP(M146,Sheet6!$E:$E,Sheet6!$D:$D,"",0,1))</f>
        <v>4</v>
      </c>
      <c r="AA146" s="30" t="str">
        <f>IF(N146="","",_xlfn.XLOOKUP(N146,Sheet6!$E:$E,Sheet6!$D:$D,"",0,1))</f>
        <v/>
      </c>
      <c r="AB146" s="12" t="str">
        <f t="shared" si="13"/>
        <v>8,26</v>
      </c>
      <c r="AC146" s="31" t="str">
        <f t="shared" si="14"/>
        <v>8,26,4</v>
      </c>
      <c r="AD146" s="37"/>
    </row>
    <row r="147" ht="16.25" hidden="1" spans="1:30">
      <c r="A147" s="13">
        <v>160502</v>
      </c>
      <c r="B147" s="22" t="s">
        <v>439</v>
      </c>
      <c r="C147" s="12" t="s">
        <v>310</v>
      </c>
      <c r="D147" s="12" t="s">
        <v>311</v>
      </c>
      <c r="E147" s="12" t="s">
        <v>310</v>
      </c>
      <c r="F147" s="12" t="s">
        <v>311</v>
      </c>
      <c r="G147" s="12" t="s">
        <v>337</v>
      </c>
      <c r="H147" s="12"/>
      <c r="I147" s="12"/>
      <c r="J147" s="21"/>
      <c r="K147" s="36" t="s">
        <v>337</v>
      </c>
      <c r="L147" s="36"/>
      <c r="M147" s="36" t="s">
        <v>394</v>
      </c>
      <c r="N147" s="21"/>
      <c r="O147" s="21"/>
      <c r="P147" s="40" t="s">
        <v>440</v>
      </c>
      <c r="Q147" s="40"/>
      <c r="R147" s="40"/>
      <c r="S147" s="40"/>
      <c r="T147" s="30">
        <f>IF(G147="","",_xlfn.XLOOKUP(G147,Sheet6!$E:$E,Sheet6!$D:$D,"",0,1))</f>
        <v>11</v>
      </c>
      <c r="U147" s="30" t="str">
        <f>IF(H147="","",_xlfn.XLOOKUP(H147,Sheet6!$E:$E,Sheet6!$D:$D,"",0,1))</f>
        <v/>
      </c>
      <c r="V147" s="30" t="str">
        <f>IF(I147="","",_xlfn.XLOOKUP(I147,Sheet6!$E:$E,Sheet6!$D:$D,"",0,1))</f>
        <v/>
      </c>
      <c r="W147" s="30" t="str">
        <f>IF(J147="","",_xlfn.XLOOKUP(J147,Sheet6!$E:$E,Sheet6!$D:$D,"",0,1))</f>
        <v/>
      </c>
      <c r="X147" s="30">
        <f>IF(K147="","",_xlfn.XLOOKUP(K147,Sheet6!$E:$E,Sheet6!$D:$D,"",0,1))</f>
        <v>11</v>
      </c>
      <c r="Y147" s="30" t="str">
        <f>IF(L147="","",_xlfn.XLOOKUP(L147,Sheet6!$E:$E,Sheet6!$D:$D,"",0,1))</f>
        <v/>
      </c>
      <c r="Z147" s="30">
        <f>IF(M147="","",_xlfn.XLOOKUP(M147,Sheet6!$E:$E,Sheet6!$D:$D,"",0,1))</f>
        <v>4</v>
      </c>
      <c r="AA147" s="30" t="str">
        <f>IF(N147="","",_xlfn.XLOOKUP(N147,Sheet6!$E:$E,Sheet6!$D:$D,"",0,1))</f>
        <v/>
      </c>
      <c r="AB147" s="12" t="str">
        <f t="shared" si="13"/>
        <v>11</v>
      </c>
      <c r="AC147" s="31" t="str">
        <f t="shared" si="14"/>
        <v>11,4</v>
      </c>
      <c r="AD147" s="37"/>
    </row>
    <row r="148" ht="16.25" hidden="1" spans="1:30">
      <c r="A148" s="13">
        <v>160503</v>
      </c>
      <c r="B148" s="22" t="s">
        <v>441</v>
      </c>
      <c r="C148" s="12" t="s">
        <v>309</v>
      </c>
      <c r="D148" s="12" t="s">
        <v>310</v>
      </c>
      <c r="E148" s="12" t="s">
        <v>309</v>
      </c>
      <c r="F148" s="12" t="s">
        <v>310</v>
      </c>
      <c r="G148" s="12" t="s">
        <v>339</v>
      </c>
      <c r="H148" s="12" t="s">
        <v>355</v>
      </c>
      <c r="I148" s="12"/>
      <c r="J148" s="21"/>
      <c r="K148" s="36" t="s">
        <v>339</v>
      </c>
      <c r="L148" s="36" t="s">
        <v>355</v>
      </c>
      <c r="M148" s="36" t="s">
        <v>394</v>
      </c>
      <c r="N148" s="21"/>
      <c r="O148" s="21"/>
      <c r="P148" s="40" t="s">
        <v>442</v>
      </c>
      <c r="Q148" s="40"/>
      <c r="R148" s="40"/>
      <c r="S148" s="40"/>
      <c r="T148" s="30">
        <f>IF(G148="","",_xlfn.XLOOKUP(G148,Sheet6!$E:$E,Sheet6!$D:$D,"",0,1))</f>
        <v>5</v>
      </c>
      <c r="U148" s="30">
        <f>IF(H148="","",_xlfn.XLOOKUP(H148,Sheet6!$E:$E,Sheet6!$D:$D,"",0,1))</f>
        <v>9</v>
      </c>
      <c r="V148" s="30" t="str">
        <f>IF(I148="","",_xlfn.XLOOKUP(I148,Sheet6!$E:$E,Sheet6!$D:$D,"",0,1))</f>
        <v/>
      </c>
      <c r="W148" s="30" t="str">
        <f>IF(J148="","",_xlfn.XLOOKUP(J148,Sheet6!$E:$E,Sheet6!$D:$D,"",0,1))</f>
        <v/>
      </c>
      <c r="X148" s="30">
        <f>IF(K148="","",_xlfn.XLOOKUP(K148,Sheet6!$E:$E,Sheet6!$D:$D,"",0,1))</f>
        <v>5</v>
      </c>
      <c r="Y148" s="30">
        <f>IF(L148="","",_xlfn.XLOOKUP(L148,Sheet6!$E:$E,Sheet6!$D:$D,"",0,1))</f>
        <v>9</v>
      </c>
      <c r="Z148" s="30">
        <f>IF(M148="","",_xlfn.XLOOKUP(M148,Sheet6!$E:$E,Sheet6!$D:$D,"",0,1))</f>
        <v>4</v>
      </c>
      <c r="AA148" s="30" t="str">
        <f>IF(N148="","",_xlfn.XLOOKUP(N148,Sheet6!$E:$E,Sheet6!$D:$D,"",0,1))</f>
        <v/>
      </c>
      <c r="AB148" s="12" t="str">
        <f t="shared" si="13"/>
        <v>5,9</v>
      </c>
      <c r="AC148" s="31" t="str">
        <f t="shared" si="14"/>
        <v>5,9,4</v>
      </c>
      <c r="AD148" s="37"/>
    </row>
    <row r="149" ht="16.25" hidden="1" spans="1:30">
      <c r="A149" s="13">
        <v>160504</v>
      </c>
      <c r="B149" s="22" t="s">
        <v>443</v>
      </c>
      <c r="C149" s="12" t="s">
        <v>310</v>
      </c>
      <c r="D149" s="12" t="s">
        <v>311</v>
      </c>
      <c r="E149" s="12" t="s">
        <v>310</v>
      </c>
      <c r="F149" s="12" t="s">
        <v>311</v>
      </c>
      <c r="G149" s="12" t="s">
        <v>317</v>
      </c>
      <c r="H149" s="12"/>
      <c r="I149" s="12"/>
      <c r="J149" s="21"/>
      <c r="K149" s="36" t="s">
        <v>317</v>
      </c>
      <c r="L149" s="36"/>
      <c r="M149" s="36" t="s">
        <v>394</v>
      </c>
      <c r="N149" s="21"/>
      <c r="O149" s="21"/>
      <c r="P149" s="40" t="s">
        <v>444</v>
      </c>
      <c r="Q149" s="40"/>
      <c r="R149" s="40"/>
      <c r="S149" s="40"/>
      <c r="T149" s="30">
        <f>IF(G149="","",_xlfn.XLOOKUP(G149,Sheet6!$E:$E,Sheet6!$D:$D,"",0,1))</f>
        <v>7</v>
      </c>
      <c r="U149" s="30" t="str">
        <f>IF(H149="","",_xlfn.XLOOKUP(H149,Sheet6!$E:$E,Sheet6!$D:$D,"",0,1))</f>
        <v/>
      </c>
      <c r="V149" s="30" t="str">
        <f>IF(I149="","",_xlfn.XLOOKUP(I149,Sheet6!$E:$E,Sheet6!$D:$D,"",0,1))</f>
        <v/>
      </c>
      <c r="W149" s="30" t="str">
        <f>IF(J149="","",_xlfn.XLOOKUP(J149,Sheet6!$E:$E,Sheet6!$D:$D,"",0,1))</f>
        <v/>
      </c>
      <c r="X149" s="30">
        <f>IF(K149="","",_xlfn.XLOOKUP(K149,Sheet6!$E:$E,Sheet6!$D:$D,"",0,1))</f>
        <v>7</v>
      </c>
      <c r="Y149" s="30" t="str">
        <f>IF(L149="","",_xlfn.XLOOKUP(L149,Sheet6!$E:$E,Sheet6!$D:$D,"",0,1))</f>
        <v/>
      </c>
      <c r="Z149" s="30">
        <f>IF(M149="","",_xlfn.XLOOKUP(M149,Sheet6!$E:$E,Sheet6!$D:$D,"",0,1))</f>
        <v>4</v>
      </c>
      <c r="AA149" s="30" t="str">
        <f>IF(N149="","",_xlfn.XLOOKUP(N149,Sheet6!$E:$E,Sheet6!$D:$D,"",0,1))</f>
        <v/>
      </c>
      <c r="AB149" s="12" t="str">
        <f t="shared" si="13"/>
        <v>7</v>
      </c>
      <c r="AC149" s="31" t="str">
        <f t="shared" si="14"/>
        <v>7,4</v>
      </c>
      <c r="AD149" s="37"/>
    </row>
    <row r="150" ht="16.25" hidden="1" spans="1:30">
      <c r="A150" s="15">
        <v>260501</v>
      </c>
      <c r="B150" s="24" t="s">
        <v>445</v>
      </c>
      <c r="C150" s="12" t="s">
        <v>309</v>
      </c>
      <c r="D150" s="12"/>
      <c r="E150" s="12" t="s">
        <v>309</v>
      </c>
      <c r="F150" s="12"/>
      <c r="G150" s="12" t="s">
        <v>313</v>
      </c>
      <c r="H150" s="12" t="s">
        <v>334</v>
      </c>
      <c r="I150" s="12"/>
      <c r="J150" s="23"/>
      <c r="K150" s="36" t="s">
        <v>313</v>
      </c>
      <c r="L150" s="36" t="s">
        <v>334</v>
      </c>
      <c r="M150" s="36" t="s">
        <v>394</v>
      </c>
      <c r="N150" s="23"/>
      <c r="O150" s="23"/>
      <c r="P150" s="30">
        <v>0.0205</v>
      </c>
      <c r="Q150" s="30"/>
      <c r="R150" s="30"/>
      <c r="S150" s="30"/>
      <c r="T150" s="30">
        <f>IF(G150="","",_xlfn.XLOOKUP(G150,Sheet6!$E:$E,Sheet6!$D:$D,"",0,1))</f>
        <v>8</v>
      </c>
      <c r="U150" s="30">
        <f>IF(H150="","",_xlfn.XLOOKUP(H150,Sheet6!$E:$E,Sheet6!$D:$D,"",0,1))</f>
        <v>26</v>
      </c>
      <c r="V150" s="30" t="str">
        <f>IF(I150="","",_xlfn.XLOOKUP(I150,Sheet6!$E:$E,Sheet6!$D:$D,"",0,1))</f>
        <v/>
      </c>
      <c r="W150" s="30" t="str">
        <f>IF(J150="","",_xlfn.XLOOKUP(J150,Sheet6!$E:$E,Sheet6!$D:$D,"",0,1))</f>
        <v/>
      </c>
      <c r="X150" s="30">
        <f>IF(K150="","",_xlfn.XLOOKUP(K150,Sheet6!$E:$E,Sheet6!$D:$D,"",0,1))</f>
        <v>8</v>
      </c>
      <c r="Y150" s="30">
        <f>IF(L150="","",_xlfn.XLOOKUP(L150,Sheet6!$E:$E,Sheet6!$D:$D,"",0,1))</f>
        <v>26</v>
      </c>
      <c r="Z150" s="30">
        <f>IF(M150="","",_xlfn.XLOOKUP(M150,Sheet6!$E:$E,Sheet6!$D:$D,"",0,1))</f>
        <v>4</v>
      </c>
      <c r="AA150" s="30" t="str">
        <f>IF(N150="","",_xlfn.XLOOKUP(N150,Sheet6!$E:$E,Sheet6!$D:$D,"",0,1))</f>
        <v/>
      </c>
      <c r="AB150" s="12" t="str">
        <f t="shared" si="13"/>
        <v>8,26</v>
      </c>
      <c r="AC150" s="31" t="str">
        <f t="shared" si="14"/>
        <v>8,26,4</v>
      </c>
      <c r="AD150" s="38"/>
    </row>
    <row r="151" ht="16.25" hidden="1" spans="1:30">
      <c r="A151" s="17">
        <v>260502</v>
      </c>
      <c r="B151" s="25" t="s">
        <v>446</v>
      </c>
      <c r="C151" s="12" t="s">
        <v>310</v>
      </c>
      <c r="D151" s="12" t="s">
        <v>311</v>
      </c>
      <c r="E151" s="12" t="s">
        <v>310</v>
      </c>
      <c r="F151" s="12" t="s">
        <v>311</v>
      </c>
      <c r="G151" s="12" t="s">
        <v>337</v>
      </c>
      <c r="H151" s="12"/>
      <c r="I151" s="21"/>
      <c r="J151" s="23"/>
      <c r="K151" s="36" t="s">
        <v>337</v>
      </c>
      <c r="L151" s="36"/>
      <c r="M151" s="36" t="s">
        <v>394</v>
      </c>
      <c r="N151" s="23"/>
      <c r="O151" s="23"/>
      <c r="P151" s="30">
        <v>7.29</v>
      </c>
      <c r="Q151" s="30"/>
      <c r="R151" s="30"/>
      <c r="S151" s="30"/>
      <c r="T151" s="30">
        <f>IF(G151="","",_xlfn.XLOOKUP(G151,Sheet6!$E:$E,Sheet6!$D:$D,"",0,1))</f>
        <v>11</v>
      </c>
      <c r="U151" s="30" t="str">
        <f>IF(H151="","",_xlfn.XLOOKUP(H151,Sheet6!$E:$E,Sheet6!$D:$D,"",0,1))</f>
        <v/>
      </c>
      <c r="V151" s="30" t="str">
        <f>IF(I151="","",_xlfn.XLOOKUP(I151,Sheet6!$E:$E,Sheet6!$D:$D,"",0,1))</f>
        <v/>
      </c>
      <c r="W151" s="30" t="str">
        <f>IF(J151="","",_xlfn.XLOOKUP(J151,Sheet6!$E:$E,Sheet6!$D:$D,"",0,1))</f>
        <v/>
      </c>
      <c r="X151" s="30">
        <f>IF(K151="","",_xlfn.XLOOKUP(K151,Sheet6!$E:$E,Sheet6!$D:$D,"",0,1))</f>
        <v>11</v>
      </c>
      <c r="Y151" s="30" t="str">
        <f>IF(L151="","",_xlfn.XLOOKUP(L151,Sheet6!$E:$E,Sheet6!$D:$D,"",0,1))</f>
        <v/>
      </c>
      <c r="Z151" s="30">
        <f>IF(M151="","",_xlfn.XLOOKUP(M151,Sheet6!$E:$E,Sheet6!$D:$D,"",0,1))</f>
        <v>4</v>
      </c>
      <c r="AA151" s="30" t="str">
        <f>IF(N151="","",_xlfn.XLOOKUP(N151,Sheet6!$E:$E,Sheet6!$D:$D,"",0,1))</f>
        <v/>
      </c>
      <c r="AB151" s="12" t="str">
        <f t="shared" si="13"/>
        <v>11</v>
      </c>
      <c r="AC151" s="31" t="str">
        <f t="shared" si="14"/>
        <v>11,4</v>
      </c>
      <c r="AD151" s="38"/>
    </row>
    <row r="152" ht="16.25" hidden="1" spans="1:30">
      <c r="A152" s="17">
        <v>260503</v>
      </c>
      <c r="B152" s="25" t="s">
        <v>447</v>
      </c>
      <c r="C152" s="12" t="s">
        <v>309</v>
      </c>
      <c r="D152" s="12" t="s">
        <v>310</v>
      </c>
      <c r="E152" s="12" t="s">
        <v>309</v>
      </c>
      <c r="F152" s="12" t="s">
        <v>310</v>
      </c>
      <c r="G152" s="12" t="s">
        <v>339</v>
      </c>
      <c r="H152" s="12" t="s">
        <v>355</v>
      </c>
      <c r="I152" s="21"/>
      <c r="J152" s="23"/>
      <c r="K152" s="36" t="s">
        <v>339</v>
      </c>
      <c r="L152" s="36" t="s">
        <v>355</v>
      </c>
      <c r="M152" s="36" t="s">
        <v>394</v>
      </c>
      <c r="N152" s="23"/>
      <c r="O152" s="23"/>
      <c r="P152" s="30">
        <v>0.0205</v>
      </c>
      <c r="Q152" s="30"/>
      <c r="R152" s="30"/>
      <c r="S152" s="30"/>
      <c r="T152" s="30">
        <f>IF(G152="","",_xlfn.XLOOKUP(G152,Sheet6!$E:$E,Sheet6!$D:$D,"",0,1))</f>
        <v>5</v>
      </c>
      <c r="U152" s="30">
        <f>IF(H152="","",_xlfn.XLOOKUP(H152,Sheet6!$E:$E,Sheet6!$D:$D,"",0,1))</f>
        <v>9</v>
      </c>
      <c r="V152" s="30" t="str">
        <f>IF(I152="","",_xlfn.XLOOKUP(I152,Sheet6!$E:$E,Sheet6!$D:$D,"",0,1))</f>
        <v/>
      </c>
      <c r="W152" s="30" t="str">
        <f>IF(J152="","",_xlfn.XLOOKUP(J152,Sheet6!$E:$E,Sheet6!$D:$D,"",0,1))</f>
        <v/>
      </c>
      <c r="X152" s="30">
        <f>IF(K152="","",_xlfn.XLOOKUP(K152,Sheet6!$E:$E,Sheet6!$D:$D,"",0,1))</f>
        <v>5</v>
      </c>
      <c r="Y152" s="30">
        <f>IF(L152="","",_xlfn.XLOOKUP(L152,Sheet6!$E:$E,Sheet6!$D:$D,"",0,1))</f>
        <v>9</v>
      </c>
      <c r="Z152" s="30">
        <f>IF(M152="","",_xlfn.XLOOKUP(M152,Sheet6!$E:$E,Sheet6!$D:$D,"",0,1))</f>
        <v>4</v>
      </c>
      <c r="AA152" s="30" t="str">
        <f>IF(N152="","",_xlfn.XLOOKUP(N152,Sheet6!$E:$E,Sheet6!$D:$D,"",0,1))</f>
        <v/>
      </c>
      <c r="AB152" s="12" t="str">
        <f t="shared" si="13"/>
        <v>5,9</v>
      </c>
      <c r="AC152" s="31" t="str">
        <f t="shared" si="14"/>
        <v>5,9,4</v>
      </c>
      <c r="AD152" s="38"/>
    </row>
    <row r="153" ht="16.25" hidden="1" spans="1:30">
      <c r="A153" s="34">
        <v>260504</v>
      </c>
      <c r="B153" s="35" t="s">
        <v>448</v>
      </c>
      <c r="C153" s="12" t="s">
        <v>310</v>
      </c>
      <c r="D153" s="12" t="s">
        <v>311</v>
      </c>
      <c r="E153" s="12" t="s">
        <v>310</v>
      </c>
      <c r="F153" s="12" t="s">
        <v>311</v>
      </c>
      <c r="G153" s="12" t="s">
        <v>317</v>
      </c>
      <c r="H153" s="12"/>
      <c r="I153" s="21"/>
      <c r="J153" s="23"/>
      <c r="K153" s="36" t="s">
        <v>317</v>
      </c>
      <c r="L153" s="36"/>
      <c r="M153" s="36" t="s">
        <v>394</v>
      </c>
      <c r="N153" s="23"/>
      <c r="O153" s="23"/>
      <c r="P153" s="30">
        <v>7.29</v>
      </c>
      <c r="Q153" s="30"/>
      <c r="R153" s="30"/>
      <c r="S153" s="30"/>
      <c r="T153" s="30">
        <f>IF(G153="","",_xlfn.XLOOKUP(G153,Sheet6!$E:$E,Sheet6!$D:$D,"",0,1))</f>
        <v>7</v>
      </c>
      <c r="U153" s="30" t="str">
        <f>IF(H153="","",_xlfn.XLOOKUP(H153,Sheet6!$E:$E,Sheet6!$D:$D,"",0,1))</f>
        <v/>
      </c>
      <c r="V153" s="30" t="str">
        <f>IF(I153="","",_xlfn.XLOOKUP(I153,Sheet6!$E:$E,Sheet6!$D:$D,"",0,1))</f>
        <v/>
      </c>
      <c r="W153" s="30" t="str">
        <f>IF(J153="","",_xlfn.XLOOKUP(J153,Sheet6!$E:$E,Sheet6!$D:$D,"",0,1))</f>
        <v/>
      </c>
      <c r="X153" s="30">
        <f>IF(K153="","",_xlfn.XLOOKUP(K153,Sheet6!$E:$E,Sheet6!$D:$D,"",0,1))</f>
        <v>7</v>
      </c>
      <c r="Y153" s="30" t="str">
        <f>IF(L153="","",_xlfn.XLOOKUP(L153,Sheet6!$E:$E,Sheet6!$D:$D,"",0,1))</f>
        <v/>
      </c>
      <c r="Z153" s="30">
        <f>IF(M153="","",_xlfn.XLOOKUP(M153,Sheet6!$E:$E,Sheet6!$D:$D,"",0,1))</f>
        <v>4</v>
      </c>
      <c r="AA153" s="30" t="str">
        <f>IF(N153="","",_xlfn.XLOOKUP(N153,Sheet6!$E:$E,Sheet6!$D:$D,"",0,1))</f>
        <v/>
      </c>
      <c r="AB153" s="12" t="str">
        <f t="shared" si="13"/>
        <v>7</v>
      </c>
      <c r="AC153" s="31" t="str">
        <f t="shared" si="14"/>
        <v>7,4</v>
      </c>
      <c r="AD153" s="38"/>
    </row>
    <row r="154" ht="16.25" spans="1:30">
      <c r="A154" s="28">
        <v>160601</v>
      </c>
      <c r="B154" s="29" t="s">
        <v>449</v>
      </c>
      <c r="C154" s="12" t="s">
        <v>309</v>
      </c>
      <c r="D154" s="12"/>
      <c r="E154" s="12" t="s">
        <v>309</v>
      </c>
      <c r="F154" s="12"/>
      <c r="G154" s="21" t="s">
        <v>313</v>
      </c>
      <c r="H154" s="21" t="s">
        <v>355</v>
      </c>
      <c r="I154" s="21"/>
      <c r="J154" s="23"/>
      <c r="K154" s="36" t="s">
        <v>313</v>
      </c>
      <c r="L154" s="36" t="s">
        <v>355</v>
      </c>
      <c r="M154" s="36" t="s">
        <v>394</v>
      </c>
      <c r="N154" s="23"/>
      <c r="O154" s="23"/>
      <c r="P154" s="30">
        <v>0.0194</v>
      </c>
      <c r="Q154" s="30"/>
      <c r="R154" s="30"/>
      <c r="S154" s="30"/>
      <c r="T154" s="30">
        <f>IF(G154="","",_xlfn.XLOOKUP(G154,Sheet6!$E:$E,Sheet6!$D:$D,"",0,1))</f>
        <v>8</v>
      </c>
      <c r="U154" s="30">
        <f>IF(H154="","",_xlfn.XLOOKUP(H154,Sheet6!$E:$E,Sheet6!$D:$D,"",0,1))</f>
        <v>9</v>
      </c>
      <c r="V154" s="30" t="str">
        <f>IF(I154="","",_xlfn.XLOOKUP(I154,Sheet6!$E:$E,Sheet6!$D:$D,"",0,1))</f>
        <v/>
      </c>
      <c r="W154" s="30" t="str">
        <f>IF(J154="","",_xlfn.XLOOKUP(J154,Sheet6!$E:$E,Sheet6!$D:$D,"",0,1))</f>
        <v/>
      </c>
      <c r="X154" s="30">
        <f>IF(K154="","",_xlfn.XLOOKUP(K154,Sheet6!$E:$E,Sheet6!$D:$D,"",0,1))</f>
        <v>8</v>
      </c>
      <c r="Y154" s="30">
        <f>IF(L154="","",_xlfn.XLOOKUP(L154,Sheet6!$E:$E,Sheet6!$D:$D,"",0,1))</f>
        <v>9</v>
      </c>
      <c r="Z154" s="30">
        <f>IF(M154="","",_xlfn.XLOOKUP(M154,Sheet6!$E:$E,Sheet6!$D:$D,"",0,1))</f>
        <v>4</v>
      </c>
      <c r="AA154" s="30" t="str">
        <f>IF(N154="","",_xlfn.XLOOKUP(N154,Sheet6!$E:$E,Sheet6!$D:$D,"",0,1))</f>
        <v/>
      </c>
      <c r="AB154" s="12" t="str">
        <f t="shared" si="13"/>
        <v>8,9</v>
      </c>
      <c r="AC154" s="31" t="str">
        <f t="shared" si="14"/>
        <v>8,9,4</v>
      </c>
      <c r="AD154" s="38"/>
    </row>
    <row r="155" ht="16.25" hidden="1" spans="1:30">
      <c r="A155" s="13">
        <v>160602</v>
      </c>
      <c r="B155" s="22" t="s">
        <v>450</v>
      </c>
      <c r="C155" s="12" t="s">
        <v>310</v>
      </c>
      <c r="D155" s="12" t="s">
        <v>311</v>
      </c>
      <c r="E155" s="12" t="s">
        <v>310</v>
      </c>
      <c r="F155" s="12" t="s">
        <v>311</v>
      </c>
      <c r="G155" s="21" t="s">
        <v>337</v>
      </c>
      <c r="H155" s="21"/>
      <c r="I155" s="21"/>
      <c r="J155" s="23"/>
      <c r="K155" s="36" t="s">
        <v>337</v>
      </c>
      <c r="L155" s="36"/>
      <c r="M155" s="36" t="s">
        <v>394</v>
      </c>
      <c r="N155" s="23"/>
      <c r="O155" s="23"/>
      <c r="P155" s="30">
        <v>7.29</v>
      </c>
      <c r="Q155" s="30"/>
      <c r="R155" s="30"/>
      <c r="S155" s="30"/>
      <c r="T155" s="30">
        <f>IF(G155="","",_xlfn.XLOOKUP(G155,Sheet6!$E:$E,Sheet6!$D:$D,"",0,1))</f>
        <v>11</v>
      </c>
      <c r="U155" s="30" t="str">
        <f>IF(H155="","",_xlfn.XLOOKUP(H155,Sheet6!$E:$E,Sheet6!$D:$D,"",0,1))</f>
        <v/>
      </c>
      <c r="V155" s="30" t="str">
        <f>IF(I155="","",_xlfn.XLOOKUP(I155,Sheet6!$E:$E,Sheet6!$D:$D,"",0,1))</f>
        <v/>
      </c>
      <c r="W155" s="30" t="str">
        <f>IF(J155="","",_xlfn.XLOOKUP(J155,Sheet6!$E:$E,Sheet6!$D:$D,"",0,1))</f>
        <v/>
      </c>
      <c r="X155" s="30">
        <f>IF(K155="","",_xlfn.XLOOKUP(K155,Sheet6!$E:$E,Sheet6!$D:$D,"",0,1))</f>
        <v>11</v>
      </c>
      <c r="Y155" s="30" t="str">
        <f>IF(L155="","",_xlfn.XLOOKUP(L155,Sheet6!$E:$E,Sheet6!$D:$D,"",0,1))</f>
        <v/>
      </c>
      <c r="Z155" s="30">
        <f>IF(M155="","",_xlfn.XLOOKUP(M155,Sheet6!$E:$E,Sheet6!$D:$D,"",0,1))</f>
        <v>4</v>
      </c>
      <c r="AA155" s="30" t="str">
        <f>IF(N155="","",_xlfn.XLOOKUP(N155,Sheet6!$E:$E,Sheet6!$D:$D,"",0,1))</f>
        <v/>
      </c>
      <c r="AB155" s="12" t="str">
        <f t="shared" si="13"/>
        <v>11</v>
      </c>
      <c r="AC155" s="31" t="str">
        <f t="shared" si="14"/>
        <v>11,4</v>
      </c>
      <c r="AD155" s="38"/>
    </row>
    <row r="156" ht="16.25" hidden="1" spans="1:30">
      <c r="A156" s="13">
        <v>160603</v>
      </c>
      <c r="B156" s="22" t="s">
        <v>451</v>
      </c>
      <c r="C156" s="12" t="s">
        <v>309</v>
      </c>
      <c r="D156" s="12" t="s">
        <v>310</v>
      </c>
      <c r="E156" s="12" t="s">
        <v>309</v>
      </c>
      <c r="F156" s="12" t="s">
        <v>310</v>
      </c>
      <c r="G156" s="21" t="s">
        <v>339</v>
      </c>
      <c r="H156" s="21" t="s">
        <v>355</v>
      </c>
      <c r="I156" s="21"/>
      <c r="J156" s="23"/>
      <c r="K156" s="36" t="s">
        <v>339</v>
      </c>
      <c r="L156" s="36" t="s">
        <v>355</v>
      </c>
      <c r="M156" s="36" t="s">
        <v>394</v>
      </c>
      <c r="N156" s="23"/>
      <c r="O156" s="23"/>
      <c r="P156" s="30">
        <v>0.0272</v>
      </c>
      <c r="Q156" s="30"/>
      <c r="R156" s="30"/>
      <c r="S156" s="30"/>
      <c r="T156" s="30">
        <f>IF(G156="","",_xlfn.XLOOKUP(G156,Sheet6!$E:$E,Sheet6!$D:$D,"",0,1))</f>
        <v>5</v>
      </c>
      <c r="U156" s="30">
        <f>IF(H156="","",_xlfn.XLOOKUP(H156,Sheet6!$E:$E,Sheet6!$D:$D,"",0,1))</f>
        <v>9</v>
      </c>
      <c r="V156" s="30" t="str">
        <f>IF(I156="","",_xlfn.XLOOKUP(I156,Sheet6!$E:$E,Sheet6!$D:$D,"",0,1))</f>
        <v/>
      </c>
      <c r="W156" s="30" t="str">
        <f>IF(J156="","",_xlfn.XLOOKUP(J156,Sheet6!$E:$E,Sheet6!$D:$D,"",0,1))</f>
        <v/>
      </c>
      <c r="X156" s="30">
        <f>IF(K156="","",_xlfn.XLOOKUP(K156,Sheet6!$E:$E,Sheet6!$D:$D,"",0,1))</f>
        <v>5</v>
      </c>
      <c r="Y156" s="30">
        <f>IF(L156="","",_xlfn.XLOOKUP(L156,Sheet6!$E:$E,Sheet6!$D:$D,"",0,1))</f>
        <v>9</v>
      </c>
      <c r="Z156" s="30">
        <f>IF(M156="","",_xlfn.XLOOKUP(M156,Sheet6!$E:$E,Sheet6!$D:$D,"",0,1))</f>
        <v>4</v>
      </c>
      <c r="AA156" s="30" t="str">
        <f>IF(N156="","",_xlfn.XLOOKUP(N156,Sheet6!$E:$E,Sheet6!$D:$D,"",0,1))</f>
        <v/>
      </c>
      <c r="AB156" s="12" t="str">
        <f t="shared" si="13"/>
        <v>5,9</v>
      </c>
      <c r="AC156" s="31" t="str">
        <f t="shared" si="14"/>
        <v>5,9,4</v>
      </c>
      <c r="AD156" s="38"/>
    </row>
    <row r="157" ht="16.25" hidden="1" spans="1:30">
      <c r="A157" s="13">
        <v>160604</v>
      </c>
      <c r="B157" s="22" t="s">
        <v>452</v>
      </c>
      <c r="C157" s="12" t="s">
        <v>310</v>
      </c>
      <c r="D157" s="12" t="s">
        <v>311</v>
      </c>
      <c r="E157" s="12" t="s">
        <v>310</v>
      </c>
      <c r="F157" s="12" t="s">
        <v>311</v>
      </c>
      <c r="G157" s="21" t="s">
        <v>317</v>
      </c>
      <c r="H157" s="21"/>
      <c r="I157" s="21"/>
      <c r="J157" s="23"/>
      <c r="K157" s="36" t="s">
        <v>317</v>
      </c>
      <c r="L157" s="36"/>
      <c r="M157" s="36" t="s">
        <v>394</v>
      </c>
      <c r="N157" s="23"/>
      <c r="O157" s="23"/>
      <c r="P157" s="30">
        <v>7.29</v>
      </c>
      <c r="Q157" s="30"/>
      <c r="R157" s="30"/>
      <c r="S157" s="30"/>
      <c r="T157" s="30">
        <f>IF(G157="","",_xlfn.XLOOKUP(G157,Sheet6!$E:$E,Sheet6!$D:$D,"",0,1))</f>
        <v>7</v>
      </c>
      <c r="U157" s="30" t="str">
        <f>IF(H157="","",_xlfn.XLOOKUP(H157,Sheet6!$E:$E,Sheet6!$D:$D,"",0,1))</f>
        <v/>
      </c>
      <c r="V157" s="30" t="str">
        <f>IF(I157="","",_xlfn.XLOOKUP(I157,Sheet6!$E:$E,Sheet6!$D:$D,"",0,1))</f>
        <v/>
      </c>
      <c r="W157" s="30" t="str">
        <f>IF(J157="","",_xlfn.XLOOKUP(J157,Sheet6!$E:$E,Sheet6!$D:$D,"",0,1))</f>
        <v/>
      </c>
      <c r="X157" s="30">
        <f>IF(K157="","",_xlfn.XLOOKUP(K157,Sheet6!$E:$E,Sheet6!$D:$D,"",0,1))</f>
        <v>7</v>
      </c>
      <c r="Y157" s="30" t="str">
        <f>IF(L157="","",_xlfn.XLOOKUP(L157,Sheet6!$E:$E,Sheet6!$D:$D,"",0,1))</f>
        <v/>
      </c>
      <c r="Z157" s="30">
        <f>IF(M157="","",_xlfn.XLOOKUP(M157,Sheet6!$E:$E,Sheet6!$D:$D,"",0,1))</f>
        <v>4</v>
      </c>
      <c r="AA157" s="30" t="str">
        <f>IF(N157="","",_xlfn.XLOOKUP(N157,Sheet6!$E:$E,Sheet6!$D:$D,"",0,1))</f>
        <v/>
      </c>
      <c r="AB157" s="12" t="str">
        <f t="shared" si="13"/>
        <v>7</v>
      </c>
      <c r="AC157" s="31" t="str">
        <f t="shared" si="14"/>
        <v>7,4</v>
      </c>
      <c r="AD157" s="38"/>
    </row>
    <row r="158" ht="16.25" hidden="1" spans="1:30">
      <c r="A158" s="15">
        <v>260601</v>
      </c>
      <c r="B158" s="24" t="s">
        <v>453</v>
      </c>
      <c r="C158" s="12" t="s">
        <v>309</v>
      </c>
      <c r="D158" s="12"/>
      <c r="E158" s="12" t="s">
        <v>309</v>
      </c>
      <c r="F158" s="12"/>
      <c r="G158" s="21" t="s">
        <v>313</v>
      </c>
      <c r="H158" s="21" t="s">
        <v>355</v>
      </c>
      <c r="I158" s="21"/>
      <c r="J158" s="23"/>
      <c r="K158" s="36" t="s">
        <v>313</v>
      </c>
      <c r="L158" s="36" t="s">
        <v>355</v>
      </c>
      <c r="M158" s="36" t="s">
        <v>394</v>
      </c>
      <c r="N158" s="23"/>
      <c r="O158" s="23"/>
      <c r="P158" s="30">
        <v>0.0179</v>
      </c>
      <c r="Q158" s="30"/>
      <c r="R158" s="30"/>
      <c r="S158" s="30"/>
      <c r="T158" s="30">
        <f>IF(G158="","",_xlfn.XLOOKUP(G158,Sheet6!$E:$E,Sheet6!$D:$D,"",0,1))</f>
        <v>8</v>
      </c>
      <c r="U158" s="30">
        <f>IF(H158="","",_xlfn.XLOOKUP(H158,Sheet6!$E:$E,Sheet6!$D:$D,"",0,1))</f>
        <v>9</v>
      </c>
      <c r="V158" s="30" t="str">
        <f>IF(I158="","",_xlfn.XLOOKUP(I158,Sheet6!$E:$E,Sheet6!$D:$D,"",0,1))</f>
        <v/>
      </c>
      <c r="W158" s="30" t="str">
        <f>IF(J158="","",_xlfn.XLOOKUP(J158,Sheet6!$E:$E,Sheet6!$D:$D,"",0,1))</f>
        <v/>
      </c>
      <c r="X158" s="30">
        <f>IF(K158="","",_xlfn.XLOOKUP(K158,Sheet6!$E:$E,Sheet6!$D:$D,"",0,1))</f>
        <v>8</v>
      </c>
      <c r="Y158" s="30">
        <f>IF(L158="","",_xlfn.XLOOKUP(L158,Sheet6!$E:$E,Sheet6!$D:$D,"",0,1))</f>
        <v>9</v>
      </c>
      <c r="Z158" s="30">
        <f>IF(M158="","",_xlfn.XLOOKUP(M158,Sheet6!$E:$E,Sheet6!$D:$D,"",0,1))</f>
        <v>4</v>
      </c>
      <c r="AA158" s="30" t="str">
        <f>IF(N158="","",_xlfn.XLOOKUP(N158,Sheet6!$E:$E,Sheet6!$D:$D,"",0,1))</f>
        <v/>
      </c>
      <c r="AB158" s="12" t="str">
        <f t="shared" si="13"/>
        <v>8,9</v>
      </c>
      <c r="AC158" s="31" t="str">
        <f t="shared" si="14"/>
        <v>8,9,4</v>
      </c>
      <c r="AD158" s="38"/>
    </row>
    <row r="159" ht="16.25" hidden="1" spans="1:30">
      <c r="A159" s="17">
        <v>260602</v>
      </c>
      <c r="B159" s="25" t="s">
        <v>454</v>
      </c>
      <c r="C159" s="12" t="s">
        <v>310</v>
      </c>
      <c r="D159" s="12" t="s">
        <v>311</v>
      </c>
      <c r="E159" s="12" t="s">
        <v>310</v>
      </c>
      <c r="F159" s="12" t="s">
        <v>311</v>
      </c>
      <c r="G159" s="21" t="s">
        <v>337</v>
      </c>
      <c r="H159" s="21"/>
      <c r="I159" s="21"/>
      <c r="J159" s="23"/>
      <c r="K159" s="36" t="s">
        <v>337</v>
      </c>
      <c r="L159" s="36"/>
      <c r="M159" s="36" t="s">
        <v>394</v>
      </c>
      <c r="N159" s="23"/>
      <c r="O159" s="23"/>
      <c r="P159" s="30">
        <v>7.29</v>
      </c>
      <c r="Q159" s="30"/>
      <c r="R159" s="30"/>
      <c r="S159" s="30"/>
      <c r="T159" s="30">
        <f>IF(G159="","",_xlfn.XLOOKUP(G159,Sheet6!$E:$E,Sheet6!$D:$D,"",0,1))</f>
        <v>11</v>
      </c>
      <c r="U159" s="30" t="str">
        <f>IF(H159="","",_xlfn.XLOOKUP(H159,Sheet6!$E:$E,Sheet6!$D:$D,"",0,1))</f>
        <v/>
      </c>
      <c r="V159" s="30" t="str">
        <f>IF(I159="","",_xlfn.XLOOKUP(I159,Sheet6!$E:$E,Sheet6!$D:$D,"",0,1))</f>
        <v/>
      </c>
      <c r="W159" s="30" t="str">
        <f>IF(J159="","",_xlfn.XLOOKUP(J159,Sheet6!$E:$E,Sheet6!$D:$D,"",0,1))</f>
        <v/>
      </c>
      <c r="X159" s="30">
        <f>IF(K159="","",_xlfn.XLOOKUP(K159,Sheet6!$E:$E,Sheet6!$D:$D,"",0,1))</f>
        <v>11</v>
      </c>
      <c r="Y159" s="30" t="str">
        <f>IF(L159="","",_xlfn.XLOOKUP(L159,Sheet6!$E:$E,Sheet6!$D:$D,"",0,1))</f>
        <v/>
      </c>
      <c r="Z159" s="30">
        <f>IF(M159="","",_xlfn.XLOOKUP(M159,Sheet6!$E:$E,Sheet6!$D:$D,"",0,1))</f>
        <v>4</v>
      </c>
      <c r="AA159" s="30" t="str">
        <f>IF(N159="","",_xlfn.XLOOKUP(N159,Sheet6!$E:$E,Sheet6!$D:$D,"",0,1))</f>
        <v/>
      </c>
      <c r="AB159" s="12" t="str">
        <f t="shared" si="13"/>
        <v>11</v>
      </c>
      <c r="AC159" s="31" t="str">
        <f t="shared" si="14"/>
        <v>11,4</v>
      </c>
      <c r="AD159" s="38"/>
    </row>
    <row r="160" ht="16.25" hidden="1" spans="1:30">
      <c r="A160" s="17">
        <v>260603</v>
      </c>
      <c r="B160" s="25" t="s">
        <v>455</v>
      </c>
      <c r="C160" s="12" t="s">
        <v>309</v>
      </c>
      <c r="D160" s="12" t="s">
        <v>310</v>
      </c>
      <c r="E160" s="12" t="s">
        <v>309</v>
      </c>
      <c r="F160" s="12" t="s">
        <v>310</v>
      </c>
      <c r="G160" s="21" t="s">
        <v>339</v>
      </c>
      <c r="H160" s="21" t="s">
        <v>355</v>
      </c>
      <c r="I160" s="23"/>
      <c r="J160" s="23"/>
      <c r="K160" s="36" t="s">
        <v>339</v>
      </c>
      <c r="L160" s="36" t="s">
        <v>355</v>
      </c>
      <c r="M160" s="36" t="s">
        <v>394</v>
      </c>
      <c r="N160" s="23"/>
      <c r="O160" s="23"/>
      <c r="P160" s="30">
        <v>0.0686</v>
      </c>
      <c r="Q160" s="30"/>
      <c r="R160" s="30"/>
      <c r="S160" s="30"/>
      <c r="T160" s="30">
        <f>IF(G160="","",_xlfn.XLOOKUP(G160,Sheet6!$E:$E,Sheet6!$D:$D,"",0,1))</f>
        <v>5</v>
      </c>
      <c r="U160" s="30">
        <f>IF(H160="","",_xlfn.XLOOKUP(H160,Sheet6!$E:$E,Sheet6!$D:$D,"",0,1))</f>
        <v>9</v>
      </c>
      <c r="V160" s="30" t="str">
        <f>IF(I160="","",_xlfn.XLOOKUP(I160,Sheet6!$E:$E,Sheet6!$D:$D,"",0,1))</f>
        <v/>
      </c>
      <c r="W160" s="30" t="str">
        <f>IF(J160="","",_xlfn.XLOOKUP(J160,Sheet6!$E:$E,Sheet6!$D:$D,"",0,1))</f>
        <v/>
      </c>
      <c r="X160" s="30">
        <f>IF(K160="","",_xlfn.XLOOKUP(K160,Sheet6!$E:$E,Sheet6!$D:$D,"",0,1))</f>
        <v>5</v>
      </c>
      <c r="Y160" s="30">
        <f>IF(L160="","",_xlfn.XLOOKUP(L160,Sheet6!$E:$E,Sheet6!$D:$D,"",0,1))</f>
        <v>9</v>
      </c>
      <c r="Z160" s="30">
        <f>IF(M160="","",_xlfn.XLOOKUP(M160,Sheet6!$E:$E,Sheet6!$D:$D,"",0,1))</f>
        <v>4</v>
      </c>
      <c r="AA160" s="30" t="str">
        <f>IF(N160="","",_xlfn.XLOOKUP(N160,Sheet6!$E:$E,Sheet6!$D:$D,"",0,1))</f>
        <v/>
      </c>
      <c r="AB160" s="12" t="str">
        <f t="shared" si="13"/>
        <v>5,9</v>
      </c>
      <c r="AC160" s="31" t="str">
        <f t="shared" si="14"/>
        <v>5,9,4</v>
      </c>
      <c r="AD160" s="38"/>
    </row>
    <row r="161" ht="16.25" hidden="1" spans="1:30">
      <c r="A161" s="34">
        <v>260604</v>
      </c>
      <c r="B161" s="35" t="s">
        <v>456</v>
      </c>
      <c r="C161" s="12" t="s">
        <v>310</v>
      </c>
      <c r="D161" s="12" t="s">
        <v>311</v>
      </c>
      <c r="E161" s="12" t="s">
        <v>310</v>
      </c>
      <c r="F161" s="12" t="s">
        <v>311</v>
      </c>
      <c r="G161" s="21" t="s">
        <v>317</v>
      </c>
      <c r="H161" s="21"/>
      <c r="I161" s="23"/>
      <c r="J161" s="23"/>
      <c r="K161" s="36" t="s">
        <v>317</v>
      </c>
      <c r="L161" s="36"/>
      <c r="M161" s="36" t="s">
        <v>394</v>
      </c>
      <c r="N161" s="23"/>
      <c r="O161" s="23"/>
      <c r="P161" s="30">
        <v>0.0358</v>
      </c>
      <c r="Q161" s="30"/>
      <c r="R161" s="30"/>
      <c r="S161" s="30"/>
      <c r="T161" s="30">
        <f>IF(G161="","",_xlfn.XLOOKUP(G161,Sheet6!$E:$E,Sheet6!$D:$D,"",0,1))</f>
        <v>7</v>
      </c>
      <c r="U161" s="30" t="str">
        <f>IF(H161="","",_xlfn.XLOOKUP(H161,Sheet6!$E:$E,Sheet6!$D:$D,"",0,1))</f>
        <v/>
      </c>
      <c r="V161" s="30" t="str">
        <f>IF(I161="","",_xlfn.XLOOKUP(I161,Sheet6!$E:$E,Sheet6!$D:$D,"",0,1))</f>
        <v/>
      </c>
      <c r="W161" s="30" t="str">
        <f>IF(J161="","",_xlfn.XLOOKUP(J161,Sheet6!$E:$E,Sheet6!$D:$D,"",0,1))</f>
        <v/>
      </c>
      <c r="X161" s="30">
        <f>IF(K161="","",_xlfn.XLOOKUP(K161,Sheet6!$E:$E,Sheet6!$D:$D,"",0,1))</f>
        <v>7</v>
      </c>
      <c r="Y161" s="30" t="str">
        <f>IF(L161="","",_xlfn.XLOOKUP(L161,Sheet6!$E:$E,Sheet6!$D:$D,"",0,1))</f>
        <v/>
      </c>
      <c r="Z161" s="30">
        <f>IF(M161="","",_xlfn.XLOOKUP(M161,Sheet6!$E:$E,Sheet6!$D:$D,"",0,1))</f>
        <v>4</v>
      </c>
      <c r="AA161" s="30" t="str">
        <f>IF(N161="","",_xlfn.XLOOKUP(N161,Sheet6!$E:$E,Sheet6!$D:$D,"",0,1))</f>
        <v/>
      </c>
      <c r="AB161" s="12" t="str">
        <f t="shared" si="13"/>
        <v>7</v>
      </c>
      <c r="AC161" s="31" t="str">
        <f t="shared" si="14"/>
        <v>7,4</v>
      </c>
      <c r="AD161" s="38"/>
    </row>
    <row r="162" ht="16.25" spans="1:30">
      <c r="A162" s="28">
        <v>160701</v>
      </c>
      <c r="B162" s="29" t="s">
        <v>457</v>
      </c>
      <c r="C162" s="12" t="s">
        <v>309</v>
      </c>
      <c r="D162" s="12"/>
      <c r="E162" s="12" t="s">
        <v>309</v>
      </c>
      <c r="F162" s="12"/>
      <c r="G162" s="23" t="s">
        <v>339</v>
      </c>
      <c r="H162" s="23" t="s">
        <v>355</v>
      </c>
      <c r="I162" s="23"/>
      <c r="J162" s="23"/>
      <c r="K162" s="36" t="s">
        <v>339</v>
      </c>
      <c r="L162" s="36" t="s">
        <v>355</v>
      </c>
      <c r="M162" s="36" t="s">
        <v>394</v>
      </c>
      <c r="N162" s="23"/>
      <c r="O162" s="23"/>
      <c r="P162" s="30">
        <v>7.29</v>
      </c>
      <c r="Q162" s="30"/>
      <c r="R162" s="30"/>
      <c r="S162" s="30"/>
      <c r="T162" s="30">
        <f>IF(G162="","",_xlfn.XLOOKUP(G162,Sheet6!$E:$E,Sheet6!$D:$D,"",0,1))</f>
        <v>5</v>
      </c>
      <c r="U162" s="30">
        <f>IF(H162="","",_xlfn.XLOOKUP(H162,Sheet6!$E:$E,Sheet6!$D:$D,"",0,1))</f>
        <v>9</v>
      </c>
      <c r="V162" s="30" t="str">
        <f>IF(I162="","",_xlfn.XLOOKUP(I162,Sheet6!$E:$E,Sheet6!$D:$D,"",0,1))</f>
        <v/>
      </c>
      <c r="W162" s="30" t="str">
        <f>IF(J162="","",_xlfn.XLOOKUP(J162,Sheet6!$E:$E,Sheet6!$D:$D,"",0,1))</f>
        <v/>
      </c>
      <c r="X162" s="30">
        <f>IF(K162="","",_xlfn.XLOOKUP(K162,Sheet6!$E:$E,Sheet6!$D:$D,"",0,1))</f>
        <v>5</v>
      </c>
      <c r="Y162" s="30">
        <f>IF(L162="","",_xlfn.XLOOKUP(L162,Sheet6!$E:$E,Sheet6!$D:$D,"",0,1))</f>
        <v>9</v>
      </c>
      <c r="Z162" s="30">
        <f>IF(M162="","",_xlfn.XLOOKUP(M162,Sheet6!$E:$E,Sheet6!$D:$D,"",0,1))</f>
        <v>4</v>
      </c>
      <c r="AA162" s="30" t="str">
        <f>IF(N162="","",_xlfn.XLOOKUP(N162,Sheet6!$E:$E,Sheet6!$D:$D,"",0,1))</f>
        <v/>
      </c>
      <c r="AB162" s="12" t="str">
        <f t="shared" si="13"/>
        <v>5,9</v>
      </c>
      <c r="AC162" s="31" t="str">
        <f t="shared" si="14"/>
        <v>5,9,4</v>
      </c>
      <c r="AD162" s="38"/>
    </row>
    <row r="163" ht="16.25" hidden="1" spans="1:30">
      <c r="A163" s="13">
        <v>160702</v>
      </c>
      <c r="B163" s="22" t="s">
        <v>458</v>
      </c>
      <c r="C163" s="12" t="s">
        <v>310</v>
      </c>
      <c r="D163" s="12" t="s">
        <v>311</v>
      </c>
      <c r="E163" s="12" t="s">
        <v>310</v>
      </c>
      <c r="F163" s="12" t="s">
        <v>311</v>
      </c>
      <c r="G163" s="23" t="s">
        <v>337</v>
      </c>
      <c r="H163" s="23"/>
      <c r="I163" s="23"/>
      <c r="J163" s="23"/>
      <c r="K163" s="36" t="s">
        <v>337</v>
      </c>
      <c r="L163" s="36"/>
      <c r="M163" s="36" t="s">
        <v>394</v>
      </c>
      <c r="N163" s="23"/>
      <c r="O163" s="23"/>
      <c r="P163" s="30">
        <v>0.0686</v>
      </c>
      <c r="Q163" s="30"/>
      <c r="R163" s="30"/>
      <c r="S163" s="30"/>
      <c r="T163" s="30">
        <f>IF(G163="","",_xlfn.XLOOKUP(G163,Sheet6!$E:$E,Sheet6!$D:$D,"",0,1))</f>
        <v>11</v>
      </c>
      <c r="U163" s="30" t="str">
        <f>IF(H163="","",_xlfn.XLOOKUP(H163,Sheet6!$E:$E,Sheet6!$D:$D,"",0,1))</f>
        <v/>
      </c>
      <c r="V163" s="30" t="str">
        <f>IF(I163="","",_xlfn.XLOOKUP(I163,Sheet6!$E:$E,Sheet6!$D:$D,"",0,1))</f>
        <v/>
      </c>
      <c r="W163" s="30" t="str">
        <f>IF(J163="","",_xlfn.XLOOKUP(J163,Sheet6!$E:$E,Sheet6!$D:$D,"",0,1))</f>
        <v/>
      </c>
      <c r="X163" s="30">
        <f>IF(K163="","",_xlfn.XLOOKUP(K163,Sheet6!$E:$E,Sheet6!$D:$D,"",0,1))</f>
        <v>11</v>
      </c>
      <c r="Y163" s="30" t="str">
        <f>IF(L163="","",_xlfn.XLOOKUP(L163,Sheet6!$E:$E,Sheet6!$D:$D,"",0,1))</f>
        <v/>
      </c>
      <c r="Z163" s="30">
        <f>IF(M163="","",_xlfn.XLOOKUP(M163,Sheet6!$E:$E,Sheet6!$D:$D,"",0,1))</f>
        <v>4</v>
      </c>
      <c r="AA163" s="30" t="str">
        <f>IF(N163="","",_xlfn.XLOOKUP(N163,Sheet6!$E:$E,Sheet6!$D:$D,"",0,1))</f>
        <v/>
      </c>
      <c r="AB163" s="12" t="str">
        <f t="shared" si="13"/>
        <v>11</v>
      </c>
      <c r="AC163" s="31" t="str">
        <f t="shared" si="14"/>
        <v>11,4</v>
      </c>
      <c r="AD163" s="38"/>
    </row>
    <row r="164" ht="16.25" hidden="1" spans="1:30">
      <c r="A164" s="13">
        <v>160703</v>
      </c>
      <c r="B164" s="22" t="s">
        <v>459</v>
      </c>
      <c r="C164" s="12" t="s">
        <v>309</v>
      </c>
      <c r="D164" s="12" t="s">
        <v>310</v>
      </c>
      <c r="E164" s="12" t="s">
        <v>309</v>
      </c>
      <c r="F164" s="12" t="s">
        <v>310</v>
      </c>
      <c r="G164" s="23" t="s">
        <v>315</v>
      </c>
      <c r="H164" s="23" t="s">
        <v>355</v>
      </c>
      <c r="I164" s="23"/>
      <c r="J164" s="23"/>
      <c r="K164" s="36" t="s">
        <v>315</v>
      </c>
      <c r="L164" s="36" t="s">
        <v>355</v>
      </c>
      <c r="M164" s="36" t="s">
        <v>394</v>
      </c>
      <c r="N164" s="23"/>
      <c r="O164" s="23"/>
      <c r="P164" s="30">
        <v>0.0107</v>
      </c>
      <c r="Q164" s="30"/>
      <c r="R164" s="30"/>
      <c r="S164" s="30"/>
      <c r="T164" s="30">
        <f>IF(G164="","",_xlfn.XLOOKUP(G164,Sheet6!$E:$E,Sheet6!$D:$D,"",0,1))</f>
        <v>6</v>
      </c>
      <c r="U164" s="30">
        <f>IF(H164="","",_xlfn.XLOOKUP(H164,Sheet6!$E:$E,Sheet6!$D:$D,"",0,1))</f>
        <v>9</v>
      </c>
      <c r="V164" s="30" t="str">
        <f>IF(I164="","",_xlfn.XLOOKUP(I164,Sheet6!$E:$E,Sheet6!$D:$D,"",0,1))</f>
        <v/>
      </c>
      <c r="W164" s="30" t="str">
        <f>IF(J164="","",_xlfn.XLOOKUP(J164,Sheet6!$E:$E,Sheet6!$D:$D,"",0,1))</f>
        <v/>
      </c>
      <c r="X164" s="30">
        <f>IF(K164="","",_xlfn.XLOOKUP(K164,Sheet6!$E:$E,Sheet6!$D:$D,"",0,1))</f>
        <v>6</v>
      </c>
      <c r="Y164" s="30">
        <f>IF(L164="","",_xlfn.XLOOKUP(L164,Sheet6!$E:$E,Sheet6!$D:$D,"",0,1))</f>
        <v>9</v>
      </c>
      <c r="Z164" s="30">
        <f>IF(M164="","",_xlfn.XLOOKUP(M164,Sheet6!$E:$E,Sheet6!$D:$D,"",0,1))</f>
        <v>4</v>
      </c>
      <c r="AA164" s="30" t="str">
        <f>IF(N164="","",_xlfn.XLOOKUP(N164,Sheet6!$E:$E,Sheet6!$D:$D,"",0,1))</f>
        <v/>
      </c>
      <c r="AB164" s="12" t="str">
        <f t="shared" si="13"/>
        <v>6,9</v>
      </c>
      <c r="AC164" s="31" t="str">
        <f t="shared" si="14"/>
        <v>6,9,4</v>
      </c>
      <c r="AD164" s="38"/>
    </row>
    <row r="165" ht="16.25" hidden="1" spans="1:30">
      <c r="A165" s="13">
        <v>160704</v>
      </c>
      <c r="B165" s="22" t="s">
        <v>460</v>
      </c>
      <c r="C165" s="12" t="s">
        <v>310</v>
      </c>
      <c r="D165" s="12" t="s">
        <v>311</v>
      </c>
      <c r="E165" s="12" t="s">
        <v>310</v>
      </c>
      <c r="F165" s="12" t="s">
        <v>311</v>
      </c>
      <c r="G165" s="23" t="s">
        <v>317</v>
      </c>
      <c r="H165" s="23"/>
      <c r="I165" s="23"/>
      <c r="J165" s="23"/>
      <c r="K165" s="36" t="s">
        <v>317</v>
      </c>
      <c r="L165" s="36"/>
      <c r="M165" s="36" t="s">
        <v>394</v>
      </c>
      <c r="N165" s="23"/>
      <c r="O165" s="23"/>
      <c r="P165" s="30">
        <v>7.29</v>
      </c>
      <c r="Q165" s="30"/>
      <c r="R165" s="30"/>
      <c r="S165" s="30"/>
      <c r="T165" s="30">
        <f>IF(G165="","",_xlfn.XLOOKUP(G165,Sheet6!$E:$E,Sheet6!$D:$D,"",0,1))</f>
        <v>7</v>
      </c>
      <c r="U165" s="30" t="str">
        <f>IF(H165="","",_xlfn.XLOOKUP(H165,Sheet6!$E:$E,Sheet6!$D:$D,"",0,1))</f>
        <v/>
      </c>
      <c r="V165" s="30" t="str">
        <f>IF(I165="","",_xlfn.XLOOKUP(I165,Sheet6!$E:$E,Sheet6!$D:$D,"",0,1))</f>
        <v/>
      </c>
      <c r="W165" s="30" t="str">
        <f>IF(J165="","",_xlfn.XLOOKUP(J165,Sheet6!$E:$E,Sheet6!$D:$D,"",0,1))</f>
        <v/>
      </c>
      <c r="X165" s="30">
        <f>IF(K165="","",_xlfn.XLOOKUP(K165,Sheet6!$E:$E,Sheet6!$D:$D,"",0,1))</f>
        <v>7</v>
      </c>
      <c r="Y165" s="30" t="str">
        <f>IF(L165="","",_xlfn.XLOOKUP(L165,Sheet6!$E:$E,Sheet6!$D:$D,"",0,1))</f>
        <v/>
      </c>
      <c r="Z165" s="30">
        <f>IF(M165="","",_xlfn.XLOOKUP(M165,Sheet6!$E:$E,Sheet6!$D:$D,"",0,1))</f>
        <v>4</v>
      </c>
      <c r="AA165" s="30" t="str">
        <f>IF(N165="","",_xlfn.XLOOKUP(N165,Sheet6!$E:$E,Sheet6!$D:$D,"",0,1))</f>
        <v/>
      </c>
      <c r="AB165" s="12" t="str">
        <f t="shared" si="13"/>
        <v>7</v>
      </c>
      <c r="AC165" s="31" t="str">
        <f t="shared" si="14"/>
        <v>7,4</v>
      </c>
      <c r="AD165" s="38"/>
    </row>
    <row r="166" ht="16.25" hidden="1" spans="1:30">
      <c r="A166" s="15">
        <v>260701</v>
      </c>
      <c r="B166" s="24" t="s">
        <v>461</v>
      </c>
      <c r="C166" s="12" t="s">
        <v>309</v>
      </c>
      <c r="D166" s="12"/>
      <c r="E166" s="12" t="s">
        <v>309</v>
      </c>
      <c r="F166" s="12"/>
      <c r="G166" s="23" t="s">
        <v>339</v>
      </c>
      <c r="H166" s="23" t="s">
        <v>355</v>
      </c>
      <c r="I166" s="23"/>
      <c r="J166" s="23"/>
      <c r="K166" s="36" t="s">
        <v>339</v>
      </c>
      <c r="L166" s="36" t="s">
        <v>355</v>
      </c>
      <c r="M166" s="36" t="s">
        <v>394</v>
      </c>
      <c r="N166" s="23"/>
      <c r="O166" s="23"/>
      <c r="P166" s="30">
        <v>0.0343</v>
      </c>
      <c r="Q166" s="30"/>
      <c r="R166" s="30"/>
      <c r="S166" s="30"/>
      <c r="T166" s="30">
        <f>IF(G166="","",_xlfn.XLOOKUP(G166,Sheet6!$E:$E,Sheet6!$D:$D,"",0,1))</f>
        <v>5</v>
      </c>
      <c r="U166" s="30">
        <f>IF(H166="","",_xlfn.XLOOKUP(H166,Sheet6!$E:$E,Sheet6!$D:$D,"",0,1))</f>
        <v>9</v>
      </c>
      <c r="V166" s="30" t="str">
        <f>IF(I166="","",_xlfn.XLOOKUP(I166,Sheet6!$E:$E,Sheet6!$D:$D,"",0,1))</f>
        <v/>
      </c>
      <c r="W166" s="30" t="str">
        <f>IF(J166="","",_xlfn.XLOOKUP(J166,Sheet6!$E:$E,Sheet6!$D:$D,"",0,1))</f>
        <v/>
      </c>
      <c r="X166" s="30">
        <f>IF(K166="","",_xlfn.XLOOKUP(K166,Sheet6!$E:$E,Sheet6!$D:$D,"",0,1))</f>
        <v>5</v>
      </c>
      <c r="Y166" s="30">
        <f>IF(L166="","",_xlfn.XLOOKUP(L166,Sheet6!$E:$E,Sheet6!$D:$D,"",0,1))</f>
        <v>9</v>
      </c>
      <c r="Z166" s="30">
        <f>IF(M166="","",_xlfn.XLOOKUP(M166,Sheet6!$E:$E,Sheet6!$D:$D,"",0,1))</f>
        <v>4</v>
      </c>
      <c r="AA166" s="30" t="str">
        <f>IF(N166="","",_xlfn.XLOOKUP(N166,Sheet6!$E:$E,Sheet6!$D:$D,"",0,1))</f>
        <v/>
      </c>
      <c r="AB166" s="12" t="str">
        <f t="shared" si="13"/>
        <v>5,9</v>
      </c>
      <c r="AC166" s="31" t="str">
        <f t="shared" si="14"/>
        <v>5,9,4</v>
      </c>
      <c r="AD166" s="38"/>
    </row>
    <row r="167" ht="16.25" hidden="1" spans="1:30">
      <c r="A167" s="17">
        <v>260702</v>
      </c>
      <c r="B167" s="25" t="s">
        <v>462</v>
      </c>
      <c r="C167" s="12" t="s">
        <v>310</v>
      </c>
      <c r="D167" s="12" t="s">
        <v>311</v>
      </c>
      <c r="E167" s="12" t="s">
        <v>310</v>
      </c>
      <c r="F167" s="12" t="s">
        <v>311</v>
      </c>
      <c r="G167" s="23" t="s">
        <v>337</v>
      </c>
      <c r="H167" s="23"/>
      <c r="I167" s="23"/>
      <c r="J167" s="23"/>
      <c r="K167" s="36" t="s">
        <v>337</v>
      </c>
      <c r="L167" s="36"/>
      <c r="M167" s="36" t="s">
        <v>394</v>
      </c>
      <c r="N167" s="23"/>
      <c r="O167" s="23"/>
      <c r="P167" s="30">
        <v>0.0287</v>
      </c>
      <c r="Q167" s="30"/>
      <c r="R167" s="30"/>
      <c r="S167" s="30"/>
      <c r="T167" s="30">
        <f>IF(G167="","",_xlfn.XLOOKUP(G167,Sheet6!$E:$E,Sheet6!$D:$D,"",0,1))</f>
        <v>11</v>
      </c>
      <c r="U167" s="30" t="str">
        <f>IF(H167="","",_xlfn.XLOOKUP(H167,Sheet6!$E:$E,Sheet6!$D:$D,"",0,1))</f>
        <v/>
      </c>
      <c r="V167" s="30" t="str">
        <f>IF(I167="","",_xlfn.XLOOKUP(I167,Sheet6!$E:$E,Sheet6!$D:$D,"",0,1))</f>
        <v/>
      </c>
      <c r="W167" s="30" t="str">
        <f>IF(J167="","",_xlfn.XLOOKUP(J167,Sheet6!$E:$E,Sheet6!$D:$D,"",0,1))</f>
        <v/>
      </c>
      <c r="X167" s="30">
        <f>IF(K167="","",_xlfn.XLOOKUP(K167,Sheet6!$E:$E,Sheet6!$D:$D,"",0,1))</f>
        <v>11</v>
      </c>
      <c r="Y167" s="30" t="str">
        <f>IF(L167="","",_xlfn.XLOOKUP(L167,Sheet6!$E:$E,Sheet6!$D:$D,"",0,1))</f>
        <v/>
      </c>
      <c r="Z167" s="30">
        <f>IF(M167="","",_xlfn.XLOOKUP(M167,Sheet6!$E:$E,Sheet6!$D:$D,"",0,1))</f>
        <v>4</v>
      </c>
      <c r="AA167" s="30" t="str">
        <f>IF(N167="","",_xlfn.XLOOKUP(N167,Sheet6!$E:$E,Sheet6!$D:$D,"",0,1))</f>
        <v/>
      </c>
      <c r="AB167" s="12" t="str">
        <f t="shared" si="13"/>
        <v>11</v>
      </c>
      <c r="AC167" s="31" t="str">
        <f t="shared" si="14"/>
        <v>11,4</v>
      </c>
      <c r="AD167" s="38"/>
    </row>
    <row r="168" ht="16.25" hidden="1" spans="1:30">
      <c r="A168" s="17">
        <v>260703</v>
      </c>
      <c r="B168" s="25" t="s">
        <v>463</v>
      </c>
      <c r="C168" s="12" t="s">
        <v>309</v>
      </c>
      <c r="D168" s="12" t="s">
        <v>310</v>
      </c>
      <c r="E168" s="12" t="s">
        <v>309</v>
      </c>
      <c r="F168" s="12" t="s">
        <v>310</v>
      </c>
      <c r="G168" s="23" t="s">
        <v>315</v>
      </c>
      <c r="H168" s="23" t="s">
        <v>355</v>
      </c>
      <c r="I168" s="23"/>
      <c r="J168" s="23"/>
      <c r="K168" s="36" t="s">
        <v>315</v>
      </c>
      <c r="L168" s="36" t="s">
        <v>355</v>
      </c>
      <c r="M168" s="36" t="s">
        <v>394</v>
      </c>
      <c r="N168" s="23"/>
      <c r="O168" s="23"/>
      <c r="P168" s="30">
        <v>7.29</v>
      </c>
      <c r="Q168" s="30"/>
      <c r="R168" s="30"/>
      <c r="S168" s="30"/>
      <c r="T168" s="30">
        <f>IF(G168="","",_xlfn.XLOOKUP(G168,Sheet6!$E:$E,Sheet6!$D:$D,"",0,1))</f>
        <v>6</v>
      </c>
      <c r="U168" s="30">
        <f>IF(H168="","",_xlfn.XLOOKUP(H168,Sheet6!$E:$E,Sheet6!$D:$D,"",0,1))</f>
        <v>9</v>
      </c>
      <c r="V168" s="30" t="str">
        <f>IF(I168="","",_xlfn.XLOOKUP(I168,Sheet6!$E:$E,Sheet6!$D:$D,"",0,1))</f>
        <v/>
      </c>
      <c r="W168" s="30" t="str">
        <f>IF(J168="","",_xlfn.XLOOKUP(J168,Sheet6!$E:$E,Sheet6!$D:$D,"",0,1))</f>
        <v/>
      </c>
      <c r="X168" s="30">
        <f>IF(K168="","",_xlfn.XLOOKUP(K168,Sheet6!$E:$E,Sheet6!$D:$D,"",0,1))</f>
        <v>6</v>
      </c>
      <c r="Y168" s="30">
        <f>IF(L168="","",_xlfn.XLOOKUP(L168,Sheet6!$E:$E,Sheet6!$D:$D,"",0,1))</f>
        <v>9</v>
      </c>
      <c r="Z168" s="30">
        <f>IF(M168="","",_xlfn.XLOOKUP(M168,Sheet6!$E:$E,Sheet6!$D:$D,"",0,1))</f>
        <v>4</v>
      </c>
      <c r="AA168" s="30" t="str">
        <f>IF(N168="","",_xlfn.XLOOKUP(N168,Sheet6!$E:$E,Sheet6!$D:$D,"",0,1))</f>
        <v/>
      </c>
      <c r="AB168" s="12" t="str">
        <f t="shared" si="13"/>
        <v>6,9</v>
      </c>
      <c r="AC168" s="31" t="str">
        <f t="shared" si="14"/>
        <v>6,9,4</v>
      </c>
      <c r="AD168" s="38"/>
    </row>
    <row r="169" ht="16.25" hidden="1" spans="1:30">
      <c r="A169" s="34">
        <v>260704</v>
      </c>
      <c r="B169" s="35" t="s">
        <v>464</v>
      </c>
      <c r="C169" s="12" t="s">
        <v>310</v>
      </c>
      <c r="D169" s="12" t="s">
        <v>311</v>
      </c>
      <c r="E169" s="12" t="s">
        <v>310</v>
      </c>
      <c r="F169" s="12" t="s">
        <v>311</v>
      </c>
      <c r="G169" s="23" t="s">
        <v>317</v>
      </c>
      <c r="H169" s="23"/>
      <c r="I169" s="23"/>
      <c r="J169" s="23"/>
      <c r="K169" s="36" t="s">
        <v>317</v>
      </c>
      <c r="L169" s="36"/>
      <c r="M169" s="36" t="s">
        <v>394</v>
      </c>
      <c r="N169" s="23"/>
      <c r="O169" s="23"/>
      <c r="P169" s="30">
        <v>0.0274</v>
      </c>
      <c r="Q169" s="30"/>
      <c r="R169" s="30"/>
      <c r="S169" s="30"/>
      <c r="T169" s="30">
        <f>IF(G169="","",_xlfn.XLOOKUP(G169,Sheet6!$E:$E,Sheet6!$D:$D,"",0,1))</f>
        <v>7</v>
      </c>
      <c r="U169" s="30" t="str">
        <f>IF(H169="","",_xlfn.XLOOKUP(H169,Sheet6!$E:$E,Sheet6!$D:$D,"",0,1))</f>
        <v/>
      </c>
      <c r="V169" s="30" t="str">
        <f>IF(I169="","",_xlfn.XLOOKUP(I169,Sheet6!$E:$E,Sheet6!$D:$D,"",0,1))</f>
        <v/>
      </c>
      <c r="W169" s="30" t="str">
        <f>IF(J169="","",_xlfn.XLOOKUP(J169,Sheet6!$E:$E,Sheet6!$D:$D,"",0,1))</f>
        <v/>
      </c>
      <c r="X169" s="30">
        <f>IF(K169="","",_xlfn.XLOOKUP(K169,Sheet6!$E:$E,Sheet6!$D:$D,"",0,1))</f>
        <v>7</v>
      </c>
      <c r="Y169" s="30" t="str">
        <f>IF(L169="","",_xlfn.XLOOKUP(L169,Sheet6!$E:$E,Sheet6!$D:$D,"",0,1))</f>
        <v/>
      </c>
      <c r="Z169" s="30">
        <f>IF(M169="","",_xlfn.XLOOKUP(M169,Sheet6!$E:$E,Sheet6!$D:$D,"",0,1))</f>
        <v>4</v>
      </c>
      <c r="AA169" s="30" t="str">
        <f>IF(N169="","",_xlfn.XLOOKUP(N169,Sheet6!$E:$E,Sheet6!$D:$D,"",0,1))</f>
        <v/>
      </c>
      <c r="AB169" s="12" t="str">
        <f t="shared" si="13"/>
        <v>7</v>
      </c>
      <c r="AC169" s="31" t="str">
        <f t="shared" si="14"/>
        <v>7,4</v>
      </c>
      <c r="AD169" s="38"/>
    </row>
    <row r="170" ht="16.25" spans="1:30">
      <c r="A170" s="28">
        <v>160801</v>
      </c>
      <c r="B170" s="29" t="s">
        <v>465</v>
      </c>
      <c r="C170" s="12" t="s">
        <v>309</v>
      </c>
      <c r="D170" s="12"/>
      <c r="E170" s="12" t="s">
        <v>309</v>
      </c>
      <c r="F170" s="12"/>
      <c r="G170" s="23" t="s">
        <v>339</v>
      </c>
      <c r="H170" s="23" t="s">
        <v>355</v>
      </c>
      <c r="I170" s="23"/>
      <c r="J170" s="23"/>
      <c r="K170" s="36" t="s">
        <v>339</v>
      </c>
      <c r="L170" s="36"/>
      <c r="M170" s="36" t="s">
        <v>355</v>
      </c>
      <c r="N170" s="36" t="s">
        <v>394</v>
      </c>
      <c r="O170" s="23"/>
      <c r="P170" s="30">
        <v>0.0287</v>
      </c>
      <c r="Q170" s="30"/>
      <c r="R170" s="30"/>
      <c r="S170" s="30"/>
      <c r="T170" s="30">
        <f>IF(G170="","",_xlfn.XLOOKUP(G170,Sheet6!$E:$E,Sheet6!$D:$D,"",0,1))</f>
        <v>5</v>
      </c>
      <c r="U170" s="30">
        <f>IF(H170="","",_xlfn.XLOOKUP(H170,Sheet6!$E:$E,Sheet6!$D:$D,"",0,1))</f>
        <v>9</v>
      </c>
      <c r="V170" s="30" t="str">
        <f>IF(I170="","",_xlfn.XLOOKUP(I170,Sheet6!$E:$E,Sheet6!$D:$D,"",0,1))</f>
        <v/>
      </c>
      <c r="W170" s="30" t="str">
        <f>IF(J170="","",_xlfn.XLOOKUP(J170,Sheet6!$E:$E,Sheet6!$D:$D,"",0,1))</f>
        <v/>
      </c>
      <c r="X170" s="30">
        <f>IF(K170="","",_xlfn.XLOOKUP(K170,Sheet6!$E:$E,Sheet6!$D:$D,"",0,1))</f>
        <v>5</v>
      </c>
      <c r="Y170" s="30" t="str">
        <f>IF(L170="","",_xlfn.XLOOKUP(L170,Sheet6!$E:$E,Sheet6!$D:$D,"",0,1))</f>
        <v/>
      </c>
      <c r="Z170" s="30">
        <f>IF(M170="","",_xlfn.XLOOKUP(M170,Sheet6!$E:$E,Sheet6!$D:$D,"",0,1))</f>
        <v>9</v>
      </c>
      <c r="AA170" s="30">
        <f>IF(N170="","",_xlfn.XLOOKUP(N170,Sheet6!$E:$E,Sheet6!$D:$D,"",0,1))</f>
        <v>4</v>
      </c>
      <c r="AB170" s="12" t="str">
        <f t="shared" si="13"/>
        <v>5,9</v>
      </c>
      <c r="AC170" s="31" t="str">
        <f t="shared" si="14"/>
        <v>5,9,4</v>
      </c>
      <c r="AD170" s="38"/>
    </row>
    <row r="171" ht="16.25" hidden="1" spans="1:30">
      <c r="A171" s="13">
        <v>160802</v>
      </c>
      <c r="B171" s="22" t="s">
        <v>466</v>
      </c>
      <c r="C171" s="12" t="s">
        <v>310</v>
      </c>
      <c r="D171" s="12" t="s">
        <v>311</v>
      </c>
      <c r="E171" s="12" t="s">
        <v>310</v>
      </c>
      <c r="F171" s="12" t="s">
        <v>311</v>
      </c>
      <c r="G171" s="23" t="s">
        <v>313</v>
      </c>
      <c r="H171" s="23" t="s">
        <v>319</v>
      </c>
      <c r="I171" s="23" t="s">
        <v>334</v>
      </c>
      <c r="J171" s="23"/>
      <c r="K171" s="36" t="s">
        <v>313</v>
      </c>
      <c r="L171" s="36" t="s">
        <v>319</v>
      </c>
      <c r="M171" s="36" t="s">
        <v>334</v>
      </c>
      <c r="N171" s="36" t="s">
        <v>394</v>
      </c>
      <c r="O171" s="23"/>
      <c r="P171" s="30">
        <v>0.0343</v>
      </c>
      <c r="Q171" s="30"/>
      <c r="R171" s="30"/>
      <c r="S171" s="30"/>
      <c r="T171" s="30">
        <f>IF(G171="","",_xlfn.XLOOKUP(G171,Sheet6!$E:$E,Sheet6!$D:$D,"",0,1))</f>
        <v>8</v>
      </c>
      <c r="U171" s="30">
        <f>IF(H171="","",_xlfn.XLOOKUP(H171,Sheet6!$E:$E,Sheet6!$D:$D,"",0,1))</f>
        <v>10</v>
      </c>
      <c r="V171" s="30">
        <f>IF(I171="","",_xlfn.XLOOKUP(I171,Sheet6!$E:$E,Sheet6!$D:$D,"",0,1))</f>
        <v>26</v>
      </c>
      <c r="W171" s="30" t="str">
        <f>IF(J171="","",_xlfn.XLOOKUP(J171,Sheet6!$E:$E,Sheet6!$D:$D,"",0,1))</f>
        <v/>
      </c>
      <c r="X171" s="30">
        <f>IF(K171="","",_xlfn.XLOOKUP(K171,Sheet6!$E:$E,Sheet6!$D:$D,"",0,1))</f>
        <v>8</v>
      </c>
      <c r="Y171" s="30">
        <f>IF(L171="","",_xlfn.XLOOKUP(L171,Sheet6!$E:$E,Sheet6!$D:$D,"",0,1))</f>
        <v>10</v>
      </c>
      <c r="Z171" s="30">
        <f>IF(M171="","",_xlfn.XLOOKUP(M171,Sheet6!$E:$E,Sheet6!$D:$D,"",0,1))</f>
        <v>26</v>
      </c>
      <c r="AA171" s="30">
        <f>IF(N171="","",_xlfn.XLOOKUP(N171,Sheet6!$E:$E,Sheet6!$D:$D,"",0,1))</f>
        <v>4</v>
      </c>
      <c r="AB171" s="12" t="str">
        <f t="shared" si="13"/>
        <v>8,10,26</v>
      </c>
      <c r="AC171" s="31" t="str">
        <f t="shared" si="14"/>
        <v>8,10,26,4</v>
      </c>
      <c r="AD171" s="38"/>
    </row>
    <row r="172" ht="16.25" hidden="1" spans="1:30">
      <c r="A172" s="13">
        <v>160803</v>
      </c>
      <c r="B172" s="22" t="s">
        <v>467</v>
      </c>
      <c r="C172" s="12" t="s">
        <v>309</v>
      </c>
      <c r="D172" s="12" t="s">
        <v>310</v>
      </c>
      <c r="E172" s="12" t="s">
        <v>309</v>
      </c>
      <c r="F172" s="12" t="s">
        <v>310</v>
      </c>
      <c r="G172" s="23" t="s">
        <v>315</v>
      </c>
      <c r="H172" s="23" t="s">
        <v>355</v>
      </c>
      <c r="I172" s="23"/>
      <c r="J172" s="23"/>
      <c r="K172" s="36" t="s">
        <v>315</v>
      </c>
      <c r="L172" s="36"/>
      <c r="M172" s="36" t="s">
        <v>355</v>
      </c>
      <c r="N172" s="36" t="s">
        <v>394</v>
      </c>
      <c r="O172" s="23"/>
      <c r="P172" s="30">
        <v>0.0039</v>
      </c>
      <c r="Q172" s="30"/>
      <c r="R172" s="30"/>
      <c r="S172" s="30"/>
      <c r="T172" s="30">
        <f>IF(G172="","",_xlfn.XLOOKUP(G172,Sheet6!$E:$E,Sheet6!$D:$D,"",0,1))</f>
        <v>6</v>
      </c>
      <c r="U172" s="30">
        <f>IF(H172="","",_xlfn.XLOOKUP(H172,Sheet6!$E:$E,Sheet6!$D:$D,"",0,1))</f>
        <v>9</v>
      </c>
      <c r="V172" s="30" t="str">
        <f>IF(I172="","",_xlfn.XLOOKUP(I172,Sheet6!$E:$E,Sheet6!$D:$D,"",0,1))</f>
        <v/>
      </c>
      <c r="W172" s="30" t="str">
        <f>IF(J172="","",_xlfn.XLOOKUP(J172,Sheet6!$E:$E,Sheet6!$D:$D,"",0,1))</f>
        <v/>
      </c>
      <c r="X172" s="30">
        <f>IF(K172="","",_xlfn.XLOOKUP(K172,Sheet6!$E:$E,Sheet6!$D:$D,"",0,1))</f>
        <v>6</v>
      </c>
      <c r="Y172" s="30" t="str">
        <f>IF(L172="","",_xlfn.XLOOKUP(L172,Sheet6!$E:$E,Sheet6!$D:$D,"",0,1))</f>
        <v/>
      </c>
      <c r="Z172" s="30">
        <f>IF(M172="","",_xlfn.XLOOKUP(M172,Sheet6!$E:$E,Sheet6!$D:$D,"",0,1))</f>
        <v>9</v>
      </c>
      <c r="AA172" s="30">
        <f>IF(N172="","",_xlfn.XLOOKUP(N172,Sheet6!$E:$E,Sheet6!$D:$D,"",0,1))</f>
        <v>4</v>
      </c>
      <c r="AB172" s="12" t="str">
        <f t="shared" si="13"/>
        <v>6,9</v>
      </c>
      <c r="AC172" s="31" t="str">
        <f t="shared" si="14"/>
        <v>6,9,4</v>
      </c>
      <c r="AD172" s="38"/>
    </row>
    <row r="173" ht="16.25" hidden="1" spans="1:30">
      <c r="A173" s="13">
        <v>160804</v>
      </c>
      <c r="B173" s="22" t="s">
        <v>468</v>
      </c>
      <c r="C173" s="12" t="s">
        <v>310</v>
      </c>
      <c r="D173" s="12" t="s">
        <v>311</v>
      </c>
      <c r="E173" s="12" t="s">
        <v>310</v>
      </c>
      <c r="F173" s="12" t="s">
        <v>311</v>
      </c>
      <c r="G173" s="23" t="s">
        <v>319</v>
      </c>
      <c r="H173" s="23" t="s">
        <v>334</v>
      </c>
      <c r="I173" s="23" t="s">
        <v>317</v>
      </c>
      <c r="J173" s="23"/>
      <c r="K173" s="36" t="s">
        <v>317</v>
      </c>
      <c r="L173" s="36" t="s">
        <v>319</v>
      </c>
      <c r="M173" s="36" t="s">
        <v>334</v>
      </c>
      <c r="N173" s="36" t="s">
        <v>394</v>
      </c>
      <c r="O173" s="23"/>
      <c r="P173" s="30">
        <v>7.29</v>
      </c>
      <c r="Q173" s="30"/>
      <c r="R173" s="30"/>
      <c r="S173" s="30"/>
      <c r="T173" s="30">
        <f>IF(G173="","",_xlfn.XLOOKUP(G173,Sheet6!$E:$E,Sheet6!$D:$D,"",0,1))</f>
        <v>10</v>
      </c>
      <c r="U173" s="30">
        <f>IF(H173="","",_xlfn.XLOOKUP(H173,Sheet6!$E:$E,Sheet6!$D:$D,"",0,1))</f>
        <v>26</v>
      </c>
      <c r="V173" s="30">
        <f>IF(I173="","",_xlfn.XLOOKUP(I173,Sheet6!$E:$E,Sheet6!$D:$D,"",0,1))</f>
        <v>7</v>
      </c>
      <c r="W173" s="30" t="str">
        <f>IF(J173="","",_xlfn.XLOOKUP(J173,Sheet6!$E:$E,Sheet6!$D:$D,"",0,1))</f>
        <v/>
      </c>
      <c r="X173" s="30">
        <f>IF(K173="","",_xlfn.XLOOKUP(K173,Sheet6!$E:$E,Sheet6!$D:$D,"",0,1))</f>
        <v>7</v>
      </c>
      <c r="Y173" s="30">
        <f>IF(L173="","",_xlfn.XLOOKUP(L173,Sheet6!$E:$E,Sheet6!$D:$D,"",0,1))</f>
        <v>10</v>
      </c>
      <c r="Z173" s="30">
        <f>IF(M173="","",_xlfn.XLOOKUP(M173,Sheet6!$E:$E,Sheet6!$D:$D,"",0,1))</f>
        <v>26</v>
      </c>
      <c r="AA173" s="30">
        <f>IF(N173="","",_xlfn.XLOOKUP(N173,Sheet6!$E:$E,Sheet6!$D:$D,"",0,1))</f>
        <v>4</v>
      </c>
      <c r="AB173" s="12" t="str">
        <f t="shared" si="13"/>
        <v>10,26,7</v>
      </c>
      <c r="AC173" s="31" t="str">
        <f t="shared" si="14"/>
        <v>7,10,26,4</v>
      </c>
      <c r="AD173" s="38"/>
    </row>
    <row r="174" ht="16.25" hidden="1" spans="1:30">
      <c r="A174" s="15">
        <v>260801</v>
      </c>
      <c r="B174" s="24" t="s">
        <v>469</v>
      </c>
      <c r="C174" s="12" t="s">
        <v>309</v>
      </c>
      <c r="D174" s="12"/>
      <c r="E174" s="12" t="s">
        <v>309</v>
      </c>
      <c r="F174" s="12"/>
      <c r="G174" s="23" t="s">
        <v>339</v>
      </c>
      <c r="H174" s="23" t="s">
        <v>355</v>
      </c>
      <c r="I174" s="23"/>
      <c r="J174" s="23"/>
      <c r="K174" s="36" t="s">
        <v>339</v>
      </c>
      <c r="L174" s="36"/>
      <c r="M174" s="36" t="s">
        <v>355</v>
      </c>
      <c r="N174" s="36" t="s">
        <v>394</v>
      </c>
      <c r="O174" s="23"/>
      <c r="P174" s="30">
        <v>0.0341</v>
      </c>
      <c r="Q174" s="30"/>
      <c r="R174" s="30"/>
      <c r="S174" s="30"/>
      <c r="T174" s="30">
        <f>IF(G174="","",_xlfn.XLOOKUP(G174,Sheet6!$E:$E,Sheet6!$D:$D,"",0,1))</f>
        <v>5</v>
      </c>
      <c r="U174" s="30">
        <f>IF(H174="","",_xlfn.XLOOKUP(H174,Sheet6!$E:$E,Sheet6!$D:$D,"",0,1))</f>
        <v>9</v>
      </c>
      <c r="V174" s="30" t="str">
        <f>IF(I174="","",_xlfn.XLOOKUP(I174,Sheet6!$E:$E,Sheet6!$D:$D,"",0,1))</f>
        <v/>
      </c>
      <c r="W174" s="30" t="str">
        <f>IF(J174="","",_xlfn.XLOOKUP(J174,Sheet6!$E:$E,Sheet6!$D:$D,"",0,1))</f>
        <v/>
      </c>
      <c r="X174" s="30">
        <f>IF(K174="","",_xlfn.XLOOKUP(K174,Sheet6!$E:$E,Sheet6!$D:$D,"",0,1))</f>
        <v>5</v>
      </c>
      <c r="Y174" s="30" t="str">
        <f>IF(L174="","",_xlfn.XLOOKUP(L174,Sheet6!$E:$E,Sheet6!$D:$D,"",0,1))</f>
        <v/>
      </c>
      <c r="Z174" s="30">
        <f>IF(M174="","",_xlfn.XLOOKUP(M174,Sheet6!$E:$E,Sheet6!$D:$D,"",0,1))</f>
        <v>9</v>
      </c>
      <c r="AA174" s="30">
        <f>IF(N174="","",_xlfn.XLOOKUP(N174,Sheet6!$E:$E,Sheet6!$D:$D,"",0,1))</f>
        <v>4</v>
      </c>
      <c r="AB174" s="12" t="str">
        <f t="shared" si="13"/>
        <v>5,9</v>
      </c>
      <c r="AC174" s="31" t="str">
        <f t="shared" si="14"/>
        <v>5,9,4</v>
      </c>
      <c r="AD174" s="37"/>
    </row>
    <row r="175" ht="16.25" hidden="1" spans="1:30">
      <c r="A175" s="17">
        <v>260802</v>
      </c>
      <c r="B175" s="25" t="s">
        <v>470</v>
      </c>
      <c r="C175" s="12" t="s">
        <v>310</v>
      </c>
      <c r="D175" s="12" t="s">
        <v>311</v>
      </c>
      <c r="E175" s="12" t="s">
        <v>310</v>
      </c>
      <c r="F175" s="12" t="s">
        <v>311</v>
      </c>
      <c r="G175" s="23" t="s">
        <v>313</v>
      </c>
      <c r="H175" s="23" t="s">
        <v>319</v>
      </c>
      <c r="I175" s="23" t="s">
        <v>334</v>
      </c>
      <c r="J175" s="23"/>
      <c r="K175" s="36" t="s">
        <v>313</v>
      </c>
      <c r="L175" s="36" t="s">
        <v>319</v>
      </c>
      <c r="M175" s="36" t="s">
        <v>334</v>
      </c>
      <c r="N175" s="36" t="s">
        <v>394</v>
      </c>
      <c r="O175" s="23"/>
      <c r="P175" s="30">
        <v>12.14</v>
      </c>
      <c r="Q175" s="30"/>
      <c r="R175" s="30"/>
      <c r="S175" s="30"/>
      <c r="T175" s="30">
        <f>IF(G175="","",_xlfn.XLOOKUP(G175,Sheet6!$E:$E,Sheet6!$D:$D,"",0,1))</f>
        <v>8</v>
      </c>
      <c r="U175" s="30">
        <f>IF(H175="","",_xlfn.XLOOKUP(H175,Sheet6!$E:$E,Sheet6!$D:$D,"",0,1))</f>
        <v>10</v>
      </c>
      <c r="V175" s="30">
        <f>IF(I175="","",_xlfn.XLOOKUP(I175,Sheet6!$E:$E,Sheet6!$D:$D,"",0,1))</f>
        <v>26</v>
      </c>
      <c r="W175" s="30" t="str">
        <f>IF(J175="","",_xlfn.XLOOKUP(J175,Sheet6!$E:$E,Sheet6!$D:$D,"",0,1))</f>
        <v/>
      </c>
      <c r="X175" s="30">
        <f>IF(K175="","",_xlfn.XLOOKUP(K175,Sheet6!$E:$E,Sheet6!$D:$D,"",0,1))</f>
        <v>8</v>
      </c>
      <c r="Y175" s="30">
        <f>IF(L175="","",_xlfn.XLOOKUP(L175,Sheet6!$E:$E,Sheet6!$D:$D,"",0,1))</f>
        <v>10</v>
      </c>
      <c r="Z175" s="30">
        <f>IF(M175="","",_xlfn.XLOOKUP(M175,Sheet6!$E:$E,Sheet6!$D:$D,"",0,1))</f>
        <v>26</v>
      </c>
      <c r="AA175" s="30">
        <f>IF(N175="","",_xlfn.XLOOKUP(N175,Sheet6!$E:$E,Sheet6!$D:$D,"",0,1))</f>
        <v>4</v>
      </c>
      <c r="AB175" s="12" t="str">
        <f t="shared" si="13"/>
        <v>8,10,26</v>
      </c>
      <c r="AC175" s="31" t="str">
        <f t="shared" si="14"/>
        <v>8,10,26,4</v>
      </c>
      <c r="AD175" s="37"/>
    </row>
    <row r="176" ht="16.25" hidden="1" spans="1:30">
      <c r="A176" s="17">
        <v>260803</v>
      </c>
      <c r="B176" s="25" t="s">
        <v>471</v>
      </c>
      <c r="C176" s="12" t="s">
        <v>309</v>
      </c>
      <c r="D176" s="12" t="s">
        <v>310</v>
      </c>
      <c r="E176" s="12" t="s">
        <v>309</v>
      </c>
      <c r="F176" s="12" t="s">
        <v>310</v>
      </c>
      <c r="G176" s="23" t="s">
        <v>315</v>
      </c>
      <c r="H176" s="23" t="s">
        <v>355</v>
      </c>
      <c r="I176" s="23"/>
      <c r="J176" s="23"/>
      <c r="K176" s="36" t="s">
        <v>315</v>
      </c>
      <c r="L176" s="36"/>
      <c r="M176" s="36" t="s">
        <v>355</v>
      </c>
      <c r="N176" s="36" t="s">
        <v>394</v>
      </c>
      <c r="O176" s="23"/>
      <c r="P176" s="30">
        <v>0.0341</v>
      </c>
      <c r="Q176" s="30"/>
      <c r="R176" s="30"/>
      <c r="S176" s="30"/>
      <c r="T176" s="30">
        <f>IF(G176="","",_xlfn.XLOOKUP(G176,Sheet6!$E:$E,Sheet6!$D:$D,"",0,1))</f>
        <v>6</v>
      </c>
      <c r="U176" s="30">
        <f>IF(H176="","",_xlfn.XLOOKUP(H176,Sheet6!$E:$E,Sheet6!$D:$D,"",0,1))</f>
        <v>9</v>
      </c>
      <c r="V176" s="30" t="str">
        <f>IF(I176="","",_xlfn.XLOOKUP(I176,Sheet6!$E:$E,Sheet6!$D:$D,"",0,1))</f>
        <v/>
      </c>
      <c r="W176" s="30" t="str">
        <f>IF(J176="","",_xlfn.XLOOKUP(J176,Sheet6!$E:$E,Sheet6!$D:$D,"",0,1))</f>
        <v/>
      </c>
      <c r="X176" s="30">
        <f>IF(K176="","",_xlfn.XLOOKUP(K176,Sheet6!$E:$E,Sheet6!$D:$D,"",0,1))</f>
        <v>6</v>
      </c>
      <c r="Y176" s="30" t="str">
        <f>IF(L176="","",_xlfn.XLOOKUP(L176,Sheet6!$E:$E,Sheet6!$D:$D,"",0,1))</f>
        <v/>
      </c>
      <c r="Z176" s="30">
        <f>IF(M176="","",_xlfn.XLOOKUP(M176,Sheet6!$E:$E,Sheet6!$D:$D,"",0,1))</f>
        <v>9</v>
      </c>
      <c r="AA176" s="30">
        <f>IF(N176="","",_xlfn.XLOOKUP(N176,Sheet6!$E:$E,Sheet6!$D:$D,"",0,1))</f>
        <v>4</v>
      </c>
      <c r="AB176" s="12" t="str">
        <f t="shared" si="13"/>
        <v>6,9</v>
      </c>
      <c r="AC176" s="31" t="str">
        <f t="shared" si="14"/>
        <v>6,9,4</v>
      </c>
      <c r="AD176" s="37"/>
    </row>
    <row r="177" ht="16.25" hidden="1" spans="1:30">
      <c r="A177" s="34">
        <v>260804</v>
      </c>
      <c r="B177" s="35" t="s">
        <v>472</v>
      </c>
      <c r="C177" s="12" t="s">
        <v>310</v>
      </c>
      <c r="D177" s="12" t="s">
        <v>311</v>
      </c>
      <c r="E177" s="12" t="s">
        <v>310</v>
      </c>
      <c r="F177" s="12" t="s">
        <v>311</v>
      </c>
      <c r="G177" s="23" t="s">
        <v>319</v>
      </c>
      <c r="H177" s="23" t="s">
        <v>334</v>
      </c>
      <c r="I177" s="23" t="s">
        <v>317</v>
      </c>
      <c r="J177" s="23"/>
      <c r="K177" s="36" t="s">
        <v>317</v>
      </c>
      <c r="L177" s="36" t="s">
        <v>319</v>
      </c>
      <c r="M177" s="36" t="s">
        <v>334</v>
      </c>
      <c r="N177" s="36" t="s">
        <v>394</v>
      </c>
      <c r="O177" s="23"/>
      <c r="P177" s="30">
        <v>12.14</v>
      </c>
      <c r="Q177" s="30"/>
      <c r="R177" s="30"/>
      <c r="S177" s="30"/>
      <c r="T177" s="30">
        <f>IF(G177="","",_xlfn.XLOOKUP(G177,Sheet6!$E:$E,Sheet6!$D:$D,"",0,1))</f>
        <v>10</v>
      </c>
      <c r="U177" s="30">
        <f>IF(H177="","",_xlfn.XLOOKUP(H177,Sheet6!$E:$E,Sheet6!$D:$D,"",0,1))</f>
        <v>26</v>
      </c>
      <c r="V177" s="30">
        <f>IF(I177="","",_xlfn.XLOOKUP(I177,Sheet6!$E:$E,Sheet6!$D:$D,"",0,1))</f>
        <v>7</v>
      </c>
      <c r="W177" s="30" t="str">
        <f>IF(J177="","",_xlfn.XLOOKUP(J177,Sheet6!$E:$E,Sheet6!$D:$D,"",0,1))</f>
        <v/>
      </c>
      <c r="X177" s="30">
        <f>IF(K177="","",_xlfn.XLOOKUP(K177,Sheet6!$E:$E,Sheet6!$D:$D,"",0,1))</f>
        <v>7</v>
      </c>
      <c r="Y177" s="30">
        <f>IF(L177="","",_xlfn.XLOOKUP(L177,Sheet6!$E:$E,Sheet6!$D:$D,"",0,1))</f>
        <v>10</v>
      </c>
      <c r="Z177" s="30">
        <f>IF(M177="","",_xlfn.XLOOKUP(M177,Sheet6!$E:$E,Sheet6!$D:$D,"",0,1))</f>
        <v>26</v>
      </c>
      <c r="AA177" s="30">
        <f>IF(N177="","",_xlfn.XLOOKUP(N177,Sheet6!$E:$E,Sheet6!$D:$D,"",0,1))</f>
        <v>4</v>
      </c>
      <c r="AB177" s="12" t="str">
        <f t="shared" si="13"/>
        <v>10,26,7</v>
      </c>
      <c r="AC177" s="31" t="str">
        <f t="shared" si="14"/>
        <v>7,10,26,4</v>
      </c>
      <c r="AD177" s="37"/>
    </row>
    <row r="178" ht="16.25" spans="1:30">
      <c r="A178" s="26">
        <v>160901</v>
      </c>
      <c r="B178" s="27" t="s">
        <v>473</v>
      </c>
      <c r="C178" s="12" t="s">
        <v>309</v>
      </c>
      <c r="D178" s="12"/>
      <c r="E178" s="12" t="s">
        <v>309</v>
      </c>
      <c r="F178" s="12"/>
      <c r="G178" s="23" t="s">
        <v>339</v>
      </c>
      <c r="H178" s="23" t="s">
        <v>355</v>
      </c>
      <c r="I178" s="23" t="s">
        <v>337</v>
      </c>
      <c r="J178" s="23"/>
      <c r="K178" s="36" t="s">
        <v>339</v>
      </c>
      <c r="L178" s="36" t="s">
        <v>337</v>
      </c>
      <c r="M178" s="36" t="s">
        <v>355</v>
      </c>
      <c r="N178" s="36" t="s">
        <v>394</v>
      </c>
      <c r="O178" s="23"/>
      <c r="P178" s="30">
        <v>0.0324</v>
      </c>
      <c r="Q178" s="30"/>
      <c r="R178" s="30"/>
      <c r="S178" s="30"/>
      <c r="T178" s="30">
        <f>IF(G178="","",_xlfn.XLOOKUP(G178,Sheet6!$E:$E,Sheet6!$D:$D,"",0,1))</f>
        <v>5</v>
      </c>
      <c r="U178" s="30">
        <f>IF(H178="","",_xlfn.XLOOKUP(H178,Sheet6!$E:$E,Sheet6!$D:$D,"",0,1))</f>
        <v>9</v>
      </c>
      <c r="V178" s="30">
        <f>IF(I178="","",_xlfn.XLOOKUP(I178,Sheet6!$E:$E,Sheet6!$D:$D,"",0,1))</f>
        <v>11</v>
      </c>
      <c r="W178" s="30" t="str">
        <f>IF(J178="","",_xlfn.XLOOKUP(J178,Sheet6!$E:$E,Sheet6!$D:$D,"",0,1))</f>
        <v/>
      </c>
      <c r="X178" s="30">
        <f>IF(K178="","",_xlfn.XLOOKUP(K178,Sheet6!$E:$E,Sheet6!$D:$D,"",0,1))</f>
        <v>5</v>
      </c>
      <c r="Y178" s="30">
        <f>IF(L178="","",_xlfn.XLOOKUP(L178,Sheet6!$E:$E,Sheet6!$D:$D,"",0,1))</f>
        <v>11</v>
      </c>
      <c r="Z178" s="30">
        <f>IF(M178="","",_xlfn.XLOOKUP(M178,Sheet6!$E:$E,Sheet6!$D:$D,"",0,1))</f>
        <v>9</v>
      </c>
      <c r="AA178" s="30">
        <f>IF(N178="","",_xlfn.XLOOKUP(N178,Sheet6!$E:$E,Sheet6!$D:$D,"",0,1))</f>
        <v>4</v>
      </c>
      <c r="AB178" s="12" t="str">
        <f t="shared" si="13"/>
        <v>5,9,11</v>
      </c>
      <c r="AC178" s="31" t="str">
        <f t="shared" si="14"/>
        <v>5,11,9,4</v>
      </c>
      <c r="AD178" s="37"/>
    </row>
    <row r="179" ht="16.25" hidden="1" spans="1:30">
      <c r="A179" s="13">
        <v>160902</v>
      </c>
      <c r="B179" s="22" t="s">
        <v>474</v>
      </c>
      <c r="C179" s="12" t="s">
        <v>310</v>
      </c>
      <c r="D179" s="12" t="s">
        <v>311</v>
      </c>
      <c r="E179" s="12" t="s">
        <v>310</v>
      </c>
      <c r="F179" s="12" t="s">
        <v>311</v>
      </c>
      <c r="G179" s="23" t="s">
        <v>313</v>
      </c>
      <c r="H179" s="23" t="s">
        <v>319</v>
      </c>
      <c r="I179" s="23"/>
      <c r="J179" s="23"/>
      <c r="K179" s="36" t="s">
        <v>313</v>
      </c>
      <c r="L179" s="36" t="s">
        <v>319</v>
      </c>
      <c r="M179" s="36"/>
      <c r="N179" s="36" t="s">
        <v>394</v>
      </c>
      <c r="O179" s="23"/>
      <c r="P179" s="30">
        <v>12.14</v>
      </c>
      <c r="Q179" s="30"/>
      <c r="R179" s="30"/>
      <c r="S179" s="30"/>
      <c r="T179" s="30">
        <f>IF(G179="","",_xlfn.XLOOKUP(G179,Sheet6!$E:$E,Sheet6!$D:$D,"",0,1))</f>
        <v>8</v>
      </c>
      <c r="U179" s="30">
        <f>IF(H179="","",_xlfn.XLOOKUP(H179,Sheet6!$E:$E,Sheet6!$D:$D,"",0,1))</f>
        <v>10</v>
      </c>
      <c r="V179" s="30" t="str">
        <f>IF(I179="","",_xlfn.XLOOKUP(I179,Sheet6!$E:$E,Sheet6!$D:$D,"",0,1))</f>
        <v/>
      </c>
      <c r="W179" s="30" t="str">
        <f>IF(J179="","",_xlfn.XLOOKUP(J179,Sheet6!$E:$E,Sheet6!$D:$D,"",0,1))</f>
        <v/>
      </c>
      <c r="X179" s="30">
        <f>IF(K179="","",_xlfn.XLOOKUP(K179,Sheet6!$E:$E,Sheet6!$D:$D,"",0,1))</f>
        <v>8</v>
      </c>
      <c r="Y179" s="30">
        <f>IF(L179="","",_xlfn.XLOOKUP(L179,Sheet6!$E:$E,Sheet6!$D:$D,"",0,1))</f>
        <v>10</v>
      </c>
      <c r="Z179" s="30" t="str">
        <f>IF(M179="","",_xlfn.XLOOKUP(M179,Sheet6!$E:$E,Sheet6!$D:$D,"",0,1))</f>
        <v/>
      </c>
      <c r="AA179" s="30">
        <f>IF(N179="","",_xlfn.XLOOKUP(N179,Sheet6!$E:$E,Sheet6!$D:$D,"",0,1))</f>
        <v>4</v>
      </c>
      <c r="AB179" s="12" t="str">
        <f t="shared" si="13"/>
        <v>8,10</v>
      </c>
      <c r="AC179" s="31" t="str">
        <f t="shared" si="14"/>
        <v>8,10,4</v>
      </c>
      <c r="AD179" s="37"/>
    </row>
    <row r="180" ht="16.25" hidden="1" spans="1:30">
      <c r="A180" s="13">
        <v>160903</v>
      </c>
      <c r="B180" s="22" t="s">
        <v>475</v>
      </c>
      <c r="C180" s="12" t="s">
        <v>309</v>
      </c>
      <c r="D180" s="12" t="s">
        <v>310</v>
      </c>
      <c r="E180" s="12" t="s">
        <v>309</v>
      </c>
      <c r="F180" s="12" t="s">
        <v>310</v>
      </c>
      <c r="G180" s="23" t="s">
        <v>315</v>
      </c>
      <c r="H180" s="23" t="s">
        <v>355</v>
      </c>
      <c r="I180" s="23" t="s">
        <v>337</v>
      </c>
      <c r="J180" s="23"/>
      <c r="K180" s="36" t="s">
        <v>315</v>
      </c>
      <c r="L180" s="36" t="s">
        <v>337</v>
      </c>
      <c r="M180" s="36" t="s">
        <v>355</v>
      </c>
      <c r="N180" s="36" t="s">
        <v>394</v>
      </c>
      <c r="O180" s="23"/>
      <c r="P180" s="30">
        <v>0.0454</v>
      </c>
      <c r="Q180" s="30"/>
      <c r="R180" s="30"/>
      <c r="S180" s="30"/>
      <c r="T180" s="30">
        <f>IF(G180="","",_xlfn.XLOOKUP(G180,Sheet6!$E:$E,Sheet6!$D:$D,"",0,1))</f>
        <v>6</v>
      </c>
      <c r="U180" s="30">
        <f>IF(H180="","",_xlfn.XLOOKUP(H180,Sheet6!$E:$E,Sheet6!$D:$D,"",0,1))</f>
        <v>9</v>
      </c>
      <c r="V180" s="30">
        <f>IF(I180="","",_xlfn.XLOOKUP(I180,Sheet6!$E:$E,Sheet6!$D:$D,"",0,1))</f>
        <v>11</v>
      </c>
      <c r="W180" s="30" t="str">
        <f>IF(J180="","",_xlfn.XLOOKUP(J180,Sheet6!$E:$E,Sheet6!$D:$D,"",0,1))</f>
        <v/>
      </c>
      <c r="X180" s="30">
        <f>IF(K180="","",_xlfn.XLOOKUP(K180,Sheet6!$E:$E,Sheet6!$D:$D,"",0,1))</f>
        <v>6</v>
      </c>
      <c r="Y180" s="30">
        <f>IF(L180="","",_xlfn.XLOOKUP(L180,Sheet6!$E:$E,Sheet6!$D:$D,"",0,1))</f>
        <v>11</v>
      </c>
      <c r="Z180" s="30">
        <f>IF(M180="","",_xlfn.XLOOKUP(M180,Sheet6!$E:$E,Sheet6!$D:$D,"",0,1))</f>
        <v>9</v>
      </c>
      <c r="AA180" s="30">
        <f>IF(N180="","",_xlfn.XLOOKUP(N180,Sheet6!$E:$E,Sheet6!$D:$D,"",0,1))</f>
        <v>4</v>
      </c>
      <c r="AB180" s="12" t="str">
        <f t="shared" si="13"/>
        <v>6,9,11</v>
      </c>
      <c r="AC180" s="31" t="str">
        <f t="shared" si="14"/>
        <v>6,11,9,4</v>
      </c>
      <c r="AD180" s="37"/>
    </row>
    <row r="181" ht="16.25" hidden="1" spans="1:30">
      <c r="A181" s="13">
        <v>160904</v>
      </c>
      <c r="B181" s="22" t="s">
        <v>476</v>
      </c>
      <c r="C181" s="12" t="s">
        <v>310</v>
      </c>
      <c r="D181" s="12" t="s">
        <v>311</v>
      </c>
      <c r="E181" s="12" t="s">
        <v>310</v>
      </c>
      <c r="F181" s="12" t="s">
        <v>311</v>
      </c>
      <c r="G181" s="23" t="s">
        <v>317</v>
      </c>
      <c r="H181" s="23" t="s">
        <v>319</v>
      </c>
      <c r="I181" s="23"/>
      <c r="J181" s="23"/>
      <c r="K181" s="36" t="s">
        <v>317</v>
      </c>
      <c r="L181" s="36" t="s">
        <v>319</v>
      </c>
      <c r="M181" s="36"/>
      <c r="N181" s="36" t="s">
        <v>394</v>
      </c>
      <c r="O181" s="23"/>
      <c r="P181" s="30">
        <v>12.14</v>
      </c>
      <c r="Q181" s="30"/>
      <c r="R181" s="30"/>
      <c r="S181" s="30"/>
      <c r="T181" s="30">
        <f>IF(G181="","",_xlfn.XLOOKUP(G181,Sheet6!$E:$E,Sheet6!$D:$D,"",0,1))</f>
        <v>7</v>
      </c>
      <c r="U181" s="30">
        <f>IF(H181="","",_xlfn.XLOOKUP(H181,Sheet6!$E:$E,Sheet6!$D:$D,"",0,1))</f>
        <v>10</v>
      </c>
      <c r="V181" s="30" t="str">
        <f>IF(I181="","",_xlfn.XLOOKUP(I181,Sheet6!$E:$E,Sheet6!$D:$D,"",0,1))</f>
        <v/>
      </c>
      <c r="W181" s="30" t="str">
        <f>IF(J181="","",_xlfn.XLOOKUP(J181,Sheet6!$E:$E,Sheet6!$D:$D,"",0,1))</f>
        <v/>
      </c>
      <c r="X181" s="30">
        <f>IF(K181="","",_xlfn.XLOOKUP(K181,Sheet6!$E:$E,Sheet6!$D:$D,"",0,1))</f>
        <v>7</v>
      </c>
      <c r="Y181" s="30">
        <f>IF(L181="","",_xlfn.XLOOKUP(L181,Sheet6!$E:$E,Sheet6!$D:$D,"",0,1))</f>
        <v>10</v>
      </c>
      <c r="Z181" s="30" t="str">
        <f>IF(M181="","",_xlfn.XLOOKUP(M181,Sheet6!$E:$E,Sheet6!$D:$D,"",0,1))</f>
        <v/>
      </c>
      <c r="AA181" s="30">
        <f>IF(N181="","",_xlfn.XLOOKUP(N181,Sheet6!$E:$E,Sheet6!$D:$D,"",0,1))</f>
        <v>4</v>
      </c>
      <c r="AB181" s="12" t="str">
        <f t="shared" si="13"/>
        <v>7,10</v>
      </c>
      <c r="AC181" s="31" t="str">
        <f t="shared" si="14"/>
        <v>7,10,4</v>
      </c>
      <c r="AD181" s="37"/>
    </row>
    <row r="182" ht="16.25" hidden="1" spans="1:30">
      <c r="A182" s="15">
        <v>260901</v>
      </c>
      <c r="B182" s="24" t="s">
        <v>477</v>
      </c>
      <c r="C182" s="12" t="s">
        <v>309</v>
      </c>
      <c r="D182" s="12"/>
      <c r="E182" s="12" t="s">
        <v>309</v>
      </c>
      <c r="F182" s="12"/>
      <c r="G182" s="23" t="s">
        <v>339</v>
      </c>
      <c r="H182" s="23" t="s">
        <v>355</v>
      </c>
      <c r="I182" s="23" t="s">
        <v>337</v>
      </c>
      <c r="J182" s="23"/>
      <c r="K182" s="36" t="s">
        <v>339</v>
      </c>
      <c r="L182" s="36" t="s">
        <v>337</v>
      </c>
      <c r="M182" s="36" t="s">
        <v>355</v>
      </c>
      <c r="N182" s="36" t="s">
        <v>394</v>
      </c>
      <c r="O182" s="23"/>
      <c r="P182" s="30">
        <v>0.03</v>
      </c>
      <c r="Q182" s="30"/>
      <c r="R182" s="30"/>
      <c r="S182" s="30"/>
      <c r="T182" s="30">
        <f>IF(G182="","",_xlfn.XLOOKUP(G182,Sheet6!$E:$E,Sheet6!$D:$D,"",0,1))</f>
        <v>5</v>
      </c>
      <c r="U182" s="30">
        <f>IF(H182="","",_xlfn.XLOOKUP(H182,Sheet6!$E:$E,Sheet6!$D:$D,"",0,1))</f>
        <v>9</v>
      </c>
      <c r="V182" s="30">
        <f>IF(I182="","",_xlfn.XLOOKUP(I182,Sheet6!$E:$E,Sheet6!$D:$D,"",0,1))</f>
        <v>11</v>
      </c>
      <c r="W182" s="30" t="str">
        <f>IF(J182="","",_xlfn.XLOOKUP(J182,Sheet6!$E:$E,Sheet6!$D:$D,"",0,1))</f>
        <v/>
      </c>
      <c r="X182" s="30">
        <f>IF(K182="","",_xlfn.XLOOKUP(K182,Sheet6!$E:$E,Sheet6!$D:$D,"",0,1))</f>
        <v>5</v>
      </c>
      <c r="Y182" s="30">
        <f>IF(L182="","",_xlfn.XLOOKUP(L182,Sheet6!$E:$E,Sheet6!$D:$D,"",0,1))</f>
        <v>11</v>
      </c>
      <c r="Z182" s="30">
        <f>IF(M182="","",_xlfn.XLOOKUP(M182,Sheet6!$E:$E,Sheet6!$D:$D,"",0,1))</f>
        <v>9</v>
      </c>
      <c r="AA182" s="30">
        <f>IF(N182="","",_xlfn.XLOOKUP(N182,Sheet6!$E:$E,Sheet6!$D:$D,"",0,1))</f>
        <v>4</v>
      </c>
      <c r="AB182" s="12" t="str">
        <f t="shared" si="13"/>
        <v>5,9,11</v>
      </c>
      <c r="AC182" s="31" t="str">
        <f t="shared" si="14"/>
        <v>5,11,9,4</v>
      </c>
      <c r="AD182" s="37"/>
    </row>
    <row r="183" ht="16.25" hidden="1" spans="1:30">
      <c r="A183" s="17">
        <v>260902</v>
      </c>
      <c r="B183" s="25" t="s">
        <v>478</v>
      </c>
      <c r="C183" s="12" t="s">
        <v>310</v>
      </c>
      <c r="D183" s="12" t="s">
        <v>311</v>
      </c>
      <c r="E183" s="12" t="s">
        <v>310</v>
      </c>
      <c r="F183" s="12" t="s">
        <v>311</v>
      </c>
      <c r="G183" s="23" t="s">
        <v>313</v>
      </c>
      <c r="H183" s="23" t="s">
        <v>319</v>
      </c>
      <c r="I183" s="23"/>
      <c r="J183" s="23"/>
      <c r="K183" s="36" t="s">
        <v>313</v>
      </c>
      <c r="L183" s="36" t="s">
        <v>319</v>
      </c>
      <c r="M183" s="36"/>
      <c r="N183" s="36" t="s">
        <v>394</v>
      </c>
      <c r="O183" s="23"/>
      <c r="P183" s="30">
        <v>12.14</v>
      </c>
      <c r="Q183" s="30"/>
      <c r="R183" s="30"/>
      <c r="S183" s="30"/>
      <c r="T183" s="30">
        <f>IF(G183="","",_xlfn.XLOOKUP(G183,Sheet6!$E:$E,Sheet6!$D:$D,"",0,1))</f>
        <v>8</v>
      </c>
      <c r="U183" s="30">
        <f>IF(H183="","",_xlfn.XLOOKUP(H183,Sheet6!$E:$E,Sheet6!$D:$D,"",0,1))</f>
        <v>10</v>
      </c>
      <c r="V183" s="30" t="str">
        <f>IF(I183="","",_xlfn.XLOOKUP(I183,Sheet6!$E:$E,Sheet6!$D:$D,"",0,1))</f>
        <v/>
      </c>
      <c r="W183" s="30" t="str">
        <f>IF(J183="","",_xlfn.XLOOKUP(J183,Sheet6!$E:$E,Sheet6!$D:$D,"",0,1))</f>
        <v/>
      </c>
      <c r="X183" s="30">
        <f>IF(K183="","",_xlfn.XLOOKUP(K183,Sheet6!$E:$E,Sheet6!$D:$D,"",0,1))</f>
        <v>8</v>
      </c>
      <c r="Y183" s="30">
        <f>IF(L183="","",_xlfn.XLOOKUP(L183,Sheet6!$E:$E,Sheet6!$D:$D,"",0,1))</f>
        <v>10</v>
      </c>
      <c r="Z183" s="30" t="str">
        <f>IF(M183="","",_xlfn.XLOOKUP(M183,Sheet6!$E:$E,Sheet6!$D:$D,"",0,1))</f>
        <v/>
      </c>
      <c r="AA183" s="30">
        <f>IF(N183="","",_xlfn.XLOOKUP(N183,Sheet6!$E:$E,Sheet6!$D:$D,"",0,1))</f>
        <v>4</v>
      </c>
      <c r="AB183" s="12" t="str">
        <f t="shared" si="13"/>
        <v>8,10</v>
      </c>
      <c r="AC183" s="31" t="str">
        <f t="shared" si="14"/>
        <v>8,10,4</v>
      </c>
      <c r="AD183" s="37"/>
    </row>
    <row r="184" ht="16.25" hidden="1" spans="1:30">
      <c r="A184" s="17">
        <v>260903</v>
      </c>
      <c r="B184" s="25" t="s">
        <v>479</v>
      </c>
      <c r="C184" s="12" t="s">
        <v>309</v>
      </c>
      <c r="D184" s="12" t="s">
        <v>310</v>
      </c>
      <c r="E184" s="12" t="s">
        <v>309</v>
      </c>
      <c r="F184" s="12" t="s">
        <v>310</v>
      </c>
      <c r="G184" s="23" t="s">
        <v>315</v>
      </c>
      <c r="H184" s="23" t="s">
        <v>355</v>
      </c>
      <c r="I184" s="23" t="s">
        <v>337</v>
      </c>
      <c r="J184" s="23"/>
      <c r="K184" s="36" t="s">
        <v>315</v>
      </c>
      <c r="L184" s="36" t="s">
        <v>337</v>
      </c>
      <c r="M184" s="36" t="s">
        <v>355</v>
      </c>
      <c r="N184" s="36" t="s">
        <v>394</v>
      </c>
      <c r="O184" s="23"/>
      <c r="P184" s="30">
        <v>0.1143</v>
      </c>
      <c r="Q184" s="30"/>
      <c r="R184" s="30"/>
      <c r="S184" s="30"/>
      <c r="T184" s="30">
        <f>IF(G184="","",_xlfn.XLOOKUP(G184,Sheet6!$E:$E,Sheet6!$D:$D,"",0,1))</f>
        <v>6</v>
      </c>
      <c r="U184" s="30">
        <f>IF(H184="","",_xlfn.XLOOKUP(H184,Sheet6!$E:$E,Sheet6!$D:$D,"",0,1))</f>
        <v>9</v>
      </c>
      <c r="V184" s="30">
        <f>IF(I184="","",_xlfn.XLOOKUP(I184,Sheet6!$E:$E,Sheet6!$D:$D,"",0,1))</f>
        <v>11</v>
      </c>
      <c r="W184" s="30" t="str">
        <f>IF(J184="","",_xlfn.XLOOKUP(J184,Sheet6!$E:$E,Sheet6!$D:$D,"",0,1))</f>
        <v/>
      </c>
      <c r="X184" s="30">
        <f>IF(K184="","",_xlfn.XLOOKUP(K184,Sheet6!$E:$E,Sheet6!$D:$D,"",0,1))</f>
        <v>6</v>
      </c>
      <c r="Y184" s="30">
        <f>IF(L184="","",_xlfn.XLOOKUP(L184,Sheet6!$E:$E,Sheet6!$D:$D,"",0,1))</f>
        <v>11</v>
      </c>
      <c r="Z184" s="30">
        <f>IF(M184="","",_xlfn.XLOOKUP(M184,Sheet6!$E:$E,Sheet6!$D:$D,"",0,1))</f>
        <v>9</v>
      </c>
      <c r="AA184" s="30">
        <f>IF(N184="","",_xlfn.XLOOKUP(N184,Sheet6!$E:$E,Sheet6!$D:$D,"",0,1))</f>
        <v>4</v>
      </c>
      <c r="AB184" s="12" t="str">
        <f t="shared" si="13"/>
        <v>6,9,11</v>
      </c>
      <c r="AC184" s="31" t="str">
        <f t="shared" si="14"/>
        <v>6,11,9,4</v>
      </c>
      <c r="AD184" s="37"/>
    </row>
    <row r="185" ht="17" hidden="1" spans="1:30">
      <c r="A185" s="19">
        <v>260904</v>
      </c>
      <c r="B185" s="20" t="s">
        <v>480</v>
      </c>
      <c r="C185" s="12" t="s">
        <v>310</v>
      </c>
      <c r="D185" s="12" t="s">
        <v>311</v>
      </c>
      <c r="E185" s="12" t="s">
        <v>310</v>
      </c>
      <c r="F185" s="12" t="s">
        <v>311</v>
      </c>
      <c r="G185" s="23" t="s">
        <v>317</v>
      </c>
      <c r="H185" s="23" t="s">
        <v>319</v>
      </c>
      <c r="I185" s="23"/>
      <c r="J185" s="23"/>
      <c r="K185" s="36" t="s">
        <v>317</v>
      </c>
      <c r="L185" s="36" t="s">
        <v>319</v>
      </c>
      <c r="M185" s="36"/>
      <c r="N185" s="36" t="s">
        <v>394</v>
      </c>
      <c r="O185" s="23"/>
      <c r="P185" s="30">
        <v>0.0597</v>
      </c>
      <c r="Q185" s="30"/>
      <c r="R185" s="30"/>
      <c r="S185" s="30"/>
      <c r="T185" s="30">
        <f>IF(G185="","",_xlfn.XLOOKUP(G185,Sheet6!$E:$E,Sheet6!$D:$D,"",0,1))</f>
        <v>7</v>
      </c>
      <c r="U185" s="30">
        <f>IF(H185="","",_xlfn.XLOOKUP(H185,Sheet6!$E:$E,Sheet6!$D:$D,"",0,1))</f>
        <v>10</v>
      </c>
      <c r="V185" s="30" t="str">
        <f>IF(I185="","",_xlfn.XLOOKUP(I185,Sheet6!$E:$E,Sheet6!$D:$D,"",0,1))</f>
        <v/>
      </c>
      <c r="W185" s="30" t="str">
        <f>IF(J185="","",_xlfn.XLOOKUP(J185,Sheet6!$E:$E,Sheet6!$D:$D,"",0,1))</f>
        <v/>
      </c>
      <c r="X185" s="30">
        <f>IF(K185="","",_xlfn.XLOOKUP(K185,Sheet6!$E:$E,Sheet6!$D:$D,"",0,1))</f>
        <v>7</v>
      </c>
      <c r="Y185" s="30">
        <f>IF(L185="","",_xlfn.XLOOKUP(L185,Sheet6!$E:$E,Sheet6!$D:$D,"",0,1))</f>
        <v>10</v>
      </c>
      <c r="Z185" s="30" t="str">
        <f>IF(M185="","",_xlfn.XLOOKUP(M185,Sheet6!$E:$E,Sheet6!$D:$D,"",0,1))</f>
        <v/>
      </c>
      <c r="AA185" s="30">
        <f>IF(N185="","",_xlfn.XLOOKUP(N185,Sheet6!$E:$E,Sheet6!$D:$D,"",0,1))</f>
        <v>4</v>
      </c>
      <c r="AB185" s="12" t="str">
        <f t="shared" si="13"/>
        <v>7,10</v>
      </c>
      <c r="AC185" s="31" t="str">
        <f t="shared" si="14"/>
        <v>7,10,4</v>
      </c>
      <c r="AD185" s="37"/>
    </row>
    <row r="186" ht="16.25" spans="1:30">
      <c r="A186" s="31"/>
      <c r="B186" s="39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1"/>
      <c r="AD186" s="37"/>
    </row>
    <row r="187" ht="16.25" spans="1:30">
      <c r="A187" s="31"/>
      <c r="B187" s="39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1"/>
      <c r="AD187" s="37"/>
    </row>
    <row r="188" ht="16.25" spans="1:30">
      <c r="A188" s="31"/>
      <c r="B188" s="39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1"/>
      <c r="AD188" s="37"/>
    </row>
    <row r="189" ht="16.25" spans="1:30">
      <c r="A189" s="31"/>
      <c r="B189" s="39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1"/>
      <c r="AD189" s="37"/>
    </row>
    <row r="190" ht="16.25" spans="1:30">
      <c r="A190" s="31"/>
      <c r="B190" s="39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1"/>
      <c r="AD190" s="37"/>
    </row>
    <row r="191" ht="16.25" spans="1:30">
      <c r="A191" s="31"/>
      <c r="B191" s="39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1"/>
      <c r="AD191" s="37"/>
    </row>
    <row r="192" ht="16.25" spans="1:30">
      <c r="A192" s="31"/>
      <c r="B192" s="39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1"/>
      <c r="AD192" s="37"/>
    </row>
    <row r="193" ht="16.25" spans="1:30">
      <c r="A193" s="31"/>
      <c r="B193" s="39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1"/>
      <c r="AD193" s="37"/>
    </row>
    <row r="194" ht="16.25" spans="1:30">
      <c r="A194" s="31"/>
      <c r="B194" s="39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1"/>
      <c r="AD194" s="37"/>
    </row>
    <row r="195" ht="16.25" spans="1:30">
      <c r="A195" s="31"/>
      <c r="B195" s="39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1"/>
      <c r="AD195" s="37"/>
    </row>
    <row r="196" ht="16.25" spans="1:30">
      <c r="A196" s="31"/>
      <c r="B196" s="39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1"/>
      <c r="AD196" s="37"/>
    </row>
    <row r="197" ht="16.25" spans="1:30">
      <c r="A197" s="31"/>
      <c r="B197" s="39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1"/>
      <c r="AD197" s="37"/>
    </row>
    <row r="198" ht="16.25" spans="1:30">
      <c r="A198" s="31"/>
      <c r="B198" s="31"/>
      <c r="C198" s="12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T198" s="30"/>
      <c r="U198" s="30"/>
      <c r="V198" s="30"/>
      <c r="W198" s="30"/>
      <c r="X198" s="30"/>
      <c r="Y198" s="30"/>
      <c r="Z198" s="30"/>
      <c r="AA198" s="30"/>
      <c r="AB198" s="30"/>
      <c r="AC198" s="31"/>
      <c r="AD198" s="37"/>
    </row>
    <row r="199" ht="16.25" spans="1:30">
      <c r="A199" s="31"/>
      <c r="B199" s="31"/>
      <c r="C199" s="12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T199" s="30"/>
      <c r="U199" s="30"/>
      <c r="V199" s="30"/>
      <c r="W199" s="30"/>
      <c r="X199" s="30"/>
      <c r="Y199" s="30"/>
      <c r="Z199" s="30"/>
      <c r="AA199" s="30"/>
      <c r="AB199" s="30"/>
      <c r="AC199" s="31"/>
      <c r="AD199" s="37"/>
    </row>
    <row r="200" ht="16.25" spans="1:30">
      <c r="A200" s="31"/>
      <c r="B200" s="31"/>
      <c r="C200" s="12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T200" s="30"/>
      <c r="U200" s="30"/>
      <c r="V200" s="30"/>
      <c r="W200" s="30"/>
      <c r="X200" s="30"/>
      <c r="Y200" s="30"/>
      <c r="Z200" s="30"/>
      <c r="AA200" s="30"/>
      <c r="AB200" s="30"/>
      <c r="AC200" s="31"/>
      <c r="AD200" s="37"/>
    </row>
    <row r="201" ht="16.25" spans="1:30">
      <c r="A201" s="31"/>
      <c r="B201" s="31"/>
      <c r="C201" s="12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T201" s="30"/>
      <c r="U201" s="30"/>
      <c r="V201" s="30"/>
      <c r="W201" s="30"/>
      <c r="X201" s="30"/>
      <c r="Y201" s="30"/>
      <c r="Z201" s="30"/>
      <c r="AA201" s="30"/>
      <c r="AB201" s="30"/>
      <c r="AC201" s="31"/>
      <c r="AD201" s="37"/>
    </row>
    <row r="202" ht="16.25" spans="1:30">
      <c r="A202" s="31"/>
      <c r="B202" s="31"/>
      <c r="C202" s="12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T202" s="30"/>
      <c r="U202" s="30"/>
      <c r="V202" s="30"/>
      <c r="W202" s="30"/>
      <c r="X202" s="30"/>
      <c r="Y202" s="30"/>
      <c r="Z202" s="30"/>
      <c r="AA202" s="30"/>
      <c r="AB202" s="30"/>
      <c r="AC202" s="31"/>
      <c r="AD202" s="37"/>
    </row>
    <row r="203" ht="16.25" spans="1:30">
      <c r="A203" s="31"/>
      <c r="B203" s="31"/>
      <c r="C203" s="12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T203" s="30"/>
      <c r="U203" s="30"/>
      <c r="V203" s="30"/>
      <c r="W203" s="30"/>
      <c r="X203" s="30"/>
      <c r="Y203" s="30"/>
      <c r="Z203" s="30"/>
      <c r="AA203" s="30"/>
      <c r="AB203" s="30"/>
      <c r="AC203" s="31"/>
      <c r="AD203" s="37"/>
    </row>
    <row r="204" ht="16.25" spans="1:30">
      <c r="A204" s="31"/>
      <c r="B204" s="31"/>
      <c r="C204" s="12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T204" s="30"/>
      <c r="U204" s="30"/>
      <c r="V204" s="30"/>
      <c r="W204" s="30"/>
      <c r="X204" s="30"/>
      <c r="Y204" s="30"/>
      <c r="Z204" s="30"/>
      <c r="AA204" s="30"/>
      <c r="AB204" s="30"/>
      <c r="AC204" s="31"/>
      <c r="AD204" s="37"/>
    </row>
    <row r="205" ht="16.25" spans="1:30">
      <c r="A205" s="31"/>
      <c r="B205" s="31"/>
      <c r="C205" s="12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T205" s="30"/>
      <c r="U205" s="30"/>
      <c r="V205" s="30"/>
      <c r="W205" s="30"/>
      <c r="X205" s="30"/>
      <c r="Y205" s="30"/>
      <c r="Z205" s="30"/>
      <c r="AA205" s="30"/>
      <c r="AB205" s="30"/>
      <c r="AC205" s="31"/>
      <c r="AD205" s="37"/>
    </row>
    <row r="206" ht="16.25" spans="1:30">
      <c r="A206" s="31"/>
      <c r="B206" s="31"/>
      <c r="C206" s="12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T206" s="30"/>
      <c r="U206" s="30"/>
      <c r="V206" s="30"/>
      <c r="W206" s="30"/>
      <c r="X206" s="30"/>
      <c r="Y206" s="30"/>
      <c r="Z206" s="30"/>
      <c r="AA206" s="30"/>
      <c r="AB206" s="30"/>
      <c r="AC206" s="31"/>
      <c r="AD206" s="37"/>
    </row>
    <row r="207" ht="16.25" spans="1:30">
      <c r="A207" s="31"/>
      <c r="B207" s="31"/>
      <c r="C207" s="21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T207" s="30"/>
      <c r="U207" s="30"/>
      <c r="V207" s="30"/>
      <c r="W207" s="30"/>
      <c r="X207" s="30"/>
      <c r="Y207" s="30"/>
      <c r="Z207" s="30"/>
      <c r="AA207" s="30"/>
      <c r="AB207" s="30"/>
      <c r="AC207" s="31"/>
      <c r="AD207" s="37"/>
    </row>
    <row r="208" ht="16.25" spans="1:30">
      <c r="A208" s="31"/>
      <c r="B208" s="31"/>
      <c r="C208" s="21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T208" s="30"/>
      <c r="U208" s="30"/>
      <c r="V208" s="30"/>
      <c r="W208" s="30"/>
      <c r="X208" s="30"/>
      <c r="Y208" s="30"/>
      <c r="Z208" s="30"/>
      <c r="AA208" s="30"/>
      <c r="AB208" s="30"/>
      <c r="AC208" s="31"/>
      <c r="AD208" s="37"/>
    </row>
    <row r="209" ht="16.25" spans="1:30">
      <c r="A209" s="31"/>
      <c r="B209" s="31"/>
      <c r="C209" s="21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T209" s="30"/>
      <c r="U209" s="30"/>
      <c r="V209" s="30"/>
      <c r="W209" s="30"/>
      <c r="X209" s="30"/>
      <c r="Y209" s="30"/>
      <c r="Z209" s="30"/>
      <c r="AA209" s="30"/>
      <c r="AB209" s="30"/>
      <c r="AC209" s="31"/>
      <c r="AD209" s="37"/>
    </row>
    <row r="210" ht="16.25" spans="1:30">
      <c r="A210" s="31"/>
      <c r="B210" s="31"/>
      <c r="C210" s="21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T210" s="30"/>
      <c r="U210" s="30"/>
      <c r="V210" s="30"/>
      <c r="W210" s="30"/>
      <c r="X210" s="30"/>
      <c r="Y210" s="30"/>
      <c r="Z210" s="30"/>
      <c r="AA210" s="30"/>
      <c r="AB210" s="30"/>
      <c r="AC210" s="31"/>
      <c r="AD210" s="37"/>
    </row>
    <row r="211" ht="16.25" spans="1:30">
      <c r="A211" s="31"/>
      <c r="B211" s="31"/>
      <c r="C211" s="21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T211" s="30"/>
      <c r="U211" s="30"/>
      <c r="V211" s="30"/>
      <c r="W211" s="30"/>
      <c r="X211" s="30"/>
      <c r="Y211" s="30"/>
      <c r="Z211" s="30"/>
      <c r="AA211" s="30"/>
      <c r="AB211" s="30"/>
      <c r="AC211" s="31"/>
      <c r="AD211" s="37"/>
    </row>
    <row r="212" ht="16.25" spans="1:30">
      <c r="A212" s="31"/>
      <c r="B212" s="31"/>
      <c r="C212" s="21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T212" s="30"/>
      <c r="U212" s="30"/>
      <c r="V212" s="30"/>
      <c r="W212" s="30"/>
      <c r="X212" s="30"/>
      <c r="Y212" s="30"/>
      <c r="Z212" s="30"/>
      <c r="AA212" s="30"/>
      <c r="AB212" s="30"/>
      <c r="AC212" s="31"/>
      <c r="AD212" s="37"/>
    </row>
    <row r="213" ht="16.25" spans="1:30">
      <c r="A213" s="31"/>
      <c r="B213" s="31"/>
      <c r="C213" s="21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T213" s="30"/>
      <c r="U213" s="30"/>
      <c r="V213" s="30"/>
      <c r="W213" s="30"/>
      <c r="X213" s="30"/>
      <c r="Y213" s="30"/>
      <c r="Z213" s="30"/>
      <c r="AA213" s="30"/>
      <c r="AB213" s="30"/>
      <c r="AC213" s="31"/>
      <c r="AD213" s="37"/>
    </row>
    <row r="214" ht="16.25" spans="1:30">
      <c r="A214" s="31"/>
      <c r="B214" s="31"/>
      <c r="C214" s="21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T214" s="30"/>
      <c r="U214" s="30"/>
      <c r="V214" s="30"/>
      <c r="W214" s="30"/>
      <c r="X214" s="30"/>
      <c r="Y214" s="30"/>
      <c r="Z214" s="30"/>
      <c r="AA214" s="30"/>
      <c r="AB214" s="30"/>
      <c r="AC214" s="31"/>
      <c r="AD214" s="37"/>
    </row>
    <row r="215" ht="16.25" spans="1:30">
      <c r="A215" s="31"/>
      <c r="B215" s="31"/>
      <c r="C215" s="21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T215" s="30"/>
      <c r="U215" s="30"/>
      <c r="V215" s="30"/>
      <c r="W215" s="30"/>
      <c r="X215" s="30"/>
      <c r="Y215" s="30"/>
      <c r="Z215" s="30"/>
      <c r="AA215" s="30"/>
      <c r="AB215" s="30"/>
      <c r="AC215" s="31"/>
      <c r="AD215" s="37"/>
    </row>
    <row r="216" ht="16.25" spans="1:30">
      <c r="A216" s="31"/>
      <c r="B216" s="39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30"/>
      <c r="Q216" s="43"/>
      <c r="R216" s="43"/>
      <c r="S216" s="43"/>
      <c r="T216" s="30"/>
      <c r="U216" s="30"/>
      <c r="V216" s="30"/>
      <c r="W216" s="30"/>
      <c r="X216" s="30"/>
      <c r="Y216" s="30"/>
      <c r="Z216" s="30"/>
      <c r="AA216" s="30"/>
      <c r="AB216" s="30"/>
      <c r="AC216" s="31"/>
      <c r="AD216" s="38"/>
    </row>
    <row r="217" ht="16.25" spans="1:30">
      <c r="A217" s="31"/>
      <c r="B217" s="39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30"/>
      <c r="Q217" s="43"/>
      <c r="R217" s="43"/>
      <c r="S217" s="43"/>
      <c r="T217" s="30"/>
      <c r="U217" s="30"/>
      <c r="V217" s="30"/>
      <c r="W217" s="30"/>
      <c r="X217" s="30"/>
      <c r="Y217" s="30"/>
      <c r="Z217" s="30"/>
      <c r="AA217" s="30"/>
      <c r="AB217" s="30"/>
      <c r="AC217" s="31"/>
      <c r="AD217" s="38"/>
    </row>
    <row r="218" ht="16.25" spans="1:30">
      <c r="A218" s="31"/>
      <c r="B218" s="39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30"/>
      <c r="Q218" s="43"/>
      <c r="R218" s="43"/>
      <c r="S218" s="43"/>
      <c r="T218" s="30"/>
      <c r="U218" s="30"/>
      <c r="V218" s="30"/>
      <c r="W218" s="30"/>
      <c r="X218" s="30"/>
      <c r="Y218" s="30"/>
      <c r="Z218" s="30"/>
      <c r="AA218" s="30"/>
      <c r="AB218" s="30"/>
      <c r="AC218" s="31"/>
      <c r="AD218" s="38"/>
    </row>
    <row r="219" ht="16.25" spans="1:30">
      <c r="A219" s="31"/>
      <c r="B219" s="39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30"/>
      <c r="Q219" s="43"/>
      <c r="R219" s="43"/>
      <c r="S219" s="43"/>
      <c r="T219" s="30"/>
      <c r="U219" s="30"/>
      <c r="V219" s="30"/>
      <c r="W219" s="30"/>
      <c r="X219" s="30"/>
      <c r="Y219" s="30"/>
      <c r="Z219" s="30"/>
      <c r="AA219" s="30"/>
      <c r="AB219" s="30"/>
      <c r="AC219" s="31"/>
      <c r="AD219" s="38"/>
    </row>
    <row r="220" ht="16.25" spans="1:30">
      <c r="A220" s="31"/>
      <c r="B220" s="39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30"/>
      <c r="Q220" s="43"/>
      <c r="R220" s="43"/>
      <c r="S220" s="43"/>
      <c r="T220" s="30"/>
      <c r="U220" s="30"/>
      <c r="V220" s="30"/>
      <c r="W220" s="30"/>
      <c r="X220" s="30"/>
      <c r="Y220" s="30"/>
      <c r="Z220" s="30"/>
      <c r="AA220" s="30"/>
      <c r="AB220" s="30"/>
      <c r="AC220" s="31"/>
      <c r="AD220" s="38"/>
    </row>
    <row r="221" ht="16.25" spans="1:30">
      <c r="A221" s="31"/>
      <c r="B221" s="39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30"/>
      <c r="Q221" s="43"/>
      <c r="R221" s="43"/>
      <c r="S221" s="43"/>
      <c r="T221" s="30"/>
      <c r="U221" s="30"/>
      <c r="V221" s="30"/>
      <c r="W221" s="30"/>
      <c r="X221" s="30"/>
      <c r="Y221" s="30"/>
      <c r="Z221" s="30"/>
      <c r="AA221" s="30"/>
      <c r="AB221" s="30"/>
      <c r="AC221" s="31"/>
      <c r="AD221" s="38"/>
    </row>
    <row r="222" ht="16.25" spans="1:30">
      <c r="A222" s="31"/>
      <c r="B222" s="39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30"/>
      <c r="Q222" s="43"/>
      <c r="R222" s="43"/>
      <c r="S222" s="43"/>
      <c r="T222" s="30"/>
      <c r="U222" s="30"/>
      <c r="V222" s="30"/>
      <c r="W222" s="30"/>
      <c r="X222" s="30"/>
      <c r="Y222" s="30"/>
      <c r="Z222" s="30"/>
      <c r="AA222" s="30"/>
      <c r="AB222" s="30"/>
      <c r="AC222" s="31"/>
      <c r="AD222" s="38"/>
    </row>
    <row r="223" ht="16.25" spans="1:30">
      <c r="A223" s="31"/>
      <c r="B223" s="39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30"/>
      <c r="Q223" s="43"/>
      <c r="R223" s="43"/>
      <c r="S223" s="43"/>
      <c r="T223" s="30"/>
      <c r="U223" s="30"/>
      <c r="V223" s="30"/>
      <c r="W223" s="30"/>
      <c r="X223" s="30"/>
      <c r="Y223" s="30"/>
      <c r="Z223" s="30"/>
      <c r="AA223" s="30"/>
      <c r="AB223" s="30"/>
      <c r="AC223" s="31"/>
      <c r="AD223" s="38"/>
    </row>
    <row r="224" ht="16.25" spans="1:30">
      <c r="A224" s="31"/>
      <c r="B224" s="39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30"/>
      <c r="Q224" s="43"/>
      <c r="R224" s="43"/>
      <c r="S224" s="43"/>
      <c r="T224" s="30"/>
      <c r="U224" s="30"/>
      <c r="V224" s="30"/>
      <c r="W224" s="30"/>
      <c r="X224" s="30"/>
      <c r="Y224" s="30"/>
      <c r="Z224" s="30"/>
      <c r="AA224" s="30"/>
      <c r="AB224" s="30"/>
      <c r="AC224" s="31"/>
      <c r="AD224" s="38"/>
    </row>
    <row r="225" ht="16.25" spans="1:30">
      <c r="A225" s="31"/>
      <c r="B225" s="39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30"/>
      <c r="Q225" s="43"/>
      <c r="R225" s="43"/>
      <c r="S225" s="43"/>
      <c r="T225" s="30"/>
      <c r="U225" s="30"/>
      <c r="V225" s="30"/>
      <c r="W225" s="30"/>
      <c r="X225" s="30"/>
      <c r="Y225" s="30"/>
      <c r="Z225" s="30"/>
      <c r="AA225" s="30"/>
      <c r="AB225" s="30"/>
      <c r="AC225" s="31"/>
      <c r="AD225" s="38"/>
    </row>
    <row r="226" ht="16.25" spans="1:30">
      <c r="A226" s="31"/>
      <c r="B226" s="39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30"/>
      <c r="Q226" s="43"/>
      <c r="R226" s="43"/>
      <c r="S226" s="43"/>
      <c r="T226" s="30"/>
      <c r="U226" s="30"/>
      <c r="V226" s="30"/>
      <c r="W226" s="30"/>
      <c r="X226" s="30"/>
      <c r="Y226" s="30"/>
      <c r="Z226" s="30"/>
      <c r="AA226" s="30"/>
      <c r="AB226" s="30"/>
      <c r="AC226" s="31"/>
      <c r="AD226" s="38"/>
    </row>
    <row r="227" ht="16.25" spans="1:30">
      <c r="A227" s="31"/>
      <c r="B227" s="39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30"/>
      <c r="Q227" s="43"/>
      <c r="R227" s="43"/>
      <c r="S227" s="43"/>
      <c r="T227" s="30"/>
      <c r="U227" s="30"/>
      <c r="V227" s="30"/>
      <c r="W227" s="30"/>
      <c r="X227" s="30"/>
      <c r="Y227" s="30"/>
      <c r="Z227" s="30"/>
      <c r="AA227" s="30"/>
      <c r="AB227" s="30"/>
      <c r="AC227" s="31"/>
      <c r="AD227" s="38"/>
    </row>
    <row r="228" ht="16.25" spans="1:30">
      <c r="A228" s="31"/>
      <c r="B228" s="39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30"/>
      <c r="Q228" s="43"/>
      <c r="R228" s="43"/>
      <c r="S228" s="43"/>
      <c r="T228" s="30"/>
      <c r="U228" s="30"/>
      <c r="V228" s="30"/>
      <c r="W228" s="30"/>
      <c r="X228" s="30"/>
      <c r="Y228" s="30"/>
      <c r="Z228" s="30"/>
      <c r="AA228" s="30"/>
      <c r="AB228" s="30"/>
      <c r="AC228" s="31"/>
      <c r="AD228" s="38"/>
    </row>
    <row r="229" ht="16.25" spans="1:30">
      <c r="A229" s="31"/>
      <c r="B229" s="39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30"/>
      <c r="Q229" s="43"/>
      <c r="R229" s="43"/>
      <c r="S229" s="43"/>
      <c r="T229" s="30"/>
      <c r="U229" s="30"/>
      <c r="V229" s="30"/>
      <c r="W229" s="30"/>
      <c r="X229" s="30"/>
      <c r="Y229" s="30"/>
      <c r="Z229" s="30"/>
      <c r="AA229" s="30"/>
      <c r="AB229" s="30"/>
      <c r="AC229" s="31"/>
      <c r="AD229" s="38"/>
    </row>
    <row r="230" ht="16.25" spans="1:30">
      <c r="A230" s="31"/>
      <c r="B230" s="39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30"/>
      <c r="Q230" s="43"/>
      <c r="R230" s="43"/>
      <c r="S230" s="43"/>
      <c r="T230" s="30"/>
      <c r="U230" s="30"/>
      <c r="V230" s="30"/>
      <c r="W230" s="30"/>
      <c r="X230" s="30"/>
      <c r="Y230" s="30"/>
      <c r="Z230" s="30"/>
      <c r="AA230" s="30"/>
      <c r="AB230" s="30"/>
      <c r="AC230" s="31"/>
      <c r="AD230" s="38"/>
    </row>
    <row r="231" ht="16.25" spans="1:30">
      <c r="A231" s="31"/>
      <c r="B231" s="39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30"/>
      <c r="Q231" s="43"/>
      <c r="R231" s="43"/>
      <c r="S231" s="43"/>
      <c r="T231" s="30"/>
      <c r="U231" s="30"/>
      <c r="V231" s="30"/>
      <c r="W231" s="30"/>
      <c r="X231" s="30"/>
      <c r="Y231" s="30"/>
      <c r="Z231" s="30"/>
      <c r="AA231" s="30"/>
      <c r="AB231" s="30"/>
      <c r="AC231" s="31"/>
      <c r="AD231" s="38"/>
    </row>
    <row r="232" ht="16.25" spans="1:30">
      <c r="A232" s="31"/>
      <c r="B232" s="39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30"/>
      <c r="Q232" s="43"/>
      <c r="R232" s="43"/>
      <c r="S232" s="43"/>
      <c r="T232" s="30"/>
      <c r="U232" s="30"/>
      <c r="V232" s="30"/>
      <c r="W232" s="30"/>
      <c r="X232" s="30"/>
      <c r="Y232" s="30"/>
      <c r="Z232" s="30"/>
      <c r="AA232" s="30"/>
      <c r="AB232" s="30"/>
      <c r="AC232" s="31"/>
      <c r="AD232" s="38"/>
    </row>
    <row r="233" ht="16.25" spans="1:30">
      <c r="A233" s="31"/>
      <c r="B233" s="39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30"/>
      <c r="Q233" s="43"/>
      <c r="R233" s="43"/>
      <c r="S233" s="43"/>
      <c r="T233" s="30"/>
      <c r="U233" s="30"/>
      <c r="V233" s="30"/>
      <c r="W233" s="30"/>
      <c r="X233" s="30"/>
      <c r="Y233" s="30"/>
      <c r="Z233" s="30"/>
      <c r="AA233" s="30"/>
      <c r="AB233" s="30"/>
      <c r="AC233" s="31"/>
      <c r="AD233" s="38"/>
    </row>
    <row r="234" ht="16.25" spans="1:30">
      <c r="A234" s="31"/>
      <c r="B234" s="39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30"/>
      <c r="Q234" s="43"/>
      <c r="R234" s="43"/>
      <c r="S234" s="43"/>
      <c r="T234" s="30"/>
      <c r="U234" s="30"/>
      <c r="V234" s="30"/>
      <c r="W234" s="30"/>
      <c r="X234" s="30"/>
      <c r="Y234" s="30"/>
      <c r="Z234" s="30"/>
      <c r="AA234" s="30"/>
      <c r="AB234" s="30"/>
      <c r="AC234" s="31"/>
      <c r="AD234" s="38"/>
    </row>
    <row r="235" ht="16.25" spans="1:30">
      <c r="A235" s="31"/>
      <c r="B235" s="39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30"/>
      <c r="Q235" s="43"/>
      <c r="R235" s="43"/>
      <c r="S235" s="43"/>
      <c r="T235" s="30"/>
      <c r="U235" s="30"/>
      <c r="V235" s="30"/>
      <c r="W235" s="30"/>
      <c r="X235" s="30"/>
      <c r="Y235" s="30"/>
      <c r="Z235" s="30"/>
      <c r="AA235" s="30"/>
      <c r="AB235" s="30"/>
      <c r="AC235" s="31"/>
      <c r="AD235" s="38"/>
    </row>
    <row r="236" ht="16.25" spans="1:30">
      <c r="A236" s="31"/>
      <c r="B236" s="39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30"/>
      <c r="Q236" s="43"/>
      <c r="R236" s="43"/>
      <c r="S236" s="43"/>
      <c r="T236" s="30"/>
      <c r="U236" s="30"/>
      <c r="V236" s="30"/>
      <c r="W236" s="30"/>
      <c r="X236" s="30"/>
      <c r="Y236" s="30"/>
      <c r="Z236" s="30"/>
      <c r="AA236" s="30"/>
      <c r="AB236" s="30"/>
      <c r="AC236" s="31"/>
      <c r="AD236" s="38"/>
    </row>
    <row r="237" ht="16.25" spans="1:30">
      <c r="A237" s="31"/>
      <c r="B237" s="39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30"/>
      <c r="Q237" s="43"/>
      <c r="R237" s="43"/>
      <c r="S237" s="43"/>
      <c r="T237" s="30"/>
      <c r="U237" s="30"/>
      <c r="V237" s="30"/>
      <c r="W237" s="30"/>
      <c r="X237" s="30"/>
      <c r="Y237" s="30"/>
      <c r="Z237" s="30"/>
      <c r="AA237" s="30"/>
      <c r="AB237" s="30"/>
      <c r="AC237" s="31"/>
      <c r="AD237" s="44"/>
    </row>
    <row r="238" ht="16.25" spans="1:30">
      <c r="A238" s="31"/>
      <c r="B238" s="39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30"/>
      <c r="Q238" s="43"/>
      <c r="R238" s="43"/>
      <c r="S238" s="43"/>
      <c r="T238" s="30"/>
      <c r="U238" s="30"/>
      <c r="V238" s="30"/>
      <c r="W238" s="30"/>
      <c r="X238" s="30"/>
      <c r="Y238" s="30"/>
      <c r="Z238" s="30"/>
      <c r="AA238" s="30"/>
      <c r="AB238" s="30"/>
      <c r="AC238" s="31"/>
      <c r="AD238" s="44"/>
    </row>
    <row r="239" ht="16.25" spans="1:30">
      <c r="A239" s="31"/>
      <c r="B239" s="39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30"/>
      <c r="Q239" s="43"/>
      <c r="R239" s="43"/>
      <c r="S239" s="43"/>
      <c r="T239" s="30"/>
      <c r="U239" s="30"/>
      <c r="V239" s="30"/>
      <c r="W239" s="30"/>
      <c r="X239" s="30"/>
      <c r="Y239" s="30"/>
      <c r="Z239" s="30"/>
      <c r="AA239" s="30"/>
      <c r="AB239" s="30"/>
      <c r="AC239" s="31"/>
      <c r="AD239" s="37"/>
    </row>
    <row r="240" ht="16.25" spans="1:30">
      <c r="A240" s="31"/>
      <c r="B240" s="39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30"/>
      <c r="Q240" s="43"/>
      <c r="R240" s="43"/>
      <c r="S240" s="43"/>
      <c r="T240" s="30"/>
      <c r="U240" s="30"/>
      <c r="V240" s="30"/>
      <c r="W240" s="30"/>
      <c r="X240" s="30"/>
      <c r="Y240" s="30"/>
      <c r="Z240" s="30"/>
      <c r="AA240" s="30"/>
      <c r="AB240" s="30"/>
      <c r="AC240" s="31"/>
      <c r="AD240" s="37"/>
    </row>
    <row r="241" ht="16.25" spans="1:30">
      <c r="A241" s="31"/>
      <c r="B241" s="39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30"/>
      <c r="Q241" s="43"/>
      <c r="R241" s="43"/>
      <c r="S241" s="43"/>
      <c r="T241" s="30"/>
      <c r="U241" s="30"/>
      <c r="V241" s="30"/>
      <c r="W241" s="30"/>
      <c r="X241" s="30"/>
      <c r="Y241" s="30"/>
      <c r="Z241" s="30"/>
      <c r="AA241" s="30"/>
      <c r="AB241" s="30"/>
      <c r="AC241" s="31"/>
      <c r="AD241" s="37"/>
    </row>
    <row r="242" ht="16.25" spans="1:30">
      <c r="A242" s="31"/>
      <c r="B242" s="39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30"/>
      <c r="Q242" s="43"/>
      <c r="R242" s="43"/>
      <c r="S242" s="43"/>
      <c r="T242" s="30"/>
      <c r="U242" s="30"/>
      <c r="V242" s="30"/>
      <c r="W242" s="30"/>
      <c r="X242" s="30"/>
      <c r="Y242" s="30"/>
      <c r="Z242" s="30"/>
      <c r="AA242" s="30"/>
      <c r="AB242" s="30"/>
      <c r="AC242" s="31"/>
      <c r="AD242" s="37"/>
    </row>
    <row r="243" ht="16.25" spans="1:30">
      <c r="A243" s="31"/>
      <c r="B243" s="39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30"/>
      <c r="Q243" s="43"/>
      <c r="R243" s="43"/>
      <c r="S243" s="43"/>
      <c r="T243" s="30"/>
      <c r="U243" s="30"/>
      <c r="V243" s="30"/>
      <c r="W243" s="30"/>
      <c r="X243" s="30"/>
      <c r="Y243" s="30"/>
      <c r="Z243" s="30"/>
      <c r="AA243" s="30"/>
      <c r="AB243" s="30"/>
      <c r="AC243" s="31"/>
      <c r="AD243" s="37"/>
    </row>
    <row r="244" ht="16.25" spans="1:30">
      <c r="A244" s="31"/>
      <c r="B244" s="39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30"/>
      <c r="Q244" s="43"/>
      <c r="R244" s="43"/>
      <c r="S244" s="43"/>
      <c r="T244" s="30"/>
      <c r="U244" s="30"/>
      <c r="V244" s="30"/>
      <c r="W244" s="30"/>
      <c r="X244" s="30"/>
      <c r="Y244" s="30"/>
      <c r="Z244" s="30"/>
      <c r="AA244" s="30"/>
      <c r="AB244" s="30"/>
      <c r="AC244" s="31"/>
      <c r="AD244" s="37"/>
    </row>
    <row r="245" ht="16.25" spans="1:30">
      <c r="A245" s="31"/>
      <c r="B245" s="39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30"/>
      <c r="Q245" s="43"/>
      <c r="R245" s="43"/>
      <c r="S245" s="43"/>
      <c r="T245" s="30"/>
      <c r="U245" s="30"/>
      <c r="V245" s="30"/>
      <c r="W245" s="30"/>
      <c r="X245" s="30"/>
      <c r="Y245" s="30"/>
      <c r="Z245" s="30"/>
      <c r="AA245" s="30"/>
      <c r="AB245" s="30"/>
      <c r="AC245" s="31"/>
      <c r="AD245" s="37"/>
    </row>
    <row r="246" ht="16.25" spans="1:30">
      <c r="A246" s="31"/>
      <c r="B246" s="39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30"/>
      <c r="Q246" s="43"/>
      <c r="R246" s="43"/>
      <c r="S246" s="43"/>
      <c r="T246" s="30"/>
      <c r="U246" s="30"/>
      <c r="V246" s="30"/>
      <c r="W246" s="30"/>
      <c r="X246" s="30"/>
      <c r="Y246" s="30"/>
      <c r="Z246" s="30"/>
      <c r="AA246" s="30"/>
      <c r="AB246" s="30"/>
      <c r="AC246" s="31"/>
      <c r="AD246" s="37"/>
    </row>
    <row r="247" ht="16.25" spans="1:30">
      <c r="A247" s="31"/>
      <c r="B247" s="39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30"/>
      <c r="Q247" s="43"/>
      <c r="R247" s="43"/>
      <c r="S247" s="43"/>
      <c r="T247" s="30"/>
      <c r="U247" s="30"/>
      <c r="V247" s="30"/>
      <c r="W247" s="30"/>
      <c r="X247" s="30"/>
      <c r="Y247" s="30"/>
      <c r="Z247" s="30"/>
      <c r="AA247" s="30"/>
      <c r="AB247" s="30"/>
      <c r="AC247" s="31"/>
      <c r="AD247" s="37"/>
    </row>
    <row r="248" ht="16.25" spans="1:30">
      <c r="A248" s="31"/>
      <c r="B248" s="39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30"/>
      <c r="Q248" s="43"/>
      <c r="R248" s="43"/>
      <c r="S248" s="43"/>
      <c r="T248" s="30"/>
      <c r="U248" s="30"/>
      <c r="V248" s="30"/>
      <c r="W248" s="30"/>
      <c r="X248" s="30"/>
      <c r="Y248" s="30"/>
      <c r="Z248" s="30"/>
      <c r="AA248" s="30"/>
      <c r="AB248" s="30"/>
      <c r="AC248" s="31"/>
      <c r="AD248" s="37"/>
    </row>
    <row r="249" ht="16.25" spans="1:30">
      <c r="A249" s="31"/>
      <c r="B249" s="39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30"/>
      <c r="Q249" s="43"/>
      <c r="R249" s="43"/>
      <c r="S249" s="43"/>
      <c r="T249" s="30"/>
      <c r="U249" s="30"/>
      <c r="V249" s="30"/>
      <c r="W249" s="30"/>
      <c r="X249" s="30"/>
      <c r="Y249" s="30"/>
      <c r="Z249" s="30"/>
      <c r="AA249" s="30"/>
      <c r="AB249" s="30"/>
      <c r="AC249" s="31"/>
      <c r="AD249" s="37"/>
    </row>
    <row r="250" ht="16.25" spans="1:30">
      <c r="A250" s="31"/>
      <c r="B250" s="39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30"/>
      <c r="Q250" s="43"/>
      <c r="R250" s="43"/>
      <c r="S250" s="43"/>
      <c r="T250" s="30"/>
      <c r="U250" s="30"/>
      <c r="V250" s="30"/>
      <c r="W250" s="30"/>
      <c r="X250" s="30"/>
      <c r="Y250" s="30"/>
      <c r="Z250" s="30"/>
      <c r="AA250" s="30"/>
      <c r="AB250" s="30"/>
      <c r="AC250" s="31"/>
      <c r="AD250" s="37"/>
    </row>
    <row r="251" ht="16.25" spans="1:30">
      <c r="A251" s="31"/>
      <c r="B251" s="39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30"/>
      <c r="Q251" s="43"/>
      <c r="R251" s="43"/>
      <c r="S251" s="43"/>
      <c r="T251" s="30"/>
      <c r="U251" s="30"/>
      <c r="V251" s="30"/>
      <c r="W251" s="30"/>
      <c r="X251" s="30"/>
      <c r="Y251" s="30"/>
      <c r="Z251" s="30"/>
      <c r="AA251" s="30"/>
      <c r="AB251" s="30"/>
      <c r="AC251" s="31"/>
      <c r="AD251" s="37"/>
    </row>
    <row r="252" ht="16.25" spans="1:30">
      <c r="A252" s="31"/>
      <c r="B252" s="39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30"/>
      <c r="Q252" s="43"/>
      <c r="R252" s="43"/>
      <c r="S252" s="43"/>
      <c r="T252" s="30"/>
      <c r="U252" s="30"/>
      <c r="V252" s="30"/>
      <c r="W252" s="30"/>
      <c r="X252" s="30"/>
      <c r="Y252" s="30"/>
      <c r="Z252" s="30"/>
      <c r="AA252" s="30"/>
      <c r="AB252" s="30"/>
      <c r="AC252" s="31"/>
      <c r="AD252" s="37"/>
    </row>
    <row r="253" ht="16.25" spans="1:30">
      <c r="A253" s="31"/>
      <c r="B253" s="39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30"/>
      <c r="Q253" s="43"/>
      <c r="R253" s="43"/>
      <c r="S253" s="43"/>
      <c r="T253" s="30"/>
      <c r="U253" s="30"/>
      <c r="V253" s="30"/>
      <c r="W253" s="30"/>
      <c r="X253" s="30"/>
      <c r="Y253" s="30"/>
      <c r="Z253" s="30"/>
      <c r="AA253" s="30"/>
      <c r="AB253" s="30"/>
      <c r="AC253" s="31"/>
      <c r="AD253" s="37"/>
    </row>
    <row r="254" ht="16.25" spans="1:30">
      <c r="A254" s="31"/>
      <c r="B254" s="39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30"/>
      <c r="Q254" s="43"/>
      <c r="R254" s="43"/>
      <c r="S254" s="43"/>
      <c r="T254" s="30"/>
      <c r="U254" s="30"/>
      <c r="V254" s="30"/>
      <c r="W254" s="30"/>
      <c r="X254" s="30"/>
      <c r="Y254" s="30"/>
      <c r="Z254" s="30"/>
      <c r="AA254" s="30"/>
      <c r="AB254" s="30"/>
      <c r="AC254" s="31"/>
      <c r="AD254" s="37"/>
    </row>
    <row r="255" ht="16.25" spans="1:30">
      <c r="A255" s="31"/>
      <c r="B255" s="39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30"/>
      <c r="Q255" s="43"/>
      <c r="R255" s="43"/>
      <c r="S255" s="43"/>
      <c r="T255" s="30"/>
      <c r="U255" s="30"/>
      <c r="V255" s="30"/>
      <c r="W255" s="30"/>
      <c r="X255" s="30"/>
      <c r="Y255" s="30"/>
      <c r="Z255" s="30"/>
      <c r="AA255" s="30"/>
      <c r="AB255" s="30"/>
      <c r="AC255" s="31"/>
      <c r="AD255" s="37"/>
    </row>
    <row r="256" ht="16.25" spans="1:30">
      <c r="A256" s="31"/>
      <c r="B256" s="39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30"/>
      <c r="Q256" s="43"/>
      <c r="R256" s="43"/>
      <c r="S256" s="43"/>
      <c r="T256" s="30"/>
      <c r="U256" s="30"/>
      <c r="V256" s="30"/>
      <c r="W256" s="30"/>
      <c r="X256" s="30"/>
      <c r="Y256" s="30"/>
      <c r="Z256" s="30"/>
      <c r="AA256" s="30"/>
      <c r="AB256" s="30"/>
      <c r="AC256" s="31"/>
      <c r="AD256" s="37"/>
    </row>
    <row r="257" ht="16.25" spans="1:30">
      <c r="A257" s="31"/>
      <c r="B257" s="39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30"/>
      <c r="Q257" s="43"/>
      <c r="R257" s="43"/>
      <c r="S257" s="43"/>
      <c r="T257" s="30"/>
      <c r="U257" s="30"/>
      <c r="V257" s="30"/>
      <c r="W257" s="30"/>
      <c r="X257" s="30"/>
      <c r="Y257" s="30"/>
      <c r="Z257" s="30"/>
      <c r="AA257" s="30"/>
      <c r="AB257" s="30"/>
      <c r="AC257" s="31"/>
      <c r="AD257" s="37"/>
    </row>
    <row r="258" ht="16.25" spans="1:30">
      <c r="A258" s="31"/>
      <c r="B258" s="39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30"/>
      <c r="Q258" s="43"/>
      <c r="R258" s="43"/>
      <c r="S258" s="43"/>
      <c r="T258" s="30"/>
      <c r="U258" s="30"/>
      <c r="V258" s="30"/>
      <c r="W258" s="30"/>
      <c r="X258" s="30"/>
      <c r="Y258" s="30"/>
      <c r="Z258" s="30"/>
      <c r="AA258" s="30"/>
      <c r="AB258" s="30"/>
      <c r="AC258" s="31"/>
      <c r="AD258" s="37"/>
    </row>
    <row r="259" ht="16.25" spans="1:30">
      <c r="A259" s="31"/>
      <c r="B259" s="39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30"/>
      <c r="Q259" s="43"/>
      <c r="R259" s="43"/>
      <c r="S259" s="43"/>
      <c r="T259" s="30"/>
      <c r="U259" s="30"/>
      <c r="V259" s="30"/>
      <c r="W259" s="30"/>
      <c r="X259" s="30"/>
      <c r="Y259" s="30"/>
      <c r="Z259" s="30"/>
      <c r="AA259" s="30"/>
      <c r="AB259" s="30"/>
      <c r="AC259" s="31"/>
      <c r="AD259" s="37"/>
    </row>
    <row r="260" ht="16.25" spans="1:30">
      <c r="A260" s="31"/>
      <c r="B260" s="39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30"/>
      <c r="Q260" s="43"/>
      <c r="R260" s="43"/>
      <c r="S260" s="43"/>
      <c r="T260" s="30"/>
      <c r="U260" s="30"/>
      <c r="V260" s="30"/>
      <c r="W260" s="30"/>
      <c r="X260" s="30"/>
      <c r="Y260" s="30"/>
      <c r="Z260" s="30"/>
      <c r="AA260" s="30"/>
      <c r="AB260" s="30"/>
      <c r="AC260" s="31"/>
      <c r="AD260" s="59"/>
    </row>
    <row r="261" ht="16.25" spans="1:30">
      <c r="A261" s="31"/>
      <c r="B261" s="39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30"/>
      <c r="Q261" s="43"/>
      <c r="R261" s="43"/>
      <c r="S261" s="43"/>
      <c r="T261" s="30"/>
      <c r="U261" s="30"/>
      <c r="V261" s="30"/>
      <c r="W261" s="30"/>
      <c r="X261" s="30"/>
      <c r="Y261" s="30"/>
      <c r="Z261" s="30"/>
      <c r="AA261" s="30"/>
      <c r="AB261" s="30"/>
      <c r="AC261" s="31"/>
      <c r="AD261" s="59"/>
    </row>
    <row r="262" ht="16.25" spans="1:30">
      <c r="A262" s="31"/>
      <c r="B262" s="45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30"/>
      <c r="U262" s="30"/>
      <c r="V262" s="30"/>
      <c r="W262" s="30"/>
      <c r="X262" s="30"/>
      <c r="Y262" s="30"/>
      <c r="Z262" s="30"/>
      <c r="AA262" s="30"/>
      <c r="AB262" s="30"/>
      <c r="AC262" s="31"/>
      <c r="AD262" s="32"/>
    </row>
    <row r="263" ht="16.25" spans="1:30">
      <c r="A263" s="31"/>
      <c r="B263" s="45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30"/>
      <c r="U263" s="30"/>
      <c r="V263" s="30"/>
      <c r="W263" s="30"/>
      <c r="X263" s="30"/>
      <c r="Y263" s="30"/>
      <c r="Z263" s="30"/>
      <c r="AA263" s="30"/>
      <c r="AB263" s="30"/>
      <c r="AC263" s="31"/>
      <c r="AD263" s="32"/>
    </row>
    <row r="264" ht="16.25" spans="1:30">
      <c r="A264" s="31"/>
      <c r="B264" s="45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30"/>
      <c r="U264" s="30"/>
      <c r="V264" s="30"/>
      <c r="W264" s="30"/>
      <c r="X264" s="30"/>
      <c r="Y264" s="30"/>
      <c r="Z264" s="30"/>
      <c r="AA264" s="30"/>
      <c r="AB264" s="30"/>
      <c r="AC264" s="31"/>
      <c r="AD264" s="32"/>
    </row>
    <row r="265" ht="16.25" spans="1:30">
      <c r="A265" s="31"/>
      <c r="B265" s="45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49"/>
      <c r="Q265" s="49"/>
      <c r="R265" s="49"/>
      <c r="S265" s="49"/>
      <c r="T265" s="30"/>
      <c r="U265" s="30"/>
      <c r="V265" s="30"/>
      <c r="W265" s="30"/>
      <c r="X265" s="30"/>
      <c r="Y265" s="30"/>
      <c r="Z265" s="30"/>
      <c r="AA265" s="30"/>
      <c r="AB265" s="30"/>
      <c r="AC265" s="31"/>
      <c r="AD265" s="32"/>
    </row>
    <row r="266" ht="16.25" spans="1:30">
      <c r="A266" s="31"/>
      <c r="B266" s="45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49"/>
      <c r="Q266" s="49"/>
      <c r="R266" s="49"/>
      <c r="S266" s="49"/>
      <c r="T266" s="30"/>
      <c r="U266" s="30"/>
      <c r="V266" s="30"/>
      <c r="W266" s="30"/>
      <c r="X266" s="30"/>
      <c r="Y266" s="30"/>
      <c r="Z266" s="30"/>
      <c r="AA266" s="30"/>
      <c r="AB266" s="30"/>
      <c r="AC266" s="31"/>
      <c r="AD266" s="32"/>
    </row>
    <row r="267" ht="16.25" spans="1:30">
      <c r="A267" s="31"/>
      <c r="B267" s="45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30"/>
      <c r="U267" s="30"/>
      <c r="V267" s="30"/>
      <c r="W267" s="30"/>
      <c r="X267" s="30"/>
      <c r="Y267" s="30"/>
      <c r="Z267" s="30"/>
      <c r="AA267" s="30"/>
      <c r="AB267" s="30"/>
      <c r="AC267" s="31"/>
      <c r="AD267" s="32"/>
    </row>
    <row r="268" ht="16.25" spans="1:30">
      <c r="A268" s="31"/>
      <c r="B268" s="45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30"/>
      <c r="U268" s="30"/>
      <c r="V268" s="30"/>
      <c r="W268" s="30"/>
      <c r="X268" s="30"/>
      <c r="Y268" s="30"/>
      <c r="Z268" s="30"/>
      <c r="AA268" s="30"/>
      <c r="AB268" s="30"/>
      <c r="AC268" s="31"/>
      <c r="AD268" s="32"/>
    </row>
    <row r="269" ht="16.25" spans="1:32">
      <c r="A269" s="46"/>
      <c r="B269" s="46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50"/>
      <c r="Q269" s="50"/>
      <c r="R269" s="50"/>
      <c r="S269" s="50"/>
      <c r="T269" s="30"/>
      <c r="U269" s="30"/>
      <c r="V269" s="30"/>
      <c r="W269" s="30"/>
      <c r="X269" s="30"/>
      <c r="Y269" s="30"/>
      <c r="Z269" s="30"/>
      <c r="AA269" s="30"/>
      <c r="AB269" s="30"/>
      <c r="AC269" s="46"/>
      <c r="AD269" s="60"/>
      <c r="AE269" s="7"/>
      <c r="AF269" s="7"/>
    </row>
    <row r="270" ht="16.25" spans="1:32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30"/>
      <c r="U270" s="30"/>
      <c r="V270" s="30"/>
      <c r="W270" s="30"/>
      <c r="X270" s="30"/>
      <c r="Y270" s="30"/>
      <c r="Z270" s="30"/>
      <c r="AA270" s="30"/>
      <c r="AB270" s="30"/>
      <c r="AC270" s="46"/>
      <c r="AD270" s="60"/>
      <c r="AE270" s="7"/>
      <c r="AF270" s="7"/>
    </row>
    <row r="271" ht="16.25" spans="1:30">
      <c r="A271" s="31"/>
      <c r="B271" s="45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51"/>
      <c r="Q271" s="51"/>
      <c r="R271" s="51"/>
      <c r="S271" s="51"/>
      <c r="T271" s="30"/>
      <c r="U271" s="30"/>
      <c r="V271" s="30"/>
      <c r="W271" s="30"/>
      <c r="X271" s="30"/>
      <c r="Y271" s="30"/>
      <c r="Z271" s="30"/>
      <c r="AA271" s="30"/>
      <c r="AB271" s="30"/>
      <c r="AC271" s="31"/>
      <c r="AD271" s="32"/>
    </row>
    <row r="272" ht="16.25" spans="1:30">
      <c r="A272" s="31"/>
      <c r="B272" s="45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51"/>
      <c r="Q272" s="51"/>
      <c r="R272" s="51"/>
      <c r="S272" s="51"/>
      <c r="T272" s="30"/>
      <c r="U272" s="30"/>
      <c r="V272" s="30"/>
      <c r="W272" s="30"/>
      <c r="X272" s="30"/>
      <c r="Y272" s="30"/>
      <c r="Z272" s="30"/>
      <c r="AA272" s="30"/>
      <c r="AB272" s="30"/>
      <c r="AC272" s="31"/>
      <c r="AD272" s="32"/>
    </row>
    <row r="273" ht="16.25" spans="1:30">
      <c r="A273" s="31"/>
      <c r="B273" s="45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51"/>
      <c r="Q273" s="51"/>
      <c r="R273" s="51"/>
      <c r="S273" s="51"/>
      <c r="T273" s="30"/>
      <c r="U273" s="30"/>
      <c r="V273" s="30"/>
      <c r="W273" s="30"/>
      <c r="X273" s="30"/>
      <c r="Y273" s="30"/>
      <c r="Z273" s="30"/>
      <c r="AA273" s="30"/>
      <c r="AB273" s="30"/>
      <c r="AC273" s="31"/>
      <c r="AD273" s="32"/>
    </row>
    <row r="274" ht="16.25" spans="1:30">
      <c r="A274" s="31"/>
      <c r="B274" s="45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51"/>
      <c r="Q274" s="51"/>
      <c r="R274" s="51"/>
      <c r="S274" s="51"/>
      <c r="T274" s="30"/>
      <c r="U274" s="30"/>
      <c r="V274" s="30"/>
      <c r="W274" s="30"/>
      <c r="X274" s="30"/>
      <c r="Y274" s="30"/>
      <c r="Z274" s="30"/>
      <c r="AA274" s="30"/>
      <c r="AB274" s="30"/>
      <c r="AC274" s="31"/>
      <c r="AD274" s="32"/>
    </row>
    <row r="275" ht="16.25" spans="1:30">
      <c r="A275" s="31"/>
      <c r="B275" s="45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51"/>
      <c r="Q275" s="51"/>
      <c r="R275" s="51"/>
      <c r="S275" s="51"/>
      <c r="T275" s="30"/>
      <c r="U275" s="30"/>
      <c r="V275" s="30"/>
      <c r="W275" s="30"/>
      <c r="X275" s="30"/>
      <c r="Y275" s="30"/>
      <c r="Z275" s="30"/>
      <c r="AA275" s="30"/>
      <c r="AB275" s="30"/>
      <c r="AC275" s="31"/>
      <c r="AD275" s="32"/>
    </row>
    <row r="276" ht="16.25" spans="1:30">
      <c r="A276" s="31"/>
      <c r="B276" s="45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51"/>
      <c r="Q276" s="51"/>
      <c r="R276" s="51"/>
      <c r="S276" s="51"/>
      <c r="T276" s="30"/>
      <c r="U276" s="30"/>
      <c r="V276" s="30"/>
      <c r="W276" s="30"/>
      <c r="X276" s="30"/>
      <c r="Y276" s="30"/>
      <c r="Z276" s="30"/>
      <c r="AA276" s="30"/>
      <c r="AB276" s="30"/>
      <c r="AC276" s="31"/>
      <c r="AD276" s="32"/>
    </row>
    <row r="277" ht="16.25" spans="1:30">
      <c r="A277" s="31"/>
      <c r="B277" s="45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51"/>
      <c r="Q277" s="51"/>
      <c r="R277" s="51"/>
      <c r="S277" s="51"/>
      <c r="T277" s="30"/>
      <c r="U277" s="30"/>
      <c r="V277" s="30"/>
      <c r="W277" s="30"/>
      <c r="X277" s="30"/>
      <c r="Y277" s="30"/>
      <c r="Z277" s="30"/>
      <c r="AA277" s="30"/>
      <c r="AB277" s="30"/>
      <c r="AC277" s="31"/>
      <c r="AD277" s="32"/>
    </row>
    <row r="278" ht="16.25" spans="1:32">
      <c r="A278" s="46"/>
      <c r="B278" s="46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30"/>
      <c r="U278" s="30"/>
      <c r="V278" s="30"/>
      <c r="W278" s="30"/>
      <c r="X278" s="30"/>
      <c r="Y278" s="30"/>
      <c r="Z278" s="30"/>
      <c r="AA278" s="30"/>
      <c r="AB278" s="30"/>
      <c r="AC278" s="46"/>
      <c r="AD278" s="60"/>
      <c r="AE278" s="7"/>
      <c r="AF278" s="7"/>
    </row>
    <row r="279" ht="16.25" spans="1:32">
      <c r="A279" s="46"/>
      <c r="B279" s="46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30"/>
      <c r="U279" s="30"/>
      <c r="V279" s="30"/>
      <c r="W279" s="30"/>
      <c r="X279" s="30"/>
      <c r="Y279" s="30"/>
      <c r="Z279" s="30"/>
      <c r="AA279" s="30"/>
      <c r="AB279" s="30"/>
      <c r="AC279" s="46"/>
      <c r="AD279" s="60"/>
      <c r="AE279" s="7"/>
      <c r="AF279" s="7"/>
    </row>
    <row r="280" ht="16.25" spans="1:30">
      <c r="A280" s="31"/>
      <c r="B280" s="31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52"/>
      <c r="Q280" s="52"/>
      <c r="R280" s="52"/>
      <c r="S280" s="52"/>
      <c r="T280" s="30"/>
      <c r="U280" s="30"/>
      <c r="V280" s="30"/>
      <c r="W280" s="30"/>
      <c r="X280" s="30"/>
      <c r="Y280" s="30"/>
      <c r="Z280" s="30"/>
      <c r="AA280" s="30"/>
      <c r="AB280" s="30"/>
      <c r="AC280" s="31"/>
      <c r="AD280" s="33"/>
    </row>
    <row r="281" ht="16.25" spans="1:30">
      <c r="A281" s="31"/>
      <c r="B281" s="31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52"/>
      <c r="Q281" s="52"/>
      <c r="R281" s="52"/>
      <c r="S281" s="52"/>
      <c r="T281" s="30"/>
      <c r="U281" s="30"/>
      <c r="V281" s="30"/>
      <c r="W281" s="30"/>
      <c r="X281" s="30"/>
      <c r="Y281" s="30"/>
      <c r="Z281" s="30"/>
      <c r="AA281" s="30"/>
      <c r="AB281" s="30"/>
      <c r="AC281" s="31"/>
      <c r="AD281" s="33"/>
    </row>
    <row r="282" ht="16.25" spans="1:30">
      <c r="A282" s="31"/>
      <c r="B282" s="31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52"/>
      <c r="Q282" s="52"/>
      <c r="R282" s="52"/>
      <c r="S282" s="52"/>
      <c r="T282" s="30"/>
      <c r="U282" s="30"/>
      <c r="V282" s="30"/>
      <c r="W282" s="30"/>
      <c r="X282" s="30"/>
      <c r="Y282" s="30"/>
      <c r="Z282" s="30"/>
      <c r="AA282" s="30"/>
      <c r="AB282" s="30"/>
      <c r="AC282" s="31"/>
      <c r="AD282" s="33"/>
    </row>
    <row r="283" ht="16.25" spans="1:30">
      <c r="A283" s="31"/>
      <c r="B283" s="31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52"/>
      <c r="Q283" s="52"/>
      <c r="R283" s="52"/>
      <c r="S283" s="52"/>
      <c r="T283" s="30"/>
      <c r="U283" s="30"/>
      <c r="V283" s="30"/>
      <c r="W283" s="30"/>
      <c r="X283" s="30"/>
      <c r="Y283" s="30"/>
      <c r="Z283" s="30"/>
      <c r="AA283" s="30"/>
      <c r="AB283" s="30"/>
      <c r="AC283" s="31"/>
      <c r="AD283" s="33"/>
    </row>
    <row r="284" ht="16.25" spans="1:30">
      <c r="A284" s="31"/>
      <c r="B284" s="31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52"/>
      <c r="Q284" s="52"/>
      <c r="R284" s="52"/>
      <c r="S284" s="52"/>
      <c r="T284" s="30"/>
      <c r="U284" s="30"/>
      <c r="V284" s="30"/>
      <c r="W284" s="30"/>
      <c r="X284" s="30"/>
      <c r="Y284" s="30"/>
      <c r="Z284" s="30"/>
      <c r="AA284" s="30"/>
      <c r="AB284" s="30"/>
      <c r="AC284" s="31"/>
      <c r="AD284" s="33"/>
    </row>
    <row r="285" ht="16.25" spans="1:30">
      <c r="A285" s="31"/>
      <c r="B285" s="31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52"/>
      <c r="Q285" s="52"/>
      <c r="R285" s="52"/>
      <c r="S285" s="52"/>
      <c r="T285" s="30"/>
      <c r="U285" s="30"/>
      <c r="V285" s="30"/>
      <c r="W285" s="30"/>
      <c r="X285" s="30"/>
      <c r="Y285" s="30"/>
      <c r="Z285" s="30"/>
      <c r="AA285" s="30"/>
      <c r="AB285" s="30"/>
      <c r="AC285" s="31"/>
      <c r="AD285" s="33"/>
    </row>
    <row r="286" ht="16.25" spans="1:30">
      <c r="A286" s="31"/>
      <c r="B286" s="31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52"/>
      <c r="Q286" s="52"/>
      <c r="R286" s="52"/>
      <c r="S286" s="52"/>
      <c r="T286" s="30"/>
      <c r="U286" s="30"/>
      <c r="V286" s="30"/>
      <c r="W286" s="30"/>
      <c r="X286" s="30"/>
      <c r="Y286" s="30"/>
      <c r="Z286" s="30"/>
      <c r="AA286" s="30"/>
      <c r="AB286" s="30"/>
      <c r="AC286" s="31"/>
      <c r="AD286" s="33"/>
    </row>
    <row r="287" ht="16.25" spans="1:30">
      <c r="A287" s="31"/>
      <c r="B287" s="31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52"/>
      <c r="Q287" s="52"/>
      <c r="R287" s="52"/>
      <c r="S287" s="52"/>
      <c r="T287" s="30"/>
      <c r="U287" s="30"/>
      <c r="V287" s="30"/>
      <c r="W287" s="30"/>
      <c r="X287" s="30"/>
      <c r="Y287" s="30"/>
      <c r="Z287" s="30"/>
      <c r="AA287" s="30"/>
      <c r="AB287" s="30"/>
      <c r="AC287" s="31"/>
      <c r="AD287" s="33"/>
    </row>
    <row r="288" ht="16.25" spans="1:30">
      <c r="A288" s="31"/>
      <c r="B288" s="31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52"/>
      <c r="Q288" s="52"/>
      <c r="R288" s="52"/>
      <c r="S288" s="52"/>
      <c r="T288" s="30"/>
      <c r="U288" s="30"/>
      <c r="V288" s="30"/>
      <c r="W288" s="30"/>
      <c r="X288" s="30"/>
      <c r="Y288" s="30"/>
      <c r="Z288" s="30"/>
      <c r="AA288" s="30"/>
      <c r="AB288" s="30"/>
      <c r="AC288" s="31"/>
      <c r="AD288" s="33"/>
    </row>
    <row r="289" ht="16.25" spans="1:30">
      <c r="A289" s="31"/>
      <c r="B289" s="31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52"/>
      <c r="Q289" s="52"/>
      <c r="R289" s="52"/>
      <c r="S289" s="52"/>
      <c r="T289" s="30"/>
      <c r="U289" s="30"/>
      <c r="V289" s="30"/>
      <c r="W289" s="30"/>
      <c r="X289" s="30"/>
      <c r="Y289" s="30"/>
      <c r="Z289" s="30"/>
      <c r="AA289" s="30"/>
      <c r="AB289" s="30"/>
      <c r="AC289" s="31"/>
      <c r="AD289" s="33"/>
    </row>
    <row r="290" ht="16.25" spans="1:30">
      <c r="A290" s="31"/>
      <c r="B290" s="31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52"/>
      <c r="Q290" s="52"/>
      <c r="R290" s="52"/>
      <c r="S290" s="52"/>
      <c r="T290" s="30"/>
      <c r="U290" s="30"/>
      <c r="V290" s="30"/>
      <c r="W290" s="30"/>
      <c r="X290" s="30"/>
      <c r="Y290" s="30"/>
      <c r="Z290" s="30"/>
      <c r="AA290" s="30"/>
      <c r="AB290" s="30"/>
      <c r="AC290" s="31"/>
      <c r="AD290" s="33"/>
    </row>
    <row r="291" ht="16.25" spans="1:30">
      <c r="A291" s="31"/>
      <c r="B291" s="31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52"/>
      <c r="Q291" s="52"/>
      <c r="R291" s="52"/>
      <c r="S291" s="52"/>
      <c r="T291" s="30"/>
      <c r="U291" s="30"/>
      <c r="V291" s="30"/>
      <c r="W291" s="30"/>
      <c r="X291" s="30"/>
      <c r="Y291" s="30"/>
      <c r="Z291" s="30"/>
      <c r="AA291" s="30"/>
      <c r="AB291" s="30"/>
      <c r="AC291" s="31"/>
      <c r="AD291" s="33"/>
    </row>
    <row r="292" ht="16.25" spans="1:30">
      <c r="A292" s="31"/>
      <c r="B292" s="31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52"/>
      <c r="Q292" s="52"/>
      <c r="R292" s="52"/>
      <c r="S292" s="52"/>
      <c r="T292" s="30"/>
      <c r="U292" s="30"/>
      <c r="V292" s="30"/>
      <c r="W292" s="30"/>
      <c r="X292" s="30"/>
      <c r="Y292" s="30"/>
      <c r="Z292" s="30"/>
      <c r="AA292" s="30"/>
      <c r="AB292" s="30"/>
      <c r="AC292" s="31"/>
      <c r="AD292" s="33"/>
    </row>
    <row r="293" ht="16.25" spans="1:30">
      <c r="A293" s="31"/>
      <c r="B293" s="31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52"/>
      <c r="Q293" s="52"/>
      <c r="R293" s="52"/>
      <c r="S293" s="52"/>
      <c r="T293" s="30"/>
      <c r="U293" s="30"/>
      <c r="V293" s="30"/>
      <c r="W293" s="30"/>
      <c r="X293" s="30"/>
      <c r="Y293" s="30"/>
      <c r="Z293" s="30"/>
      <c r="AA293" s="30"/>
      <c r="AB293" s="30"/>
      <c r="AC293" s="31"/>
      <c r="AD293" s="33"/>
    </row>
    <row r="294" ht="16.25" spans="1:30">
      <c r="A294" s="31"/>
      <c r="B294" s="31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52"/>
      <c r="Q294" s="52"/>
      <c r="R294" s="52"/>
      <c r="S294" s="52"/>
      <c r="T294" s="30"/>
      <c r="U294" s="30"/>
      <c r="V294" s="30"/>
      <c r="W294" s="30"/>
      <c r="X294" s="30"/>
      <c r="Y294" s="30"/>
      <c r="Z294" s="30"/>
      <c r="AA294" s="30"/>
      <c r="AB294" s="30"/>
      <c r="AC294" s="31"/>
      <c r="AD294" s="33"/>
    </row>
    <row r="295" ht="16.25" spans="1:30">
      <c r="A295" s="31"/>
      <c r="B295" s="31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52"/>
      <c r="Q295" s="52"/>
      <c r="R295" s="52"/>
      <c r="S295" s="52"/>
      <c r="T295" s="30"/>
      <c r="U295" s="30"/>
      <c r="V295" s="30"/>
      <c r="W295" s="30"/>
      <c r="X295" s="30"/>
      <c r="Y295" s="30"/>
      <c r="Z295" s="30"/>
      <c r="AA295" s="30"/>
      <c r="AB295" s="30"/>
      <c r="AC295" s="31"/>
      <c r="AD295" s="33"/>
    </row>
    <row r="296" ht="16.25" spans="1:30">
      <c r="A296" s="31"/>
      <c r="B296" s="31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52"/>
      <c r="Q296" s="52"/>
      <c r="R296" s="52"/>
      <c r="S296" s="52"/>
      <c r="T296" s="30"/>
      <c r="U296" s="30"/>
      <c r="V296" s="30"/>
      <c r="W296" s="30"/>
      <c r="X296" s="30"/>
      <c r="Y296" s="30"/>
      <c r="Z296" s="30"/>
      <c r="AA296" s="30"/>
      <c r="AB296" s="30"/>
      <c r="AC296" s="31"/>
      <c r="AD296" s="33"/>
    </row>
    <row r="297" ht="17" spans="1:30">
      <c r="A297" s="31"/>
      <c r="B297" s="31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52"/>
      <c r="Q297" s="52"/>
      <c r="R297" s="52"/>
      <c r="S297" s="52"/>
      <c r="T297" s="30"/>
      <c r="U297" s="30"/>
      <c r="V297" s="30"/>
      <c r="W297" s="30"/>
      <c r="X297" s="30"/>
      <c r="Y297" s="30"/>
      <c r="Z297" s="30"/>
      <c r="AA297" s="30"/>
      <c r="AB297" s="30"/>
      <c r="AC297" s="31"/>
      <c r="AD297" s="33"/>
    </row>
    <row r="298" s="7" customFormat="1" ht="16.25" spans="1:30">
      <c r="A298" s="46"/>
      <c r="B298" s="46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53"/>
      <c r="Q298" s="53"/>
      <c r="R298" s="53"/>
      <c r="S298" s="53"/>
      <c r="T298" s="30"/>
      <c r="U298" s="30"/>
      <c r="V298" s="30"/>
      <c r="W298" s="30"/>
      <c r="X298" s="30"/>
      <c r="Y298" s="30"/>
      <c r="Z298" s="30"/>
      <c r="AA298" s="30"/>
      <c r="AB298" s="30"/>
      <c r="AC298" s="46"/>
      <c r="AD298" s="60"/>
    </row>
    <row r="299" s="7" customFormat="1" ht="16.25" spans="1:30">
      <c r="A299" s="46"/>
      <c r="B299" s="46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54"/>
      <c r="Q299" s="54"/>
      <c r="R299" s="54"/>
      <c r="S299" s="54"/>
      <c r="T299" s="30"/>
      <c r="U299" s="30"/>
      <c r="V299" s="30"/>
      <c r="W299" s="30"/>
      <c r="X299" s="30"/>
      <c r="Y299" s="30"/>
      <c r="Z299" s="30"/>
      <c r="AA299" s="30"/>
      <c r="AB299" s="30"/>
      <c r="AC299" s="46"/>
      <c r="AD299" s="60"/>
    </row>
    <row r="300" s="7" customFormat="1" ht="17" spans="1:30">
      <c r="A300" s="46"/>
      <c r="B300" s="46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55"/>
      <c r="Q300" s="55"/>
      <c r="R300" s="55"/>
      <c r="S300" s="55"/>
      <c r="T300" s="30"/>
      <c r="U300" s="30"/>
      <c r="V300" s="30"/>
      <c r="W300" s="30"/>
      <c r="X300" s="30"/>
      <c r="Y300" s="30"/>
      <c r="Z300" s="30"/>
      <c r="AA300" s="30"/>
      <c r="AB300" s="30"/>
      <c r="AC300" s="46"/>
      <c r="AD300" s="60"/>
    </row>
    <row r="301" ht="16.25" spans="1:30">
      <c r="A301" s="31"/>
      <c r="B301" s="31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56"/>
      <c r="Q301" s="56"/>
      <c r="R301" s="56"/>
      <c r="S301" s="56"/>
      <c r="T301" s="30"/>
      <c r="U301" s="30"/>
      <c r="V301" s="30"/>
      <c r="W301" s="30"/>
      <c r="X301" s="30"/>
      <c r="Y301" s="30"/>
      <c r="Z301" s="30"/>
      <c r="AA301" s="30"/>
      <c r="AB301" s="30"/>
      <c r="AC301" s="31"/>
      <c r="AD301" s="33"/>
    </row>
    <row r="302" ht="16.25" spans="1:30">
      <c r="A302" s="31"/>
      <c r="B302" s="31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57"/>
      <c r="Q302" s="57"/>
      <c r="R302" s="57"/>
      <c r="S302" s="57"/>
      <c r="T302" s="30"/>
      <c r="U302" s="30"/>
      <c r="V302" s="30"/>
      <c r="W302" s="30"/>
      <c r="X302" s="30"/>
      <c r="Y302" s="30"/>
      <c r="Z302" s="30"/>
      <c r="AA302" s="30"/>
      <c r="AB302" s="30"/>
      <c r="AC302" s="31"/>
      <c r="AD302" s="33"/>
    </row>
    <row r="303" ht="16.25" spans="1:30">
      <c r="A303" s="31"/>
      <c r="B303" s="31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57"/>
      <c r="Q303" s="57"/>
      <c r="R303" s="57"/>
      <c r="S303" s="57"/>
      <c r="T303" s="30"/>
      <c r="U303" s="30"/>
      <c r="V303" s="30"/>
      <c r="W303" s="30"/>
      <c r="X303" s="30"/>
      <c r="Y303" s="30"/>
      <c r="Z303" s="30"/>
      <c r="AA303" s="30"/>
      <c r="AB303" s="30"/>
      <c r="AC303" s="31"/>
      <c r="AD303" s="33"/>
    </row>
    <row r="304" ht="17" spans="1:30">
      <c r="A304" s="31"/>
      <c r="B304" s="31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58"/>
      <c r="Q304" s="58"/>
      <c r="R304" s="58"/>
      <c r="S304" s="58"/>
      <c r="T304" s="30"/>
      <c r="U304" s="30"/>
      <c r="V304" s="30"/>
      <c r="W304" s="30"/>
      <c r="X304" s="30"/>
      <c r="Y304" s="30"/>
      <c r="Z304" s="30"/>
      <c r="AA304" s="30"/>
      <c r="AB304" s="30"/>
      <c r="AC304" s="31"/>
      <c r="AD304" s="33"/>
    </row>
    <row r="305" ht="16.25" spans="1:30">
      <c r="A305" s="31"/>
      <c r="B305" s="45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52"/>
      <c r="Q305" s="52"/>
      <c r="R305" s="52"/>
      <c r="S305" s="52"/>
      <c r="T305" s="30"/>
      <c r="U305" s="30"/>
      <c r="V305" s="30"/>
      <c r="W305" s="30"/>
      <c r="X305" s="30"/>
      <c r="Y305" s="30"/>
      <c r="Z305" s="30"/>
      <c r="AA305" s="30"/>
      <c r="AB305" s="30"/>
      <c r="AC305" s="31"/>
      <c r="AD305" s="32"/>
    </row>
    <row r="306" ht="16.25" spans="1:30">
      <c r="A306" s="31"/>
      <c r="B306" s="45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52"/>
      <c r="Q306" s="52"/>
      <c r="R306" s="52"/>
      <c r="S306" s="52"/>
      <c r="T306" s="30"/>
      <c r="U306" s="30"/>
      <c r="V306" s="30"/>
      <c r="W306" s="30"/>
      <c r="X306" s="30"/>
      <c r="Y306" s="30"/>
      <c r="Z306" s="30"/>
      <c r="AA306" s="30"/>
      <c r="AB306" s="30"/>
      <c r="AC306" s="31"/>
      <c r="AD306" s="32"/>
    </row>
    <row r="307" ht="16.25" spans="1:30">
      <c r="A307" s="31"/>
      <c r="B307" s="45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52"/>
      <c r="Q307" s="52"/>
      <c r="R307" s="52"/>
      <c r="S307" s="52"/>
      <c r="T307" s="30"/>
      <c r="U307" s="30"/>
      <c r="V307" s="30"/>
      <c r="W307" s="30"/>
      <c r="X307" s="30"/>
      <c r="Y307" s="30"/>
      <c r="Z307" s="30"/>
      <c r="AA307" s="30"/>
      <c r="AB307" s="30"/>
      <c r="AC307" s="31"/>
      <c r="AD307" s="32"/>
    </row>
    <row r="308" ht="16.25" spans="1:30">
      <c r="A308" s="31"/>
      <c r="B308" s="45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52"/>
      <c r="Q308" s="52"/>
      <c r="R308" s="52"/>
      <c r="S308" s="52"/>
      <c r="T308" s="30"/>
      <c r="U308" s="30"/>
      <c r="V308" s="30"/>
      <c r="W308" s="30"/>
      <c r="X308" s="30"/>
      <c r="Y308" s="30"/>
      <c r="Z308" s="30"/>
      <c r="AA308" s="30"/>
      <c r="AB308" s="30"/>
      <c r="AC308" s="31"/>
      <c r="AD308" s="32"/>
    </row>
    <row r="309" ht="16.25" spans="1:30">
      <c r="A309" s="31"/>
      <c r="B309" s="45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52"/>
      <c r="Q309" s="52"/>
      <c r="R309" s="52"/>
      <c r="S309" s="52"/>
      <c r="T309" s="30"/>
      <c r="U309" s="30"/>
      <c r="V309" s="30"/>
      <c r="W309" s="30"/>
      <c r="X309" s="30"/>
      <c r="Y309" s="30"/>
      <c r="Z309" s="30"/>
      <c r="AA309" s="30"/>
      <c r="AB309" s="30"/>
      <c r="AC309" s="31"/>
      <c r="AD309" s="32"/>
    </row>
    <row r="310" ht="16.25" spans="1:30">
      <c r="A310" s="31"/>
      <c r="B310" s="45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52"/>
      <c r="Q310" s="52"/>
      <c r="R310" s="52"/>
      <c r="S310" s="52"/>
      <c r="T310" s="30"/>
      <c r="U310" s="30"/>
      <c r="V310" s="30"/>
      <c r="W310" s="30"/>
      <c r="X310" s="30"/>
      <c r="Y310" s="30"/>
      <c r="Z310" s="30"/>
      <c r="AA310" s="30"/>
      <c r="AB310" s="30"/>
      <c r="AC310" s="31"/>
      <c r="AD310" s="32"/>
    </row>
    <row r="311" ht="16.25" spans="1:30">
      <c r="A311" s="31"/>
      <c r="B311" s="45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52"/>
      <c r="Q311" s="52"/>
      <c r="R311" s="52"/>
      <c r="S311" s="52"/>
      <c r="T311" s="30"/>
      <c r="U311" s="30"/>
      <c r="V311" s="30"/>
      <c r="W311" s="30"/>
      <c r="X311" s="30"/>
      <c r="Y311" s="30"/>
      <c r="Z311" s="30"/>
      <c r="AA311" s="30"/>
      <c r="AB311" s="30"/>
      <c r="AC311" s="31"/>
      <c r="AD311" s="32"/>
    </row>
    <row r="312" ht="16.25" spans="1:30">
      <c r="A312" s="31"/>
      <c r="B312" s="45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52"/>
      <c r="Q312" s="52"/>
      <c r="R312" s="52"/>
      <c r="S312" s="52"/>
      <c r="T312" s="30"/>
      <c r="U312" s="30"/>
      <c r="V312" s="30"/>
      <c r="W312" s="30"/>
      <c r="X312" s="30"/>
      <c r="Y312" s="30"/>
      <c r="Z312" s="30"/>
      <c r="AA312" s="30"/>
      <c r="AB312" s="30"/>
      <c r="AC312" s="31"/>
      <c r="AD312" s="32"/>
    </row>
    <row r="313" ht="16.25" spans="1:30">
      <c r="A313" s="31"/>
      <c r="B313" s="45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52"/>
      <c r="Q313" s="52"/>
      <c r="R313" s="52"/>
      <c r="S313" s="52"/>
      <c r="T313" s="30"/>
      <c r="U313" s="30"/>
      <c r="V313" s="30"/>
      <c r="W313" s="30"/>
      <c r="X313" s="30"/>
      <c r="Y313" s="30"/>
      <c r="Z313" s="30"/>
      <c r="AA313" s="30"/>
      <c r="AB313" s="30"/>
      <c r="AC313" s="31"/>
      <c r="AD313" s="32"/>
    </row>
    <row r="314" ht="16.25" spans="1:30">
      <c r="A314" s="31"/>
      <c r="B314" s="45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52"/>
      <c r="Q314" s="52"/>
      <c r="R314" s="52"/>
      <c r="S314" s="52"/>
      <c r="T314" s="30"/>
      <c r="U314" s="30"/>
      <c r="V314" s="30"/>
      <c r="W314" s="30"/>
      <c r="X314" s="30"/>
      <c r="Y314" s="30"/>
      <c r="Z314" s="30"/>
      <c r="AA314" s="30"/>
      <c r="AB314" s="30"/>
      <c r="AC314" s="31"/>
      <c r="AD314" s="32"/>
    </row>
    <row r="315" ht="16.25" spans="1:30">
      <c r="A315" s="31"/>
      <c r="B315" s="45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52"/>
      <c r="Q315" s="52"/>
      <c r="R315" s="52"/>
      <c r="S315" s="52"/>
      <c r="T315" s="30"/>
      <c r="U315" s="30"/>
      <c r="V315" s="30"/>
      <c r="W315" s="30"/>
      <c r="X315" s="30"/>
      <c r="Y315" s="30"/>
      <c r="Z315" s="30"/>
      <c r="AA315" s="30"/>
      <c r="AB315" s="30"/>
      <c r="AC315" s="31"/>
      <c r="AD315" s="32"/>
    </row>
    <row r="316" ht="16.25" spans="1:30">
      <c r="A316" s="31"/>
      <c r="B316" s="45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52"/>
      <c r="Q316" s="52"/>
      <c r="R316" s="52"/>
      <c r="S316" s="52"/>
      <c r="T316" s="30"/>
      <c r="U316" s="30"/>
      <c r="V316" s="30"/>
      <c r="W316" s="30"/>
      <c r="X316" s="30"/>
      <c r="Y316" s="30"/>
      <c r="Z316" s="30"/>
      <c r="AA316" s="30"/>
      <c r="AB316" s="30"/>
      <c r="AC316" s="31"/>
      <c r="AD316" s="32"/>
    </row>
    <row r="317" ht="16.25" spans="1:30">
      <c r="A317" s="31"/>
      <c r="B317" s="45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52"/>
      <c r="Q317" s="52"/>
      <c r="R317" s="52"/>
      <c r="S317" s="52"/>
      <c r="T317" s="30"/>
      <c r="U317" s="30"/>
      <c r="V317" s="30"/>
      <c r="W317" s="30"/>
      <c r="X317" s="30"/>
      <c r="Y317" s="30"/>
      <c r="Z317" s="30"/>
      <c r="AA317" s="30"/>
      <c r="AB317" s="30"/>
      <c r="AC317" s="31"/>
      <c r="AD317" s="32"/>
    </row>
    <row r="318" ht="16.25" spans="1:30">
      <c r="A318" s="31"/>
      <c r="B318" s="45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52"/>
      <c r="Q318" s="52"/>
      <c r="R318" s="52"/>
      <c r="S318" s="52"/>
      <c r="T318" s="30"/>
      <c r="U318" s="30"/>
      <c r="V318" s="30"/>
      <c r="W318" s="30"/>
      <c r="X318" s="30"/>
      <c r="Y318" s="30"/>
      <c r="Z318" s="30"/>
      <c r="AA318" s="30"/>
      <c r="AB318" s="30"/>
      <c r="AC318" s="31"/>
      <c r="AD318" s="32"/>
    </row>
    <row r="319" ht="16.25" spans="1:30">
      <c r="A319" s="31"/>
      <c r="B319" s="45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52"/>
      <c r="Q319" s="52"/>
      <c r="R319" s="52"/>
      <c r="S319" s="52"/>
      <c r="T319" s="30"/>
      <c r="U319" s="30"/>
      <c r="V319" s="30"/>
      <c r="W319" s="30"/>
      <c r="X319" s="30"/>
      <c r="Y319" s="30"/>
      <c r="Z319" s="30"/>
      <c r="AA319" s="30"/>
      <c r="AB319" s="30"/>
      <c r="AC319" s="31"/>
      <c r="AD319" s="32"/>
    </row>
    <row r="320" ht="16.25" spans="1:30">
      <c r="A320" s="31"/>
      <c r="B320" s="45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52"/>
      <c r="Q320" s="52"/>
      <c r="R320" s="52"/>
      <c r="S320" s="52"/>
      <c r="T320" s="30"/>
      <c r="U320" s="30"/>
      <c r="V320" s="30"/>
      <c r="W320" s="30"/>
      <c r="X320" s="30"/>
      <c r="Y320" s="30"/>
      <c r="Z320" s="30"/>
      <c r="AA320" s="30"/>
      <c r="AB320" s="30"/>
      <c r="AC320" s="31"/>
      <c r="AD320" s="32"/>
    </row>
    <row r="321" ht="16.25" spans="1:30">
      <c r="A321" s="31"/>
      <c r="B321" s="45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52"/>
      <c r="Q321" s="52"/>
      <c r="R321" s="52"/>
      <c r="S321" s="52"/>
      <c r="T321" s="30"/>
      <c r="U321" s="30"/>
      <c r="V321" s="30"/>
      <c r="W321" s="30"/>
      <c r="X321" s="30"/>
      <c r="Y321" s="30"/>
      <c r="Z321" s="30"/>
      <c r="AA321" s="30"/>
      <c r="AB321" s="30"/>
      <c r="AC321" s="31"/>
      <c r="AD321" s="32"/>
    </row>
    <row r="322" ht="17" spans="1:30">
      <c r="A322" s="31"/>
      <c r="B322" s="45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52"/>
      <c r="Q322" s="52"/>
      <c r="R322" s="52"/>
      <c r="S322" s="52"/>
      <c r="T322" s="30"/>
      <c r="U322" s="30"/>
      <c r="V322" s="30"/>
      <c r="W322" s="30"/>
      <c r="X322" s="30"/>
      <c r="Y322" s="30"/>
      <c r="Z322" s="30"/>
      <c r="AA322" s="30"/>
      <c r="AB322" s="30"/>
      <c r="AC322" s="31"/>
      <c r="AD322" s="32"/>
    </row>
    <row r="323" s="7" customFormat="1" ht="16.25" spans="1:30">
      <c r="A323" s="46"/>
      <c r="B323" s="46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53"/>
      <c r="Q323" s="53"/>
      <c r="R323" s="53"/>
      <c r="S323" s="53"/>
      <c r="T323" s="30"/>
      <c r="U323" s="30"/>
      <c r="V323" s="30"/>
      <c r="W323" s="30"/>
      <c r="X323" s="30"/>
      <c r="Y323" s="30"/>
      <c r="Z323" s="30"/>
      <c r="AA323" s="30"/>
      <c r="AB323" s="30"/>
      <c r="AC323" s="46"/>
      <c r="AD323" s="60"/>
    </row>
    <row r="324" s="7" customFormat="1" ht="16.25" spans="1:30">
      <c r="A324" s="46"/>
      <c r="B324" s="46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54"/>
      <c r="Q324" s="54"/>
      <c r="R324" s="54"/>
      <c r="S324" s="54"/>
      <c r="T324" s="30"/>
      <c r="U324" s="30"/>
      <c r="V324" s="30"/>
      <c r="W324" s="30"/>
      <c r="X324" s="30"/>
      <c r="Y324" s="30"/>
      <c r="Z324" s="30"/>
      <c r="AA324" s="30"/>
      <c r="AB324" s="30"/>
      <c r="AC324" s="46"/>
      <c r="AD324" s="60"/>
    </row>
    <row r="325" s="7" customFormat="1" ht="17" spans="1:30">
      <c r="A325" s="46"/>
      <c r="B325" s="46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55"/>
      <c r="Q325" s="55"/>
      <c r="R325" s="55"/>
      <c r="S325" s="55"/>
      <c r="T325" s="30"/>
      <c r="U325" s="30"/>
      <c r="V325" s="30"/>
      <c r="W325" s="30"/>
      <c r="X325" s="30"/>
      <c r="Y325" s="30"/>
      <c r="Z325" s="30"/>
      <c r="AA325" s="30"/>
      <c r="AB325" s="30"/>
      <c r="AC325" s="46"/>
      <c r="AD325" s="60"/>
    </row>
    <row r="326" ht="16.25" spans="1:30">
      <c r="A326" s="31"/>
      <c r="B326" s="45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56"/>
      <c r="Q326" s="56"/>
      <c r="R326" s="56"/>
      <c r="S326" s="56"/>
      <c r="T326" s="30"/>
      <c r="U326" s="30"/>
      <c r="V326" s="30"/>
      <c r="W326" s="30"/>
      <c r="X326" s="30"/>
      <c r="Y326" s="30"/>
      <c r="Z326" s="30"/>
      <c r="AA326" s="30"/>
      <c r="AB326" s="30"/>
      <c r="AC326" s="31"/>
      <c r="AD326" s="32"/>
    </row>
    <row r="327" ht="16.25" spans="1:30">
      <c r="A327" s="31"/>
      <c r="B327" s="45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57"/>
      <c r="Q327" s="57"/>
      <c r="R327" s="57"/>
      <c r="S327" s="57"/>
      <c r="T327" s="30"/>
      <c r="U327" s="30"/>
      <c r="V327" s="30"/>
      <c r="W327" s="30"/>
      <c r="X327" s="30"/>
      <c r="Y327" s="30"/>
      <c r="Z327" s="30"/>
      <c r="AA327" s="30"/>
      <c r="AB327" s="30"/>
      <c r="AC327" s="31"/>
      <c r="AD327" s="32"/>
    </row>
    <row r="328" ht="16.25" spans="1:30">
      <c r="A328" s="31"/>
      <c r="B328" s="45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57"/>
      <c r="Q328" s="57"/>
      <c r="R328" s="57"/>
      <c r="S328" s="57"/>
      <c r="T328" s="30"/>
      <c r="U328" s="30"/>
      <c r="V328" s="30"/>
      <c r="W328" s="30"/>
      <c r="X328" s="30"/>
      <c r="Y328" s="30"/>
      <c r="Z328" s="30"/>
      <c r="AA328" s="30"/>
      <c r="AB328" s="30"/>
      <c r="AC328" s="31"/>
      <c r="AD328" s="32"/>
    </row>
    <row r="329" ht="17" spans="1:30">
      <c r="A329" s="31"/>
      <c r="B329" s="45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58"/>
      <c r="Q329" s="58"/>
      <c r="R329" s="58"/>
      <c r="S329" s="58"/>
      <c r="T329" s="30"/>
      <c r="U329" s="30"/>
      <c r="V329" s="30"/>
      <c r="W329" s="30"/>
      <c r="X329" s="30"/>
      <c r="Y329" s="30"/>
      <c r="Z329" s="30"/>
      <c r="AA329" s="30"/>
      <c r="AB329" s="30"/>
      <c r="AC329" s="31"/>
      <c r="AD329" s="32"/>
    </row>
    <row r="330" ht="16.25" spans="1:30">
      <c r="A330" s="31"/>
      <c r="B330" s="3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30"/>
      <c r="U330" s="30"/>
      <c r="V330" s="30"/>
      <c r="W330" s="30"/>
      <c r="X330" s="30"/>
      <c r="Y330" s="30"/>
      <c r="Z330" s="30"/>
      <c r="AA330" s="30"/>
      <c r="AB330" s="30"/>
      <c r="AC330" s="31"/>
      <c r="AD330" s="37"/>
    </row>
    <row r="331" ht="16.25" spans="1:30">
      <c r="A331" s="31"/>
      <c r="B331" s="3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61"/>
      <c r="Q331" s="61"/>
      <c r="R331" s="61"/>
      <c r="S331" s="61"/>
      <c r="T331" s="30"/>
      <c r="U331" s="30"/>
      <c r="V331" s="30"/>
      <c r="W331" s="30"/>
      <c r="X331" s="30"/>
      <c r="Y331" s="30"/>
      <c r="Z331" s="30"/>
      <c r="AA331" s="30"/>
      <c r="AB331" s="30"/>
      <c r="AC331" s="31"/>
      <c r="AD331" s="37"/>
    </row>
    <row r="332" ht="16.25" spans="1:30">
      <c r="A332" s="31"/>
      <c r="B332" s="3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30"/>
      <c r="U332" s="30"/>
      <c r="V332" s="30"/>
      <c r="W332" s="30"/>
      <c r="X332" s="30"/>
      <c r="Y332" s="30"/>
      <c r="Z332" s="30"/>
      <c r="AA332" s="30"/>
      <c r="AB332" s="30"/>
      <c r="AC332" s="31"/>
      <c r="AD332" s="37"/>
    </row>
    <row r="333" ht="16.25" spans="1:30">
      <c r="A333" s="31"/>
      <c r="B333" s="3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49"/>
      <c r="Q333" s="49"/>
      <c r="R333" s="49"/>
      <c r="S333" s="49"/>
      <c r="T333" s="30"/>
      <c r="U333" s="30"/>
      <c r="V333" s="30"/>
      <c r="W333" s="30"/>
      <c r="X333" s="30"/>
      <c r="Y333" s="30"/>
      <c r="Z333" s="30"/>
      <c r="AA333" s="30"/>
      <c r="AB333" s="30"/>
      <c r="AC333" s="31"/>
      <c r="AD333" s="37"/>
    </row>
    <row r="334" ht="16.25" spans="1:30">
      <c r="A334" s="31"/>
      <c r="B334" s="3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49"/>
      <c r="Q334" s="49"/>
      <c r="R334" s="49"/>
      <c r="S334" s="49"/>
      <c r="T334" s="30"/>
      <c r="U334" s="30"/>
      <c r="V334" s="30"/>
      <c r="W334" s="30"/>
      <c r="X334" s="30"/>
      <c r="Y334" s="30"/>
      <c r="Z334" s="30"/>
      <c r="AA334" s="30"/>
      <c r="AB334" s="30"/>
      <c r="AC334" s="31"/>
      <c r="AD334" s="37"/>
    </row>
    <row r="335" ht="16.25" spans="1:30">
      <c r="A335" s="31"/>
      <c r="B335" s="3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49"/>
      <c r="Q335" s="49"/>
      <c r="R335" s="49"/>
      <c r="S335" s="49"/>
      <c r="T335" s="30"/>
      <c r="U335" s="30"/>
      <c r="V335" s="30"/>
      <c r="W335" s="30"/>
      <c r="X335" s="30"/>
      <c r="Y335" s="30"/>
      <c r="Z335" s="30"/>
      <c r="AA335" s="30"/>
      <c r="AB335" s="30"/>
      <c r="AC335" s="31"/>
      <c r="AD335" s="37"/>
    </row>
    <row r="336" ht="16.25" spans="1:30">
      <c r="A336" s="31"/>
      <c r="B336" s="3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49"/>
      <c r="Q336" s="49"/>
      <c r="R336" s="49"/>
      <c r="S336" s="49"/>
      <c r="T336" s="30"/>
      <c r="U336" s="30"/>
      <c r="V336" s="30"/>
      <c r="W336" s="30"/>
      <c r="X336" s="30"/>
      <c r="Y336" s="30"/>
      <c r="Z336" s="30"/>
      <c r="AA336" s="30"/>
      <c r="AB336" s="30"/>
      <c r="AC336" s="31"/>
      <c r="AD336" s="37"/>
    </row>
    <row r="337" ht="16.25" spans="1:30">
      <c r="A337" s="31"/>
      <c r="B337" s="3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30"/>
      <c r="U337" s="30"/>
      <c r="V337" s="30"/>
      <c r="W337" s="30"/>
      <c r="X337" s="30"/>
      <c r="Y337" s="30"/>
      <c r="Z337" s="30"/>
      <c r="AA337" s="30"/>
      <c r="AB337" s="30"/>
      <c r="AC337" s="31"/>
      <c r="AD337" s="37"/>
    </row>
    <row r="338" ht="16.25" spans="1:30">
      <c r="A338" s="31"/>
      <c r="B338" s="3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30"/>
      <c r="U338" s="30"/>
      <c r="V338" s="30"/>
      <c r="W338" s="30"/>
      <c r="X338" s="30"/>
      <c r="Y338" s="30"/>
      <c r="Z338" s="30"/>
      <c r="AA338" s="30"/>
      <c r="AB338" s="30"/>
      <c r="AC338" s="31"/>
      <c r="AD338" s="37"/>
    </row>
    <row r="339" ht="16.25" spans="1:30">
      <c r="A339" s="31"/>
      <c r="B339" s="3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51"/>
      <c r="Q339" s="51"/>
      <c r="R339" s="51"/>
      <c r="S339" s="51"/>
      <c r="T339" s="30"/>
      <c r="U339" s="30"/>
      <c r="V339" s="30"/>
      <c r="W339" s="30"/>
      <c r="X339" s="30"/>
      <c r="Y339" s="30"/>
      <c r="Z339" s="30"/>
      <c r="AA339" s="30"/>
      <c r="AB339" s="30"/>
      <c r="AC339" s="31"/>
      <c r="AD339" s="37"/>
    </row>
    <row r="340" ht="16.25" spans="1:30">
      <c r="A340" s="31"/>
      <c r="B340" s="3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51"/>
      <c r="Q340" s="51"/>
      <c r="R340" s="51"/>
      <c r="S340" s="51"/>
      <c r="T340" s="30"/>
      <c r="U340" s="30"/>
      <c r="V340" s="30"/>
      <c r="W340" s="30"/>
      <c r="X340" s="30"/>
      <c r="Y340" s="30"/>
      <c r="Z340" s="30"/>
      <c r="AA340" s="30"/>
      <c r="AB340" s="30"/>
      <c r="AC340" s="31"/>
      <c r="AD340" s="37"/>
    </row>
    <row r="341" ht="16.25" spans="1:30">
      <c r="A341" s="31"/>
      <c r="B341" s="3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51"/>
      <c r="Q341" s="51"/>
      <c r="R341" s="51"/>
      <c r="S341" s="51"/>
      <c r="T341" s="30"/>
      <c r="U341" s="30"/>
      <c r="V341" s="30"/>
      <c r="W341" s="30"/>
      <c r="X341" s="30"/>
      <c r="Y341" s="30"/>
      <c r="Z341" s="30"/>
      <c r="AA341" s="30"/>
      <c r="AB341" s="30"/>
      <c r="AC341" s="31"/>
      <c r="AD341" s="37"/>
    </row>
    <row r="342" ht="16.25" spans="1:30">
      <c r="A342" s="31"/>
      <c r="B342" s="3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51"/>
      <c r="Q342" s="51"/>
      <c r="R342" s="51"/>
      <c r="S342" s="51"/>
      <c r="T342" s="30"/>
      <c r="U342" s="30"/>
      <c r="V342" s="30"/>
      <c r="W342" s="30"/>
      <c r="X342" s="30"/>
      <c r="Y342" s="30"/>
      <c r="Z342" s="30"/>
      <c r="AA342" s="30"/>
      <c r="AB342" s="30"/>
      <c r="AC342" s="31"/>
      <c r="AD342" s="37"/>
    </row>
    <row r="343" ht="16.25" spans="1:30">
      <c r="A343" s="31"/>
      <c r="B343" s="3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51"/>
      <c r="Q343" s="51"/>
      <c r="R343" s="51"/>
      <c r="S343" s="51"/>
      <c r="T343" s="30"/>
      <c r="U343" s="30"/>
      <c r="V343" s="30"/>
      <c r="W343" s="30"/>
      <c r="X343" s="30"/>
      <c r="Y343" s="30"/>
      <c r="Z343" s="30"/>
      <c r="AA343" s="30"/>
      <c r="AB343" s="30"/>
      <c r="AC343" s="31"/>
      <c r="AD343" s="37"/>
    </row>
    <row r="344" ht="16.25" spans="1:30">
      <c r="A344" s="31"/>
      <c r="B344" s="3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51"/>
      <c r="Q344" s="51"/>
      <c r="R344" s="51"/>
      <c r="S344" s="51"/>
      <c r="T344" s="30"/>
      <c r="U344" s="30"/>
      <c r="V344" s="30"/>
      <c r="W344" s="30"/>
      <c r="X344" s="30"/>
      <c r="Y344" s="30"/>
      <c r="Z344" s="30"/>
      <c r="AA344" s="30"/>
      <c r="AB344" s="30"/>
      <c r="AC344" s="31"/>
      <c r="AD344" s="37"/>
    </row>
    <row r="345" ht="16.25" spans="1:30">
      <c r="A345" s="31"/>
      <c r="B345" s="3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51"/>
      <c r="Q345" s="51"/>
      <c r="R345" s="51"/>
      <c r="S345" s="51"/>
      <c r="T345" s="30"/>
      <c r="U345" s="30"/>
      <c r="V345" s="30"/>
      <c r="W345" s="30"/>
      <c r="X345" s="30"/>
      <c r="Y345" s="30"/>
      <c r="Z345" s="30"/>
      <c r="AA345" s="30"/>
      <c r="AB345" s="30"/>
      <c r="AC345" s="31"/>
      <c r="AD345" s="37"/>
    </row>
    <row r="346" ht="16.25" spans="1:30">
      <c r="A346" s="31"/>
      <c r="B346" s="3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51"/>
      <c r="Q346" s="51"/>
      <c r="R346" s="51"/>
      <c r="S346" s="51"/>
      <c r="T346" s="30"/>
      <c r="U346" s="30"/>
      <c r="V346" s="30"/>
      <c r="W346" s="30"/>
      <c r="X346" s="30"/>
      <c r="Y346" s="30"/>
      <c r="Z346" s="30"/>
      <c r="AA346" s="30"/>
      <c r="AB346" s="30"/>
      <c r="AC346" s="31"/>
      <c r="AD346" s="37"/>
    </row>
    <row r="347" ht="16.25" spans="1:30">
      <c r="A347" s="31"/>
      <c r="B347" s="3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51"/>
      <c r="Q347" s="51"/>
      <c r="R347" s="51"/>
      <c r="S347" s="51"/>
      <c r="T347" s="30"/>
      <c r="U347" s="30"/>
      <c r="V347" s="30"/>
      <c r="W347" s="30"/>
      <c r="X347" s="30"/>
      <c r="Y347" s="30"/>
      <c r="Z347" s="30"/>
      <c r="AA347" s="30"/>
      <c r="AB347" s="30"/>
      <c r="AC347" s="31"/>
      <c r="AD347" s="37"/>
    </row>
    <row r="348" ht="16.25" spans="1:30">
      <c r="A348" s="31"/>
      <c r="B348" s="31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52"/>
      <c r="Q348" s="52"/>
      <c r="R348" s="52"/>
      <c r="S348" s="52"/>
      <c r="T348" s="30"/>
      <c r="U348" s="30"/>
      <c r="V348" s="30"/>
      <c r="W348" s="30"/>
      <c r="X348" s="30"/>
      <c r="Y348" s="30"/>
      <c r="Z348" s="30"/>
      <c r="AA348" s="30"/>
      <c r="AB348" s="30"/>
      <c r="AC348" s="31"/>
      <c r="AD348" s="38"/>
    </row>
    <row r="349" ht="16.25" spans="1:30">
      <c r="A349" s="31"/>
      <c r="B349" s="31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52"/>
      <c r="Q349" s="52"/>
      <c r="R349" s="52"/>
      <c r="S349" s="52"/>
      <c r="T349" s="30"/>
      <c r="U349" s="30"/>
      <c r="V349" s="30"/>
      <c r="W349" s="30"/>
      <c r="X349" s="30"/>
      <c r="Y349" s="30"/>
      <c r="Z349" s="30"/>
      <c r="AA349" s="30"/>
      <c r="AB349" s="30"/>
      <c r="AC349" s="31"/>
      <c r="AD349" s="38"/>
    </row>
    <row r="350" ht="16.25" spans="1:30">
      <c r="A350" s="31"/>
      <c r="B350" s="31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52"/>
      <c r="Q350" s="52"/>
      <c r="R350" s="52"/>
      <c r="S350" s="52"/>
      <c r="T350" s="30"/>
      <c r="U350" s="30"/>
      <c r="V350" s="30"/>
      <c r="W350" s="30"/>
      <c r="X350" s="30"/>
      <c r="Y350" s="30"/>
      <c r="Z350" s="30"/>
      <c r="AA350" s="30"/>
      <c r="AB350" s="30"/>
      <c r="AC350" s="31"/>
      <c r="AD350" s="38"/>
    </row>
    <row r="351" ht="16.25" spans="1:30">
      <c r="A351" s="31"/>
      <c r="B351" s="31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52"/>
      <c r="Q351" s="52"/>
      <c r="R351" s="52"/>
      <c r="S351" s="52"/>
      <c r="T351" s="30"/>
      <c r="U351" s="30"/>
      <c r="V351" s="30"/>
      <c r="W351" s="30"/>
      <c r="X351" s="30"/>
      <c r="Y351" s="30"/>
      <c r="Z351" s="30"/>
      <c r="AA351" s="30"/>
      <c r="AB351" s="30"/>
      <c r="AC351" s="31"/>
      <c r="AD351" s="38"/>
    </row>
    <row r="352" ht="16.25" spans="1:30">
      <c r="A352" s="31"/>
      <c r="B352" s="31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52"/>
      <c r="Q352" s="52"/>
      <c r="R352" s="52"/>
      <c r="S352" s="52"/>
      <c r="T352" s="30"/>
      <c r="U352" s="30"/>
      <c r="V352" s="30"/>
      <c r="W352" s="30"/>
      <c r="X352" s="30"/>
      <c r="Y352" s="30"/>
      <c r="Z352" s="30"/>
      <c r="AA352" s="30"/>
      <c r="AB352" s="30"/>
      <c r="AC352" s="31"/>
      <c r="AD352" s="38"/>
    </row>
    <row r="353" ht="16.25" spans="1:30">
      <c r="A353" s="31"/>
      <c r="B353" s="31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52"/>
      <c r="Q353" s="52"/>
      <c r="R353" s="52"/>
      <c r="S353" s="52"/>
      <c r="T353" s="30"/>
      <c r="U353" s="30"/>
      <c r="V353" s="30"/>
      <c r="W353" s="30"/>
      <c r="X353" s="30"/>
      <c r="Y353" s="30"/>
      <c r="Z353" s="30"/>
      <c r="AA353" s="30"/>
      <c r="AB353" s="30"/>
      <c r="AC353" s="31"/>
      <c r="AD353" s="38"/>
    </row>
    <row r="354" ht="16.25" spans="1:30">
      <c r="A354" s="31"/>
      <c r="B354" s="31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52"/>
      <c r="Q354" s="52"/>
      <c r="R354" s="52"/>
      <c r="S354" s="52"/>
      <c r="T354" s="30"/>
      <c r="U354" s="30"/>
      <c r="V354" s="30"/>
      <c r="W354" s="30"/>
      <c r="X354" s="30"/>
      <c r="Y354" s="30"/>
      <c r="Z354" s="30"/>
      <c r="AA354" s="30"/>
      <c r="AB354" s="30"/>
      <c r="AC354" s="31"/>
      <c r="AD354" s="38"/>
    </row>
    <row r="355" ht="16.25" spans="1:30">
      <c r="A355" s="31"/>
      <c r="B355" s="31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52"/>
      <c r="Q355" s="52"/>
      <c r="R355" s="52"/>
      <c r="S355" s="52"/>
      <c r="T355" s="30"/>
      <c r="U355" s="30"/>
      <c r="V355" s="30"/>
      <c r="W355" s="30"/>
      <c r="X355" s="30"/>
      <c r="Y355" s="30"/>
      <c r="Z355" s="30"/>
      <c r="AA355" s="30"/>
      <c r="AB355" s="30"/>
      <c r="AC355" s="31"/>
      <c r="AD355" s="38"/>
    </row>
    <row r="356" ht="16.25" spans="1:30">
      <c r="A356" s="31"/>
      <c r="B356" s="31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52"/>
      <c r="Q356" s="52"/>
      <c r="R356" s="52"/>
      <c r="S356" s="52"/>
      <c r="T356" s="30"/>
      <c r="U356" s="30"/>
      <c r="V356" s="30"/>
      <c r="W356" s="30"/>
      <c r="X356" s="30"/>
      <c r="Y356" s="30"/>
      <c r="Z356" s="30"/>
      <c r="AA356" s="30"/>
      <c r="AB356" s="30"/>
      <c r="AC356" s="31"/>
      <c r="AD356" s="38"/>
    </row>
    <row r="357" ht="16.25" spans="1:30">
      <c r="A357" s="31"/>
      <c r="B357" s="31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52"/>
      <c r="Q357" s="52"/>
      <c r="R357" s="52"/>
      <c r="S357" s="52"/>
      <c r="T357" s="30"/>
      <c r="U357" s="30"/>
      <c r="V357" s="30"/>
      <c r="W357" s="30"/>
      <c r="X357" s="30"/>
      <c r="Y357" s="30"/>
      <c r="Z357" s="30"/>
      <c r="AA357" s="30"/>
      <c r="AB357" s="30"/>
      <c r="AC357" s="31"/>
      <c r="AD357" s="38"/>
    </row>
    <row r="358" ht="16.25" spans="1:30">
      <c r="A358" s="31"/>
      <c r="B358" s="31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52"/>
      <c r="Q358" s="52"/>
      <c r="R358" s="52"/>
      <c r="S358" s="52"/>
      <c r="T358" s="30"/>
      <c r="U358" s="30"/>
      <c r="V358" s="30"/>
      <c r="W358" s="30"/>
      <c r="X358" s="30"/>
      <c r="Y358" s="30"/>
      <c r="Z358" s="30"/>
      <c r="AA358" s="30"/>
      <c r="AB358" s="30"/>
      <c r="AC358" s="31"/>
      <c r="AD358" s="38"/>
    </row>
    <row r="359" ht="16.25" spans="1:30">
      <c r="A359" s="31"/>
      <c r="B359" s="31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52"/>
      <c r="Q359" s="52"/>
      <c r="R359" s="52"/>
      <c r="S359" s="52"/>
      <c r="T359" s="30"/>
      <c r="U359" s="30"/>
      <c r="V359" s="30"/>
      <c r="W359" s="30"/>
      <c r="X359" s="30"/>
      <c r="Y359" s="30"/>
      <c r="Z359" s="30"/>
      <c r="AA359" s="30"/>
      <c r="AB359" s="30"/>
      <c r="AC359" s="31"/>
      <c r="AD359" s="38"/>
    </row>
    <row r="360" ht="16.25" spans="1:30">
      <c r="A360" s="31"/>
      <c r="B360" s="31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52"/>
      <c r="Q360" s="52"/>
      <c r="R360" s="52"/>
      <c r="S360" s="52"/>
      <c r="T360" s="30"/>
      <c r="U360" s="30"/>
      <c r="V360" s="30"/>
      <c r="W360" s="30"/>
      <c r="X360" s="30"/>
      <c r="Y360" s="30"/>
      <c r="Z360" s="30"/>
      <c r="AA360" s="30"/>
      <c r="AB360" s="30"/>
      <c r="AC360" s="31"/>
      <c r="AD360" s="38"/>
    </row>
    <row r="361" ht="16.25" spans="1:30">
      <c r="A361" s="31"/>
      <c r="B361" s="31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52"/>
      <c r="Q361" s="52"/>
      <c r="R361" s="52"/>
      <c r="S361" s="52"/>
      <c r="T361" s="30"/>
      <c r="U361" s="30"/>
      <c r="V361" s="30"/>
      <c r="W361" s="30"/>
      <c r="X361" s="30"/>
      <c r="Y361" s="30"/>
      <c r="Z361" s="30"/>
      <c r="AA361" s="30"/>
      <c r="AB361" s="30"/>
      <c r="AC361" s="31"/>
      <c r="AD361" s="38"/>
    </row>
    <row r="362" ht="17" spans="1:30">
      <c r="A362" s="31"/>
      <c r="B362" s="31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52"/>
      <c r="Q362" s="52"/>
      <c r="R362" s="52"/>
      <c r="S362" s="52"/>
      <c r="T362" s="30"/>
      <c r="U362" s="30"/>
      <c r="V362" s="30"/>
      <c r="W362" s="30"/>
      <c r="X362" s="30"/>
      <c r="Y362" s="30"/>
      <c r="Z362" s="30"/>
      <c r="AA362" s="30"/>
      <c r="AB362" s="30"/>
      <c r="AC362" s="31"/>
      <c r="AD362" s="38"/>
    </row>
    <row r="363" ht="16.25" spans="1:30">
      <c r="A363" s="31"/>
      <c r="B363" s="31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56"/>
      <c r="Q363" s="56"/>
      <c r="R363" s="56"/>
      <c r="S363" s="56"/>
      <c r="T363" s="30"/>
      <c r="U363" s="30"/>
      <c r="V363" s="30"/>
      <c r="W363" s="30"/>
      <c r="X363" s="30"/>
      <c r="Y363" s="30"/>
      <c r="Z363" s="30"/>
      <c r="AA363" s="30"/>
      <c r="AB363" s="30"/>
      <c r="AC363" s="31"/>
      <c r="AD363" s="38"/>
    </row>
    <row r="364" ht="16.25" spans="1:30">
      <c r="A364" s="31"/>
      <c r="B364" s="31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57"/>
      <c r="Q364" s="57"/>
      <c r="R364" s="57"/>
      <c r="S364" s="57"/>
      <c r="T364" s="30"/>
      <c r="U364" s="30"/>
      <c r="V364" s="30"/>
      <c r="W364" s="30"/>
      <c r="X364" s="30"/>
      <c r="Y364" s="30"/>
      <c r="Z364" s="30"/>
      <c r="AA364" s="30"/>
      <c r="AB364" s="30"/>
      <c r="AC364" s="31"/>
      <c r="AD364" s="38"/>
    </row>
    <row r="365" ht="16.25" spans="1:30">
      <c r="A365" s="31"/>
      <c r="B365" s="31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57"/>
      <c r="Q365" s="57"/>
      <c r="R365" s="57"/>
      <c r="S365" s="57"/>
      <c r="T365" s="30"/>
      <c r="U365" s="30"/>
      <c r="V365" s="30"/>
      <c r="W365" s="30"/>
      <c r="X365" s="30"/>
      <c r="Y365" s="30"/>
      <c r="Z365" s="30"/>
      <c r="AA365" s="30"/>
      <c r="AB365" s="30"/>
      <c r="AC365" s="31"/>
      <c r="AD365" s="38"/>
    </row>
    <row r="366" ht="17" spans="1:30">
      <c r="A366" s="31"/>
      <c r="B366" s="31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58"/>
      <c r="Q366" s="58"/>
      <c r="R366" s="58"/>
      <c r="S366" s="58"/>
      <c r="T366" s="30"/>
      <c r="U366" s="30"/>
      <c r="V366" s="30"/>
      <c r="W366" s="30"/>
      <c r="X366" s="30"/>
      <c r="Y366" s="30"/>
      <c r="Z366" s="30"/>
      <c r="AA366" s="30"/>
      <c r="AB366" s="30"/>
      <c r="AC366" s="31"/>
      <c r="AD366" s="38"/>
    </row>
    <row r="367" ht="16.25" spans="1:30">
      <c r="A367" s="31"/>
      <c r="B367" s="31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56"/>
      <c r="Q367" s="56"/>
      <c r="R367" s="56"/>
      <c r="S367" s="56"/>
      <c r="T367" s="30"/>
      <c r="U367" s="30"/>
      <c r="V367" s="30"/>
      <c r="W367" s="30"/>
      <c r="X367" s="30"/>
      <c r="Y367" s="30"/>
      <c r="Z367" s="30"/>
      <c r="AA367" s="30"/>
      <c r="AB367" s="30"/>
      <c r="AC367" s="31"/>
      <c r="AD367" s="38"/>
    </row>
    <row r="368" ht="16.25" spans="1:30">
      <c r="A368" s="31"/>
      <c r="B368" s="31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57"/>
      <c r="Q368" s="57"/>
      <c r="R368" s="57"/>
      <c r="S368" s="57"/>
      <c r="T368" s="30"/>
      <c r="U368" s="30"/>
      <c r="V368" s="30"/>
      <c r="W368" s="30"/>
      <c r="X368" s="30"/>
      <c r="Y368" s="30"/>
      <c r="Z368" s="30"/>
      <c r="AA368" s="30"/>
      <c r="AB368" s="30"/>
      <c r="AC368" s="31"/>
      <c r="AD368" s="38"/>
    </row>
    <row r="369" ht="17" spans="1:30">
      <c r="A369" s="31"/>
      <c r="B369" s="31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58"/>
      <c r="Q369" s="58"/>
      <c r="R369" s="58"/>
      <c r="S369" s="58"/>
      <c r="T369" s="30"/>
      <c r="U369" s="30"/>
      <c r="V369" s="30"/>
      <c r="W369" s="30"/>
      <c r="X369" s="30"/>
      <c r="Y369" s="30"/>
      <c r="Z369" s="30"/>
      <c r="AA369" s="30"/>
      <c r="AB369" s="30"/>
      <c r="AC369" s="31"/>
      <c r="AD369" s="38"/>
    </row>
    <row r="370" ht="16.25" spans="1:30">
      <c r="A370" s="31"/>
      <c r="B370" s="31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52"/>
      <c r="Q370" s="52"/>
      <c r="R370" s="52"/>
      <c r="S370" s="52"/>
      <c r="T370" s="30"/>
      <c r="U370" s="30"/>
      <c r="V370" s="30"/>
      <c r="W370" s="30"/>
      <c r="X370" s="30"/>
      <c r="Y370" s="30"/>
      <c r="Z370" s="30"/>
      <c r="AA370" s="30"/>
      <c r="AB370" s="30"/>
      <c r="AC370" s="31"/>
      <c r="AD370" s="37"/>
    </row>
    <row r="371" ht="16.25" spans="1:30">
      <c r="A371" s="31"/>
      <c r="B371" s="31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52"/>
      <c r="Q371" s="52"/>
      <c r="R371" s="52"/>
      <c r="S371" s="52"/>
      <c r="T371" s="30"/>
      <c r="U371" s="30"/>
      <c r="V371" s="30"/>
      <c r="W371" s="30"/>
      <c r="X371" s="30"/>
      <c r="Y371" s="30"/>
      <c r="Z371" s="30"/>
      <c r="AA371" s="30"/>
      <c r="AB371" s="30"/>
      <c r="AC371" s="31"/>
      <c r="AD371" s="37"/>
    </row>
    <row r="372" ht="16.25" spans="1:30">
      <c r="A372" s="31"/>
      <c r="B372" s="31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52"/>
      <c r="Q372" s="52"/>
      <c r="R372" s="52"/>
      <c r="S372" s="52"/>
      <c r="T372" s="30"/>
      <c r="U372" s="30"/>
      <c r="V372" s="30"/>
      <c r="W372" s="30"/>
      <c r="X372" s="30"/>
      <c r="Y372" s="30"/>
      <c r="Z372" s="30"/>
      <c r="AA372" s="30"/>
      <c r="AB372" s="30"/>
      <c r="AC372" s="31"/>
      <c r="AD372" s="37"/>
    </row>
    <row r="373" ht="16.25" spans="1:30">
      <c r="A373" s="31"/>
      <c r="B373" s="31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52"/>
      <c r="Q373" s="52"/>
      <c r="R373" s="52"/>
      <c r="S373" s="52"/>
      <c r="T373" s="30"/>
      <c r="U373" s="30"/>
      <c r="V373" s="30"/>
      <c r="W373" s="30"/>
      <c r="X373" s="30"/>
      <c r="Y373" s="30"/>
      <c r="Z373" s="30"/>
      <c r="AA373" s="30"/>
      <c r="AB373" s="30"/>
      <c r="AC373" s="31"/>
      <c r="AD373" s="37"/>
    </row>
    <row r="374" ht="16.25" spans="1:30">
      <c r="A374" s="31"/>
      <c r="B374" s="31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52"/>
      <c r="Q374" s="52"/>
      <c r="R374" s="52"/>
      <c r="S374" s="52"/>
      <c r="T374" s="30"/>
      <c r="U374" s="30"/>
      <c r="V374" s="30"/>
      <c r="W374" s="30"/>
      <c r="X374" s="30"/>
      <c r="Y374" s="30"/>
      <c r="Z374" s="30"/>
      <c r="AA374" s="30"/>
      <c r="AB374" s="30"/>
      <c r="AC374" s="31"/>
      <c r="AD374" s="37"/>
    </row>
    <row r="375" ht="16.25" spans="1:30">
      <c r="A375" s="31"/>
      <c r="B375" s="31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52"/>
      <c r="Q375" s="52"/>
      <c r="R375" s="52"/>
      <c r="S375" s="52"/>
      <c r="T375" s="30"/>
      <c r="U375" s="30"/>
      <c r="V375" s="30"/>
      <c r="W375" s="30"/>
      <c r="X375" s="30"/>
      <c r="Y375" s="30"/>
      <c r="Z375" s="30"/>
      <c r="AA375" s="30"/>
      <c r="AB375" s="30"/>
      <c r="AC375" s="31"/>
      <c r="AD375" s="37"/>
    </row>
    <row r="376" ht="16.25" spans="1:30">
      <c r="A376" s="31"/>
      <c r="B376" s="31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52"/>
      <c r="Q376" s="52"/>
      <c r="R376" s="52"/>
      <c r="S376" s="52"/>
      <c r="T376" s="30"/>
      <c r="U376" s="30"/>
      <c r="V376" s="30"/>
      <c r="W376" s="30"/>
      <c r="X376" s="30"/>
      <c r="Y376" s="30"/>
      <c r="Z376" s="30"/>
      <c r="AA376" s="30"/>
      <c r="AB376" s="30"/>
      <c r="AC376" s="31"/>
      <c r="AD376" s="37"/>
    </row>
    <row r="377" ht="16.25" spans="1:30">
      <c r="A377" s="31"/>
      <c r="B377" s="31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52"/>
      <c r="Q377" s="52"/>
      <c r="R377" s="52"/>
      <c r="S377" s="52"/>
      <c r="T377" s="30"/>
      <c r="U377" s="30"/>
      <c r="V377" s="30"/>
      <c r="W377" s="30"/>
      <c r="X377" s="30"/>
      <c r="Y377" s="30"/>
      <c r="Z377" s="30"/>
      <c r="AA377" s="30"/>
      <c r="AB377" s="30"/>
      <c r="AC377" s="31"/>
      <c r="AD377" s="37"/>
    </row>
    <row r="378" ht="16.25" spans="1:30">
      <c r="A378" s="31"/>
      <c r="B378" s="31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52"/>
      <c r="Q378" s="52"/>
      <c r="R378" s="52"/>
      <c r="S378" s="52"/>
      <c r="T378" s="30"/>
      <c r="U378" s="30"/>
      <c r="V378" s="30"/>
      <c r="W378" s="30"/>
      <c r="X378" s="30"/>
      <c r="Y378" s="30"/>
      <c r="Z378" s="30"/>
      <c r="AA378" s="30"/>
      <c r="AB378" s="30"/>
      <c r="AC378" s="31"/>
      <c r="AD378" s="37"/>
    </row>
    <row r="379" ht="16.25" spans="1:30">
      <c r="A379" s="31"/>
      <c r="B379" s="31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52"/>
      <c r="Q379" s="52"/>
      <c r="R379" s="52"/>
      <c r="S379" s="52"/>
      <c r="T379" s="30"/>
      <c r="U379" s="30"/>
      <c r="V379" s="30"/>
      <c r="W379" s="30"/>
      <c r="X379" s="30"/>
      <c r="Y379" s="30"/>
      <c r="Z379" s="30"/>
      <c r="AA379" s="30"/>
      <c r="AB379" s="30"/>
      <c r="AC379" s="31"/>
      <c r="AD379" s="37"/>
    </row>
    <row r="380" ht="16.25" spans="1:30">
      <c r="A380" s="31"/>
      <c r="B380" s="31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52"/>
      <c r="Q380" s="52"/>
      <c r="R380" s="52"/>
      <c r="S380" s="52"/>
      <c r="T380" s="30"/>
      <c r="U380" s="30"/>
      <c r="V380" s="30"/>
      <c r="W380" s="30"/>
      <c r="X380" s="30"/>
      <c r="Y380" s="30"/>
      <c r="Z380" s="30"/>
      <c r="AA380" s="30"/>
      <c r="AB380" s="30"/>
      <c r="AC380" s="31"/>
      <c r="AD380" s="37"/>
    </row>
    <row r="381" ht="16.25" spans="1:30">
      <c r="A381" s="31"/>
      <c r="B381" s="31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52"/>
      <c r="Q381" s="52"/>
      <c r="R381" s="52"/>
      <c r="S381" s="52"/>
      <c r="T381" s="30"/>
      <c r="U381" s="30"/>
      <c r="V381" s="30"/>
      <c r="W381" s="30"/>
      <c r="X381" s="30"/>
      <c r="Y381" s="30"/>
      <c r="Z381" s="30"/>
      <c r="AA381" s="30"/>
      <c r="AB381" s="30"/>
      <c r="AC381" s="31"/>
      <c r="AD381" s="37"/>
    </row>
    <row r="382" ht="16.25" spans="1:30">
      <c r="A382" s="31"/>
      <c r="B382" s="31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52"/>
      <c r="Q382" s="52"/>
      <c r="R382" s="52"/>
      <c r="S382" s="52"/>
      <c r="T382" s="30"/>
      <c r="U382" s="30"/>
      <c r="V382" s="30"/>
      <c r="W382" s="30"/>
      <c r="X382" s="30"/>
      <c r="Y382" s="30"/>
      <c r="Z382" s="30"/>
      <c r="AA382" s="30"/>
      <c r="AB382" s="30"/>
      <c r="AC382" s="31"/>
      <c r="AD382" s="37"/>
    </row>
    <row r="383" ht="16.25" spans="1:30">
      <c r="A383" s="31"/>
      <c r="B383" s="31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52"/>
      <c r="Q383" s="52"/>
      <c r="R383" s="52"/>
      <c r="S383" s="52"/>
      <c r="T383" s="30"/>
      <c r="U383" s="30"/>
      <c r="V383" s="30"/>
      <c r="W383" s="30"/>
      <c r="X383" s="30"/>
      <c r="Y383" s="30"/>
      <c r="Z383" s="30"/>
      <c r="AA383" s="30"/>
      <c r="AB383" s="30"/>
      <c r="AC383" s="31"/>
      <c r="AD383" s="37"/>
    </row>
    <row r="384" ht="17" spans="1:30">
      <c r="A384" s="31"/>
      <c r="B384" s="31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52"/>
      <c r="Q384" s="52"/>
      <c r="R384" s="52"/>
      <c r="S384" s="52"/>
      <c r="T384" s="30"/>
      <c r="U384" s="30"/>
      <c r="V384" s="30"/>
      <c r="W384" s="30"/>
      <c r="X384" s="30"/>
      <c r="Y384" s="30"/>
      <c r="Z384" s="30"/>
      <c r="AA384" s="30"/>
      <c r="AB384" s="30"/>
      <c r="AC384" s="31"/>
      <c r="AD384" s="37"/>
    </row>
    <row r="385" ht="16.25" spans="1:30">
      <c r="A385" s="31"/>
      <c r="B385" s="31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56"/>
      <c r="Q385" s="56"/>
      <c r="R385" s="56"/>
      <c r="S385" s="56"/>
      <c r="T385" s="30"/>
      <c r="U385" s="30"/>
      <c r="V385" s="30"/>
      <c r="W385" s="30"/>
      <c r="X385" s="30"/>
      <c r="Y385" s="30"/>
      <c r="Z385" s="30"/>
      <c r="AA385" s="30"/>
      <c r="AB385" s="30"/>
      <c r="AC385" s="31"/>
      <c r="AD385" s="37"/>
    </row>
    <row r="386" ht="16.25" spans="1:30">
      <c r="A386" s="31"/>
      <c r="B386" s="31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57"/>
      <c r="Q386" s="57"/>
      <c r="R386" s="57"/>
      <c r="S386" s="57"/>
      <c r="T386" s="30"/>
      <c r="U386" s="30"/>
      <c r="V386" s="30"/>
      <c r="W386" s="30"/>
      <c r="X386" s="30"/>
      <c r="Y386" s="30"/>
      <c r="Z386" s="30"/>
      <c r="AA386" s="30"/>
      <c r="AB386" s="30"/>
      <c r="AC386" s="31"/>
      <c r="AD386" s="37"/>
    </row>
    <row r="387" ht="16.25" spans="1:30">
      <c r="A387" s="31"/>
      <c r="B387" s="31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57"/>
      <c r="Q387" s="57"/>
      <c r="R387" s="57"/>
      <c r="S387" s="57"/>
      <c r="T387" s="30"/>
      <c r="U387" s="30"/>
      <c r="V387" s="30"/>
      <c r="W387" s="30"/>
      <c r="X387" s="30"/>
      <c r="Y387" s="30"/>
      <c r="Z387" s="30"/>
      <c r="AA387" s="30"/>
      <c r="AB387" s="30"/>
      <c r="AC387" s="31"/>
      <c r="AD387" s="37"/>
    </row>
    <row r="388" ht="17" spans="1:30">
      <c r="A388" s="31"/>
      <c r="B388" s="31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58"/>
      <c r="Q388" s="58"/>
      <c r="R388" s="58"/>
      <c r="S388" s="58"/>
      <c r="T388" s="30"/>
      <c r="U388" s="30"/>
      <c r="V388" s="30"/>
      <c r="W388" s="30"/>
      <c r="X388" s="30"/>
      <c r="Y388" s="30"/>
      <c r="Z388" s="30"/>
      <c r="AA388" s="30"/>
      <c r="AB388" s="30"/>
      <c r="AC388" s="31"/>
      <c r="AD388" s="37"/>
    </row>
    <row r="389" ht="16.25" spans="1:30">
      <c r="A389" s="31"/>
      <c r="B389" s="31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56"/>
      <c r="Q389" s="56"/>
      <c r="R389" s="56"/>
      <c r="S389" s="56"/>
      <c r="T389" s="30"/>
      <c r="U389" s="30"/>
      <c r="V389" s="30"/>
      <c r="W389" s="30"/>
      <c r="X389" s="30"/>
      <c r="Y389" s="30"/>
      <c r="Z389" s="30"/>
      <c r="AA389" s="30"/>
      <c r="AB389" s="30"/>
      <c r="AC389" s="31"/>
      <c r="AD389" s="37"/>
    </row>
    <row r="390" ht="16.25" spans="1:30">
      <c r="A390" s="31"/>
      <c r="B390" s="31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57"/>
      <c r="Q390" s="57"/>
      <c r="R390" s="57"/>
      <c r="S390" s="57"/>
      <c r="T390" s="30"/>
      <c r="U390" s="30"/>
      <c r="V390" s="30"/>
      <c r="W390" s="30"/>
      <c r="X390" s="30"/>
      <c r="Y390" s="30"/>
      <c r="Z390" s="30"/>
      <c r="AA390" s="30"/>
      <c r="AB390" s="30"/>
      <c r="AC390" s="31"/>
      <c r="AD390" s="37"/>
    </row>
    <row r="391" ht="17" spans="3:30"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58"/>
      <c r="Q391" s="58"/>
      <c r="R391" s="58"/>
      <c r="S391" s="58"/>
      <c r="T391" s="30"/>
      <c r="U391" s="30"/>
      <c r="V391" s="30"/>
      <c r="W391" s="30"/>
      <c r="X391" s="30"/>
      <c r="Y391" s="30"/>
      <c r="Z391" s="30"/>
      <c r="AA391" s="30"/>
      <c r="AB391" s="30"/>
      <c r="AC391" s="31"/>
      <c r="AD391" s="37"/>
    </row>
    <row r="392" ht="16.25" spans="3:30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30"/>
      <c r="U392" s="30"/>
      <c r="V392" s="30"/>
      <c r="W392" s="30"/>
      <c r="X392" s="30"/>
      <c r="Y392" s="30"/>
      <c r="Z392" s="30"/>
      <c r="AA392" s="30"/>
      <c r="AB392" s="30"/>
      <c r="AC392" s="31"/>
      <c r="AD392" s="37"/>
    </row>
    <row r="393" ht="16.25" spans="3:30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30"/>
      <c r="U393" s="30"/>
      <c r="V393" s="30"/>
      <c r="W393" s="30"/>
      <c r="X393" s="30"/>
      <c r="Y393" s="30"/>
      <c r="Z393" s="30"/>
      <c r="AA393" s="30"/>
      <c r="AB393" s="30"/>
      <c r="AC393" s="31"/>
      <c r="AD393" s="37"/>
    </row>
    <row r="394" ht="16.25" spans="3:30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30"/>
      <c r="U394" s="30"/>
      <c r="V394" s="30"/>
      <c r="W394" s="30"/>
      <c r="X394" s="30"/>
      <c r="Y394" s="30"/>
      <c r="Z394" s="30"/>
      <c r="AA394" s="30"/>
      <c r="AB394" s="30"/>
      <c r="AC394" s="31"/>
      <c r="AD394" s="37"/>
    </row>
    <row r="395" ht="16.25" spans="3:30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49"/>
      <c r="Q395" s="49"/>
      <c r="R395" s="49"/>
      <c r="S395" s="49"/>
      <c r="T395" s="30"/>
      <c r="U395" s="30"/>
      <c r="V395" s="30"/>
      <c r="W395" s="30"/>
      <c r="X395" s="30"/>
      <c r="Y395" s="30"/>
      <c r="Z395" s="30"/>
      <c r="AA395" s="30"/>
      <c r="AB395" s="30"/>
      <c r="AC395" s="31"/>
      <c r="AD395" s="37"/>
    </row>
    <row r="396" ht="16.25" spans="3:30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30"/>
      <c r="U396" s="30"/>
      <c r="V396" s="30"/>
      <c r="W396" s="30"/>
      <c r="X396" s="30"/>
      <c r="Y396" s="30"/>
      <c r="Z396" s="30"/>
      <c r="AA396" s="30"/>
      <c r="AB396" s="30"/>
      <c r="AC396" s="31"/>
      <c r="AD396" s="37"/>
    </row>
    <row r="397" ht="16.25" spans="3:30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30"/>
      <c r="U397" s="30"/>
      <c r="V397" s="30"/>
      <c r="W397" s="30"/>
      <c r="X397" s="30"/>
      <c r="Y397" s="30"/>
      <c r="Z397" s="30"/>
      <c r="AA397" s="30"/>
      <c r="AB397" s="30"/>
      <c r="AC397" s="31"/>
      <c r="AD397" s="37"/>
    </row>
    <row r="398" ht="16.25" spans="3:30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49"/>
      <c r="Q398" s="49"/>
      <c r="R398" s="49"/>
      <c r="S398" s="49"/>
      <c r="T398" s="30"/>
      <c r="U398" s="30"/>
      <c r="V398" s="30"/>
      <c r="W398" s="30"/>
      <c r="X398" s="30"/>
      <c r="Y398" s="30"/>
      <c r="Z398" s="30"/>
      <c r="AA398" s="30"/>
      <c r="AB398" s="30"/>
      <c r="AC398" s="31"/>
      <c r="AD398" s="37"/>
    </row>
    <row r="399" ht="16.25" spans="3:30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30"/>
      <c r="U399" s="30"/>
      <c r="V399" s="30"/>
      <c r="W399" s="30"/>
      <c r="X399" s="30"/>
      <c r="Y399" s="30"/>
      <c r="Z399" s="30"/>
      <c r="AA399" s="30"/>
      <c r="AB399" s="30"/>
      <c r="AC399" s="31"/>
      <c r="AD399" s="37"/>
    </row>
    <row r="400" ht="16.25" spans="3:30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30"/>
      <c r="U400" s="30"/>
      <c r="V400" s="30"/>
      <c r="W400" s="30"/>
      <c r="X400" s="30"/>
      <c r="Y400" s="30"/>
      <c r="Z400" s="30"/>
      <c r="AA400" s="30"/>
      <c r="AB400" s="30"/>
      <c r="AC400" s="31"/>
      <c r="AD400" s="37"/>
    </row>
    <row r="401" ht="16.25" spans="3:30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62"/>
      <c r="Q401" s="62"/>
      <c r="R401" s="62"/>
      <c r="S401" s="62"/>
      <c r="T401" s="30"/>
      <c r="U401" s="30"/>
      <c r="V401" s="30"/>
      <c r="W401" s="30"/>
      <c r="X401" s="30"/>
      <c r="Y401" s="30"/>
      <c r="Z401" s="30"/>
      <c r="AA401" s="30"/>
      <c r="AB401" s="30"/>
      <c r="AC401" s="31"/>
      <c r="AD401" s="37"/>
    </row>
    <row r="402" ht="16.25" spans="3:30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62"/>
      <c r="Q402" s="62"/>
      <c r="R402" s="62"/>
      <c r="S402" s="62"/>
      <c r="T402" s="30"/>
      <c r="U402" s="30"/>
      <c r="V402" s="30"/>
      <c r="W402" s="30"/>
      <c r="X402" s="30"/>
      <c r="Y402" s="30"/>
      <c r="Z402" s="30"/>
      <c r="AA402" s="30"/>
      <c r="AB402" s="30"/>
      <c r="AC402" s="31"/>
      <c r="AD402" s="37"/>
    </row>
    <row r="403" ht="16.25" spans="3:30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62"/>
      <c r="Q403" s="62"/>
      <c r="R403" s="62"/>
      <c r="S403" s="62"/>
      <c r="T403" s="30"/>
      <c r="U403" s="30"/>
      <c r="V403" s="30"/>
      <c r="W403" s="30"/>
      <c r="X403" s="30"/>
      <c r="Y403" s="30"/>
      <c r="Z403" s="30"/>
      <c r="AA403" s="30"/>
      <c r="AB403" s="30"/>
      <c r="AC403" s="31"/>
      <c r="AD403" s="37"/>
    </row>
    <row r="404" ht="16.25" spans="3:30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62"/>
      <c r="Q404" s="62"/>
      <c r="R404" s="62"/>
      <c r="S404" s="62"/>
      <c r="T404" s="30"/>
      <c r="U404" s="30"/>
      <c r="V404" s="30"/>
      <c r="W404" s="30"/>
      <c r="X404" s="30"/>
      <c r="Y404" s="30"/>
      <c r="Z404" s="30"/>
      <c r="AA404" s="30"/>
      <c r="AB404" s="30"/>
      <c r="AC404" s="31"/>
      <c r="AD404" s="37"/>
    </row>
    <row r="405" ht="16.25" spans="3:30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62"/>
      <c r="Q405" s="62"/>
      <c r="R405" s="62"/>
      <c r="S405" s="62"/>
      <c r="T405" s="30"/>
      <c r="U405" s="30"/>
      <c r="V405" s="30"/>
      <c r="W405" s="30"/>
      <c r="X405" s="30"/>
      <c r="Y405" s="30"/>
      <c r="Z405" s="30"/>
      <c r="AA405" s="30"/>
      <c r="AB405" s="30"/>
      <c r="AC405" s="31"/>
      <c r="AD405" s="37"/>
    </row>
    <row r="406" ht="16.25" spans="3:30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62"/>
      <c r="Q406" s="62"/>
      <c r="R406" s="62"/>
      <c r="S406" s="62"/>
      <c r="T406" s="30"/>
      <c r="U406" s="30"/>
      <c r="V406" s="30"/>
      <c r="W406" s="30"/>
      <c r="X406" s="30"/>
      <c r="Y406" s="30"/>
      <c r="Z406" s="30"/>
      <c r="AA406" s="30"/>
      <c r="AB406" s="30"/>
      <c r="AC406" s="31"/>
      <c r="AD406" s="37"/>
    </row>
    <row r="407" ht="16.25" spans="3:30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62"/>
      <c r="Q407" s="62"/>
      <c r="R407" s="62"/>
      <c r="S407" s="62"/>
      <c r="T407" s="30"/>
      <c r="U407" s="30"/>
      <c r="V407" s="30"/>
      <c r="W407" s="30"/>
      <c r="X407" s="30"/>
      <c r="Y407" s="30"/>
      <c r="Z407" s="30"/>
      <c r="AA407" s="30"/>
      <c r="AB407" s="30"/>
      <c r="AC407" s="31"/>
      <c r="AD407" s="37"/>
    </row>
    <row r="408" ht="16.25" spans="3:30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62"/>
      <c r="Q408" s="62"/>
      <c r="R408" s="62"/>
      <c r="S408" s="62"/>
      <c r="T408" s="30"/>
      <c r="U408" s="30"/>
      <c r="V408" s="30"/>
      <c r="W408" s="30"/>
      <c r="X408" s="30"/>
      <c r="Y408" s="30"/>
      <c r="Z408" s="30"/>
      <c r="AA408" s="30"/>
      <c r="AB408" s="30"/>
      <c r="AC408" s="31"/>
      <c r="AD408" s="37"/>
    </row>
    <row r="409" ht="16.25" spans="3:30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62"/>
      <c r="Q409" s="62"/>
      <c r="R409" s="62"/>
      <c r="S409" s="62"/>
      <c r="T409" s="30"/>
      <c r="U409" s="30"/>
      <c r="V409" s="30"/>
      <c r="W409" s="30"/>
      <c r="X409" s="30"/>
      <c r="Y409" s="30"/>
      <c r="Z409" s="30"/>
      <c r="AA409" s="30"/>
      <c r="AB409" s="30"/>
      <c r="AC409" s="31"/>
      <c r="AD409" s="37"/>
    </row>
    <row r="410" ht="16.25" spans="3:30"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52"/>
      <c r="Q410" s="52"/>
      <c r="R410" s="52"/>
      <c r="S410" s="52"/>
      <c r="T410" s="30"/>
      <c r="U410" s="30"/>
      <c r="V410" s="30"/>
      <c r="W410" s="30"/>
      <c r="X410" s="30"/>
      <c r="Y410" s="30"/>
      <c r="Z410" s="30"/>
      <c r="AA410" s="30"/>
      <c r="AB410" s="30"/>
      <c r="AC410" s="31"/>
      <c r="AD410" s="38"/>
    </row>
    <row r="411" ht="16.25" spans="3:30"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52"/>
      <c r="Q411" s="52"/>
      <c r="R411" s="52"/>
      <c r="S411" s="52"/>
      <c r="T411" s="30"/>
      <c r="U411" s="30"/>
      <c r="V411" s="30"/>
      <c r="W411" s="30"/>
      <c r="X411" s="30"/>
      <c r="Y411" s="30"/>
      <c r="Z411" s="30"/>
      <c r="AA411" s="30"/>
      <c r="AB411" s="30"/>
      <c r="AC411" s="31"/>
      <c r="AD411" s="38"/>
    </row>
    <row r="412" ht="16.25" spans="3:30"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52"/>
      <c r="Q412" s="52"/>
      <c r="R412" s="52"/>
      <c r="S412" s="52"/>
      <c r="T412" s="30"/>
      <c r="U412" s="30"/>
      <c r="V412" s="30"/>
      <c r="W412" s="30"/>
      <c r="X412" s="30"/>
      <c r="Y412" s="30"/>
      <c r="Z412" s="30"/>
      <c r="AA412" s="30"/>
      <c r="AB412" s="30"/>
      <c r="AC412" s="31"/>
      <c r="AD412" s="38"/>
    </row>
    <row r="413" ht="16.25" spans="3:30"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52"/>
      <c r="Q413" s="52"/>
      <c r="R413" s="52"/>
      <c r="S413" s="52"/>
      <c r="T413" s="30"/>
      <c r="U413" s="30"/>
      <c r="V413" s="30"/>
      <c r="W413" s="30"/>
      <c r="X413" s="30"/>
      <c r="Y413" s="30"/>
      <c r="Z413" s="30"/>
      <c r="AA413" s="30"/>
      <c r="AB413" s="30"/>
      <c r="AC413" s="31"/>
      <c r="AD413" s="38"/>
    </row>
    <row r="414" ht="16.25" spans="3:30"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52"/>
      <c r="Q414" s="52"/>
      <c r="R414" s="52"/>
      <c r="S414" s="52"/>
      <c r="T414" s="30"/>
      <c r="U414" s="30"/>
      <c r="V414" s="30"/>
      <c r="W414" s="30"/>
      <c r="X414" s="30"/>
      <c r="Y414" s="30"/>
      <c r="Z414" s="30"/>
      <c r="AA414" s="30"/>
      <c r="AB414" s="30"/>
      <c r="AC414" s="31"/>
      <c r="AD414" s="38"/>
    </row>
    <row r="415" ht="16.25" spans="3:30"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52"/>
      <c r="Q415" s="52"/>
      <c r="R415" s="52"/>
      <c r="S415" s="52"/>
      <c r="T415" s="30"/>
      <c r="U415" s="30"/>
      <c r="V415" s="30"/>
      <c r="W415" s="30"/>
      <c r="X415" s="30"/>
      <c r="Y415" s="30"/>
      <c r="Z415" s="30"/>
      <c r="AA415" s="30"/>
      <c r="AB415" s="30"/>
      <c r="AC415" s="31"/>
      <c r="AD415" s="38"/>
    </row>
    <row r="416" ht="16.25" spans="3:30"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52"/>
      <c r="Q416" s="52"/>
      <c r="R416" s="52"/>
      <c r="S416" s="52"/>
      <c r="T416" s="30"/>
      <c r="U416" s="30"/>
      <c r="V416" s="30"/>
      <c r="W416" s="30"/>
      <c r="X416" s="30"/>
      <c r="Y416" s="30"/>
      <c r="Z416" s="30"/>
      <c r="AA416" s="30"/>
      <c r="AB416" s="30"/>
      <c r="AC416" s="31"/>
      <c r="AD416" s="38"/>
    </row>
    <row r="417" ht="16.25" spans="3:30"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52"/>
      <c r="Q417" s="52"/>
      <c r="R417" s="52"/>
      <c r="S417" s="52"/>
      <c r="T417" s="30"/>
      <c r="U417" s="30"/>
      <c r="V417" s="30"/>
      <c r="W417" s="30"/>
      <c r="X417" s="30"/>
      <c r="Y417" s="30"/>
      <c r="Z417" s="30"/>
      <c r="AA417" s="30"/>
      <c r="AB417" s="30"/>
      <c r="AC417" s="31"/>
      <c r="AD417" s="38"/>
    </row>
    <row r="418" ht="16.25" spans="3:30"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52"/>
      <c r="Q418" s="52"/>
      <c r="R418" s="52"/>
      <c r="S418" s="52"/>
      <c r="T418" s="30"/>
      <c r="U418" s="30"/>
      <c r="V418" s="30"/>
      <c r="W418" s="30"/>
      <c r="X418" s="30"/>
      <c r="Y418" s="30"/>
      <c r="Z418" s="30"/>
      <c r="AA418" s="30"/>
      <c r="AB418" s="30"/>
      <c r="AC418" s="31"/>
      <c r="AD418" s="38"/>
    </row>
    <row r="419" ht="16.25" spans="3:30"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52"/>
      <c r="Q419" s="52"/>
      <c r="R419" s="52"/>
      <c r="S419" s="52"/>
      <c r="T419" s="30"/>
      <c r="U419" s="30"/>
      <c r="V419" s="30"/>
      <c r="W419" s="30"/>
      <c r="X419" s="30"/>
      <c r="Y419" s="30"/>
      <c r="Z419" s="30"/>
      <c r="AA419" s="30"/>
      <c r="AB419" s="30"/>
      <c r="AC419" s="31"/>
      <c r="AD419" s="38"/>
    </row>
    <row r="420" ht="16.25" spans="3:30"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52"/>
      <c r="Q420" s="52"/>
      <c r="R420" s="52"/>
      <c r="S420" s="52"/>
      <c r="T420" s="30"/>
      <c r="U420" s="30"/>
      <c r="V420" s="30"/>
      <c r="W420" s="30"/>
      <c r="X420" s="30"/>
      <c r="Y420" s="30"/>
      <c r="Z420" s="30"/>
      <c r="AA420" s="30"/>
      <c r="AB420" s="30"/>
      <c r="AC420" s="31"/>
      <c r="AD420" s="38"/>
    </row>
    <row r="421" ht="16.25" spans="3:30"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52"/>
      <c r="Q421" s="52"/>
      <c r="R421" s="52"/>
      <c r="S421" s="52"/>
      <c r="T421" s="30"/>
      <c r="U421" s="30"/>
      <c r="V421" s="30"/>
      <c r="W421" s="30"/>
      <c r="X421" s="30"/>
      <c r="Y421" s="30"/>
      <c r="Z421" s="30"/>
      <c r="AA421" s="30"/>
      <c r="AB421" s="30"/>
      <c r="AC421" s="31"/>
      <c r="AD421" s="38"/>
    </row>
    <row r="422" ht="16.25" spans="3:30"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52"/>
      <c r="Q422" s="52"/>
      <c r="R422" s="52"/>
      <c r="S422" s="52"/>
      <c r="T422" s="30"/>
      <c r="U422" s="30"/>
      <c r="V422" s="30"/>
      <c r="W422" s="30"/>
      <c r="X422" s="30"/>
      <c r="Y422" s="30"/>
      <c r="Z422" s="30"/>
      <c r="AA422" s="30"/>
      <c r="AB422" s="30"/>
      <c r="AC422" s="31"/>
      <c r="AD422" s="38"/>
    </row>
    <row r="423" ht="16.25" spans="3:30"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52"/>
      <c r="Q423" s="52"/>
      <c r="R423" s="52"/>
      <c r="S423" s="52"/>
      <c r="T423" s="30"/>
      <c r="U423" s="30"/>
      <c r="V423" s="30"/>
      <c r="W423" s="30"/>
      <c r="X423" s="30"/>
      <c r="Y423" s="30"/>
      <c r="Z423" s="30"/>
      <c r="AA423" s="30"/>
      <c r="AB423" s="30"/>
      <c r="AC423" s="31"/>
      <c r="AD423" s="38"/>
    </row>
    <row r="424" ht="16.25" spans="3:30"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52"/>
      <c r="Q424" s="52"/>
      <c r="R424" s="52"/>
      <c r="S424" s="52"/>
      <c r="T424" s="30"/>
      <c r="U424" s="30"/>
      <c r="V424" s="30"/>
      <c r="W424" s="30"/>
      <c r="X424" s="30"/>
      <c r="Y424" s="30"/>
      <c r="Z424" s="30"/>
      <c r="AA424" s="30"/>
      <c r="AB424" s="30"/>
      <c r="AC424" s="31"/>
      <c r="AD424" s="38"/>
    </row>
    <row r="425" ht="16.25" spans="3:30"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52"/>
      <c r="Q425" s="52"/>
      <c r="R425" s="52"/>
      <c r="S425" s="52"/>
      <c r="T425" s="30"/>
      <c r="U425" s="30"/>
      <c r="V425" s="30"/>
      <c r="W425" s="30"/>
      <c r="X425" s="30"/>
      <c r="Y425" s="30"/>
      <c r="Z425" s="30"/>
      <c r="AA425" s="30"/>
      <c r="AB425" s="30"/>
      <c r="AC425" s="31"/>
      <c r="AD425" s="38"/>
    </row>
    <row r="426" ht="17" spans="3:30"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52"/>
      <c r="Q426" s="52"/>
      <c r="R426" s="52"/>
      <c r="S426" s="52"/>
      <c r="T426" s="30"/>
      <c r="U426" s="30"/>
      <c r="V426" s="30"/>
      <c r="W426" s="30"/>
      <c r="X426" s="30"/>
      <c r="Y426" s="30"/>
      <c r="Z426" s="30"/>
      <c r="AA426" s="30"/>
      <c r="AB426" s="30"/>
      <c r="AC426" s="31"/>
      <c r="AD426" s="38"/>
    </row>
    <row r="427" ht="16.25" spans="3:30"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56"/>
      <c r="Q427" s="56"/>
      <c r="R427" s="56"/>
      <c r="S427" s="56"/>
      <c r="T427" s="30"/>
      <c r="U427" s="30"/>
      <c r="V427" s="30"/>
      <c r="W427" s="30"/>
      <c r="X427" s="30"/>
      <c r="Y427" s="30"/>
      <c r="Z427" s="30"/>
      <c r="AA427" s="30"/>
      <c r="AB427" s="30"/>
      <c r="AC427" s="31"/>
      <c r="AD427" s="38"/>
    </row>
    <row r="428" ht="16.25" spans="3:30"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57"/>
      <c r="Q428" s="57"/>
      <c r="R428" s="57"/>
      <c r="S428" s="57"/>
      <c r="T428" s="30"/>
      <c r="U428" s="30"/>
      <c r="V428" s="30"/>
      <c r="W428" s="30"/>
      <c r="X428" s="30"/>
      <c r="Y428" s="30"/>
      <c r="Z428" s="30"/>
      <c r="AA428" s="30"/>
      <c r="AB428" s="30"/>
      <c r="AC428" s="31"/>
      <c r="AD428" s="38"/>
    </row>
    <row r="429" ht="17" spans="3:30"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58"/>
      <c r="Q429" s="58"/>
      <c r="R429" s="58"/>
      <c r="S429" s="58"/>
      <c r="T429" s="30"/>
      <c r="U429" s="30"/>
      <c r="V429" s="30"/>
      <c r="W429" s="30"/>
      <c r="X429" s="30"/>
      <c r="Y429" s="30"/>
      <c r="Z429" s="30"/>
      <c r="AA429" s="30"/>
      <c r="AB429" s="30"/>
      <c r="AC429" s="31"/>
      <c r="AD429" s="38"/>
    </row>
    <row r="430" ht="16.25" spans="3:30"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56"/>
      <c r="Q430" s="56"/>
      <c r="R430" s="56"/>
      <c r="S430" s="56"/>
      <c r="T430" s="30"/>
      <c r="U430" s="30"/>
      <c r="V430" s="30"/>
      <c r="W430" s="30"/>
      <c r="X430" s="30"/>
      <c r="Y430" s="30"/>
      <c r="Z430" s="30"/>
      <c r="AA430" s="30"/>
      <c r="AB430" s="30"/>
      <c r="AC430" s="31"/>
      <c r="AD430" s="38"/>
    </row>
    <row r="431" ht="16.25" spans="3:30"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57"/>
      <c r="Q431" s="57"/>
      <c r="R431" s="57"/>
      <c r="S431" s="57"/>
      <c r="T431" s="30"/>
      <c r="U431" s="30"/>
      <c r="V431" s="30"/>
      <c r="W431" s="30"/>
      <c r="X431" s="30"/>
      <c r="Y431" s="30"/>
      <c r="Z431" s="30"/>
      <c r="AA431" s="30"/>
      <c r="AB431" s="30"/>
      <c r="AC431" s="31"/>
      <c r="AD431" s="38"/>
    </row>
    <row r="432" ht="16.25" spans="3:30"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57"/>
      <c r="Q432" s="57"/>
      <c r="R432" s="57"/>
      <c r="S432" s="57"/>
      <c r="T432" s="30"/>
      <c r="U432" s="30"/>
      <c r="V432" s="30"/>
      <c r="W432" s="30"/>
      <c r="X432" s="30"/>
      <c r="Y432" s="30"/>
      <c r="Z432" s="30"/>
      <c r="AA432" s="30"/>
      <c r="AB432" s="30"/>
      <c r="AC432" s="31"/>
      <c r="AD432" s="38"/>
    </row>
    <row r="433" ht="17" spans="3:30"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58"/>
      <c r="Q433" s="58"/>
      <c r="R433" s="58"/>
      <c r="S433" s="58"/>
      <c r="T433" s="30"/>
      <c r="U433" s="30"/>
      <c r="V433" s="30"/>
      <c r="W433" s="30"/>
      <c r="X433" s="30"/>
      <c r="Y433" s="30"/>
      <c r="Z433" s="30"/>
      <c r="AA433" s="30"/>
      <c r="AB433" s="30"/>
      <c r="AC433" s="31"/>
      <c r="AD433" s="38"/>
    </row>
    <row r="434" ht="16.25" spans="3:30"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52"/>
      <c r="Q434" s="52"/>
      <c r="R434" s="52"/>
      <c r="S434" s="52"/>
      <c r="T434" s="30"/>
      <c r="U434" s="30"/>
      <c r="V434" s="30"/>
      <c r="W434" s="30"/>
      <c r="X434" s="30"/>
      <c r="Y434" s="30"/>
      <c r="Z434" s="30"/>
      <c r="AA434" s="30"/>
      <c r="AB434" s="30"/>
      <c r="AC434" s="31"/>
      <c r="AD434" s="37"/>
    </row>
    <row r="435" ht="16.25" spans="3:30"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52"/>
      <c r="Q435" s="52"/>
      <c r="R435" s="52"/>
      <c r="S435" s="52"/>
      <c r="T435" s="30"/>
      <c r="U435" s="30"/>
      <c r="V435" s="30"/>
      <c r="W435" s="30"/>
      <c r="X435" s="30"/>
      <c r="Y435" s="30"/>
      <c r="Z435" s="30"/>
      <c r="AA435" s="30"/>
      <c r="AB435" s="30"/>
      <c r="AC435" s="31"/>
      <c r="AD435" s="37"/>
    </row>
    <row r="436" ht="16.25" spans="3:30"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52"/>
      <c r="Q436" s="52"/>
      <c r="R436" s="52"/>
      <c r="S436" s="52"/>
      <c r="T436" s="30"/>
      <c r="U436" s="30"/>
      <c r="V436" s="30"/>
      <c r="W436" s="30"/>
      <c r="X436" s="30"/>
      <c r="Y436" s="30"/>
      <c r="Z436" s="30"/>
      <c r="AA436" s="30"/>
      <c r="AB436" s="30"/>
      <c r="AC436" s="31"/>
      <c r="AD436" s="37"/>
    </row>
    <row r="437" ht="16.25" spans="3:30"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52"/>
      <c r="Q437" s="52"/>
      <c r="R437" s="52"/>
      <c r="S437" s="52"/>
      <c r="T437" s="30"/>
      <c r="U437" s="30"/>
      <c r="V437" s="30"/>
      <c r="W437" s="30"/>
      <c r="X437" s="30"/>
      <c r="Y437" s="30"/>
      <c r="Z437" s="30"/>
      <c r="AA437" s="30"/>
      <c r="AB437" s="30"/>
      <c r="AC437" s="31"/>
      <c r="AD437" s="37"/>
    </row>
    <row r="438" ht="16.25" spans="3:30"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52"/>
      <c r="Q438" s="52"/>
      <c r="R438" s="52"/>
      <c r="S438" s="52"/>
      <c r="T438" s="30"/>
      <c r="U438" s="30"/>
      <c r="V438" s="30"/>
      <c r="W438" s="30"/>
      <c r="X438" s="30"/>
      <c r="Y438" s="30"/>
      <c r="Z438" s="30"/>
      <c r="AA438" s="30"/>
      <c r="AB438" s="30"/>
      <c r="AC438" s="31"/>
      <c r="AD438" s="37"/>
    </row>
    <row r="439" ht="16.25" spans="3:30"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52"/>
      <c r="Q439" s="52"/>
      <c r="R439" s="52"/>
      <c r="S439" s="52"/>
      <c r="T439" s="30"/>
      <c r="U439" s="30"/>
      <c r="V439" s="30"/>
      <c r="W439" s="30"/>
      <c r="X439" s="30"/>
      <c r="Y439" s="30"/>
      <c r="Z439" s="30"/>
      <c r="AA439" s="30"/>
      <c r="AB439" s="30"/>
      <c r="AC439" s="31"/>
      <c r="AD439" s="37"/>
    </row>
    <row r="440" ht="16.25" spans="3:30"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52"/>
      <c r="Q440" s="52"/>
      <c r="R440" s="52"/>
      <c r="S440" s="52"/>
      <c r="T440" s="30"/>
      <c r="U440" s="30"/>
      <c r="V440" s="30"/>
      <c r="W440" s="30"/>
      <c r="X440" s="30"/>
      <c r="Y440" s="30"/>
      <c r="Z440" s="30"/>
      <c r="AA440" s="30"/>
      <c r="AB440" s="30"/>
      <c r="AC440" s="31"/>
      <c r="AD440" s="37"/>
    </row>
    <row r="441" ht="16.25" spans="3:30"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52"/>
      <c r="Q441" s="52"/>
      <c r="R441" s="52"/>
      <c r="S441" s="52"/>
      <c r="T441" s="30"/>
      <c r="U441" s="30"/>
      <c r="V441" s="30"/>
      <c r="W441" s="30"/>
      <c r="X441" s="30"/>
      <c r="Y441" s="30"/>
      <c r="Z441" s="30"/>
      <c r="AA441" s="30"/>
      <c r="AB441" s="30"/>
      <c r="AC441" s="31"/>
      <c r="AD441" s="37"/>
    </row>
    <row r="442" ht="16.25" spans="3:30"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52"/>
      <c r="Q442" s="52"/>
      <c r="R442" s="52"/>
      <c r="S442" s="52"/>
      <c r="T442" s="30"/>
      <c r="U442" s="30"/>
      <c r="V442" s="30"/>
      <c r="W442" s="30"/>
      <c r="X442" s="30"/>
      <c r="Y442" s="30"/>
      <c r="Z442" s="30"/>
      <c r="AA442" s="30"/>
      <c r="AB442" s="30"/>
      <c r="AC442" s="31"/>
      <c r="AD442" s="37"/>
    </row>
    <row r="443" ht="16.25" spans="3:30"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52"/>
      <c r="Q443" s="52"/>
      <c r="R443" s="52"/>
      <c r="S443" s="52"/>
      <c r="T443" s="30"/>
      <c r="U443" s="30"/>
      <c r="V443" s="30"/>
      <c r="W443" s="30"/>
      <c r="X443" s="30"/>
      <c r="Y443" s="30"/>
      <c r="Z443" s="30"/>
      <c r="AA443" s="30"/>
      <c r="AB443" s="30"/>
      <c r="AC443" s="31"/>
      <c r="AD443" s="37"/>
    </row>
    <row r="444" ht="16.25" spans="3:30"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52"/>
      <c r="Q444" s="52"/>
      <c r="R444" s="52"/>
      <c r="S444" s="52"/>
      <c r="T444" s="30"/>
      <c r="U444" s="30"/>
      <c r="V444" s="30"/>
      <c r="W444" s="30"/>
      <c r="X444" s="30"/>
      <c r="Y444" s="30"/>
      <c r="Z444" s="30"/>
      <c r="AA444" s="30"/>
      <c r="AB444" s="30"/>
      <c r="AC444" s="31"/>
      <c r="AD444" s="37"/>
    </row>
    <row r="445" ht="16.25" spans="3:30"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52"/>
      <c r="Q445" s="52"/>
      <c r="R445" s="52"/>
      <c r="S445" s="52"/>
      <c r="T445" s="30"/>
      <c r="U445" s="30"/>
      <c r="V445" s="30"/>
      <c r="W445" s="30"/>
      <c r="X445" s="30"/>
      <c r="Y445" s="30"/>
      <c r="Z445" s="30"/>
      <c r="AA445" s="30"/>
      <c r="AB445" s="30"/>
      <c r="AC445" s="31"/>
      <c r="AD445" s="37"/>
    </row>
    <row r="446" ht="16.25" spans="3:30"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52"/>
      <c r="Q446" s="52"/>
      <c r="R446" s="52"/>
      <c r="S446" s="52"/>
      <c r="T446" s="30"/>
      <c r="U446" s="30"/>
      <c r="V446" s="30"/>
      <c r="W446" s="30"/>
      <c r="X446" s="30"/>
      <c r="Y446" s="30"/>
      <c r="Z446" s="30"/>
      <c r="AA446" s="30"/>
      <c r="AB446" s="30"/>
      <c r="AC446" s="31"/>
      <c r="AD446" s="37"/>
    </row>
    <row r="447" ht="16.25" spans="3:30"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52"/>
      <c r="Q447" s="52"/>
      <c r="R447" s="52"/>
      <c r="S447" s="52"/>
      <c r="T447" s="30"/>
      <c r="U447" s="30"/>
      <c r="V447" s="30"/>
      <c r="W447" s="30"/>
      <c r="X447" s="30"/>
      <c r="Y447" s="30"/>
      <c r="Z447" s="30"/>
      <c r="AA447" s="30"/>
      <c r="AB447" s="30"/>
      <c r="AC447" s="31"/>
      <c r="AD447" s="37"/>
    </row>
    <row r="448" ht="16.25" spans="3:30"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52"/>
      <c r="Q448" s="52"/>
      <c r="R448" s="52"/>
      <c r="S448" s="52"/>
      <c r="T448" s="30"/>
      <c r="U448" s="30"/>
      <c r="V448" s="30"/>
      <c r="W448" s="30"/>
      <c r="X448" s="30"/>
      <c r="Y448" s="30"/>
      <c r="Z448" s="30"/>
      <c r="AA448" s="30"/>
      <c r="AB448" s="30"/>
      <c r="AC448" s="31"/>
      <c r="AD448" s="37"/>
    </row>
    <row r="449" ht="16.25" spans="3:30"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52"/>
      <c r="Q449" s="52"/>
      <c r="R449" s="52"/>
      <c r="S449" s="52"/>
      <c r="T449" s="30"/>
      <c r="U449" s="30"/>
      <c r="V449" s="30"/>
      <c r="W449" s="30"/>
      <c r="X449" s="30"/>
      <c r="Y449" s="30"/>
      <c r="Z449" s="30"/>
      <c r="AA449" s="30"/>
      <c r="AB449" s="30"/>
      <c r="AC449" s="31"/>
      <c r="AD449" s="37"/>
    </row>
    <row r="450" ht="17" spans="3:30"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52"/>
      <c r="Q450" s="52"/>
      <c r="R450" s="52"/>
      <c r="S450" s="52"/>
      <c r="T450" s="30"/>
      <c r="U450" s="30"/>
      <c r="V450" s="30"/>
      <c r="W450" s="30"/>
      <c r="X450" s="30"/>
      <c r="Y450" s="30"/>
      <c r="Z450" s="30"/>
      <c r="AA450" s="30"/>
      <c r="AB450" s="30"/>
      <c r="AC450" s="31"/>
      <c r="AD450" s="37"/>
    </row>
    <row r="451" ht="16.25" spans="3:30"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56"/>
      <c r="Q451" s="56"/>
      <c r="R451" s="56"/>
      <c r="S451" s="56"/>
      <c r="T451" s="30"/>
      <c r="U451" s="30"/>
      <c r="V451" s="30"/>
      <c r="W451" s="30"/>
      <c r="X451" s="30"/>
      <c r="Y451" s="30"/>
      <c r="Z451" s="30"/>
      <c r="AA451" s="30"/>
      <c r="AB451" s="30"/>
      <c r="AC451" s="31"/>
      <c r="AD451" s="37"/>
    </row>
    <row r="452" ht="16.25" spans="3:30"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57"/>
      <c r="Q452" s="57"/>
      <c r="R452" s="57"/>
      <c r="S452" s="57"/>
      <c r="T452" s="30"/>
      <c r="U452" s="30"/>
      <c r="V452" s="30"/>
      <c r="W452" s="30"/>
      <c r="X452" s="30"/>
      <c r="Y452" s="30"/>
      <c r="Z452" s="30"/>
      <c r="AA452" s="30"/>
      <c r="AB452" s="30"/>
      <c r="AC452" s="31"/>
      <c r="AD452" s="37"/>
    </row>
    <row r="453" ht="17" spans="3:30"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58"/>
      <c r="Q453" s="58"/>
      <c r="R453" s="58"/>
      <c r="S453" s="58"/>
      <c r="T453" s="30"/>
      <c r="U453" s="30"/>
      <c r="V453" s="30"/>
      <c r="W453" s="30"/>
      <c r="X453" s="30"/>
      <c r="Y453" s="30"/>
      <c r="Z453" s="30"/>
      <c r="AA453" s="30"/>
      <c r="AB453" s="30"/>
      <c r="AC453" s="31"/>
      <c r="AD453" s="37"/>
    </row>
    <row r="454" ht="17" spans="3:30"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56"/>
      <c r="Q454" s="56"/>
      <c r="R454" s="56"/>
      <c r="S454" s="56"/>
      <c r="T454" s="30"/>
      <c r="U454" s="30"/>
      <c r="V454" s="30"/>
      <c r="W454" s="30"/>
      <c r="X454" s="30"/>
      <c r="Y454" s="30"/>
      <c r="Z454" s="30"/>
      <c r="AA454" s="30"/>
      <c r="AB454" s="30"/>
      <c r="AC454" s="31"/>
      <c r="AD454" s="37"/>
    </row>
    <row r="455" ht="17" spans="3:30"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56"/>
      <c r="Q455" s="56"/>
      <c r="R455" s="56"/>
      <c r="S455" s="56"/>
      <c r="T455" s="30"/>
      <c r="U455" s="30"/>
      <c r="V455" s="30"/>
      <c r="W455" s="30"/>
      <c r="X455" s="30"/>
      <c r="Y455" s="30"/>
      <c r="Z455" s="30"/>
      <c r="AA455" s="30"/>
      <c r="AB455" s="30"/>
      <c r="AC455" s="31"/>
      <c r="AD455" s="37"/>
    </row>
    <row r="456" ht="17" spans="3:30"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56"/>
      <c r="Q456" s="56"/>
      <c r="R456" s="56"/>
      <c r="S456" s="56"/>
      <c r="T456" s="30"/>
      <c r="U456" s="30"/>
      <c r="V456" s="30"/>
      <c r="W456" s="30"/>
      <c r="X456" s="30"/>
      <c r="Y456" s="30"/>
      <c r="Z456" s="30"/>
      <c r="AA456" s="30"/>
      <c r="AB456" s="30"/>
      <c r="AC456" s="31"/>
      <c r="AD456" s="37"/>
    </row>
    <row r="457" ht="16.25" spans="3:30"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56"/>
      <c r="Q457" s="56"/>
      <c r="R457" s="56"/>
      <c r="S457" s="56"/>
      <c r="T457" s="30"/>
      <c r="U457" s="30"/>
      <c r="V457" s="30"/>
      <c r="W457" s="30"/>
      <c r="X457" s="30"/>
      <c r="Y457" s="30"/>
      <c r="Z457" s="30"/>
      <c r="AA457" s="30"/>
      <c r="AB457" s="30"/>
      <c r="AC457" s="31"/>
      <c r="AD457" s="37"/>
    </row>
    <row r="458" ht="16.25" spans="3:30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30"/>
      <c r="U458" s="30"/>
      <c r="V458" s="30"/>
      <c r="W458" s="30"/>
      <c r="X458" s="30"/>
      <c r="Y458" s="30"/>
      <c r="Z458" s="30"/>
      <c r="AA458" s="30"/>
      <c r="AB458" s="30"/>
      <c r="AC458" s="31"/>
      <c r="AD458" s="37"/>
    </row>
    <row r="459" ht="16.25" spans="3:30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30"/>
      <c r="U459" s="30"/>
      <c r="V459" s="30"/>
      <c r="W459" s="30"/>
      <c r="X459" s="30"/>
      <c r="Y459" s="30"/>
      <c r="Z459" s="30"/>
      <c r="AA459" s="30"/>
      <c r="AB459" s="30"/>
      <c r="AC459" s="31"/>
      <c r="AD459" s="37"/>
    </row>
    <row r="460" ht="16.25" spans="3:30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30"/>
      <c r="U460" s="30"/>
      <c r="V460" s="30"/>
      <c r="W460" s="30"/>
      <c r="X460" s="30"/>
      <c r="Y460" s="30"/>
      <c r="Z460" s="30"/>
      <c r="AA460" s="30"/>
      <c r="AB460" s="30"/>
      <c r="AC460" s="31"/>
      <c r="AD460" s="37"/>
    </row>
    <row r="461" ht="16.25" spans="3:30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49"/>
      <c r="Q461" s="49"/>
      <c r="R461" s="49"/>
      <c r="S461" s="49"/>
      <c r="T461" s="30"/>
      <c r="U461" s="30"/>
      <c r="V461" s="30"/>
      <c r="W461" s="30"/>
      <c r="X461" s="30"/>
      <c r="Y461" s="30"/>
      <c r="Z461" s="30"/>
      <c r="AA461" s="30"/>
      <c r="AB461" s="30"/>
      <c r="AC461" s="31"/>
      <c r="AD461" s="37"/>
    </row>
    <row r="462" ht="16.25" spans="3:30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49"/>
      <c r="Q462" s="49"/>
      <c r="R462" s="49"/>
      <c r="S462" s="49"/>
      <c r="T462" s="30"/>
      <c r="U462" s="30"/>
      <c r="V462" s="30"/>
      <c r="W462" s="30"/>
      <c r="X462" s="30"/>
      <c r="Y462" s="30"/>
      <c r="Z462" s="30"/>
      <c r="AA462" s="30"/>
      <c r="AB462" s="30"/>
      <c r="AC462" s="31"/>
      <c r="AD462" s="37"/>
    </row>
    <row r="463" ht="16.25" spans="3:30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49"/>
      <c r="Q463" s="49"/>
      <c r="R463" s="49"/>
      <c r="S463" s="49"/>
      <c r="T463" s="30"/>
      <c r="U463" s="30"/>
      <c r="V463" s="30"/>
      <c r="W463" s="30"/>
      <c r="X463" s="30"/>
      <c r="Y463" s="30"/>
      <c r="Z463" s="30"/>
      <c r="AA463" s="30"/>
      <c r="AB463" s="30"/>
      <c r="AC463" s="31"/>
      <c r="AD463" s="37"/>
    </row>
    <row r="464" ht="16.25" spans="3:30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49"/>
      <c r="Q464" s="49"/>
      <c r="R464" s="49"/>
      <c r="S464" s="49"/>
      <c r="T464" s="30"/>
      <c r="U464" s="30"/>
      <c r="V464" s="30"/>
      <c r="W464" s="30"/>
      <c r="X464" s="30"/>
      <c r="Y464" s="30"/>
      <c r="Z464" s="30"/>
      <c r="AA464" s="30"/>
      <c r="AB464" s="30"/>
      <c r="AC464" s="31"/>
      <c r="AD464" s="37"/>
    </row>
    <row r="465" ht="16.25" spans="3:30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30"/>
      <c r="U465" s="30"/>
      <c r="V465" s="30"/>
      <c r="W465" s="30"/>
      <c r="X465" s="30"/>
      <c r="Y465" s="30"/>
      <c r="Z465" s="30"/>
      <c r="AA465" s="30"/>
      <c r="AB465" s="30"/>
      <c r="AC465" s="31"/>
      <c r="AD465" s="37"/>
    </row>
    <row r="466" ht="16.25" spans="3:30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30"/>
      <c r="U466" s="30"/>
      <c r="V466" s="30"/>
      <c r="W466" s="30"/>
      <c r="X466" s="30"/>
      <c r="Y466" s="30"/>
      <c r="Z466" s="30"/>
      <c r="AA466" s="30"/>
      <c r="AB466" s="30"/>
      <c r="AC466" s="31"/>
      <c r="AD466" s="37"/>
    </row>
    <row r="467" ht="16.25" spans="3:30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62"/>
      <c r="Q467" s="62"/>
      <c r="R467" s="62"/>
      <c r="S467" s="62"/>
      <c r="T467" s="30"/>
      <c r="U467" s="30"/>
      <c r="V467" s="30"/>
      <c r="W467" s="30"/>
      <c r="X467" s="30"/>
      <c r="Y467" s="30"/>
      <c r="Z467" s="30"/>
      <c r="AA467" s="30"/>
      <c r="AB467" s="30"/>
      <c r="AC467" s="31"/>
      <c r="AD467" s="37"/>
    </row>
    <row r="468" ht="16.25" spans="3:30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62"/>
      <c r="Q468" s="62"/>
      <c r="R468" s="62"/>
      <c r="S468" s="62"/>
      <c r="T468" s="30"/>
      <c r="U468" s="30"/>
      <c r="V468" s="30"/>
      <c r="W468" s="30"/>
      <c r="X468" s="30"/>
      <c r="Y468" s="30"/>
      <c r="Z468" s="30"/>
      <c r="AA468" s="30"/>
      <c r="AB468" s="30"/>
      <c r="AC468" s="31"/>
      <c r="AD468" s="37"/>
    </row>
    <row r="469" ht="16.25" spans="3:30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62"/>
      <c r="Q469" s="62"/>
      <c r="R469" s="62"/>
      <c r="S469" s="62"/>
      <c r="T469" s="30"/>
      <c r="U469" s="30"/>
      <c r="V469" s="30"/>
      <c r="W469" s="30"/>
      <c r="X469" s="30"/>
      <c r="Y469" s="30"/>
      <c r="Z469" s="30"/>
      <c r="AA469" s="30"/>
      <c r="AB469" s="30"/>
      <c r="AC469" s="31"/>
      <c r="AD469" s="37"/>
    </row>
    <row r="470" ht="16.25" spans="3:30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62"/>
      <c r="Q470" s="62"/>
      <c r="R470" s="62"/>
      <c r="S470" s="62"/>
      <c r="T470" s="30"/>
      <c r="U470" s="30"/>
      <c r="V470" s="30"/>
      <c r="W470" s="30"/>
      <c r="X470" s="30"/>
      <c r="Y470" s="30"/>
      <c r="Z470" s="30"/>
      <c r="AA470" s="30"/>
      <c r="AB470" s="30"/>
      <c r="AC470" s="31"/>
      <c r="AD470" s="37"/>
    </row>
    <row r="471" ht="16.25" spans="3:30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62"/>
      <c r="Q471" s="62"/>
      <c r="R471" s="62"/>
      <c r="S471" s="62"/>
      <c r="T471" s="30"/>
      <c r="U471" s="30"/>
      <c r="V471" s="30"/>
      <c r="W471" s="30"/>
      <c r="X471" s="30"/>
      <c r="Y471" s="30"/>
      <c r="Z471" s="30"/>
      <c r="AA471" s="30"/>
      <c r="AB471" s="30"/>
      <c r="AC471" s="31"/>
      <c r="AD471" s="37"/>
    </row>
    <row r="472" ht="16.25" spans="3:30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62"/>
      <c r="Q472" s="62"/>
      <c r="R472" s="62"/>
      <c r="S472" s="62"/>
      <c r="T472" s="30"/>
      <c r="U472" s="30"/>
      <c r="V472" s="30"/>
      <c r="W472" s="30"/>
      <c r="X472" s="30"/>
      <c r="Y472" s="30"/>
      <c r="Z472" s="30"/>
      <c r="AA472" s="30"/>
      <c r="AB472" s="30"/>
      <c r="AC472" s="31"/>
      <c r="AD472" s="37"/>
    </row>
    <row r="473" ht="16.25" spans="3:30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62"/>
      <c r="Q473" s="62"/>
      <c r="R473" s="62"/>
      <c r="S473" s="62"/>
      <c r="T473" s="30"/>
      <c r="U473" s="30"/>
      <c r="V473" s="30"/>
      <c r="W473" s="30"/>
      <c r="X473" s="30"/>
      <c r="Y473" s="30"/>
      <c r="Z473" s="30"/>
      <c r="AA473" s="30"/>
      <c r="AB473" s="30"/>
      <c r="AC473" s="31"/>
      <c r="AD473" s="37"/>
    </row>
    <row r="474" ht="16.25" spans="3:30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62"/>
      <c r="Q474" s="62"/>
      <c r="R474" s="62"/>
      <c r="S474" s="62"/>
      <c r="T474" s="30"/>
      <c r="U474" s="30"/>
      <c r="V474" s="30"/>
      <c r="W474" s="30"/>
      <c r="X474" s="30"/>
      <c r="Y474" s="30"/>
      <c r="Z474" s="30"/>
      <c r="AA474" s="30"/>
      <c r="AB474" s="30"/>
      <c r="AC474" s="31"/>
      <c r="AD474" s="37"/>
    </row>
    <row r="475" ht="16.25" spans="3:30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62"/>
      <c r="Q475" s="62"/>
      <c r="R475" s="62"/>
      <c r="S475" s="62"/>
      <c r="T475" s="30"/>
      <c r="U475" s="30"/>
      <c r="V475" s="30"/>
      <c r="W475" s="30"/>
      <c r="X475" s="30"/>
      <c r="Y475" s="30"/>
      <c r="Z475" s="30"/>
      <c r="AA475" s="30"/>
      <c r="AB475" s="30"/>
      <c r="AC475" s="31"/>
      <c r="AD475" s="37"/>
    </row>
    <row r="476" ht="16.25" spans="3:30"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52"/>
      <c r="Q476" s="52"/>
      <c r="R476" s="52"/>
      <c r="S476" s="52"/>
      <c r="T476" s="30"/>
      <c r="U476" s="30"/>
      <c r="V476" s="30"/>
      <c r="W476" s="30"/>
      <c r="X476" s="30"/>
      <c r="Y476" s="30"/>
      <c r="Z476" s="30"/>
      <c r="AA476" s="30"/>
      <c r="AB476" s="30"/>
      <c r="AC476" s="31"/>
      <c r="AD476" s="38"/>
    </row>
    <row r="477" ht="16.25" spans="3:30"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52"/>
      <c r="Q477" s="52"/>
      <c r="R477" s="52"/>
      <c r="S477" s="52"/>
      <c r="T477" s="30"/>
      <c r="U477" s="30"/>
      <c r="V477" s="30"/>
      <c r="W477" s="30"/>
      <c r="X477" s="30"/>
      <c r="Y477" s="30"/>
      <c r="Z477" s="30"/>
      <c r="AA477" s="30"/>
      <c r="AB477" s="30"/>
      <c r="AC477" s="31"/>
      <c r="AD477" s="38"/>
    </row>
    <row r="478" ht="16.25" spans="3:30"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52"/>
      <c r="Q478" s="52"/>
      <c r="R478" s="52"/>
      <c r="S478" s="52"/>
      <c r="T478" s="30"/>
      <c r="U478" s="30"/>
      <c r="V478" s="30"/>
      <c r="W478" s="30"/>
      <c r="X478" s="30"/>
      <c r="Y478" s="30"/>
      <c r="Z478" s="30"/>
      <c r="AA478" s="30"/>
      <c r="AB478" s="30"/>
      <c r="AC478" s="31"/>
      <c r="AD478" s="38"/>
    </row>
    <row r="479" ht="16.25" spans="3:30"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52"/>
      <c r="Q479" s="52"/>
      <c r="R479" s="52"/>
      <c r="S479" s="52"/>
      <c r="T479" s="30"/>
      <c r="U479" s="30"/>
      <c r="V479" s="30"/>
      <c r="W479" s="30"/>
      <c r="X479" s="30"/>
      <c r="Y479" s="30"/>
      <c r="Z479" s="30"/>
      <c r="AA479" s="30"/>
      <c r="AB479" s="30"/>
      <c r="AC479" s="31"/>
      <c r="AD479" s="38"/>
    </row>
    <row r="480" ht="16.25" spans="3:30"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52"/>
      <c r="Q480" s="52"/>
      <c r="R480" s="52"/>
      <c r="S480" s="52"/>
      <c r="T480" s="30"/>
      <c r="U480" s="30"/>
      <c r="V480" s="30"/>
      <c r="W480" s="30"/>
      <c r="X480" s="30"/>
      <c r="Y480" s="30"/>
      <c r="Z480" s="30"/>
      <c r="AA480" s="30"/>
      <c r="AB480" s="30"/>
      <c r="AC480" s="31"/>
      <c r="AD480" s="38"/>
    </row>
    <row r="481" ht="16.25" spans="3:30"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52"/>
      <c r="Q481" s="52"/>
      <c r="R481" s="52"/>
      <c r="S481" s="52"/>
      <c r="T481" s="30"/>
      <c r="U481" s="30"/>
      <c r="V481" s="30"/>
      <c r="W481" s="30"/>
      <c r="X481" s="30"/>
      <c r="Y481" s="30"/>
      <c r="Z481" s="30"/>
      <c r="AA481" s="30"/>
      <c r="AB481" s="30"/>
      <c r="AC481" s="31"/>
      <c r="AD481" s="38"/>
    </row>
    <row r="482" ht="16.25" spans="3:30"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52"/>
      <c r="Q482" s="52"/>
      <c r="R482" s="52"/>
      <c r="S482" s="52"/>
      <c r="T482" s="30"/>
      <c r="U482" s="30"/>
      <c r="V482" s="30"/>
      <c r="W482" s="30"/>
      <c r="X482" s="30"/>
      <c r="Y482" s="30"/>
      <c r="Z482" s="30"/>
      <c r="AA482" s="30"/>
      <c r="AB482" s="30"/>
      <c r="AC482" s="31"/>
      <c r="AD482" s="38"/>
    </row>
    <row r="483" ht="16.25" spans="3:30"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52"/>
      <c r="Q483" s="52"/>
      <c r="R483" s="52"/>
      <c r="S483" s="52"/>
      <c r="T483" s="30"/>
      <c r="U483" s="30"/>
      <c r="V483" s="30"/>
      <c r="W483" s="30"/>
      <c r="X483" s="30"/>
      <c r="Y483" s="30"/>
      <c r="Z483" s="30"/>
      <c r="AA483" s="30"/>
      <c r="AB483" s="30"/>
      <c r="AC483" s="31"/>
      <c r="AD483" s="38"/>
    </row>
    <row r="484" ht="16.25" spans="3:30"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52"/>
      <c r="Q484" s="52"/>
      <c r="R484" s="52"/>
      <c r="S484" s="52"/>
      <c r="T484" s="30"/>
      <c r="U484" s="30"/>
      <c r="V484" s="30"/>
      <c r="W484" s="30"/>
      <c r="X484" s="30"/>
      <c r="Y484" s="30"/>
      <c r="Z484" s="30"/>
      <c r="AA484" s="30"/>
      <c r="AB484" s="30"/>
      <c r="AC484" s="31"/>
      <c r="AD484" s="38"/>
    </row>
    <row r="485" ht="16.25" spans="3:30"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52"/>
      <c r="Q485" s="52"/>
      <c r="R485" s="52"/>
      <c r="S485" s="52"/>
      <c r="T485" s="30"/>
      <c r="U485" s="30"/>
      <c r="V485" s="30"/>
      <c r="W485" s="30"/>
      <c r="X485" s="30"/>
      <c r="Y485" s="30"/>
      <c r="Z485" s="30"/>
      <c r="AA485" s="30"/>
      <c r="AB485" s="30"/>
      <c r="AC485" s="31"/>
      <c r="AD485" s="38"/>
    </row>
    <row r="486" ht="16.25" spans="3:30"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52"/>
      <c r="Q486" s="52"/>
      <c r="R486" s="52"/>
      <c r="S486" s="52"/>
      <c r="T486" s="30"/>
      <c r="U486" s="30"/>
      <c r="V486" s="30"/>
      <c r="W486" s="30"/>
      <c r="X486" s="30"/>
      <c r="Y486" s="30"/>
      <c r="Z486" s="30"/>
      <c r="AA486" s="30"/>
      <c r="AB486" s="30"/>
      <c r="AC486" s="31"/>
      <c r="AD486" s="38"/>
    </row>
    <row r="487" ht="16.25" spans="3:30"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52"/>
      <c r="Q487" s="52"/>
      <c r="R487" s="52"/>
      <c r="S487" s="52"/>
      <c r="T487" s="30"/>
      <c r="U487" s="30"/>
      <c r="V487" s="30"/>
      <c r="W487" s="30"/>
      <c r="X487" s="30"/>
      <c r="Y487" s="30"/>
      <c r="Z487" s="30"/>
      <c r="AA487" s="30"/>
      <c r="AB487" s="30"/>
      <c r="AC487" s="31"/>
      <c r="AD487" s="38"/>
    </row>
    <row r="488" ht="16.25" spans="3:30"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52"/>
      <c r="Q488" s="52"/>
      <c r="R488" s="52"/>
      <c r="S488" s="52"/>
      <c r="T488" s="30"/>
      <c r="U488" s="30"/>
      <c r="V488" s="30"/>
      <c r="W488" s="30"/>
      <c r="X488" s="30"/>
      <c r="Y488" s="30"/>
      <c r="Z488" s="30"/>
      <c r="AA488" s="30"/>
      <c r="AB488" s="30"/>
      <c r="AC488" s="31"/>
      <c r="AD488" s="38"/>
    </row>
    <row r="489" ht="16.25" spans="3:30"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52"/>
      <c r="Q489" s="52"/>
      <c r="R489" s="52"/>
      <c r="S489" s="52"/>
      <c r="T489" s="30"/>
      <c r="U489" s="30"/>
      <c r="V489" s="30"/>
      <c r="W489" s="30"/>
      <c r="X489" s="30"/>
      <c r="Y489" s="30"/>
      <c r="Z489" s="30"/>
      <c r="AA489" s="30"/>
      <c r="AB489" s="30"/>
      <c r="AC489" s="31"/>
      <c r="AD489" s="38"/>
    </row>
    <row r="490" ht="16.25" spans="3:30"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52"/>
      <c r="Q490" s="52"/>
      <c r="R490" s="52"/>
      <c r="S490" s="52"/>
      <c r="T490" s="30"/>
      <c r="U490" s="30"/>
      <c r="V490" s="30"/>
      <c r="W490" s="30"/>
      <c r="X490" s="30"/>
      <c r="Y490" s="30"/>
      <c r="Z490" s="30"/>
      <c r="AA490" s="30"/>
      <c r="AB490" s="30"/>
      <c r="AC490" s="31"/>
      <c r="AD490" s="38"/>
    </row>
    <row r="491" ht="17" spans="3:30"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52"/>
      <c r="Q491" s="52"/>
      <c r="R491" s="52"/>
      <c r="S491" s="52"/>
      <c r="T491" s="30"/>
      <c r="U491" s="30"/>
      <c r="V491" s="30"/>
      <c r="W491" s="30"/>
      <c r="X491" s="30"/>
      <c r="Y491" s="30"/>
      <c r="Z491" s="30"/>
      <c r="AA491" s="30"/>
      <c r="AB491" s="30"/>
      <c r="AC491" s="31"/>
      <c r="AD491" s="38"/>
    </row>
    <row r="492" ht="16.25" spans="3:30"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56"/>
      <c r="Q492" s="56"/>
      <c r="R492" s="56"/>
      <c r="S492" s="56"/>
      <c r="T492" s="30"/>
      <c r="U492" s="30"/>
      <c r="V492" s="30"/>
      <c r="W492" s="30"/>
      <c r="X492" s="30"/>
      <c r="Y492" s="30"/>
      <c r="Z492" s="30"/>
      <c r="AA492" s="30"/>
      <c r="AB492" s="30"/>
      <c r="AC492" s="31"/>
      <c r="AD492" s="38"/>
    </row>
    <row r="493" ht="16.25" spans="3:30"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57"/>
      <c r="Q493" s="57"/>
      <c r="R493" s="57"/>
      <c r="S493" s="57"/>
      <c r="T493" s="30"/>
      <c r="U493" s="30"/>
      <c r="V493" s="30"/>
      <c r="W493" s="30"/>
      <c r="X493" s="30"/>
      <c r="Y493" s="30"/>
      <c r="Z493" s="30"/>
      <c r="AA493" s="30"/>
      <c r="AB493" s="30"/>
      <c r="AC493" s="31"/>
      <c r="AD493" s="38"/>
    </row>
    <row r="494" ht="16.25" spans="3:30"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57"/>
      <c r="Q494" s="57"/>
      <c r="R494" s="57"/>
      <c r="S494" s="57"/>
      <c r="T494" s="30"/>
      <c r="U494" s="30"/>
      <c r="V494" s="30"/>
      <c r="W494" s="30"/>
      <c r="X494" s="30"/>
      <c r="Y494" s="30"/>
      <c r="Z494" s="30"/>
      <c r="AA494" s="30"/>
      <c r="AB494" s="30"/>
      <c r="AC494" s="31"/>
      <c r="AD494" s="38"/>
    </row>
    <row r="495" ht="17" spans="3:30"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58"/>
      <c r="Q495" s="58"/>
      <c r="R495" s="58"/>
      <c r="S495" s="58"/>
      <c r="T495" s="30"/>
      <c r="U495" s="30"/>
      <c r="V495" s="30"/>
      <c r="W495" s="30"/>
      <c r="X495" s="30"/>
      <c r="Y495" s="30"/>
      <c r="Z495" s="30"/>
      <c r="AA495" s="30"/>
      <c r="AB495" s="30"/>
      <c r="AC495" s="31"/>
      <c r="AD495" s="38"/>
    </row>
    <row r="496" ht="16.25" spans="3:30"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63"/>
      <c r="Q496" s="63"/>
      <c r="R496" s="63"/>
      <c r="S496" s="63"/>
      <c r="T496" s="30"/>
      <c r="U496" s="30"/>
      <c r="V496" s="30"/>
      <c r="W496" s="30"/>
      <c r="X496" s="30"/>
      <c r="Y496" s="30"/>
      <c r="Z496" s="30"/>
      <c r="AA496" s="30"/>
      <c r="AB496" s="30"/>
      <c r="AC496" s="31"/>
      <c r="AD496" s="38"/>
    </row>
    <row r="497" ht="16.25" spans="3:30"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57"/>
      <c r="Q497" s="57"/>
      <c r="R497" s="57"/>
      <c r="S497" s="57"/>
      <c r="T497" s="30"/>
      <c r="U497" s="30"/>
      <c r="V497" s="30"/>
      <c r="W497" s="30"/>
      <c r="X497" s="30"/>
      <c r="Y497" s="30"/>
      <c r="Z497" s="30"/>
      <c r="AA497" s="30"/>
      <c r="AB497" s="30"/>
      <c r="AC497" s="31"/>
      <c r="AD497" s="44"/>
    </row>
    <row r="498" ht="17" spans="3:30"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58"/>
      <c r="Q498" s="58"/>
      <c r="R498" s="58"/>
      <c r="S498" s="58"/>
      <c r="T498" s="30"/>
      <c r="U498" s="30"/>
      <c r="V498" s="30"/>
      <c r="W498" s="30"/>
      <c r="X498" s="30"/>
      <c r="Y498" s="30"/>
      <c r="Z498" s="30"/>
      <c r="AA498" s="30"/>
      <c r="AB498" s="30"/>
      <c r="AC498" s="31"/>
      <c r="AD498" s="44"/>
    </row>
    <row r="499" ht="16.25" spans="3:30"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52"/>
      <c r="Q499" s="52"/>
      <c r="R499" s="52"/>
      <c r="S499" s="52"/>
      <c r="T499" s="30"/>
      <c r="U499" s="30"/>
      <c r="V499" s="30"/>
      <c r="W499" s="30"/>
      <c r="X499" s="30"/>
      <c r="Y499" s="30"/>
      <c r="Z499" s="30"/>
      <c r="AA499" s="30"/>
      <c r="AB499" s="30"/>
      <c r="AC499" s="31"/>
      <c r="AD499" s="37"/>
    </row>
    <row r="500" ht="16.25" spans="3:30"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52"/>
      <c r="Q500" s="52"/>
      <c r="R500" s="52"/>
      <c r="S500" s="52"/>
      <c r="T500" s="30"/>
      <c r="U500" s="30"/>
      <c r="V500" s="30"/>
      <c r="W500" s="30"/>
      <c r="X500" s="30"/>
      <c r="Y500" s="30"/>
      <c r="Z500" s="30"/>
      <c r="AA500" s="30"/>
      <c r="AB500" s="30"/>
      <c r="AC500" s="31"/>
      <c r="AD500" s="37"/>
    </row>
    <row r="501" ht="16.25" spans="3:30"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52"/>
      <c r="Q501" s="52"/>
      <c r="R501" s="52"/>
      <c r="S501" s="52"/>
      <c r="T501" s="30"/>
      <c r="U501" s="30"/>
      <c r="V501" s="30"/>
      <c r="W501" s="30"/>
      <c r="X501" s="30"/>
      <c r="Y501" s="30"/>
      <c r="Z501" s="30"/>
      <c r="AA501" s="30"/>
      <c r="AB501" s="30"/>
      <c r="AC501" s="31"/>
      <c r="AD501" s="37"/>
    </row>
    <row r="502" ht="16.25" spans="3:30"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52"/>
      <c r="Q502" s="52"/>
      <c r="R502" s="52"/>
      <c r="S502" s="52"/>
      <c r="T502" s="30"/>
      <c r="U502" s="30"/>
      <c r="V502" s="30"/>
      <c r="W502" s="30"/>
      <c r="X502" s="30"/>
      <c r="Y502" s="30"/>
      <c r="Z502" s="30"/>
      <c r="AA502" s="30"/>
      <c r="AB502" s="30"/>
      <c r="AC502" s="31"/>
      <c r="AD502" s="37"/>
    </row>
    <row r="503" ht="16.25" spans="3:30"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52"/>
      <c r="Q503" s="52"/>
      <c r="R503" s="52"/>
      <c r="S503" s="52"/>
      <c r="T503" s="30"/>
      <c r="U503" s="30"/>
      <c r="V503" s="30"/>
      <c r="W503" s="30"/>
      <c r="X503" s="30"/>
      <c r="Y503" s="30"/>
      <c r="Z503" s="30"/>
      <c r="AA503" s="30"/>
      <c r="AB503" s="30"/>
      <c r="AC503" s="31"/>
      <c r="AD503" s="37"/>
    </row>
    <row r="504" ht="16.25" spans="3:30"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52"/>
      <c r="Q504" s="52"/>
      <c r="R504" s="52"/>
      <c r="S504" s="52"/>
      <c r="T504" s="30"/>
      <c r="U504" s="30"/>
      <c r="V504" s="30"/>
      <c r="W504" s="30"/>
      <c r="X504" s="30"/>
      <c r="Y504" s="30"/>
      <c r="Z504" s="30"/>
      <c r="AA504" s="30"/>
      <c r="AB504" s="30"/>
      <c r="AC504" s="31"/>
      <c r="AD504" s="37"/>
    </row>
    <row r="505" ht="16.25" spans="3:30"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52"/>
      <c r="Q505" s="52"/>
      <c r="R505" s="52"/>
      <c r="S505" s="52"/>
      <c r="T505" s="30"/>
      <c r="U505" s="30"/>
      <c r="V505" s="30"/>
      <c r="W505" s="30"/>
      <c r="X505" s="30"/>
      <c r="Y505" s="30"/>
      <c r="Z505" s="30"/>
      <c r="AA505" s="30"/>
      <c r="AB505" s="30"/>
      <c r="AC505" s="31"/>
      <c r="AD505" s="37"/>
    </row>
    <row r="506" ht="16.25" spans="3:30"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52"/>
      <c r="Q506" s="52"/>
      <c r="R506" s="52"/>
      <c r="S506" s="52"/>
      <c r="T506" s="30"/>
      <c r="U506" s="30"/>
      <c r="V506" s="30"/>
      <c r="W506" s="30"/>
      <c r="X506" s="30"/>
      <c r="Y506" s="30"/>
      <c r="Z506" s="30"/>
      <c r="AA506" s="30"/>
      <c r="AB506" s="30"/>
      <c r="AC506" s="31"/>
      <c r="AD506" s="37"/>
    </row>
    <row r="507" ht="16.25" spans="3:30"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52"/>
      <c r="Q507" s="52"/>
      <c r="R507" s="52"/>
      <c r="S507" s="52"/>
      <c r="T507" s="30"/>
      <c r="U507" s="30"/>
      <c r="V507" s="30"/>
      <c r="W507" s="30"/>
      <c r="X507" s="30"/>
      <c r="Y507" s="30"/>
      <c r="Z507" s="30"/>
      <c r="AA507" s="30"/>
      <c r="AB507" s="30"/>
      <c r="AC507" s="31"/>
      <c r="AD507" s="37"/>
    </row>
    <row r="508" ht="16.25" spans="3:30"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52"/>
      <c r="Q508" s="52"/>
      <c r="R508" s="52"/>
      <c r="S508" s="52"/>
      <c r="T508" s="30"/>
      <c r="U508" s="30"/>
      <c r="V508" s="30"/>
      <c r="W508" s="30"/>
      <c r="X508" s="30"/>
      <c r="Y508" s="30"/>
      <c r="Z508" s="30"/>
      <c r="AA508" s="30"/>
      <c r="AB508" s="30"/>
      <c r="AC508" s="31"/>
      <c r="AD508" s="37"/>
    </row>
    <row r="509" ht="16.25" spans="3:30"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52"/>
      <c r="Q509" s="52"/>
      <c r="R509" s="52"/>
      <c r="S509" s="52"/>
      <c r="T509" s="30"/>
      <c r="U509" s="30"/>
      <c r="V509" s="30"/>
      <c r="W509" s="30"/>
      <c r="X509" s="30"/>
      <c r="Y509" s="30"/>
      <c r="Z509" s="30"/>
      <c r="AA509" s="30"/>
      <c r="AB509" s="30"/>
      <c r="AC509" s="31"/>
      <c r="AD509" s="37"/>
    </row>
    <row r="510" ht="16.25" spans="3:30"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52"/>
      <c r="Q510" s="52"/>
      <c r="R510" s="52"/>
      <c r="S510" s="52"/>
      <c r="T510" s="30"/>
      <c r="U510" s="30"/>
      <c r="V510" s="30"/>
      <c r="W510" s="30"/>
      <c r="X510" s="30"/>
      <c r="Y510" s="30"/>
      <c r="Z510" s="30"/>
      <c r="AA510" s="30"/>
      <c r="AB510" s="30"/>
      <c r="AC510" s="31"/>
      <c r="AD510" s="37"/>
    </row>
    <row r="511" ht="16.25" spans="3:30"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52"/>
      <c r="Q511" s="52"/>
      <c r="R511" s="52"/>
      <c r="S511" s="52"/>
      <c r="T511" s="30"/>
      <c r="U511" s="30"/>
      <c r="V511" s="30"/>
      <c r="W511" s="30"/>
      <c r="X511" s="30"/>
      <c r="Y511" s="30"/>
      <c r="Z511" s="30"/>
      <c r="AA511" s="30"/>
      <c r="AB511" s="30"/>
      <c r="AC511" s="31"/>
      <c r="AD511" s="37"/>
    </row>
    <row r="512" ht="16.25" spans="3:30"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52"/>
      <c r="Q512" s="52"/>
      <c r="R512" s="52"/>
      <c r="S512" s="52"/>
      <c r="T512" s="30"/>
      <c r="U512" s="30"/>
      <c r="V512" s="30"/>
      <c r="W512" s="30"/>
      <c r="X512" s="30"/>
      <c r="Y512" s="30"/>
      <c r="Z512" s="30"/>
      <c r="AA512" s="30"/>
      <c r="AB512" s="30"/>
      <c r="AC512" s="31"/>
      <c r="AD512" s="37"/>
    </row>
    <row r="513" ht="16.25" spans="3:30"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52"/>
      <c r="Q513" s="52"/>
      <c r="R513" s="52"/>
      <c r="S513" s="52"/>
      <c r="T513" s="30"/>
      <c r="U513" s="30"/>
      <c r="V513" s="30"/>
      <c r="W513" s="30"/>
      <c r="X513" s="30"/>
      <c r="Y513" s="30"/>
      <c r="Z513" s="30"/>
      <c r="AA513" s="30"/>
      <c r="AB513" s="30"/>
      <c r="AC513" s="31"/>
      <c r="AD513" s="37"/>
    </row>
    <row r="514" ht="17" spans="3:30"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52"/>
      <c r="Q514" s="52"/>
      <c r="R514" s="52"/>
      <c r="S514" s="52"/>
      <c r="T514" s="30"/>
      <c r="U514" s="30"/>
      <c r="V514" s="30"/>
      <c r="W514" s="30"/>
      <c r="X514" s="30"/>
      <c r="Y514" s="30"/>
      <c r="Z514" s="30"/>
      <c r="AA514" s="30"/>
      <c r="AB514" s="30"/>
      <c r="AC514" s="31"/>
      <c r="AD514" s="37"/>
    </row>
    <row r="515" ht="16.25" spans="3:30"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56"/>
      <c r="Q515" s="56"/>
      <c r="R515" s="56"/>
      <c r="S515" s="56"/>
      <c r="T515" s="30"/>
      <c r="U515" s="30"/>
      <c r="V515" s="30"/>
      <c r="W515" s="30"/>
      <c r="X515" s="30"/>
      <c r="Y515" s="30"/>
      <c r="Z515" s="30"/>
      <c r="AA515" s="30"/>
      <c r="AB515" s="30"/>
      <c r="AC515" s="31"/>
      <c r="AD515" s="37"/>
    </row>
    <row r="516" ht="16.25" spans="3:30"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57"/>
      <c r="Q516" s="57"/>
      <c r="R516" s="57"/>
      <c r="S516" s="57"/>
      <c r="T516" s="30"/>
      <c r="U516" s="30"/>
      <c r="V516" s="30"/>
      <c r="W516" s="30"/>
      <c r="X516" s="30"/>
      <c r="Y516" s="30"/>
      <c r="Z516" s="30"/>
      <c r="AA516" s="30"/>
      <c r="AB516" s="30"/>
      <c r="AC516" s="31"/>
      <c r="AD516" s="37"/>
    </row>
    <row r="517" ht="16.25" spans="3:30"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57"/>
      <c r="Q517" s="57"/>
      <c r="R517" s="57"/>
      <c r="S517" s="57"/>
      <c r="T517" s="30"/>
      <c r="U517" s="30"/>
      <c r="V517" s="30"/>
      <c r="W517" s="30"/>
      <c r="X517" s="30"/>
      <c r="Y517" s="30"/>
      <c r="Z517" s="30"/>
      <c r="AA517" s="30"/>
      <c r="AB517" s="30"/>
      <c r="AC517" s="31"/>
      <c r="AD517" s="37"/>
    </row>
    <row r="518" ht="17" spans="3:30"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58"/>
      <c r="Q518" s="58"/>
      <c r="R518" s="58"/>
      <c r="S518" s="58"/>
      <c r="T518" s="30"/>
      <c r="U518" s="30"/>
      <c r="V518" s="30"/>
      <c r="W518" s="30"/>
      <c r="X518" s="30"/>
      <c r="Y518" s="30"/>
      <c r="Z518" s="30"/>
      <c r="AA518" s="30"/>
      <c r="AB518" s="30"/>
      <c r="AC518" s="31"/>
      <c r="AD518" s="37"/>
    </row>
    <row r="519" ht="16.25" spans="3:30"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63"/>
      <c r="Q519" s="63"/>
      <c r="R519" s="63"/>
      <c r="S519" s="63"/>
      <c r="T519" s="30"/>
      <c r="U519" s="30"/>
      <c r="V519" s="30"/>
      <c r="W519" s="30"/>
      <c r="X519" s="30"/>
      <c r="Y519" s="30"/>
      <c r="Z519" s="30"/>
      <c r="AA519" s="30"/>
      <c r="AB519" s="30"/>
      <c r="AC519" s="31"/>
      <c r="AD519" s="37"/>
    </row>
    <row r="520" ht="16.25" spans="3:30"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57"/>
      <c r="Q520" s="57"/>
      <c r="R520" s="57"/>
      <c r="S520" s="57"/>
      <c r="T520" s="30"/>
      <c r="U520" s="30"/>
      <c r="V520" s="30"/>
      <c r="W520" s="30"/>
      <c r="X520" s="30"/>
      <c r="Y520" s="30"/>
      <c r="Z520" s="30"/>
      <c r="AA520" s="30"/>
      <c r="AB520" s="30"/>
      <c r="AC520" s="31"/>
      <c r="AD520" s="59"/>
    </row>
    <row r="521" ht="17" spans="3:30"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58"/>
      <c r="Q521" s="58"/>
      <c r="R521" s="58"/>
      <c r="S521" s="58"/>
      <c r="T521" s="30"/>
      <c r="U521" s="30"/>
      <c r="V521" s="30"/>
      <c r="W521" s="30"/>
      <c r="X521" s="30"/>
      <c r="Y521" s="30"/>
      <c r="Z521" s="30"/>
      <c r="AA521" s="30"/>
      <c r="AB521" s="30"/>
      <c r="AC521" s="31"/>
      <c r="AD521" s="59"/>
    </row>
  </sheetData>
  <autoFilter ref="A1:N185">
    <filterColumn colId="1">
      <filters>
        <filter val="Lv.60英雄低速武器-物理坦克"/>
        <filter val="Lv.60英雄低速武器-物理战士"/>
        <filter val="Lv.50英雄低速武器-元素刺客"/>
        <filter val="Lv.60英雄低速武器-元素刺客"/>
        <filter val="Lv.50英雄低速武器-敏暴刺客"/>
        <filter val="Lv.60英雄低速武器-敏暴刺客"/>
        <filter val="Lv.60英雄低速武器-物理辅助"/>
        <filter val="Lv.50英雄低速武器-闪避刺客"/>
        <filter val="Lv.60英雄低速武器-闪避刺客"/>
        <filter val="Lv.50英雄低速武器-元素辅助"/>
        <filter val="Lv.60英雄低速武器-元素辅助"/>
        <filter val="Lv.50英雄低速武器-物理辅助"/>
        <filter val="Lv.50英雄低速武器-元素坦克"/>
        <filter val="Lv.50英雄低速武器-元素战士"/>
        <filter val="Lv.60英雄低速武器-元素坦克"/>
        <filter val="Lv.60英雄低速武器-元素战士"/>
        <filter val="Lv.50英雄低速武器-物理坦克"/>
        <filter val="Lv.50英雄低速武器-物理战士"/>
      </filters>
    </filterColumn>
    <extLst/>
  </autoFilter>
  <mergeCells count="8">
    <mergeCell ref="C1:D1"/>
    <mergeCell ref="E1:F1"/>
    <mergeCell ref="G1:I1"/>
    <mergeCell ref="J1:M1"/>
    <mergeCell ref="P1:Q1"/>
    <mergeCell ref="R1:S1"/>
    <mergeCell ref="T1:V1"/>
    <mergeCell ref="W1:Z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5:E47"/>
  <sheetViews>
    <sheetView workbookViewId="0">
      <selection activeCell="G48" sqref="G48"/>
    </sheetView>
  </sheetViews>
  <sheetFormatPr defaultColWidth="9" defaultRowHeight="14.1" outlineLevelCol="4"/>
  <sheetData>
    <row r="5" spans="4:5">
      <c r="D5" s="3">
        <v>1</v>
      </c>
      <c r="E5" s="4" t="s">
        <v>309</v>
      </c>
    </row>
    <row r="6" spans="4:5">
      <c r="D6" s="3">
        <v>2</v>
      </c>
      <c r="E6" s="4" t="s">
        <v>311</v>
      </c>
    </row>
    <row r="7" spans="4:5">
      <c r="D7" s="3">
        <v>3</v>
      </c>
      <c r="E7" s="4" t="s">
        <v>310</v>
      </c>
    </row>
    <row r="8" spans="4:5">
      <c r="D8" s="3">
        <v>4</v>
      </c>
      <c r="E8" s="4" t="s">
        <v>394</v>
      </c>
    </row>
    <row r="9" spans="4:5">
      <c r="D9" s="3">
        <v>5</v>
      </c>
      <c r="E9" s="4" t="s">
        <v>339</v>
      </c>
    </row>
    <row r="10" spans="4:5">
      <c r="D10" s="3">
        <v>6</v>
      </c>
      <c r="E10" s="4" t="s">
        <v>315</v>
      </c>
    </row>
    <row r="11" spans="4:5">
      <c r="D11" s="3">
        <v>7</v>
      </c>
      <c r="E11" s="4" t="s">
        <v>317</v>
      </c>
    </row>
    <row r="12" spans="4:5">
      <c r="D12" s="3">
        <v>8</v>
      </c>
      <c r="E12" s="4" t="s">
        <v>313</v>
      </c>
    </row>
    <row r="13" spans="4:5">
      <c r="D13" s="3">
        <v>9</v>
      </c>
      <c r="E13" s="4" t="s">
        <v>355</v>
      </c>
    </row>
    <row r="14" spans="4:5">
      <c r="D14" s="3">
        <v>10</v>
      </c>
      <c r="E14" s="4" t="s">
        <v>319</v>
      </c>
    </row>
    <row r="15" spans="4:5">
      <c r="D15" s="3">
        <v>11</v>
      </c>
      <c r="E15" s="4" t="s">
        <v>337</v>
      </c>
    </row>
    <row r="16" spans="4:5">
      <c r="D16" s="3"/>
      <c r="E16" s="4"/>
    </row>
    <row r="17" spans="4:5">
      <c r="D17" s="3"/>
      <c r="E17" s="4"/>
    </row>
    <row r="18" spans="4:5">
      <c r="D18" s="3"/>
      <c r="E18" s="4"/>
    </row>
    <row r="19" spans="4:5">
      <c r="D19" s="3"/>
      <c r="E19" s="4"/>
    </row>
    <row r="20" spans="4:5">
      <c r="D20" s="3"/>
      <c r="E20" s="4"/>
    </row>
    <row r="21" spans="4:5">
      <c r="D21" s="3"/>
      <c r="E21" s="4"/>
    </row>
    <row r="22" spans="4:5">
      <c r="D22" s="3"/>
      <c r="E22" s="4"/>
    </row>
    <row r="23" spans="4:5">
      <c r="D23" s="3"/>
      <c r="E23" s="4"/>
    </row>
    <row r="24" spans="4:5">
      <c r="D24" s="3"/>
      <c r="E24" s="4"/>
    </row>
    <row r="25" spans="4:5">
      <c r="D25" s="3"/>
      <c r="E25" s="4"/>
    </row>
    <row r="26" spans="4:5">
      <c r="D26" s="3"/>
      <c r="E26" s="4"/>
    </row>
    <row r="27" spans="4:5">
      <c r="D27" s="3"/>
      <c r="E27" s="4"/>
    </row>
    <row r="28" spans="4:5">
      <c r="D28" s="3"/>
      <c r="E28" s="4"/>
    </row>
    <row r="29" spans="4:5">
      <c r="D29" s="3"/>
      <c r="E29" s="4"/>
    </row>
    <row r="30" spans="4:5">
      <c r="D30" s="3">
        <v>26</v>
      </c>
      <c r="E30" s="4" t="s">
        <v>334</v>
      </c>
    </row>
    <row r="31" spans="4:5">
      <c r="D31" s="3"/>
      <c r="E31" s="4"/>
    </row>
    <row r="32" spans="4:5">
      <c r="D32" s="3"/>
      <c r="E32" s="4"/>
    </row>
    <row r="33" spans="4:5">
      <c r="D33" s="3"/>
      <c r="E33" s="4"/>
    </row>
    <row r="34" spans="4:5">
      <c r="D34" s="3"/>
      <c r="E34" s="4"/>
    </row>
    <row r="35" spans="4:5">
      <c r="D35" s="3"/>
      <c r="E35" s="4"/>
    </row>
    <row r="36" spans="4:5">
      <c r="D36" s="3"/>
      <c r="E36" s="4"/>
    </row>
    <row r="37" spans="4:5">
      <c r="D37" s="3"/>
      <c r="E37" s="4"/>
    </row>
    <row r="38" spans="4:5">
      <c r="D38" s="3"/>
      <c r="E38" s="4"/>
    </row>
    <row r="39" spans="4:5">
      <c r="D39" s="3">
        <v>35</v>
      </c>
      <c r="E39" s="4" t="s">
        <v>326</v>
      </c>
    </row>
    <row r="40" spans="4:5">
      <c r="D40" s="3"/>
      <c r="E40" s="4"/>
    </row>
    <row r="41" spans="4:5">
      <c r="D41" s="3"/>
      <c r="E41" s="4"/>
    </row>
    <row r="42" spans="4:5">
      <c r="D42" s="3"/>
      <c r="E42" s="4"/>
    </row>
    <row r="43" spans="4:5">
      <c r="D43" s="3"/>
      <c r="E43" s="5"/>
    </row>
    <row r="44" spans="4:5">
      <c r="D44" s="3"/>
      <c r="E44" s="5"/>
    </row>
    <row r="45" spans="4:5">
      <c r="D45" s="3"/>
      <c r="E45" s="5"/>
    </row>
    <row r="46" spans="4:5">
      <c r="D46" s="3"/>
      <c r="E46" s="5"/>
    </row>
    <row r="47" spans="4:5">
      <c r="D47" s="3"/>
      <c r="E47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AF144"/>
  <sheetViews>
    <sheetView topLeftCell="J1" workbookViewId="0">
      <selection activeCell="Y1" sqref="Y1"/>
    </sheetView>
  </sheetViews>
  <sheetFormatPr defaultColWidth="9" defaultRowHeight="14.1"/>
  <cols>
    <col min="21" max="22" width="12.6216216216216"/>
  </cols>
  <sheetData>
    <row r="1" spans="3:32">
      <c r="C1">
        <v>103</v>
      </c>
      <c r="D1">
        <v>150101</v>
      </c>
      <c r="E1">
        <v>8</v>
      </c>
      <c r="J1">
        <v>0.0967</v>
      </c>
      <c r="P1">
        <v>100</v>
      </c>
      <c r="Q1" t="s">
        <v>312</v>
      </c>
      <c r="U1">
        <f>IF(J1="","",IF(J1=23,"",ROUND(J1*4/6,4)))</f>
        <v>0.0645</v>
      </c>
      <c r="V1" t="str">
        <f>IF(K1="","",IF(K1=23,"",ROUND(K1*4/6,4)))</f>
        <v/>
      </c>
      <c r="W1" t="str">
        <f>IF(L1="","",IF(L1=23,"",ROUND(L1*4/6,4)))</f>
        <v/>
      </c>
      <c r="Y1">
        <f t="shared" ref="Y1:AA1" si="0">IF(E1="","",IF(E1=35,INT(U1*3385),IF(E1=26,INT(U1*3385),U1)))</f>
        <v>0.0645</v>
      </c>
      <c r="Z1" t="str">
        <f t="shared" si="0"/>
        <v/>
      </c>
      <c r="AA1" t="str">
        <f t="shared" si="0"/>
        <v/>
      </c>
      <c r="AB1" t="str">
        <f t="shared" ref="AB1:AB64" si="1">IF(H1="","",IF(H1=35,X1*3385,IF(H1=26,X1*3385,X1)))</f>
        <v/>
      </c>
      <c r="AE1" t="str">
        <f>IF(M1="","",IF(M1=23,"",ROUND(M1*4/6,4)))</f>
        <v/>
      </c>
      <c r="AF1" t="str">
        <f>_xlfn.TEXTJOIN(",",TRUE,Y1,Z1,AA1,AB1)</f>
        <v>0.0645</v>
      </c>
    </row>
    <row r="2" spans="3:32">
      <c r="C2">
        <v>203</v>
      </c>
      <c r="D2">
        <v>150102</v>
      </c>
      <c r="E2">
        <v>6</v>
      </c>
      <c r="J2">
        <v>0.1693</v>
      </c>
      <c r="P2">
        <v>100</v>
      </c>
      <c r="Q2" t="s">
        <v>314</v>
      </c>
      <c r="U2">
        <f t="shared" ref="U2:U33" si="2">IF(J2="","",IF(J2=23,"",ROUND(J2*4/6,4)))</f>
        <v>0.1129</v>
      </c>
      <c r="V2" t="str">
        <f t="shared" ref="V2:V33" si="3">IF(K2="","",IF(K2=23,"",ROUND(K2*4/6,4)))</f>
        <v/>
      </c>
      <c r="W2" t="str">
        <f t="shared" ref="W2:W33" si="4">IF(L2="","",IF(L2=23,"",ROUND(L2*4/6,4)))</f>
        <v/>
      </c>
      <c r="Y2">
        <f t="shared" ref="Y2:Y33" si="5">IF(E2="","",IF(E2=35,INT(U2*3385),IF(E2=26,INT(U2*3385),U2)))</f>
        <v>0.1129</v>
      </c>
      <c r="Z2" t="str">
        <f t="shared" ref="Z2:Z33" si="6">IF(F2="","",IF(F2=35,INT(V2*3385),IF(F2=26,INT(V2*3385),V2)))</f>
        <v/>
      </c>
      <c r="AA2" t="str">
        <f t="shared" ref="AA2:AA33" si="7">IF(G2="","",IF(G2=35,INT(W2*3385),IF(G2=26,INT(W2*3385),W2)))</f>
        <v/>
      </c>
      <c r="AB2" t="str">
        <f t="shared" si="1"/>
        <v/>
      </c>
      <c r="AE2" t="str">
        <f t="shared" ref="AE2:AE33" si="8">IF(M2="","",IF(M2=23,"",ROUND(M2*4/6,4)))</f>
        <v/>
      </c>
      <c r="AF2" t="str">
        <f t="shared" ref="AF2:AF33" si="9">_xlfn.TEXTJOIN(",",TRUE,Y2,Z2,AA2,AB2)</f>
        <v>0.1129</v>
      </c>
    </row>
    <row r="3" spans="3:32">
      <c r="C3">
        <v>303</v>
      </c>
      <c r="D3">
        <v>150103</v>
      </c>
      <c r="E3">
        <v>7</v>
      </c>
      <c r="J3">
        <v>0.0967</v>
      </c>
      <c r="P3">
        <v>100</v>
      </c>
      <c r="Q3" t="s">
        <v>316</v>
      </c>
      <c r="U3">
        <f t="shared" si="2"/>
        <v>0.0645</v>
      </c>
      <c r="V3" t="str">
        <f t="shared" si="3"/>
        <v/>
      </c>
      <c r="W3" t="str">
        <f t="shared" si="4"/>
        <v/>
      </c>
      <c r="Y3">
        <f t="shared" si="5"/>
        <v>0.0645</v>
      </c>
      <c r="Z3" t="str">
        <f t="shared" si="6"/>
        <v/>
      </c>
      <c r="AA3" t="str">
        <f t="shared" si="7"/>
        <v/>
      </c>
      <c r="AB3" t="str">
        <f t="shared" si="1"/>
        <v/>
      </c>
      <c r="AE3" t="str">
        <f t="shared" si="8"/>
        <v/>
      </c>
      <c r="AF3" t="str">
        <f t="shared" si="9"/>
        <v>0.0645</v>
      </c>
    </row>
    <row r="4" spans="3:32">
      <c r="C4">
        <v>403</v>
      </c>
      <c r="D4">
        <v>150104</v>
      </c>
      <c r="E4">
        <v>10</v>
      </c>
      <c r="J4">
        <v>0.1838</v>
      </c>
      <c r="P4">
        <v>100</v>
      </c>
      <c r="Q4" t="s">
        <v>318</v>
      </c>
      <c r="U4">
        <f t="shared" si="2"/>
        <v>0.1225</v>
      </c>
      <c r="V4" t="str">
        <f t="shared" si="3"/>
        <v/>
      </c>
      <c r="W4" t="str">
        <f t="shared" si="4"/>
        <v/>
      </c>
      <c r="Y4">
        <f t="shared" si="5"/>
        <v>0.1225</v>
      </c>
      <c r="Z4" t="str">
        <f t="shared" si="6"/>
        <v/>
      </c>
      <c r="AA4" t="str">
        <f t="shared" si="7"/>
        <v/>
      </c>
      <c r="AB4" t="str">
        <f t="shared" si="1"/>
        <v/>
      </c>
      <c r="AE4" t="str">
        <f t="shared" si="8"/>
        <v/>
      </c>
      <c r="AF4" t="str">
        <f t="shared" si="9"/>
        <v>0.1225</v>
      </c>
    </row>
    <row r="5" spans="3:32">
      <c r="C5">
        <v>103</v>
      </c>
      <c r="D5">
        <v>150201</v>
      </c>
      <c r="E5">
        <v>8</v>
      </c>
      <c r="J5">
        <v>0.0967</v>
      </c>
      <c r="P5">
        <v>100</v>
      </c>
      <c r="Q5" t="s">
        <v>324</v>
      </c>
      <c r="U5">
        <f t="shared" si="2"/>
        <v>0.0645</v>
      </c>
      <c r="V5" t="str">
        <f t="shared" si="3"/>
        <v/>
      </c>
      <c r="W5" t="str">
        <f t="shared" si="4"/>
        <v/>
      </c>
      <c r="Y5">
        <f t="shared" si="5"/>
        <v>0.0645</v>
      </c>
      <c r="Z5" t="str">
        <f t="shared" si="6"/>
        <v/>
      </c>
      <c r="AA5" t="str">
        <f t="shared" si="7"/>
        <v/>
      </c>
      <c r="AB5" t="str">
        <f t="shared" si="1"/>
        <v/>
      </c>
      <c r="AE5" t="str">
        <f t="shared" si="8"/>
        <v/>
      </c>
      <c r="AF5" t="str">
        <f t="shared" si="9"/>
        <v>0.0645</v>
      </c>
    </row>
    <row r="6" spans="3:32">
      <c r="C6">
        <v>203</v>
      </c>
      <c r="D6">
        <v>150202</v>
      </c>
      <c r="E6">
        <v>6</v>
      </c>
      <c r="F6">
        <v>35</v>
      </c>
      <c r="J6">
        <v>0.0846</v>
      </c>
      <c r="K6">
        <v>0.1451</v>
      </c>
      <c r="P6">
        <v>100</v>
      </c>
      <c r="Q6" t="s">
        <v>325</v>
      </c>
      <c r="U6">
        <f t="shared" si="2"/>
        <v>0.0564</v>
      </c>
      <c r="V6">
        <f t="shared" si="3"/>
        <v>0.0967</v>
      </c>
      <c r="W6" t="str">
        <f t="shared" si="4"/>
        <v/>
      </c>
      <c r="Y6">
        <f t="shared" si="5"/>
        <v>0.0564</v>
      </c>
      <c r="Z6">
        <f t="shared" si="6"/>
        <v>327</v>
      </c>
      <c r="AA6" t="str">
        <f t="shared" si="7"/>
        <v/>
      </c>
      <c r="AB6" t="str">
        <f t="shared" si="1"/>
        <v/>
      </c>
      <c r="AE6" t="str">
        <f t="shared" si="8"/>
        <v/>
      </c>
      <c r="AF6" t="str">
        <f t="shared" si="9"/>
        <v>0.0564,327</v>
      </c>
    </row>
    <row r="7" spans="3:32">
      <c r="C7">
        <v>303</v>
      </c>
      <c r="D7">
        <v>150203</v>
      </c>
      <c r="E7">
        <v>7</v>
      </c>
      <c r="J7">
        <v>0.0967</v>
      </c>
      <c r="P7">
        <v>100</v>
      </c>
      <c r="Q7" t="s">
        <v>327</v>
      </c>
      <c r="U7">
        <f t="shared" si="2"/>
        <v>0.0645</v>
      </c>
      <c r="V7" t="str">
        <f t="shared" si="3"/>
        <v/>
      </c>
      <c r="W7" t="str">
        <f t="shared" si="4"/>
        <v/>
      </c>
      <c r="Y7">
        <f t="shared" si="5"/>
        <v>0.0645</v>
      </c>
      <c r="Z7" t="str">
        <f t="shared" si="6"/>
        <v/>
      </c>
      <c r="AA7" t="str">
        <f t="shared" si="7"/>
        <v/>
      </c>
      <c r="AB7" t="str">
        <f t="shared" si="1"/>
        <v/>
      </c>
      <c r="AE7" t="str">
        <f t="shared" si="8"/>
        <v/>
      </c>
      <c r="AF7" t="str">
        <f t="shared" si="9"/>
        <v>0.0645</v>
      </c>
    </row>
    <row r="8" spans="3:32">
      <c r="C8">
        <v>403</v>
      </c>
      <c r="D8">
        <v>150204</v>
      </c>
      <c r="E8">
        <v>10</v>
      </c>
      <c r="F8">
        <v>35</v>
      </c>
      <c r="J8">
        <v>0.0919</v>
      </c>
      <c r="K8">
        <v>0.1451</v>
      </c>
      <c r="P8">
        <v>100</v>
      </c>
      <c r="Q8" t="s">
        <v>328</v>
      </c>
      <c r="U8">
        <f t="shared" si="2"/>
        <v>0.0613</v>
      </c>
      <c r="V8">
        <f t="shared" si="3"/>
        <v>0.0967</v>
      </c>
      <c r="W8" t="str">
        <f t="shared" si="4"/>
        <v/>
      </c>
      <c r="Y8">
        <f t="shared" si="5"/>
        <v>0.0613</v>
      </c>
      <c r="Z8">
        <f t="shared" si="6"/>
        <v>327</v>
      </c>
      <c r="AA8" t="str">
        <f t="shared" si="7"/>
        <v/>
      </c>
      <c r="AB8" t="str">
        <f t="shared" si="1"/>
        <v/>
      </c>
      <c r="AE8" t="str">
        <f t="shared" si="8"/>
        <v/>
      </c>
      <c r="AF8" t="str">
        <f t="shared" si="9"/>
        <v>0.0613,327</v>
      </c>
    </row>
    <row r="9" spans="3:32">
      <c r="C9">
        <v>103</v>
      </c>
      <c r="D9">
        <v>150301</v>
      </c>
      <c r="E9">
        <v>8</v>
      </c>
      <c r="F9">
        <v>26</v>
      </c>
      <c r="J9">
        <v>0.1354</v>
      </c>
      <c r="K9">
        <v>0.1451</v>
      </c>
      <c r="P9">
        <v>100</v>
      </c>
      <c r="Q9" t="s">
        <v>333</v>
      </c>
      <c r="U9">
        <f t="shared" si="2"/>
        <v>0.0903</v>
      </c>
      <c r="V9">
        <f t="shared" si="3"/>
        <v>0.0967</v>
      </c>
      <c r="W9" t="str">
        <f t="shared" si="4"/>
        <v/>
      </c>
      <c r="Y9">
        <f t="shared" si="5"/>
        <v>0.0903</v>
      </c>
      <c r="Z9">
        <f t="shared" si="6"/>
        <v>327</v>
      </c>
      <c r="AA9" t="str">
        <f t="shared" si="7"/>
        <v/>
      </c>
      <c r="AB9" t="str">
        <f t="shared" si="1"/>
        <v/>
      </c>
      <c r="AE9" t="str">
        <f t="shared" si="8"/>
        <v/>
      </c>
      <c r="AF9" t="str">
        <f t="shared" si="9"/>
        <v>0.0903,327</v>
      </c>
    </row>
    <row r="10" spans="3:32">
      <c r="C10">
        <v>203</v>
      </c>
      <c r="D10">
        <v>150302</v>
      </c>
      <c r="E10">
        <v>6</v>
      </c>
      <c r="J10">
        <v>0.0846</v>
      </c>
      <c r="P10">
        <v>100</v>
      </c>
      <c r="Q10" t="s">
        <v>335</v>
      </c>
      <c r="U10">
        <f t="shared" si="2"/>
        <v>0.0564</v>
      </c>
      <c r="V10" t="str">
        <f t="shared" si="3"/>
        <v/>
      </c>
      <c r="W10" t="str">
        <f t="shared" si="4"/>
        <v/>
      </c>
      <c r="Y10">
        <f t="shared" si="5"/>
        <v>0.0564</v>
      </c>
      <c r="Z10" t="str">
        <f t="shared" si="6"/>
        <v/>
      </c>
      <c r="AA10" t="str">
        <f t="shared" si="7"/>
        <v/>
      </c>
      <c r="AB10" t="str">
        <f t="shared" si="1"/>
        <v/>
      </c>
      <c r="AE10" t="str">
        <f t="shared" si="8"/>
        <v/>
      </c>
      <c r="AF10" t="str">
        <f t="shared" si="9"/>
        <v>0.0564</v>
      </c>
    </row>
    <row r="11" spans="3:32">
      <c r="C11">
        <v>303</v>
      </c>
      <c r="D11">
        <v>150303</v>
      </c>
      <c r="E11">
        <v>11</v>
      </c>
      <c r="J11">
        <v>0.0551</v>
      </c>
      <c r="P11">
        <v>100</v>
      </c>
      <c r="Q11" t="s">
        <v>336</v>
      </c>
      <c r="U11">
        <f t="shared" si="2"/>
        <v>0.0367</v>
      </c>
      <c r="V11" t="str">
        <f t="shared" si="3"/>
        <v/>
      </c>
      <c r="W11" t="str">
        <f t="shared" si="4"/>
        <v/>
      </c>
      <c r="Y11">
        <f t="shared" si="5"/>
        <v>0.0367</v>
      </c>
      <c r="Z11" t="str">
        <f t="shared" si="6"/>
        <v/>
      </c>
      <c r="AA11" t="str">
        <f t="shared" si="7"/>
        <v/>
      </c>
      <c r="AB11" t="str">
        <f t="shared" si="1"/>
        <v/>
      </c>
      <c r="AE11" t="str">
        <f t="shared" si="8"/>
        <v/>
      </c>
      <c r="AF11" t="str">
        <f t="shared" si="9"/>
        <v>0.0367</v>
      </c>
    </row>
    <row r="12" spans="3:32">
      <c r="C12">
        <v>403</v>
      </c>
      <c r="D12">
        <v>150304</v>
      </c>
      <c r="E12">
        <v>5</v>
      </c>
      <c r="F12">
        <v>26</v>
      </c>
      <c r="J12">
        <v>0.0846</v>
      </c>
      <c r="K12">
        <v>0.1451</v>
      </c>
      <c r="P12">
        <v>100</v>
      </c>
      <c r="Q12" t="s">
        <v>338</v>
      </c>
      <c r="U12">
        <f t="shared" si="2"/>
        <v>0.0564</v>
      </c>
      <c r="V12">
        <f t="shared" si="3"/>
        <v>0.0967</v>
      </c>
      <c r="W12" t="str">
        <f t="shared" si="4"/>
        <v/>
      </c>
      <c r="Y12">
        <f t="shared" si="5"/>
        <v>0.0564</v>
      </c>
      <c r="Z12">
        <f t="shared" si="6"/>
        <v>327</v>
      </c>
      <c r="AA12" t="str">
        <f t="shared" si="7"/>
        <v/>
      </c>
      <c r="AB12" t="str">
        <f t="shared" si="1"/>
        <v/>
      </c>
      <c r="AE12" t="str">
        <f t="shared" si="8"/>
        <v/>
      </c>
      <c r="AF12" t="str">
        <f t="shared" si="9"/>
        <v>0.0564,327</v>
      </c>
    </row>
    <row r="13" spans="3:32">
      <c r="C13">
        <v>103</v>
      </c>
      <c r="D13">
        <v>150401</v>
      </c>
      <c r="E13">
        <v>8</v>
      </c>
      <c r="J13">
        <v>0.1934</v>
      </c>
      <c r="P13">
        <v>100</v>
      </c>
      <c r="Q13" t="s">
        <v>344</v>
      </c>
      <c r="U13">
        <f t="shared" si="2"/>
        <v>0.1289</v>
      </c>
      <c r="V13" t="str">
        <f t="shared" si="3"/>
        <v/>
      </c>
      <c r="W13" t="str">
        <f t="shared" si="4"/>
        <v/>
      </c>
      <c r="Y13">
        <f t="shared" si="5"/>
        <v>0.1289</v>
      </c>
      <c r="Z13" t="str">
        <f t="shared" si="6"/>
        <v/>
      </c>
      <c r="AA13" t="str">
        <f t="shared" si="7"/>
        <v/>
      </c>
      <c r="AB13" t="str">
        <f t="shared" si="1"/>
        <v/>
      </c>
      <c r="AE13" t="str">
        <f t="shared" si="8"/>
        <v/>
      </c>
      <c r="AF13" t="str">
        <f t="shared" si="9"/>
        <v>0.1289</v>
      </c>
    </row>
    <row r="14" spans="3:32">
      <c r="C14">
        <v>203</v>
      </c>
      <c r="D14">
        <v>150402</v>
      </c>
      <c r="E14">
        <v>6</v>
      </c>
      <c r="J14">
        <v>0.0846</v>
      </c>
      <c r="P14">
        <v>100</v>
      </c>
      <c r="Q14" t="s">
        <v>345</v>
      </c>
      <c r="U14">
        <f t="shared" si="2"/>
        <v>0.0564</v>
      </c>
      <c r="V14" t="str">
        <f t="shared" si="3"/>
        <v/>
      </c>
      <c r="W14" t="str">
        <f t="shared" si="4"/>
        <v/>
      </c>
      <c r="Y14">
        <f t="shared" si="5"/>
        <v>0.0564</v>
      </c>
      <c r="Z14" t="str">
        <f t="shared" si="6"/>
        <v/>
      </c>
      <c r="AA14" t="str">
        <f t="shared" si="7"/>
        <v/>
      </c>
      <c r="AB14" t="str">
        <f t="shared" si="1"/>
        <v/>
      </c>
      <c r="AE14" t="str">
        <f t="shared" si="8"/>
        <v/>
      </c>
      <c r="AF14" t="str">
        <f t="shared" si="9"/>
        <v>0.0564</v>
      </c>
    </row>
    <row r="15" spans="3:32">
      <c r="C15">
        <v>303</v>
      </c>
      <c r="D15">
        <v>150403</v>
      </c>
      <c r="E15">
        <v>11</v>
      </c>
      <c r="J15">
        <v>0.1838</v>
      </c>
      <c r="P15">
        <v>100</v>
      </c>
      <c r="Q15" t="s">
        <v>346</v>
      </c>
      <c r="U15">
        <f t="shared" si="2"/>
        <v>0.1225</v>
      </c>
      <c r="V15" t="str">
        <f t="shared" si="3"/>
        <v/>
      </c>
      <c r="W15" t="str">
        <f t="shared" si="4"/>
        <v/>
      </c>
      <c r="Y15">
        <f t="shared" si="5"/>
        <v>0.1225</v>
      </c>
      <c r="Z15" t="str">
        <f t="shared" si="6"/>
        <v/>
      </c>
      <c r="AA15" t="str">
        <f t="shared" si="7"/>
        <v/>
      </c>
      <c r="AB15" t="str">
        <f t="shared" si="1"/>
        <v/>
      </c>
      <c r="AE15" t="str">
        <f t="shared" si="8"/>
        <v/>
      </c>
      <c r="AF15" t="str">
        <f t="shared" si="9"/>
        <v>0.1225</v>
      </c>
    </row>
    <row r="16" spans="3:32">
      <c r="C16">
        <v>403</v>
      </c>
      <c r="D16">
        <v>150404</v>
      </c>
      <c r="E16">
        <v>5</v>
      </c>
      <c r="J16">
        <v>0.0846</v>
      </c>
      <c r="P16">
        <v>100</v>
      </c>
      <c r="Q16" t="s">
        <v>347</v>
      </c>
      <c r="U16">
        <f t="shared" si="2"/>
        <v>0.0564</v>
      </c>
      <c r="V16" t="str">
        <f t="shared" si="3"/>
        <v/>
      </c>
      <c r="W16" t="str">
        <f t="shared" si="4"/>
        <v/>
      </c>
      <c r="Y16">
        <f t="shared" si="5"/>
        <v>0.0564</v>
      </c>
      <c r="Z16" t="str">
        <f t="shared" si="6"/>
        <v/>
      </c>
      <c r="AA16" t="str">
        <f t="shared" si="7"/>
        <v/>
      </c>
      <c r="AB16" t="str">
        <f t="shared" si="1"/>
        <v/>
      </c>
      <c r="AE16" t="str">
        <f t="shared" si="8"/>
        <v/>
      </c>
      <c r="AF16" t="str">
        <f t="shared" si="9"/>
        <v>0.0564</v>
      </c>
    </row>
    <row r="17" spans="3:32">
      <c r="C17">
        <v>103</v>
      </c>
      <c r="D17">
        <v>150501</v>
      </c>
      <c r="E17">
        <v>8</v>
      </c>
      <c r="F17">
        <v>26</v>
      </c>
      <c r="J17">
        <v>0.0967</v>
      </c>
      <c r="K17">
        <v>0.2901</v>
      </c>
      <c r="P17">
        <v>100</v>
      </c>
      <c r="Q17" t="s">
        <v>352</v>
      </c>
      <c r="U17">
        <f t="shared" si="2"/>
        <v>0.0645</v>
      </c>
      <c r="V17">
        <f t="shared" si="3"/>
        <v>0.1934</v>
      </c>
      <c r="W17" t="str">
        <f t="shared" si="4"/>
        <v/>
      </c>
      <c r="Y17">
        <f t="shared" si="5"/>
        <v>0.0645</v>
      </c>
      <c r="Z17">
        <f t="shared" si="6"/>
        <v>654</v>
      </c>
      <c r="AA17" t="str">
        <f t="shared" si="7"/>
        <v/>
      </c>
      <c r="AB17" t="str">
        <f t="shared" si="1"/>
        <v/>
      </c>
      <c r="AE17" t="str">
        <f t="shared" si="8"/>
        <v/>
      </c>
      <c r="AF17" t="str">
        <f t="shared" si="9"/>
        <v>0.0645,654</v>
      </c>
    </row>
    <row r="18" spans="3:32">
      <c r="C18">
        <v>203</v>
      </c>
      <c r="D18">
        <v>150502</v>
      </c>
      <c r="E18">
        <v>11</v>
      </c>
      <c r="J18">
        <v>0.0551</v>
      </c>
      <c r="P18">
        <v>100</v>
      </c>
      <c r="Q18" t="s">
        <v>353</v>
      </c>
      <c r="U18">
        <f t="shared" si="2"/>
        <v>0.0367</v>
      </c>
      <c r="V18" t="str">
        <f t="shared" si="3"/>
        <v/>
      </c>
      <c r="W18" t="str">
        <f t="shared" si="4"/>
        <v/>
      </c>
      <c r="Y18">
        <f t="shared" si="5"/>
        <v>0.0367</v>
      </c>
      <c r="Z18" t="str">
        <f t="shared" si="6"/>
        <v/>
      </c>
      <c r="AA18" t="str">
        <f t="shared" si="7"/>
        <v/>
      </c>
      <c r="AB18" t="str">
        <f t="shared" si="1"/>
        <v/>
      </c>
      <c r="AE18" t="str">
        <f t="shared" si="8"/>
        <v/>
      </c>
      <c r="AF18" t="str">
        <f t="shared" si="9"/>
        <v>0.0367</v>
      </c>
    </row>
    <row r="19" spans="3:32">
      <c r="C19">
        <v>303</v>
      </c>
      <c r="D19">
        <v>150503</v>
      </c>
      <c r="E19">
        <v>5</v>
      </c>
      <c r="F19">
        <v>9</v>
      </c>
      <c r="J19">
        <v>0.0846</v>
      </c>
      <c r="K19">
        <v>0.266</v>
      </c>
      <c r="P19">
        <v>100</v>
      </c>
      <c r="Q19" t="s">
        <v>354</v>
      </c>
      <c r="U19">
        <f t="shared" si="2"/>
        <v>0.0564</v>
      </c>
      <c r="V19">
        <f t="shared" si="3"/>
        <v>0.1773</v>
      </c>
      <c r="W19" t="str">
        <f t="shared" si="4"/>
        <v/>
      </c>
      <c r="Y19">
        <f t="shared" si="5"/>
        <v>0.0564</v>
      </c>
      <c r="Z19">
        <f t="shared" si="6"/>
        <v>0.1773</v>
      </c>
      <c r="AA19" t="str">
        <f t="shared" si="7"/>
        <v/>
      </c>
      <c r="AB19" t="str">
        <f t="shared" si="1"/>
        <v/>
      </c>
      <c r="AE19" t="str">
        <f t="shared" si="8"/>
        <v/>
      </c>
      <c r="AF19" t="str">
        <f t="shared" si="9"/>
        <v>0.0564,0.1773</v>
      </c>
    </row>
    <row r="20" spans="3:32">
      <c r="C20">
        <v>403</v>
      </c>
      <c r="D20">
        <v>150504</v>
      </c>
      <c r="E20">
        <v>7</v>
      </c>
      <c r="J20">
        <v>0.0387</v>
      </c>
      <c r="P20">
        <v>100</v>
      </c>
      <c r="Q20" t="s">
        <v>356</v>
      </c>
      <c r="U20">
        <f t="shared" si="2"/>
        <v>0.0258</v>
      </c>
      <c r="V20" t="str">
        <f t="shared" si="3"/>
        <v/>
      </c>
      <c r="W20" t="str">
        <f t="shared" si="4"/>
        <v/>
      </c>
      <c r="Y20">
        <f t="shared" si="5"/>
        <v>0.0258</v>
      </c>
      <c r="Z20" t="str">
        <f t="shared" si="6"/>
        <v/>
      </c>
      <c r="AA20" t="str">
        <f t="shared" si="7"/>
        <v/>
      </c>
      <c r="AB20" t="str">
        <f t="shared" si="1"/>
        <v/>
      </c>
      <c r="AE20" t="str">
        <f t="shared" si="8"/>
        <v/>
      </c>
      <c r="AF20" t="str">
        <f t="shared" si="9"/>
        <v>0.0258</v>
      </c>
    </row>
    <row r="21" spans="3:32">
      <c r="C21">
        <v>103</v>
      </c>
      <c r="D21">
        <v>150601</v>
      </c>
      <c r="E21">
        <v>8</v>
      </c>
      <c r="F21">
        <v>9</v>
      </c>
      <c r="J21">
        <v>0.0967</v>
      </c>
      <c r="K21">
        <v>0.266</v>
      </c>
      <c r="P21">
        <v>100</v>
      </c>
      <c r="Q21" t="s">
        <v>361</v>
      </c>
      <c r="U21">
        <f t="shared" si="2"/>
        <v>0.0645</v>
      </c>
      <c r="V21">
        <f t="shared" si="3"/>
        <v>0.1773</v>
      </c>
      <c r="W21" t="str">
        <f t="shared" si="4"/>
        <v/>
      </c>
      <c r="Y21">
        <f t="shared" si="5"/>
        <v>0.0645</v>
      </c>
      <c r="Z21">
        <f t="shared" si="6"/>
        <v>0.1773</v>
      </c>
      <c r="AA21" t="str">
        <f t="shared" si="7"/>
        <v/>
      </c>
      <c r="AB21" t="str">
        <f t="shared" si="1"/>
        <v/>
      </c>
      <c r="AE21" t="str">
        <f t="shared" si="8"/>
        <v/>
      </c>
      <c r="AF21" t="str">
        <f t="shared" si="9"/>
        <v>0.0645,0.1773</v>
      </c>
    </row>
    <row r="22" spans="3:32">
      <c r="C22">
        <v>203</v>
      </c>
      <c r="D22">
        <v>150602</v>
      </c>
      <c r="E22">
        <v>11</v>
      </c>
      <c r="J22">
        <v>0.0551</v>
      </c>
      <c r="P22">
        <v>100</v>
      </c>
      <c r="Q22" t="s">
        <v>362</v>
      </c>
      <c r="U22">
        <f t="shared" si="2"/>
        <v>0.0367</v>
      </c>
      <c r="V22" t="str">
        <f t="shared" si="3"/>
        <v/>
      </c>
      <c r="W22" t="str">
        <f t="shared" si="4"/>
        <v/>
      </c>
      <c r="Y22">
        <f t="shared" si="5"/>
        <v>0.0367</v>
      </c>
      <c r="Z22" t="str">
        <f t="shared" si="6"/>
        <v/>
      </c>
      <c r="AA22" t="str">
        <f t="shared" si="7"/>
        <v/>
      </c>
      <c r="AB22" t="str">
        <f t="shared" si="1"/>
        <v/>
      </c>
      <c r="AE22" t="str">
        <f t="shared" si="8"/>
        <v/>
      </c>
      <c r="AF22" t="str">
        <f t="shared" si="9"/>
        <v>0.0367</v>
      </c>
    </row>
    <row r="23" spans="3:32">
      <c r="C23">
        <v>303</v>
      </c>
      <c r="D23">
        <v>150603</v>
      </c>
      <c r="E23">
        <v>5</v>
      </c>
      <c r="F23">
        <v>9</v>
      </c>
      <c r="J23">
        <v>0.1693</v>
      </c>
      <c r="K23">
        <v>0.266</v>
      </c>
      <c r="P23">
        <v>100</v>
      </c>
      <c r="Q23" t="s">
        <v>363</v>
      </c>
      <c r="U23">
        <f t="shared" si="2"/>
        <v>0.1129</v>
      </c>
      <c r="V23">
        <f t="shared" si="3"/>
        <v>0.1773</v>
      </c>
      <c r="W23" t="str">
        <f t="shared" si="4"/>
        <v/>
      </c>
      <c r="Y23">
        <f t="shared" si="5"/>
        <v>0.1129</v>
      </c>
      <c r="Z23">
        <f t="shared" si="6"/>
        <v>0.1773</v>
      </c>
      <c r="AA23" t="str">
        <f t="shared" si="7"/>
        <v/>
      </c>
      <c r="AB23" t="str">
        <f t="shared" si="1"/>
        <v/>
      </c>
      <c r="AE23" t="str">
        <f t="shared" si="8"/>
        <v/>
      </c>
      <c r="AF23" t="str">
        <f t="shared" si="9"/>
        <v>0.1129,0.1773</v>
      </c>
    </row>
    <row r="24" spans="3:32">
      <c r="C24">
        <v>403</v>
      </c>
      <c r="D24">
        <v>150604</v>
      </c>
      <c r="E24">
        <v>7</v>
      </c>
      <c r="J24">
        <v>0.0387</v>
      </c>
      <c r="P24">
        <v>100</v>
      </c>
      <c r="Q24" t="s">
        <v>364</v>
      </c>
      <c r="U24">
        <f t="shared" si="2"/>
        <v>0.0258</v>
      </c>
      <c r="V24" t="str">
        <f t="shared" si="3"/>
        <v/>
      </c>
      <c r="W24" t="str">
        <f t="shared" si="4"/>
        <v/>
      </c>
      <c r="Y24">
        <f t="shared" si="5"/>
        <v>0.0258</v>
      </c>
      <c r="Z24" t="str">
        <f t="shared" si="6"/>
        <v/>
      </c>
      <c r="AA24" t="str">
        <f t="shared" si="7"/>
        <v/>
      </c>
      <c r="AB24" t="str">
        <f t="shared" si="1"/>
        <v/>
      </c>
      <c r="AE24" t="str">
        <f t="shared" si="8"/>
        <v/>
      </c>
      <c r="AF24" t="str">
        <f t="shared" si="9"/>
        <v>0.0258</v>
      </c>
    </row>
    <row r="25" spans="3:32">
      <c r="C25">
        <v>103</v>
      </c>
      <c r="D25">
        <v>150701</v>
      </c>
      <c r="E25">
        <v>5</v>
      </c>
      <c r="F25">
        <v>9</v>
      </c>
      <c r="J25">
        <v>0.1185</v>
      </c>
      <c r="K25">
        <v>0.133</v>
      </c>
      <c r="P25">
        <v>100</v>
      </c>
      <c r="Q25" t="s">
        <v>369</v>
      </c>
      <c r="U25">
        <f t="shared" si="2"/>
        <v>0.079</v>
      </c>
      <c r="V25">
        <f t="shared" si="3"/>
        <v>0.0887</v>
      </c>
      <c r="W25" t="str">
        <f t="shared" si="4"/>
        <v/>
      </c>
      <c r="Y25">
        <f t="shared" si="5"/>
        <v>0.079</v>
      </c>
      <c r="Z25">
        <f t="shared" si="6"/>
        <v>0.0887</v>
      </c>
      <c r="AA25" t="str">
        <f t="shared" si="7"/>
        <v/>
      </c>
      <c r="AB25" t="str">
        <f t="shared" si="1"/>
        <v/>
      </c>
      <c r="AE25" t="str">
        <f t="shared" si="8"/>
        <v/>
      </c>
      <c r="AF25" t="str">
        <f t="shared" si="9"/>
        <v>0.079,0.0887</v>
      </c>
    </row>
    <row r="26" spans="3:32">
      <c r="C26">
        <v>203</v>
      </c>
      <c r="D26">
        <v>150702</v>
      </c>
      <c r="E26">
        <v>11</v>
      </c>
      <c r="J26">
        <v>0.0919</v>
      </c>
      <c r="P26">
        <v>100</v>
      </c>
      <c r="Q26" t="s">
        <v>370</v>
      </c>
      <c r="U26">
        <f t="shared" si="2"/>
        <v>0.0613</v>
      </c>
      <c r="V26" t="str">
        <f t="shared" si="3"/>
        <v/>
      </c>
      <c r="W26" t="str">
        <f t="shared" si="4"/>
        <v/>
      </c>
      <c r="Y26">
        <f t="shared" si="5"/>
        <v>0.0613</v>
      </c>
      <c r="Z26" t="str">
        <f t="shared" si="6"/>
        <v/>
      </c>
      <c r="AA26" t="str">
        <f t="shared" si="7"/>
        <v/>
      </c>
      <c r="AB26" t="str">
        <f t="shared" si="1"/>
        <v/>
      </c>
      <c r="AE26" t="str">
        <f t="shared" si="8"/>
        <v/>
      </c>
      <c r="AF26" t="str">
        <f t="shared" si="9"/>
        <v>0.0613</v>
      </c>
    </row>
    <row r="27" spans="3:32">
      <c r="C27">
        <v>303</v>
      </c>
      <c r="D27">
        <v>150703</v>
      </c>
      <c r="E27">
        <v>6</v>
      </c>
      <c r="F27">
        <v>9</v>
      </c>
      <c r="J27">
        <v>0.0508</v>
      </c>
      <c r="K27">
        <v>0.133</v>
      </c>
      <c r="P27">
        <v>100</v>
      </c>
      <c r="Q27" t="s">
        <v>371</v>
      </c>
      <c r="U27">
        <f t="shared" si="2"/>
        <v>0.0339</v>
      </c>
      <c r="V27">
        <f t="shared" si="3"/>
        <v>0.0887</v>
      </c>
      <c r="W27" t="str">
        <f t="shared" si="4"/>
        <v/>
      </c>
      <c r="Y27">
        <f t="shared" si="5"/>
        <v>0.0339</v>
      </c>
      <c r="Z27">
        <f t="shared" si="6"/>
        <v>0.0887</v>
      </c>
      <c r="AA27" t="str">
        <f t="shared" si="7"/>
        <v/>
      </c>
      <c r="AB27" t="str">
        <f t="shared" si="1"/>
        <v/>
      </c>
      <c r="AE27" t="str">
        <f t="shared" si="8"/>
        <v/>
      </c>
      <c r="AF27" t="str">
        <f t="shared" si="9"/>
        <v>0.0339,0.0887</v>
      </c>
    </row>
    <row r="28" spans="3:32">
      <c r="C28">
        <v>403</v>
      </c>
      <c r="D28">
        <v>150704</v>
      </c>
      <c r="E28">
        <v>7</v>
      </c>
      <c r="J28">
        <v>0.1934</v>
      </c>
      <c r="P28">
        <v>100</v>
      </c>
      <c r="Q28" t="s">
        <v>372</v>
      </c>
      <c r="U28">
        <f t="shared" si="2"/>
        <v>0.1289</v>
      </c>
      <c r="V28" t="str">
        <f t="shared" si="3"/>
        <v/>
      </c>
      <c r="W28" t="str">
        <f t="shared" si="4"/>
        <v/>
      </c>
      <c r="Y28">
        <f t="shared" si="5"/>
        <v>0.1289</v>
      </c>
      <c r="Z28" t="str">
        <f t="shared" si="6"/>
        <v/>
      </c>
      <c r="AA28" t="str">
        <f t="shared" si="7"/>
        <v/>
      </c>
      <c r="AB28" t="str">
        <f t="shared" si="1"/>
        <v/>
      </c>
      <c r="AE28" t="str">
        <f t="shared" si="8"/>
        <v/>
      </c>
      <c r="AF28" t="str">
        <f t="shared" si="9"/>
        <v>0.1289</v>
      </c>
    </row>
    <row r="29" spans="3:32">
      <c r="C29">
        <v>103</v>
      </c>
      <c r="D29">
        <v>150801</v>
      </c>
      <c r="E29">
        <v>5</v>
      </c>
      <c r="F29">
        <v>9</v>
      </c>
      <c r="J29">
        <v>0.0677</v>
      </c>
      <c r="K29">
        <v>0.1064</v>
      </c>
      <c r="P29">
        <v>100</v>
      </c>
      <c r="Q29" t="s">
        <v>377</v>
      </c>
      <c r="U29">
        <f t="shared" si="2"/>
        <v>0.0451</v>
      </c>
      <c r="V29">
        <f t="shared" si="3"/>
        <v>0.0709</v>
      </c>
      <c r="W29" t="str">
        <f t="shared" si="4"/>
        <v/>
      </c>
      <c r="Y29">
        <f t="shared" si="5"/>
        <v>0.0451</v>
      </c>
      <c r="Z29">
        <f t="shared" si="6"/>
        <v>0.0709</v>
      </c>
      <c r="AA29" t="str">
        <f t="shared" si="7"/>
        <v/>
      </c>
      <c r="AB29" t="str">
        <f t="shared" si="1"/>
        <v/>
      </c>
      <c r="AE29" t="str">
        <f t="shared" si="8"/>
        <v/>
      </c>
      <c r="AF29" t="str">
        <f t="shared" si="9"/>
        <v>0.0451,0.0709</v>
      </c>
    </row>
    <row r="30" spans="3:32">
      <c r="C30">
        <v>203</v>
      </c>
      <c r="D30">
        <v>150802</v>
      </c>
      <c r="E30">
        <v>8</v>
      </c>
      <c r="F30">
        <v>10</v>
      </c>
      <c r="G30">
        <v>26</v>
      </c>
      <c r="J30">
        <v>0.0387</v>
      </c>
      <c r="K30">
        <v>0.0276</v>
      </c>
      <c r="L30">
        <v>0.058</v>
      </c>
      <c r="P30">
        <v>100</v>
      </c>
      <c r="Q30" t="s">
        <v>378</v>
      </c>
      <c r="U30">
        <f t="shared" si="2"/>
        <v>0.0258</v>
      </c>
      <c r="V30">
        <f t="shared" si="3"/>
        <v>0.0184</v>
      </c>
      <c r="W30">
        <f t="shared" si="4"/>
        <v>0.0387</v>
      </c>
      <c r="Y30">
        <f t="shared" si="5"/>
        <v>0.0258</v>
      </c>
      <c r="Z30">
        <f t="shared" si="6"/>
        <v>0.0184</v>
      </c>
      <c r="AA30">
        <f t="shared" si="7"/>
        <v>130</v>
      </c>
      <c r="AB30" t="str">
        <f t="shared" si="1"/>
        <v/>
      </c>
      <c r="AE30" t="str">
        <f t="shared" si="8"/>
        <v/>
      </c>
      <c r="AF30" t="str">
        <f t="shared" si="9"/>
        <v>0.0258,0.0184,130</v>
      </c>
    </row>
    <row r="31" spans="3:32">
      <c r="C31">
        <v>303</v>
      </c>
      <c r="D31">
        <v>150803</v>
      </c>
      <c r="E31">
        <v>6</v>
      </c>
      <c r="F31">
        <v>9</v>
      </c>
      <c r="J31">
        <v>0.1354</v>
      </c>
      <c r="K31">
        <v>0.1064</v>
      </c>
      <c r="P31">
        <v>100</v>
      </c>
      <c r="Q31" t="s">
        <v>379</v>
      </c>
      <c r="U31">
        <f t="shared" si="2"/>
        <v>0.0903</v>
      </c>
      <c r="V31">
        <f t="shared" si="3"/>
        <v>0.0709</v>
      </c>
      <c r="W31" t="str">
        <f t="shared" si="4"/>
        <v/>
      </c>
      <c r="Y31">
        <f t="shared" si="5"/>
        <v>0.0903</v>
      </c>
      <c r="Z31">
        <f t="shared" si="6"/>
        <v>0.0709</v>
      </c>
      <c r="AA31" t="str">
        <f t="shared" si="7"/>
        <v/>
      </c>
      <c r="AB31" t="str">
        <f t="shared" si="1"/>
        <v/>
      </c>
      <c r="AE31" t="str">
        <f t="shared" si="8"/>
        <v/>
      </c>
      <c r="AF31" t="str">
        <f t="shared" si="9"/>
        <v>0.0903,0.0709</v>
      </c>
    </row>
    <row r="32" spans="3:32">
      <c r="C32">
        <v>403</v>
      </c>
      <c r="D32">
        <v>150804</v>
      </c>
      <c r="E32">
        <v>7</v>
      </c>
      <c r="F32">
        <v>10</v>
      </c>
      <c r="G32">
        <v>26</v>
      </c>
      <c r="J32">
        <v>0.0276</v>
      </c>
      <c r="K32">
        <v>0.058</v>
      </c>
      <c r="L32">
        <v>0.0967</v>
      </c>
      <c r="P32">
        <v>100</v>
      </c>
      <c r="Q32" t="s">
        <v>380</v>
      </c>
      <c r="U32">
        <f t="shared" si="2"/>
        <v>0.0184</v>
      </c>
      <c r="V32">
        <f t="shared" si="3"/>
        <v>0.0387</v>
      </c>
      <c r="W32">
        <f t="shared" si="4"/>
        <v>0.0645</v>
      </c>
      <c r="Y32">
        <f t="shared" si="5"/>
        <v>0.0184</v>
      </c>
      <c r="Z32">
        <f t="shared" si="6"/>
        <v>0.0387</v>
      </c>
      <c r="AA32">
        <f t="shared" si="7"/>
        <v>218</v>
      </c>
      <c r="AB32" t="str">
        <f t="shared" si="1"/>
        <v/>
      </c>
      <c r="AE32" t="str">
        <f t="shared" si="8"/>
        <v/>
      </c>
      <c r="AF32" t="str">
        <f t="shared" si="9"/>
        <v>0.0184,0.0387,218</v>
      </c>
    </row>
    <row r="33" spans="3:32">
      <c r="C33">
        <v>103</v>
      </c>
      <c r="D33">
        <v>150901</v>
      </c>
      <c r="E33">
        <v>5</v>
      </c>
      <c r="F33">
        <v>11</v>
      </c>
      <c r="G33">
        <v>9</v>
      </c>
      <c r="J33">
        <v>0.0846</v>
      </c>
      <c r="K33">
        <v>0.133</v>
      </c>
      <c r="L33">
        <v>0.0184</v>
      </c>
      <c r="P33">
        <v>100</v>
      </c>
      <c r="Q33" t="s">
        <v>385</v>
      </c>
      <c r="U33">
        <f t="shared" si="2"/>
        <v>0.0564</v>
      </c>
      <c r="V33">
        <f t="shared" si="3"/>
        <v>0.0887</v>
      </c>
      <c r="W33">
        <f t="shared" si="4"/>
        <v>0.0123</v>
      </c>
      <c r="Y33">
        <f t="shared" si="5"/>
        <v>0.0564</v>
      </c>
      <c r="Z33">
        <f t="shared" si="6"/>
        <v>0.0887</v>
      </c>
      <c r="AA33">
        <f t="shared" si="7"/>
        <v>0.0123</v>
      </c>
      <c r="AB33" t="str">
        <f t="shared" si="1"/>
        <v/>
      </c>
      <c r="AE33" t="str">
        <f t="shared" si="8"/>
        <v/>
      </c>
      <c r="AF33" t="str">
        <f t="shared" si="9"/>
        <v>0.0564,0.0887,0.0123</v>
      </c>
    </row>
    <row r="34" spans="3:32">
      <c r="C34">
        <v>203</v>
      </c>
      <c r="D34">
        <v>150902</v>
      </c>
      <c r="E34">
        <v>8</v>
      </c>
      <c r="F34">
        <v>10</v>
      </c>
      <c r="J34">
        <v>0.0387</v>
      </c>
      <c r="K34">
        <v>0.0276</v>
      </c>
      <c r="P34">
        <v>100</v>
      </c>
      <c r="Q34" t="s">
        <v>386</v>
      </c>
      <c r="U34">
        <f t="shared" ref="U34:U65" si="10">IF(J34="","",IF(J34=23,"",ROUND(J34*4/6,4)))</f>
        <v>0.0258</v>
      </c>
      <c r="V34">
        <f t="shared" ref="V34:V65" si="11">IF(K34="","",IF(K34=23,"",ROUND(K34*4/6,4)))</f>
        <v>0.0184</v>
      </c>
      <c r="W34" t="str">
        <f t="shared" ref="W34:W65" si="12">IF(L34="","",IF(L34=23,"",ROUND(L34*4/6,4)))</f>
        <v/>
      </c>
      <c r="Y34">
        <f t="shared" ref="Y34:Y65" si="13">IF(E34="","",IF(E34=35,INT(U34*3385),IF(E34=26,INT(U34*3385),U34)))</f>
        <v>0.0258</v>
      </c>
      <c r="Z34">
        <f t="shared" ref="Z34:Z65" si="14">IF(F34="","",IF(F34=35,INT(V34*3385),IF(F34=26,INT(V34*3385),V34)))</f>
        <v>0.0184</v>
      </c>
      <c r="AA34" t="str">
        <f t="shared" ref="AA34:AA65" si="15">IF(G34="","",IF(G34=35,INT(W34*3385),IF(G34=26,INT(W34*3385),W34)))</f>
        <v/>
      </c>
      <c r="AB34" t="str">
        <f t="shared" si="1"/>
        <v/>
      </c>
      <c r="AE34" t="str">
        <f t="shared" ref="AE34:AE65" si="16">IF(M34="","",IF(M34=23,"",ROUND(M34*4/6,4)))</f>
        <v/>
      </c>
      <c r="AF34" t="str">
        <f t="shared" ref="AF34:AF65" si="17">_xlfn.TEXTJOIN(",",TRUE,Y34,Z34,AA34,AB34)</f>
        <v>0.0258,0.0184</v>
      </c>
    </row>
    <row r="35" spans="3:32">
      <c r="C35">
        <v>303</v>
      </c>
      <c r="D35">
        <v>150903</v>
      </c>
      <c r="E35">
        <v>6</v>
      </c>
      <c r="F35">
        <v>11</v>
      </c>
      <c r="G35">
        <v>9</v>
      </c>
      <c r="J35">
        <v>0.1354</v>
      </c>
      <c r="K35">
        <v>0.133</v>
      </c>
      <c r="L35">
        <v>0.0184</v>
      </c>
      <c r="P35">
        <v>100</v>
      </c>
      <c r="Q35" t="s">
        <v>387</v>
      </c>
      <c r="U35">
        <f t="shared" si="10"/>
        <v>0.0903</v>
      </c>
      <c r="V35">
        <f t="shared" si="11"/>
        <v>0.0887</v>
      </c>
      <c r="W35">
        <f t="shared" si="12"/>
        <v>0.0123</v>
      </c>
      <c r="Y35">
        <f t="shared" si="13"/>
        <v>0.0903</v>
      </c>
      <c r="Z35">
        <f t="shared" si="14"/>
        <v>0.0887</v>
      </c>
      <c r="AA35">
        <f t="shared" si="15"/>
        <v>0.0123</v>
      </c>
      <c r="AB35" t="str">
        <f t="shared" si="1"/>
        <v/>
      </c>
      <c r="AE35" t="str">
        <f t="shared" si="16"/>
        <v/>
      </c>
      <c r="AF35" t="str">
        <f t="shared" si="17"/>
        <v>0.0903,0.0887,0.0123</v>
      </c>
    </row>
    <row r="36" spans="3:32">
      <c r="C36">
        <v>403</v>
      </c>
      <c r="D36">
        <v>150904</v>
      </c>
      <c r="E36">
        <v>7</v>
      </c>
      <c r="F36">
        <v>10</v>
      </c>
      <c r="J36">
        <v>0.0967</v>
      </c>
      <c r="K36">
        <v>0.0276</v>
      </c>
      <c r="P36">
        <v>100</v>
      </c>
      <c r="Q36" t="s">
        <v>388</v>
      </c>
      <c r="U36">
        <f t="shared" si="10"/>
        <v>0.0645</v>
      </c>
      <c r="V36">
        <f t="shared" si="11"/>
        <v>0.0184</v>
      </c>
      <c r="W36" t="str">
        <f t="shared" si="12"/>
        <v/>
      </c>
      <c r="Y36">
        <f t="shared" si="13"/>
        <v>0.0645</v>
      </c>
      <c r="Z36">
        <f t="shared" si="14"/>
        <v>0.0184</v>
      </c>
      <c r="AA36" t="str">
        <f t="shared" si="15"/>
        <v/>
      </c>
      <c r="AB36" t="str">
        <f t="shared" si="1"/>
        <v/>
      </c>
      <c r="AE36" t="str">
        <f t="shared" si="16"/>
        <v/>
      </c>
      <c r="AF36" t="str">
        <f t="shared" si="17"/>
        <v>0.0645,0.0184</v>
      </c>
    </row>
    <row r="37" spans="3:32">
      <c r="C37">
        <v>103</v>
      </c>
      <c r="D37">
        <v>160101</v>
      </c>
      <c r="E37">
        <v>8</v>
      </c>
      <c r="J37">
        <v>0.1612</v>
      </c>
      <c r="P37">
        <v>100</v>
      </c>
      <c r="Q37" t="s">
        <v>393</v>
      </c>
      <c r="U37">
        <f t="shared" si="10"/>
        <v>0.1075</v>
      </c>
      <c r="V37" t="str">
        <f t="shared" si="11"/>
        <v/>
      </c>
      <c r="W37" t="str">
        <f t="shared" si="12"/>
        <v/>
      </c>
      <c r="Y37">
        <f t="shared" si="13"/>
        <v>0.1075</v>
      </c>
      <c r="Z37" t="str">
        <f t="shared" si="14"/>
        <v/>
      </c>
      <c r="AA37" t="str">
        <f t="shared" si="15"/>
        <v/>
      </c>
      <c r="AB37" t="str">
        <f t="shared" si="1"/>
        <v/>
      </c>
      <c r="AE37" t="str">
        <f t="shared" si="16"/>
        <v/>
      </c>
      <c r="AF37" t="str">
        <f t="shared" si="17"/>
        <v>0.1075</v>
      </c>
    </row>
    <row r="38" spans="3:32">
      <c r="C38">
        <v>203</v>
      </c>
      <c r="D38">
        <v>160102</v>
      </c>
      <c r="E38">
        <v>6</v>
      </c>
      <c r="J38">
        <v>0.2821</v>
      </c>
      <c r="P38">
        <v>100</v>
      </c>
      <c r="Q38" t="s">
        <v>395</v>
      </c>
      <c r="U38">
        <f t="shared" si="10"/>
        <v>0.1881</v>
      </c>
      <c r="V38" t="str">
        <f t="shared" si="11"/>
        <v/>
      </c>
      <c r="W38" t="str">
        <f t="shared" si="12"/>
        <v/>
      </c>
      <c r="Y38">
        <f t="shared" si="13"/>
        <v>0.1881</v>
      </c>
      <c r="Z38" t="str">
        <f t="shared" si="14"/>
        <v/>
      </c>
      <c r="AA38" t="str">
        <f t="shared" si="15"/>
        <v/>
      </c>
      <c r="AB38" t="str">
        <f t="shared" si="1"/>
        <v/>
      </c>
      <c r="AE38" t="str">
        <f t="shared" si="16"/>
        <v/>
      </c>
      <c r="AF38" t="str">
        <f t="shared" si="17"/>
        <v>0.1881</v>
      </c>
    </row>
    <row r="39" spans="3:32">
      <c r="C39">
        <v>303</v>
      </c>
      <c r="D39">
        <v>160103</v>
      </c>
      <c r="E39">
        <v>7</v>
      </c>
      <c r="J39">
        <v>0.1612</v>
      </c>
      <c r="P39">
        <v>100</v>
      </c>
      <c r="Q39" t="s">
        <v>396</v>
      </c>
      <c r="U39">
        <f t="shared" si="10"/>
        <v>0.1075</v>
      </c>
      <c r="V39" t="str">
        <f t="shared" si="11"/>
        <v/>
      </c>
      <c r="W39" t="str">
        <f t="shared" si="12"/>
        <v/>
      </c>
      <c r="Y39">
        <f t="shared" si="13"/>
        <v>0.1075</v>
      </c>
      <c r="Z39" t="str">
        <f t="shared" si="14"/>
        <v/>
      </c>
      <c r="AA39" t="str">
        <f t="shared" si="15"/>
        <v/>
      </c>
      <c r="AB39" t="str">
        <f t="shared" si="1"/>
        <v/>
      </c>
      <c r="AE39" t="str">
        <f t="shared" si="16"/>
        <v/>
      </c>
      <c r="AF39" t="str">
        <f t="shared" si="17"/>
        <v>0.1075</v>
      </c>
    </row>
    <row r="40" spans="3:32">
      <c r="C40">
        <v>403</v>
      </c>
      <c r="D40">
        <v>160104</v>
      </c>
      <c r="E40">
        <v>10</v>
      </c>
      <c r="J40">
        <v>0.3063</v>
      </c>
      <c r="P40">
        <v>100</v>
      </c>
      <c r="Q40" t="s">
        <v>397</v>
      </c>
      <c r="U40">
        <f t="shared" si="10"/>
        <v>0.2042</v>
      </c>
      <c r="V40" t="str">
        <f t="shared" si="11"/>
        <v/>
      </c>
      <c r="W40" t="str">
        <f t="shared" si="12"/>
        <v/>
      </c>
      <c r="Y40">
        <f t="shared" si="13"/>
        <v>0.2042</v>
      </c>
      <c r="Z40" t="str">
        <f t="shared" si="14"/>
        <v/>
      </c>
      <c r="AA40" t="str">
        <f t="shared" si="15"/>
        <v/>
      </c>
      <c r="AB40" t="str">
        <f t="shared" si="1"/>
        <v/>
      </c>
      <c r="AE40" t="str">
        <f t="shared" si="16"/>
        <v/>
      </c>
      <c r="AF40" t="str">
        <f t="shared" si="17"/>
        <v>0.2042</v>
      </c>
    </row>
    <row r="41" spans="3:32">
      <c r="C41">
        <v>103</v>
      </c>
      <c r="D41">
        <v>160201</v>
      </c>
      <c r="E41">
        <v>8</v>
      </c>
      <c r="J41">
        <v>0.1612</v>
      </c>
      <c r="P41">
        <v>100</v>
      </c>
      <c r="Q41" t="s">
        <v>402</v>
      </c>
      <c r="U41">
        <f t="shared" si="10"/>
        <v>0.1075</v>
      </c>
      <c r="V41" t="str">
        <f t="shared" si="11"/>
        <v/>
      </c>
      <c r="W41" t="str">
        <f t="shared" si="12"/>
        <v/>
      </c>
      <c r="Y41">
        <f t="shared" si="13"/>
        <v>0.1075</v>
      </c>
      <c r="Z41" t="str">
        <f t="shared" si="14"/>
        <v/>
      </c>
      <c r="AA41" t="str">
        <f t="shared" si="15"/>
        <v/>
      </c>
      <c r="AB41" t="str">
        <f t="shared" si="1"/>
        <v/>
      </c>
      <c r="AE41" t="str">
        <f t="shared" si="16"/>
        <v/>
      </c>
      <c r="AF41" t="str">
        <f t="shared" si="17"/>
        <v>0.1075</v>
      </c>
    </row>
    <row r="42" spans="3:32">
      <c r="C42">
        <v>203</v>
      </c>
      <c r="D42">
        <v>160202</v>
      </c>
      <c r="E42">
        <v>6</v>
      </c>
      <c r="F42">
        <v>35</v>
      </c>
      <c r="J42">
        <v>0.141</v>
      </c>
      <c r="K42">
        <v>0.2418</v>
      </c>
      <c r="P42">
        <v>100</v>
      </c>
      <c r="Q42" t="s">
        <v>403</v>
      </c>
      <c r="U42">
        <f t="shared" si="10"/>
        <v>0.094</v>
      </c>
      <c r="V42">
        <f t="shared" si="11"/>
        <v>0.1612</v>
      </c>
      <c r="W42" t="str">
        <f t="shared" si="12"/>
        <v/>
      </c>
      <c r="Y42">
        <f t="shared" si="13"/>
        <v>0.094</v>
      </c>
      <c r="Z42">
        <f t="shared" si="14"/>
        <v>545</v>
      </c>
      <c r="AA42" t="str">
        <f t="shared" si="15"/>
        <v/>
      </c>
      <c r="AB42" t="str">
        <f t="shared" si="1"/>
        <v/>
      </c>
      <c r="AE42" t="str">
        <f t="shared" si="16"/>
        <v/>
      </c>
      <c r="AF42" t="str">
        <f t="shared" si="17"/>
        <v>0.094,545</v>
      </c>
    </row>
    <row r="43" spans="3:32">
      <c r="C43">
        <v>303</v>
      </c>
      <c r="D43">
        <v>160203</v>
      </c>
      <c r="E43">
        <v>7</v>
      </c>
      <c r="J43">
        <v>0.1612</v>
      </c>
      <c r="P43">
        <v>100</v>
      </c>
      <c r="Q43" t="s">
        <v>404</v>
      </c>
      <c r="U43">
        <f t="shared" si="10"/>
        <v>0.1075</v>
      </c>
      <c r="V43" t="str">
        <f t="shared" si="11"/>
        <v/>
      </c>
      <c r="W43" t="str">
        <f t="shared" si="12"/>
        <v/>
      </c>
      <c r="Y43">
        <f t="shared" si="13"/>
        <v>0.1075</v>
      </c>
      <c r="Z43" t="str">
        <f t="shared" si="14"/>
        <v/>
      </c>
      <c r="AA43" t="str">
        <f t="shared" si="15"/>
        <v/>
      </c>
      <c r="AB43" t="str">
        <f t="shared" si="1"/>
        <v/>
      </c>
      <c r="AE43" t="str">
        <f t="shared" si="16"/>
        <v/>
      </c>
      <c r="AF43" t="str">
        <f t="shared" si="17"/>
        <v>0.1075</v>
      </c>
    </row>
    <row r="44" spans="3:32">
      <c r="C44">
        <v>403</v>
      </c>
      <c r="D44">
        <v>160204</v>
      </c>
      <c r="E44">
        <v>10</v>
      </c>
      <c r="F44">
        <v>35</v>
      </c>
      <c r="J44">
        <v>0.1531</v>
      </c>
      <c r="K44">
        <v>0.2418</v>
      </c>
      <c r="P44">
        <v>100</v>
      </c>
      <c r="Q44" t="s">
        <v>405</v>
      </c>
      <c r="U44">
        <f t="shared" si="10"/>
        <v>0.1021</v>
      </c>
      <c r="V44">
        <f t="shared" si="11"/>
        <v>0.1612</v>
      </c>
      <c r="W44" t="str">
        <f t="shared" si="12"/>
        <v/>
      </c>
      <c r="Y44">
        <f t="shared" si="13"/>
        <v>0.1021</v>
      </c>
      <c r="Z44">
        <f t="shared" si="14"/>
        <v>545</v>
      </c>
      <c r="AA44" t="str">
        <f t="shared" si="15"/>
        <v/>
      </c>
      <c r="AB44" t="str">
        <f t="shared" si="1"/>
        <v/>
      </c>
      <c r="AE44" t="str">
        <f t="shared" si="16"/>
        <v/>
      </c>
      <c r="AF44" t="str">
        <f t="shared" si="17"/>
        <v>0.1021,545</v>
      </c>
    </row>
    <row r="45" spans="3:32">
      <c r="C45">
        <v>103</v>
      </c>
      <c r="D45">
        <v>160301</v>
      </c>
      <c r="E45">
        <v>8</v>
      </c>
      <c r="F45">
        <v>26</v>
      </c>
      <c r="J45">
        <v>0.2257</v>
      </c>
      <c r="K45">
        <v>0.2418</v>
      </c>
      <c r="P45">
        <v>100</v>
      </c>
      <c r="Q45" t="s">
        <v>410</v>
      </c>
      <c r="U45">
        <f t="shared" si="10"/>
        <v>0.1505</v>
      </c>
      <c r="V45">
        <f t="shared" si="11"/>
        <v>0.1612</v>
      </c>
      <c r="W45" t="str">
        <f t="shared" si="12"/>
        <v/>
      </c>
      <c r="Y45">
        <f t="shared" si="13"/>
        <v>0.1505</v>
      </c>
      <c r="Z45">
        <f t="shared" si="14"/>
        <v>545</v>
      </c>
      <c r="AA45" t="str">
        <f t="shared" si="15"/>
        <v/>
      </c>
      <c r="AB45" t="str">
        <f t="shared" si="1"/>
        <v/>
      </c>
      <c r="AE45" t="str">
        <f t="shared" si="16"/>
        <v/>
      </c>
      <c r="AF45" t="str">
        <f t="shared" si="17"/>
        <v>0.1505,545</v>
      </c>
    </row>
    <row r="46" spans="3:32">
      <c r="C46">
        <v>203</v>
      </c>
      <c r="D46">
        <v>160302</v>
      </c>
      <c r="E46">
        <v>6</v>
      </c>
      <c r="J46">
        <v>0.141</v>
      </c>
      <c r="P46">
        <v>100</v>
      </c>
      <c r="Q46" t="s">
        <v>411</v>
      </c>
      <c r="U46">
        <f t="shared" si="10"/>
        <v>0.094</v>
      </c>
      <c r="V46" t="str">
        <f t="shared" si="11"/>
        <v/>
      </c>
      <c r="W46" t="str">
        <f t="shared" si="12"/>
        <v/>
      </c>
      <c r="Y46">
        <f t="shared" si="13"/>
        <v>0.094</v>
      </c>
      <c r="Z46" t="str">
        <f t="shared" si="14"/>
        <v/>
      </c>
      <c r="AA46" t="str">
        <f t="shared" si="15"/>
        <v/>
      </c>
      <c r="AB46" t="str">
        <f t="shared" si="1"/>
        <v/>
      </c>
      <c r="AE46" t="str">
        <f t="shared" si="16"/>
        <v/>
      </c>
      <c r="AF46" t="str">
        <f t="shared" si="17"/>
        <v>0.094</v>
      </c>
    </row>
    <row r="47" spans="3:32">
      <c r="C47">
        <v>303</v>
      </c>
      <c r="D47">
        <v>160303</v>
      </c>
      <c r="E47">
        <v>11</v>
      </c>
      <c r="J47">
        <v>0.0919</v>
      </c>
      <c r="P47">
        <v>100</v>
      </c>
      <c r="Q47" t="s">
        <v>412</v>
      </c>
      <c r="U47">
        <f t="shared" si="10"/>
        <v>0.0613</v>
      </c>
      <c r="V47" t="str">
        <f t="shared" si="11"/>
        <v/>
      </c>
      <c r="W47" t="str">
        <f t="shared" si="12"/>
        <v/>
      </c>
      <c r="Y47">
        <f t="shared" si="13"/>
        <v>0.0613</v>
      </c>
      <c r="Z47" t="str">
        <f t="shared" si="14"/>
        <v/>
      </c>
      <c r="AA47" t="str">
        <f t="shared" si="15"/>
        <v/>
      </c>
      <c r="AB47" t="str">
        <f t="shared" si="1"/>
        <v/>
      </c>
      <c r="AE47" t="str">
        <f t="shared" si="16"/>
        <v/>
      </c>
      <c r="AF47" t="str">
        <f t="shared" si="17"/>
        <v>0.0613</v>
      </c>
    </row>
    <row r="48" spans="3:32">
      <c r="C48">
        <v>403</v>
      </c>
      <c r="D48">
        <v>160304</v>
      </c>
      <c r="E48">
        <v>5</v>
      </c>
      <c r="F48">
        <v>26</v>
      </c>
      <c r="J48">
        <v>0.141</v>
      </c>
      <c r="K48">
        <v>0.2418</v>
      </c>
      <c r="P48">
        <v>100</v>
      </c>
      <c r="Q48" t="s">
        <v>414</v>
      </c>
      <c r="U48">
        <f t="shared" si="10"/>
        <v>0.094</v>
      </c>
      <c r="V48">
        <f t="shared" si="11"/>
        <v>0.1612</v>
      </c>
      <c r="W48" t="str">
        <f t="shared" si="12"/>
        <v/>
      </c>
      <c r="Y48">
        <f t="shared" si="13"/>
        <v>0.094</v>
      </c>
      <c r="Z48">
        <f t="shared" si="14"/>
        <v>545</v>
      </c>
      <c r="AA48" t="str">
        <f t="shared" si="15"/>
        <v/>
      </c>
      <c r="AB48" t="str">
        <f t="shared" si="1"/>
        <v/>
      </c>
      <c r="AE48" t="str">
        <f t="shared" si="16"/>
        <v/>
      </c>
      <c r="AF48" t="str">
        <f t="shared" si="17"/>
        <v>0.094,545</v>
      </c>
    </row>
    <row r="49" spans="3:32">
      <c r="C49">
        <v>103</v>
      </c>
      <c r="D49">
        <v>160401</v>
      </c>
      <c r="E49">
        <v>8</v>
      </c>
      <c r="J49">
        <v>0.3224</v>
      </c>
      <c r="P49">
        <v>100</v>
      </c>
      <c r="Q49" t="s">
        <v>422</v>
      </c>
      <c r="U49">
        <f t="shared" si="10"/>
        <v>0.2149</v>
      </c>
      <c r="V49" t="str">
        <f t="shared" si="11"/>
        <v/>
      </c>
      <c r="W49" t="str">
        <f t="shared" si="12"/>
        <v/>
      </c>
      <c r="Y49">
        <f t="shared" si="13"/>
        <v>0.2149</v>
      </c>
      <c r="Z49" t="str">
        <f t="shared" si="14"/>
        <v/>
      </c>
      <c r="AA49" t="str">
        <f t="shared" si="15"/>
        <v/>
      </c>
      <c r="AB49" t="str">
        <f t="shared" si="1"/>
        <v/>
      </c>
      <c r="AE49" t="str">
        <f t="shared" si="16"/>
        <v/>
      </c>
      <c r="AF49" t="str">
        <f t="shared" si="17"/>
        <v>0.2149</v>
      </c>
    </row>
    <row r="50" spans="3:32">
      <c r="C50">
        <v>203</v>
      </c>
      <c r="D50">
        <v>160402</v>
      </c>
      <c r="E50">
        <v>6</v>
      </c>
      <c r="J50">
        <v>0.141</v>
      </c>
      <c r="P50">
        <v>100</v>
      </c>
      <c r="Q50" t="s">
        <v>424</v>
      </c>
      <c r="U50">
        <f t="shared" si="10"/>
        <v>0.094</v>
      </c>
      <c r="V50" t="str">
        <f t="shared" si="11"/>
        <v/>
      </c>
      <c r="W50" t="str">
        <f t="shared" si="12"/>
        <v/>
      </c>
      <c r="Y50">
        <f t="shared" si="13"/>
        <v>0.094</v>
      </c>
      <c r="Z50" t="str">
        <f t="shared" si="14"/>
        <v/>
      </c>
      <c r="AA50" t="str">
        <f t="shared" si="15"/>
        <v/>
      </c>
      <c r="AB50" t="str">
        <f t="shared" si="1"/>
        <v/>
      </c>
      <c r="AE50" t="str">
        <f t="shared" si="16"/>
        <v/>
      </c>
      <c r="AF50" t="str">
        <f t="shared" si="17"/>
        <v>0.094</v>
      </c>
    </row>
    <row r="51" spans="3:32">
      <c r="C51">
        <v>303</v>
      </c>
      <c r="D51">
        <v>160403</v>
      </c>
      <c r="E51">
        <v>11</v>
      </c>
      <c r="J51">
        <v>0.3063</v>
      </c>
      <c r="P51">
        <v>100</v>
      </c>
      <c r="Q51" t="s">
        <v>426</v>
      </c>
      <c r="U51">
        <f t="shared" si="10"/>
        <v>0.2042</v>
      </c>
      <c r="V51" t="str">
        <f t="shared" si="11"/>
        <v/>
      </c>
      <c r="W51" t="str">
        <f t="shared" si="12"/>
        <v/>
      </c>
      <c r="Y51">
        <f t="shared" si="13"/>
        <v>0.2042</v>
      </c>
      <c r="Z51" t="str">
        <f t="shared" si="14"/>
        <v/>
      </c>
      <c r="AA51" t="str">
        <f t="shared" si="15"/>
        <v/>
      </c>
      <c r="AB51" t="str">
        <f t="shared" si="1"/>
        <v/>
      </c>
      <c r="AE51" t="str">
        <f t="shared" si="16"/>
        <v/>
      </c>
      <c r="AF51" t="str">
        <f t="shared" si="17"/>
        <v>0.2042</v>
      </c>
    </row>
    <row r="52" spans="3:32">
      <c r="C52">
        <v>403</v>
      </c>
      <c r="D52">
        <v>160404</v>
      </c>
      <c r="E52">
        <v>5</v>
      </c>
      <c r="J52">
        <v>0.141</v>
      </c>
      <c r="P52">
        <v>100</v>
      </c>
      <c r="Q52" t="s">
        <v>428</v>
      </c>
      <c r="U52">
        <f t="shared" si="10"/>
        <v>0.094</v>
      </c>
      <c r="V52" t="str">
        <f t="shared" si="11"/>
        <v/>
      </c>
      <c r="W52" t="str">
        <f t="shared" si="12"/>
        <v/>
      </c>
      <c r="Y52">
        <f t="shared" si="13"/>
        <v>0.094</v>
      </c>
      <c r="Z52" t="str">
        <f t="shared" si="14"/>
        <v/>
      </c>
      <c r="AA52" t="str">
        <f t="shared" si="15"/>
        <v/>
      </c>
      <c r="AB52" t="str">
        <f t="shared" si="1"/>
        <v/>
      </c>
      <c r="AE52" t="str">
        <f t="shared" si="16"/>
        <v/>
      </c>
      <c r="AF52" t="str">
        <f t="shared" si="17"/>
        <v>0.094</v>
      </c>
    </row>
    <row r="53" spans="3:32">
      <c r="C53">
        <v>103</v>
      </c>
      <c r="D53">
        <v>160501</v>
      </c>
      <c r="E53">
        <v>8</v>
      </c>
      <c r="F53">
        <v>26</v>
      </c>
      <c r="J53">
        <v>0.1612</v>
      </c>
      <c r="K53">
        <v>0.4836</v>
      </c>
      <c r="P53">
        <v>100</v>
      </c>
      <c r="Q53" t="s">
        <v>437</v>
      </c>
      <c r="U53">
        <f t="shared" si="10"/>
        <v>0.1075</v>
      </c>
      <c r="V53">
        <f t="shared" si="11"/>
        <v>0.3224</v>
      </c>
      <c r="W53" t="str">
        <f t="shared" si="12"/>
        <v/>
      </c>
      <c r="Y53">
        <f t="shared" si="13"/>
        <v>0.1075</v>
      </c>
      <c r="Z53">
        <f t="shared" si="14"/>
        <v>1091</v>
      </c>
      <c r="AA53" t="str">
        <f t="shared" si="15"/>
        <v/>
      </c>
      <c r="AB53" t="str">
        <f t="shared" si="1"/>
        <v/>
      </c>
      <c r="AE53" t="str">
        <f t="shared" si="16"/>
        <v/>
      </c>
      <c r="AF53" t="str">
        <f t="shared" si="17"/>
        <v>0.1075,1091</v>
      </c>
    </row>
    <row r="54" spans="3:32">
      <c r="C54">
        <v>203</v>
      </c>
      <c r="D54">
        <v>160502</v>
      </c>
      <c r="E54">
        <v>11</v>
      </c>
      <c r="J54">
        <v>0.0919</v>
      </c>
      <c r="P54">
        <v>100</v>
      </c>
      <c r="Q54" t="s">
        <v>439</v>
      </c>
      <c r="U54">
        <f t="shared" si="10"/>
        <v>0.0613</v>
      </c>
      <c r="V54" t="str">
        <f t="shared" si="11"/>
        <v/>
      </c>
      <c r="W54" t="str">
        <f t="shared" si="12"/>
        <v/>
      </c>
      <c r="Y54">
        <f t="shared" si="13"/>
        <v>0.0613</v>
      </c>
      <c r="Z54" t="str">
        <f t="shared" si="14"/>
        <v/>
      </c>
      <c r="AA54" t="str">
        <f t="shared" si="15"/>
        <v/>
      </c>
      <c r="AB54" t="str">
        <f t="shared" si="1"/>
        <v/>
      </c>
      <c r="AE54" t="str">
        <f t="shared" si="16"/>
        <v/>
      </c>
      <c r="AF54" t="str">
        <f t="shared" si="17"/>
        <v>0.0613</v>
      </c>
    </row>
    <row r="55" spans="3:32">
      <c r="C55">
        <v>303</v>
      </c>
      <c r="D55">
        <v>160503</v>
      </c>
      <c r="E55">
        <v>5</v>
      </c>
      <c r="F55">
        <v>9</v>
      </c>
      <c r="J55">
        <v>0.141</v>
      </c>
      <c r="K55">
        <v>0.4433</v>
      </c>
      <c r="P55">
        <v>100</v>
      </c>
      <c r="Q55" t="s">
        <v>441</v>
      </c>
      <c r="U55">
        <f t="shared" si="10"/>
        <v>0.094</v>
      </c>
      <c r="V55">
        <f t="shared" si="11"/>
        <v>0.2955</v>
      </c>
      <c r="W55" t="str">
        <f t="shared" si="12"/>
        <v/>
      </c>
      <c r="Y55">
        <f t="shared" si="13"/>
        <v>0.094</v>
      </c>
      <c r="Z55">
        <f t="shared" si="14"/>
        <v>0.2955</v>
      </c>
      <c r="AA55" t="str">
        <f t="shared" si="15"/>
        <v/>
      </c>
      <c r="AB55" t="str">
        <f t="shared" si="1"/>
        <v/>
      </c>
      <c r="AE55" t="str">
        <f t="shared" si="16"/>
        <v/>
      </c>
      <c r="AF55" t="str">
        <f t="shared" si="17"/>
        <v>0.094,0.2955</v>
      </c>
    </row>
    <row r="56" spans="3:32">
      <c r="C56">
        <v>403</v>
      </c>
      <c r="D56">
        <v>160504</v>
      </c>
      <c r="E56">
        <v>7</v>
      </c>
      <c r="J56">
        <v>0.0645</v>
      </c>
      <c r="P56">
        <v>100</v>
      </c>
      <c r="Q56" t="s">
        <v>443</v>
      </c>
      <c r="U56">
        <f t="shared" si="10"/>
        <v>0.043</v>
      </c>
      <c r="V56" t="str">
        <f t="shared" si="11"/>
        <v/>
      </c>
      <c r="W56" t="str">
        <f t="shared" si="12"/>
        <v/>
      </c>
      <c r="Y56">
        <f t="shared" si="13"/>
        <v>0.043</v>
      </c>
      <c r="Z56" t="str">
        <f t="shared" si="14"/>
        <v/>
      </c>
      <c r="AA56" t="str">
        <f t="shared" si="15"/>
        <v/>
      </c>
      <c r="AB56" t="str">
        <f t="shared" si="1"/>
        <v/>
      </c>
      <c r="AE56" t="str">
        <f t="shared" si="16"/>
        <v/>
      </c>
      <c r="AF56" t="str">
        <f t="shared" si="17"/>
        <v>0.043</v>
      </c>
    </row>
    <row r="57" spans="3:32">
      <c r="C57">
        <v>103</v>
      </c>
      <c r="D57">
        <v>160601</v>
      </c>
      <c r="E57">
        <v>8</v>
      </c>
      <c r="F57">
        <v>9</v>
      </c>
      <c r="J57">
        <v>0.1612</v>
      </c>
      <c r="K57">
        <v>0.4433</v>
      </c>
      <c r="P57">
        <v>100</v>
      </c>
      <c r="Q57" t="s">
        <v>449</v>
      </c>
      <c r="U57">
        <f t="shared" si="10"/>
        <v>0.1075</v>
      </c>
      <c r="V57">
        <f t="shared" si="11"/>
        <v>0.2955</v>
      </c>
      <c r="W57" t="str">
        <f t="shared" si="12"/>
        <v/>
      </c>
      <c r="Y57">
        <f t="shared" si="13"/>
        <v>0.1075</v>
      </c>
      <c r="Z57">
        <f t="shared" si="14"/>
        <v>0.2955</v>
      </c>
      <c r="AA57" t="str">
        <f t="shared" si="15"/>
        <v/>
      </c>
      <c r="AB57" t="str">
        <f t="shared" si="1"/>
        <v/>
      </c>
      <c r="AE57" t="str">
        <f t="shared" si="16"/>
        <v/>
      </c>
      <c r="AF57" t="str">
        <f t="shared" si="17"/>
        <v>0.1075,0.2955</v>
      </c>
    </row>
    <row r="58" spans="3:32">
      <c r="C58">
        <v>203</v>
      </c>
      <c r="D58">
        <v>160602</v>
      </c>
      <c r="E58">
        <v>11</v>
      </c>
      <c r="J58">
        <v>0.0919</v>
      </c>
      <c r="P58">
        <v>100</v>
      </c>
      <c r="Q58" t="s">
        <v>450</v>
      </c>
      <c r="U58">
        <f t="shared" si="10"/>
        <v>0.0613</v>
      </c>
      <c r="V58" t="str">
        <f t="shared" si="11"/>
        <v/>
      </c>
      <c r="W58" t="str">
        <f t="shared" si="12"/>
        <v/>
      </c>
      <c r="Y58">
        <f t="shared" si="13"/>
        <v>0.0613</v>
      </c>
      <c r="Z58" t="str">
        <f t="shared" si="14"/>
        <v/>
      </c>
      <c r="AA58" t="str">
        <f t="shared" si="15"/>
        <v/>
      </c>
      <c r="AB58" t="str">
        <f t="shared" si="1"/>
        <v/>
      </c>
      <c r="AE58" t="str">
        <f t="shared" si="16"/>
        <v/>
      </c>
      <c r="AF58" t="str">
        <f t="shared" si="17"/>
        <v>0.0613</v>
      </c>
    </row>
    <row r="59" spans="3:32">
      <c r="C59">
        <v>303</v>
      </c>
      <c r="D59">
        <v>160603</v>
      </c>
      <c r="E59">
        <v>5</v>
      </c>
      <c r="F59">
        <v>9</v>
      </c>
      <c r="J59">
        <v>0.2821</v>
      </c>
      <c r="K59">
        <v>0.4433</v>
      </c>
      <c r="P59">
        <v>100</v>
      </c>
      <c r="Q59" t="s">
        <v>451</v>
      </c>
      <c r="U59">
        <f t="shared" si="10"/>
        <v>0.1881</v>
      </c>
      <c r="V59">
        <f t="shared" si="11"/>
        <v>0.2955</v>
      </c>
      <c r="W59" t="str">
        <f t="shared" si="12"/>
        <v/>
      </c>
      <c r="Y59">
        <f t="shared" si="13"/>
        <v>0.1881</v>
      </c>
      <c r="Z59">
        <f t="shared" si="14"/>
        <v>0.2955</v>
      </c>
      <c r="AA59" t="str">
        <f t="shared" si="15"/>
        <v/>
      </c>
      <c r="AB59" t="str">
        <f t="shared" si="1"/>
        <v/>
      </c>
      <c r="AE59" t="str">
        <f t="shared" si="16"/>
        <v/>
      </c>
      <c r="AF59" t="str">
        <f t="shared" si="17"/>
        <v>0.1881,0.2955</v>
      </c>
    </row>
    <row r="60" spans="3:32">
      <c r="C60">
        <v>403</v>
      </c>
      <c r="D60">
        <v>160604</v>
      </c>
      <c r="E60">
        <v>7</v>
      </c>
      <c r="J60">
        <v>0.0645</v>
      </c>
      <c r="P60">
        <v>100</v>
      </c>
      <c r="Q60" t="s">
        <v>452</v>
      </c>
      <c r="U60">
        <f t="shared" si="10"/>
        <v>0.043</v>
      </c>
      <c r="V60" t="str">
        <f t="shared" si="11"/>
        <v/>
      </c>
      <c r="W60" t="str">
        <f t="shared" si="12"/>
        <v/>
      </c>
      <c r="Y60">
        <f t="shared" si="13"/>
        <v>0.043</v>
      </c>
      <c r="Z60" t="str">
        <f t="shared" si="14"/>
        <v/>
      </c>
      <c r="AA60" t="str">
        <f t="shared" si="15"/>
        <v/>
      </c>
      <c r="AB60" t="str">
        <f t="shared" si="1"/>
        <v/>
      </c>
      <c r="AE60" t="str">
        <f t="shared" si="16"/>
        <v/>
      </c>
      <c r="AF60" t="str">
        <f t="shared" si="17"/>
        <v>0.043</v>
      </c>
    </row>
    <row r="61" spans="3:32">
      <c r="C61">
        <v>103</v>
      </c>
      <c r="D61">
        <v>160701</v>
      </c>
      <c r="E61">
        <v>5</v>
      </c>
      <c r="F61">
        <v>9</v>
      </c>
      <c r="J61">
        <v>0.1975</v>
      </c>
      <c r="K61">
        <v>0.2216</v>
      </c>
      <c r="P61">
        <v>100</v>
      </c>
      <c r="Q61" t="s">
        <v>457</v>
      </c>
      <c r="U61">
        <f t="shared" si="10"/>
        <v>0.1317</v>
      </c>
      <c r="V61">
        <f t="shared" si="11"/>
        <v>0.1477</v>
      </c>
      <c r="W61" t="str">
        <f t="shared" si="12"/>
        <v/>
      </c>
      <c r="Y61">
        <f t="shared" si="13"/>
        <v>0.1317</v>
      </c>
      <c r="Z61">
        <f t="shared" si="14"/>
        <v>0.1477</v>
      </c>
      <c r="AA61" t="str">
        <f t="shared" si="15"/>
        <v/>
      </c>
      <c r="AB61" t="str">
        <f t="shared" si="1"/>
        <v/>
      </c>
      <c r="AE61" t="str">
        <f t="shared" si="16"/>
        <v/>
      </c>
      <c r="AF61" t="str">
        <f t="shared" si="17"/>
        <v>0.1317,0.1477</v>
      </c>
    </row>
    <row r="62" spans="3:32">
      <c r="C62">
        <v>203</v>
      </c>
      <c r="D62">
        <v>160702</v>
      </c>
      <c r="E62">
        <v>11</v>
      </c>
      <c r="J62">
        <v>0.1531</v>
      </c>
      <c r="P62">
        <v>100</v>
      </c>
      <c r="Q62" t="s">
        <v>458</v>
      </c>
      <c r="U62">
        <f t="shared" si="10"/>
        <v>0.1021</v>
      </c>
      <c r="V62" t="str">
        <f t="shared" si="11"/>
        <v/>
      </c>
      <c r="W62" t="str">
        <f t="shared" si="12"/>
        <v/>
      </c>
      <c r="Y62">
        <f t="shared" si="13"/>
        <v>0.1021</v>
      </c>
      <c r="Z62" t="str">
        <f t="shared" si="14"/>
        <v/>
      </c>
      <c r="AA62" t="str">
        <f t="shared" si="15"/>
        <v/>
      </c>
      <c r="AB62" t="str">
        <f t="shared" si="1"/>
        <v/>
      </c>
      <c r="AE62" t="str">
        <f t="shared" si="16"/>
        <v/>
      </c>
      <c r="AF62" t="str">
        <f t="shared" si="17"/>
        <v>0.1021</v>
      </c>
    </row>
    <row r="63" spans="3:32">
      <c r="C63">
        <v>303</v>
      </c>
      <c r="D63">
        <v>160703</v>
      </c>
      <c r="E63">
        <v>6</v>
      </c>
      <c r="F63">
        <v>9</v>
      </c>
      <c r="J63">
        <v>0.0846</v>
      </c>
      <c r="K63">
        <v>0.2216</v>
      </c>
      <c r="P63">
        <v>100</v>
      </c>
      <c r="Q63" t="s">
        <v>459</v>
      </c>
      <c r="U63">
        <f t="shared" si="10"/>
        <v>0.0564</v>
      </c>
      <c r="V63">
        <f t="shared" si="11"/>
        <v>0.1477</v>
      </c>
      <c r="W63" t="str">
        <f t="shared" si="12"/>
        <v/>
      </c>
      <c r="Y63">
        <f t="shared" si="13"/>
        <v>0.0564</v>
      </c>
      <c r="Z63">
        <f t="shared" si="14"/>
        <v>0.1477</v>
      </c>
      <c r="AA63" t="str">
        <f t="shared" si="15"/>
        <v/>
      </c>
      <c r="AB63" t="str">
        <f t="shared" si="1"/>
        <v/>
      </c>
      <c r="AE63" t="str">
        <f t="shared" si="16"/>
        <v/>
      </c>
      <c r="AF63" t="str">
        <f t="shared" si="17"/>
        <v>0.0564,0.1477</v>
      </c>
    </row>
    <row r="64" spans="3:32">
      <c r="C64">
        <v>403</v>
      </c>
      <c r="D64">
        <v>160704</v>
      </c>
      <c r="E64">
        <v>7</v>
      </c>
      <c r="J64">
        <v>0.3224</v>
      </c>
      <c r="P64">
        <v>100</v>
      </c>
      <c r="Q64" t="s">
        <v>460</v>
      </c>
      <c r="U64">
        <f t="shared" si="10"/>
        <v>0.2149</v>
      </c>
      <c r="V64" t="str">
        <f t="shared" si="11"/>
        <v/>
      </c>
      <c r="W64" t="str">
        <f t="shared" si="12"/>
        <v/>
      </c>
      <c r="Y64">
        <f t="shared" si="13"/>
        <v>0.2149</v>
      </c>
      <c r="Z64" t="str">
        <f t="shared" si="14"/>
        <v/>
      </c>
      <c r="AA64" t="str">
        <f t="shared" si="15"/>
        <v/>
      </c>
      <c r="AB64" t="str">
        <f t="shared" si="1"/>
        <v/>
      </c>
      <c r="AE64" t="str">
        <f t="shared" si="16"/>
        <v/>
      </c>
      <c r="AF64" t="str">
        <f t="shared" si="17"/>
        <v>0.2149</v>
      </c>
    </row>
    <row r="65" spans="3:32">
      <c r="C65">
        <v>103</v>
      </c>
      <c r="D65">
        <v>160801</v>
      </c>
      <c r="E65">
        <v>5</v>
      </c>
      <c r="F65">
        <v>9</v>
      </c>
      <c r="J65">
        <v>0.1128</v>
      </c>
      <c r="K65">
        <v>0.1773</v>
      </c>
      <c r="P65">
        <v>100</v>
      </c>
      <c r="Q65" t="s">
        <v>465</v>
      </c>
      <c r="U65">
        <f t="shared" si="10"/>
        <v>0.0752</v>
      </c>
      <c r="V65">
        <f t="shared" si="11"/>
        <v>0.1182</v>
      </c>
      <c r="W65" t="str">
        <f t="shared" si="12"/>
        <v/>
      </c>
      <c r="Y65">
        <f t="shared" si="13"/>
        <v>0.0752</v>
      </c>
      <c r="Z65">
        <f t="shared" si="14"/>
        <v>0.1182</v>
      </c>
      <c r="AA65" t="str">
        <f t="shared" si="15"/>
        <v/>
      </c>
      <c r="AB65" t="str">
        <f t="shared" ref="AB65:AB128" si="18">IF(H65="","",IF(H65=35,X65*3385,IF(H65=26,X65*3385,X65)))</f>
        <v/>
      </c>
      <c r="AE65" t="str">
        <f t="shared" si="16"/>
        <v/>
      </c>
      <c r="AF65" t="str">
        <f t="shared" si="17"/>
        <v>0.0752,0.1182</v>
      </c>
    </row>
    <row r="66" spans="3:32">
      <c r="C66">
        <v>203</v>
      </c>
      <c r="D66">
        <v>160802</v>
      </c>
      <c r="E66">
        <v>8</v>
      </c>
      <c r="F66">
        <v>10</v>
      </c>
      <c r="G66">
        <v>26</v>
      </c>
      <c r="J66">
        <v>0.0645</v>
      </c>
      <c r="K66">
        <v>0.0459</v>
      </c>
      <c r="L66">
        <v>0.0967</v>
      </c>
      <c r="P66">
        <v>100</v>
      </c>
      <c r="Q66" t="s">
        <v>466</v>
      </c>
      <c r="U66">
        <f t="shared" ref="U66:U108" si="19">IF(J66="","",IF(J66=23,"",ROUND(J66*4/6,4)))</f>
        <v>0.043</v>
      </c>
      <c r="V66">
        <f t="shared" ref="V66:V108" si="20">IF(K66="","",IF(K66=23,"",ROUND(K66*4/6,4)))</f>
        <v>0.0306</v>
      </c>
      <c r="W66">
        <f t="shared" ref="W66:W108" si="21">IF(L66="","",IF(L66=23,"",ROUND(L66*4/6,4)))</f>
        <v>0.0645</v>
      </c>
      <c r="Y66">
        <f t="shared" ref="Y66:Y97" si="22">IF(E66="","",IF(E66=35,INT(U66*3385),IF(E66=26,INT(U66*3385),U66)))</f>
        <v>0.043</v>
      </c>
      <c r="Z66">
        <f t="shared" ref="Z66:Z97" si="23">IF(F66="","",IF(F66=35,INT(V66*3385),IF(F66=26,INT(V66*3385),V66)))</f>
        <v>0.0306</v>
      </c>
      <c r="AA66">
        <f t="shared" ref="AA66:AA97" si="24">IF(G66="","",IF(G66=35,INT(W66*3385),IF(G66=26,INT(W66*3385),W66)))</f>
        <v>218</v>
      </c>
      <c r="AB66" t="str">
        <f t="shared" si="18"/>
        <v/>
      </c>
      <c r="AE66" t="str">
        <f t="shared" ref="AE66:AE108" si="25">IF(M66="","",IF(M66=23,"",ROUND(M66*4/6,4)))</f>
        <v/>
      </c>
      <c r="AF66" t="str">
        <f t="shared" ref="AF66:AF97" si="26">_xlfn.TEXTJOIN(",",TRUE,Y66,Z66,AA66,AB66)</f>
        <v>0.043,0.0306,218</v>
      </c>
    </row>
    <row r="67" spans="3:32">
      <c r="C67">
        <v>303</v>
      </c>
      <c r="D67">
        <v>160803</v>
      </c>
      <c r="E67">
        <v>6</v>
      </c>
      <c r="F67">
        <v>9</v>
      </c>
      <c r="J67">
        <v>0.2257</v>
      </c>
      <c r="K67">
        <v>0.1773</v>
      </c>
      <c r="P67">
        <v>100</v>
      </c>
      <c r="Q67" t="s">
        <v>467</v>
      </c>
      <c r="U67">
        <f t="shared" si="19"/>
        <v>0.1505</v>
      </c>
      <c r="V67">
        <f t="shared" si="20"/>
        <v>0.1182</v>
      </c>
      <c r="W67" t="str">
        <f t="shared" si="21"/>
        <v/>
      </c>
      <c r="Y67">
        <f t="shared" si="22"/>
        <v>0.1505</v>
      </c>
      <c r="Z67">
        <f t="shared" si="23"/>
        <v>0.1182</v>
      </c>
      <c r="AA67" t="str">
        <f t="shared" si="24"/>
        <v/>
      </c>
      <c r="AB67" t="str">
        <f t="shared" si="18"/>
        <v/>
      </c>
      <c r="AE67" t="str">
        <f t="shared" si="25"/>
        <v/>
      </c>
      <c r="AF67" t="str">
        <f t="shared" si="26"/>
        <v>0.1505,0.1182</v>
      </c>
    </row>
    <row r="68" spans="3:32">
      <c r="C68">
        <v>403</v>
      </c>
      <c r="D68">
        <v>160804</v>
      </c>
      <c r="E68">
        <v>7</v>
      </c>
      <c r="F68">
        <v>10</v>
      </c>
      <c r="G68">
        <v>26</v>
      </c>
      <c r="J68">
        <v>0.0459</v>
      </c>
      <c r="K68">
        <v>0.0967</v>
      </c>
      <c r="L68">
        <v>0.1612</v>
      </c>
      <c r="P68">
        <v>100</v>
      </c>
      <c r="Q68" t="s">
        <v>468</v>
      </c>
      <c r="U68">
        <f t="shared" si="19"/>
        <v>0.0306</v>
      </c>
      <c r="V68">
        <f t="shared" si="20"/>
        <v>0.0645</v>
      </c>
      <c r="W68">
        <f t="shared" si="21"/>
        <v>0.1075</v>
      </c>
      <c r="Y68">
        <f t="shared" si="22"/>
        <v>0.0306</v>
      </c>
      <c r="Z68">
        <f t="shared" si="23"/>
        <v>0.0645</v>
      </c>
      <c r="AA68">
        <f t="shared" si="24"/>
        <v>363</v>
      </c>
      <c r="AB68" t="str">
        <f t="shared" si="18"/>
        <v/>
      </c>
      <c r="AE68" t="str">
        <f t="shared" si="25"/>
        <v/>
      </c>
      <c r="AF68" t="str">
        <f t="shared" si="26"/>
        <v>0.0306,0.0645,363</v>
      </c>
    </row>
    <row r="69" spans="3:32">
      <c r="C69">
        <v>103</v>
      </c>
      <c r="D69">
        <v>160901</v>
      </c>
      <c r="E69">
        <v>5</v>
      </c>
      <c r="F69">
        <v>11</v>
      </c>
      <c r="G69">
        <v>9</v>
      </c>
      <c r="J69">
        <v>0.141</v>
      </c>
      <c r="K69">
        <v>0.2216</v>
      </c>
      <c r="L69">
        <v>0.0306</v>
      </c>
      <c r="P69">
        <v>100</v>
      </c>
      <c r="Q69" t="s">
        <v>473</v>
      </c>
      <c r="U69">
        <f t="shared" si="19"/>
        <v>0.094</v>
      </c>
      <c r="V69">
        <f t="shared" si="20"/>
        <v>0.1477</v>
      </c>
      <c r="W69">
        <f t="shared" si="21"/>
        <v>0.0204</v>
      </c>
      <c r="Y69">
        <f t="shared" si="22"/>
        <v>0.094</v>
      </c>
      <c r="Z69">
        <f t="shared" si="23"/>
        <v>0.1477</v>
      </c>
      <c r="AA69">
        <f t="shared" si="24"/>
        <v>0.0204</v>
      </c>
      <c r="AB69" t="str">
        <f t="shared" si="18"/>
        <v/>
      </c>
      <c r="AE69" t="str">
        <f t="shared" si="25"/>
        <v/>
      </c>
      <c r="AF69" t="str">
        <f t="shared" si="26"/>
        <v>0.094,0.1477,0.0204</v>
      </c>
    </row>
    <row r="70" spans="3:32">
      <c r="C70">
        <v>203</v>
      </c>
      <c r="D70">
        <v>160902</v>
      </c>
      <c r="E70">
        <v>8</v>
      </c>
      <c r="F70">
        <v>10</v>
      </c>
      <c r="J70">
        <v>0.0645</v>
      </c>
      <c r="K70">
        <v>0.0459</v>
      </c>
      <c r="P70">
        <v>100</v>
      </c>
      <c r="Q70" t="s">
        <v>474</v>
      </c>
      <c r="U70">
        <f t="shared" si="19"/>
        <v>0.043</v>
      </c>
      <c r="V70">
        <f t="shared" si="20"/>
        <v>0.0306</v>
      </c>
      <c r="W70" t="str">
        <f t="shared" si="21"/>
        <v/>
      </c>
      <c r="Y70">
        <f t="shared" si="22"/>
        <v>0.043</v>
      </c>
      <c r="Z70">
        <f t="shared" si="23"/>
        <v>0.0306</v>
      </c>
      <c r="AA70" t="str">
        <f t="shared" si="24"/>
        <v/>
      </c>
      <c r="AB70" t="str">
        <f t="shared" si="18"/>
        <v/>
      </c>
      <c r="AE70" t="str">
        <f t="shared" si="25"/>
        <v/>
      </c>
      <c r="AF70" t="str">
        <f t="shared" si="26"/>
        <v>0.043,0.0306</v>
      </c>
    </row>
    <row r="71" spans="3:32">
      <c r="C71">
        <v>303</v>
      </c>
      <c r="D71">
        <v>160903</v>
      </c>
      <c r="E71">
        <v>6</v>
      </c>
      <c r="F71">
        <v>11</v>
      </c>
      <c r="G71">
        <v>9</v>
      </c>
      <c r="J71">
        <v>0.2257</v>
      </c>
      <c r="K71">
        <v>0.2216</v>
      </c>
      <c r="L71">
        <v>0.0306</v>
      </c>
      <c r="P71">
        <v>100</v>
      </c>
      <c r="Q71" t="s">
        <v>475</v>
      </c>
      <c r="U71">
        <f t="shared" si="19"/>
        <v>0.1505</v>
      </c>
      <c r="V71">
        <f t="shared" si="20"/>
        <v>0.1477</v>
      </c>
      <c r="W71">
        <f t="shared" si="21"/>
        <v>0.0204</v>
      </c>
      <c r="Y71">
        <f t="shared" si="22"/>
        <v>0.1505</v>
      </c>
      <c r="Z71">
        <f t="shared" si="23"/>
        <v>0.1477</v>
      </c>
      <c r="AA71">
        <f t="shared" si="24"/>
        <v>0.0204</v>
      </c>
      <c r="AB71" t="str">
        <f t="shared" si="18"/>
        <v/>
      </c>
      <c r="AE71" t="str">
        <f t="shared" si="25"/>
        <v/>
      </c>
      <c r="AF71" t="str">
        <f t="shared" si="26"/>
        <v>0.1505,0.1477,0.0204</v>
      </c>
    </row>
    <row r="72" spans="3:32">
      <c r="C72">
        <v>403</v>
      </c>
      <c r="D72">
        <v>160904</v>
      </c>
      <c r="E72">
        <v>7</v>
      </c>
      <c r="F72">
        <v>10</v>
      </c>
      <c r="J72">
        <v>0.1612</v>
      </c>
      <c r="K72">
        <v>0.0459</v>
      </c>
      <c r="P72">
        <v>100</v>
      </c>
      <c r="Q72" t="s">
        <v>476</v>
      </c>
      <c r="U72">
        <f t="shared" si="19"/>
        <v>0.1075</v>
      </c>
      <c r="V72">
        <f t="shared" si="20"/>
        <v>0.0306</v>
      </c>
      <c r="W72" t="str">
        <f t="shared" si="21"/>
        <v/>
      </c>
      <c r="Y72">
        <f t="shared" si="22"/>
        <v>0.1075</v>
      </c>
      <c r="Z72">
        <f t="shared" si="23"/>
        <v>0.0306</v>
      </c>
      <c r="AA72" t="str">
        <f t="shared" si="24"/>
        <v/>
      </c>
      <c r="AB72" t="str">
        <f t="shared" si="18"/>
        <v/>
      </c>
      <c r="AE72" t="str">
        <f t="shared" si="25"/>
        <v/>
      </c>
      <c r="AF72" t="str">
        <f t="shared" si="26"/>
        <v>0.1075,0.0306</v>
      </c>
    </row>
    <row r="73" spans="3:32">
      <c r="C73">
        <v>104</v>
      </c>
      <c r="D73">
        <v>160101</v>
      </c>
      <c r="E73">
        <v>8</v>
      </c>
      <c r="J73">
        <v>0.2047</v>
      </c>
      <c r="P73">
        <v>100</v>
      </c>
      <c r="Q73" t="s">
        <v>393</v>
      </c>
      <c r="U73">
        <f t="shared" si="19"/>
        <v>0.1365</v>
      </c>
      <c r="V73" t="str">
        <f t="shared" si="20"/>
        <v/>
      </c>
      <c r="W73" t="str">
        <f t="shared" si="21"/>
        <v/>
      </c>
      <c r="Y73">
        <f t="shared" si="22"/>
        <v>0.1365</v>
      </c>
      <c r="Z73" t="str">
        <f t="shared" si="23"/>
        <v/>
      </c>
      <c r="AA73" t="str">
        <f t="shared" si="24"/>
        <v/>
      </c>
      <c r="AB73" t="str">
        <f t="shared" si="18"/>
        <v/>
      </c>
      <c r="AE73" t="str">
        <f t="shared" si="25"/>
        <v/>
      </c>
      <c r="AF73" t="str">
        <f t="shared" si="26"/>
        <v>0.1365</v>
      </c>
    </row>
    <row r="74" spans="3:32">
      <c r="C74">
        <v>204</v>
      </c>
      <c r="D74">
        <v>160102</v>
      </c>
      <c r="E74">
        <v>6</v>
      </c>
      <c r="J74">
        <v>0.3582</v>
      </c>
      <c r="P74">
        <v>100</v>
      </c>
      <c r="Q74" t="s">
        <v>395</v>
      </c>
      <c r="U74">
        <f t="shared" si="19"/>
        <v>0.2388</v>
      </c>
      <c r="V74" t="str">
        <f t="shared" si="20"/>
        <v/>
      </c>
      <c r="W74" t="str">
        <f t="shared" si="21"/>
        <v/>
      </c>
      <c r="Y74">
        <f t="shared" si="22"/>
        <v>0.2388</v>
      </c>
      <c r="Z74" t="str">
        <f t="shared" si="23"/>
        <v/>
      </c>
      <c r="AA74" t="str">
        <f t="shared" si="24"/>
        <v/>
      </c>
      <c r="AB74" t="str">
        <f t="shared" si="18"/>
        <v/>
      </c>
      <c r="AE74" t="str">
        <f t="shared" si="25"/>
        <v/>
      </c>
      <c r="AF74" t="str">
        <f t="shared" si="26"/>
        <v>0.2388</v>
      </c>
    </row>
    <row r="75" spans="3:32">
      <c r="C75">
        <v>304</v>
      </c>
      <c r="D75">
        <v>160103</v>
      </c>
      <c r="E75">
        <v>7</v>
      </c>
      <c r="J75">
        <v>0.2047</v>
      </c>
      <c r="P75">
        <v>100</v>
      </c>
      <c r="Q75" t="s">
        <v>396</v>
      </c>
      <c r="U75">
        <f t="shared" si="19"/>
        <v>0.1365</v>
      </c>
      <c r="V75" t="str">
        <f t="shared" si="20"/>
        <v/>
      </c>
      <c r="W75" t="str">
        <f t="shared" si="21"/>
        <v/>
      </c>
      <c r="Y75">
        <f t="shared" si="22"/>
        <v>0.1365</v>
      </c>
      <c r="Z75" t="str">
        <f t="shared" si="23"/>
        <v/>
      </c>
      <c r="AA75" t="str">
        <f t="shared" si="24"/>
        <v/>
      </c>
      <c r="AB75" t="str">
        <f t="shared" si="18"/>
        <v/>
      </c>
      <c r="AE75" t="str">
        <f t="shared" si="25"/>
        <v/>
      </c>
      <c r="AF75" t="str">
        <f t="shared" si="26"/>
        <v>0.1365</v>
      </c>
    </row>
    <row r="76" spans="3:32">
      <c r="C76">
        <v>404</v>
      </c>
      <c r="D76">
        <v>160104</v>
      </c>
      <c r="E76">
        <v>10</v>
      </c>
      <c r="J76">
        <v>0.3889</v>
      </c>
      <c r="P76">
        <v>100</v>
      </c>
      <c r="Q76" t="s">
        <v>397</v>
      </c>
      <c r="U76">
        <f t="shared" si="19"/>
        <v>0.2593</v>
      </c>
      <c r="V76" t="str">
        <f t="shared" si="20"/>
        <v/>
      </c>
      <c r="W76" t="str">
        <f t="shared" si="21"/>
        <v/>
      </c>
      <c r="Y76">
        <f t="shared" si="22"/>
        <v>0.2593</v>
      </c>
      <c r="Z76" t="str">
        <f t="shared" si="23"/>
        <v/>
      </c>
      <c r="AA76" t="str">
        <f t="shared" si="24"/>
        <v/>
      </c>
      <c r="AB76" t="str">
        <f t="shared" si="18"/>
        <v/>
      </c>
      <c r="AE76" t="str">
        <f t="shared" si="25"/>
        <v/>
      </c>
      <c r="AF76" t="str">
        <f t="shared" si="26"/>
        <v>0.2593</v>
      </c>
    </row>
    <row r="77" spans="3:32">
      <c r="C77">
        <v>104</v>
      </c>
      <c r="D77">
        <v>160201</v>
      </c>
      <c r="E77">
        <v>8</v>
      </c>
      <c r="J77">
        <v>0.2047</v>
      </c>
      <c r="P77">
        <v>100</v>
      </c>
      <c r="Q77" t="s">
        <v>402</v>
      </c>
      <c r="U77">
        <f t="shared" si="19"/>
        <v>0.1365</v>
      </c>
      <c r="V77" t="str">
        <f t="shared" si="20"/>
        <v/>
      </c>
      <c r="W77" t="str">
        <f t="shared" si="21"/>
        <v/>
      </c>
      <c r="Y77">
        <f t="shared" si="22"/>
        <v>0.1365</v>
      </c>
      <c r="Z77" t="str">
        <f t="shared" si="23"/>
        <v/>
      </c>
      <c r="AA77" t="str">
        <f t="shared" si="24"/>
        <v/>
      </c>
      <c r="AB77" t="str">
        <f t="shared" si="18"/>
        <v/>
      </c>
      <c r="AE77" t="str">
        <f t="shared" si="25"/>
        <v/>
      </c>
      <c r="AF77" t="str">
        <f t="shared" si="26"/>
        <v>0.1365</v>
      </c>
    </row>
    <row r="78" spans="3:32">
      <c r="C78">
        <v>204</v>
      </c>
      <c r="D78">
        <v>160202</v>
      </c>
      <c r="E78">
        <v>6</v>
      </c>
      <c r="F78">
        <v>35</v>
      </c>
      <c r="J78">
        <v>0.1791</v>
      </c>
      <c r="K78">
        <v>0.307</v>
      </c>
      <c r="P78">
        <v>100</v>
      </c>
      <c r="Q78" t="s">
        <v>403</v>
      </c>
      <c r="U78">
        <f t="shared" si="19"/>
        <v>0.1194</v>
      </c>
      <c r="V78">
        <f t="shared" si="20"/>
        <v>0.2047</v>
      </c>
      <c r="W78" t="str">
        <f t="shared" si="21"/>
        <v/>
      </c>
      <c r="Y78">
        <f t="shared" si="22"/>
        <v>0.1194</v>
      </c>
      <c r="Z78">
        <f t="shared" si="23"/>
        <v>692</v>
      </c>
      <c r="AA78" t="str">
        <f t="shared" si="24"/>
        <v/>
      </c>
      <c r="AB78" t="str">
        <f t="shared" si="18"/>
        <v/>
      </c>
      <c r="AE78" t="str">
        <f t="shared" si="25"/>
        <v/>
      </c>
      <c r="AF78" t="str">
        <f t="shared" si="26"/>
        <v>0.1194,692</v>
      </c>
    </row>
    <row r="79" spans="3:32">
      <c r="C79">
        <v>304</v>
      </c>
      <c r="D79">
        <v>160203</v>
      </c>
      <c r="E79">
        <v>7</v>
      </c>
      <c r="J79">
        <v>0.2047</v>
      </c>
      <c r="P79">
        <v>100</v>
      </c>
      <c r="Q79" t="s">
        <v>404</v>
      </c>
      <c r="U79">
        <f t="shared" si="19"/>
        <v>0.1365</v>
      </c>
      <c r="V79" t="str">
        <f t="shared" si="20"/>
        <v/>
      </c>
      <c r="W79" t="str">
        <f t="shared" si="21"/>
        <v/>
      </c>
      <c r="Y79">
        <f t="shared" si="22"/>
        <v>0.1365</v>
      </c>
      <c r="Z79" t="str">
        <f t="shared" si="23"/>
        <v/>
      </c>
      <c r="AA79" t="str">
        <f t="shared" si="24"/>
        <v/>
      </c>
      <c r="AB79" t="str">
        <f t="shared" si="18"/>
        <v/>
      </c>
      <c r="AE79" t="str">
        <f t="shared" si="25"/>
        <v/>
      </c>
      <c r="AF79" t="str">
        <f t="shared" si="26"/>
        <v>0.1365</v>
      </c>
    </row>
    <row r="80" spans="3:32">
      <c r="C80">
        <v>404</v>
      </c>
      <c r="D80">
        <v>160204</v>
      </c>
      <c r="E80">
        <v>10</v>
      </c>
      <c r="F80">
        <v>35</v>
      </c>
      <c r="J80">
        <v>0.1945</v>
      </c>
      <c r="K80">
        <v>0.307</v>
      </c>
      <c r="P80">
        <v>100</v>
      </c>
      <c r="Q80" t="s">
        <v>405</v>
      </c>
      <c r="U80">
        <f t="shared" si="19"/>
        <v>0.1297</v>
      </c>
      <c r="V80">
        <f t="shared" si="20"/>
        <v>0.2047</v>
      </c>
      <c r="W80" t="str">
        <f t="shared" si="21"/>
        <v/>
      </c>
      <c r="Y80">
        <f t="shared" si="22"/>
        <v>0.1297</v>
      </c>
      <c r="Z80">
        <f t="shared" si="23"/>
        <v>692</v>
      </c>
      <c r="AA80" t="str">
        <f t="shared" si="24"/>
        <v/>
      </c>
      <c r="AB80" t="str">
        <f t="shared" si="18"/>
        <v/>
      </c>
      <c r="AE80" t="str">
        <f t="shared" si="25"/>
        <v/>
      </c>
      <c r="AF80" t="str">
        <f t="shared" si="26"/>
        <v>0.1297,692</v>
      </c>
    </row>
    <row r="81" spans="3:32">
      <c r="C81">
        <v>104</v>
      </c>
      <c r="D81">
        <v>160301</v>
      </c>
      <c r="E81">
        <v>8</v>
      </c>
      <c r="F81">
        <v>26</v>
      </c>
      <c r="J81">
        <v>0.2866</v>
      </c>
      <c r="K81">
        <v>0.307</v>
      </c>
      <c r="P81">
        <v>100</v>
      </c>
      <c r="Q81" t="s">
        <v>410</v>
      </c>
      <c r="U81">
        <f t="shared" si="19"/>
        <v>0.1911</v>
      </c>
      <c r="V81">
        <f t="shared" si="20"/>
        <v>0.2047</v>
      </c>
      <c r="W81" t="str">
        <f t="shared" si="21"/>
        <v/>
      </c>
      <c r="Y81">
        <f t="shared" si="22"/>
        <v>0.1911</v>
      </c>
      <c r="Z81">
        <f t="shared" si="23"/>
        <v>692</v>
      </c>
      <c r="AA81" t="str">
        <f t="shared" si="24"/>
        <v/>
      </c>
      <c r="AB81" t="str">
        <f t="shared" si="18"/>
        <v/>
      </c>
      <c r="AE81" t="str">
        <f t="shared" si="25"/>
        <v/>
      </c>
      <c r="AF81" t="str">
        <f t="shared" si="26"/>
        <v>0.1911,692</v>
      </c>
    </row>
    <row r="82" spans="3:32">
      <c r="C82">
        <v>204</v>
      </c>
      <c r="D82">
        <v>160302</v>
      </c>
      <c r="E82">
        <v>6</v>
      </c>
      <c r="J82">
        <v>0.1791</v>
      </c>
      <c r="P82">
        <v>100</v>
      </c>
      <c r="Q82" t="s">
        <v>411</v>
      </c>
      <c r="U82">
        <f t="shared" si="19"/>
        <v>0.1194</v>
      </c>
      <c r="V82" t="str">
        <f t="shared" si="20"/>
        <v/>
      </c>
      <c r="W82" t="str">
        <f t="shared" si="21"/>
        <v/>
      </c>
      <c r="Y82">
        <f t="shared" si="22"/>
        <v>0.1194</v>
      </c>
      <c r="Z82" t="str">
        <f t="shared" si="23"/>
        <v/>
      </c>
      <c r="AA82" t="str">
        <f t="shared" si="24"/>
        <v/>
      </c>
      <c r="AB82" t="str">
        <f t="shared" si="18"/>
        <v/>
      </c>
      <c r="AE82" t="str">
        <f t="shared" si="25"/>
        <v/>
      </c>
      <c r="AF82" t="str">
        <f t="shared" si="26"/>
        <v>0.1194</v>
      </c>
    </row>
    <row r="83" spans="3:32">
      <c r="C83">
        <v>304</v>
      </c>
      <c r="D83">
        <v>160303</v>
      </c>
      <c r="E83">
        <v>11</v>
      </c>
      <c r="J83">
        <v>0.1167</v>
      </c>
      <c r="P83">
        <v>100</v>
      </c>
      <c r="Q83" t="s">
        <v>412</v>
      </c>
      <c r="U83">
        <f t="shared" si="19"/>
        <v>0.0778</v>
      </c>
      <c r="V83" t="str">
        <f t="shared" si="20"/>
        <v/>
      </c>
      <c r="W83" t="str">
        <f t="shared" si="21"/>
        <v/>
      </c>
      <c r="Y83">
        <f t="shared" si="22"/>
        <v>0.0778</v>
      </c>
      <c r="Z83" t="str">
        <f t="shared" si="23"/>
        <v/>
      </c>
      <c r="AA83" t="str">
        <f t="shared" si="24"/>
        <v/>
      </c>
      <c r="AB83" t="str">
        <f t="shared" si="18"/>
        <v/>
      </c>
      <c r="AE83" t="str">
        <f t="shared" si="25"/>
        <v/>
      </c>
      <c r="AF83" t="str">
        <f t="shared" si="26"/>
        <v>0.0778</v>
      </c>
    </row>
    <row r="84" spans="3:32">
      <c r="C84">
        <v>404</v>
      </c>
      <c r="D84">
        <v>160304</v>
      </c>
      <c r="E84">
        <v>5</v>
      </c>
      <c r="F84">
        <v>26</v>
      </c>
      <c r="J84">
        <v>0.1791</v>
      </c>
      <c r="K84">
        <v>0.307</v>
      </c>
      <c r="P84">
        <v>100</v>
      </c>
      <c r="Q84" t="s">
        <v>414</v>
      </c>
      <c r="U84">
        <f t="shared" si="19"/>
        <v>0.1194</v>
      </c>
      <c r="V84">
        <f t="shared" si="20"/>
        <v>0.2047</v>
      </c>
      <c r="W84" t="str">
        <f t="shared" si="21"/>
        <v/>
      </c>
      <c r="Y84">
        <f t="shared" si="22"/>
        <v>0.1194</v>
      </c>
      <c r="Z84">
        <f t="shared" si="23"/>
        <v>692</v>
      </c>
      <c r="AA84" t="str">
        <f t="shared" si="24"/>
        <v/>
      </c>
      <c r="AB84" t="str">
        <f t="shared" si="18"/>
        <v/>
      </c>
      <c r="AE84" t="str">
        <f t="shared" si="25"/>
        <v/>
      </c>
      <c r="AF84" t="str">
        <f t="shared" si="26"/>
        <v>0.1194,692</v>
      </c>
    </row>
    <row r="85" spans="3:32">
      <c r="C85">
        <v>104</v>
      </c>
      <c r="D85">
        <v>160401</v>
      </c>
      <c r="E85">
        <v>8</v>
      </c>
      <c r="J85">
        <v>0.4094</v>
      </c>
      <c r="P85">
        <v>100</v>
      </c>
      <c r="Q85" t="s">
        <v>422</v>
      </c>
      <c r="U85">
        <f t="shared" si="19"/>
        <v>0.2729</v>
      </c>
      <c r="V85" t="str">
        <f t="shared" si="20"/>
        <v/>
      </c>
      <c r="W85" t="str">
        <f t="shared" si="21"/>
        <v/>
      </c>
      <c r="Y85">
        <f t="shared" si="22"/>
        <v>0.2729</v>
      </c>
      <c r="Z85" t="str">
        <f t="shared" si="23"/>
        <v/>
      </c>
      <c r="AA85" t="str">
        <f t="shared" si="24"/>
        <v/>
      </c>
      <c r="AB85" t="str">
        <f t="shared" si="18"/>
        <v/>
      </c>
      <c r="AE85" t="str">
        <f t="shared" si="25"/>
        <v/>
      </c>
      <c r="AF85" t="str">
        <f t="shared" si="26"/>
        <v>0.2729</v>
      </c>
    </row>
    <row r="86" spans="3:32">
      <c r="C86">
        <v>204</v>
      </c>
      <c r="D86">
        <v>160402</v>
      </c>
      <c r="E86">
        <v>6</v>
      </c>
      <c r="J86">
        <v>0.1791</v>
      </c>
      <c r="P86">
        <v>100</v>
      </c>
      <c r="Q86" t="s">
        <v>424</v>
      </c>
      <c r="U86">
        <f t="shared" si="19"/>
        <v>0.1194</v>
      </c>
      <c r="V86" t="str">
        <f t="shared" si="20"/>
        <v/>
      </c>
      <c r="W86" t="str">
        <f t="shared" si="21"/>
        <v/>
      </c>
      <c r="Y86">
        <f t="shared" si="22"/>
        <v>0.1194</v>
      </c>
      <c r="Z86" t="str">
        <f t="shared" si="23"/>
        <v/>
      </c>
      <c r="AA86" t="str">
        <f t="shared" si="24"/>
        <v/>
      </c>
      <c r="AB86" t="str">
        <f t="shared" si="18"/>
        <v/>
      </c>
      <c r="AE86" t="str">
        <f t="shared" si="25"/>
        <v/>
      </c>
      <c r="AF86" t="str">
        <f t="shared" si="26"/>
        <v>0.1194</v>
      </c>
    </row>
    <row r="87" spans="3:32">
      <c r="C87">
        <v>304</v>
      </c>
      <c r="D87">
        <v>160403</v>
      </c>
      <c r="E87">
        <v>11</v>
      </c>
      <c r="J87">
        <v>0.3889</v>
      </c>
      <c r="P87">
        <v>100</v>
      </c>
      <c r="Q87" t="s">
        <v>426</v>
      </c>
      <c r="U87">
        <f t="shared" si="19"/>
        <v>0.2593</v>
      </c>
      <c r="V87" t="str">
        <f t="shared" si="20"/>
        <v/>
      </c>
      <c r="W87" t="str">
        <f t="shared" si="21"/>
        <v/>
      </c>
      <c r="Y87">
        <f t="shared" si="22"/>
        <v>0.2593</v>
      </c>
      <c r="Z87" t="str">
        <f t="shared" si="23"/>
        <v/>
      </c>
      <c r="AA87" t="str">
        <f t="shared" si="24"/>
        <v/>
      </c>
      <c r="AB87" t="str">
        <f t="shared" si="18"/>
        <v/>
      </c>
      <c r="AE87" t="str">
        <f t="shared" si="25"/>
        <v/>
      </c>
      <c r="AF87" t="str">
        <f t="shared" si="26"/>
        <v>0.2593</v>
      </c>
    </row>
    <row r="88" spans="3:32">
      <c r="C88">
        <v>404</v>
      </c>
      <c r="D88">
        <v>160404</v>
      </c>
      <c r="E88">
        <v>5</v>
      </c>
      <c r="J88">
        <v>0.1791</v>
      </c>
      <c r="P88">
        <v>100</v>
      </c>
      <c r="Q88" t="s">
        <v>428</v>
      </c>
      <c r="U88">
        <f t="shared" si="19"/>
        <v>0.1194</v>
      </c>
      <c r="V88" t="str">
        <f t="shared" si="20"/>
        <v/>
      </c>
      <c r="W88" t="str">
        <f t="shared" si="21"/>
        <v/>
      </c>
      <c r="Y88">
        <f t="shared" si="22"/>
        <v>0.1194</v>
      </c>
      <c r="Z88" t="str">
        <f t="shared" si="23"/>
        <v/>
      </c>
      <c r="AA88" t="str">
        <f t="shared" si="24"/>
        <v/>
      </c>
      <c r="AB88" t="str">
        <f t="shared" si="18"/>
        <v/>
      </c>
      <c r="AE88" t="str">
        <f t="shared" si="25"/>
        <v/>
      </c>
      <c r="AF88" t="str">
        <f t="shared" si="26"/>
        <v>0.1194</v>
      </c>
    </row>
    <row r="89" spans="3:32">
      <c r="C89">
        <v>104</v>
      </c>
      <c r="D89">
        <v>160501</v>
      </c>
      <c r="E89">
        <v>8</v>
      </c>
      <c r="F89">
        <v>26</v>
      </c>
      <c r="J89">
        <v>0.2047</v>
      </c>
      <c r="K89">
        <v>0.6141</v>
      </c>
      <c r="P89">
        <v>100</v>
      </c>
      <c r="Q89" t="s">
        <v>437</v>
      </c>
      <c r="U89">
        <f t="shared" si="19"/>
        <v>0.1365</v>
      </c>
      <c r="V89">
        <f t="shared" si="20"/>
        <v>0.4094</v>
      </c>
      <c r="W89" t="str">
        <f t="shared" si="21"/>
        <v/>
      </c>
      <c r="Y89">
        <f t="shared" si="22"/>
        <v>0.1365</v>
      </c>
      <c r="Z89">
        <f t="shared" si="23"/>
        <v>1385</v>
      </c>
      <c r="AA89" t="str">
        <f t="shared" si="24"/>
        <v/>
      </c>
      <c r="AB89" t="str">
        <f t="shared" si="18"/>
        <v/>
      </c>
      <c r="AE89" t="str">
        <f t="shared" si="25"/>
        <v/>
      </c>
      <c r="AF89" t="str">
        <f t="shared" si="26"/>
        <v>0.1365,1385</v>
      </c>
    </row>
    <row r="90" spans="3:32">
      <c r="C90">
        <v>204</v>
      </c>
      <c r="D90">
        <v>160502</v>
      </c>
      <c r="E90">
        <v>11</v>
      </c>
      <c r="J90">
        <v>0.1167</v>
      </c>
      <c r="P90">
        <v>100</v>
      </c>
      <c r="Q90" t="s">
        <v>439</v>
      </c>
      <c r="U90">
        <f t="shared" si="19"/>
        <v>0.0778</v>
      </c>
      <c r="V90" t="str">
        <f t="shared" si="20"/>
        <v/>
      </c>
      <c r="W90" t="str">
        <f t="shared" si="21"/>
        <v/>
      </c>
      <c r="Y90">
        <f t="shared" si="22"/>
        <v>0.0778</v>
      </c>
      <c r="Z90" t="str">
        <f t="shared" si="23"/>
        <v/>
      </c>
      <c r="AA90" t="str">
        <f t="shared" si="24"/>
        <v/>
      </c>
      <c r="AB90" t="str">
        <f t="shared" si="18"/>
        <v/>
      </c>
      <c r="AE90" t="str">
        <f t="shared" si="25"/>
        <v/>
      </c>
      <c r="AF90" t="str">
        <f t="shared" si="26"/>
        <v>0.0778</v>
      </c>
    </row>
    <row r="91" spans="3:32">
      <c r="C91">
        <v>304</v>
      </c>
      <c r="D91">
        <v>160503</v>
      </c>
      <c r="E91">
        <v>5</v>
      </c>
      <c r="F91">
        <v>9</v>
      </c>
      <c r="J91">
        <v>0.1791</v>
      </c>
      <c r="K91">
        <v>0.5629</v>
      </c>
      <c r="P91">
        <v>100</v>
      </c>
      <c r="Q91" t="s">
        <v>441</v>
      </c>
      <c r="U91">
        <f t="shared" si="19"/>
        <v>0.1194</v>
      </c>
      <c r="V91">
        <f t="shared" si="20"/>
        <v>0.3753</v>
      </c>
      <c r="W91" t="str">
        <f t="shared" si="21"/>
        <v/>
      </c>
      <c r="Y91">
        <f t="shared" si="22"/>
        <v>0.1194</v>
      </c>
      <c r="Z91">
        <f t="shared" si="23"/>
        <v>0.3753</v>
      </c>
      <c r="AA91" t="str">
        <f t="shared" si="24"/>
        <v/>
      </c>
      <c r="AB91" t="str">
        <f t="shared" si="18"/>
        <v/>
      </c>
      <c r="AE91" t="str">
        <f t="shared" si="25"/>
        <v/>
      </c>
      <c r="AF91" t="str">
        <f t="shared" si="26"/>
        <v>0.1194,0.3753</v>
      </c>
    </row>
    <row r="92" spans="3:32">
      <c r="C92">
        <v>404</v>
      </c>
      <c r="D92">
        <v>160504</v>
      </c>
      <c r="E92">
        <v>7</v>
      </c>
      <c r="J92">
        <v>0.0819</v>
      </c>
      <c r="P92">
        <v>100</v>
      </c>
      <c r="Q92" t="s">
        <v>443</v>
      </c>
      <c r="U92">
        <f t="shared" si="19"/>
        <v>0.0546</v>
      </c>
      <c r="V92" t="str">
        <f t="shared" si="20"/>
        <v/>
      </c>
      <c r="W92" t="str">
        <f t="shared" si="21"/>
        <v/>
      </c>
      <c r="Y92">
        <f t="shared" si="22"/>
        <v>0.0546</v>
      </c>
      <c r="Z92" t="str">
        <f t="shared" si="23"/>
        <v/>
      </c>
      <c r="AA92" t="str">
        <f t="shared" si="24"/>
        <v/>
      </c>
      <c r="AB92" t="str">
        <f t="shared" si="18"/>
        <v/>
      </c>
      <c r="AE92" t="str">
        <f t="shared" si="25"/>
        <v/>
      </c>
      <c r="AF92" t="str">
        <f t="shared" si="26"/>
        <v>0.0546</v>
      </c>
    </row>
    <row r="93" spans="3:32">
      <c r="C93">
        <v>104</v>
      </c>
      <c r="D93">
        <v>160601</v>
      </c>
      <c r="E93">
        <v>8</v>
      </c>
      <c r="F93">
        <v>9</v>
      </c>
      <c r="J93">
        <v>0.2047</v>
      </c>
      <c r="K93">
        <v>0.5629</v>
      </c>
      <c r="P93">
        <v>100</v>
      </c>
      <c r="Q93" t="s">
        <v>449</v>
      </c>
      <c r="U93">
        <f t="shared" si="19"/>
        <v>0.1365</v>
      </c>
      <c r="V93">
        <f t="shared" si="20"/>
        <v>0.3753</v>
      </c>
      <c r="W93" t="str">
        <f t="shared" si="21"/>
        <v/>
      </c>
      <c r="Y93">
        <f t="shared" si="22"/>
        <v>0.1365</v>
      </c>
      <c r="Z93">
        <f t="shared" si="23"/>
        <v>0.3753</v>
      </c>
      <c r="AA93" t="str">
        <f t="shared" si="24"/>
        <v/>
      </c>
      <c r="AB93" t="str">
        <f t="shared" si="18"/>
        <v/>
      </c>
      <c r="AE93" t="str">
        <f t="shared" si="25"/>
        <v/>
      </c>
      <c r="AF93" t="str">
        <f t="shared" si="26"/>
        <v>0.1365,0.3753</v>
      </c>
    </row>
    <row r="94" spans="3:32">
      <c r="C94">
        <v>204</v>
      </c>
      <c r="D94">
        <v>160602</v>
      </c>
      <c r="E94">
        <v>11</v>
      </c>
      <c r="J94">
        <v>0.1167</v>
      </c>
      <c r="P94">
        <v>100</v>
      </c>
      <c r="Q94" t="s">
        <v>450</v>
      </c>
      <c r="U94">
        <f t="shared" si="19"/>
        <v>0.0778</v>
      </c>
      <c r="V94" t="str">
        <f t="shared" si="20"/>
        <v/>
      </c>
      <c r="W94" t="str">
        <f t="shared" si="21"/>
        <v/>
      </c>
      <c r="Y94">
        <f t="shared" si="22"/>
        <v>0.0778</v>
      </c>
      <c r="Z94" t="str">
        <f t="shared" si="23"/>
        <v/>
      </c>
      <c r="AA94" t="str">
        <f t="shared" si="24"/>
        <v/>
      </c>
      <c r="AB94" t="str">
        <f t="shared" si="18"/>
        <v/>
      </c>
      <c r="AE94" t="str">
        <f t="shared" si="25"/>
        <v/>
      </c>
      <c r="AF94" t="str">
        <f t="shared" si="26"/>
        <v>0.0778</v>
      </c>
    </row>
    <row r="95" spans="3:32">
      <c r="C95">
        <v>304</v>
      </c>
      <c r="D95">
        <v>160603</v>
      </c>
      <c r="E95">
        <v>5</v>
      </c>
      <c r="F95">
        <v>9</v>
      </c>
      <c r="J95">
        <v>0.3582</v>
      </c>
      <c r="K95">
        <v>0.5629</v>
      </c>
      <c r="P95">
        <v>100</v>
      </c>
      <c r="Q95" t="s">
        <v>451</v>
      </c>
      <c r="U95">
        <f t="shared" si="19"/>
        <v>0.2388</v>
      </c>
      <c r="V95">
        <f t="shared" si="20"/>
        <v>0.3753</v>
      </c>
      <c r="W95" t="str">
        <f t="shared" si="21"/>
        <v/>
      </c>
      <c r="Y95">
        <f t="shared" si="22"/>
        <v>0.2388</v>
      </c>
      <c r="Z95">
        <f t="shared" si="23"/>
        <v>0.3753</v>
      </c>
      <c r="AA95" t="str">
        <f t="shared" si="24"/>
        <v/>
      </c>
      <c r="AB95" t="str">
        <f t="shared" si="18"/>
        <v/>
      </c>
      <c r="AE95" t="str">
        <f t="shared" si="25"/>
        <v/>
      </c>
      <c r="AF95" t="str">
        <f t="shared" si="26"/>
        <v>0.2388,0.3753</v>
      </c>
    </row>
    <row r="96" spans="3:32">
      <c r="C96">
        <v>404</v>
      </c>
      <c r="D96">
        <v>160604</v>
      </c>
      <c r="E96">
        <v>7</v>
      </c>
      <c r="J96">
        <v>0.0819</v>
      </c>
      <c r="P96">
        <v>100</v>
      </c>
      <c r="Q96" t="s">
        <v>452</v>
      </c>
      <c r="U96">
        <f t="shared" si="19"/>
        <v>0.0546</v>
      </c>
      <c r="V96" t="str">
        <f t="shared" si="20"/>
        <v/>
      </c>
      <c r="W96" t="str">
        <f t="shared" si="21"/>
        <v/>
      </c>
      <c r="Y96">
        <f t="shared" si="22"/>
        <v>0.0546</v>
      </c>
      <c r="Z96" t="str">
        <f t="shared" si="23"/>
        <v/>
      </c>
      <c r="AA96" t="str">
        <f t="shared" si="24"/>
        <v/>
      </c>
      <c r="AB96" t="str">
        <f t="shared" si="18"/>
        <v/>
      </c>
      <c r="AE96" t="str">
        <f t="shared" si="25"/>
        <v/>
      </c>
      <c r="AF96" t="str">
        <f t="shared" si="26"/>
        <v>0.0546</v>
      </c>
    </row>
    <row r="97" spans="3:32">
      <c r="C97">
        <v>104</v>
      </c>
      <c r="D97">
        <v>160701</v>
      </c>
      <c r="E97">
        <v>5</v>
      </c>
      <c r="F97">
        <v>9</v>
      </c>
      <c r="J97">
        <v>0.2507</v>
      </c>
      <c r="K97">
        <v>0.2814</v>
      </c>
      <c r="P97">
        <v>100</v>
      </c>
      <c r="Q97" t="s">
        <v>457</v>
      </c>
      <c r="U97">
        <f t="shared" si="19"/>
        <v>0.1671</v>
      </c>
      <c r="V97">
        <f t="shared" si="20"/>
        <v>0.1876</v>
      </c>
      <c r="W97" t="str">
        <f t="shared" si="21"/>
        <v/>
      </c>
      <c r="Y97">
        <f t="shared" si="22"/>
        <v>0.1671</v>
      </c>
      <c r="Z97">
        <f t="shared" si="23"/>
        <v>0.1876</v>
      </c>
      <c r="AA97" t="str">
        <f t="shared" si="24"/>
        <v/>
      </c>
      <c r="AB97" t="str">
        <f t="shared" si="18"/>
        <v/>
      </c>
      <c r="AE97" t="str">
        <f t="shared" si="25"/>
        <v/>
      </c>
      <c r="AF97" t="str">
        <f t="shared" si="26"/>
        <v>0.1671,0.1876</v>
      </c>
    </row>
    <row r="98" spans="3:32">
      <c r="C98">
        <v>204</v>
      </c>
      <c r="D98">
        <v>160702</v>
      </c>
      <c r="E98">
        <v>11</v>
      </c>
      <c r="J98">
        <v>0.1945</v>
      </c>
      <c r="P98">
        <v>100</v>
      </c>
      <c r="Q98" t="s">
        <v>458</v>
      </c>
      <c r="U98">
        <f t="shared" si="19"/>
        <v>0.1297</v>
      </c>
      <c r="V98" t="str">
        <f t="shared" si="20"/>
        <v/>
      </c>
      <c r="W98" t="str">
        <f t="shared" si="21"/>
        <v/>
      </c>
      <c r="Y98">
        <f t="shared" ref="Y98:Y144" si="27">IF(E98="","",IF(E98=35,INT(U98*3385),IF(E98=26,INT(U98*3385),U98)))</f>
        <v>0.1297</v>
      </c>
      <c r="Z98" t="str">
        <f t="shared" ref="Z98:Z144" si="28">IF(F98="","",IF(F98=35,INT(V98*3385),IF(F98=26,INT(V98*3385),V98)))</f>
        <v/>
      </c>
      <c r="AA98" t="str">
        <f t="shared" ref="AA98:AA144" si="29">IF(G98="","",IF(G98=35,INT(W98*3385),IF(G98=26,INT(W98*3385),W98)))</f>
        <v/>
      </c>
      <c r="AB98" t="str">
        <f t="shared" si="18"/>
        <v/>
      </c>
      <c r="AE98" t="str">
        <f t="shared" si="25"/>
        <v/>
      </c>
      <c r="AF98" t="str">
        <f t="shared" ref="AF98:AF144" si="30">_xlfn.TEXTJOIN(",",TRUE,Y98,Z98,AA98,AB98)</f>
        <v>0.1297</v>
      </c>
    </row>
    <row r="99" spans="3:32">
      <c r="C99">
        <v>304</v>
      </c>
      <c r="D99">
        <v>160703</v>
      </c>
      <c r="E99">
        <v>6</v>
      </c>
      <c r="F99">
        <v>9</v>
      </c>
      <c r="J99">
        <v>0.1075</v>
      </c>
      <c r="K99">
        <v>0.2814</v>
      </c>
      <c r="P99">
        <v>100</v>
      </c>
      <c r="Q99" t="s">
        <v>459</v>
      </c>
      <c r="U99">
        <f t="shared" si="19"/>
        <v>0.0717</v>
      </c>
      <c r="V99">
        <f t="shared" si="20"/>
        <v>0.1876</v>
      </c>
      <c r="W99" t="str">
        <f t="shared" si="21"/>
        <v/>
      </c>
      <c r="Y99">
        <f t="shared" si="27"/>
        <v>0.0717</v>
      </c>
      <c r="Z99">
        <f t="shared" si="28"/>
        <v>0.1876</v>
      </c>
      <c r="AA99" t="str">
        <f t="shared" si="29"/>
        <v/>
      </c>
      <c r="AB99" t="str">
        <f t="shared" si="18"/>
        <v/>
      </c>
      <c r="AE99" t="str">
        <f t="shared" si="25"/>
        <v/>
      </c>
      <c r="AF99" t="str">
        <f t="shared" si="30"/>
        <v>0.0717,0.1876</v>
      </c>
    </row>
    <row r="100" spans="3:32">
      <c r="C100">
        <v>404</v>
      </c>
      <c r="D100">
        <v>160704</v>
      </c>
      <c r="E100">
        <v>7</v>
      </c>
      <c r="J100">
        <v>0.4094</v>
      </c>
      <c r="P100">
        <v>100</v>
      </c>
      <c r="Q100" t="s">
        <v>460</v>
      </c>
      <c r="U100">
        <f t="shared" si="19"/>
        <v>0.2729</v>
      </c>
      <c r="V100" t="str">
        <f t="shared" si="20"/>
        <v/>
      </c>
      <c r="W100" t="str">
        <f t="shared" si="21"/>
        <v/>
      </c>
      <c r="Y100">
        <f t="shared" si="27"/>
        <v>0.2729</v>
      </c>
      <c r="Z100" t="str">
        <f t="shared" si="28"/>
        <v/>
      </c>
      <c r="AA100" t="str">
        <f t="shared" si="29"/>
        <v/>
      </c>
      <c r="AB100" t="str">
        <f t="shared" si="18"/>
        <v/>
      </c>
      <c r="AE100" t="str">
        <f t="shared" si="25"/>
        <v/>
      </c>
      <c r="AF100" t="str">
        <f t="shared" si="30"/>
        <v>0.2729</v>
      </c>
    </row>
    <row r="101" spans="3:32">
      <c r="C101">
        <v>104</v>
      </c>
      <c r="D101">
        <v>160801</v>
      </c>
      <c r="E101">
        <v>5</v>
      </c>
      <c r="F101">
        <v>9</v>
      </c>
      <c r="J101">
        <v>0.1433</v>
      </c>
      <c r="K101">
        <v>0.2252</v>
      </c>
      <c r="P101">
        <v>100</v>
      </c>
      <c r="Q101" t="s">
        <v>465</v>
      </c>
      <c r="U101">
        <f t="shared" si="19"/>
        <v>0.0955</v>
      </c>
      <c r="V101">
        <f t="shared" si="20"/>
        <v>0.1501</v>
      </c>
      <c r="W101" t="str">
        <f t="shared" si="21"/>
        <v/>
      </c>
      <c r="Y101">
        <f t="shared" si="27"/>
        <v>0.0955</v>
      </c>
      <c r="Z101">
        <f t="shared" si="28"/>
        <v>0.1501</v>
      </c>
      <c r="AA101" t="str">
        <f t="shared" si="29"/>
        <v/>
      </c>
      <c r="AB101" t="str">
        <f t="shared" si="18"/>
        <v/>
      </c>
      <c r="AE101" t="str">
        <f t="shared" si="25"/>
        <v/>
      </c>
      <c r="AF101" t="str">
        <f t="shared" si="30"/>
        <v>0.0955,0.1501</v>
      </c>
    </row>
    <row r="102" spans="3:32">
      <c r="C102">
        <v>204</v>
      </c>
      <c r="D102">
        <v>160802</v>
      </c>
      <c r="E102">
        <v>8</v>
      </c>
      <c r="F102">
        <v>10</v>
      </c>
      <c r="G102">
        <v>26</v>
      </c>
      <c r="J102">
        <v>0.0819</v>
      </c>
      <c r="K102">
        <v>0.0583</v>
      </c>
      <c r="L102">
        <v>0.1228</v>
      </c>
      <c r="P102">
        <v>100</v>
      </c>
      <c r="Q102" t="s">
        <v>466</v>
      </c>
      <c r="U102">
        <f t="shared" si="19"/>
        <v>0.0546</v>
      </c>
      <c r="V102">
        <f t="shared" si="20"/>
        <v>0.0389</v>
      </c>
      <c r="W102">
        <f t="shared" si="21"/>
        <v>0.0819</v>
      </c>
      <c r="Y102">
        <f t="shared" si="27"/>
        <v>0.0546</v>
      </c>
      <c r="Z102">
        <f t="shared" si="28"/>
        <v>0.0389</v>
      </c>
      <c r="AA102">
        <f t="shared" si="29"/>
        <v>277</v>
      </c>
      <c r="AB102" t="str">
        <f t="shared" si="18"/>
        <v/>
      </c>
      <c r="AE102" t="str">
        <f t="shared" si="25"/>
        <v/>
      </c>
      <c r="AF102" t="str">
        <f t="shared" si="30"/>
        <v>0.0546,0.0389,277</v>
      </c>
    </row>
    <row r="103" spans="3:32">
      <c r="C103">
        <v>304</v>
      </c>
      <c r="D103">
        <v>160803</v>
      </c>
      <c r="E103">
        <v>6</v>
      </c>
      <c r="F103">
        <v>9</v>
      </c>
      <c r="J103">
        <v>0.2866</v>
      </c>
      <c r="K103">
        <v>0.2252</v>
      </c>
      <c r="P103">
        <v>100</v>
      </c>
      <c r="Q103" t="s">
        <v>467</v>
      </c>
      <c r="U103">
        <f t="shared" si="19"/>
        <v>0.1911</v>
      </c>
      <c r="V103">
        <f t="shared" si="20"/>
        <v>0.1501</v>
      </c>
      <c r="W103" t="str">
        <f t="shared" si="21"/>
        <v/>
      </c>
      <c r="Y103">
        <f t="shared" si="27"/>
        <v>0.1911</v>
      </c>
      <c r="Z103">
        <f t="shared" si="28"/>
        <v>0.1501</v>
      </c>
      <c r="AA103" t="str">
        <f t="shared" si="29"/>
        <v/>
      </c>
      <c r="AB103" t="str">
        <f t="shared" si="18"/>
        <v/>
      </c>
      <c r="AE103" t="str">
        <f t="shared" si="25"/>
        <v/>
      </c>
      <c r="AF103" t="str">
        <f t="shared" si="30"/>
        <v>0.1911,0.1501</v>
      </c>
    </row>
    <row r="104" spans="3:32">
      <c r="C104">
        <v>404</v>
      </c>
      <c r="D104">
        <v>160804</v>
      </c>
      <c r="E104">
        <v>7</v>
      </c>
      <c r="F104">
        <v>10</v>
      </c>
      <c r="G104">
        <v>26</v>
      </c>
      <c r="J104">
        <v>0.0583</v>
      </c>
      <c r="K104">
        <v>0.1228</v>
      </c>
      <c r="L104">
        <v>0.2047</v>
      </c>
      <c r="P104">
        <v>100</v>
      </c>
      <c r="Q104" t="s">
        <v>468</v>
      </c>
      <c r="U104">
        <f t="shared" si="19"/>
        <v>0.0389</v>
      </c>
      <c r="V104">
        <f t="shared" si="20"/>
        <v>0.0819</v>
      </c>
      <c r="W104">
        <f t="shared" si="21"/>
        <v>0.1365</v>
      </c>
      <c r="Y104">
        <f t="shared" si="27"/>
        <v>0.0389</v>
      </c>
      <c r="Z104">
        <f t="shared" si="28"/>
        <v>0.0819</v>
      </c>
      <c r="AA104">
        <f t="shared" si="29"/>
        <v>462</v>
      </c>
      <c r="AB104" t="str">
        <f t="shared" si="18"/>
        <v/>
      </c>
      <c r="AE104" t="str">
        <f t="shared" si="25"/>
        <v/>
      </c>
      <c r="AF104" t="str">
        <f t="shared" si="30"/>
        <v>0.0389,0.0819,462</v>
      </c>
    </row>
    <row r="105" spans="3:32">
      <c r="C105">
        <v>104</v>
      </c>
      <c r="D105">
        <v>160901</v>
      </c>
      <c r="E105">
        <v>5</v>
      </c>
      <c r="F105">
        <v>11</v>
      </c>
      <c r="G105">
        <v>9</v>
      </c>
      <c r="J105">
        <v>0.1791</v>
      </c>
      <c r="K105">
        <v>0.2814</v>
      </c>
      <c r="L105">
        <v>0.0389</v>
      </c>
      <c r="P105">
        <v>100</v>
      </c>
      <c r="Q105" t="s">
        <v>473</v>
      </c>
      <c r="U105">
        <f t="shared" si="19"/>
        <v>0.1194</v>
      </c>
      <c r="V105">
        <f t="shared" si="20"/>
        <v>0.1876</v>
      </c>
      <c r="W105">
        <f t="shared" si="21"/>
        <v>0.0259</v>
      </c>
      <c r="Y105">
        <f t="shared" si="27"/>
        <v>0.1194</v>
      </c>
      <c r="Z105">
        <f t="shared" si="28"/>
        <v>0.1876</v>
      </c>
      <c r="AA105">
        <f t="shared" si="29"/>
        <v>0.0259</v>
      </c>
      <c r="AB105" t="str">
        <f t="shared" si="18"/>
        <v/>
      </c>
      <c r="AE105" t="str">
        <f t="shared" si="25"/>
        <v/>
      </c>
      <c r="AF105" t="str">
        <f t="shared" si="30"/>
        <v>0.1194,0.1876,0.0259</v>
      </c>
    </row>
    <row r="106" spans="3:32">
      <c r="C106">
        <v>204</v>
      </c>
      <c r="D106">
        <v>160902</v>
      </c>
      <c r="E106">
        <v>8</v>
      </c>
      <c r="F106">
        <v>10</v>
      </c>
      <c r="J106">
        <v>0.0819</v>
      </c>
      <c r="K106">
        <v>0.0583</v>
      </c>
      <c r="P106">
        <v>100</v>
      </c>
      <c r="Q106" t="s">
        <v>474</v>
      </c>
      <c r="U106">
        <f t="shared" si="19"/>
        <v>0.0546</v>
      </c>
      <c r="V106">
        <f t="shared" si="20"/>
        <v>0.0389</v>
      </c>
      <c r="W106" t="str">
        <f t="shared" si="21"/>
        <v/>
      </c>
      <c r="Y106">
        <f t="shared" si="27"/>
        <v>0.0546</v>
      </c>
      <c r="Z106">
        <f t="shared" si="28"/>
        <v>0.0389</v>
      </c>
      <c r="AA106" t="str">
        <f t="shared" si="29"/>
        <v/>
      </c>
      <c r="AB106" t="str">
        <f t="shared" si="18"/>
        <v/>
      </c>
      <c r="AE106" t="str">
        <f t="shared" si="25"/>
        <v/>
      </c>
      <c r="AF106" t="str">
        <f t="shared" si="30"/>
        <v>0.0546,0.0389</v>
      </c>
    </row>
    <row r="107" spans="3:32">
      <c r="C107">
        <v>304</v>
      </c>
      <c r="D107">
        <v>160903</v>
      </c>
      <c r="E107">
        <v>6</v>
      </c>
      <c r="F107">
        <v>11</v>
      </c>
      <c r="G107">
        <v>9</v>
      </c>
      <c r="J107">
        <v>0.2257</v>
      </c>
      <c r="K107">
        <v>0.2814</v>
      </c>
      <c r="L107">
        <v>0.0389</v>
      </c>
      <c r="P107">
        <v>100</v>
      </c>
      <c r="Q107" t="s">
        <v>475</v>
      </c>
      <c r="U107">
        <f t="shared" si="19"/>
        <v>0.1505</v>
      </c>
      <c r="V107">
        <f t="shared" si="20"/>
        <v>0.1876</v>
      </c>
      <c r="W107">
        <f t="shared" si="21"/>
        <v>0.0259</v>
      </c>
      <c r="Y107">
        <f t="shared" si="27"/>
        <v>0.1505</v>
      </c>
      <c r="Z107">
        <f t="shared" si="28"/>
        <v>0.1876</v>
      </c>
      <c r="AA107">
        <f t="shared" si="29"/>
        <v>0.0259</v>
      </c>
      <c r="AB107" t="str">
        <f t="shared" si="18"/>
        <v/>
      </c>
      <c r="AE107" t="str">
        <f t="shared" si="25"/>
        <v/>
      </c>
      <c r="AF107" t="str">
        <f t="shared" si="30"/>
        <v>0.1505,0.1876,0.0259</v>
      </c>
    </row>
    <row r="108" spans="3:32">
      <c r="C108">
        <v>404</v>
      </c>
      <c r="D108">
        <v>160904</v>
      </c>
      <c r="E108">
        <v>7</v>
      </c>
      <c r="F108">
        <v>10</v>
      </c>
      <c r="J108">
        <v>0.2047</v>
      </c>
      <c r="K108">
        <v>0.0583</v>
      </c>
      <c r="P108">
        <v>100</v>
      </c>
      <c r="Q108" t="s">
        <v>476</v>
      </c>
      <c r="U108">
        <f t="shared" si="19"/>
        <v>0.1365</v>
      </c>
      <c r="V108">
        <f t="shared" si="20"/>
        <v>0.0389</v>
      </c>
      <c r="W108" t="str">
        <f t="shared" si="21"/>
        <v/>
      </c>
      <c r="Y108">
        <f t="shared" si="27"/>
        <v>0.1365</v>
      </c>
      <c r="Z108">
        <f t="shared" si="28"/>
        <v>0.0389</v>
      </c>
      <c r="AA108" t="str">
        <f t="shared" si="29"/>
        <v/>
      </c>
      <c r="AB108" t="str">
        <f t="shared" si="18"/>
        <v/>
      </c>
      <c r="AE108" t="str">
        <f t="shared" si="25"/>
        <v/>
      </c>
      <c r="AF108" t="str">
        <f t="shared" si="30"/>
        <v>0.1365,0.0389</v>
      </c>
    </row>
    <row r="109" spans="3:32">
      <c r="C109">
        <v>104</v>
      </c>
      <c r="D109" s="2">
        <v>160101</v>
      </c>
      <c r="E109" s="2">
        <v>8</v>
      </c>
      <c r="F109">
        <v>4</v>
      </c>
      <c r="G109" s="2"/>
      <c r="J109" s="2">
        <v>0.2047</v>
      </c>
      <c r="K109">
        <v>23</v>
      </c>
      <c r="P109" s="2">
        <v>100</v>
      </c>
      <c r="Q109" s="2" t="s">
        <v>393</v>
      </c>
      <c r="U109">
        <f>IF(J109="","",ROUND(J109*4/6,4))</f>
        <v>0.1365</v>
      </c>
      <c r="V109">
        <f>IF(K109="","",ROUND(K109*4/6,4))</f>
        <v>15.3333</v>
      </c>
      <c r="W109" t="str">
        <f>IF(L109="","",ROUND(L109*4/6,4))</f>
        <v/>
      </c>
      <c r="Y109">
        <f t="shared" si="27"/>
        <v>0.1365</v>
      </c>
      <c r="Z109">
        <f t="shared" si="28"/>
        <v>15.3333</v>
      </c>
      <c r="AA109" t="str">
        <f t="shared" si="29"/>
        <v/>
      </c>
      <c r="AB109" t="str">
        <f t="shared" si="18"/>
        <v/>
      </c>
      <c r="AF109" t="str">
        <f t="shared" si="30"/>
        <v>0.1365,15.3333</v>
      </c>
    </row>
    <row r="110" spans="3:32">
      <c r="C110">
        <v>204</v>
      </c>
      <c r="D110" s="2">
        <v>160102</v>
      </c>
      <c r="E110" s="2">
        <v>6</v>
      </c>
      <c r="F110">
        <v>4</v>
      </c>
      <c r="G110" s="2"/>
      <c r="J110" s="2">
        <v>0.3582</v>
      </c>
      <c r="K110">
        <v>23</v>
      </c>
      <c r="P110" s="2">
        <v>100</v>
      </c>
      <c r="Q110" s="2" t="s">
        <v>395</v>
      </c>
      <c r="U110">
        <f>IF(J110="","",ROUND(J110*4/6,4))</f>
        <v>0.2388</v>
      </c>
      <c r="V110">
        <f>IF(K110="","",ROUND(K110*4/6,4))</f>
        <v>15.3333</v>
      </c>
      <c r="W110" t="str">
        <f>IF(L110="","",ROUND(L110*4/6,4))</f>
        <v/>
      </c>
      <c r="Y110">
        <f t="shared" si="27"/>
        <v>0.2388</v>
      </c>
      <c r="Z110">
        <f t="shared" si="28"/>
        <v>15.3333</v>
      </c>
      <c r="AA110" t="str">
        <f t="shared" si="29"/>
        <v/>
      </c>
      <c r="AB110" t="str">
        <f t="shared" si="18"/>
        <v/>
      </c>
      <c r="AF110" t="str">
        <f t="shared" si="30"/>
        <v>0.2388,15.3333</v>
      </c>
    </row>
    <row r="111" spans="3:32">
      <c r="C111">
        <v>304</v>
      </c>
      <c r="D111" s="2">
        <v>160103</v>
      </c>
      <c r="E111" s="2">
        <v>7</v>
      </c>
      <c r="F111">
        <v>4</v>
      </c>
      <c r="G111" s="2"/>
      <c r="J111" s="2">
        <v>0.2047</v>
      </c>
      <c r="K111">
        <v>23</v>
      </c>
      <c r="P111" s="2">
        <v>100</v>
      </c>
      <c r="Q111" s="2" t="s">
        <v>396</v>
      </c>
      <c r="U111">
        <f>IF(J111="","",ROUND(J111*4/6,4))</f>
        <v>0.1365</v>
      </c>
      <c r="V111">
        <f>IF(K111="","",ROUND(K111*4/6,4))</f>
        <v>15.3333</v>
      </c>
      <c r="W111" t="str">
        <f>IF(L111="","",ROUND(L111*4/6,4))</f>
        <v/>
      </c>
      <c r="Y111">
        <f t="shared" si="27"/>
        <v>0.1365</v>
      </c>
      <c r="Z111">
        <f t="shared" si="28"/>
        <v>15.3333</v>
      </c>
      <c r="AA111" t="str">
        <f t="shared" si="29"/>
        <v/>
      </c>
      <c r="AB111" t="str">
        <f t="shared" si="18"/>
        <v/>
      </c>
      <c r="AF111" t="str">
        <f t="shared" si="30"/>
        <v>0.1365,15.3333</v>
      </c>
    </row>
    <row r="112" spans="3:32">
      <c r="C112">
        <v>404</v>
      </c>
      <c r="D112" s="2">
        <v>160104</v>
      </c>
      <c r="E112" s="2">
        <v>10</v>
      </c>
      <c r="F112">
        <v>4</v>
      </c>
      <c r="G112" s="2"/>
      <c r="J112" s="2">
        <v>0.3889</v>
      </c>
      <c r="K112">
        <v>23</v>
      </c>
      <c r="P112" s="2">
        <v>100</v>
      </c>
      <c r="Q112" s="2" t="s">
        <v>397</v>
      </c>
      <c r="U112">
        <f>IF(J112="","",ROUND(J112*4/6,4))</f>
        <v>0.2593</v>
      </c>
      <c r="V112">
        <f>IF(K112="","",ROUND(K112*4/6,4))</f>
        <v>15.3333</v>
      </c>
      <c r="W112" t="str">
        <f>IF(L112="","",ROUND(L112*4/6,4))</f>
        <v/>
      </c>
      <c r="Y112">
        <f t="shared" si="27"/>
        <v>0.2593</v>
      </c>
      <c r="Z112">
        <f t="shared" si="28"/>
        <v>15.3333</v>
      </c>
      <c r="AA112" t="str">
        <f t="shared" si="29"/>
        <v/>
      </c>
      <c r="AB112" t="str">
        <f t="shared" si="18"/>
        <v/>
      </c>
      <c r="AF112" t="str">
        <f t="shared" si="30"/>
        <v>0.2593,15.3333</v>
      </c>
    </row>
    <row r="113" spans="3:32">
      <c r="C113">
        <v>104</v>
      </c>
      <c r="D113" s="2">
        <v>160201</v>
      </c>
      <c r="E113" s="2">
        <v>8</v>
      </c>
      <c r="F113">
        <v>4</v>
      </c>
      <c r="G113" s="2"/>
      <c r="J113" s="2">
        <v>0.2047</v>
      </c>
      <c r="K113">
        <v>23</v>
      </c>
      <c r="P113" s="2">
        <v>100</v>
      </c>
      <c r="Q113" s="2" t="s">
        <v>402</v>
      </c>
      <c r="U113">
        <f>IF(J113="","",ROUND(J113*4/6,4))</f>
        <v>0.1365</v>
      </c>
      <c r="V113">
        <f>IF(K113="","",ROUND(K113*4/6,4))</f>
        <v>15.3333</v>
      </c>
      <c r="W113" t="str">
        <f>IF(L113="","",ROUND(L113*4/6,4))</f>
        <v/>
      </c>
      <c r="Y113">
        <f t="shared" si="27"/>
        <v>0.1365</v>
      </c>
      <c r="Z113">
        <f t="shared" si="28"/>
        <v>15.3333</v>
      </c>
      <c r="AA113" t="str">
        <f t="shared" si="29"/>
        <v/>
      </c>
      <c r="AB113" t="str">
        <f t="shared" si="18"/>
        <v/>
      </c>
      <c r="AF113" t="str">
        <f t="shared" si="30"/>
        <v>0.1365,15.3333</v>
      </c>
    </row>
    <row r="114" spans="3:32">
      <c r="C114">
        <v>204</v>
      </c>
      <c r="D114" s="2">
        <v>160202</v>
      </c>
      <c r="E114" s="2">
        <v>6</v>
      </c>
      <c r="F114">
        <v>35</v>
      </c>
      <c r="G114" s="2">
        <v>4</v>
      </c>
      <c r="J114" s="2">
        <v>0.1791</v>
      </c>
      <c r="K114">
        <v>0.307</v>
      </c>
      <c r="L114">
        <v>23</v>
      </c>
      <c r="P114" s="2">
        <v>100</v>
      </c>
      <c r="Q114" s="2" t="s">
        <v>403</v>
      </c>
      <c r="U114">
        <f t="shared" ref="U114:U144" si="31">IF(J114="","",ROUND(J114*4/6,4))</f>
        <v>0.1194</v>
      </c>
      <c r="V114">
        <f t="shared" ref="V114:V144" si="32">IF(K114="","",ROUND(K114*4/6,4))</f>
        <v>0.2047</v>
      </c>
      <c r="W114">
        <f t="shared" ref="W114:W144" si="33">IF(L114="","",ROUND(L114*4/6,4))</f>
        <v>15.3333</v>
      </c>
      <c r="Y114">
        <f t="shared" si="27"/>
        <v>0.1194</v>
      </c>
      <c r="Z114">
        <f t="shared" si="28"/>
        <v>692</v>
      </c>
      <c r="AA114">
        <f t="shared" si="29"/>
        <v>15.3333</v>
      </c>
      <c r="AB114" t="str">
        <f t="shared" si="18"/>
        <v/>
      </c>
      <c r="AF114" t="str">
        <f t="shared" si="30"/>
        <v>0.1194,692,15.3333</v>
      </c>
    </row>
    <row r="115" spans="3:32">
      <c r="C115">
        <v>304</v>
      </c>
      <c r="D115" s="2">
        <v>160203</v>
      </c>
      <c r="E115" s="2">
        <v>7</v>
      </c>
      <c r="F115">
        <v>4</v>
      </c>
      <c r="G115" s="2"/>
      <c r="J115" s="2">
        <v>0.2047</v>
      </c>
      <c r="K115">
        <v>23</v>
      </c>
      <c r="P115" s="2">
        <v>100</v>
      </c>
      <c r="Q115" s="2" t="s">
        <v>404</v>
      </c>
      <c r="U115">
        <f t="shared" si="31"/>
        <v>0.1365</v>
      </c>
      <c r="V115">
        <f t="shared" si="32"/>
        <v>15.3333</v>
      </c>
      <c r="W115" t="str">
        <f t="shared" si="33"/>
        <v/>
      </c>
      <c r="Y115">
        <f t="shared" si="27"/>
        <v>0.1365</v>
      </c>
      <c r="Z115">
        <f t="shared" si="28"/>
        <v>15.3333</v>
      </c>
      <c r="AA115" t="str">
        <f t="shared" si="29"/>
        <v/>
      </c>
      <c r="AB115" t="str">
        <f t="shared" si="18"/>
        <v/>
      </c>
      <c r="AF115" t="str">
        <f t="shared" si="30"/>
        <v>0.1365,15.3333</v>
      </c>
    </row>
    <row r="116" spans="3:32">
      <c r="C116">
        <v>404</v>
      </c>
      <c r="D116" s="2">
        <v>160204</v>
      </c>
      <c r="E116" s="2">
        <v>10</v>
      </c>
      <c r="F116">
        <v>35</v>
      </c>
      <c r="G116" s="2">
        <v>4</v>
      </c>
      <c r="J116" s="2">
        <v>0.1945</v>
      </c>
      <c r="K116">
        <v>0.307</v>
      </c>
      <c r="L116">
        <v>23</v>
      </c>
      <c r="P116" s="2">
        <v>100</v>
      </c>
      <c r="Q116" s="2" t="s">
        <v>405</v>
      </c>
      <c r="U116">
        <f t="shared" si="31"/>
        <v>0.1297</v>
      </c>
      <c r="V116">
        <f t="shared" si="32"/>
        <v>0.2047</v>
      </c>
      <c r="W116">
        <f t="shared" si="33"/>
        <v>15.3333</v>
      </c>
      <c r="Y116">
        <f t="shared" si="27"/>
        <v>0.1297</v>
      </c>
      <c r="Z116">
        <f t="shared" si="28"/>
        <v>692</v>
      </c>
      <c r="AA116">
        <f t="shared" si="29"/>
        <v>15.3333</v>
      </c>
      <c r="AB116" t="str">
        <f t="shared" si="18"/>
        <v/>
      </c>
      <c r="AF116" t="str">
        <f t="shared" si="30"/>
        <v>0.1297,692,15.3333</v>
      </c>
    </row>
    <row r="117" spans="3:32">
      <c r="C117">
        <v>104</v>
      </c>
      <c r="D117" s="2">
        <v>160301</v>
      </c>
      <c r="E117" s="2">
        <v>8</v>
      </c>
      <c r="F117">
        <v>26</v>
      </c>
      <c r="G117" s="2">
        <v>4</v>
      </c>
      <c r="J117" s="2">
        <v>0.2866</v>
      </c>
      <c r="K117">
        <v>0.307</v>
      </c>
      <c r="L117">
        <v>23</v>
      </c>
      <c r="P117" s="2">
        <v>100</v>
      </c>
      <c r="Q117" s="2" t="s">
        <v>410</v>
      </c>
      <c r="U117">
        <f t="shared" si="31"/>
        <v>0.1911</v>
      </c>
      <c r="V117">
        <f t="shared" si="32"/>
        <v>0.2047</v>
      </c>
      <c r="W117">
        <f t="shared" si="33"/>
        <v>15.3333</v>
      </c>
      <c r="Y117">
        <f t="shared" si="27"/>
        <v>0.1911</v>
      </c>
      <c r="Z117">
        <f t="shared" si="28"/>
        <v>692</v>
      </c>
      <c r="AA117">
        <f t="shared" si="29"/>
        <v>15.3333</v>
      </c>
      <c r="AB117" t="str">
        <f t="shared" si="18"/>
        <v/>
      </c>
      <c r="AF117" t="str">
        <f t="shared" si="30"/>
        <v>0.1911,692,15.3333</v>
      </c>
    </row>
    <row r="118" spans="3:32">
      <c r="C118">
        <v>204</v>
      </c>
      <c r="D118" s="2">
        <v>160302</v>
      </c>
      <c r="E118" s="2">
        <v>6</v>
      </c>
      <c r="F118">
        <v>4</v>
      </c>
      <c r="G118" s="2"/>
      <c r="J118" s="2">
        <v>0.1791</v>
      </c>
      <c r="K118">
        <v>23</v>
      </c>
      <c r="P118" s="2">
        <v>100</v>
      </c>
      <c r="Q118" s="2" t="s">
        <v>411</v>
      </c>
      <c r="U118">
        <f t="shared" si="31"/>
        <v>0.1194</v>
      </c>
      <c r="V118">
        <f t="shared" si="32"/>
        <v>15.3333</v>
      </c>
      <c r="W118" t="str">
        <f t="shared" si="33"/>
        <v/>
      </c>
      <c r="Y118">
        <f t="shared" si="27"/>
        <v>0.1194</v>
      </c>
      <c r="Z118">
        <f t="shared" si="28"/>
        <v>15.3333</v>
      </c>
      <c r="AA118" t="str">
        <f t="shared" si="29"/>
        <v/>
      </c>
      <c r="AB118" t="str">
        <f t="shared" si="18"/>
        <v/>
      </c>
      <c r="AF118" t="str">
        <f t="shared" si="30"/>
        <v>0.1194,15.3333</v>
      </c>
    </row>
    <row r="119" spans="3:32">
      <c r="C119">
        <v>304</v>
      </c>
      <c r="D119" s="2">
        <v>160303</v>
      </c>
      <c r="E119" s="2">
        <v>11</v>
      </c>
      <c r="F119">
        <v>4</v>
      </c>
      <c r="G119" s="2"/>
      <c r="J119" s="2">
        <v>0.1167</v>
      </c>
      <c r="K119">
        <v>23</v>
      </c>
      <c r="P119" s="2">
        <v>100</v>
      </c>
      <c r="Q119" s="2" t="s">
        <v>412</v>
      </c>
      <c r="U119">
        <f t="shared" si="31"/>
        <v>0.0778</v>
      </c>
      <c r="V119">
        <f t="shared" si="32"/>
        <v>15.3333</v>
      </c>
      <c r="W119" t="str">
        <f t="shared" si="33"/>
        <v/>
      </c>
      <c r="Y119">
        <f t="shared" si="27"/>
        <v>0.0778</v>
      </c>
      <c r="Z119">
        <f t="shared" si="28"/>
        <v>15.3333</v>
      </c>
      <c r="AA119" t="str">
        <f t="shared" si="29"/>
        <v/>
      </c>
      <c r="AB119" t="str">
        <f t="shared" si="18"/>
        <v/>
      </c>
      <c r="AF119" t="str">
        <f t="shared" si="30"/>
        <v>0.0778,15.3333</v>
      </c>
    </row>
    <row r="120" spans="3:32">
      <c r="C120">
        <v>404</v>
      </c>
      <c r="D120" s="2">
        <v>160304</v>
      </c>
      <c r="E120" s="2">
        <v>5</v>
      </c>
      <c r="F120">
        <v>26</v>
      </c>
      <c r="G120" s="2">
        <v>4</v>
      </c>
      <c r="J120" s="2">
        <v>0.1791</v>
      </c>
      <c r="K120">
        <v>0.307</v>
      </c>
      <c r="L120">
        <v>23</v>
      </c>
      <c r="P120" s="2">
        <v>100</v>
      </c>
      <c r="Q120" s="2" t="s">
        <v>414</v>
      </c>
      <c r="U120">
        <f t="shared" si="31"/>
        <v>0.1194</v>
      </c>
      <c r="V120">
        <f t="shared" si="32"/>
        <v>0.2047</v>
      </c>
      <c r="W120">
        <f t="shared" si="33"/>
        <v>15.3333</v>
      </c>
      <c r="Y120">
        <f t="shared" si="27"/>
        <v>0.1194</v>
      </c>
      <c r="Z120">
        <f t="shared" si="28"/>
        <v>692</v>
      </c>
      <c r="AA120">
        <f t="shared" si="29"/>
        <v>15.3333</v>
      </c>
      <c r="AB120" t="str">
        <f t="shared" si="18"/>
        <v/>
      </c>
      <c r="AF120" t="str">
        <f t="shared" si="30"/>
        <v>0.1194,692,15.3333</v>
      </c>
    </row>
    <row r="121" spans="3:32">
      <c r="C121">
        <v>104</v>
      </c>
      <c r="D121" s="2">
        <v>160401</v>
      </c>
      <c r="E121" s="2">
        <v>8</v>
      </c>
      <c r="F121">
        <v>4</v>
      </c>
      <c r="G121" s="2"/>
      <c r="J121" s="2">
        <v>0.4094</v>
      </c>
      <c r="K121">
        <v>23</v>
      </c>
      <c r="P121" s="2">
        <v>100</v>
      </c>
      <c r="Q121" s="2" t="s">
        <v>422</v>
      </c>
      <c r="U121">
        <f t="shared" si="31"/>
        <v>0.2729</v>
      </c>
      <c r="V121">
        <f t="shared" si="32"/>
        <v>15.3333</v>
      </c>
      <c r="W121" t="str">
        <f t="shared" si="33"/>
        <v/>
      </c>
      <c r="Y121">
        <f t="shared" si="27"/>
        <v>0.2729</v>
      </c>
      <c r="Z121">
        <f t="shared" si="28"/>
        <v>15.3333</v>
      </c>
      <c r="AA121" t="str">
        <f t="shared" si="29"/>
        <v/>
      </c>
      <c r="AB121" t="str">
        <f t="shared" si="18"/>
        <v/>
      </c>
      <c r="AF121" t="str">
        <f t="shared" si="30"/>
        <v>0.2729,15.3333</v>
      </c>
    </row>
    <row r="122" spans="3:32">
      <c r="C122">
        <v>204</v>
      </c>
      <c r="D122" s="2">
        <v>160402</v>
      </c>
      <c r="E122" s="2">
        <v>6</v>
      </c>
      <c r="F122">
        <v>4</v>
      </c>
      <c r="G122" s="2"/>
      <c r="J122" s="2">
        <v>0.1791</v>
      </c>
      <c r="K122">
        <v>23</v>
      </c>
      <c r="P122" s="2">
        <v>100</v>
      </c>
      <c r="Q122" s="2" t="s">
        <v>424</v>
      </c>
      <c r="U122">
        <f t="shared" si="31"/>
        <v>0.1194</v>
      </c>
      <c r="V122">
        <f t="shared" si="32"/>
        <v>15.3333</v>
      </c>
      <c r="W122" t="str">
        <f t="shared" si="33"/>
        <v/>
      </c>
      <c r="Y122">
        <f t="shared" si="27"/>
        <v>0.1194</v>
      </c>
      <c r="Z122">
        <f t="shared" si="28"/>
        <v>15.3333</v>
      </c>
      <c r="AA122" t="str">
        <f t="shared" si="29"/>
        <v/>
      </c>
      <c r="AB122" t="str">
        <f t="shared" si="18"/>
        <v/>
      </c>
      <c r="AF122" t="str">
        <f t="shared" si="30"/>
        <v>0.1194,15.3333</v>
      </c>
    </row>
    <row r="123" spans="3:32">
      <c r="C123">
        <v>304</v>
      </c>
      <c r="D123" s="2">
        <v>160403</v>
      </c>
      <c r="E123" s="2">
        <v>11</v>
      </c>
      <c r="F123">
        <v>4</v>
      </c>
      <c r="G123" s="2"/>
      <c r="J123" s="2">
        <v>0.3889</v>
      </c>
      <c r="K123">
        <v>23</v>
      </c>
      <c r="P123" s="2">
        <v>100</v>
      </c>
      <c r="Q123" s="2" t="s">
        <v>426</v>
      </c>
      <c r="U123">
        <f t="shared" si="31"/>
        <v>0.2593</v>
      </c>
      <c r="V123">
        <f t="shared" si="32"/>
        <v>15.3333</v>
      </c>
      <c r="W123" t="str">
        <f t="shared" si="33"/>
        <v/>
      </c>
      <c r="Y123">
        <f t="shared" si="27"/>
        <v>0.2593</v>
      </c>
      <c r="Z123">
        <f t="shared" si="28"/>
        <v>15.3333</v>
      </c>
      <c r="AA123" t="str">
        <f t="shared" si="29"/>
        <v/>
      </c>
      <c r="AB123" t="str">
        <f t="shared" si="18"/>
        <v/>
      </c>
      <c r="AF123" t="str">
        <f t="shared" si="30"/>
        <v>0.2593,15.3333</v>
      </c>
    </row>
    <row r="124" spans="3:32">
      <c r="C124">
        <v>404</v>
      </c>
      <c r="D124" s="2">
        <v>160404</v>
      </c>
      <c r="E124" s="2">
        <v>5</v>
      </c>
      <c r="F124">
        <v>4</v>
      </c>
      <c r="G124" s="2"/>
      <c r="J124" s="2">
        <v>0.1791</v>
      </c>
      <c r="K124">
        <v>23</v>
      </c>
      <c r="P124" s="2">
        <v>100</v>
      </c>
      <c r="Q124" s="2" t="s">
        <v>428</v>
      </c>
      <c r="U124">
        <f t="shared" si="31"/>
        <v>0.1194</v>
      </c>
      <c r="V124">
        <f t="shared" si="32"/>
        <v>15.3333</v>
      </c>
      <c r="W124" t="str">
        <f t="shared" si="33"/>
        <v/>
      </c>
      <c r="Y124">
        <f t="shared" si="27"/>
        <v>0.1194</v>
      </c>
      <c r="Z124">
        <f t="shared" si="28"/>
        <v>15.3333</v>
      </c>
      <c r="AA124" t="str">
        <f t="shared" si="29"/>
        <v/>
      </c>
      <c r="AB124" t="str">
        <f t="shared" si="18"/>
        <v/>
      </c>
      <c r="AF124" t="str">
        <f t="shared" si="30"/>
        <v>0.1194,15.3333</v>
      </c>
    </row>
    <row r="125" spans="3:32">
      <c r="C125">
        <v>104</v>
      </c>
      <c r="D125" s="2">
        <v>160501</v>
      </c>
      <c r="E125" s="2">
        <v>8</v>
      </c>
      <c r="F125">
        <v>26</v>
      </c>
      <c r="G125" s="2">
        <v>4</v>
      </c>
      <c r="J125" s="2">
        <v>0.2047</v>
      </c>
      <c r="K125">
        <v>0.6141</v>
      </c>
      <c r="L125">
        <v>23</v>
      </c>
      <c r="P125" s="2">
        <v>100</v>
      </c>
      <c r="Q125" s="2" t="s">
        <v>437</v>
      </c>
      <c r="U125">
        <f t="shared" si="31"/>
        <v>0.1365</v>
      </c>
      <c r="V125">
        <f t="shared" si="32"/>
        <v>0.4094</v>
      </c>
      <c r="W125">
        <f t="shared" si="33"/>
        <v>15.3333</v>
      </c>
      <c r="Y125">
        <f t="shared" si="27"/>
        <v>0.1365</v>
      </c>
      <c r="Z125">
        <f t="shared" si="28"/>
        <v>1385</v>
      </c>
      <c r="AA125">
        <f t="shared" si="29"/>
        <v>15.3333</v>
      </c>
      <c r="AB125" t="str">
        <f t="shared" si="18"/>
        <v/>
      </c>
      <c r="AF125" t="str">
        <f t="shared" si="30"/>
        <v>0.1365,1385,15.3333</v>
      </c>
    </row>
    <row r="126" spans="3:32">
      <c r="C126">
        <v>204</v>
      </c>
      <c r="D126" s="2">
        <v>160502</v>
      </c>
      <c r="E126" s="2">
        <v>11</v>
      </c>
      <c r="F126">
        <v>4</v>
      </c>
      <c r="G126" s="2"/>
      <c r="J126" s="2">
        <v>0.1167</v>
      </c>
      <c r="K126">
        <v>23</v>
      </c>
      <c r="P126" s="2">
        <v>100</v>
      </c>
      <c r="Q126" s="2" t="s">
        <v>439</v>
      </c>
      <c r="U126">
        <f t="shared" si="31"/>
        <v>0.0778</v>
      </c>
      <c r="V126">
        <f t="shared" si="32"/>
        <v>15.3333</v>
      </c>
      <c r="W126" t="str">
        <f t="shared" si="33"/>
        <v/>
      </c>
      <c r="Y126">
        <f t="shared" si="27"/>
        <v>0.0778</v>
      </c>
      <c r="Z126">
        <f t="shared" si="28"/>
        <v>15.3333</v>
      </c>
      <c r="AA126" t="str">
        <f t="shared" si="29"/>
        <v/>
      </c>
      <c r="AB126" t="str">
        <f t="shared" si="18"/>
        <v/>
      </c>
      <c r="AF126" t="str">
        <f t="shared" si="30"/>
        <v>0.0778,15.3333</v>
      </c>
    </row>
    <row r="127" spans="3:32">
      <c r="C127">
        <v>304</v>
      </c>
      <c r="D127" s="2">
        <v>160503</v>
      </c>
      <c r="E127" s="2">
        <v>5</v>
      </c>
      <c r="F127">
        <v>9</v>
      </c>
      <c r="G127" s="2">
        <v>4</v>
      </c>
      <c r="J127" s="2">
        <v>0.1791</v>
      </c>
      <c r="K127">
        <v>0.5629</v>
      </c>
      <c r="L127">
        <v>23</v>
      </c>
      <c r="P127" s="2">
        <v>100</v>
      </c>
      <c r="Q127" s="2" t="s">
        <v>441</v>
      </c>
      <c r="U127">
        <f t="shared" si="31"/>
        <v>0.1194</v>
      </c>
      <c r="V127">
        <f t="shared" si="32"/>
        <v>0.3753</v>
      </c>
      <c r="W127">
        <f t="shared" si="33"/>
        <v>15.3333</v>
      </c>
      <c r="Y127">
        <f t="shared" si="27"/>
        <v>0.1194</v>
      </c>
      <c r="Z127">
        <f t="shared" si="28"/>
        <v>0.3753</v>
      </c>
      <c r="AA127">
        <f t="shared" si="29"/>
        <v>15.3333</v>
      </c>
      <c r="AB127" t="str">
        <f t="shared" si="18"/>
        <v/>
      </c>
      <c r="AF127" t="str">
        <f t="shared" si="30"/>
        <v>0.1194,0.3753,15.3333</v>
      </c>
    </row>
    <row r="128" spans="3:32">
      <c r="C128">
        <v>404</v>
      </c>
      <c r="D128" s="2">
        <v>160504</v>
      </c>
      <c r="E128" s="2">
        <v>7</v>
      </c>
      <c r="F128">
        <v>4</v>
      </c>
      <c r="G128" s="2"/>
      <c r="J128" s="2">
        <v>0.0819</v>
      </c>
      <c r="K128">
        <v>23</v>
      </c>
      <c r="P128" s="2">
        <v>100</v>
      </c>
      <c r="Q128" s="2" t="s">
        <v>443</v>
      </c>
      <c r="U128">
        <f t="shared" si="31"/>
        <v>0.0546</v>
      </c>
      <c r="V128">
        <f t="shared" si="32"/>
        <v>15.3333</v>
      </c>
      <c r="W128" t="str">
        <f t="shared" si="33"/>
        <v/>
      </c>
      <c r="Y128">
        <f t="shared" si="27"/>
        <v>0.0546</v>
      </c>
      <c r="Z128">
        <f t="shared" si="28"/>
        <v>15.3333</v>
      </c>
      <c r="AA128" t="str">
        <f t="shared" si="29"/>
        <v/>
      </c>
      <c r="AB128" t="str">
        <f t="shared" si="18"/>
        <v/>
      </c>
      <c r="AF128" t="str">
        <f t="shared" si="30"/>
        <v>0.0546,15.3333</v>
      </c>
    </row>
    <row r="129" spans="3:32">
      <c r="C129">
        <v>104</v>
      </c>
      <c r="D129" s="2">
        <v>160601</v>
      </c>
      <c r="E129" s="2">
        <v>8</v>
      </c>
      <c r="F129">
        <v>9</v>
      </c>
      <c r="G129" s="2">
        <v>4</v>
      </c>
      <c r="J129" s="2">
        <v>0.2047</v>
      </c>
      <c r="K129">
        <v>0.5629</v>
      </c>
      <c r="L129">
        <v>23</v>
      </c>
      <c r="P129" s="2">
        <v>100</v>
      </c>
      <c r="Q129" s="2" t="s">
        <v>449</v>
      </c>
      <c r="U129">
        <f t="shared" si="31"/>
        <v>0.1365</v>
      </c>
      <c r="V129">
        <f t="shared" si="32"/>
        <v>0.3753</v>
      </c>
      <c r="W129">
        <f t="shared" si="33"/>
        <v>15.3333</v>
      </c>
      <c r="Y129">
        <f t="shared" si="27"/>
        <v>0.1365</v>
      </c>
      <c r="Z129">
        <f t="shared" si="28"/>
        <v>0.3753</v>
      </c>
      <c r="AA129">
        <f t="shared" si="29"/>
        <v>15.3333</v>
      </c>
      <c r="AB129" t="str">
        <f t="shared" ref="AB129:AB144" si="34">IF(H129="","",IF(H129=35,X129*3385,IF(H129=26,X129*3385,X129)))</f>
        <v/>
      </c>
      <c r="AF129" t="str">
        <f t="shared" si="30"/>
        <v>0.1365,0.3753,15.3333</v>
      </c>
    </row>
    <row r="130" spans="3:32">
      <c r="C130">
        <v>204</v>
      </c>
      <c r="D130" s="2">
        <v>160602</v>
      </c>
      <c r="E130" s="2">
        <v>11</v>
      </c>
      <c r="F130">
        <v>4</v>
      </c>
      <c r="G130" s="2"/>
      <c r="J130" s="2">
        <v>0.1167</v>
      </c>
      <c r="K130">
        <v>23</v>
      </c>
      <c r="P130" s="2">
        <v>100</v>
      </c>
      <c r="Q130" s="2" t="s">
        <v>450</v>
      </c>
      <c r="U130">
        <f t="shared" si="31"/>
        <v>0.0778</v>
      </c>
      <c r="V130">
        <f t="shared" si="32"/>
        <v>15.3333</v>
      </c>
      <c r="W130" t="str">
        <f t="shared" si="33"/>
        <v/>
      </c>
      <c r="Y130">
        <f t="shared" si="27"/>
        <v>0.0778</v>
      </c>
      <c r="Z130">
        <f t="shared" si="28"/>
        <v>15.3333</v>
      </c>
      <c r="AA130" t="str">
        <f t="shared" si="29"/>
        <v/>
      </c>
      <c r="AB130" t="str">
        <f t="shared" si="34"/>
        <v/>
      </c>
      <c r="AF130" t="str">
        <f t="shared" si="30"/>
        <v>0.0778,15.3333</v>
      </c>
    </row>
    <row r="131" spans="3:32">
      <c r="C131">
        <v>304</v>
      </c>
      <c r="D131" s="2">
        <v>160603</v>
      </c>
      <c r="E131" s="2">
        <v>5</v>
      </c>
      <c r="F131">
        <v>9</v>
      </c>
      <c r="G131" s="2">
        <v>4</v>
      </c>
      <c r="J131" s="2">
        <v>0.3582</v>
      </c>
      <c r="K131">
        <v>0.5629</v>
      </c>
      <c r="L131">
        <v>23</v>
      </c>
      <c r="P131" s="2">
        <v>100</v>
      </c>
      <c r="Q131" s="2" t="s">
        <v>451</v>
      </c>
      <c r="U131">
        <f t="shared" si="31"/>
        <v>0.2388</v>
      </c>
      <c r="V131">
        <f t="shared" si="32"/>
        <v>0.3753</v>
      </c>
      <c r="W131">
        <f t="shared" si="33"/>
        <v>15.3333</v>
      </c>
      <c r="Y131">
        <f t="shared" si="27"/>
        <v>0.2388</v>
      </c>
      <c r="Z131">
        <f t="shared" si="28"/>
        <v>0.3753</v>
      </c>
      <c r="AA131">
        <f t="shared" si="29"/>
        <v>15.3333</v>
      </c>
      <c r="AB131" t="str">
        <f t="shared" si="34"/>
        <v/>
      </c>
      <c r="AF131" t="str">
        <f t="shared" si="30"/>
        <v>0.2388,0.3753,15.3333</v>
      </c>
    </row>
    <row r="132" spans="3:32">
      <c r="C132">
        <v>404</v>
      </c>
      <c r="D132" s="2">
        <v>160604</v>
      </c>
      <c r="E132" s="2">
        <v>7</v>
      </c>
      <c r="F132">
        <v>4</v>
      </c>
      <c r="G132" s="2"/>
      <c r="J132" s="2">
        <v>0.0819</v>
      </c>
      <c r="K132">
        <v>23</v>
      </c>
      <c r="P132" s="2">
        <v>100</v>
      </c>
      <c r="Q132" s="2" t="s">
        <v>452</v>
      </c>
      <c r="U132">
        <f t="shared" si="31"/>
        <v>0.0546</v>
      </c>
      <c r="V132">
        <f t="shared" si="32"/>
        <v>15.3333</v>
      </c>
      <c r="W132" t="str">
        <f t="shared" si="33"/>
        <v/>
      </c>
      <c r="Y132">
        <f t="shared" si="27"/>
        <v>0.0546</v>
      </c>
      <c r="Z132">
        <f t="shared" si="28"/>
        <v>15.3333</v>
      </c>
      <c r="AA132" t="str">
        <f t="shared" si="29"/>
        <v/>
      </c>
      <c r="AB132" t="str">
        <f t="shared" si="34"/>
        <v/>
      </c>
      <c r="AF132" t="str">
        <f t="shared" si="30"/>
        <v>0.0546,15.3333</v>
      </c>
    </row>
    <row r="133" spans="3:32">
      <c r="C133">
        <v>104</v>
      </c>
      <c r="D133" s="2">
        <v>160701</v>
      </c>
      <c r="E133" s="2">
        <v>5</v>
      </c>
      <c r="F133">
        <v>9</v>
      </c>
      <c r="G133" s="2">
        <v>4</v>
      </c>
      <c r="J133" s="2">
        <v>0.2507</v>
      </c>
      <c r="K133">
        <v>0.2814</v>
      </c>
      <c r="L133">
        <v>23</v>
      </c>
      <c r="P133" s="2">
        <v>100</v>
      </c>
      <c r="Q133" s="2" t="s">
        <v>457</v>
      </c>
      <c r="U133">
        <f t="shared" si="31"/>
        <v>0.1671</v>
      </c>
      <c r="V133">
        <f t="shared" si="32"/>
        <v>0.1876</v>
      </c>
      <c r="W133">
        <f t="shared" si="33"/>
        <v>15.3333</v>
      </c>
      <c r="Y133">
        <f t="shared" si="27"/>
        <v>0.1671</v>
      </c>
      <c r="Z133">
        <f t="shared" si="28"/>
        <v>0.1876</v>
      </c>
      <c r="AA133">
        <f t="shared" si="29"/>
        <v>15.3333</v>
      </c>
      <c r="AB133" t="str">
        <f t="shared" si="34"/>
        <v/>
      </c>
      <c r="AF133" t="str">
        <f t="shared" si="30"/>
        <v>0.1671,0.1876,15.3333</v>
      </c>
    </row>
    <row r="134" spans="3:32">
      <c r="C134">
        <v>204</v>
      </c>
      <c r="D134" s="2">
        <v>160702</v>
      </c>
      <c r="E134" s="2">
        <v>11</v>
      </c>
      <c r="F134">
        <v>4</v>
      </c>
      <c r="G134" s="2"/>
      <c r="J134" s="2">
        <v>0.1945</v>
      </c>
      <c r="K134">
        <v>23</v>
      </c>
      <c r="P134" s="2">
        <v>100</v>
      </c>
      <c r="Q134" s="2" t="s">
        <v>458</v>
      </c>
      <c r="U134">
        <f t="shared" si="31"/>
        <v>0.1297</v>
      </c>
      <c r="V134">
        <f t="shared" si="32"/>
        <v>15.3333</v>
      </c>
      <c r="W134" t="str">
        <f t="shared" si="33"/>
        <v/>
      </c>
      <c r="Y134">
        <f t="shared" si="27"/>
        <v>0.1297</v>
      </c>
      <c r="Z134">
        <f t="shared" si="28"/>
        <v>15.3333</v>
      </c>
      <c r="AA134" t="str">
        <f t="shared" si="29"/>
        <v/>
      </c>
      <c r="AB134" t="str">
        <f t="shared" si="34"/>
        <v/>
      </c>
      <c r="AF134" t="str">
        <f t="shared" si="30"/>
        <v>0.1297,15.3333</v>
      </c>
    </row>
    <row r="135" spans="3:32">
      <c r="C135">
        <v>304</v>
      </c>
      <c r="D135" s="2">
        <v>160703</v>
      </c>
      <c r="E135" s="2">
        <v>6</v>
      </c>
      <c r="F135">
        <v>9</v>
      </c>
      <c r="G135" s="2">
        <v>4</v>
      </c>
      <c r="J135" s="2">
        <v>0.1075</v>
      </c>
      <c r="K135">
        <v>0.2814</v>
      </c>
      <c r="L135">
        <v>23</v>
      </c>
      <c r="P135" s="2">
        <v>100</v>
      </c>
      <c r="Q135" s="2" t="s">
        <v>459</v>
      </c>
      <c r="U135">
        <f t="shared" si="31"/>
        <v>0.0717</v>
      </c>
      <c r="V135">
        <f t="shared" si="32"/>
        <v>0.1876</v>
      </c>
      <c r="W135">
        <f t="shared" si="33"/>
        <v>15.3333</v>
      </c>
      <c r="Y135">
        <f t="shared" si="27"/>
        <v>0.0717</v>
      </c>
      <c r="Z135">
        <f t="shared" si="28"/>
        <v>0.1876</v>
      </c>
      <c r="AA135">
        <f t="shared" si="29"/>
        <v>15.3333</v>
      </c>
      <c r="AB135" t="str">
        <f t="shared" si="34"/>
        <v/>
      </c>
      <c r="AF135" t="str">
        <f t="shared" si="30"/>
        <v>0.0717,0.1876,15.3333</v>
      </c>
    </row>
    <row r="136" spans="3:32">
      <c r="C136">
        <v>404</v>
      </c>
      <c r="D136" s="2">
        <v>160704</v>
      </c>
      <c r="E136" s="2">
        <v>7</v>
      </c>
      <c r="F136">
        <v>4</v>
      </c>
      <c r="G136" s="2"/>
      <c r="J136" s="2">
        <v>0.4094</v>
      </c>
      <c r="K136">
        <v>23</v>
      </c>
      <c r="P136" s="2">
        <v>100</v>
      </c>
      <c r="Q136" s="2" t="s">
        <v>460</v>
      </c>
      <c r="U136">
        <f t="shared" si="31"/>
        <v>0.2729</v>
      </c>
      <c r="V136">
        <f t="shared" si="32"/>
        <v>15.3333</v>
      </c>
      <c r="W136" t="str">
        <f t="shared" si="33"/>
        <v/>
      </c>
      <c r="Y136">
        <f t="shared" si="27"/>
        <v>0.2729</v>
      </c>
      <c r="Z136">
        <f t="shared" si="28"/>
        <v>15.3333</v>
      </c>
      <c r="AA136" t="str">
        <f t="shared" si="29"/>
        <v/>
      </c>
      <c r="AB136" t="str">
        <f t="shared" si="34"/>
        <v/>
      </c>
      <c r="AF136" t="str">
        <f t="shared" si="30"/>
        <v>0.2729,15.3333</v>
      </c>
    </row>
    <row r="137" spans="3:32">
      <c r="C137">
        <v>104</v>
      </c>
      <c r="D137" s="2">
        <v>160801</v>
      </c>
      <c r="E137" s="2">
        <v>5</v>
      </c>
      <c r="F137">
        <v>9</v>
      </c>
      <c r="G137" s="2">
        <v>4</v>
      </c>
      <c r="J137" s="2">
        <v>0.1433</v>
      </c>
      <c r="K137">
        <v>0.2252</v>
      </c>
      <c r="L137">
        <v>23</v>
      </c>
      <c r="P137" s="2">
        <v>100</v>
      </c>
      <c r="Q137" s="2" t="s">
        <v>465</v>
      </c>
      <c r="U137">
        <f t="shared" si="31"/>
        <v>0.0955</v>
      </c>
      <c r="V137">
        <f t="shared" si="32"/>
        <v>0.1501</v>
      </c>
      <c r="W137">
        <f t="shared" si="33"/>
        <v>15.3333</v>
      </c>
      <c r="Y137">
        <f t="shared" si="27"/>
        <v>0.0955</v>
      </c>
      <c r="Z137">
        <f t="shared" si="28"/>
        <v>0.1501</v>
      </c>
      <c r="AA137">
        <f t="shared" si="29"/>
        <v>15.3333</v>
      </c>
      <c r="AB137" t="str">
        <f t="shared" si="34"/>
        <v/>
      </c>
      <c r="AF137" t="str">
        <f t="shared" si="30"/>
        <v>0.0955,0.1501,15.3333</v>
      </c>
    </row>
    <row r="138" spans="3:32">
      <c r="C138">
        <v>204</v>
      </c>
      <c r="D138" s="2">
        <v>160802</v>
      </c>
      <c r="E138" s="2">
        <v>8</v>
      </c>
      <c r="F138">
        <v>10</v>
      </c>
      <c r="G138" s="2">
        <v>26</v>
      </c>
      <c r="H138">
        <v>4</v>
      </c>
      <c r="J138" s="2">
        <v>0.0819</v>
      </c>
      <c r="K138">
        <v>0.0583</v>
      </c>
      <c r="L138">
        <v>0.1228</v>
      </c>
      <c r="M138">
        <v>23</v>
      </c>
      <c r="P138" s="2">
        <v>100</v>
      </c>
      <c r="Q138" s="2" t="s">
        <v>466</v>
      </c>
      <c r="U138">
        <f t="shared" si="31"/>
        <v>0.0546</v>
      </c>
      <c r="V138">
        <f t="shared" si="32"/>
        <v>0.0389</v>
      </c>
      <c r="W138">
        <f t="shared" si="33"/>
        <v>0.0819</v>
      </c>
      <c r="Y138">
        <f t="shared" si="27"/>
        <v>0.0546</v>
      </c>
      <c r="Z138">
        <f t="shared" si="28"/>
        <v>0.0389</v>
      </c>
      <c r="AA138">
        <f t="shared" si="29"/>
        <v>277</v>
      </c>
      <c r="AF138" t="str">
        <f t="shared" si="30"/>
        <v>0.0546,0.0389,277</v>
      </c>
    </row>
    <row r="139" spans="3:32">
      <c r="C139">
        <v>304</v>
      </c>
      <c r="D139" s="2">
        <v>160803</v>
      </c>
      <c r="E139" s="2">
        <v>6</v>
      </c>
      <c r="F139">
        <v>9</v>
      </c>
      <c r="G139" s="2">
        <v>4</v>
      </c>
      <c r="J139" s="2">
        <v>0.2866</v>
      </c>
      <c r="K139">
        <v>0.2252</v>
      </c>
      <c r="L139">
        <v>23</v>
      </c>
      <c r="P139" s="2">
        <v>100</v>
      </c>
      <c r="Q139" s="2" t="s">
        <v>467</v>
      </c>
      <c r="U139">
        <f t="shared" si="31"/>
        <v>0.1911</v>
      </c>
      <c r="V139">
        <f t="shared" si="32"/>
        <v>0.1501</v>
      </c>
      <c r="W139">
        <f t="shared" si="33"/>
        <v>15.3333</v>
      </c>
      <c r="Y139">
        <f t="shared" si="27"/>
        <v>0.1911</v>
      </c>
      <c r="Z139">
        <f t="shared" si="28"/>
        <v>0.1501</v>
      </c>
      <c r="AA139">
        <f t="shared" si="29"/>
        <v>15.3333</v>
      </c>
      <c r="AF139" t="str">
        <f t="shared" si="30"/>
        <v>0.1911,0.1501,15.3333</v>
      </c>
    </row>
    <row r="140" spans="3:32">
      <c r="C140">
        <v>404</v>
      </c>
      <c r="D140" s="2">
        <v>160804</v>
      </c>
      <c r="E140" s="2">
        <v>7</v>
      </c>
      <c r="F140">
        <v>10</v>
      </c>
      <c r="G140" s="2">
        <v>26</v>
      </c>
      <c r="H140">
        <v>4</v>
      </c>
      <c r="J140" s="2">
        <v>0.0583</v>
      </c>
      <c r="K140">
        <v>0.1228</v>
      </c>
      <c r="L140">
        <v>0.2047</v>
      </c>
      <c r="M140">
        <v>23</v>
      </c>
      <c r="P140" s="2">
        <v>100</v>
      </c>
      <c r="Q140" s="2" t="s">
        <v>468</v>
      </c>
      <c r="U140">
        <f t="shared" si="31"/>
        <v>0.0389</v>
      </c>
      <c r="V140">
        <f t="shared" si="32"/>
        <v>0.0819</v>
      </c>
      <c r="W140">
        <f t="shared" si="33"/>
        <v>0.1365</v>
      </c>
      <c r="Y140">
        <f t="shared" si="27"/>
        <v>0.0389</v>
      </c>
      <c r="Z140">
        <f t="shared" si="28"/>
        <v>0.0819</v>
      </c>
      <c r="AA140">
        <f t="shared" si="29"/>
        <v>462</v>
      </c>
      <c r="AF140" t="str">
        <f t="shared" si="30"/>
        <v>0.0389,0.0819,462</v>
      </c>
    </row>
    <row r="141" spans="3:32">
      <c r="C141">
        <v>104</v>
      </c>
      <c r="D141" s="2">
        <v>160901</v>
      </c>
      <c r="E141" s="2">
        <v>5</v>
      </c>
      <c r="F141">
        <v>11</v>
      </c>
      <c r="G141" s="2">
        <v>9</v>
      </c>
      <c r="H141">
        <v>4</v>
      </c>
      <c r="J141" s="2">
        <v>0.1791</v>
      </c>
      <c r="K141">
        <v>0.2814</v>
      </c>
      <c r="L141">
        <v>0.0389</v>
      </c>
      <c r="M141">
        <v>23</v>
      </c>
      <c r="P141" s="2">
        <v>100</v>
      </c>
      <c r="Q141" s="2" t="s">
        <v>473</v>
      </c>
      <c r="U141">
        <f t="shared" si="31"/>
        <v>0.1194</v>
      </c>
      <c r="V141">
        <f t="shared" si="32"/>
        <v>0.1876</v>
      </c>
      <c r="W141">
        <f t="shared" si="33"/>
        <v>0.0259</v>
      </c>
      <c r="Y141">
        <f t="shared" si="27"/>
        <v>0.1194</v>
      </c>
      <c r="Z141">
        <f t="shared" si="28"/>
        <v>0.1876</v>
      </c>
      <c r="AA141">
        <f t="shared" si="29"/>
        <v>0.0259</v>
      </c>
      <c r="AF141" t="str">
        <f t="shared" si="30"/>
        <v>0.1194,0.1876,0.0259</v>
      </c>
    </row>
    <row r="142" spans="3:32">
      <c r="C142">
        <v>204</v>
      </c>
      <c r="D142" s="2">
        <v>160902</v>
      </c>
      <c r="E142" s="2">
        <v>8</v>
      </c>
      <c r="F142">
        <v>10</v>
      </c>
      <c r="G142" s="2">
        <v>4</v>
      </c>
      <c r="J142" s="2">
        <v>0.0819</v>
      </c>
      <c r="K142">
        <v>0.0583</v>
      </c>
      <c r="L142">
        <v>23</v>
      </c>
      <c r="P142" s="2">
        <v>100</v>
      </c>
      <c r="Q142" s="2" t="s">
        <v>474</v>
      </c>
      <c r="U142">
        <f t="shared" si="31"/>
        <v>0.0546</v>
      </c>
      <c r="V142">
        <f t="shared" si="32"/>
        <v>0.0389</v>
      </c>
      <c r="W142">
        <f t="shared" si="33"/>
        <v>15.3333</v>
      </c>
      <c r="Y142">
        <f t="shared" si="27"/>
        <v>0.0546</v>
      </c>
      <c r="Z142">
        <f t="shared" si="28"/>
        <v>0.0389</v>
      </c>
      <c r="AA142">
        <f t="shared" si="29"/>
        <v>15.3333</v>
      </c>
      <c r="AF142" t="str">
        <f t="shared" si="30"/>
        <v>0.0546,0.0389,15.3333</v>
      </c>
    </row>
    <row r="143" spans="3:32">
      <c r="C143">
        <v>304</v>
      </c>
      <c r="D143" s="2">
        <v>160903</v>
      </c>
      <c r="E143" s="2">
        <v>6</v>
      </c>
      <c r="F143">
        <v>11</v>
      </c>
      <c r="G143" s="2">
        <v>9</v>
      </c>
      <c r="H143">
        <v>4</v>
      </c>
      <c r="J143" s="2">
        <v>0.2257</v>
      </c>
      <c r="K143">
        <v>0.2814</v>
      </c>
      <c r="L143">
        <v>0.0389</v>
      </c>
      <c r="M143">
        <v>23</v>
      </c>
      <c r="P143" s="2">
        <v>100</v>
      </c>
      <c r="Q143" s="2" t="s">
        <v>475</v>
      </c>
      <c r="U143">
        <f t="shared" si="31"/>
        <v>0.1505</v>
      </c>
      <c r="V143">
        <f t="shared" si="32"/>
        <v>0.1876</v>
      </c>
      <c r="W143">
        <f t="shared" si="33"/>
        <v>0.0259</v>
      </c>
      <c r="Y143">
        <f t="shared" si="27"/>
        <v>0.1505</v>
      </c>
      <c r="Z143">
        <f t="shared" si="28"/>
        <v>0.1876</v>
      </c>
      <c r="AA143">
        <f t="shared" si="29"/>
        <v>0.0259</v>
      </c>
      <c r="AF143" t="str">
        <f t="shared" si="30"/>
        <v>0.1505,0.1876,0.0259</v>
      </c>
    </row>
    <row r="144" spans="3:32">
      <c r="C144">
        <v>404</v>
      </c>
      <c r="D144" s="2">
        <v>160904</v>
      </c>
      <c r="E144" s="2">
        <v>7</v>
      </c>
      <c r="F144">
        <v>10</v>
      </c>
      <c r="G144" s="2">
        <v>4</v>
      </c>
      <c r="J144" s="2">
        <v>0.2047</v>
      </c>
      <c r="K144">
        <v>0.0583</v>
      </c>
      <c r="L144">
        <v>23</v>
      </c>
      <c r="P144" s="2">
        <v>100</v>
      </c>
      <c r="Q144" s="2" t="s">
        <v>476</v>
      </c>
      <c r="U144">
        <f t="shared" si="31"/>
        <v>0.1365</v>
      </c>
      <c r="V144">
        <f t="shared" si="32"/>
        <v>0.0389</v>
      </c>
      <c r="W144">
        <f t="shared" si="33"/>
        <v>15.3333</v>
      </c>
      <c r="Y144">
        <f t="shared" si="27"/>
        <v>0.1365</v>
      </c>
      <c r="Z144">
        <f t="shared" si="28"/>
        <v>0.0389</v>
      </c>
      <c r="AA144">
        <f t="shared" si="29"/>
        <v>15.3333</v>
      </c>
      <c r="AB144" t="str">
        <f t="shared" si="34"/>
        <v/>
      </c>
      <c r="AF144" t="str">
        <f t="shared" si="30"/>
        <v>0.1365,0.0389,15.3333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4"/>
  <sheetViews>
    <sheetView topLeftCell="A58" workbookViewId="0">
      <selection activeCell="S1" sqref="S1:S144"/>
    </sheetView>
  </sheetViews>
  <sheetFormatPr defaultColWidth="9" defaultRowHeight="14.1"/>
  <sheetData>
    <row r="1" spans="1:19">
      <c r="A1" s="1">
        <v>8</v>
      </c>
      <c r="G1">
        <v>0.0258</v>
      </c>
      <c r="M1">
        <f t="shared" ref="M1:M64" si="0">IF(A1="","",IF(A1=35,INT(G1*3385),IF(A1=26,INT(G1*3385),G1)))</f>
        <v>0.0258</v>
      </c>
      <c r="N1" t="str">
        <f t="shared" ref="N1:N64" si="1">IF(B1="","",IF(B1=35,INT(H1*3385),IF(B1=26,INT(H1*3385),H1)))</f>
        <v/>
      </c>
      <c r="O1" t="str">
        <f t="shared" ref="O1:O64" si="2">IF(C1="","",IF(C1=35,INT(I1*3385),IF(C1=26,INT(I1*3385),I1)))</f>
        <v/>
      </c>
      <c r="P1" t="str">
        <f t="shared" ref="P1:P64" si="3">IF(D1="","",IF(D1=35,INT(J1*3385),IF(D1=26,INT(J1*3385),J1)))</f>
        <v/>
      </c>
      <c r="S1" t="str">
        <f t="shared" ref="S1:S64" si="4">_xlfn.TEXTJOIN(",",TRUE,M1,N1,O1,P1)</f>
        <v>0.0258</v>
      </c>
    </row>
    <row r="2" spans="1:19">
      <c r="A2" s="1">
        <v>6</v>
      </c>
      <c r="G2">
        <v>0.1265</v>
      </c>
      <c r="M2">
        <f t="shared" si="0"/>
        <v>0.1265</v>
      </c>
      <c r="N2" t="str">
        <f t="shared" si="1"/>
        <v/>
      </c>
      <c r="O2" t="str">
        <f t="shared" si="2"/>
        <v/>
      </c>
      <c r="P2" t="str">
        <f t="shared" si="3"/>
        <v/>
      </c>
      <c r="S2" t="str">
        <f t="shared" si="4"/>
        <v>0.1265</v>
      </c>
    </row>
    <row r="3" spans="1:19">
      <c r="A3" s="1">
        <v>7</v>
      </c>
      <c r="G3">
        <v>0.0258</v>
      </c>
      <c r="M3">
        <f t="shared" si="0"/>
        <v>0.0258</v>
      </c>
      <c r="N3" t="str">
        <f t="shared" si="1"/>
        <v/>
      </c>
      <c r="O3" t="str">
        <f t="shared" si="2"/>
        <v/>
      </c>
      <c r="P3" t="str">
        <f t="shared" si="3"/>
        <v/>
      </c>
      <c r="S3" t="str">
        <f t="shared" si="4"/>
        <v>0.0258</v>
      </c>
    </row>
    <row r="4" spans="1:19">
      <c r="A4" s="1">
        <v>10</v>
      </c>
      <c r="G4">
        <v>0.1265</v>
      </c>
      <c r="M4">
        <f t="shared" si="0"/>
        <v>0.1265</v>
      </c>
      <c r="N4" t="str">
        <f t="shared" si="1"/>
        <v/>
      </c>
      <c r="O4" t="str">
        <f t="shared" si="2"/>
        <v/>
      </c>
      <c r="P4" t="str">
        <f t="shared" si="3"/>
        <v/>
      </c>
      <c r="S4" t="str">
        <f t="shared" si="4"/>
        <v>0.1265</v>
      </c>
    </row>
    <row r="5" spans="1:19">
      <c r="A5" s="1">
        <v>8</v>
      </c>
      <c r="G5">
        <v>0.0258</v>
      </c>
      <c r="M5">
        <f t="shared" si="0"/>
        <v>0.0258</v>
      </c>
      <c r="N5" t="str">
        <f t="shared" si="1"/>
        <v/>
      </c>
      <c r="O5" t="str">
        <f t="shared" si="2"/>
        <v/>
      </c>
      <c r="P5" t="str">
        <f t="shared" si="3"/>
        <v/>
      </c>
      <c r="S5" t="str">
        <f t="shared" si="4"/>
        <v>0.0258</v>
      </c>
    </row>
    <row r="6" spans="1:19">
      <c r="A6" s="1">
        <v>6</v>
      </c>
      <c r="B6">
        <v>35</v>
      </c>
      <c r="G6">
        <v>0.0633</v>
      </c>
      <c r="H6">
        <v>0.031</v>
      </c>
      <c r="M6">
        <f t="shared" si="0"/>
        <v>0.0633</v>
      </c>
      <c r="N6">
        <f t="shared" si="1"/>
        <v>104</v>
      </c>
      <c r="O6" t="str">
        <f t="shared" si="2"/>
        <v/>
      </c>
      <c r="P6" t="str">
        <f t="shared" si="3"/>
        <v/>
      </c>
      <c r="S6" t="str">
        <f t="shared" si="4"/>
        <v>0.0633,104</v>
      </c>
    </row>
    <row r="7" spans="1:19">
      <c r="A7" s="1">
        <v>7</v>
      </c>
      <c r="G7">
        <v>0.0258</v>
      </c>
      <c r="M7">
        <f t="shared" si="0"/>
        <v>0.0258</v>
      </c>
      <c r="N7" t="str">
        <f t="shared" si="1"/>
        <v/>
      </c>
      <c r="O7" t="str">
        <f t="shared" si="2"/>
        <v/>
      </c>
      <c r="P7" t="str">
        <f t="shared" si="3"/>
        <v/>
      </c>
      <c r="S7" t="str">
        <f t="shared" si="4"/>
        <v>0.0258</v>
      </c>
    </row>
    <row r="8" spans="1:19">
      <c r="A8" s="1">
        <v>10</v>
      </c>
      <c r="B8">
        <v>35</v>
      </c>
      <c r="G8">
        <v>0.0633</v>
      </c>
      <c r="H8">
        <v>0.031</v>
      </c>
      <c r="M8">
        <f t="shared" si="0"/>
        <v>0.0633</v>
      </c>
      <c r="N8">
        <f t="shared" si="1"/>
        <v>104</v>
      </c>
      <c r="O8" t="str">
        <f t="shared" si="2"/>
        <v/>
      </c>
      <c r="P8" t="str">
        <f t="shared" si="3"/>
        <v/>
      </c>
      <c r="S8" t="str">
        <f t="shared" si="4"/>
        <v>0.0633,104</v>
      </c>
    </row>
    <row r="9" spans="1:19">
      <c r="A9" s="1">
        <v>8</v>
      </c>
      <c r="B9">
        <v>26</v>
      </c>
      <c r="G9">
        <v>0.0362</v>
      </c>
      <c r="H9">
        <v>0.031</v>
      </c>
      <c r="M9">
        <f t="shared" si="0"/>
        <v>0.0362</v>
      </c>
      <c r="N9">
        <f t="shared" si="1"/>
        <v>104</v>
      </c>
      <c r="O9" t="str">
        <f t="shared" si="2"/>
        <v/>
      </c>
      <c r="P9" t="str">
        <f t="shared" si="3"/>
        <v/>
      </c>
      <c r="S9" t="str">
        <f t="shared" si="4"/>
        <v>0.0362,104</v>
      </c>
    </row>
    <row r="10" spans="1:19">
      <c r="A10" s="1">
        <v>6</v>
      </c>
      <c r="G10">
        <v>0.0633</v>
      </c>
      <c r="M10">
        <f t="shared" si="0"/>
        <v>0.0633</v>
      </c>
      <c r="N10" t="str">
        <f t="shared" si="1"/>
        <v/>
      </c>
      <c r="O10" t="str">
        <f t="shared" si="2"/>
        <v/>
      </c>
      <c r="P10" t="str">
        <f t="shared" si="3"/>
        <v/>
      </c>
      <c r="S10" t="str">
        <f t="shared" si="4"/>
        <v>0.0633</v>
      </c>
    </row>
    <row r="11" spans="1:19">
      <c r="A11" s="1">
        <v>11</v>
      </c>
      <c r="G11">
        <v>0.038</v>
      </c>
      <c r="M11">
        <f t="shared" si="0"/>
        <v>0.038</v>
      </c>
      <c r="N11" t="str">
        <f t="shared" si="1"/>
        <v/>
      </c>
      <c r="O11" t="str">
        <f t="shared" si="2"/>
        <v/>
      </c>
      <c r="P11" t="str">
        <f t="shared" si="3"/>
        <v/>
      </c>
      <c r="S11" t="str">
        <f t="shared" si="4"/>
        <v>0.038</v>
      </c>
    </row>
    <row r="12" spans="1:19">
      <c r="A12" s="1">
        <v>5</v>
      </c>
      <c r="B12">
        <v>26</v>
      </c>
      <c r="G12">
        <v>0.0633</v>
      </c>
      <c r="H12">
        <v>0.031</v>
      </c>
      <c r="M12">
        <f t="shared" si="0"/>
        <v>0.0633</v>
      </c>
      <c r="N12">
        <f t="shared" si="1"/>
        <v>104</v>
      </c>
      <c r="O12" t="str">
        <f t="shared" si="2"/>
        <v/>
      </c>
      <c r="P12" t="str">
        <f t="shared" si="3"/>
        <v/>
      </c>
      <c r="S12" t="str">
        <f t="shared" si="4"/>
        <v>0.0633,104</v>
      </c>
    </row>
    <row r="13" spans="1:19">
      <c r="A13" s="1">
        <v>8</v>
      </c>
      <c r="G13">
        <v>0.0516</v>
      </c>
      <c r="M13">
        <f t="shared" si="0"/>
        <v>0.0516</v>
      </c>
      <c r="N13" t="str">
        <f t="shared" si="1"/>
        <v/>
      </c>
      <c r="O13" t="str">
        <f t="shared" si="2"/>
        <v/>
      </c>
      <c r="P13" t="str">
        <f t="shared" si="3"/>
        <v/>
      </c>
      <c r="S13" t="str">
        <f t="shared" si="4"/>
        <v>0.0516</v>
      </c>
    </row>
    <row r="14" spans="1:19">
      <c r="A14" s="1">
        <v>6</v>
      </c>
      <c r="G14">
        <v>0.0633</v>
      </c>
      <c r="M14">
        <f t="shared" si="0"/>
        <v>0.0633</v>
      </c>
      <c r="N14" t="str">
        <f t="shared" si="1"/>
        <v/>
      </c>
      <c r="O14" t="str">
        <f t="shared" si="2"/>
        <v/>
      </c>
      <c r="P14" t="str">
        <f t="shared" si="3"/>
        <v/>
      </c>
      <c r="S14" t="str">
        <f t="shared" si="4"/>
        <v>0.0633</v>
      </c>
    </row>
    <row r="15" spans="1:19">
      <c r="A15" s="1">
        <v>11</v>
      </c>
      <c r="G15">
        <v>0.1265</v>
      </c>
      <c r="M15">
        <f t="shared" si="0"/>
        <v>0.1265</v>
      </c>
      <c r="N15" t="str">
        <f t="shared" si="1"/>
        <v/>
      </c>
      <c r="O15" t="str">
        <f t="shared" si="2"/>
        <v/>
      </c>
      <c r="P15" t="str">
        <f t="shared" si="3"/>
        <v/>
      </c>
      <c r="S15" t="str">
        <f t="shared" si="4"/>
        <v>0.1265</v>
      </c>
    </row>
    <row r="16" spans="1:19">
      <c r="A16" s="1">
        <v>5</v>
      </c>
      <c r="G16">
        <v>0.0633</v>
      </c>
      <c r="M16">
        <f t="shared" si="0"/>
        <v>0.0633</v>
      </c>
      <c r="N16" t="str">
        <f t="shared" si="1"/>
        <v/>
      </c>
      <c r="O16" t="str">
        <f t="shared" si="2"/>
        <v/>
      </c>
      <c r="P16" t="str">
        <f t="shared" si="3"/>
        <v/>
      </c>
      <c r="S16" t="str">
        <f t="shared" si="4"/>
        <v>0.0633</v>
      </c>
    </row>
    <row r="17" spans="1:19">
      <c r="A17" s="1">
        <v>8</v>
      </c>
      <c r="B17">
        <v>26</v>
      </c>
      <c r="G17">
        <v>0.0258</v>
      </c>
      <c r="H17">
        <v>0.062</v>
      </c>
      <c r="M17">
        <f t="shared" si="0"/>
        <v>0.0258</v>
      </c>
      <c r="N17">
        <f t="shared" si="1"/>
        <v>209</v>
      </c>
      <c r="O17" t="str">
        <f t="shared" si="2"/>
        <v/>
      </c>
      <c r="P17" t="str">
        <f t="shared" si="3"/>
        <v/>
      </c>
      <c r="S17" t="str">
        <f t="shared" si="4"/>
        <v>0.0258,209</v>
      </c>
    </row>
    <row r="18" spans="1:19">
      <c r="A18" s="1">
        <v>11</v>
      </c>
      <c r="G18">
        <v>0.038</v>
      </c>
      <c r="M18">
        <f t="shared" si="0"/>
        <v>0.038</v>
      </c>
      <c r="N18" t="str">
        <f t="shared" si="1"/>
        <v/>
      </c>
      <c r="O18" t="str">
        <f t="shared" si="2"/>
        <v/>
      </c>
      <c r="P18" t="str">
        <f t="shared" si="3"/>
        <v/>
      </c>
      <c r="S18" t="str">
        <f t="shared" si="4"/>
        <v>0.038</v>
      </c>
    </row>
    <row r="19" spans="1:19">
      <c r="A19" s="1">
        <v>5</v>
      </c>
      <c r="B19">
        <v>9</v>
      </c>
      <c r="G19">
        <v>0.0633</v>
      </c>
      <c r="H19">
        <v>0.0809</v>
      </c>
      <c r="M19">
        <f t="shared" si="0"/>
        <v>0.0633</v>
      </c>
      <c r="N19">
        <f t="shared" si="1"/>
        <v>0.0809</v>
      </c>
      <c r="O19" t="str">
        <f t="shared" si="2"/>
        <v/>
      </c>
      <c r="P19" t="str">
        <f t="shared" si="3"/>
        <v/>
      </c>
      <c r="S19" t="str">
        <f t="shared" si="4"/>
        <v>0.0633,0.0809</v>
      </c>
    </row>
    <row r="20" spans="1:19">
      <c r="A20" s="1">
        <v>7</v>
      </c>
      <c r="G20">
        <v>0.0103</v>
      </c>
      <c r="M20">
        <f t="shared" si="0"/>
        <v>0.0103</v>
      </c>
      <c r="N20" t="str">
        <f t="shared" si="1"/>
        <v/>
      </c>
      <c r="O20" t="str">
        <f t="shared" si="2"/>
        <v/>
      </c>
      <c r="P20" t="str">
        <f t="shared" si="3"/>
        <v/>
      </c>
      <c r="S20" t="str">
        <f t="shared" si="4"/>
        <v>0.0103</v>
      </c>
    </row>
    <row r="21" spans="1:19">
      <c r="A21" s="1">
        <v>8</v>
      </c>
      <c r="B21">
        <v>9</v>
      </c>
      <c r="G21">
        <v>0.0258</v>
      </c>
      <c r="H21">
        <v>0.0809</v>
      </c>
      <c r="M21">
        <f t="shared" si="0"/>
        <v>0.0258</v>
      </c>
      <c r="N21">
        <f t="shared" si="1"/>
        <v>0.0809</v>
      </c>
      <c r="O21" t="str">
        <f t="shared" si="2"/>
        <v/>
      </c>
      <c r="P21" t="str">
        <f t="shared" si="3"/>
        <v/>
      </c>
      <c r="S21" t="str">
        <f t="shared" si="4"/>
        <v>0.0258,0.0809</v>
      </c>
    </row>
    <row r="22" spans="1:19">
      <c r="A22" s="1">
        <v>11</v>
      </c>
      <c r="G22">
        <v>0.038</v>
      </c>
      <c r="M22">
        <f t="shared" si="0"/>
        <v>0.038</v>
      </c>
      <c r="N22" t="str">
        <f t="shared" si="1"/>
        <v/>
      </c>
      <c r="O22" t="str">
        <f t="shared" si="2"/>
        <v/>
      </c>
      <c r="P22" t="str">
        <f t="shared" si="3"/>
        <v/>
      </c>
      <c r="S22" t="str">
        <f t="shared" si="4"/>
        <v>0.038</v>
      </c>
    </row>
    <row r="23" spans="1:19">
      <c r="A23" s="1">
        <v>5</v>
      </c>
      <c r="B23">
        <v>9</v>
      </c>
      <c r="G23">
        <v>0.1265</v>
      </c>
      <c r="H23">
        <v>0.0809</v>
      </c>
      <c r="M23">
        <f t="shared" si="0"/>
        <v>0.1265</v>
      </c>
      <c r="N23">
        <f t="shared" si="1"/>
        <v>0.0809</v>
      </c>
      <c r="O23" t="str">
        <f t="shared" si="2"/>
        <v/>
      </c>
      <c r="P23" t="str">
        <f t="shared" si="3"/>
        <v/>
      </c>
      <c r="S23" t="str">
        <f t="shared" si="4"/>
        <v>0.1265,0.0809</v>
      </c>
    </row>
    <row r="24" spans="1:19">
      <c r="A24" s="1">
        <v>7</v>
      </c>
      <c r="G24">
        <v>0.0103</v>
      </c>
      <c r="M24">
        <f t="shared" si="0"/>
        <v>0.0103</v>
      </c>
      <c r="N24" t="str">
        <f t="shared" si="1"/>
        <v/>
      </c>
      <c r="O24" t="str">
        <f t="shared" si="2"/>
        <v/>
      </c>
      <c r="P24" t="str">
        <f t="shared" si="3"/>
        <v/>
      </c>
      <c r="S24" t="str">
        <f t="shared" si="4"/>
        <v>0.0103</v>
      </c>
    </row>
    <row r="25" spans="1:19">
      <c r="A25" s="1">
        <v>5</v>
      </c>
      <c r="B25">
        <v>9</v>
      </c>
      <c r="G25">
        <v>0.0886</v>
      </c>
      <c r="H25">
        <v>0.0404</v>
      </c>
      <c r="M25">
        <f t="shared" si="0"/>
        <v>0.0886</v>
      </c>
      <c r="N25">
        <f t="shared" si="1"/>
        <v>0.0404</v>
      </c>
      <c r="O25" t="str">
        <f t="shared" si="2"/>
        <v/>
      </c>
      <c r="P25" t="str">
        <f t="shared" si="3"/>
        <v/>
      </c>
      <c r="S25" t="str">
        <f t="shared" si="4"/>
        <v>0.0886,0.0404</v>
      </c>
    </row>
    <row r="26" spans="1:19">
      <c r="A26" s="1">
        <v>11</v>
      </c>
      <c r="G26">
        <v>0.0633</v>
      </c>
      <c r="M26">
        <f t="shared" si="0"/>
        <v>0.0633</v>
      </c>
      <c r="N26" t="str">
        <f t="shared" si="1"/>
        <v/>
      </c>
      <c r="O26" t="str">
        <f t="shared" si="2"/>
        <v/>
      </c>
      <c r="P26" t="str">
        <f t="shared" si="3"/>
        <v/>
      </c>
      <c r="S26" t="str">
        <f t="shared" si="4"/>
        <v>0.0633</v>
      </c>
    </row>
    <row r="27" spans="1:19">
      <c r="A27" s="1">
        <v>6</v>
      </c>
      <c r="B27">
        <v>9</v>
      </c>
      <c r="G27">
        <v>0.038</v>
      </c>
      <c r="H27">
        <v>0.0404</v>
      </c>
      <c r="M27">
        <f t="shared" si="0"/>
        <v>0.038</v>
      </c>
      <c r="N27">
        <f t="shared" si="1"/>
        <v>0.0404</v>
      </c>
      <c r="O27" t="str">
        <f t="shared" si="2"/>
        <v/>
      </c>
      <c r="P27" t="str">
        <f t="shared" si="3"/>
        <v/>
      </c>
      <c r="S27" t="str">
        <f t="shared" si="4"/>
        <v>0.038,0.0404</v>
      </c>
    </row>
    <row r="28" spans="1:19">
      <c r="A28" s="1">
        <v>7</v>
      </c>
      <c r="G28">
        <v>0.0516</v>
      </c>
      <c r="M28">
        <f t="shared" si="0"/>
        <v>0.0516</v>
      </c>
      <c r="N28" t="str">
        <f t="shared" si="1"/>
        <v/>
      </c>
      <c r="O28" t="str">
        <f t="shared" si="2"/>
        <v/>
      </c>
      <c r="P28" t="str">
        <f t="shared" si="3"/>
        <v/>
      </c>
      <c r="S28" t="str">
        <f t="shared" si="4"/>
        <v>0.0516</v>
      </c>
    </row>
    <row r="29" spans="1:19">
      <c r="A29" s="1">
        <v>5</v>
      </c>
      <c r="B29">
        <v>9</v>
      </c>
      <c r="G29">
        <v>0.0506</v>
      </c>
      <c r="H29">
        <v>0.0323</v>
      </c>
      <c r="M29">
        <f t="shared" si="0"/>
        <v>0.0506</v>
      </c>
      <c r="N29">
        <f t="shared" si="1"/>
        <v>0.0323</v>
      </c>
      <c r="O29" t="str">
        <f t="shared" si="2"/>
        <v/>
      </c>
      <c r="P29" t="str">
        <f t="shared" si="3"/>
        <v/>
      </c>
      <c r="S29" t="str">
        <f t="shared" si="4"/>
        <v>0.0506,0.0323</v>
      </c>
    </row>
    <row r="30" spans="1:19">
      <c r="A30" s="1">
        <v>8</v>
      </c>
      <c r="B30">
        <v>10</v>
      </c>
      <c r="C30">
        <v>26</v>
      </c>
      <c r="G30">
        <v>0.0103</v>
      </c>
      <c r="H30">
        <v>0.019</v>
      </c>
      <c r="I30">
        <v>0.0124</v>
      </c>
      <c r="M30">
        <f t="shared" si="0"/>
        <v>0.0103</v>
      </c>
      <c r="N30">
        <f t="shared" si="1"/>
        <v>0.019</v>
      </c>
      <c r="O30">
        <f t="shared" si="2"/>
        <v>41</v>
      </c>
      <c r="P30" t="str">
        <f t="shared" si="3"/>
        <v/>
      </c>
      <c r="S30" t="str">
        <f t="shared" si="4"/>
        <v>0.0103,0.019,41</v>
      </c>
    </row>
    <row r="31" spans="1:19">
      <c r="A31" s="1">
        <v>6</v>
      </c>
      <c r="B31">
        <v>9</v>
      </c>
      <c r="G31">
        <v>0.1012</v>
      </c>
      <c r="H31">
        <v>0.0323</v>
      </c>
      <c r="M31">
        <f t="shared" si="0"/>
        <v>0.1012</v>
      </c>
      <c r="N31">
        <f t="shared" si="1"/>
        <v>0.0323</v>
      </c>
      <c r="O31" t="str">
        <f t="shared" si="2"/>
        <v/>
      </c>
      <c r="P31" t="str">
        <f t="shared" si="3"/>
        <v/>
      </c>
      <c r="S31" t="str">
        <f t="shared" si="4"/>
        <v>0.1012,0.0323</v>
      </c>
    </row>
    <row r="32" spans="1:19">
      <c r="A32" s="1">
        <v>10</v>
      </c>
      <c r="B32">
        <v>26</v>
      </c>
      <c r="C32">
        <v>7</v>
      </c>
      <c r="G32">
        <v>0.019</v>
      </c>
      <c r="H32">
        <v>0.0124</v>
      </c>
      <c r="I32">
        <v>0.0258</v>
      </c>
      <c r="M32">
        <f t="shared" si="0"/>
        <v>0.019</v>
      </c>
      <c r="N32">
        <f t="shared" si="1"/>
        <v>41</v>
      </c>
      <c r="O32">
        <f t="shared" si="2"/>
        <v>0.0258</v>
      </c>
      <c r="P32" t="str">
        <f t="shared" si="3"/>
        <v/>
      </c>
      <c r="S32" t="str">
        <f t="shared" si="4"/>
        <v>0.019,41,0.0258</v>
      </c>
    </row>
    <row r="33" spans="1:19">
      <c r="A33" s="1">
        <v>5</v>
      </c>
      <c r="B33">
        <v>9</v>
      </c>
      <c r="C33">
        <v>11</v>
      </c>
      <c r="G33">
        <v>0.0633</v>
      </c>
      <c r="H33">
        <v>0.0404</v>
      </c>
      <c r="I33">
        <v>0.0127</v>
      </c>
      <c r="M33">
        <f t="shared" si="0"/>
        <v>0.0633</v>
      </c>
      <c r="N33">
        <f t="shared" si="1"/>
        <v>0.0404</v>
      </c>
      <c r="O33">
        <f t="shared" si="2"/>
        <v>0.0127</v>
      </c>
      <c r="P33" t="str">
        <f t="shared" si="3"/>
        <v/>
      </c>
      <c r="S33" t="str">
        <f t="shared" si="4"/>
        <v>0.0633,0.0404,0.0127</v>
      </c>
    </row>
    <row r="34" spans="1:19">
      <c r="A34" s="1">
        <v>8</v>
      </c>
      <c r="B34">
        <v>10</v>
      </c>
      <c r="G34">
        <v>0.0103</v>
      </c>
      <c r="H34">
        <v>0.019</v>
      </c>
      <c r="M34">
        <f t="shared" si="0"/>
        <v>0.0103</v>
      </c>
      <c r="N34">
        <f t="shared" si="1"/>
        <v>0.019</v>
      </c>
      <c r="O34" t="str">
        <f t="shared" si="2"/>
        <v/>
      </c>
      <c r="P34" t="str">
        <f t="shared" si="3"/>
        <v/>
      </c>
      <c r="S34" t="str">
        <f t="shared" si="4"/>
        <v>0.0103,0.019</v>
      </c>
    </row>
    <row r="35" spans="1:19">
      <c r="A35" s="1">
        <v>6</v>
      </c>
      <c r="B35">
        <v>9</v>
      </c>
      <c r="C35">
        <v>11</v>
      </c>
      <c r="G35">
        <v>0.1012</v>
      </c>
      <c r="H35">
        <v>0.0404</v>
      </c>
      <c r="I35">
        <v>0.0127</v>
      </c>
      <c r="M35">
        <f t="shared" si="0"/>
        <v>0.1012</v>
      </c>
      <c r="N35">
        <f t="shared" si="1"/>
        <v>0.0404</v>
      </c>
      <c r="O35">
        <f t="shared" si="2"/>
        <v>0.0127</v>
      </c>
      <c r="P35" t="str">
        <f t="shared" si="3"/>
        <v/>
      </c>
      <c r="S35" t="str">
        <f t="shared" si="4"/>
        <v>0.1012,0.0404,0.0127</v>
      </c>
    </row>
    <row r="36" spans="1:19">
      <c r="A36" s="1">
        <v>7</v>
      </c>
      <c r="B36">
        <v>10</v>
      </c>
      <c r="G36">
        <v>0.0258</v>
      </c>
      <c r="H36">
        <v>0.019</v>
      </c>
      <c r="M36">
        <f t="shared" si="0"/>
        <v>0.0258</v>
      </c>
      <c r="N36">
        <f t="shared" si="1"/>
        <v>0.019</v>
      </c>
      <c r="O36" t="str">
        <f t="shared" si="2"/>
        <v/>
      </c>
      <c r="P36" t="str">
        <f t="shared" si="3"/>
        <v/>
      </c>
      <c r="S36" t="str">
        <f t="shared" si="4"/>
        <v>0.0258,0.019</v>
      </c>
    </row>
    <row r="37" spans="1:19">
      <c r="A37" s="1">
        <v>8</v>
      </c>
      <c r="G37">
        <v>0.043</v>
      </c>
      <c r="M37">
        <f t="shared" si="0"/>
        <v>0.043</v>
      </c>
      <c r="N37" t="str">
        <f t="shared" si="1"/>
        <v/>
      </c>
      <c r="O37" t="str">
        <f t="shared" si="2"/>
        <v/>
      </c>
      <c r="P37" t="str">
        <f t="shared" si="3"/>
        <v/>
      </c>
      <c r="S37" t="str">
        <f t="shared" si="4"/>
        <v>0.043</v>
      </c>
    </row>
    <row r="38" spans="1:19">
      <c r="A38" s="1">
        <v>6</v>
      </c>
      <c r="G38">
        <v>0.2109</v>
      </c>
      <c r="M38">
        <f t="shared" si="0"/>
        <v>0.2109</v>
      </c>
      <c r="N38" t="str">
        <f t="shared" si="1"/>
        <v/>
      </c>
      <c r="O38" t="str">
        <f t="shared" si="2"/>
        <v/>
      </c>
      <c r="P38" t="str">
        <f t="shared" si="3"/>
        <v/>
      </c>
      <c r="S38" t="str">
        <f t="shared" si="4"/>
        <v>0.2109</v>
      </c>
    </row>
    <row r="39" spans="1:19">
      <c r="A39" s="1">
        <v>7</v>
      </c>
      <c r="G39">
        <v>0.043</v>
      </c>
      <c r="M39">
        <f t="shared" si="0"/>
        <v>0.043</v>
      </c>
      <c r="N39" t="str">
        <f t="shared" si="1"/>
        <v/>
      </c>
      <c r="O39" t="str">
        <f t="shared" si="2"/>
        <v/>
      </c>
      <c r="P39" t="str">
        <f t="shared" si="3"/>
        <v/>
      </c>
      <c r="S39" t="str">
        <f t="shared" si="4"/>
        <v>0.043</v>
      </c>
    </row>
    <row r="40" spans="1:19">
      <c r="A40" s="1">
        <v>10</v>
      </c>
      <c r="G40">
        <v>0.2109</v>
      </c>
      <c r="M40">
        <f t="shared" si="0"/>
        <v>0.2109</v>
      </c>
      <c r="N40" t="str">
        <f t="shared" si="1"/>
        <v/>
      </c>
      <c r="O40" t="str">
        <f t="shared" si="2"/>
        <v/>
      </c>
      <c r="P40" t="str">
        <f t="shared" si="3"/>
        <v/>
      </c>
      <c r="S40" t="str">
        <f t="shared" si="4"/>
        <v>0.2109</v>
      </c>
    </row>
    <row r="41" spans="1:19">
      <c r="A41" s="1">
        <v>8</v>
      </c>
      <c r="G41">
        <v>0.043</v>
      </c>
      <c r="M41">
        <f t="shared" si="0"/>
        <v>0.043</v>
      </c>
      <c r="N41" t="str">
        <f t="shared" si="1"/>
        <v/>
      </c>
      <c r="O41" t="str">
        <f t="shared" si="2"/>
        <v/>
      </c>
      <c r="P41" t="str">
        <f t="shared" si="3"/>
        <v/>
      </c>
      <c r="S41" t="str">
        <f t="shared" si="4"/>
        <v>0.043</v>
      </c>
    </row>
    <row r="42" spans="1:19">
      <c r="A42" s="1">
        <v>6</v>
      </c>
      <c r="B42">
        <v>35</v>
      </c>
      <c r="G42">
        <v>0.1054</v>
      </c>
      <c r="H42">
        <v>0.0516</v>
      </c>
      <c r="M42">
        <f t="shared" si="0"/>
        <v>0.1054</v>
      </c>
      <c r="N42">
        <f t="shared" si="1"/>
        <v>174</v>
      </c>
      <c r="O42" t="str">
        <f t="shared" si="2"/>
        <v/>
      </c>
      <c r="P42" t="str">
        <f t="shared" si="3"/>
        <v/>
      </c>
      <c r="S42" t="str">
        <f t="shared" si="4"/>
        <v>0.1054,174</v>
      </c>
    </row>
    <row r="43" spans="1:19">
      <c r="A43" s="1">
        <v>7</v>
      </c>
      <c r="G43">
        <v>0.043</v>
      </c>
      <c r="M43">
        <f t="shared" si="0"/>
        <v>0.043</v>
      </c>
      <c r="N43" t="str">
        <f t="shared" si="1"/>
        <v/>
      </c>
      <c r="O43" t="str">
        <f t="shared" si="2"/>
        <v/>
      </c>
      <c r="P43" t="str">
        <f t="shared" si="3"/>
        <v/>
      </c>
      <c r="S43" t="str">
        <f t="shared" si="4"/>
        <v>0.043</v>
      </c>
    </row>
    <row r="44" spans="1:19">
      <c r="A44" s="1">
        <v>10</v>
      </c>
      <c r="B44">
        <v>35</v>
      </c>
      <c r="G44">
        <v>0.1054</v>
      </c>
      <c r="H44">
        <v>0.0516</v>
      </c>
      <c r="M44">
        <f t="shared" si="0"/>
        <v>0.1054</v>
      </c>
      <c r="N44">
        <f t="shared" si="1"/>
        <v>174</v>
      </c>
      <c r="O44" t="str">
        <f t="shared" si="2"/>
        <v/>
      </c>
      <c r="P44" t="str">
        <f t="shared" si="3"/>
        <v/>
      </c>
      <c r="S44" t="str">
        <f t="shared" si="4"/>
        <v>0.1054,174</v>
      </c>
    </row>
    <row r="45" spans="1:19">
      <c r="A45" s="1">
        <v>8</v>
      </c>
      <c r="B45">
        <v>26</v>
      </c>
      <c r="G45">
        <v>0.0603</v>
      </c>
      <c r="H45">
        <v>0.0516</v>
      </c>
      <c r="M45">
        <f t="shared" si="0"/>
        <v>0.0603</v>
      </c>
      <c r="N45">
        <f t="shared" si="1"/>
        <v>174</v>
      </c>
      <c r="O45" t="str">
        <f t="shared" si="2"/>
        <v/>
      </c>
      <c r="P45" t="str">
        <f t="shared" si="3"/>
        <v/>
      </c>
      <c r="S45" t="str">
        <f t="shared" si="4"/>
        <v>0.0603,174</v>
      </c>
    </row>
    <row r="46" spans="1:19">
      <c r="A46" s="1">
        <v>6</v>
      </c>
      <c r="G46">
        <v>0.1054</v>
      </c>
      <c r="M46">
        <f t="shared" si="0"/>
        <v>0.1054</v>
      </c>
      <c r="N46" t="str">
        <f t="shared" si="1"/>
        <v/>
      </c>
      <c r="O46" t="str">
        <f t="shared" si="2"/>
        <v/>
      </c>
      <c r="P46" t="str">
        <f t="shared" si="3"/>
        <v/>
      </c>
      <c r="S46" t="str">
        <f t="shared" si="4"/>
        <v>0.1054</v>
      </c>
    </row>
    <row r="47" spans="1:19">
      <c r="A47" s="1">
        <v>11</v>
      </c>
      <c r="G47">
        <v>0.0633</v>
      </c>
      <c r="M47">
        <f t="shared" si="0"/>
        <v>0.0633</v>
      </c>
      <c r="N47" t="str">
        <f t="shared" si="1"/>
        <v/>
      </c>
      <c r="O47" t="str">
        <f t="shared" si="2"/>
        <v/>
      </c>
      <c r="P47" t="str">
        <f t="shared" si="3"/>
        <v/>
      </c>
      <c r="S47" t="str">
        <f t="shared" si="4"/>
        <v>0.0633</v>
      </c>
    </row>
    <row r="48" spans="1:19">
      <c r="A48" s="1">
        <v>5</v>
      </c>
      <c r="B48">
        <v>26</v>
      </c>
      <c r="G48">
        <v>0.1054</v>
      </c>
      <c r="H48">
        <v>0.0516</v>
      </c>
      <c r="M48">
        <f t="shared" si="0"/>
        <v>0.1054</v>
      </c>
      <c r="N48">
        <f t="shared" si="1"/>
        <v>174</v>
      </c>
      <c r="O48" t="str">
        <f t="shared" si="2"/>
        <v/>
      </c>
      <c r="P48" t="str">
        <f t="shared" si="3"/>
        <v/>
      </c>
      <c r="S48" t="str">
        <f t="shared" si="4"/>
        <v>0.1054,174</v>
      </c>
    </row>
    <row r="49" spans="1:19">
      <c r="A49" s="1">
        <v>8</v>
      </c>
      <c r="G49">
        <v>0.0861</v>
      </c>
      <c r="M49">
        <f t="shared" si="0"/>
        <v>0.0861</v>
      </c>
      <c r="N49" t="str">
        <f t="shared" si="1"/>
        <v/>
      </c>
      <c r="O49" t="str">
        <f t="shared" si="2"/>
        <v/>
      </c>
      <c r="P49" t="str">
        <f t="shared" si="3"/>
        <v/>
      </c>
      <c r="S49" t="str">
        <f t="shared" si="4"/>
        <v>0.0861</v>
      </c>
    </row>
    <row r="50" spans="1:19">
      <c r="A50" s="1">
        <v>6</v>
      </c>
      <c r="G50">
        <v>0.1054</v>
      </c>
      <c r="M50">
        <f t="shared" si="0"/>
        <v>0.1054</v>
      </c>
      <c r="N50" t="str">
        <f t="shared" si="1"/>
        <v/>
      </c>
      <c r="O50" t="str">
        <f t="shared" si="2"/>
        <v/>
      </c>
      <c r="P50" t="str">
        <f t="shared" si="3"/>
        <v/>
      </c>
      <c r="S50" t="str">
        <f t="shared" si="4"/>
        <v>0.1054</v>
      </c>
    </row>
    <row r="51" spans="1:19">
      <c r="A51" s="1">
        <v>11</v>
      </c>
      <c r="G51">
        <v>0.2109</v>
      </c>
      <c r="M51">
        <f t="shared" si="0"/>
        <v>0.2109</v>
      </c>
      <c r="N51" t="str">
        <f t="shared" si="1"/>
        <v/>
      </c>
      <c r="O51" t="str">
        <f t="shared" si="2"/>
        <v/>
      </c>
      <c r="P51" t="str">
        <f t="shared" si="3"/>
        <v/>
      </c>
      <c r="S51" t="str">
        <f t="shared" si="4"/>
        <v>0.2109</v>
      </c>
    </row>
    <row r="52" spans="1:19">
      <c r="A52" s="1">
        <v>5</v>
      </c>
      <c r="G52">
        <v>0.1054</v>
      </c>
      <c r="M52">
        <f t="shared" si="0"/>
        <v>0.1054</v>
      </c>
      <c r="N52" t="str">
        <f t="shared" si="1"/>
        <v/>
      </c>
      <c r="O52" t="str">
        <f t="shared" si="2"/>
        <v/>
      </c>
      <c r="P52" t="str">
        <f t="shared" si="3"/>
        <v/>
      </c>
      <c r="S52" t="str">
        <f t="shared" si="4"/>
        <v>0.1054</v>
      </c>
    </row>
    <row r="53" spans="1:19">
      <c r="A53" s="1">
        <v>8</v>
      </c>
      <c r="B53">
        <v>26</v>
      </c>
      <c r="G53">
        <v>0.043</v>
      </c>
      <c r="H53">
        <v>0.1033</v>
      </c>
      <c r="M53">
        <f t="shared" si="0"/>
        <v>0.043</v>
      </c>
      <c r="N53">
        <f t="shared" si="1"/>
        <v>349</v>
      </c>
      <c r="O53" t="str">
        <f t="shared" si="2"/>
        <v/>
      </c>
      <c r="P53" t="str">
        <f t="shared" si="3"/>
        <v/>
      </c>
      <c r="S53" t="str">
        <f t="shared" si="4"/>
        <v>0.043,349</v>
      </c>
    </row>
    <row r="54" spans="1:19">
      <c r="A54" s="1">
        <v>11</v>
      </c>
      <c r="G54">
        <v>0.0633</v>
      </c>
      <c r="M54">
        <f t="shared" si="0"/>
        <v>0.0633</v>
      </c>
      <c r="N54" t="str">
        <f t="shared" si="1"/>
        <v/>
      </c>
      <c r="O54" t="str">
        <f t="shared" si="2"/>
        <v/>
      </c>
      <c r="P54" t="str">
        <f t="shared" si="3"/>
        <v/>
      </c>
      <c r="S54" t="str">
        <f t="shared" si="4"/>
        <v>0.0633</v>
      </c>
    </row>
    <row r="55" spans="1:19">
      <c r="A55" s="1">
        <v>5</v>
      </c>
      <c r="B55">
        <v>9</v>
      </c>
      <c r="G55">
        <v>0.1054</v>
      </c>
      <c r="H55">
        <v>0.1348</v>
      </c>
      <c r="M55">
        <f t="shared" si="0"/>
        <v>0.1054</v>
      </c>
      <c r="N55">
        <f t="shared" si="1"/>
        <v>0.1348</v>
      </c>
      <c r="O55" t="str">
        <f t="shared" si="2"/>
        <v/>
      </c>
      <c r="P55" t="str">
        <f t="shared" si="3"/>
        <v/>
      </c>
      <c r="S55" t="str">
        <f t="shared" si="4"/>
        <v>0.1054,0.1348</v>
      </c>
    </row>
    <row r="56" spans="1:19">
      <c r="A56" s="1">
        <v>7</v>
      </c>
      <c r="G56">
        <v>0.0172</v>
      </c>
      <c r="M56">
        <f t="shared" si="0"/>
        <v>0.0172</v>
      </c>
      <c r="N56" t="str">
        <f t="shared" si="1"/>
        <v/>
      </c>
      <c r="O56" t="str">
        <f t="shared" si="2"/>
        <v/>
      </c>
      <c r="P56" t="str">
        <f t="shared" si="3"/>
        <v/>
      </c>
      <c r="S56" t="str">
        <f t="shared" si="4"/>
        <v>0.0172</v>
      </c>
    </row>
    <row r="57" spans="1:19">
      <c r="A57" s="1">
        <v>8</v>
      </c>
      <c r="B57">
        <v>9</v>
      </c>
      <c r="G57">
        <v>0.043</v>
      </c>
      <c r="H57">
        <v>0.1348</v>
      </c>
      <c r="M57">
        <f t="shared" si="0"/>
        <v>0.043</v>
      </c>
      <c r="N57">
        <f t="shared" si="1"/>
        <v>0.1348</v>
      </c>
      <c r="O57" t="str">
        <f t="shared" si="2"/>
        <v/>
      </c>
      <c r="P57" t="str">
        <f t="shared" si="3"/>
        <v/>
      </c>
      <c r="S57" t="str">
        <f t="shared" si="4"/>
        <v>0.043,0.1348</v>
      </c>
    </row>
    <row r="58" spans="1:19">
      <c r="A58" s="1">
        <v>11</v>
      </c>
      <c r="G58">
        <v>0.0633</v>
      </c>
      <c r="M58">
        <f t="shared" si="0"/>
        <v>0.0633</v>
      </c>
      <c r="N58" t="str">
        <f t="shared" si="1"/>
        <v/>
      </c>
      <c r="O58" t="str">
        <f t="shared" si="2"/>
        <v/>
      </c>
      <c r="P58" t="str">
        <f t="shared" si="3"/>
        <v/>
      </c>
      <c r="S58" t="str">
        <f t="shared" si="4"/>
        <v>0.0633</v>
      </c>
    </row>
    <row r="59" spans="1:19">
      <c r="A59" s="1">
        <v>5</v>
      </c>
      <c r="B59">
        <v>9</v>
      </c>
      <c r="G59">
        <v>0.2109</v>
      </c>
      <c r="H59">
        <v>0.1348</v>
      </c>
      <c r="M59">
        <f t="shared" si="0"/>
        <v>0.2109</v>
      </c>
      <c r="N59">
        <f t="shared" si="1"/>
        <v>0.1348</v>
      </c>
      <c r="O59" t="str">
        <f t="shared" si="2"/>
        <v/>
      </c>
      <c r="P59" t="str">
        <f t="shared" si="3"/>
        <v/>
      </c>
      <c r="S59" t="str">
        <f t="shared" si="4"/>
        <v>0.2109,0.1348</v>
      </c>
    </row>
    <row r="60" spans="1:19">
      <c r="A60" s="1">
        <v>7</v>
      </c>
      <c r="G60">
        <v>0.0172</v>
      </c>
      <c r="M60">
        <f t="shared" si="0"/>
        <v>0.0172</v>
      </c>
      <c r="N60" t="str">
        <f t="shared" si="1"/>
        <v/>
      </c>
      <c r="O60" t="str">
        <f t="shared" si="2"/>
        <v/>
      </c>
      <c r="P60" t="str">
        <f t="shared" si="3"/>
        <v/>
      </c>
      <c r="S60" t="str">
        <f t="shared" si="4"/>
        <v>0.0172</v>
      </c>
    </row>
    <row r="61" spans="1:19">
      <c r="A61" s="1">
        <v>5</v>
      </c>
      <c r="B61">
        <v>9</v>
      </c>
      <c r="G61">
        <v>0.1476</v>
      </c>
      <c r="H61">
        <v>0.0674</v>
      </c>
      <c r="M61">
        <f t="shared" si="0"/>
        <v>0.1476</v>
      </c>
      <c r="N61">
        <f t="shared" si="1"/>
        <v>0.0674</v>
      </c>
      <c r="O61" t="str">
        <f t="shared" si="2"/>
        <v/>
      </c>
      <c r="P61" t="str">
        <f t="shared" si="3"/>
        <v/>
      </c>
      <c r="S61" t="str">
        <f t="shared" si="4"/>
        <v>0.1476,0.0674</v>
      </c>
    </row>
    <row r="62" spans="1:19">
      <c r="A62" s="1">
        <v>11</v>
      </c>
      <c r="G62">
        <v>0.1054</v>
      </c>
      <c r="M62">
        <f t="shared" si="0"/>
        <v>0.1054</v>
      </c>
      <c r="N62" t="str">
        <f t="shared" si="1"/>
        <v/>
      </c>
      <c r="O62" t="str">
        <f t="shared" si="2"/>
        <v/>
      </c>
      <c r="P62" t="str">
        <f t="shared" si="3"/>
        <v/>
      </c>
      <c r="S62" t="str">
        <f t="shared" si="4"/>
        <v>0.1054</v>
      </c>
    </row>
    <row r="63" spans="1:19">
      <c r="A63" s="1">
        <v>6</v>
      </c>
      <c r="B63">
        <v>9</v>
      </c>
      <c r="G63">
        <v>0.0633</v>
      </c>
      <c r="H63">
        <v>0.0674</v>
      </c>
      <c r="M63">
        <f t="shared" si="0"/>
        <v>0.0633</v>
      </c>
      <c r="N63">
        <f t="shared" si="1"/>
        <v>0.0674</v>
      </c>
      <c r="O63" t="str">
        <f t="shared" si="2"/>
        <v/>
      </c>
      <c r="P63" t="str">
        <f t="shared" si="3"/>
        <v/>
      </c>
      <c r="S63" t="str">
        <f t="shared" si="4"/>
        <v>0.0633,0.0674</v>
      </c>
    </row>
    <row r="64" spans="1:19">
      <c r="A64" s="1">
        <v>7</v>
      </c>
      <c r="G64">
        <v>0.0861</v>
      </c>
      <c r="M64">
        <f t="shared" si="0"/>
        <v>0.0861</v>
      </c>
      <c r="N64" t="str">
        <f t="shared" si="1"/>
        <v/>
      </c>
      <c r="O64" t="str">
        <f t="shared" si="2"/>
        <v/>
      </c>
      <c r="P64" t="str">
        <f t="shared" si="3"/>
        <v/>
      </c>
      <c r="S64" t="str">
        <f t="shared" si="4"/>
        <v>0.0861</v>
      </c>
    </row>
    <row r="65" spans="1:19">
      <c r="A65" s="1">
        <v>5</v>
      </c>
      <c r="B65">
        <v>9</v>
      </c>
      <c r="G65">
        <v>0.0844</v>
      </c>
      <c r="H65">
        <v>0.0539</v>
      </c>
      <c r="M65">
        <f t="shared" ref="M65:M128" si="5">IF(A65="","",IF(A65=35,INT(G65*3385),IF(A65=26,INT(G65*3385),G65)))</f>
        <v>0.0844</v>
      </c>
      <c r="N65">
        <f t="shared" ref="N65:N128" si="6">IF(B65="","",IF(B65=35,INT(H65*3385),IF(B65=26,INT(H65*3385),H65)))</f>
        <v>0.0539</v>
      </c>
      <c r="O65" t="str">
        <f t="shared" ref="O65:O128" si="7">IF(C65="","",IF(C65=35,INT(I65*3385),IF(C65=26,INT(I65*3385),I65)))</f>
        <v/>
      </c>
      <c r="P65" t="str">
        <f t="shared" ref="P65:P128" si="8">IF(D65="","",IF(D65=35,INT(J65*3385),IF(D65=26,INT(J65*3385),J65)))</f>
        <v/>
      </c>
      <c r="S65" t="str">
        <f t="shared" ref="S65:S128" si="9">_xlfn.TEXTJOIN(",",TRUE,M65,N65,O65,P65)</f>
        <v>0.0844,0.0539</v>
      </c>
    </row>
    <row r="66" spans="1:19">
      <c r="A66" s="1">
        <v>8</v>
      </c>
      <c r="B66">
        <v>10</v>
      </c>
      <c r="C66">
        <v>26</v>
      </c>
      <c r="G66">
        <v>0.0172</v>
      </c>
      <c r="H66">
        <v>0.0316</v>
      </c>
      <c r="I66">
        <v>0.0207</v>
      </c>
      <c r="M66">
        <f t="shared" si="5"/>
        <v>0.0172</v>
      </c>
      <c r="N66">
        <f t="shared" si="6"/>
        <v>0.0316</v>
      </c>
      <c r="O66">
        <f t="shared" si="7"/>
        <v>70</v>
      </c>
      <c r="P66" t="str">
        <f t="shared" si="8"/>
        <v/>
      </c>
      <c r="S66" t="str">
        <f t="shared" si="9"/>
        <v>0.0172,0.0316,70</v>
      </c>
    </row>
    <row r="67" spans="1:19">
      <c r="A67" s="1">
        <v>6</v>
      </c>
      <c r="B67">
        <v>9</v>
      </c>
      <c r="G67">
        <v>0.1687</v>
      </c>
      <c r="H67">
        <v>0.0539</v>
      </c>
      <c r="M67">
        <f t="shared" si="5"/>
        <v>0.1687</v>
      </c>
      <c r="N67">
        <f t="shared" si="6"/>
        <v>0.0539</v>
      </c>
      <c r="O67" t="str">
        <f t="shared" si="7"/>
        <v/>
      </c>
      <c r="P67" t="str">
        <f t="shared" si="8"/>
        <v/>
      </c>
      <c r="S67" t="str">
        <f t="shared" si="9"/>
        <v>0.1687,0.0539</v>
      </c>
    </row>
    <row r="68" spans="1:19">
      <c r="A68" s="1">
        <v>10</v>
      </c>
      <c r="B68">
        <v>26</v>
      </c>
      <c r="C68">
        <v>7</v>
      </c>
      <c r="G68">
        <v>0.0316</v>
      </c>
      <c r="H68">
        <v>0.0207</v>
      </c>
      <c r="I68">
        <v>0.043</v>
      </c>
      <c r="M68">
        <f t="shared" si="5"/>
        <v>0.0316</v>
      </c>
      <c r="N68">
        <f t="shared" si="6"/>
        <v>70</v>
      </c>
      <c r="O68">
        <f t="shared" si="7"/>
        <v>0.043</v>
      </c>
      <c r="P68" t="str">
        <f t="shared" si="8"/>
        <v/>
      </c>
      <c r="S68" t="str">
        <f t="shared" si="9"/>
        <v>0.0316,70,0.043</v>
      </c>
    </row>
    <row r="69" spans="1:19">
      <c r="A69" s="1">
        <v>5</v>
      </c>
      <c r="B69">
        <v>9</v>
      </c>
      <c r="C69">
        <v>11</v>
      </c>
      <c r="G69">
        <v>0.1054</v>
      </c>
      <c r="H69">
        <v>0.0674</v>
      </c>
      <c r="I69">
        <v>0.0211</v>
      </c>
      <c r="M69">
        <f t="shared" si="5"/>
        <v>0.1054</v>
      </c>
      <c r="N69">
        <f t="shared" si="6"/>
        <v>0.0674</v>
      </c>
      <c r="O69">
        <f t="shared" si="7"/>
        <v>0.0211</v>
      </c>
      <c r="P69" t="str">
        <f t="shared" si="8"/>
        <v/>
      </c>
      <c r="S69" t="str">
        <f t="shared" si="9"/>
        <v>0.1054,0.0674,0.0211</v>
      </c>
    </row>
    <row r="70" spans="1:19">
      <c r="A70" s="1">
        <v>8</v>
      </c>
      <c r="B70">
        <v>10</v>
      </c>
      <c r="G70">
        <v>0.0172</v>
      </c>
      <c r="H70">
        <v>0.0316</v>
      </c>
      <c r="M70">
        <f t="shared" si="5"/>
        <v>0.0172</v>
      </c>
      <c r="N70">
        <f t="shared" si="6"/>
        <v>0.0316</v>
      </c>
      <c r="O70" t="str">
        <f t="shared" si="7"/>
        <v/>
      </c>
      <c r="P70" t="str">
        <f t="shared" si="8"/>
        <v/>
      </c>
      <c r="S70" t="str">
        <f t="shared" si="9"/>
        <v>0.0172,0.0316</v>
      </c>
    </row>
    <row r="71" spans="1:19">
      <c r="A71" s="1">
        <v>6</v>
      </c>
      <c r="B71">
        <v>9</v>
      </c>
      <c r="C71">
        <v>11</v>
      </c>
      <c r="G71">
        <v>0.1687</v>
      </c>
      <c r="H71">
        <v>0.0674</v>
      </c>
      <c r="I71">
        <v>0.0211</v>
      </c>
      <c r="M71">
        <f t="shared" si="5"/>
        <v>0.1687</v>
      </c>
      <c r="N71">
        <f t="shared" si="6"/>
        <v>0.0674</v>
      </c>
      <c r="O71">
        <f t="shared" si="7"/>
        <v>0.0211</v>
      </c>
      <c r="P71" t="str">
        <f t="shared" si="8"/>
        <v/>
      </c>
      <c r="S71" t="str">
        <f t="shared" si="9"/>
        <v>0.1687,0.0674,0.0211</v>
      </c>
    </row>
    <row r="72" spans="1:19">
      <c r="A72" s="1">
        <v>7</v>
      </c>
      <c r="B72">
        <v>10</v>
      </c>
      <c r="G72">
        <v>0.043</v>
      </c>
      <c r="H72">
        <v>0.0316</v>
      </c>
      <c r="M72">
        <f t="shared" si="5"/>
        <v>0.043</v>
      </c>
      <c r="N72">
        <f t="shared" si="6"/>
        <v>0.0316</v>
      </c>
      <c r="O72" t="str">
        <f t="shared" si="7"/>
        <v/>
      </c>
      <c r="P72" t="str">
        <f t="shared" si="8"/>
        <v/>
      </c>
      <c r="S72" t="str">
        <f t="shared" si="9"/>
        <v>0.043,0.0316</v>
      </c>
    </row>
    <row r="73" spans="1:19">
      <c r="A73" s="1">
        <v>8</v>
      </c>
      <c r="G73">
        <v>0.0547</v>
      </c>
      <c r="M73">
        <f t="shared" si="5"/>
        <v>0.0547</v>
      </c>
      <c r="N73" t="str">
        <f t="shared" si="6"/>
        <v/>
      </c>
      <c r="O73" t="str">
        <f t="shared" si="7"/>
        <v/>
      </c>
      <c r="P73" t="str">
        <f t="shared" si="8"/>
        <v/>
      </c>
      <c r="S73" t="str">
        <f t="shared" si="9"/>
        <v>0.0547</v>
      </c>
    </row>
    <row r="74" spans="1:19">
      <c r="A74" s="1">
        <v>6</v>
      </c>
      <c r="G74">
        <v>0.2678</v>
      </c>
      <c r="M74">
        <f t="shared" si="5"/>
        <v>0.2678</v>
      </c>
      <c r="N74" t="str">
        <f t="shared" si="6"/>
        <v/>
      </c>
      <c r="O74" t="str">
        <f t="shared" si="7"/>
        <v/>
      </c>
      <c r="P74" t="str">
        <f t="shared" si="8"/>
        <v/>
      </c>
      <c r="S74" t="str">
        <f t="shared" si="9"/>
        <v>0.2678</v>
      </c>
    </row>
    <row r="75" spans="1:19">
      <c r="A75" s="1">
        <v>7</v>
      </c>
      <c r="G75">
        <v>0.0547</v>
      </c>
      <c r="M75">
        <f t="shared" si="5"/>
        <v>0.0547</v>
      </c>
      <c r="N75" t="str">
        <f t="shared" si="6"/>
        <v/>
      </c>
      <c r="O75" t="str">
        <f t="shared" si="7"/>
        <v/>
      </c>
      <c r="P75" t="str">
        <f t="shared" si="8"/>
        <v/>
      </c>
      <c r="S75" t="str">
        <f t="shared" si="9"/>
        <v>0.0547</v>
      </c>
    </row>
    <row r="76" spans="1:19">
      <c r="A76" s="1">
        <v>10</v>
      </c>
      <c r="G76">
        <v>0.2678</v>
      </c>
      <c r="M76">
        <f t="shared" si="5"/>
        <v>0.2678</v>
      </c>
      <c r="N76" t="str">
        <f t="shared" si="6"/>
        <v/>
      </c>
      <c r="O76" t="str">
        <f t="shared" si="7"/>
        <v/>
      </c>
      <c r="P76" t="str">
        <f t="shared" si="8"/>
        <v/>
      </c>
      <c r="S76" t="str">
        <f t="shared" si="9"/>
        <v>0.2678</v>
      </c>
    </row>
    <row r="77" spans="1:19">
      <c r="A77" s="1">
        <v>8</v>
      </c>
      <c r="G77">
        <v>0.0547</v>
      </c>
      <c r="M77">
        <f t="shared" si="5"/>
        <v>0.0547</v>
      </c>
      <c r="N77" t="str">
        <f t="shared" si="6"/>
        <v/>
      </c>
      <c r="O77" t="str">
        <f t="shared" si="7"/>
        <v/>
      </c>
      <c r="P77" t="str">
        <f t="shared" si="8"/>
        <v/>
      </c>
      <c r="S77" t="str">
        <f t="shared" si="9"/>
        <v>0.0547</v>
      </c>
    </row>
    <row r="78" spans="1:19">
      <c r="A78" s="1">
        <v>6</v>
      </c>
      <c r="B78">
        <v>35</v>
      </c>
      <c r="G78">
        <v>0.1339</v>
      </c>
      <c r="H78">
        <v>0.0656</v>
      </c>
      <c r="M78">
        <f t="shared" si="5"/>
        <v>0.1339</v>
      </c>
      <c r="N78">
        <f t="shared" si="6"/>
        <v>222</v>
      </c>
      <c r="O78" t="str">
        <f t="shared" si="7"/>
        <v/>
      </c>
      <c r="P78" t="str">
        <f t="shared" si="8"/>
        <v/>
      </c>
      <c r="S78" t="str">
        <f t="shared" si="9"/>
        <v>0.1339,222</v>
      </c>
    </row>
    <row r="79" spans="1:19">
      <c r="A79" s="1">
        <v>7</v>
      </c>
      <c r="G79">
        <v>0.0547</v>
      </c>
      <c r="M79">
        <f t="shared" si="5"/>
        <v>0.0547</v>
      </c>
      <c r="N79" t="str">
        <f t="shared" si="6"/>
        <v/>
      </c>
      <c r="O79" t="str">
        <f t="shared" si="7"/>
        <v/>
      </c>
      <c r="P79" t="str">
        <f t="shared" si="8"/>
        <v/>
      </c>
      <c r="S79" t="str">
        <f t="shared" si="9"/>
        <v>0.0547</v>
      </c>
    </row>
    <row r="80" spans="1:19">
      <c r="A80" s="1">
        <v>10</v>
      </c>
      <c r="B80">
        <v>35</v>
      </c>
      <c r="G80">
        <v>0.1339</v>
      </c>
      <c r="H80">
        <v>0.0656</v>
      </c>
      <c r="M80">
        <f t="shared" si="5"/>
        <v>0.1339</v>
      </c>
      <c r="N80">
        <f t="shared" si="6"/>
        <v>222</v>
      </c>
      <c r="O80" t="str">
        <f t="shared" si="7"/>
        <v/>
      </c>
      <c r="P80" t="str">
        <f t="shared" si="8"/>
        <v/>
      </c>
      <c r="S80" t="str">
        <f t="shared" si="9"/>
        <v>0.1339,222</v>
      </c>
    </row>
    <row r="81" spans="1:19">
      <c r="A81" s="1">
        <v>8</v>
      </c>
      <c r="B81">
        <v>26</v>
      </c>
      <c r="G81">
        <v>0.0765</v>
      </c>
      <c r="H81">
        <v>0.0656</v>
      </c>
      <c r="M81">
        <f t="shared" si="5"/>
        <v>0.0765</v>
      </c>
      <c r="N81">
        <f t="shared" si="6"/>
        <v>222</v>
      </c>
      <c r="O81" t="str">
        <f t="shared" si="7"/>
        <v/>
      </c>
      <c r="P81" t="str">
        <f t="shared" si="8"/>
        <v/>
      </c>
      <c r="S81" t="str">
        <f t="shared" si="9"/>
        <v>0.0765,222</v>
      </c>
    </row>
    <row r="82" spans="1:19">
      <c r="A82" s="1">
        <v>6</v>
      </c>
      <c r="G82">
        <v>0.1339</v>
      </c>
      <c r="M82">
        <f t="shared" si="5"/>
        <v>0.1339</v>
      </c>
      <c r="N82" t="str">
        <f t="shared" si="6"/>
        <v/>
      </c>
      <c r="O82" t="str">
        <f t="shared" si="7"/>
        <v/>
      </c>
      <c r="P82" t="str">
        <f t="shared" si="8"/>
        <v/>
      </c>
      <c r="S82" t="str">
        <f t="shared" si="9"/>
        <v>0.1339</v>
      </c>
    </row>
    <row r="83" spans="1:19">
      <c r="A83" s="1">
        <v>11</v>
      </c>
      <c r="G83">
        <v>0.0803</v>
      </c>
      <c r="M83">
        <f t="shared" si="5"/>
        <v>0.0803</v>
      </c>
      <c r="N83" t="str">
        <f t="shared" si="6"/>
        <v/>
      </c>
      <c r="O83" t="str">
        <f t="shared" si="7"/>
        <v/>
      </c>
      <c r="P83" t="str">
        <f t="shared" si="8"/>
        <v/>
      </c>
      <c r="S83" t="str">
        <f t="shared" si="9"/>
        <v>0.0803</v>
      </c>
    </row>
    <row r="84" spans="1:19">
      <c r="A84" s="1">
        <v>5</v>
      </c>
      <c r="B84">
        <v>26</v>
      </c>
      <c r="G84">
        <v>0.1339</v>
      </c>
      <c r="H84">
        <v>0.0656</v>
      </c>
      <c r="M84">
        <f t="shared" si="5"/>
        <v>0.1339</v>
      </c>
      <c r="N84">
        <f t="shared" si="6"/>
        <v>222</v>
      </c>
      <c r="O84" t="str">
        <f t="shared" si="7"/>
        <v/>
      </c>
      <c r="P84" t="str">
        <f t="shared" si="8"/>
        <v/>
      </c>
      <c r="S84" t="str">
        <f t="shared" si="9"/>
        <v>0.1339,222</v>
      </c>
    </row>
    <row r="85" spans="1:19">
      <c r="A85" s="1">
        <v>8</v>
      </c>
      <c r="G85">
        <v>0.1093</v>
      </c>
      <c r="M85">
        <f t="shared" si="5"/>
        <v>0.1093</v>
      </c>
      <c r="N85" t="str">
        <f t="shared" si="6"/>
        <v/>
      </c>
      <c r="O85" t="str">
        <f t="shared" si="7"/>
        <v/>
      </c>
      <c r="P85" t="str">
        <f t="shared" si="8"/>
        <v/>
      </c>
      <c r="S85" t="str">
        <f t="shared" si="9"/>
        <v>0.1093</v>
      </c>
    </row>
    <row r="86" spans="1:19">
      <c r="A86" s="1">
        <v>6</v>
      </c>
      <c r="G86">
        <v>0.1339</v>
      </c>
      <c r="M86">
        <f t="shared" si="5"/>
        <v>0.1339</v>
      </c>
      <c r="N86" t="str">
        <f t="shared" si="6"/>
        <v/>
      </c>
      <c r="O86" t="str">
        <f t="shared" si="7"/>
        <v/>
      </c>
      <c r="P86" t="str">
        <f t="shared" si="8"/>
        <v/>
      </c>
      <c r="S86" t="str">
        <f t="shared" si="9"/>
        <v>0.1339</v>
      </c>
    </row>
    <row r="87" spans="1:19">
      <c r="A87" s="1">
        <v>11</v>
      </c>
      <c r="G87">
        <v>0.2678</v>
      </c>
      <c r="M87">
        <f t="shared" si="5"/>
        <v>0.2678</v>
      </c>
      <c r="N87" t="str">
        <f t="shared" si="6"/>
        <v/>
      </c>
      <c r="O87" t="str">
        <f t="shared" si="7"/>
        <v/>
      </c>
      <c r="P87" t="str">
        <f t="shared" si="8"/>
        <v/>
      </c>
      <c r="S87" t="str">
        <f t="shared" si="9"/>
        <v>0.2678</v>
      </c>
    </row>
    <row r="88" spans="1:19">
      <c r="A88" s="1">
        <v>5</v>
      </c>
      <c r="G88">
        <v>0.1339</v>
      </c>
      <c r="M88">
        <f t="shared" si="5"/>
        <v>0.1339</v>
      </c>
      <c r="N88" t="str">
        <f t="shared" si="6"/>
        <v/>
      </c>
      <c r="O88" t="str">
        <f t="shared" si="7"/>
        <v/>
      </c>
      <c r="P88" t="str">
        <f t="shared" si="8"/>
        <v/>
      </c>
      <c r="S88" t="str">
        <f t="shared" si="9"/>
        <v>0.1339</v>
      </c>
    </row>
    <row r="89" spans="1:19">
      <c r="A89" s="1">
        <v>8</v>
      </c>
      <c r="B89">
        <v>26</v>
      </c>
      <c r="G89">
        <v>0.0547</v>
      </c>
      <c r="H89">
        <v>0.1312</v>
      </c>
      <c r="M89">
        <f t="shared" si="5"/>
        <v>0.0547</v>
      </c>
      <c r="N89">
        <f t="shared" si="6"/>
        <v>444</v>
      </c>
      <c r="O89" t="str">
        <f t="shared" si="7"/>
        <v/>
      </c>
      <c r="P89" t="str">
        <f t="shared" si="8"/>
        <v/>
      </c>
      <c r="S89" t="str">
        <f t="shared" si="9"/>
        <v>0.0547,444</v>
      </c>
    </row>
    <row r="90" spans="1:19">
      <c r="A90" s="1">
        <v>11</v>
      </c>
      <c r="G90">
        <v>0.0803</v>
      </c>
      <c r="M90">
        <f t="shared" si="5"/>
        <v>0.0803</v>
      </c>
      <c r="N90" t="str">
        <f t="shared" si="6"/>
        <v/>
      </c>
      <c r="O90" t="str">
        <f t="shared" si="7"/>
        <v/>
      </c>
      <c r="P90" t="str">
        <f t="shared" si="8"/>
        <v/>
      </c>
      <c r="S90" t="str">
        <f t="shared" si="9"/>
        <v>0.0803</v>
      </c>
    </row>
    <row r="91" spans="1:19">
      <c r="A91" s="1">
        <v>5</v>
      </c>
      <c r="B91">
        <v>9</v>
      </c>
      <c r="G91">
        <v>0.1339</v>
      </c>
      <c r="H91">
        <v>0.1711</v>
      </c>
      <c r="M91">
        <f t="shared" si="5"/>
        <v>0.1339</v>
      </c>
      <c r="N91">
        <f t="shared" si="6"/>
        <v>0.1711</v>
      </c>
      <c r="O91" t="str">
        <f t="shared" si="7"/>
        <v/>
      </c>
      <c r="P91" t="str">
        <f t="shared" si="8"/>
        <v/>
      </c>
      <c r="S91" t="str">
        <f t="shared" si="9"/>
        <v>0.1339,0.1711</v>
      </c>
    </row>
    <row r="92" spans="1:19">
      <c r="A92" s="1">
        <v>7</v>
      </c>
      <c r="G92">
        <v>0.0219</v>
      </c>
      <c r="M92">
        <f t="shared" si="5"/>
        <v>0.0219</v>
      </c>
      <c r="N92" t="str">
        <f t="shared" si="6"/>
        <v/>
      </c>
      <c r="O92" t="str">
        <f t="shared" si="7"/>
        <v/>
      </c>
      <c r="P92" t="str">
        <f t="shared" si="8"/>
        <v/>
      </c>
      <c r="S92" t="str">
        <f t="shared" si="9"/>
        <v>0.0219</v>
      </c>
    </row>
    <row r="93" spans="1:19">
      <c r="A93" s="1">
        <v>8</v>
      </c>
      <c r="B93">
        <v>9</v>
      </c>
      <c r="G93">
        <v>0.0547</v>
      </c>
      <c r="H93">
        <v>0.1711</v>
      </c>
      <c r="M93">
        <f t="shared" si="5"/>
        <v>0.0547</v>
      </c>
      <c r="N93">
        <f t="shared" si="6"/>
        <v>0.1711</v>
      </c>
      <c r="O93" t="str">
        <f t="shared" si="7"/>
        <v/>
      </c>
      <c r="P93" t="str">
        <f t="shared" si="8"/>
        <v/>
      </c>
      <c r="S93" t="str">
        <f t="shared" si="9"/>
        <v>0.0547,0.1711</v>
      </c>
    </row>
    <row r="94" spans="1:19">
      <c r="A94" s="1">
        <v>11</v>
      </c>
      <c r="G94">
        <v>0.0803</v>
      </c>
      <c r="M94">
        <f t="shared" si="5"/>
        <v>0.0803</v>
      </c>
      <c r="N94" t="str">
        <f t="shared" si="6"/>
        <v/>
      </c>
      <c r="O94" t="str">
        <f t="shared" si="7"/>
        <v/>
      </c>
      <c r="P94" t="str">
        <f t="shared" si="8"/>
        <v/>
      </c>
      <c r="S94" t="str">
        <f t="shared" si="9"/>
        <v>0.0803</v>
      </c>
    </row>
    <row r="95" spans="1:19">
      <c r="A95" s="1">
        <v>5</v>
      </c>
      <c r="B95">
        <v>9</v>
      </c>
      <c r="G95">
        <v>0.2678</v>
      </c>
      <c r="H95">
        <v>0.1711</v>
      </c>
      <c r="M95">
        <f t="shared" si="5"/>
        <v>0.2678</v>
      </c>
      <c r="N95">
        <f t="shared" si="6"/>
        <v>0.1711</v>
      </c>
      <c r="O95" t="str">
        <f t="shared" si="7"/>
        <v/>
      </c>
      <c r="P95" t="str">
        <f t="shared" si="8"/>
        <v/>
      </c>
      <c r="S95" t="str">
        <f t="shared" si="9"/>
        <v>0.2678,0.1711</v>
      </c>
    </row>
    <row r="96" spans="1:19">
      <c r="A96" s="1">
        <v>7</v>
      </c>
      <c r="G96">
        <v>0.0219</v>
      </c>
      <c r="M96">
        <f t="shared" si="5"/>
        <v>0.0219</v>
      </c>
      <c r="N96" t="str">
        <f t="shared" si="6"/>
        <v/>
      </c>
      <c r="O96" t="str">
        <f t="shared" si="7"/>
        <v/>
      </c>
      <c r="P96" t="str">
        <f t="shared" si="8"/>
        <v/>
      </c>
      <c r="S96" t="str">
        <f t="shared" si="9"/>
        <v>0.0219</v>
      </c>
    </row>
    <row r="97" spans="1:19">
      <c r="A97" s="1">
        <v>5</v>
      </c>
      <c r="B97">
        <v>9</v>
      </c>
      <c r="G97">
        <v>0.1875</v>
      </c>
      <c r="H97">
        <v>0.0856</v>
      </c>
      <c r="M97">
        <f t="shared" si="5"/>
        <v>0.1875</v>
      </c>
      <c r="N97">
        <f t="shared" si="6"/>
        <v>0.0856</v>
      </c>
      <c r="O97" t="str">
        <f t="shared" si="7"/>
        <v/>
      </c>
      <c r="P97" t="str">
        <f t="shared" si="8"/>
        <v/>
      </c>
      <c r="S97" t="str">
        <f t="shared" si="9"/>
        <v>0.1875,0.0856</v>
      </c>
    </row>
    <row r="98" spans="1:19">
      <c r="A98" s="1">
        <v>11</v>
      </c>
      <c r="G98">
        <v>0.1339</v>
      </c>
      <c r="M98">
        <f t="shared" si="5"/>
        <v>0.1339</v>
      </c>
      <c r="N98" t="str">
        <f t="shared" si="6"/>
        <v/>
      </c>
      <c r="O98" t="str">
        <f t="shared" si="7"/>
        <v/>
      </c>
      <c r="P98" t="str">
        <f t="shared" si="8"/>
        <v/>
      </c>
      <c r="S98" t="str">
        <f t="shared" si="9"/>
        <v>0.1339</v>
      </c>
    </row>
    <row r="99" spans="1:19">
      <c r="A99" s="1">
        <v>6</v>
      </c>
      <c r="B99">
        <v>9</v>
      </c>
      <c r="G99">
        <v>0.0803</v>
      </c>
      <c r="H99">
        <v>0.0856</v>
      </c>
      <c r="M99">
        <f t="shared" si="5"/>
        <v>0.0803</v>
      </c>
      <c r="N99">
        <f t="shared" si="6"/>
        <v>0.0856</v>
      </c>
      <c r="O99" t="str">
        <f t="shared" si="7"/>
        <v/>
      </c>
      <c r="P99" t="str">
        <f t="shared" si="8"/>
        <v/>
      </c>
      <c r="S99" t="str">
        <f t="shared" si="9"/>
        <v>0.0803,0.0856</v>
      </c>
    </row>
    <row r="100" spans="1:19">
      <c r="A100" s="1">
        <v>7</v>
      </c>
      <c r="G100">
        <v>0.1093</v>
      </c>
      <c r="M100">
        <f t="shared" si="5"/>
        <v>0.1093</v>
      </c>
      <c r="N100" t="str">
        <f t="shared" si="6"/>
        <v/>
      </c>
      <c r="O100" t="str">
        <f t="shared" si="7"/>
        <v/>
      </c>
      <c r="P100" t="str">
        <f t="shared" si="8"/>
        <v/>
      </c>
      <c r="S100" t="str">
        <f t="shared" si="9"/>
        <v>0.1093</v>
      </c>
    </row>
    <row r="101" spans="1:19">
      <c r="A101" s="1">
        <v>5</v>
      </c>
      <c r="B101">
        <v>9</v>
      </c>
      <c r="G101">
        <v>0.1071</v>
      </c>
      <c r="H101">
        <v>0.0684</v>
      </c>
      <c r="M101">
        <f t="shared" si="5"/>
        <v>0.1071</v>
      </c>
      <c r="N101">
        <f t="shared" si="6"/>
        <v>0.0684</v>
      </c>
      <c r="O101" t="str">
        <f t="shared" si="7"/>
        <v/>
      </c>
      <c r="P101" t="str">
        <f t="shared" si="8"/>
        <v/>
      </c>
      <c r="S101" t="str">
        <f t="shared" si="9"/>
        <v>0.1071,0.0684</v>
      </c>
    </row>
    <row r="102" spans="1:19">
      <c r="A102" s="1">
        <v>8</v>
      </c>
      <c r="B102">
        <v>10</v>
      </c>
      <c r="C102">
        <v>26</v>
      </c>
      <c r="G102">
        <v>0.0219</v>
      </c>
      <c r="H102">
        <v>0.0402</v>
      </c>
      <c r="I102">
        <v>0.0262</v>
      </c>
      <c r="M102">
        <f t="shared" si="5"/>
        <v>0.0219</v>
      </c>
      <c r="N102">
        <f t="shared" si="6"/>
        <v>0.0402</v>
      </c>
      <c r="O102">
        <f t="shared" si="7"/>
        <v>88</v>
      </c>
      <c r="P102" t="str">
        <f t="shared" si="8"/>
        <v/>
      </c>
      <c r="S102" t="str">
        <f t="shared" si="9"/>
        <v>0.0219,0.0402,88</v>
      </c>
    </row>
    <row r="103" spans="1:19">
      <c r="A103" s="1">
        <v>6</v>
      </c>
      <c r="B103">
        <v>9</v>
      </c>
      <c r="G103">
        <v>0.2142</v>
      </c>
      <c r="H103">
        <v>0.0684</v>
      </c>
      <c r="M103">
        <f t="shared" si="5"/>
        <v>0.2142</v>
      </c>
      <c r="N103">
        <f t="shared" si="6"/>
        <v>0.0684</v>
      </c>
      <c r="O103" t="str">
        <f t="shared" si="7"/>
        <v/>
      </c>
      <c r="P103" t="str">
        <f t="shared" si="8"/>
        <v/>
      </c>
      <c r="S103" t="str">
        <f t="shared" si="9"/>
        <v>0.2142,0.0684</v>
      </c>
    </row>
    <row r="104" spans="1:19">
      <c r="A104" s="1">
        <v>10</v>
      </c>
      <c r="B104">
        <v>26</v>
      </c>
      <c r="C104">
        <v>7</v>
      </c>
      <c r="G104">
        <v>0.0402</v>
      </c>
      <c r="H104">
        <v>0.0262</v>
      </c>
      <c r="I104">
        <v>0.0547</v>
      </c>
      <c r="M104">
        <f t="shared" si="5"/>
        <v>0.0402</v>
      </c>
      <c r="N104">
        <f t="shared" si="6"/>
        <v>88</v>
      </c>
      <c r="O104">
        <f t="shared" si="7"/>
        <v>0.0547</v>
      </c>
      <c r="P104" t="str">
        <f t="shared" si="8"/>
        <v/>
      </c>
      <c r="S104" t="str">
        <f t="shared" si="9"/>
        <v>0.0402,88,0.0547</v>
      </c>
    </row>
    <row r="105" spans="1:19">
      <c r="A105" s="1">
        <v>5</v>
      </c>
      <c r="B105">
        <v>9</v>
      </c>
      <c r="C105">
        <v>11</v>
      </c>
      <c r="G105">
        <v>0.1339</v>
      </c>
      <c r="H105">
        <v>0.0856</v>
      </c>
      <c r="I105">
        <v>0.0268</v>
      </c>
      <c r="M105">
        <f t="shared" si="5"/>
        <v>0.1339</v>
      </c>
      <c r="N105">
        <f t="shared" si="6"/>
        <v>0.0856</v>
      </c>
      <c r="O105">
        <f t="shared" si="7"/>
        <v>0.0268</v>
      </c>
      <c r="P105" t="str">
        <f t="shared" si="8"/>
        <v/>
      </c>
      <c r="S105" t="str">
        <f t="shared" si="9"/>
        <v>0.1339,0.0856,0.0268</v>
      </c>
    </row>
    <row r="106" spans="1:19">
      <c r="A106" s="1">
        <v>8</v>
      </c>
      <c r="B106">
        <v>10</v>
      </c>
      <c r="G106">
        <v>0.0219</v>
      </c>
      <c r="H106">
        <v>0.0402</v>
      </c>
      <c r="M106">
        <f t="shared" si="5"/>
        <v>0.0219</v>
      </c>
      <c r="N106">
        <f t="shared" si="6"/>
        <v>0.0402</v>
      </c>
      <c r="O106" t="str">
        <f t="shared" si="7"/>
        <v/>
      </c>
      <c r="P106" t="str">
        <f t="shared" si="8"/>
        <v/>
      </c>
      <c r="S106" t="str">
        <f t="shared" si="9"/>
        <v>0.0219,0.0402</v>
      </c>
    </row>
    <row r="107" spans="1:19">
      <c r="A107" s="1">
        <v>6</v>
      </c>
      <c r="B107">
        <v>9</v>
      </c>
      <c r="C107">
        <v>11</v>
      </c>
      <c r="G107">
        <v>0.2142</v>
      </c>
      <c r="H107">
        <v>0.0856</v>
      </c>
      <c r="I107">
        <v>0.0268</v>
      </c>
      <c r="M107">
        <f t="shared" si="5"/>
        <v>0.2142</v>
      </c>
      <c r="N107">
        <f t="shared" si="6"/>
        <v>0.0856</v>
      </c>
      <c r="O107">
        <f t="shared" si="7"/>
        <v>0.0268</v>
      </c>
      <c r="P107" t="str">
        <f t="shared" si="8"/>
        <v/>
      </c>
      <c r="S107" t="str">
        <f t="shared" si="9"/>
        <v>0.2142,0.0856,0.0268</v>
      </c>
    </row>
    <row r="108" spans="1:19">
      <c r="A108" s="1">
        <v>7</v>
      </c>
      <c r="B108">
        <v>10</v>
      </c>
      <c r="G108">
        <v>0.0547</v>
      </c>
      <c r="H108">
        <v>0.0402</v>
      </c>
      <c r="M108">
        <f t="shared" si="5"/>
        <v>0.0547</v>
      </c>
      <c r="N108">
        <f t="shared" si="6"/>
        <v>0.0402</v>
      </c>
      <c r="O108" t="str">
        <f t="shared" si="7"/>
        <v/>
      </c>
      <c r="P108" t="str">
        <f t="shared" si="8"/>
        <v/>
      </c>
      <c r="S108" t="str">
        <f t="shared" si="9"/>
        <v>0.0547,0.0402</v>
      </c>
    </row>
    <row r="109" spans="1:19">
      <c r="A109" s="1">
        <v>8</v>
      </c>
      <c r="B109">
        <v>4</v>
      </c>
      <c r="G109" s="2">
        <v>0.0547</v>
      </c>
      <c r="H109">
        <v>23</v>
      </c>
      <c r="M109">
        <f t="shared" si="5"/>
        <v>0.0547</v>
      </c>
      <c r="N109">
        <f t="shared" si="6"/>
        <v>23</v>
      </c>
      <c r="O109" t="str">
        <f t="shared" si="7"/>
        <v/>
      </c>
      <c r="P109" t="str">
        <f t="shared" si="8"/>
        <v/>
      </c>
      <c r="S109" t="str">
        <f t="shared" si="9"/>
        <v>0.0547,23</v>
      </c>
    </row>
    <row r="110" spans="1:19">
      <c r="A110" s="1">
        <v>6</v>
      </c>
      <c r="B110">
        <v>4</v>
      </c>
      <c r="G110" s="2">
        <v>0.2678</v>
      </c>
      <c r="H110">
        <v>23</v>
      </c>
      <c r="M110">
        <f t="shared" si="5"/>
        <v>0.2678</v>
      </c>
      <c r="N110">
        <f t="shared" si="6"/>
        <v>23</v>
      </c>
      <c r="O110" t="str">
        <f t="shared" si="7"/>
        <v/>
      </c>
      <c r="P110" t="str">
        <f t="shared" si="8"/>
        <v/>
      </c>
      <c r="S110" t="str">
        <f t="shared" si="9"/>
        <v>0.2678,23</v>
      </c>
    </row>
    <row r="111" spans="1:19">
      <c r="A111" s="1">
        <v>7</v>
      </c>
      <c r="B111">
        <v>4</v>
      </c>
      <c r="G111" s="2">
        <v>0.0547</v>
      </c>
      <c r="H111">
        <v>23</v>
      </c>
      <c r="M111">
        <f t="shared" si="5"/>
        <v>0.0547</v>
      </c>
      <c r="N111">
        <f t="shared" si="6"/>
        <v>23</v>
      </c>
      <c r="O111" t="str">
        <f t="shared" si="7"/>
        <v/>
      </c>
      <c r="P111" t="str">
        <f t="shared" si="8"/>
        <v/>
      </c>
      <c r="S111" t="str">
        <f t="shared" si="9"/>
        <v>0.0547,23</v>
      </c>
    </row>
    <row r="112" spans="1:19">
      <c r="A112" s="1">
        <v>10</v>
      </c>
      <c r="B112">
        <v>4</v>
      </c>
      <c r="G112" s="2">
        <v>0.2678</v>
      </c>
      <c r="H112">
        <v>23</v>
      </c>
      <c r="M112">
        <f t="shared" si="5"/>
        <v>0.2678</v>
      </c>
      <c r="N112">
        <f t="shared" si="6"/>
        <v>23</v>
      </c>
      <c r="O112" t="str">
        <f t="shared" si="7"/>
        <v/>
      </c>
      <c r="P112" t="str">
        <f t="shared" si="8"/>
        <v/>
      </c>
      <c r="S112" t="str">
        <f t="shared" si="9"/>
        <v>0.2678,23</v>
      </c>
    </row>
    <row r="113" spans="1:19">
      <c r="A113" s="1">
        <v>8</v>
      </c>
      <c r="B113">
        <v>4</v>
      </c>
      <c r="G113" s="2">
        <v>0.0547</v>
      </c>
      <c r="H113">
        <v>23</v>
      </c>
      <c r="M113">
        <f t="shared" si="5"/>
        <v>0.0547</v>
      </c>
      <c r="N113">
        <f t="shared" si="6"/>
        <v>23</v>
      </c>
      <c r="O113" t="str">
        <f t="shared" si="7"/>
        <v/>
      </c>
      <c r="P113" t="str">
        <f t="shared" si="8"/>
        <v/>
      </c>
      <c r="S113" t="str">
        <f t="shared" si="9"/>
        <v>0.0547,23</v>
      </c>
    </row>
    <row r="114" spans="1:19">
      <c r="A114" s="1">
        <v>6</v>
      </c>
      <c r="B114">
        <v>35</v>
      </c>
      <c r="C114">
        <v>4</v>
      </c>
      <c r="G114" s="2">
        <v>0.1339</v>
      </c>
      <c r="H114">
        <v>0.0656</v>
      </c>
      <c r="I114">
        <v>23</v>
      </c>
      <c r="M114">
        <f t="shared" si="5"/>
        <v>0.1339</v>
      </c>
      <c r="N114">
        <f t="shared" si="6"/>
        <v>222</v>
      </c>
      <c r="O114">
        <f t="shared" si="7"/>
        <v>23</v>
      </c>
      <c r="P114" t="str">
        <f t="shared" si="8"/>
        <v/>
      </c>
      <c r="S114" t="str">
        <f t="shared" si="9"/>
        <v>0.1339,222,23</v>
      </c>
    </row>
    <row r="115" spans="1:19">
      <c r="A115" s="1">
        <v>7</v>
      </c>
      <c r="B115">
        <v>4</v>
      </c>
      <c r="G115" s="2">
        <v>0.0547</v>
      </c>
      <c r="H115">
        <v>23</v>
      </c>
      <c r="M115">
        <f t="shared" si="5"/>
        <v>0.0547</v>
      </c>
      <c r="N115">
        <f t="shared" si="6"/>
        <v>23</v>
      </c>
      <c r="O115" t="str">
        <f t="shared" si="7"/>
        <v/>
      </c>
      <c r="P115" t="str">
        <f t="shared" si="8"/>
        <v/>
      </c>
      <c r="S115" t="str">
        <f t="shared" si="9"/>
        <v>0.0547,23</v>
      </c>
    </row>
    <row r="116" spans="1:19">
      <c r="A116" s="1">
        <v>10</v>
      </c>
      <c r="B116">
        <v>35</v>
      </c>
      <c r="C116">
        <v>4</v>
      </c>
      <c r="G116" s="2">
        <v>0.1339</v>
      </c>
      <c r="H116">
        <v>0.0656</v>
      </c>
      <c r="I116">
        <v>23</v>
      </c>
      <c r="M116">
        <f t="shared" si="5"/>
        <v>0.1339</v>
      </c>
      <c r="N116">
        <f t="shared" si="6"/>
        <v>222</v>
      </c>
      <c r="O116">
        <f t="shared" si="7"/>
        <v>23</v>
      </c>
      <c r="P116" t="str">
        <f t="shared" si="8"/>
        <v/>
      </c>
      <c r="S116" t="str">
        <f t="shared" si="9"/>
        <v>0.1339,222,23</v>
      </c>
    </row>
    <row r="117" spans="1:19">
      <c r="A117" s="1">
        <v>8</v>
      </c>
      <c r="B117">
        <v>26</v>
      </c>
      <c r="C117">
        <v>4</v>
      </c>
      <c r="G117" s="2">
        <v>0.0765</v>
      </c>
      <c r="H117">
        <v>0.0656</v>
      </c>
      <c r="I117">
        <v>23</v>
      </c>
      <c r="M117">
        <f t="shared" si="5"/>
        <v>0.0765</v>
      </c>
      <c r="N117">
        <f t="shared" si="6"/>
        <v>222</v>
      </c>
      <c r="O117">
        <f t="shared" si="7"/>
        <v>23</v>
      </c>
      <c r="P117" t="str">
        <f t="shared" si="8"/>
        <v/>
      </c>
      <c r="S117" t="str">
        <f t="shared" si="9"/>
        <v>0.0765,222,23</v>
      </c>
    </row>
    <row r="118" spans="1:19">
      <c r="A118" s="1">
        <v>6</v>
      </c>
      <c r="B118">
        <v>4</v>
      </c>
      <c r="G118" s="2">
        <v>0.1339</v>
      </c>
      <c r="H118">
        <v>23</v>
      </c>
      <c r="M118">
        <f t="shared" si="5"/>
        <v>0.1339</v>
      </c>
      <c r="N118">
        <f t="shared" si="6"/>
        <v>23</v>
      </c>
      <c r="O118" t="str">
        <f t="shared" si="7"/>
        <v/>
      </c>
      <c r="P118" t="str">
        <f t="shared" si="8"/>
        <v/>
      </c>
      <c r="S118" t="str">
        <f t="shared" si="9"/>
        <v>0.1339,23</v>
      </c>
    </row>
    <row r="119" spans="1:19">
      <c r="A119" s="1">
        <v>11</v>
      </c>
      <c r="B119">
        <v>4</v>
      </c>
      <c r="G119" s="2">
        <v>0.0803</v>
      </c>
      <c r="H119">
        <v>23</v>
      </c>
      <c r="M119">
        <f t="shared" si="5"/>
        <v>0.0803</v>
      </c>
      <c r="N119">
        <f t="shared" si="6"/>
        <v>23</v>
      </c>
      <c r="O119" t="str">
        <f t="shared" si="7"/>
        <v/>
      </c>
      <c r="P119" t="str">
        <f t="shared" si="8"/>
        <v/>
      </c>
      <c r="S119" t="str">
        <f t="shared" si="9"/>
        <v>0.0803,23</v>
      </c>
    </row>
    <row r="120" spans="1:19">
      <c r="A120" s="1">
        <v>5</v>
      </c>
      <c r="B120">
        <v>26</v>
      </c>
      <c r="C120">
        <v>4</v>
      </c>
      <c r="G120" s="2">
        <v>0.1339</v>
      </c>
      <c r="H120">
        <v>0.0656</v>
      </c>
      <c r="I120">
        <v>23</v>
      </c>
      <c r="M120">
        <f t="shared" si="5"/>
        <v>0.1339</v>
      </c>
      <c r="N120">
        <f t="shared" si="6"/>
        <v>222</v>
      </c>
      <c r="O120">
        <f t="shared" si="7"/>
        <v>23</v>
      </c>
      <c r="P120" t="str">
        <f t="shared" si="8"/>
        <v/>
      </c>
      <c r="S120" t="str">
        <f t="shared" si="9"/>
        <v>0.1339,222,23</v>
      </c>
    </row>
    <row r="121" spans="1:19">
      <c r="A121" s="1">
        <v>8</v>
      </c>
      <c r="B121">
        <v>4</v>
      </c>
      <c r="G121" s="2">
        <v>0.1093</v>
      </c>
      <c r="H121">
        <v>23</v>
      </c>
      <c r="M121">
        <f t="shared" si="5"/>
        <v>0.1093</v>
      </c>
      <c r="N121">
        <f t="shared" si="6"/>
        <v>23</v>
      </c>
      <c r="O121" t="str">
        <f t="shared" si="7"/>
        <v/>
      </c>
      <c r="P121" t="str">
        <f t="shared" si="8"/>
        <v/>
      </c>
      <c r="S121" t="str">
        <f t="shared" si="9"/>
        <v>0.1093,23</v>
      </c>
    </row>
    <row r="122" spans="1:19">
      <c r="A122" s="1">
        <v>6</v>
      </c>
      <c r="B122">
        <v>4</v>
      </c>
      <c r="G122" s="2">
        <v>0.1339</v>
      </c>
      <c r="H122">
        <v>23</v>
      </c>
      <c r="M122">
        <f t="shared" si="5"/>
        <v>0.1339</v>
      </c>
      <c r="N122">
        <f t="shared" si="6"/>
        <v>23</v>
      </c>
      <c r="O122" t="str">
        <f t="shared" si="7"/>
        <v/>
      </c>
      <c r="P122" t="str">
        <f t="shared" si="8"/>
        <v/>
      </c>
      <c r="S122" t="str">
        <f t="shared" si="9"/>
        <v>0.1339,23</v>
      </c>
    </row>
    <row r="123" spans="1:19">
      <c r="A123" s="1">
        <v>11</v>
      </c>
      <c r="B123">
        <v>4</v>
      </c>
      <c r="G123" s="2">
        <v>0.2678</v>
      </c>
      <c r="H123">
        <v>23</v>
      </c>
      <c r="M123">
        <f t="shared" si="5"/>
        <v>0.2678</v>
      </c>
      <c r="N123">
        <f t="shared" si="6"/>
        <v>23</v>
      </c>
      <c r="O123" t="str">
        <f t="shared" si="7"/>
        <v/>
      </c>
      <c r="P123" t="str">
        <f t="shared" si="8"/>
        <v/>
      </c>
      <c r="S123" t="str">
        <f t="shared" si="9"/>
        <v>0.2678,23</v>
      </c>
    </row>
    <row r="124" spans="1:19">
      <c r="A124" s="1">
        <v>5</v>
      </c>
      <c r="B124">
        <v>4</v>
      </c>
      <c r="G124" s="2">
        <v>0.1339</v>
      </c>
      <c r="H124">
        <v>23</v>
      </c>
      <c r="M124">
        <f t="shared" si="5"/>
        <v>0.1339</v>
      </c>
      <c r="N124">
        <f t="shared" si="6"/>
        <v>23</v>
      </c>
      <c r="O124" t="str">
        <f t="shared" si="7"/>
        <v/>
      </c>
      <c r="P124" t="str">
        <f t="shared" si="8"/>
        <v/>
      </c>
      <c r="S124" t="str">
        <f t="shared" si="9"/>
        <v>0.1339,23</v>
      </c>
    </row>
    <row r="125" spans="1:19">
      <c r="A125" s="1">
        <v>8</v>
      </c>
      <c r="B125">
        <v>26</v>
      </c>
      <c r="C125">
        <v>4</v>
      </c>
      <c r="G125" s="2">
        <v>0.0547</v>
      </c>
      <c r="H125">
        <v>0.1312</v>
      </c>
      <c r="I125">
        <v>23</v>
      </c>
      <c r="M125">
        <f t="shared" si="5"/>
        <v>0.0547</v>
      </c>
      <c r="N125">
        <f t="shared" si="6"/>
        <v>444</v>
      </c>
      <c r="O125">
        <f t="shared" si="7"/>
        <v>23</v>
      </c>
      <c r="P125" t="str">
        <f t="shared" si="8"/>
        <v/>
      </c>
      <c r="S125" t="str">
        <f t="shared" si="9"/>
        <v>0.0547,444,23</v>
      </c>
    </row>
    <row r="126" spans="1:19">
      <c r="A126" s="1">
        <v>11</v>
      </c>
      <c r="B126">
        <v>4</v>
      </c>
      <c r="G126" s="2">
        <v>0.0803</v>
      </c>
      <c r="H126">
        <v>23</v>
      </c>
      <c r="M126">
        <f t="shared" si="5"/>
        <v>0.0803</v>
      </c>
      <c r="N126">
        <f t="shared" si="6"/>
        <v>23</v>
      </c>
      <c r="O126" t="str">
        <f t="shared" si="7"/>
        <v/>
      </c>
      <c r="P126" t="str">
        <f t="shared" si="8"/>
        <v/>
      </c>
      <c r="S126" t="str">
        <f t="shared" si="9"/>
        <v>0.0803,23</v>
      </c>
    </row>
    <row r="127" spans="1:19">
      <c r="A127" s="1">
        <v>5</v>
      </c>
      <c r="B127">
        <v>9</v>
      </c>
      <c r="C127">
        <v>4</v>
      </c>
      <c r="G127" s="2">
        <v>0.1339</v>
      </c>
      <c r="H127">
        <v>0.1711</v>
      </c>
      <c r="I127">
        <v>23</v>
      </c>
      <c r="M127">
        <f t="shared" si="5"/>
        <v>0.1339</v>
      </c>
      <c r="N127">
        <f t="shared" si="6"/>
        <v>0.1711</v>
      </c>
      <c r="O127">
        <f t="shared" si="7"/>
        <v>23</v>
      </c>
      <c r="P127" t="str">
        <f t="shared" si="8"/>
        <v/>
      </c>
      <c r="S127" t="str">
        <f t="shared" si="9"/>
        <v>0.1339,0.1711,23</v>
      </c>
    </row>
    <row r="128" spans="1:19">
      <c r="A128" s="1">
        <v>7</v>
      </c>
      <c r="B128">
        <v>4</v>
      </c>
      <c r="G128" s="2">
        <v>0.0219</v>
      </c>
      <c r="H128">
        <v>23</v>
      </c>
      <c r="M128">
        <f t="shared" si="5"/>
        <v>0.0219</v>
      </c>
      <c r="N128">
        <f t="shared" si="6"/>
        <v>23</v>
      </c>
      <c r="O128" t="str">
        <f t="shared" si="7"/>
        <v/>
      </c>
      <c r="P128" t="str">
        <f t="shared" si="8"/>
        <v/>
      </c>
      <c r="S128" t="str">
        <f t="shared" si="9"/>
        <v>0.0219,23</v>
      </c>
    </row>
    <row r="129" spans="1:19">
      <c r="A129" s="1">
        <v>8</v>
      </c>
      <c r="B129">
        <v>9</v>
      </c>
      <c r="C129">
        <v>4</v>
      </c>
      <c r="G129" s="2">
        <v>0.0547</v>
      </c>
      <c r="H129">
        <v>0.1711</v>
      </c>
      <c r="I129">
        <v>23</v>
      </c>
      <c r="M129">
        <f t="shared" ref="M129:M144" si="10">IF(A129="","",IF(A129=35,INT(G129*3385),IF(A129=26,INT(G129*3385),G129)))</f>
        <v>0.0547</v>
      </c>
      <c r="N129">
        <f t="shared" ref="N129:N144" si="11">IF(B129="","",IF(B129=35,INT(H129*3385),IF(B129=26,INT(H129*3385),H129)))</f>
        <v>0.1711</v>
      </c>
      <c r="O129">
        <f t="shared" ref="O129:O144" si="12">IF(C129="","",IF(C129=35,INT(I129*3385),IF(C129=26,INT(I129*3385),I129)))</f>
        <v>23</v>
      </c>
      <c r="P129" t="str">
        <f t="shared" ref="P129:P144" si="13">IF(D129="","",IF(D129=35,INT(J129*3385),IF(D129=26,INT(J129*3385),J129)))</f>
        <v/>
      </c>
      <c r="S129" t="str">
        <f t="shared" ref="S129:S144" si="14">_xlfn.TEXTJOIN(",",TRUE,M129,N129,O129,P129)</f>
        <v>0.0547,0.1711,23</v>
      </c>
    </row>
    <row r="130" spans="1:19">
      <c r="A130" s="1">
        <v>11</v>
      </c>
      <c r="B130">
        <v>4</v>
      </c>
      <c r="G130" s="2">
        <v>0.0803</v>
      </c>
      <c r="H130">
        <v>23</v>
      </c>
      <c r="M130">
        <f t="shared" si="10"/>
        <v>0.0803</v>
      </c>
      <c r="N130">
        <f t="shared" si="11"/>
        <v>23</v>
      </c>
      <c r="O130" t="str">
        <f t="shared" si="12"/>
        <v/>
      </c>
      <c r="P130" t="str">
        <f t="shared" si="13"/>
        <v/>
      </c>
      <c r="S130" t="str">
        <f t="shared" si="14"/>
        <v>0.0803,23</v>
      </c>
    </row>
    <row r="131" spans="1:19">
      <c r="A131" s="1">
        <v>5</v>
      </c>
      <c r="B131">
        <v>9</v>
      </c>
      <c r="C131">
        <v>4</v>
      </c>
      <c r="G131" s="2">
        <v>0.2678</v>
      </c>
      <c r="H131">
        <v>0.1711</v>
      </c>
      <c r="I131">
        <v>23</v>
      </c>
      <c r="M131">
        <f t="shared" si="10"/>
        <v>0.2678</v>
      </c>
      <c r="N131">
        <f t="shared" si="11"/>
        <v>0.1711</v>
      </c>
      <c r="O131">
        <f t="shared" si="12"/>
        <v>23</v>
      </c>
      <c r="P131" t="str">
        <f t="shared" si="13"/>
        <v/>
      </c>
      <c r="S131" t="str">
        <f t="shared" si="14"/>
        <v>0.2678,0.1711,23</v>
      </c>
    </row>
    <row r="132" spans="1:19">
      <c r="A132" s="1">
        <v>7</v>
      </c>
      <c r="B132">
        <v>4</v>
      </c>
      <c r="G132" s="2">
        <v>0.0219</v>
      </c>
      <c r="H132">
        <v>23</v>
      </c>
      <c r="M132">
        <f t="shared" si="10"/>
        <v>0.0219</v>
      </c>
      <c r="N132">
        <f t="shared" si="11"/>
        <v>23</v>
      </c>
      <c r="O132" t="str">
        <f t="shared" si="12"/>
        <v/>
      </c>
      <c r="P132" t="str">
        <f t="shared" si="13"/>
        <v/>
      </c>
      <c r="S132" t="str">
        <f t="shared" si="14"/>
        <v>0.0219,23</v>
      </c>
    </row>
    <row r="133" spans="1:19">
      <c r="A133" s="1">
        <v>5</v>
      </c>
      <c r="B133">
        <v>9</v>
      </c>
      <c r="C133">
        <v>4</v>
      </c>
      <c r="G133" s="2">
        <v>0.1875</v>
      </c>
      <c r="H133">
        <v>0.0856</v>
      </c>
      <c r="I133">
        <v>23</v>
      </c>
      <c r="M133">
        <f t="shared" si="10"/>
        <v>0.1875</v>
      </c>
      <c r="N133">
        <f t="shared" si="11"/>
        <v>0.0856</v>
      </c>
      <c r="O133">
        <f t="shared" si="12"/>
        <v>23</v>
      </c>
      <c r="P133" t="str">
        <f t="shared" si="13"/>
        <v/>
      </c>
      <c r="S133" t="str">
        <f t="shared" si="14"/>
        <v>0.1875,0.0856,23</v>
      </c>
    </row>
    <row r="134" spans="1:19">
      <c r="A134" s="1">
        <v>11</v>
      </c>
      <c r="B134">
        <v>4</v>
      </c>
      <c r="G134" s="2">
        <v>0.1339</v>
      </c>
      <c r="H134">
        <v>23</v>
      </c>
      <c r="M134">
        <f t="shared" si="10"/>
        <v>0.1339</v>
      </c>
      <c r="N134">
        <f t="shared" si="11"/>
        <v>23</v>
      </c>
      <c r="O134" t="str">
        <f t="shared" si="12"/>
        <v/>
      </c>
      <c r="P134" t="str">
        <f t="shared" si="13"/>
        <v/>
      </c>
      <c r="S134" t="str">
        <f t="shared" si="14"/>
        <v>0.1339,23</v>
      </c>
    </row>
    <row r="135" spans="1:19">
      <c r="A135" s="1">
        <v>6</v>
      </c>
      <c r="B135">
        <v>9</v>
      </c>
      <c r="C135">
        <v>4</v>
      </c>
      <c r="G135" s="2">
        <v>0.0803</v>
      </c>
      <c r="H135">
        <v>0.0856</v>
      </c>
      <c r="I135">
        <v>23</v>
      </c>
      <c r="M135">
        <f t="shared" si="10"/>
        <v>0.0803</v>
      </c>
      <c r="N135">
        <f t="shared" si="11"/>
        <v>0.0856</v>
      </c>
      <c r="O135">
        <f t="shared" si="12"/>
        <v>23</v>
      </c>
      <c r="P135" t="str">
        <f t="shared" si="13"/>
        <v/>
      </c>
      <c r="S135" t="str">
        <f t="shared" si="14"/>
        <v>0.0803,0.0856,23</v>
      </c>
    </row>
    <row r="136" spans="1:19">
      <c r="A136" s="1">
        <v>7</v>
      </c>
      <c r="B136">
        <v>4</v>
      </c>
      <c r="G136" s="2">
        <v>0.1093</v>
      </c>
      <c r="H136">
        <v>23</v>
      </c>
      <c r="M136">
        <f t="shared" si="10"/>
        <v>0.1093</v>
      </c>
      <c r="N136">
        <f t="shared" si="11"/>
        <v>23</v>
      </c>
      <c r="O136" t="str">
        <f t="shared" si="12"/>
        <v/>
      </c>
      <c r="P136" t="str">
        <f t="shared" si="13"/>
        <v/>
      </c>
      <c r="S136" t="str">
        <f t="shared" si="14"/>
        <v>0.1093,23</v>
      </c>
    </row>
    <row r="137" spans="1:19">
      <c r="A137" s="1">
        <v>5</v>
      </c>
      <c r="B137">
        <v>9</v>
      </c>
      <c r="C137">
        <v>4</v>
      </c>
      <c r="G137" s="2">
        <v>0.1071</v>
      </c>
      <c r="H137">
        <v>0.0684</v>
      </c>
      <c r="I137">
        <v>23</v>
      </c>
      <c r="M137">
        <f t="shared" si="10"/>
        <v>0.1071</v>
      </c>
      <c r="N137">
        <f t="shared" si="11"/>
        <v>0.0684</v>
      </c>
      <c r="O137">
        <f t="shared" si="12"/>
        <v>23</v>
      </c>
      <c r="P137" t="str">
        <f t="shared" si="13"/>
        <v/>
      </c>
      <c r="S137" t="str">
        <f t="shared" si="14"/>
        <v>0.1071,0.0684,23</v>
      </c>
    </row>
    <row r="138" spans="1:19">
      <c r="A138" s="1">
        <v>8</v>
      </c>
      <c r="B138">
        <v>10</v>
      </c>
      <c r="C138">
        <v>26</v>
      </c>
      <c r="D138">
        <v>4</v>
      </c>
      <c r="G138" s="2">
        <v>0.0219</v>
      </c>
      <c r="H138">
        <v>0.0402</v>
      </c>
      <c r="I138">
        <v>0.0262</v>
      </c>
      <c r="J138">
        <v>23</v>
      </c>
      <c r="M138">
        <f t="shared" si="10"/>
        <v>0.0219</v>
      </c>
      <c r="N138">
        <f t="shared" si="11"/>
        <v>0.0402</v>
      </c>
      <c r="O138">
        <f t="shared" si="12"/>
        <v>88</v>
      </c>
      <c r="P138">
        <f t="shared" si="13"/>
        <v>23</v>
      </c>
      <c r="S138" t="str">
        <f t="shared" si="14"/>
        <v>0.0219,0.0402,88,23</v>
      </c>
    </row>
    <row r="139" spans="1:19">
      <c r="A139" s="1">
        <v>6</v>
      </c>
      <c r="B139">
        <v>9</v>
      </c>
      <c r="C139">
        <v>4</v>
      </c>
      <c r="G139" s="2">
        <v>0.2142</v>
      </c>
      <c r="H139">
        <v>0.0684</v>
      </c>
      <c r="I139">
        <v>23</v>
      </c>
      <c r="M139">
        <f t="shared" si="10"/>
        <v>0.2142</v>
      </c>
      <c r="N139">
        <f t="shared" si="11"/>
        <v>0.0684</v>
      </c>
      <c r="O139">
        <f t="shared" si="12"/>
        <v>23</v>
      </c>
      <c r="P139" t="str">
        <f t="shared" si="13"/>
        <v/>
      </c>
      <c r="S139" t="str">
        <f t="shared" si="14"/>
        <v>0.2142,0.0684,23</v>
      </c>
    </row>
    <row r="140" spans="1:19">
      <c r="A140" s="1">
        <v>10</v>
      </c>
      <c r="B140">
        <v>26</v>
      </c>
      <c r="C140">
        <v>7</v>
      </c>
      <c r="D140">
        <v>4</v>
      </c>
      <c r="G140" s="2">
        <v>0.0402</v>
      </c>
      <c r="H140">
        <v>0.0262</v>
      </c>
      <c r="I140">
        <v>0.0547</v>
      </c>
      <c r="J140">
        <v>23</v>
      </c>
      <c r="M140">
        <f t="shared" si="10"/>
        <v>0.0402</v>
      </c>
      <c r="N140">
        <f t="shared" si="11"/>
        <v>88</v>
      </c>
      <c r="O140">
        <f t="shared" si="12"/>
        <v>0.0547</v>
      </c>
      <c r="P140">
        <f t="shared" si="13"/>
        <v>23</v>
      </c>
      <c r="S140" t="str">
        <f t="shared" si="14"/>
        <v>0.0402,88,0.0547,23</v>
      </c>
    </row>
    <row r="141" spans="1:19">
      <c r="A141" s="1">
        <v>5</v>
      </c>
      <c r="B141">
        <v>9</v>
      </c>
      <c r="C141">
        <v>11</v>
      </c>
      <c r="D141">
        <v>4</v>
      </c>
      <c r="G141" s="2">
        <v>0.1339</v>
      </c>
      <c r="H141">
        <v>0.0856</v>
      </c>
      <c r="I141">
        <v>0.0268</v>
      </c>
      <c r="J141">
        <v>23</v>
      </c>
      <c r="M141">
        <f t="shared" si="10"/>
        <v>0.1339</v>
      </c>
      <c r="N141">
        <f t="shared" si="11"/>
        <v>0.0856</v>
      </c>
      <c r="O141">
        <f t="shared" si="12"/>
        <v>0.0268</v>
      </c>
      <c r="P141">
        <f t="shared" si="13"/>
        <v>23</v>
      </c>
      <c r="S141" t="str">
        <f t="shared" si="14"/>
        <v>0.1339,0.0856,0.0268,23</v>
      </c>
    </row>
    <row r="142" spans="1:19">
      <c r="A142" s="1">
        <v>8</v>
      </c>
      <c r="B142">
        <v>10</v>
      </c>
      <c r="C142">
        <v>4</v>
      </c>
      <c r="G142" s="2">
        <v>0.0219</v>
      </c>
      <c r="H142">
        <v>0.0402</v>
      </c>
      <c r="I142">
        <v>23</v>
      </c>
      <c r="M142">
        <f t="shared" si="10"/>
        <v>0.0219</v>
      </c>
      <c r="N142">
        <f t="shared" si="11"/>
        <v>0.0402</v>
      </c>
      <c r="O142">
        <f t="shared" si="12"/>
        <v>23</v>
      </c>
      <c r="P142" t="str">
        <f t="shared" si="13"/>
        <v/>
      </c>
      <c r="S142" t="str">
        <f t="shared" si="14"/>
        <v>0.0219,0.0402,23</v>
      </c>
    </row>
    <row r="143" spans="1:19">
      <c r="A143" s="1">
        <v>6</v>
      </c>
      <c r="B143">
        <v>9</v>
      </c>
      <c r="C143">
        <v>11</v>
      </c>
      <c r="D143">
        <v>4</v>
      </c>
      <c r="G143" s="2">
        <v>0.2142</v>
      </c>
      <c r="H143">
        <v>0.0856</v>
      </c>
      <c r="I143">
        <v>0.0268</v>
      </c>
      <c r="J143">
        <v>23</v>
      </c>
      <c r="M143">
        <f t="shared" si="10"/>
        <v>0.2142</v>
      </c>
      <c r="N143">
        <f t="shared" si="11"/>
        <v>0.0856</v>
      </c>
      <c r="O143">
        <f t="shared" si="12"/>
        <v>0.0268</v>
      </c>
      <c r="P143">
        <f t="shared" si="13"/>
        <v>23</v>
      </c>
      <c r="S143" t="str">
        <f t="shared" si="14"/>
        <v>0.2142,0.0856,0.0268,23</v>
      </c>
    </row>
    <row r="144" spans="1:19">
      <c r="A144" s="1">
        <v>7</v>
      </c>
      <c r="B144">
        <v>10</v>
      </c>
      <c r="C144">
        <v>4</v>
      </c>
      <c r="G144" s="2">
        <v>0.0547</v>
      </c>
      <c r="H144">
        <v>0.0402</v>
      </c>
      <c r="I144">
        <v>23</v>
      </c>
      <c r="M144">
        <f t="shared" si="10"/>
        <v>0.0547</v>
      </c>
      <c r="N144">
        <f t="shared" si="11"/>
        <v>0.0402</v>
      </c>
      <c r="O144">
        <f t="shared" si="12"/>
        <v>23</v>
      </c>
      <c r="P144" t="str">
        <f t="shared" si="13"/>
        <v/>
      </c>
      <c r="S144" t="str">
        <f t="shared" si="14"/>
        <v>0.0547,0.0402,23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liyunhao</cp:lastModifiedBy>
  <dcterms:created xsi:type="dcterms:W3CDTF">2023-05-12T11:15:00Z</dcterms:created>
  <dcterms:modified xsi:type="dcterms:W3CDTF">2024-04-16T10:18:38Z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DA3F2958FE124E74A8217B840997F8B3_12</vt:lpwstr>
  </property>
  <property fmtid="{D5CDD505-2E9C-101B-9397-08002B2CF9AE}" pid="4" name="KSOReadingLayout">
    <vt:bool>true</vt:bool>
  </property>
</Properties>
</file>