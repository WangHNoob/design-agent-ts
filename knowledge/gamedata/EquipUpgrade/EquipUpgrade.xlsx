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制作表" sheetId="2" state="visible" r:id="rId2"/>
    <sheet name="文本" sheetId="3" state="visible" r:id="rId3"/>
    <sheet name="来源" sheetId="4" state="visible" r:id="rId4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  <font>
      <name val="宋体"/>
      <color rgb="00FF0000"/>
      <sz val="11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6" borderId="9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10" applyAlignment="1">
      <alignment vertical="center"/>
    </xf>
    <xf numFmtId="0" fontId="7" fillId="0" borderId="10" applyAlignment="1">
      <alignment vertical="center"/>
    </xf>
    <xf numFmtId="0" fontId="8" fillId="0" borderId="11" applyAlignment="1">
      <alignment vertical="center"/>
    </xf>
    <xf numFmtId="0" fontId="8" fillId="0" borderId="0" applyAlignment="1">
      <alignment vertical="center"/>
    </xf>
    <xf numFmtId="0" fontId="9" fillId="7" borderId="12" applyAlignment="1">
      <alignment vertical="center"/>
    </xf>
    <xf numFmtId="0" fontId="10" fillId="8" borderId="13" applyAlignment="1">
      <alignment vertical="center"/>
    </xf>
    <xf numFmtId="0" fontId="11" fillId="8" borderId="12" applyAlignment="1">
      <alignment vertical="center"/>
    </xf>
    <xf numFmtId="0" fontId="12" fillId="9" borderId="14" applyAlignment="1">
      <alignment vertical="center"/>
    </xf>
    <xf numFmtId="0" fontId="13" fillId="0" borderId="15" applyAlignment="1">
      <alignment vertical="center"/>
    </xf>
    <xf numFmtId="0" fontId="14" fillId="0" borderId="16" applyAlignment="1">
      <alignment vertical="center"/>
    </xf>
    <xf numFmtId="0" fontId="15" fillId="10" borderId="0" applyAlignment="1">
      <alignment vertical="center"/>
    </xf>
    <xf numFmtId="0" fontId="16" fillId="11" borderId="0" applyAlignment="1">
      <alignment vertical="center"/>
    </xf>
    <xf numFmtId="0" fontId="17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33" borderId="0" applyAlignment="1">
      <alignment vertical="center"/>
    </xf>
    <xf numFmtId="0" fontId="19" fillId="34" borderId="0" applyAlignment="1">
      <alignment vertical="center"/>
    </xf>
    <xf numFmtId="0" fontId="19" fillId="35" borderId="0" applyAlignment="1">
      <alignment vertical="center"/>
    </xf>
    <xf numFmtId="0" fontId="18" fillId="36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pivotButton="0" quotePrefix="0" xfId="0"/>
    <xf numFmtId="0" fontId="2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admin</author>
  </authors>
  <commentList>
    <comment ref="E2" authorId="0" shapeId="0">
      <text>
        <t>admin:
装备升到下一级的消耗品，满级时此处为空</t>
      </text>
    </comment>
    <comment ref="F2" authorId="0" shapeId="0">
      <text>
        <t xml:space="preserve">admin:
装备升到下一级的消耗的货币，满级时此处为空
</t>
      </text>
    </comment>
    <comment ref="G2" authorId="0" shapeId="0">
      <text>
        <t>admin:
UR装备的增强BUFF只对指定角色生效。</t>
      </text>
    </comment>
    <comment ref="L2" authorId="0" shapeId="0">
      <text>
        <t>admin:
BUFF未激活时，通过添加颜色码控制置灰显示。</t>
      </text>
    </comment>
    <comment ref="N2" authorId="0" shapeId="0">
      <text>
        <t>admin:
BUFF未激活时，通过添加颜色码控制置灰显示。</t>
      </text>
    </comment>
  </commentList>
</comments>
</file>

<file path=xl/comments/comment2.xml><?xml version="1.0" encoding="utf-8"?>
<comments xmlns="http://schemas.openxmlformats.org/spreadsheetml/2006/main">
  <authors>
    <author>admin</author>
  </authors>
  <commentList>
    <comment ref="F1" authorId="0" shapeId="0">
      <text>
        <t>admin:
有正则宏填写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N85"/>
  <sheetViews>
    <sheetView tabSelected="1" topLeftCell="C1" workbookViewId="0">
      <pane ySplit="6" topLeftCell="A40" activePane="bottomLeft" state="frozen"/>
      <selection activeCell="A1" sqref="A1"/>
      <selection pane="bottomLeft" activeCell="K73" sqref="K73"/>
    </sheetView>
  </sheetViews>
  <sheetFormatPr baseColWidth="8" defaultColWidth="9" defaultRowHeight="13.5"/>
  <cols>
    <col width="8.375" customWidth="1" style="14" min="1" max="2"/>
    <col width="12.625" customWidth="1" style="14" min="3" max="3"/>
    <col width="13.7583333333333" customWidth="1" style="14" min="4" max="4"/>
    <col width="14.875" customWidth="1" style="14" min="5" max="5"/>
    <col width="10.375" customWidth="1" style="14" min="6" max="6"/>
    <col width="17.2583333333333" customWidth="1" style="14" min="7" max="7"/>
    <col width="13.7583333333333" customWidth="1" style="14" min="8" max="10"/>
    <col width="20.2583333333333" customWidth="1" style="14" min="11" max="14"/>
  </cols>
  <sheetData>
    <row r="1">
      <c r="A1" s="1" t="n">
        <v>7</v>
      </c>
      <c r="B1" s="1" t="n">
        <v>1</v>
      </c>
      <c r="C1" s="1" t="n">
        <v>9999</v>
      </c>
      <c r="D1" s="1" t="n">
        <v>14</v>
      </c>
    </row>
    <row r="2">
      <c r="A2" s="1" t="inlineStr">
        <is>
          <t>自增id</t>
        </is>
      </c>
      <c r="B2" s="1" t="inlineStr">
        <is>
          <t>装备id</t>
        </is>
      </c>
      <c r="C2" s="1" t="inlineStr">
        <is>
          <t>战斗buff</t>
        </is>
      </c>
      <c r="D2" s="1" t="inlineStr">
        <is>
          <t>增强等级</t>
        </is>
      </c>
      <c r="E2" s="1" t="inlineStr">
        <is>
          <t>消耗物</t>
        </is>
      </c>
      <c r="F2" s="1" t="inlineStr">
        <is>
          <t>货币消耗</t>
        </is>
      </c>
      <c r="G2" s="1" t="inlineStr">
        <is>
          <t>装备绑定的英雄id</t>
        </is>
      </c>
      <c r="H2" s="1" t="inlineStr">
        <is>
          <t>战斗力系数B</t>
        </is>
      </c>
      <c r="I2" s="1" t="inlineStr">
        <is>
          <t>战斗力系数C</t>
        </is>
      </c>
      <c r="J2" s="1" t="inlineStr">
        <is>
          <t>战斗力系数D</t>
        </is>
      </c>
      <c r="K2" s="1" t="inlineStr">
        <is>
          <t>老服buff描述</t>
        </is>
      </c>
      <c r="L2" s="1" t="inlineStr">
        <is>
          <t>老服buff未激活描述</t>
        </is>
      </c>
      <c r="M2" s="1" t="inlineStr">
        <is>
          <t>新服buff描述</t>
        </is>
      </c>
      <c r="N2" s="1" t="inlineStr">
        <is>
          <t>新服buff未激活描述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int</t>
        </is>
      </c>
      <c r="D3" s="1" t="inlineStr">
        <is>
          <t>int</t>
        </is>
      </c>
      <c r="E3" s="1" t="inlineStr">
        <is>
          <t>string</t>
        </is>
      </c>
      <c r="F3" s="1" t="inlineStr">
        <is>
          <t>string</t>
        </is>
      </c>
      <c r="G3" s="1" t="inlineStr">
        <is>
          <t>int</t>
        </is>
      </c>
      <c r="H3" s="1" t="inlineStr">
        <is>
          <t>int</t>
        </is>
      </c>
      <c r="I3" s="1" t="inlineStr">
        <is>
          <t>float</t>
        </is>
      </c>
      <c r="J3" s="1" t="inlineStr">
        <is>
          <t>int</t>
        </is>
      </c>
      <c r="K3" s="1" t="inlineStr">
        <is>
          <t>string</t>
        </is>
      </c>
      <c r="L3" s="1" t="inlineStr">
        <is>
          <t>string</t>
        </is>
      </c>
      <c r="M3" s="1" t="inlineStr">
        <is>
          <t>string</t>
        </is>
      </c>
      <c r="N3" s="1" t="inlineStr">
        <is>
          <t>string</t>
        </is>
      </c>
    </row>
    <row r="4">
      <c r="A4" s="1" t="inlineStr">
        <is>
          <t>primary</t>
        </is>
      </c>
      <c r="B4" s="1" t="inlineStr">
        <is>
          <t>none</t>
        </is>
      </c>
      <c r="C4" s="1" t="inlineStr">
        <is>
          <t>none</t>
        </is>
      </c>
      <c r="D4" s="1" t="inlineStr">
        <is>
          <t>none</t>
        </is>
      </c>
      <c r="E4" s="1" t="inlineStr">
        <is>
          <t>none</t>
        </is>
      </c>
      <c r="F4" s="1" t="inlineStr">
        <is>
          <t>none</t>
        </is>
      </c>
      <c r="G4" s="1" t="inlineStr">
        <is>
          <t>none</t>
        </is>
      </c>
      <c r="H4" s="1" t="inlineStr">
        <is>
          <t>none</t>
        </is>
      </c>
      <c r="I4" s="1" t="inlineStr">
        <is>
          <t>none</t>
        </is>
      </c>
      <c r="J4" s="1" t="inlineStr">
        <is>
          <t>none</t>
        </is>
      </c>
      <c r="K4" s="1" t="inlineStr">
        <is>
          <t>none</t>
        </is>
      </c>
      <c r="L4" s="1" t="inlineStr">
        <is>
          <t>none</t>
        </is>
      </c>
      <c r="M4" s="1" t="inlineStr">
        <is>
          <t>none</t>
        </is>
      </c>
      <c r="N4" s="1" t="inlineStr">
        <is>
          <t>none</t>
        </is>
      </c>
    </row>
    <row r="5">
      <c r="A5" s="1" t="inlineStr">
        <is>
          <t>id</t>
        </is>
      </c>
      <c r="B5" s="1" t="inlineStr">
        <is>
          <t>equipId</t>
        </is>
      </c>
      <c r="C5" s="1" t="inlineStr">
        <is>
          <t>fightBuffId</t>
        </is>
      </c>
      <c r="D5" s="1" t="inlineStr">
        <is>
          <t>upgradeLevel</t>
        </is>
      </c>
      <c r="E5" s="1" t="inlineStr">
        <is>
          <t>costItem</t>
        </is>
      </c>
      <c r="F5" s="1" t="inlineStr">
        <is>
          <t>coinCost</t>
        </is>
      </c>
      <c r="G5" s="1" t="inlineStr">
        <is>
          <t>heroId</t>
        </is>
      </c>
      <c r="H5" s="1" t="inlineStr">
        <is>
          <t>powerFactorB</t>
        </is>
      </c>
      <c r="I5" s="1" t="inlineStr">
        <is>
          <t>powerFactorC</t>
        </is>
      </c>
      <c r="J5" s="1" t="inlineStr">
        <is>
          <t>powerFactorD</t>
        </is>
      </c>
    </row>
    <row r="6">
      <c r="A6" s="1" t="n">
        <v>1</v>
      </c>
      <c r="B6" s="1" t="n">
        <v>504201</v>
      </c>
      <c r="C6" s="1" t="n">
        <v>30186</v>
      </c>
      <c r="D6" s="1" t="n">
        <v>1</v>
      </c>
      <c r="E6" s="1" t="inlineStr">
        <is>
          <t>1001,619134,2</t>
        </is>
      </c>
      <c r="F6" s="1" t="inlineStr">
        <is>
          <t>5,0,10000</t>
        </is>
      </c>
      <c r="G6" s="1" t="n">
        <v>113077</v>
      </c>
      <c r="I6" s="1" t="n">
        <v>0.001</v>
      </c>
      <c r="K6" s="1" t="inlineStr">
        <is>
          <t>&lt;color=#88622E&gt;[1级增强]命中时附加攻击&lt;/color&gt;&lt;color=#DB5637&gt;80%&lt;/color&gt;&lt;color=#88622E&gt;的风、雷属性伤害，且该伤害无视敌方的免疫负面效果。&lt;/color&gt;</t>
        </is>
      </c>
      <c r="L6" s="1" t="inlineStr">
        <is>
          <t>&lt;color=#44433F&gt;[1级增强]命中时附加攻击80%的风、雷属性伤害，且该伤害无视敌方的免疫负面效果。&lt;/color&gt;</t>
        </is>
      </c>
      <c r="M6" s="1" t="inlineStr">
        <is>
          <t>&lt;color=#88622E&gt;[1级增强]对有护盾角色伤害增加&lt;/color&gt;&lt;color=#DB5637&gt;10%&lt;/color&gt;</t>
        </is>
      </c>
      <c r="N6" s="1" t="inlineStr">
        <is>
          <t>&lt;color=#44433F&gt;[1级增强]对有护盾角色伤害增加10%&lt;/color&gt;</t>
        </is>
      </c>
    </row>
    <row r="7">
      <c r="A7" s="1" t="n">
        <v>2</v>
      </c>
      <c r="B7" s="1" t="n">
        <v>504201</v>
      </c>
      <c r="C7" s="1" t="n">
        <v>30187</v>
      </c>
      <c r="D7" s="1" t="n">
        <v>2</v>
      </c>
      <c r="E7" s="1" t="inlineStr">
        <is>
          <t>1001,619134,3</t>
        </is>
      </c>
      <c r="F7" s="1" t="inlineStr">
        <is>
          <t>5,0,10000</t>
        </is>
      </c>
      <c r="G7" s="1" t="n">
        <v>113077</v>
      </c>
      <c r="I7" s="1" t="n">
        <v>0.0015</v>
      </c>
      <c r="K7" s="1" t="inlineStr">
        <is>
          <t>&lt;color=#88622E&gt;[2级增强]命中时附加攻击&lt;/color&gt;&lt;color=#DB5637&gt;90%&lt;/color&gt;&lt;color=#88622E&gt;的风、雷属性伤害，且该伤害无视敌方的免疫负面效果。&lt;/color&gt;</t>
        </is>
      </c>
      <c r="L7" s="1" t="inlineStr">
        <is>
          <t>&lt;color=#44433F&gt;[2级增强]命中时附加攻击90%的风、雷属性伤害，且该伤害无视敌方的免疫负面效果。&lt;/color&gt;</t>
        </is>
      </c>
      <c r="M7" s="1" t="inlineStr">
        <is>
          <t>&lt;color=#88622E&gt;[2级增强]对有护盾角色伤害增加&lt;/color&gt;&lt;color=#DB5637&gt;20%&lt;/color&gt;</t>
        </is>
      </c>
      <c r="N7" s="1" t="inlineStr">
        <is>
          <t>&lt;color=#44433F&gt;[2级增强]对有护盾角色伤害增加20%&lt;/color&gt;</t>
        </is>
      </c>
    </row>
    <row r="8">
      <c r="A8" s="1" t="n">
        <v>3</v>
      </c>
      <c r="B8" s="1" t="n">
        <v>504201</v>
      </c>
      <c r="C8" s="1" t="n">
        <v>30188</v>
      </c>
      <c r="D8" s="1" t="n">
        <v>3</v>
      </c>
      <c r="E8" s="1" t="inlineStr">
        <is>
          <t>1001,619134,5</t>
        </is>
      </c>
      <c r="F8" s="1" t="inlineStr">
        <is>
          <t>5,0,10000</t>
        </is>
      </c>
      <c r="G8" s="1" t="n">
        <v>113077</v>
      </c>
      <c r="I8" s="1" t="n">
        <v>0.002</v>
      </c>
      <c r="K8" s="1" t="inlineStr">
        <is>
          <t>&lt;color=#88622E&gt;[3级增强]命中时附加攻击&lt;/color&gt;&lt;color=#DB5637&gt;100%&lt;/color&gt;&lt;color=#88622E&gt;的风、雷属性伤害，且该伤害无视敌方的免疫负面效果。&lt;/color&gt;</t>
        </is>
      </c>
      <c r="L8" s="1" t="inlineStr">
        <is>
          <t>&lt;color=#44433F&gt;[3级增强]命中时附加攻击100%的风、雷属性伤害，且该伤害无视敌方的免疫负面效果。&lt;/color&gt;</t>
        </is>
      </c>
      <c r="M8" s="1" t="inlineStr">
        <is>
          <t>&lt;color=#88622E&gt;[3级增强]对有护盾角色伤害增加&lt;/color&gt;&lt;color=#DB5637&gt;30%&lt;/color&gt;</t>
        </is>
      </c>
      <c r="N8" s="1" t="inlineStr">
        <is>
          <t>&lt;color=#44433F&gt;[3级增强]对有护盾角色伤害增加30%&lt;/color&gt;</t>
        </is>
      </c>
    </row>
    <row r="9">
      <c r="A9" s="1" t="n">
        <v>4</v>
      </c>
      <c r="B9" s="1" t="n">
        <v>504201</v>
      </c>
      <c r="C9" s="1" t="n">
        <v>30189</v>
      </c>
      <c r="D9" s="1" t="n">
        <v>4</v>
      </c>
      <c r="E9" s="1" t="inlineStr"/>
      <c r="F9" s="1" t="inlineStr"/>
      <c r="G9" s="1" t="n">
        <v>113077</v>
      </c>
      <c r="I9" s="1" t="n">
        <v>0.0025</v>
      </c>
      <c r="K9" s="1" t="inlineStr">
        <is>
          <t>&lt;color=#88622E&gt;[4级增强]命中时附加攻击&lt;/color&gt;&lt;color=#DB5637&gt;110%&lt;/color&gt;&lt;color=#88622E&gt;的风、雷属性伤害，且该伤害无视敌方的免疫负面效果。&lt;/color&gt;</t>
        </is>
      </c>
      <c r="L9" s="1" t="inlineStr">
        <is>
          <t>&lt;color=#44433F&gt;[4级增强]命中时附加攻击110%的风、雷属性伤害，且该伤害无视敌方的免疫负面效果。&lt;/color&gt;</t>
        </is>
      </c>
      <c r="M9" s="1" t="inlineStr">
        <is>
          <t>&lt;color=#88622E&gt;[4级增强]对有护盾角色伤害增加&lt;/color&gt;&lt;color=#DB5637&gt;40%&lt;/color&gt;</t>
        </is>
      </c>
      <c r="N9" s="1" t="inlineStr">
        <is>
          <t>&lt;color=#44433F&gt;[4级增强]对有护盾角色伤害增加40%&lt;/color&gt;</t>
        </is>
      </c>
    </row>
    <row r="10">
      <c r="A10" s="1" t="n">
        <v>5</v>
      </c>
      <c r="B10" s="1" t="n">
        <v>504202</v>
      </c>
      <c r="C10" s="1" t="n">
        <v>30190</v>
      </c>
      <c r="D10" s="1" t="n">
        <v>1</v>
      </c>
      <c r="E10" s="1" t="inlineStr">
        <is>
          <t>1001,619134,1</t>
        </is>
      </c>
      <c r="F10" s="1" t="inlineStr">
        <is>
          <t>5,0,10000</t>
        </is>
      </c>
      <c r="G10" s="1" t="n">
        <v>113077</v>
      </c>
      <c r="I10" s="1" t="n">
        <v>0.001</v>
      </c>
      <c r="K10" s="1" t="inlineStr">
        <is>
          <t>&lt;color=#88622E&gt;[1级增强]复活后打断对方，并使自身持续到下次行动时，不会受到伤害，且恢复自身&lt;/color&gt;&lt;color=#DB5637&gt;40%&lt;/color&gt;&lt;color=#88622E&gt;生命值护盾。每场战斗只能触发一次&lt;/color&gt;</t>
        </is>
      </c>
      <c r="L10" s="1" t="inlineStr">
        <is>
          <t>&lt;color=#44433F&gt;[1级增强]复活后打断对方，并使自身持续到下次行动时，不会受到伤害，且恢复自身40%生命值护盾。每场战斗只能触发一次&lt;/color&gt;</t>
        </is>
      </c>
      <c r="M10" s="1" t="inlineStr">
        <is>
          <t>&lt;color=#88622E&gt;[1级增强]复活后打断对方，并恢复自身&lt;/color&gt;&lt;color=#DB5637&gt;40%&lt;/color&gt;&lt;color=#88622E&gt;生命值护盾&lt;/color&gt;</t>
        </is>
      </c>
      <c r="N10" s="1" t="inlineStr">
        <is>
          <t>&lt;color=#44433F&gt;[1级增强]复活后打断对方，并恢复自身40%生命值护盾&lt;/color&gt;</t>
        </is>
      </c>
    </row>
    <row r="11">
      <c r="A11" s="1" t="n">
        <v>6</v>
      </c>
      <c r="B11" s="1" t="n">
        <v>504202</v>
      </c>
      <c r="C11" s="1" t="n">
        <v>30191</v>
      </c>
      <c r="D11" s="1" t="n">
        <v>2</v>
      </c>
      <c r="E11" s="1" t="inlineStr">
        <is>
          <t>1001,619134,2</t>
        </is>
      </c>
      <c r="F11" s="1" t="inlineStr">
        <is>
          <t>5,0,10000</t>
        </is>
      </c>
      <c r="G11" s="1" t="n">
        <v>113077</v>
      </c>
      <c r="I11" s="1" t="n">
        <v>0.0015</v>
      </c>
      <c r="K11" s="1" t="inlineStr">
        <is>
          <t>&lt;color=#88622E&gt;[2级增强]复活后打断对方，并使自身持续到下次行动时，不会受到伤害，并恢复自身&lt;/color&gt;&lt;color=#DB5637&gt;60%&lt;/color&gt;&lt;color=#88622E&gt;生命值护盾。每场战斗只能触发一次&lt;/color&gt;</t>
        </is>
      </c>
      <c r="L11" s="1" t="inlineStr">
        <is>
          <t>&lt;color=#44433F&gt;[2级增强]复活后打断对方，并使自身持续到下次行动时，不会受到伤害，并恢复自身60%生命值护盾。每场战斗只能触发一次&lt;/color&gt;</t>
        </is>
      </c>
      <c r="M11" s="1" t="inlineStr">
        <is>
          <t>&lt;color=#88622E&gt;[2级增强]复活后打断对方，并恢复自身&lt;/color&gt;&lt;color=#DB5637&gt;60%&lt;/color&gt;&lt;color=#88622E&gt;生命值护盾&lt;/color&gt;</t>
        </is>
      </c>
      <c r="N11" s="1" t="inlineStr">
        <is>
          <t>&lt;color=#44433F&gt;[2级增强]复活后打断对方，并恢复自身60%生命值护盾&lt;/color&gt;</t>
        </is>
      </c>
    </row>
    <row r="12">
      <c r="A12" s="1" t="n">
        <v>7</v>
      </c>
      <c r="B12" s="1" t="n">
        <v>504202</v>
      </c>
      <c r="C12" s="1" t="n">
        <v>30192</v>
      </c>
      <c r="D12" s="1" t="n">
        <v>3</v>
      </c>
      <c r="E12" s="1" t="inlineStr">
        <is>
          <t>1001,619134,4</t>
        </is>
      </c>
      <c r="F12" s="1" t="inlineStr">
        <is>
          <t>5,0,10000</t>
        </is>
      </c>
      <c r="G12" s="1" t="n">
        <v>113077</v>
      </c>
      <c r="I12" s="1" t="n">
        <v>0.002</v>
      </c>
      <c r="K12" s="1" t="inlineStr">
        <is>
          <t>&lt;color=#88622E&gt;[3级增强]复活后打断对方，并使自身持续到下次行动时，不会受到伤害，并恢复自身&lt;/color&gt;&lt;color=#DB5637&gt;80%&lt;/color&gt;&lt;color=#88622E&gt;生命值护盾。每场战斗只能触发一次&lt;/color&gt;</t>
        </is>
      </c>
      <c r="L12" s="1" t="inlineStr">
        <is>
          <t>&lt;color=#44433F&gt;[3级增强]复活后打断对方，并使自身持续到下次行动时，不会受到伤害，并恢复自身80%生命值护盾。每场战斗只能触发一次&lt;/color&gt;</t>
        </is>
      </c>
      <c r="M12" s="1" t="inlineStr">
        <is>
          <t>&lt;color=#88622E&gt;[3级增强]复活后打断对方，并恢复自身&lt;/color&gt;&lt;color=#DB5637&gt;80%&lt;/color&gt;&lt;color=#88622E&gt;生命值护盾&lt;/color&gt;</t>
        </is>
      </c>
      <c r="N12" s="1" t="inlineStr">
        <is>
          <t>&lt;color=#44433F&gt;[3级增强]复活后打断对方，并恢复自身80%生命值护盾&lt;/color&gt;</t>
        </is>
      </c>
    </row>
    <row r="13">
      <c r="A13" s="1" t="n">
        <v>8</v>
      </c>
      <c r="B13" s="1" t="n">
        <v>504202</v>
      </c>
      <c r="C13" s="1" t="n">
        <v>30193</v>
      </c>
      <c r="D13" s="1" t="n">
        <v>4</v>
      </c>
      <c r="E13" s="1" t="inlineStr"/>
      <c r="F13" s="1" t="inlineStr"/>
      <c r="G13" s="1" t="n">
        <v>113077</v>
      </c>
      <c r="I13" s="1" t="n">
        <v>0.0025</v>
      </c>
      <c r="K13" s="1" t="inlineStr">
        <is>
          <t>&lt;color=#88622E&gt;[4级增强]复活后打断对方，并使自身持续到下次行动时，不会受到伤害，并恢复自身&lt;/color&gt;&lt;color=#DB5637&gt;100%&lt;/color&gt;&lt;color=#88622E&gt;生命值护盾。每场战斗只能触发一次&lt;/color&gt;</t>
        </is>
      </c>
      <c r="L13" s="1" t="inlineStr">
        <is>
          <t>&lt;color=#44433F&gt;[4级增强]复活后打断对方，并使自身持续到下次行动时，不会受到伤害，并恢复自身100%生命值护盾。每场战斗只能触发一次&lt;/color&gt;</t>
        </is>
      </c>
      <c r="M13" s="1" t="inlineStr">
        <is>
          <t>&lt;color=#88622E&gt;[4级增强]复活后打断对方，并恢复自身&lt;/color&gt;&lt;color=#DB5637&gt;100%&lt;/color&gt;&lt;color=#88622E&gt;生命值护盾&lt;/color&gt;</t>
        </is>
      </c>
      <c r="N13" s="1" t="inlineStr">
        <is>
          <t>&lt;color=#44433F&gt;[4级增强]复活后打断对方，并恢复自身100%生命值护盾&lt;/color&gt;</t>
        </is>
      </c>
    </row>
    <row r="14">
      <c r="A14" s="1" t="n">
        <v>9</v>
      </c>
      <c r="B14" s="1" t="n">
        <v>504203</v>
      </c>
      <c r="C14" s="1" t="n">
        <v>30198</v>
      </c>
      <c r="D14" s="1" t="n">
        <v>1</v>
      </c>
      <c r="E14" s="1" t="inlineStr">
        <is>
          <t>1001,619134,2</t>
        </is>
      </c>
      <c r="F14" s="1" t="inlineStr">
        <is>
          <t>5,0,10000</t>
        </is>
      </c>
      <c r="G14" s="1" t="n">
        <v>113077</v>
      </c>
      <c r="I14" s="1" t="n">
        <v>0.001</v>
      </c>
      <c r="K14" s="1" t="inlineStr">
        <is>
          <t>&lt;color=#88622E&gt;[1级增强]本回合释放技能魂玉消耗减少&lt;/color&gt;&lt;color=#DB5637&gt;1&lt;/color&gt;&lt;color=#88622E&gt;点，有&lt;/color&gt;&lt;color=#DB5637&gt;50%&lt;/color&gt;&lt;color=#88622E&gt;概率额外减少&lt;/color&gt;&lt;color=#DB5637&gt;1&lt;/color&gt;&lt;color=#88622E&gt;点，且正常获得怒气&lt;/color&gt;</t>
        </is>
      </c>
      <c r="L14" s="1" t="inlineStr">
        <is>
          <t>&lt;color=#44433F&gt;[1级增强]本回合释放技能魂玉消耗减少1点，有50%概率额外减少1点，且正常获得怒气&lt;/color&gt;</t>
        </is>
      </c>
      <c r="M14" s="1" t="inlineStr">
        <is>
          <t>&lt;color=#88622E&gt;[1级增强]释放技能魂玉消耗减少&lt;/color&gt;&lt;color=#DB5637&gt;1&lt;/color&gt;&lt;color=#88622E&gt;点，有&lt;/color&gt;&lt;color=#DB5637&gt;50%&lt;/color&gt;&lt;color=#88622E&gt;概率额外减少&lt;/color&gt;&lt;color=#DB5637&gt;1&lt;/color&gt;&lt;color=#88622E&gt;点，且正常获得怒气&lt;/color&gt;</t>
        </is>
      </c>
      <c r="N14" s="1" t="inlineStr">
        <is>
          <t>&lt;color=#44433F&gt;[1级增强]释放技能魂玉消耗减少1点，有50%概率额外减少1点，且正常获得怒气&lt;/color&gt;</t>
        </is>
      </c>
    </row>
    <row r="15">
      <c r="A15" s="1" t="n">
        <v>10</v>
      </c>
      <c r="B15" s="1" t="n">
        <v>504203</v>
      </c>
      <c r="C15" s="1" t="n">
        <v>30199</v>
      </c>
      <c r="D15" s="1" t="n">
        <v>2</v>
      </c>
      <c r="E15" s="1" t="inlineStr">
        <is>
          <t>1001,619134,3</t>
        </is>
      </c>
      <c r="F15" s="1" t="inlineStr">
        <is>
          <t>5,0,10000</t>
        </is>
      </c>
      <c r="G15" s="1" t="n">
        <v>113077</v>
      </c>
      <c r="I15" s="1" t="n">
        <v>0.0015</v>
      </c>
      <c r="K15" s="1" t="inlineStr">
        <is>
          <t>&lt;color=#88622E&gt;[2级增强]本回合释放技能魂玉消耗减少&lt;/color&gt;&lt;color=#DB5637&gt;1&lt;/color&gt;&lt;color=#88622E&gt;点，有&lt;/color&gt;&lt;color=#DB5637&gt;100%&lt;/color&gt;&lt;color=#88622E&gt;概率额外减少&lt;/color&gt;&lt;color=#DB5637&gt;1&lt;/color&gt;&lt;color=#88622E&gt;点，且正常获得怒气&lt;/color&gt;</t>
        </is>
      </c>
      <c r="L15" s="1" t="inlineStr">
        <is>
          <t>&lt;color=#44433F&gt;[2级增强]本回合释放技能魂玉消耗减少1点，有100%概率额外减少1点，且正常获得怒气&lt;/color&gt;</t>
        </is>
      </c>
      <c r="M15" s="1" t="inlineStr">
        <is>
          <t>&lt;color=#88622E&gt;[2级增强]释放技能魂玉消耗减少&lt;/color&gt;&lt;color=#DB5637&gt;1&lt;/color&gt;&lt;color=#88622E&gt;点，有&lt;/color&gt;&lt;color=#DB5637&gt;100%&lt;/color&gt;&lt;color=#88622E&gt;概率额外减少&lt;/color&gt;&lt;color=#DB5637&gt;1&lt;/color&gt;&lt;color=#88622E&gt;点，且正常获得怒气&lt;/color&gt;</t>
        </is>
      </c>
      <c r="N15" s="1" t="inlineStr">
        <is>
          <t>&lt;color=#44433F&gt;[2级增强]释放技能魂玉消耗减少1点，有100%概率额外减少1点，且正常获得怒气&lt;/color&gt;</t>
        </is>
      </c>
    </row>
    <row r="16">
      <c r="A16" s="1" t="n">
        <v>11</v>
      </c>
      <c r="B16" s="1" t="n">
        <v>504203</v>
      </c>
      <c r="C16" s="1" t="n">
        <v>30200</v>
      </c>
      <c r="D16" s="1" t="n">
        <v>3</v>
      </c>
      <c r="E16" s="1" t="inlineStr">
        <is>
          <t>1001,619134,5</t>
        </is>
      </c>
      <c r="F16" s="1" t="inlineStr">
        <is>
          <t>5,0,10000</t>
        </is>
      </c>
      <c r="G16" s="1" t="n">
        <v>113077</v>
      </c>
      <c r="I16" s="1" t="n">
        <v>0.002</v>
      </c>
      <c r="K16" s="1" t="inlineStr">
        <is>
          <t>&lt;color=#88622E&gt;[3级增强]本回合释放技能魂玉消耗减少&lt;/color&gt;&lt;color=#DB5637&gt;2&lt;/color&gt;&lt;color=#88622E&gt;点，有&lt;/color&gt;&lt;color=#DB5637&gt;50%&lt;/color&gt;&lt;color=#88622E&gt;概率额外减少&lt;/color&gt;&lt;color=#DB5637&gt;1&lt;/color&gt;&lt;color=#88622E&gt;点，且正常获得怒气&lt;/color&gt;</t>
        </is>
      </c>
      <c r="L16" s="1" t="inlineStr">
        <is>
          <t>&lt;color=#44433F&gt;[3级增强]本回合释放技能魂玉消耗减少2点，有50%概率额外减少1点，且正常获得怒气&lt;/color&gt;</t>
        </is>
      </c>
      <c r="M16" s="1" t="inlineStr">
        <is>
          <t>&lt;color=#88622E&gt;[3级增强]释放技能魂玉消耗减少&lt;/color&gt;&lt;color=#DB5637&gt;2&lt;/color&gt;&lt;color=#88622E&gt;点，有&lt;/color&gt;&lt;color=#DB5637&gt;50%&lt;/color&gt;&lt;color=#88622E&gt;概率额外减少&lt;/color&gt;&lt;color=#DB5637&gt;1&lt;/color&gt;&lt;color=#88622E&gt;点，且正常获得怒气&lt;/color&gt;</t>
        </is>
      </c>
      <c r="N16" s="1" t="inlineStr">
        <is>
          <t>&lt;color=#44433F&gt;[3级增强]释放技能魂玉消耗减少2点，有50%概率额外减少1点，且正常获得怒气&lt;/color&gt;</t>
        </is>
      </c>
    </row>
    <row r="17">
      <c r="A17" s="1" t="n">
        <v>12</v>
      </c>
      <c r="B17" s="1" t="n">
        <v>504203</v>
      </c>
      <c r="C17" s="1" t="n">
        <v>30201</v>
      </c>
      <c r="D17" s="1" t="n">
        <v>4</v>
      </c>
      <c r="E17" s="1" t="inlineStr"/>
      <c r="F17" s="1" t="inlineStr"/>
      <c r="G17" s="1" t="n">
        <v>113077</v>
      </c>
      <c r="I17" s="1" t="n">
        <v>0.0025</v>
      </c>
      <c r="K17" s="1" t="inlineStr">
        <is>
          <t>&lt;color=#88622E&gt;[4级增强]本回合释放技能魂玉消耗减少&lt;/color&gt;&lt;color=#DB5637&gt;2&lt;/color&gt;&lt;color=#88622E&gt;点，有&lt;/color&gt;&lt;color=#DB5637&gt;100%&lt;/color&gt;&lt;color=#88622E&gt;概率额外减少&lt;/color&gt;&lt;color=#DB5637&gt;1&lt;/color&gt;&lt;color=#88622E&gt;点，且正常获得怒气&lt;/color&gt;</t>
        </is>
      </c>
      <c r="L17" s="1" t="inlineStr">
        <is>
          <t>&lt;color=#44433F&gt;[4级增强]本回合释放技能魂玉消耗减少2点，有100%概率额外减少1点，且正常获得怒气&lt;/color&gt;</t>
        </is>
      </c>
      <c r="M17" s="1" t="inlineStr">
        <is>
          <t>&lt;color=#88622E&gt;[4级增强]释放技能魂玉消耗减少&lt;/color&gt;&lt;color=#DB5637&gt;2&lt;/color&gt;&lt;color=#88622E&gt;点，有&lt;/color&gt;&lt;color=#DB5637&gt;100%&lt;/color&gt;&lt;color=#88622E&gt;概率额外减少&lt;/color&gt;&lt;color=#DB5637&gt;1&lt;/color&gt;&lt;color=#88622E&gt;点，且正常获得怒气&lt;/color&gt;</t>
        </is>
      </c>
      <c r="N17" s="1" t="inlineStr">
        <is>
          <t>&lt;color=#44433F&gt;[4级增强]释放技能魂玉消耗减少2点，有100%概率额外减少1点，且正常获得怒气&lt;/color&gt;</t>
        </is>
      </c>
    </row>
    <row r="18">
      <c r="A18" s="1" t="n">
        <v>13</v>
      </c>
      <c r="B18" s="1" t="n">
        <v>504204</v>
      </c>
      <c r="C18" s="1" t="n">
        <v>30194</v>
      </c>
      <c r="D18" s="1" t="n">
        <v>1</v>
      </c>
      <c r="E18" s="1" t="inlineStr">
        <is>
          <t>1001,619134,1</t>
        </is>
      </c>
      <c r="F18" s="1" t="inlineStr">
        <is>
          <t>5,0,10000</t>
        </is>
      </c>
      <c r="G18" s="1" t="n">
        <v>113077</v>
      </c>
      <c r="I18" s="1" t="n">
        <v>0.001</v>
      </c>
      <c r="K18" s="1" t="inlineStr">
        <is>
          <t>&lt;color=#88622E&gt;[1级增强]行动结束时，如果自身魂玉不少于&lt;/color&gt;&lt;color=#DB5637&gt;10&lt;/color&gt;&lt;color=#88622E&gt;点，立即清除自身所有敌方角色附加的效果再行动一次，一场战斗最多触发&lt;/color&gt;&lt;color=#DB5637&gt;1&lt;/color&gt;&lt;color=#88622E&gt;次&lt;/color&gt;</t>
        </is>
      </c>
      <c r="L18" s="1" t="inlineStr">
        <is>
          <t>&lt;color=#44433F&gt;[1级增强]行动结束时，如果自身魂玉不少于10点，立即清除自身所有敌方角色附加的效果再行动一次，一场战斗最多触发1次&lt;/color&gt;</t>
        </is>
      </c>
      <c r="M18" s="1" t="inlineStr">
        <is>
          <t>&lt;color=#88622E&gt;[1级增强]命中时附加自身攻击力&lt;/color&gt;&lt;color=#DB5637&gt;80%&lt;/color&gt;&lt;color=#88622E&gt;的真实伤害&lt;/color&gt;</t>
        </is>
      </c>
      <c r="N18" s="1" t="inlineStr">
        <is>
          <t>&lt;color=#44433F&gt;[1级增强]命中时附加自身攻击力80%的真实伤害&lt;/color&gt;</t>
        </is>
      </c>
    </row>
    <row r="19">
      <c r="A19" s="1" t="n">
        <v>14</v>
      </c>
      <c r="B19" s="1" t="n">
        <v>504204</v>
      </c>
      <c r="C19" s="1" t="n">
        <v>30195</v>
      </c>
      <c r="D19" s="1" t="n">
        <v>2</v>
      </c>
      <c r="E19" s="1" t="inlineStr">
        <is>
          <t>1001,619134,2</t>
        </is>
      </c>
      <c r="F19" s="1" t="inlineStr">
        <is>
          <t>5,0,10000</t>
        </is>
      </c>
      <c r="G19" s="1" t="n">
        <v>113077</v>
      </c>
      <c r="I19" s="1" t="n">
        <v>0.0015</v>
      </c>
      <c r="K19" s="1" t="inlineStr">
        <is>
          <t>&lt;color=#88622E&gt;[2级增强]行动结束时，如果自身魂玉不少于&lt;/color&gt;&lt;color=#DB5637&gt;10&lt;/color&gt;&lt;color=#88622E&gt;点，立即清除自身所有敌方角色附加的效果再行动一次，一场战斗最多触发&lt;/color&gt;&lt;color=#DB5637&gt;2&lt;/color&gt;&lt;color=#88622E&gt;次&lt;/color&gt;</t>
        </is>
      </c>
      <c r="L19" s="1" t="inlineStr">
        <is>
          <t>&lt;color=#44433F&gt;[2级增强]行动结束时，如果自身魂玉不少于10点，立即清除自身所有敌方角色附加的效果再行动一次，一场战斗最多触发2次&lt;/color&gt;</t>
        </is>
      </c>
      <c r="M19" s="1" t="inlineStr">
        <is>
          <t>&lt;color=#88622E&gt;[2级增强]命中时附加自身攻击力&lt;/color&gt;&lt;color=#DB5637&gt;90%&lt;/color&gt;&lt;color=#88622E&gt;的真实伤害&lt;/color&gt;</t>
        </is>
      </c>
      <c r="N19" s="1" t="inlineStr">
        <is>
          <t>&lt;color=#44433F&gt;[2级增强]命中时附加自身攻击力90%的真实伤害&lt;/color&gt;</t>
        </is>
      </c>
    </row>
    <row r="20">
      <c r="A20" s="1" t="n">
        <v>15</v>
      </c>
      <c r="B20" s="1" t="n">
        <v>504204</v>
      </c>
      <c r="C20" s="1" t="n">
        <v>30196</v>
      </c>
      <c r="D20" s="1" t="n">
        <v>3</v>
      </c>
      <c r="E20" s="1" t="inlineStr">
        <is>
          <t>1001,619134,4</t>
        </is>
      </c>
      <c r="F20" s="1" t="inlineStr">
        <is>
          <t>5,0,10000</t>
        </is>
      </c>
      <c r="G20" s="1" t="n">
        <v>113077</v>
      </c>
      <c r="I20" s="1" t="n">
        <v>0.002</v>
      </c>
      <c r="K20" s="1" t="inlineStr">
        <is>
          <t>&lt;color=#88622E&gt;[3级增强]行动结束时，如果自身魂玉不少于&lt;/color&gt;&lt;color=#DB5637&gt;10&lt;/color&gt;&lt;color=#88622E&gt;点，立即清除自身所有敌方角色附加的效果再行动一次，一场战斗最多触发&lt;/color&gt;&lt;color=#DB5637&gt;3&lt;/color&gt;&lt;color=#88622E&gt;次&lt;/color&gt;</t>
        </is>
      </c>
      <c r="L20" s="1" t="inlineStr">
        <is>
          <t>&lt;color=#44433F&gt;[3级增强]行动结束时，如果自身魂玉不少于10点，立即清除自身所有敌方角色附加的效果再行动一次，一场战斗最多触发3次&lt;/color&gt;</t>
        </is>
      </c>
      <c r="M20" s="1" t="inlineStr">
        <is>
          <t>&lt;color=#88622E&gt;[3级增强]命中时附加自身攻击力&lt;/color&gt;&lt;color=#DB5637&gt;100%&lt;/color&gt;&lt;color=#88622E&gt;的真实伤害&lt;/color&gt;</t>
        </is>
      </c>
      <c r="N20" s="1" t="inlineStr">
        <is>
          <t>&lt;color=#44433F&gt;[3级增强]命中时附加自身攻击力100%的真实伤害&lt;/color&gt;</t>
        </is>
      </c>
    </row>
    <row r="21">
      <c r="A21" s="1" t="n">
        <v>16</v>
      </c>
      <c r="B21" s="1" t="n">
        <v>504204</v>
      </c>
      <c r="C21" s="1" t="n">
        <v>30197</v>
      </c>
      <c r="D21" s="1" t="n">
        <v>4</v>
      </c>
      <c r="E21" s="1" t="inlineStr"/>
      <c r="F21" s="1" t="inlineStr"/>
      <c r="G21" s="1" t="n">
        <v>113077</v>
      </c>
      <c r="I21" s="1" t="n">
        <v>0.0025</v>
      </c>
      <c r="K21" s="1" t="inlineStr">
        <is>
          <t>&lt;color=#88622E&gt;[4级增强]行动结束时，如果自身魂玉不少于&lt;/color&gt;&lt;color=#DB5637&gt;10&lt;/color&gt;&lt;color=#88622E&gt;点，立即清除自身所有敌方角色附加的效果再行动一次，一场战斗最多触发&lt;/color&gt;&lt;color=#DB5637&gt;4&lt;/color&gt;&lt;color=#88622E&gt;次&lt;/color&gt;</t>
        </is>
      </c>
      <c r="L21" s="1" t="inlineStr">
        <is>
          <t>&lt;color=#44433F&gt;[4级增强]行动结束时，如果自身魂玉不少于10点，立即清除自身所有敌方角色附加的效果再行动一次，一场战斗最多触发4次&lt;/color&gt;</t>
        </is>
      </c>
      <c r="M21" s="1" t="inlineStr">
        <is>
          <t>&lt;color=#88622E&gt;[4级增强]命中时附加自身攻击力&lt;/color&gt;&lt;color=#DB5637&gt;110%&lt;/color&gt;&lt;color=#88622E&gt;的真实伤害&lt;/color&gt;</t>
        </is>
      </c>
      <c r="N21" s="1" t="inlineStr">
        <is>
          <t>&lt;color=#44433F&gt;[4级增强]命中时附加自身攻击力110%的真实伤害&lt;/color&gt;</t>
        </is>
      </c>
    </row>
    <row r="22">
      <c r="A22" s="1" t="n">
        <v>17</v>
      </c>
      <c r="B22" s="1" t="n">
        <v>504301</v>
      </c>
      <c r="C22" s="1" t="n">
        <v>30233</v>
      </c>
      <c r="D22" s="1" t="n">
        <v>1</v>
      </c>
      <c r="E22" s="1" t="inlineStr">
        <is>
          <t>1001,619134,2</t>
        </is>
      </c>
      <c r="F22" s="1" t="inlineStr">
        <is>
          <t>5,0,10000</t>
        </is>
      </c>
      <c r="G22" s="1" t="n">
        <v>113088</v>
      </c>
      <c r="I22" s="1" t="n">
        <v>0.001</v>
      </c>
      <c r="K22" s="1" t="inlineStr">
        <is>
          <t>&lt;color=#88622E&gt;[1级增强]前&lt;/color&gt;&lt;color=#DB5637&gt;3&lt;/color&gt;&lt;color=#88622E&gt;回合，有&lt;/color&gt;&lt;color=#DB5637&gt;80%&lt;/color&gt;&lt;color=#88622E&gt;概率不会被打断且速度提升&lt;/color&gt;&lt;color=#DB5637&gt;40%&lt;/color&gt;</t>
        </is>
      </c>
      <c r="L22" s="1" t="inlineStr">
        <is>
          <t>&lt;color=#44433F&gt;[1级增强]前3回合，有80%概率不会被打断且速度提升40%&lt;/color&gt;</t>
        </is>
      </c>
      <c r="M22" s="1" t="inlineStr">
        <is>
          <t>&lt;color=#88622E&gt;[1级增强]前&lt;/color&gt;&lt;color=#DB5637&gt;3&lt;/color&gt;&lt;color=#88622E&gt;回合，有&lt;/color&gt;&lt;color=#DB5637&gt;80%&lt;/color&gt;&lt;color=#88622E&gt;概率不会被打断&lt;/color&gt;</t>
        </is>
      </c>
      <c r="N22" s="1" t="inlineStr">
        <is>
          <t>&lt;color=#44433F&gt;[1级增强]前3回合，有80%概率不会被打断&lt;/color&gt;</t>
        </is>
      </c>
    </row>
    <row r="23">
      <c r="A23" s="1" t="n">
        <v>18</v>
      </c>
      <c r="B23" s="1" t="n">
        <v>504301</v>
      </c>
      <c r="C23" s="1" t="n">
        <v>30234</v>
      </c>
      <c r="D23" s="1" t="n">
        <v>2</v>
      </c>
      <c r="E23" s="1" t="inlineStr">
        <is>
          <t>1001,619134,3</t>
        </is>
      </c>
      <c r="F23" s="1" t="inlineStr">
        <is>
          <t>5,0,10000</t>
        </is>
      </c>
      <c r="G23" s="1" t="n">
        <v>113088</v>
      </c>
      <c r="I23" s="1" t="n">
        <v>0.0015</v>
      </c>
      <c r="K23" s="1" t="inlineStr">
        <is>
          <t>&lt;color=#88622E&gt;[2级增强]前&lt;/color&gt;&lt;color=#DB5637&gt;3&lt;/color&gt;&lt;color=#88622E&gt;回合，有&lt;/color&gt;&lt;color=#DB5637&gt;90%&lt;/color&gt;&lt;color=#88622E&gt;概率不会被打断且速度提升&lt;/color&gt;&lt;color=#DB5637&gt;40%&lt;/color&gt;</t>
        </is>
      </c>
      <c r="L23" s="1" t="inlineStr">
        <is>
          <t>&lt;color=#44433F&gt;[2级增强]前3回合，有90%概率不会被打断且速度提升40%&lt;/color&gt;</t>
        </is>
      </c>
      <c r="M23" s="1" t="inlineStr">
        <is>
          <t>&lt;color=#88622E&gt;[2级增强]前&lt;/color&gt;&lt;color=#DB5637&gt;3&lt;/color&gt;&lt;color=#88622E&gt;回合，有&lt;/color&gt;&lt;color=#DB5637&gt;90%&lt;/color&gt;&lt;color=#88622E&gt;概率不会被打断&lt;/color&gt;</t>
        </is>
      </c>
      <c r="N23" s="1" t="inlineStr">
        <is>
          <t>&lt;color=#44433F&gt;[2级增强]前3回合，有90%概率不会被打断&lt;/color&gt;</t>
        </is>
      </c>
    </row>
    <row r="24">
      <c r="A24" s="1" t="n">
        <v>19</v>
      </c>
      <c r="B24" s="1" t="n">
        <v>504301</v>
      </c>
      <c r="C24" s="1" t="n">
        <v>30235</v>
      </c>
      <c r="D24" s="1" t="n">
        <v>3</v>
      </c>
      <c r="E24" s="1" t="inlineStr">
        <is>
          <t>1001,619134,5</t>
        </is>
      </c>
      <c r="F24" s="1" t="inlineStr">
        <is>
          <t>5,0,10000</t>
        </is>
      </c>
      <c r="G24" s="1" t="n">
        <v>113088</v>
      </c>
      <c r="I24" s="1" t="n">
        <v>0.002</v>
      </c>
      <c r="K24" s="1" t="inlineStr">
        <is>
          <t>&lt;color=#88622E&gt;[3级增强]前&lt;/color&gt;&lt;color=#DB5637&gt;3&lt;/color&gt;&lt;color=#88622E&gt;回合，有&lt;/color&gt;&lt;color=#DB5637&gt;100%&lt;/color&gt;&lt;color=#88622E&gt;概率不会被打断且速度提升&lt;/color&gt;&lt;color=#DB5637&gt;40%&lt;/color&gt;</t>
        </is>
      </c>
      <c r="L24" s="1" t="inlineStr">
        <is>
          <t>&lt;color=#44433F&gt;[3级增强]前3回合，有100%概率不会被打断且速度提升40%&lt;/color&gt;</t>
        </is>
      </c>
      <c r="M24" s="1" t="inlineStr">
        <is>
          <t>&lt;color=#88622E&gt;[3级增强]前&lt;/color&gt;&lt;color=#DB5637&gt;3&lt;/color&gt;&lt;color=#88622E&gt;回合，有&lt;/color&gt;&lt;color=#DB5637&gt;100%&lt;/color&gt;&lt;color=#88622E&gt;概率不会被打断&lt;/color&gt;</t>
        </is>
      </c>
      <c r="N24" s="1" t="inlineStr">
        <is>
          <t>&lt;color=#44433F&gt;[3级增强]前3回合，有100%概率不会被打断&lt;/color&gt;</t>
        </is>
      </c>
    </row>
    <row r="25">
      <c r="A25" s="1" t="n">
        <v>20</v>
      </c>
      <c r="B25" s="1" t="n">
        <v>504301</v>
      </c>
      <c r="C25" s="1" t="n">
        <v>30236</v>
      </c>
      <c r="D25" s="1" t="n">
        <v>4</v>
      </c>
      <c r="E25" s="1" t="inlineStr"/>
      <c r="F25" s="1" t="inlineStr"/>
      <c r="G25" s="1" t="n">
        <v>113088</v>
      </c>
      <c r="I25" s="1" t="n">
        <v>0.0025</v>
      </c>
      <c r="K25" s="1" t="inlineStr">
        <is>
          <t>&lt;color=#88622E&gt;[4级增强]前&lt;/color&gt;&lt;color=#DB5637&gt;4&lt;/color&gt;&lt;color=#88622E&gt;回合，有&lt;/color&gt;&lt;color=#DB5637&gt;100%&lt;/color&gt;&lt;color=#88622E&gt;概率不会被打断且速度提升&lt;/color&gt;&lt;color=#DB5637&gt;40%&lt;/color&gt;</t>
        </is>
      </c>
      <c r="L25" s="1" t="inlineStr">
        <is>
          <t>&lt;color=#44433F&gt;[4级增强]前4回合，有100%概率不会被打断且速度提升40%&lt;/color&gt;</t>
        </is>
      </c>
      <c r="M25" s="1" t="inlineStr">
        <is>
          <t>&lt;color=#88622E&gt;[4级增强]前&lt;/color&gt;&lt;color=#DB5637&gt;4&lt;/color&gt;&lt;color=#88622E&gt;回合，有&lt;/color&gt;&lt;color=#DB5637&gt;100%&lt;/color&gt;&lt;color=#88622E&gt;概率不会被打断&lt;/color&gt;</t>
        </is>
      </c>
      <c r="N25" s="1" t="inlineStr">
        <is>
          <t>&lt;color=#44433F&gt;[4级增强]前4回合，有100%概率不会被打断&lt;/color&gt;</t>
        </is>
      </c>
    </row>
    <row r="26">
      <c r="A26" s="1" t="n">
        <v>21</v>
      </c>
      <c r="B26" s="1" t="n">
        <v>504302</v>
      </c>
      <c r="C26" s="1" t="n">
        <v>30221</v>
      </c>
      <c r="D26" s="1" t="n">
        <v>1</v>
      </c>
      <c r="E26" s="1" t="inlineStr">
        <is>
          <t>1001,619134,1</t>
        </is>
      </c>
      <c r="F26" s="1" t="inlineStr">
        <is>
          <t>5,0,10000</t>
        </is>
      </c>
      <c r="G26" s="1" t="n">
        <v>113088</v>
      </c>
      <c r="I26" s="1" t="n">
        <v>0.001</v>
      </c>
      <c r="K26" s="1" t="inlineStr">
        <is>
          <t>&lt;color=#88622E&gt;[1级增强]前&lt;/color&gt;&lt;color=#DB5637&gt;2&lt;/color&gt;&lt;color=#88622E&gt;回合，首次被攻击时，如果自身有护盾，有&lt;/color&gt;&lt;color=#DB5637&gt;80%&lt;/color&gt;&lt;color=#88622E&gt;概率获得生命值不会降到&lt;/color&gt;&lt;color=#DB5637&gt;20%&lt;/color&gt;&lt;color=#88622E&gt;以下效果，持续本回合&lt;/color&gt;</t>
        </is>
      </c>
      <c r="L26" s="1" t="inlineStr">
        <is>
          <t>&lt;color=#44433F&gt;[1级增强]前2回合，首次被攻击时，如果自身有护盾，有80%概率获得生命值不会降到20%以下效果，持续本回合&lt;/color&gt;</t>
        </is>
      </c>
      <c r="M26" s="1" t="inlineStr">
        <is>
          <t>&lt;color=#88622E&gt;[1级增强]前&lt;/color&gt;&lt;color=#DB5637&gt;2&lt;/color&gt;&lt;color=#88622E&gt;回合，首次被攻击时，如果自身有护盾，有&lt;/color&gt;&lt;color=#DB5637&gt;80%&lt;/color&gt;&lt;color=#88622E&gt;概率免疫所有敌方附加的效果，持续本回合&lt;/color&gt;</t>
        </is>
      </c>
      <c r="N26" s="1" t="inlineStr">
        <is>
          <t>&lt;color=#44433F&gt;[1级增强]前2回合，首次被攻击时，如果自身有护盾，有80%概率免疫所有敌方附加的效果，持续本回合&lt;/color&gt;</t>
        </is>
      </c>
    </row>
    <row r="27">
      <c r="A27" s="1" t="n">
        <v>22</v>
      </c>
      <c r="B27" s="1" t="n">
        <v>504302</v>
      </c>
      <c r="C27" s="1" t="n">
        <v>30222</v>
      </c>
      <c r="D27" s="1" t="n">
        <v>2</v>
      </c>
      <c r="E27" s="1" t="inlineStr">
        <is>
          <t>1001,619134,2</t>
        </is>
      </c>
      <c r="F27" s="1" t="inlineStr">
        <is>
          <t>5,0,10000</t>
        </is>
      </c>
      <c r="G27" s="1" t="n">
        <v>113088</v>
      </c>
      <c r="I27" s="1" t="n">
        <v>0.0015</v>
      </c>
      <c r="K27" s="1" t="inlineStr">
        <is>
          <t>&lt;color=#88622E&gt;[2级增强]前&lt;/color&gt;&lt;color=#DB5637&gt;2&lt;/color&gt;&lt;color=#88622E&gt;回合，首次被攻击时，如果自身有护盾，有&lt;/color&gt;&lt;color=#DB5637&gt;100%&lt;/color&gt;&lt;color=#88622E&gt;概率获得生命值不会降到&lt;/color&gt;&lt;color=#DB5637&gt;20%&lt;/color&gt;&lt;color=#88622E&gt;以下效果，持续本回合&lt;/color&gt;</t>
        </is>
      </c>
      <c r="L27" s="1" t="inlineStr">
        <is>
          <t>&lt;color=#44433F&gt;[2级增强]前2回合，首次被攻击时，如果自身有护盾，有100%概率获得生命值不会降到20%以下效果，持续本回合&lt;/color&gt;</t>
        </is>
      </c>
      <c r="M27" s="1" t="inlineStr">
        <is>
          <t>&lt;color=#88622E&gt;[2级增强]前&lt;/color&gt;&lt;color=#DB5637&gt;2&lt;/color&gt;&lt;color=#88622E&gt;回合，首次被攻击时，如果自身有护盾，有&lt;/color&gt;&lt;color=#DB5637&gt;100%&lt;/color&gt;&lt;color=#88622E&gt;概率免疫所有敌方附加的效果，持续本回合&lt;/color&gt;</t>
        </is>
      </c>
      <c r="N27" s="1" t="inlineStr">
        <is>
          <t>&lt;color=#44433F&gt;[2级增强]前2回合，首次被攻击时，如果自身有护盾，有100%概率免疫所有敌方附加的效果，持续本回合&lt;/color&gt;</t>
        </is>
      </c>
    </row>
    <row r="28">
      <c r="A28" s="1" t="n">
        <v>23</v>
      </c>
      <c r="B28" s="1" t="n">
        <v>504302</v>
      </c>
      <c r="C28" s="1" t="n">
        <v>30223</v>
      </c>
      <c r="D28" s="1" t="n">
        <v>3</v>
      </c>
      <c r="E28" s="1" t="inlineStr">
        <is>
          <t>1001,619134,4</t>
        </is>
      </c>
      <c r="F28" s="1" t="inlineStr">
        <is>
          <t>5,0,10000</t>
        </is>
      </c>
      <c r="G28" s="1" t="n">
        <v>113088</v>
      </c>
      <c r="I28" s="1" t="n">
        <v>0.002</v>
      </c>
      <c r="K28" s="1" t="inlineStr">
        <is>
          <t>&lt;color=#88622E&gt;[3级增强]前&lt;/color&gt;&lt;color=#DB5637&gt;3&lt;/color&gt;&lt;color=#88622E&gt;回合，首次被攻击时，如果自身有护盾，有&lt;/color&gt;&lt;color=#DB5637&gt;100%&lt;/color&gt;&lt;color=#88622E&gt;概率获得生命值不会降到&lt;/color&gt;&lt;color=#DB5637&gt;20%&lt;/color&gt;&lt;color=#88622E&gt;以下效果，持续本回合&lt;/color&gt;</t>
        </is>
      </c>
      <c r="L28" s="1" t="inlineStr">
        <is>
          <t>&lt;color=#44433F&gt;[3级增强]前3回合，首次被攻击时，如果自身有护盾，有100%概率获得生命值不会降到20%以下效果，持续本回合&lt;/color&gt;</t>
        </is>
      </c>
      <c r="M28" s="1" t="inlineStr">
        <is>
          <t>&lt;color=#88622E&gt;[3级增强]前&lt;/color&gt;&lt;color=#DB5637&gt;3&lt;/color&gt;&lt;color=#88622E&gt;回合，首次被攻击时，如果自身有护盾，有&lt;/color&gt;&lt;color=#DB5637&gt;100%&lt;/color&gt;&lt;color=#88622E&gt;概率免疫所有敌方附加的效果，持续本回合&lt;/color&gt;</t>
        </is>
      </c>
      <c r="N28" s="1" t="inlineStr">
        <is>
          <t>&lt;color=#44433F&gt;[3级增强]前3回合，首次被攻击时，如果自身有护盾，有100%概率免疫所有敌方附加的效果，持续本回合&lt;/color&gt;</t>
        </is>
      </c>
    </row>
    <row r="29">
      <c r="A29" s="1" t="n">
        <v>24</v>
      </c>
      <c r="B29" s="1" t="n">
        <v>504302</v>
      </c>
      <c r="C29" s="1" t="n">
        <v>30224</v>
      </c>
      <c r="D29" s="1" t="n">
        <v>4</v>
      </c>
      <c r="E29" s="1" t="inlineStr"/>
      <c r="F29" s="1" t="inlineStr"/>
      <c r="G29" s="1" t="n">
        <v>113088</v>
      </c>
      <c r="I29" s="1" t="n">
        <v>0.0025</v>
      </c>
      <c r="K29" s="1" t="inlineStr">
        <is>
          <t>&lt;color=#88622E&gt;[4级增强]前&lt;/color&gt;&lt;color=#DB5637&gt;4&lt;/color&gt;&lt;color=#88622E&gt;回合，首次被攻击时，如果自身有护盾，有&lt;/color&gt;&lt;color=#DB5637&gt;100%&lt;/color&gt;&lt;color=#88622E&gt;概率获得生命值不会降到&lt;/color&gt;&lt;color=#DB5637&gt;20%&lt;/color&gt;&lt;color=#88622E&gt;以下效果，持续本回合&lt;/color&gt;</t>
        </is>
      </c>
      <c r="L29" s="1" t="inlineStr">
        <is>
          <t>&lt;color=#44433F&gt;[4级增强]前4回合，首次被攻击时，如果自身有护盾，有100%概率获得生命值不会降到20%以下效果，持续本回合&lt;/color&gt;</t>
        </is>
      </c>
      <c r="M29" s="1" t="inlineStr">
        <is>
          <t>&lt;color=#88622E&gt;[4级增强]前&lt;/color&gt;&lt;color=#DB5637&gt;4&lt;/color&gt;&lt;color=#88622E&gt;回合，首次被攻击时，如果自身有护盾，有&lt;/color&gt;&lt;color=#DB5637&gt;100%&lt;/color&gt;&lt;color=#88622E&gt;概率免疫所有敌方附加的效果，持续本回合&lt;/color&gt;</t>
        </is>
      </c>
      <c r="N29" s="1" t="inlineStr">
        <is>
          <t>&lt;color=#44433F&gt;[4级增强]前4回合，首次被攻击时，如果自身有护盾，有100%概率免疫所有敌方附加的效果，持续本回合&lt;/color&gt;</t>
        </is>
      </c>
    </row>
    <row r="30">
      <c r="A30" s="1" t="n">
        <v>25</v>
      </c>
      <c r="B30" s="1" t="n">
        <v>504303</v>
      </c>
      <c r="C30" s="1" t="n">
        <v>30225</v>
      </c>
      <c r="D30" s="1" t="n">
        <v>1</v>
      </c>
      <c r="E30" s="1" t="inlineStr">
        <is>
          <t>1001,619134,2</t>
        </is>
      </c>
      <c r="F30" s="1" t="inlineStr">
        <is>
          <t>5,0,10000</t>
        </is>
      </c>
      <c r="G30" s="1" t="n">
        <v>113088</v>
      </c>
      <c r="I30" s="1" t="n">
        <v>0.001</v>
      </c>
      <c r="K30" s="1" t="inlineStr">
        <is>
          <t>&lt;color=#88622E&gt;[1级增强]造成的雷、火属性伤害每回合提升&lt;/color&gt;&lt;color=#DB5637&gt;25%&lt;/color&gt;&lt;color=#88622E&gt;，PVP战斗中&lt;/color&gt;&lt;color=#DB5637&gt;5&lt;/color&gt;&lt;color=#88622E&gt;回合之后，每回合提升效果增加&lt;/color&gt;&lt;color=#DB5637&gt;2&lt;/color&gt;&lt;color=#88622E&gt;倍，所有属性伤害减免提升&lt;/color&gt;&lt;color=#DB5637&gt;80%&lt;/color&gt;&lt;color=#88622E&gt;，战斗开始时，获得&lt;/color&gt;&lt;color=#DB5637&gt;70&lt;/color&gt;&lt;color=#88622E&gt;点怒气&lt;/color&gt;</t>
        </is>
      </c>
      <c r="L30" s="1" t="inlineStr">
        <is>
          <t>&lt;color=#44433F&gt;[1级增强]造成的雷、火属性伤害每回合提升25%，PVP战斗中5回合之后，每回合提升效果增加2倍，所有属性伤害减免提升80%，战斗开始时，获得70点怒气&lt;/color&gt;</t>
        </is>
      </c>
      <c r="M30" s="1" t="inlineStr">
        <is>
          <t>&lt;color=#88622E&gt;[1级增强]造成的雷、火属性伤害每回合提升&lt;/color&gt;&lt;color=#DB5637&gt;20%&lt;/color&gt;&lt;color=#88622E&gt;，PVP战斗中&lt;/color&gt;&lt;color=#DB5637&gt;5&lt;/color&gt;&lt;color=#88622E&gt;回合之后，每回合提升效果增加&lt;/color&gt;&lt;color=#DB5637&gt;2&lt;/color&gt;&lt;color=#88622E&gt;倍，战斗开始时，获得&lt;/color&gt;&lt;color=#DB5637&gt;70&lt;/color&gt;&lt;color=#88622E&gt;点怒气&lt;/color&gt;</t>
        </is>
      </c>
      <c r="N30" s="1" t="inlineStr">
        <is>
          <t>&lt;color=#44433F&gt;[1级增强]造成的雷、火属性伤害每回合提升20%，PVP战斗中5回合之后，每回合提升效果增加2倍，战斗开始时，获得70点怒气&lt;/color&gt;</t>
        </is>
      </c>
    </row>
    <row r="31">
      <c r="A31" s="1" t="n">
        <v>26</v>
      </c>
      <c r="B31" s="1" t="n">
        <v>504303</v>
      </c>
      <c r="C31" s="1" t="n">
        <v>30226</v>
      </c>
      <c r="D31" s="1" t="n">
        <v>2</v>
      </c>
      <c r="E31" s="1" t="inlineStr">
        <is>
          <t>1001,619134,3</t>
        </is>
      </c>
      <c r="F31" s="1" t="inlineStr">
        <is>
          <t>5,0,10000</t>
        </is>
      </c>
      <c r="G31" s="1" t="n">
        <v>113088</v>
      </c>
      <c r="I31" s="1" t="n">
        <v>0.0015</v>
      </c>
      <c r="K31" s="1" t="inlineStr">
        <is>
          <t>&lt;color=#88622E&gt;[2级增强]造成的雷、火属性伤害每回合提升&lt;/color&gt;&lt;color=#DB5637&gt;30%&lt;/color&gt;&lt;color=#88622E&gt;，PVP战斗中&lt;/color&gt;&lt;color=#DB5637&gt;5&lt;/color&gt;&lt;color=#88622E&gt;回合之后，每回合提升效果增加&lt;/color&gt;&lt;color=#DB5637&gt;2&lt;/color&gt;&lt;color=#88622E&gt;倍，所有属性伤害减免提升&lt;/color&gt;&lt;color=#DB5637&gt;90%&lt;/color&gt;&lt;color=#88622E&gt;，战斗开始时，获得&lt;/color&gt;&lt;color=#DB5637&gt;80&lt;/color&gt;&lt;color=#88622E&gt;点怒气&lt;/color&gt;</t>
        </is>
      </c>
      <c r="L31" s="1" t="inlineStr">
        <is>
          <t>&lt;color=#44433F&gt;[2级增强]造成的雷、火属性伤害每回合提升30%，PVP战斗中5回合之后，每回合提升效果增加2倍，所有属性伤害减免提升90%，战斗开始时，获得80点怒气&lt;/color&gt;</t>
        </is>
      </c>
      <c r="M31" s="1" t="inlineStr">
        <is>
          <t>&lt;color=#88622E&gt;[2级增强]造成的雷、火属性伤害每回合提升&lt;/color&gt;&lt;color=#DB5637&gt;25%&lt;/color&gt;&lt;color=#88622E&gt;，PVP战斗中&lt;/color&gt;&lt;color=#DB5637&gt;5&lt;/color&gt;&lt;color=#88622E&gt;回合之后，每回合提升效果增加&lt;/color&gt;&lt;color=#DB5637&gt;2&lt;/color&gt;&lt;color=#88622E&gt;倍，战斗开始时，获得&lt;/color&gt;&lt;color=#DB5637&gt;80&lt;/color&gt;&lt;color=#88622E&gt;点怒气&lt;/color&gt;</t>
        </is>
      </c>
      <c r="N31" s="1" t="inlineStr">
        <is>
          <t>&lt;color=#44433F&gt;[2级增强]造成的雷、火属性伤害每回合提升25%，PVP战斗中5回合之后，每回合提升效果增加2倍，战斗开始时，获得80点怒气&lt;/color&gt;</t>
        </is>
      </c>
    </row>
    <row r="32">
      <c r="A32" s="1" t="n">
        <v>27</v>
      </c>
      <c r="B32" s="1" t="n">
        <v>504303</v>
      </c>
      <c r="C32" s="1" t="n">
        <v>30227</v>
      </c>
      <c r="D32" s="1" t="n">
        <v>3</v>
      </c>
      <c r="E32" s="1" t="inlineStr">
        <is>
          <t>1001,619134,5</t>
        </is>
      </c>
      <c r="F32" s="1" t="inlineStr">
        <is>
          <t>5,0,10000</t>
        </is>
      </c>
      <c r="G32" s="1" t="n">
        <v>113088</v>
      </c>
      <c r="I32" s="1" t="n">
        <v>0.002</v>
      </c>
      <c r="K32" s="1" t="inlineStr">
        <is>
          <t>&lt;color=#88622E&gt;[3级增强]造成的雷、火属性伤害每回合提升&lt;/color&gt;&lt;color=#DB5637&gt;35%&lt;/color&gt;&lt;color=#88622E&gt;，PVP战斗中&lt;/color&gt;&lt;color=#DB5637&gt;5&lt;/color&gt;&lt;color=#88622E&gt;回合之后，每回合提升效果增加&lt;/color&gt;&lt;color=#DB5637&gt;2&lt;/color&gt;&lt;color=#88622E&gt;倍，所有属性伤害减免提升&lt;/color&gt;&lt;color=#DB5637&gt;100%&lt;/color&gt;&lt;color=#88622E&gt;，战斗开始时，获得&lt;/color&gt;&lt;color=#DB5637&gt;90&lt;/color&gt;&lt;color=#88622E&gt;点怒气&lt;/color&gt;</t>
        </is>
      </c>
      <c r="L32" s="1" t="inlineStr">
        <is>
          <t>&lt;color=#44433F&gt;[3级增强]造成的雷、火属性伤害每回合提升35%，PVP战斗中5回合之后，每回合提升效果增加2倍，所有属性伤害减免提升100%，战斗开始时，获得90点怒气&lt;/color&gt;</t>
        </is>
      </c>
      <c r="M32" s="1" t="inlineStr">
        <is>
          <t>&lt;color=#88622E&gt;[3级增强]造成的雷、火属性伤害每回合提升&lt;/color&gt;&lt;color=#DB5637&gt;30%&lt;/color&gt;&lt;color=#88622E&gt;，PVP战斗中&lt;/color&gt;&lt;color=#DB5637&gt;5&lt;/color&gt;&lt;color=#88622E&gt;回合之后，每回合提升效果增加&lt;/color&gt;&lt;color=#DB5637&gt;2&lt;/color&gt;&lt;color=#88622E&gt;倍，战斗开始时，获得&lt;/color&gt;&lt;color=#DB5637&gt;90&lt;/color&gt;&lt;color=#88622E&gt;点怒气&lt;/color&gt;</t>
        </is>
      </c>
      <c r="N32" s="1" t="inlineStr">
        <is>
          <t>&lt;color=#44433F&gt;[3级增强]造成的雷、火属性伤害每回合提升30%，PVP战斗中5回合之后，每回合提升效果增加2倍，战斗开始时，获得90点怒气&lt;/color&gt;</t>
        </is>
      </c>
    </row>
    <row r="33">
      <c r="A33" s="1" t="n">
        <v>28</v>
      </c>
      <c r="B33" s="1" t="n">
        <v>504303</v>
      </c>
      <c r="C33" s="1" t="n">
        <v>30228</v>
      </c>
      <c r="D33" s="1" t="n">
        <v>4</v>
      </c>
      <c r="E33" s="1" t="inlineStr"/>
      <c r="F33" s="1" t="inlineStr"/>
      <c r="G33" s="1" t="n">
        <v>113088</v>
      </c>
      <c r="I33" s="1" t="n">
        <v>0.0025</v>
      </c>
      <c r="K33" s="1" t="inlineStr">
        <is>
          <t>&lt;color=#88622E&gt;[4级增强]造成的雷、火属性伤害每回合提升&lt;/color&gt;&lt;color=#DB5637&gt;40%&lt;/color&gt;&lt;color=#88622E&gt;，PVP战斗中&lt;/color&gt;&lt;color=#DB5637&gt;5&lt;/color&gt;&lt;color=#88622E&gt;回合之后，每回合提升效果增加&lt;/color&gt;&lt;color=#DB5637&gt;2&lt;/color&gt;&lt;color=#88622E&gt;倍，所有属性伤害减免提升&lt;/color&gt;&lt;color=#DB5637&gt;110%&lt;/color&gt;&lt;color=#88622E&gt;，战斗开始时，获得&lt;/color&gt;&lt;color=#DB5637&gt;100&lt;/color&gt;&lt;color=#88622E&gt;点怒气&lt;/color&gt;</t>
        </is>
      </c>
      <c r="L33" s="1" t="inlineStr">
        <is>
          <t>&lt;color=#44433F&gt;[4级增强]造成的雷、火属性伤害每回合提升40%，PVP战斗中5回合之后，每回合提升效果增加2倍，所有属性伤害减免提升110%，战斗开始时，获得100点怒气&lt;/color&gt;</t>
        </is>
      </c>
      <c r="M33" s="1" t="inlineStr">
        <is>
          <t>&lt;color=#88622E&gt;[4级增强]造成的雷、火属性伤害每回合提升&lt;/color&gt;&lt;color=#DB5637&gt;35%&lt;/color&gt;&lt;color=#88622E&gt;，PVP战斗中&lt;/color&gt;&lt;color=#DB5637&gt;5&lt;/color&gt;&lt;color=#88622E&gt;回合之后，每回合提升效果增加&lt;/color&gt;&lt;color=#DB5637&gt;2&lt;/color&gt;&lt;color=#88622E&gt;倍，战斗开始时，获得&lt;/color&gt;&lt;color=#DB5637&gt;100&lt;/color&gt;&lt;color=#88622E&gt;点怒气&lt;/color&gt;</t>
        </is>
      </c>
      <c r="N33" s="1" t="inlineStr">
        <is>
          <t>&lt;color=#44433F&gt;[4级增强]造成的雷、火属性伤害每回合提升35%，PVP战斗中5回合之后，每回合提升效果增加2倍，战斗开始时，获得100点怒气&lt;/color&gt;</t>
        </is>
      </c>
    </row>
    <row r="34">
      <c r="A34" s="1" t="n">
        <v>29</v>
      </c>
      <c r="B34" s="1" t="n">
        <v>504304</v>
      </c>
      <c r="C34" s="1" t="n">
        <v>30229</v>
      </c>
      <c r="D34" s="1" t="n">
        <v>1</v>
      </c>
      <c r="E34" s="1" t="inlineStr">
        <is>
          <t>1001,619134,1</t>
        </is>
      </c>
      <c r="F34" s="1" t="inlineStr">
        <is>
          <t>5,0,10000</t>
        </is>
      </c>
      <c r="G34" s="1" t="n">
        <v>113088</v>
      </c>
      <c r="I34" s="1" t="n">
        <v>0.001</v>
      </c>
      <c r="K34" s="1" t="inlineStr">
        <is>
          <t>&lt;color=#88622E&gt;[1级增强]首回合开始时，对敌方全体造成大妈最大生命&lt;/color&gt;&lt;color=#DB5637&gt;20%&lt;/color&gt;&lt;color=#88622E&gt;的真实伤害，且大妈获得必中效果，持续&lt;/color&gt;&lt;color=#DB5637&gt;2&lt;/color&gt;&lt;color=#88622E&gt;回合&lt;/color&gt;</t>
        </is>
      </c>
      <c r="L34" s="1" t="inlineStr">
        <is>
          <t>&lt;color=#44433F&gt;[1级增强]首回合开始时，对敌方全体造成大妈最大生命20%的真实伤害，且大妈获得必中效果，持续2回合&lt;/color&gt;</t>
        </is>
      </c>
      <c r="M34" s="1" t="inlineStr">
        <is>
          <t>&lt;color=#88622E&gt;[1级增强]首回合开始时，对敌方全体造成大妈最大生命&lt;/color&gt;&lt;color=#DB5637&gt;20%&lt;/color&gt;&lt;color=#88622E&gt;的真实伤害&lt;/color&gt;</t>
        </is>
      </c>
      <c r="N34" s="1" t="inlineStr">
        <is>
          <t>&lt;color=#44433F&gt;[1级增强]首回合开始时，对敌方全体造成大妈最大生命20%的真实伤害&lt;/color&gt;</t>
        </is>
      </c>
    </row>
    <row r="35">
      <c r="A35" s="1" t="n">
        <v>30</v>
      </c>
      <c r="B35" s="1" t="n">
        <v>504304</v>
      </c>
      <c r="C35" s="1" t="n">
        <v>30230</v>
      </c>
      <c r="D35" s="1" t="n">
        <v>2</v>
      </c>
      <c r="E35" s="1" t="inlineStr">
        <is>
          <t>1001,619134,2</t>
        </is>
      </c>
      <c r="F35" s="1" t="inlineStr">
        <is>
          <t>5,0,10000</t>
        </is>
      </c>
      <c r="G35" s="1" t="n">
        <v>113088</v>
      </c>
      <c r="I35" s="1" t="n">
        <v>0.0015</v>
      </c>
      <c r="K35" s="1" t="inlineStr">
        <is>
          <t>&lt;color=#88622E&gt;[2级增强]首回合开始时，对敌方全体造成大妈最大生命&lt;/color&gt;&lt;color=#DB5637&gt;24%&lt;/color&gt;&lt;color=#88622E&gt;的真实伤害，且大妈获得必中效果，持续&lt;/color&gt;&lt;color=#DB5637&gt;2&lt;/color&gt;&lt;color=#88622E&gt;回合&lt;/color&gt;</t>
        </is>
      </c>
      <c r="L35" s="1" t="inlineStr">
        <is>
          <t>&lt;color=#44433F&gt;[2级增强]首回合开始时，对敌方全体造成大妈最大生命24%的真实伤害，且大妈获得必中效果，持续2回合&lt;/color&gt;</t>
        </is>
      </c>
      <c r="M35" s="1" t="inlineStr">
        <is>
          <t>&lt;color=#88622E&gt;[2级增强]首回合开始时，对敌方全体造成大妈最大生命&lt;/color&gt;&lt;color=#DB5637&gt;24%&lt;/color&gt;&lt;color=#88622E&gt;的真实伤害&lt;/color&gt;</t>
        </is>
      </c>
      <c r="N35" s="1" t="inlineStr">
        <is>
          <t>&lt;color=#44433F&gt;[2级增强]首回合开始时，对敌方全体造成大妈最大生命24%的真实伤害&lt;/color&gt;</t>
        </is>
      </c>
    </row>
    <row r="36">
      <c r="A36" s="1" t="n">
        <v>31</v>
      </c>
      <c r="B36" s="1" t="n">
        <v>504304</v>
      </c>
      <c r="C36" s="1" t="n">
        <v>30231</v>
      </c>
      <c r="D36" s="1" t="n">
        <v>3</v>
      </c>
      <c r="E36" s="1" t="inlineStr">
        <is>
          <t>1001,619134,4</t>
        </is>
      </c>
      <c r="F36" s="1" t="inlineStr">
        <is>
          <t>5,0,10000</t>
        </is>
      </c>
      <c r="G36" s="1" t="n">
        <v>113088</v>
      </c>
      <c r="I36" s="1" t="n">
        <v>0.002</v>
      </c>
      <c r="K36" s="1" t="inlineStr">
        <is>
          <t>&lt;color=#88622E&gt;[3级增强]首回合开始时，对敌方全体造成大妈最大生命&lt;/color&gt;&lt;color=#DB5637&gt;28%&lt;/color&gt;&lt;color=#88622E&gt;的真实伤害，且大妈获得必中效果，持续&lt;/color&gt;&lt;color=#DB5637&gt;2&lt;/color&gt;&lt;color=#88622E&gt;回合&lt;/color&gt;</t>
        </is>
      </c>
      <c r="L36" s="1" t="inlineStr">
        <is>
          <t>&lt;color=#44433F&gt;[3级增强]首回合开始时，对敌方全体造成大妈最大生命28%的真实伤害，且大妈获得必中效果，持续2回合&lt;/color&gt;</t>
        </is>
      </c>
      <c r="M36" s="1" t="inlineStr">
        <is>
          <t>&lt;color=#88622E&gt;[3级增强]首回合开始时，对敌方全体造成大妈最大生命&lt;/color&gt;&lt;color=#DB5637&gt;28%&lt;/color&gt;&lt;color=#88622E&gt;的真实伤害&lt;/color&gt;</t>
        </is>
      </c>
      <c r="N36" s="1" t="inlineStr">
        <is>
          <t>&lt;color=#44433F&gt;[3级增强]首回合开始时，对敌方全体造成大妈最大生命28%的真实伤害&lt;/color&gt;</t>
        </is>
      </c>
    </row>
    <row r="37">
      <c r="A37" s="1" t="n">
        <v>32</v>
      </c>
      <c r="B37" s="1" t="n">
        <v>504304</v>
      </c>
      <c r="C37" s="1" t="n">
        <v>30232</v>
      </c>
      <c r="D37" s="1" t="n">
        <v>4</v>
      </c>
      <c r="E37" s="1" t="inlineStr"/>
      <c r="F37" s="1" t="inlineStr"/>
      <c r="G37" s="1" t="n">
        <v>113088</v>
      </c>
      <c r="I37" s="1" t="n">
        <v>0.0025</v>
      </c>
      <c r="K37" s="1" t="inlineStr">
        <is>
          <t>&lt;color=#88622E&gt;[4级增强]首回合开始时，对敌方全体造成大妈最大生命&lt;/color&gt;&lt;color=#DB5637&gt;32%&lt;/color&gt;&lt;color=#88622E&gt;的真实伤害，且大妈获得必中效果，持续&lt;/color&gt;&lt;color=#DB5637&gt;2&lt;/color&gt;&lt;color=#88622E&gt;回合&lt;/color&gt;</t>
        </is>
      </c>
      <c r="L37" s="1" t="inlineStr">
        <is>
          <t>&lt;color=#44433F&gt;[4级增强]首回合开始时，对敌方全体造成大妈最大生命32%的真实伤害，且大妈获得必中效果，持续2回合&lt;/color&gt;</t>
        </is>
      </c>
      <c r="M37" s="1" t="inlineStr">
        <is>
          <t>&lt;color=#88622E&gt;[4级增强]首回合开始时，对敌方全体造成大妈最大生命&lt;/color&gt;&lt;color=#DB5637&gt;32%&lt;/color&gt;&lt;color=#88622E&gt;的真实伤害&lt;/color&gt;</t>
        </is>
      </c>
      <c r="N37" s="1" t="inlineStr">
        <is>
          <t>&lt;color=#44433F&gt;[4级增强]首回合开始时，对敌方全体造成大妈最大生命32%的真实伤害&lt;/color&gt;</t>
        </is>
      </c>
    </row>
    <row r="38">
      <c r="A38" s="1" t="n">
        <v>33</v>
      </c>
      <c r="B38" s="1" t="n">
        <v>504501</v>
      </c>
      <c r="C38" s="1" t="n">
        <v>82550</v>
      </c>
      <c r="D38" s="1" t="n">
        <v>1</v>
      </c>
      <c r="E38" s="1" t="inlineStr">
        <is>
          <t>1001,619134,2</t>
        </is>
      </c>
      <c r="F38" s="1" t="inlineStr">
        <is>
          <t>5,0,10000</t>
        </is>
      </c>
      <c r="G38" s="1" t="n">
        <v>113100</v>
      </c>
      <c r="I38" s="1" t="n">
        <v>0.001</v>
      </c>
      <c r="K38" s="1" t="inlineStr">
        <is>
          <t>[1级增强]从第1回合开始时，自身速度提升15%，持续4回合。</t>
        </is>
      </c>
      <c r="L38" s="1" t="inlineStr">
        <is>
          <t>[1级增强]从第1回合开始时，自身速度提升15%，持续4回合。</t>
        </is>
      </c>
      <c r="M38" s="1" t="inlineStr">
        <is>
          <t>[1级增强]从第1回合开始时，自身速度提升15%，持续4回合。</t>
        </is>
      </c>
      <c r="N38" s="1" t="inlineStr">
        <is>
          <t>[1级增强]从第1回合开始时，自身速度提升15%，持续4回合。</t>
        </is>
      </c>
    </row>
    <row r="39" s="14">
      <c r="A39" s="1" t="n">
        <v>34</v>
      </c>
      <c r="B39" s="1" t="n">
        <v>504501</v>
      </c>
      <c r="C39" s="1" t="n">
        <v>82551</v>
      </c>
      <c r="D39" s="1" t="n">
        <v>2</v>
      </c>
      <c r="E39" s="1" t="inlineStr">
        <is>
          <t>1001,619134,3</t>
        </is>
      </c>
      <c r="F39" s="1" t="inlineStr">
        <is>
          <t>5,0,10000</t>
        </is>
      </c>
      <c r="G39" s="1" t="n">
        <v>113100</v>
      </c>
      <c r="I39" s="1" t="n">
        <v>0.0015</v>
      </c>
      <c r="K39" s="1" t="inlineStr">
        <is>
          <t>[2级增强]从第1回合开始时，自身速度提升20%，持续4回合。</t>
        </is>
      </c>
      <c r="L39" s="1" t="inlineStr">
        <is>
          <t>[2级增强]从第1回合开始时，自身速度提升20%，持续4回合。</t>
        </is>
      </c>
      <c r="M39" s="1" t="inlineStr">
        <is>
          <t>[2级增强]从第1回合开始时，自身速度提升20%，持续4回合。</t>
        </is>
      </c>
      <c r="N39" s="1" t="inlineStr">
        <is>
          <t>[2级增强]从第1回合开始时，自身速度提升20%，持续4回合。</t>
        </is>
      </c>
    </row>
    <row r="40" s="14">
      <c r="A40" s="1" t="n">
        <v>35</v>
      </c>
      <c r="B40" s="1" t="n">
        <v>504501</v>
      </c>
      <c r="C40" s="1" t="n">
        <v>82552</v>
      </c>
      <c r="D40" s="1" t="n">
        <v>3</v>
      </c>
      <c r="E40" s="1" t="inlineStr">
        <is>
          <t>1001,619134,5</t>
        </is>
      </c>
      <c r="F40" s="1" t="inlineStr">
        <is>
          <t>5,0,10000</t>
        </is>
      </c>
      <c r="G40" s="1" t="n">
        <v>113100</v>
      </c>
      <c r="I40" s="1" t="n">
        <v>0.002</v>
      </c>
      <c r="K40" s="1" t="inlineStr">
        <is>
          <t>[3级增强]从第1回合开始时，自身速度提升25%，持续4回合。</t>
        </is>
      </c>
      <c r="L40" s="1" t="inlineStr">
        <is>
          <t>[3级增强]从第1回合开始时，自身速度提升25%，持续4回合。</t>
        </is>
      </c>
      <c r="M40" s="1" t="inlineStr">
        <is>
          <t>[3级增强]从第1回合开始时，自身速度提升25%，持续4回合。</t>
        </is>
      </c>
      <c r="N40" s="1" t="inlineStr">
        <is>
          <t>[3级增强]从第1回合开始时，自身速度提升25%，持续4回合。</t>
        </is>
      </c>
    </row>
    <row r="41" s="14">
      <c r="A41" s="1" t="n">
        <v>36</v>
      </c>
      <c r="B41" s="1" t="n">
        <v>504501</v>
      </c>
      <c r="C41" s="1" t="n">
        <v>82553</v>
      </c>
      <c r="D41" s="1" t="n">
        <v>4</v>
      </c>
      <c r="E41" s="1" t="inlineStr"/>
      <c r="F41" s="1" t="inlineStr"/>
      <c r="G41" s="1" t="n">
        <v>113100</v>
      </c>
      <c r="I41" s="1" t="n">
        <v>0.0025</v>
      </c>
      <c r="K41" s="1" t="inlineStr">
        <is>
          <t>[4级增强]从第1回合开始时，自身速度提升30%，持续4回合。</t>
        </is>
      </c>
      <c r="L41" s="1" t="inlineStr">
        <is>
          <t>[4级增强]从第1回合开始时，自身速度提升30%，持续4回合。</t>
        </is>
      </c>
      <c r="M41" s="1" t="inlineStr">
        <is>
          <t>[4级增强]从第1回合开始时，自身速度提升30%，持续4回合。</t>
        </is>
      </c>
      <c r="N41" s="1" t="inlineStr">
        <is>
          <t>[4级增强]从第1回合开始时，自身速度提升30%，持续4回合。</t>
        </is>
      </c>
    </row>
    <row r="42" s="14">
      <c r="A42" s="1" t="n">
        <v>37</v>
      </c>
      <c r="B42" s="1" t="n">
        <v>504502</v>
      </c>
      <c r="C42" s="1" t="n">
        <v>82554</v>
      </c>
      <c r="D42" s="1" t="n">
        <v>1</v>
      </c>
      <c r="E42" s="1" t="inlineStr">
        <is>
          <t>1001,619134,1</t>
        </is>
      </c>
      <c r="F42" s="1" t="inlineStr">
        <is>
          <t>5,0,10000</t>
        </is>
      </c>
      <c r="G42" s="1" t="n">
        <v>113100</v>
      </c>
      <c r="I42" s="1" t="n">
        <v>0.001</v>
      </c>
      <c r="K42" s="1" t="inlineStr">
        <is>
          <t>[1级增强]使天赋海之霸者有70%的概率不受下回合无法施加的影响。</t>
        </is>
      </c>
      <c r="L42" s="1" t="inlineStr">
        <is>
          <t>[1级增强]使天赋海之霸者有70%的概率不受下回合无法施加的影响。</t>
        </is>
      </c>
      <c r="M42" s="1" t="inlineStr">
        <is>
          <t>[1级增强]使天赋海之霸者有70%的概率不受下回合无法施加的影响。</t>
        </is>
      </c>
      <c r="N42" s="1" t="inlineStr">
        <is>
          <t>[1级增强]使天赋海之霸者有70%的概率不受下回合无法施加的影响。</t>
        </is>
      </c>
    </row>
    <row r="43" s="14">
      <c r="A43" s="1" t="n">
        <v>38</v>
      </c>
      <c r="B43" s="1" t="n">
        <v>504502</v>
      </c>
      <c r="C43" s="1" t="n">
        <v>82555</v>
      </c>
      <c r="D43" s="1" t="n">
        <v>2</v>
      </c>
      <c r="E43" s="1" t="inlineStr">
        <is>
          <t>1001,619134,2</t>
        </is>
      </c>
      <c r="F43" s="1" t="inlineStr">
        <is>
          <t>5,0,10000</t>
        </is>
      </c>
      <c r="G43" s="1" t="n">
        <v>113100</v>
      </c>
      <c r="I43" s="1" t="n">
        <v>0.0015</v>
      </c>
      <c r="K43" s="1" t="inlineStr">
        <is>
          <t>[2级增强]使天赋海之霸者有80%的概率不受下回合无法施加的影响。</t>
        </is>
      </c>
      <c r="L43" s="1" t="inlineStr">
        <is>
          <t>[2级增强]使天赋海之霸者有80%的概率不受下回合无法施加的影响。</t>
        </is>
      </c>
      <c r="M43" s="1" t="inlineStr">
        <is>
          <t>[2级增强]使天赋海之霸者有80%的概率不受下回合无法施加的影响。</t>
        </is>
      </c>
      <c r="N43" s="1" t="inlineStr">
        <is>
          <t>[2级增强]使天赋海之霸者有80%的概率不受下回合无法施加的影响。</t>
        </is>
      </c>
    </row>
    <row r="44" s="14">
      <c r="A44" s="1" t="n">
        <v>39</v>
      </c>
      <c r="B44" s="1" t="n">
        <v>504502</v>
      </c>
      <c r="C44" s="1" t="n">
        <v>82556</v>
      </c>
      <c r="D44" s="1" t="n">
        <v>3</v>
      </c>
      <c r="E44" s="1" t="inlineStr">
        <is>
          <t>1001,619134,4</t>
        </is>
      </c>
      <c r="F44" s="1" t="inlineStr">
        <is>
          <t>5,0,10000</t>
        </is>
      </c>
      <c r="G44" s="1" t="n">
        <v>113100</v>
      </c>
      <c r="I44" s="1" t="n">
        <v>0.002</v>
      </c>
      <c r="K44" s="1" t="inlineStr">
        <is>
          <t>[3级增强]使天赋海之霸者有90%的概率不受下回合无法施加的影响。</t>
        </is>
      </c>
      <c r="L44" s="1" t="inlineStr">
        <is>
          <t>[3级增强]使天赋海之霸者有90%的概率不受下回合无法施加的影响。</t>
        </is>
      </c>
      <c r="M44" s="1" t="inlineStr">
        <is>
          <t>[3级增强]使天赋海之霸者有90%的概率不受下回合无法施加的影响。</t>
        </is>
      </c>
      <c r="N44" s="1" t="inlineStr">
        <is>
          <t>[3级增强]使天赋海之霸者有90%的概率不受下回合无法施加的影响。</t>
        </is>
      </c>
    </row>
    <row r="45" s="14">
      <c r="A45" s="1" t="n">
        <v>40</v>
      </c>
      <c r="B45" s="1" t="n">
        <v>504502</v>
      </c>
      <c r="C45" s="1" t="n">
        <v>82557</v>
      </c>
      <c r="D45" s="1" t="n">
        <v>4</v>
      </c>
      <c r="E45" s="1" t="inlineStr"/>
      <c r="F45" s="1" t="inlineStr"/>
      <c r="G45" s="1" t="n">
        <v>113100</v>
      </c>
      <c r="I45" s="1" t="n">
        <v>0.0025</v>
      </c>
      <c r="K45" s="1" t="inlineStr">
        <is>
          <t>[4级增强]使天赋海之霸者有100%的概率不受下回合无法施加的影响。</t>
        </is>
      </c>
      <c r="L45" s="1" t="inlineStr">
        <is>
          <t>[4级增强]使天赋海之霸者有100%的概率不受下回合无法施加的影响。</t>
        </is>
      </c>
      <c r="M45" s="1" t="inlineStr">
        <is>
          <t>[4级增强]使天赋海之霸者有100%的概率不受下回合无法施加的影响。</t>
        </is>
      </c>
      <c r="N45" s="1" t="inlineStr">
        <is>
          <t>[4级增强]使天赋海之霸者有100%的概率不受下回合无法施加的影响。</t>
        </is>
      </c>
    </row>
    <row r="46" s="14">
      <c r="A46" s="1" t="n">
        <v>41</v>
      </c>
      <c r="B46" s="1" t="n">
        <v>504503</v>
      </c>
      <c r="C46" s="1" t="n">
        <v>82558</v>
      </c>
      <c r="D46" s="1" t="n">
        <v>1</v>
      </c>
      <c r="E46" s="1" t="inlineStr">
        <is>
          <t>1001,619134,2</t>
        </is>
      </c>
      <c r="F46" s="1" t="inlineStr">
        <is>
          <t>5,0,10000</t>
        </is>
      </c>
      <c r="G46" s="1" t="n">
        <v>113100</v>
      </c>
      <c r="I46" s="1" t="n">
        <v>0.001</v>
      </c>
      <c r="K46" s="1" t="inlineStr">
        <is>
          <t>[1级增强]免疫打断，首回合开始时，获得最大生命值60%的护盾。</t>
        </is>
      </c>
      <c r="L46" s="1" t="inlineStr">
        <is>
          <t>[1级增强]免疫打断，首回合开始时，获得最大生命值60%的护盾。</t>
        </is>
      </c>
      <c r="M46" s="1" t="inlineStr">
        <is>
          <t>[1级增强]免疫打断，首回合开始时，获得最大生命值60%的护盾。</t>
        </is>
      </c>
      <c r="N46" s="1" t="inlineStr">
        <is>
          <t>[1级增强]免疫打断，首回合开始时，获得最大生命值60%的护盾。</t>
        </is>
      </c>
    </row>
    <row r="47" s="14">
      <c r="A47" s="1" t="n">
        <v>42</v>
      </c>
      <c r="B47" s="1" t="n">
        <v>504503</v>
      </c>
      <c r="C47" s="1" t="n">
        <v>82559</v>
      </c>
      <c r="D47" s="1" t="n">
        <v>2</v>
      </c>
      <c r="E47" s="1" t="inlineStr">
        <is>
          <t>1001,619134,3</t>
        </is>
      </c>
      <c r="F47" s="1" t="inlineStr">
        <is>
          <t>5,0,10000</t>
        </is>
      </c>
      <c r="G47" s="1" t="n">
        <v>113100</v>
      </c>
      <c r="I47" s="1" t="n">
        <v>0.0015</v>
      </c>
      <c r="K47" s="1" t="inlineStr">
        <is>
          <t>[2级增强]免疫打断，首回合开始时，获得最大生命值80%的护盾。</t>
        </is>
      </c>
      <c r="L47" s="1" t="inlineStr">
        <is>
          <t>[2级增强]免疫打断，首回合开始时，获得最大生命值80%的护盾。</t>
        </is>
      </c>
      <c r="M47" s="1" t="inlineStr">
        <is>
          <t>[2级增强]免疫打断，首回合开始时，获得最大生命值80%的护盾。</t>
        </is>
      </c>
      <c r="N47" s="1" t="inlineStr">
        <is>
          <t>[2级增强]免疫打断，首回合开始时，获得最大生命值80%的护盾。</t>
        </is>
      </c>
    </row>
    <row r="48" s="14">
      <c r="A48" s="1" t="n">
        <v>43</v>
      </c>
      <c r="B48" s="1" t="n">
        <v>504503</v>
      </c>
      <c r="C48" s="1" t="n">
        <v>82560</v>
      </c>
      <c r="D48" s="1" t="n">
        <v>3</v>
      </c>
      <c r="E48" s="1" t="inlineStr">
        <is>
          <t>1001,619134,5</t>
        </is>
      </c>
      <c r="F48" s="1" t="inlineStr">
        <is>
          <t>5,0,10000</t>
        </is>
      </c>
      <c r="G48" s="1" t="n">
        <v>113100</v>
      </c>
      <c r="I48" s="1" t="n">
        <v>0.002</v>
      </c>
      <c r="K48" s="1" t="inlineStr">
        <is>
          <t>[3级增强]免疫打断，首回合开始时，获得最大生命值100%的护盾。</t>
        </is>
      </c>
      <c r="L48" s="1" t="inlineStr">
        <is>
          <t>[3级增强]免疫打断，首回合开始时，获得最大生命值100%的护盾。</t>
        </is>
      </c>
      <c r="M48" s="1" t="inlineStr">
        <is>
          <t>[3级增强]免疫打断，首回合开始时，获得最大生命值100%的护盾。</t>
        </is>
      </c>
      <c r="N48" s="1" t="inlineStr">
        <is>
          <t>[3级增强]免疫打断，首回合开始时，获得最大生命值100%的护盾。</t>
        </is>
      </c>
    </row>
    <row r="49" s="14">
      <c r="A49" s="1" t="n">
        <v>44</v>
      </c>
      <c r="B49" s="1" t="n">
        <v>504503</v>
      </c>
      <c r="C49" s="1" t="n">
        <v>82561</v>
      </c>
      <c r="D49" s="1" t="n">
        <v>4</v>
      </c>
      <c r="E49" s="1" t="inlineStr"/>
      <c r="F49" s="1" t="inlineStr"/>
      <c r="G49" s="1" t="n">
        <v>113100</v>
      </c>
      <c r="I49" s="1" t="n">
        <v>0.0025</v>
      </c>
      <c r="K49" s="1" t="inlineStr">
        <is>
          <t>[4级增强]免疫打断，首回合开始时，获得最大生命值120%的护盾。</t>
        </is>
      </c>
      <c r="L49" s="1" t="inlineStr">
        <is>
          <t>[4级增强]免疫打断，首回合开始时，获得最大生命值120%的护盾。</t>
        </is>
      </c>
      <c r="M49" s="1" t="inlineStr">
        <is>
          <t>[4级增强]免疫打断，首回合开始时，获得最大生命值120%的护盾。</t>
        </is>
      </c>
      <c r="N49" s="1" t="inlineStr">
        <is>
          <t>[4级增强]免疫打断，首回合开始时，获得最大生命值120%的护盾。</t>
        </is>
      </c>
    </row>
    <row r="50" s="14">
      <c r="A50" s="1" t="n">
        <v>45</v>
      </c>
      <c r="B50" s="1" t="n">
        <v>504504</v>
      </c>
      <c r="C50" s="1" t="n">
        <v>82562</v>
      </c>
      <c r="D50" s="1" t="n">
        <v>1</v>
      </c>
      <c r="E50" s="1" t="inlineStr">
        <is>
          <t>1001,619134,1</t>
        </is>
      </c>
      <c r="F50" s="1" t="inlineStr">
        <is>
          <t>5,0,10000</t>
        </is>
      </c>
      <c r="G50" s="1" t="n">
        <v>113100</v>
      </c>
      <c r="I50" s="1" t="n">
        <v>0.001</v>
      </c>
      <c r="K50" s="1" t="inlineStr">
        <is>
          <t>[1级增强]战斗开始时，额外获得1层万物之声，且暴击伤害提升5%。</t>
        </is>
      </c>
      <c r="L50" s="1" t="inlineStr">
        <is>
          <t>[1级增强]战斗开始时，额外获得1层万物之声，且暴击伤害提升5%。</t>
        </is>
      </c>
      <c r="M50" s="1" t="inlineStr">
        <is>
          <t>[1级增强]战斗开始时，额外获得1层万物之声，且暴击伤害提升5%。</t>
        </is>
      </c>
      <c r="N50" s="1" t="inlineStr">
        <is>
          <t>[1级增强]战斗开始时，额外获得1层万物之声，且暴击伤害提升5%。</t>
        </is>
      </c>
    </row>
    <row r="51" s="14">
      <c r="A51" s="1" t="n">
        <v>46</v>
      </c>
      <c r="B51" s="1" t="n">
        <v>504504</v>
      </c>
      <c r="C51" s="1" t="n">
        <v>82563</v>
      </c>
      <c r="D51" s="1" t="n">
        <v>2</v>
      </c>
      <c r="E51" s="1" t="inlineStr">
        <is>
          <t>1001,619134,2</t>
        </is>
      </c>
      <c r="F51" s="1" t="inlineStr">
        <is>
          <t>5,0,10000</t>
        </is>
      </c>
      <c r="G51" s="1" t="n">
        <v>113100</v>
      </c>
      <c r="I51" s="1" t="n">
        <v>0.0015</v>
      </c>
      <c r="K51" s="1" t="inlineStr">
        <is>
          <t>[2级增强]战斗开始时，额外获得1层万物之声，且暴击伤害提升15%。</t>
        </is>
      </c>
      <c r="L51" s="1" t="inlineStr">
        <is>
          <t>[2级增强]战斗开始时，额外获得1层万物之声，且暴击伤害提升15%。</t>
        </is>
      </c>
      <c r="M51" s="1" t="inlineStr">
        <is>
          <t>[2级增强]战斗开始时，额外获得1层万物之声，且暴击伤害提升15%。</t>
        </is>
      </c>
      <c r="N51" s="1" t="inlineStr">
        <is>
          <t>[2级增强]战斗开始时，额外获得1层万物之声，且暴击伤害提升15%。</t>
        </is>
      </c>
    </row>
    <row r="52" s="14">
      <c r="A52" s="1" t="n">
        <v>47</v>
      </c>
      <c r="B52" s="1" t="n">
        <v>504504</v>
      </c>
      <c r="C52" s="1" t="n">
        <v>82564</v>
      </c>
      <c r="D52" s="1" t="n">
        <v>3</v>
      </c>
      <c r="E52" s="1" t="inlineStr">
        <is>
          <t>1001,619134,4</t>
        </is>
      </c>
      <c r="F52" s="1" t="inlineStr">
        <is>
          <t>5,0,10000</t>
        </is>
      </c>
      <c r="G52" s="1" t="n">
        <v>113100</v>
      </c>
      <c r="I52" s="1" t="n">
        <v>0.002</v>
      </c>
      <c r="K52" s="1" t="inlineStr">
        <is>
          <t>[3级增强]战斗开始时，额外获得1层万物之声，且暴击伤害提升25%。</t>
        </is>
      </c>
      <c r="L52" s="1" t="inlineStr">
        <is>
          <t>[3级增强]战斗开始时，额外获得1层万物之声，且暴击伤害提升25%。</t>
        </is>
      </c>
      <c r="M52" s="1" t="inlineStr">
        <is>
          <t>[3级增强]战斗开始时，额外获得1层万物之声，且暴击伤害提升25%。</t>
        </is>
      </c>
      <c r="N52" s="1" t="inlineStr">
        <is>
          <t>[3级增强]战斗开始时，额外获得1层万物之声，且暴击伤害提升25%。</t>
        </is>
      </c>
    </row>
    <row r="53" s="14">
      <c r="A53" s="1" t="n">
        <v>48</v>
      </c>
      <c r="B53" s="1" t="n">
        <v>504504</v>
      </c>
      <c r="C53" s="1" t="n">
        <v>82565</v>
      </c>
      <c r="D53" s="1" t="n">
        <v>4</v>
      </c>
      <c r="F53" s="1" t="inlineStr"/>
      <c r="G53" s="1" t="n">
        <v>113100</v>
      </c>
      <c r="I53" s="1" t="n">
        <v>0.0025</v>
      </c>
      <c r="K53" s="1" t="inlineStr">
        <is>
          <t>[4级增强]战斗开始时，额外获得1层万物之声，且暴击伤害提升35%。</t>
        </is>
      </c>
      <c r="L53" s="1" t="inlineStr">
        <is>
          <t>[4级增强]战斗开始时，额外获得1层万物之声，且暴击伤害提升35%。</t>
        </is>
      </c>
      <c r="M53" s="1" t="inlineStr">
        <is>
          <t>[4级增强]战斗开始时，额外获得1层万物之声，且暴击伤害提升35%。</t>
        </is>
      </c>
      <c r="N53" s="1" t="inlineStr">
        <is>
          <t>[4级增强]战斗开始时，额外获得1层万物之声，且暴击伤害提升35%。</t>
        </is>
      </c>
    </row>
    <row r="54" s="14">
      <c r="A54" s="1" t="n">
        <v>49</v>
      </c>
      <c r="B54" s="1" t="n">
        <v>504601</v>
      </c>
      <c r="C54" s="1" t="n">
        <v>30243</v>
      </c>
      <c r="D54" s="1" t="n">
        <v>1</v>
      </c>
      <c r="E54" s="1" t="inlineStr">
        <is>
          <t>1001,619134,2</t>
        </is>
      </c>
      <c r="F54" s="1" t="inlineStr">
        <is>
          <t>5,0,10000</t>
        </is>
      </c>
      <c r="G54" s="1" t="n">
        <v>113110</v>
      </c>
      <c r="I54" s="1" t="n">
        <v>0.001</v>
      </c>
      <c r="K54" s="1" t="inlineStr">
        <is>
          <t>[1级增强]战斗开始时，自身速度提升8%，首回合开始时70%概率使敌方全体陷入【橡胶化】</t>
        </is>
      </c>
      <c r="L54" s="1" t="inlineStr">
        <is>
          <t>[1级增强]战斗开始时，自身速度提升8%，首回合开始时70%概率使敌方全体陷入【橡胶化】</t>
        </is>
      </c>
      <c r="M54" s="1" t="inlineStr">
        <is>
          <t>[1级增强]战斗开始时，自身速度提升8%，首回合开始时70%概率使敌方全体陷入【橡胶化】</t>
        </is>
      </c>
      <c r="N54" s="1" t="inlineStr">
        <is>
          <t>[1级增强]战斗开始时，自身速度提升8%，首回合开始时70%概率使敌方全体陷入【橡胶化】</t>
        </is>
      </c>
    </row>
    <row r="55">
      <c r="A55" s="1" t="n">
        <v>50</v>
      </c>
      <c r="B55" s="1" t="n">
        <v>504601</v>
      </c>
      <c r="C55" s="1" t="n">
        <v>30244</v>
      </c>
      <c r="D55" s="1" t="n">
        <v>2</v>
      </c>
      <c r="E55" s="1" t="inlineStr">
        <is>
          <t>1001,619134,3</t>
        </is>
      </c>
      <c r="F55" s="1" t="inlineStr">
        <is>
          <t>5,0,10000</t>
        </is>
      </c>
      <c r="G55" s="1" t="n">
        <v>113110</v>
      </c>
      <c r="I55" s="1" t="n">
        <v>0.0015</v>
      </c>
      <c r="K55" s="1" t="inlineStr">
        <is>
          <t>[2级增强]战斗开始时，自身速度提升10%，首回合开始时80%概率使敌方全体陷入【橡胶化】</t>
        </is>
      </c>
      <c r="L55" s="1" t="inlineStr">
        <is>
          <t>[2级增强]战斗开始时，自身速度提升10%，首回合开始时80%概率使敌方全体陷入【橡胶化】</t>
        </is>
      </c>
      <c r="M55" s="1" t="inlineStr">
        <is>
          <t>[2级增强]战斗开始时，自身速度提升10%，首回合开始时80%概率使敌方全体陷入【橡胶化】</t>
        </is>
      </c>
      <c r="N55" s="1" t="inlineStr">
        <is>
          <t>[2级增强]战斗开始时，自身速度提升10%，首回合开始时80%概率使敌方全体陷入【橡胶化】</t>
        </is>
      </c>
    </row>
    <row r="56">
      <c r="A56" s="1" t="n">
        <v>51</v>
      </c>
      <c r="B56" s="1" t="n">
        <v>504601</v>
      </c>
      <c r="C56" s="1" t="n">
        <v>30245</v>
      </c>
      <c r="D56" s="1" t="n">
        <v>3</v>
      </c>
      <c r="E56" s="1" t="inlineStr">
        <is>
          <t>1001,619134,5</t>
        </is>
      </c>
      <c r="F56" s="1" t="inlineStr">
        <is>
          <t>5,0,10000</t>
        </is>
      </c>
      <c r="G56" s="1" t="n">
        <v>113110</v>
      </c>
      <c r="I56" s="1" t="n">
        <v>0.002</v>
      </c>
      <c r="K56" s="1" t="inlineStr">
        <is>
          <t>[3级增强]战斗开始时，自身速度提升12%，首回合开始时90%概率使敌方全体陷入【橡胶化】</t>
        </is>
      </c>
      <c r="L56" s="1" t="inlineStr">
        <is>
          <t>[3级增强]战斗开始时，自身速度提升12%，首回合开始时90%概率使敌方全体陷入【橡胶化】</t>
        </is>
      </c>
      <c r="M56" s="1" t="inlineStr">
        <is>
          <t>[3级增强]战斗开始时，自身速度提升12%，首回合开始时90%概率使敌方全体陷入【橡胶化】</t>
        </is>
      </c>
      <c r="N56" s="1" t="inlineStr">
        <is>
          <t>[3级增强]战斗开始时，自身速度提升12%，首回合开始时90%概率使敌方全体陷入【橡胶化】</t>
        </is>
      </c>
    </row>
    <row r="57">
      <c r="A57" s="1" t="n">
        <v>52</v>
      </c>
      <c r="B57" s="1" t="n">
        <v>504601</v>
      </c>
      <c r="C57" s="1" t="n">
        <v>30246</v>
      </c>
      <c r="D57" s="1" t="n">
        <v>4</v>
      </c>
      <c r="E57" s="1" t="inlineStr"/>
      <c r="F57" s="1" t="inlineStr"/>
      <c r="G57" s="1" t="n">
        <v>113110</v>
      </c>
      <c r="I57" s="1" t="n">
        <v>0.0025</v>
      </c>
      <c r="K57" s="1" t="inlineStr">
        <is>
          <t>[4级增强]战斗开始时，自身速度提升15%，首回合开始时100%概率使敌方全体陷入【橡胶化】</t>
        </is>
      </c>
      <c r="L57" s="1" t="inlineStr">
        <is>
          <t>[4级增强]战斗开始时，自身速度提升15%，首回合开始时100%概率使敌方全体陷入【橡胶化】</t>
        </is>
      </c>
      <c r="M57" s="1" t="inlineStr">
        <is>
          <t>[4级增强]战斗开始时，自身速度提升15%，首回合开始时100%概率使敌方全体陷入【橡胶化】</t>
        </is>
      </c>
      <c r="N57" s="1" t="inlineStr">
        <is>
          <t>[4级增强]战斗开始时，自身速度提升15%，首回合开始时100%概率使敌方全体陷入【橡胶化】</t>
        </is>
      </c>
    </row>
    <row r="58">
      <c r="A58" s="1" t="n">
        <v>53</v>
      </c>
      <c r="B58" s="1" t="n">
        <v>504602</v>
      </c>
      <c r="C58" s="1" t="n">
        <v>30247</v>
      </c>
      <c r="D58" s="1" t="n">
        <v>1</v>
      </c>
      <c r="E58" s="1" t="inlineStr">
        <is>
          <t>1001,619134,1</t>
        </is>
      </c>
      <c r="F58" s="1" t="inlineStr">
        <is>
          <t>5,0,10000</t>
        </is>
      </c>
      <c r="G58" s="1" t="n">
        <v>113110</v>
      </c>
      <c r="I58" s="1" t="n">
        <v>0.001</v>
      </c>
      <c r="K58" s="1" t="inlineStr">
        <is>
          <t>[1级增强]战斗开始时70%概率获得1个【雷种】和1层【自由意志】</t>
        </is>
      </c>
      <c r="L58" s="1" t="inlineStr">
        <is>
          <t>[1级增强]战斗开始时70%概率获得1个【雷种】和1层【自由意志】</t>
        </is>
      </c>
      <c r="M58" s="1" t="inlineStr">
        <is>
          <t>[1级增强]战斗开始时70%概率获得1个【雷种】和1层【自由意志】</t>
        </is>
      </c>
      <c r="N58" s="1" t="inlineStr">
        <is>
          <t>[1级增强]战斗开始时70%概率获得1个【雷种】和1层【自由意志】</t>
        </is>
      </c>
    </row>
    <row r="59">
      <c r="A59" s="1" t="n">
        <v>54</v>
      </c>
      <c r="B59" s="1" t="n">
        <v>504602</v>
      </c>
      <c r="C59" s="1" t="n">
        <v>30248</v>
      </c>
      <c r="D59" s="1" t="n">
        <v>2</v>
      </c>
      <c r="E59" s="1" t="inlineStr">
        <is>
          <t>1001,619134,2</t>
        </is>
      </c>
      <c r="F59" s="1" t="inlineStr">
        <is>
          <t>5,0,10000</t>
        </is>
      </c>
      <c r="G59" s="1" t="n">
        <v>113110</v>
      </c>
      <c r="I59" s="1" t="n">
        <v>0.0015</v>
      </c>
      <c r="K59" s="1" t="inlineStr">
        <is>
          <t>[2级增强]战斗开始时80%概率获得1个【雷种】和1层【自由意志】</t>
        </is>
      </c>
      <c r="L59" s="1" t="inlineStr">
        <is>
          <t>[2级增强]战斗开始时80%概率获得1个【雷种】和1层【自由意志】</t>
        </is>
      </c>
      <c r="M59" s="1" t="inlineStr">
        <is>
          <t>[2级增强]战斗开始时80%概率获得1个【雷种】和1层【自由意志】</t>
        </is>
      </c>
      <c r="N59" s="1" t="inlineStr">
        <is>
          <t>[2级增强]战斗开始时80%概率获得1个【雷种】和1层【自由意志】</t>
        </is>
      </c>
    </row>
    <row r="60">
      <c r="A60" s="1" t="n">
        <v>55</v>
      </c>
      <c r="B60" s="1" t="n">
        <v>504602</v>
      </c>
      <c r="C60" s="1" t="n">
        <v>30249</v>
      </c>
      <c r="D60" s="1" t="n">
        <v>3</v>
      </c>
      <c r="E60" s="1" t="inlineStr">
        <is>
          <t>1001,619134,4</t>
        </is>
      </c>
      <c r="F60" s="1" t="inlineStr">
        <is>
          <t>5,0,10000</t>
        </is>
      </c>
      <c r="G60" s="1" t="n">
        <v>113110</v>
      </c>
      <c r="I60" s="1" t="n">
        <v>0.002</v>
      </c>
      <c r="K60" s="1" t="inlineStr">
        <is>
          <t>[3级增强]战斗开始时90%概率获得1个【雷种】和1层【自由意志】</t>
        </is>
      </c>
      <c r="L60" s="1" t="inlineStr">
        <is>
          <t>[3级增强]战斗开始时90%概率获得1个【雷种】和1层【自由意志】</t>
        </is>
      </c>
      <c r="M60" s="1" t="inlineStr">
        <is>
          <t>[3级增强]战斗开始时90%概率获得1个【雷种】和1层【自由意志】</t>
        </is>
      </c>
      <c r="N60" s="1" t="inlineStr">
        <is>
          <t>[3级增强]战斗开始时90%概率获得1个【雷种】和1层【自由意志】</t>
        </is>
      </c>
    </row>
    <row r="61">
      <c r="A61" s="1" t="n">
        <v>56</v>
      </c>
      <c r="B61" s="1" t="n">
        <v>504602</v>
      </c>
      <c r="C61" s="1" t="n">
        <v>30250</v>
      </c>
      <c r="D61" s="1" t="n">
        <v>4</v>
      </c>
      <c r="E61" s="1" t="inlineStr"/>
      <c r="F61" s="1" t="inlineStr"/>
      <c r="G61" s="1" t="n">
        <v>113110</v>
      </c>
      <c r="I61" s="1" t="n">
        <v>0.0025</v>
      </c>
      <c r="K61" s="1" t="inlineStr">
        <is>
          <t>[4级增强]战斗开始时100%概率获得1个【雷种】和1层【自由意志】</t>
        </is>
      </c>
      <c r="L61" s="1" t="inlineStr">
        <is>
          <t>[4级增强]战斗开始时100%概率获得1个【雷种】和1层【自由意志】</t>
        </is>
      </c>
      <c r="M61" s="1" t="inlineStr">
        <is>
          <t>[4级增强]战斗开始时100%概率获得1个【雷种】和1层【自由意志】</t>
        </is>
      </c>
      <c r="N61" s="1" t="inlineStr">
        <is>
          <t>[4级增强]战斗开始时100%概率获得1个【雷种】和1层【自由意志】</t>
        </is>
      </c>
    </row>
    <row r="62">
      <c r="A62" s="1" t="n">
        <v>57</v>
      </c>
      <c r="B62" s="1" t="n">
        <v>504603</v>
      </c>
      <c r="C62" s="1" t="n">
        <v>30251</v>
      </c>
      <c r="D62" s="1" t="n">
        <v>1</v>
      </c>
      <c r="E62" s="1" t="inlineStr">
        <is>
          <t>1001,619134,2</t>
        </is>
      </c>
      <c r="F62" s="1" t="inlineStr">
        <is>
          <t>5,0,10000</t>
        </is>
      </c>
      <c r="G62" s="1" t="n">
        <v>113110</v>
      </c>
      <c r="I62" s="1" t="n">
        <v>0.001</v>
      </c>
      <c r="K62" s="1" t="inlineStr">
        <is>
          <t>[1级增强]【雷电形态】每次行动时70%概率获得2层【雷霆】，魂玉消耗降低2点。</t>
        </is>
      </c>
      <c r="L62" s="1" t="inlineStr">
        <is>
          <t>[1级增强]【雷电形态】每次行动时70%概率获得2层【雷霆】，魂玉消耗降低2点。</t>
        </is>
      </c>
      <c r="M62" s="1" t="inlineStr">
        <is>
          <t>[1级增强]【雷电形态】每次行动时70%概率获得2层【雷霆】，魂玉消耗降低2点。</t>
        </is>
      </c>
      <c r="N62" s="1" t="inlineStr">
        <is>
          <t>[1级增强]【雷电形态】每次行动时70%概率获得2层【雷霆】，魂玉消耗降低2点。</t>
        </is>
      </c>
    </row>
    <row r="63">
      <c r="A63" s="1" t="n">
        <v>58</v>
      </c>
      <c r="B63" s="1" t="n">
        <v>504603</v>
      </c>
      <c r="C63" s="1" t="n">
        <v>30252</v>
      </c>
      <c r="D63" s="1" t="n">
        <v>2</v>
      </c>
      <c r="E63" s="1" t="inlineStr">
        <is>
          <t>1001,619134,3</t>
        </is>
      </c>
      <c r="F63" s="1" t="inlineStr">
        <is>
          <t>5,0,10000</t>
        </is>
      </c>
      <c r="G63" s="1" t="n">
        <v>113110</v>
      </c>
      <c r="I63" s="1" t="n">
        <v>0.0015</v>
      </c>
      <c r="K63" s="1" t="inlineStr">
        <is>
          <t>[2级增强]【雷电形态】每次行动时80%概率获得2层【雷霆】，魂玉消耗降低2点。</t>
        </is>
      </c>
      <c r="L63" s="1" t="inlineStr">
        <is>
          <t>[2级增强]【雷电形态】每次行动时80%概率获得2层【雷霆】，魂玉消耗降低2点。</t>
        </is>
      </c>
      <c r="M63" s="1" t="inlineStr">
        <is>
          <t>[2级增强]【雷电形态】每次行动时80%概率获得2层【雷霆】，魂玉消耗降低2点。</t>
        </is>
      </c>
      <c r="N63" s="1" t="inlineStr">
        <is>
          <t>[2级增强]【雷电形态】每次行动时80%概率获得2层【雷霆】，魂玉消耗降低2点。</t>
        </is>
      </c>
    </row>
    <row r="64">
      <c r="A64" s="1" t="n">
        <v>59</v>
      </c>
      <c r="B64" s="1" t="n">
        <v>504603</v>
      </c>
      <c r="C64" s="1" t="n">
        <v>30253</v>
      </c>
      <c r="D64" s="1" t="n">
        <v>3</v>
      </c>
      <c r="E64" s="1" t="inlineStr">
        <is>
          <t>1001,619134,5</t>
        </is>
      </c>
      <c r="F64" s="1" t="inlineStr">
        <is>
          <t>5,0,10000</t>
        </is>
      </c>
      <c r="G64" s="1" t="n">
        <v>113110</v>
      </c>
      <c r="I64" s="1" t="n">
        <v>0.002</v>
      </c>
      <c r="K64" s="1" t="inlineStr">
        <is>
          <t>[3级增强]【雷电形态】每次行动时90%概率获得2层【雷霆】，魂玉消耗降低2点。</t>
        </is>
      </c>
      <c r="L64" s="1" t="inlineStr">
        <is>
          <t>[3级增强]【雷电形态】每次行动时90%概率获得2层【雷霆】，魂玉消耗降低2点。</t>
        </is>
      </c>
      <c r="M64" s="1" t="inlineStr">
        <is>
          <t>[3级增强]【雷电形态】每次行动时90%概率获得2层【雷霆】，魂玉消耗降低2点。</t>
        </is>
      </c>
      <c r="N64" s="1" t="inlineStr">
        <is>
          <t>[3级增强]【雷电形态】每次行动时90%概率获得2层【雷霆】，魂玉消耗降低2点。</t>
        </is>
      </c>
    </row>
    <row r="65">
      <c r="A65" s="1" t="n">
        <v>60</v>
      </c>
      <c r="B65" s="1" t="n">
        <v>504603</v>
      </c>
      <c r="C65" s="1" t="n">
        <v>30254</v>
      </c>
      <c r="D65" s="1" t="n">
        <v>4</v>
      </c>
      <c r="E65" s="1" t="inlineStr"/>
      <c r="F65" s="1" t="inlineStr"/>
      <c r="G65" s="1" t="n">
        <v>113110</v>
      </c>
      <c r="I65" s="1" t="n">
        <v>0.0025</v>
      </c>
      <c r="K65" s="1" t="inlineStr">
        <is>
          <t>[4级增强]【雷电形态】每次行动时100%概率获得2层【雷霆】，魂玉消耗降低2点。</t>
        </is>
      </c>
      <c r="L65" s="1" t="inlineStr">
        <is>
          <t>[4级增强]【雷电形态】每次行动时100%概率获得2层【雷霆】，魂玉消耗降低2点。</t>
        </is>
      </c>
      <c r="M65" s="1" t="inlineStr">
        <is>
          <t>[4级增强]【雷电形态】每次行动时100%概率获得2层【雷霆】，魂玉消耗降低2点。</t>
        </is>
      </c>
      <c r="N65" s="1" t="inlineStr">
        <is>
          <t>[4级增强]【雷电形态】每次行动时100%概率获得2层【雷霆】，魂玉消耗降低2点。</t>
        </is>
      </c>
    </row>
    <row r="66">
      <c r="A66" s="1" t="n">
        <v>61</v>
      </c>
      <c r="B66" s="1" t="n">
        <v>504604</v>
      </c>
      <c r="C66" s="1" t="n">
        <v>30255</v>
      </c>
      <c r="D66" s="1" t="n">
        <v>1</v>
      </c>
      <c r="E66" s="1" t="inlineStr">
        <is>
          <t>1001,619134,1</t>
        </is>
      </c>
      <c r="F66" s="1" t="inlineStr">
        <is>
          <t>5,0,10000</t>
        </is>
      </c>
      <c r="G66" s="1" t="n">
        <v>113110</v>
      </c>
      <c r="I66" s="1" t="n">
        <v>0.001</v>
      </c>
      <c r="K66" s="1" t="inlineStr">
        <is>
          <t>[1级增强]拥有【自由意志】或【雷霆】时，被攻击期间的坚韧伤害减免提升15%</t>
        </is>
      </c>
      <c r="L66" s="1" t="inlineStr">
        <is>
          <t>[1级增强]拥有【自由意志】或【雷霆】时，被攻击期间的坚韧伤害减免提升15%</t>
        </is>
      </c>
      <c r="M66" s="1" t="inlineStr">
        <is>
          <t>[1级增强]拥有【自由意志】或【雷霆】时，被攻击期间的坚韧伤害减免提升15%</t>
        </is>
      </c>
      <c r="N66" s="1" t="inlineStr">
        <is>
          <t>[1级增强]拥有【自由意志】或【雷霆】时，被攻击期间的坚韧伤害减免提升15%</t>
        </is>
      </c>
    </row>
    <row r="67">
      <c r="A67" s="1" t="n">
        <v>62</v>
      </c>
      <c r="B67" s="1" t="n">
        <v>504604</v>
      </c>
      <c r="C67" s="1" t="n">
        <v>30256</v>
      </c>
      <c r="D67" s="1" t="n">
        <v>2</v>
      </c>
      <c r="E67" s="1" t="inlineStr">
        <is>
          <t>1001,619134,2</t>
        </is>
      </c>
      <c r="F67" s="1" t="inlineStr">
        <is>
          <t>5,0,10000</t>
        </is>
      </c>
      <c r="G67" s="1" t="n">
        <v>113110</v>
      </c>
      <c r="I67" s="1" t="n">
        <v>0.0015</v>
      </c>
      <c r="K67" s="1" t="inlineStr">
        <is>
          <t>[2级增强]拥有【自由意志】或【雷霆】时，被攻击期间的坚韧伤害减免提升20%</t>
        </is>
      </c>
      <c r="L67" s="1" t="inlineStr">
        <is>
          <t>[2级增强]拥有【自由意志】或【雷霆】时，被攻击期间的坚韧伤害减免提升20%</t>
        </is>
      </c>
      <c r="M67" s="1" t="inlineStr">
        <is>
          <t>[2级增强]拥有【自由意志】或【雷霆】时，被攻击期间的坚韧伤害减免提升20%</t>
        </is>
      </c>
      <c r="N67" s="1" t="inlineStr">
        <is>
          <t>[2级增强]拥有【自由意志】或【雷霆】时，被攻击期间的坚韧伤害减免提升20%</t>
        </is>
      </c>
    </row>
    <row r="68">
      <c r="A68" s="1" t="n">
        <v>63</v>
      </c>
      <c r="B68" s="1" t="n">
        <v>504604</v>
      </c>
      <c r="C68" s="1" t="n">
        <v>30257</v>
      </c>
      <c r="D68" s="1" t="n">
        <v>3</v>
      </c>
      <c r="E68" s="1" t="inlineStr">
        <is>
          <t>1001,619134,4</t>
        </is>
      </c>
      <c r="F68" s="1" t="inlineStr">
        <is>
          <t>5,0,10000</t>
        </is>
      </c>
      <c r="G68" s="1" t="n">
        <v>113110</v>
      </c>
      <c r="I68" s="1" t="n">
        <v>0.002</v>
      </c>
      <c r="K68" s="1" t="inlineStr">
        <is>
          <t>[3级增强]拥有【自由意志】或【雷霆】时，被攻击期间的坚韧伤害减免提升25%</t>
        </is>
      </c>
      <c r="L68" s="1" t="inlineStr">
        <is>
          <t>[3级增强]拥有【自由意志】或【雷霆】时，被攻击期间的坚韧伤害减免提升25%</t>
        </is>
      </c>
      <c r="M68" s="1" t="inlineStr">
        <is>
          <t>[3级增强]拥有【自由意志】或【雷霆】时，被攻击期间的坚韧伤害减免提升25%</t>
        </is>
      </c>
      <c r="N68" s="1" t="inlineStr">
        <is>
          <t>[3级增强]拥有【自由意志】或【雷霆】时，被攻击期间的坚韧伤害减免提升25%</t>
        </is>
      </c>
    </row>
    <row r="69">
      <c r="A69" s="1" t="n">
        <v>64</v>
      </c>
      <c r="B69" s="1" t="n">
        <v>504604</v>
      </c>
      <c r="C69" s="1" t="n">
        <v>30258</v>
      </c>
      <c r="D69" s="1" t="n">
        <v>4</v>
      </c>
      <c r="F69" s="1" t="inlineStr"/>
      <c r="G69" s="1" t="n">
        <v>113110</v>
      </c>
      <c r="I69" s="1" t="n">
        <v>0.0025</v>
      </c>
      <c r="K69" s="1" t="inlineStr">
        <is>
          <t>[4级增强]拥有【自由意志】或【雷霆】时，被攻击期间的坚韧伤害减免提升30%</t>
        </is>
      </c>
      <c r="L69" s="1" t="inlineStr">
        <is>
          <t>[4级增强]拥有【自由意志】或【雷霆】时，被攻击期间的坚韧伤害减免提升30%</t>
        </is>
      </c>
      <c r="M69" s="1" t="inlineStr">
        <is>
          <t>[4级增强]拥有【自由意志】或【雷霆】时，被攻击期间的坚韧伤害减免提升30%</t>
        </is>
      </c>
      <c r="N69" s="1" t="inlineStr">
        <is>
          <t>[4级增强]拥有【自由意志】或【雷霆】时，被攻击期间的坚韧伤害减免提升30%</t>
        </is>
      </c>
    </row>
    <row r="70">
      <c r="A70" s="15" t="n">
        <v>65</v>
      </c>
      <c r="B70" s="15" t="n">
        <v>504801</v>
      </c>
      <c r="C70" s="15" t="n">
        <v>30263</v>
      </c>
      <c r="D70" s="1" t="n">
        <v>1</v>
      </c>
      <c r="E70" s="1" t="inlineStr">
        <is>
          <t>1001,619134,2</t>
        </is>
      </c>
      <c r="F70" s="1" t="inlineStr">
        <is>
          <t>5,0,10000</t>
        </is>
      </c>
      <c r="G70" s="15" t="n">
        <v>0</v>
      </c>
      <c r="I70" s="1" t="n">
        <v>0.001</v>
      </c>
      <c r="K70" s="15" t="inlineStr">
        <is>
          <t>[1级增强] 战斗开始时，50%概率使敌方全体陷入【威压】1回合（减速10%）</t>
        </is>
      </c>
      <c r="L70" s="15" t="inlineStr">
        <is>
          <t>[1级增强] 战斗开始时，50%概率使敌方全体陷入【威压】1回合（减速10%）</t>
        </is>
      </c>
      <c r="M70" s="15" t="inlineStr">
        <is>
          <t>[1级增强] 战斗开始时，50%概率使敌方全体陷入【威压】1回合（减速10%）</t>
        </is>
      </c>
      <c r="N70" s="15" t="inlineStr">
        <is>
          <t>[1级增强] 战斗开始时，50%概率使敌方全体陷入【威压】1回合（减速10%）</t>
        </is>
      </c>
    </row>
    <row r="71">
      <c r="A71" s="15" t="n">
        <v>66</v>
      </c>
      <c r="B71" s="15" t="n">
        <v>504801</v>
      </c>
      <c r="C71" s="15" t="n">
        <v>30264</v>
      </c>
      <c r="D71" s="1" t="n">
        <v>2</v>
      </c>
      <c r="E71" s="1" t="inlineStr">
        <is>
          <t>1001,619134,3</t>
        </is>
      </c>
      <c r="F71" s="1" t="inlineStr">
        <is>
          <t>5,0,10000</t>
        </is>
      </c>
      <c r="G71" s="15" t="n">
        <v>0</v>
      </c>
      <c r="I71" s="1" t="n">
        <v>0.0015</v>
      </c>
      <c r="K71" s="15" t="inlineStr">
        <is>
          <t>[2级增强] 战斗开始时，60%概率使敌方全体陷入【威压】1回合（减速12%）</t>
        </is>
      </c>
      <c r="L71" s="15" t="inlineStr">
        <is>
          <t>[2级增强] 战斗开始时，60%概率使敌方全体陷入【威压】1回合（减速12%）</t>
        </is>
      </c>
      <c r="M71" s="15" t="inlineStr">
        <is>
          <t>[2级增强] 战斗开始时，60%概率使敌方全体陷入【威压】1回合（减速12%）</t>
        </is>
      </c>
      <c r="N71" s="15" t="inlineStr">
        <is>
          <t>[2级增强] 战斗开始时，60%概率使敌方全体陷入【威压】1回合（减速12%）</t>
        </is>
      </c>
    </row>
    <row r="72">
      <c r="A72" s="15" t="n">
        <v>67</v>
      </c>
      <c r="B72" s="15" t="n">
        <v>504801</v>
      </c>
      <c r="C72" s="15" t="n">
        <v>30265</v>
      </c>
      <c r="D72" s="1" t="n">
        <v>3</v>
      </c>
      <c r="E72" s="1" t="inlineStr">
        <is>
          <t>1001,619134,5</t>
        </is>
      </c>
      <c r="F72" s="1" t="inlineStr">
        <is>
          <t>5,0,10000</t>
        </is>
      </c>
      <c r="G72" s="15" t="n">
        <v>0</v>
      </c>
      <c r="I72" s="1" t="n">
        <v>0.002</v>
      </c>
      <c r="K72" s="15" t="inlineStr">
        <is>
          <t>[3级增强] 战斗开始时，70%概率使敌方全体陷入【威压】1回合（减速15%）</t>
        </is>
      </c>
      <c r="L72" s="15" t="inlineStr">
        <is>
          <t>[3级增强] 战斗开始时，70%概率使敌方全体陷入【威压】1回合（减速15%）</t>
        </is>
      </c>
      <c r="M72" s="15" t="inlineStr">
        <is>
          <t>[3级增强] 战斗开始时，70%概率使敌方全体陷入【威压】1回合（减速15%）</t>
        </is>
      </c>
      <c r="N72" s="15" t="inlineStr">
        <is>
          <t>[3级增强] 战斗开始时，70%概率使敌方全体陷入【威压】1回合（减速15%）</t>
        </is>
      </c>
    </row>
    <row r="73">
      <c r="A73" s="15" t="n">
        <v>68</v>
      </c>
      <c r="B73" s="15" t="n">
        <v>504801</v>
      </c>
      <c r="C73" s="15" t="n">
        <v>30266</v>
      </c>
      <c r="D73" s="1" t="n">
        <v>4</v>
      </c>
      <c r="E73" s="1" t="inlineStr"/>
      <c r="F73" s="1" t="inlineStr"/>
      <c r="G73" s="15" t="n">
        <v>0</v>
      </c>
      <c r="I73" s="1" t="n">
        <v>0.0025</v>
      </c>
      <c r="K73" s="15" t="inlineStr">
        <is>
          <t>[4级增强] 战斗开始时，80%概率使敌方全体陷入【威压】1回合（减速18%）</t>
        </is>
      </c>
      <c r="L73" s="15" t="inlineStr">
        <is>
          <t>[4级增强] 战斗开始时，80%概率使敌方全体陷入【威压】1回合（减速18%）</t>
        </is>
      </c>
      <c r="M73" s="15" t="inlineStr">
        <is>
          <t>[4级增强] 战斗开始时，80%概率使敌方全体陷入【威压】1回合（减速18%）</t>
        </is>
      </c>
      <c r="N73" s="15" t="inlineStr">
        <is>
          <t>[4级增强] 战斗开始时，80%概率使敌方全体陷入【威压】1回合（减速18%）</t>
        </is>
      </c>
    </row>
    <row r="74">
      <c r="A74" s="15" t="n">
        <v>69</v>
      </c>
      <c r="B74" s="15" t="n">
        <v>504802</v>
      </c>
      <c r="C74" s="15" t="n">
        <v>30267</v>
      </c>
      <c r="D74" s="1" t="n">
        <v>1</v>
      </c>
      <c r="E74" s="1" t="inlineStr">
        <is>
          <t>1001,619134,1</t>
        </is>
      </c>
      <c r="F74" s="1" t="inlineStr">
        <is>
          <t>5,0,10000</t>
        </is>
      </c>
      <c r="G74" s="15" t="n">
        <v>0</v>
      </c>
      <c r="I74" s="1" t="n">
        <v>0.001</v>
      </c>
      <c r="K74" s="15" t="inlineStr">
        <is>
          <t>[1级增强] 受到致命伤害时，免除本次死亡并获得最大生命值40%的护盾，每场1次</t>
        </is>
      </c>
      <c r="L74" s="15" t="inlineStr">
        <is>
          <t>[1级增强] 受到致命伤害时，免除本次死亡并获得最大生命值40%的护盾，每场1次</t>
        </is>
      </c>
      <c r="M74" s="15" t="inlineStr">
        <is>
          <t>[1级增强] 受到致命伤害时，免除本次死亡并获得最大生命值40%的护盾，每场1次</t>
        </is>
      </c>
      <c r="N74" s="15" t="inlineStr">
        <is>
          <t>[1级增强] 受到致命伤害时，免除本次死亡并获得最大生命值40%的护盾，每场1次</t>
        </is>
      </c>
    </row>
    <row r="75">
      <c r="A75" s="15" t="n">
        <v>70</v>
      </c>
      <c r="B75" s="15" t="n">
        <v>504802</v>
      </c>
      <c r="C75" s="15" t="n">
        <v>30268</v>
      </c>
      <c r="D75" s="1" t="n">
        <v>2</v>
      </c>
      <c r="E75" s="1" t="inlineStr">
        <is>
          <t>1001,619134,2</t>
        </is>
      </c>
      <c r="F75" s="1" t="inlineStr">
        <is>
          <t>5,0,10000</t>
        </is>
      </c>
      <c r="G75" s="15" t="n">
        <v>0</v>
      </c>
      <c r="I75" s="1" t="n">
        <v>0.0015</v>
      </c>
      <c r="K75" s="15" t="inlineStr">
        <is>
          <t>[2级增强] 受到致命伤害时，免除本次死亡并获得最大生命值50%的护盾，每场1次</t>
        </is>
      </c>
      <c r="L75" s="15" t="inlineStr">
        <is>
          <t>[2级增强] 受到致命伤害时，免除本次死亡并获得最大生命值50%的护盾，每场1次</t>
        </is>
      </c>
      <c r="M75" s="15" t="inlineStr">
        <is>
          <t>[2级增强] 受到致命伤害时，免除本次死亡并获得最大生命值50%的护盾，每场1次</t>
        </is>
      </c>
      <c r="N75" s="15" t="inlineStr">
        <is>
          <t>[2级增强] 受到致命伤害时，免除本次死亡并获得最大生命值50%的护盾，每场1次</t>
        </is>
      </c>
    </row>
    <row r="76">
      <c r="A76" s="15" t="n">
        <v>71</v>
      </c>
      <c r="B76" s="15" t="n">
        <v>504802</v>
      </c>
      <c r="C76" s="15" t="n">
        <v>30269</v>
      </c>
      <c r="D76" s="1" t="n">
        <v>3</v>
      </c>
      <c r="E76" s="1" t="inlineStr">
        <is>
          <t>1001,619134,4</t>
        </is>
      </c>
      <c r="F76" s="1" t="inlineStr">
        <is>
          <t>5,0,10000</t>
        </is>
      </c>
      <c r="G76" s="15" t="n">
        <v>0</v>
      </c>
      <c r="I76" s="1" t="n">
        <v>0.002</v>
      </c>
      <c r="K76" s="15" t="inlineStr">
        <is>
          <t>[3级增强] 受到致命伤害时，免除本次死亡并获得最大生命值60%的护盾，每场1次</t>
        </is>
      </c>
      <c r="L76" s="15" t="inlineStr">
        <is>
          <t>[3级增强] 受到致命伤害时，免除本次死亡并获得最大生命值60%的护盾，每场1次</t>
        </is>
      </c>
      <c r="M76" s="15" t="inlineStr">
        <is>
          <t>[3级增强] 受到致命伤害时，免除本次死亡并获得最大生命值60%的护盾，每场1次</t>
        </is>
      </c>
      <c r="N76" s="15" t="inlineStr">
        <is>
          <t>[3级增强] 受到致命伤害时，免除本次死亡并获得最大生命值60%的护盾，每场1次</t>
        </is>
      </c>
    </row>
    <row r="77">
      <c r="A77" s="15" t="n">
        <v>72</v>
      </c>
      <c r="B77" s="15" t="n">
        <v>504802</v>
      </c>
      <c r="C77" s="15" t="n">
        <v>30270</v>
      </c>
      <c r="D77" s="1" t="n">
        <v>4</v>
      </c>
      <c r="E77" s="1" t="inlineStr"/>
      <c r="F77" s="1" t="inlineStr"/>
      <c r="G77" s="15" t="n">
        <v>0</v>
      </c>
      <c r="I77" s="1" t="n">
        <v>0.0025</v>
      </c>
      <c r="K77" s="15" t="inlineStr">
        <is>
          <t>[4级增强] 受到致命伤害时，免除本次死亡并获得最大生命值70%的护盾，每场1次</t>
        </is>
      </c>
      <c r="L77" s="15" t="inlineStr">
        <is>
          <t>[4级增强] 受到致命伤害时，免除本次死亡并获得最大生命值70%的护盾，每场1次</t>
        </is>
      </c>
      <c r="M77" s="15" t="inlineStr">
        <is>
          <t>[4级增强] 受到致命伤害时，免除本次死亡并获得最大生命值70%的护盾，每场1次</t>
        </is>
      </c>
      <c r="N77" s="15" t="inlineStr">
        <is>
          <t>[4级增强] 受到致命伤害时，免除本次死亡并获得最大生命值70%的护盾，每场1次</t>
        </is>
      </c>
    </row>
    <row r="78">
      <c r="A78" s="15" t="n">
        <v>73</v>
      </c>
      <c r="B78" s="15" t="n">
        <v>504803</v>
      </c>
      <c r="C78" s="15" t="n">
        <v>30271</v>
      </c>
      <c r="D78" s="1" t="n">
        <v>1</v>
      </c>
      <c r="E78" s="1" t="inlineStr">
        <is>
          <t>1001,619134,2</t>
        </is>
      </c>
      <c r="F78" s="1" t="inlineStr">
        <is>
          <t>5,0,10000</t>
        </is>
      </c>
      <c r="G78" s="15" t="n">
        <v>0</v>
      </c>
      <c r="I78" s="1" t="n">
        <v>0.001</v>
      </c>
      <c r="K78" s="15" t="inlineStr">
        <is>
          <t>[1级增强] 每回合开始时，有15%概率闪避下一次攻击</t>
        </is>
      </c>
      <c r="L78" s="15" t="inlineStr">
        <is>
          <t>[1级增强] 每回合开始时，有15%概率闪避下一次攻击</t>
        </is>
      </c>
      <c r="M78" s="15" t="inlineStr">
        <is>
          <t>[1级增强] 每回合开始时，有15%概率闪避下一次攻击</t>
        </is>
      </c>
      <c r="N78" s="15" t="inlineStr">
        <is>
          <t>[1级增强] 每回合开始时，有15%概率闪避下一次攻击</t>
        </is>
      </c>
    </row>
    <row r="79">
      <c r="A79" s="15" t="n">
        <v>74</v>
      </c>
      <c r="B79" s="15" t="n">
        <v>504803</v>
      </c>
      <c r="C79" s="15" t="n">
        <v>30272</v>
      </c>
      <c r="D79" s="1" t="n">
        <v>2</v>
      </c>
      <c r="E79" s="1" t="inlineStr">
        <is>
          <t>1001,619134,3</t>
        </is>
      </c>
      <c r="F79" s="1" t="inlineStr">
        <is>
          <t>5,0,10000</t>
        </is>
      </c>
      <c r="G79" s="15" t="n">
        <v>0</v>
      </c>
      <c r="I79" s="1" t="n">
        <v>0.0015</v>
      </c>
      <c r="K79" s="15" t="inlineStr">
        <is>
          <t>[2级增强] 每回合开始时，有20%概率闪避下一次攻击</t>
        </is>
      </c>
      <c r="L79" s="15" t="inlineStr">
        <is>
          <t>[2级增强] 每回合开始时，有20%概率闪避下一次攻击</t>
        </is>
      </c>
      <c r="M79" s="15" t="inlineStr">
        <is>
          <t>[2级增强] 每回合开始时，有20%概率闪避下一次攻击</t>
        </is>
      </c>
      <c r="N79" s="15" t="inlineStr">
        <is>
          <t>[2级增强] 每回合开始时，有20%概率闪避下一次攻击</t>
        </is>
      </c>
    </row>
    <row r="80">
      <c r="A80" s="15" t="n">
        <v>75</v>
      </c>
      <c r="B80" s="15" t="n">
        <v>504803</v>
      </c>
      <c r="C80" s="15" t="n">
        <v>30273</v>
      </c>
      <c r="D80" s="1" t="n">
        <v>3</v>
      </c>
      <c r="E80" s="1" t="inlineStr">
        <is>
          <t>1001,619134,5</t>
        </is>
      </c>
      <c r="F80" s="1" t="inlineStr">
        <is>
          <t>5,0,10000</t>
        </is>
      </c>
      <c r="G80" s="15" t="n">
        <v>0</v>
      </c>
      <c r="I80" s="1" t="n">
        <v>0.002</v>
      </c>
      <c r="K80" s="15" t="inlineStr">
        <is>
          <t>[3级增强] 每回合开始时，有25%概率闪避下一次攻击</t>
        </is>
      </c>
      <c r="L80" s="15" t="inlineStr">
        <is>
          <t>[3级增强] 每回合开始时，有25%概率闪避下一次攻击</t>
        </is>
      </c>
      <c r="M80" s="15" t="inlineStr">
        <is>
          <t>[3级增强] 每回合开始时，有25%概率闪避下一次攻击</t>
        </is>
      </c>
      <c r="N80" s="15" t="inlineStr">
        <is>
          <t>[3级增强] 每回合开始时，有25%概率闪避下一次攻击</t>
        </is>
      </c>
    </row>
    <row r="81">
      <c r="A81" s="15" t="n">
        <v>76</v>
      </c>
      <c r="B81" s="15" t="n">
        <v>504803</v>
      </c>
      <c r="C81" s="15" t="n">
        <v>30274</v>
      </c>
      <c r="D81" s="1" t="n">
        <v>4</v>
      </c>
      <c r="E81" s="1" t="inlineStr"/>
      <c r="F81" s="1" t="inlineStr"/>
      <c r="G81" s="15" t="n">
        <v>0</v>
      </c>
      <c r="I81" s="1" t="n">
        <v>0.0025</v>
      </c>
      <c r="K81" s="15" t="inlineStr">
        <is>
          <t>[4级增强] 每回合开始时，有30%概率闪避下一次攻击</t>
        </is>
      </c>
      <c r="L81" s="15" t="inlineStr">
        <is>
          <t>[4级增强] 每回合开始时，有30%概率闪避下一次攻击</t>
        </is>
      </c>
      <c r="M81" s="15" t="inlineStr">
        <is>
          <t>[4级增强] 每回合开始时，有30%概率闪避下一次攻击</t>
        </is>
      </c>
      <c r="N81" s="15" t="inlineStr">
        <is>
          <t>[4级增强] 每回合开始时，有30%概率闪避下一次攻击</t>
        </is>
      </c>
    </row>
    <row r="82">
      <c r="A82" s="15" t="n">
        <v>77</v>
      </c>
      <c r="B82" s="15" t="n">
        <v>504804</v>
      </c>
      <c r="C82" s="15" t="n">
        <v>30275</v>
      </c>
      <c r="D82" s="1" t="n">
        <v>1</v>
      </c>
      <c r="E82" s="1" t="inlineStr">
        <is>
          <t>1001,619134,1</t>
        </is>
      </c>
      <c r="F82" s="1" t="inlineStr">
        <is>
          <t>5,0,10000</t>
        </is>
      </c>
      <c r="G82" s="15" t="n">
        <v>0</v>
      </c>
      <c r="I82" s="1" t="n">
        <v>0.001</v>
      </c>
      <c r="K82" s="15" t="inlineStr">
        <is>
          <t>[1级增强] 攻击时，附加攻击力10%的穿透伤害</t>
        </is>
      </c>
      <c r="L82" s="15" t="inlineStr">
        <is>
          <t>[1级增强] 攻击时，附加攻击力10%的穿透伤害</t>
        </is>
      </c>
      <c r="M82" s="15" t="inlineStr">
        <is>
          <t>[1级增强] 攻击时，附加攻击力10%的穿透伤害</t>
        </is>
      </c>
      <c r="N82" s="15" t="inlineStr">
        <is>
          <t>[1级增强] 攻击时，附加攻击力10%的穿透伤害</t>
        </is>
      </c>
    </row>
    <row r="83">
      <c r="A83" s="15" t="n">
        <v>78</v>
      </c>
      <c r="B83" s="15" t="n">
        <v>504804</v>
      </c>
      <c r="C83" s="15" t="n">
        <v>30276</v>
      </c>
      <c r="D83" s="1" t="n">
        <v>2</v>
      </c>
      <c r="E83" s="1" t="inlineStr">
        <is>
          <t>1001,619134,2</t>
        </is>
      </c>
      <c r="F83" s="1" t="inlineStr">
        <is>
          <t>5,0,10000</t>
        </is>
      </c>
      <c r="G83" s="15" t="n">
        <v>0</v>
      </c>
      <c r="I83" s="1" t="n">
        <v>0.0015</v>
      </c>
      <c r="K83" s="15" t="inlineStr">
        <is>
          <t>[2级增强] 攻击时，附加攻击力15%的穿透伤害</t>
        </is>
      </c>
      <c r="L83" s="15" t="inlineStr">
        <is>
          <t>[2级增强] 攻击时，附加攻击力15%的穿透伤害</t>
        </is>
      </c>
      <c r="M83" s="15" t="inlineStr">
        <is>
          <t>[2级增强] 攻击时，附加攻击力15%的穿透伤害</t>
        </is>
      </c>
      <c r="N83" s="15" t="inlineStr">
        <is>
          <t>[2级增强] 攻击时，附加攻击力15%的穿透伤害</t>
        </is>
      </c>
    </row>
    <row r="84">
      <c r="A84" s="15" t="n">
        <v>79</v>
      </c>
      <c r="B84" s="15" t="n">
        <v>504804</v>
      </c>
      <c r="C84" s="15" t="n">
        <v>30277</v>
      </c>
      <c r="D84" s="1" t="n">
        <v>3</v>
      </c>
      <c r="E84" s="1" t="inlineStr">
        <is>
          <t>1001,619134,4</t>
        </is>
      </c>
      <c r="F84" s="1" t="inlineStr">
        <is>
          <t>5,0,10000</t>
        </is>
      </c>
      <c r="G84" s="15" t="n">
        <v>0</v>
      </c>
      <c r="I84" s="1" t="n">
        <v>0.002</v>
      </c>
      <c r="K84" s="15" t="inlineStr">
        <is>
          <t>[3级增强] 攻击时，附加攻击力20%的穿透伤害</t>
        </is>
      </c>
      <c r="L84" s="15" t="inlineStr">
        <is>
          <t>[3级增强] 攻击时，附加攻击力20%的穿透伤害</t>
        </is>
      </c>
      <c r="M84" s="15" t="inlineStr">
        <is>
          <t>[3级增强] 攻击时，附加攻击力20%的穿透伤害</t>
        </is>
      </c>
      <c r="N84" s="15" t="inlineStr">
        <is>
          <t>[3级增强] 攻击时，附加攻击力20%的穿透伤害</t>
        </is>
      </c>
    </row>
    <row r="85">
      <c r="A85" s="15" t="n">
        <v>80</v>
      </c>
      <c r="B85" s="15" t="n">
        <v>504804</v>
      </c>
      <c r="C85" s="15" t="n">
        <v>30278</v>
      </c>
      <c r="D85" s="1" t="n">
        <v>4</v>
      </c>
      <c r="F85" s="1" t="inlineStr"/>
      <c r="G85" s="15" t="n">
        <v>0</v>
      </c>
      <c r="I85" s="1" t="n">
        <v>0.0025</v>
      </c>
      <c r="K85" s="15" t="inlineStr">
        <is>
          <t>[4级增强] 攻击时，附加攻击力25%的穿透伤害</t>
        </is>
      </c>
      <c r="L85" s="15" t="inlineStr">
        <is>
          <t>[4级增强] 攻击时，附加攻击力25%的穿透伤害</t>
        </is>
      </c>
      <c r="M85" s="15" t="inlineStr">
        <is>
          <t>[4级增强] 攻击时，附加攻击力25%的穿透伤害</t>
        </is>
      </c>
      <c r="N85" s="15" t="inlineStr">
        <is>
          <t>[4级增强] 攻击时，附加攻击力25%的穿透伤害</t>
        </is>
      </c>
    </row>
  </sheetData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E40"/>
  <sheetViews>
    <sheetView topLeftCell="D1" workbookViewId="0">
      <selection activeCell="AA14" sqref="AA14"/>
    </sheetView>
  </sheetViews>
  <sheetFormatPr baseColWidth="8" defaultColWidth="9" defaultRowHeight="13.5"/>
  <cols>
    <col width="12.875" customWidth="1" style="14" min="1" max="1"/>
    <col width="2.375" customWidth="1" style="14" min="2" max="2"/>
    <col width="7.125" customWidth="1" style="14" min="3" max="5"/>
    <col width="8.875" customWidth="1" style="14" min="6" max="6"/>
    <col width="7.125" customWidth="1" style="14" min="7" max="14"/>
    <col width="2.625" customWidth="1" style="3" min="15" max="15"/>
    <col width="7.375" customWidth="1" style="14" min="16" max="16"/>
    <col width="8.125" customWidth="1" style="14" min="19" max="19"/>
    <col width="9.125" customWidth="1" style="14" min="20" max="20"/>
    <col width="10.375" customWidth="1" style="14" min="23" max="27"/>
  </cols>
  <sheetData>
    <row r="1">
      <c r="A1" s="4" t="inlineStr">
        <is>
          <t>增强等级上限</t>
        </is>
      </c>
      <c r="B1" s="5" t="n">
        <v>4</v>
      </c>
      <c r="C1" s="5" t="inlineStr">
        <is>
          <t>装备ID</t>
        </is>
      </c>
      <c r="D1" s="5" t="inlineStr">
        <is>
          <t>位置</t>
        </is>
      </c>
      <c r="E1" s="5" t="inlineStr">
        <is>
          <t>英雄</t>
        </is>
      </c>
      <c r="F1" s="5" t="inlineStr">
        <is>
          <t>增强等级</t>
        </is>
      </c>
      <c r="G1" s="5" t="inlineStr">
        <is>
          <t>武器</t>
        </is>
      </c>
      <c r="H1" s="5" t="inlineStr">
        <is>
          <t>衣服</t>
        </is>
      </c>
      <c r="I1" s="5" t="inlineStr">
        <is>
          <t>项链</t>
        </is>
      </c>
      <c r="J1" s="9" t="inlineStr">
        <is>
          <t>戒指</t>
        </is>
      </c>
      <c r="K1" s="1" t="n">
        <v>1</v>
      </c>
      <c r="L1" s="1" t="n">
        <v>2</v>
      </c>
      <c r="M1" s="1" t="n">
        <v>3</v>
      </c>
      <c r="N1" s="1" t="n">
        <v>4</v>
      </c>
      <c r="P1" s="1" t="inlineStr">
        <is>
          <t>位置</t>
        </is>
      </c>
      <c r="Q1" s="1" t="inlineStr">
        <is>
          <t>道具</t>
        </is>
      </c>
      <c r="R1" s="1" t="inlineStr">
        <is>
          <t>数量</t>
        </is>
      </c>
      <c r="S1" s="1" t="inlineStr">
        <is>
          <t>装备id</t>
        </is>
      </c>
      <c r="T1" s="1" t="inlineStr">
        <is>
          <t>战斗buff</t>
        </is>
      </c>
      <c r="U1" s="1" t="inlineStr">
        <is>
          <t>增强等级</t>
        </is>
      </c>
      <c r="V1" s="1" t="inlineStr">
        <is>
          <t>消耗物</t>
        </is>
      </c>
      <c r="W1" s="1" t="inlineStr">
        <is>
          <t>货币消耗</t>
        </is>
      </c>
      <c r="X1" s="1" t="inlineStr">
        <is>
          <t>绑定英雄</t>
        </is>
      </c>
      <c r="Y1" s="1" t="inlineStr">
        <is>
          <t>战力系数B</t>
        </is>
      </c>
      <c r="Z1" s="1" t="inlineStr">
        <is>
          <t>战力系数C</t>
        </is>
      </c>
      <c r="AA1" s="1" t="inlineStr">
        <is>
          <t>战力系数D</t>
        </is>
      </c>
      <c r="AB1" s="1" t="inlineStr">
        <is>
          <t>buff描述</t>
        </is>
      </c>
      <c r="AC1" s="1" t="inlineStr">
        <is>
          <t>未激活BUFF描述</t>
        </is>
      </c>
      <c r="AD1" s="1" t="inlineStr">
        <is>
          <t>新服buff描述</t>
        </is>
      </c>
      <c r="AE1" s="1" t="inlineStr">
        <is>
          <t>新服buff未激活描述</t>
        </is>
      </c>
    </row>
    <row r="2">
      <c r="A2" s="6" t="n"/>
      <c r="C2" s="1" t="n">
        <v>504201</v>
      </c>
      <c r="D2" s="1" t="inlineStr">
        <is>
          <t>武器</t>
        </is>
      </c>
      <c r="E2" s="1" t="n">
        <v>113077</v>
      </c>
      <c r="F2" s="1" t="n">
        <v>1</v>
      </c>
      <c r="G2" s="1" t="n">
        <v>2</v>
      </c>
      <c r="H2" s="1" t="n">
        <v>1</v>
      </c>
      <c r="I2" s="1" t="n">
        <v>1</v>
      </c>
      <c r="J2" s="10" t="n">
        <v>2</v>
      </c>
      <c r="K2" s="11">
        <f>SUMPRODUCT((文本!$A:$A=$E2)*(文本!$B:$B=$D2)*(文本!$D:$D=K$1),文本!$C:$C)</f>
        <v/>
      </c>
      <c r="L2" s="11">
        <f>SUMPRODUCT((文本!$A:$A=$E2)*(文本!$B:$B=$D2)*(文本!$D:$D=L$1),文本!$C:$C)</f>
        <v/>
      </c>
      <c r="M2" s="11">
        <f>SUMPRODUCT((文本!$A:$A=$E2)*(文本!$B:$B=$D2)*(文本!$D:$D=M$1),文本!$C:$C)</f>
        <v/>
      </c>
      <c r="N2" s="11">
        <f>SUMPRODUCT((文本!$A:$A=$E2)*(文本!$B:$B=$D2)*(文本!$D:$D=N$1),文本!$C:$C)</f>
        <v/>
      </c>
      <c r="P2" s="11">
        <f>VLOOKUP(S2,C:D,2,FALSE)</f>
        <v/>
      </c>
      <c r="Q2" s="1" t="n">
        <v>619134</v>
      </c>
      <c r="R2" s="11">
        <f>IF(U2=B$1,"",INDEX($F$1:$J$4,MATCH(U2,$F$1:$F$4,0),MATCH(P2,$F$1:$J$1,0)))</f>
        <v/>
      </c>
      <c r="S2" s="11">
        <f>INDEX(C:C,ROUNDUP((ROW()-1)/B$1,0)+1)</f>
        <v/>
      </c>
      <c r="T2" s="13">
        <f>INDEX($C$1:$N$5,MATCH(S2,$C$1:$C$5,0),MATCH(U2,$C$1:$N$1,0))</f>
        <v/>
      </c>
      <c r="U2" s="1" t="n">
        <v>1</v>
      </c>
      <c r="V2" s="13">
        <f>IF(U2=B$1,"",1001&amp;","&amp;Q2&amp;","&amp;R2)</f>
        <v/>
      </c>
      <c r="W2" s="11">
        <f>IF(U2=B$1,"",5&amp;","&amp;0&amp;","&amp;10000)</f>
        <v/>
      </c>
      <c r="X2" s="11">
        <f>VLOOKUP(S2,C:E,3,FALSE)</f>
        <v/>
      </c>
      <c r="Z2" s="1" t="n">
        <v>0.001</v>
      </c>
      <c r="AB2" s="13">
        <f>VLOOKUP($T2,文本!$C:$J,4,FALSE)</f>
        <v/>
      </c>
      <c r="AC2" s="13">
        <f>VLOOKUP($T2,文本!$C:$J,5,FALSE)</f>
        <v/>
      </c>
      <c r="AD2" s="13">
        <f>VLOOKUP($T2,文本!$C:$J,7,FALSE)</f>
        <v/>
      </c>
      <c r="AE2" s="13">
        <f>VLOOKUP($T2,文本!$C:$J,8,FALSE)</f>
        <v/>
      </c>
    </row>
    <row r="3">
      <c r="A3" s="6" t="n"/>
      <c r="C3" s="1" t="n">
        <v>504202</v>
      </c>
      <c r="D3" s="1" t="inlineStr">
        <is>
          <t>衣服</t>
        </is>
      </c>
      <c r="E3" s="1" t="n">
        <v>113077</v>
      </c>
      <c r="F3" s="1" t="n">
        <v>2</v>
      </c>
      <c r="G3" s="1" t="n">
        <v>3</v>
      </c>
      <c r="H3" s="1" t="n">
        <v>2</v>
      </c>
      <c r="I3" s="1" t="n">
        <v>2</v>
      </c>
      <c r="J3" s="10" t="n">
        <v>3</v>
      </c>
      <c r="K3" s="11">
        <f>SUMPRODUCT((文本!$A:$A=$E3)*(文本!$B:$B=$D3)*(文本!$D:$D=K$1),文本!$C:$C)</f>
        <v/>
      </c>
      <c r="L3" s="11">
        <f>SUMPRODUCT((文本!$A:$A=$E3)*(文本!$B:$B=$D3)*(文本!$D:$D=L$1),文本!$C:$C)</f>
        <v/>
      </c>
      <c r="M3" s="11">
        <f>SUMPRODUCT((文本!$A:$A=$E3)*(文本!$B:$B=$D3)*(文本!$D:$D=M$1),文本!$C:$C)</f>
        <v/>
      </c>
      <c r="N3" s="11">
        <f>SUMPRODUCT((文本!$A:$A=$E3)*(文本!$B:$B=$D3)*(文本!$D:$D=N$1),文本!$C:$C)</f>
        <v/>
      </c>
      <c r="P3" s="11">
        <f>VLOOKUP(S3,C:D,2,FALSE)</f>
        <v/>
      </c>
      <c r="Q3" s="1" t="n">
        <v>619134</v>
      </c>
      <c r="R3" s="11">
        <f>IF(U3=B$1,"",INDEX($F$1:$J$4,MATCH(U3,$F$1:$F$4,0),MATCH(P3,$F$1:$J$1,0)))</f>
        <v/>
      </c>
      <c r="S3" s="11">
        <f>INDEX(C:C,ROUNDUP((ROW()-1)/B$1,0)+1)</f>
        <v/>
      </c>
      <c r="T3" s="13">
        <f>INDEX($C$1:$N$5,MATCH(S3,$C$1:$C$5,0),MATCH(U3,$C$1:$N$1,0))</f>
        <v/>
      </c>
      <c r="U3" s="11">
        <f>IF(U2=B$1,1,U2+1)</f>
        <v/>
      </c>
      <c r="V3" s="13">
        <f>IF(U3=B$1,"",1001&amp;","&amp;Q3&amp;","&amp;R3)</f>
        <v/>
      </c>
      <c r="W3" s="11">
        <f>IF(U3=B$1,"",5&amp;","&amp;0&amp;","&amp;10000)</f>
        <v/>
      </c>
      <c r="X3" s="11">
        <f>VLOOKUP(S3,C:E,3,FALSE)</f>
        <v/>
      </c>
      <c r="Z3" s="1" t="n">
        <v>0.0015</v>
      </c>
      <c r="AB3" s="13">
        <f>VLOOKUP($T3,文本!$C:$J,4,FALSE)</f>
        <v/>
      </c>
      <c r="AC3" s="13">
        <f>VLOOKUP($T3,文本!$C:$J,5,FALSE)</f>
        <v/>
      </c>
      <c r="AD3" s="13">
        <f>VLOOKUP($T3,文本!$C:$J,7,FALSE)</f>
        <v/>
      </c>
      <c r="AE3" s="13">
        <f>VLOOKUP($T3,文本!$C:$J,8,FALSE)</f>
        <v/>
      </c>
    </row>
    <row r="4">
      <c r="A4" s="6" t="n"/>
      <c r="C4" s="1" t="n">
        <v>504203</v>
      </c>
      <c r="D4" s="1" t="inlineStr">
        <is>
          <t>戒指</t>
        </is>
      </c>
      <c r="E4" s="1" t="n">
        <v>113077</v>
      </c>
      <c r="F4" s="1" t="n">
        <v>3</v>
      </c>
      <c r="G4" s="1" t="n">
        <v>5</v>
      </c>
      <c r="H4" s="1" t="n">
        <v>4</v>
      </c>
      <c r="I4" s="1" t="n">
        <v>4</v>
      </c>
      <c r="J4" s="10" t="n">
        <v>5</v>
      </c>
      <c r="K4" s="11">
        <f>SUMPRODUCT((文本!$A:$A=$E4)*(文本!$B:$B=$D4)*(文本!$D:$D=K$1),文本!$C:$C)</f>
        <v/>
      </c>
      <c r="L4" s="11">
        <f>SUMPRODUCT((文本!$A:$A=$E4)*(文本!$B:$B=$D4)*(文本!$D:$D=L$1),文本!$C:$C)</f>
        <v/>
      </c>
      <c r="M4" s="11">
        <f>SUMPRODUCT((文本!$A:$A=$E4)*(文本!$B:$B=$D4)*(文本!$D:$D=M$1),文本!$C:$C)</f>
        <v/>
      </c>
      <c r="N4" s="11">
        <f>SUMPRODUCT((文本!$A:$A=$E4)*(文本!$B:$B=$D4)*(文本!$D:$D=N$1),文本!$C:$C)</f>
        <v/>
      </c>
      <c r="P4" s="11">
        <f>VLOOKUP(S4,C:D,2,FALSE)</f>
        <v/>
      </c>
      <c r="Q4" s="1" t="n">
        <v>619134</v>
      </c>
      <c r="R4" s="11">
        <f>IF(U4=B$1,"",INDEX($F$1:$J$4,MATCH(U4,$F$1:$F$4,0),MATCH(P4,$F$1:$J$1,0)))</f>
        <v/>
      </c>
      <c r="S4" s="11">
        <f>INDEX(C:C,ROUNDUP((ROW()-1)/B$1,0)+1)</f>
        <v/>
      </c>
      <c r="T4" s="13">
        <f>INDEX($C$1:$N$5,MATCH(S4,$C$1:$C$5,0),MATCH(U4,$C$1:$N$1,0))</f>
        <v/>
      </c>
      <c r="U4" s="11">
        <f>IF(U3=B$1,1,U3+1)</f>
        <v/>
      </c>
      <c r="V4" s="13">
        <f>IF(U4=B$1,"",1001&amp;","&amp;Q4&amp;","&amp;R4)</f>
        <v/>
      </c>
      <c r="W4" s="11">
        <f>IF(U4=B$1,"",5&amp;","&amp;0&amp;","&amp;10000)</f>
        <v/>
      </c>
      <c r="X4" s="11">
        <f>VLOOKUP(S4,C:E,3,FALSE)</f>
        <v/>
      </c>
      <c r="Z4" s="1" t="n">
        <v>0.002</v>
      </c>
      <c r="AB4" s="13">
        <f>VLOOKUP($T4,文本!$C:$J,4,FALSE)</f>
        <v/>
      </c>
      <c r="AC4" s="13">
        <f>VLOOKUP($T4,文本!$C:$J,5,FALSE)</f>
        <v/>
      </c>
      <c r="AD4" s="13">
        <f>VLOOKUP($T4,文本!$C:$J,7,FALSE)</f>
        <v/>
      </c>
      <c r="AE4" s="13">
        <f>VLOOKUP($T4,文本!$C:$J,8,FALSE)</f>
        <v/>
      </c>
    </row>
    <row r="5" ht="14.25" customHeight="1" s="14">
      <c r="A5" s="7" t="n"/>
      <c r="B5" s="8" t="n"/>
      <c r="C5" s="8" t="n">
        <v>504204</v>
      </c>
      <c r="D5" s="8" t="inlineStr">
        <is>
          <t>项链</t>
        </is>
      </c>
      <c r="E5" s="8" t="n">
        <v>113077</v>
      </c>
      <c r="F5" s="8" t="n"/>
      <c r="G5" s="8" t="n"/>
      <c r="H5" s="8" t="n"/>
      <c r="I5" s="8" t="n"/>
      <c r="J5" s="12" t="n"/>
      <c r="K5" s="11">
        <f>SUMPRODUCT((文本!$A:$A=$E5)*(文本!$B:$B=$D5)*(文本!$D:$D=K$1),文本!$C:$C)</f>
        <v/>
      </c>
      <c r="L5" s="11">
        <f>SUMPRODUCT((文本!$A:$A=$E5)*(文本!$B:$B=$D5)*(文本!$D:$D=L$1),文本!$C:$C)</f>
        <v/>
      </c>
      <c r="M5" s="11">
        <f>SUMPRODUCT((文本!$A:$A=$E5)*(文本!$B:$B=$D5)*(文本!$D:$D=M$1),文本!$C:$C)</f>
        <v/>
      </c>
      <c r="N5" s="11">
        <f>SUMPRODUCT((文本!$A:$A=$E5)*(文本!$B:$B=$D5)*(文本!$D:$D=N$1),文本!$C:$C)</f>
        <v/>
      </c>
      <c r="P5" s="11">
        <f>VLOOKUP(S5,C:D,2,FALSE)</f>
        <v/>
      </c>
      <c r="Q5" s="1" t="n">
        <v>619134</v>
      </c>
      <c r="R5" s="11">
        <f>IF(U5=B$1,"",INDEX($F$1:$J$4,MATCH(U5,$F$1:$F$4,0),MATCH(P5,$F$1:$J$1,0)))</f>
        <v/>
      </c>
      <c r="S5" s="11">
        <f>INDEX(C:C,ROUNDUP((ROW()-1)/B$1,0)+1)</f>
        <v/>
      </c>
      <c r="T5" s="13">
        <f>INDEX($C$1:$N$5,MATCH(S5,$C$1:$C$5,0),MATCH(U5,$C$1:$N$1,0))</f>
        <v/>
      </c>
      <c r="U5" s="11">
        <f>IF(U4=B$1,1,U4+1)</f>
        <v/>
      </c>
      <c r="V5" s="13">
        <f>IF(U5=B$1,"",1001&amp;","&amp;Q5&amp;","&amp;R5)</f>
        <v/>
      </c>
      <c r="W5" s="11">
        <f>IF(U5=B$1,"",5&amp;","&amp;0&amp;","&amp;10000)</f>
        <v/>
      </c>
      <c r="X5" s="11">
        <f>VLOOKUP(S5,C:E,3,FALSE)</f>
        <v/>
      </c>
      <c r="Z5" s="1" t="n">
        <v>0.0025</v>
      </c>
      <c r="AB5" s="13">
        <f>VLOOKUP($T5,文本!$C:$J,4,FALSE)</f>
        <v/>
      </c>
      <c r="AC5" s="13">
        <f>VLOOKUP($T5,文本!$C:$J,5,FALSE)</f>
        <v/>
      </c>
      <c r="AD5" s="13">
        <f>VLOOKUP($T5,文本!$C:$J,7,FALSE)</f>
        <v/>
      </c>
      <c r="AE5" s="13">
        <f>VLOOKUP($T5,文本!$C:$J,8,FALSE)</f>
        <v/>
      </c>
    </row>
    <row r="6">
      <c r="A6" s="6" t="n"/>
      <c r="C6" s="1" t="n">
        <v>504301</v>
      </c>
      <c r="D6" s="1" t="inlineStr">
        <is>
          <t>武器</t>
        </is>
      </c>
      <c r="E6" s="1" t="n">
        <v>113088</v>
      </c>
      <c r="F6" s="1" t="n">
        <v>1</v>
      </c>
      <c r="G6" s="1" t="n">
        <v>2</v>
      </c>
      <c r="H6" s="1" t="n">
        <v>1</v>
      </c>
      <c r="I6" s="1" t="n">
        <v>1</v>
      </c>
      <c r="J6" s="10" t="n">
        <v>2</v>
      </c>
      <c r="K6" s="11">
        <f>SUMPRODUCT((文本!$A:$A=$E6)*(文本!$B:$B=$D6)*(文本!$D:$D=K$1),文本!$C:$C)</f>
        <v/>
      </c>
      <c r="L6" s="11">
        <f>SUMPRODUCT((文本!$A:$A=$E6)*(文本!$B:$B=$D6)*(文本!$D:$D=L$1),文本!$C:$C)</f>
        <v/>
      </c>
      <c r="M6" s="11">
        <f>SUMPRODUCT((文本!$A:$A=$E6)*(文本!$B:$B=$D6)*(文本!$D:$D=M$1),文本!$C:$C)</f>
        <v/>
      </c>
      <c r="N6" s="11">
        <f>SUMPRODUCT((文本!$A:$A=$E6)*(文本!$B:$B=$D6)*(文本!$D:$D=N$1),文本!$C:$C)</f>
        <v/>
      </c>
      <c r="P6" s="11">
        <f>VLOOKUP(S6,C:D,2,FALSE)</f>
        <v/>
      </c>
      <c r="Q6" s="1" t="n">
        <v>619134</v>
      </c>
      <c r="R6" s="11">
        <f>IF(U6=B$1,"",INDEX($F$1:$J$4,MATCH(U6,$F$1:$F$4,0),MATCH(P6,$F$1:$J$1,0)))</f>
        <v/>
      </c>
      <c r="S6" s="11">
        <f>INDEX(C:C,ROUNDUP((ROW()-1)/B$1,0)+1)</f>
        <v/>
      </c>
      <c r="T6" s="13">
        <f>INDEX($C$1:$N$5,MATCH(S6,$C$1:$C$5,0),MATCH(U6,$C$1:$N$1,0))</f>
        <v/>
      </c>
      <c r="U6" s="11">
        <f>IF(U5=B$1,1,U5+1)</f>
        <v/>
      </c>
      <c r="V6" s="13">
        <f>IF(U6=B$1,"",1001&amp;","&amp;Q6&amp;","&amp;R6)</f>
        <v/>
      </c>
      <c r="W6" s="11">
        <f>IF(U6=B$1,"",5&amp;","&amp;0&amp;","&amp;10000)</f>
        <v/>
      </c>
      <c r="X6" s="11">
        <f>VLOOKUP(S6,C:E,3,FALSE)</f>
        <v/>
      </c>
      <c r="Z6" s="1" t="n">
        <v>0.001</v>
      </c>
      <c r="AB6" s="13">
        <f>VLOOKUP($T6,文本!$C:$J,4,FALSE)</f>
        <v/>
      </c>
      <c r="AC6" s="13">
        <f>VLOOKUP($T6,文本!$C:$J,5,FALSE)</f>
        <v/>
      </c>
      <c r="AD6" s="13">
        <f>VLOOKUP($T6,文本!$C:$J,7,FALSE)</f>
        <v/>
      </c>
      <c r="AE6" s="13">
        <f>VLOOKUP($T6,文本!$C:$J,8,FALSE)</f>
        <v/>
      </c>
    </row>
    <row r="7">
      <c r="A7" s="6" t="n"/>
      <c r="C7" s="1" t="n">
        <v>504302</v>
      </c>
      <c r="D7" s="1" t="inlineStr">
        <is>
          <t>衣服</t>
        </is>
      </c>
      <c r="E7" s="1" t="n">
        <v>113088</v>
      </c>
      <c r="F7" s="1" t="n">
        <v>2</v>
      </c>
      <c r="G7" s="1" t="n">
        <v>3</v>
      </c>
      <c r="H7" s="1" t="n">
        <v>2</v>
      </c>
      <c r="I7" s="1" t="n">
        <v>2</v>
      </c>
      <c r="J7" s="10" t="n">
        <v>3</v>
      </c>
      <c r="K7" s="11">
        <f>SUMPRODUCT((文本!$A:$A=$E7)*(文本!$B:$B=$D7)*(文本!$D:$D=K$1),文本!$C:$C)</f>
        <v/>
      </c>
      <c r="L7" s="11">
        <f>SUMPRODUCT((文本!$A:$A=$E7)*(文本!$B:$B=$D7)*(文本!$D:$D=L$1),文本!$C:$C)</f>
        <v/>
      </c>
      <c r="M7" s="11">
        <f>SUMPRODUCT((文本!$A:$A=$E7)*(文本!$B:$B=$D7)*(文本!$D:$D=M$1),文本!$C:$C)</f>
        <v/>
      </c>
      <c r="N7" s="11">
        <f>SUMPRODUCT((文本!$A:$A=$E7)*(文本!$B:$B=$D7)*(文本!$D:$D=N$1),文本!$C:$C)</f>
        <v/>
      </c>
      <c r="P7" s="11">
        <f>VLOOKUP(S7,C:D,2,FALSE)</f>
        <v/>
      </c>
      <c r="Q7" s="1" t="n">
        <v>619134</v>
      </c>
      <c r="R7" s="11">
        <f>IF(U7=B$1,"",INDEX($F$1:$J$4,MATCH(U7,$F$1:$F$4,0),MATCH(P7,$F$1:$J$1,0)))</f>
        <v/>
      </c>
      <c r="S7" s="11">
        <f>INDEX(C:C,ROUNDUP((ROW()-1)/B$1,0)+1)</f>
        <v/>
      </c>
      <c r="T7" s="13">
        <f>INDEX($C$1:$N$5,MATCH(S7,$C$1:$C$5,0),MATCH(U7,$C$1:$N$1,0))</f>
        <v/>
      </c>
      <c r="U7" s="11">
        <f>IF(U6=B$1,1,U6+1)</f>
        <v/>
      </c>
      <c r="V7" s="13">
        <f>IF(U7=B$1,"",1001&amp;","&amp;Q7&amp;","&amp;R7)</f>
        <v/>
      </c>
      <c r="W7" s="11">
        <f>IF(U7=B$1,"",5&amp;","&amp;0&amp;","&amp;10000)</f>
        <v/>
      </c>
      <c r="X7" s="11">
        <f>VLOOKUP(S7,C:E,3,FALSE)</f>
        <v/>
      </c>
      <c r="Z7" s="1" t="n">
        <v>0.0015</v>
      </c>
      <c r="AB7" s="13">
        <f>VLOOKUP($T7,文本!$C:$J,4,FALSE)</f>
        <v/>
      </c>
      <c r="AC7" s="13">
        <f>VLOOKUP($T7,文本!$C:$J,5,FALSE)</f>
        <v/>
      </c>
      <c r="AD7" s="13">
        <f>VLOOKUP($T7,文本!$C:$J,7,FALSE)</f>
        <v/>
      </c>
      <c r="AE7" s="13">
        <f>VLOOKUP($T7,文本!$C:$J,8,FALSE)</f>
        <v/>
      </c>
    </row>
    <row r="8">
      <c r="A8" s="6" t="n"/>
      <c r="C8" s="1" t="n">
        <v>504303</v>
      </c>
      <c r="D8" s="1" t="inlineStr">
        <is>
          <t>戒指</t>
        </is>
      </c>
      <c r="E8" s="1" t="n">
        <v>113088</v>
      </c>
      <c r="F8" s="1" t="n">
        <v>3</v>
      </c>
      <c r="G8" s="1" t="n">
        <v>5</v>
      </c>
      <c r="H8" s="1" t="n">
        <v>4</v>
      </c>
      <c r="I8" s="1" t="n">
        <v>4</v>
      </c>
      <c r="J8" s="10" t="n">
        <v>5</v>
      </c>
      <c r="K8" s="11">
        <f>SUMPRODUCT((文本!$A:$A=$E8)*(文本!$B:$B=$D8)*(文本!$D:$D=K$1),文本!$C:$C)</f>
        <v/>
      </c>
      <c r="L8" s="11">
        <f>SUMPRODUCT((文本!$A:$A=$E8)*(文本!$B:$B=$D8)*(文本!$D:$D=L$1),文本!$C:$C)</f>
        <v/>
      </c>
      <c r="M8" s="11">
        <f>SUMPRODUCT((文本!$A:$A=$E8)*(文本!$B:$B=$D8)*(文本!$D:$D=M$1),文本!$C:$C)</f>
        <v/>
      </c>
      <c r="N8" s="11">
        <f>SUMPRODUCT((文本!$A:$A=$E8)*(文本!$B:$B=$D8)*(文本!$D:$D=N$1),文本!$C:$C)</f>
        <v/>
      </c>
      <c r="P8" s="11">
        <f>VLOOKUP(S8,C:D,2,FALSE)</f>
        <v/>
      </c>
      <c r="Q8" s="1" t="n">
        <v>619134</v>
      </c>
      <c r="R8" s="11">
        <f>IF(U8=B$1,"",INDEX($F$1:$J$4,MATCH(U8,$F$1:$F$4,0),MATCH(P8,$F$1:$J$1,0)))</f>
        <v/>
      </c>
      <c r="S8" s="11">
        <f>INDEX(C:C,ROUNDUP((ROW()-1)/B$1,0)+1)</f>
        <v/>
      </c>
      <c r="T8" s="13">
        <f>INDEX($C$1:$N$5,MATCH(S8,$C$1:$C$5,0),MATCH(U8,$C$1:$N$1,0))</f>
        <v/>
      </c>
      <c r="U8" s="11">
        <f>IF(U7=B$1,1,U7+1)</f>
        <v/>
      </c>
      <c r="V8" s="13">
        <f>IF(U8=B$1,"",1001&amp;","&amp;Q8&amp;","&amp;R8)</f>
        <v/>
      </c>
      <c r="W8" s="11">
        <f>IF(U8=B$1,"",5&amp;","&amp;0&amp;","&amp;10000)</f>
        <v/>
      </c>
      <c r="X8" s="11">
        <f>VLOOKUP(S8,C:E,3,FALSE)</f>
        <v/>
      </c>
      <c r="Z8" s="1" t="n">
        <v>0.002</v>
      </c>
      <c r="AB8" s="13">
        <f>VLOOKUP($T8,文本!$C:$J,4,FALSE)</f>
        <v/>
      </c>
      <c r="AC8" s="13">
        <f>VLOOKUP($T8,文本!$C:$J,5,FALSE)</f>
        <v/>
      </c>
      <c r="AD8" s="13">
        <f>VLOOKUP($T8,文本!$C:$J,7,FALSE)</f>
        <v/>
      </c>
      <c r="AE8" s="13">
        <f>VLOOKUP($T8,文本!$C:$J,8,FALSE)</f>
        <v/>
      </c>
    </row>
    <row r="9" ht="14.25" customHeight="1" s="14">
      <c r="A9" s="7" t="n"/>
      <c r="B9" s="8" t="n"/>
      <c r="C9" s="8" t="n">
        <v>504304</v>
      </c>
      <c r="D9" s="8" t="inlineStr">
        <is>
          <t>项链</t>
        </is>
      </c>
      <c r="E9" s="8" t="n">
        <v>113088</v>
      </c>
      <c r="F9" s="8" t="n"/>
      <c r="G9" s="8" t="n"/>
      <c r="H9" s="8" t="n"/>
      <c r="I9" s="8" t="n"/>
      <c r="J9" s="12" t="n"/>
      <c r="K9" s="11">
        <f>SUMPRODUCT((文本!$A:$A=$E9)*(文本!$B:$B=$D9)*(文本!$D:$D=K$1),文本!$C:$C)</f>
        <v/>
      </c>
      <c r="L9" s="11">
        <f>SUMPRODUCT((文本!$A:$A=$E9)*(文本!$B:$B=$D9)*(文本!$D:$D=L$1),文本!$C:$C)</f>
        <v/>
      </c>
      <c r="M9" s="11">
        <f>SUMPRODUCT((文本!$A:$A=$E9)*(文本!$B:$B=$D9)*(文本!$D:$D=M$1),文本!$C:$C)</f>
        <v/>
      </c>
      <c r="N9" s="11">
        <f>SUMPRODUCT((文本!$A:$A=$E9)*(文本!$B:$B=$D9)*(文本!$D:$D=N$1),文本!$C:$C)</f>
        <v/>
      </c>
      <c r="P9" s="11">
        <f>VLOOKUP(S9,C:D,2,FALSE)</f>
        <v/>
      </c>
      <c r="Q9" s="1" t="n">
        <v>619134</v>
      </c>
      <c r="R9" s="11">
        <f>IF(U9=B$1,"",INDEX($F$1:$J$4,MATCH(U9,$F$1:$F$4,0),MATCH(P9,$F$1:$J$1,0)))</f>
        <v/>
      </c>
      <c r="S9" s="11">
        <f>INDEX(C:C,ROUNDUP((ROW()-1)/B$1,0)+1)</f>
        <v/>
      </c>
      <c r="T9" s="13">
        <f>INDEX($C$1:$N$5,MATCH(S9,$C$1:$C$5,0),MATCH(U9,$C$1:$N$1,0))</f>
        <v/>
      </c>
      <c r="U9" s="11">
        <f>IF(U8=B$1,1,U8+1)</f>
        <v/>
      </c>
      <c r="V9" s="13">
        <f>IF(U9=B$1,"",1001&amp;","&amp;Q9&amp;","&amp;R9)</f>
        <v/>
      </c>
      <c r="W9" s="11">
        <f>IF(U9=B$1,"",5&amp;","&amp;0&amp;","&amp;10000)</f>
        <v/>
      </c>
      <c r="X9" s="11">
        <f>VLOOKUP(S9,C:E,3,FALSE)</f>
        <v/>
      </c>
      <c r="Z9" s="1" t="n">
        <v>0.0025</v>
      </c>
      <c r="AB9" s="13">
        <f>VLOOKUP($T9,文本!$C:$J,4,FALSE)</f>
        <v/>
      </c>
      <c r="AC9" s="13">
        <f>VLOOKUP($T9,文本!$C:$J,5,FALSE)</f>
        <v/>
      </c>
      <c r="AD9" s="13">
        <f>VLOOKUP($T9,文本!$C:$J,7,FALSE)</f>
        <v/>
      </c>
      <c r="AE9" s="13">
        <f>VLOOKUP($T9,文本!$C:$J,8,FALSE)</f>
        <v/>
      </c>
    </row>
    <row r="10">
      <c r="P10" s="11">
        <f>VLOOKUP(S10,C:D,2,FALSE)</f>
        <v/>
      </c>
      <c r="Q10" s="1" t="n">
        <v>619134</v>
      </c>
      <c r="R10" s="11">
        <f>IF(U10=B$1,"",INDEX($F$1:$J$4,MATCH(U10,$F$1:$F$4,0),MATCH(P10,$F$1:$J$1,0)))</f>
        <v/>
      </c>
      <c r="S10" s="11">
        <f>INDEX(C:C,ROUNDUP((ROW()-1)/B$1,0)+1)</f>
        <v/>
      </c>
      <c r="T10" s="13">
        <f>INDEX($C$1:$N$5,MATCH(S10,$C$1:$C$5,0),MATCH(U10,$C$1:$N$1,0))</f>
        <v/>
      </c>
      <c r="U10" s="11">
        <f>IF(U9=B$1,1,U9+1)</f>
        <v/>
      </c>
      <c r="V10" s="13">
        <f>IF(U10=B$1,"",1001&amp;","&amp;Q10&amp;","&amp;R10)</f>
        <v/>
      </c>
      <c r="W10" s="11">
        <f>IF(U10=B$1,"",5&amp;","&amp;0&amp;","&amp;10000)</f>
        <v/>
      </c>
      <c r="X10" s="11">
        <f>VLOOKUP(S10,C:E,3,FALSE)</f>
        <v/>
      </c>
      <c r="Z10" s="1" t="n">
        <v>0.001</v>
      </c>
      <c r="AB10" s="13">
        <f>VLOOKUP($T10,文本!$C:$J,4,FALSE)</f>
        <v/>
      </c>
      <c r="AC10" s="13">
        <f>VLOOKUP($T10,文本!$C:$J,5,FALSE)</f>
        <v/>
      </c>
      <c r="AD10" s="13">
        <f>VLOOKUP($T10,文本!$C:$J,7,FALSE)</f>
        <v/>
      </c>
      <c r="AE10" s="13">
        <f>VLOOKUP($T10,文本!$C:$J,8,FALSE)</f>
        <v/>
      </c>
    </row>
    <row r="11">
      <c r="P11" s="11">
        <f>VLOOKUP(S11,C:D,2,FALSE)</f>
        <v/>
      </c>
      <c r="Q11" s="1" t="n">
        <v>619134</v>
      </c>
      <c r="R11" s="11">
        <f>IF(U11=B$1,"",INDEX($F$1:$J$4,MATCH(U11,$F$1:$F$4,0),MATCH(P11,$F$1:$J$1,0)))</f>
        <v/>
      </c>
      <c r="S11" s="11">
        <f>INDEX(C:C,ROUNDUP((ROW()-1)/B$1,0)+1)</f>
        <v/>
      </c>
      <c r="T11" s="13">
        <f>INDEX($C$1:$N$5,MATCH(S11,$C$1:$C$5,0),MATCH(U11,$C$1:$N$1,0))</f>
        <v/>
      </c>
      <c r="U11" s="11">
        <f>IF(U10=B$1,1,U10+1)</f>
        <v/>
      </c>
      <c r="V11" s="13">
        <f>IF(U11=B$1,"",1001&amp;","&amp;Q11&amp;","&amp;R11)</f>
        <v/>
      </c>
      <c r="W11" s="11">
        <f>IF(U11=B$1,"",5&amp;","&amp;0&amp;","&amp;10000)</f>
        <v/>
      </c>
      <c r="X11" s="11">
        <f>VLOOKUP(S11,C:E,3,FALSE)</f>
        <v/>
      </c>
      <c r="Z11" s="1" t="n">
        <v>0.0015</v>
      </c>
      <c r="AB11" s="13">
        <f>VLOOKUP($T11,文本!$C:$J,4,FALSE)</f>
        <v/>
      </c>
      <c r="AC11" s="13">
        <f>VLOOKUP($T11,文本!$C:$J,5,FALSE)</f>
        <v/>
      </c>
      <c r="AD11" s="13">
        <f>VLOOKUP($T11,文本!$C:$J,7,FALSE)</f>
        <v/>
      </c>
      <c r="AE11" s="13">
        <f>VLOOKUP($T11,文本!$C:$J,8,FALSE)</f>
        <v/>
      </c>
    </row>
    <row r="12">
      <c r="P12" s="11">
        <f>VLOOKUP(S12,C:D,2,FALSE)</f>
        <v/>
      </c>
      <c r="Q12" s="1" t="n">
        <v>619134</v>
      </c>
      <c r="R12" s="11">
        <f>IF(U12=B$1,"",INDEX($F$1:$J$4,MATCH(U12,$F$1:$F$4,0),MATCH(P12,$F$1:$J$1,0)))</f>
        <v/>
      </c>
      <c r="S12" s="11">
        <f>INDEX(C:C,ROUNDUP((ROW()-1)/B$1,0)+1)</f>
        <v/>
      </c>
      <c r="T12" s="13">
        <f>INDEX($C$1:$N$5,MATCH(S12,$C$1:$C$5,0),MATCH(U12,$C$1:$N$1,0))</f>
        <v/>
      </c>
      <c r="U12" s="11">
        <f>IF(U11=B$1,1,U11+1)</f>
        <v/>
      </c>
      <c r="V12" s="13">
        <f>IF(U12=B$1,"",1001&amp;","&amp;Q12&amp;","&amp;R12)</f>
        <v/>
      </c>
      <c r="W12" s="11">
        <f>IF(U12=B$1,"",5&amp;","&amp;0&amp;","&amp;10000)</f>
        <v/>
      </c>
      <c r="X12" s="11">
        <f>VLOOKUP(S12,C:E,3,FALSE)</f>
        <v/>
      </c>
      <c r="Z12" s="1" t="n">
        <v>0.002</v>
      </c>
      <c r="AB12" s="13">
        <f>VLOOKUP($T12,文本!$C:$J,4,FALSE)</f>
        <v/>
      </c>
      <c r="AC12" s="13">
        <f>VLOOKUP($T12,文本!$C:$J,5,FALSE)</f>
        <v/>
      </c>
      <c r="AD12" s="13">
        <f>VLOOKUP($T12,文本!$C:$J,7,FALSE)</f>
        <v/>
      </c>
      <c r="AE12" s="13">
        <f>VLOOKUP($T12,文本!$C:$J,8,FALSE)</f>
        <v/>
      </c>
    </row>
    <row r="13">
      <c r="P13" s="11">
        <f>VLOOKUP(S13,C:D,2,FALSE)</f>
        <v/>
      </c>
      <c r="Q13" s="1" t="n">
        <v>619134</v>
      </c>
      <c r="R13" s="11">
        <f>IF(U13=B$1,"",INDEX($F$1:$J$4,MATCH(U13,$F$1:$F$4,0),MATCH(P13,$F$1:$J$1,0)))</f>
        <v/>
      </c>
      <c r="S13" s="11">
        <f>INDEX(C:C,ROUNDUP((ROW()-1)/B$1,0)+1)</f>
        <v/>
      </c>
      <c r="T13" s="13">
        <f>INDEX($C$1:$N$5,MATCH(S13,$C$1:$C$5,0),MATCH(U13,$C$1:$N$1,0))</f>
        <v/>
      </c>
      <c r="U13" s="11">
        <f>IF(U12=B$1,1,U12+1)</f>
        <v/>
      </c>
      <c r="V13" s="13">
        <f>IF(U13=B$1,"",1001&amp;","&amp;Q13&amp;","&amp;R13)</f>
        <v/>
      </c>
      <c r="W13" s="11">
        <f>IF(U13=B$1,"",5&amp;","&amp;0&amp;","&amp;10000)</f>
        <v/>
      </c>
      <c r="X13" s="11">
        <f>VLOOKUP(S13,C:E,3,FALSE)</f>
        <v/>
      </c>
      <c r="Z13" s="1" t="n">
        <v>0.0025</v>
      </c>
      <c r="AB13" s="13">
        <f>VLOOKUP($T13,文本!$C:$J,4,FALSE)</f>
        <v/>
      </c>
      <c r="AC13" s="13">
        <f>VLOOKUP($T13,文本!$C:$J,5,FALSE)</f>
        <v/>
      </c>
      <c r="AD13" s="13">
        <f>VLOOKUP($T13,文本!$C:$J,7,FALSE)</f>
        <v/>
      </c>
      <c r="AE13" s="13">
        <f>VLOOKUP($T13,文本!$C:$J,8,FALSE)</f>
        <v/>
      </c>
    </row>
    <row r="14">
      <c r="P14" s="11">
        <f>VLOOKUP(S14,C:D,2,FALSE)</f>
        <v/>
      </c>
      <c r="Q14" s="1" t="n">
        <v>619134</v>
      </c>
      <c r="R14" s="11">
        <f>IF(U14=B$1,"",INDEX($F$1:$J$4,MATCH(U14,$F$1:$F$4,0),MATCH(P14,$F$1:$J$1,0)))</f>
        <v/>
      </c>
      <c r="S14" s="11">
        <f>INDEX(C:C,ROUNDUP((ROW()-1)/B$1,0)+1)</f>
        <v/>
      </c>
      <c r="T14" s="13">
        <f>INDEX($C$1:$N$5,MATCH(S14,$C$1:$C$5,0),MATCH(U14,$C$1:$N$1,0))</f>
        <v/>
      </c>
      <c r="U14" s="11">
        <f>IF(U13=B$1,1,U13+1)</f>
        <v/>
      </c>
      <c r="V14" s="13">
        <f>IF(U14=B$1,"",1001&amp;","&amp;Q14&amp;","&amp;R14)</f>
        <v/>
      </c>
      <c r="W14" s="11">
        <f>IF(U14=B$1,"",5&amp;","&amp;0&amp;","&amp;10000)</f>
        <v/>
      </c>
      <c r="X14" s="11">
        <f>VLOOKUP(S14,C:E,3,FALSE)</f>
        <v/>
      </c>
      <c r="Z14" s="1" t="n">
        <v>0.001</v>
      </c>
      <c r="AB14" s="13">
        <f>VLOOKUP($T14,文本!$C:$J,4,FALSE)</f>
        <v/>
      </c>
      <c r="AC14" s="13">
        <f>VLOOKUP($T14,文本!$C:$J,5,FALSE)</f>
        <v/>
      </c>
      <c r="AD14" s="13">
        <f>VLOOKUP($T14,文本!$C:$J,7,FALSE)</f>
        <v/>
      </c>
      <c r="AE14" s="13">
        <f>VLOOKUP($T14,文本!$C:$J,8,FALSE)</f>
        <v/>
      </c>
    </row>
    <row r="15">
      <c r="P15" s="11">
        <f>VLOOKUP(S15,C:D,2,FALSE)</f>
        <v/>
      </c>
      <c r="Q15" s="1" t="n">
        <v>619134</v>
      </c>
      <c r="R15" s="11">
        <f>IF(U15=B$1,"",INDEX($F$1:$J$4,MATCH(U15,$F$1:$F$4,0),MATCH(P15,$F$1:$J$1,0)))</f>
        <v/>
      </c>
      <c r="S15" s="11">
        <f>INDEX(C:C,ROUNDUP((ROW()-1)/B$1,0)+1)</f>
        <v/>
      </c>
      <c r="T15" s="13">
        <f>INDEX($C$1:$N$5,MATCH(S15,$C$1:$C$5,0),MATCH(U15,$C$1:$N$1,0))</f>
        <v/>
      </c>
      <c r="U15" s="11">
        <f>IF(U14=B$1,1,U14+1)</f>
        <v/>
      </c>
      <c r="V15" s="13">
        <f>IF(U15=B$1,"",1001&amp;","&amp;Q15&amp;","&amp;R15)</f>
        <v/>
      </c>
      <c r="W15" s="11">
        <f>IF(U15=B$1,"",5&amp;","&amp;0&amp;","&amp;10000)</f>
        <v/>
      </c>
      <c r="X15" s="11">
        <f>VLOOKUP(S15,C:E,3,FALSE)</f>
        <v/>
      </c>
      <c r="Z15" s="1" t="n">
        <v>0.0015</v>
      </c>
      <c r="AB15" s="13">
        <f>VLOOKUP($T15,文本!$C:$J,4,FALSE)</f>
        <v/>
      </c>
      <c r="AC15" s="13">
        <f>VLOOKUP($T15,文本!$C:$J,5,FALSE)</f>
        <v/>
      </c>
      <c r="AD15" s="13">
        <f>VLOOKUP($T15,文本!$C:$J,7,FALSE)</f>
        <v/>
      </c>
      <c r="AE15" s="13">
        <f>VLOOKUP($T15,文本!$C:$J,8,FALSE)</f>
        <v/>
      </c>
    </row>
    <row r="16">
      <c r="P16" s="11">
        <f>VLOOKUP(S16,C:D,2,FALSE)</f>
        <v/>
      </c>
      <c r="Q16" s="1" t="n">
        <v>619134</v>
      </c>
      <c r="R16" s="11">
        <f>IF(U16=B$1,"",INDEX($F$1:$J$4,MATCH(U16,$F$1:$F$4,0),MATCH(P16,$F$1:$J$1,0)))</f>
        <v/>
      </c>
      <c r="S16" s="11">
        <f>INDEX(C:C,ROUNDUP((ROW()-1)/B$1,0)+1)</f>
        <v/>
      </c>
      <c r="T16" s="13">
        <f>INDEX($C$1:$N$5,MATCH(S16,$C$1:$C$5,0),MATCH(U16,$C$1:$N$1,0))</f>
        <v/>
      </c>
      <c r="U16" s="11">
        <f>IF(U15=B$1,1,U15+1)</f>
        <v/>
      </c>
      <c r="V16" s="13">
        <f>IF(U16=B$1,"",1001&amp;","&amp;Q16&amp;","&amp;R16)</f>
        <v/>
      </c>
      <c r="W16" s="11">
        <f>IF(U16=B$1,"",5&amp;","&amp;0&amp;","&amp;10000)</f>
        <v/>
      </c>
      <c r="X16" s="11">
        <f>VLOOKUP(S16,C:E,3,FALSE)</f>
        <v/>
      </c>
      <c r="Z16" s="1" t="n">
        <v>0.002</v>
      </c>
      <c r="AB16" s="13">
        <f>VLOOKUP($T16,文本!$C:$J,4,FALSE)</f>
        <v/>
      </c>
      <c r="AC16" s="13">
        <f>VLOOKUP($T16,文本!$C:$J,5,FALSE)</f>
        <v/>
      </c>
      <c r="AD16" s="13">
        <f>VLOOKUP($T16,文本!$C:$J,7,FALSE)</f>
        <v/>
      </c>
      <c r="AE16" s="13">
        <f>VLOOKUP($T16,文本!$C:$J,8,FALSE)</f>
        <v/>
      </c>
    </row>
    <row r="17">
      <c r="P17" s="11">
        <f>VLOOKUP(S17,C:D,2,FALSE)</f>
        <v/>
      </c>
      <c r="Q17" s="1" t="n">
        <v>619134</v>
      </c>
      <c r="R17" s="11">
        <f>IF(U17=B$1,"",INDEX($F$1:$J$4,MATCH(U17,$F$1:$F$4,0),MATCH(P17,$F$1:$J$1,0)))</f>
        <v/>
      </c>
      <c r="S17" s="11">
        <f>INDEX(C:C,ROUNDUP((ROW()-1)/B$1,0)+1)</f>
        <v/>
      </c>
      <c r="T17" s="13">
        <f>INDEX($C$1:$N$5,MATCH(S17,$C$1:$C$5,0),MATCH(U17,$C$1:$N$1,0))</f>
        <v/>
      </c>
      <c r="U17" s="11">
        <f>IF(U16=B$1,1,U16+1)</f>
        <v/>
      </c>
      <c r="V17" s="13">
        <f>IF(U17=B$1,"",1001&amp;","&amp;Q17&amp;","&amp;R17)</f>
        <v/>
      </c>
      <c r="W17" s="11">
        <f>IF(U17=B$1,"",5&amp;","&amp;0&amp;","&amp;10000)</f>
        <v/>
      </c>
      <c r="X17" s="11">
        <f>VLOOKUP(S17,C:E,3,FALSE)</f>
        <v/>
      </c>
      <c r="Z17" s="1" t="n">
        <v>0.0025</v>
      </c>
      <c r="AB17" s="13">
        <f>VLOOKUP($T17,文本!$C:$J,4,FALSE)</f>
        <v/>
      </c>
      <c r="AC17" s="13">
        <f>VLOOKUP($T17,文本!$C:$J,5,FALSE)</f>
        <v/>
      </c>
      <c r="AD17" s="13">
        <f>VLOOKUP($T17,文本!$C:$J,7,FALSE)</f>
        <v/>
      </c>
      <c r="AE17" s="13">
        <f>VLOOKUP($T17,文本!$C:$J,8,FALSE)</f>
        <v/>
      </c>
    </row>
    <row r="18">
      <c r="P18" s="11">
        <f>VLOOKUP(S18,C:D,2,FALSE)</f>
        <v/>
      </c>
      <c r="Q18" s="1" t="n">
        <v>619134</v>
      </c>
      <c r="R18" s="11">
        <f>IF(U18=B$1,"",INDEX($F$1:$J$4,MATCH(U18,$F$1:$F$4,0),MATCH(P18,$F$1:$J$1,0)))</f>
        <v/>
      </c>
      <c r="S18" s="11">
        <f>INDEX(C:C,ROUNDUP((ROW()-1)/B$1,0)+1)</f>
        <v/>
      </c>
      <c r="T18" s="13">
        <f>INDEX($C$1:$N$9,MATCH(S18,$C$1:$C$9,0),MATCH(U18,$C$1:$N$1,0))</f>
        <v/>
      </c>
      <c r="U18" s="1" t="n">
        <v>1</v>
      </c>
      <c r="V18" s="13">
        <f>IF(U18=B$1,"",1001&amp;","&amp;Q18&amp;","&amp;R18)</f>
        <v/>
      </c>
      <c r="W18" s="11">
        <f>IF(U18=B$1,"",5&amp;","&amp;0&amp;","&amp;10000)</f>
        <v/>
      </c>
      <c r="X18" s="11">
        <f>VLOOKUP(S18,C:E,3,FALSE)</f>
        <v/>
      </c>
      <c r="Z18" s="1" t="n">
        <v>0.001</v>
      </c>
      <c r="AB18" s="13">
        <f>VLOOKUP($T18,文本!$C:$J,4,FALSE)</f>
        <v/>
      </c>
      <c r="AC18" s="13">
        <f>VLOOKUP($T18,文本!$C:$J,5,FALSE)</f>
        <v/>
      </c>
      <c r="AD18" s="13">
        <f>VLOOKUP($T18,文本!$C:$J,7,FALSE)</f>
        <v/>
      </c>
      <c r="AE18" s="13">
        <f>VLOOKUP($T18,文本!$C:$J,8,FALSE)</f>
        <v/>
      </c>
    </row>
    <row r="19">
      <c r="P19" s="11">
        <f>VLOOKUP(S19,C:D,2,FALSE)</f>
        <v/>
      </c>
      <c r="Q19" s="1" t="n">
        <v>619134</v>
      </c>
      <c r="R19" s="11">
        <f>IF(U19=B$1,"",INDEX($F$1:$J$4,MATCH(U19,$F$1:$F$4,0),MATCH(P19,$F$1:$J$1,0)))</f>
        <v/>
      </c>
      <c r="S19" s="11">
        <f>INDEX(C:C,ROUNDUP((ROW()-1)/B$1,0)+1)</f>
        <v/>
      </c>
      <c r="T19" s="13">
        <f>INDEX($C$1:$N$9,MATCH(S19,$C$1:$C$9,0),MATCH(U19,$C$1:$N$1,0))</f>
        <v/>
      </c>
      <c r="U19" s="11">
        <f>IF(U18=B$1,1,U18+1)</f>
        <v/>
      </c>
      <c r="V19" s="13">
        <f>IF(U19=B$1,"",1001&amp;","&amp;Q19&amp;","&amp;R19)</f>
        <v/>
      </c>
      <c r="W19" s="11">
        <f>IF(U19=B$1,"",5&amp;","&amp;0&amp;","&amp;10000)</f>
        <v/>
      </c>
      <c r="X19" s="11">
        <f>VLOOKUP(S19,C:E,3,FALSE)</f>
        <v/>
      </c>
      <c r="Z19" s="1" t="n">
        <v>0.0015</v>
      </c>
      <c r="AB19" s="13">
        <f>VLOOKUP($T19,文本!$C:$J,4,FALSE)</f>
        <v/>
      </c>
      <c r="AC19" s="13">
        <f>VLOOKUP($T19,文本!$C:$J,5,FALSE)</f>
        <v/>
      </c>
      <c r="AD19" s="13">
        <f>VLOOKUP($T19,文本!$C:$J,7,FALSE)</f>
        <v/>
      </c>
      <c r="AE19" s="13">
        <f>VLOOKUP($T19,文本!$C:$J,8,FALSE)</f>
        <v/>
      </c>
    </row>
    <row r="20">
      <c r="P20" s="11">
        <f>VLOOKUP(S20,C:D,2,FALSE)</f>
        <v/>
      </c>
      <c r="Q20" s="1" t="n">
        <v>619134</v>
      </c>
      <c r="R20" s="11">
        <f>IF(U20=B$1,"",INDEX($F$1:$J$4,MATCH(U20,$F$1:$F$4,0),MATCH(P20,$F$1:$J$1,0)))</f>
        <v/>
      </c>
      <c r="S20" s="11">
        <f>INDEX(C:C,ROUNDUP((ROW()-1)/B$1,0)+1)</f>
        <v/>
      </c>
      <c r="T20" s="13">
        <f>INDEX($C$1:$N$9,MATCH(S20,$C$1:$C$9,0),MATCH(U20,$C$1:$N$1,0))</f>
        <v/>
      </c>
      <c r="U20" s="11">
        <f>IF(U19=B$1,1,U19+1)</f>
        <v/>
      </c>
      <c r="V20" s="13">
        <f>IF(U20=B$1,"",1001&amp;","&amp;Q20&amp;","&amp;R20)</f>
        <v/>
      </c>
      <c r="W20" s="11">
        <f>IF(U20=B$1,"",5&amp;","&amp;0&amp;","&amp;10000)</f>
        <v/>
      </c>
      <c r="X20" s="11">
        <f>VLOOKUP(S20,C:E,3,FALSE)</f>
        <v/>
      </c>
      <c r="Z20" s="1" t="n">
        <v>0.002</v>
      </c>
      <c r="AB20" s="13">
        <f>VLOOKUP($T20,文本!$C:$J,4,FALSE)</f>
        <v/>
      </c>
      <c r="AC20" s="13">
        <f>VLOOKUP($T20,文本!$C:$J,5,FALSE)</f>
        <v/>
      </c>
      <c r="AD20" s="13">
        <f>VLOOKUP($T20,文本!$C:$J,7,FALSE)</f>
        <v/>
      </c>
      <c r="AE20" s="13">
        <f>VLOOKUP($T20,文本!$C:$J,8,FALSE)</f>
        <v/>
      </c>
    </row>
    <row r="21">
      <c r="P21" s="11">
        <f>VLOOKUP(S21,C:D,2,FALSE)</f>
        <v/>
      </c>
      <c r="Q21" s="1" t="n">
        <v>619134</v>
      </c>
      <c r="R21" s="11">
        <f>IF(U21=B$1,"",INDEX($F$1:$J$4,MATCH(U21,$F$1:$F$4,0),MATCH(P21,$F$1:$J$1,0)))</f>
        <v/>
      </c>
      <c r="S21" s="11">
        <f>INDEX(C:C,ROUNDUP((ROW()-1)/B$1,0)+1)</f>
        <v/>
      </c>
      <c r="T21" s="13">
        <f>INDEX($C$1:$N$9,MATCH(S21,$C$1:$C$9,0),MATCH(U21,$C$1:$N$1,0))</f>
        <v/>
      </c>
      <c r="U21" s="11">
        <f>IF(U20=B$1,1,U20+1)</f>
        <v/>
      </c>
      <c r="V21" s="13">
        <f>IF(U21=B$1,"",1001&amp;","&amp;Q21&amp;","&amp;R21)</f>
        <v/>
      </c>
      <c r="W21" s="11">
        <f>IF(U21=B$1,"",5&amp;","&amp;0&amp;","&amp;10000)</f>
        <v/>
      </c>
      <c r="X21" s="11">
        <f>VLOOKUP(S21,C:E,3,FALSE)</f>
        <v/>
      </c>
      <c r="Z21" s="1" t="n">
        <v>0.0025</v>
      </c>
      <c r="AB21" s="13">
        <f>VLOOKUP($T21,文本!$C:$J,4,FALSE)</f>
        <v/>
      </c>
      <c r="AC21" s="13">
        <f>VLOOKUP($T21,文本!$C:$J,5,FALSE)</f>
        <v/>
      </c>
      <c r="AD21" s="13">
        <f>VLOOKUP($T21,文本!$C:$J,7,FALSE)</f>
        <v/>
      </c>
      <c r="AE21" s="13">
        <f>VLOOKUP($T21,文本!$C:$J,8,FALSE)</f>
        <v/>
      </c>
    </row>
    <row r="22">
      <c r="P22" s="11">
        <f>VLOOKUP(S22,C:D,2,FALSE)</f>
        <v/>
      </c>
      <c r="Q22" s="1" t="n">
        <v>619134</v>
      </c>
      <c r="R22" s="11">
        <f>IF(U22=B$1,"",INDEX($F$1:$J$4,MATCH(U22,$F$1:$F$4,0),MATCH(P22,$F$1:$J$1,0)))</f>
        <v/>
      </c>
      <c r="S22" s="11">
        <f>INDEX(C:C,ROUNDUP((ROW()-1)/B$1,0)+1)</f>
        <v/>
      </c>
      <c r="T22" s="13">
        <f>INDEX($C$1:$N$9,MATCH(S22,$C$1:$C$9,0),MATCH(U22,$C$1:$N$1,0))</f>
        <v/>
      </c>
      <c r="U22" s="11">
        <f>IF(U21=B$1,1,U21+1)</f>
        <v/>
      </c>
      <c r="V22" s="13">
        <f>IF(U22=B$1,"",1001&amp;","&amp;Q22&amp;","&amp;R22)</f>
        <v/>
      </c>
      <c r="W22" s="11">
        <f>IF(U22=B$1,"",5&amp;","&amp;0&amp;","&amp;10000)</f>
        <v/>
      </c>
      <c r="X22" s="11">
        <f>VLOOKUP(S22,C:E,3,FALSE)</f>
        <v/>
      </c>
      <c r="Z22" s="1" t="n">
        <v>0.001</v>
      </c>
      <c r="AB22" s="13">
        <f>VLOOKUP($T22,文本!$C:$J,4,FALSE)</f>
        <v/>
      </c>
      <c r="AC22" s="13">
        <f>VLOOKUP($T22,文本!$C:$J,5,FALSE)</f>
        <v/>
      </c>
      <c r="AD22" s="13">
        <f>VLOOKUP($T22,文本!$C:$J,7,FALSE)</f>
        <v/>
      </c>
      <c r="AE22" s="13">
        <f>VLOOKUP($T22,文本!$C:$J,8,FALSE)</f>
        <v/>
      </c>
    </row>
    <row r="23">
      <c r="P23" s="11">
        <f>VLOOKUP(S23,C:D,2,FALSE)</f>
        <v/>
      </c>
      <c r="Q23" s="1" t="n">
        <v>619134</v>
      </c>
      <c r="R23" s="11">
        <f>IF(U23=B$1,"",INDEX($F$1:$J$4,MATCH(U23,$F$1:$F$4,0),MATCH(P23,$F$1:$J$1,0)))</f>
        <v/>
      </c>
      <c r="S23" s="11">
        <f>INDEX(C:C,ROUNDUP((ROW()-1)/B$1,0)+1)</f>
        <v/>
      </c>
      <c r="T23" s="13">
        <f>INDEX($C$1:$N$9,MATCH(S23,$C$1:$C$9,0),MATCH(U23,$C$1:$N$1,0))</f>
        <v/>
      </c>
      <c r="U23" s="11">
        <f>IF(U22=B$1,1,U22+1)</f>
        <v/>
      </c>
      <c r="V23" s="13">
        <f>IF(U23=B$1,"",1001&amp;","&amp;Q23&amp;","&amp;R23)</f>
        <v/>
      </c>
      <c r="W23" s="11">
        <f>IF(U23=B$1,"",5&amp;","&amp;0&amp;","&amp;10000)</f>
        <v/>
      </c>
      <c r="X23" s="11">
        <f>VLOOKUP(S23,C:E,3,FALSE)</f>
        <v/>
      </c>
      <c r="Z23" s="1" t="n">
        <v>0.0015</v>
      </c>
      <c r="AB23" s="13">
        <f>VLOOKUP($T23,文本!$C:$J,4,FALSE)</f>
        <v/>
      </c>
      <c r="AC23" s="13">
        <f>VLOOKUP($T23,文本!$C:$J,5,FALSE)</f>
        <v/>
      </c>
      <c r="AD23" s="13">
        <f>VLOOKUP($T23,文本!$C:$J,7,FALSE)</f>
        <v/>
      </c>
      <c r="AE23" s="13">
        <f>VLOOKUP($T23,文本!$C:$J,8,FALSE)</f>
        <v/>
      </c>
    </row>
    <row r="24">
      <c r="P24" s="11">
        <f>VLOOKUP(S24,C:D,2,FALSE)</f>
        <v/>
      </c>
      <c r="Q24" s="1" t="n">
        <v>619134</v>
      </c>
      <c r="R24" s="11">
        <f>IF(U24=B$1,"",INDEX($F$1:$J$4,MATCH(U24,$F$1:$F$4,0),MATCH(P24,$F$1:$J$1,0)))</f>
        <v/>
      </c>
      <c r="S24" s="11">
        <f>INDEX(C:C,ROUNDUP((ROW()-1)/B$1,0)+1)</f>
        <v/>
      </c>
      <c r="T24" s="13">
        <f>INDEX($C$1:$N$9,MATCH(S24,$C$1:$C$9,0),MATCH(U24,$C$1:$N$1,0))</f>
        <v/>
      </c>
      <c r="U24" s="11">
        <f>IF(U23=B$1,1,U23+1)</f>
        <v/>
      </c>
      <c r="V24" s="13">
        <f>IF(U24=B$1,"",1001&amp;","&amp;Q24&amp;","&amp;R24)</f>
        <v/>
      </c>
      <c r="W24" s="11">
        <f>IF(U24=B$1,"",5&amp;","&amp;0&amp;","&amp;10000)</f>
        <v/>
      </c>
      <c r="X24" s="11">
        <f>VLOOKUP(S24,C:E,3,FALSE)</f>
        <v/>
      </c>
      <c r="Z24" s="1" t="n">
        <v>0.002</v>
      </c>
      <c r="AB24" s="13">
        <f>VLOOKUP($T24,文本!$C:$J,4,FALSE)</f>
        <v/>
      </c>
      <c r="AC24" s="13">
        <f>VLOOKUP($T24,文本!$C:$J,5,FALSE)</f>
        <v/>
      </c>
      <c r="AD24" s="13">
        <f>VLOOKUP($T24,文本!$C:$J,7,FALSE)</f>
        <v/>
      </c>
      <c r="AE24" s="13">
        <f>VLOOKUP($T24,文本!$C:$J,8,FALSE)</f>
        <v/>
      </c>
    </row>
    <row r="25">
      <c r="P25" s="11">
        <f>VLOOKUP(S25,C:D,2,FALSE)</f>
        <v/>
      </c>
      <c r="Q25" s="1" t="n">
        <v>619134</v>
      </c>
      <c r="R25" s="11">
        <f>IF(U25=B$1,"",INDEX($F$1:$J$4,MATCH(U25,$F$1:$F$4,0),MATCH(P25,$F$1:$J$1,0)))</f>
        <v/>
      </c>
      <c r="S25" s="11">
        <f>INDEX(C:C,ROUNDUP((ROW()-1)/B$1,0)+1)</f>
        <v/>
      </c>
      <c r="T25" s="13">
        <f>INDEX($C$1:$N$9,MATCH(S25,$C$1:$C$9,0),MATCH(U25,$C$1:$N$1,0))</f>
        <v/>
      </c>
      <c r="U25" s="11">
        <f>IF(U24=B$1,1,U24+1)</f>
        <v/>
      </c>
      <c r="V25" s="13">
        <f>IF(U25=B$1,"",1001&amp;","&amp;Q25&amp;","&amp;R25)</f>
        <v/>
      </c>
      <c r="W25" s="11">
        <f>IF(U25=B$1,"",5&amp;","&amp;0&amp;","&amp;10000)</f>
        <v/>
      </c>
      <c r="X25" s="11">
        <f>VLOOKUP(S25,C:E,3,FALSE)</f>
        <v/>
      </c>
      <c r="Z25" s="1" t="n">
        <v>0.0025</v>
      </c>
      <c r="AB25" s="13">
        <f>VLOOKUP($T25,文本!$C:$J,4,FALSE)</f>
        <v/>
      </c>
      <c r="AC25" s="13">
        <f>VLOOKUP($T25,文本!$C:$J,5,FALSE)</f>
        <v/>
      </c>
      <c r="AD25" s="13">
        <f>VLOOKUP($T25,文本!$C:$J,7,FALSE)</f>
        <v/>
      </c>
      <c r="AE25" s="13">
        <f>VLOOKUP($T25,文本!$C:$J,8,FALSE)</f>
        <v/>
      </c>
    </row>
    <row r="26">
      <c r="P26" s="11">
        <f>VLOOKUP(S26,C:D,2,FALSE)</f>
        <v/>
      </c>
      <c r="Q26" s="1" t="n">
        <v>619134</v>
      </c>
      <c r="R26" s="11">
        <f>IF(U26=B$1,"",INDEX($F$1:$J$4,MATCH(U26,$F$1:$F$4,0),MATCH(P26,$F$1:$J$1,0)))</f>
        <v/>
      </c>
      <c r="S26" s="11">
        <f>INDEX(C:C,ROUNDUP((ROW()-1)/B$1,0)+1)</f>
        <v/>
      </c>
      <c r="T26" s="13">
        <f>INDEX($C$1:$N$9,MATCH(S26,$C$1:$C$9,0),MATCH(U26,$C$1:$N$1,0))</f>
        <v/>
      </c>
      <c r="U26" s="11">
        <f>IF(U25=B$1,1,U25+1)</f>
        <v/>
      </c>
      <c r="V26" s="13">
        <f>IF(U26=B$1,"",1001&amp;","&amp;Q26&amp;","&amp;R26)</f>
        <v/>
      </c>
      <c r="W26" s="11">
        <f>IF(U26=B$1,"",5&amp;","&amp;0&amp;","&amp;10000)</f>
        <v/>
      </c>
      <c r="X26" s="11">
        <f>VLOOKUP(S26,C:E,3,FALSE)</f>
        <v/>
      </c>
      <c r="Z26" s="1" t="n">
        <v>0.001</v>
      </c>
      <c r="AB26" s="13">
        <f>VLOOKUP($T26,文本!$C:$J,4,FALSE)</f>
        <v/>
      </c>
      <c r="AC26" s="13">
        <f>VLOOKUP($T26,文本!$C:$J,5,FALSE)</f>
        <v/>
      </c>
      <c r="AD26" s="13">
        <f>VLOOKUP($T26,文本!$C:$J,7,FALSE)</f>
        <v/>
      </c>
      <c r="AE26" s="13">
        <f>VLOOKUP($T26,文本!$C:$J,8,FALSE)</f>
        <v/>
      </c>
    </row>
    <row r="27">
      <c r="P27" s="11">
        <f>VLOOKUP(S27,C:D,2,FALSE)</f>
        <v/>
      </c>
      <c r="Q27" s="1" t="n">
        <v>619134</v>
      </c>
      <c r="R27" s="11">
        <f>IF(U27=B$1,"",INDEX($F$1:$J$4,MATCH(U27,$F$1:$F$4,0),MATCH(P27,$F$1:$J$1,0)))</f>
        <v/>
      </c>
      <c r="S27" s="11">
        <f>INDEX(C:C,ROUNDUP((ROW()-1)/B$1,0)+1)</f>
        <v/>
      </c>
      <c r="T27" s="13">
        <f>INDEX($C$1:$N$9,MATCH(S27,$C$1:$C$9,0),MATCH(U27,$C$1:$N$1,0))</f>
        <v/>
      </c>
      <c r="U27" s="11">
        <f>IF(U26=B$1,1,U26+1)</f>
        <v/>
      </c>
      <c r="V27" s="13">
        <f>IF(U27=B$1,"",1001&amp;","&amp;Q27&amp;","&amp;R27)</f>
        <v/>
      </c>
      <c r="W27" s="11">
        <f>IF(U27=B$1,"",5&amp;","&amp;0&amp;","&amp;10000)</f>
        <v/>
      </c>
      <c r="X27" s="11">
        <f>VLOOKUP(S27,C:E,3,FALSE)</f>
        <v/>
      </c>
      <c r="Z27" s="1" t="n">
        <v>0.0015</v>
      </c>
      <c r="AB27" s="13">
        <f>VLOOKUP($T27,文本!$C:$J,4,FALSE)</f>
        <v/>
      </c>
      <c r="AC27" s="13">
        <f>VLOOKUP($T27,文本!$C:$J,5,FALSE)</f>
        <v/>
      </c>
      <c r="AD27" s="13">
        <f>VLOOKUP($T27,文本!$C:$J,7,FALSE)</f>
        <v/>
      </c>
      <c r="AE27" s="13">
        <f>VLOOKUP($T27,文本!$C:$J,8,FALSE)</f>
        <v/>
      </c>
    </row>
    <row r="28">
      <c r="P28" s="11">
        <f>VLOOKUP(S28,C:D,2,FALSE)</f>
        <v/>
      </c>
      <c r="Q28" s="1" t="n">
        <v>619134</v>
      </c>
      <c r="R28" s="11">
        <f>IF(U28=B$1,"",INDEX($F$1:$J$4,MATCH(U28,$F$1:$F$4,0),MATCH(P28,$F$1:$J$1,0)))</f>
        <v/>
      </c>
      <c r="S28" s="11">
        <f>INDEX(C:C,ROUNDUP((ROW()-1)/B$1,0)+1)</f>
        <v/>
      </c>
      <c r="T28" s="13">
        <f>INDEX($C$1:$N$9,MATCH(S28,$C$1:$C$9,0),MATCH(U28,$C$1:$N$1,0))</f>
        <v/>
      </c>
      <c r="U28" s="11">
        <f>IF(U27=B$1,1,U27+1)</f>
        <v/>
      </c>
      <c r="V28" s="13">
        <f>IF(U28=B$1,"",1001&amp;","&amp;Q28&amp;","&amp;R28)</f>
        <v/>
      </c>
      <c r="W28" s="11">
        <f>IF(U28=B$1,"",5&amp;","&amp;0&amp;","&amp;10000)</f>
        <v/>
      </c>
      <c r="X28" s="11">
        <f>VLOOKUP(S28,C:E,3,FALSE)</f>
        <v/>
      </c>
      <c r="Z28" s="1" t="n">
        <v>0.002</v>
      </c>
      <c r="AB28" s="13">
        <f>VLOOKUP($T28,文本!$C:$J,4,FALSE)</f>
        <v/>
      </c>
      <c r="AC28" s="13">
        <f>VLOOKUP($T28,文本!$C:$J,5,FALSE)</f>
        <v/>
      </c>
      <c r="AD28" s="13">
        <f>VLOOKUP($T28,文本!$C:$J,7,FALSE)</f>
        <v/>
      </c>
      <c r="AE28" s="13">
        <f>VLOOKUP($T28,文本!$C:$J,8,FALSE)</f>
        <v/>
      </c>
    </row>
    <row r="29">
      <c r="P29" s="11">
        <f>VLOOKUP(S29,C:D,2,FALSE)</f>
        <v/>
      </c>
      <c r="Q29" s="1" t="n">
        <v>619134</v>
      </c>
      <c r="R29" s="11">
        <f>IF(U29=B$1,"",INDEX($F$1:$J$4,MATCH(U29,$F$1:$F$4,0),MATCH(P29,$F$1:$J$1,0)))</f>
        <v/>
      </c>
      <c r="S29" s="11">
        <f>INDEX(C:C,ROUNDUP((ROW()-1)/B$1,0)+1)</f>
        <v/>
      </c>
      <c r="T29" s="13">
        <f>INDEX($C$1:$N$9,MATCH(S29,$C$1:$C$9,0),MATCH(U29,$C$1:$N$1,0))</f>
        <v/>
      </c>
      <c r="U29" s="11">
        <f>IF(U28=B$1,1,U28+1)</f>
        <v/>
      </c>
      <c r="V29" s="13">
        <f>IF(U29=B$1,"",1001&amp;","&amp;Q29&amp;","&amp;R29)</f>
        <v/>
      </c>
      <c r="W29" s="11">
        <f>IF(U29=B$1,"",5&amp;","&amp;0&amp;","&amp;10000)</f>
        <v/>
      </c>
      <c r="X29" s="11">
        <f>VLOOKUP(S29,C:E,3,FALSE)</f>
        <v/>
      </c>
      <c r="Z29" s="1" t="n">
        <v>0.0025</v>
      </c>
      <c r="AB29" s="13">
        <f>VLOOKUP($T29,文本!$C:$J,4,FALSE)</f>
        <v/>
      </c>
      <c r="AC29" s="13">
        <f>VLOOKUP($T29,文本!$C:$J,5,FALSE)</f>
        <v/>
      </c>
      <c r="AD29" s="13">
        <f>VLOOKUP($T29,文本!$C:$J,7,FALSE)</f>
        <v/>
      </c>
      <c r="AE29" s="13">
        <f>VLOOKUP($T29,文本!$C:$J,8,FALSE)</f>
        <v/>
      </c>
    </row>
    <row r="30">
      <c r="P30" s="11">
        <f>VLOOKUP(S30,C:D,2,FALSE)</f>
        <v/>
      </c>
      <c r="Q30" s="1" t="n">
        <v>619134</v>
      </c>
      <c r="R30" s="11">
        <f>IF(U30=B$1,"",INDEX($F$1:$J$4,MATCH(U30,$F$1:$F$4,0),MATCH(P30,$F$1:$J$1,0)))</f>
        <v/>
      </c>
      <c r="S30" s="11">
        <f>INDEX(C:C,ROUNDUP((ROW()-1)/B$1,0)+1)</f>
        <v/>
      </c>
      <c r="T30" s="13">
        <f>INDEX($C$1:$N$9,MATCH(S30,$C$1:$C$9,0),MATCH(U30,$C$1:$N$1,0))</f>
        <v/>
      </c>
      <c r="U30" s="11">
        <f>IF(U29=B$1,1,U29+1)</f>
        <v/>
      </c>
      <c r="V30" s="13">
        <f>IF(U30=B$1,"",1001&amp;","&amp;Q30&amp;","&amp;R30)</f>
        <v/>
      </c>
      <c r="W30" s="11">
        <f>IF(U30=B$1,"",5&amp;","&amp;0&amp;","&amp;10000)</f>
        <v/>
      </c>
      <c r="X30" s="11">
        <f>VLOOKUP(S30,C:E,3,FALSE)</f>
        <v/>
      </c>
      <c r="Z30" s="1" t="n">
        <v>0.001</v>
      </c>
      <c r="AB30" s="13">
        <f>VLOOKUP($T30,文本!$C:$J,4,FALSE)</f>
        <v/>
      </c>
      <c r="AC30" s="13">
        <f>VLOOKUP($T30,文本!$C:$J,5,FALSE)</f>
        <v/>
      </c>
      <c r="AD30" s="13">
        <f>VLOOKUP($T30,文本!$C:$J,7,FALSE)</f>
        <v/>
      </c>
      <c r="AE30" s="13">
        <f>VLOOKUP($T30,文本!$C:$J,8,FALSE)</f>
        <v/>
      </c>
    </row>
    <row r="31">
      <c r="P31" s="11">
        <f>VLOOKUP(S31,C:D,2,FALSE)</f>
        <v/>
      </c>
      <c r="Q31" s="1" t="n">
        <v>619134</v>
      </c>
      <c r="R31" s="11">
        <f>IF(U31=B$1,"",INDEX($F$1:$J$4,MATCH(U31,$F$1:$F$4,0),MATCH(P31,$F$1:$J$1,0)))</f>
        <v/>
      </c>
      <c r="S31" s="11">
        <f>INDEX(C:C,ROUNDUP((ROW()-1)/B$1,0)+1)</f>
        <v/>
      </c>
      <c r="T31" s="13">
        <f>INDEX($C$1:$N$9,MATCH(S31,$C$1:$C$9,0),MATCH(U31,$C$1:$N$1,0))</f>
        <v/>
      </c>
      <c r="U31" s="11">
        <f>IF(U30=B$1,1,U30+1)</f>
        <v/>
      </c>
      <c r="V31" s="13">
        <f>IF(U31=B$1,"",1001&amp;","&amp;Q31&amp;","&amp;R31)</f>
        <v/>
      </c>
      <c r="W31" s="11">
        <f>IF(U31=B$1,"",5&amp;","&amp;0&amp;","&amp;10000)</f>
        <v/>
      </c>
      <c r="X31" s="11">
        <f>VLOOKUP(S31,C:E,3,FALSE)</f>
        <v/>
      </c>
      <c r="Z31" s="1" t="n">
        <v>0.0015</v>
      </c>
      <c r="AB31" s="13">
        <f>VLOOKUP($T31,文本!$C:$J,4,FALSE)</f>
        <v/>
      </c>
      <c r="AC31" s="13">
        <f>VLOOKUP($T31,文本!$C:$J,5,FALSE)</f>
        <v/>
      </c>
      <c r="AD31" s="13">
        <f>VLOOKUP($T31,文本!$C:$J,7,FALSE)</f>
        <v/>
      </c>
      <c r="AE31" s="13">
        <f>VLOOKUP($T31,文本!$C:$J,8,FALSE)</f>
        <v/>
      </c>
    </row>
    <row r="32">
      <c r="P32" s="11">
        <f>VLOOKUP(S32,C:D,2,FALSE)</f>
        <v/>
      </c>
      <c r="Q32" s="1" t="n">
        <v>619134</v>
      </c>
      <c r="R32" s="11">
        <f>IF(U32=B$1,"",INDEX($F$1:$J$4,MATCH(U32,$F$1:$F$4,0),MATCH(P32,$F$1:$J$1,0)))</f>
        <v/>
      </c>
      <c r="S32" s="11">
        <f>INDEX(C:C,ROUNDUP((ROW()-1)/B$1,0)+1)</f>
        <v/>
      </c>
      <c r="T32" s="13">
        <f>INDEX($C$1:$N$9,MATCH(S32,$C$1:$C$9,0),MATCH(U32,$C$1:$N$1,0))</f>
        <v/>
      </c>
      <c r="U32" s="11">
        <f>IF(U31=B$1,1,U31+1)</f>
        <v/>
      </c>
      <c r="V32" s="13">
        <f>IF(U32=B$1,"",1001&amp;","&amp;Q32&amp;","&amp;R32)</f>
        <v/>
      </c>
      <c r="W32" s="11">
        <f>IF(U32=B$1,"",5&amp;","&amp;0&amp;","&amp;10000)</f>
        <v/>
      </c>
      <c r="X32" s="11">
        <f>VLOOKUP(S32,C:E,3,FALSE)</f>
        <v/>
      </c>
      <c r="Z32" s="1" t="n">
        <v>0.002</v>
      </c>
      <c r="AB32" s="13">
        <f>VLOOKUP($T32,文本!$C:$J,4,FALSE)</f>
        <v/>
      </c>
      <c r="AC32" s="13">
        <f>VLOOKUP($T32,文本!$C:$J,5,FALSE)</f>
        <v/>
      </c>
      <c r="AD32" s="13">
        <f>VLOOKUP($T32,文本!$C:$J,7,FALSE)</f>
        <v/>
      </c>
      <c r="AE32" s="13">
        <f>VLOOKUP($T32,文本!$C:$J,8,FALSE)</f>
        <v/>
      </c>
    </row>
    <row r="33">
      <c r="P33" s="11">
        <f>VLOOKUP(S33,C:D,2,FALSE)</f>
        <v/>
      </c>
      <c r="Q33" s="1" t="n">
        <v>619134</v>
      </c>
      <c r="R33" s="11">
        <f>IF(U33=B$1,"",INDEX($F$1:$J$4,MATCH(U33,$F$1:$F$4,0),MATCH(P33,$F$1:$J$1,0)))</f>
        <v/>
      </c>
      <c r="S33" s="11">
        <f>INDEX(C:C,ROUNDUP((ROW()-1)/B$1,0)+1)</f>
        <v/>
      </c>
      <c r="T33" s="13">
        <f>INDEX($C$1:$N$9,MATCH(S33,$C$1:$C$9,0),MATCH(U33,$C$1:$N$1,0))</f>
        <v/>
      </c>
      <c r="U33" s="11">
        <f>IF(U32=B$1,1,U32+1)</f>
        <v/>
      </c>
      <c r="V33" s="13">
        <f>IF(U33=B$1,"",1001&amp;","&amp;Q33&amp;","&amp;R33)</f>
        <v/>
      </c>
      <c r="W33" s="11">
        <f>IF(U33=B$1,"",5&amp;","&amp;0&amp;","&amp;10000)</f>
        <v/>
      </c>
      <c r="X33" s="11">
        <f>VLOOKUP(S33,C:E,3,FALSE)</f>
        <v/>
      </c>
      <c r="Z33" s="1" t="n">
        <v>0.0025</v>
      </c>
      <c r="AB33" s="13">
        <f>VLOOKUP($T33,文本!$C:$J,4,FALSE)</f>
        <v/>
      </c>
      <c r="AC33" s="13">
        <f>VLOOKUP($T33,文本!$C:$J,5,FALSE)</f>
        <v/>
      </c>
      <c r="AD33" s="13">
        <f>VLOOKUP($T33,文本!$C:$J,7,FALSE)</f>
        <v/>
      </c>
      <c r="AE33" s="13">
        <f>VLOOKUP($T33,文本!$C:$J,8,FALSE)</f>
        <v/>
      </c>
    </row>
    <row r="40">
      <c r="Q40" s="1" t="n"/>
    </row>
  </sheetData>
  <pageMargins left="0.699305555555556" right="0.69930555555555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J33"/>
  <sheetViews>
    <sheetView topLeftCell="F1" workbookViewId="0">
      <selection activeCell="G2" sqref="G2"/>
    </sheetView>
  </sheetViews>
  <sheetFormatPr baseColWidth="8" defaultColWidth="9" defaultRowHeight="13.5"/>
  <cols>
    <col width="5.125" customWidth="1" style="14" min="2" max="2"/>
    <col width="106.875" customWidth="1" style="14" min="5" max="5"/>
    <col width="109.125" customWidth="1" style="14" min="6" max="6"/>
    <col width="142" customWidth="1" style="14" min="7" max="7"/>
    <col width="11.5" customWidth="1" style="14" min="8" max="10"/>
  </cols>
  <sheetData>
    <row r="1">
      <c r="A1" s="1" t="inlineStr">
        <is>
          <t>英雄</t>
        </is>
      </c>
      <c r="B1" s="1" t="inlineStr">
        <is>
          <t>部位</t>
        </is>
      </c>
      <c r="C1" s="1" t="inlineStr">
        <is>
          <t>ID</t>
        </is>
      </c>
      <c r="D1" s="1" t="inlineStr">
        <is>
          <t>等级</t>
        </is>
      </c>
      <c r="E1" s="1" t="inlineStr">
        <is>
          <t>老服BUFF</t>
        </is>
      </c>
      <c r="F1" s="1" t="inlineStr">
        <is>
          <t>老服激活</t>
        </is>
      </c>
      <c r="G1" s="1" t="inlineStr">
        <is>
          <t>老服未激活</t>
        </is>
      </c>
      <c r="H1" s="1" t="inlineStr">
        <is>
          <t>新服BUFF</t>
        </is>
      </c>
      <c r="I1" s="1" t="inlineStr">
        <is>
          <t>新服激活</t>
        </is>
      </c>
      <c r="J1" s="1" t="inlineStr">
        <is>
          <t>新服未激活</t>
        </is>
      </c>
    </row>
    <row r="2">
      <c r="A2" s="1" t="n">
        <v>113077</v>
      </c>
      <c r="B2" s="1" t="inlineStr">
        <is>
          <t>武器</t>
        </is>
      </c>
      <c r="C2" s="1" t="n">
        <v>30186</v>
      </c>
      <c r="D2" s="1" t="n">
        <v>1</v>
      </c>
      <c r="E2" s="1" t="inlineStr">
        <is>
          <t>命中时附加攻击80%的风、雷属性伤害，且该伤害无视敌方的免疫负面效果。</t>
        </is>
      </c>
      <c r="F2" s="1" t="inlineStr">
        <is>
          <t>&lt;color=#88622E&gt;[1级增强]命中时附加攻击&lt;/color&gt;&lt;color=#DB5637&gt;80%&lt;/color&gt;&lt;color=#88622E&gt;的风、雷属性伤害，且该伤害无视敌方的免疫负面效果。&lt;/color&gt;</t>
        </is>
      </c>
      <c r="G2" s="2">
        <f>"&lt;color=#44433F&gt;["&amp;$D2&amp;"级增强]"&amp;E2&amp;"&lt;/color&gt;"</f>
        <v/>
      </c>
      <c r="H2" s="1" t="inlineStr">
        <is>
          <t>对有护盾角色伤害增加10%</t>
        </is>
      </c>
      <c r="I2" s="1" t="inlineStr">
        <is>
          <t>&lt;color=#88622E&gt;[1级增强]对有护盾角色伤害增加&lt;/color&gt;&lt;color=#DB5637&gt;10%&lt;/color&gt;</t>
        </is>
      </c>
      <c r="J2" s="2">
        <f>"&lt;color=#44433F&gt;["&amp;D2&amp;"级增强]"&amp;H2&amp;"&lt;/color&gt;"</f>
        <v/>
      </c>
    </row>
    <row r="3">
      <c r="A3" s="1" t="n">
        <v>113077</v>
      </c>
      <c r="B3" s="1" t="inlineStr">
        <is>
          <t>武器</t>
        </is>
      </c>
      <c r="C3" s="1" t="n">
        <v>30187</v>
      </c>
      <c r="D3" s="1" t="n">
        <v>2</v>
      </c>
      <c r="E3" s="1" t="inlineStr">
        <is>
          <t>命中时附加攻击90%的风、雷属性伤害，且该伤害无视敌方的免疫负面效果。</t>
        </is>
      </c>
      <c r="F3" s="1" t="inlineStr">
        <is>
          <t>&lt;color=#88622E&gt;[2级增强]命中时附加攻击&lt;/color&gt;&lt;color=#DB5637&gt;90%&lt;/color&gt;&lt;color=#88622E&gt;的风、雷属性伤害，且该伤害无视敌方的免疫负面效果。&lt;/color&gt;</t>
        </is>
      </c>
      <c r="G3" s="2">
        <f>"&lt;color=#44433F&gt;["&amp;$D3&amp;"级增强]"&amp;E3&amp;"&lt;/color&gt;"</f>
        <v/>
      </c>
      <c r="H3" s="1" t="inlineStr">
        <is>
          <t>对有护盾角色伤害增加20%</t>
        </is>
      </c>
      <c r="I3" s="1" t="inlineStr">
        <is>
          <t>&lt;color=#88622E&gt;[2级增强]对有护盾角色伤害增加&lt;/color&gt;&lt;color=#DB5637&gt;20%&lt;/color&gt;</t>
        </is>
      </c>
      <c r="J3" s="2">
        <f>"&lt;color=#44433F&gt;["&amp;D3&amp;"级增强]"&amp;H3&amp;"&lt;/color&gt;"</f>
        <v/>
      </c>
    </row>
    <row r="4">
      <c r="A4" s="1" t="n">
        <v>113077</v>
      </c>
      <c r="B4" s="1" t="inlineStr">
        <is>
          <t>武器</t>
        </is>
      </c>
      <c r="C4" s="1" t="n">
        <v>30188</v>
      </c>
      <c r="D4" s="1" t="n">
        <v>3</v>
      </c>
      <c r="E4" s="1" t="inlineStr">
        <is>
          <t>命中时附加攻击100%的风、雷属性伤害，且该伤害无视敌方的免疫负面效果。</t>
        </is>
      </c>
      <c r="F4" s="1" t="inlineStr">
        <is>
          <t>&lt;color=#88622E&gt;[3级增强]命中时附加攻击&lt;/color&gt;&lt;color=#DB5637&gt;100%&lt;/color&gt;&lt;color=#88622E&gt;的风、雷属性伤害，且该伤害无视敌方的免疫负面效果。&lt;/color&gt;</t>
        </is>
      </c>
      <c r="G4" s="2">
        <f>"&lt;color=#44433F&gt;["&amp;$D4&amp;"级增强]"&amp;E4&amp;"&lt;/color&gt;"</f>
        <v/>
      </c>
      <c r="H4" s="1" t="inlineStr">
        <is>
          <t>对有护盾角色伤害增加30%</t>
        </is>
      </c>
      <c r="I4" s="1" t="inlineStr">
        <is>
          <t>&lt;color=#88622E&gt;[3级增强]对有护盾角色伤害增加&lt;/color&gt;&lt;color=#DB5637&gt;30%&lt;/color&gt;</t>
        </is>
      </c>
      <c r="J4" s="2">
        <f>"&lt;color=#44433F&gt;["&amp;D4&amp;"级增强]"&amp;H4&amp;"&lt;/color&gt;"</f>
        <v/>
      </c>
    </row>
    <row r="5">
      <c r="A5" s="1" t="n">
        <v>113077</v>
      </c>
      <c r="B5" s="1" t="inlineStr">
        <is>
          <t>武器</t>
        </is>
      </c>
      <c r="C5" s="1" t="n">
        <v>30189</v>
      </c>
      <c r="D5" s="1" t="n">
        <v>4</v>
      </c>
      <c r="E5" s="1" t="inlineStr">
        <is>
          <t>命中时附加攻击110%的风、雷属性伤害，且该伤害无视敌方的免疫负面效果。</t>
        </is>
      </c>
      <c r="F5" s="1" t="inlineStr">
        <is>
          <t>&lt;color=#88622E&gt;[4级增强]命中时附加攻击&lt;/color&gt;&lt;color=#DB5637&gt;110%&lt;/color&gt;&lt;color=#88622E&gt;的风、雷属性伤害，且该伤害无视敌方的免疫负面效果。&lt;/color&gt;</t>
        </is>
      </c>
      <c r="G5" s="2">
        <f>"&lt;color=#44433F&gt;["&amp;$D5&amp;"级增强]"&amp;E5&amp;"&lt;/color&gt;"</f>
        <v/>
      </c>
      <c r="H5" s="1" t="inlineStr">
        <is>
          <t>对有护盾角色伤害增加40%</t>
        </is>
      </c>
      <c r="I5" s="1" t="inlineStr">
        <is>
          <t>&lt;color=#88622E&gt;[4级增强]对有护盾角色伤害增加&lt;/color&gt;&lt;color=#DB5637&gt;40%&lt;/color&gt;</t>
        </is>
      </c>
      <c r="J5" s="2">
        <f>"&lt;color=#44433F&gt;["&amp;D5&amp;"级增强]"&amp;H5&amp;"&lt;/color&gt;"</f>
        <v/>
      </c>
    </row>
    <row r="6">
      <c r="A6" s="1" t="n">
        <v>113077</v>
      </c>
      <c r="B6" s="1" t="inlineStr">
        <is>
          <t>衣服</t>
        </is>
      </c>
      <c r="C6" s="1" t="n">
        <v>30190</v>
      </c>
      <c r="D6" s="1" t="n">
        <v>1</v>
      </c>
      <c r="E6" s="1" t="inlineStr">
        <is>
          <t>复活后打断对方，并使自身持续到下次行动时，不会受到伤害，且恢复自身40%生命值护盾。每场战斗只能触发一次</t>
        </is>
      </c>
      <c r="F6" s="1" t="inlineStr">
        <is>
          <t>&lt;color=#88622E&gt;[1级增强]复活后打断对方，并使自身持续到下次行动时，不会受到伤害，且恢复自身&lt;/color&gt;&lt;color=#DB5637&gt;40%&lt;/color&gt;&lt;color=#88622E&gt;生命值护盾。每场战斗只能触发一次&lt;/color&gt;</t>
        </is>
      </c>
      <c r="G6" s="2">
        <f>"&lt;color=#44433F&gt;["&amp;$D6&amp;"级增强]"&amp;E6&amp;"&lt;/color&gt;"</f>
        <v/>
      </c>
      <c r="H6" s="1" t="inlineStr">
        <is>
          <t>复活后打断对方，并恢复自身40%生命值护盾</t>
        </is>
      </c>
      <c r="I6" s="1" t="inlineStr">
        <is>
          <t>&lt;color=#88622E&gt;[1级增强]复活后打断对方，并恢复自身&lt;/color&gt;&lt;color=#DB5637&gt;40%&lt;/color&gt;&lt;color=#88622E&gt;生命值护盾&lt;/color&gt;</t>
        </is>
      </c>
      <c r="J6" s="2">
        <f>"&lt;color=#44433F&gt;["&amp;D6&amp;"级增强]"&amp;H6&amp;"&lt;/color&gt;"</f>
        <v/>
      </c>
    </row>
    <row r="7">
      <c r="A7" s="1" t="n">
        <v>113077</v>
      </c>
      <c r="B7" s="1" t="inlineStr">
        <is>
          <t>衣服</t>
        </is>
      </c>
      <c r="C7" s="1" t="n">
        <v>30191</v>
      </c>
      <c r="D7" s="1" t="n">
        <v>2</v>
      </c>
      <c r="E7" s="1" t="inlineStr">
        <is>
          <t>复活后打断对方，并使自身持续到下次行动时，不会受到伤害，并恢复自身60%生命值护盾。每场战斗只能触发一次</t>
        </is>
      </c>
      <c r="F7" s="1" t="inlineStr">
        <is>
          <t>&lt;color=#88622E&gt;[2级增强]复活后打断对方，并使自身持续到下次行动时，不会受到伤害，并恢复自身&lt;/color&gt;&lt;color=#DB5637&gt;60%&lt;/color&gt;&lt;color=#88622E&gt;生命值护盾。每场战斗只能触发一次&lt;/color&gt;</t>
        </is>
      </c>
      <c r="G7" s="2">
        <f>"&lt;color=#44433F&gt;["&amp;$D7&amp;"级增强]"&amp;E7&amp;"&lt;/color&gt;"</f>
        <v/>
      </c>
      <c r="H7" s="1" t="inlineStr">
        <is>
          <t>复活后打断对方，并恢复自身60%生命值护盾</t>
        </is>
      </c>
      <c r="I7" s="1" t="inlineStr">
        <is>
          <t>&lt;color=#88622E&gt;[2级增强]复活后打断对方，并恢复自身&lt;/color&gt;&lt;color=#DB5637&gt;60%&lt;/color&gt;&lt;color=#88622E&gt;生命值护盾&lt;/color&gt;</t>
        </is>
      </c>
      <c r="J7" s="2">
        <f>"&lt;color=#44433F&gt;["&amp;D7&amp;"级增强]"&amp;H7&amp;"&lt;/color&gt;"</f>
        <v/>
      </c>
    </row>
    <row r="8">
      <c r="A8" s="1" t="n">
        <v>113077</v>
      </c>
      <c r="B8" s="1" t="inlineStr">
        <is>
          <t>衣服</t>
        </is>
      </c>
      <c r="C8" s="1" t="n">
        <v>30192</v>
      </c>
      <c r="D8" s="1" t="n">
        <v>3</v>
      </c>
      <c r="E8" s="1" t="inlineStr">
        <is>
          <t>复活后打断对方，并使自身持续到下次行动时，不会受到伤害，并恢复自身80%生命值护盾。每场战斗只能触发一次</t>
        </is>
      </c>
      <c r="F8" s="1" t="inlineStr">
        <is>
          <t>&lt;color=#88622E&gt;[3级增强]复活后打断对方，并使自身持续到下次行动时，不会受到伤害，并恢复自身&lt;/color&gt;&lt;color=#DB5637&gt;80%&lt;/color&gt;&lt;color=#88622E&gt;生命值护盾。每场战斗只能触发一次&lt;/color&gt;</t>
        </is>
      </c>
      <c r="G8" s="2">
        <f>"&lt;color=#44433F&gt;["&amp;$D8&amp;"级增强]"&amp;E8&amp;"&lt;/color&gt;"</f>
        <v/>
      </c>
      <c r="H8" s="1" t="inlineStr">
        <is>
          <t>复活后打断对方，并恢复自身80%生命值护盾</t>
        </is>
      </c>
      <c r="I8" s="1" t="inlineStr">
        <is>
          <t>&lt;color=#88622E&gt;[3级增强]复活后打断对方，并恢复自身&lt;/color&gt;&lt;color=#DB5637&gt;80%&lt;/color&gt;&lt;color=#88622E&gt;生命值护盾&lt;/color&gt;</t>
        </is>
      </c>
      <c r="J8" s="2">
        <f>"&lt;color=#44433F&gt;["&amp;D8&amp;"级增强]"&amp;H8&amp;"&lt;/color&gt;"</f>
        <v/>
      </c>
    </row>
    <row r="9">
      <c r="A9" s="1" t="n">
        <v>113077</v>
      </c>
      <c r="B9" s="1" t="inlineStr">
        <is>
          <t>衣服</t>
        </is>
      </c>
      <c r="C9" s="1" t="n">
        <v>30193</v>
      </c>
      <c r="D9" s="1" t="n">
        <v>4</v>
      </c>
      <c r="E9" s="1" t="inlineStr">
        <is>
          <t>复活后打断对方，并使自身持续到下次行动时，不会受到伤害，并恢复自身100%生命值护盾。每场战斗只能触发一次</t>
        </is>
      </c>
      <c r="F9" s="1" t="inlineStr">
        <is>
          <t>&lt;color=#88622E&gt;[4级增强]复活后打断对方，并使自身持续到下次行动时，不会受到伤害，并恢复自身&lt;/color&gt;&lt;color=#DB5637&gt;100%&lt;/color&gt;&lt;color=#88622E&gt;生命值护盾。每场战斗只能触发一次&lt;/color&gt;</t>
        </is>
      </c>
      <c r="G9" s="2">
        <f>"&lt;color=#44433F&gt;["&amp;$D9&amp;"级增强]"&amp;E9&amp;"&lt;/color&gt;"</f>
        <v/>
      </c>
      <c r="H9" s="1" t="inlineStr">
        <is>
          <t>复活后打断对方，并恢复自身100%生命值护盾</t>
        </is>
      </c>
      <c r="I9" s="1" t="inlineStr">
        <is>
          <t>&lt;color=#88622E&gt;[4级增强]复活后打断对方，并恢复自身&lt;/color&gt;&lt;color=#DB5637&gt;100%&lt;/color&gt;&lt;color=#88622E&gt;生命值护盾&lt;/color&gt;</t>
        </is>
      </c>
      <c r="J9" s="2">
        <f>"&lt;color=#44433F&gt;["&amp;D9&amp;"级增强]"&amp;H9&amp;"&lt;/color&gt;"</f>
        <v/>
      </c>
    </row>
    <row r="10">
      <c r="A10" s="1" t="n">
        <v>113077</v>
      </c>
      <c r="B10" s="1" t="inlineStr">
        <is>
          <t>项链</t>
        </is>
      </c>
      <c r="C10" s="1" t="n">
        <v>30194</v>
      </c>
      <c r="D10" s="1" t="n">
        <v>1</v>
      </c>
      <c r="E10" s="1" t="inlineStr">
        <is>
          <t>行动结束时，如果自身魂玉不少于10点，立即清除自身所有敌方角色附加的效果再行动一次，一场战斗最多触发1次</t>
        </is>
      </c>
      <c r="F10" s="1" t="inlineStr">
        <is>
          <t>&lt;color=#88622E&gt;[1级增强]行动结束时，如果自身魂玉不少于&lt;/color&gt;&lt;color=#DB5637&gt;10&lt;/color&gt;&lt;color=#88622E&gt;点，立即清除自身所有敌方角色附加的效果再行动一次，一场战斗最多触发&lt;/color&gt;&lt;color=#DB5637&gt;1&lt;/color&gt;&lt;color=#88622E&gt;次&lt;/color&gt;</t>
        </is>
      </c>
      <c r="G10" s="2">
        <f>"&lt;color=#44433F&gt;["&amp;$D10&amp;"级增强]"&amp;E10&amp;"&lt;/color&gt;"</f>
        <v/>
      </c>
      <c r="H10" s="1" t="inlineStr">
        <is>
          <t>命中时附加自身攻击力80%的真实伤害</t>
        </is>
      </c>
      <c r="I10" s="1" t="inlineStr">
        <is>
          <t>&lt;color=#88622E&gt;[1级增强]命中时附加自身攻击力&lt;/color&gt;&lt;color=#DB5637&gt;80%&lt;/color&gt;&lt;color=#88622E&gt;的真实伤害&lt;/color&gt;</t>
        </is>
      </c>
      <c r="J10" s="2">
        <f>"&lt;color=#44433F&gt;["&amp;D10&amp;"级增强]"&amp;H10&amp;"&lt;/color&gt;"</f>
        <v/>
      </c>
    </row>
    <row r="11">
      <c r="A11" s="1" t="n">
        <v>113077</v>
      </c>
      <c r="B11" s="1" t="inlineStr">
        <is>
          <t>项链</t>
        </is>
      </c>
      <c r="C11" s="1" t="n">
        <v>30195</v>
      </c>
      <c r="D11" s="1" t="n">
        <v>2</v>
      </c>
      <c r="E11" s="1" t="inlineStr">
        <is>
          <t>行动结束时，如果自身魂玉不少于10点，立即清除自身所有敌方角色附加的效果再行动一次，一场战斗最多触发2次</t>
        </is>
      </c>
      <c r="F11" s="1" t="inlineStr">
        <is>
          <t>&lt;color=#88622E&gt;[2级增强]行动结束时，如果自身魂玉不少于&lt;/color&gt;&lt;color=#DB5637&gt;10&lt;/color&gt;&lt;color=#88622E&gt;点，立即清除自身所有敌方角色附加的效果再行动一次，一场战斗最多触发&lt;/color&gt;&lt;color=#DB5637&gt;2&lt;/color&gt;&lt;color=#88622E&gt;次&lt;/color&gt;</t>
        </is>
      </c>
      <c r="G11" s="2">
        <f>"&lt;color=#44433F&gt;["&amp;$D11&amp;"级增强]"&amp;E11&amp;"&lt;/color&gt;"</f>
        <v/>
      </c>
      <c r="H11" s="1" t="inlineStr">
        <is>
          <t>命中时附加自身攻击力90%的真实伤害</t>
        </is>
      </c>
      <c r="I11" s="1" t="inlineStr">
        <is>
          <t>&lt;color=#88622E&gt;[2级增强]命中时附加自身攻击力&lt;/color&gt;&lt;color=#DB5637&gt;90%&lt;/color&gt;&lt;color=#88622E&gt;的真实伤害&lt;/color&gt;</t>
        </is>
      </c>
      <c r="J11" s="2">
        <f>"&lt;color=#44433F&gt;["&amp;D11&amp;"级增强]"&amp;H11&amp;"&lt;/color&gt;"</f>
        <v/>
      </c>
    </row>
    <row r="12">
      <c r="A12" s="1" t="n">
        <v>113077</v>
      </c>
      <c r="B12" s="1" t="inlineStr">
        <is>
          <t>项链</t>
        </is>
      </c>
      <c r="C12" s="1" t="n">
        <v>30196</v>
      </c>
      <c r="D12" s="1" t="n">
        <v>3</v>
      </c>
      <c r="E12" s="1" t="inlineStr">
        <is>
          <t>行动结束时，如果自身魂玉不少于10点，立即清除自身所有敌方角色附加的效果再行动一次，一场战斗最多触发3次</t>
        </is>
      </c>
      <c r="F12" s="1" t="inlineStr">
        <is>
          <t>&lt;color=#88622E&gt;[3级增强]行动结束时，如果自身魂玉不少于&lt;/color&gt;&lt;color=#DB5637&gt;10&lt;/color&gt;&lt;color=#88622E&gt;点，立即清除自身所有敌方角色附加的效果再行动一次，一场战斗最多触发&lt;/color&gt;&lt;color=#DB5637&gt;3&lt;/color&gt;&lt;color=#88622E&gt;次&lt;/color&gt;</t>
        </is>
      </c>
      <c r="G12" s="2">
        <f>"&lt;color=#44433F&gt;["&amp;$D12&amp;"级增强]"&amp;E12&amp;"&lt;/color&gt;"</f>
        <v/>
      </c>
      <c r="H12" s="1" t="inlineStr">
        <is>
          <t>命中时附加自身攻击力100%的真实伤害</t>
        </is>
      </c>
      <c r="I12" s="1" t="inlineStr">
        <is>
          <t>&lt;color=#88622E&gt;[3级增强]命中时附加自身攻击力&lt;/color&gt;&lt;color=#DB5637&gt;100%&lt;/color&gt;&lt;color=#88622E&gt;的真实伤害&lt;/color&gt;</t>
        </is>
      </c>
      <c r="J12" s="2">
        <f>"&lt;color=#44433F&gt;["&amp;D12&amp;"级增强]"&amp;H12&amp;"&lt;/color&gt;"</f>
        <v/>
      </c>
    </row>
    <row r="13">
      <c r="A13" s="1" t="n">
        <v>113077</v>
      </c>
      <c r="B13" s="1" t="inlineStr">
        <is>
          <t>项链</t>
        </is>
      </c>
      <c r="C13" s="1" t="n">
        <v>30197</v>
      </c>
      <c r="D13" s="1" t="n">
        <v>4</v>
      </c>
      <c r="E13" s="1" t="inlineStr">
        <is>
          <t>行动结束时，如果自身魂玉不少于10点，立即清除自身所有敌方角色附加的效果再行动一次，一场战斗最多触发4次</t>
        </is>
      </c>
      <c r="F13" s="1" t="inlineStr">
        <is>
          <t>&lt;color=#88622E&gt;[4级增强]行动结束时，如果自身魂玉不少于&lt;/color&gt;&lt;color=#DB5637&gt;10&lt;/color&gt;&lt;color=#88622E&gt;点，立即清除自身所有敌方角色附加的效果再行动一次，一场战斗最多触发&lt;/color&gt;&lt;color=#DB5637&gt;4&lt;/color&gt;&lt;color=#88622E&gt;次&lt;/color&gt;</t>
        </is>
      </c>
      <c r="G13" s="2">
        <f>"&lt;color=#44433F&gt;["&amp;$D13&amp;"级增强]"&amp;E13&amp;"&lt;/color&gt;"</f>
        <v/>
      </c>
      <c r="H13" s="1" t="inlineStr">
        <is>
          <t>命中时附加自身攻击力110%的真实伤害</t>
        </is>
      </c>
      <c r="I13" s="1" t="inlineStr">
        <is>
          <t>&lt;color=#88622E&gt;[4级增强]命中时附加自身攻击力&lt;/color&gt;&lt;color=#DB5637&gt;110%&lt;/color&gt;&lt;color=#88622E&gt;的真实伤害&lt;/color&gt;</t>
        </is>
      </c>
      <c r="J13" s="2">
        <f>"&lt;color=#44433F&gt;["&amp;D13&amp;"级增强]"&amp;H13&amp;"&lt;/color&gt;"</f>
        <v/>
      </c>
    </row>
    <row r="14">
      <c r="A14" s="1" t="n">
        <v>113077</v>
      </c>
      <c r="B14" s="1" t="inlineStr">
        <is>
          <t>戒指</t>
        </is>
      </c>
      <c r="C14" s="1" t="n">
        <v>30198</v>
      </c>
      <c r="D14" s="1" t="n">
        <v>1</v>
      </c>
      <c r="E14" s="1" t="inlineStr">
        <is>
          <t>本回合释放技能魂玉消耗减少1点，有50%概率额外减少1点，且正常获得怒气</t>
        </is>
      </c>
      <c r="F14" s="1" t="inlineStr">
        <is>
          <t>&lt;color=#88622E&gt;[1级增强]本回合释放技能魂玉消耗减少&lt;/color&gt;&lt;color=#DB5637&gt;1&lt;/color&gt;&lt;color=#88622E&gt;点，有&lt;/color&gt;&lt;color=#DB5637&gt;50%&lt;/color&gt;&lt;color=#88622E&gt;概率额外减少&lt;/color&gt;&lt;color=#DB5637&gt;1&lt;/color&gt;&lt;color=#88622E&gt;点，且正常获得怒气&lt;/color&gt;</t>
        </is>
      </c>
      <c r="G14" s="2">
        <f>"&lt;color=#44433F&gt;["&amp;$D14&amp;"级增强]"&amp;E14&amp;"&lt;/color&gt;"</f>
        <v/>
      </c>
      <c r="H14" s="1" t="inlineStr">
        <is>
          <t>释放技能魂玉消耗减少1点，有50%概率额外减少1点，且正常获得怒气</t>
        </is>
      </c>
      <c r="I14" s="1" t="inlineStr">
        <is>
          <t>&lt;color=#88622E&gt;[1级增强]释放技能魂玉消耗减少&lt;/color&gt;&lt;color=#DB5637&gt;1&lt;/color&gt;&lt;color=#88622E&gt;点，有&lt;/color&gt;&lt;color=#DB5637&gt;50%&lt;/color&gt;&lt;color=#88622E&gt;概率额外减少&lt;/color&gt;&lt;color=#DB5637&gt;1&lt;/color&gt;&lt;color=#88622E&gt;点，且正常获得怒气&lt;/color&gt;</t>
        </is>
      </c>
      <c r="J14" s="2">
        <f>"&lt;color=#44433F&gt;["&amp;D14&amp;"级增强]"&amp;H14&amp;"&lt;/color&gt;"</f>
        <v/>
      </c>
    </row>
    <row r="15">
      <c r="A15" s="1" t="n">
        <v>113077</v>
      </c>
      <c r="B15" s="1" t="inlineStr">
        <is>
          <t>戒指</t>
        </is>
      </c>
      <c r="C15" s="1" t="n">
        <v>30199</v>
      </c>
      <c r="D15" s="1" t="n">
        <v>2</v>
      </c>
      <c r="E15" s="1" t="inlineStr">
        <is>
          <t>本回合释放技能魂玉消耗减少1点，有100%概率额外减少1点，且正常获得怒气</t>
        </is>
      </c>
      <c r="F15" s="1" t="inlineStr">
        <is>
          <t>&lt;color=#88622E&gt;[2级增强]本回合释放技能魂玉消耗减少&lt;/color&gt;&lt;color=#DB5637&gt;1&lt;/color&gt;&lt;color=#88622E&gt;点，有&lt;/color&gt;&lt;color=#DB5637&gt;100%&lt;/color&gt;&lt;color=#88622E&gt;概率额外减少&lt;/color&gt;&lt;color=#DB5637&gt;1&lt;/color&gt;&lt;color=#88622E&gt;点，且正常获得怒气&lt;/color&gt;</t>
        </is>
      </c>
      <c r="G15" s="2">
        <f>"&lt;color=#44433F&gt;["&amp;$D15&amp;"级增强]"&amp;E15&amp;"&lt;/color&gt;"</f>
        <v/>
      </c>
      <c r="H15" s="1" t="inlineStr">
        <is>
          <t>释放技能魂玉消耗减少1点，有100%概率额外减少1点，且正常获得怒气</t>
        </is>
      </c>
      <c r="I15" s="1" t="inlineStr">
        <is>
          <t>&lt;color=#88622E&gt;[2级增强]释放技能魂玉消耗减少&lt;/color&gt;&lt;color=#DB5637&gt;1&lt;/color&gt;&lt;color=#88622E&gt;点，有&lt;/color&gt;&lt;color=#DB5637&gt;100%&lt;/color&gt;&lt;color=#88622E&gt;概率额外减少&lt;/color&gt;&lt;color=#DB5637&gt;1&lt;/color&gt;&lt;color=#88622E&gt;点，且正常获得怒气&lt;/color&gt;</t>
        </is>
      </c>
      <c r="J15" s="2">
        <f>"&lt;color=#44433F&gt;["&amp;D15&amp;"级增强]"&amp;H15&amp;"&lt;/color&gt;"</f>
        <v/>
      </c>
    </row>
    <row r="16">
      <c r="A16" s="1" t="n">
        <v>113077</v>
      </c>
      <c r="B16" s="1" t="inlineStr">
        <is>
          <t>戒指</t>
        </is>
      </c>
      <c r="C16" s="1" t="n">
        <v>30200</v>
      </c>
      <c r="D16" s="1" t="n">
        <v>3</v>
      </c>
      <c r="E16" s="1" t="inlineStr">
        <is>
          <t>本回合释放技能魂玉消耗减少2点，有50%概率额外减少1点，且正常获得怒气</t>
        </is>
      </c>
      <c r="F16" s="1" t="inlineStr">
        <is>
          <t>&lt;color=#88622E&gt;[3级增强]本回合释放技能魂玉消耗减少&lt;/color&gt;&lt;color=#DB5637&gt;2&lt;/color&gt;&lt;color=#88622E&gt;点，有&lt;/color&gt;&lt;color=#DB5637&gt;50%&lt;/color&gt;&lt;color=#88622E&gt;概率额外减少&lt;/color&gt;&lt;color=#DB5637&gt;1&lt;/color&gt;&lt;color=#88622E&gt;点，且正常获得怒气&lt;/color&gt;</t>
        </is>
      </c>
      <c r="G16" s="2">
        <f>"&lt;color=#44433F&gt;["&amp;$D16&amp;"级增强]"&amp;E16&amp;"&lt;/color&gt;"</f>
        <v/>
      </c>
      <c r="H16" s="1" t="inlineStr">
        <is>
          <t>释放技能魂玉消耗减少2点，有50%概率额外减少1点，且正常获得怒气</t>
        </is>
      </c>
      <c r="I16" s="1" t="inlineStr">
        <is>
          <t>&lt;color=#88622E&gt;[3级增强]释放技能魂玉消耗减少&lt;/color&gt;&lt;color=#DB5637&gt;2&lt;/color&gt;&lt;color=#88622E&gt;点，有&lt;/color&gt;&lt;color=#DB5637&gt;50%&lt;/color&gt;&lt;color=#88622E&gt;概率额外减少&lt;/color&gt;&lt;color=#DB5637&gt;1&lt;/color&gt;&lt;color=#88622E&gt;点，且正常获得怒气&lt;/color&gt;</t>
        </is>
      </c>
      <c r="J16" s="2">
        <f>"&lt;color=#44433F&gt;["&amp;D16&amp;"级增强]"&amp;H16&amp;"&lt;/color&gt;"</f>
        <v/>
      </c>
    </row>
    <row r="17">
      <c r="A17" s="1" t="n">
        <v>113077</v>
      </c>
      <c r="B17" s="1" t="inlineStr">
        <is>
          <t>戒指</t>
        </is>
      </c>
      <c r="C17" s="1" t="n">
        <v>30201</v>
      </c>
      <c r="D17" s="1" t="n">
        <v>4</v>
      </c>
      <c r="E17" s="1" t="inlineStr">
        <is>
          <t>本回合释放技能魂玉消耗减少2点，有100%概率额外减少1点，且正常获得怒气</t>
        </is>
      </c>
      <c r="F17" s="1" t="inlineStr">
        <is>
          <t>&lt;color=#88622E&gt;[4级增强]本回合释放技能魂玉消耗减少&lt;/color&gt;&lt;color=#DB5637&gt;2&lt;/color&gt;&lt;color=#88622E&gt;点，有&lt;/color&gt;&lt;color=#DB5637&gt;100%&lt;/color&gt;&lt;color=#88622E&gt;概率额外减少&lt;/color&gt;&lt;color=#DB5637&gt;1&lt;/color&gt;&lt;color=#88622E&gt;点，且正常获得怒气&lt;/color&gt;</t>
        </is>
      </c>
      <c r="G17" s="2">
        <f>"&lt;color=#44433F&gt;["&amp;$D17&amp;"级增强]"&amp;E17&amp;"&lt;/color&gt;"</f>
        <v/>
      </c>
      <c r="H17" s="1" t="inlineStr">
        <is>
          <t>释放技能魂玉消耗减少2点，有100%概率额外减少1点，且正常获得怒气</t>
        </is>
      </c>
      <c r="I17" s="1" t="inlineStr">
        <is>
          <t>&lt;color=#88622E&gt;[4级增强]释放技能魂玉消耗减少&lt;/color&gt;&lt;color=#DB5637&gt;2&lt;/color&gt;&lt;color=#88622E&gt;点，有&lt;/color&gt;&lt;color=#DB5637&gt;100%&lt;/color&gt;&lt;color=#88622E&gt;概率额外减少&lt;/color&gt;&lt;color=#DB5637&gt;1&lt;/color&gt;&lt;color=#88622E&gt;点，且正常获得怒气&lt;/color&gt;</t>
        </is>
      </c>
      <c r="J17" s="2">
        <f>"&lt;color=#44433F&gt;["&amp;D17&amp;"级增强]"&amp;H17&amp;"&lt;/color&gt;"</f>
        <v/>
      </c>
    </row>
    <row r="18">
      <c r="A18" s="1" t="n">
        <v>113088</v>
      </c>
      <c r="B18" s="1" t="inlineStr">
        <is>
          <t>武器</t>
        </is>
      </c>
      <c r="C18" s="1" t="n">
        <v>30233</v>
      </c>
      <c r="D18" s="1" t="n">
        <v>1</v>
      </c>
      <c r="E18" s="1" t="inlineStr">
        <is>
          <t>前3回合，有80%概率不会被打断且速度提升40%</t>
        </is>
      </c>
      <c r="F18" s="1" t="inlineStr">
        <is>
          <t>&lt;color=#88622E&gt;[1级增强]前&lt;/color&gt;&lt;color=#DB5637&gt;3&lt;/color&gt;&lt;color=#88622E&gt;回合，有&lt;/color&gt;&lt;color=#DB5637&gt;80%&lt;/color&gt;&lt;color=#88622E&gt;概率不会被打断且速度提升&lt;/color&gt;&lt;color=#DB5637&gt;40%&lt;/color&gt;</t>
        </is>
      </c>
      <c r="G18" s="2">
        <f>"&lt;color=#44433F&gt;["&amp;$D18&amp;"级增强]"&amp;E18&amp;"&lt;/color&gt;"</f>
        <v/>
      </c>
      <c r="H18" s="1" t="inlineStr">
        <is>
          <t>前3回合，有80%概率不会被打断</t>
        </is>
      </c>
      <c r="I18" s="1" t="inlineStr">
        <is>
          <t>&lt;color=#88622E&gt;[1级增强]前&lt;/color&gt;&lt;color=#DB5637&gt;3&lt;/color&gt;&lt;color=#88622E&gt;回合，有&lt;/color&gt;&lt;color=#DB5637&gt;80%&lt;/color&gt;&lt;color=#88622E&gt;概率不会被打断&lt;/color&gt;</t>
        </is>
      </c>
      <c r="J18" s="2">
        <f>"&lt;color=#44433F&gt;["&amp;$D18&amp;"级增强]"&amp;H18&amp;"&lt;/color&gt;"</f>
        <v/>
      </c>
    </row>
    <row r="19">
      <c r="A19" s="1" t="n">
        <v>113088</v>
      </c>
      <c r="B19" s="1" t="inlineStr">
        <is>
          <t>武器</t>
        </is>
      </c>
      <c r="C19" s="1" t="n">
        <v>30234</v>
      </c>
      <c r="D19" s="1" t="n">
        <v>2</v>
      </c>
      <c r="E19" s="1" t="inlineStr">
        <is>
          <t>前3回合，有90%概率不会被打断且速度提升40%</t>
        </is>
      </c>
      <c r="F19" s="1" t="inlineStr">
        <is>
          <t>&lt;color=#88622E&gt;[2级增强]前&lt;/color&gt;&lt;color=#DB5637&gt;3&lt;/color&gt;&lt;color=#88622E&gt;回合，有&lt;/color&gt;&lt;color=#DB5637&gt;90%&lt;/color&gt;&lt;color=#88622E&gt;概率不会被打断且速度提升&lt;/color&gt;&lt;color=#DB5637&gt;40%&lt;/color&gt;</t>
        </is>
      </c>
      <c r="G19" s="2">
        <f>"&lt;color=#44433F&gt;["&amp;$D19&amp;"级增强]"&amp;E19&amp;"&lt;/color&gt;"</f>
        <v/>
      </c>
      <c r="H19" s="1" t="inlineStr">
        <is>
          <t>前3回合，有90%概率不会被打断</t>
        </is>
      </c>
      <c r="I19" s="1" t="inlineStr">
        <is>
          <t>&lt;color=#88622E&gt;[2级增强]前&lt;/color&gt;&lt;color=#DB5637&gt;3&lt;/color&gt;&lt;color=#88622E&gt;回合，有&lt;/color&gt;&lt;color=#DB5637&gt;90%&lt;/color&gt;&lt;color=#88622E&gt;概率不会被打断&lt;/color&gt;</t>
        </is>
      </c>
      <c r="J19" s="2">
        <f>"&lt;color=#44433F&gt;["&amp;$D19&amp;"级增强]"&amp;H19&amp;"&lt;/color&gt;"</f>
        <v/>
      </c>
    </row>
    <row r="20">
      <c r="A20" s="1" t="n">
        <v>113088</v>
      </c>
      <c r="B20" s="1" t="inlineStr">
        <is>
          <t>武器</t>
        </is>
      </c>
      <c r="C20" s="1" t="n">
        <v>30235</v>
      </c>
      <c r="D20" s="1" t="n">
        <v>3</v>
      </c>
      <c r="E20" s="1" t="inlineStr">
        <is>
          <t>前3回合，有100%概率不会被打断且速度提升40%</t>
        </is>
      </c>
      <c r="F20" s="1" t="inlineStr">
        <is>
          <t>&lt;color=#88622E&gt;[3级增强]前&lt;/color&gt;&lt;color=#DB5637&gt;3&lt;/color&gt;&lt;color=#88622E&gt;回合，有&lt;/color&gt;&lt;color=#DB5637&gt;100%&lt;/color&gt;&lt;color=#88622E&gt;概率不会被打断且速度提升&lt;/color&gt;&lt;color=#DB5637&gt;40%&lt;/color&gt;</t>
        </is>
      </c>
      <c r="G20" s="2">
        <f>"&lt;color=#44433F&gt;["&amp;$D20&amp;"级增强]"&amp;E20&amp;"&lt;/color&gt;"</f>
        <v/>
      </c>
      <c r="H20" s="1" t="inlineStr">
        <is>
          <t>前3回合，有100%概率不会被打断</t>
        </is>
      </c>
      <c r="I20" s="1" t="inlineStr">
        <is>
          <t>&lt;color=#88622E&gt;[3级增强]前&lt;/color&gt;&lt;color=#DB5637&gt;3&lt;/color&gt;&lt;color=#88622E&gt;回合，有&lt;/color&gt;&lt;color=#DB5637&gt;100%&lt;/color&gt;&lt;color=#88622E&gt;概率不会被打断&lt;/color&gt;</t>
        </is>
      </c>
      <c r="J20" s="2">
        <f>"&lt;color=#44433F&gt;["&amp;$D20&amp;"级增强]"&amp;H20&amp;"&lt;/color&gt;"</f>
        <v/>
      </c>
    </row>
    <row r="21">
      <c r="A21" s="1" t="n">
        <v>113088</v>
      </c>
      <c r="B21" s="1" t="inlineStr">
        <is>
          <t>武器</t>
        </is>
      </c>
      <c r="C21" s="1" t="n">
        <v>30236</v>
      </c>
      <c r="D21" s="1" t="n">
        <v>4</v>
      </c>
      <c r="E21" s="1" t="inlineStr">
        <is>
          <t>前4回合，有100%概率不会被打断且速度提升40%</t>
        </is>
      </c>
      <c r="F21" s="1" t="inlineStr">
        <is>
          <t>&lt;color=#88622E&gt;[4级增强]前&lt;/color&gt;&lt;color=#DB5637&gt;4&lt;/color&gt;&lt;color=#88622E&gt;回合，有&lt;/color&gt;&lt;color=#DB5637&gt;100%&lt;/color&gt;&lt;color=#88622E&gt;概率不会被打断且速度提升&lt;/color&gt;&lt;color=#DB5637&gt;40%&lt;/color&gt;</t>
        </is>
      </c>
      <c r="G21" s="2">
        <f>"&lt;color=#44433F&gt;["&amp;$D21&amp;"级增强]"&amp;E21&amp;"&lt;/color&gt;"</f>
        <v/>
      </c>
      <c r="H21" s="1" t="inlineStr">
        <is>
          <t>前4回合，有100%概率不会被打断</t>
        </is>
      </c>
      <c r="I21" s="1" t="inlineStr">
        <is>
          <t>&lt;color=#88622E&gt;[4级增强]前&lt;/color&gt;&lt;color=#DB5637&gt;4&lt;/color&gt;&lt;color=#88622E&gt;回合，有&lt;/color&gt;&lt;color=#DB5637&gt;100%&lt;/color&gt;&lt;color=#88622E&gt;概率不会被打断&lt;/color&gt;</t>
        </is>
      </c>
      <c r="J21" s="2">
        <f>"&lt;color=#44433F&gt;["&amp;$D21&amp;"级增强]"&amp;H21&amp;"&lt;/color&gt;"</f>
        <v/>
      </c>
    </row>
    <row r="22">
      <c r="A22" s="1" t="n">
        <v>113088</v>
      </c>
      <c r="B22" s="1" t="inlineStr">
        <is>
          <t>衣服</t>
        </is>
      </c>
      <c r="C22" s="1" t="n">
        <v>30221</v>
      </c>
      <c r="D22" s="1" t="n">
        <v>1</v>
      </c>
      <c r="E22" s="1" t="inlineStr">
        <is>
          <t>前2回合，首次被攻击时，如果自身有护盾，有80%概率获得生命值不会降到20%以下效果，持续本回合</t>
        </is>
      </c>
      <c r="F22" s="1" t="inlineStr">
        <is>
          <t>&lt;color=#88622E&gt;[1级增强]前&lt;/color&gt;&lt;color=#DB5637&gt;2&lt;/color&gt;&lt;color=#88622E&gt;回合，首次被攻击时，如果自身有护盾，有&lt;/color&gt;&lt;color=#DB5637&gt;80%&lt;/color&gt;&lt;color=#88622E&gt;概率获得生命值不会降到&lt;/color&gt;&lt;color=#DB5637&gt;20%&lt;/color&gt;&lt;color=#88622E&gt;以下效果，持续本回合&lt;/color&gt;</t>
        </is>
      </c>
      <c r="G22" s="2">
        <f>"&lt;color=#44433F&gt;["&amp;$D22&amp;"级增强]"&amp;E22&amp;"&lt;/color&gt;"</f>
        <v/>
      </c>
      <c r="H22" s="1" t="inlineStr">
        <is>
          <t>前2回合，首次被攻击时，如果自身有护盾，有80%概率免疫所有敌方附加的效果，持续本回合</t>
        </is>
      </c>
      <c r="I22" s="1" t="inlineStr">
        <is>
          <t>&lt;color=#88622E&gt;[1级增强]前&lt;/color&gt;&lt;color=#DB5637&gt;2&lt;/color&gt;&lt;color=#88622E&gt;回合，首次被攻击时，如果自身有护盾，有&lt;/color&gt;&lt;color=#DB5637&gt;80%&lt;/color&gt;&lt;color=#88622E&gt;概率免疫所有敌方附加的效果，持续本回合&lt;/color&gt;</t>
        </is>
      </c>
      <c r="J22" s="2">
        <f>"&lt;color=#44433F&gt;["&amp;$D22&amp;"级增强]"&amp;H22&amp;"&lt;/color&gt;"</f>
        <v/>
      </c>
    </row>
    <row r="23">
      <c r="A23" s="1" t="n">
        <v>113088</v>
      </c>
      <c r="B23" s="1" t="inlineStr">
        <is>
          <t>衣服</t>
        </is>
      </c>
      <c r="C23" s="1" t="n">
        <v>30222</v>
      </c>
      <c r="D23" s="1" t="n">
        <v>2</v>
      </c>
      <c r="E23" s="1" t="inlineStr">
        <is>
          <t>前2回合，首次被攻击时，如果自身有护盾，有100%概率获得生命值不会降到20%以下效果，持续本回合</t>
        </is>
      </c>
      <c r="F23" s="1" t="inlineStr">
        <is>
          <t>&lt;color=#88622E&gt;[2级增强]前&lt;/color&gt;&lt;color=#DB5637&gt;2&lt;/color&gt;&lt;color=#88622E&gt;回合，首次被攻击时，如果自身有护盾，有&lt;/color&gt;&lt;color=#DB5637&gt;100%&lt;/color&gt;&lt;color=#88622E&gt;概率获得生命值不会降到&lt;/color&gt;&lt;color=#DB5637&gt;20%&lt;/color&gt;&lt;color=#88622E&gt;以下效果，持续本回合&lt;/color&gt;</t>
        </is>
      </c>
      <c r="G23" s="2">
        <f>"&lt;color=#44433F&gt;["&amp;$D23&amp;"级增强]"&amp;E23&amp;"&lt;/color&gt;"</f>
        <v/>
      </c>
      <c r="H23" s="1" t="inlineStr">
        <is>
          <t>前2回合，首次被攻击时，如果自身有护盾，有100%概率免疫所有敌方附加的效果，持续本回合</t>
        </is>
      </c>
      <c r="I23" s="1" t="inlineStr">
        <is>
          <t>&lt;color=#88622E&gt;[2级增强]前&lt;/color&gt;&lt;color=#DB5637&gt;2&lt;/color&gt;&lt;color=#88622E&gt;回合，首次被攻击时，如果自身有护盾，有&lt;/color&gt;&lt;color=#DB5637&gt;100%&lt;/color&gt;&lt;color=#88622E&gt;概率免疫所有敌方附加的效果，持续本回合&lt;/color&gt;</t>
        </is>
      </c>
      <c r="J23" s="2">
        <f>"&lt;color=#44433F&gt;["&amp;$D23&amp;"级增强]"&amp;H23&amp;"&lt;/color&gt;"</f>
        <v/>
      </c>
    </row>
    <row r="24">
      <c r="A24" s="1" t="n">
        <v>113088</v>
      </c>
      <c r="B24" s="1" t="inlineStr">
        <is>
          <t>衣服</t>
        </is>
      </c>
      <c r="C24" s="1" t="n">
        <v>30223</v>
      </c>
      <c r="D24" s="1" t="n">
        <v>3</v>
      </c>
      <c r="E24" s="1" t="inlineStr">
        <is>
          <t>前3回合，首次被攻击时，如果自身有护盾，有100%概率获得生命值不会降到20%以下效果，持续本回合</t>
        </is>
      </c>
      <c r="F24" s="1" t="inlineStr">
        <is>
          <t>&lt;color=#88622E&gt;[3级增强]前&lt;/color&gt;&lt;color=#DB5637&gt;3&lt;/color&gt;&lt;color=#88622E&gt;回合，首次被攻击时，如果自身有护盾，有&lt;/color&gt;&lt;color=#DB5637&gt;100%&lt;/color&gt;&lt;color=#88622E&gt;概率获得生命值不会降到&lt;/color&gt;&lt;color=#DB5637&gt;20%&lt;/color&gt;&lt;color=#88622E&gt;以下效果，持续本回合&lt;/color&gt;</t>
        </is>
      </c>
      <c r="G24" s="2">
        <f>"&lt;color=#44433F&gt;["&amp;$D24&amp;"级增强]"&amp;E24&amp;"&lt;/color&gt;"</f>
        <v/>
      </c>
      <c r="H24" s="1" t="inlineStr">
        <is>
          <t>前3回合，首次被攻击时，如果自身有护盾，有100%概率免疫所有敌方附加的效果，持续本回合</t>
        </is>
      </c>
      <c r="I24" s="1" t="inlineStr">
        <is>
          <t>&lt;color=#88622E&gt;[3级增强]前&lt;/color&gt;&lt;color=#DB5637&gt;3&lt;/color&gt;&lt;color=#88622E&gt;回合，首次被攻击时，如果自身有护盾，有&lt;/color&gt;&lt;color=#DB5637&gt;100%&lt;/color&gt;&lt;color=#88622E&gt;概率免疫所有敌方附加的效果，持续本回合&lt;/color&gt;</t>
        </is>
      </c>
      <c r="J24" s="2">
        <f>"&lt;color=#44433F&gt;["&amp;$D24&amp;"级增强]"&amp;H24&amp;"&lt;/color&gt;"</f>
        <v/>
      </c>
    </row>
    <row r="25">
      <c r="A25" s="1" t="n">
        <v>113088</v>
      </c>
      <c r="B25" s="1" t="inlineStr">
        <is>
          <t>衣服</t>
        </is>
      </c>
      <c r="C25" s="1" t="n">
        <v>30224</v>
      </c>
      <c r="D25" s="1" t="n">
        <v>4</v>
      </c>
      <c r="E25" s="1" t="inlineStr">
        <is>
          <t>前4回合，首次被攻击时，如果自身有护盾，有100%概率获得生命值不会降到20%以下效果，持续本回合</t>
        </is>
      </c>
      <c r="F25" s="1" t="inlineStr">
        <is>
          <t>&lt;color=#88622E&gt;[4级增强]前&lt;/color&gt;&lt;color=#DB5637&gt;4&lt;/color&gt;&lt;color=#88622E&gt;回合，首次被攻击时，如果自身有护盾，有&lt;/color&gt;&lt;color=#DB5637&gt;100%&lt;/color&gt;&lt;color=#88622E&gt;概率获得生命值不会降到&lt;/color&gt;&lt;color=#DB5637&gt;20%&lt;/color&gt;&lt;color=#88622E&gt;以下效果，持续本回合&lt;/color&gt;</t>
        </is>
      </c>
      <c r="G25" s="2">
        <f>"&lt;color=#44433F&gt;["&amp;$D25&amp;"级增强]"&amp;E25&amp;"&lt;/color&gt;"</f>
        <v/>
      </c>
      <c r="H25" s="1" t="inlineStr">
        <is>
          <t>前4回合，首次被攻击时，如果自身有护盾，有100%概率免疫所有敌方附加的效果，持续本回合</t>
        </is>
      </c>
      <c r="I25" s="1" t="inlineStr">
        <is>
          <t>&lt;color=#88622E&gt;[4级增强]前&lt;/color&gt;&lt;color=#DB5637&gt;4&lt;/color&gt;&lt;color=#88622E&gt;回合，首次被攻击时，如果自身有护盾，有&lt;/color&gt;&lt;color=#DB5637&gt;100%&lt;/color&gt;&lt;color=#88622E&gt;概率免疫所有敌方附加的效果，持续本回合&lt;/color&gt;</t>
        </is>
      </c>
      <c r="J25" s="2">
        <f>"&lt;color=#44433F&gt;["&amp;$D25&amp;"级增强]"&amp;H25&amp;"&lt;/color&gt;"</f>
        <v/>
      </c>
    </row>
    <row r="26">
      <c r="A26" s="1" t="n">
        <v>113088</v>
      </c>
      <c r="B26" s="1" t="inlineStr">
        <is>
          <t>项链</t>
        </is>
      </c>
      <c r="C26" s="1" t="n">
        <v>30229</v>
      </c>
      <c r="D26" s="1" t="n">
        <v>1</v>
      </c>
      <c r="E26" s="1" t="inlineStr">
        <is>
          <t>首回合开始时，对敌方全体造成大妈最大生命20%的真实伤害，且大妈获得必中效果，持续2回合</t>
        </is>
      </c>
      <c r="F26" s="1" t="inlineStr">
        <is>
          <t>&lt;color=#88622E&gt;[1级增强]首回合开始时，对敌方全体造成大妈最大生命&lt;/color&gt;&lt;color=#DB5637&gt;20%&lt;/color&gt;&lt;color=#88622E&gt;的真实伤害，且大妈获得必中效果，持续&lt;/color&gt;&lt;color=#DB5637&gt;2&lt;/color&gt;&lt;color=#88622E&gt;回合&lt;/color&gt;</t>
        </is>
      </c>
      <c r="G26" s="2">
        <f>"&lt;color=#44433F&gt;["&amp;$D26&amp;"级增强]"&amp;E26&amp;"&lt;/color&gt;"</f>
        <v/>
      </c>
      <c r="H26" s="1" t="inlineStr">
        <is>
          <t>首回合开始时，对敌方全体造成大妈最大生命20%的真实伤害</t>
        </is>
      </c>
      <c r="I26" s="1" t="inlineStr">
        <is>
          <t>&lt;color=#88622E&gt;[1级增强]首回合开始时，对敌方全体造成大妈最大生命&lt;/color&gt;&lt;color=#DB5637&gt;20%&lt;/color&gt;&lt;color=#88622E&gt;的真实伤害&lt;/color&gt;</t>
        </is>
      </c>
      <c r="J26" s="2">
        <f>"&lt;color=#44433F&gt;["&amp;$D26&amp;"级增强]"&amp;H26&amp;"&lt;/color&gt;"</f>
        <v/>
      </c>
    </row>
    <row r="27">
      <c r="A27" s="1" t="n">
        <v>113088</v>
      </c>
      <c r="B27" s="1" t="inlineStr">
        <is>
          <t>项链</t>
        </is>
      </c>
      <c r="C27" s="1" t="n">
        <v>30230</v>
      </c>
      <c r="D27" s="1" t="n">
        <v>2</v>
      </c>
      <c r="E27" s="1" t="inlineStr">
        <is>
          <t>首回合开始时，对敌方全体造成大妈最大生命24%的真实伤害，且大妈获得必中效果，持续2回合</t>
        </is>
      </c>
      <c r="F27" s="1" t="inlineStr">
        <is>
          <t>&lt;color=#88622E&gt;[2级增强]首回合开始时，对敌方全体造成大妈最大生命&lt;/color&gt;&lt;color=#DB5637&gt;24%&lt;/color&gt;&lt;color=#88622E&gt;的真实伤害，且大妈获得必中效果，持续&lt;/color&gt;&lt;color=#DB5637&gt;2&lt;/color&gt;&lt;color=#88622E&gt;回合&lt;/color&gt;</t>
        </is>
      </c>
      <c r="G27" s="2">
        <f>"&lt;color=#44433F&gt;["&amp;$D27&amp;"级增强]"&amp;E27&amp;"&lt;/color&gt;"</f>
        <v/>
      </c>
      <c r="H27" s="1" t="inlineStr">
        <is>
          <t>首回合开始时，对敌方全体造成大妈最大生命24%的真实伤害</t>
        </is>
      </c>
      <c r="I27" s="1" t="inlineStr">
        <is>
          <t>&lt;color=#88622E&gt;[2级增强]首回合开始时，对敌方全体造成大妈最大生命&lt;/color&gt;&lt;color=#DB5637&gt;24%&lt;/color&gt;&lt;color=#88622E&gt;的真实伤害&lt;/color&gt;</t>
        </is>
      </c>
      <c r="J27" s="2">
        <f>"&lt;color=#44433F&gt;["&amp;$D27&amp;"级增强]"&amp;H27&amp;"&lt;/color&gt;"</f>
        <v/>
      </c>
    </row>
    <row r="28">
      <c r="A28" s="1" t="n">
        <v>113088</v>
      </c>
      <c r="B28" s="1" t="inlineStr">
        <is>
          <t>项链</t>
        </is>
      </c>
      <c r="C28" s="1" t="n">
        <v>30231</v>
      </c>
      <c r="D28" s="1" t="n">
        <v>3</v>
      </c>
      <c r="E28" s="1" t="inlineStr">
        <is>
          <t>首回合开始时，对敌方全体造成大妈最大生命28%的真实伤害，且大妈获得必中效果，持续2回合</t>
        </is>
      </c>
      <c r="F28" s="1" t="inlineStr">
        <is>
          <t>&lt;color=#88622E&gt;[3级增强]首回合开始时，对敌方全体造成大妈最大生命&lt;/color&gt;&lt;color=#DB5637&gt;28%&lt;/color&gt;&lt;color=#88622E&gt;的真实伤害，且大妈获得必中效果，持续&lt;/color&gt;&lt;color=#DB5637&gt;2&lt;/color&gt;&lt;color=#88622E&gt;回合&lt;/color&gt;</t>
        </is>
      </c>
      <c r="G28" s="2">
        <f>"&lt;color=#44433F&gt;["&amp;$D28&amp;"级增强]"&amp;E28&amp;"&lt;/color&gt;"</f>
        <v/>
      </c>
      <c r="H28" s="1" t="inlineStr">
        <is>
          <t>首回合开始时，对敌方全体造成大妈最大生命28%的真实伤害</t>
        </is>
      </c>
      <c r="I28" s="1" t="inlineStr">
        <is>
          <t>&lt;color=#88622E&gt;[3级增强]首回合开始时，对敌方全体造成大妈最大生命&lt;/color&gt;&lt;color=#DB5637&gt;28%&lt;/color&gt;&lt;color=#88622E&gt;的真实伤害&lt;/color&gt;</t>
        </is>
      </c>
      <c r="J28" s="2">
        <f>"&lt;color=#44433F&gt;["&amp;$D28&amp;"级增强]"&amp;H28&amp;"&lt;/color&gt;"</f>
        <v/>
      </c>
    </row>
    <row r="29">
      <c r="A29" s="1" t="n">
        <v>113088</v>
      </c>
      <c r="B29" s="1" t="inlineStr">
        <is>
          <t>项链</t>
        </is>
      </c>
      <c r="C29" s="1" t="n">
        <v>30232</v>
      </c>
      <c r="D29" s="1" t="n">
        <v>4</v>
      </c>
      <c r="E29" s="1" t="inlineStr">
        <is>
          <t>首回合开始时，对敌方全体造成大妈最大生命32%的真实伤害，且大妈获得必中效果，持续2回合</t>
        </is>
      </c>
      <c r="F29" s="1" t="inlineStr">
        <is>
          <t>&lt;color=#88622E&gt;[4级增强]首回合开始时，对敌方全体造成大妈最大生命&lt;/color&gt;&lt;color=#DB5637&gt;32%&lt;/color&gt;&lt;color=#88622E&gt;的真实伤害，且大妈获得必中效果，持续&lt;/color&gt;&lt;color=#DB5637&gt;2&lt;/color&gt;&lt;color=#88622E&gt;回合&lt;/color&gt;</t>
        </is>
      </c>
      <c r="G29" s="2">
        <f>"&lt;color=#44433F&gt;["&amp;$D29&amp;"级增强]"&amp;E29&amp;"&lt;/color&gt;"</f>
        <v/>
      </c>
      <c r="H29" s="1" t="inlineStr">
        <is>
          <t>首回合开始时，对敌方全体造成大妈最大生命32%的真实伤害</t>
        </is>
      </c>
      <c r="I29" s="1" t="inlineStr">
        <is>
          <t>&lt;color=#88622E&gt;[4级增强]首回合开始时，对敌方全体造成大妈最大生命&lt;/color&gt;&lt;color=#DB5637&gt;32%&lt;/color&gt;&lt;color=#88622E&gt;的真实伤害&lt;/color&gt;</t>
        </is>
      </c>
      <c r="J29" s="2">
        <f>"&lt;color=#44433F&gt;["&amp;$D29&amp;"级增强]"&amp;H29&amp;"&lt;/color&gt;"</f>
        <v/>
      </c>
    </row>
    <row r="30">
      <c r="A30" s="1" t="n">
        <v>113088</v>
      </c>
      <c r="B30" s="1" t="inlineStr">
        <is>
          <t>戒指</t>
        </is>
      </c>
      <c r="C30" s="1" t="n">
        <v>30225</v>
      </c>
      <c r="D30" s="1" t="n">
        <v>1</v>
      </c>
      <c r="E30" s="1" t="inlineStr">
        <is>
          <t>造成的雷、火属性伤害每回合提升25%，PVP战斗中5回合之后，每回合提升效果增加2倍，所有属性伤害减免提升80%，战斗开始时，获得70点怒气</t>
        </is>
      </c>
      <c r="F30" s="1" t="inlineStr">
        <is>
          <t>&lt;color=#88622E&gt;[1级增强]造成的雷、火属性伤害每回合提升&lt;/color&gt;&lt;color=#DB5637&gt;25%&lt;/color&gt;&lt;color=#88622E&gt;，PVP战斗中&lt;/color&gt;&lt;color=#DB5637&gt;5&lt;/color&gt;&lt;color=#88622E&gt;回合之后，每回合提升效果增加&lt;/color&gt;&lt;color=#DB5637&gt;2&lt;/color&gt;&lt;color=#88622E&gt;倍，所有属性伤害减免提升&lt;/color&gt;&lt;color=#DB5637&gt;80%&lt;/color&gt;&lt;color=#88622E&gt;，战斗开始时，获得&lt;/color&gt;&lt;color=#DB5637&gt;70&lt;/color&gt;&lt;color=#88622E&gt;点怒气&lt;/color&gt;</t>
        </is>
      </c>
      <c r="G30" s="2">
        <f>"&lt;color=#44433F&gt;["&amp;$D30&amp;"级增强]"&amp;E30&amp;"&lt;/color&gt;"</f>
        <v/>
      </c>
      <c r="H30" s="1" t="inlineStr">
        <is>
          <t>造成的雷、火属性伤害每回合提升20%，PVP战斗中5回合之后，每回合提升效果增加2倍，战斗开始时，获得70点怒气</t>
        </is>
      </c>
      <c r="I30" s="1" t="inlineStr">
        <is>
          <t>&lt;color=#88622E&gt;[1级增强]造成的雷、火属性伤害每回合提升&lt;/color&gt;&lt;color=#DB5637&gt;20%&lt;/color&gt;&lt;color=#88622E&gt;，PVP战斗中&lt;/color&gt;&lt;color=#DB5637&gt;5&lt;/color&gt;&lt;color=#88622E&gt;回合之后，每回合提升效果增加&lt;/color&gt;&lt;color=#DB5637&gt;2&lt;/color&gt;&lt;color=#88622E&gt;倍，战斗开始时，获得&lt;/color&gt;&lt;color=#DB5637&gt;70&lt;/color&gt;&lt;color=#88622E&gt;点怒气&lt;/color&gt;</t>
        </is>
      </c>
      <c r="J30" s="2">
        <f>"&lt;color=#44433F&gt;["&amp;$D30&amp;"级增强]"&amp;H30&amp;"&lt;/color&gt;"</f>
        <v/>
      </c>
    </row>
    <row r="31">
      <c r="A31" s="1" t="n">
        <v>113088</v>
      </c>
      <c r="B31" s="1" t="inlineStr">
        <is>
          <t>戒指</t>
        </is>
      </c>
      <c r="C31" s="1" t="n">
        <v>30226</v>
      </c>
      <c r="D31" s="1" t="n">
        <v>2</v>
      </c>
      <c r="E31" s="1" t="inlineStr">
        <is>
          <t>造成的雷、火属性伤害每回合提升30%，PVP战斗中5回合之后，每回合提升效果增加2倍，所有属性伤害减免提升90%，战斗开始时，获得80点怒气</t>
        </is>
      </c>
      <c r="F31" s="1" t="inlineStr">
        <is>
          <t>&lt;color=#88622E&gt;[2级增强]造成的雷、火属性伤害每回合提升&lt;/color&gt;&lt;color=#DB5637&gt;30%&lt;/color&gt;&lt;color=#88622E&gt;，PVP战斗中&lt;/color&gt;&lt;color=#DB5637&gt;5&lt;/color&gt;&lt;color=#88622E&gt;回合之后，每回合提升效果增加&lt;/color&gt;&lt;color=#DB5637&gt;2&lt;/color&gt;&lt;color=#88622E&gt;倍，所有属性伤害减免提升&lt;/color&gt;&lt;color=#DB5637&gt;90%&lt;/color&gt;&lt;color=#88622E&gt;，战斗开始时，获得&lt;/color&gt;&lt;color=#DB5637&gt;80&lt;/color&gt;&lt;color=#88622E&gt;点怒气&lt;/color&gt;</t>
        </is>
      </c>
      <c r="G31" s="2">
        <f>"&lt;color=#44433F&gt;["&amp;$D31&amp;"级增强]"&amp;E31&amp;"&lt;/color&gt;"</f>
        <v/>
      </c>
      <c r="H31" s="1" t="inlineStr">
        <is>
          <t>造成的雷、火属性伤害每回合提升25%，PVP战斗中5回合之后，每回合提升效果增加2倍，战斗开始时，获得80点怒气</t>
        </is>
      </c>
      <c r="I31" s="1" t="inlineStr">
        <is>
          <t>&lt;color=#88622E&gt;[2级增强]造成的雷、火属性伤害每回合提升&lt;/color&gt;&lt;color=#DB5637&gt;25%&lt;/color&gt;&lt;color=#88622E&gt;，PVP战斗中&lt;/color&gt;&lt;color=#DB5637&gt;5&lt;/color&gt;&lt;color=#88622E&gt;回合之后，每回合提升效果增加&lt;/color&gt;&lt;color=#DB5637&gt;2&lt;/color&gt;&lt;color=#88622E&gt;倍，战斗开始时，获得&lt;/color&gt;&lt;color=#DB5637&gt;80&lt;/color&gt;&lt;color=#88622E&gt;点怒气&lt;/color&gt;</t>
        </is>
      </c>
      <c r="J31" s="2">
        <f>"&lt;color=#44433F&gt;["&amp;$D31&amp;"级增强]"&amp;H31&amp;"&lt;/color&gt;"</f>
        <v/>
      </c>
    </row>
    <row r="32">
      <c r="A32" s="1" t="n">
        <v>113088</v>
      </c>
      <c r="B32" s="1" t="inlineStr">
        <is>
          <t>戒指</t>
        </is>
      </c>
      <c r="C32" s="1" t="n">
        <v>30227</v>
      </c>
      <c r="D32" s="1" t="n">
        <v>3</v>
      </c>
      <c r="E32" s="1" t="inlineStr">
        <is>
          <t>造成的雷、火属性伤害每回合提升35%，PVP战斗中5回合之后，每回合提升效果增加2倍，所有属性伤害减免提升100%，战斗开始时，获得90点怒气</t>
        </is>
      </c>
      <c r="F32" s="1" t="inlineStr">
        <is>
          <t>&lt;color=#88622E&gt;[3级增强]造成的雷、火属性伤害每回合提升&lt;/color&gt;&lt;color=#DB5637&gt;35%&lt;/color&gt;&lt;color=#88622E&gt;，PVP战斗中&lt;/color&gt;&lt;color=#DB5637&gt;5&lt;/color&gt;&lt;color=#88622E&gt;回合之后，每回合提升效果增加&lt;/color&gt;&lt;color=#DB5637&gt;2&lt;/color&gt;&lt;color=#88622E&gt;倍，所有属性伤害减免提升&lt;/color&gt;&lt;color=#DB5637&gt;100%&lt;/color&gt;&lt;color=#88622E&gt;，战斗开始时，获得&lt;/color&gt;&lt;color=#DB5637&gt;90&lt;/color&gt;&lt;color=#88622E&gt;点怒气&lt;/color&gt;</t>
        </is>
      </c>
      <c r="G32" s="2">
        <f>"&lt;color=#44433F&gt;["&amp;$D32&amp;"级增强]"&amp;E32&amp;"&lt;/color&gt;"</f>
        <v/>
      </c>
      <c r="H32" s="1" t="inlineStr">
        <is>
          <t>造成的雷、火属性伤害每回合提升30%，PVP战斗中5回合之后，每回合提升效果增加2倍，战斗开始时，获得90点怒气</t>
        </is>
      </c>
      <c r="I32" s="1" t="inlineStr">
        <is>
          <t>&lt;color=#88622E&gt;[3级增强]造成的雷、火属性伤害每回合提升&lt;/color&gt;&lt;color=#DB5637&gt;30%&lt;/color&gt;&lt;color=#88622E&gt;，PVP战斗中&lt;/color&gt;&lt;color=#DB5637&gt;5&lt;/color&gt;&lt;color=#88622E&gt;回合之后，每回合提升效果增加&lt;/color&gt;&lt;color=#DB5637&gt;2&lt;/color&gt;&lt;color=#88622E&gt;倍，战斗开始时，获得&lt;/color&gt;&lt;color=#DB5637&gt;90&lt;/color&gt;&lt;color=#88622E&gt;点怒气&lt;/color&gt;</t>
        </is>
      </c>
      <c r="J32" s="2">
        <f>"&lt;color=#44433F&gt;["&amp;$D32&amp;"级增强]"&amp;H32&amp;"&lt;/color&gt;"</f>
        <v/>
      </c>
    </row>
    <row r="33">
      <c r="A33" s="1" t="n">
        <v>113088</v>
      </c>
      <c r="B33" s="1" t="inlineStr">
        <is>
          <t>戒指</t>
        </is>
      </c>
      <c r="C33" s="1" t="n">
        <v>30228</v>
      </c>
      <c r="D33" s="1" t="n">
        <v>4</v>
      </c>
      <c r="E33" s="1" t="inlineStr">
        <is>
          <t>造成的雷、火属性伤害每回合提升40%，PVP战斗中5回合之后，每回合提升效果增加2倍，所有属性伤害减免提升110%，战斗开始时，获得100点怒气</t>
        </is>
      </c>
      <c r="F33" s="1" t="inlineStr">
        <is>
          <t>&lt;color=#88622E&gt;[4级增强]造成的雷、火属性伤害每回合提升&lt;/color&gt;&lt;color=#DB5637&gt;40%&lt;/color&gt;&lt;color=#88622E&gt;，PVP战斗中&lt;/color&gt;&lt;color=#DB5637&gt;5&lt;/color&gt;&lt;color=#88622E&gt;回合之后，每回合提升效果增加&lt;/color&gt;&lt;color=#DB5637&gt;2&lt;/color&gt;&lt;color=#88622E&gt;倍，所有属性伤害减免提升&lt;/color&gt;&lt;color=#DB5637&gt;110%&lt;/color&gt;&lt;color=#88622E&gt;，战斗开始时，获得&lt;/color&gt;&lt;color=#DB5637&gt;100&lt;/color&gt;&lt;color=#88622E&gt;点怒气&lt;/color&gt;</t>
        </is>
      </c>
      <c r="G33" s="2">
        <f>"&lt;color=#44433F&gt;["&amp;$D33&amp;"级增强]"&amp;E33&amp;"&lt;/color&gt;"</f>
        <v/>
      </c>
      <c r="H33" s="1" t="inlineStr">
        <is>
          <t>造成的雷、火属性伤害每回合提升35%，PVP战斗中5回合之后，每回合提升效果增加2倍，战斗开始时，获得100点怒气</t>
        </is>
      </c>
      <c r="I33" s="1" t="inlineStr">
        <is>
          <t>&lt;color=#88622E&gt;[4级增强]造成的雷、火属性伤害每回合提升&lt;/color&gt;&lt;color=#DB5637&gt;35%&lt;/color&gt;&lt;color=#88622E&gt;，PVP战斗中&lt;/color&gt;&lt;color=#DB5637&gt;5&lt;/color&gt;&lt;color=#88622E&gt;回合之后，每回合提升效果增加&lt;/color&gt;&lt;color=#DB5637&gt;2&lt;/color&gt;&lt;color=#88622E&gt;倍，战斗开始时，获得&lt;/color&gt;&lt;color=#DB5637&gt;100&lt;/color&gt;&lt;color=#88622E&gt;点怒气&lt;/color&gt;</t>
        </is>
      </c>
      <c r="J33" s="2">
        <f>"&lt;color=#44433F&gt;["&amp;$D33&amp;"级增强]"&amp;H33&amp;"&lt;/color&gt;"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E50"/>
  <sheetViews>
    <sheetView topLeftCell="A13" workbookViewId="0">
      <selection activeCell="C47" sqref="C47"/>
    </sheetView>
  </sheetViews>
  <sheetFormatPr baseColWidth="8" defaultColWidth="9" defaultRowHeight="13.5"/>
  <sheetData>
    <row r="1">
      <c r="A1" s="1" t="inlineStr">
        <is>
          <t>武器</t>
        </is>
      </c>
      <c r="B1" s="1" t="inlineStr">
        <is>
          <t>初始</t>
        </is>
      </c>
      <c r="C1" s="1" t="inlineStr">
        <is>
          <t>每释放一个技能，命中永久提升10%，最多提升8次</t>
        </is>
      </c>
    </row>
    <row r="2">
      <c r="A2" s="1" t="inlineStr">
        <is>
          <t>武器</t>
        </is>
      </c>
      <c r="B2" s="1" t="inlineStr">
        <is>
          <t>1级</t>
        </is>
      </c>
      <c r="C2" s="1" t="inlineStr">
        <is>
          <t>每释放一个技能，命中永久提升15%，最多提升8次</t>
        </is>
      </c>
    </row>
    <row r="3">
      <c r="A3" s="1" t="inlineStr">
        <is>
          <t>武器</t>
        </is>
      </c>
      <c r="B3" s="1" t="inlineStr">
        <is>
          <t>2级</t>
        </is>
      </c>
      <c r="C3" s="1" t="inlineStr">
        <is>
          <t>每释放一个技能，命中永久提升20%，最多提升8次</t>
        </is>
      </c>
    </row>
    <row r="4">
      <c r="A4" s="1" t="inlineStr">
        <is>
          <t>武器</t>
        </is>
      </c>
      <c r="B4" s="1" t="inlineStr">
        <is>
          <t>3级</t>
        </is>
      </c>
      <c r="C4" s="1" t="inlineStr">
        <is>
          <t>每释放一个技能，命中永久提升25%，最多提升8次</t>
        </is>
      </c>
    </row>
    <row r="5">
      <c r="A5" s="1" t="inlineStr">
        <is>
          <t>衣服</t>
        </is>
      </c>
      <c r="B5" s="1" t="inlineStr">
        <is>
          <t>初始</t>
        </is>
      </c>
      <c r="C5" s="1" t="inlineStr">
        <is>
          <t>复活后打断对方，并使自身持续到下次行动时，不会受到伤害，且恢复自身40%生命值护盾</t>
        </is>
      </c>
    </row>
    <row r="6">
      <c r="A6" s="1" t="inlineStr">
        <is>
          <t>衣服</t>
        </is>
      </c>
      <c r="B6" s="1" t="inlineStr">
        <is>
          <t>1级</t>
        </is>
      </c>
      <c r="C6" s="1" t="inlineStr">
        <is>
          <t>复活后打断对方，并使自身持续到下次行动时，不会受到伤害，并恢复自身60%生命值护盾</t>
        </is>
      </c>
    </row>
    <row r="7">
      <c r="A7" s="1" t="inlineStr">
        <is>
          <t>衣服</t>
        </is>
      </c>
      <c r="B7" s="1" t="inlineStr">
        <is>
          <t>2级</t>
        </is>
      </c>
      <c r="C7" s="1" t="inlineStr">
        <is>
          <t>复活后打断对方，并使自身持续到下次行动时，不会受到伤害，并恢复自身80%生命值护盾</t>
        </is>
      </c>
    </row>
    <row r="8">
      <c r="A8" s="1" t="inlineStr">
        <is>
          <t>衣服</t>
        </is>
      </c>
      <c r="B8" s="1" t="inlineStr">
        <is>
          <t>3级</t>
        </is>
      </c>
      <c r="C8" s="1" t="inlineStr">
        <is>
          <t>复活后打断对方，并使自身持续到下次行动时，不会受到伤害，并恢复自身100%生命值护盾</t>
        </is>
      </c>
    </row>
    <row r="9">
      <c r="A9" s="1" t="inlineStr">
        <is>
          <t>项链</t>
        </is>
      </c>
      <c r="B9" s="1" t="inlineStr">
        <is>
          <t>初始</t>
        </is>
      </c>
      <c r="C9" s="1" t="inlineStr">
        <is>
          <t>行动结束时，如果自身魂玉不少于10点，立即清除自身所有敌方的buff效果再行动一次，一场战斗最多触发1次</t>
        </is>
      </c>
    </row>
    <row r="10">
      <c r="A10" s="1" t="inlineStr">
        <is>
          <t>项链</t>
        </is>
      </c>
      <c r="B10" s="1" t="inlineStr">
        <is>
          <t>1级</t>
        </is>
      </c>
      <c r="C10" s="1" t="inlineStr">
        <is>
          <t>行动结束时，如果自身魂玉不少于10点，立即清除自身所有敌方的buff效果再行动一次，一场战斗最多触发2次</t>
        </is>
      </c>
    </row>
    <row r="11">
      <c r="A11" s="1" t="inlineStr">
        <is>
          <t>项链</t>
        </is>
      </c>
      <c r="B11" s="1" t="inlineStr">
        <is>
          <t>2级</t>
        </is>
      </c>
      <c r="C11" s="1" t="inlineStr">
        <is>
          <t>行动结束时，如果自身魂玉不少于10点，立即清除自身所有敌方的buff效果再行动一次，一场战斗最多触发3次</t>
        </is>
      </c>
    </row>
    <row r="12">
      <c r="A12" s="1" t="inlineStr">
        <is>
          <t>项链</t>
        </is>
      </c>
      <c r="B12" s="1" t="inlineStr">
        <is>
          <t>3级</t>
        </is>
      </c>
      <c r="C12" s="1" t="inlineStr">
        <is>
          <t>行动结束时，如果自身魂玉不少于10点，立即清除自身所有敌方的buff效果再行动一次，一场战斗最多触发4次</t>
        </is>
      </c>
    </row>
    <row r="13">
      <c r="A13" s="1" t="inlineStr">
        <is>
          <t>戒指</t>
        </is>
      </c>
      <c r="B13" s="1" t="inlineStr">
        <is>
          <t>初始</t>
        </is>
      </c>
      <c r="C13" s="1" t="inlineStr">
        <is>
          <t>本回合释放技能魂玉消耗减少1点，有50%概率额外减少1点，且正常获得怒气</t>
        </is>
      </c>
    </row>
    <row r="14">
      <c r="A14" s="1" t="inlineStr">
        <is>
          <t>戒指</t>
        </is>
      </c>
      <c r="B14" s="1" t="inlineStr">
        <is>
          <t>1级</t>
        </is>
      </c>
      <c r="C14" s="1" t="inlineStr">
        <is>
          <t>本回合释放技能魂玉消耗减少1点，有100%概率额外减少1点，且正常获得怒气</t>
        </is>
      </c>
    </row>
    <row r="15">
      <c r="A15" s="1" t="inlineStr">
        <is>
          <t>戒指</t>
        </is>
      </c>
      <c r="B15" s="1" t="inlineStr">
        <is>
          <t>2级</t>
        </is>
      </c>
      <c r="C15" s="1" t="inlineStr">
        <is>
          <t>本回合释放技能魂玉消耗减少2点，有50%概率额外减少1点，且正常获得怒气</t>
        </is>
      </c>
    </row>
    <row r="16">
      <c r="A16" s="1" t="inlineStr">
        <is>
          <t>戒指</t>
        </is>
      </c>
      <c r="B16" s="1" t="inlineStr">
        <is>
          <t>3级</t>
        </is>
      </c>
      <c r="C16" s="1" t="inlineStr">
        <is>
          <t>本回合释放技能魂玉消耗减少2点，有100%概率额外减少1点，且正常获得怒气</t>
        </is>
      </c>
    </row>
    <row r="18">
      <c r="A18" s="1" t="inlineStr">
        <is>
          <t>武器</t>
        </is>
      </c>
      <c r="B18" s="1" t="inlineStr">
        <is>
          <t>初始</t>
        </is>
      </c>
      <c r="C18" s="1" t="inlineStr">
        <is>
          <t>前2回合，首次被攻击时，如果自身有护盾，有80%概率免疫所有敌方附加的效果，持续本回合</t>
        </is>
      </c>
    </row>
    <row r="19">
      <c r="A19" s="1" t="inlineStr">
        <is>
          <t>武器</t>
        </is>
      </c>
      <c r="B19" s="1" t="inlineStr">
        <is>
          <t>1级</t>
        </is>
      </c>
      <c r="C19" s="1" t="inlineStr">
        <is>
          <t>前2回合，首次被攻击时，如果自身有护盾，有100%概率免疫所有敌方附加的效果，持续本回合</t>
        </is>
      </c>
    </row>
    <row r="20">
      <c r="A20" s="1" t="inlineStr">
        <is>
          <t>武器</t>
        </is>
      </c>
      <c r="B20" s="1" t="inlineStr">
        <is>
          <t>2级</t>
        </is>
      </c>
      <c r="C20" s="1" t="inlineStr">
        <is>
          <t>前3回合，首次被攻击时，如果自身有护盾，有100%概率免疫所有敌方附加的效果，持续本回合</t>
        </is>
      </c>
    </row>
    <row r="21">
      <c r="A21" s="1" t="inlineStr">
        <is>
          <t>武器</t>
        </is>
      </c>
      <c r="B21" s="1" t="inlineStr">
        <is>
          <t>3级</t>
        </is>
      </c>
      <c r="C21" s="1" t="inlineStr">
        <is>
          <t>前4回合，首次被攻击时，如果自身有护盾，有100%概率免疫所有敌方附加的效果，持续本回合</t>
        </is>
      </c>
    </row>
    <row r="22">
      <c r="A22" s="1" t="inlineStr">
        <is>
          <t>衣服</t>
        </is>
      </c>
      <c r="B22" s="1" t="inlineStr">
        <is>
          <t>初始</t>
        </is>
      </c>
      <c r="C22" s="1" t="inlineStr">
        <is>
          <t>造成的雷、火属性伤害提升80%，战斗开始时，获得70点怒气</t>
        </is>
      </c>
    </row>
    <row r="23">
      <c r="A23" s="1" t="inlineStr">
        <is>
          <t>衣服</t>
        </is>
      </c>
      <c r="B23" s="1" t="inlineStr">
        <is>
          <t>1级</t>
        </is>
      </c>
      <c r="C23" s="1" t="inlineStr">
        <is>
          <t>造成的雷、火属性伤害提升90%，战斗开始时，获得80点怒气</t>
        </is>
      </c>
    </row>
    <row r="24">
      <c r="A24" s="1" t="inlineStr">
        <is>
          <t>衣服</t>
        </is>
      </c>
      <c r="B24" s="1" t="inlineStr">
        <is>
          <t>2级</t>
        </is>
      </c>
      <c r="C24" s="1" t="inlineStr">
        <is>
          <t>造成的雷、火属性伤害提升100%，战斗开始时，获得90点怒气</t>
        </is>
      </c>
    </row>
    <row r="25">
      <c r="A25" s="1" t="inlineStr">
        <is>
          <t>衣服</t>
        </is>
      </c>
      <c r="B25" s="1" t="inlineStr">
        <is>
          <t>3级</t>
        </is>
      </c>
      <c r="C25" s="1" t="inlineStr">
        <is>
          <t>造成的雷、火属性伤害提升110%，战斗开始时，获得100点怒气</t>
        </is>
      </c>
    </row>
    <row r="26">
      <c r="A26" s="1" t="inlineStr">
        <is>
          <t>项链</t>
        </is>
      </c>
      <c r="B26" s="1" t="inlineStr">
        <is>
          <t>初始</t>
        </is>
      </c>
      <c r="C26" s="1" t="inlineStr">
        <is>
          <t>首回合开始时，对敌方全体造成大妈最大生命20%的真实伤害</t>
        </is>
      </c>
    </row>
    <row r="27">
      <c r="A27" s="1" t="inlineStr">
        <is>
          <t>项链</t>
        </is>
      </c>
      <c r="B27" s="1" t="inlineStr">
        <is>
          <t>1级</t>
        </is>
      </c>
      <c r="C27" s="1" t="inlineStr">
        <is>
          <t>首回合开始时，对敌方全体造成大妈最大生命24%的真实伤害</t>
        </is>
      </c>
    </row>
    <row r="28">
      <c r="A28" s="1" t="inlineStr">
        <is>
          <t>项链</t>
        </is>
      </c>
      <c r="B28" s="1" t="inlineStr">
        <is>
          <t>2级</t>
        </is>
      </c>
      <c r="C28" s="1" t="inlineStr">
        <is>
          <t>首回合开始时，对敌方全体造成大妈最大生命28%的真实伤害</t>
        </is>
      </c>
    </row>
    <row r="29">
      <c r="A29" s="1" t="inlineStr">
        <is>
          <t>项链</t>
        </is>
      </c>
      <c r="B29" s="1" t="inlineStr">
        <is>
          <t>3级</t>
        </is>
      </c>
      <c r="C29" s="1" t="inlineStr">
        <is>
          <t>首回合开始时，对敌方全体造成大妈最大生命32%的真实伤害</t>
        </is>
      </c>
    </row>
    <row r="30">
      <c r="A30" s="1" t="inlineStr">
        <is>
          <t>戒指</t>
        </is>
      </c>
      <c r="B30" s="1" t="inlineStr">
        <is>
          <t>初始</t>
        </is>
      </c>
      <c r="C30" s="1" t="inlineStr">
        <is>
          <t>前3回合，有80%概率不会被打断</t>
        </is>
      </c>
    </row>
    <row r="31">
      <c r="A31" s="1" t="inlineStr">
        <is>
          <t>戒指</t>
        </is>
      </c>
      <c r="B31" s="1" t="inlineStr">
        <is>
          <t>1级</t>
        </is>
      </c>
      <c r="C31" s="1" t="inlineStr">
        <is>
          <t>前3回合，有90%概率不会被打断</t>
        </is>
      </c>
    </row>
    <row r="32">
      <c r="A32" s="1" t="inlineStr">
        <is>
          <t>戒指</t>
        </is>
      </c>
      <c r="B32" s="1" t="inlineStr">
        <is>
          <t>2级</t>
        </is>
      </c>
      <c r="C32" s="1" t="inlineStr">
        <is>
          <t>前3回合，有100%概率不会被打断</t>
        </is>
      </c>
    </row>
    <row r="33">
      <c r="A33" s="1" t="inlineStr">
        <is>
          <t>戒指</t>
        </is>
      </c>
      <c r="B33" s="1" t="inlineStr">
        <is>
          <t>3级</t>
        </is>
      </c>
      <c r="C33" s="1" t="inlineStr">
        <is>
          <t>前4回合，有100%概率不会被打断</t>
        </is>
      </c>
    </row>
    <row r="34">
      <c r="C34" s="1" t="inlineStr">
        <is>
          <t>老区</t>
        </is>
      </c>
      <c r="D34" s="1" t="inlineStr">
        <is>
          <t>新区</t>
        </is>
      </c>
    </row>
    <row r="35">
      <c r="A35" s="1" t="inlineStr">
        <is>
          <t>武器</t>
        </is>
      </c>
      <c r="B35" s="1" t="inlineStr">
        <is>
          <t>初始</t>
        </is>
      </c>
      <c r="C35" s="1" t="inlineStr">
        <is>
          <t>前3回合，有80%概率不会被打断且速度提升40%</t>
        </is>
      </c>
      <c r="D35" s="1" t="inlineStr">
        <is>
          <t>前3回合，有80%概率不会被打断</t>
        </is>
      </c>
      <c r="E35" s="1" t="n">
        <v>30233</v>
      </c>
    </row>
    <row r="36">
      <c r="A36" s="1" t="inlineStr">
        <is>
          <t>武器</t>
        </is>
      </c>
      <c r="B36" s="1" t="inlineStr">
        <is>
          <t>1级</t>
        </is>
      </c>
      <c r="C36" s="1" t="inlineStr">
        <is>
          <t>前3回合，有90%概率不会被打断且速度提升40%</t>
        </is>
      </c>
      <c r="D36" s="1" t="inlineStr">
        <is>
          <t>前3回合，有90%概率不会被打断</t>
        </is>
      </c>
      <c r="E36" s="1" t="n">
        <v>30234</v>
      </c>
    </row>
    <row r="37">
      <c r="A37" s="1" t="inlineStr">
        <is>
          <t>武器</t>
        </is>
      </c>
      <c r="B37" s="1" t="inlineStr">
        <is>
          <t>2级</t>
        </is>
      </c>
      <c r="C37" s="1" t="inlineStr">
        <is>
          <t>前3回合，有100%概率不会被打断且速度提升40%</t>
        </is>
      </c>
      <c r="D37" s="1" t="inlineStr">
        <is>
          <t>前3回合，有100%概率不会被打断</t>
        </is>
      </c>
      <c r="E37" s="1" t="n">
        <v>30235</v>
      </c>
    </row>
    <row r="38">
      <c r="A38" s="1" t="inlineStr">
        <is>
          <t>武器</t>
        </is>
      </c>
      <c r="B38" s="1" t="inlineStr">
        <is>
          <t>3级</t>
        </is>
      </c>
      <c r="C38" s="1" t="inlineStr">
        <is>
          <t>前4回合，有100%概率不会被打断且速度提升40%</t>
        </is>
      </c>
      <c r="D38" s="1" t="inlineStr">
        <is>
          <t>前4回合，有100%概率不会被打断</t>
        </is>
      </c>
      <c r="E38" s="1" t="n">
        <v>30236</v>
      </c>
    </row>
    <row r="39">
      <c r="A39" s="1" t="inlineStr">
        <is>
          <t>衣服</t>
        </is>
      </c>
      <c r="B39" s="1" t="inlineStr">
        <is>
          <t>初始</t>
        </is>
      </c>
      <c r="C39" s="1" t="inlineStr">
        <is>
          <t>前2回合，首次被攻击时，如果自身有护盾，有80%概率获得生命值不会降到20%以下效果，持续本回合</t>
        </is>
      </c>
      <c r="D39" s="1" t="inlineStr">
        <is>
          <t>前2回合，首次被攻击时，如果自身有护盾，有80%概率免疫所有敌方附加的效果，持续本回合</t>
        </is>
      </c>
      <c r="E39" s="1" t="n">
        <v>30221</v>
      </c>
    </row>
    <row r="40">
      <c r="A40" s="1" t="inlineStr">
        <is>
          <t>衣服</t>
        </is>
      </c>
      <c r="B40" s="1" t="inlineStr">
        <is>
          <t>1级</t>
        </is>
      </c>
      <c r="C40" s="1" t="inlineStr">
        <is>
          <t>前2回合，首次被攻击时，如果自身有护盾，有100%概率获得生命值不会降到20%以下效果，持续本回合</t>
        </is>
      </c>
      <c r="D40" s="1" t="inlineStr">
        <is>
          <t>前2回合，首次被攻击时，如果自身有护盾，有100%概率免疫所有敌方附加的效果，持续本回合</t>
        </is>
      </c>
      <c r="E40" s="1" t="n">
        <v>30222</v>
      </c>
    </row>
    <row r="41">
      <c r="A41" s="1" t="inlineStr">
        <is>
          <t>衣服</t>
        </is>
      </c>
      <c r="B41" s="1" t="inlineStr">
        <is>
          <t>2级</t>
        </is>
      </c>
      <c r="C41" s="1" t="inlineStr">
        <is>
          <t>前3回合，首次被攻击时，如果自身有护盾，有100%概率获得生命值不会降到20%以下效果，持续本回合</t>
        </is>
      </c>
      <c r="D41" s="1" t="inlineStr">
        <is>
          <t>前3回合，首次被攻击时，如果自身有护盾，有100%概率免疫所有敌方附加的效果，持续本回合</t>
        </is>
      </c>
      <c r="E41" s="1" t="n">
        <v>30223</v>
      </c>
    </row>
    <row r="42">
      <c r="A42" s="1" t="inlineStr">
        <is>
          <t>衣服</t>
        </is>
      </c>
      <c r="B42" s="1" t="inlineStr">
        <is>
          <t>3级</t>
        </is>
      </c>
      <c r="C42" s="1" t="inlineStr">
        <is>
          <t>前4回合，首次被攻击时，如果自身有护盾，有100%概率获得生命值不会降到20%以下效果，持续本回合</t>
        </is>
      </c>
      <c r="D42" s="1" t="inlineStr">
        <is>
          <t>前4回合，首次被攻击时，如果自身有护盾，有100%概率免疫所有敌方附加的效果，持续本回合</t>
        </is>
      </c>
      <c r="E42" s="1" t="n">
        <v>30224</v>
      </c>
    </row>
    <row r="43">
      <c r="A43" s="1" t="inlineStr">
        <is>
          <t>项链</t>
        </is>
      </c>
      <c r="B43" s="1" t="inlineStr">
        <is>
          <t>初始</t>
        </is>
      </c>
      <c r="C43" s="1" t="inlineStr">
        <is>
          <t>首回合开始时，对敌方全体造成大妈最大生命20%的真实伤害，且大妈获得必中效果，持续2回合</t>
        </is>
      </c>
      <c r="D43" s="1" t="inlineStr">
        <is>
          <t>首回合开始时，对敌方全体造成大妈最大生命20%的真实伤害</t>
        </is>
      </c>
      <c r="E43" s="1" t="n">
        <v>30229</v>
      </c>
    </row>
    <row r="44">
      <c r="A44" s="1" t="inlineStr">
        <is>
          <t>项链</t>
        </is>
      </c>
      <c r="B44" s="1" t="inlineStr">
        <is>
          <t>1级</t>
        </is>
      </c>
      <c r="C44" s="1" t="inlineStr">
        <is>
          <t>首回合开始时，对敌方全体造成大妈最大生命24%的真实伤害，且大妈获得必中效果，持续2回合</t>
        </is>
      </c>
      <c r="D44" s="1" t="inlineStr">
        <is>
          <t>首回合开始时，对敌方全体造成大妈最大生命24%的真实伤害</t>
        </is>
      </c>
      <c r="E44" s="1" t="n">
        <v>30230</v>
      </c>
    </row>
    <row r="45">
      <c r="A45" s="1" t="inlineStr">
        <is>
          <t>项链</t>
        </is>
      </c>
      <c r="B45" s="1" t="inlineStr">
        <is>
          <t>2级</t>
        </is>
      </c>
      <c r="C45" s="1" t="inlineStr">
        <is>
          <t>首回合开始时，对敌方全体造成大妈最大生命28%的真实伤害，且大妈获得必中效果，持续2回合</t>
        </is>
      </c>
      <c r="D45" s="1" t="inlineStr">
        <is>
          <t>首回合开始时，对敌方全体造成大妈最大生命28%的真实伤害</t>
        </is>
      </c>
      <c r="E45" s="1" t="n">
        <v>30231</v>
      </c>
    </row>
    <row r="46">
      <c r="A46" s="1" t="inlineStr">
        <is>
          <t>项链</t>
        </is>
      </c>
      <c r="B46" s="1" t="inlineStr">
        <is>
          <t>3级</t>
        </is>
      </c>
      <c r="C46" s="1" t="inlineStr">
        <is>
          <t>首回合开始时，对敌方全体造成大妈最大生命32%的真实伤害，且大妈获得必中效果，持续2回合</t>
        </is>
      </c>
      <c r="D46" s="1" t="inlineStr">
        <is>
          <t>首回合开始时，对敌方全体造成大妈最大生命32%的真实伤害</t>
        </is>
      </c>
      <c r="E46" s="1" t="n">
        <v>30232</v>
      </c>
    </row>
    <row r="47">
      <c r="A47" s="1" t="inlineStr">
        <is>
          <t>戒指</t>
        </is>
      </c>
      <c r="B47" s="1" t="inlineStr">
        <is>
          <t>初始</t>
        </is>
      </c>
      <c r="C47" s="1" t="inlineStr">
        <is>
          <t>造成的雷、火属性伤害每回合提升25%，PVP战斗中5回合之后，每回合提升效果增加2倍，所有属性伤害减免提升80%，战斗开始时，获得70点怒气</t>
        </is>
      </c>
      <c r="D47" s="1" t="inlineStr">
        <is>
          <t>造成的雷、火属性伤害每回合提升20%，PVP战斗中5回合之后，每回合提升效果增加2倍，战斗开始时，获得70点怒气</t>
        </is>
      </c>
      <c r="E47" s="1" t="n">
        <v>30225</v>
      </c>
    </row>
    <row r="48">
      <c r="A48" s="1" t="inlineStr">
        <is>
          <t>戒指</t>
        </is>
      </c>
      <c r="B48" s="1" t="inlineStr">
        <is>
          <t>1级</t>
        </is>
      </c>
      <c r="C48" s="1" t="inlineStr">
        <is>
          <t>造成的雷、火属性伤害每回合提升30%，PVP战斗中5回合之后，每回合提升效果增加2倍，所有属性伤害减免提升90%，战斗开始时，获得80点怒气</t>
        </is>
      </c>
      <c r="D48" s="1" t="inlineStr">
        <is>
          <t>造成的雷、火属性伤害每回合提升25%，PVP战斗中5回合之后，每回合提升效果增加2倍，战斗开始时，获得80点怒气</t>
        </is>
      </c>
      <c r="E48" s="1" t="n">
        <v>30226</v>
      </c>
    </row>
    <row r="49">
      <c r="A49" s="1" t="inlineStr">
        <is>
          <t>戒指</t>
        </is>
      </c>
      <c r="B49" s="1" t="inlineStr">
        <is>
          <t>2级</t>
        </is>
      </c>
      <c r="C49" s="1" t="inlineStr">
        <is>
          <t>造成的雷、火属性伤害每回合提升35%，PVP战斗中5回合之后，每回合提升效果增加2倍，所有属性伤害减免提升100%，战斗开始时，获得90点怒气</t>
        </is>
      </c>
      <c r="D49" s="1" t="inlineStr">
        <is>
          <t>造成的雷、火属性伤害每回合提升30%，PVP战斗中5回合之后，每回合提升效果增加2倍，战斗开始时，获得90点怒气</t>
        </is>
      </c>
      <c r="E49" s="1" t="n">
        <v>30227</v>
      </c>
    </row>
    <row r="50">
      <c r="A50" s="1" t="inlineStr">
        <is>
          <t>戒指</t>
        </is>
      </c>
      <c r="B50" s="1" t="inlineStr">
        <is>
          <t>3级</t>
        </is>
      </c>
      <c r="C50" s="1" t="inlineStr">
        <is>
          <t>造成的雷、火属性伤害每回合提升40%，PVP战斗中5回合之后，每回合提升效果增加2倍，所有属性伤害减免提升110%，战斗开始时，获得100点怒气</t>
        </is>
      </c>
      <c r="D50" s="1" t="inlineStr">
        <is>
          <t>造成的雷、火属性伤害每回合提升35%，PVP战斗中5回合之后，每回合提升效果增加2倍，战斗开始时，获得100点怒气</t>
        </is>
      </c>
      <c r="E50" s="1" t="n">
        <v>30228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2022-03-31T03:08:00Z</dcterms:created>
  <dcterms:modified xsi:type="dcterms:W3CDTF">2026-03-10T08:55:17Z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2052-12.1.0.16894</vt:lpwstr>
  </property>
  <property name="ICV" fmtid="{D5CDD505-2E9C-101B-9397-08002B2CF9AE}" pid="3">
    <vt:lpwstr>809DD20D7F4147CD8E9B7430D728B992</vt:lpwstr>
  </property>
</Properties>
</file>