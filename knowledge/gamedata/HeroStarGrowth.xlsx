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69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Sheet1!$A$6:$X$898</definedName>
    <definedName name="_xlnm._FilterDatabase" localSheetId="3" hidden="1">Sheet4!$D$6:$R$628</definedName>
  </definedNames>
  <calcPr calcId="144525" iterate="1" iterateCount="100" iterateDelta="0.001"/>
</workbook>
</file>

<file path=xl/comments1.xml><?xml version="1.0" encoding="utf-8"?>
<comments xmlns="http://schemas.openxmlformats.org/spreadsheetml/2006/main">
  <authors>
    <author>PC</author>
  </authors>
  <commentList>
    <comment ref="E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（本卡是一个中间概念，不会直接体现在游戏中）</t>
        </r>
      </text>
    </comment>
  </commentList>
</comments>
</file>

<file path=xl/sharedStrings.xml><?xml version="1.0" encoding="utf-8"?>
<sst xmlns="http://schemas.openxmlformats.org/spreadsheetml/2006/main" count="1019" uniqueCount="199">
  <si>
    <t>7</t>
  </si>
  <si>
    <t>自增id</t>
  </si>
  <si>
    <t>英雄id</t>
  </si>
  <si>
    <t>星级</t>
  </si>
  <si>
    <t>消耗</t>
  </si>
  <si>
    <t>本卡数量</t>
  </si>
  <si>
    <t>限制英雄等级</t>
  </si>
  <si>
    <t>攻击</t>
  </si>
  <si>
    <t>防御</t>
  </si>
  <si>
    <t>血量</t>
  </si>
  <si>
    <t>速度</t>
  </si>
  <si>
    <t>暴击</t>
  </si>
  <si>
    <t>抗暴</t>
  </si>
  <si>
    <t>命中</t>
  </si>
  <si>
    <t>闪避</t>
  </si>
  <si>
    <t>二级属性成长值</t>
  </si>
  <si>
    <t xml:space="preserve">二级属性固定加成值 </t>
  </si>
  <si>
    <t>各属性的评级</t>
  </si>
  <si>
    <t>EmptyKey-R2</t>
  </si>
  <si>
    <t>EmptyKey-S2</t>
  </si>
  <si>
    <t>EmptyKey-T2</t>
  </si>
  <si>
    <t>EmptyKey-U2</t>
  </si>
  <si>
    <t>EmptyKey-V2</t>
  </si>
  <si>
    <t>EmptyKey-W2</t>
  </si>
  <si>
    <t>EmptyKey-X2</t>
  </si>
  <si>
    <t>id</t>
  </si>
  <si>
    <t>heroId</t>
  </si>
  <si>
    <t>starNum</t>
  </si>
  <si>
    <r>
      <rPr>
        <sz val="11"/>
        <color theme="1"/>
        <rFont val="宋体"/>
        <charset val="134"/>
      </rPr>
      <t>c</t>
    </r>
    <r>
      <rPr>
        <sz val="11"/>
        <color theme="1"/>
        <rFont val="宋体"/>
        <charset val="134"/>
      </rPr>
      <t>ost</t>
    </r>
  </si>
  <si>
    <t>soulNum</t>
  </si>
  <si>
    <t>levelLimit</t>
  </si>
  <si>
    <t>atk</t>
  </si>
  <si>
    <t>def</t>
  </si>
  <si>
    <t>hp</t>
  </si>
  <si>
    <t>speed</t>
  </si>
  <si>
    <t>cri</t>
  </si>
  <si>
    <t>anticri</t>
  </si>
  <si>
    <t>hit</t>
  </si>
  <si>
    <t>dodge</t>
  </si>
  <si>
    <r>
      <rPr>
        <sz val="11"/>
        <color theme="1"/>
        <rFont val="宋体"/>
        <charset val="134"/>
      </rPr>
      <t>a</t>
    </r>
    <r>
      <rPr>
        <sz val="11"/>
        <color theme="1"/>
        <rFont val="宋体"/>
        <charset val="134"/>
      </rPr>
      <t>ttributeGrowth</t>
    </r>
  </si>
  <si>
    <r>
      <rPr>
        <sz val="11"/>
        <color theme="1"/>
        <rFont val="宋体"/>
        <charset val="134"/>
      </rPr>
      <t>a</t>
    </r>
    <r>
      <rPr>
        <sz val="11"/>
        <color theme="1"/>
        <rFont val="宋体"/>
        <charset val="134"/>
      </rPr>
      <t>ttributeAddition</t>
    </r>
  </si>
  <si>
    <t>atkEvaluate</t>
  </si>
  <si>
    <t>defEvaluate</t>
  </si>
  <si>
    <t>hpEvaluate</t>
  </si>
  <si>
    <t>speedEvaluate</t>
  </si>
  <si>
    <t>criEvaluate</t>
  </si>
  <si>
    <t>anticriEvaluate</t>
  </si>
  <si>
    <t>hitEvaluate</t>
  </si>
  <si>
    <t>dodgeEvaluate</t>
  </si>
  <si>
    <t>int</t>
  </si>
  <si>
    <t>string(intern)</t>
  </si>
  <si>
    <t>double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</si>
  <si>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tring</t>
    </r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</si>
  <si>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</si>
  <si>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primary</t>
  </si>
  <si>
    <t>index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</si>
  <si>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</si>
  <si>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none</t>
  </si>
  <si>
    <t>levelLimt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</si>
  <si>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,0,2500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</si>
  <si>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,0,5000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</si>
  <si>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,0,10000</t>
    </r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</si>
  <si>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,0,20000</t>
    </r>
  </si>
  <si>
    <t>5,0,5000</t>
  </si>
  <si>
    <t>5,0,10000</t>
  </si>
  <si>
    <t>5,0,20000</t>
  </si>
  <si>
    <t>5,0,40000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</si>
  <si>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,0,</t>
    </r>
    <r>
      <rPr>
        <sz val="11"/>
        <color theme="1"/>
        <rFont val="宋体"/>
        <charset val="134"/>
      </rPr>
      <t>80000</t>
    </r>
  </si>
  <si>
    <t>5,0,80000</t>
  </si>
  <si>
    <t>属性评级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</si>
  <si>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SS</t>
    </r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</si>
  <si>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S</t>
    </r>
  </si>
  <si>
    <t>S</t>
  </si>
  <si>
    <t>A</t>
  </si>
  <si>
    <t>B</t>
  </si>
  <si>
    <t>C</t>
  </si>
  <si>
    <t>D</t>
  </si>
  <si>
    <t>E</t>
  </si>
  <si>
    <t xml:space="preserve">攻 </t>
  </si>
  <si>
    <t xml:space="preserve">防 </t>
  </si>
  <si>
    <t>血</t>
  </si>
  <si>
    <t>速</t>
  </si>
  <si>
    <t>战桃丸</t>
  </si>
  <si>
    <t>防</t>
  </si>
  <si>
    <t>熊</t>
  </si>
  <si>
    <t>可比</t>
  </si>
  <si>
    <t>摩根</t>
  </si>
  <si>
    <t>卡巴奇</t>
  </si>
  <si>
    <t>克洛</t>
  </si>
  <si>
    <t>强高</t>
  </si>
  <si>
    <t>克里克</t>
  </si>
  <si>
    <t>阿金</t>
  </si>
  <si>
    <t>帕鲁</t>
  </si>
  <si>
    <t>阿龙</t>
  </si>
  <si>
    <t>小八</t>
  </si>
  <si>
    <t>薇薇</t>
  </si>
  <si>
    <t>Mr.5</t>
  </si>
  <si>
    <t>瓦波尔</t>
  </si>
  <si>
    <t>Mr.4</t>
  </si>
  <si>
    <t>Ms.黄金周</t>
  </si>
  <si>
    <t>猫头鹰</t>
  </si>
  <si>
    <t>脸谱</t>
  </si>
  <si>
    <t>约撒</t>
  </si>
  <si>
    <t>路飞</t>
  </si>
  <si>
    <t>佐罗</t>
  </si>
  <si>
    <t>奈美</t>
  </si>
  <si>
    <t>撒谎布</t>
  </si>
  <si>
    <t>山智</t>
  </si>
  <si>
    <t>乔巴</t>
  </si>
  <si>
    <t>罗宾</t>
  </si>
  <si>
    <t>弗兰奇</t>
  </si>
  <si>
    <t>布鲁克</t>
  </si>
  <si>
    <t>巴奇</t>
  </si>
  <si>
    <t>烟鬼</t>
  </si>
  <si>
    <t>塔希米</t>
  </si>
  <si>
    <t>Mr.1</t>
  </si>
  <si>
    <t>Mr.2</t>
  </si>
  <si>
    <t>Mr.3</t>
  </si>
  <si>
    <t>Ms.双手指</t>
  </si>
  <si>
    <t>贝拉密</t>
  </si>
  <si>
    <t>瓦帕</t>
  </si>
  <si>
    <t>杰布拉</t>
  </si>
  <si>
    <t>佳妮法</t>
  </si>
  <si>
    <t>卡古</t>
  </si>
  <si>
    <t>鲁兹</t>
  </si>
  <si>
    <t>阿布萨罗姆</t>
  </si>
  <si>
    <t>豪格巴克</t>
  </si>
  <si>
    <t>佩罗娜</t>
  </si>
  <si>
    <t>龙马</t>
  </si>
  <si>
    <t>贝宝</t>
  </si>
  <si>
    <t>Baby5</t>
  </si>
  <si>
    <t>莉贝卡</t>
  </si>
  <si>
    <t>沙·鳄鱼</t>
  </si>
  <si>
    <t>艾尼路</t>
  </si>
  <si>
    <t>青雉</t>
  </si>
  <si>
    <t>戈普</t>
  </si>
  <si>
    <t>莫利亚</t>
  </si>
  <si>
    <t>大熊</t>
  </si>
  <si>
    <t>黄猿</t>
  </si>
  <si>
    <t>艾斯</t>
  </si>
  <si>
    <t>赤犬</t>
  </si>
  <si>
    <t>米霍克</t>
  </si>
  <si>
    <t>甚平</t>
  </si>
  <si>
    <t>汉库珂</t>
  </si>
  <si>
    <t>罗</t>
  </si>
  <si>
    <t>基德</t>
  </si>
  <si>
    <t>雷利</t>
  </si>
  <si>
    <t>战国</t>
  </si>
  <si>
    <t>麦哲伦</t>
  </si>
  <si>
    <t>伊娃科夫</t>
  </si>
  <si>
    <t>乔兹</t>
  </si>
  <si>
    <t>白胡子</t>
  </si>
  <si>
    <t>马尔高</t>
  </si>
  <si>
    <t>比斯塔</t>
  </si>
  <si>
    <t>杰克斯</t>
  </si>
  <si>
    <t>新世界撒谎布</t>
  </si>
  <si>
    <t>新世界佐罗</t>
  </si>
  <si>
    <t>黑胡子</t>
  </si>
  <si>
    <t>新世界奈美</t>
  </si>
  <si>
    <t>新世界罗宾</t>
  </si>
  <si>
    <t>多弗拉门戈</t>
  </si>
  <si>
    <t>新世界路飞</t>
  </si>
  <si>
    <t>新世界烟鬼</t>
  </si>
  <si>
    <t>新世界塔希米</t>
  </si>
  <si>
    <t>锦卫门</t>
  </si>
  <si>
    <t>新世界弗兰奇</t>
  </si>
  <si>
    <t>新世界布鲁克</t>
  </si>
  <si>
    <t>新世界山智</t>
  </si>
  <si>
    <t>新世界乔巴</t>
  </si>
  <si>
    <t>新世界罗</t>
  </si>
  <si>
    <t>卡塔库栗</t>
  </si>
  <si>
    <t>凯撒</t>
  </si>
  <si>
    <t>萨波</t>
  </si>
  <si>
    <t>藤虎</t>
  </si>
  <si>
    <t>夏洛特·玲玲</t>
  </si>
  <si>
    <t>苏打饼</t>
  </si>
  <si>
    <t>奶昔</t>
  </si>
  <si>
    <t>凯多</t>
  </si>
  <si>
    <t>凯文迪修</t>
  </si>
  <si>
    <t>新世界库赞</t>
  </si>
  <si>
    <t>新世界赤犬</t>
  </si>
  <si>
    <t>丽久</t>
  </si>
  <si>
    <t>新世界鲁兹</t>
  </si>
  <si>
    <t>推进城汉库珂</t>
  </si>
  <si>
    <t>巴尔托洛梅奥</t>
  </si>
  <si>
    <t>新世界马尔高</t>
  </si>
  <si>
    <t>新世界米霍克</t>
  </si>
  <si>
    <t>糖糖</t>
  </si>
  <si>
    <t>光月御殿</t>
  </si>
  <si>
    <t>青年雷利</t>
  </si>
  <si>
    <t>凯罗特</t>
  </si>
  <si>
    <t>阿菊</t>
  </si>
  <si>
    <t>年轻白胡子</t>
  </si>
  <si>
    <t>新世界佩罗娜</t>
  </si>
  <si>
    <t>英雄戈普</t>
  </si>
  <si>
    <r>
      <rPr>
        <sz val="11"/>
        <color theme="1"/>
        <rFont val="宋体"/>
        <charset val="134"/>
      </rPr>
      <t>英雄资质
1</t>
    </r>
    <r>
      <rPr>
        <sz val="11"/>
        <color theme="1"/>
        <rFont val="宋体"/>
        <charset val="134"/>
      </rPr>
      <t>-R
2-SR
3-SSR</t>
    </r>
  </si>
  <si>
    <t>quality</t>
  </si>
  <si>
    <t>SSR成长属性</t>
  </si>
  <si>
    <t>生命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</si>
</sst>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7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7DF4F7"/>
        <bgColor indexed="64"/>
      </patternFill>
    </fill>
    <fill>
      <patternFill patternType="solid">
        <fgColor rgb="FFF3D979"/>
        <bgColor indexed="64"/>
      </patternFill>
    </fill>
    <fill>
      <patternFill patternType="solid">
        <fgColor rgb="FFED45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B757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E426AC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33D8E3"/>
        <bgColor indexed="64"/>
      </patternFill>
    </fill>
    <fill>
      <patternFill patternType="solid">
        <fgColor rgb="FFFFBD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5" fillId="48" borderId="0">
      <alignment vertical="center"/>
    </xf>
    <xf numFmtId="0" fontId="6" fillId="4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50" borderId="0">
      <alignment vertical="center"/>
    </xf>
    <xf numFmtId="0" fontId="7" fillId="51" borderId="0">
      <alignment vertical="center"/>
    </xf>
    <xf numFmtId="43" fontId="0" fillId="0" borderId="0">
      <alignment vertical="center"/>
    </xf>
    <xf numFmtId="0" fontId="8" fillId="52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53" borderId="4">
      <alignment vertical="center"/>
    </xf>
    <xf numFmtId="0" fontId="8" fillId="54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8" fillId="55" borderId="0">
      <alignment vertical="center"/>
    </xf>
    <xf numFmtId="0" fontId="11" fillId="0" borderId="6">
      <alignment vertical="center"/>
    </xf>
    <xf numFmtId="0" fontId="8" fillId="56" borderId="0">
      <alignment vertical="center"/>
    </xf>
    <xf numFmtId="0" fontId="17" fillId="57" borderId="7">
      <alignment vertical="center"/>
    </xf>
    <xf numFmtId="0" fontId="18" fillId="57" borderId="3">
      <alignment vertical="center"/>
    </xf>
    <xf numFmtId="0" fontId="19" fillId="58" borderId="8">
      <alignment vertical="center"/>
    </xf>
    <xf numFmtId="0" fontId="5" fillId="59" borderId="0">
      <alignment vertical="center"/>
    </xf>
    <xf numFmtId="0" fontId="8" fillId="60" borderId="0">
      <alignment vertical="center"/>
    </xf>
    <xf numFmtId="0" fontId="20" fillId="0" borderId="9">
      <alignment vertical="center"/>
    </xf>
    <xf numFmtId="0" fontId="21" fillId="0" borderId="10">
      <alignment vertical="center"/>
    </xf>
    <xf numFmtId="0" fontId="22" fillId="61" borderId="0">
      <alignment vertical="center"/>
    </xf>
    <xf numFmtId="0" fontId="23" fillId="62" borderId="0">
      <alignment vertical="center"/>
    </xf>
    <xf numFmtId="0" fontId="5" fillId="46" borderId="0">
      <alignment vertical="center"/>
    </xf>
    <xf numFmtId="0" fontId="8" fillId="63" borderId="0">
      <alignment vertical="center"/>
    </xf>
    <xf numFmtId="0" fontId="0" fillId="3" borderId="0">
      <alignment vertical="center"/>
    </xf>
    <xf numFmtId="0" fontId="5" fillId="64" borderId="0">
      <alignment vertical="center"/>
    </xf>
    <xf numFmtId="0" fontId="5" fillId="65" borderId="0">
      <alignment vertical="center"/>
    </xf>
    <xf numFmtId="0" fontId="5" fillId="66" borderId="0">
      <alignment vertical="center"/>
    </xf>
    <xf numFmtId="0" fontId="8" fillId="67" borderId="0">
      <alignment vertical="center"/>
    </xf>
    <xf numFmtId="0" fontId="8" fillId="68" borderId="0">
      <alignment vertical="center"/>
    </xf>
    <xf numFmtId="0" fontId="5" fillId="69" borderId="0">
      <alignment vertical="center"/>
    </xf>
    <xf numFmtId="0" fontId="5" fillId="70" borderId="0">
      <alignment vertical="center"/>
    </xf>
    <xf numFmtId="0" fontId="8" fillId="28" borderId="0">
      <alignment vertical="center"/>
    </xf>
    <xf numFmtId="0" fontId="5" fillId="71" borderId="0">
      <alignment vertical="center"/>
    </xf>
    <xf numFmtId="0" fontId="8" fillId="72" borderId="0">
      <alignment vertical="center"/>
    </xf>
    <xf numFmtId="0" fontId="8" fillId="44" borderId="0">
      <alignment vertical="center"/>
    </xf>
    <xf numFmtId="0" fontId="5" fillId="73" borderId="0">
      <alignment vertical="center"/>
    </xf>
    <xf numFmtId="0" fontId="8" fillId="74" borderId="0">
      <alignment vertical="center"/>
    </xf>
  </cellStyleXfs>
  <cellXfs count="128">
    <xf numFmtId="0" fontId="0" fillId="0" borderId="0" xfId="0" applyNumberFormat="1" applyFont="1" applyFill="1" applyBorder="1" applyProtection="1"/>
    <xf numFmtId="176" fontId="0" fillId="2" borderId="0" xfId="0" applyNumberFormat="1" applyFont="1" applyFill="1" applyBorder="1" applyProtection="1"/>
    <xf numFmtId="0" fontId="0" fillId="3" borderId="0" xfId="35" applyNumberFormat="1" applyFont="1" applyFill="1" applyBorder="1" applyAlignment="1" applyProtection="1"/>
    <xf numFmtId="176" fontId="0" fillId="4" borderId="0" xfId="0" applyNumberFormat="1" applyFont="1" applyFill="1" applyBorder="1" applyProtection="1"/>
    <xf numFmtId="176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wrapText="1"/>
    </xf>
    <xf numFmtId="0" fontId="0" fillId="5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Protection="1"/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6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Protection="1"/>
    <xf numFmtId="0" fontId="0" fillId="7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Protection="1"/>
    <xf numFmtId="0" fontId="0" fillId="8" borderId="0" xfId="0" applyNumberFormat="1" applyFont="1" applyFill="1" applyBorder="1" applyProtection="1"/>
    <xf numFmtId="0" fontId="0" fillId="9" borderId="0" xfId="0" applyNumberFormat="1" applyFont="1" applyFill="1" applyBorder="1" applyProtection="1"/>
    <xf numFmtId="0" fontId="0" fillId="10" borderId="0" xfId="0" applyNumberFormat="1" applyFont="1" applyFill="1" applyBorder="1" applyProtection="1"/>
    <xf numFmtId="0" fontId="0" fillId="11" borderId="0" xfId="0" applyNumberFormat="1" applyFont="1" applyFill="1" applyBorder="1" applyProtection="1"/>
    <xf numFmtId="0" fontId="0" fillId="12" borderId="0" xfId="0" applyNumberFormat="1" applyFont="1" applyFill="1" applyBorder="1" applyProtection="1"/>
    <xf numFmtId="0" fontId="0" fillId="13" borderId="0" xfId="0" applyNumberFormat="1" applyFont="1" applyFill="1" applyBorder="1" applyProtection="1"/>
    <xf numFmtId="0" fontId="0" fillId="14" borderId="0" xfId="0" applyNumberFormat="1" applyFont="1" applyFill="1" applyBorder="1" applyProtection="1"/>
    <xf numFmtId="0" fontId="0" fillId="15" borderId="0" xfId="0" applyNumberFormat="1" applyFont="1" applyFill="1" applyBorder="1" applyProtection="1"/>
    <xf numFmtId="0" fontId="0" fillId="16" borderId="0" xfId="0" applyNumberFormat="1" applyFont="1" applyFill="1" applyBorder="1" applyProtection="1"/>
    <xf numFmtId="0" fontId="2" fillId="17" borderId="0" xfId="0" applyNumberFormat="1" applyFont="1" applyFill="1" applyBorder="1" applyProtection="1"/>
    <xf numFmtId="0" fontId="3" fillId="15" borderId="0" xfId="0" applyNumberFormat="1" applyFont="1" applyFill="1" applyBorder="1" applyProtection="1"/>
    <xf numFmtId="0" fontId="3" fillId="18" borderId="0" xfId="0" applyNumberFormat="1" applyFont="1" applyFill="1" applyBorder="1" applyProtection="1"/>
    <xf numFmtId="0" fontId="3" fillId="11" borderId="0" xfId="0" applyNumberFormat="1" applyFont="1" applyFill="1" applyBorder="1" applyProtection="1"/>
    <xf numFmtId="0" fontId="3" fillId="19" borderId="0" xfId="0" applyNumberFormat="1" applyFont="1" applyFill="1" applyBorder="1" applyProtection="1"/>
    <xf numFmtId="0" fontId="3" fillId="20" borderId="0" xfId="0" applyNumberFormat="1" applyFont="1" applyFill="1" applyBorder="1" applyProtection="1"/>
    <xf numFmtId="0" fontId="3" fillId="21" borderId="0" xfId="0" applyNumberFormat="1" applyFont="1" applyFill="1" applyBorder="1" applyProtection="1"/>
    <xf numFmtId="0" fontId="3" fillId="22" borderId="0" xfId="0" applyNumberFormat="1" applyFont="1" applyFill="1" applyBorder="1" applyProtection="1"/>
    <xf numFmtId="0" fontId="3" fillId="12" borderId="0" xfId="0" applyNumberFormat="1" applyFont="1" applyFill="1" applyBorder="1" applyProtection="1"/>
    <xf numFmtId="0" fontId="3" fillId="23" borderId="0" xfId="0" applyNumberFormat="1" applyFont="1" applyFill="1" applyBorder="1" applyProtection="1"/>
    <xf numFmtId="0" fontId="0" fillId="23" borderId="0" xfId="0" applyNumberFormat="1" applyFont="1" applyFill="1" applyBorder="1" applyProtection="1"/>
    <xf numFmtId="0" fontId="3" fillId="24" borderId="0" xfId="0" applyNumberFormat="1" applyFont="1" applyFill="1" applyBorder="1" applyProtection="1"/>
    <xf numFmtId="0" fontId="3" fillId="25" borderId="0" xfId="0" applyNumberFormat="1" applyFont="1" applyFill="1" applyBorder="1" applyProtection="1"/>
    <xf numFmtId="0" fontId="3" fillId="26" borderId="0" xfId="0" applyNumberFormat="1" applyFont="1" applyFill="1" applyBorder="1" applyProtection="1"/>
    <xf numFmtId="0" fontId="0" fillId="27" borderId="0" xfId="0" applyNumberFormat="1" applyFont="1" applyFill="1" applyBorder="1" applyProtection="1"/>
    <xf numFmtId="0" fontId="0" fillId="21" borderId="0" xfId="0" applyNumberFormat="1" applyFont="1" applyFill="1" applyBorder="1" applyProtection="1"/>
    <xf numFmtId="0" fontId="0" fillId="24" borderId="0" xfId="0" applyNumberFormat="1" applyFont="1" applyFill="1" applyBorder="1" applyProtection="1"/>
    <xf numFmtId="0" fontId="0" fillId="28" borderId="0" xfId="0" applyNumberFormat="1" applyFont="1" applyFill="1" applyBorder="1" applyProtection="1"/>
    <xf numFmtId="0" fontId="0" fillId="29" borderId="0" xfId="0" applyNumberFormat="1" applyFont="1" applyFill="1" applyBorder="1" applyProtection="1"/>
    <xf numFmtId="0" fontId="0" fillId="30" borderId="0" xfId="0" applyNumberFormat="1" applyFont="1" applyFill="1" applyBorder="1" applyProtection="1"/>
    <xf numFmtId="0" fontId="0" fillId="31" borderId="0" xfId="0" applyNumberFormat="1" applyFont="1" applyFill="1" applyBorder="1" applyProtection="1"/>
    <xf numFmtId="0" fontId="0" fillId="18" borderId="0" xfId="0" applyNumberFormat="1" applyFont="1" applyFill="1" applyBorder="1" applyProtection="1"/>
    <xf numFmtId="0" fontId="0" fillId="32" borderId="0" xfId="0" applyNumberFormat="1" applyFont="1" applyFill="1" applyBorder="1" applyProtection="1"/>
    <xf numFmtId="0" fontId="0" fillId="33" borderId="0" xfId="0" applyNumberFormat="1" applyFont="1" applyFill="1" applyBorder="1" applyProtection="1"/>
    <xf numFmtId="0" fontId="0" fillId="34" borderId="0" xfId="0" applyNumberFormat="1" applyFont="1" applyFill="1" applyBorder="1" applyProtection="1"/>
    <xf numFmtId="0" fontId="0" fillId="22" borderId="0" xfId="0" applyNumberFormat="1" applyFont="1" applyFill="1" applyBorder="1" applyProtection="1"/>
    <xf numFmtId="0" fontId="2" fillId="35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8" borderId="0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Protection="1"/>
    <xf numFmtId="0" fontId="3" fillId="36" borderId="0" xfId="0" applyNumberFormat="1" applyFont="1" applyFill="1" applyBorder="1" applyProtection="1"/>
    <xf numFmtId="0" fontId="3" fillId="37" borderId="0" xfId="0" applyNumberFormat="1" applyFont="1" applyFill="1" applyBorder="1" applyProtection="1"/>
    <xf numFmtId="0" fontId="0" fillId="36" borderId="0" xfId="0" applyNumberFormat="1" applyFont="1" applyFill="1" applyBorder="1" applyProtection="1"/>
    <xf numFmtId="0" fontId="2" fillId="38" borderId="0" xfId="0" applyNumberFormat="1" applyFont="1" applyFill="1" applyBorder="1" applyProtection="1"/>
    <xf numFmtId="0" fontId="3" fillId="39" borderId="0" xfId="0" applyNumberFormat="1" applyFont="1" applyFill="1" applyBorder="1" applyProtection="1"/>
    <xf numFmtId="0" fontId="0" fillId="40" borderId="0" xfId="0" applyNumberFormat="1" applyFont="1" applyFill="1" applyBorder="1" applyProtection="1"/>
    <xf numFmtId="0" fontId="0" fillId="41" borderId="0" xfId="0" applyNumberFormat="1" applyFont="1" applyFill="1" applyBorder="1" applyProtection="1"/>
    <xf numFmtId="0" fontId="0" fillId="39" borderId="0" xfId="0" applyNumberFormat="1" applyFont="1" applyFill="1" applyBorder="1" applyProtection="1"/>
    <xf numFmtId="0" fontId="0" fillId="42" borderId="0" xfId="0" applyNumberFormat="1" applyFont="1" applyFill="1" applyBorder="1" applyProtection="1"/>
    <xf numFmtId="0" fontId="0" fillId="43" borderId="0" xfId="0" applyNumberFormat="1" applyFont="1" applyFill="1" applyBorder="1" applyProtection="1"/>
    <xf numFmtId="0" fontId="0" fillId="44" borderId="0" xfId="0" applyNumberFormat="1" applyFont="1" applyFill="1" applyBorder="1" applyProtection="1"/>
    <xf numFmtId="0" fontId="0" fillId="45" borderId="0" xfId="0" applyNumberFormat="1" applyFont="1" applyFill="1" applyBorder="1" applyProtection="1"/>
    <xf numFmtId="0" fontId="4" fillId="3" borderId="0" xfId="35" applyNumberFormat="1" applyFont="1" applyFill="1" applyBorder="1" applyAlignment="1" applyProtection="1"/>
    <xf numFmtId="0" fontId="0" fillId="22" borderId="0" xfId="0" applyNumberFormat="1" applyFont="1" applyFill="1" applyBorder="1" applyAlignment="1" applyProtection="1">
      <alignment vertical="center"/>
    </xf>
    <xf numFmtId="177" fontId="0" fillId="0" borderId="0" xfId="0" applyNumberFormat="1" applyFont="1" applyFill="1" applyBorder="1" applyAlignment="1" applyProtection="1">
      <alignment horizontal="right"/>
    </xf>
    <xf numFmtId="177" fontId="0" fillId="0" borderId="0" xfId="0" applyNumberFormat="1" applyFont="1" applyFill="1" applyBorder="1" applyProtection="1"/>
    <xf numFmtId="3" fontId="0" fillId="0" borderId="0" xfId="0" applyNumberFormat="1" applyFont="1" applyFill="1" applyBorder="1" applyProtection="1"/>
    <xf numFmtId="0" fontId="1" fillId="46" borderId="2" xfId="0" applyNumberFormat="1" applyFont="1" applyFill="1" applyBorder="1" applyAlignment="1" applyProtection="1">
      <alignment vertical="center"/>
    </xf>
    <xf numFmtId="0" fontId="3" fillId="27" borderId="0" xfId="0" applyNumberFormat="1" applyFont="1" applyFill="1" applyBorder="1" applyProtection="1"/>
    <xf numFmtId="0" fontId="3" fillId="10" borderId="0" xfId="0" applyNumberFormat="1" applyFont="1" applyFill="1" applyBorder="1" applyProtection="1"/>
    <xf numFmtId="0" fontId="3" fillId="13" borderId="0" xfId="0" applyNumberFormat="1" applyFont="1" applyFill="1" applyBorder="1" applyProtection="1"/>
    <xf numFmtId="0" fontId="0" fillId="29" borderId="0" xfId="0" applyNumberFormat="1" applyFont="1" applyFill="1" applyBorder="1" applyAlignment="1" applyProtection="1">
      <alignment vertical="center"/>
    </xf>
    <xf numFmtId="0" fontId="0" fillId="30" borderId="0" xfId="0" applyNumberFormat="1" applyFont="1" applyFill="1" applyBorder="1" applyAlignment="1" applyProtection="1">
      <alignment vertical="center"/>
    </xf>
    <xf numFmtId="0" fontId="0" fillId="31" borderId="0" xfId="0" applyNumberFormat="1" applyFont="1" applyFill="1" applyBorder="1" applyAlignment="1" applyProtection="1">
      <alignment vertical="center"/>
    </xf>
    <xf numFmtId="0" fontId="0" fillId="18" borderId="0" xfId="0" applyNumberFormat="1" applyFont="1" applyFill="1" applyBorder="1" applyAlignment="1" applyProtection="1">
      <alignment vertical="center"/>
    </xf>
    <xf numFmtId="177" fontId="0" fillId="29" borderId="0" xfId="0" applyNumberFormat="1" applyFont="1" applyFill="1" applyBorder="1" applyAlignment="1" applyProtection="1">
      <alignment horizontal="right"/>
    </xf>
    <xf numFmtId="177" fontId="0" fillId="30" borderId="0" xfId="0" applyNumberFormat="1" applyFont="1" applyFill="1" applyBorder="1" applyAlignment="1" applyProtection="1">
      <alignment horizontal="right"/>
    </xf>
    <xf numFmtId="177" fontId="0" fillId="31" borderId="0" xfId="0" applyNumberFormat="1" applyFont="1" applyFill="1" applyBorder="1" applyAlignment="1" applyProtection="1">
      <alignment horizontal="right"/>
    </xf>
    <xf numFmtId="177" fontId="0" fillId="18" borderId="0" xfId="0" applyNumberFormat="1" applyFont="1" applyFill="1" applyBorder="1" applyAlignment="1" applyProtection="1">
      <alignment horizontal="right"/>
    </xf>
    <xf numFmtId="0" fontId="0" fillId="32" borderId="0" xfId="0" applyNumberFormat="1" applyFont="1" applyFill="1" applyBorder="1" applyAlignment="1" applyProtection="1">
      <alignment vertical="center"/>
    </xf>
    <xf numFmtId="0" fontId="0" fillId="33" borderId="0" xfId="0" applyNumberFormat="1" applyFont="1" applyFill="1" applyBorder="1" applyAlignment="1" applyProtection="1">
      <alignment vertical="center"/>
    </xf>
    <xf numFmtId="0" fontId="0" fillId="34" borderId="0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vertical="center"/>
    </xf>
    <xf numFmtId="0" fontId="2" fillId="35" borderId="0" xfId="0" applyNumberFormat="1" applyFont="1" applyFill="1" applyBorder="1" applyAlignment="1" applyProtection="1">
      <alignment vertical="center"/>
    </xf>
    <xf numFmtId="0" fontId="3" fillId="36" borderId="0" xfId="0" applyNumberFormat="1" applyFont="1" applyFill="1" applyBorder="1" applyAlignment="1" applyProtection="1">
      <alignment vertical="center"/>
    </xf>
    <xf numFmtId="0" fontId="3" fillId="37" borderId="0" xfId="0" applyNumberFormat="1" applyFont="1" applyFill="1" applyBorder="1" applyAlignment="1" applyProtection="1">
      <alignment vertical="center"/>
    </xf>
    <xf numFmtId="177" fontId="0" fillId="32" borderId="0" xfId="0" applyNumberFormat="1" applyFont="1" applyFill="1" applyBorder="1" applyAlignment="1" applyProtection="1">
      <alignment horizontal="right"/>
    </xf>
    <xf numFmtId="177" fontId="0" fillId="33" borderId="0" xfId="0" applyNumberFormat="1" applyFont="1" applyFill="1" applyBorder="1" applyAlignment="1" applyProtection="1">
      <alignment horizontal="right"/>
    </xf>
    <xf numFmtId="177" fontId="0" fillId="34" borderId="0" xfId="0" applyNumberFormat="1" applyFont="1" applyFill="1" applyBorder="1" applyAlignment="1" applyProtection="1">
      <alignment horizontal="right"/>
    </xf>
    <xf numFmtId="177" fontId="0" fillId="8" borderId="0" xfId="0" applyNumberFormat="1" applyFont="1" applyFill="1" applyBorder="1" applyAlignment="1" applyProtection="1">
      <alignment horizontal="right"/>
    </xf>
    <xf numFmtId="177" fontId="0" fillId="15" borderId="0" xfId="0" applyNumberFormat="1" applyFont="1" applyFill="1" applyBorder="1" applyAlignment="1" applyProtection="1">
      <alignment horizontal="right"/>
    </xf>
    <xf numFmtId="177" fontId="2" fillId="35" borderId="0" xfId="0" applyNumberFormat="1" applyFont="1" applyFill="1" applyBorder="1" applyAlignment="1" applyProtection="1">
      <alignment horizontal="right"/>
    </xf>
    <xf numFmtId="0" fontId="3" fillId="24" borderId="0" xfId="0" applyNumberFormat="1" applyFont="1" applyFill="1" applyBorder="1" applyAlignment="1" applyProtection="1">
      <alignment vertical="center"/>
    </xf>
    <xf numFmtId="0" fontId="3" fillId="9" borderId="0" xfId="0" applyNumberFormat="1" applyFont="1" applyFill="1" applyBorder="1" applyProtection="1"/>
    <xf numFmtId="0" fontId="3" fillId="9" borderId="0" xfId="0" applyNumberFormat="1" applyFont="1" applyFill="1" applyBorder="1" applyAlignment="1" applyProtection="1">
      <alignment vertical="center"/>
    </xf>
    <xf numFmtId="0" fontId="3" fillId="8" borderId="0" xfId="0" applyNumberFormat="1" applyFont="1" applyFill="1" applyBorder="1" applyProtection="1"/>
    <xf numFmtId="0" fontId="2" fillId="38" borderId="0" xfId="0" applyNumberFormat="1" applyFont="1" applyFill="1" applyBorder="1" applyAlignment="1" applyProtection="1">
      <alignment vertical="center"/>
    </xf>
    <xf numFmtId="0" fontId="3" fillId="39" borderId="0" xfId="0" applyNumberFormat="1" applyFont="1" applyFill="1" applyBorder="1" applyAlignment="1" applyProtection="1">
      <alignment vertical="center"/>
    </xf>
    <xf numFmtId="0" fontId="3" fillId="8" borderId="0" xfId="0" applyNumberFormat="1" applyFont="1" applyFill="1" applyBorder="1" applyAlignment="1" applyProtection="1">
      <alignment vertical="center"/>
    </xf>
    <xf numFmtId="0" fontId="3" fillId="15" borderId="0" xfId="0" applyNumberFormat="1" applyFont="1" applyFill="1" applyBorder="1" applyAlignment="1" applyProtection="1">
      <alignment vertical="center"/>
    </xf>
    <xf numFmtId="0" fontId="3" fillId="40" borderId="0" xfId="0" applyNumberFormat="1" applyFont="1" applyFill="1" applyBorder="1" applyProtection="1"/>
    <xf numFmtId="0" fontId="3" fillId="40" borderId="0" xfId="0" applyNumberFormat="1" applyFont="1" applyFill="1" applyBorder="1" applyAlignment="1" applyProtection="1">
      <alignment vertical="center"/>
    </xf>
    <xf numFmtId="0" fontId="3" fillId="16" borderId="0" xfId="0" applyNumberFormat="1" applyFont="1" applyFill="1" applyBorder="1" applyProtection="1"/>
    <xf numFmtId="0" fontId="3" fillId="16" borderId="0" xfId="0" applyNumberFormat="1" applyFont="1" applyFill="1" applyBorder="1" applyAlignment="1" applyProtection="1">
      <alignment vertical="center"/>
    </xf>
    <xf numFmtId="0" fontId="3" fillId="41" borderId="0" xfId="0" applyNumberFormat="1" applyFont="1" applyFill="1" applyBorder="1" applyProtection="1"/>
    <xf numFmtId="0" fontId="3" fillId="41" borderId="0" xfId="0" applyNumberFormat="1" applyFont="1" applyFill="1" applyBorder="1" applyAlignment="1" applyProtection="1">
      <alignment vertical="center"/>
    </xf>
    <xf numFmtId="0" fontId="3" fillId="29" borderId="0" xfId="0" applyNumberFormat="1" applyFont="1" applyFill="1" applyBorder="1" applyProtection="1"/>
    <xf numFmtId="0" fontId="3" fillId="29" borderId="0" xfId="0" applyNumberFormat="1" applyFont="1" applyFill="1" applyBorder="1" applyAlignment="1" applyProtection="1">
      <alignment vertical="center"/>
    </xf>
    <xf numFmtId="0" fontId="3" fillId="13" borderId="0" xfId="0" applyNumberFormat="1" applyFont="1" applyFill="1" applyBorder="1" applyAlignment="1" applyProtection="1">
      <alignment vertical="center"/>
    </xf>
    <xf numFmtId="0" fontId="3" fillId="27" borderId="0" xfId="0" applyNumberFormat="1" applyFont="1" applyFill="1" applyBorder="1" applyAlignment="1" applyProtection="1">
      <alignment vertical="center"/>
    </xf>
    <xf numFmtId="0" fontId="3" fillId="42" borderId="0" xfId="0" applyNumberFormat="1" applyFont="1" applyFill="1" applyBorder="1" applyProtection="1"/>
    <xf numFmtId="0" fontId="3" fillId="42" borderId="0" xfId="0" applyNumberFormat="1" applyFont="1" applyFill="1" applyBorder="1" applyAlignment="1" applyProtection="1">
      <alignment vertical="center"/>
    </xf>
    <xf numFmtId="0" fontId="3" fillId="34" borderId="0" xfId="0" applyNumberFormat="1" applyFont="1" applyFill="1" applyBorder="1" applyProtection="1"/>
    <xf numFmtId="0" fontId="3" fillId="34" borderId="0" xfId="0" applyNumberFormat="1" applyFont="1" applyFill="1" applyBorder="1" applyAlignment="1" applyProtection="1">
      <alignment vertical="center"/>
    </xf>
    <xf numFmtId="0" fontId="3" fillId="30" borderId="0" xfId="0" applyNumberFormat="1" applyFont="1" applyFill="1" applyBorder="1" applyProtection="1"/>
    <xf numFmtId="0" fontId="3" fillId="30" borderId="0" xfId="0" applyNumberFormat="1" applyFont="1" applyFill="1" applyBorder="1" applyAlignment="1" applyProtection="1">
      <alignment vertical="center"/>
    </xf>
    <xf numFmtId="0" fontId="3" fillId="43" borderId="0" xfId="0" applyNumberFormat="1" applyFont="1" applyFill="1" applyBorder="1" applyProtection="1"/>
    <xf numFmtId="0" fontId="3" fillId="43" borderId="0" xfId="0" applyNumberFormat="1" applyFont="1" applyFill="1" applyBorder="1" applyAlignment="1" applyProtection="1">
      <alignment vertical="center"/>
    </xf>
    <xf numFmtId="0" fontId="3" fillId="12" borderId="0" xfId="0" applyNumberFormat="1" applyFont="1" applyFill="1" applyBorder="1" applyAlignment="1" applyProtection="1">
      <alignment vertical="center"/>
    </xf>
    <xf numFmtId="0" fontId="3" fillId="10" borderId="0" xfId="0" applyNumberFormat="1" applyFont="1" applyFill="1" applyBorder="1" applyAlignment="1" applyProtection="1">
      <alignment vertical="center"/>
    </xf>
    <xf numFmtId="0" fontId="3" fillId="44" borderId="0" xfId="0" applyNumberFormat="1" applyFont="1" applyFill="1" applyBorder="1" applyProtection="1"/>
    <xf numFmtId="0" fontId="3" fillId="44" borderId="0" xfId="0" applyNumberFormat="1" applyFont="1" applyFill="1" applyBorder="1" applyAlignment="1" applyProtection="1">
      <alignment vertical="center"/>
    </xf>
    <xf numFmtId="0" fontId="3" fillId="45" borderId="0" xfId="0" applyNumberFormat="1" applyFont="1" applyFill="1" applyBorder="1" applyProtection="1"/>
    <xf numFmtId="0" fontId="3" fillId="45" borderId="0" xfId="0" applyNumberFormat="1" applyFont="1" applyFill="1" applyBorder="1" applyAlignment="1" applyProtection="1">
      <alignment vertical="center"/>
    </xf>
    <xf numFmtId="0" fontId="0" fillId="47" borderId="0" xfId="0" applyNumberFormat="1" applyFont="1" applyFill="1" applyBorder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6F8F83"/>
      <color rgb="00FB7575"/>
      <color rgb="00E426AC"/>
      <color rgb="0033D8E3"/>
      <color rgb="00FFBDFF"/>
      <color rgb="00FFC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04"/>
  <sheetViews>
    <sheetView tabSelected="1" workbookViewId="0">
      <pane ySplit="6" topLeftCell="A887" activePane="bottomLeft" state="frozen"/>
      <selection/>
      <selection pane="bottomLeft" activeCell="G904" sqref="G904"/>
    </sheetView>
  </sheetViews>
  <sheetFormatPr defaultColWidth="9" defaultRowHeight="13.5"/>
  <cols>
    <col min="1" max="1" width="9" customWidth="1"/>
    <col min="2" max="2" width="9.13333333333333" customWidth="1"/>
    <col min="3" max="3" width="9.50833333333333" customWidth="1"/>
    <col min="4" max="4" width="16" customWidth="1"/>
    <col min="5" max="5" width="9.50833333333333" customWidth="1"/>
    <col min="6" max="6" width="17.8833333333333" customWidth="1"/>
    <col min="7" max="14" width="9" customWidth="1"/>
    <col min="15" max="15" width="17.2583333333333" customWidth="1"/>
    <col min="16" max="16" width="57.1333333333333" customWidth="1"/>
    <col min="17" max="17" width="16.2583333333333" style="13" customWidth="1"/>
    <col min="18" max="20" width="9" style="13" customWidth="1"/>
    <col min="22" max="22" width="9.13333333333333" customWidth="1"/>
    <col min="23" max="23" width="9.63333333333333" customWidth="1"/>
  </cols>
  <sheetData>
    <row r="1" spans="1:6">
      <c r="A1" s="1" t="s">
        <v>0</v>
      </c>
      <c r="B1" s="1">
        <v>1</v>
      </c>
      <c r="C1" s="1">
        <v>9999</v>
      </c>
      <c r="D1" s="1">
        <v>24</v>
      </c>
      <c r="F1" s="1"/>
    </row>
    <row r="2" spans="1:2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t="s">
        <v>21</v>
      </c>
      <c r="V2" t="s">
        <v>22</v>
      </c>
      <c r="W2" t="s">
        <v>23</v>
      </c>
      <c r="X2" t="s">
        <v>24</v>
      </c>
    </row>
    <row r="3" spans="1:24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13" t="s">
        <v>41</v>
      </c>
      <c r="R3" s="13" t="s">
        <v>42</v>
      </c>
      <c r="S3" s="13" t="s">
        <v>43</v>
      </c>
      <c r="T3" s="13" t="s">
        <v>44</v>
      </c>
      <c r="U3" t="s">
        <v>45</v>
      </c>
      <c r="V3" t="s">
        <v>46</v>
      </c>
      <c r="W3" t="s">
        <v>47</v>
      </c>
      <c r="X3" t="s">
        <v>48</v>
      </c>
    </row>
    <row r="4" spans="1:24">
      <c r="A4" t="s">
        <v>49</v>
      </c>
      <c r="B4" t="s">
        <v>49</v>
      </c>
      <c r="C4" t="s">
        <v>49</v>
      </c>
      <c r="D4" s="65" t="s">
        <v>50</v>
      </c>
      <c r="E4" t="s">
        <v>49</v>
      </c>
      <c r="F4" t="s">
        <v>49</v>
      </c>
      <c r="G4" s="2" t="s">
        <v>51</v>
      </c>
      <c r="H4" s="2" t="s">
        <v>51</v>
      </c>
      <c r="I4" s="2" t="s">
        <v>51</v>
      </c>
      <c r="J4" s="2" t="s">
        <v>51</v>
      </c>
      <c r="K4" s="2" t="s">
        <v>51</v>
      </c>
      <c r="L4" s="2" t="s">
        <v>51</v>
      </c>
      <c r="M4" s="2" t="s">
        <v>51</v>
      </c>
      <c r="N4" s="2" t="s">
        <v>51</v>
      </c>
      <c r="O4" s="2" t="s">
        <v>52</v>
      </c>
      <c r="P4" s="2" t="s">
        <v>52</v>
      </c>
      <c r="Q4" s="13" t="s">
        <v>49</v>
      </c>
      <c r="R4" s="13" t="s">
        <v>53</v>
      </c>
      <c r="S4" s="13" t="s">
        <v>53</v>
      </c>
      <c r="T4" s="13" t="s">
        <v>53</v>
      </c>
      <c r="U4" t="s">
        <v>53</v>
      </c>
      <c r="V4" t="s">
        <v>53</v>
      </c>
      <c r="W4" t="s">
        <v>53</v>
      </c>
      <c r="X4" t="s">
        <v>53</v>
      </c>
    </row>
    <row r="5" spans="1:24">
      <c r="A5" t="s">
        <v>54</v>
      </c>
      <c r="B5" t="s">
        <v>55</v>
      </c>
      <c r="C5" t="s">
        <v>55</v>
      </c>
      <c r="D5" s="2" t="s">
        <v>56</v>
      </c>
      <c r="E5" t="s">
        <v>57</v>
      </c>
      <c r="F5" t="s">
        <v>57</v>
      </c>
      <c r="G5" s="2" t="s">
        <v>57</v>
      </c>
      <c r="H5" s="2" t="s">
        <v>57</v>
      </c>
      <c r="I5" s="2" t="s">
        <v>57</v>
      </c>
      <c r="J5" s="2" t="s">
        <v>57</v>
      </c>
      <c r="K5" s="2" t="s">
        <v>57</v>
      </c>
      <c r="L5" s="2" t="s">
        <v>57</v>
      </c>
      <c r="M5" s="2" t="s">
        <v>57</v>
      </c>
      <c r="N5" s="2" t="s">
        <v>57</v>
      </c>
      <c r="O5" s="2" t="s">
        <v>56</v>
      </c>
      <c r="P5" s="2" t="s">
        <v>56</v>
      </c>
      <c r="Q5" s="13" t="s">
        <v>56</v>
      </c>
      <c r="R5" s="13" t="s">
        <v>56</v>
      </c>
      <c r="S5" s="13" t="s">
        <v>56</v>
      </c>
      <c r="T5" s="13" t="s">
        <v>56</v>
      </c>
      <c r="U5" t="s">
        <v>56</v>
      </c>
      <c r="V5" t="s">
        <v>56</v>
      </c>
      <c r="W5" t="s">
        <v>56</v>
      </c>
      <c r="X5" t="s">
        <v>56</v>
      </c>
    </row>
    <row r="6" spans="1:1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58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38</v>
      </c>
      <c r="O6" s="2" t="s">
        <v>39</v>
      </c>
      <c r="P6" s="2" t="s">
        <v>40</v>
      </c>
    </row>
    <row r="7" spans="1:20">
      <c r="A7">
        <v>1</v>
      </c>
      <c r="B7">
        <v>111001</v>
      </c>
      <c r="C7">
        <v>2</v>
      </c>
      <c r="E7">
        <v>0</v>
      </c>
      <c r="F7">
        <v>0</v>
      </c>
      <c r="G7" s="66">
        <v>7</v>
      </c>
      <c r="H7" s="66">
        <v>2.8</v>
      </c>
      <c r="I7" s="66">
        <v>56</v>
      </c>
      <c r="J7" s="67"/>
      <c r="K7" s="67"/>
      <c r="L7" s="67"/>
      <c r="M7" s="68"/>
      <c r="P7" s="2"/>
      <c r="Q7" s="13">
        <v>7</v>
      </c>
      <c r="R7" s="13">
        <v>6</v>
      </c>
      <c r="S7" s="13">
        <v>6</v>
      </c>
      <c r="T7" s="13">
        <v>4</v>
      </c>
    </row>
    <row r="8" spans="1:20">
      <c r="A8">
        <v>2</v>
      </c>
      <c r="B8">
        <v>111001</v>
      </c>
      <c r="C8">
        <v>3</v>
      </c>
      <c r="D8" t="s">
        <v>59</v>
      </c>
      <c r="E8">
        <v>1</v>
      </c>
      <c r="F8">
        <v>0</v>
      </c>
      <c r="G8" s="66">
        <v>8</v>
      </c>
      <c r="H8" s="66">
        <v>3.2</v>
      </c>
      <c r="I8" s="66">
        <v>64</v>
      </c>
      <c r="J8" s="67"/>
      <c r="K8" s="67"/>
      <c r="L8" s="67"/>
      <c r="P8" s="2"/>
      <c r="Q8" s="13">
        <v>7</v>
      </c>
      <c r="R8" s="13">
        <v>6</v>
      </c>
      <c r="S8" s="13">
        <v>6</v>
      </c>
      <c r="T8" s="13">
        <v>4</v>
      </c>
    </row>
    <row r="9" spans="1:20">
      <c r="A9">
        <v>3</v>
      </c>
      <c r="B9">
        <v>111001</v>
      </c>
      <c r="C9">
        <v>4</v>
      </c>
      <c r="D9" t="s">
        <v>60</v>
      </c>
      <c r="E9">
        <v>1</v>
      </c>
      <c r="F9">
        <v>0</v>
      </c>
      <c r="G9" s="66">
        <v>9</v>
      </c>
      <c r="H9" s="66">
        <v>3.6</v>
      </c>
      <c r="I9" s="66">
        <v>72</v>
      </c>
      <c r="J9" s="67"/>
      <c r="K9" s="67"/>
      <c r="L9" s="67"/>
      <c r="P9" s="2"/>
      <c r="Q9" s="13">
        <v>7</v>
      </c>
      <c r="R9" s="13">
        <v>6</v>
      </c>
      <c r="S9" s="13">
        <v>6</v>
      </c>
      <c r="T9" s="13">
        <v>4</v>
      </c>
    </row>
    <row r="10" spans="1:20">
      <c r="A10">
        <v>4</v>
      </c>
      <c r="B10">
        <v>111001</v>
      </c>
      <c r="C10">
        <v>5</v>
      </c>
      <c r="D10" t="s">
        <v>61</v>
      </c>
      <c r="E10">
        <v>1</v>
      </c>
      <c r="F10">
        <v>0</v>
      </c>
      <c r="G10" s="66">
        <v>10</v>
      </c>
      <c r="H10" s="66">
        <v>4</v>
      </c>
      <c r="I10" s="66">
        <v>80</v>
      </c>
      <c r="J10" s="67"/>
      <c r="K10" s="67"/>
      <c r="L10" s="67"/>
      <c r="P10" s="2"/>
      <c r="Q10" s="13">
        <v>7</v>
      </c>
      <c r="R10" s="13">
        <v>6</v>
      </c>
      <c r="S10" s="13">
        <v>6</v>
      </c>
      <c r="T10" s="13">
        <v>4</v>
      </c>
    </row>
    <row r="11" spans="1:20">
      <c r="A11">
        <v>5</v>
      </c>
      <c r="B11">
        <v>111001</v>
      </c>
      <c r="C11">
        <v>6</v>
      </c>
      <c r="D11" t="s">
        <v>62</v>
      </c>
      <c r="E11">
        <v>2</v>
      </c>
      <c r="F11">
        <v>0</v>
      </c>
      <c r="G11" s="66">
        <v>11</v>
      </c>
      <c r="H11" s="66">
        <v>4.4</v>
      </c>
      <c r="I11" s="66">
        <v>88</v>
      </c>
      <c r="J11" s="67"/>
      <c r="K11" s="67"/>
      <c r="L11" s="67"/>
      <c r="P11" s="2"/>
      <c r="Q11" s="13">
        <v>7</v>
      </c>
      <c r="R11" s="13">
        <v>6</v>
      </c>
      <c r="S11" s="13">
        <v>6</v>
      </c>
      <c r="T11" s="13">
        <v>4</v>
      </c>
    </row>
    <row r="12" spans="1:20">
      <c r="A12">
        <v>6</v>
      </c>
      <c r="B12">
        <v>111002</v>
      </c>
      <c r="C12">
        <v>2</v>
      </c>
      <c r="E12">
        <v>0</v>
      </c>
      <c r="F12">
        <v>0</v>
      </c>
      <c r="G12" s="66">
        <v>7</v>
      </c>
      <c r="H12" s="66">
        <v>2.8</v>
      </c>
      <c r="I12" s="66">
        <v>56</v>
      </c>
      <c r="J12" s="67"/>
      <c r="K12" s="67"/>
      <c r="L12" s="67"/>
      <c r="P12" s="2"/>
      <c r="Q12" s="13">
        <v>7</v>
      </c>
      <c r="R12" s="13">
        <v>7</v>
      </c>
      <c r="S12" s="13">
        <v>5</v>
      </c>
      <c r="T12" s="13">
        <v>6</v>
      </c>
    </row>
    <row r="13" spans="1:20">
      <c r="A13">
        <v>7</v>
      </c>
      <c r="B13">
        <v>111002</v>
      </c>
      <c r="C13">
        <v>3</v>
      </c>
      <c r="D13" t="s">
        <v>59</v>
      </c>
      <c r="E13">
        <v>1</v>
      </c>
      <c r="F13">
        <v>0</v>
      </c>
      <c r="G13" s="66">
        <v>8</v>
      </c>
      <c r="H13" s="66">
        <v>3.2</v>
      </c>
      <c r="I13" s="66">
        <v>64</v>
      </c>
      <c r="J13" s="67"/>
      <c r="K13" s="67"/>
      <c r="L13" s="67"/>
      <c r="P13" s="2"/>
      <c r="Q13" s="13">
        <v>7</v>
      </c>
      <c r="R13" s="13">
        <v>7</v>
      </c>
      <c r="S13" s="13">
        <v>5</v>
      </c>
      <c r="T13" s="13">
        <v>6</v>
      </c>
    </row>
    <row r="14" spans="1:20">
      <c r="A14">
        <v>8</v>
      </c>
      <c r="B14">
        <v>111002</v>
      </c>
      <c r="C14">
        <v>4</v>
      </c>
      <c r="D14" t="s">
        <v>60</v>
      </c>
      <c r="E14">
        <v>1</v>
      </c>
      <c r="F14">
        <v>0</v>
      </c>
      <c r="G14" s="66">
        <v>9</v>
      </c>
      <c r="H14" s="66">
        <v>3.6</v>
      </c>
      <c r="I14" s="66">
        <v>72</v>
      </c>
      <c r="J14" s="67"/>
      <c r="K14" s="67"/>
      <c r="L14" s="67"/>
      <c r="P14" s="2"/>
      <c r="Q14" s="13">
        <v>7</v>
      </c>
      <c r="R14" s="13">
        <v>7</v>
      </c>
      <c r="S14" s="13">
        <v>5</v>
      </c>
      <c r="T14" s="13">
        <v>6</v>
      </c>
    </row>
    <row r="15" spans="1:20">
      <c r="A15">
        <v>9</v>
      </c>
      <c r="B15">
        <v>111002</v>
      </c>
      <c r="C15">
        <v>5</v>
      </c>
      <c r="D15" t="s">
        <v>61</v>
      </c>
      <c r="E15">
        <v>1</v>
      </c>
      <c r="F15">
        <v>0</v>
      </c>
      <c r="G15" s="66">
        <v>10</v>
      </c>
      <c r="H15" s="66">
        <v>4</v>
      </c>
      <c r="I15" s="66">
        <v>80</v>
      </c>
      <c r="J15" s="67"/>
      <c r="K15" s="67"/>
      <c r="L15" s="67"/>
      <c r="P15" s="2"/>
      <c r="Q15" s="13">
        <v>7</v>
      </c>
      <c r="R15" s="13">
        <v>7</v>
      </c>
      <c r="S15" s="13">
        <v>5</v>
      </c>
      <c r="T15" s="13">
        <v>6</v>
      </c>
    </row>
    <row r="16" spans="1:20">
      <c r="A16">
        <v>10</v>
      </c>
      <c r="B16">
        <v>111002</v>
      </c>
      <c r="C16">
        <v>6</v>
      </c>
      <c r="D16" t="s">
        <v>62</v>
      </c>
      <c r="E16">
        <v>2</v>
      </c>
      <c r="F16">
        <v>0</v>
      </c>
      <c r="G16" s="66">
        <v>11</v>
      </c>
      <c r="H16" s="66">
        <v>4.4</v>
      </c>
      <c r="I16" s="66">
        <v>88</v>
      </c>
      <c r="J16" s="67"/>
      <c r="K16" s="67"/>
      <c r="L16" s="67"/>
      <c r="P16" s="2"/>
      <c r="Q16" s="13">
        <v>7</v>
      </c>
      <c r="R16" s="13">
        <v>7</v>
      </c>
      <c r="S16" s="13">
        <v>5</v>
      </c>
      <c r="T16" s="13">
        <v>6</v>
      </c>
    </row>
    <row r="17" spans="1:20">
      <c r="A17">
        <v>11</v>
      </c>
      <c r="B17">
        <v>111003</v>
      </c>
      <c r="C17">
        <v>2</v>
      </c>
      <c r="E17">
        <v>0</v>
      </c>
      <c r="F17">
        <v>0</v>
      </c>
      <c r="G17" s="66">
        <v>7</v>
      </c>
      <c r="H17" s="66">
        <v>2.8</v>
      </c>
      <c r="I17" s="66">
        <v>56</v>
      </c>
      <c r="J17" s="67"/>
      <c r="K17" s="67"/>
      <c r="L17" s="67"/>
      <c r="P17" s="2"/>
      <c r="Q17" s="13">
        <v>7</v>
      </c>
      <c r="R17" s="13">
        <v>7</v>
      </c>
      <c r="S17" s="13">
        <v>7</v>
      </c>
      <c r="T17" s="13">
        <v>4</v>
      </c>
    </row>
    <row r="18" spans="1:20">
      <c r="A18">
        <v>12</v>
      </c>
      <c r="B18">
        <v>111003</v>
      </c>
      <c r="C18">
        <v>3</v>
      </c>
      <c r="D18" t="s">
        <v>59</v>
      </c>
      <c r="E18">
        <v>1</v>
      </c>
      <c r="F18">
        <v>0</v>
      </c>
      <c r="G18" s="66">
        <v>8</v>
      </c>
      <c r="H18" s="66">
        <v>3.2</v>
      </c>
      <c r="I18" s="66">
        <v>64</v>
      </c>
      <c r="J18" s="67"/>
      <c r="K18" s="67"/>
      <c r="L18" s="67"/>
      <c r="P18" s="2"/>
      <c r="Q18" s="13">
        <v>7</v>
      </c>
      <c r="R18" s="13">
        <v>7</v>
      </c>
      <c r="S18" s="13">
        <v>7</v>
      </c>
      <c r="T18" s="13">
        <v>4</v>
      </c>
    </row>
    <row r="19" spans="1:20">
      <c r="A19">
        <v>13</v>
      </c>
      <c r="B19">
        <v>111003</v>
      </c>
      <c r="C19">
        <v>4</v>
      </c>
      <c r="D19" t="s">
        <v>60</v>
      </c>
      <c r="E19">
        <v>1</v>
      </c>
      <c r="F19">
        <v>0</v>
      </c>
      <c r="G19" s="66">
        <v>9</v>
      </c>
      <c r="H19" s="66">
        <v>3.6</v>
      </c>
      <c r="I19" s="66">
        <v>72</v>
      </c>
      <c r="J19" s="67"/>
      <c r="K19" s="67"/>
      <c r="L19" s="67"/>
      <c r="P19" s="2"/>
      <c r="Q19" s="13">
        <v>7</v>
      </c>
      <c r="R19" s="13">
        <v>7</v>
      </c>
      <c r="S19" s="13">
        <v>7</v>
      </c>
      <c r="T19" s="13">
        <v>4</v>
      </c>
    </row>
    <row r="20" spans="1:20">
      <c r="A20">
        <v>14</v>
      </c>
      <c r="B20">
        <v>111003</v>
      </c>
      <c r="C20">
        <v>5</v>
      </c>
      <c r="D20" t="s">
        <v>61</v>
      </c>
      <c r="E20">
        <v>1</v>
      </c>
      <c r="F20">
        <v>0</v>
      </c>
      <c r="G20" s="66">
        <v>10</v>
      </c>
      <c r="H20" s="66">
        <v>4</v>
      </c>
      <c r="I20" s="66">
        <v>80</v>
      </c>
      <c r="J20" s="67"/>
      <c r="K20" s="67"/>
      <c r="L20" s="67"/>
      <c r="P20" s="2"/>
      <c r="Q20" s="13">
        <v>7</v>
      </c>
      <c r="R20" s="13">
        <v>7</v>
      </c>
      <c r="S20" s="13">
        <v>7</v>
      </c>
      <c r="T20" s="13">
        <v>4</v>
      </c>
    </row>
    <row r="21" spans="1:20">
      <c r="A21">
        <v>15</v>
      </c>
      <c r="B21">
        <v>111003</v>
      </c>
      <c r="C21">
        <v>6</v>
      </c>
      <c r="D21" t="s">
        <v>62</v>
      </c>
      <c r="E21">
        <v>2</v>
      </c>
      <c r="F21">
        <v>0</v>
      </c>
      <c r="G21" s="66">
        <v>11</v>
      </c>
      <c r="H21" s="66">
        <v>4.4</v>
      </c>
      <c r="I21" s="66">
        <v>88</v>
      </c>
      <c r="J21" s="67"/>
      <c r="K21" s="67"/>
      <c r="L21" s="67"/>
      <c r="P21" s="2"/>
      <c r="Q21" s="13">
        <v>7</v>
      </c>
      <c r="R21" s="13">
        <v>7</v>
      </c>
      <c r="S21" s="13">
        <v>7</v>
      </c>
      <c r="T21" s="13">
        <v>4</v>
      </c>
    </row>
    <row r="22" spans="1:20">
      <c r="A22">
        <v>16</v>
      </c>
      <c r="B22">
        <v>111004</v>
      </c>
      <c r="C22">
        <v>2</v>
      </c>
      <c r="E22">
        <v>0</v>
      </c>
      <c r="F22">
        <v>0</v>
      </c>
      <c r="G22" s="66">
        <v>7</v>
      </c>
      <c r="H22" s="66">
        <v>2.8</v>
      </c>
      <c r="I22" s="66">
        <v>56</v>
      </c>
      <c r="J22" s="67"/>
      <c r="K22" s="67"/>
      <c r="L22" s="67"/>
      <c r="P22" s="2"/>
      <c r="Q22" s="13">
        <v>7</v>
      </c>
      <c r="R22" s="13">
        <v>7</v>
      </c>
      <c r="S22" s="13">
        <v>7</v>
      </c>
      <c r="T22" s="13">
        <v>4</v>
      </c>
    </row>
    <row r="23" spans="1:20">
      <c r="A23">
        <v>17</v>
      </c>
      <c r="B23">
        <v>111004</v>
      </c>
      <c r="C23">
        <v>3</v>
      </c>
      <c r="D23" t="s">
        <v>59</v>
      </c>
      <c r="E23">
        <v>1</v>
      </c>
      <c r="F23">
        <v>0</v>
      </c>
      <c r="G23" s="66">
        <v>8</v>
      </c>
      <c r="H23" s="66">
        <v>3.2</v>
      </c>
      <c r="I23" s="66">
        <v>64</v>
      </c>
      <c r="J23" s="67"/>
      <c r="K23" s="67"/>
      <c r="L23" s="67"/>
      <c r="P23" s="2"/>
      <c r="Q23" s="13">
        <v>7</v>
      </c>
      <c r="R23" s="13">
        <v>7</v>
      </c>
      <c r="S23" s="13">
        <v>7</v>
      </c>
      <c r="T23" s="13">
        <v>4</v>
      </c>
    </row>
    <row r="24" spans="1:20">
      <c r="A24">
        <v>18</v>
      </c>
      <c r="B24">
        <v>111004</v>
      </c>
      <c r="C24">
        <v>4</v>
      </c>
      <c r="D24" t="s">
        <v>60</v>
      </c>
      <c r="E24">
        <v>1</v>
      </c>
      <c r="F24">
        <v>0</v>
      </c>
      <c r="G24" s="66">
        <v>9</v>
      </c>
      <c r="H24" s="66">
        <v>3.6</v>
      </c>
      <c r="I24" s="66">
        <v>72</v>
      </c>
      <c r="J24" s="67"/>
      <c r="K24" s="67"/>
      <c r="L24" s="67"/>
      <c r="P24" s="2"/>
      <c r="Q24" s="13">
        <v>7</v>
      </c>
      <c r="R24" s="13">
        <v>7</v>
      </c>
      <c r="S24" s="13">
        <v>7</v>
      </c>
      <c r="T24" s="13">
        <v>4</v>
      </c>
    </row>
    <row r="25" spans="1:20">
      <c r="A25">
        <v>19</v>
      </c>
      <c r="B25">
        <v>111004</v>
      </c>
      <c r="C25">
        <v>5</v>
      </c>
      <c r="D25" t="s">
        <v>61</v>
      </c>
      <c r="E25">
        <v>1</v>
      </c>
      <c r="F25">
        <v>0</v>
      </c>
      <c r="G25" s="66">
        <v>10</v>
      </c>
      <c r="H25" s="66">
        <v>4</v>
      </c>
      <c r="I25" s="66">
        <v>80</v>
      </c>
      <c r="J25" s="67"/>
      <c r="K25" s="67"/>
      <c r="L25" s="67"/>
      <c r="P25" s="2"/>
      <c r="Q25" s="13">
        <v>7</v>
      </c>
      <c r="R25" s="13">
        <v>7</v>
      </c>
      <c r="S25" s="13">
        <v>7</v>
      </c>
      <c r="T25" s="13">
        <v>4</v>
      </c>
    </row>
    <row r="26" spans="1:20">
      <c r="A26">
        <v>20</v>
      </c>
      <c r="B26">
        <v>111004</v>
      </c>
      <c r="C26">
        <v>6</v>
      </c>
      <c r="D26" t="s">
        <v>62</v>
      </c>
      <c r="E26">
        <v>2</v>
      </c>
      <c r="F26">
        <v>0</v>
      </c>
      <c r="G26" s="66">
        <v>11</v>
      </c>
      <c r="H26" s="66">
        <v>4.4</v>
      </c>
      <c r="I26" s="66">
        <v>88</v>
      </c>
      <c r="J26" s="67"/>
      <c r="K26" s="67"/>
      <c r="L26" s="67"/>
      <c r="P26" s="2"/>
      <c r="Q26" s="13">
        <v>7</v>
      </c>
      <c r="R26" s="13">
        <v>7</v>
      </c>
      <c r="S26" s="13">
        <v>7</v>
      </c>
      <c r="T26" s="13">
        <v>4</v>
      </c>
    </row>
    <row r="27" spans="1:20">
      <c r="A27">
        <v>21</v>
      </c>
      <c r="B27">
        <v>111005</v>
      </c>
      <c r="C27">
        <v>2</v>
      </c>
      <c r="E27">
        <v>0</v>
      </c>
      <c r="F27">
        <v>0</v>
      </c>
      <c r="G27" s="66">
        <v>7</v>
      </c>
      <c r="H27" s="66">
        <v>2.8</v>
      </c>
      <c r="I27" s="66">
        <v>56</v>
      </c>
      <c r="J27" s="67"/>
      <c r="K27" s="67"/>
      <c r="L27" s="67"/>
      <c r="P27" s="2"/>
      <c r="Q27" s="13">
        <v>7</v>
      </c>
      <c r="R27" s="13">
        <v>7</v>
      </c>
      <c r="S27" s="13">
        <v>6</v>
      </c>
      <c r="T27" s="13">
        <v>6</v>
      </c>
    </row>
    <row r="28" spans="1:20">
      <c r="A28">
        <v>22</v>
      </c>
      <c r="B28">
        <v>111005</v>
      </c>
      <c r="C28">
        <v>3</v>
      </c>
      <c r="D28" t="s">
        <v>59</v>
      </c>
      <c r="E28">
        <v>1</v>
      </c>
      <c r="F28">
        <v>0</v>
      </c>
      <c r="G28" s="66">
        <v>8</v>
      </c>
      <c r="H28" s="66">
        <v>3.2</v>
      </c>
      <c r="I28" s="66">
        <v>64</v>
      </c>
      <c r="J28" s="67"/>
      <c r="K28" s="67"/>
      <c r="L28" s="67"/>
      <c r="P28" s="2"/>
      <c r="Q28" s="13">
        <v>7</v>
      </c>
      <c r="R28" s="13">
        <v>7</v>
      </c>
      <c r="S28" s="13">
        <v>6</v>
      </c>
      <c r="T28" s="13">
        <v>6</v>
      </c>
    </row>
    <row r="29" spans="1:20">
      <c r="A29">
        <v>23</v>
      </c>
      <c r="B29">
        <v>111005</v>
      </c>
      <c r="C29">
        <v>4</v>
      </c>
      <c r="D29" t="s">
        <v>60</v>
      </c>
      <c r="E29">
        <v>1</v>
      </c>
      <c r="F29">
        <v>0</v>
      </c>
      <c r="G29" s="66">
        <v>9</v>
      </c>
      <c r="H29" s="66">
        <v>3.6</v>
      </c>
      <c r="I29" s="66">
        <v>72</v>
      </c>
      <c r="J29" s="67"/>
      <c r="K29" s="67"/>
      <c r="L29" s="67"/>
      <c r="P29" s="2"/>
      <c r="Q29" s="13">
        <v>7</v>
      </c>
      <c r="R29" s="13">
        <v>7</v>
      </c>
      <c r="S29" s="13">
        <v>6</v>
      </c>
      <c r="T29" s="13">
        <v>6</v>
      </c>
    </row>
    <row r="30" spans="1:20">
      <c r="A30">
        <v>24</v>
      </c>
      <c r="B30">
        <v>111005</v>
      </c>
      <c r="C30">
        <v>5</v>
      </c>
      <c r="D30" t="s">
        <v>61</v>
      </c>
      <c r="E30">
        <v>1</v>
      </c>
      <c r="F30">
        <v>0</v>
      </c>
      <c r="G30" s="66">
        <v>10</v>
      </c>
      <c r="H30" s="66">
        <v>4</v>
      </c>
      <c r="I30" s="66">
        <v>80</v>
      </c>
      <c r="J30" s="67"/>
      <c r="K30" s="67"/>
      <c r="L30" s="67"/>
      <c r="P30" s="2"/>
      <c r="Q30" s="13">
        <v>7</v>
      </c>
      <c r="R30" s="13">
        <v>7</v>
      </c>
      <c r="S30" s="13">
        <v>6</v>
      </c>
      <c r="T30" s="13">
        <v>6</v>
      </c>
    </row>
    <row r="31" spans="1:20">
      <c r="A31">
        <v>25</v>
      </c>
      <c r="B31">
        <v>111005</v>
      </c>
      <c r="C31">
        <v>6</v>
      </c>
      <c r="D31" t="s">
        <v>62</v>
      </c>
      <c r="E31">
        <v>2</v>
      </c>
      <c r="F31">
        <v>0</v>
      </c>
      <c r="G31" s="66">
        <v>11</v>
      </c>
      <c r="H31" s="66">
        <v>4.4</v>
      </c>
      <c r="I31" s="66">
        <v>88</v>
      </c>
      <c r="J31" s="67"/>
      <c r="K31" s="67"/>
      <c r="L31" s="67"/>
      <c r="P31" s="2"/>
      <c r="Q31" s="13">
        <v>7</v>
      </c>
      <c r="R31" s="13">
        <v>7</v>
      </c>
      <c r="S31" s="13">
        <v>6</v>
      </c>
      <c r="T31" s="13">
        <v>6</v>
      </c>
    </row>
    <row r="32" spans="1:20">
      <c r="A32">
        <v>26</v>
      </c>
      <c r="B32">
        <v>111006</v>
      </c>
      <c r="C32">
        <v>2</v>
      </c>
      <c r="E32">
        <v>0</v>
      </c>
      <c r="F32">
        <v>0</v>
      </c>
      <c r="G32" s="66">
        <v>7</v>
      </c>
      <c r="H32" s="66">
        <v>2.8</v>
      </c>
      <c r="I32" s="66">
        <v>56</v>
      </c>
      <c r="J32" s="67"/>
      <c r="K32" s="67"/>
      <c r="L32" s="67"/>
      <c r="P32" s="2"/>
      <c r="Q32" s="13">
        <v>7</v>
      </c>
      <c r="R32" s="13">
        <v>7</v>
      </c>
      <c r="S32" s="13">
        <v>5</v>
      </c>
      <c r="T32" s="13">
        <v>6</v>
      </c>
    </row>
    <row r="33" spans="1:20">
      <c r="A33">
        <v>27</v>
      </c>
      <c r="B33">
        <v>111006</v>
      </c>
      <c r="C33">
        <v>3</v>
      </c>
      <c r="D33" t="s">
        <v>59</v>
      </c>
      <c r="E33">
        <v>1</v>
      </c>
      <c r="F33">
        <v>0</v>
      </c>
      <c r="G33" s="66">
        <v>8</v>
      </c>
      <c r="H33" s="66">
        <v>3.2</v>
      </c>
      <c r="I33" s="66">
        <v>64</v>
      </c>
      <c r="J33" s="67"/>
      <c r="K33" s="67"/>
      <c r="L33" s="67"/>
      <c r="P33" s="2"/>
      <c r="Q33" s="13">
        <v>7</v>
      </c>
      <c r="R33" s="13">
        <v>7</v>
      </c>
      <c r="S33" s="13">
        <v>5</v>
      </c>
      <c r="T33" s="13">
        <v>6</v>
      </c>
    </row>
    <row r="34" spans="1:20">
      <c r="A34">
        <v>28</v>
      </c>
      <c r="B34">
        <v>111006</v>
      </c>
      <c r="C34">
        <v>4</v>
      </c>
      <c r="D34" t="s">
        <v>60</v>
      </c>
      <c r="E34">
        <v>1</v>
      </c>
      <c r="F34">
        <v>0</v>
      </c>
      <c r="G34" s="66">
        <v>9</v>
      </c>
      <c r="H34" s="66">
        <v>3.6</v>
      </c>
      <c r="I34" s="66">
        <v>72</v>
      </c>
      <c r="J34" s="67"/>
      <c r="K34" s="67"/>
      <c r="L34" s="67"/>
      <c r="P34" s="2"/>
      <c r="Q34" s="13">
        <v>7</v>
      </c>
      <c r="R34" s="13">
        <v>7</v>
      </c>
      <c r="S34" s="13">
        <v>5</v>
      </c>
      <c r="T34" s="13">
        <v>6</v>
      </c>
    </row>
    <row r="35" spans="1:20">
      <c r="A35">
        <v>29</v>
      </c>
      <c r="B35">
        <v>111006</v>
      </c>
      <c r="C35">
        <v>5</v>
      </c>
      <c r="D35" t="s">
        <v>61</v>
      </c>
      <c r="E35">
        <v>1</v>
      </c>
      <c r="F35">
        <v>0</v>
      </c>
      <c r="G35" s="66">
        <v>10</v>
      </c>
      <c r="H35" s="66">
        <v>4</v>
      </c>
      <c r="I35" s="66">
        <v>80</v>
      </c>
      <c r="J35" s="67"/>
      <c r="K35" s="67"/>
      <c r="L35" s="67"/>
      <c r="P35" s="2"/>
      <c r="Q35" s="13">
        <v>7</v>
      </c>
      <c r="R35" s="13">
        <v>7</v>
      </c>
      <c r="S35" s="13">
        <v>5</v>
      </c>
      <c r="T35" s="13">
        <v>6</v>
      </c>
    </row>
    <row r="36" spans="1:20">
      <c r="A36">
        <v>30</v>
      </c>
      <c r="B36">
        <v>111006</v>
      </c>
      <c r="C36">
        <v>6</v>
      </c>
      <c r="D36" t="s">
        <v>62</v>
      </c>
      <c r="E36">
        <v>2</v>
      </c>
      <c r="F36">
        <v>0</v>
      </c>
      <c r="G36" s="66">
        <v>11</v>
      </c>
      <c r="H36" s="66">
        <v>4.4</v>
      </c>
      <c r="I36" s="66">
        <v>88</v>
      </c>
      <c r="J36" s="67"/>
      <c r="K36" s="67"/>
      <c r="L36" s="67"/>
      <c r="P36" s="2"/>
      <c r="Q36" s="13">
        <v>7</v>
      </c>
      <c r="R36" s="13">
        <v>7</v>
      </c>
      <c r="S36" s="13">
        <v>5</v>
      </c>
      <c r="T36" s="13">
        <v>6</v>
      </c>
    </row>
    <row r="37" spans="1:20">
      <c r="A37">
        <v>31</v>
      </c>
      <c r="B37">
        <v>111007</v>
      </c>
      <c r="C37">
        <v>2</v>
      </c>
      <c r="E37">
        <v>0</v>
      </c>
      <c r="F37">
        <v>0</v>
      </c>
      <c r="G37" s="66">
        <v>7</v>
      </c>
      <c r="H37" s="66">
        <v>2.8</v>
      </c>
      <c r="I37" s="66">
        <v>56</v>
      </c>
      <c r="J37" s="67"/>
      <c r="K37" s="67"/>
      <c r="L37" s="67"/>
      <c r="P37" s="2"/>
      <c r="Q37" s="13">
        <v>7</v>
      </c>
      <c r="R37" s="13">
        <v>6</v>
      </c>
      <c r="S37" s="13">
        <v>6</v>
      </c>
      <c r="T37" s="13">
        <v>4</v>
      </c>
    </row>
    <row r="38" spans="1:20">
      <c r="A38">
        <v>32</v>
      </c>
      <c r="B38">
        <v>111007</v>
      </c>
      <c r="C38">
        <v>3</v>
      </c>
      <c r="D38" t="s">
        <v>59</v>
      </c>
      <c r="E38">
        <v>1</v>
      </c>
      <c r="F38">
        <v>0</v>
      </c>
      <c r="G38" s="66">
        <v>8</v>
      </c>
      <c r="H38" s="66">
        <v>3.2</v>
      </c>
      <c r="I38" s="66">
        <v>64</v>
      </c>
      <c r="J38" s="67"/>
      <c r="K38" s="67"/>
      <c r="L38" s="67"/>
      <c r="P38" s="2"/>
      <c r="Q38" s="13">
        <v>7</v>
      </c>
      <c r="R38" s="13">
        <v>6</v>
      </c>
      <c r="S38" s="13">
        <v>6</v>
      </c>
      <c r="T38" s="13">
        <v>4</v>
      </c>
    </row>
    <row r="39" spans="1:20">
      <c r="A39">
        <v>33</v>
      </c>
      <c r="B39">
        <v>111007</v>
      </c>
      <c r="C39">
        <v>4</v>
      </c>
      <c r="D39" t="s">
        <v>60</v>
      </c>
      <c r="E39">
        <v>1</v>
      </c>
      <c r="F39">
        <v>0</v>
      </c>
      <c r="G39" s="66">
        <v>9</v>
      </c>
      <c r="H39" s="66">
        <v>3.6</v>
      </c>
      <c r="I39" s="66">
        <v>72</v>
      </c>
      <c r="J39" s="67"/>
      <c r="K39" s="67"/>
      <c r="L39" s="67"/>
      <c r="P39" s="2"/>
      <c r="Q39" s="13">
        <v>7</v>
      </c>
      <c r="R39" s="13">
        <v>6</v>
      </c>
      <c r="S39" s="13">
        <v>6</v>
      </c>
      <c r="T39" s="13">
        <v>4</v>
      </c>
    </row>
    <row r="40" spans="1:20">
      <c r="A40">
        <v>34</v>
      </c>
      <c r="B40">
        <v>111007</v>
      </c>
      <c r="C40">
        <v>5</v>
      </c>
      <c r="D40" t="s">
        <v>61</v>
      </c>
      <c r="E40">
        <v>1</v>
      </c>
      <c r="F40">
        <v>0</v>
      </c>
      <c r="G40" s="66">
        <v>10</v>
      </c>
      <c r="H40" s="66">
        <v>4</v>
      </c>
      <c r="I40" s="66">
        <v>80</v>
      </c>
      <c r="J40" s="67"/>
      <c r="K40" s="67"/>
      <c r="L40" s="67"/>
      <c r="P40" s="2"/>
      <c r="Q40" s="13">
        <v>7</v>
      </c>
      <c r="R40" s="13">
        <v>6</v>
      </c>
      <c r="S40" s="13">
        <v>6</v>
      </c>
      <c r="T40" s="13">
        <v>4</v>
      </c>
    </row>
    <row r="41" spans="1:20">
      <c r="A41">
        <v>35</v>
      </c>
      <c r="B41">
        <v>111007</v>
      </c>
      <c r="C41">
        <v>6</v>
      </c>
      <c r="D41" t="s">
        <v>62</v>
      </c>
      <c r="E41">
        <v>2</v>
      </c>
      <c r="F41">
        <v>0</v>
      </c>
      <c r="G41" s="66">
        <v>11</v>
      </c>
      <c r="H41" s="66">
        <v>4.4</v>
      </c>
      <c r="I41" s="66">
        <v>88</v>
      </c>
      <c r="J41" s="67"/>
      <c r="K41" s="67"/>
      <c r="L41" s="67"/>
      <c r="P41" s="2"/>
      <c r="Q41" s="13">
        <v>7</v>
      </c>
      <c r="R41" s="13">
        <v>6</v>
      </c>
      <c r="S41" s="13">
        <v>6</v>
      </c>
      <c r="T41" s="13">
        <v>4</v>
      </c>
    </row>
    <row r="42" spans="1:20">
      <c r="A42">
        <v>36</v>
      </c>
      <c r="B42">
        <v>111008</v>
      </c>
      <c r="C42">
        <v>2</v>
      </c>
      <c r="E42">
        <v>0</v>
      </c>
      <c r="F42">
        <v>0</v>
      </c>
      <c r="G42" s="66">
        <v>7</v>
      </c>
      <c r="H42" s="66">
        <v>2.8</v>
      </c>
      <c r="I42" s="66">
        <v>56</v>
      </c>
      <c r="J42" s="67"/>
      <c r="K42" s="67"/>
      <c r="L42" s="67"/>
      <c r="P42" s="2"/>
      <c r="Q42" s="13">
        <v>7</v>
      </c>
      <c r="R42" s="13">
        <v>7</v>
      </c>
      <c r="S42" s="13">
        <v>5</v>
      </c>
      <c r="T42" s="13">
        <v>6</v>
      </c>
    </row>
    <row r="43" spans="1:20">
      <c r="A43">
        <v>37</v>
      </c>
      <c r="B43">
        <v>111008</v>
      </c>
      <c r="C43">
        <v>3</v>
      </c>
      <c r="D43" t="s">
        <v>59</v>
      </c>
      <c r="E43">
        <v>1</v>
      </c>
      <c r="F43">
        <v>0</v>
      </c>
      <c r="G43" s="66">
        <v>8</v>
      </c>
      <c r="H43" s="66">
        <v>3.2</v>
      </c>
      <c r="I43" s="66">
        <v>64</v>
      </c>
      <c r="J43" s="67"/>
      <c r="K43" s="67"/>
      <c r="L43" s="67"/>
      <c r="P43" s="2"/>
      <c r="Q43" s="13">
        <v>7</v>
      </c>
      <c r="R43" s="13">
        <v>7</v>
      </c>
      <c r="S43" s="13">
        <v>5</v>
      </c>
      <c r="T43" s="13">
        <v>6</v>
      </c>
    </row>
    <row r="44" spans="1:20">
      <c r="A44">
        <v>38</v>
      </c>
      <c r="B44">
        <v>111008</v>
      </c>
      <c r="C44">
        <v>4</v>
      </c>
      <c r="D44" t="s">
        <v>60</v>
      </c>
      <c r="E44">
        <v>1</v>
      </c>
      <c r="F44">
        <v>0</v>
      </c>
      <c r="G44" s="66">
        <v>9</v>
      </c>
      <c r="H44" s="66">
        <v>3.6</v>
      </c>
      <c r="I44" s="66">
        <v>72</v>
      </c>
      <c r="J44" s="67"/>
      <c r="K44" s="67"/>
      <c r="L44" s="67"/>
      <c r="P44" s="2"/>
      <c r="Q44" s="13">
        <v>7</v>
      </c>
      <c r="R44" s="13">
        <v>7</v>
      </c>
      <c r="S44" s="13">
        <v>5</v>
      </c>
      <c r="T44" s="13">
        <v>6</v>
      </c>
    </row>
    <row r="45" spans="1:20">
      <c r="A45">
        <v>39</v>
      </c>
      <c r="B45">
        <v>111008</v>
      </c>
      <c r="C45">
        <v>5</v>
      </c>
      <c r="D45" t="s">
        <v>61</v>
      </c>
      <c r="E45">
        <v>1</v>
      </c>
      <c r="F45">
        <v>0</v>
      </c>
      <c r="G45" s="66">
        <v>10</v>
      </c>
      <c r="H45" s="66">
        <v>4</v>
      </c>
      <c r="I45" s="66">
        <v>80</v>
      </c>
      <c r="J45" s="67"/>
      <c r="K45" s="67"/>
      <c r="L45" s="67"/>
      <c r="P45" s="2"/>
      <c r="Q45" s="13">
        <v>7</v>
      </c>
      <c r="R45" s="13">
        <v>7</v>
      </c>
      <c r="S45" s="13">
        <v>5</v>
      </c>
      <c r="T45" s="13">
        <v>6</v>
      </c>
    </row>
    <row r="46" spans="1:20">
      <c r="A46">
        <v>40</v>
      </c>
      <c r="B46">
        <v>111008</v>
      </c>
      <c r="C46">
        <v>6</v>
      </c>
      <c r="D46" t="s">
        <v>62</v>
      </c>
      <c r="E46">
        <v>2</v>
      </c>
      <c r="F46">
        <v>0</v>
      </c>
      <c r="G46" s="66">
        <v>11</v>
      </c>
      <c r="H46" s="66">
        <v>4.4</v>
      </c>
      <c r="I46" s="66">
        <v>88</v>
      </c>
      <c r="J46" s="67"/>
      <c r="K46" s="67"/>
      <c r="L46" s="67"/>
      <c r="P46" s="2"/>
      <c r="Q46" s="13">
        <v>7</v>
      </c>
      <c r="R46" s="13">
        <v>7</v>
      </c>
      <c r="S46" s="13">
        <v>5</v>
      </c>
      <c r="T46" s="13">
        <v>6</v>
      </c>
    </row>
    <row r="47" spans="1:20">
      <c r="A47">
        <v>41</v>
      </c>
      <c r="B47">
        <v>111009</v>
      </c>
      <c r="C47">
        <v>2</v>
      </c>
      <c r="E47">
        <v>0</v>
      </c>
      <c r="F47">
        <v>0</v>
      </c>
      <c r="G47" s="66">
        <v>7</v>
      </c>
      <c r="H47" s="66">
        <v>2.8</v>
      </c>
      <c r="I47" s="66">
        <v>56</v>
      </c>
      <c r="J47" s="67"/>
      <c r="K47" s="67"/>
      <c r="L47" s="67"/>
      <c r="P47" s="2"/>
      <c r="Q47" s="13">
        <v>7</v>
      </c>
      <c r="R47" s="13">
        <v>6</v>
      </c>
      <c r="S47" s="13">
        <v>6</v>
      </c>
      <c r="T47" s="13">
        <v>7</v>
      </c>
    </row>
    <row r="48" spans="1:20">
      <c r="A48">
        <v>42</v>
      </c>
      <c r="B48">
        <v>111009</v>
      </c>
      <c r="C48">
        <v>3</v>
      </c>
      <c r="D48" t="s">
        <v>59</v>
      </c>
      <c r="E48">
        <v>1</v>
      </c>
      <c r="F48">
        <v>0</v>
      </c>
      <c r="G48" s="66">
        <v>8</v>
      </c>
      <c r="H48" s="66">
        <v>3.2</v>
      </c>
      <c r="I48" s="66">
        <v>64</v>
      </c>
      <c r="J48" s="67"/>
      <c r="K48" s="67"/>
      <c r="L48" s="67"/>
      <c r="P48" s="2"/>
      <c r="Q48" s="13">
        <v>7</v>
      </c>
      <c r="R48" s="13">
        <v>6</v>
      </c>
      <c r="S48" s="13">
        <v>6</v>
      </c>
      <c r="T48" s="13">
        <v>7</v>
      </c>
    </row>
    <row r="49" spans="1:20">
      <c r="A49">
        <v>43</v>
      </c>
      <c r="B49">
        <v>111009</v>
      </c>
      <c r="C49">
        <v>4</v>
      </c>
      <c r="D49" t="s">
        <v>60</v>
      </c>
      <c r="E49">
        <v>1</v>
      </c>
      <c r="F49">
        <v>0</v>
      </c>
      <c r="G49" s="66">
        <v>9</v>
      </c>
      <c r="H49" s="66">
        <v>3.6</v>
      </c>
      <c r="I49" s="66">
        <v>72</v>
      </c>
      <c r="J49" s="67"/>
      <c r="K49" s="67"/>
      <c r="L49" s="67"/>
      <c r="P49" s="2"/>
      <c r="Q49" s="13">
        <v>7</v>
      </c>
      <c r="R49" s="13">
        <v>6</v>
      </c>
      <c r="S49" s="13">
        <v>6</v>
      </c>
      <c r="T49" s="13">
        <v>7</v>
      </c>
    </row>
    <row r="50" spans="1:20">
      <c r="A50">
        <v>44</v>
      </c>
      <c r="B50">
        <v>111009</v>
      </c>
      <c r="C50">
        <v>5</v>
      </c>
      <c r="D50" t="s">
        <v>61</v>
      </c>
      <c r="E50">
        <v>1</v>
      </c>
      <c r="F50">
        <v>0</v>
      </c>
      <c r="G50" s="66">
        <v>10</v>
      </c>
      <c r="H50" s="66">
        <v>4</v>
      </c>
      <c r="I50" s="66">
        <v>80</v>
      </c>
      <c r="J50" s="67"/>
      <c r="K50" s="67"/>
      <c r="L50" s="67"/>
      <c r="P50" s="2"/>
      <c r="Q50" s="13">
        <v>7</v>
      </c>
      <c r="R50" s="13">
        <v>6</v>
      </c>
      <c r="S50" s="13">
        <v>6</v>
      </c>
      <c r="T50" s="13">
        <v>7</v>
      </c>
    </row>
    <row r="51" spans="1:20">
      <c r="A51">
        <v>45</v>
      </c>
      <c r="B51">
        <v>111009</v>
      </c>
      <c r="C51">
        <v>6</v>
      </c>
      <c r="D51" t="s">
        <v>62</v>
      </c>
      <c r="E51">
        <v>2</v>
      </c>
      <c r="F51">
        <v>0</v>
      </c>
      <c r="G51" s="66">
        <v>11</v>
      </c>
      <c r="H51" s="66">
        <v>4.4</v>
      </c>
      <c r="I51" s="66">
        <v>88</v>
      </c>
      <c r="J51" s="67"/>
      <c r="K51" s="67"/>
      <c r="L51" s="67"/>
      <c r="P51" s="2"/>
      <c r="Q51" s="13">
        <v>7</v>
      </c>
      <c r="R51" s="13">
        <v>6</v>
      </c>
      <c r="S51" s="13">
        <v>6</v>
      </c>
      <c r="T51" s="13">
        <v>7</v>
      </c>
    </row>
    <row r="52" spans="1:20">
      <c r="A52">
        <v>46</v>
      </c>
      <c r="B52">
        <v>111010</v>
      </c>
      <c r="C52">
        <v>2</v>
      </c>
      <c r="E52">
        <v>0</v>
      </c>
      <c r="F52">
        <v>0</v>
      </c>
      <c r="G52" s="66">
        <v>7</v>
      </c>
      <c r="H52" s="66">
        <v>2.8</v>
      </c>
      <c r="I52" s="66">
        <v>56</v>
      </c>
      <c r="K52" s="67"/>
      <c r="L52" s="67"/>
      <c r="P52" s="2"/>
      <c r="Q52" s="13">
        <v>7</v>
      </c>
      <c r="R52" s="13">
        <v>7</v>
      </c>
      <c r="S52" s="13">
        <v>5</v>
      </c>
      <c r="T52" s="13">
        <v>6</v>
      </c>
    </row>
    <row r="53" spans="1:20">
      <c r="A53">
        <v>47</v>
      </c>
      <c r="B53">
        <v>111010</v>
      </c>
      <c r="C53">
        <v>3</v>
      </c>
      <c r="D53" t="s">
        <v>59</v>
      </c>
      <c r="E53">
        <v>1</v>
      </c>
      <c r="F53">
        <v>0</v>
      </c>
      <c r="G53" s="66">
        <v>8</v>
      </c>
      <c r="H53" s="66">
        <v>3.2</v>
      </c>
      <c r="I53" s="66">
        <v>64</v>
      </c>
      <c r="K53" s="67"/>
      <c r="L53" s="67"/>
      <c r="P53" s="2"/>
      <c r="Q53" s="13">
        <v>7</v>
      </c>
      <c r="R53" s="13">
        <v>7</v>
      </c>
      <c r="S53" s="13">
        <v>5</v>
      </c>
      <c r="T53" s="13">
        <v>6</v>
      </c>
    </row>
    <row r="54" spans="1:20">
      <c r="A54">
        <v>48</v>
      </c>
      <c r="B54">
        <v>111010</v>
      </c>
      <c r="C54">
        <v>4</v>
      </c>
      <c r="D54" t="s">
        <v>60</v>
      </c>
      <c r="E54">
        <v>1</v>
      </c>
      <c r="F54">
        <v>0</v>
      </c>
      <c r="G54" s="66">
        <v>9</v>
      </c>
      <c r="H54" s="66">
        <v>3.6</v>
      </c>
      <c r="I54" s="66">
        <v>72</v>
      </c>
      <c r="K54" s="67"/>
      <c r="L54" s="67"/>
      <c r="P54" s="2"/>
      <c r="Q54" s="13">
        <v>7</v>
      </c>
      <c r="R54" s="13">
        <v>7</v>
      </c>
      <c r="S54" s="13">
        <v>5</v>
      </c>
      <c r="T54" s="13">
        <v>6</v>
      </c>
    </row>
    <row r="55" spans="1:20">
      <c r="A55">
        <v>49</v>
      </c>
      <c r="B55">
        <v>111010</v>
      </c>
      <c r="C55">
        <v>5</v>
      </c>
      <c r="D55" t="s">
        <v>61</v>
      </c>
      <c r="E55">
        <v>1</v>
      </c>
      <c r="F55">
        <v>0</v>
      </c>
      <c r="G55" s="66">
        <v>10</v>
      </c>
      <c r="H55" s="66">
        <v>4</v>
      </c>
      <c r="I55" s="66">
        <v>80</v>
      </c>
      <c r="K55" s="67"/>
      <c r="L55" s="67"/>
      <c r="P55" s="2"/>
      <c r="Q55" s="13">
        <v>7</v>
      </c>
      <c r="R55" s="13">
        <v>7</v>
      </c>
      <c r="S55" s="13">
        <v>5</v>
      </c>
      <c r="T55" s="13">
        <v>6</v>
      </c>
    </row>
    <row r="56" spans="1:20">
      <c r="A56">
        <v>50</v>
      </c>
      <c r="B56">
        <v>111010</v>
      </c>
      <c r="C56">
        <v>6</v>
      </c>
      <c r="D56" t="s">
        <v>62</v>
      </c>
      <c r="E56">
        <v>2</v>
      </c>
      <c r="F56">
        <v>0</v>
      </c>
      <c r="G56" s="66">
        <v>11</v>
      </c>
      <c r="H56" s="66">
        <v>4.4</v>
      </c>
      <c r="I56" s="66">
        <v>88</v>
      </c>
      <c r="K56" s="67"/>
      <c r="L56" s="67"/>
      <c r="P56" s="2"/>
      <c r="Q56" s="13">
        <v>7</v>
      </c>
      <c r="R56" s="13">
        <v>7</v>
      </c>
      <c r="S56" s="13">
        <v>5</v>
      </c>
      <c r="T56" s="13">
        <v>6</v>
      </c>
    </row>
    <row r="57" spans="1:16">
      <c r="A57">
        <v>51</v>
      </c>
      <c r="B57">
        <v>111011</v>
      </c>
      <c r="C57">
        <v>2</v>
      </c>
      <c r="E57">
        <v>0</v>
      </c>
      <c r="F57">
        <v>0</v>
      </c>
      <c r="G57" s="66">
        <v>7</v>
      </c>
      <c r="H57" s="66">
        <v>2.8</v>
      </c>
      <c r="I57" s="66">
        <v>56</v>
      </c>
      <c r="K57" s="67"/>
      <c r="L57" s="67"/>
      <c r="P57" s="2"/>
    </row>
    <row r="58" spans="1:16">
      <c r="A58">
        <v>52</v>
      </c>
      <c r="B58">
        <v>111011</v>
      </c>
      <c r="C58">
        <v>3</v>
      </c>
      <c r="D58" t="s">
        <v>59</v>
      </c>
      <c r="E58">
        <v>1</v>
      </c>
      <c r="F58">
        <v>0</v>
      </c>
      <c r="G58" s="66">
        <v>8</v>
      </c>
      <c r="H58" s="66">
        <v>3.2</v>
      </c>
      <c r="I58" s="66">
        <v>64</v>
      </c>
      <c r="K58" s="67"/>
      <c r="L58" s="67"/>
      <c r="P58" s="2"/>
    </row>
    <row r="59" spans="1:16">
      <c r="A59">
        <v>53</v>
      </c>
      <c r="B59">
        <v>111011</v>
      </c>
      <c r="C59">
        <v>4</v>
      </c>
      <c r="D59" t="s">
        <v>60</v>
      </c>
      <c r="E59">
        <v>1</v>
      </c>
      <c r="F59">
        <v>0</v>
      </c>
      <c r="G59" s="66">
        <v>9</v>
      </c>
      <c r="H59" s="66">
        <v>3.6</v>
      </c>
      <c r="I59" s="66">
        <v>72</v>
      </c>
      <c r="K59" s="67"/>
      <c r="L59" s="67"/>
      <c r="P59" s="2"/>
    </row>
    <row r="60" spans="1:16">
      <c r="A60">
        <v>54</v>
      </c>
      <c r="B60">
        <v>111011</v>
      </c>
      <c r="C60">
        <v>5</v>
      </c>
      <c r="D60" t="s">
        <v>61</v>
      </c>
      <c r="E60">
        <v>1</v>
      </c>
      <c r="F60">
        <v>0</v>
      </c>
      <c r="G60" s="66">
        <v>10</v>
      </c>
      <c r="H60" s="66">
        <v>4</v>
      </c>
      <c r="I60" s="66">
        <v>80</v>
      </c>
      <c r="K60" s="67"/>
      <c r="L60" s="67"/>
      <c r="P60" s="2"/>
    </row>
    <row r="61" spans="1:16">
      <c r="A61">
        <v>55</v>
      </c>
      <c r="B61">
        <v>111011</v>
      </c>
      <c r="C61">
        <v>6</v>
      </c>
      <c r="D61" t="s">
        <v>62</v>
      </c>
      <c r="E61">
        <v>2</v>
      </c>
      <c r="F61">
        <v>0</v>
      </c>
      <c r="G61" s="66">
        <v>11</v>
      </c>
      <c r="H61" s="66">
        <v>4.4</v>
      </c>
      <c r="I61" s="66">
        <v>88</v>
      </c>
      <c r="K61" s="67"/>
      <c r="L61" s="67"/>
      <c r="P61" s="2"/>
    </row>
    <row r="62" spans="1:16">
      <c r="A62">
        <v>56</v>
      </c>
      <c r="B62">
        <v>111012</v>
      </c>
      <c r="C62">
        <v>2</v>
      </c>
      <c r="E62">
        <v>0</v>
      </c>
      <c r="F62">
        <v>0</v>
      </c>
      <c r="G62" s="66">
        <v>7</v>
      </c>
      <c r="H62" s="66">
        <v>2.8</v>
      </c>
      <c r="I62" s="66">
        <v>56</v>
      </c>
      <c r="K62" s="67"/>
      <c r="L62" s="67"/>
      <c r="P62" s="2"/>
    </row>
    <row r="63" spans="1:16">
      <c r="A63">
        <v>57</v>
      </c>
      <c r="B63">
        <v>111012</v>
      </c>
      <c r="C63">
        <v>3</v>
      </c>
      <c r="D63" t="s">
        <v>59</v>
      </c>
      <c r="E63">
        <v>1</v>
      </c>
      <c r="F63">
        <v>0</v>
      </c>
      <c r="G63" s="66">
        <v>8</v>
      </c>
      <c r="H63" s="66">
        <v>3.2</v>
      </c>
      <c r="I63" s="66">
        <v>64</v>
      </c>
      <c r="K63" s="67"/>
      <c r="L63" s="67"/>
      <c r="P63" s="2"/>
    </row>
    <row r="64" spans="1:16">
      <c r="A64">
        <v>58</v>
      </c>
      <c r="B64">
        <v>111012</v>
      </c>
      <c r="C64">
        <v>4</v>
      </c>
      <c r="D64" t="s">
        <v>60</v>
      </c>
      <c r="E64">
        <v>1</v>
      </c>
      <c r="F64">
        <v>0</v>
      </c>
      <c r="G64" s="66">
        <v>9</v>
      </c>
      <c r="H64" s="66">
        <v>3.6</v>
      </c>
      <c r="I64" s="66">
        <v>72</v>
      </c>
      <c r="K64" s="67"/>
      <c r="L64" s="67"/>
      <c r="P64" s="2"/>
    </row>
    <row r="65" spans="1:16">
      <c r="A65">
        <v>59</v>
      </c>
      <c r="B65">
        <v>111012</v>
      </c>
      <c r="C65">
        <v>5</v>
      </c>
      <c r="D65" t="s">
        <v>61</v>
      </c>
      <c r="E65">
        <v>1</v>
      </c>
      <c r="F65">
        <v>0</v>
      </c>
      <c r="G65" s="66">
        <v>10</v>
      </c>
      <c r="H65" s="66">
        <v>4</v>
      </c>
      <c r="I65" s="66">
        <v>80</v>
      </c>
      <c r="K65" s="67"/>
      <c r="L65" s="67"/>
      <c r="P65" s="2"/>
    </row>
    <row r="66" spans="1:16">
      <c r="A66">
        <v>60</v>
      </c>
      <c r="B66">
        <v>111012</v>
      </c>
      <c r="C66">
        <v>6</v>
      </c>
      <c r="D66" t="s">
        <v>62</v>
      </c>
      <c r="E66">
        <v>2</v>
      </c>
      <c r="F66">
        <v>0</v>
      </c>
      <c r="G66" s="66">
        <v>11</v>
      </c>
      <c r="H66" s="66">
        <v>4.4</v>
      </c>
      <c r="I66" s="66">
        <v>88</v>
      </c>
      <c r="K66" s="67"/>
      <c r="L66" s="67"/>
      <c r="P66" s="2"/>
    </row>
    <row r="67" spans="1:16">
      <c r="A67">
        <v>61</v>
      </c>
      <c r="B67">
        <v>111013</v>
      </c>
      <c r="C67">
        <v>2</v>
      </c>
      <c r="E67">
        <v>0</v>
      </c>
      <c r="F67">
        <v>0</v>
      </c>
      <c r="G67" s="66">
        <v>7</v>
      </c>
      <c r="H67" s="66">
        <v>2.8</v>
      </c>
      <c r="I67" s="66">
        <v>56</v>
      </c>
      <c r="J67" s="67"/>
      <c r="K67" s="67"/>
      <c r="L67" s="67"/>
      <c r="P67" s="2"/>
    </row>
    <row r="68" spans="1:16">
      <c r="A68">
        <v>62</v>
      </c>
      <c r="B68">
        <v>111013</v>
      </c>
      <c r="C68">
        <v>3</v>
      </c>
      <c r="D68" t="s">
        <v>59</v>
      </c>
      <c r="E68">
        <v>1</v>
      </c>
      <c r="F68">
        <v>0</v>
      </c>
      <c r="G68" s="66">
        <v>8</v>
      </c>
      <c r="H68" s="66">
        <v>3.2</v>
      </c>
      <c r="I68" s="66">
        <v>64</v>
      </c>
      <c r="J68" s="67"/>
      <c r="K68" s="67"/>
      <c r="L68" s="67"/>
      <c r="P68" s="2"/>
    </row>
    <row r="69" spans="1:16">
      <c r="A69">
        <v>63</v>
      </c>
      <c r="B69">
        <v>111013</v>
      </c>
      <c r="C69">
        <v>4</v>
      </c>
      <c r="D69" t="s">
        <v>60</v>
      </c>
      <c r="E69">
        <v>1</v>
      </c>
      <c r="F69">
        <v>0</v>
      </c>
      <c r="G69" s="66">
        <v>9</v>
      </c>
      <c r="H69" s="66">
        <v>3.6</v>
      </c>
      <c r="I69" s="66">
        <v>72</v>
      </c>
      <c r="J69" s="67"/>
      <c r="K69" s="67"/>
      <c r="L69" s="67"/>
      <c r="P69" s="2"/>
    </row>
    <row r="70" spans="1:16">
      <c r="A70">
        <v>64</v>
      </c>
      <c r="B70">
        <v>111013</v>
      </c>
      <c r="C70">
        <v>5</v>
      </c>
      <c r="D70" t="s">
        <v>61</v>
      </c>
      <c r="E70">
        <v>1</v>
      </c>
      <c r="F70">
        <v>0</v>
      </c>
      <c r="G70" s="66">
        <v>10</v>
      </c>
      <c r="H70" s="66">
        <v>4</v>
      </c>
      <c r="I70" s="66">
        <v>80</v>
      </c>
      <c r="J70" s="67"/>
      <c r="K70" s="67"/>
      <c r="L70" s="67"/>
      <c r="P70" s="2"/>
    </row>
    <row r="71" spans="1:16">
      <c r="A71">
        <v>65</v>
      </c>
      <c r="B71">
        <v>111013</v>
      </c>
      <c r="C71">
        <v>6</v>
      </c>
      <c r="D71" t="s">
        <v>62</v>
      </c>
      <c r="E71">
        <v>2</v>
      </c>
      <c r="F71">
        <v>0</v>
      </c>
      <c r="G71" s="66">
        <v>11</v>
      </c>
      <c r="H71" s="66">
        <v>4.4</v>
      </c>
      <c r="I71" s="66">
        <v>88</v>
      </c>
      <c r="J71" s="67"/>
      <c r="K71" s="67"/>
      <c r="L71" s="67"/>
      <c r="P71" s="2"/>
    </row>
    <row r="72" spans="1:16">
      <c r="A72">
        <v>66</v>
      </c>
      <c r="B72">
        <v>111014</v>
      </c>
      <c r="C72">
        <v>2</v>
      </c>
      <c r="E72">
        <v>0</v>
      </c>
      <c r="F72">
        <v>0</v>
      </c>
      <c r="G72" s="66">
        <v>7</v>
      </c>
      <c r="H72" s="66">
        <v>2.8</v>
      </c>
      <c r="I72" s="66">
        <v>56</v>
      </c>
      <c r="K72" s="67"/>
      <c r="L72" s="67"/>
      <c r="P72" s="2"/>
    </row>
    <row r="73" spans="1:16">
      <c r="A73">
        <v>67</v>
      </c>
      <c r="B73">
        <v>111014</v>
      </c>
      <c r="C73">
        <v>3</v>
      </c>
      <c r="D73" t="s">
        <v>59</v>
      </c>
      <c r="E73">
        <v>1</v>
      </c>
      <c r="F73">
        <v>0</v>
      </c>
      <c r="G73" s="66">
        <v>8</v>
      </c>
      <c r="H73" s="66">
        <v>3.2</v>
      </c>
      <c r="I73" s="66">
        <v>64</v>
      </c>
      <c r="K73" s="67"/>
      <c r="L73" s="67"/>
      <c r="P73" s="2"/>
    </row>
    <row r="74" spans="1:16">
      <c r="A74">
        <v>68</v>
      </c>
      <c r="B74">
        <v>111014</v>
      </c>
      <c r="C74">
        <v>4</v>
      </c>
      <c r="D74" t="s">
        <v>60</v>
      </c>
      <c r="E74">
        <v>1</v>
      </c>
      <c r="F74">
        <v>0</v>
      </c>
      <c r="G74" s="66">
        <v>9</v>
      </c>
      <c r="H74" s="66">
        <v>3.6</v>
      </c>
      <c r="I74" s="66">
        <v>72</v>
      </c>
      <c r="K74" s="67"/>
      <c r="L74" s="67"/>
      <c r="P74" s="2"/>
    </row>
    <row r="75" spans="1:16">
      <c r="A75">
        <v>69</v>
      </c>
      <c r="B75">
        <v>111014</v>
      </c>
      <c r="C75">
        <v>5</v>
      </c>
      <c r="D75" t="s">
        <v>61</v>
      </c>
      <c r="E75">
        <v>1</v>
      </c>
      <c r="F75">
        <v>0</v>
      </c>
      <c r="G75" s="66">
        <v>10</v>
      </c>
      <c r="H75" s="66">
        <v>4</v>
      </c>
      <c r="I75" s="66">
        <v>80</v>
      </c>
      <c r="K75" s="67"/>
      <c r="L75" s="67"/>
      <c r="P75" s="2"/>
    </row>
    <row r="76" spans="1:16">
      <c r="A76">
        <v>70</v>
      </c>
      <c r="B76">
        <v>111014</v>
      </c>
      <c r="C76">
        <v>6</v>
      </c>
      <c r="D76" t="s">
        <v>62</v>
      </c>
      <c r="E76">
        <v>2</v>
      </c>
      <c r="F76">
        <v>0</v>
      </c>
      <c r="G76" s="66">
        <v>11</v>
      </c>
      <c r="H76" s="66">
        <v>4.4</v>
      </c>
      <c r="I76" s="66">
        <v>88</v>
      </c>
      <c r="K76" s="67"/>
      <c r="L76" s="67"/>
      <c r="P76" s="2"/>
    </row>
    <row r="77" spans="1:16">
      <c r="A77">
        <v>71</v>
      </c>
      <c r="B77">
        <v>111015</v>
      </c>
      <c r="C77">
        <v>2</v>
      </c>
      <c r="E77">
        <v>0</v>
      </c>
      <c r="F77">
        <v>0</v>
      </c>
      <c r="G77" s="66">
        <v>7</v>
      </c>
      <c r="H77" s="66">
        <v>2.8</v>
      </c>
      <c r="I77" s="66">
        <v>56</v>
      </c>
      <c r="K77" s="67"/>
      <c r="L77" s="67"/>
      <c r="P77" s="2"/>
    </row>
    <row r="78" spans="1:16">
      <c r="A78">
        <v>72</v>
      </c>
      <c r="B78">
        <v>111015</v>
      </c>
      <c r="C78">
        <v>3</v>
      </c>
      <c r="D78" t="s">
        <v>59</v>
      </c>
      <c r="E78">
        <v>1</v>
      </c>
      <c r="F78">
        <v>0</v>
      </c>
      <c r="G78" s="66">
        <v>8</v>
      </c>
      <c r="H78" s="66">
        <v>3.2</v>
      </c>
      <c r="I78" s="66">
        <v>64</v>
      </c>
      <c r="K78" s="67"/>
      <c r="L78" s="67"/>
      <c r="P78" s="2"/>
    </row>
    <row r="79" spans="1:16">
      <c r="A79">
        <v>73</v>
      </c>
      <c r="B79">
        <v>111015</v>
      </c>
      <c r="C79">
        <v>4</v>
      </c>
      <c r="D79" t="s">
        <v>60</v>
      </c>
      <c r="E79">
        <v>1</v>
      </c>
      <c r="F79">
        <v>0</v>
      </c>
      <c r="G79" s="66">
        <v>9</v>
      </c>
      <c r="H79" s="66">
        <v>3.6</v>
      </c>
      <c r="I79" s="66">
        <v>72</v>
      </c>
      <c r="K79" s="67"/>
      <c r="L79" s="67"/>
      <c r="P79" s="2"/>
    </row>
    <row r="80" spans="1:16">
      <c r="A80">
        <v>74</v>
      </c>
      <c r="B80">
        <v>111015</v>
      </c>
      <c r="C80">
        <v>5</v>
      </c>
      <c r="D80" t="s">
        <v>61</v>
      </c>
      <c r="E80">
        <v>1</v>
      </c>
      <c r="F80">
        <v>0</v>
      </c>
      <c r="G80" s="66">
        <v>10</v>
      </c>
      <c r="H80" s="66">
        <v>4</v>
      </c>
      <c r="I80" s="66">
        <v>80</v>
      </c>
      <c r="K80" s="67"/>
      <c r="L80" s="67"/>
      <c r="P80" s="2"/>
    </row>
    <row r="81" spans="1:16">
      <c r="A81">
        <v>75</v>
      </c>
      <c r="B81">
        <v>111015</v>
      </c>
      <c r="C81">
        <v>6</v>
      </c>
      <c r="D81" t="s">
        <v>62</v>
      </c>
      <c r="E81">
        <v>2</v>
      </c>
      <c r="F81">
        <v>0</v>
      </c>
      <c r="G81" s="66">
        <v>11</v>
      </c>
      <c r="H81" s="66">
        <v>4.4</v>
      </c>
      <c r="I81" s="66">
        <v>88</v>
      </c>
      <c r="K81" s="67"/>
      <c r="L81" s="67"/>
      <c r="P81" s="2"/>
    </row>
    <row r="82" spans="1:16">
      <c r="A82">
        <v>86</v>
      </c>
      <c r="B82">
        <v>111018</v>
      </c>
      <c r="C82">
        <v>2</v>
      </c>
      <c r="E82">
        <v>0</v>
      </c>
      <c r="F82">
        <v>0</v>
      </c>
      <c r="G82" s="66">
        <v>7</v>
      </c>
      <c r="H82" s="66">
        <v>2.8</v>
      </c>
      <c r="I82" s="66">
        <v>56</v>
      </c>
      <c r="K82" s="67"/>
      <c r="L82" s="67"/>
      <c r="P82" s="2"/>
    </row>
    <row r="83" spans="1:16">
      <c r="A83">
        <v>87</v>
      </c>
      <c r="B83">
        <v>111018</v>
      </c>
      <c r="C83">
        <v>3</v>
      </c>
      <c r="D83" t="s">
        <v>59</v>
      </c>
      <c r="E83">
        <v>1</v>
      </c>
      <c r="F83">
        <v>0</v>
      </c>
      <c r="G83" s="66">
        <v>8</v>
      </c>
      <c r="H83" s="66">
        <v>3.2</v>
      </c>
      <c r="I83" s="66">
        <v>64</v>
      </c>
      <c r="K83" s="67"/>
      <c r="L83" s="67"/>
      <c r="P83" s="2"/>
    </row>
    <row r="84" spans="1:16">
      <c r="A84">
        <v>88</v>
      </c>
      <c r="B84">
        <v>111018</v>
      </c>
      <c r="C84">
        <v>4</v>
      </c>
      <c r="D84" t="s">
        <v>60</v>
      </c>
      <c r="E84">
        <v>1</v>
      </c>
      <c r="F84">
        <v>0</v>
      </c>
      <c r="G84" s="66">
        <v>9</v>
      </c>
      <c r="H84" s="66">
        <v>3.6</v>
      </c>
      <c r="I84" s="66">
        <v>72</v>
      </c>
      <c r="K84" s="67"/>
      <c r="L84" s="67"/>
      <c r="P84" s="2"/>
    </row>
    <row r="85" spans="1:16">
      <c r="A85">
        <v>89</v>
      </c>
      <c r="B85">
        <v>111018</v>
      </c>
      <c r="C85">
        <v>5</v>
      </c>
      <c r="D85" t="s">
        <v>61</v>
      </c>
      <c r="E85">
        <v>1</v>
      </c>
      <c r="F85">
        <v>0</v>
      </c>
      <c r="G85" s="66">
        <v>10</v>
      </c>
      <c r="H85" s="66">
        <v>4</v>
      </c>
      <c r="I85" s="66">
        <v>80</v>
      </c>
      <c r="K85" s="67"/>
      <c r="L85" s="67"/>
      <c r="P85" s="2"/>
    </row>
    <row r="86" spans="1:16">
      <c r="A86">
        <v>90</v>
      </c>
      <c r="B86">
        <v>111018</v>
      </c>
      <c r="C86">
        <v>6</v>
      </c>
      <c r="D86" t="s">
        <v>62</v>
      </c>
      <c r="E86">
        <v>2</v>
      </c>
      <c r="F86">
        <v>0</v>
      </c>
      <c r="G86" s="66">
        <v>11</v>
      </c>
      <c r="H86" s="66">
        <v>4.4</v>
      </c>
      <c r="I86" s="66">
        <v>88</v>
      </c>
      <c r="K86" s="67"/>
      <c r="L86" s="67"/>
      <c r="P86" s="2"/>
    </row>
    <row r="87" spans="1:20">
      <c r="A87">
        <v>91</v>
      </c>
      <c r="B87">
        <v>112001</v>
      </c>
      <c r="C87">
        <v>3</v>
      </c>
      <c r="E87">
        <v>0</v>
      </c>
      <c r="F87">
        <v>0</v>
      </c>
      <c r="G87" s="66">
        <v>9</v>
      </c>
      <c r="H87" s="66">
        <v>3.6</v>
      </c>
      <c r="I87" s="66">
        <v>72</v>
      </c>
      <c r="K87" s="67"/>
      <c r="P87" s="2"/>
      <c r="Q87" s="13">
        <v>6</v>
      </c>
      <c r="R87" s="13">
        <v>4</v>
      </c>
      <c r="S87" s="13">
        <v>5</v>
      </c>
      <c r="T87" s="13">
        <v>3</v>
      </c>
    </row>
    <row r="88" spans="1:20">
      <c r="A88">
        <v>92</v>
      </c>
      <c r="B88">
        <v>112001</v>
      </c>
      <c r="C88">
        <v>4</v>
      </c>
      <c r="D88" t="s">
        <v>60</v>
      </c>
      <c r="E88">
        <v>1</v>
      </c>
      <c r="F88">
        <v>0</v>
      </c>
      <c r="G88" s="66">
        <v>10.5</v>
      </c>
      <c r="H88" s="66">
        <v>4.2</v>
      </c>
      <c r="I88" s="66">
        <v>84</v>
      </c>
      <c r="K88" s="67"/>
      <c r="P88" s="2"/>
      <c r="Q88" s="13">
        <v>6</v>
      </c>
      <c r="R88" s="13">
        <v>4</v>
      </c>
      <c r="S88" s="13">
        <v>5</v>
      </c>
      <c r="T88" s="13">
        <v>3</v>
      </c>
    </row>
    <row r="89" spans="1:20">
      <c r="A89">
        <v>93</v>
      </c>
      <c r="B89">
        <v>112001</v>
      </c>
      <c r="C89">
        <v>5</v>
      </c>
      <c r="D89" t="s">
        <v>61</v>
      </c>
      <c r="E89">
        <v>1</v>
      </c>
      <c r="F89">
        <v>0</v>
      </c>
      <c r="G89" s="66">
        <v>12</v>
      </c>
      <c r="H89" s="66">
        <v>4.8</v>
      </c>
      <c r="I89" s="66">
        <v>96</v>
      </c>
      <c r="K89" s="67"/>
      <c r="P89" s="2"/>
      <c r="Q89" s="13">
        <v>6</v>
      </c>
      <c r="R89" s="13">
        <v>4</v>
      </c>
      <c r="S89" s="13">
        <v>5</v>
      </c>
      <c r="T89" s="13">
        <v>3</v>
      </c>
    </row>
    <row r="90" spans="1:20">
      <c r="A90">
        <v>94</v>
      </c>
      <c r="B90">
        <v>112001</v>
      </c>
      <c r="C90">
        <v>6</v>
      </c>
      <c r="D90" t="s">
        <v>62</v>
      </c>
      <c r="E90">
        <v>1</v>
      </c>
      <c r="F90">
        <v>0</v>
      </c>
      <c r="G90" s="66">
        <v>14</v>
      </c>
      <c r="H90" s="66">
        <v>5.6</v>
      </c>
      <c r="I90" s="66">
        <v>112</v>
      </c>
      <c r="K90" s="67"/>
      <c r="P90" s="2"/>
      <c r="Q90" s="13">
        <v>6</v>
      </c>
      <c r="R90" s="13">
        <v>4</v>
      </c>
      <c r="S90" s="13">
        <v>5</v>
      </c>
      <c r="T90" s="13">
        <v>3</v>
      </c>
    </row>
    <row r="91" spans="1:20">
      <c r="A91">
        <v>95</v>
      </c>
      <c r="B91">
        <v>112001</v>
      </c>
      <c r="C91">
        <v>7</v>
      </c>
      <c r="D91" t="s">
        <v>62</v>
      </c>
      <c r="E91">
        <v>2</v>
      </c>
      <c r="F91">
        <v>0</v>
      </c>
      <c r="G91" s="66">
        <v>16</v>
      </c>
      <c r="H91" s="66">
        <v>6.4</v>
      </c>
      <c r="I91" s="66">
        <v>128</v>
      </c>
      <c r="K91" s="67"/>
      <c r="P91" s="2"/>
      <c r="Q91" s="13">
        <v>6</v>
      </c>
      <c r="R91" s="13">
        <v>4</v>
      </c>
      <c r="S91" s="13">
        <v>5</v>
      </c>
      <c r="T91" s="13">
        <v>3</v>
      </c>
    </row>
    <row r="92" spans="1:20">
      <c r="A92">
        <v>96</v>
      </c>
      <c r="B92">
        <v>112002</v>
      </c>
      <c r="C92">
        <v>3</v>
      </c>
      <c r="E92">
        <v>0</v>
      </c>
      <c r="F92">
        <v>0</v>
      </c>
      <c r="G92" s="66">
        <v>9</v>
      </c>
      <c r="H92" s="66">
        <v>3.6</v>
      </c>
      <c r="I92" s="66">
        <v>72</v>
      </c>
      <c r="K92" s="67"/>
      <c r="P92" s="2"/>
      <c r="Q92" s="13">
        <v>6</v>
      </c>
      <c r="R92" s="13">
        <v>5</v>
      </c>
      <c r="S92" s="13">
        <v>5</v>
      </c>
      <c r="T92" s="13">
        <v>3</v>
      </c>
    </row>
    <row r="93" spans="1:20">
      <c r="A93">
        <v>97</v>
      </c>
      <c r="B93">
        <v>112002</v>
      </c>
      <c r="C93">
        <v>4</v>
      </c>
      <c r="D93" t="s">
        <v>60</v>
      </c>
      <c r="E93">
        <v>1</v>
      </c>
      <c r="F93">
        <v>0</v>
      </c>
      <c r="G93" s="66">
        <v>10.5</v>
      </c>
      <c r="H93" s="66">
        <v>4.2</v>
      </c>
      <c r="I93" s="66">
        <v>84</v>
      </c>
      <c r="K93" s="67"/>
      <c r="P93" s="2"/>
      <c r="Q93" s="13">
        <v>6</v>
      </c>
      <c r="R93" s="13">
        <v>5</v>
      </c>
      <c r="S93" s="13">
        <v>5</v>
      </c>
      <c r="T93" s="13">
        <v>3</v>
      </c>
    </row>
    <row r="94" spans="1:20">
      <c r="A94">
        <v>98</v>
      </c>
      <c r="B94">
        <v>112002</v>
      </c>
      <c r="C94">
        <v>5</v>
      </c>
      <c r="D94" t="s">
        <v>61</v>
      </c>
      <c r="E94">
        <v>1</v>
      </c>
      <c r="F94">
        <v>0</v>
      </c>
      <c r="G94" s="66">
        <v>12</v>
      </c>
      <c r="H94" s="66">
        <v>4.8</v>
      </c>
      <c r="I94" s="66">
        <v>96</v>
      </c>
      <c r="K94" s="67"/>
      <c r="P94" s="2"/>
      <c r="Q94" s="13">
        <v>6</v>
      </c>
      <c r="R94" s="13">
        <v>5</v>
      </c>
      <c r="S94" s="13">
        <v>5</v>
      </c>
      <c r="T94" s="13">
        <v>3</v>
      </c>
    </row>
    <row r="95" spans="1:20">
      <c r="A95">
        <v>99</v>
      </c>
      <c r="B95">
        <v>112002</v>
      </c>
      <c r="C95">
        <v>6</v>
      </c>
      <c r="D95" t="s">
        <v>62</v>
      </c>
      <c r="E95">
        <v>1</v>
      </c>
      <c r="F95">
        <v>0</v>
      </c>
      <c r="G95" s="66">
        <v>14</v>
      </c>
      <c r="H95" s="66">
        <v>5.6</v>
      </c>
      <c r="I95" s="66">
        <v>112</v>
      </c>
      <c r="K95" s="67"/>
      <c r="P95" s="2"/>
      <c r="Q95" s="13">
        <v>6</v>
      </c>
      <c r="R95" s="13">
        <v>5</v>
      </c>
      <c r="S95" s="13">
        <v>5</v>
      </c>
      <c r="T95" s="13">
        <v>3</v>
      </c>
    </row>
    <row r="96" spans="1:20">
      <c r="A96">
        <v>100</v>
      </c>
      <c r="B96">
        <v>112002</v>
      </c>
      <c r="C96">
        <v>7</v>
      </c>
      <c r="D96" t="s">
        <v>62</v>
      </c>
      <c r="E96">
        <v>2</v>
      </c>
      <c r="F96">
        <v>0</v>
      </c>
      <c r="G96" s="66">
        <v>16</v>
      </c>
      <c r="H96" s="66">
        <v>6.4</v>
      </c>
      <c r="I96" s="66">
        <v>128</v>
      </c>
      <c r="K96" s="67"/>
      <c r="P96" s="2"/>
      <c r="Q96" s="13">
        <v>6</v>
      </c>
      <c r="R96" s="13">
        <v>5</v>
      </c>
      <c r="S96" s="13">
        <v>5</v>
      </c>
      <c r="T96" s="13">
        <v>3</v>
      </c>
    </row>
    <row r="97" spans="1:20">
      <c r="A97">
        <v>101</v>
      </c>
      <c r="B97">
        <v>112003</v>
      </c>
      <c r="C97">
        <v>3</v>
      </c>
      <c r="E97">
        <v>0</v>
      </c>
      <c r="F97">
        <v>0</v>
      </c>
      <c r="G97" s="66">
        <v>9</v>
      </c>
      <c r="H97" s="66">
        <v>3.6</v>
      </c>
      <c r="I97" s="66">
        <v>72</v>
      </c>
      <c r="K97" s="67"/>
      <c r="P97" s="2"/>
      <c r="Q97" s="13">
        <v>5</v>
      </c>
      <c r="R97" s="13">
        <v>6</v>
      </c>
      <c r="S97" s="13">
        <v>5</v>
      </c>
      <c r="T97" s="13">
        <v>4</v>
      </c>
    </row>
    <row r="98" spans="1:20">
      <c r="A98">
        <v>102</v>
      </c>
      <c r="B98">
        <v>112003</v>
      </c>
      <c r="C98">
        <v>4</v>
      </c>
      <c r="D98" t="s">
        <v>60</v>
      </c>
      <c r="E98">
        <v>1</v>
      </c>
      <c r="F98">
        <v>0</v>
      </c>
      <c r="G98" s="66">
        <v>10.5</v>
      </c>
      <c r="H98" s="66">
        <v>4.2</v>
      </c>
      <c r="I98" s="66">
        <v>84</v>
      </c>
      <c r="K98" s="67"/>
      <c r="P98" s="2"/>
      <c r="Q98" s="13">
        <v>5</v>
      </c>
      <c r="R98" s="13">
        <v>6</v>
      </c>
      <c r="S98" s="13">
        <v>5</v>
      </c>
      <c r="T98" s="13">
        <v>4</v>
      </c>
    </row>
    <row r="99" spans="1:20">
      <c r="A99">
        <v>103</v>
      </c>
      <c r="B99">
        <v>112003</v>
      </c>
      <c r="C99">
        <v>5</v>
      </c>
      <c r="D99" t="s">
        <v>61</v>
      </c>
      <c r="E99">
        <v>1</v>
      </c>
      <c r="F99">
        <v>0</v>
      </c>
      <c r="G99" s="66">
        <v>12</v>
      </c>
      <c r="H99" s="66">
        <v>4.8</v>
      </c>
      <c r="I99" s="66">
        <v>96</v>
      </c>
      <c r="K99" s="67"/>
      <c r="P99" s="2"/>
      <c r="Q99" s="13">
        <v>5</v>
      </c>
      <c r="R99" s="13">
        <v>6</v>
      </c>
      <c r="S99" s="13">
        <v>5</v>
      </c>
      <c r="T99" s="13">
        <v>4</v>
      </c>
    </row>
    <row r="100" spans="1:20">
      <c r="A100">
        <v>104</v>
      </c>
      <c r="B100">
        <v>112003</v>
      </c>
      <c r="C100">
        <v>6</v>
      </c>
      <c r="D100" t="s">
        <v>62</v>
      </c>
      <c r="E100">
        <v>1</v>
      </c>
      <c r="F100">
        <v>0</v>
      </c>
      <c r="G100" s="66">
        <v>14</v>
      </c>
      <c r="H100" s="66">
        <v>5.6</v>
      </c>
      <c r="I100" s="66">
        <v>112</v>
      </c>
      <c r="K100" s="67"/>
      <c r="P100" s="2"/>
      <c r="Q100" s="13">
        <v>5</v>
      </c>
      <c r="R100" s="13">
        <v>6</v>
      </c>
      <c r="S100" s="13">
        <v>5</v>
      </c>
      <c r="T100" s="13">
        <v>4</v>
      </c>
    </row>
    <row r="101" spans="1:20">
      <c r="A101">
        <v>105</v>
      </c>
      <c r="B101">
        <v>112003</v>
      </c>
      <c r="C101">
        <v>7</v>
      </c>
      <c r="D101" t="s">
        <v>62</v>
      </c>
      <c r="E101">
        <v>2</v>
      </c>
      <c r="F101">
        <v>0</v>
      </c>
      <c r="G101" s="66">
        <v>16</v>
      </c>
      <c r="H101" s="66">
        <v>6.4</v>
      </c>
      <c r="I101" s="66">
        <v>128</v>
      </c>
      <c r="K101" s="67"/>
      <c r="P101" s="2"/>
      <c r="Q101" s="13">
        <v>5</v>
      </c>
      <c r="R101" s="13">
        <v>6</v>
      </c>
      <c r="S101" s="13">
        <v>5</v>
      </c>
      <c r="T101" s="13">
        <v>4</v>
      </c>
    </row>
    <row r="102" spans="1:20">
      <c r="A102">
        <v>106</v>
      </c>
      <c r="B102">
        <v>112004</v>
      </c>
      <c r="C102">
        <v>3</v>
      </c>
      <c r="E102">
        <v>0</v>
      </c>
      <c r="F102">
        <v>0</v>
      </c>
      <c r="G102" s="66">
        <v>9</v>
      </c>
      <c r="H102" s="66">
        <v>3.6</v>
      </c>
      <c r="I102" s="66">
        <v>72</v>
      </c>
      <c r="K102" s="67"/>
      <c r="P102" s="2"/>
      <c r="Q102" s="13">
        <v>6</v>
      </c>
      <c r="R102" s="13">
        <v>5</v>
      </c>
      <c r="S102" s="13">
        <v>5</v>
      </c>
      <c r="T102" s="13">
        <v>3</v>
      </c>
    </row>
    <row r="103" spans="1:20">
      <c r="A103">
        <v>107</v>
      </c>
      <c r="B103">
        <v>112004</v>
      </c>
      <c r="C103">
        <v>4</v>
      </c>
      <c r="D103" t="s">
        <v>60</v>
      </c>
      <c r="E103">
        <v>1</v>
      </c>
      <c r="F103">
        <v>0</v>
      </c>
      <c r="G103" s="66">
        <v>10.5</v>
      </c>
      <c r="H103" s="66">
        <v>4.2</v>
      </c>
      <c r="I103" s="66">
        <v>84</v>
      </c>
      <c r="K103" s="67"/>
      <c r="P103" s="2"/>
      <c r="Q103" s="13">
        <v>6</v>
      </c>
      <c r="R103" s="13">
        <v>5</v>
      </c>
      <c r="S103" s="13">
        <v>5</v>
      </c>
      <c r="T103" s="13">
        <v>3</v>
      </c>
    </row>
    <row r="104" spans="1:20">
      <c r="A104">
        <v>108</v>
      </c>
      <c r="B104">
        <v>112004</v>
      </c>
      <c r="C104">
        <v>5</v>
      </c>
      <c r="D104" t="s">
        <v>61</v>
      </c>
      <c r="E104">
        <v>1</v>
      </c>
      <c r="F104">
        <v>0</v>
      </c>
      <c r="G104" s="66">
        <v>12</v>
      </c>
      <c r="H104" s="66">
        <v>4.8</v>
      </c>
      <c r="I104" s="66">
        <v>96</v>
      </c>
      <c r="K104" s="67"/>
      <c r="P104" s="2"/>
      <c r="Q104" s="13">
        <v>6</v>
      </c>
      <c r="R104" s="13">
        <v>5</v>
      </c>
      <c r="S104" s="13">
        <v>5</v>
      </c>
      <c r="T104" s="13">
        <v>3</v>
      </c>
    </row>
    <row r="105" spans="1:20">
      <c r="A105">
        <v>109</v>
      </c>
      <c r="B105">
        <v>112004</v>
      </c>
      <c r="C105">
        <v>6</v>
      </c>
      <c r="D105" t="s">
        <v>62</v>
      </c>
      <c r="E105">
        <v>1</v>
      </c>
      <c r="F105">
        <v>0</v>
      </c>
      <c r="G105" s="66">
        <v>14</v>
      </c>
      <c r="H105" s="66">
        <v>5.6</v>
      </c>
      <c r="I105" s="66">
        <v>112</v>
      </c>
      <c r="K105" s="67"/>
      <c r="P105" s="2"/>
      <c r="Q105" s="13">
        <v>6</v>
      </c>
      <c r="R105" s="13">
        <v>5</v>
      </c>
      <c r="S105" s="13">
        <v>5</v>
      </c>
      <c r="T105" s="13">
        <v>3</v>
      </c>
    </row>
    <row r="106" spans="1:20">
      <c r="A106">
        <v>110</v>
      </c>
      <c r="B106">
        <v>112004</v>
      </c>
      <c r="C106">
        <v>7</v>
      </c>
      <c r="D106" t="s">
        <v>62</v>
      </c>
      <c r="E106">
        <v>2</v>
      </c>
      <c r="F106">
        <v>0</v>
      </c>
      <c r="G106" s="66">
        <v>16</v>
      </c>
      <c r="H106" s="66">
        <v>6.4</v>
      </c>
      <c r="I106" s="66">
        <v>128</v>
      </c>
      <c r="K106" s="67"/>
      <c r="P106" s="2"/>
      <c r="Q106" s="13">
        <v>6</v>
      </c>
      <c r="R106" s="13">
        <v>5</v>
      </c>
      <c r="S106" s="13">
        <v>5</v>
      </c>
      <c r="T106" s="13">
        <v>3</v>
      </c>
    </row>
    <row r="107" spans="1:20">
      <c r="A107">
        <v>111</v>
      </c>
      <c r="B107">
        <v>112005</v>
      </c>
      <c r="C107">
        <v>3</v>
      </c>
      <c r="E107">
        <v>0</v>
      </c>
      <c r="F107">
        <v>0</v>
      </c>
      <c r="G107" s="66">
        <v>9</v>
      </c>
      <c r="H107" s="66">
        <v>3.6</v>
      </c>
      <c r="I107" s="66">
        <v>72</v>
      </c>
      <c r="K107" s="67"/>
      <c r="P107" s="2"/>
      <c r="Q107" s="13">
        <v>5</v>
      </c>
      <c r="R107" s="13">
        <v>5</v>
      </c>
      <c r="S107" s="13">
        <v>5</v>
      </c>
      <c r="T107" s="13">
        <v>3</v>
      </c>
    </row>
    <row r="108" spans="1:20">
      <c r="A108">
        <v>112</v>
      </c>
      <c r="B108">
        <v>112005</v>
      </c>
      <c r="C108">
        <v>4</v>
      </c>
      <c r="D108" t="s">
        <v>60</v>
      </c>
      <c r="E108">
        <v>1</v>
      </c>
      <c r="F108">
        <v>0</v>
      </c>
      <c r="G108" s="66">
        <v>10.5</v>
      </c>
      <c r="H108" s="66">
        <v>4.2</v>
      </c>
      <c r="I108" s="66">
        <v>84</v>
      </c>
      <c r="K108" s="67"/>
      <c r="P108" s="2"/>
      <c r="Q108" s="13">
        <v>5</v>
      </c>
      <c r="R108" s="13">
        <v>5</v>
      </c>
      <c r="S108" s="13">
        <v>5</v>
      </c>
      <c r="T108" s="13">
        <v>3</v>
      </c>
    </row>
    <row r="109" spans="1:20">
      <c r="A109">
        <v>113</v>
      </c>
      <c r="B109">
        <v>112005</v>
      </c>
      <c r="C109">
        <v>5</v>
      </c>
      <c r="D109" t="s">
        <v>61</v>
      </c>
      <c r="E109">
        <v>1</v>
      </c>
      <c r="F109">
        <v>0</v>
      </c>
      <c r="G109" s="66">
        <v>12</v>
      </c>
      <c r="H109" s="66">
        <v>4.8</v>
      </c>
      <c r="I109" s="66">
        <v>96</v>
      </c>
      <c r="K109" s="67"/>
      <c r="P109" s="2"/>
      <c r="Q109" s="13">
        <v>5</v>
      </c>
      <c r="R109" s="13">
        <v>5</v>
      </c>
      <c r="S109" s="13">
        <v>5</v>
      </c>
      <c r="T109" s="13">
        <v>3</v>
      </c>
    </row>
    <row r="110" spans="1:20">
      <c r="A110">
        <v>114</v>
      </c>
      <c r="B110">
        <v>112005</v>
      </c>
      <c r="C110">
        <v>6</v>
      </c>
      <c r="D110" t="s">
        <v>62</v>
      </c>
      <c r="E110">
        <v>1</v>
      </c>
      <c r="F110">
        <v>0</v>
      </c>
      <c r="G110" s="66">
        <v>14</v>
      </c>
      <c r="H110" s="66">
        <v>5.6</v>
      </c>
      <c r="I110" s="66">
        <v>112</v>
      </c>
      <c r="K110" s="67"/>
      <c r="P110" s="2"/>
      <c r="Q110" s="13">
        <v>5</v>
      </c>
      <c r="R110" s="13">
        <v>5</v>
      </c>
      <c r="S110" s="13">
        <v>5</v>
      </c>
      <c r="T110" s="13">
        <v>3</v>
      </c>
    </row>
    <row r="111" spans="1:20">
      <c r="A111">
        <v>115</v>
      </c>
      <c r="B111">
        <v>112005</v>
      </c>
      <c r="C111">
        <v>7</v>
      </c>
      <c r="D111" t="s">
        <v>62</v>
      </c>
      <c r="E111">
        <v>2</v>
      </c>
      <c r="F111">
        <v>0</v>
      </c>
      <c r="G111" s="66">
        <v>16</v>
      </c>
      <c r="H111" s="66">
        <v>6.4</v>
      </c>
      <c r="I111" s="66">
        <v>128</v>
      </c>
      <c r="K111" s="67"/>
      <c r="P111" s="2"/>
      <c r="Q111" s="13">
        <v>5</v>
      </c>
      <c r="R111" s="13">
        <v>5</v>
      </c>
      <c r="S111" s="13">
        <v>5</v>
      </c>
      <c r="T111" s="13">
        <v>3</v>
      </c>
    </row>
    <row r="112" spans="1:16">
      <c r="A112">
        <v>116</v>
      </c>
      <c r="B112">
        <v>112006</v>
      </c>
      <c r="C112">
        <v>3</v>
      </c>
      <c r="E112">
        <v>0</v>
      </c>
      <c r="F112">
        <v>0</v>
      </c>
      <c r="G112" s="66">
        <v>9</v>
      </c>
      <c r="H112" s="66">
        <v>3.6</v>
      </c>
      <c r="I112" s="66">
        <v>72</v>
      </c>
      <c r="K112" s="67"/>
      <c r="P112" s="2"/>
    </row>
    <row r="113" spans="1:16">
      <c r="A113">
        <v>117</v>
      </c>
      <c r="B113">
        <v>112006</v>
      </c>
      <c r="C113">
        <v>4</v>
      </c>
      <c r="D113" t="s">
        <v>60</v>
      </c>
      <c r="E113">
        <v>1</v>
      </c>
      <c r="F113">
        <v>0</v>
      </c>
      <c r="G113" s="66">
        <v>10.5</v>
      </c>
      <c r="H113" s="66">
        <v>4.2</v>
      </c>
      <c r="I113" s="66">
        <v>84</v>
      </c>
      <c r="K113" s="67"/>
      <c r="P113" s="2"/>
    </row>
    <row r="114" spans="1:16">
      <c r="A114">
        <v>118</v>
      </c>
      <c r="B114">
        <v>112006</v>
      </c>
      <c r="C114">
        <v>5</v>
      </c>
      <c r="D114" t="s">
        <v>61</v>
      </c>
      <c r="E114">
        <v>1</v>
      </c>
      <c r="F114">
        <v>0</v>
      </c>
      <c r="G114" s="66">
        <v>12</v>
      </c>
      <c r="H114" s="66">
        <v>4.8</v>
      </c>
      <c r="I114" s="66">
        <v>96</v>
      </c>
      <c r="K114" s="67"/>
      <c r="P114" s="2"/>
    </row>
    <row r="115" spans="1:16">
      <c r="A115">
        <v>119</v>
      </c>
      <c r="B115">
        <v>112006</v>
      </c>
      <c r="C115">
        <v>6</v>
      </c>
      <c r="D115" t="s">
        <v>62</v>
      </c>
      <c r="E115">
        <v>1</v>
      </c>
      <c r="F115">
        <v>0</v>
      </c>
      <c r="G115" s="66">
        <v>14</v>
      </c>
      <c r="H115" s="66">
        <v>5.6</v>
      </c>
      <c r="I115" s="66">
        <v>112</v>
      </c>
      <c r="K115" s="67"/>
      <c r="P115" s="2"/>
    </row>
    <row r="116" spans="1:16">
      <c r="A116">
        <v>120</v>
      </c>
      <c r="B116">
        <v>112006</v>
      </c>
      <c r="C116">
        <v>7</v>
      </c>
      <c r="D116" t="s">
        <v>62</v>
      </c>
      <c r="E116">
        <v>2</v>
      </c>
      <c r="F116">
        <v>0</v>
      </c>
      <c r="G116" s="66">
        <v>16</v>
      </c>
      <c r="H116" s="66">
        <v>6.4</v>
      </c>
      <c r="I116" s="66">
        <v>128</v>
      </c>
      <c r="K116" s="67"/>
      <c r="P116" s="2"/>
    </row>
    <row r="117" spans="1:16">
      <c r="A117">
        <v>121</v>
      </c>
      <c r="B117">
        <v>112007</v>
      </c>
      <c r="C117">
        <v>3</v>
      </c>
      <c r="E117">
        <v>0</v>
      </c>
      <c r="F117">
        <v>0</v>
      </c>
      <c r="G117" s="66">
        <v>9</v>
      </c>
      <c r="H117" s="66">
        <v>3.6</v>
      </c>
      <c r="I117" s="66">
        <v>72</v>
      </c>
      <c r="K117" s="67"/>
      <c r="P117" s="2"/>
    </row>
    <row r="118" spans="1:16">
      <c r="A118">
        <v>122</v>
      </c>
      <c r="B118">
        <v>112007</v>
      </c>
      <c r="C118">
        <v>4</v>
      </c>
      <c r="D118" t="s">
        <v>60</v>
      </c>
      <c r="E118">
        <v>1</v>
      </c>
      <c r="F118">
        <v>0</v>
      </c>
      <c r="G118" s="66">
        <v>10.5</v>
      </c>
      <c r="H118" s="66">
        <v>4.2</v>
      </c>
      <c r="I118" s="66">
        <v>84</v>
      </c>
      <c r="K118" s="67"/>
      <c r="P118" s="2"/>
    </row>
    <row r="119" spans="1:16">
      <c r="A119">
        <v>123</v>
      </c>
      <c r="B119">
        <v>112007</v>
      </c>
      <c r="C119">
        <v>5</v>
      </c>
      <c r="D119" t="s">
        <v>61</v>
      </c>
      <c r="E119">
        <v>1</v>
      </c>
      <c r="F119">
        <v>0</v>
      </c>
      <c r="G119" s="66">
        <v>12</v>
      </c>
      <c r="H119" s="66">
        <v>4.8</v>
      </c>
      <c r="I119" s="66">
        <v>96</v>
      </c>
      <c r="K119" s="67"/>
      <c r="P119" s="2"/>
    </row>
    <row r="120" spans="1:16">
      <c r="A120">
        <v>124</v>
      </c>
      <c r="B120">
        <v>112007</v>
      </c>
      <c r="C120">
        <v>6</v>
      </c>
      <c r="D120" t="s">
        <v>62</v>
      </c>
      <c r="E120">
        <v>1</v>
      </c>
      <c r="F120">
        <v>0</v>
      </c>
      <c r="G120" s="66">
        <v>14</v>
      </c>
      <c r="H120" s="66">
        <v>5.6</v>
      </c>
      <c r="I120" s="66">
        <v>112</v>
      </c>
      <c r="K120" s="67"/>
      <c r="P120" s="2"/>
    </row>
    <row r="121" spans="1:16">
      <c r="A121">
        <v>125</v>
      </c>
      <c r="B121">
        <v>112007</v>
      </c>
      <c r="C121">
        <v>7</v>
      </c>
      <c r="D121" t="s">
        <v>62</v>
      </c>
      <c r="E121">
        <v>2</v>
      </c>
      <c r="F121">
        <v>0</v>
      </c>
      <c r="G121" s="66">
        <v>16</v>
      </c>
      <c r="H121" s="66">
        <v>6.4</v>
      </c>
      <c r="I121" s="66">
        <v>128</v>
      </c>
      <c r="K121" s="67"/>
      <c r="P121" s="2"/>
    </row>
    <row r="122" spans="1:20">
      <c r="A122">
        <v>126</v>
      </c>
      <c r="B122">
        <v>112008</v>
      </c>
      <c r="C122">
        <v>3</v>
      </c>
      <c r="E122">
        <v>0</v>
      </c>
      <c r="F122">
        <v>0</v>
      </c>
      <c r="G122" s="66">
        <v>9</v>
      </c>
      <c r="H122" s="66">
        <v>3.6</v>
      </c>
      <c r="I122" s="66">
        <v>72</v>
      </c>
      <c r="K122" s="67"/>
      <c r="P122" s="2"/>
      <c r="Q122" s="13">
        <v>6</v>
      </c>
      <c r="R122" s="13">
        <v>5</v>
      </c>
      <c r="S122" s="13">
        <v>4</v>
      </c>
      <c r="T122" s="13">
        <v>4</v>
      </c>
    </row>
    <row r="123" spans="1:20">
      <c r="A123">
        <v>127</v>
      </c>
      <c r="B123">
        <v>112008</v>
      </c>
      <c r="C123">
        <v>4</v>
      </c>
      <c r="D123" t="s">
        <v>60</v>
      </c>
      <c r="E123">
        <v>1</v>
      </c>
      <c r="F123">
        <v>0</v>
      </c>
      <c r="G123" s="66">
        <v>10.5</v>
      </c>
      <c r="H123" s="66">
        <v>4.2</v>
      </c>
      <c r="I123" s="66">
        <v>84</v>
      </c>
      <c r="K123" s="67"/>
      <c r="P123" s="2"/>
      <c r="Q123" s="13">
        <v>6</v>
      </c>
      <c r="R123" s="13">
        <v>5</v>
      </c>
      <c r="S123" s="13">
        <v>4</v>
      </c>
      <c r="T123" s="13">
        <v>4</v>
      </c>
    </row>
    <row r="124" spans="1:20">
      <c r="A124">
        <v>128</v>
      </c>
      <c r="B124">
        <v>112008</v>
      </c>
      <c r="C124">
        <v>5</v>
      </c>
      <c r="D124" t="s">
        <v>61</v>
      </c>
      <c r="E124">
        <v>1</v>
      </c>
      <c r="F124">
        <v>0</v>
      </c>
      <c r="G124" s="66">
        <v>12</v>
      </c>
      <c r="H124" s="66">
        <v>4.8</v>
      </c>
      <c r="I124" s="66">
        <v>96</v>
      </c>
      <c r="K124" s="67"/>
      <c r="P124" s="2"/>
      <c r="Q124" s="13">
        <v>6</v>
      </c>
      <c r="R124" s="13">
        <v>5</v>
      </c>
      <c r="S124" s="13">
        <v>4</v>
      </c>
      <c r="T124" s="13">
        <v>4</v>
      </c>
    </row>
    <row r="125" spans="1:20">
      <c r="A125">
        <v>129</v>
      </c>
      <c r="B125">
        <v>112008</v>
      </c>
      <c r="C125">
        <v>6</v>
      </c>
      <c r="D125" t="s">
        <v>62</v>
      </c>
      <c r="E125">
        <v>1</v>
      </c>
      <c r="F125">
        <v>0</v>
      </c>
      <c r="G125" s="66">
        <v>14</v>
      </c>
      <c r="H125" s="66">
        <v>5.6</v>
      </c>
      <c r="I125" s="66">
        <v>112</v>
      </c>
      <c r="K125" s="67"/>
      <c r="P125" s="2"/>
      <c r="Q125" s="13">
        <v>6</v>
      </c>
      <c r="R125" s="13">
        <v>5</v>
      </c>
      <c r="S125" s="13">
        <v>4</v>
      </c>
      <c r="T125" s="13">
        <v>4</v>
      </c>
    </row>
    <row r="126" spans="1:20">
      <c r="A126">
        <v>130</v>
      </c>
      <c r="B126">
        <v>112008</v>
      </c>
      <c r="C126">
        <v>7</v>
      </c>
      <c r="D126" t="s">
        <v>62</v>
      </c>
      <c r="E126">
        <v>2</v>
      </c>
      <c r="F126">
        <v>0</v>
      </c>
      <c r="G126" s="66">
        <v>16</v>
      </c>
      <c r="H126" s="66">
        <v>6.4</v>
      </c>
      <c r="I126" s="66">
        <v>128</v>
      </c>
      <c r="K126" s="67"/>
      <c r="P126" s="2"/>
      <c r="Q126" s="13">
        <v>6</v>
      </c>
      <c r="R126" s="13">
        <v>5</v>
      </c>
      <c r="S126" s="13">
        <v>4</v>
      </c>
      <c r="T126" s="13">
        <v>4</v>
      </c>
    </row>
    <row r="127" spans="1:16">
      <c r="A127">
        <v>131</v>
      </c>
      <c r="B127">
        <v>112009</v>
      </c>
      <c r="C127">
        <v>3</v>
      </c>
      <c r="E127">
        <v>0</v>
      </c>
      <c r="F127">
        <v>0</v>
      </c>
      <c r="G127" s="66">
        <v>9</v>
      </c>
      <c r="H127" s="66">
        <v>3.6</v>
      </c>
      <c r="I127" s="66">
        <v>72</v>
      </c>
      <c r="K127" s="67"/>
      <c r="P127" s="2"/>
    </row>
    <row r="128" spans="1:16">
      <c r="A128">
        <v>132</v>
      </c>
      <c r="B128">
        <v>112009</v>
      </c>
      <c r="C128">
        <v>4</v>
      </c>
      <c r="D128" t="s">
        <v>60</v>
      </c>
      <c r="E128">
        <v>1</v>
      </c>
      <c r="F128">
        <v>0</v>
      </c>
      <c r="G128" s="66">
        <v>10.5</v>
      </c>
      <c r="H128" s="66">
        <v>4.2</v>
      </c>
      <c r="I128" s="66">
        <v>84</v>
      </c>
      <c r="K128" s="67"/>
      <c r="P128" s="2"/>
    </row>
    <row r="129" spans="1:16">
      <c r="A129">
        <v>133</v>
      </c>
      <c r="B129">
        <v>112009</v>
      </c>
      <c r="C129">
        <v>5</v>
      </c>
      <c r="D129" t="s">
        <v>61</v>
      </c>
      <c r="E129">
        <v>1</v>
      </c>
      <c r="F129">
        <v>0</v>
      </c>
      <c r="G129" s="66">
        <v>12</v>
      </c>
      <c r="H129" s="66">
        <v>4.8</v>
      </c>
      <c r="I129" s="66">
        <v>96</v>
      </c>
      <c r="K129" s="67"/>
      <c r="P129" s="2"/>
    </row>
    <row r="130" spans="1:16">
      <c r="A130">
        <v>134</v>
      </c>
      <c r="B130">
        <v>112009</v>
      </c>
      <c r="C130">
        <v>6</v>
      </c>
      <c r="D130" t="s">
        <v>62</v>
      </c>
      <c r="E130">
        <v>1</v>
      </c>
      <c r="F130">
        <v>0</v>
      </c>
      <c r="G130" s="66">
        <v>14</v>
      </c>
      <c r="H130" s="66">
        <v>5.6</v>
      </c>
      <c r="I130" s="66">
        <v>112</v>
      </c>
      <c r="K130" s="67"/>
      <c r="P130" s="2"/>
    </row>
    <row r="131" spans="1:16">
      <c r="A131">
        <v>135</v>
      </c>
      <c r="B131">
        <v>112009</v>
      </c>
      <c r="C131">
        <v>7</v>
      </c>
      <c r="D131" t="s">
        <v>62</v>
      </c>
      <c r="E131">
        <v>2</v>
      </c>
      <c r="F131">
        <v>0</v>
      </c>
      <c r="G131" s="66">
        <v>16</v>
      </c>
      <c r="H131" s="66">
        <v>6.4</v>
      </c>
      <c r="I131" s="66">
        <v>128</v>
      </c>
      <c r="K131" s="67"/>
      <c r="P131" s="2"/>
    </row>
    <row r="132" spans="1:20">
      <c r="A132">
        <v>136</v>
      </c>
      <c r="B132">
        <v>112010</v>
      </c>
      <c r="C132">
        <v>3</v>
      </c>
      <c r="E132">
        <v>0</v>
      </c>
      <c r="F132">
        <v>0</v>
      </c>
      <c r="G132" s="66">
        <v>9</v>
      </c>
      <c r="H132" s="66">
        <v>3.6</v>
      </c>
      <c r="I132" s="66">
        <v>72</v>
      </c>
      <c r="K132" s="67"/>
      <c r="P132" s="2"/>
      <c r="Q132" s="13">
        <v>5</v>
      </c>
      <c r="R132" s="13">
        <v>5</v>
      </c>
      <c r="S132" s="13">
        <v>5</v>
      </c>
      <c r="T132" s="13">
        <v>3</v>
      </c>
    </row>
    <row r="133" spans="1:20">
      <c r="A133">
        <v>137</v>
      </c>
      <c r="B133">
        <v>112010</v>
      </c>
      <c r="C133">
        <v>4</v>
      </c>
      <c r="D133" t="s">
        <v>60</v>
      </c>
      <c r="E133">
        <v>1</v>
      </c>
      <c r="F133">
        <v>0</v>
      </c>
      <c r="G133" s="66">
        <v>10.5</v>
      </c>
      <c r="H133" s="66">
        <v>4.2</v>
      </c>
      <c r="I133" s="66">
        <v>84</v>
      </c>
      <c r="K133" s="67"/>
      <c r="P133" s="2"/>
      <c r="Q133" s="13">
        <v>5</v>
      </c>
      <c r="R133" s="13">
        <v>5</v>
      </c>
      <c r="S133" s="13">
        <v>5</v>
      </c>
      <c r="T133" s="13">
        <v>3</v>
      </c>
    </row>
    <row r="134" spans="1:20">
      <c r="A134">
        <v>138</v>
      </c>
      <c r="B134">
        <v>112010</v>
      </c>
      <c r="C134">
        <v>5</v>
      </c>
      <c r="D134" t="s">
        <v>61</v>
      </c>
      <c r="E134">
        <v>1</v>
      </c>
      <c r="F134">
        <v>0</v>
      </c>
      <c r="G134" s="66">
        <v>12</v>
      </c>
      <c r="H134" s="66">
        <v>4.8</v>
      </c>
      <c r="I134" s="66">
        <v>96</v>
      </c>
      <c r="K134" s="67"/>
      <c r="P134" s="2"/>
      <c r="Q134" s="13">
        <v>5</v>
      </c>
      <c r="R134" s="13">
        <v>5</v>
      </c>
      <c r="S134" s="13">
        <v>5</v>
      </c>
      <c r="T134" s="13">
        <v>3</v>
      </c>
    </row>
    <row r="135" spans="1:20">
      <c r="A135">
        <v>139</v>
      </c>
      <c r="B135">
        <v>112010</v>
      </c>
      <c r="C135">
        <v>6</v>
      </c>
      <c r="D135" t="s">
        <v>62</v>
      </c>
      <c r="E135">
        <v>1</v>
      </c>
      <c r="F135">
        <v>0</v>
      </c>
      <c r="G135" s="66">
        <v>14</v>
      </c>
      <c r="H135" s="66">
        <v>5.6</v>
      </c>
      <c r="I135" s="66">
        <v>112</v>
      </c>
      <c r="K135" s="67"/>
      <c r="P135" s="2"/>
      <c r="Q135" s="13">
        <v>5</v>
      </c>
      <c r="R135" s="13">
        <v>5</v>
      </c>
      <c r="S135" s="13">
        <v>5</v>
      </c>
      <c r="T135" s="13">
        <v>3</v>
      </c>
    </row>
    <row r="136" spans="1:20">
      <c r="A136">
        <v>140</v>
      </c>
      <c r="B136">
        <v>112010</v>
      </c>
      <c r="C136">
        <v>7</v>
      </c>
      <c r="D136" t="s">
        <v>62</v>
      </c>
      <c r="E136">
        <v>2</v>
      </c>
      <c r="F136">
        <v>0</v>
      </c>
      <c r="G136" s="66">
        <v>16</v>
      </c>
      <c r="H136" s="66">
        <v>6.4</v>
      </c>
      <c r="I136" s="66">
        <v>128</v>
      </c>
      <c r="K136" s="67"/>
      <c r="P136" s="2"/>
      <c r="Q136" s="13">
        <v>5</v>
      </c>
      <c r="R136" s="13">
        <v>5</v>
      </c>
      <c r="S136" s="13">
        <v>5</v>
      </c>
      <c r="T136" s="13">
        <v>3</v>
      </c>
    </row>
    <row r="137" spans="1:20">
      <c r="A137">
        <v>141</v>
      </c>
      <c r="B137">
        <v>112011</v>
      </c>
      <c r="C137">
        <v>3</v>
      </c>
      <c r="E137">
        <v>0</v>
      </c>
      <c r="F137">
        <v>0</v>
      </c>
      <c r="G137" s="66">
        <v>9</v>
      </c>
      <c r="H137" s="66">
        <v>3.6</v>
      </c>
      <c r="I137" s="66">
        <v>72</v>
      </c>
      <c r="K137" s="67"/>
      <c r="P137" s="2"/>
      <c r="Q137" s="13">
        <v>6</v>
      </c>
      <c r="R137" s="13">
        <v>4</v>
      </c>
      <c r="S137" s="13">
        <v>5</v>
      </c>
      <c r="T137" s="13">
        <v>3</v>
      </c>
    </row>
    <row r="138" spans="1:20">
      <c r="A138">
        <v>142</v>
      </c>
      <c r="B138">
        <v>112011</v>
      </c>
      <c r="C138">
        <v>4</v>
      </c>
      <c r="D138" t="s">
        <v>60</v>
      </c>
      <c r="E138">
        <v>1</v>
      </c>
      <c r="F138">
        <v>0</v>
      </c>
      <c r="G138" s="66">
        <v>10.5</v>
      </c>
      <c r="H138" s="66">
        <v>4.2</v>
      </c>
      <c r="I138" s="66">
        <v>84</v>
      </c>
      <c r="K138" s="67"/>
      <c r="P138" s="2"/>
      <c r="Q138" s="13">
        <v>6</v>
      </c>
      <c r="R138" s="13">
        <v>4</v>
      </c>
      <c r="S138" s="13">
        <v>5</v>
      </c>
      <c r="T138" s="13">
        <v>3</v>
      </c>
    </row>
    <row r="139" spans="1:20">
      <c r="A139">
        <v>143</v>
      </c>
      <c r="B139">
        <v>112011</v>
      </c>
      <c r="C139">
        <v>5</v>
      </c>
      <c r="D139" t="s">
        <v>61</v>
      </c>
      <c r="E139">
        <v>1</v>
      </c>
      <c r="F139">
        <v>0</v>
      </c>
      <c r="G139" s="66">
        <v>12</v>
      </c>
      <c r="H139" s="66">
        <v>4.8</v>
      </c>
      <c r="I139" s="66">
        <v>96</v>
      </c>
      <c r="K139" s="67"/>
      <c r="P139" s="2"/>
      <c r="Q139" s="13">
        <v>6</v>
      </c>
      <c r="R139" s="13">
        <v>4</v>
      </c>
      <c r="S139" s="13">
        <v>5</v>
      </c>
      <c r="T139" s="13">
        <v>3</v>
      </c>
    </row>
    <row r="140" spans="1:20">
      <c r="A140">
        <v>144</v>
      </c>
      <c r="B140">
        <v>112011</v>
      </c>
      <c r="C140">
        <v>6</v>
      </c>
      <c r="D140" t="s">
        <v>62</v>
      </c>
      <c r="E140">
        <v>1</v>
      </c>
      <c r="F140">
        <v>0</v>
      </c>
      <c r="G140" s="66">
        <v>14</v>
      </c>
      <c r="H140" s="66">
        <v>5.6</v>
      </c>
      <c r="I140" s="66">
        <v>112</v>
      </c>
      <c r="K140" s="67"/>
      <c r="P140" s="2"/>
      <c r="Q140" s="13">
        <v>6</v>
      </c>
      <c r="R140" s="13">
        <v>4</v>
      </c>
      <c r="S140" s="13">
        <v>5</v>
      </c>
      <c r="T140" s="13">
        <v>3</v>
      </c>
    </row>
    <row r="141" spans="1:20">
      <c r="A141">
        <v>145</v>
      </c>
      <c r="B141">
        <v>112011</v>
      </c>
      <c r="C141">
        <v>7</v>
      </c>
      <c r="D141" t="s">
        <v>62</v>
      </c>
      <c r="E141">
        <v>2</v>
      </c>
      <c r="F141">
        <v>0</v>
      </c>
      <c r="G141" s="66">
        <v>16</v>
      </c>
      <c r="H141" s="66">
        <v>6.4</v>
      </c>
      <c r="I141" s="66">
        <v>128</v>
      </c>
      <c r="K141" s="67"/>
      <c r="P141" s="2"/>
      <c r="Q141" s="13">
        <v>6</v>
      </c>
      <c r="R141" s="13">
        <v>4</v>
      </c>
      <c r="S141" s="13">
        <v>5</v>
      </c>
      <c r="T141" s="13">
        <v>3</v>
      </c>
    </row>
    <row r="142" spans="1:20">
      <c r="A142">
        <v>146</v>
      </c>
      <c r="B142">
        <v>112012</v>
      </c>
      <c r="C142">
        <v>3</v>
      </c>
      <c r="E142">
        <v>0</v>
      </c>
      <c r="F142">
        <v>0</v>
      </c>
      <c r="G142" s="66">
        <v>9</v>
      </c>
      <c r="H142" s="66">
        <v>3.6</v>
      </c>
      <c r="I142" s="66">
        <v>72</v>
      </c>
      <c r="K142" s="67"/>
      <c r="P142" s="2"/>
      <c r="Q142" s="13">
        <v>6</v>
      </c>
      <c r="R142" s="13">
        <v>4</v>
      </c>
      <c r="S142" s="13">
        <v>5</v>
      </c>
      <c r="T142" s="13">
        <v>3</v>
      </c>
    </row>
    <row r="143" spans="1:20">
      <c r="A143">
        <v>147</v>
      </c>
      <c r="B143">
        <v>112012</v>
      </c>
      <c r="C143">
        <v>4</v>
      </c>
      <c r="D143" t="s">
        <v>60</v>
      </c>
      <c r="E143">
        <v>1</v>
      </c>
      <c r="F143">
        <v>0</v>
      </c>
      <c r="G143" s="66">
        <v>10.5</v>
      </c>
      <c r="H143" s="66">
        <v>4.2</v>
      </c>
      <c r="I143" s="66">
        <v>84</v>
      </c>
      <c r="K143" s="67"/>
      <c r="P143" s="2"/>
      <c r="Q143" s="13">
        <v>6</v>
      </c>
      <c r="R143" s="13">
        <v>4</v>
      </c>
      <c r="S143" s="13">
        <v>5</v>
      </c>
      <c r="T143" s="13">
        <v>3</v>
      </c>
    </row>
    <row r="144" spans="1:20">
      <c r="A144">
        <v>148</v>
      </c>
      <c r="B144">
        <v>112012</v>
      </c>
      <c r="C144">
        <v>5</v>
      </c>
      <c r="D144" t="s">
        <v>61</v>
      </c>
      <c r="E144">
        <v>1</v>
      </c>
      <c r="F144">
        <v>0</v>
      </c>
      <c r="G144" s="66">
        <v>12</v>
      </c>
      <c r="H144" s="66">
        <v>4.8</v>
      </c>
      <c r="I144" s="66">
        <v>96</v>
      </c>
      <c r="K144" s="67"/>
      <c r="P144" s="2"/>
      <c r="Q144" s="13">
        <v>6</v>
      </c>
      <c r="R144" s="13">
        <v>4</v>
      </c>
      <c r="S144" s="13">
        <v>5</v>
      </c>
      <c r="T144" s="13">
        <v>3</v>
      </c>
    </row>
    <row r="145" spans="1:20">
      <c r="A145">
        <v>149</v>
      </c>
      <c r="B145">
        <v>112012</v>
      </c>
      <c r="C145">
        <v>6</v>
      </c>
      <c r="D145" t="s">
        <v>62</v>
      </c>
      <c r="E145">
        <v>1</v>
      </c>
      <c r="F145">
        <v>0</v>
      </c>
      <c r="G145" s="66">
        <v>14</v>
      </c>
      <c r="H145" s="66">
        <v>5.6</v>
      </c>
      <c r="I145" s="66">
        <v>112</v>
      </c>
      <c r="K145" s="67"/>
      <c r="P145" s="2"/>
      <c r="Q145" s="13">
        <v>6</v>
      </c>
      <c r="R145" s="13">
        <v>4</v>
      </c>
      <c r="S145" s="13">
        <v>5</v>
      </c>
      <c r="T145" s="13">
        <v>3</v>
      </c>
    </row>
    <row r="146" spans="1:20">
      <c r="A146">
        <v>150</v>
      </c>
      <c r="B146">
        <v>112012</v>
      </c>
      <c r="C146">
        <v>7</v>
      </c>
      <c r="D146" t="s">
        <v>62</v>
      </c>
      <c r="E146">
        <v>2</v>
      </c>
      <c r="F146">
        <v>0</v>
      </c>
      <c r="G146" s="66">
        <v>16</v>
      </c>
      <c r="H146" s="66">
        <v>6.4</v>
      </c>
      <c r="I146" s="66">
        <v>128</v>
      </c>
      <c r="K146" s="67"/>
      <c r="P146" s="2"/>
      <c r="Q146" s="13">
        <v>6</v>
      </c>
      <c r="R146" s="13">
        <v>4</v>
      </c>
      <c r="S146" s="13">
        <v>5</v>
      </c>
      <c r="T146" s="13">
        <v>3</v>
      </c>
    </row>
    <row r="147" spans="1:20">
      <c r="A147">
        <v>151</v>
      </c>
      <c r="B147">
        <v>112013</v>
      </c>
      <c r="C147">
        <v>3</v>
      </c>
      <c r="E147">
        <v>0</v>
      </c>
      <c r="F147">
        <v>0</v>
      </c>
      <c r="G147" s="66">
        <v>9</v>
      </c>
      <c r="H147" s="66">
        <v>3.6</v>
      </c>
      <c r="I147" s="66">
        <v>72</v>
      </c>
      <c r="K147" s="67"/>
      <c r="P147" s="2"/>
      <c r="Q147" s="13">
        <v>6</v>
      </c>
      <c r="R147" s="13">
        <v>5</v>
      </c>
      <c r="S147" s="13">
        <v>4</v>
      </c>
      <c r="T147" s="13">
        <v>4</v>
      </c>
    </row>
    <row r="148" spans="1:20">
      <c r="A148">
        <v>152</v>
      </c>
      <c r="B148">
        <v>112013</v>
      </c>
      <c r="C148">
        <v>4</v>
      </c>
      <c r="D148" t="s">
        <v>60</v>
      </c>
      <c r="E148">
        <v>1</v>
      </c>
      <c r="F148">
        <v>0</v>
      </c>
      <c r="G148" s="66">
        <v>10.5</v>
      </c>
      <c r="H148" s="66">
        <v>4.2</v>
      </c>
      <c r="I148" s="66">
        <v>84</v>
      </c>
      <c r="K148" s="67"/>
      <c r="P148" s="2"/>
      <c r="Q148" s="13">
        <v>6</v>
      </c>
      <c r="R148" s="13">
        <v>5</v>
      </c>
      <c r="S148" s="13">
        <v>4</v>
      </c>
      <c r="T148" s="13">
        <v>4</v>
      </c>
    </row>
    <row r="149" spans="1:20">
      <c r="A149">
        <v>153</v>
      </c>
      <c r="B149">
        <v>112013</v>
      </c>
      <c r="C149">
        <v>5</v>
      </c>
      <c r="D149" t="s">
        <v>61</v>
      </c>
      <c r="E149">
        <v>1</v>
      </c>
      <c r="F149">
        <v>0</v>
      </c>
      <c r="G149" s="66">
        <v>12</v>
      </c>
      <c r="H149" s="66">
        <v>4.8</v>
      </c>
      <c r="I149" s="66">
        <v>96</v>
      </c>
      <c r="K149" s="67"/>
      <c r="P149" s="2"/>
      <c r="Q149" s="13">
        <v>6</v>
      </c>
      <c r="R149" s="13">
        <v>5</v>
      </c>
      <c r="S149" s="13">
        <v>4</v>
      </c>
      <c r="T149" s="13">
        <v>4</v>
      </c>
    </row>
    <row r="150" spans="1:20">
      <c r="A150">
        <v>154</v>
      </c>
      <c r="B150">
        <v>112013</v>
      </c>
      <c r="C150">
        <v>6</v>
      </c>
      <c r="D150" t="s">
        <v>62</v>
      </c>
      <c r="E150">
        <v>1</v>
      </c>
      <c r="F150">
        <v>0</v>
      </c>
      <c r="G150" s="66">
        <v>14</v>
      </c>
      <c r="H150" s="66">
        <v>5.6</v>
      </c>
      <c r="I150" s="66">
        <v>112</v>
      </c>
      <c r="K150" s="67"/>
      <c r="P150" s="2"/>
      <c r="Q150" s="13">
        <v>6</v>
      </c>
      <c r="R150" s="13">
        <v>5</v>
      </c>
      <c r="S150" s="13">
        <v>4</v>
      </c>
      <c r="T150" s="13">
        <v>4</v>
      </c>
    </row>
    <row r="151" spans="1:20">
      <c r="A151">
        <v>155</v>
      </c>
      <c r="B151">
        <v>112013</v>
      </c>
      <c r="C151">
        <v>7</v>
      </c>
      <c r="D151" t="s">
        <v>62</v>
      </c>
      <c r="E151">
        <v>2</v>
      </c>
      <c r="F151">
        <v>0</v>
      </c>
      <c r="G151" s="66">
        <v>16</v>
      </c>
      <c r="H151" s="66">
        <v>6.4</v>
      </c>
      <c r="I151" s="66">
        <v>128</v>
      </c>
      <c r="K151" s="67"/>
      <c r="P151" s="2"/>
      <c r="Q151" s="13">
        <v>6</v>
      </c>
      <c r="R151" s="13">
        <v>5</v>
      </c>
      <c r="S151" s="13">
        <v>4</v>
      </c>
      <c r="T151" s="13">
        <v>4</v>
      </c>
    </row>
    <row r="152" spans="1:20">
      <c r="A152">
        <v>156</v>
      </c>
      <c r="B152">
        <v>112014</v>
      </c>
      <c r="C152">
        <v>3</v>
      </c>
      <c r="E152">
        <v>0</v>
      </c>
      <c r="F152">
        <v>0</v>
      </c>
      <c r="G152" s="66">
        <v>9</v>
      </c>
      <c r="H152" s="66">
        <v>3.6</v>
      </c>
      <c r="I152" s="66">
        <v>72</v>
      </c>
      <c r="K152" s="67"/>
      <c r="P152" s="2"/>
      <c r="Q152" s="13">
        <v>5</v>
      </c>
      <c r="R152" s="13">
        <v>5</v>
      </c>
      <c r="S152" s="13">
        <v>5</v>
      </c>
      <c r="T152" s="13">
        <v>3</v>
      </c>
    </row>
    <row r="153" spans="1:20">
      <c r="A153">
        <v>157</v>
      </c>
      <c r="B153">
        <v>112014</v>
      </c>
      <c r="C153">
        <v>4</v>
      </c>
      <c r="D153" t="s">
        <v>60</v>
      </c>
      <c r="E153">
        <v>1</v>
      </c>
      <c r="F153">
        <v>0</v>
      </c>
      <c r="G153" s="66">
        <v>10.5</v>
      </c>
      <c r="H153" s="66">
        <v>4.2</v>
      </c>
      <c r="I153" s="66">
        <v>84</v>
      </c>
      <c r="K153" s="67"/>
      <c r="P153" s="2"/>
      <c r="Q153" s="13">
        <v>5</v>
      </c>
      <c r="R153" s="13">
        <v>5</v>
      </c>
      <c r="S153" s="13">
        <v>5</v>
      </c>
      <c r="T153" s="13">
        <v>3</v>
      </c>
    </row>
    <row r="154" spans="1:20">
      <c r="A154">
        <v>158</v>
      </c>
      <c r="B154">
        <v>112014</v>
      </c>
      <c r="C154">
        <v>5</v>
      </c>
      <c r="D154" t="s">
        <v>61</v>
      </c>
      <c r="E154">
        <v>1</v>
      </c>
      <c r="F154">
        <v>0</v>
      </c>
      <c r="G154" s="66">
        <v>12</v>
      </c>
      <c r="H154" s="66">
        <v>4.8</v>
      </c>
      <c r="I154" s="66">
        <v>96</v>
      </c>
      <c r="K154" s="67"/>
      <c r="P154" s="2"/>
      <c r="Q154" s="13">
        <v>5</v>
      </c>
      <c r="R154" s="13">
        <v>5</v>
      </c>
      <c r="S154" s="13">
        <v>5</v>
      </c>
      <c r="T154" s="13">
        <v>3</v>
      </c>
    </row>
    <row r="155" spans="1:20">
      <c r="A155">
        <v>159</v>
      </c>
      <c r="B155">
        <v>112014</v>
      </c>
      <c r="C155">
        <v>6</v>
      </c>
      <c r="D155" t="s">
        <v>62</v>
      </c>
      <c r="E155">
        <v>1</v>
      </c>
      <c r="F155">
        <v>0</v>
      </c>
      <c r="G155" s="66">
        <v>14</v>
      </c>
      <c r="H155" s="66">
        <v>5.6</v>
      </c>
      <c r="I155" s="66">
        <v>112</v>
      </c>
      <c r="K155" s="67"/>
      <c r="P155" s="2"/>
      <c r="Q155" s="13">
        <v>5</v>
      </c>
      <c r="R155" s="13">
        <v>5</v>
      </c>
      <c r="S155" s="13">
        <v>5</v>
      </c>
      <c r="T155" s="13">
        <v>3</v>
      </c>
    </row>
    <row r="156" spans="1:20">
      <c r="A156">
        <v>160</v>
      </c>
      <c r="B156">
        <v>112014</v>
      </c>
      <c r="C156">
        <v>7</v>
      </c>
      <c r="D156" t="s">
        <v>62</v>
      </c>
      <c r="E156">
        <v>2</v>
      </c>
      <c r="F156">
        <v>0</v>
      </c>
      <c r="G156" s="66">
        <v>16</v>
      </c>
      <c r="H156" s="66">
        <v>6.4</v>
      </c>
      <c r="I156" s="66">
        <v>128</v>
      </c>
      <c r="K156" s="67"/>
      <c r="P156" s="2"/>
      <c r="Q156" s="13">
        <v>5</v>
      </c>
      <c r="R156" s="13">
        <v>5</v>
      </c>
      <c r="S156" s="13">
        <v>5</v>
      </c>
      <c r="T156" s="13">
        <v>3</v>
      </c>
    </row>
    <row r="157" spans="1:20">
      <c r="A157">
        <v>161</v>
      </c>
      <c r="B157">
        <v>112015</v>
      </c>
      <c r="C157">
        <v>3</v>
      </c>
      <c r="E157">
        <v>0</v>
      </c>
      <c r="F157">
        <v>0</v>
      </c>
      <c r="G157" s="66">
        <v>9</v>
      </c>
      <c r="H157" s="66">
        <v>3.6</v>
      </c>
      <c r="I157" s="66">
        <v>72</v>
      </c>
      <c r="K157" s="67"/>
      <c r="P157" s="2"/>
      <c r="Q157" s="13">
        <v>6</v>
      </c>
      <c r="R157" s="13">
        <v>4</v>
      </c>
      <c r="S157" s="13">
        <v>4</v>
      </c>
      <c r="T157" s="13">
        <v>6</v>
      </c>
    </row>
    <row r="158" spans="1:20">
      <c r="A158">
        <v>162</v>
      </c>
      <c r="B158">
        <v>112015</v>
      </c>
      <c r="C158">
        <v>4</v>
      </c>
      <c r="D158" t="s">
        <v>60</v>
      </c>
      <c r="E158">
        <v>1</v>
      </c>
      <c r="F158">
        <v>0</v>
      </c>
      <c r="G158" s="66">
        <v>10.5</v>
      </c>
      <c r="H158" s="66">
        <v>4.2</v>
      </c>
      <c r="I158" s="66">
        <v>84</v>
      </c>
      <c r="K158" s="67"/>
      <c r="P158" s="2"/>
      <c r="Q158" s="13">
        <v>6</v>
      </c>
      <c r="R158" s="13">
        <v>4</v>
      </c>
      <c r="S158" s="13">
        <v>4</v>
      </c>
      <c r="T158" s="13">
        <v>6</v>
      </c>
    </row>
    <row r="159" spans="1:20">
      <c r="A159">
        <v>163</v>
      </c>
      <c r="B159">
        <v>112015</v>
      </c>
      <c r="C159">
        <v>5</v>
      </c>
      <c r="D159" t="s">
        <v>61</v>
      </c>
      <c r="E159">
        <v>1</v>
      </c>
      <c r="F159">
        <v>0</v>
      </c>
      <c r="G159" s="66">
        <v>12</v>
      </c>
      <c r="H159" s="66">
        <v>4.8</v>
      </c>
      <c r="I159" s="66">
        <v>96</v>
      </c>
      <c r="K159" s="67"/>
      <c r="P159" s="2"/>
      <c r="Q159" s="13">
        <v>6</v>
      </c>
      <c r="R159" s="13">
        <v>4</v>
      </c>
      <c r="S159" s="13">
        <v>4</v>
      </c>
      <c r="T159" s="13">
        <v>6</v>
      </c>
    </row>
    <row r="160" spans="1:20">
      <c r="A160">
        <v>164</v>
      </c>
      <c r="B160">
        <v>112015</v>
      </c>
      <c r="C160">
        <v>6</v>
      </c>
      <c r="D160" t="s">
        <v>62</v>
      </c>
      <c r="E160">
        <v>1</v>
      </c>
      <c r="F160">
        <v>0</v>
      </c>
      <c r="G160" s="66">
        <v>14</v>
      </c>
      <c r="H160" s="66">
        <v>5.6</v>
      </c>
      <c r="I160" s="66">
        <v>112</v>
      </c>
      <c r="K160" s="67"/>
      <c r="P160" s="2"/>
      <c r="Q160" s="13">
        <v>6</v>
      </c>
      <c r="R160" s="13">
        <v>4</v>
      </c>
      <c r="S160" s="13">
        <v>4</v>
      </c>
      <c r="T160" s="13">
        <v>6</v>
      </c>
    </row>
    <row r="161" spans="1:20">
      <c r="A161">
        <v>165</v>
      </c>
      <c r="B161">
        <v>112015</v>
      </c>
      <c r="C161">
        <v>7</v>
      </c>
      <c r="D161" t="s">
        <v>62</v>
      </c>
      <c r="E161">
        <v>2</v>
      </c>
      <c r="F161">
        <v>0</v>
      </c>
      <c r="G161" s="66">
        <v>16</v>
      </c>
      <c r="H161" s="66">
        <v>6.4</v>
      </c>
      <c r="I161" s="66">
        <v>128</v>
      </c>
      <c r="K161" s="67"/>
      <c r="P161" s="2"/>
      <c r="Q161" s="13">
        <v>6</v>
      </c>
      <c r="R161" s="13">
        <v>4</v>
      </c>
      <c r="S161" s="13">
        <v>4</v>
      </c>
      <c r="T161" s="13">
        <v>6</v>
      </c>
    </row>
    <row r="162" spans="1:16">
      <c r="A162">
        <v>166</v>
      </c>
      <c r="B162">
        <v>112016</v>
      </c>
      <c r="C162">
        <v>3</v>
      </c>
      <c r="E162">
        <v>0</v>
      </c>
      <c r="F162">
        <v>0</v>
      </c>
      <c r="G162" s="66">
        <v>9</v>
      </c>
      <c r="H162" s="66">
        <v>3.6</v>
      </c>
      <c r="I162" s="66">
        <v>72</v>
      </c>
      <c r="K162" s="67"/>
      <c r="P162" s="2"/>
    </row>
    <row r="163" spans="1:16">
      <c r="A163">
        <v>167</v>
      </c>
      <c r="B163">
        <v>112016</v>
      </c>
      <c r="C163">
        <v>4</v>
      </c>
      <c r="D163" t="s">
        <v>60</v>
      </c>
      <c r="E163">
        <v>1</v>
      </c>
      <c r="F163">
        <v>0</v>
      </c>
      <c r="G163" s="66">
        <v>10.5</v>
      </c>
      <c r="H163" s="66">
        <v>4.2</v>
      </c>
      <c r="I163" s="66">
        <v>84</v>
      </c>
      <c r="K163" s="67"/>
      <c r="P163" s="2"/>
    </row>
    <row r="164" spans="1:16">
      <c r="A164">
        <v>168</v>
      </c>
      <c r="B164">
        <v>112016</v>
      </c>
      <c r="C164">
        <v>5</v>
      </c>
      <c r="D164" t="s">
        <v>61</v>
      </c>
      <c r="E164">
        <v>1</v>
      </c>
      <c r="F164">
        <v>0</v>
      </c>
      <c r="G164" s="66">
        <v>12</v>
      </c>
      <c r="H164" s="66">
        <v>4.8</v>
      </c>
      <c r="I164" s="66">
        <v>96</v>
      </c>
      <c r="K164" s="67"/>
      <c r="P164" s="2"/>
    </row>
    <row r="165" spans="1:16">
      <c r="A165">
        <v>169</v>
      </c>
      <c r="B165">
        <v>112016</v>
      </c>
      <c r="C165">
        <v>6</v>
      </c>
      <c r="D165" t="s">
        <v>62</v>
      </c>
      <c r="E165">
        <v>1</v>
      </c>
      <c r="F165">
        <v>0</v>
      </c>
      <c r="G165" s="66">
        <v>14</v>
      </c>
      <c r="H165" s="66">
        <v>5.6</v>
      </c>
      <c r="I165" s="66">
        <v>112</v>
      </c>
      <c r="K165" s="67"/>
      <c r="P165" s="2"/>
    </row>
    <row r="166" spans="1:16">
      <c r="A166">
        <v>170</v>
      </c>
      <c r="B166">
        <v>112016</v>
      </c>
      <c r="C166">
        <v>7</v>
      </c>
      <c r="D166" t="s">
        <v>62</v>
      </c>
      <c r="E166">
        <v>2</v>
      </c>
      <c r="F166">
        <v>0</v>
      </c>
      <c r="G166" s="66">
        <v>16</v>
      </c>
      <c r="H166" s="66">
        <v>6.4</v>
      </c>
      <c r="I166" s="66">
        <v>128</v>
      </c>
      <c r="K166" s="67"/>
      <c r="P166" s="2"/>
    </row>
    <row r="167" spans="1:20">
      <c r="A167">
        <v>171</v>
      </c>
      <c r="B167">
        <v>112017</v>
      </c>
      <c r="C167">
        <v>3</v>
      </c>
      <c r="E167">
        <v>0</v>
      </c>
      <c r="F167">
        <v>0</v>
      </c>
      <c r="G167" s="66">
        <v>9</v>
      </c>
      <c r="H167" s="66">
        <v>3.6</v>
      </c>
      <c r="I167" s="66">
        <v>72</v>
      </c>
      <c r="K167" s="67"/>
      <c r="P167" s="2"/>
      <c r="Q167" s="13">
        <v>6</v>
      </c>
      <c r="R167" s="13">
        <v>5</v>
      </c>
      <c r="S167" s="13">
        <v>4</v>
      </c>
      <c r="T167" s="13">
        <v>3</v>
      </c>
    </row>
    <row r="168" spans="1:20">
      <c r="A168">
        <v>172</v>
      </c>
      <c r="B168">
        <v>112017</v>
      </c>
      <c r="C168">
        <v>4</v>
      </c>
      <c r="D168" t="s">
        <v>60</v>
      </c>
      <c r="E168">
        <v>1</v>
      </c>
      <c r="F168">
        <v>0</v>
      </c>
      <c r="G168" s="66">
        <v>10.5</v>
      </c>
      <c r="H168" s="66">
        <v>4.2</v>
      </c>
      <c r="I168" s="66">
        <v>84</v>
      </c>
      <c r="K168" s="67"/>
      <c r="P168" s="2"/>
      <c r="Q168" s="13">
        <v>6</v>
      </c>
      <c r="R168" s="13">
        <v>5</v>
      </c>
      <c r="S168" s="13">
        <v>4</v>
      </c>
      <c r="T168" s="13">
        <v>3</v>
      </c>
    </row>
    <row r="169" spans="1:20">
      <c r="A169">
        <v>173</v>
      </c>
      <c r="B169">
        <v>112017</v>
      </c>
      <c r="C169">
        <v>5</v>
      </c>
      <c r="D169" t="s">
        <v>61</v>
      </c>
      <c r="E169">
        <v>1</v>
      </c>
      <c r="F169">
        <v>0</v>
      </c>
      <c r="G169" s="66">
        <v>12</v>
      </c>
      <c r="H169" s="66">
        <v>4.8</v>
      </c>
      <c r="I169" s="66">
        <v>96</v>
      </c>
      <c r="K169" s="67"/>
      <c r="P169" s="2"/>
      <c r="Q169" s="13">
        <v>6</v>
      </c>
      <c r="R169" s="13">
        <v>5</v>
      </c>
      <c r="S169" s="13">
        <v>4</v>
      </c>
      <c r="T169" s="13">
        <v>3</v>
      </c>
    </row>
    <row r="170" spans="1:20">
      <c r="A170">
        <v>174</v>
      </c>
      <c r="B170">
        <v>112017</v>
      </c>
      <c r="C170">
        <v>6</v>
      </c>
      <c r="D170" t="s">
        <v>62</v>
      </c>
      <c r="E170">
        <v>1</v>
      </c>
      <c r="F170">
        <v>0</v>
      </c>
      <c r="G170" s="66">
        <v>14</v>
      </c>
      <c r="H170" s="66">
        <v>5.6</v>
      </c>
      <c r="I170" s="66">
        <v>112</v>
      </c>
      <c r="K170" s="67"/>
      <c r="P170" s="2"/>
      <c r="Q170" s="13">
        <v>6</v>
      </c>
      <c r="R170" s="13">
        <v>5</v>
      </c>
      <c r="S170" s="13">
        <v>4</v>
      </c>
      <c r="T170" s="13">
        <v>3</v>
      </c>
    </row>
    <row r="171" spans="1:20">
      <c r="A171">
        <v>175</v>
      </c>
      <c r="B171">
        <v>112017</v>
      </c>
      <c r="C171">
        <v>7</v>
      </c>
      <c r="D171" t="s">
        <v>62</v>
      </c>
      <c r="E171">
        <v>2</v>
      </c>
      <c r="F171">
        <v>0</v>
      </c>
      <c r="G171" s="66">
        <v>16</v>
      </c>
      <c r="H171" s="66">
        <v>6.4</v>
      </c>
      <c r="I171" s="66">
        <v>128</v>
      </c>
      <c r="K171" s="67"/>
      <c r="P171" s="2"/>
      <c r="Q171" s="13">
        <v>6</v>
      </c>
      <c r="R171" s="13">
        <v>5</v>
      </c>
      <c r="S171" s="13">
        <v>4</v>
      </c>
      <c r="T171" s="13">
        <v>3</v>
      </c>
    </row>
    <row r="172" spans="1:16">
      <c r="A172">
        <v>176</v>
      </c>
      <c r="B172">
        <v>112018</v>
      </c>
      <c r="C172">
        <v>3</v>
      </c>
      <c r="E172">
        <v>0</v>
      </c>
      <c r="F172">
        <v>0</v>
      </c>
      <c r="G172" s="66">
        <v>9</v>
      </c>
      <c r="H172" s="66">
        <v>3.6</v>
      </c>
      <c r="I172" s="66">
        <v>72</v>
      </c>
      <c r="K172" s="67"/>
      <c r="P172" s="2"/>
    </row>
    <row r="173" spans="1:16">
      <c r="A173">
        <v>177</v>
      </c>
      <c r="B173">
        <v>112018</v>
      </c>
      <c r="C173">
        <v>4</v>
      </c>
      <c r="D173" t="s">
        <v>60</v>
      </c>
      <c r="E173">
        <v>1</v>
      </c>
      <c r="F173">
        <v>0</v>
      </c>
      <c r="G173" s="66">
        <v>10.5</v>
      </c>
      <c r="H173" s="66">
        <v>4.2</v>
      </c>
      <c r="I173" s="66">
        <v>84</v>
      </c>
      <c r="K173" s="67"/>
      <c r="P173" s="2"/>
    </row>
    <row r="174" spans="1:16">
      <c r="A174">
        <v>178</v>
      </c>
      <c r="B174">
        <v>112018</v>
      </c>
      <c r="C174">
        <v>5</v>
      </c>
      <c r="D174" t="s">
        <v>61</v>
      </c>
      <c r="E174">
        <v>1</v>
      </c>
      <c r="F174">
        <v>0</v>
      </c>
      <c r="G174" s="66">
        <v>12</v>
      </c>
      <c r="H174" s="66">
        <v>4.8</v>
      </c>
      <c r="I174" s="66">
        <v>96</v>
      </c>
      <c r="K174" s="67"/>
      <c r="P174" s="2"/>
    </row>
    <row r="175" spans="1:16">
      <c r="A175">
        <v>179</v>
      </c>
      <c r="B175">
        <v>112018</v>
      </c>
      <c r="C175">
        <v>6</v>
      </c>
      <c r="D175" t="s">
        <v>62</v>
      </c>
      <c r="E175">
        <v>1</v>
      </c>
      <c r="F175">
        <v>0</v>
      </c>
      <c r="G175" s="66">
        <v>14</v>
      </c>
      <c r="H175" s="66">
        <v>5.6</v>
      </c>
      <c r="I175" s="66">
        <v>112</v>
      </c>
      <c r="K175" s="67"/>
      <c r="P175" s="2"/>
    </row>
    <row r="176" spans="1:16">
      <c r="A176">
        <v>180</v>
      </c>
      <c r="B176">
        <v>112018</v>
      </c>
      <c r="C176">
        <v>7</v>
      </c>
      <c r="D176" t="s">
        <v>62</v>
      </c>
      <c r="E176">
        <v>2</v>
      </c>
      <c r="F176">
        <v>0</v>
      </c>
      <c r="G176" s="66">
        <v>16</v>
      </c>
      <c r="H176" s="66">
        <v>6.4</v>
      </c>
      <c r="I176" s="66">
        <v>128</v>
      </c>
      <c r="K176" s="67"/>
      <c r="P176" s="2"/>
    </row>
    <row r="177" spans="1:16">
      <c r="A177">
        <v>181</v>
      </c>
      <c r="B177">
        <v>112019</v>
      </c>
      <c r="C177">
        <v>3</v>
      </c>
      <c r="E177">
        <v>0</v>
      </c>
      <c r="F177">
        <v>0</v>
      </c>
      <c r="G177" s="66">
        <v>9</v>
      </c>
      <c r="H177" s="66">
        <v>3.6</v>
      </c>
      <c r="I177" s="66">
        <v>72</v>
      </c>
      <c r="K177" s="67"/>
      <c r="P177" s="2"/>
    </row>
    <row r="178" spans="1:16">
      <c r="A178">
        <v>182</v>
      </c>
      <c r="B178">
        <v>112019</v>
      </c>
      <c r="C178">
        <v>4</v>
      </c>
      <c r="D178" t="s">
        <v>60</v>
      </c>
      <c r="E178">
        <v>1</v>
      </c>
      <c r="F178">
        <v>0</v>
      </c>
      <c r="G178" s="66">
        <v>10.5</v>
      </c>
      <c r="H178" s="66">
        <v>4.2</v>
      </c>
      <c r="I178" s="66">
        <v>84</v>
      </c>
      <c r="K178" s="67"/>
      <c r="P178" s="2"/>
    </row>
    <row r="179" spans="1:16">
      <c r="A179">
        <v>183</v>
      </c>
      <c r="B179">
        <v>112019</v>
      </c>
      <c r="C179">
        <v>5</v>
      </c>
      <c r="D179" t="s">
        <v>61</v>
      </c>
      <c r="E179">
        <v>1</v>
      </c>
      <c r="F179">
        <v>0</v>
      </c>
      <c r="G179" s="66">
        <v>12</v>
      </c>
      <c r="H179" s="66">
        <v>4.8</v>
      </c>
      <c r="I179" s="66">
        <v>96</v>
      </c>
      <c r="K179" s="67"/>
      <c r="P179" s="2"/>
    </row>
    <row r="180" spans="1:16">
      <c r="A180">
        <v>184</v>
      </c>
      <c r="B180">
        <v>112019</v>
      </c>
      <c r="C180">
        <v>6</v>
      </c>
      <c r="D180" t="s">
        <v>62</v>
      </c>
      <c r="E180">
        <v>1</v>
      </c>
      <c r="F180">
        <v>0</v>
      </c>
      <c r="G180" s="66">
        <v>14</v>
      </c>
      <c r="H180" s="66">
        <v>5.6</v>
      </c>
      <c r="I180" s="66">
        <v>112</v>
      </c>
      <c r="K180" s="67"/>
      <c r="P180" s="2"/>
    </row>
    <row r="181" spans="1:16">
      <c r="A181">
        <v>185</v>
      </c>
      <c r="B181">
        <v>112019</v>
      </c>
      <c r="C181">
        <v>7</v>
      </c>
      <c r="D181" t="s">
        <v>62</v>
      </c>
      <c r="E181">
        <v>2</v>
      </c>
      <c r="F181">
        <v>0</v>
      </c>
      <c r="G181" s="66">
        <v>16</v>
      </c>
      <c r="H181" s="66">
        <v>6.4</v>
      </c>
      <c r="I181" s="66">
        <v>128</v>
      </c>
      <c r="K181" s="67"/>
      <c r="P181" s="2"/>
    </row>
    <row r="182" spans="1:16">
      <c r="A182">
        <v>186</v>
      </c>
      <c r="B182">
        <v>112020</v>
      </c>
      <c r="C182">
        <v>3</v>
      </c>
      <c r="E182">
        <v>0</v>
      </c>
      <c r="F182">
        <v>0</v>
      </c>
      <c r="G182" s="66">
        <v>9</v>
      </c>
      <c r="H182" s="66">
        <v>3.6</v>
      </c>
      <c r="I182" s="66">
        <v>72</v>
      </c>
      <c r="K182" s="67"/>
      <c r="P182" s="2"/>
    </row>
    <row r="183" spans="1:16">
      <c r="A183">
        <v>187</v>
      </c>
      <c r="B183">
        <v>112020</v>
      </c>
      <c r="C183">
        <v>4</v>
      </c>
      <c r="D183" t="s">
        <v>60</v>
      </c>
      <c r="E183">
        <v>1</v>
      </c>
      <c r="F183">
        <v>0</v>
      </c>
      <c r="G183" s="66">
        <v>10.5</v>
      </c>
      <c r="H183" s="66">
        <v>4.2</v>
      </c>
      <c r="I183" s="66">
        <v>84</v>
      </c>
      <c r="K183" s="67"/>
      <c r="P183" s="2"/>
    </row>
    <row r="184" spans="1:16">
      <c r="A184">
        <v>188</v>
      </c>
      <c r="B184">
        <v>112020</v>
      </c>
      <c r="C184">
        <v>5</v>
      </c>
      <c r="D184" t="s">
        <v>61</v>
      </c>
      <c r="E184">
        <v>1</v>
      </c>
      <c r="F184">
        <v>0</v>
      </c>
      <c r="G184" s="66">
        <v>12</v>
      </c>
      <c r="H184" s="66">
        <v>4.8</v>
      </c>
      <c r="I184" s="66">
        <v>96</v>
      </c>
      <c r="K184" s="67"/>
      <c r="P184" s="2"/>
    </row>
    <row r="185" spans="1:16">
      <c r="A185">
        <v>189</v>
      </c>
      <c r="B185">
        <v>112020</v>
      </c>
      <c r="C185">
        <v>6</v>
      </c>
      <c r="D185" t="s">
        <v>62</v>
      </c>
      <c r="E185">
        <v>1</v>
      </c>
      <c r="F185">
        <v>0</v>
      </c>
      <c r="G185" s="66">
        <v>14</v>
      </c>
      <c r="H185" s="66">
        <v>5.6</v>
      </c>
      <c r="I185" s="66">
        <v>112</v>
      </c>
      <c r="K185" s="67"/>
      <c r="P185" s="2"/>
    </row>
    <row r="186" spans="1:16">
      <c r="A186">
        <v>190</v>
      </c>
      <c r="B186">
        <v>112020</v>
      </c>
      <c r="C186">
        <v>7</v>
      </c>
      <c r="D186" t="s">
        <v>62</v>
      </c>
      <c r="E186">
        <v>2</v>
      </c>
      <c r="F186">
        <v>0</v>
      </c>
      <c r="G186" s="66">
        <v>16</v>
      </c>
      <c r="H186" s="66">
        <v>6.4</v>
      </c>
      <c r="I186" s="66">
        <v>128</v>
      </c>
      <c r="K186" s="67"/>
      <c r="P186" s="2"/>
    </row>
    <row r="187" spans="1:16">
      <c r="A187">
        <v>191</v>
      </c>
      <c r="B187">
        <v>112021</v>
      </c>
      <c r="C187">
        <v>3</v>
      </c>
      <c r="E187">
        <v>0</v>
      </c>
      <c r="F187">
        <v>0</v>
      </c>
      <c r="G187" s="66">
        <v>9</v>
      </c>
      <c r="H187" s="66">
        <v>3.6</v>
      </c>
      <c r="I187" s="66">
        <v>72</v>
      </c>
      <c r="K187" s="67"/>
      <c r="P187" s="2"/>
    </row>
    <row r="188" spans="1:16">
      <c r="A188">
        <v>192</v>
      </c>
      <c r="B188">
        <v>112021</v>
      </c>
      <c r="C188">
        <v>4</v>
      </c>
      <c r="D188" t="s">
        <v>60</v>
      </c>
      <c r="E188">
        <v>1</v>
      </c>
      <c r="F188">
        <v>0</v>
      </c>
      <c r="G188" s="66">
        <v>10.5</v>
      </c>
      <c r="H188" s="66">
        <v>4.2</v>
      </c>
      <c r="I188" s="66">
        <v>84</v>
      </c>
      <c r="K188" s="67"/>
      <c r="P188" s="2"/>
    </row>
    <row r="189" spans="1:16">
      <c r="A189">
        <v>193</v>
      </c>
      <c r="B189">
        <v>112021</v>
      </c>
      <c r="C189">
        <v>5</v>
      </c>
      <c r="D189" t="s">
        <v>61</v>
      </c>
      <c r="E189">
        <v>1</v>
      </c>
      <c r="F189">
        <v>0</v>
      </c>
      <c r="G189" s="66">
        <v>12</v>
      </c>
      <c r="H189" s="66">
        <v>4.8</v>
      </c>
      <c r="I189" s="66">
        <v>96</v>
      </c>
      <c r="K189" s="67"/>
      <c r="P189" s="2"/>
    </row>
    <row r="190" spans="1:16">
      <c r="A190">
        <v>194</v>
      </c>
      <c r="B190">
        <v>112021</v>
      </c>
      <c r="C190">
        <v>6</v>
      </c>
      <c r="D190" t="s">
        <v>62</v>
      </c>
      <c r="E190">
        <v>1</v>
      </c>
      <c r="F190">
        <v>0</v>
      </c>
      <c r="G190" s="66">
        <v>14</v>
      </c>
      <c r="H190" s="66">
        <v>5.6</v>
      </c>
      <c r="I190" s="66">
        <v>112</v>
      </c>
      <c r="K190" s="67"/>
      <c r="P190" s="2"/>
    </row>
    <row r="191" spans="1:16">
      <c r="A191">
        <v>195</v>
      </c>
      <c r="B191">
        <v>112021</v>
      </c>
      <c r="C191">
        <v>7</v>
      </c>
      <c r="D191" t="s">
        <v>62</v>
      </c>
      <c r="E191">
        <v>2</v>
      </c>
      <c r="F191">
        <v>0</v>
      </c>
      <c r="G191" s="66">
        <v>16</v>
      </c>
      <c r="H191" s="66">
        <v>6.4</v>
      </c>
      <c r="I191" s="66">
        <v>128</v>
      </c>
      <c r="K191" s="67"/>
      <c r="P191" s="2"/>
    </row>
    <row r="192" spans="1:16">
      <c r="A192">
        <v>196</v>
      </c>
      <c r="B192">
        <v>112022</v>
      </c>
      <c r="C192">
        <v>3</v>
      </c>
      <c r="E192">
        <v>0</v>
      </c>
      <c r="F192">
        <v>0</v>
      </c>
      <c r="G192" s="66">
        <v>9</v>
      </c>
      <c r="H192" s="66">
        <v>3.6</v>
      </c>
      <c r="I192" s="66">
        <v>72</v>
      </c>
      <c r="K192" s="67"/>
      <c r="P192" s="2"/>
    </row>
    <row r="193" spans="1:16">
      <c r="A193">
        <v>197</v>
      </c>
      <c r="B193">
        <v>112022</v>
      </c>
      <c r="C193">
        <v>4</v>
      </c>
      <c r="D193" t="s">
        <v>60</v>
      </c>
      <c r="E193">
        <v>1</v>
      </c>
      <c r="F193">
        <v>0</v>
      </c>
      <c r="G193" s="66">
        <v>10.5</v>
      </c>
      <c r="H193" s="66">
        <v>4.2</v>
      </c>
      <c r="I193" s="66">
        <v>84</v>
      </c>
      <c r="K193" s="67"/>
      <c r="P193" s="2"/>
    </row>
    <row r="194" spans="1:16">
      <c r="A194">
        <v>198</v>
      </c>
      <c r="B194">
        <v>112022</v>
      </c>
      <c r="C194">
        <v>5</v>
      </c>
      <c r="D194" t="s">
        <v>61</v>
      </c>
      <c r="E194">
        <v>1</v>
      </c>
      <c r="F194">
        <v>0</v>
      </c>
      <c r="G194" s="66">
        <v>12</v>
      </c>
      <c r="H194" s="66">
        <v>4.8</v>
      </c>
      <c r="I194" s="66">
        <v>96</v>
      </c>
      <c r="K194" s="67"/>
      <c r="P194" s="2"/>
    </row>
    <row r="195" spans="1:16">
      <c r="A195">
        <v>199</v>
      </c>
      <c r="B195">
        <v>112022</v>
      </c>
      <c r="C195">
        <v>6</v>
      </c>
      <c r="D195" t="s">
        <v>62</v>
      </c>
      <c r="E195">
        <v>1</v>
      </c>
      <c r="F195">
        <v>0</v>
      </c>
      <c r="G195" s="66">
        <v>14</v>
      </c>
      <c r="H195" s="66">
        <v>5.6</v>
      </c>
      <c r="I195" s="66">
        <v>112</v>
      </c>
      <c r="K195" s="67"/>
      <c r="P195" s="2"/>
    </row>
    <row r="196" spans="1:16">
      <c r="A196">
        <v>200</v>
      </c>
      <c r="B196">
        <v>112022</v>
      </c>
      <c r="C196">
        <v>7</v>
      </c>
      <c r="D196" t="s">
        <v>62</v>
      </c>
      <c r="E196">
        <v>2</v>
      </c>
      <c r="F196">
        <v>0</v>
      </c>
      <c r="G196" s="66">
        <v>16</v>
      </c>
      <c r="H196" s="66">
        <v>6.4</v>
      </c>
      <c r="I196" s="66">
        <v>128</v>
      </c>
      <c r="K196" s="67"/>
      <c r="P196" s="2"/>
    </row>
    <row r="197" spans="1:20">
      <c r="A197">
        <v>201</v>
      </c>
      <c r="B197">
        <v>112023</v>
      </c>
      <c r="C197">
        <v>3</v>
      </c>
      <c r="E197">
        <v>0</v>
      </c>
      <c r="F197">
        <v>0</v>
      </c>
      <c r="G197" s="66">
        <v>9</v>
      </c>
      <c r="H197" s="66">
        <v>3.6</v>
      </c>
      <c r="I197" s="66">
        <v>72</v>
      </c>
      <c r="K197" s="67"/>
      <c r="P197" s="2"/>
      <c r="Q197" s="13">
        <v>4</v>
      </c>
      <c r="R197" s="13">
        <v>4</v>
      </c>
      <c r="S197" s="13">
        <v>3</v>
      </c>
      <c r="T197" s="13">
        <v>4</v>
      </c>
    </row>
    <row r="198" spans="1:20">
      <c r="A198">
        <v>202</v>
      </c>
      <c r="B198">
        <v>112023</v>
      </c>
      <c r="C198">
        <v>4</v>
      </c>
      <c r="D198" t="s">
        <v>60</v>
      </c>
      <c r="E198">
        <v>1</v>
      </c>
      <c r="F198">
        <v>0</v>
      </c>
      <c r="G198" s="66">
        <v>10.5</v>
      </c>
      <c r="H198" s="66">
        <v>4.2</v>
      </c>
      <c r="I198" s="66">
        <v>84</v>
      </c>
      <c r="K198" s="67"/>
      <c r="P198" s="2"/>
      <c r="Q198" s="13">
        <v>4</v>
      </c>
      <c r="R198" s="13">
        <v>4</v>
      </c>
      <c r="S198" s="13">
        <v>3</v>
      </c>
      <c r="T198" s="13">
        <v>4</v>
      </c>
    </row>
    <row r="199" spans="1:20">
      <c r="A199">
        <v>203</v>
      </c>
      <c r="B199">
        <v>112023</v>
      </c>
      <c r="C199">
        <v>5</v>
      </c>
      <c r="D199" t="s">
        <v>61</v>
      </c>
      <c r="E199">
        <v>1</v>
      </c>
      <c r="F199">
        <v>0</v>
      </c>
      <c r="G199" s="66">
        <v>12</v>
      </c>
      <c r="H199" s="66">
        <v>4.8</v>
      </c>
      <c r="I199" s="66">
        <v>96</v>
      </c>
      <c r="K199" s="67"/>
      <c r="P199" s="2"/>
      <c r="Q199" s="13">
        <v>4</v>
      </c>
      <c r="R199" s="13">
        <v>4</v>
      </c>
      <c r="S199" s="13">
        <v>3</v>
      </c>
      <c r="T199" s="13">
        <v>4</v>
      </c>
    </row>
    <row r="200" spans="1:20">
      <c r="A200">
        <v>204</v>
      </c>
      <c r="B200">
        <v>112023</v>
      </c>
      <c r="C200">
        <v>6</v>
      </c>
      <c r="D200" t="s">
        <v>62</v>
      </c>
      <c r="E200">
        <v>1</v>
      </c>
      <c r="F200">
        <v>0</v>
      </c>
      <c r="G200" s="66">
        <v>14</v>
      </c>
      <c r="H200" s="66">
        <v>5.6</v>
      </c>
      <c r="I200" s="66">
        <v>112</v>
      </c>
      <c r="K200" s="67"/>
      <c r="P200" s="2"/>
      <c r="Q200" s="13">
        <v>4</v>
      </c>
      <c r="R200" s="13">
        <v>4</v>
      </c>
      <c r="S200" s="13">
        <v>3</v>
      </c>
      <c r="T200" s="13">
        <v>4</v>
      </c>
    </row>
    <row r="201" spans="1:20">
      <c r="A201">
        <v>205</v>
      </c>
      <c r="B201">
        <v>112023</v>
      </c>
      <c r="C201">
        <v>7</v>
      </c>
      <c r="D201" t="s">
        <v>62</v>
      </c>
      <c r="E201">
        <v>2</v>
      </c>
      <c r="F201">
        <v>0</v>
      </c>
      <c r="G201" s="66">
        <v>16</v>
      </c>
      <c r="H201" s="66">
        <v>6.4</v>
      </c>
      <c r="I201" s="66">
        <v>128</v>
      </c>
      <c r="K201" s="67"/>
      <c r="P201" s="2"/>
      <c r="Q201" s="13">
        <v>4</v>
      </c>
      <c r="R201" s="13">
        <v>4</v>
      </c>
      <c r="S201" s="13">
        <v>3</v>
      </c>
      <c r="T201" s="13">
        <v>4</v>
      </c>
    </row>
    <row r="202" spans="1:16">
      <c r="A202">
        <v>206</v>
      </c>
      <c r="B202">
        <v>112024</v>
      </c>
      <c r="C202">
        <v>3</v>
      </c>
      <c r="E202">
        <v>0</v>
      </c>
      <c r="F202">
        <v>0</v>
      </c>
      <c r="G202" s="66">
        <v>9</v>
      </c>
      <c r="H202" s="66">
        <v>3.6</v>
      </c>
      <c r="I202" s="66">
        <v>72</v>
      </c>
      <c r="K202" s="67"/>
      <c r="P202" s="2"/>
    </row>
    <row r="203" spans="1:16">
      <c r="A203">
        <v>207</v>
      </c>
      <c r="B203">
        <v>112024</v>
      </c>
      <c r="C203">
        <v>4</v>
      </c>
      <c r="D203" t="s">
        <v>60</v>
      </c>
      <c r="E203">
        <v>1</v>
      </c>
      <c r="F203">
        <v>0</v>
      </c>
      <c r="G203" s="66">
        <v>10.5</v>
      </c>
      <c r="H203" s="66">
        <v>4.2</v>
      </c>
      <c r="I203" s="66">
        <v>84</v>
      </c>
      <c r="K203" s="67"/>
      <c r="P203" s="2"/>
    </row>
    <row r="204" spans="1:16">
      <c r="A204">
        <v>208</v>
      </c>
      <c r="B204">
        <v>112024</v>
      </c>
      <c r="C204">
        <v>5</v>
      </c>
      <c r="D204" t="s">
        <v>61</v>
      </c>
      <c r="E204">
        <v>1</v>
      </c>
      <c r="F204">
        <v>0</v>
      </c>
      <c r="G204" s="66">
        <v>12</v>
      </c>
      <c r="H204" s="66">
        <v>4.8</v>
      </c>
      <c r="I204" s="66">
        <v>96</v>
      </c>
      <c r="K204" s="67"/>
      <c r="P204" s="2"/>
    </row>
    <row r="205" spans="1:16">
      <c r="A205">
        <v>209</v>
      </c>
      <c r="B205">
        <v>112024</v>
      </c>
      <c r="C205">
        <v>6</v>
      </c>
      <c r="D205" t="s">
        <v>62</v>
      </c>
      <c r="E205">
        <v>1</v>
      </c>
      <c r="F205">
        <v>0</v>
      </c>
      <c r="G205" s="66">
        <v>14</v>
      </c>
      <c r="H205" s="66">
        <v>5.6</v>
      </c>
      <c r="I205" s="66">
        <v>112</v>
      </c>
      <c r="K205" s="67"/>
      <c r="P205" s="2"/>
    </row>
    <row r="206" spans="1:16">
      <c r="A206">
        <v>210</v>
      </c>
      <c r="B206">
        <v>112024</v>
      </c>
      <c r="C206">
        <v>7</v>
      </c>
      <c r="D206" t="s">
        <v>62</v>
      </c>
      <c r="E206">
        <v>2</v>
      </c>
      <c r="F206">
        <v>0</v>
      </c>
      <c r="G206" s="66">
        <v>16</v>
      </c>
      <c r="H206" s="66">
        <v>6.4</v>
      </c>
      <c r="I206" s="66">
        <v>128</v>
      </c>
      <c r="K206" s="67"/>
      <c r="P206" s="2"/>
    </row>
    <row r="207" spans="1:16">
      <c r="A207">
        <v>211</v>
      </c>
      <c r="B207">
        <v>112025</v>
      </c>
      <c r="C207">
        <v>3</v>
      </c>
      <c r="E207">
        <v>0</v>
      </c>
      <c r="F207">
        <v>0</v>
      </c>
      <c r="G207" s="66">
        <v>9</v>
      </c>
      <c r="H207" s="66">
        <v>3.6</v>
      </c>
      <c r="I207" s="66">
        <v>72</v>
      </c>
      <c r="K207" s="67"/>
      <c r="P207" s="2"/>
    </row>
    <row r="208" spans="1:16">
      <c r="A208">
        <v>212</v>
      </c>
      <c r="B208">
        <v>112025</v>
      </c>
      <c r="C208">
        <v>4</v>
      </c>
      <c r="D208" t="s">
        <v>60</v>
      </c>
      <c r="E208">
        <v>1</v>
      </c>
      <c r="F208">
        <v>0</v>
      </c>
      <c r="G208" s="66">
        <v>10.5</v>
      </c>
      <c r="H208" s="66">
        <v>4.2</v>
      </c>
      <c r="I208" s="66">
        <v>84</v>
      </c>
      <c r="K208" s="67"/>
      <c r="P208" s="2"/>
    </row>
    <row r="209" ht="16.5" spans="1:16">
      <c r="A209">
        <v>213</v>
      </c>
      <c r="B209">
        <v>112025</v>
      </c>
      <c r="C209">
        <v>5</v>
      </c>
      <c r="D209" t="s">
        <v>61</v>
      </c>
      <c r="E209">
        <v>1</v>
      </c>
      <c r="F209">
        <v>0</v>
      </c>
      <c r="G209" s="66">
        <v>12</v>
      </c>
      <c r="H209" s="66">
        <v>4.8</v>
      </c>
      <c r="I209" s="66">
        <v>96</v>
      </c>
      <c r="K209" s="67"/>
      <c r="L209" s="70"/>
      <c r="P209" s="2"/>
    </row>
    <row r="210" spans="1:16">
      <c r="A210">
        <v>214</v>
      </c>
      <c r="B210">
        <v>112025</v>
      </c>
      <c r="C210">
        <v>6</v>
      </c>
      <c r="D210" t="s">
        <v>62</v>
      </c>
      <c r="E210">
        <v>1</v>
      </c>
      <c r="F210">
        <v>0</v>
      </c>
      <c r="G210" s="66">
        <v>14</v>
      </c>
      <c r="H210" s="66">
        <v>5.6</v>
      </c>
      <c r="I210" s="66">
        <v>112</v>
      </c>
      <c r="K210" s="67"/>
      <c r="P210" s="2"/>
    </row>
    <row r="211" spans="1:16">
      <c r="A211">
        <v>215</v>
      </c>
      <c r="B211">
        <v>112025</v>
      </c>
      <c r="C211">
        <v>7</v>
      </c>
      <c r="D211" t="s">
        <v>62</v>
      </c>
      <c r="E211">
        <v>2</v>
      </c>
      <c r="F211">
        <v>0</v>
      </c>
      <c r="G211" s="66">
        <v>16</v>
      </c>
      <c r="H211" s="66">
        <v>6.4</v>
      </c>
      <c r="I211" s="66">
        <v>128</v>
      </c>
      <c r="K211" s="67"/>
      <c r="P211" s="2"/>
    </row>
    <row r="212" spans="1:16">
      <c r="A212">
        <v>216</v>
      </c>
      <c r="B212">
        <v>112026</v>
      </c>
      <c r="C212">
        <v>3</v>
      </c>
      <c r="E212">
        <v>0</v>
      </c>
      <c r="F212">
        <v>0</v>
      </c>
      <c r="G212" s="66">
        <v>9</v>
      </c>
      <c r="H212" s="66">
        <v>3.6</v>
      </c>
      <c r="I212" s="66">
        <v>72</v>
      </c>
      <c r="K212" s="67"/>
      <c r="P212" s="2"/>
    </row>
    <row r="213" spans="1:16">
      <c r="A213">
        <v>217</v>
      </c>
      <c r="B213">
        <v>112026</v>
      </c>
      <c r="C213">
        <v>4</v>
      </c>
      <c r="D213" t="s">
        <v>60</v>
      </c>
      <c r="E213">
        <v>1</v>
      </c>
      <c r="F213">
        <v>0</v>
      </c>
      <c r="G213" s="66">
        <v>10.5</v>
      </c>
      <c r="H213" s="66">
        <v>4.2</v>
      </c>
      <c r="I213" s="66">
        <v>84</v>
      </c>
      <c r="K213" s="67"/>
      <c r="P213" s="2"/>
    </row>
    <row r="214" spans="1:16">
      <c r="A214">
        <v>218</v>
      </c>
      <c r="B214">
        <v>112026</v>
      </c>
      <c r="C214">
        <v>5</v>
      </c>
      <c r="D214" t="s">
        <v>61</v>
      </c>
      <c r="E214">
        <v>1</v>
      </c>
      <c r="F214">
        <v>0</v>
      </c>
      <c r="G214" s="66">
        <v>12</v>
      </c>
      <c r="H214" s="66">
        <v>4.8</v>
      </c>
      <c r="I214" s="66">
        <v>96</v>
      </c>
      <c r="K214" s="67"/>
      <c r="P214" s="2"/>
    </row>
    <row r="215" spans="1:16">
      <c r="A215">
        <v>219</v>
      </c>
      <c r="B215">
        <v>112026</v>
      </c>
      <c r="C215">
        <v>6</v>
      </c>
      <c r="D215" t="s">
        <v>62</v>
      </c>
      <c r="E215">
        <v>1</v>
      </c>
      <c r="F215">
        <v>0</v>
      </c>
      <c r="G215" s="66">
        <v>14</v>
      </c>
      <c r="H215" s="66">
        <v>5.6</v>
      </c>
      <c r="I215" s="66">
        <v>112</v>
      </c>
      <c r="K215" s="67"/>
      <c r="P215" s="2"/>
    </row>
    <row r="216" spans="1:16">
      <c r="A216">
        <v>220</v>
      </c>
      <c r="B216">
        <v>112026</v>
      </c>
      <c r="C216">
        <v>7</v>
      </c>
      <c r="D216" t="s">
        <v>62</v>
      </c>
      <c r="E216">
        <v>2</v>
      </c>
      <c r="F216">
        <v>0</v>
      </c>
      <c r="G216" s="66">
        <v>16</v>
      </c>
      <c r="H216" s="66">
        <v>6.4</v>
      </c>
      <c r="I216" s="66">
        <v>128</v>
      </c>
      <c r="K216" s="67"/>
      <c r="P216" s="2"/>
    </row>
    <row r="217" spans="1:20">
      <c r="A217">
        <v>221</v>
      </c>
      <c r="B217">
        <v>112027</v>
      </c>
      <c r="C217">
        <v>3</v>
      </c>
      <c r="E217">
        <v>0</v>
      </c>
      <c r="F217">
        <v>0</v>
      </c>
      <c r="G217" s="66">
        <v>9</v>
      </c>
      <c r="H217" s="66">
        <v>3.6</v>
      </c>
      <c r="I217" s="66">
        <v>72</v>
      </c>
      <c r="K217" s="67"/>
      <c r="P217" s="2"/>
      <c r="Q217" s="13">
        <v>5</v>
      </c>
      <c r="R217" s="13">
        <v>5</v>
      </c>
      <c r="S217" s="13">
        <v>6</v>
      </c>
      <c r="T217" s="13">
        <v>4</v>
      </c>
    </row>
    <row r="218" spans="1:20">
      <c r="A218">
        <v>222</v>
      </c>
      <c r="B218">
        <v>112027</v>
      </c>
      <c r="C218">
        <v>4</v>
      </c>
      <c r="D218" t="s">
        <v>63</v>
      </c>
      <c r="E218">
        <v>1</v>
      </c>
      <c r="F218">
        <v>0</v>
      </c>
      <c r="G218" s="66">
        <v>10.5</v>
      </c>
      <c r="H218" s="66">
        <v>4.2</v>
      </c>
      <c r="I218" s="66">
        <v>84</v>
      </c>
      <c r="K218" s="67"/>
      <c r="P218" s="2"/>
      <c r="Q218" s="13">
        <v>5</v>
      </c>
      <c r="R218" s="13">
        <v>5</v>
      </c>
      <c r="S218" s="13">
        <v>6</v>
      </c>
      <c r="T218" s="13">
        <v>4</v>
      </c>
    </row>
    <row r="219" spans="1:20">
      <c r="A219">
        <v>223</v>
      </c>
      <c r="B219">
        <v>112027</v>
      </c>
      <c r="C219">
        <v>5</v>
      </c>
      <c r="D219" t="s">
        <v>64</v>
      </c>
      <c r="E219">
        <v>1</v>
      </c>
      <c r="F219">
        <v>0</v>
      </c>
      <c r="G219" s="66">
        <v>12</v>
      </c>
      <c r="H219" s="66">
        <v>4.8</v>
      </c>
      <c r="I219" s="66">
        <v>96</v>
      </c>
      <c r="K219" s="67"/>
      <c r="P219" s="2"/>
      <c r="Q219" s="13">
        <v>5</v>
      </c>
      <c r="R219" s="13">
        <v>5</v>
      </c>
      <c r="S219" s="13">
        <v>6</v>
      </c>
      <c r="T219" s="13">
        <v>4</v>
      </c>
    </row>
    <row r="220" spans="1:20">
      <c r="A220">
        <v>224</v>
      </c>
      <c r="B220">
        <v>112027</v>
      </c>
      <c r="C220">
        <v>6</v>
      </c>
      <c r="D220" t="s">
        <v>65</v>
      </c>
      <c r="E220">
        <v>1</v>
      </c>
      <c r="F220">
        <v>0</v>
      </c>
      <c r="G220" s="66">
        <v>14</v>
      </c>
      <c r="H220" s="66">
        <v>5.6</v>
      </c>
      <c r="I220" s="66">
        <v>112</v>
      </c>
      <c r="K220" s="67"/>
      <c r="P220" s="2"/>
      <c r="Q220" s="13">
        <v>5</v>
      </c>
      <c r="R220" s="13">
        <v>5</v>
      </c>
      <c r="S220" s="13">
        <v>6</v>
      </c>
      <c r="T220" s="13">
        <v>4</v>
      </c>
    </row>
    <row r="221" spans="1:20">
      <c r="A221">
        <v>225</v>
      </c>
      <c r="B221">
        <v>112027</v>
      </c>
      <c r="C221">
        <v>7</v>
      </c>
      <c r="D221" t="s">
        <v>65</v>
      </c>
      <c r="E221">
        <v>2</v>
      </c>
      <c r="F221">
        <v>0</v>
      </c>
      <c r="G221" s="66">
        <v>16</v>
      </c>
      <c r="H221" s="66">
        <v>6.4</v>
      </c>
      <c r="I221" s="66">
        <v>128</v>
      </c>
      <c r="K221" s="67"/>
      <c r="P221" s="2"/>
      <c r="Q221" s="13">
        <v>5</v>
      </c>
      <c r="R221" s="13">
        <v>5</v>
      </c>
      <c r="S221" s="13">
        <v>6</v>
      </c>
      <c r="T221" s="13">
        <v>4</v>
      </c>
    </row>
    <row r="222" spans="1:20">
      <c r="A222">
        <v>226</v>
      </c>
      <c r="B222">
        <v>112028</v>
      </c>
      <c r="C222">
        <v>3</v>
      </c>
      <c r="E222">
        <v>0</v>
      </c>
      <c r="F222">
        <v>0</v>
      </c>
      <c r="G222" s="66">
        <v>12</v>
      </c>
      <c r="H222" s="66">
        <v>4.8</v>
      </c>
      <c r="I222" s="66">
        <v>96</v>
      </c>
      <c r="K222" s="67"/>
      <c r="P222" s="2"/>
      <c r="Q222" s="13">
        <v>6</v>
      </c>
      <c r="R222" s="13">
        <v>4</v>
      </c>
      <c r="S222" s="13">
        <v>6</v>
      </c>
      <c r="T222" s="13">
        <v>5</v>
      </c>
    </row>
    <row r="223" spans="1:20">
      <c r="A223">
        <v>227</v>
      </c>
      <c r="B223">
        <v>112028</v>
      </c>
      <c r="C223">
        <v>4</v>
      </c>
      <c r="D223" t="s">
        <v>64</v>
      </c>
      <c r="E223">
        <v>1</v>
      </c>
      <c r="F223">
        <v>0</v>
      </c>
      <c r="G223" s="66">
        <v>13.5</v>
      </c>
      <c r="H223" s="66">
        <v>5.4</v>
      </c>
      <c r="I223" s="66">
        <v>108</v>
      </c>
      <c r="K223" s="67"/>
      <c r="P223" s="2"/>
      <c r="Q223" s="13">
        <v>6</v>
      </c>
      <c r="R223" s="13">
        <v>4</v>
      </c>
      <c r="S223" s="13">
        <v>6</v>
      </c>
      <c r="T223" s="13">
        <v>5</v>
      </c>
    </row>
    <row r="224" spans="1:20">
      <c r="A224">
        <v>228</v>
      </c>
      <c r="B224">
        <v>112028</v>
      </c>
      <c r="C224">
        <v>5</v>
      </c>
      <c r="D224" t="s">
        <v>65</v>
      </c>
      <c r="E224">
        <v>1</v>
      </c>
      <c r="F224">
        <v>0</v>
      </c>
      <c r="G224" s="66">
        <v>15</v>
      </c>
      <c r="H224" s="66">
        <v>6</v>
      </c>
      <c r="I224" s="66">
        <v>120</v>
      </c>
      <c r="K224" s="67"/>
      <c r="P224" s="2"/>
      <c r="Q224" s="13">
        <v>6</v>
      </c>
      <c r="R224" s="13">
        <v>4</v>
      </c>
      <c r="S224" s="13">
        <v>6</v>
      </c>
      <c r="T224" s="13">
        <v>5</v>
      </c>
    </row>
    <row r="225" spans="1:20">
      <c r="A225">
        <v>229</v>
      </c>
      <c r="B225">
        <v>112028</v>
      </c>
      <c r="C225">
        <v>6</v>
      </c>
      <c r="D225" t="s">
        <v>66</v>
      </c>
      <c r="E225">
        <v>1</v>
      </c>
      <c r="F225">
        <v>0</v>
      </c>
      <c r="G225" s="66">
        <v>17</v>
      </c>
      <c r="H225" s="66">
        <v>6.8</v>
      </c>
      <c r="I225" s="66">
        <v>136</v>
      </c>
      <c r="K225" s="67"/>
      <c r="P225" s="2"/>
      <c r="Q225" s="13">
        <v>6</v>
      </c>
      <c r="R225" s="13">
        <v>4</v>
      </c>
      <c r="S225" s="13">
        <v>6</v>
      </c>
      <c r="T225" s="13">
        <v>5</v>
      </c>
    </row>
    <row r="226" spans="1:20">
      <c r="A226">
        <v>230</v>
      </c>
      <c r="B226">
        <v>112028</v>
      </c>
      <c r="C226">
        <v>7</v>
      </c>
      <c r="D226" t="s">
        <v>66</v>
      </c>
      <c r="E226">
        <v>2</v>
      </c>
      <c r="F226">
        <v>0</v>
      </c>
      <c r="G226" s="66">
        <v>19</v>
      </c>
      <c r="H226" s="66">
        <v>7.6</v>
      </c>
      <c r="I226" s="66">
        <v>152</v>
      </c>
      <c r="K226" s="67"/>
      <c r="P226" s="2"/>
      <c r="Q226" s="13">
        <v>6</v>
      </c>
      <c r="R226" s="13">
        <v>4</v>
      </c>
      <c r="S226" s="13">
        <v>6</v>
      </c>
      <c r="T226" s="13">
        <v>5</v>
      </c>
    </row>
    <row r="227" spans="1:20">
      <c r="A227">
        <v>231</v>
      </c>
      <c r="B227">
        <v>112028</v>
      </c>
      <c r="C227">
        <v>8</v>
      </c>
      <c r="D227" s="69" t="s">
        <v>67</v>
      </c>
      <c r="E227">
        <v>2</v>
      </c>
      <c r="F227">
        <v>0</v>
      </c>
      <c r="G227" s="66">
        <v>21</v>
      </c>
      <c r="H227" s="66">
        <v>8.4</v>
      </c>
      <c r="I227" s="66">
        <v>168</v>
      </c>
      <c r="K227" s="67"/>
      <c r="P227" s="2"/>
      <c r="Q227" s="13">
        <v>6</v>
      </c>
      <c r="R227" s="13">
        <v>4</v>
      </c>
      <c r="S227" s="13">
        <v>6</v>
      </c>
      <c r="T227" s="13">
        <v>5</v>
      </c>
    </row>
    <row r="228" spans="1:20">
      <c r="A228">
        <v>232</v>
      </c>
      <c r="B228">
        <v>113001</v>
      </c>
      <c r="C228">
        <v>3</v>
      </c>
      <c r="E228">
        <v>0</v>
      </c>
      <c r="F228">
        <v>0</v>
      </c>
      <c r="G228" s="66">
        <v>12</v>
      </c>
      <c r="H228" s="66">
        <v>4.8</v>
      </c>
      <c r="I228" s="66">
        <v>96</v>
      </c>
      <c r="K228" s="67"/>
      <c r="P228" s="2"/>
      <c r="Q228" s="13">
        <v>3</v>
      </c>
      <c r="R228" s="13">
        <v>4</v>
      </c>
      <c r="S228" s="13">
        <v>3</v>
      </c>
      <c r="T228" s="13">
        <v>3</v>
      </c>
    </row>
    <row r="229" spans="1:20">
      <c r="A229">
        <v>233</v>
      </c>
      <c r="B229">
        <v>113001</v>
      </c>
      <c r="C229">
        <v>4</v>
      </c>
      <c r="D229" t="s">
        <v>64</v>
      </c>
      <c r="E229">
        <v>1</v>
      </c>
      <c r="F229">
        <v>0</v>
      </c>
      <c r="G229" s="66">
        <v>13.5</v>
      </c>
      <c r="H229" s="66">
        <v>5.4</v>
      </c>
      <c r="I229" s="66">
        <v>108</v>
      </c>
      <c r="K229" s="67"/>
      <c r="P229" s="2"/>
      <c r="Q229" s="13">
        <v>3</v>
      </c>
      <c r="R229" s="13">
        <v>4</v>
      </c>
      <c r="S229" s="13">
        <v>3</v>
      </c>
      <c r="T229" s="13">
        <v>3</v>
      </c>
    </row>
    <row r="230" spans="1:20">
      <c r="A230">
        <v>234</v>
      </c>
      <c r="B230">
        <v>113001</v>
      </c>
      <c r="C230">
        <v>5</v>
      </c>
      <c r="D230" t="s">
        <v>65</v>
      </c>
      <c r="E230">
        <v>1</v>
      </c>
      <c r="F230">
        <v>0</v>
      </c>
      <c r="G230" s="66">
        <v>15</v>
      </c>
      <c r="H230" s="66">
        <v>6</v>
      </c>
      <c r="I230" s="66">
        <v>120</v>
      </c>
      <c r="K230" s="67"/>
      <c r="P230" s="2"/>
      <c r="Q230" s="13">
        <v>3</v>
      </c>
      <c r="R230" s="13">
        <v>4</v>
      </c>
      <c r="S230" s="13">
        <v>3</v>
      </c>
      <c r="T230" s="13">
        <v>3</v>
      </c>
    </row>
    <row r="231" spans="1:20">
      <c r="A231">
        <v>235</v>
      </c>
      <c r="B231">
        <v>113001</v>
      </c>
      <c r="C231">
        <v>6</v>
      </c>
      <c r="D231" t="s">
        <v>66</v>
      </c>
      <c r="E231">
        <v>1</v>
      </c>
      <c r="F231">
        <v>0</v>
      </c>
      <c r="G231" s="66">
        <v>17</v>
      </c>
      <c r="H231" s="66">
        <v>6.8</v>
      </c>
      <c r="I231" s="66">
        <v>136</v>
      </c>
      <c r="K231" s="67"/>
      <c r="P231" s="2"/>
      <c r="Q231" s="13">
        <v>3</v>
      </c>
      <c r="R231" s="13">
        <v>4</v>
      </c>
      <c r="S231" s="13">
        <v>3</v>
      </c>
      <c r="T231" s="13">
        <v>3</v>
      </c>
    </row>
    <row r="232" spans="1:20">
      <c r="A232">
        <v>236</v>
      </c>
      <c r="B232">
        <v>113001</v>
      </c>
      <c r="C232">
        <v>7</v>
      </c>
      <c r="D232" t="s">
        <v>66</v>
      </c>
      <c r="E232">
        <v>2</v>
      </c>
      <c r="F232">
        <v>0</v>
      </c>
      <c r="G232" s="66">
        <v>19</v>
      </c>
      <c r="H232" s="66">
        <v>7.6</v>
      </c>
      <c r="I232" s="66">
        <v>152</v>
      </c>
      <c r="K232" s="67"/>
      <c r="P232" s="2"/>
      <c r="Q232" s="13">
        <v>3</v>
      </c>
      <c r="R232" s="13">
        <v>4</v>
      </c>
      <c r="S232" s="13">
        <v>3</v>
      </c>
      <c r="T232" s="13">
        <v>3</v>
      </c>
    </row>
    <row r="233" spans="1:20">
      <c r="A233">
        <v>237</v>
      </c>
      <c r="B233">
        <v>113001</v>
      </c>
      <c r="C233">
        <v>8</v>
      </c>
      <c r="D233" s="69" t="s">
        <v>67</v>
      </c>
      <c r="E233">
        <v>2</v>
      </c>
      <c r="F233">
        <v>0</v>
      </c>
      <c r="G233" s="66">
        <v>21</v>
      </c>
      <c r="H233" s="66">
        <v>8.4</v>
      </c>
      <c r="I233" s="66">
        <v>168</v>
      </c>
      <c r="K233" s="67"/>
      <c r="P233" s="2"/>
      <c r="Q233" s="13">
        <v>3</v>
      </c>
      <c r="R233" s="13">
        <v>4</v>
      </c>
      <c r="S233" s="13">
        <v>3</v>
      </c>
      <c r="T233" s="13">
        <v>3</v>
      </c>
    </row>
    <row r="234" spans="1:20">
      <c r="A234">
        <v>238</v>
      </c>
      <c r="B234">
        <v>113002</v>
      </c>
      <c r="C234">
        <v>3</v>
      </c>
      <c r="E234">
        <v>0</v>
      </c>
      <c r="F234">
        <v>0</v>
      </c>
      <c r="G234" s="66">
        <v>12</v>
      </c>
      <c r="H234" s="66">
        <v>4.8</v>
      </c>
      <c r="I234" s="66">
        <v>96</v>
      </c>
      <c r="K234" s="67"/>
      <c r="P234" s="2"/>
      <c r="Q234" s="13">
        <v>3</v>
      </c>
      <c r="R234" s="13">
        <v>3</v>
      </c>
      <c r="S234" s="13">
        <v>3</v>
      </c>
      <c r="T234" s="13">
        <v>3</v>
      </c>
    </row>
    <row r="235" spans="1:20">
      <c r="A235">
        <v>239</v>
      </c>
      <c r="B235">
        <v>113002</v>
      </c>
      <c r="C235">
        <v>4</v>
      </c>
      <c r="D235" t="s">
        <v>64</v>
      </c>
      <c r="E235">
        <v>1</v>
      </c>
      <c r="F235">
        <v>0</v>
      </c>
      <c r="G235" s="66">
        <v>13.5</v>
      </c>
      <c r="H235" s="66">
        <v>5.4</v>
      </c>
      <c r="I235" s="66">
        <v>108</v>
      </c>
      <c r="K235" s="67"/>
      <c r="P235" s="2"/>
      <c r="Q235" s="13">
        <v>3</v>
      </c>
      <c r="R235" s="13">
        <v>3</v>
      </c>
      <c r="S235" s="13">
        <v>3</v>
      </c>
      <c r="T235" s="13">
        <v>3</v>
      </c>
    </row>
    <row r="236" spans="1:20">
      <c r="A236">
        <v>240</v>
      </c>
      <c r="B236">
        <v>113002</v>
      </c>
      <c r="C236">
        <v>5</v>
      </c>
      <c r="D236" t="s">
        <v>65</v>
      </c>
      <c r="E236">
        <v>1</v>
      </c>
      <c r="F236">
        <v>0</v>
      </c>
      <c r="G236" s="66">
        <v>15</v>
      </c>
      <c r="H236" s="66">
        <v>6</v>
      </c>
      <c r="I236" s="66">
        <v>120</v>
      </c>
      <c r="K236" s="67"/>
      <c r="P236" s="2"/>
      <c r="Q236" s="13">
        <v>3</v>
      </c>
      <c r="R236" s="13">
        <v>3</v>
      </c>
      <c r="S236" s="13">
        <v>3</v>
      </c>
      <c r="T236" s="13">
        <v>3</v>
      </c>
    </row>
    <row r="237" spans="1:20">
      <c r="A237">
        <v>241</v>
      </c>
      <c r="B237">
        <v>113002</v>
      </c>
      <c r="C237">
        <v>6</v>
      </c>
      <c r="D237" t="s">
        <v>66</v>
      </c>
      <c r="E237">
        <v>1</v>
      </c>
      <c r="F237">
        <v>0</v>
      </c>
      <c r="G237" s="66">
        <v>17</v>
      </c>
      <c r="H237" s="66">
        <v>6.8</v>
      </c>
      <c r="I237" s="66">
        <v>136</v>
      </c>
      <c r="K237" s="67"/>
      <c r="P237" s="2"/>
      <c r="Q237" s="13">
        <v>3</v>
      </c>
      <c r="R237" s="13">
        <v>3</v>
      </c>
      <c r="S237" s="13">
        <v>3</v>
      </c>
      <c r="T237" s="13">
        <v>3</v>
      </c>
    </row>
    <row r="238" spans="1:20">
      <c r="A238">
        <v>242</v>
      </c>
      <c r="B238">
        <v>113002</v>
      </c>
      <c r="C238">
        <v>7</v>
      </c>
      <c r="D238" t="s">
        <v>66</v>
      </c>
      <c r="E238">
        <v>2</v>
      </c>
      <c r="F238">
        <v>0</v>
      </c>
      <c r="G238" s="66">
        <v>19</v>
      </c>
      <c r="H238" s="66">
        <v>7.6</v>
      </c>
      <c r="I238" s="66">
        <v>152</v>
      </c>
      <c r="K238" s="67"/>
      <c r="P238" s="2"/>
      <c r="Q238" s="13">
        <v>3</v>
      </c>
      <c r="R238" s="13">
        <v>3</v>
      </c>
      <c r="S238" s="13">
        <v>3</v>
      </c>
      <c r="T238" s="13">
        <v>3</v>
      </c>
    </row>
    <row r="239" spans="1:20">
      <c r="A239">
        <v>243</v>
      </c>
      <c r="B239">
        <v>113002</v>
      </c>
      <c r="C239">
        <v>8</v>
      </c>
      <c r="D239" s="69" t="s">
        <v>67</v>
      </c>
      <c r="E239">
        <v>2</v>
      </c>
      <c r="F239">
        <v>0</v>
      </c>
      <c r="G239" s="66">
        <v>21</v>
      </c>
      <c r="H239" s="66">
        <v>8.4</v>
      </c>
      <c r="I239" s="66">
        <v>168</v>
      </c>
      <c r="K239" s="67"/>
      <c r="P239" s="2"/>
      <c r="Q239" s="13">
        <v>3</v>
      </c>
      <c r="R239" s="13">
        <v>3</v>
      </c>
      <c r="S239" s="13">
        <v>3</v>
      </c>
      <c r="T239" s="13">
        <v>3</v>
      </c>
    </row>
    <row r="240" spans="1:16">
      <c r="A240">
        <v>244</v>
      </c>
      <c r="B240">
        <v>113003</v>
      </c>
      <c r="C240">
        <v>3</v>
      </c>
      <c r="E240">
        <v>0</v>
      </c>
      <c r="F240">
        <v>0</v>
      </c>
      <c r="G240" s="66">
        <v>12</v>
      </c>
      <c r="H240" s="66">
        <v>4.8</v>
      </c>
      <c r="I240" s="66">
        <v>96</v>
      </c>
      <c r="K240" s="67"/>
      <c r="P240" s="2"/>
    </row>
    <row r="241" spans="1:16">
      <c r="A241">
        <v>245</v>
      </c>
      <c r="B241">
        <v>113003</v>
      </c>
      <c r="C241">
        <v>4</v>
      </c>
      <c r="D241" t="s">
        <v>64</v>
      </c>
      <c r="E241">
        <v>1</v>
      </c>
      <c r="F241">
        <v>0</v>
      </c>
      <c r="G241" s="66">
        <v>13.5</v>
      </c>
      <c r="H241" s="66">
        <v>5.4</v>
      </c>
      <c r="I241" s="66">
        <v>108</v>
      </c>
      <c r="K241" s="67"/>
      <c r="P241" s="2"/>
    </row>
    <row r="242" spans="1:16">
      <c r="A242">
        <v>246</v>
      </c>
      <c r="B242">
        <v>113003</v>
      </c>
      <c r="C242">
        <v>5</v>
      </c>
      <c r="D242" t="s">
        <v>65</v>
      </c>
      <c r="E242">
        <v>1</v>
      </c>
      <c r="F242">
        <v>0</v>
      </c>
      <c r="G242" s="66">
        <v>15</v>
      </c>
      <c r="H242" s="66">
        <v>6</v>
      </c>
      <c r="I242" s="66">
        <v>120</v>
      </c>
      <c r="K242" s="67"/>
      <c r="P242" s="2"/>
    </row>
    <row r="243" spans="1:16">
      <c r="A243">
        <v>247</v>
      </c>
      <c r="B243">
        <v>113003</v>
      </c>
      <c r="C243">
        <v>6</v>
      </c>
      <c r="D243" t="s">
        <v>66</v>
      </c>
      <c r="E243">
        <v>1</v>
      </c>
      <c r="F243">
        <v>0</v>
      </c>
      <c r="G243" s="66">
        <v>17</v>
      </c>
      <c r="H243" s="66">
        <v>6.8</v>
      </c>
      <c r="I243" s="66">
        <v>136</v>
      </c>
      <c r="K243" s="67"/>
      <c r="P243" s="2"/>
    </row>
    <row r="244" spans="1:16">
      <c r="A244">
        <v>248</v>
      </c>
      <c r="B244">
        <v>113003</v>
      </c>
      <c r="C244">
        <v>7</v>
      </c>
      <c r="D244" t="s">
        <v>66</v>
      </c>
      <c r="E244">
        <v>2</v>
      </c>
      <c r="F244">
        <v>0</v>
      </c>
      <c r="G244" s="66">
        <v>19</v>
      </c>
      <c r="H244" s="66">
        <v>7.6</v>
      </c>
      <c r="I244" s="66">
        <v>152</v>
      </c>
      <c r="K244" s="67"/>
      <c r="P244" s="2"/>
    </row>
    <row r="245" spans="1:16">
      <c r="A245">
        <v>249</v>
      </c>
      <c r="B245">
        <v>113003</v>
      </c>
      <c r="C245">
        <v>8</v>
      </c>
      <c r="D245" s="69" t="s">
        <v>67</v>
      </c>
      <c r="E245">
        <v>2</v>
      </c>
      <c r="F245">
        <v>0</v>
      </c>
      <c r="G245" s="66">
        <v>21</v>
      </c>
      <c r="H245" s="66">
        <v>8.4</v>
      </c>
      <c r="I245" s="66">
        <v>168</v>
      </c>
      <c r="K245" s="67"/>
      <c r="P245" s="2"/>
    </row>
    <row r="246" spans="1:16">
      <c r="A246">
        <v>250</v>
      </c>
      <c r="B246">
        <v>113004</v>
      </c>
      <c r="C246">
        <v>3</v>
      </c>
      <c r="E246">
        <v>0</v>
      </c>
      <c r="F246">
        <v>0</v>
      </c>
      <c r="G246" s="66">
        <v>12</v>
      </c>
      <c r="H246" s="66">
        <v>4.8</v>
      </c>
      <c r="I246" s="66">
        <v>96</v>
      </c>
      <c r="K246" s="67"/>
      <c r="P246" s="2"/>
    </row>
    <row r="247" spans="1:16">
      <c r="A247">
        <v>251</v>
      </c>
      <c r="B247">
        <v>113004</v>
      </c>
      <c r="C247">
        <v>4</v>
      </c>
      <c r="D247" t="s">
        <v>64</v>
      </c>
      <c r="E247">
        <v>1</v>
      </c>
      <c r="F247">
        <v>0</v>
      </c>
      <c r="G247" s="66">
        <v>13.5</v>
      </c>
      <c r="H247" s="66">
        <v>5.4</v>
      </c>
      <c r="I247" s="66">
        <v>108</v>
      </c>
      <c r="K247" s="67"/>
      <c r="P247" s="2"/>
    </row>
    <row r="248" spans="1:16">
      <c r="A248">
        <v>252</v>
      </c>
      <c r="B248">
        <v>113004</v>
      </c>
      <c r="C248">
        <v>5</v>
      </c>
      <c r="D248" t="s">
        <v>65</v>
      </c>
      <c r="E248">
        <v>1</v>
      </c>
      <c r="F248">
        <v>0</v>
      </c>
      <c r="G248" s="66">
        <v>15</v>
      </c>
      <c r="H248" s="66">
        <v>6</v>
      </c>
      <c r="I248" s="66">
        <v>120</v>
      </c>
      <c r="K248" s="67"/>
      <c r="P248" s="2"/>
    </row>
    <row r="249" spans="1:16">
      <c r="A249">
        <v>253</v>
      </c>
      <c r="B249">
        <v>113004</v>
      </c>
      <c r="C249">
        <v>6</v>
      </c>
      <c r="D249" t="s">
        <v>66</v>
      </c>
      <c r="E249">
        <v>1</v>
      </c>
      <c r="F249">
        <v>0</v>
      </c>
      <c r="G249" s="66">
        <v>17</v>
      </c>
      <c r="H249" s="66">
        <v>6.8</v>
      </c>
      <c r="I249" s="66">
        <v>136</v>
      </c>
      <c r="K249" s="67"/>
      <c r="P249" s="2"/>
    </row>
    <row r="250" spans="1:16">
      <c r="A250">
        <v>254</v>
      </c>
      <c r="B250">
        <v>113004</v>
      </c>
      <c r="C250">
        <v>7</v>
      </c>
      <c r="D250" t="s">
        <v>66</v>
      </c>
      <c r="E250">
        <v>2</v>
      </c>
      <c r="F250">
        <v>0</v>
      </c>
      <c r="G250" s="66">
        <v>19</v>
      </c>
      <c r="H250" s="66">
        <v>7.6</v>
      </c>
      <c r="I250" s="66">
        <v>152</v>
      </c>
      <c r="K250" s="67"/>
      <c r="P250" s="2"/>
    </row>
    <row r="251" spans="1:16">
      <c r="A251">
        <v>255</v>
      </c>
      <c r="B251">
        <v>113004</v>
      </c>
      <c r="C251">
        <v>8</v>
      </c>
      <c r="D251" s="69" t="s">
        <v>67</v>
      </c>
      <c r="E251">
        <v>2</v>
      </c>
      <c r="F251">
        <v>0</v>
      </c>
      <c r="G251" s="66">
        <v>21</v>
      </c>
      <c r="H251" s="66">
        <v>8.4</v>
      </c>
      <c r="I251" s="66">
        <v>168</v>
      </c>
      <c r="K251" s="67"/>
      <c r="P251" s="2"/>
    </row>
    <row r="252" spans="1:16">
      <c r="A252">
        <v>256</v>
      </c>
      <c r="B252">
        <v>113005</v>
      </c>
      <c r="C252">
        <v>3</v>
      </c>
      <c r="E252">
        <v>0</v>
      </c>
      <c r="F252">
        <v>0</v>
      </c>
      <c r="G252" s="66">
        <v>12</v>
      </c>
      <c r="H252" s="66">
        <v>4.8</v>
      </c>
      <c r="I252" s="66">
        <v>96</v>
      </c>
      <c r="K252" s="67"/>
      <c r="P252" s="2"/>
    </row>
    <row r="253" spans="1:16">
      <c r="A253">
        <v>257</v>
      </c>
      <c r="B253">
        <v>113005</v>
      </c>
      <c r="C253">
        <v>4</v>
      </c>
      <c r="D253" t="s">
        <v>64</v>
      </c>
      <c r="E253">
        <v>1</v>
      </c>
      <c r="F253">
        <v>0</v>
      </c>
      <c r="G253" s="66">
        <v>13.5</v>
      </c>
      <c r="H253" s="66">
        <v>5.4</v>
      </c>
      <c r="I253" s="66">
        <v>108</v>
      </c>
      <c r="K253" s="67"/>
      <c r="P253" s="2"/>
    </row>
    <row r="254" spans="1:16">
      <c r="A254">
        <v>258</v>
      </c>
      <c r="B254">
        <v>113005</v>
      </c>
      <c r="C254">
        <v>5</v>
      </c>
      <c r="D254" t="s">
        <v>65</v>
      </c>
      <c r="E254">
        <v>1</v>
      </c>
      <c r="F254">
        <v>0</v>
      </c>
      <c r="G254" s="66">
        <v>15</v>
      </c>
      <c r="H254" s="66">
        <v>6</v>
      </c>
      <c r="I254" s="66">
        <v>120</v>
      </c>
      <c r="K254" s="67"/>
      <c r="P254" s="2"/>
    </row>
    <row r="255" spans="1:16">
      <c r="A255">
        <v>259</v>
      </c>
      <c r="B255">
        <v>113005</v>
      </c>
      <c r="C255">
        <v>6</v>
      </c>
      <c r="D255" t="s">
        <v>66</v>
      </c>
      <c r="E255">
        <v>1</v>
      </c>
      <c r="F255">
        <v>0</v>
      </c>
      <c r="G255" s="66">
        <v>17</v>
      </c>
      <c r="H255" s="66">
        <v>6.8</v>
      </c>
      <c r="I255" s="66">
        <v>136</v>
      </c>
      <c r="K255" s="67"/>
      <c r="P255" s="2"/>
    </row>
    <row r="256" spans="1:16">
      <c r="A256">
        <v>260</v>
      </c>
      <c r="B256">
        <v>113005</v>
      </c>
      <c r="C256">
        <v>7</v>
      </c>
      <c r="D256" t="s">
        <v>66</v>
      </c>
      <c r="E256">
        <v>2</v>
      </c>
      <c r="F256">
        <v>0</v>
      </c>
      <c r="G256" s="66">
        <v>19</v>
      </c>
      <c r="H256" s="66">
        <v>7.6</v>
      </c>
      <c r="I256" s="66">
        <v>152</v>
      </c>
      <c r="K256" s="67"/>
      <c r="P256" s="2"/>
    </row>
    <row r="257" spans="1:16">
      <c r="A257">
        <v>261</v>
      </c>
      <c r="B257">
        <v>113005</v>
      </c>
      <c r="C257">
        <v>8</v>
      </c>
      <c r="D257" s="69" t="s">
        <v>67</v>
      </c>
      <c r="E257">
        <v>2</v>
      </c>
      <c r="F257">
        <v>0</v>
      </c>
      <c r="G257" s="66">
        <v>21</v>
      </c>
      <c r="H257" s="66">
        <v>8.4</v>
      </c>
      <c r="I257" s="66">
        <v>168</v>
      </c>
      <c r="K257" s="67"/>
      <c r="P257" s="2"/>
    </row>
    <row r="258" spans="1:20">
      <c r="A258">
        <v>262</v>
      </c>
      <c r="B258">
        <v>113006</v>
      </c>
      <c r="C258">
        <v>3</v>
      </c>
      <c r="E258">
        <v>0</v>
      </c>
      <c r="F258">
        <v>0</v>
      </c>
      <c r="G258" s="66">
        <v>12</v>
      </c>
      <c r="H258" s="66">
        <v>4.8</v>
      </c>
      <c r="I258" s="66">
        <v>96</v>
      </c>
      <c r="K258" s="67"/>
      <c r="P258" s="2"/>
      <c r="Q258" s="13">
        <v>4</v>
      </c>
      <c r="R258" s="13">
        <v>3</v>
      </c>
      <c r="S258" s="13">
        <v>3</v>
      </c>
      <c r="T258" s="13">
        <v>4</v>
      </c>
    </row>
    <row r="259" spans="1:20">
      <c r="A259">
        <v>263</v>
      </c>
      <c r="B259">
        <v>113006</v>
      </c>
      <c r="C259">
        <v>4</v>
      </c>
      <c r="D259" t="s">
        <v>64</v>
      </c>
      <c r="E259">
        <v>1</v>
      </c>
      <c r="F259">
        <v>0</v>
      </c>
      <c r="G259" s="66">
        <v>13.5</v>
      </c>
      <c r="H259" s="66">
        <v>5.4</v>
      </c>
      <c r="I259" s="66">
        <v>108</v>
      </c>
      <c r="K259" s="67"/>
      <c r="P259" s="2"/>
      <c r="Q259" s="13">
        <v>4</v>
      </c>
      <c r="R259" s="13">
        <v>3</v>
      </c>
      <c r="S259" s="13">
        <v>3</v>
      </c>
      <c r="T259" s="13">
        <v>4</v>
      </c>
    </row>
    <row r="260" spans="1:20">
      <c r="A260">
        <v>264</v>
      </c>
      <c r="B260">
        <v>113006</v>
      </c>
      <c r="C260">
        <v>5</v>
      </c>
      <c r="D260" t="s">
        <v>65</v>
      </c>
      <c r="E260">
        <v>1</v>
      </c>
      <c r="F260">
        <v>0</v>
      </c>
      <c r="G260" s="66">
        <v>15</v>
      </c>
      <c r="H260" s="66">
        <v>6</v>
      </c>
      <c r="I260" s="66">
        <v>120</v>
      </c>
      <c r="K260" s="67"/>
      <c r="P260" s="2"/>
      <c r="Q260" s="13">
        <v>4</v>
      </c>
      <c r="R260" s="13">
        <v>3</v>
      </c>
      <c r="S260" s="13">
        <v>3</v>
      </c>
      <c r="T260" s="13">
        <v>4</v>
      </c>
    </row>
    <row r="261" spans="1:20">
      <c r="A261">
        <v>265</v>
      </c>
      <c r="B261">
        <v>113006</v>
      </c>
      <c r="C261">
        <v>6</v>
      </c>
      <c r="D261" t="s">
        <v>66</v>
      </c>
      <c r="E261">
        <v>1</v>
      </c>
      <c r="F261">
        <v>0</v>
      </c>
      <c r="G261" s="66">
        <v>17</v>
      </c>
      <c r="H261" s="66">
        <v>6.8</v>
      </c>
      <c r="I261" s="66">
        <v>136</v>
      </c>
      <c r="K261" s="67"/>
      <c r="P261" s="2"/>
      <c r="Q261" s="13">
        <v>4</v>
      </c>
      <c r="R261" s="13">
        <v>3</v>
      </c>
      <c r="S261" s="13">
        <v>3</v>
      </c>
      <c r="T261" s="13">
        <v>4</v>
      </c>
    </row>
    <row r="262" spans="1:20">
      <c r="A262">
        <v>266</v>
      </c>
      <c r="B262">
        <v>113006</v>
      </c>
      <c r="C262">
        <v>7</v>
      </c>
      <c r="D262" t="s">
        <v>66</v>
      </c>
      <c r="E262">
        <v>2</v>
      </c>
      <c r="F262">
        <v>0</v>
      </c>
      <c r="G262" s="66">
        <v>19</v>
      </c>
      <c r="H262" s="66">
        <v>7.6</v>
      </c>
      <c r="I262" s="66">
        <v>152</v>
      </c>
      <c r="K262" s="67"/>
      <c r="P262" s="2"/>
      <c r="Q262" s="13">
        <v>4</v>
      </c>
      <c r="R262" s="13">
        <v>3</v>
      </c>
      <c r="S262" s="13">
        <v>3</v>
      </c>
      <c r="T262" s="13">
        <v>4</v>
      </c>
    </row>
    <row r="263" spans="1:20">
      <c r="A263">
        <v>267</v>
      </c>
      <c r="B263">
        <v>113006</v>
      </c>
      <c r="C263">
        <v>8</v>
      </c>
      <c r="D263" s="69" t="s">
        <v>67</v>
      </c>
      <c r="E263">
        <v>2</v>
      </c>
      <c r="F263">
        <v>0</v>
      </c>
      <c r="G263" s="66">
        <v>21</v>
      </c>
      <c r="H263" s="66">
        <v>8.4</v>
      </c>
      <c r="I263" s="66">
        <v>168</v>
      </c>
      <c r="K263" s="67"/>
      <c r="P263" s="2"/>
      <c r="Q263" s="13">
        <v>4</v>
      </c>
      <c r="R263" s="13">
        <v>3</v>
      </c>
      <c r="S263" s="13">
        <v>3</v>
      </c>
      <c r="T263" s="13">
        <v>4</v>
      </c>
    </row>
    <row r="264" spans="1:16">
      <c r="A264">
        <v>268</v>
      </c>
      <c r="B264">
        <v>113007</v>
      </c>
      <c r="C264">
        <v>3</v>
      </c>
      <c r="E264">
        <v>0</v>
      </c>
      <c r="F264">
        <v>0</v>
      </c>
      <c r="G264" s="66">
        <v>12</v>
      </c>
      <c r="H264" s="66">
        <v>4.8</v>
      </c>
      <c r="I264" s="66">
        <v>96</v>
      </c>
      <c r="K264" s="67"/>
      <c r="P264" s="2"/>
    </row>
    <row r="265" spans="1:16">
      <c r="A265">
        <v>269</v>
      </c>
      <c r="B265">
        <v>113007</v>
      </c>
      <c r="C265">
        <v>4</v>
      </c>
      <c r="D265" t="s">
        <v>64</v>
      </c>
      <c r="E265">
        <v>1</v>
      </c>
      <c r="F265">
        <v>0</v>
      </c>
      <c r="G265" s="66">
        <v>13.5</v>
      </c>
      <c r="H265" s="66">
        <v>5.4</v>
      </c>
      <c r="I265" s="66">
        <v>108</v>
      </c>
      <c r="K265" s="67"/>
      <c r="P265" s="2"/>
    </row>
    <row r="266" spans="1:16">
      <c r="A266">
        <v>270</v>
      </c>
      <c r="B266">
        <v>113007</v>
      </c>
      <c r="C266">
        <v>5</v>
      </c>
      <c r="D266" t="s">
        <v>65</v>
      </c>
      <c r="E266">
        <v>1</v>
      </c>
      <c r="F266">
        <v>0</v>
      </c>
      <c r="G266" s="66">
        <v>15</v>
      </c>
      <c r="H266" s="66">
        <v>6</v>
      </c>
      <c r="I266" s="66">
        <v>120</v>
      </c>
      <c r="K266" s="67"/>
      <c r="P266" s="2"/>
    </row>
    <row r="267" spans="1:16">
      <c r="A267">
        <v>271</v>
      </c>
      <c r="B267">
        <v>113007</v>
      </c>
      <c r="C267">
        <v>6</v>
      </c>
      <c r="D267" t="s">
        <v>66</v>
      </c>
      <c r="E267">
        <v>1</v>
      </c>
      <c r="F267">
        <v>0</v>
      </c>
      <c r="G267" s="66">
        <v>17</v>
      </c>
      <c r="H267" s="66">
        <v>6.8</v>
      </c>
      <c r="I267" s="66">
        <v>136</v>
      </c>
      <c r="K267" s="67"/>
      <c r="P267" s="2"/>
    </row>
    <row r="268" spans="1:16">
      <c r="A268">
        <v>272</v>
      </c>
      <c r="B268">
        <v>113007</v>
      </c>
      <c r="C268">
        <v>7</v>
      </c>
      <c r="D268" t="s">
        <v>66</v>
      </c>
      <c r="E268">
        <v>2</v>
      </c>
      <c r="F268">
        <v>0</v>
      </c>
      <c r="G268" s="66">
        <v>19</v>
      </c>
      <c r="H268" s="66">
        <v>7.6</v>
      </c>
      <c r="I268" s="66">
        <v>152</v>
      </c>
      <c r="K268" s="67"/>
      <c r="P268" s="2"/>
    </row>
    <row r="269" spans="1:16">
      <c r="A269">
        <v>273</v>
      </c>
      <c r="B269">
        <v>113007</v>
      </c>
      <c r="C269">
        <v>8</v>
      </c>
      <c r="D269" s="69" t="s">
        <v>67</v>
      </c>
      <c r="E269">
        <v>2</v>
      </c>
      <c r="F269">
        <v>0</v>
      </c>
      <c r="G269" s="66">
        <v>21</v>
      </c>
      <c r="H269" s="66">
        <v>8.4</v>
      </c>
      <c r="I269" s="66">
        <v>168</v>
      </c>
      <c r="K269" s="67"/>
      <c r="P269" s="2"/>
    </row>
    <row r="270" spans="1:16">
      <c r="A270">
        <v>274</v>
      </c>
      <c r="B270">
        <v>113008</v>
      </c>
      <c r="C270">
        <v>3</v>
      </c>
      <c r="E270">
        <v>0</v>
      </c>
      <c r="F270">
        <v>0</v>
      </c>
      <c r="G270" s="66">
        <v>12</v>
      </c>
      <c r="H270" s="66">
        <v>4.8</v>
      </c>
      <c r="I270" s="66">
        <v>96</v>
      </c>
      <c r="K270" s="67"/>
      <c r="P270" s="2"/>
    </row>
    <row r="271" spans="1:16">
      <c r="A271">
        <v>275</v>
      </c>
      <c r="B271">
        <v>113008</v>
      </c>
      <c r="C271">
        <v>4</v>
      </c>
      <c r="D271" t="s">
        <v>64</v>
      </c>
      <c r="E271">
        <v>1</v>
      </c>
      <c r="F271">
        <v>0</v>
      </c>
      <c r="G271" s="66">
        <v>13.5</v>
      </c>
      <c r="H271" s="66">
        <v>5.4</v>
      </c>
      <c r="I271" s="66">
        <v>108</v>
      </c>
      <c r="K271" s="67"/>
      <c r="P271" s="2"/>
    </row>
    <row r="272" spans="1:16">
      <c r="A272">
        <v>276</v>
      </c>
      <c r="B272">
        <v>113008</v>
      </c>
      <c r="C272">
        <v>5</v>
      </c>
      <c r="D272" t="s">
        <v>65</v>
      </c>
      <c r="E272">
        <v>1</v>
      </c>
      <c r="F272">
        <v>0</v>
      </c>
      <c r="G272" s="66">
        <v>15</v>
      </c>
      <c r="H272" s="66">
        <v>6</v>
      </c>
      <c r="I272" s="66">
        <v>120</v>
      </c>
      <c r="K272" s="67"/>
      <c r="P272" s="2"/>
    </row>
    <row r="273" spans="1:16">
      <c r="A273">
        <v>277</v>
      </c>
      <c r="B273">
        <v>113008</v>
      </c>
      <c r="C273">
        <v>6</v>
      </c>
      <c r="D273" t="s">
        <v>66</v>
      </c>
      <c r="E273">
        <v>1</v>
      </c>
      <c r="F273">
        <v>0</v>
      </c>
      <c r="G273" s="66">
        <v>17</v>
      </c>
      <c r="H273" s="66">
        <v>6.8</v>
      </c>
      <c r="I273" s="66">
        <v>136</v>
      </c>
      <c r="K273" s="67"/>
      <c r="P273" s="2"/>
    </row>
    <row r="274" spans="1:16">
      <c r="A274">
        <v>278</v>
      </c>
      <c r="B274">
        <v>113008</v>
      </c>
      <c r="C274">
        <v>7</v>
      </c>
      <c r="D274" t="s">
        <v>66</v>
      </c>
      <c r="E274">
        <v>2</v>
      </c>
      <c r="F274">
        <v>0</v>
      </c>
      <c r="G274" s="66">
        <v>19</v>
      </c>
      <c r="H274" s="66">
        <v>7.6</v>
      </c>
      <c r="I274" s="66">
        <v>152</v>
      </c>
      <c r="K274" s="67"/>
      <c r="P274" s="2"/>
    </row>
    <row r="275" spans="1:16">
      <c r="A275">
        <v>279</v>
      </c>
      <c r="B275">
        <v>113008</v>
      </c>
      <c r="C275">
        <v>8</v>
      </c>
      <c r="D275" s="69" t="s">
        <v>67</v>
      </c>
      <c r="E275">
        <v>2</v>
      </c>
      <c r="F275">
        <v>0</v>
      </c>
      <c r="G275" s="66">
        <v>21</v>
      </c>
      <c r="H275" s="66">
        <v>8.4</v>
      </c>
      <c r="I275" s="66">
        <v>168</v>
      </c>
      <c r="K275" s="67"/>
      <c r="P275" s="2"/>
    </row>
    <row r="276" spans="1:16">
      <c r="A276">
        <v>280</v>
      </c>
      <c r="B276">
        <v>113009</v>
      </c>
      <c r="C276">
        <v>3</v>
      </c>
      <c r="E276">
        <v>0</v>
      </c>
      <c r="F276">
        <v>0</v>
      </c>
      <c r="G276" s="66">
        <v>12</v>
      </c>
      <c r="H276" s="66">
        <v>4.8</v>
      </c>
      <c r="I276" s="66">
        <v>96</v>
      </c>
      <c r="K276" s="67"/>
      <c r="P276" s="2"/>
    </row>
    <row r="277" spans="1:16">
      <c r="A277">
        <v>281</v>
      </c>
      <c r="B277">
        <v>113009</v>
      </c>
      <c r="C277">
        <v>4</v>
      </c>
      <c r="D277" t="s">
        <v>64</v>
      </c>
      <c r="E277">
        <v>1</v>
      </c>
      <c r="F277">
        <v>0</v>
      </c>
      <c r="G277" s="66">
        <v>13.5</v>
      </c>
      <c r="H277" s="66">
        <v>5.4</v>
      </c>
      <c r="I277" s="66">
        <v>108</v>
      </c>
      <c r="K277" s="67"/>
      <c r="P277" s="2"/>
    </row>
    <row r="278" spans="1:16">
      <c r="A278">
        <v>282</v>
      </c>
      <c r="B278">
        <v>113009</v>
      </c>
      <c r="C278">
        <v>5</v>
      </c>
      <c r="D278" t="s">
        <v>65</v>
      </c>
      <c r="E278">
        <v>1</v>
      </c>
      <c r="F278">
        <v>0</v>
      </c>
      <c r="G278" s="66">
        <v>15</v>
      </c>
      <c r="H278" s="66">
        <v>6</v>
      </c>
      <c r="I278" s="66">
        <v>120</v>
      </c>
      <c r="K278" s="67"/>
      <c r="P278" s="2"/>
    </row>
    <row r="279" spans="1:16">
      <c r="A279">
        <v>283</v>
      </c>
      <c r="B279">
        <v>113009</v>
      </c>
      <c r="C279">
        <v>6</v>
      </c>
      <c r="D279" t="s">
        <v>66</v>
      </c>
      <c r="E279">
        <v>1</v>
      </c>
      <c r="F279">
        <v>0</v>
      </c>
      <c r="G279" s="66">
        <v>17</v>
      </c>
      <c r="H279" s="66">
        <v>6.8</v>
      </c>
      <c r="I279" s="66">
        <v>136</v>
      </c>
      <c r="K279" s="67"/>
      <c r="P279" s="2"/>
    </row>
    <row r="280" spans="1:16">
      <c r="A280">
        <v>284</v>
      </c>
      <c r="B280">
        <v>113009</v>
      </c>
      <c r="C280">
        <v>7</v>
      </c>
      <c r="D280" t="s">
        <v>66</v>
      </c>
      <c r="E280">
        <v>2</v>
      </c>
      <c r="F280">
        <v>0</v>
      </c>
      <c r="G280" s="66">
        <v>19</v>
      </c>
      <c r="H280" s="66">
        <v>7.6</v>
      </c>
      <c r="I280" s="66">
        <v>152</v>
      </c>
      <c r="K280" s="67"/>
      <c r="P280" s="2"/>
    </row>
    <row r="281" spans="1:16">
      <c r="A281">
        <v>285</v>
      </c>
      <c r="B281">
        <v>113009</v>
      </c>
      <c r="C281">
        <v>8</v>
      </c>
      <c r="D281" s="69" t="s">
        <v>67</v>
      </c>
      <c r="E281">
        <v>2</v>
      </c>
      <c r="F281">
        <v>0</v>
      </c>
      <c r="G281" s="66">
        <v>21</v>
      </c>
      <c r="H281" s="66">
        <v>8.4</v>
      </c>
      <c r="I281" s="66">
        <v>168</v>
      </c>
      <c r="K281" s="67"/>
      <c r="P281" s="2"/>
    </row>
    <row r="282" spans="1:20">
      <c r="A282">
        <v>286</v>
      </c>
      <c r="B282">
        <v>113010</v>
      </c>
      <c r="C282">
        <v>3</v>
      </c>
      <c r="E282">
        <v>0</v>
      </c>
      <c r="F282">
        <v>0</v>
      </c>
      <c r="G282" s="66">
        <v>12</v>
      </c>
      <c r="H282" s="66">
        <v>4.8</v>
      </c>
      <c r="I282" s="66">
        <v>96</v>
      </c>
      <c r="K282" s="67"/>
      <c r="P282" s="2"/>
      <c r="Q282" s="13">
        <v>4</v>
      </c>
      <c r="R282" s="13">
        <v>3</v>
      </c>
      <c r="S282" s="13">
        <v>3</v>
      </c>
      <c r="T282" s="13">
        <v>3</v>
      </c>
    </row>
    <row r="283" spans="1:20">
      <c r="A283">
        <v>287</v>
      </c>
      <c r="B283">
        <v>113010</v>
      </c>
      <c r="C283">
        <v>4</v>
      </c>
      <c r="D283" t="s">
        <v>64</v>
      </c>
      <c r="E283">
        <v>1</v>
      </c>
      <c r="F283">
        <v>0</v>
      </c>
      <c r="G283" s="66">
        <v>13.5</v>
      </c>
      <c r="H283" s="66">
        <v>5.4</v>
      </c>
      <c r="I283" s="66">
        <v>108</v>
      </c>
      <c r="K283" s="67"/>
      <c r="P283" s="2"/>
      <c r="Q283" s="13">
        <v>4</v>
      </c>
      <c r="R283" s="13">
        <v>3</v>
      </c>
      <c r="S283" s="13">
        <v>3</v>
      </c>
      <c r="T283" s="13">
        <v>3</v>
      </c>
    </row>
    <row r="284" spans="1:20">
      <c r="A284">
        <v>288</v>
      </c>
      <c r="B284">
        <v>113010</v>
      </c>
      <c r="C284">
        <v>5</v>
      </c>
      <c r="D284" t="s">
        <v>65</v>
      </c>
      <c r="E284">
        <v>1</v>
      </c>
      <c r="F284">
        <v>0</v>
      </c>
      <c r="G284" s="66">
        <v>15</v>
      </c>
      <c r="H284" s="66">
        <v>6</v>
      </c>
      <c r="I284" s="66">
        <v>120</v>
      </c>
      <c r="K284" s="67"/>
      <c r="P284" s="2"/>
      <c r="Q284" s="13">
        <v>4</v>
      </c>
      <c r="R284" s="13">
        <v>3</v>
      </c>
      <c r="S284" s="13">
        <v>3</v>
      </c>
      <c r="T284" s="13">
        <v>3</v>
      </c>
    </row>
    <row r="285" spans="1:20">
      <c r="A285">
        <v>289</v>
      </c>
      <c r="B285">
        <v>113010</v>
      </c>
      <c r="C285">
        <v>6</v>
      </c>
      <c r="D285" t="s">
        <v>66</v>
      </c>
      <c r="E285">
        <v>1</v>
      </c>
      <c r="F285">
        <v>0</v>
      </c>
      <c r="G285" s="66">
        <v>17</v>
      </c>
      <c r="H285" s="66">
        <v>6.8</v>
      </c>
      <c r="I285" s="66">
        <v>136</v>
      </c>
      <c r="K285" s="67"/>
      <c r="P285" s="2"/>
      <c r="Q285" s="13">
        <v>4</v>
      </c>
      <c r="R285" s="13">
        <v>3</v>
      </c>
      <c r="S285" s="13">
        <v>3</v>
      </c>
      <c r="T285" s="13">
        <v>3</v>
      </c>
    </row>
    <row r="286" spans="1:20">
      <c r="A286">
        <v>290</v>
      </c>
      <c r="B286">
        <v>113010</v>
      </c>
      <c r="C286">
        <v>7</v>
      </c>
      <c r="D286" t="s">
        <v>66</v>
      </c>
      <c r="E286">
        <v>2</v>
      </c>
      <c r="F286">
        <v>0</v>
      </c>
      <c r="G286" s="66">
        <v>19</v>
      </c>
      <c r="H286" s="66">
        <v>7.6</v>
      </c>
      <c r="I286" s="66">
        <v>152</v>
      </c>
      <c r="K286" s="67"/>
      <c r="P286" s="2"/>
      <c r="Q286" s="13">
        <v>4</v>
      </c>
      <c r="R286" s="13">
        <v>3</v>
      </c>
      <c r="S286" s="13">
        <v>3</v>
      </c>
      <c r="T286" s="13">
        <v>3</v>
      </c>
    </row>
    <row r="287" spans="1:20">
      <c r="A287">
        <v>291</v>
      </c>
      <c r="B287">
        <v>113010</v>
      </c>
      <c r="C287">
        <v>8</v>
      </c>
      <c r="D287" s="69" t="s">
        <v>67</v>
      </c>
      <c r="E287">
        <v>2</v>
      </c>
      <c r="F287">
        <v>0</v>
      </c>
      <c r="G287" s="66">
        <v>21</v>
      </c>
      <c r="H287" s="66">
        <v>8.4</v>
      </c>
      <c r="I287" s="66">
        <v>168</v>
      </c>
      <c r="K287" s="67"/>
      <c r="P287" s="2"/>
      <c r="Q287" s="13">
        <v>4</v>
      </c>
      <c r="R287" s="13">
        <v>3</v>
      </c>
      <c r="S287" s="13">
        <v>3</v>
      </c>
      <c r="T287" s="13">
        <v>3</v>
      </c>
    </row>
    <row r="288" spans="1:11">
      <c r="A288">
        <v>292</v>
      </c>
      <c r="B288">
        <v>113011</v>
      </c>
      <c r="C288">
        <v>3</v>
      </c>
      <c r="E288">
        <v>0</v>
      </c>
      <c r="F288">
        <v>0</v>
      </c>
      <c r="G288" s="66">
        <v>12</v>
      </c>
      <c r="H288" s="66">
        <v>4.8</v>
      </c>
      <c r="I288" s="66">
        <v>96</v>
      </c>
      <c r="K288" s="67"/>
    </row>
    <row r="289" spans="1:11">
      <c r="A289">
        <v>293</v>
      </c>
      <c r="B289">
        <v>113011</v>
      </c>
      <c r="C289">
        <v>4</v>
      </c>
      <c r="D289" t="s">
        <v>64</v>
      </c>
      <c r="E289">
        <v>1</v>
      </c>
      <c r="F289">
        <v>0</v>
      </c>
      <c r="G289" s="66">
        <v>13.5</v>
      </c>
      <c r="H289" s="66">
        <v>5.4</v>
      </c>
      <c r="I289" s="66">
        <v>108</v>
      </c>
      <c r="K289" s="67"/>
    </row>
    <row r="290" spans="1:11">
      <c r="A290">
        <v>294</v>
      </c>
      <c r="B290">
        <v>113011</v>
      </c>
      <c r="C290">
        <v>5</v>
      </c>
      <c r="D290" t="s">
        <v>65</v>
      </c>
      <c r="E290">
        <v>1</v>
      </c>
      <c r="F290">
        <v>0</v>
      </c>
      <c r="G290" s="66">
        <v>15</v>
      </c>
      <c r="H290" s="66">
        <v>6</v>
      </c>
      <c r="I290" s="66">
        <v>120</v>
      </c>
      <c r="K290" s="67"/>
    </row>
    <row r="291" spans="1:11">
      <c r="A291">
        <v>295</v>
      </c>
      <c r="B291">
        <v>113011</v>
      </c>
      <c r="C291">
        <v>6</v>
      </c>
      <c r="D291" t="s">
        <v>66</v>
      </c>
      <c r="E291">
        <v>1</v>
      </c>
      <c r="F291">
        <v>0</v>
      </c>
      <c r="G291" s="66">
        <v>17</v>
      </c>
      <c r="H291" s="66">
        <v>6.8</v>
      </c>
      <c r="I291" s="66">
        <v>136</v>
      </c>
      <c r="K291" s="67"/>
    </row>
    <row r="292" spans="1:11">
      <c r="A292">
        <v>296</v>
      </c>
      <c r="B292">
        <v>113011</v>
      </c>
      <c r="C292">
        <v>7</v>
      </c>
      <c r="D292" t="s">
        <v>66</v>
      </c>
      <c r="E292">
        <v>2</v>
      </c>
      <c r="F292">
        <v>0</v>
      </c>
      <c r="G292" s="66">
        <v>19</v>
      </c>
      <c r="H292" s="66">
        <v>7.6</v>
      </c>
      <c r="I292" s="66">
        <v>152</v>
      </c>
      <c r="K292" s="67"/>
    </row>
    <row r="293" spans="1:11">
      <c r="A293">
        <v>297</v>
      </c>
      <c r="B293">
        <v>113011</v>
      </c>
      <c r="C293">
        <v>8</v>
      </c>
      <c r="D293" s="69" t="s">
        <v>67</v>
      </c>
      <c r="E293">
        <v>2</v>
      </c>
      <c r="F293">
        <v>0</v>
      </c>
      <c r="G293" s="66">
        <v>21</v>
      </c>
      <c r="H293" s="66">
        <v>8.4</v>
      </c>
      <c r="I293" s="66">
        <v>168</v>
      </c>
      <c r="K293" s="67"/>
    </row>
    <row r="294" spans="1:11">
      <c r="A294">
        <v>298</v>
      </c>
      <c r="B294">
        <v>113012</v>
      </c>
      <c r="C294">
        <v>3</v>
      </c>
      <c r="E294">
        <v>0</v>
      </c>
      <c r="F294">
        <v>0</v>
      </c>
      <c r="G294" s="66">
        <v>12</v>
      </c>
      <c r="H294" s="66">
        <v>4.8</v>
      </c>
      <c r="I294" s="66">
        <v>96</v>
      </c>
      <c r="K294" s="67"/>
    </row>
    <row r="295" spans="1:11">
      <c r="A295">
        <v>299</v>
      </c>
      <c r="B295">
        <v>113012</v>
      </c>
      <c r="C295">
        <v>4</v>
      </c>
      <c r="D295" t="s">
        <v>64</v>
      </c>
      <c r="E295">
        <v>1</v>
      </c>
      <c r="F295">
        <v>0</v>
      </c>
      <c r="G295" s="66">
        <v>13.5</v>
      </c>
      <c r="H295" s="66">
        <v>5.4</v>
      </c>
      <c r="I295" s="66">
        <v>108</v>
      </c>
      <c r="K295" s="67"/>
    </row>
    <row r="296" spans="1:11">
      <c r="A296">
        <v>300</v>
      </c>
      <c r="B296">
        <v>113012</v>
      </c>
      <c r="C296">
        <v>5</v>
      </c>
      <c r="D296" t="s">
        <v>65</v>
      </c>
      <c r="E296">
        <v>1</v>
      </c>
      <c r="F296">
        <v>0</v>
      </c>
      <c r="G296" s="66">
        <v>15</v>
      </c>
      <c r="H296" s="66">
        <v>6</v>
      </c>
      <c r="I296" s="66">
        <v>120</v>
      </c>
      <c r="K296" s="67"/>
    </row>
    <row r="297" spans="1:11">
      <c r="A297">
        <v>301</v>
      </c>
      <c r="B297">
        <v>113012</v>
      </c>
      <c r="C297">
        <v>6</v>
      </c>
      <c r="D297" t="s">
        <v>66</v>
      </c>
      <c r="E297">
        <v>1</v>
      </c>
      <c r="F297">
        <v>0</v>
      </c>
      <c r="G297" s="66">
        <v>17</v>
      </c>
      <c r="H297" s="66">
        <v>6.8</v>
      </c>
      <c r="I297" s="66">
        <v>136</v>
      </c>
      <c r="K297" s="67"/>
    </row>
    <row r="298" spans="1:11">
      <c r="A298">
        <v>302</v>
      </c>
      <c r="B298">
        <v>113012</v>
      </c>
      <c r="C298">
        <v>7</v>
      </c>
      <c r="D298" t="s">
        <v>66</v>
      </c>
      <c r="E298">
        <v>2</v>
      </c>
      <c r="F298">
        <v>0</v>
      </c>
      <c r="G298" s="66">
        <v>19</v>
      </c>
      <c r="H298" s="66">
        <v>7.6</v>
      </c>
      <c r="I298" s="66">
        <v>152</v>
      </c>
      <c r="K298" s="67"/>
    </row>
    <row r="299" spans="1:11">
      <c r="A299">
        <v>303</v>
      </c>
      <c r="B299">
        <v>113012</v>
      </c>
      <c r="C299">
        <v>8</v>
      </c>
      <c r="D299" s="69" t="s">
        <v>67</v>
      </c>
      <c r="E299">
        <v>2</v>
      </c>
      <c r="F299">
        <v>0</v>
      </c>
      <c r="G299" s="66">
        <v>21</v>
      </c>
      <c r="H299" s="66">
        <v>8.4</v>
      </c>
      <c r="I299" s="66">
        <v>168</v>
      </c>
      <c r="K299" s="67"/>
    </row>
    <row r="300" spans="1:20">
      <c r="A300">
        <v>304</v>
      </c>
      <c r="B300">
        <v>113013</v>
      </c>
      <c r="C300">
        <v>3</v>
      </c>
      <c r="E300">
        <v>0</v>
      </c>
      <c r="F300">
        <v>0</v>
      </c>
      <c r="G300" s="66">
        <v>12</v>
      </c>
      <c r="H300" s="66">
        <v>4.8</v>
      </c>
      <c r="I300" s="66">
        <v>96</v>
      </c>
      <c r="K300" s="67"/>
      <c r="Q300" s="13">
        <v>3</v>
      </c>
      <c r="R300" s="13">
        <v>4</v>
      </c>
      <c r="S300" s="13">
        <v>5</v>
      </c>
      <c r="T300" s="13">
        <v>3</v>
      </c>
    </row>
    <row r="301" spans="1:20">
      <c r="A301">
        <v>305</v>
      </c>
      <c r="B301">
        <v>113013</v>
      </c>
      <c r="C301">
        <v>4</v>
      </c>
      <c r="D301" t="s">
        <v>64</v>
      </c>
      <c r="E301">
        <v>1</v>
      </c>
      <c r="F301">
        <v>0</v>
      </c>
      <c r="G301" s="66">
        <v>13.5</v>
      </c>
      <c r="H301" s="66">
        <v>5.4</v>
      </c>
      <c r="I301" s="66">
        <v>108</v>
      </c>
      <c r="K301" s="67"/>
      <c r="Q301" s="13">
        <v>3</v>
      </c>
      <c r="R301" s="13">
        <v>4</v>
      </c>
      <c r="S301" s="13">
        <v>5</v>
      </c>
      <c r="T301" s="13">
        <v>3</v>
      </c>
    </row>
    <row r="302" spans="1:20">
      <c r="A302">
        <v>306</v>
      </c>
      <c r="B302">
        <v>113013</v>
      </c>
      <c r="C302">
        <v>5</v>
      </c>
      <c r="D302" t="s">
        <v>65</v>
      </c>
      <c r="E302">
        <v>1</v>
      </c>
      <c r="F302">
        <v>0</v>
      </c>
      <c r="G302" s="66">
        <v>15</v>
      </c>
      <c r="H302" s="66">
        <v>6</v>
      </c>
      <c r="I302" s="66">
        <v>120</v>
      </c>
      <c r="K302" s="67"/>
      <c r="Q302" s="13">
        <v>3</v>
      </c>
      <c r="R302" s="13">
        <v>4</v>
      </c>
      <c r="S302" s="13">
        <v>5</v>
      </c>
      <c r="T302" s="13">
        <v>3</v>
      </c>
    </row>
    <row r="303" spans="1:20">
      <c r="A303">
        <v>307</v>
      </c>
      <c r="B303">
        <v>113013</v>
      </c>
      <c r="C303">
        <v>6</v>
      </c>
      <c r="D303" t="s">
        <v>66</v>
      </c>
      <c r="E303">
        <v>1</v>
      </c>
      <c r="F303">
        <v>0</v>
      </c>
      <c r="G303" s="66">
        <v>17</v>
      </c>
      <c r="H303" s="66">
        <v>6.8</v>
      </c>
      <c r="I303" s="66">
        <v>136</v>
      </c>
      <c r="K303" s="67"/>
      <c r="Q303" s="13">
        <v>3</v>
      </c>
      <c r="R303" s="13">
        <v>4</v>
      </c>
      <c r="S303" s="13">
        <v>5</v>
      </c>
      <c r="T303" s="13">
        <v>3</v>
      </c>
    </row>
    <row r="304" spans="1:20">
      <c r="A304">
        <v>308</v>
      </c>
      <c r="B304">
        <v>113013</v>
      </c>
      <c r="C304">
        <v>7</v>
      </c>
      <c r="D304" t="s">
        <v>66</v>
      </c>
      <c r="E304">
        <v>2</v>
      </c>
      <c r="F304">
        <v>0</v>
      </c>
      <c r="G304" s="66">
        <v>19</v>
      </c>
      <c r="H304" s="66">
        <v>7.6</v>
      </c>
      <c r="I304" s="66">
        <v>152</v>
      </c>
      <c r="K304" s="67"/>
      <c r="Q304" s="13">
        <v>3</v>
      </c>
      <c r="R304" s="13">
        <v>4</v>
      </c>
      <c r="S304" s="13">
        <v>5</v>
      </c>
      <c r="T304" s="13">
        <v>3</v>
      </c>
    </row>
    <row r="305" spans="1:20">
      <c r="A305">
        <v>309</v>
      </c>
      <c r="B305">
        <v>113013</v>
      </c>
      <c r="C305">
        <v>8</v>
      </c>
      <c r="D305" t="s">
        <v>68</v>
      </c>
      <c r="E305">
        <v>2</v>
      </c>
      <c r="F305">
        <v>0</v>
      </c>
      <c r="G305" s="66">
        <v>21</v>
      </c>
      <c r="H305" s="66">
        <v>8.4</v>
      </c>
      <c r="I305" s="66">
        <v>168</v>
      </c>
      <c r="K305" s="67"/>
      <c r="Q305" s="13">
        <v>3</v>
      </c>
      <c r="R305" s="13">
        <v>4</v>
      </c>
      <c r="S305" s="13">
        <v>5</v>
      </c>
      <c r="T305" s="13">
        <v>3</v>
      </c>
    </row>
    <row r="306" spans="1:20">
      <c r="A306">
        <v>310</v>
      </c>
      <c r="B306">
        <v>113014</v>
      </c>
      <c r="C306">
        <v>3</v>
      </c>
      <c r="E306">
        <v>0</v>
      </c>
      <c r="F306">
        <v>0</v>
      </c>
      <c r="G306" s="66">
        <v>12</v>
      </c>
      <c r="H306" s="66">
        <v>4.8</v>
      </c>
      <c r="I306" s="66">
        <v>96</v>
      </c>
      <c r="K306" s="67"/>
      <c r="Q306" s="13">
        <v>3</v>
      </c>
      <c r="R306" s="13">
        <v>3</v>
      </c>
      <c r="S306" s="13">
        <v>5</v>
      </c>
      <c r="T306" s="13">
        <v>4</v>
      </c>
    </row>
    <row r="307" spans="1:20">
      <c r="A307">
        <v>311</v>
      </c>
      <c r="B307">
        <v>113014</v>
      </c>
      <c r="C307">
        <v>4</v>
      </c>
      <c r="D307" t="s">
        <v>64</v>
      </c>
      <c r="E307">
        <v>1</v>
      </c>
      <c r="F307">
        <v>0</v>
      </c>
      <c r="G307" s="66">
        <v>13.5</v>
      </c>
      <c r="H307" s="66">
        <v>5.4</v>
      </c>
      <c r="I307" s="66">
        <v>108</v>
      </c>
      <c r="K307" s="67"/>
      <c r="Q307" s="13">
        <v>3</v>
      </c>
      <c r="R307" s="13">
        <v>3</v>
      </c>
      <c r="S307" s="13">
        <v>5</v>
      </c>
      <c r="T307" s="13">
        <v>4</v>
      </c>
    </row>
    <row r="308" spans="1:20">
      <c r="A308">
        <v>312</v>
      </c>
      <c r="B308">
        <v>113014</v>
      </c>
      <c r="C308">
        <v>5</v>
      </c>
      <c r="D308" t="s">
        <v>65</v>
      </c>
      <c r="E308">
        <v>1</v>
      </c>
      <c r="F308">
        <v>0</v>
      </c>
      <c r="G308" s="66">
        <v>15</v>
      </c>
      <c r="H308" s="66">
        <v>6</v>
      </c>
      <c r="I308" s="66">
        <v>120</v>
      </c>
      <c r="K308" s="67"/>
      <c r="Q308" s="13">
        <v>3</v>
      </c>
      <c r="R308" s="13">
        <v>3</v>
      </c>
      <c r="S308" s="13">
        <v>5</v>
      </c>
      <c r="T308" s="13">
        <v>4</v>
      </c>
    </row>
    <row r="309" spans="1:20">
      <c r="A309">
        <v>313</v>
      </c>
      <c r="B309">
        <v>113014</v>
      </c>
      <c r="C309">
        <v>6</v>
      </c>
      <c r="D309" t="s">
        <v>66</v>
      </c>
      <c r="E309">
        <v>1</v>
      </c>
      <c r="F309">
        <v>0</v>
      </c>
      <c r="G309" s="66">
        <v>17</v>
      </c>
      <c r="H309" s="66">
        <v>6.8</v>
      </c>
      <c r="I309" s="66">
        <v>136</v>
      </c>
      <c r="K309" s="67"/>
      <c r="Q309" s="13">
        <v>3</v>
      </c>
      <c r="R309" s="13">
        <v>3</v>
      </c>
      <c r="S309" s="13">
        <v>5</v>
      </c>
      <c r="T309" s="13">
        <v>4</v>
      </c>
    </row>
    <row r="310" spans="1:20">
      <c r="A310">
        <v>314</v>
      </c>
      <c r="B310">
        <v>113014</v>
      </c>
      <c r="C310">
        <v>7</v>
      </c>
      <c r="D310" t="s">
        <v>66</v>
      </c>
      <c r="E310">
        <v>2</v>
      </c>
      <c r="F310">
        <v>0</v>
      </c>
      <c r="G310" s="66">
        <v>19</v>
      </c>
      <c r="H310" s="66">
        <v>7.6</v>
      </c>
      <c r="I310" s="66">
        <v>152</v>
      </c>
      <c r="K310" s="67"/>
      <c r="Q310" s="13">
        <v>3</v>
      </c>
      <c r="R310" s="13">
        <v>3</v>
      </c>
      <c r="S310" s="13">
        <v>5</v>
      </c>
      <c r="T310" s="13">
        <v>4</v>
      </c>
    </row>
    <row r="311" spans="1:20">
      <c r="A311">
        <v>315</v>
      </c>
      <c r="B311">
        <v>113014</v>
      </c>
      <c r="C311">
        <v>8</v>
      </c>
      <c r="D311" t="s">
        <v>68</v>
      </c>
      <c r="E311">
        <v>2</v>
      </c>
      <c r="F311">
        <v>0</v>
      </c>
      <c r="G311" s="66">
        <v>21</v>
      </c>
      <c r="H311" s="66">
        <v>8.4</v>
      </c>
      <c r="I311" s="66">
        <v>168</v>
      </c>
      <c r="K311" s="67"/>
      <c r="Q311" s="13">
        <v>3</v>
      </c>
      <c r="R311" s="13">
        <v>3</v>
      </c>
      <c r="S311" s="13">
        <v>5</v>
      </c>
      <c r="T311" s="13">
        <v>4</v>
      </c>
    </row>
    <row r="312" spans="1:20">
      <c r="A312">
        <v>316</v>
      </c>
      <c r="B312">
        <v>113015</v>
      </c>
      <c r="C312">
        <v>3</v>
      </c>
      <c r="E312">
        <v>0</v>
      </c>
      <c r="F312">
        <v>0</v>
      </c>
      <c r="G312" s="66">
        <v>12</v>
      </c>
      <c r="H312" s="66">
        <v>4.8</v>
      </c>
      <c r="I312" s="66">
        <v>96</v>
      </c>
      <c r="K312" s="67"/>
      <c r="Q312" s="13">
        <v>4</v>
      </c>
      <c r="R312" s="13">
        <v>3</v>
      </c>
      <c r="S312" s="13">
        <v>3</v>
      </c>
      <c r="T312" s="13">
        <v>4</v>
      </c>
    </row>
    <row r="313" spans="1:20">
      <c r="A313">
        <v>317</v>
      </c>
      <c r="B313">
        <v>113015</v>
      </c>
      <c r="C313">
        <v>4</v>
      </c>
      <c r="D313" t="s">
        <v>64</v>
      </c>
      <c r="E313">
        <v>1</v>
      </c>
      <c r="F313">
        <v>0</v>
      </c>
      <c r="G313" s="66">
        <v>13.5</v>
      </c>
      <c r="H313" s="66">
        <v>5.4</v>
      </c>
      <c r="I313" s="66">
        <v>108</v>
      </c>
      <c r="K313" s="67"/>
      <c r="Q313" s="13">
        <v>4</v>
      </c>
      <c r="R313" s="13">
        <v>3</v>
      </c>
      <c r="S313" s="13">
        <v>3</v>
      </c>
      <c r="T313" s="13">
        <v>4</v>
      </c>
    </row>
    <row r="314" spans="1:20">
      <c r="A314">
        <v>318</v>
      </c>
      <c r="B314">
        <v>113015</v>
      </c>
      <c r="C314">
        <v>5</v>
      </c>
      <c r="D314" t="s">
        <v>65</v>
      </c>
      <c r="E314">
        <v>1</v>
      </c>
      <c r="F314">
        <v>0</v>
      </c>
      <c r="G314" s="66">
        <v>15</v>
      </c>
      <c r="H314" s="66">
        <v>6</v>
      </c>
      <c r="I314" s="66">
        <v>120</v>
      </c>
      <c r="K314" s="67"/>
      <c r="Q314" s="13">
        <v>4</v>
      </c>
      <c r="R314" s="13">
        <v>3</v>
      </c>
      <c r="S314" s="13">
        <v>3</v>
      </c>
      <c r="T314" s="13">
        <v>4</v>
      </c>
    </row>
    <row r="315" spans="1:20">
      <c r="A315">
        <v>319</v>
      </c>
      <c r="B315">
        <v>113015</v>
      </c>
      <c r="C315">
        <v>6</v>
      </c>
      <c r="D315" t="s">
        <v>66</v>
      </c>
      <c r="E315">
        <v>1</v>
      </c>
      <c r="F315">
        <v>0</v>
      </c>
      <c r="G315" s="66">
        <v>17</v>
      </c>
      <c r="H315" s="66">
        <v>6.8</v>
      </c>
      <c r="I315" s="66">
        <v>136</v>
      </c>
      <c r="K315" s="67"/>
      <c r="Q315" s="13">
        <v>4</v>
      </c>
      <c r="R315" s="13">
        <v>3</v>
      </c>
      <c r="S315" s="13">
        <v>3</v>
      </c>
      <c r="T315" s="13">
        <v>4</v>
      </c>
    </row>
    <row r="316" spans="1:20">
      <c r="A316">
        <v>320</v>
      </c>
      <c r="B316">
        <v>113015</v>
      </c>
      <c r="C316">
        <v>7</v>
      </c>
      <c r="D316" t="s">
        <v>66</v>
      </c>
      <c r="E316">
        <v>2</v>
      </c>
      <c r="F316">
        <v>0</v>
      </c>
      <c r="G316" s="66">
        <v>19</v>
      </c>
      <c r="H316" s="66">
        <v>7.6</v>
      </c>
      <c r="I316" s="66">
        <v>152</v>
      </c>
      <c r="K316" s="67"/>
      <c r="Q316" s="13">
        <v>4</v>
      </c>
      <c r="R316" s="13">
        <v>3</v>
      </c>
      <c r="S316" s="13">
        <v>3</v>
      </c>
      <c r="T316" s="13">
        <v>4</v>
      </c>
    </row>
    <row r="317" spans="1:20">
      <c r="A317">
        <v>321</v>
      </c>
      <c r="B317">
        <v>113015</v>
      </c>
      <c r="C317">
        <v>8</v>
      </c>
      <c r="D317" t="s">
        <v>68</v>
      </c>
      <c r="E317">
        <v>2</v>
      </c>
      <c r="F317">
        <v>0</v>
      </c>
      <c r="G317" s="66">
        <v>21</v>
      </c>
      <c r="H317" s="66">
        <v>8.4</v>
      </c>
      <c r="I317" s="66">
        <v>168</v>
      </c>
      <c r="K317" s="67"/>
      <c r="Q317" s="13">
        <v>4</v>
      </c>
      <c r="R317" s="13">
        <v>3</v>
      </c>
      <c r="S317" s="13">
        <v>3</v>
      </c>
      <c r="T317" s="13">
        <v>4</v>
      </c>
    </row>
    <row r="318" spans="1:20">
      <c r="A318">
        <v>322</v>
      </c>
      <c r="B318">
        <v>113016</v>
      </c>
      <c r="C318">
        <v>3</v>
      </c>
      <c r="E318">
        <v>0</v>
      </c>
      <c r="F318">
        <v>0</v>
      </c>
      <c r="G318" s="66">
        <v>12</v>
      </c>
      <c r="H318" s="66">
        <v>4.8</v>
      </c>
      <c r="I318" s="66">
        <v>96</v>
      </c>
      <c r="K318" s="67"/>
      <c r="Q318" s="49">
        <v>3</v>
      </c>
      <c r="R318" s="49">
        <v>4</v>
      </c>
      <c r="S318" s="49">
        <v>4</v>
      </c>
      <c r="T318" s="49">
        <v>4</v>
      </c>
    </row>
    <row r="319" spans="1:20">
      <c r="A319">
        <v>323</v>
      </c>
      <c r="B319">
        <v>113016</v>
      </c>
      <c r="C319">
        <v>4</v>
      </c>
      <c r="D319" t="s">
        <v>64</v>
      </c>
      <c r="E319">
        <v>1</v>
      </c>
      <c r="F319">
        <v>0</v>
      </c>
      <c r="G319" s="66">
        <v>13.5</v>
      </c>
      <c r="H319" s="66">
        <v>5.4</v>
      </c>
      <c r="I319" s="66">
        <v>108</v>
      </c>
      <c r="K319" s="67"/>
      <c r="Q319" s="49">
        <v>3</v>
      </c>
      <c r="R319" s="49">
        <v>4</v>
      </c>
      <c r="S319" s="49">
        <v>4</v>
      </c>
      <c r="T319" s="49">
        <v>4</v>
      </c>
    </row>
    <row r="320" spans="1:20">
      <c r="A320">
        <v>324</v>
      </c>
      <c r="B320">
        <v>113016</v>
      </c>
      <c r="C320">
        <v>5</v>
      </c>
      <c r="D320" t="s">
        <v>65</v>
      </c>
      <c r="E320">
        <v>1</v>
      </c>
      <c r="F320">
        <v>0</v>
      </c>
      <c r="G320" s="66">
        <v>15</v>
      </c>
      <c r="H320" s="66">
        <v>6</v>
      </c>
      <c r="I320" s="66">
        <v>120</v>
      </c>
      <c r="K320" s="67"/>
      <c r="Q320" s="49">
        <v>3</v>
      </c>
      <c r="R320" s="49">
        <v>4</v>
      </c>
      <c r="S320" s="49">
        <v>4</v>
      </c>
      <c r="T320" s="49">
        <v>4</v>
      </c>
    </row>
    <row r="321" spans="1:20">
      <c r="A321">
        <v>325</v>
      </c>
      <c r="B321">
        <v>113016</v>
      </c>
      <c r="C321">
        <v>6</v>
      </c>
      <c r="D321" t="s">
        <v>66</v>
      </c>
      <c r="E321">
        <v>1</v>
      </c>
      <c r="F321">
        <v>0</v>
      </c>
      <c r="G321" s="66">
        <v>17</v>
      </c>
      <c r="H321" s="66">
        <v>6.8</v>
      </c>
      <c r="I321" s="66">
        <v>136</v>
      </c>
      <c r="K321" s="67"/>
      <c r="Q321" s="49">
        <v>3</v>
      </c>
      <c r="R321" s="49">
        <v>4</v>
      </c>
      <c r="S321" s="49">
        <v>4</v>
      </c>
      <c r="T321" s="49">
        <v>4</v>
      </c>
    </row>
    <row r="322" spans="1:20">
      <c r="A322">
        <v>326</v>
      </c>
      <c r="B322">
        <v>113016</v>
      </c>
      <c r="C322">
        <v>7</v>
      </c>
      <c r="D322" t="s">
        <v>66</v>
      </c>
      <c r="E322">
        <v>2</v>
      </c>
      <c r="F322">
        <v>0</v>
      </c>
      <c r="G322" s="66">
        <v>19</v>
      </c>
      <c r="H322" s="66">
        <v>7.6</v>
      </c>
      <c r="I322" s="66">
        <v>152</v>
      </c>
      <c r="K322" s="67"/>
      <c r="Q322" s="49">
        <v>3</v>
      </c>
      <c r="R322" s="49">
        <v>4</v>
      </c>
      <c r="S322" s="49">
        <v>4</v>
      </c>
      <c r="T322" s="49">
        <v>4</v>
      </c>
    </row>
    <row r="323" spans="1:20">
      <c r="A323">
        <v>327</v>
      </c>
      <c r="B323">
        <v>113016</v>
      </c>
      <c r="C323">
        <v>8</v>
      </c>
      <c r="D323" t="s">
        <v>68</v>
      </c>
      <c r="E323">
        <v>2</v>
      </c>
      <c r="F323">
        <v>0</v>
      </c>
      <c r="G323" s="66">
        <v>21</v>
      </c>
      <c r="H323" s="66">
        <v>8.4</v>
      </c>
      <c r="I323" s="66">
        <v>168</v>
      </c>
      <c r="K323" s="67"/>
      <c r="Q323" s="49">
        <v>3</v>
      </c>
      <c r="R323" s="49">
        <v>4</v>
      </c>
      <c r="S323" s="49">
        <v>4</v>
      </c>
      <c r="T323" s="49">
        <v>4</v>
      </c>
    </row>
    <row r="324" spans="1:20">
      <c r="A324">
        <v>328</v>
      </c>
      <c r="B324">
        <v>113017</v>
      </c>
      <c r="C324">
        <v>3</v>
      </c>
      <c r="E324">
        <v>0</v>
      </c>
      <c r="F324">
        <v>0</v>
      </c>
      <c r="G324" s="66">
        <v>12</v>
      </c>
      <c r="H324" s="66">
        <v>4.8</v>
      </c>
      <c r="I324" s="66">
        <v>96</v>
      </c>
      <c r="K324" s="67"/>
      <c r="Q324" s="49">
        <v>4</v>
      </c>
      <c r="R324" s="49">
        <v>4</v>
      </c>
      <c r="S324" s="49">
        <v>3</v>
      </c>
      <c r="T324" s="49">
        <v>4</v>
      </c>
    </row>
    <row r="325" ht="12.75" customHeight="1" spans="1:20">
      <c r="A325">
        <v>329</v>
      </c>
      <c r="B325">
        <v>113017</v>
      </c>
      <c r="C325">
        <v>4</v>
      </c>
      <c r="D325" t="s">
        <v>64</v>
      </c>
      <c r="E325">
        <v>1</v>
      </c>
      <c r="F325">
        <v>0</v>
      </c>
      <c r="G325" s="66">
        <v>13.5</v>
      </c>
      <c r="H325" s="66">
        <v>5.4</v>
      </c>
      <c r="I325" s="66">
        <v>108</v>
      </c>
      <c r="K325" s="67"/>
      <c r="Q325" s="49">
        <v>4</v>
      </c>
      <c r="R325" s="49">
        <v>4</v>
      </c>
      <c r="S325" s="49">
        <v>3</v>
      </c>
      <c r="T325" s="49">
        <v>4</v>
      </c>
    </row>
    <row r="326" spans="1:20">
      <c r="A326">
        <v>330</v>
      </c>
      <c r="B326">
        <v>113017</v>
      </c>
      <c r="C326">
        <v>5</v>
      </c>
      <c r="D326" t="s">
        <v>65</v>
      </c>
      <c r="E326">
        <v>1</v>
      </c>
      <c r="F326">
        <v>0</v>
      </c>
      <c r="G326" s="66">
        <v>15</v>
      </c>
      <c r="H326" s="66">
        <v>6</v>
      </c>
      <c r="I326" s="66">
        <v>120</v>
      </c>
      <c r="K326" s="67"/>
      <c r="Q326" s="49">
        <v>4</v>
      </c>
      <c r="R326" s="49">
        <v>4</v>
      </c>
      <c r="S326" s="49">
        <v>3</v>
      </c>
      <c r="T326" s="49">
        <v>4</v>
      </c>
    </row>
    <row r="327" spans="1:20">
      <c r="A327">
        <v>331</v>
      </c>
      <c r="B327">
        <v>113017</v>
      </c>
      <c r="C327">
        <v>6</v>
      </c>
      <c r="D327" t="s">
        <v>66</v>
      </c>
      <c r="E327">
        <v>1</v>
      </c>
      <c r="F327">
        <v>0</v>
      </c>
      <c r="G327" s="66">
        <v>17</v>
      </c>
      <c r="H327" s="66">
        <v>6.8</v>
      </c>
      <c r="I327" s="66">
        <v>136</v>
      </c>
      <c r="K327" s="67"/>
      <c r="Q327" s="49">
        <v>4</v>
      </c>
      <c r="R327" s="49">
        <v>4</v>
      </c>
      <c r="S327" s="49">
        <v>3</v>
      </c>
      <c r="T327" s="49">
        <v>4</v>
      </c>
    </row>
    <row r="328" spans="1:20">
      <c r="A328">
        <v>332</v>
      </c>
      <c r="B328">
        <v>113017</v>
      </c>
      <c r="C328">
        <v>7</v>
      </c>
      <c r="D328" t="s">
        <v>66</v>
      </c>
      <c r="E328">
        <v>2</v>
      </c>
      <c r="F328">
        <v>0</v>
      </c>
      <c r="G328" s="66">
        <v>19</v>
      </c>
      <c r="H328" s="66">
        <v>7.6</v>
      </c>
      <c r="I328" s="66">
        <v>152</v>
      </c>
      <c r="K328" s="67"/>
      <c r="Q328" s="49">
        <v>4</v>
      </c>
      <c r="R328" s="49">
        <v>4</v>
      </c>
      <c r="S328" s="49">
        <v>3</v>
      </c>
      <c r="T328" s="49">
        <v>4</v>
      </c>
    </row>
    <row r="329" spans="1:20">
      <c r="A329">
        <v>333</v>
      </c>
      <c r="B329">
        <v>113017</v>
      </c>
      <c r="C329">
        <v>8</v>
      </c>
      <c r="D329" t="s">
        <v>68</v>
      </c>
      <c r="E329">
        <v>2</v>
      </c>
      <c r="F329">
        <v>0</v>
      </c>
      <c r="G329" s="66">
        <v>21</v>
      </c>
      <c r="H329" s="66">
        <v>8.4</v>
      </c>
      <c r="I329" s="66">
        <v>168</v>
      </c>
      <c r="K329" s="67"/>
      <c r="Q329" s="49">
        <v>4</v>
      </c>
      <c r="R329" s="49">
        <v>4</v>
      </c>
      <c r="S329" s="49">
        <v>3</v>
      </c>
      <c r="T329" s="49">
        <v>4</v>
      </c>
    </row>
    <row r="330" spans="1:20">
      <c r="A330" s="15">
        <v>334</v>
      </c>
      <c r="B330" s="15">
        <v>113018</v>
      </c>
      <c r="C330">
        <v>3</v>
      </c>
      <c r="E330">
        <v>0</v>
      </c>
      <c r="F330">
        <v>0</v>
      </c>
      <c r="G330" s="66">
        <v>12</v>
      </c>
      <c r="H330" s="66">
        <v>4.8</v>
      </c>
      <c r="I330" s="66">
        <v>96</v>
      </c>
      <c r="K330" s="67"/>
      <c r="Q330" s="49">
        <v>4</v>
      </c>
      <c r="R330" s="49">
        <v>4</v>
      </c>
      <c r="S330" s="49">
        <v>3</v>
      </c>
      <c r="T330" s="49">
        <v>4</v>
      </c>
    </row>
    <row r="331" ht="12.75" customHeight="1" spans="1:20">
      <c r="A331" s="15">
        <v>335</v>
      </c>
      <c r="B331" s="15">
        <v>113018</v>
      </c>
      <c r="C331">
        <v>4</v>
      </c>
      <c r="D331" t="s">
        <v>64</v>
      </c>
      <c r="E331">
        <v>1</v>
      </c>
      <c r="F331">
        <v>0</v>
      </c>
      <c r="G331" s="66">
        <v>13.5</v>
      </c>
      <c r="H331" s="66">
        <v>5.4</v>
      </c>
      <c r="I331" s="66">
        <v>108</v>
      </c>
      <c r="K331" s="67"/>
      <c r="Q331" s="49">
        <v>4</v>
      </c>
      <c r="R331" s="49">
        <v>4</v>
      </c>
      <c r="S331" s="49">
        <v>3</v>
      </c>
      <c r="T331" s="49">
        <v>4</v>
      </c>
    </row>
    <row r="332" spans="1:20">
      <c r="A332" s="15">
        <v>336</v>
      </c>
      <c r="B332" s="15">
        <v>113018</v>
      </c>
      <c r="C332">
        <v>5</v>
      </c>
      <c r="D332" t="s">
        <v>65</v>
      </c>
      <c r="E332">
        <v>1</v>
      </c>
      <c r="F332">
        <v>0</v>
      </c>
      <c r="G332" s="66">
        <v>15</v>
      </c>
      <c r="H332" s="66">
        <v>6</v>
      </c>
      <c r="I332" s="66">
        <v>120</v>
      </c>
      <c r="K332" s="67"/>
      <c r="Q332" s="49">
        <v>4</v>
      </c>
      <c r="R332" s="49">
        <v>4</v>
      </c>
      <c r="S332" s="49">
        <v>3</v>
      </c>
      <c r="T332" s="49">
        <v>4</v>
      </c>
    </row>
    <row r="333" spans="1:20">
      <c r="A333" s="15">
        <v>337</v>
      </c>
      <c r="B333" s="15">
        <v>113018</v>
      </c>
      <c r="C333">
        <v>6</v>
      </c>
      <c r="D333" t="s">
        <v>66</v>
      </c>
      <c r="E333">
        <v>1</v>
      </c>
      <c r="F333">
        <v>0</v>
      </c>
      <c r="G333" s="66">
        <v>17</v>
      </c>
      <c r="H333" s="66">
        <v>6.8</v>
      </c>
      <c r="I333" s="66">
        <v>136</v>
      </c>
      <c r="K333" s="67"/>
      <c r="Q333" s="49">
        <v>4</v>
      </c>
      <c r="R333" s="49">
        <v>4</v>
      </c>
      <c r="S333" s="49">
        <v>3</v>
      </c>
      <c r="T333" s="49">
        <v>4</v>
      </c>
    </row>
    <row r="334" spans="1:20">
      <c r="A334" s="15">
        <v>338</v>
      </c>
      <c r="B334" s="15">
        <v>113018</v>
      </c>
      <c r="C334">
        <v>7</v>
      </c>
      <c r="D334" t="s">
        <v>66</v>
      </c>
      <c r="E334">
        <v>2</v>
      </c>
      <c r="F334">
        <v>0</v>
      </c>
      <c r="G334" s="66">
        <v>19</v>
      </c>
      <c r="H334" s="66">
        <v>7.6</v>
      </c>
      <c r="I334" s="66">
        <v>152</v>
      </c>
      <c r="K334" s="67"/>
      <c r="Q334" s="49">
        <v>4</v>
      </c>
      <c r="R334" s="49">
        <v>4</v>
      </c>
      <c r="S334" s="49">
        <v>3</v>
      </c>
      <c r="T334" s="49">
        <v>4</v>
      </c>
    </row>
    <row r="335" spans="1:20">
      <c r="A335" s="15">
        <v>339</v>
      </c>
      <c r="B335" s="15">
        <v>113018</v>
      </c>
      <c r="C335">
        <v>8</v>
      </c>
      <c r="D335" t="s">
        <v>68</v>
      </c>
      <c r="E335">
        <v>2</v>
      </c>
      <c r="F335">
        <v>0</v>
      </c>
      <c r="G335" s="66">
        <v>21</v>
      </c>
      <c r="H335" s="66">
        <v>8.4</v>
      </c>
      <c r="I335" s="66">
        <v>168</v>
      </c>
      <c r="K335" s="67"/>
      <c r="Q335" s="49">
        <v>4</v>
      </c>
      <c r="R335" s="49">
        <v>4</v>
      </c>
      <c r="S335" s="49">
        <v>3</v>
      </c>
      <c r="T335" s="49">
        <v>4</v>
      </c>
    </row>
    <row r="336" spans="1:20">
      <c r="A336" s="16">
        <v>340</v>
      </c>
      <c r="B336" s="16">
        <v>113019</v>
      </c>
      <c r="C336">
        <v>3</v>
      </c>
      <c r="E336">
        <v>0</v>
      </c>
      <c r="F336">
        <v>0</v>
      </c>
      <c r="G336" s="66">
        <v>12</v>
      </c>
      <c r="H336" s="66">
        <v>4.8</v>
      </c>
      <c r="I336" s="66">
        <v>96</v>
      </c>
      <c r="K336" s="67"/>
      <c r="Q336" s="49">
        <v>4</v>
      </c>
      <c r="R336" s="49">
        <v>4</v>
      </c>
      <c r="S336" s="49">
        <v>3</v>
      </c>
      <c r="T336" s="49">
        <v>4</v>
      </c>
    </row>
    <row r="337" ht="12.75" customHeight="1" spans="1:20">
      <c r="A337" s="16">
        <v>341</v>
      </c>
      <c r="B337" s="16">
        <v>113019</v>
      </c>
      <c r="C337">
        <v>4</v>
      </c>
      <c r="D337" t="s">
        <v>64</v>
      </c>
      <c r="E337">
        <v>1</v>
      </c>
      <c r="F337">
        <v>0</v>
      </c>
      <c r="G337" s="66">
        <v>13.5</v>
      </c>
      <c r="H337" s="66">
        <v>5.4</v>
      </c>
      <c r="I337" s="66">
        <v>108</v>
      </c>
      <c r="K337" s="67"/>
      <c r="Q337" s="49">
        <v>4</v>
      </c>
      <c r="R337" s="49">
        <v>4</v>
      </c>
      <c r="S337" s="49">
        <v>3</v>
      </c>
      <c r="T337" s="49">
        <v>4</v>
      </c>
    </row>
    <row r="338" spans="1:20">
      <c r="A338" s="16">
        <v>342</v>
      </c>
      <c r="B338" s="16">
        <v>113019</v>
      </c>
      <c r="C338">
        <v>5</v>
      </c>
      <c r="D338" t="s">
        <v>65</v>
      </c>
      <c r="E338">
        <v>1</v>
      </c>
      <c r="F338">
        <v>0</v>
      </c>
      <c r="G338" s="66">
        <v>15</v>
      </c>
      <c r="H338" s="66">
        <v>6</v>
      </c>
      <c r="I338" s="66">
        <v>120</v>
      </c>
      <c r="K338" s="67"/>
      <c r="Q338" s="49">
        <v>4</v>
      </c>
      <c r="R338" s="49">
        <v>4</v>
      </c>
      <c r="S338" s="49">
        <v>3</v>
      </c>
      <c r="T338" s="49">
        <v>4</v>
      </c>
    </row>
    <row r="339" spans="1:20">
      <c r="A339" s="16">
        <v>343</v>
      </c>
      <c r="B339" s="16">
        <v>113019</v>
      </c>
      <c r="C339">
        <v>6</v>
      </c>
      <c r="D339" t="s">
        <v>66</v>
      </c>
      <c r="E339">
        <v>1</v>
      </c>
      <c r="F339">
        <v>0</v>
      </c>
      <c r="G339" s="66">
        <v>17</v>
      </c>
      <c r="H339" s="66">
        <v>6.8</v>
      </c>
      <c r="I339" s="66">
        <v>136</v>
      </c>
      <c r="K339" s="67"/>
      <c r="Q339" s="49">
        <v>4</v>
      </c>
      <c r="R339" s="49">
        <v>4</v>
      </c>
      <c r="S339" s="49">
        <v>3</v>
      </c>
      <c r="T339" s="49">
        <v>4</v>
      </c>
    </row>
    <row r="340" spans="1:20">
      <c r="A340" s="16">
        <v>344</v>
      </c>
      <c r="B340" s="16">
        <v>113019</v>
      </c>
      <c r="C340">
        <v>7</v>
      </c>
      <c r="D340" t="s">
        <v>66</v>
      </c>
      <c r="E340">
        <v>2</v>
      </c>
      <c r="F340">
        <v>0</v>
      </c>
      <c r="G340" s="66">
        <v>19</v>
      </c>
      <c r="H340" s="66">
        <v>7.6</v>
      </c>
      <c r="I340" s="66">
        <v>152</v>
      </c>
      <c r="K340" s="67"/>
      <c r="Q340" s="49">
        <v>4</v>
      </c>
      <c r="R340" s="49">
        <v>4</v>
      </c>
      <c r="S340" s="49">
        <v>3</v>
      </c>
      <c r="T340" s="49">
        <v>4</v>
      </c>
    </row>
    <row r="341" spans="1:20">
      <c r="A341" s="16">
        <v>345</v>
      </c>
      <c r="B341" s="16">
        <v>113019</v>
      </c>
      <c r="C341">
        <v>8</v>
      </c>
      <c r="D341" t="s">
        <v>68</v>
      </c>
      <c r="E341">
        <v>2</v>
      </c>
      <c r="F341">
        <v>0</v>
      </c>
      <c r="G341" s="66">
        <v>21</v>
      </c>
      <c r="H341" s="66">
        <v>8.4</v>
      </c>
      <c r="I341" s="66">
        <v>168</v>
      </c>
      <c r="K341" s="67"/>
      <c r="Q341" s="49">
        <v>4</v>
      </c>
      <c r="R341" s="49">
        <v>4</v>
      </c>
      <c r="S341" s="49">
        <v>3</v>
      </c>
      <c r="T341" s="49">
        <v>4</v>
      </c>
    </row>
    <row r="342" spans="1:20">
      <c r="A342" s="17">
        <v>346</v>
      </c>
      <c r="B342" s="17">
        <v>113020</v>
      </c>
      <c r="C342">
        <v>3</v>
      </c>
      <c r="E342">
        <v>0</v>
      </c>
      <c r="F342">
        <v>0</v>
      </c>
      <c r="G342" s="66">
        <v>12</v>
      </c>
      <c r="H342" s="66">
        <v>4.8</v>
      </c>
      <c r="I342" s="66">
        <v>96</v>
      </c>
      <c r="K342" s="67"/>
      <c r="Q342" s="49">
        <v>4</v>
      </c>
      <c r="R342" s="49">
        <v>4</v>
      </c>
      <c r="S342" s="49">
        <v>3</v>
      </c>
      <c r="T342" s="49">
        <v>4</v>
      </c>
    </row>
    <row r="343" ht="12.75" customHeight="1" spans="1:20">
      <c r="A343" s="17">
        <v>347</v>
      </c>
      <c r="B343" s="17">
        <v>113020</v>
      </c>
      <c r="C343">
        <v>4</v>
      </c>
      <c r="D343" t="s">
        <v>64</v>
      </c>
      <c r="E343">
        <v>1</v>
      </c>
      <c r="F343">
        <v>0</v>
      </c>
      <c r="G343" s="66">
        <v>13.5</v>
      </c>
      <c r="H343" s="66">
        <v>5.4</v>
      </c>
      <c r="I343" s="66">
        <v>108</v>
      </c>
      <c r="K343" s="67"/>
      <c r="Q343" s="49">
        <v>4</v>
      </c>
      <c r="R343" s="49">
        <v>4</v>
      </c>
      <c r="S343" s="49">
        <v>3</v>
      </c>
      <c r="T343" s="49">
        <v>4</v>
      </c>
    </row>
    <row r="344" spans="1:20">
      <c r="A344" s="17">
        <v>348</v>
      </c>
      <c r="B344" s="17">
        <v>113020</v>
      </c>
      <c r="C344">
        <v>5</v>
      </c>
      <c r="D344" t="s">
        <v>65</v>
      </c>
      <c r="E344">
        <v>1</v>
      </c>
      <c r="F344">
        <v>0</v>
      </c>
      <c r="G344" s="66">
        <v>15</v>
      </c>
      <c r="H344" s="66">
        <v>6</v>
      </c>
      <c r="I344" s="66">
        <v>120</v>
      </c>
      <c r="K344" s="67"/>
      <c r="Q344" s="49">
        <v>4</v>
      </c>
      <c r="R344" s="49">
        <v>4</v>
      </c>
      <c r="S344" s="49">
        <v>3</v>
      </c>
      <c r="T344" s="49">
        <v>4</v>
      </c>
    </row>
    <row r="345" spans="1:20">
      <c r="A345" s="17">
        <v>349</v>
      </c>
      <c r="B345" s="17">
        <v>113020</v>
      </c>
      <c r="C345">
        <v>6</v>
      </c>
      <c r="D345" t="s">
        <v>66</v>
      </c>
      <c r="E345">
        <v>1</v>
      </c>
      <c r="F345">
        <v>0</v>
      </c>
      <c r="G345" s="66">
        <v>17</v>
      </c>
      <c r="H345" s="66">
        <v>6.8</v>
      </c>
      <c r="I345" s="66">
        <v>136</v>
      </c>
      <c r="K345" s="67"/>
      <c r="Q345" s="49">
        <v>4</v>
      </c>
      <c r="R345" s="49">
        <v>4</v>
      </c>
      <c r="S345" s="49">
        <v>3</v>
      </c>
      <c r="T345" s="49">
        <v>4</v>
      </c>
    </row>
    <row r="346" spans="1:20">
      <c r="A346" s="17">
        <v>350</v>
      </c>
      <c r="B346" s="17">
        <v>113020</v>
      </c>
      <c r="C346">
        <v>7</v>
      </c>
      <c r="D346" t="s">
        <v>66</v>
      </c>
      <c r="E346">
        <v>2</v>
      </c>
      <c r="F346">
        <v>0</v>
      </c>
      <c r="G346" s="66">
        <v>19</v>
      </c>
      <c r="H346" s="66">
        <v>7.6</v>
      </c>
      <c r="I346" s="66">
        <v>152</v>
      </c>
      <c r="K346" s="67"/>
      <c r="Q346" s="49">
        <v>4</v>
      </c>
      <c r="R346" s="49">
        <v>4</v>
      </c>
      <c r="S346" s="49">
        <v>3</v>
      </c>
      <c r="T346" s="49">
        <v>4</v>
      </c>
    </row>
    <row r="347" spans="1:20">
      <c r="A347" s="17">
        <v>351</v>
      </c>
      <c r="B347" s="17">
        <v>113020</v>
      </c>
      <c r="C347">
        <v>8</v>
      </c>
      <c r="D347" t="s">
        <v>68</v>
      </c>
      <c r="E347">
        <v>2</v>
      </c>
      <c r="F347">
        <v>0</v>
      </c>
      <c r="G347" s="66">
        <v>21</v>
      </c>
      <c r="H347" s="66">
        <v>8.4</v>
      </c>
      <c r="I347" s="66">
        <v>168</v>
      </c>
      <c r="K347" s="67"/>
      <c r="Q347" s="49">
        <v>4</v>
      </c>
      <c r="R347" s="49">
        <v>4</v>
      </c>
      <c r="S347" s="49">
        <v>3</v>
      </c>
      <c r="T347" s="49">
        <v>4</v>
      </c>
    </row>
    <row r="348" spans="1:20">
      <c r="A348" s="17">
        <v>352</v>
      </c>
      <c r="B348" s="13">
        <v>113021</v>
      </c>
      <c r="C348">
        <v>3</v>
      </c>
      <c r="E348">
        <v>0</v>
      </c>
      <c r="F348">
        <v>0</v>
      </c>
      <c r="G348" s="66">
        <v>12</v>
      </c>
      <c r="H348" s="66">
        <v>4.8</v>
      </c>
      <c r="I348" s="66">
        <v>96</v>
      </c>
      <c r="K348" s="67"/>
      <c r="Q348" s="49">
        <v>4</v>
      </c>
      <c r="R348" s="49">
        <v>4</v>
      </c>
      <c r="S348" s="49">
        <v>3</v>
      </c>
      <c r="T348" s="49">
        <v>4</v>
      </c>
    </row>
    <row r="349" ht="12.75" customHeight="1" spans="1:20">
      <c r="A349" s="17">
        <v>353</v>
      </c>
      <c r="B349" s="13">
        <v>113021</v>
      </c>
      <c r="C349">
        <v>4</v>
      </c>
      <c r="D349" t="s">
        <v>64</v>
      </c>
      <c r="E349">
        <v>1</v>
      </c>
      <c r="F349">
        <v>0</v>
      </c>
      <c r="G349" s="66">
        <v>13.5</v>
      </c>
      <c r="H349" s="66">
        <v>5.4</v>
      </c>
      <c r="I349" s="66">
        <v>108</v>
      </c>
      <c r="K349" s="67"/>
      <c r="Q349" s="49">
        <v>4</v>
      </c>
      <c r="R349" s="49">
        <v>4</v>
      </c>
      <c r="S349" s="49">
        <v>3</v>
      </c>
      <c r="T349" s="49">
        <v>4</v>
      </c>
    </row>
    <row r="350" spans="1:20">
      <c r="A350" s="17">
        <v>354</v>
      </c>
      <c r="B350" s="13">
        <v>113021</v>
      </c>
      <c r="C350">
        <v>5</v>
      </c>
      <c r="D350" t="s">
        <v>65</v>
      </c>
      <c r="E350">
        <v>1</v>
      </c>
      <c r="F350">
        <v>0</v>
      </c>
      <c r="G350" s="66">
        <v>15</v>
      </c>
      <c r="H350" s="66">
        <v>6</v>
      </c>
      <c r="I350" s="66">
        <v>120</v>
      </c>
      <c r="K350" s="67"/>
      <c r="Q350" s="49">
        <v>4</v>
      </c>
      <c r="R350" s="49">
        <v>4</v>
      </c>
      <c r="S350" s="49">
        <v>3</v>
      </c>
      <c r="T350" s="49">
        <v>4</v>
      </c>
    </row>
    <row r="351" spans="1:20">
      <c r="A351" s="17">
        <v>355</v>
      </c>
      <c r="B351" s="13">
        <v>113021</v>
      </c>
      <c r="C351">
        <v>6</v>
      </c>
      <c r="D351" t="s">
        <v>66</v>
      </c>
      <c r="E351">
        <v>1</v>
      </c>
      <c r="F351">
        <v>0</v>
      </c>
      <c r="G351" s="66">
        <v>17</v>
      </c>
      <c r="H351" s="66">
        <v>6.8</v>
      </c>
      <c r="I351" s="66">
        <v>136</v>
      </c>
      <c r="K351" s="67"/>
      <c r="Q351" s="49">
        <v>4</v>
      </c>
      <c r="R351" s="49">
        <v>4</v>
      </c>
      <c r="S351" s="49">
        <v>3</v>
      </c>
      <c r="T351" s="49">
        <v>4</v>
      </c>
    </row>
    <row r="352" spans="1:20">
      <c r="A352" s="17">
        <v>356</v>
      </c>
      <c r="B352" s="13">
        <v>113021</v>
      </c>
      <c r="C352">
        <v>7</v>
      </c>
      <c r="D352" t="s">
        <v>66</v>
      </c>
      <c r="E352">
        <v>2</v>
      </c>
      <c r="F352">
        <v>0</v>
      </c>
      <c r="G352" s="66">
        <v>19</v>
      </c>
      <c r="H352" s="66">
        <v>7.6</v>
      </c>
      <c r="I352" s="66">
        <v>152</v>
      </c>
      <c r="K352" s="67"/>
      <c r="Q352" s="49">
        <v>4</v>
      </c>
      <c r="R352" s="49">
        <v>4</v>
      </c>
      <c r="S352" s="49">
        <v>3</v>
      </c>
      <c r="T352" s="49">
        <v>4</v>
      </c>
    </row>
    <row r="353" spans="1:20">
      <c r="A353" s="17">
        <v>357</v>
      </c>
      <c r="B353" s="13">
        <v>113021</v>
      </c>
      <c r="C353">
        <v>8</v>
      </c>
      <c r="D353" t="s">
        <v>68</v>
      </c>
      <c r="E353">
        <v>2</v>
      </c>
      <c r="F353">
        <v>0</v>
      </c>
      <c r="G353" s="66">
        <v>21</v>
      </c>
      <c r="H353" s="66">
        <v>8.4</v>
      </c>
      <c r="I353" s="66">
        <v>168</v>
      </c>
      <c r="K353" s="67"/>
      <c r="Q353" s="49">
        <v>4</v>
      </c>
      <c r="R353" s="49">
        <v>4</v>
      </c>
      <c r="S353" s="49">
        <v>3</v>
      </c>
      <c r="T353" s="49">
        <v>4</v>
      </c>
    </row>
    <row r="354" spans="1:20">
      <c r="A354" s="17">
        <v>358</v>
      </c>
      <c r="B354" s="18">
        <v>113022</v>
      </c>
      <c r="C354">
        <v>3</v>
      </c>
      <c r="E354">
        <v>0</v>
      </c>
      <c r="F354">
        <v>0</v>
      </c>
      <c r="G354" s="66">
        <v>12</v>
      </c>
      <c r="H354" s="66">
        <v>4.8</v>
      </c>
      <c r="I354" s="66">
        <v>96</v>
      </c>
      <c r="K354" s="67"/>
      <c r="Q354" s="49">
        <v>4</v>
      </c>
      <c r="R354" s="49">
        <v>4</v>
      </c>
      <c r="S354" s="49">
        <v>3</v>
      </c>
      <c r="T354" s="49">
        <v>4</v>
      </c>
    </row>
    <row r="355" ht="12.75" customHeight="1" spans="1:20">
      <c r="A355" s="17">
        <v>359</v>
      </c>
      <c r="B355" s="18">
        <v>113022</v>
      </c>
      <c r="C355">
        <v>4</v>
      </c>
      <c r="D355" t="s">
        <v>64</v>
      </c>
      <c r="E355">
        <v>1</v>
      </c>
      <c r="F355">
        <v>0</v>
      </c>
      <c r="G355" s="66">
        <v>13.5</v>
      </c>
      <c r="H355" s="66">
        <v>5.4</v>
      </c>
      <c r="I355" s="66">
        <v>108</v>
      </c>
      <c r="K355" s="67"/>
      <c r="Q355" s="49">
        <v>4</v>
      </c>
      <c r="R355" s="49">
        <v>4</v>
      </c>
      <c r="S355" s="49">
        <v>3</v>
      </c>
      <c r="T355" s="49">
        <v>4</v>
      </c>
    </row>
    <row r="356" spans="1:20">
      <c r="A356" s="17">
        <v>360</v>
      </c>
      <c r="B356" s="18">
        <v>113022</v>
      </c>
      <c r="C356">
        <v>5</v>
      </c>
      <c r="D356" t="s">
        <v>65</v>
      </c>
      <c r="E356">
        <v>1</v>
      </c>
      <c r="F356">
        <v>0</v>
      </c>
      <c r="G356" s="66">
        <v>15</v>
      </c>
      <c r="H356" s="66">
        <v>6</v>
      </c>
      <c r="I356" s="66">
        <v>120</v>
      </c>
      <c r="K356" s="67"/>
      <c r="Q356" s="49">
        <v>4</v>
      </c>
      <c r="R356" s="49">
        <v>4</v>
      </c>
      <c r="S356" s="49">
        <v>3</v>
      </c>
      <c r="T356" s="49">
        <v>4</v>
      </c>
    </row>
    <row r="357" spans="1:20">
      <c r="A357" s="17">
        <v>361</v>
      </c>
      <c r="B357" s="18">
        <v>113022</v>
      </c>
      <c r="C357">
        <v>6</v>
      </c>
      <c r="D357" t="s">
        <v>66</v>
      </c>
      <c r="E357">
        <v>1</v>
      </c>
      <c r="F357">
        <v>0</v>
      </c>
      <c r="G357" s="66">
        <v>17</v>
      </c>
      <c r="H357" s="66">
        <v>6.8</v>
      </c>
      <c r="I357" s="66">
        <v>136</v>
      </c>
      <c r="K357" s="67"/>
      <c r="Q357" s="49">
        <v>4</v>
      </c>
      <c r="R357" s="49">
        <v>4</v>
      </c>
      <c r="S357" s="49">
        <v>3</v>
      </c>
      <c r="T357" s="49">
        <v>4</v>
      </c>
    </row>
    <row r="358" spans="1:20">
      <c r="A358" s="17">
        <v>362</v>
      </c>
      <c r="B358" s="18">
        <v>113022</v>
      </c>
      <c r="C358">
        <v>7</v>
      </c>
      <c r="D358" t="s">
        <v>66</v>
      </c>
      <c r="E358">
        <v>2</v>
      </c>
      <c r="F358">
        <v>0</v>
      </c>
      <c r="G358" s="66">
        <v>19</v>
      </c>
      <c r="H358" s="66">
        <v>7.6</v>
      </c>
      <c r="I358" s="66">
        <v>152</v>
      </c>
      <c r="K358" s="67"/>
      <c r="Q358" s="49">
        <v>4</v>
      </c>
      <c r="R358" s="49">
        <v>4</v>
      </c>
      <c r="S358" s="49">
        <v>3</v>
      </c>
      <c r="T358" s="49">
        <v>4</v>
      </c>
    </row>
    <row r="359" spans="1:20">
      <c r="A359" s="17">
        <v>363</v>
      </c>
      <c r="B359" s="18">
        <v>113022</v>
      </c>
      <c r="C359">
        <v>8</v>
      </c>
      <c r="D359" t="s">
        <v>68</v>
      </c>
      <c r="E359">
        <v>2</v>
      </c>
      <c r="F359">
        <v>0</v>
      </c>
      <c r="G359" s="66">
        <v>21</v>
      </c>
      <c r="H359" s="66">
        <v>8.4</v>
      </c>
      <c r="I359" s="66">
        <v>168</v>
      </c>
      <c r="K359" s="67"/>
      <c r="Q359" s="49">
        <v>4</v>
      </c>
      <c r="R359" s="49">
        <v>4</v>
      </c>
      <c r="S359" s="49">
        <v>3</v>
      </c>
      <c r="T359" s="49">
        <v>4</v>
      </c>
    </row>
    <row r="360" spans="1:11">
      <c r="A360" s="17">
        <v>364</v>
      </c>
      <c r="B360" s="18">
        <v>113023</v>
      </c>
      <c r="C360">
        <v>3</v>
      </c>
      <c r="E360">
        <v>0</v>
      </c>
      <c r="F360">
        <v>0</v>
      </c>
      <c r="G360" s="66">
        <v>12</v>
      </c>
      <c r="H360" s="66">
        <v>4.8</v>
      </c>
      <c r="I360" s="66">
        <v>96</v>
      </c>
      <c r="K360" s="67"/>
    </row>
    <row r="361" spans="1:11">
      <c r="A361" s="17">
        <v>365</v>
      </c>
      <c r="B361" s="18">
        <v>113023</v>
      </c>
      <c r="C361">
        <v>4</v>
      </c>
      <c r="D361" t="s">
        <v>64</v>
      </c>
      <c r="E361">
        <v>1</v>
      </c>
      <c r="F361">
        <v>0</v>
      </c>
      <c r="G361" s="66">
        <v>13.5</v>
      </c>
      <c r="H361" s="66">
        <v>5.4</v>
      </c>
      <c r="I361" s="66">
        <v>108</v>
      </c>
      <c r="K361" s="67"/>
    </row>
    <row r="362" spans="1:11">
      <c r="A362" s="17">
        <v>366</v>
      </c>
      <c r="B362" s="18">
        <v>113023</v>
      </c>
      <c r="C362">
        <v>5</v>
      </c>
      <c r="D362" t="s">
        <v>65</v>
      </c>
      <c r="E362">
        <v>1</v>
      </c>
      <c r="F362">
        <v>0</v>
      </c>
      <c r="G362" s="66">
        <v>15</v>
      </c>
      <c r="H362" s="66">
        <v>6</v>
      </c>
      <c r="I362" s="66">
        <v>120</v>
      </c>
      <c r="K362" s="67"/>
    </row>
    <row r="363" spans="1:11">
      <c r="A363" s="17">
        <v>367</v>
      </c>
      <c r="B363" s="18">
        <v>113023</v>
      </c>
      <c r="C363">
        <v>6</v>
      </c>
      <c r="D363" t="s">
        <v>66</v>
      </c>
      <c r="E363">
        <v>1</v>
      </c>
      <c r="F363">
        <v>0</v>
      </c>
      <c r="G363" s="66">
        <v>17</v>
      </c>
      <c r="H363" s="66">
        <v>6.8</v>
      </c>
      <c r="I363" s="66">
        <v>136</v>
      </c>
      <c r="K363" s="67"/>
    </row>
    <row r="364" spans="1:11">
      <c r="A364" s="17">
        <v>368</v>
      </c>
      <c r="B364" s="18">
        <v>113023</v>
      </c>
      <c r="C364">
        <v>7</v>
      </c>
      <c r="D364" t="s">
        <v>66</v>
      </c>
      <c r="E364">
        <v>2</v>
      </c>
      <c r="F364">
        <v>0</v>
      </c>
      <c r="G364" s="66">
        <v>19</v>
      </c>
      <c r="H364" s="66">
        <v>7.6</v>
      </c>
      <c r="I364" s="66">
        <v>152</v>
      </c>
      <c r="K364" s="67"/>
    </row>
    <row r="365" spans="1:11">
      <c r="A365" s="17">
        <v>369</v>
      </c>
      <c r="B365" s="18">
        <v>113023</v>
      </c>
      <c r="C365">
        <v>8</v>
      </c>
      <c r="D365" t="s">
        <v>68</v>
      </c>
      <c r="E365">
        <v>2</v>
      </c>
      <c r="F365">
        <v>0</v>
      </c>
      <c r="G365" s="66">
        <v>21</v>
      </c>
      <c r="H365" s="66">
        <v>8.4</v>
      </c>
      <c r="I365" s="66">
        <v>168</v>
      </c>
      <c r="K365" s="67"/>
    </row>
    <row r="366" spans="1:11">
      <c r="A366" s="19">
        <v>370</v>
      </c>
      <c r="B366" s="19">
        <v>113024</v>
      </c>
      <c r="C366">
        <v>3</v>
      </c>
      <c r="E366">
        <v>0</v>
      </c>
      <c r="F366">
        <v>0</v>
      </c>
      <c r="G366" s="66">
        <v>12</v>
      </c>
      <c r="H366" s="66">
        <v>4.8</v>
      </c>
      <c r="I366" s="66">
        <v>96</v>
      </c>
      <c r="K366" s="67"/>
    </row>
    <row r="367" spans="1:11">
      <c r="A367" s="19">
        <v>371</v>
      </c>
      <c r="B367" s="19">
        <v>113024</v>
      </c>
      <c r="C367">
        <v>4</v>
      </c>
      <c r="D367" t="s">
        <v>64</v>
      </c>
      <c r="E367">
        <v>1</v>
      </c>
      <c r="F367">
        <v>0</v>
      </c>
      <c r="G367" s="66">
        <v>13.5</v>
      </c>
      <c r="H367" s="66">
        <v>5.4</v>
      </c>
      <c r="I367" s="66">
        <v>108</v>
      </c>
      <c r="K367" s="67"/>
    </row>
    <row r="368" spans="1:11">
      <c r="A368" s="19">
        <v>372</v>
      </c>
      <c r="B368" s="19">
        <v>113024</v>
      </c>
      <c r="C368">
        <v>5</v>
      </c>
      <c r="D368" t="s">
        <v>65</v>
      </c>
      <c r="E368">
        <v>1</v>
      </c>
      <c r="F368">
        <v>0</v>
      </c>
      <c r="G368" s="66">
        <v>15</v>
      </c>
      <c r="H368" s="66">
        <v>6</v>
      </c>
      <c r="I368" s="66">
        <v>120</v>
      </c>
      <c r="K368" s="67"/>
    </row>
    <row r="369" spans="1:11">
      <c r="A369" s="19">
        <v>373</v>
      </c>
      <c r="B369" s="19">
        <v>113024</v>
      </c>
      <c r="C369">
        <v>6</v>
      </c>
      <c r="D369" t="s">
        <v>66</v>
      </c>
      <c r="E369">
        <v>1</v>
      </c>
      <c r="F369">
        <v>0</v>
      </c>
      <c r="G369" s="66">
        <v>17</v>
      </c>
      <c r="H369" s="66">
        <v>6.8</v>
      </c>
      <c r="I369" s="66">
        <v>136</v>
      </c>
      <c r="K369" s="67"/>
    </row>
    <row r="370" spans="1:11">
      <c r="A370" s="19">
        <v>374</v>
      </c>
      <c r="B370" s="19">
        <v>113024</v>
      </c>
      <c r="C370">
        <v>7</v>
      </c>
      <c r="D370" t="s">
        <v>66</v>
      </c>
      <c r="E370">
        <v>2</v>
      </c>
      <c r="F370">
        <v>0</v>
      </c>
      <c r="G370" s="66">
        <v>19</v>
      </c>
      <c r="H370" s="66">
        <v>7.6</v>
      </c>
      <c r="I370" s="66">
        <v>152</v>
      </c>
      <c r="K370" s="67"/>
    </row>
    <row r="371" spans="1:11">
      <c r="A371" s="19">
        <v>375</v>
      </c>
      <c r="B371" s="19">
        <v>113024</v>
      </c>
      <c r="C371">
        <v>8</v>
      </c>
      <c r="D371" t="s">
        <v>68</v>
      </c>
      <c r="E371">
        <v>2</v>
      </c>
      <c r="F371">
        <v>0</v>
      </c>
      <c r="G371" s="66">
        <v>21</v>
      </c>
      <c r="H371" s="66">
        <v>8.4</v>
      </c>
      <c r="I371" s="66">
        <v>168</v>
      </c>
      <c r="K371" s="67"/>
    </row>
    <row r="372" spans="1:11">
      <c r="A372" s="20">
        <v>376</v>
      </c>
      <c r="B372" s="20">
        <v>113025</v>
      </c>
      <c r="C372">
        <v>3</v>
      </c>
      <c r="E372">
        <v>0</v>
      </c>
      <c r="F372">
        <v>0</v>
      </c>
      <c r="G372" s="66">
        <v>12</v>
      </c>
      <c r="H372" s="66">
        <v>4.8</v>
      </c>
      <c r="I372" s="66">
        <v>96</v>
      </c>
      <c r="K372" s="67"/>
    </row>
    <row r="373" spans="1:11">
      <c r="A373" s="20">
        <v>377</v>
      </c>
      <c r="B373" s="20">
        <v>113025</v>
      </c>
      <c r="C373">
        <v>4</v>
      </c>
      <c r="D373" t="s">
        <v>64</v>
      </c>
      <c r="E373">
        <v>1</v>
      </c>
      <c r="F373">
        <v>0</v>
      </c>
      <c r="G373" s="66">
        <v>13.5</v>
      </c>
      <c r="H373" s="66">
        <v>5.4</v>
      </c>
      <c r="I373" s="66">
        <v>108</v>
      </c>
      <c r="K373" s="67"/>
    </row>
    <row r="374" spans="1:11">
      <c r="A374" s="20">
        <v>378</v>
      </c>
      <c r="B374" s="20">
        <v>113025</v>
      </c>
      <c r="C374">
        <v>5</v>
      </c>
      <c r="D374" t="s">
        <v>65</v>
      </c>
      <c r="E374">
        <v>1</v>
      </c>
      <c r="F374">
        <v>0</v>
      </c>
      <c r="G374" s="66">
        <v>15</v>
      </c>
      <c r="H374" s="66">
        <v>6</v>
      </c>
      <c r="I374" s="66">
        <v>120</v>
      </c>
      <c r="K374" s="67"/>
    </row>
    <row r="375" spans="1:11">
      <c r="A375" s="20">
        <v>379</v>
      </c>
      <c r="B375" s="20">
        <v>113025</v>
      </c>
      <c r="C375">
        <v>6</v>
      </c>
      <c r="D375" t="s">
        <v>66</v>
      </c>
      <c r="E375">
        <v>1</v>
      </c>
      <c r="F375">
        <v>0</v>
      </c>
      <c r="G375" s="66">
        <v>17</v>
      </c>
      <c r="H375" s="66">
        <v>6.8</v>
      </c>
      <c r="I375" s="66">
        <v>136</v>
      </c>
      <c r="K375" s="67"/>
    </row>
    <row r="376" spans="1:11">
      <c r="A376" s="20">
        <v>380</v>
      </c>
      <c r="B376" s="20">
        <v>113025</v>
      </c>
      <c r="C376">
        <v>7</v>
      </c>
      <c r="D376" t="s">
        <v>66</v>
      </c>
      <c r="E376">
        <v>2</v>
      </c>
      <c r="F376">
        <v>0</v>
      </c>
      <c r="G376" s="66">
        <v>19</v>
      </c>
      <c r="H376" s="66">
        <v>7.6</v>
      </c>
      <c r="I376" s="66">
        <v>152</v>
      </c>
      <c r="K376" s="67"/>
    </row>
    <row r="377" spans="1:11">
      <c r="A377" s="20">
        <v>381</v>
      </c>
      <c r="B377" s="20">
        <v>113025</v>
      </c>
      <c r="C377">
        <v>8</v>
      </c>
      <c r="D377" t="s">
        <v>68</v>
      </c>
      <c r="E377">
        <v>2</v>
      </c>
      <c r="F377">
        <v>0</v>
      </c>
      <c r="G377" s="66">
        <v>21</v>
      </c>
      <c r="H377" s="66">
        <v>8.4</v>
      </c>
      <c r="I377" s="66">
        <v>168</v>
      </c>
      <c r="K377" s="67"/>
    </row>
    <row r="378" spans="1:11">
      <c r="A378" s="21">
        <v>382</v>
      </c>
      <c r="B378" s="21">
        <v>113026</v>
      </c>
      <c r="C378">
        <v>3</v>
      </c>
      <c r="E378">
        <v>0</v>
      </c>
      <c r="F378">
        <v>0</v>
      </c>
      <c r="G378" s="66">
        <v>12</v>
      </c>
      <c r="H378" s="66">
        <v>4.8</v>
      </c>
      <c r="I378" s="66">
        <v>96</v>
      </c>
      <c r="K378" s="67"/>
    </row>
    <row r="379" spans="1:11">
      <c r="A379" s="21">
        <v>383</v>
      </c>
      <c r="B379" s="21">
        <v>113026</v>
      </c>
      <c r="C379">
        <v>4</v>
      </c>
      <c r="D379" t="s">
        <v>64</v>
      </c>
      <c r="E379">
        <v>1</v>
      </c>
      <c r="F379">
        <v>0</v>
      </c>
      <c r="G379" s="66">
        <v>13.5</v>
      </c>
      <c r="H379" s="66">
        <v>5.4</v>
      </c>
      <c r="I379" s="66">
        <v>108</v>
      </c>
      <c r="K379" s="67"/>
    </row>
    <row r="380" spans="1:11">
      <c r="A380" s="21">
        <v>384</v>
      </c>
      <c r="B380" s="21">
        <v>113026</v>
      </c>
      <c r="C380">
        <v>5</v>
      </c>
      <c r="D380" t="s">
        <v>65</v>
      </c>
      <c r="E380">
        <v>1</v>
      </c>
      <c r="F380">
        <v>0</v>
      </c>
      <c r="G380" s="66">
        <v>15</v>
      </c>
      <c r="H380" s="66">
        <v>6</v>
      </c>
      <c r="I380" s="66">
        <v>120</v>
      </c>
      <c r="K380" s="67"/>
    </row>
    <row r="381" spans="1:11">
      <c r="A381" s="21">
        <v>385</v>
      </c>
      <c r="B381" s="21">
        <v>113026</v>
      </c>
      <c r="C381">
        <v>6</v>
      </c>
      <c r="D381" t="s">
        <v>66</v>
      </c>
      <c r="E381">
        <v>1</v>
      </c>
      <c r="F381">
        <v>0</v>
      </c>
      <c r="G381" s="66">
        <v>17</v>
      </c>
      <c r="H381" s="66">
        <v>6.8</v>
      </c>
      <c r="I381" s="66">
        <v>136</v>
      </c>
      <c r="K381" s="67"/>
    </row>
    <row r="382" spans="1:11">
      <c r="A382" s="21">
        <v>386</v>
      </c>
      <c r="B382" s="21">
        <v>113026</v>
      </c>
      <c r="C382">
        <v>7</v>
      </c>
      <c r="D382" t="s">
        <v>66</v>
      </c>
      <c r="E382">
        <v>2</v>
      </c>
      <c r="F382">
        <v>0</v>
      </c>
      <c r="G382" s="66">
        <v>19</v>
      </c>
      <c r="H382" s="66">
        <v>7.6</v>
      </c>
      <c r="I382" s="66">
        <v>152</v>
      </c>
      <c r="K382" s="67"/>
    </row>
    <row r="383" spans="1:11">
      <c r="A383" s="21">
        <v>387</v>
      </c>
      <c r="B383" s="21">
        <v>113026</v>
      </c>
      <c r="C383">
        <v>8</v>
      </c>
      <c r="D383" t="s">
        <v>68</v>
      </c>
      <c r="E383">
        <v>2</v>
      </c>
      <c r="F383">
        <v>0</v>
      </c>
      <c r="G383" s="66">
        <v>21</v>
      </c>
      <c r="H383" s="66">
        <v>8.4</v>
      </c>
      <c r="I383" s="66">
        <v>168</v>
      </c>
      <c r="K383" s="67"/>
    </row>
    <row r="384" spans="1:11">
      <c r="A384" s="22">
        <v>388</v>
      </c>
      <c r="B384" s="22">
        <v>113027</v>
      </c>
      <c r="C384">
        <v>3</v>
      </c>
      <c r="E384">
        <v>0</v>
      </c>
      <c r="F384">
        <v>0</v>
      </c>
      <c r="G384" s="66">
        <v>12</v>
      </c>
      <c r="H384" s="66">
        <v>4.8</v>
      </c>
      <c r="I384" s="66">
        <v>96</v>
      </c>
      <c r="K384" s="67"/>
    </row>
    <row r="385" spans="1:11">
      <c r="A385" s="22">
        <v>389</v>
      </c>
      <c r="B385" s="22">
        <v>113027</v>
      </c>
      <c r="C385">
        <v>4</v>
      </c>
      <c r="D385" t="s">
        <v>64</v>
      </c>
      <c r="E385">
        <v>1</v>
      </c>
      <c r="F385">
        <v>0</v>
      </c>
      <c r="G385" s="66">
        <v>13.5</v>
      </c>
      <c r="H385" s="66">
        <v>5.4</v>
      </c>
      <c r="I385" s="66">
        <v>108</v>
      </c>
      <c r="K385" s="67"/>
    </row>
    <row r="386" spans="1:11">
      <c r="A386" s="22">
        <v>390</v>
      </c>
      <c r="B386" s="22">
        <v>113027</v>
      </c>
      <c r="C386">
        <v>5</v>
      </c>
      <c r="D386" t="s">
        <v>65</v>
      </c>
      <c r="E386">
        <v>1</v>
      </c>
      <c r="F386">
        <v>0</v>
      </c>
      <c r="G386" s="66">
        <v>15</v>
      </c>
      <c r="H386" s="66">
        <v>6</v>
      </c>
      <c r="I386" s="66">
        <v>120</v>
      </c>
      <c r="K386" s="67"/>
    </row>
    <row r="387" spans="1:11">
      <c r="A387" s="22">
        <v>391</v>
      </c>
      <c r="B387" s="22">
        <v>113027</v>
      </c>
      <c r="C387">
        <v>6</v>
      </c>
      <c r="D387" t="s">
        <v>66</v>
      </c>
      <c r="E387">
        <v>1</v>
      </c>
      <c r="F387">
        <v>0</v>
      </c>
      <c r="G387" s="66">
        <v>17</v>
      </c>
      <c r="H387" s="66">
        <v>6.8</v>
      </c>
      <c r="I387" s="66">
        <v>136</v>
      </c>
      <c r="K387" s="67"/>
    </row>
    <row r="388" spans="1:11">
      <c r="A388" s="22">
        <v>392</v>
      </c>
      <c r="B388" s="22">
        <v>113027</v>
      </c>
      <c r="C388">
        <v>7</v>
      </c>
      <c r="D388" t="s">
        <v>66</v>
      </c>
      <c r="E388">
        <v>2</v>
      </c>
      <c r="F388">
        <v>0</v>
      </c>
      <c r="G388" s="66">
        <v>19</v>
      </c>
      <c r="H388" s="66">
        <v>7.6</v>
      </c>
      <c r="I388" s="66">
        <v>152</v>
      </c>
      <c r="K388" s="67"/>
    </row>
    <row r="389" spans="1:11">
      <c r="A389" s="22">
        <v>393</v>
      </c>
      <c r="B389" s="22">
        <v>113027</v>
      </c>
      <c r="C389">
        <v>8</v>
      </c>
      <c r="D389" t="s">
        <v>68</v>
      </c>
      <c r="E389">
        <v>2</v>
      </c>
      <c r="F389">
        <v>0</v>
      </c>
      <c r="G389" s="66">
        <v>21</v>
      </c>
      <c r="H389" s="66">
        <v>8.4</v>
      </c>
      <c r="I389" s="66">
        <v>168</v>
      </c>
      <c r="K389" s="67"/>
    </row>
    <row r="390" spans="1:11">
      <c r="A390" s="23">
        <v>394</v>
      </c>
      <c r="B390" s="23">
        <v>113028</v>
      </c>
      <c r="C390">
        <v>3</v>
      </c>
      <c r="E390">
        <v>0</v>
      </c>
      <c r="F390">
        <v>0</v>
      </c>
      <c r="G390" s="66">
        <v>12</v>
      </c>
      <c r="H390" s="66">
        <v>4.8</v>
      </c>
      <c r="I390" s="66">
        <v>96</v>
      </c>
      <c r="K390" s="67"/>
    </row>
    <row r="391" spans="1:11">
      <c r="A391" s="23">
        <v>395</v>
      </c>
      <c r="B391" s="23">
        <v>113028</v>
      </c>
      <c r="C391">
        <v>4</v>
      </c>
      <c r="D391" t="s">
        <v>64</v>
      </c>
      <c r="E391">
        <v>1</v>
      </c>
      <c r="F391">
        <v>0</v>
      </c>
      <c r="G391" s="66">
        <v>13.5</v>
      </c>
      <c r="H391" s="66">
        <v>5.4</v>
      </c>
      <c r="I391" s="66">
        <v>108</v>
      </c>
      <c r="K391" s="67"/>
    </row>
    <row r="392" spans="1:11">
      <c r="A392" s="23">
        <v>396</v>
      </c>
      <c r="B392" s="23">
        <v>113028</v>
      </c>
      <c r="C392">
        <v>5</v>
      </c>
      <c r="D392" t="s">
        <v>65</v>
      </c>
      <c r="E392">
        <v>1</v>
      </c>
      <c r="F392">
        <v>0</v>
      </c>
      <c r="G392" s="66">
        <v>15</v>
      </c>
      <c r="H392" s="66">
        <v>6</v>
      </c>
      <c r="I392" s="66">
        <v>120</v>
      </c>
      <c r="K392" s="67"/>
    </row>
    <row r="393" spans="1:11">
      <c r="A393" s="23">
        <v>397</v>
      </c>
      <c r="B393" s="23">
        <v>113028</v>
      </c>
      <c r="C393">
        <v>6</v>
      </c>
      <c r="D393" t="s">
        <v>66</v>
      </c>
      <c r="E393">
        <v>1</v>
      </c>
      <c r="F393">
        <v>0</v>
      </c>
      <c r="G393" s="66">
        <v>17</v>
      </c>
      <c r="H393" s="66">
        <v>6.8</v>
      </c>
      <c r="I393" s="66">
        <v>136</v>
      </c>
      <c r="K393" s="67"/>
    </row>
    <row r="394" spans="1:11">
      <c r="A394" s="23">
        <v>398</v>
      </c>
      <c r="B394" s="23">
        <v>113028</v>
      </c>
      <c r="C394">
        <v>7</v>
      </c>
      <c r="D394" t="s">
        <v>66</v>
      </c>
      <c r="E394">
        <v>2</v>
      </c>
      <c r="F394">
        <v>0</v>
      </c>
      <c r="G394" s="66">
        <v>19</v>
      </c>
      <c r="H394" s="66">
        <v>7.6</v>
      </c>
      <c r="I394" s="66">
        <v>152</v>
      </c>
      <c r="K394" s="67"/>
    </row>
    <row r="395" spans="1:11">
      <c r="A395" s="23">
        <v>399</v>
      </c>
      <c r="B395" s="23">
        <v>113028</v>
      </c>
      <c r="C395">
        <v>8</v>
      </c>
      <c r="D395" t="s">
        <v>68</v>
      </c>
      <c r="E395">
        <v>2</v>
      </c>
      <c r="F395">
        <v>0</v>
      </c>
      <c r="G395" s="66">
        <v>21</v>
      </c>
      <c r="H395" s="66">
        <v>8.4</v>
      </c>
      <c r="I395" s="66">
        <v>168</v>
      </c>
      <c r="K395" s="67"/>
    </row>
    <row r="396" spans="1:11">
      <c r="A396" s="24">
        <v>400</v>
      </c>
      <c r="B396" s="24">
        <v>113029</v>
      </c>
      <c r="C396">
        <v>3</v>
      </c>
      <c r="E396">
        <v>0</v>
      </c>
      <c r="F396">
        <v>0</v>
      </c>
      <c r="G396" s="66">
        <v>12</v>
      </c>
      <c r="H396" s="66">
        <v>4.8</v>
      </c>
      <c r="I396" s="66">
        <v>96</v>
      </c>
      <c r="K396" s="67"/>
    </row>
    <row r="397" spans="1:11">
      <c r="A397" s="24">
        <v>401</v>
      </c>
      <c r="B397" s="24">
        <v>113029</v>
      </c>
      <c r="C397">
        <v>4</v>
      </c>
      <c r="D397" t="s">
        <v>64</v>
      </c>
      <c r="E397">
        <v>1</v>
      </c>
      <c r="F397">
        <v>0</v>
      </c>
      <c r="G397" s="66">
        <v>13.5</v>
      </c>
      <c r="H397" s="66">
        <v>5.4</v>
      </c>
      <c r="I397" s="66">
        <v>108</v>
      </c>
      <c r="K397" s="67"/>
    </row>
    <row r="398" spans="1:11">
      <c r="A398" s="24">
        <v>402</v>
      </c>
      <c r="B398" s="24">
        <v>113029</v>
      </c>
      <c r="C398">
        <v>5</v>
      </c>
      <c r="D398" t="s">
        <v>65</v>
      </c>
      <c r="E398">
        <v>1</v>
      </c>
      <c r="F398">
        <v>0</v>
      </c>
      <c r="G398" s="66">
        <v>15</v>
      </c>
      <c r="H398" s="66">
        <v>6</v>
      </c>
      <c r="I398" s="66">
        <v>120</v>
      </c>
      <c r="K398" s="67"/>
    </row>
    <row r="399" spans="1:11">
      <c r="A399" s="24">
        <v>403</v>
      </c>
      <c r="B399" s="24">
        <v>113029</v>
      </c>
      <c r="C399">
        <v>6</v>
      </c>
      <c r="D399" t="s">
        <v>66</v>
      </c>
      <c r="E399">
        <v>1</v>
      </c>
      <c r="F399">
        <v>0</v>
      </c>
      <c r="G399" s="66">
        <v>17</v>
      </c>
      <c r="H399" s="66">
        <v>6.8</v>
      </c>
      <c r="I399" s="66">
        <v>136</v>
      </c>
      <c r="K399" s="67"/>
    </row>
    <row r="400" spans="1:11">
      <c r="A400" s="24">
        <v>404</v>
      </c>
      <c r="B400" s="24">
        <v>113029</v>
      </c>
      <c r="C400">
        <v>7</v>
      </c>
      <c r="D400" t="s">
        <v>66</v>
      </c>
      <c r="E400">
        <v>2</v>
      </c>
      <c r="F400">
        <v>0</v>
      </c>
      <c r="G400" s="66">
        <v>19</v>
      </c>
      <c r="H400" s="66">
        <v>7.6</v>
      </c>
      <c r="I400" s="66">
        <v>152</v>
      </c>
      <c r="K400" s="67"/>
    </row>
    <row r="401" spans="1:11">
      <c r="A401" s="24">
        <v>405</v>
      </c>
      <c r="B401" s="24">
        <v>113029</v>
      </c>
      <c r="C401">
        <v>8</v>
      </c>
      <c r="D401" t="s">
        <v>68</v>
      </c>
      <c r="E401">
        <v>2</v>
      </c>
      <c r="F401">
        <v>0</v>
      </c>
      <c r="G401" s="66">
        <v>21</v>
      </c>
      <c r="H401" s="66">
        <v>8.4</v>
      </c>
      <c r="I401" s="66">
        <v>168</v>
      </c>
      <c r="K401" s="67"/>
    </row>
    <row r="402" spans="1:11">
      <c r="A402" s="25">
        <v>406</v>
      </c>
      <c r="B402" s="25">
        <v>113030</v>
      </c>
      <c r="C402">
        <v>3</v>
      </c>
      <c r="E402">
        <v>0</v>
      </c>
      <c r="F402">
        <v>0</v>
      </c>
      <c r="G402" s="66">
        <v>12</v>
      </c>
      <c r="H402" s="66">
        <v>4.8</v>
      </c>
      <c r="I402" s="66">
        <v>96</v>
      </c>
      <c r="K402" s="67"/>
    </row>
    <row r="403" spans="1:11">
      <c r="A403" s="25">
        <v>407</v>
      </c>
      <c r="B403" s="25">
        <v>113030</v>
      </c>
      <c r="C403">
        <v>4</v>
      </c>
      <c r="D403" t="s">
        <v>64</v>
      </c>
      <c r="E403">
        <v>1</v>
      </c>
      <c r="F403">
        <v>0</v>
      </c>
      <c r="G403" s="66">
        <v>13.5</v>
      </c>
      <c r="H403" s="66">
        <v>5.4</v>
      </c>
      <c r="I403" s="66">
        <v>108</v>
      </c>
      <c r="K403" s="67"/>
    </row>
    <row r="404" spans="1:11">
      <c r="A404" s="25">
        <v>408</v>
      </c>
      <c r="B404" s="25">
        <v>113030</v>
      </c>
      <c r="C404">
        <v>5</v>
      </c>
      <c r="D404" t="s">
        <v>65</v>
      </c>
      <c r="E404">
        <v>1</v>
      </c>
      <c r="F404">
        <v>0</v>
      </c>
      <c r="G404" s="66">
        <v>15</v>
      </c>
      <c r="H404" s="66">
        <v>6</v>
      </c>
      <c r="I404" s="66">
        <v>120</v>
      </c>
      <c r="K404" s="67"/>
    </row>
    <row r="405" spans="1:11">
      <c r="A405" s="25">
        <v>409</v>
      </c>
      <c r="B405" s="25">
        <v>113030</v>
      </c>
      <c r="C405">
        <v>6</v>
      </c>
      <c r="D405" t="s">
        <v>66</v>
      </c>
      <c r="E405">
        <v>1</v>
      </c>
      <c r="F405">
        <v>0</v>
      </c>
      <c r="G405" s="66">
        <v>17</v>
      </c>
      <c r="H405" s="66">
        <v>6.8</v>
      </c>
      <c r="I405" s="66">
        <v>136</v>
      </c>
      <c r="K405" s="67"/>
    </row>
    <row r="406" spans="1:11">
      <c r="A406" s="25">
        <v>410</v>
      </c>
      <c r="B406" s="25">
        <v>113030</v>
      </c>
      <c r="C406">
        <v>7</v>
      </c>
      <c r="D406" t="s">
        <v>66</v>
      </c>
      <c r="E406">
        <v>2</v>
      </c>
      <c r="F406">
        <v>0</v>
      </c>
      <c r="G406" s="66">
        <v>19</v>
      </c>
      <c r="H406" s="66">
        <v>7.6</v>
      </c>
      <c r="I406" s="66">
        <v>152</v>
      </c>
      <c r="K406" s="67"/>
    </row>
    <row r="407" spans="1:11">
      <c r="A407" s="25">
        <v>411</v>
      </c>
      <c r="B407" s="25">
        <v>113030</v>
      </c>
      <c r="C407">
        <v>8</v>
      </c>
      <c r="D407" t="s">
        <v>68</v>
      </c>
      <c r="E407">
        <v>2</v>
      </c>
      <c r="F407">
        <v>0</v>
      </c>
      <c r="G407" s="66">
        <v>21</v>
      </c>
      <c r="H407" s="66">
        <v>8.4</v>
      </c>
      <c r="I407" s="66">
        <v>168</v>
      </c>
      <c r="K407" s="67"/>
    </row>
    <row r="408" spans="1:11">
      <c r="A408" s="26">
        <v>412</v>
      </c>
      <c r="B408" s="26">
        <v>113031</v>
      </c>
      <c r="C408">
        <v>3</v>
      </c>
      <c r="E408">
        <v>0</v>
      </c>
      <c r="F408">
        <v>0</v>
      </c>
      <c r="G408" s="66">
        <v>12</v>
      </c>
      <c r="H408" s="66">
        <v>4.8</v>
      </c>
      <c r="I408" s="66">
        <v>96</v>
      </c>
      <c r="K408" s="67"/>
    </row>
    <row r="409" spans="1:11">
      <c r="A409" s="26">
        <v>413</v>
      </c>
      <c r="B409" s="26">
        <v>113031</v>
      </c>
      <c r="C409">
        <v>4</v>
      </c>
      <c r="D409" t="s">
        <v>64</v>
      </c>
      <c r="E409">
        <v>1</v>
      </c>
      <c r="F409">
        <v>0</v>
      </c>
      <c r="G409" s="66">
        <v>13.5</v>
      </c>
      <c r="H409" s="66">
        <v>5.4</v>
      </c>
      <c r="I409" s="66">
        <v>108</v>
      </c>
      <c r="K409" s="67"/>
    </row>
    <row r="410" spans="1:11">
      <c r="A410" s="26">
        <v>414</v>
      </c>
      <c r="B410" s="26">
        <v>113031</v>
      </c>
      <c r="C410">
        <v>5</v>
      </c>
      <c r="D410" t="s">
        <v>65</v>
      </c>
      <c r="E410">
        <v>1</v>
      </c>
      <c r="F410">
        <v>0</v>
      </c>
      <c r="G410" s="66">
        <v>15</v>
      </c>
      <c r="H410" s="66">
        <v>6</v>
      </c>
      <c r="I410" s="66">
        <v>120</v>
      </c>
      <c r="K410" s="67"/>
    </row>
    <row r="411" spans="1:11">
      <c r="A411" s="26">
        <v>415</v>
      </c>
      <c r="B411" s="26">
        <v>113031</v>
      </c>
      <c r="C411">
        <v>6</v>
      </c>
      <c r="D411" t="s">
        <v>66</v>
      </c>
      <c r="E411">
        <v>1</v>
      </c>
      <c r="F411">
        <v>0</v>
      </c>
      <c r="G411" s="66">
        <v>17</v>
      </c>
      <c r="H411" s="66">
        <v>6.8</v>
      </c>
      <c r="I411" s="66">
        <v>136</v>
      </c>
      <c r="K411" s="67"/>
    </row>
    <row r="412" spans="1:11">
      <c r="A412" s="26">
        <v>416</v>
      </c>
      <c r="B412" s="26">
        <v>113031</v>
      </c>
      <c r="C412">
        <v>7</v>
      </c>
      <c r="D412" t="s">
        <v>66</v>
      </c>
      <c r="E412">
        <v>2</v>
      </c>
      <c r="F412">
        <v>0</v>
      </c>
      <c r="G412" s="66">
        <v>19</v>
      </c>
      <c r="H412" s="66">
        <v>7.6</v>
      </c>
      <c r="I412" s="66">
        <v>152</v>
      </c>
      <c r="K412" s="67"/>
    </row>
    <row r="413" spans="1:11">
      <c r="A413" s="26">
        <v>417</v>
      </c>
      <c r="B413" s="26">
        <v>113031</v>
      </c>
      <c r="C413">
        <v>8</v>
      </c>
      <c r="D413" t="s">
        <v>68</v>
      </c>
      <c r="E413">
        <v>2</v>
      </c>
      <c r="F413">
        <v>0</v>
      </c>
      <c r="G413" s="66">
        <v>21</v>
      </c>
      <c r="H413" s="66">
        <v>8.4</v>
      </c>
      <c r="I413" s="66">
        <v>168</v>
      </c>
      <c r="K413" s="67"/>
    </row>
    <row r="414" spans="1:11">
      <c r="A414" s="27">
        <v>418</v>
      </c>
      <c r="B414" s="27">
        <v>113032</v>
      </c>
      <c r="C414">
        <v>3</v>
      </c>
      <c r="E414">
        <v>0</v>
      </c>
      <c r="F414">
        <v>0</v>
      </c>
      <c r="G414" s="66">
        <v>12</v>
      </c>
      <c r="H414" s="66">
        <v>4.8</v>
      </c>
      <c r="I414" s="66">
        <v>96</v>
      </c>
      <c r="K414" s="67"/>
    </row>
    <row r="415" spans="1:11">
      <c r="A415" s="27">
        <v>419</v>
      </c>
      <c r="B415" s="27">
        <v>113032</v>
      </c>
      <c r="C415">
        <v>4</v>
      </c>
      <c r="D415" t="s">
        <v>64</v>
      </c>
      <c r="E415">
        <v>1</v>
      </c>
      <c r="F415">
        <v>0</v>
      </c>
      <c r="G415" s="66">
        <v>13.5</v>
      </c>
      <c r="H415" s="66">
        <v>5.4</v>
      </c>
      <c r="I415" s="66">
        <v>108</v>
      </c>
      <c r="K415" s="67"/>
    </row>
    <row r="416" spans="1:11">
      <c r="A416" s="27">
        <v>420</v>
      </c>
      <c r="B416" s="27">
        <v>113032</v>
      </c>
      <c r="C416">
        <v>5</v>
      </c>
      <c r="D416" t="s">
        <v>65</v>
      </c>
      <c r="E416">
        <v>1</v>
      </c>
      <c r="F416">
        <v>0</v>
      </c>
      <c r="G416" s="66">
        <v>15</v>
      </c>
      <c r="H416" s="66">
        <v>6</v>
      </c>
      <c r="I416" s="66">
        <v>120</v>
      </c>
      <c r="K416" s="67"/>
    </row>
    <row r="417" spans="1:11">
      <c r="A417" s="27">
        <v>421</v>
      </c>
      <c r="B417" s="27">
        <v>113032</v>
      </c>
      <c r="C417">
        <v>6</v>
      </c>
      <c r="D417" t="s">
        <v>66</v>
      </c>
      <c r="E417">
        <v>1</v>
      </c>
      <c r="F417">
        <v>0</v>
      </c>
      <c r="G417" s="66">
        <v>17</v>
      </c>
      <c r="H417" s="66">
        <v>6.8</v>
      </c>
      <c r="I417" s="66">
        <v>136</v>
      </c>
      <c r="K417" s="67"/>
    </row>
    <row r="418" spans="1:11">
      <c r="A418" s="27">
        <v>422</v>
      </c>
      <c r="B418" s="27">
        <v>113032</v>
      </c>
      <c r="C418">
        <v>7</v>
      </c>
      <c r="D418" t="s">
        <v>66</v>
      </c>
      <c r="E418">
        <v>2</v>
      </c>
      <c r="F418">
        <v>0</v>
      </c>
      <c r="G418" s="66">
        <v>19</v>
      </c>
      <c r="H418" s="66">
        <v>7.6</v>
      </c>
      <c r="I418" s="66">
        <v>152</v>
      </c>
      <c r="K418" s="67"/>
    </row>
    <row r="419" spans="1:11">
      <c r="A419" s="27">
        <v>423</v>
      </c>
      <c r="B419" s="27">
        <v>113032</v>
      </c>
      <c r="C419">
        <v>8</v>
      </c>
      <c r="D419" t="s">
        <v>68</v>
      </c>
      <c r="E419">
        <v>2</v>
      </c>
      <c r="F419">
        <v>0</v>
      </c>
      <c r="G419" s="66">
        <v>21</v>
      </c>
      <c r="H419" s="66">
        <v>8.4</v>
      </c>
      <c r="I419" s="66">
        <v>168</v>
      </c>
      <c r="K419" s="67"/>
    </row>
    <row r="420" spans="1:11">
      <c r="A420" s="28">
        <v>424</v>
      </c>
      <c r="B420" s="28">
        <v>113033</v>
      </c>
      <c r="C420">
        <v>3</v>
      </c>
      <c r="E420">
        <v>0</v>
      </c>
      <c r="F420">
        <v>0</v>
      </c>
      <c r="G420" s="66">
        <v>12</v>
      </c>
      <c r="H420" s="66">
        <v>4.8</v>
      </c>
      <c r="I420" s="66">
        <v>96</v>
      </c>
      <c r="K420" s="67"/>
    </row>
    <row r="421" spans="1:11">
      <c r="A421" s="28">
        <v>425</v>
      </c>
      <c r="B421" s="28">
        <v>113033</v>
      </c>
      <c r="C421">
        <v>4</v>
      </c>
      <c r="D421" t="s">
        <v>64</v>
      </c>
      <c r="E421">
        <v>1</v>
      </c>
      <c r="F421">
        <v>0</v>
      </c>
      <c r="G421" s="66">
        <v>13.5</v>
      </c>
      <c r="H421" s="66">
        <v>5.4</v>
      </c>
      <c r="I421" s="66">
        <v>108</v>
      </c>
      <c r="K421" s="67"/>
    </row>
    <row r="422" spans="1:11">
      <c r="A422" s="28">
        <v>426</v>
      </c>
      <c r="B422" s="28">
        <v>113033</v>
      </c>
      <c r="C422">
        <v>5</v>
      </c>
      <c r="D422" t="s">
        <v>65</v>
      </c>
      <c r="E422">
        <v>1</v>
      </c>
      <c r="F422">
        <v>0</v>
      </c>
      <c r="G422" s="66">
        <v>15</v>
      </c>
      <c r="H422" s="66">
        <v>6</v>
      </c>
      <c r="I422" s="66">
        <v>120</v>
      </c>
      <c r="K422" s="67"/>
    </row>
    <row r="423" spans="1:11">
      <c r="A423" s="28">
        <v>427</v>
      </c>
      <c r="B423" s="28">
        <v>113033</v>
      </c>
      <c r="C423">
        <v>6</v>
      </c>
      <c r="D423" t="s">
        <v>66</v>
      </c>
      <c r="E423">
        <v>1</v>
      </c>
      <c r="F423">
        <v>0</v>
      </c>
      <c r="G423" s="66">
        <v>17</v>
      </c>
      <c r="H423" s="66">
        <v>6.8</v>
      </c>
      <c r="I423" s="66">
        <v>136</v>
      </c>
      <c r="K423" s="67"/>
    </row>
    <row r="424" spans="1:11">
      <c r="A424" s="28">
        <v>428</v>
      </c>
      <c r="B424" s="28">
        <v>113033</v>
      </c>
      <c r="C424">
        <v>7</v>
      </c>
      <c r="D424" t="s">
        <v>66</v>
      </c>
      <c r="E424">
        <v>2</v>
      </c>
      <c r="F424">
        <v>0</v>
      </c>
      <c r="G424" s="66">
        <v>19</v>
      </c>
      <c r="H424" s="66">
        <v>7.6</v>
      </c>
      <c r="I424" s="66">
        <v>152</v>
      </c>
      <c r="K424" s="67"/>
    </row>
    <row r="425" spans="1:11">
      <c r="A425" s="28">
        <v>429</v>
      </c>
      <c r="B425" s="28">
        <v>113033</v>
      </c>
      <c r="C425">
        <v>8</v>
      </c>
      <c r="D425" t="s">
        <v>68</v>
      </c>
      <c r="E425">
        <v>2</v>
      </c>
      <c r="F425">
        <v>0</v>
      </c>
      <c r="G425" s="66">
        <v>21</v>
      </c>
      <c r="H425" s="66">
        <v>8.4</v>
      </c>
      <c r="I425" s="66">
        <v>168</v>
      </c>
      <c r="K425" s="67"/>
    </row>
    <row r="426" spans="1:11">
      <c r="A426" s="29">
        <v>430</v>
      </c>
      <c r="B426" s="29">
        <v>113034</v>
      </c>
      <c r="C426">
        <v>3</v>
      </c>
      <c r="E426">
        <v>0</v>
      </c>
      <c r="F426">
        <v>0</v>
      </c>
      <c r="G426" s="66">
        <v>12</v>
      </c>
      <c r="H426" s="66">
        <v>4.8</v>
      </c>
      <c r="I426" s="66">
        <v>96</v>
      </c>
      <c r="K426" s="67"/>
    </row>
    <row r="427" spans="1:11">
      <c r="A427" s="29">
        <v>431</v>
      </c>
      <c r="B427" s="29">
        <v>113034</v>
      </c>
      <c r="C427">
        <v>4</v>
      </c>
      <c r="D427" t="s">
        <v>64</v>
      </c>
      <c r="E427">
        <v>1</v>
      </c>
      <c r="F427">
        <v>0</v>
      </c>
      <c r="G427" s="66">
        <v>13.5</v>
      </c>
      <c r="H427" s="66">
        <v>5.4</v>
      </c>
      <c r="I427" s="66">
        <v>108</v>
      </c>
      <c r="K427" s="67"/>
    </row>
    <row r="428" spans="1:11">
      <c r="A428" s="29">
        <v>432</v>
      </c>
      <c r="B428" s="29">
        <v>113034</v>
      </c>
      <c r="C428">
        <v>5</v>
      </c>
      <c r="D428" t="s">
        <v>65</v>
      </c>
      <c r="E428">
        <v>1</v>
      </c>
      <c r="F428">
        <v>0</v>
      </c>
      <c r="G428" s="66">
        <v>15</v>
      </c>
      <c r="H428" s="66">
        <v>6</v>
      </c>
      <c r="I428" s="66">
        <v>120</v>
      </c>
      <c r="K428" s="67"/>
    </row>
    <row r="429" spans="1:11">
      <c r="A429" s="29">
        <v>433</v>
      </c>
      <c r="B429" s="29">
        <v>113034</v>
      </c>
      <c r="C429">
        <v>6</v>
      </c>
      <c r="D429" t="s">
        <v>66</v>
      </c>
      <c r="E429">
        <v>1</v>
      </c>
      <c r="F429">
        <v>0</v>
      </c>
      <c r="G429" s="66">
        <v>17</v>
      </c>
      <c r="H429" s="66">
        <v>6.8</v>
      </c>
      <c r="I429" s="66">
        <v>136</v>
      </c>
      <c r="K429" s="67"/>
    </row>
    <row r="430" spans="1:11">
      <c r="A430" s="29">
        <v>434</v>
      </c>
      <c r="B430" s="29">
        <v>113034</v>
      </c>
      <c r="C430">
        <v>7</v>
      </c>
      <c r="D430" t="s">
        <v>66</v>
      </c>
      <c r="E430">
        <v>2</v>
      </c>
      <c r="F430">
        <v>0</v>
      </c>
      <c r="G430" s="66">
        <v>19</v>
      </c>
      <c r="H430" s="66">
        <v>7.6</v>
      </c>
      <c r="I430" s="66">
        <v>152</v>
      </c>
      <c r="K430" s="67"/>
    </row>
    <row r="431" spans="1:11">
      <c r="A431" s="29">
        <v>435</v>
      </c>
      <c r="B431" s="29">
        <v>113034</v>
      </c>
      <c r="C431">
        <v>8</v>
      </c>
      <c r="D431" t="s">
        <v>68</v>
      </c>
      <c r="E431">
        <v>2</v>
      </c>
      <c r="F431">
        <v>0</v>
      </c>
      <c r="G431" s="66">
        <v>21</v>
      </c>
      <c r="H431" s="66">
        <v>8.4</v>
      </c>
      <c r="I431" s="66">
        <v>168</v>
      </c>
      <c r="K431" s="67"/>
    </row>
    <row r="432" spans="1:11">
      <c r="A432" s="30">
        <v>436</v>
      </c>
      <c r="B432" s="30">
        <v>113035</v>
      </c>
      <c r="C432">
        <v>3</v>
      </c>
      <c r="E432">
        <v>0</v>
      </c>
      <c r="F432">
        <v>0</v>
      </c>
      <c r="G432" s="66">
        <v>12</v>
      </c>
      <c r="H432" s="66">
        <v>4.8</v>
      </c>
      <c r="I432" s="66">
        <v>96</v>
      </c>
      <c r="K432" s="67"/>
    </row>
    <row r="433" spans="1:11">
      <c r="A433" s="30">
        <v>437</v>
      </c>
      <c r="B433" s="30">
        <v>113035</v>
      </c>
      <c r="C433">
        <v>4</v>
      </c>
      <c r="D433" t="s">
        <v>64</v>
      </c>
      <c r="E433">
        <v>1</v>
      </c>
      <c r="F433">
        <v>0</v>
      </c>
      <c r="G433" s="66">
        <v>13.5</v>
      </c>
      <c r="H433" s="66">
        <v>5.4</v>
      </c>
      <c r="I433" s="66">
        <v>108</v>
      </c>
      <c r="K433" s="67"/>
    </row>
    <row r="434" spans="1:11">
      <c r="A434" s="30">
        <v>438</v>
      </c>
      <c r="B434" s="30">
        <v>113035</v>
      </c>
      <c r="C434">
        <v>5</v>
      </c>
      <c r="D434" t="s">
        <v>65</v>
      </c>
      <c r="E434">
        <v>1</v>
      </c>
      <c r="F434">
        <v>0</v>
      </c>
      <c r="G434" s="66">
        <v>15</v>
      </c>
      <c r="H434" s="66">
        <v>6</v>
      </c>
      <c r="I434" s="66">
        <v>120</v>
      </c>
      <c r="K434" s="67"/>
    </row>
    <row r="435" spans="1:11">
      <c r="A435" s="30">
        <v>439</v>
      </c>
      <c r="B435" s="30">
        <v>113035</v>
      </c>
      <c r="C435">
        <v>6</v>
      </c>
      <c r="D435" t="s">
        <v>66</v>
      </c>
      <c r="E435">
        <v>1</v>
      </c>
      <c r="F435">
        <v>0</v>
      </c>
      <c r="G435" s="66">
        <v>17</v>
      </c>
      <c r="H435" s="66">
        <v>6.8</v>
      </c>
      <c r="I435" s="66">
        <v>136</v>
      </c>
      <c r="K435" s="67"/>
    </row>
    <row r="436" spans="1:11">
      <c r="A436" s="30">
        <v>440</v>
      </c>
      <c r="B436" s="30">
        <v>113035</v>
      </c>
      <c r="C436">
        <v>7</v>
      </c>
      <c r="D436" t="s">
        <v>66</v>
      </c>
      <c r="E436">
        <v>2</v>
      </c>
      <c r="F436">
        <v>0</v>
      </c>
      <c r="G436" s="66">
        <v>19</v>
      </c>
      <c r="H436" s="66">
        <v>7.6</v>
      </c>
      <c r="I436" s="66">
        <v>152</v>
      </c>
      <c r="K436" s="67"/>
    </row>
    <row r="437" spans="1:11">
      <c r="A437" s="30">
        <v>441</v>
      </c>
      <c r="B437" s="30">
        <v>113035</v>
      </c>
      <c r="C437">
        <v>8</v>
      </c>
      <c r="D437" t="s">
        <v>68</v>
      </c>
      <c r="E437">
        <v>2</v>
      </c>
      <c r="F437">
        <v>0</v>
      </c>
      <c r="G437" s="66">
        <v>21</v>
      </c>
      <c r="H437" s="66">
        <v>8.4</v>
      </c>
      <c r="I437" s="66">
        <v>168</v>
      </c>
      <c r="K437" s="67"/>
    </row>
    <row r="438" s="32" customFormat="1" spans="1:11">
      <c r="A438" s="31">
        <v>442</v>
      </c>
      <c r="B438" s="31">
        <v>113036</v>
      </c>
      <c r="C438" s="32">
        <v>3</v>
      </c>
      <c r="E438" s="32">
        <v>0</v>
      </c>
      <c r="F438" s="32">
        <v>0</v>
      </c>
      <c r="G438" s="66">
        <v>12</v>
      </c>
      <c r="H438" s="66">
        <v>4.8</v>
      </c>
      <c r="I438" s="66">
        <v>96</v>
      </c>
      <c r="K438" s="67"/>
    </row>
    <row r="439" s="32" customFormat="1" spans="1:11">
      <c r="A439" s="31">
        <v>443</v>
      </c>
      <c r="B439" s="31">
        <v>113036</v>
      </c>
      <c r="C439" s="32">
        <v>4</v>
      </c>
      <c r="D439" s="32" t="s">
        <v>64</v>
      </c>
      <c r="E439" s="32">
        <v>1</v>
      </c>
      <c r="F439" s="32">
        <v>0</v>
      </c>
      <c r="G439" s="66">
        <v>13.5</v>
      </c>
      <c r="H439" s="66">
        <v>5.4</v>
      </c>
      <c r="I439" s="66">
        <v>108</v>
      </c>
      <c r="K439" s="67"/>
    </row>
    <row r="440" s="32" customFormat="1" spans="1:11">
      <c r="A440" s="31">
        <v>444</v>
      </c>
      <c r="B440" s="31">
        <v>113036</v>
      </c>
      <c r="C440" s="32">
        <v>5</v>
      </c>
      <c r="D440" s="32" t="s">
        <v>65</v>
      </c>
      <c r="E440" s="32">
        <v>1</v>
      </c>
      <c r="F440" s="32">
        <v>0</v>
      </c>
      <c r="G440" s="66">
        <v>15</v>
      </c>
      <c r="H440" s="66">
        <v>6</v>
      </c>
      <c r="I440" s="66">
        <v>120</v>
      </c>
      <c r="K440" s="67"/>
    </row>
    <row r="441" s="32" customFormat="1" spans="1:11">
      <c r="A441" s="31">
        <v>445</v>
      </c>
      <c r="B441" s="31">
        <v>113036</v>
      </c>
      <c r="C441" s="32">
        <v>6</v>
      </c>
      <c r="D441" s="32" t="s">
        <v>66</v>
      </c>
      <c r="E441" s="32">
        <v>1</v>
      </c>
      <c r="F441" s="32">
        <v>0</v>
      </c>
      <c r="G441" s="66">
        <v>17</v>
      </c>
      <c r="H441" s="66">
        <v>6.8</v>
      </c>
      <c r="I441" s="66">
        <v>136</v>
      </c>
      <c r="K441" s="67"/>
    </row>
    <row r="442" s="32" customFormat="1" spans="1:11">
      <c r="A442" s="31">
        <v>446</v>
      </c>
      <c r="B442" s="31">
        <v>113036</v>
      </c>
      <c r="C442" s="32">
        <v>7</v>
      </c>
      <c r="D442" s="32" t="s">
        <v>66</v>
      </c>
      <c r="E442" s="32">
        <v>2</v>
      </c>
      <c r="F442" s="32">
        <v>0</v>
      </c>
      <c r="G442" s="66">
        <v>19</v>
      </c>
      <c r="H442" s="66">
        <v>7.6</v>
      </c>
      <c r="I442" s="66">
        <v>152</v>
      </c>
      <c r="K442" s="67"/>
    </row>
    <row r="443" s="32" customFormat="1" spans="1:11">
      <c r="A443" s="31">
        <v>447</v>
      </c>
      <c r="B443" s="31">
        <v>113036</v>
      </c>
      <c r="C443" s="32">
        <v>8</v>
      </c>
      <c r="D443" s="32" t="s">
        <v>68</v>
      </c>
      <c r="E443" s="32">
        <v>2</v>
      </c>
      <c r="F443" s="32">
        <v>0</v>
      </c>
      <c r="G443" s="66">
        <v>21</v>
      </c>
      <c r="H443" s="66">
        <v>8.4</v>
      </c>
      <c r="I443" s="66">
        <v>168</v>
      </c>
      <c r="K443" s="67"/>
    </row>
    <row r="444" spans="1:11">
      <c r="A444" s="23">
        <v>448</v>
      </c>
      <c r="B444" s="23">
        <v>113037</v>
      </c>
      <c r="C444">
        <v>3</v>
      </c>
      <c r="E444">
        <v>0</v>
      </c>
      <c r="F444">
        <v>0</v>
      </c>
      <c r="G444" s="66">
        <v>12</v>
      </c>
      <c r="H444" s="66">
        <v>4.8</v>
      </c>
      <c r="I444" s="66">
        <v>96</v>
      </c>
      <c r="K444" s="67"/>
    </row>
    <row r="445" spans="1:11">
      <c r="A445" s="23">
        <v>449</v>
      </c>
      <c r="B445" s="23">
        <v>113037</v>
      </c>
      <c r="C445">
        <v>4</v>
      </c>
      <c r="D445" t="s">
        <v>64</v>
      </c>
      <c r="E445">
        <v>1</v>
      </c>
      <c r="F445">
        <v>0</v>
      </c>
      <c r="G445" s="66">
        <v>13.5</v>
      </c>
      <c r="H445" s="66">
        <v>5.4</v>
      </c>
      <c r="I445" s="66">
        <v>108</v>
      </c>
      <c r="K445" s="67"/>
    </row>
    <row r="446" spans="1:11">
      <c r="A446" s="23">
        <v>450</v>
      </c>
      <c r="B446" s="23">
        <v>113037</v>
      </c>
      <c r="C446">
        <v>5</v>
      </c>
      <c r="D446" t="s">
        <v>65</v>
      </c>
      <c r="E446">
        <v>1</v>
      </c>
      <c r="F446">
        <v>0</v>
      </c>
      <c r="G446" s="66">
        <v>15</v>
      </c>
      <c r="H446" s="66">
        <v>6</v>
      </c>
      <c r="I446" s="66">
        <v>120</v>
      </c>
      <c r="K446" s="67"/>
    </row>
    <row r="447" spans="1:11">
      <c r="A447" s="23">
        <v>451</v>
      </c>
      <c r="B447" s="23">
        <v>113037</v>
      </c>
      <c r="C447">
        <v>6</v>
      </c>
      <c r="D447" t="s">
        <v>66</v>
      </c>
      <c r="E447">
        <v>1</v>
      </c>
      <c r="F447">
        <v>0</v>
      </c>
      <c r="G447" s="66">
        <v>17</v>
      </c>
      <c r="H447" s="66">
        <v>6.8</v>
      </c>
      <c r="I447" s="66">
        <v>136</v>
      </c>
      <c r="K447" s="67"/>
    </row>
    <row r="448" spans="1:11">
      <c r="A448" s="23">
        <v>452</v>
      </c>
      <c r="B448" s="23">
        <v>113037</v>
      </c>
      <c r="C448">
        <v>7</v>
      </c>
      <c r="D448" t="s">
        <v>66</v>
      </c>
      <c r="E448">
        <v>2</v>
      </c>
      <c r="F448">
        <v>0</v>
      </c>
      <c r="G448" s="66">
        <v>19</v>
      </c>
      <c r="H448" s="66">
        <v>7.6</v>
      </c>
      <c r="I448" s="66">
        <v>152</v>
      </c>
      <c r="K448" s="67"/>
    </row>
    <row r="449" spans="1:11">
      <c r="A449" s="23">
        <v>453</v>
      </c>
      <c r="B449" s="23">
        <v>113037</v>
      </c>
      <c r="C449">
        <v>8</v>
      </c>
      <c r="D449" t="s">
        <v>68</v>
      </c>
      <c r="E449">
        <v>2</v>
      </c>
      <c r="F449">
        <v>0</v>
      </c>
      <c r="G449" s="66">
        <v>21</v>
      </c>
      <c r="H449" s="66">
        <v>8.4</v>
      </c>
      <c r="I449" s="66">
        <v>168</v>
      </c>
      <c r="K449" s="67"/>
    </row>
    <row r="450" spans="1:11">
      <c r="A450" s="33">
        <v>454</v>
      </c>
      <c r="B450" s="33">
        <v>113038</v>
      </c>
      <c r="C450">
        <v>3</v>
      </c>
      <c r="E450">
        <v>0</v>
      </c>
      <c r="F450">
        <v>0</v>
      </c>
      <c r="G450" s="66">
        <v>12</v>
      </c>
      <c r="H450" s="66">
        <v>4.8</v>
      </c>
      <c r="I450" s="66">
        <v>96</v>
      </c>
      <c r="K450" s="67"/>
    </row>
    <row r="451" spans="1:11">
      <c r="A451" s="33">
        <v>455</v>
      </c>
      <c r="B451" s="33">
        <v>113038</v>
      </c>
      <c r="C451">
        <v>4</v>
      </c>
      <c r="D451" t="s">
        <v>64</v>
      </c>
      <c r="E451">
        <v>1</v>
      </c>
      <c r="F451">
        <v>0</v>
      </c>
      <c r="G451" s="66">
        <v>13.5</v>
      </c>
      <c r="H451" s="66">
        <v>5.4</v>
      </c>
      <c r="I451" s="66">
        <v>108</v>
      </c>
      <c r="K451" s="67"/>
    </row>
    <row r="452" spans="1:11">
      <c r="A452" s="33">
        <v>456</v>
      </c>
      <c r="B452" s="33">
        <v>113038</v>
      </c>
      <c r="C452">
        <v>5</v>
      </c>
      <c r="D452" t="s">
        <v>65</v>
      </c>
      <c r="E452">
        <v>1</v>
      </c>
      <c r="F452">
        <v>0</v>
      </c>
      <c r="G452" s="66">
        <v>15</v>
      </c>
      <c r="H452" s="66">
        <v>6</v>
      </c>
      <c r="I452" s="66">
        <v>120</v>
      </c>
      <c r="K452" s="67"/>
    </row>
    <row r="453" spans="1:11">
      <c r="A453" s="33">
        <v>457</v>
      </c>
      <c r="B453" s="33">
        <v>113038</v>
      </c>
      <c r="C453">
        <v>6</v>
      </c>
      <c r="D453" t="s">
        <v>66</v>
      </c>
      <c r="E453">
        <v>1</v>
      </c>
      <c r="F453">
        <v>0</v>
      </c>
      <c r="G453" s="66">
        <v>17</v>
      </c>
      <c r="H453" s="66">
        <v>6.8</v>
      </c>
      <c r="I453" s="66">
        <v>136</v>
      </c>
      <c r="K453" s="67"/>
    </row>
    <row r="454" spans="1:11">
      <c r="A454" s="33">
        <v>458</v>
      </c>
      <c r="B454" s="33">
        <v>113038</v>
      </c>
      <c r="C454">
        <v>7</v>
      </c>
      <c r="D454" t="s">
        <v>66</v>
      </c>
      <c r="E454">
        <v>2</v>
      </c>
      <c r="F454">
        <v>0</v>
      </c>
      <c r="G454" s="66">
        <v>19</v>
      </c>
      <c r="H454" s="66">
        <v>7.6</v>
      </c>
      <c r="I454" s="66">
        <v>152</v>
      </c>
      <c r="K454" s="67"/>
    </row>
    <row r="455" spans="1:11">
      <c r="A455" s="33">
        <v>459</v>
      </c>
      <c r="B455" s="33">
        <v>113038</v>
      </c>
      <c r="C455">
        <v>8</v>
      </c>
      <c r="D455" t="s">
        <v>68</v>
      </c>
      <c r="E455">
        <v>2</v>
      </c>
      <c r="F455">
        <v>0</v>
      </c>
      <c r="G455" s="66">
        <v>21</v>
      </c>
      <c r="H455" s="66">
        <v>8.4</v>
      </c>
      <c r="I455" s="66">
        <v>168</v>
      </c>
      <c r="K455" s="67"/>
    </row>
    <row r="456" spans="1:11">
      <c r="A456" s="34">
        <v>460</v>
      </c>
      <c r="B456" s="34">
        <v>113039</v>
      </c>
      <c r="C456">
        <v>3</v>
      </c>
      <c r="E456">
        <v>0</v>
      </c>
      <c r="F456">
        <v>0</v>
      </c>
      <c r="G456" s="66">
        <v>12</v>
      </c>
      <c r="H456" s="66">
        <v>4.8</v>
      </c>
      <c r="I456" s="66">
        <v>96</v>
      </c>
      <c r="K456" s="67"/>
    </row>
    <row r="457" spans="1:11">
      <c r="A457" s="34">
        <v>461</v>
      </c>
      <c r="B457" s="34">
        <v>113039</v>
      </c>
      <c r="C457">
        <v>4</v>
      </c>
      <c r="D457" t="s">
        <v>64</v>
      </c>
      <c r="E457">
        <v>1</v>
      </c>
      <c r="F457">
        <v>0</v>
      </c>
      <c r="G457" s="66">
        <v>13.5</v>
      </c>
      <c r="H457" s="66">
        <v>5.4</v>
      </c>
      <c r="I457" s="66">
        <v>108</v>
      </c>
      <c r="K457" s="67"/>
    </row>
    <row r="458" spans="1:11">
      <c r="A458" s="34">
        <v>462</v>
      </c>
      <c r="B458" s="34">
        <v>113039</v>
      </c>
      <c r="C458">
        <v>5</v>
      </c>
      <c r="D458" t="s">
        <v>65</v>
      </c>
      <c r="E458">
        <v>1</v>
      </c>
      <c r="F458">
        <v>0</v>
      </c>
      <c r="G458" s="66">
        <v>15</v>
      </c>
      <c r="H458" s="66">
        <v>6</v>
      </c>
      <c r="I458" s="66">
        <v>120</v>
      </c>
      <c r="K458" s="67"/>
    </row>
    <row r="459" spans="1:11">
      <c r="A459" s="34">
        <v>463</v>
      </c>
      <c r="B459" s="34">
        <v>113039</v>
      </c>
      <c r="C459">
        <v>6</v>
      </c>
      <c r="D459" t="s">
        <v>66</v>
      </c>
      <c r="E459">
        <v>1</v>
      </c>
      <c r="F459">
        <v>0</v>
      </c>
      <c r="G459" s="66">
        <v>17</v>
      </c>
      <c r="H459" s="66">
        <v>6.8</v>
      </c>
      <c r="I459" s="66">
        <v>136</v>
      </c>
      <c r="K459" s="67"/>
    </row>
    <row r="460" spans="1:11">
      <c r="A460" s="34">
        <v>464</v>
      </c>
      <c r="B460" s="34">
        <v>113039</v>
      </c>
      <c r="C460">
        <v>7</v>
      </c>
      <c r="D460" t="s">
        <v>66</v>
      </c>
      <c r="E460">
        <v>2</v>
      </c>
      <c r="F460">
        <v>0</v>
      </c>
      <c r="G460" s="66">
        <v>19</v>
      </c>
      <c r="H460" s="66">
        <v>7.6</v>
      </c>
      <c r="I460" s="66">
        <v>152</v>
      </c>
      <c r="K460" s="67"/>
    </row>
    <row r="461" spans="1:11">
      <c r="A461" s="34">
        <v>465</v>
      </c>
      <c r="B461" s="34">
        <v>113039</v>
      </c>
      <c r="C461">
        <v>8</v>
      </c>
      <c r="D461" t="s">
        <v>68</v>
      </c>
      <c r="E461">
        <v>2</v>
      </c>
      <c r="F461">
        <v>0</v>
      </c>
      <c r="G461" s="66">
        <v>21</v>
      </c>
      <c r="H461" s="66">
        <v>8.4</v>
      </c>
      <c r="I461" s="66">
        <v>168</v>
      </c>
      <c r="K461" s="67"/>
    </row>
    <row r="462" spans="1:11">
      <c r="A462" s="35">
        <v>466</v>
      </c>
      <c r="B462" s="35">
        <v>113040</v>
      </c>
      <c r="C462">
        <v>3</v>
      </c>
      <c r="E462">
        <v>0</v>
      </c>
      <c r="F462">
        <v>0</v>
      </c>
      <c r="G462" s="66">
        <v>12</v>
      </c>
      <c r="H462" s="66">
        <v>4.8</v>
      </c>
      <c r="I462" s="66">
        <v>96</v>
      </c>
      <c r="K462" s="67"/>
    </row>
    <row r="463" spans="1:11">
      <c r="A463" s="35">
        <v>467</v>
      </c>
      <c r="B463" s="35">
        <v>113040</v>
      </c>
      <c r="C463">
        <v>4</v>
      </c>
      <c r="D463" t="s">
        <v>64</v>
      </c>
      <c r="E463">
        <v>1</v>
      </c>
      <c r="F463">
        <v>0</v>
      </c>
      <c r="G463" s="66">
        <v>13.5</v>
      </c>
      <c r="H463" s="66">
        <v>5.4</v>
      </c>
      <c r="I463" s="66">
        <v>108</v>
      </c>
      <c r="K463" s="67"/>
    </row>
    <row r="464" spans="1:11">
      <c r="A464" s="35">
        <v>468</v>
      </c>
      <c r="B464" s="35">
        <v>113040</v>
      </c>
      <c r="C464">
        <v>5</v>
      </c>
      <c r="D464" t="s">
        <v>65</v>
      </c>
      <c r="E464">
        <v>1</v>
      </c>
      <c r="F464">
        <v>0</v>
      </c>
      <c r="G464" s="66">
        <v>15</v>
      </c>
      <c r="H464" s="66">
        <v>6</v>
      </c>
      <c r="I464" s="66">
        <v>120</v>
      </c>
      <c r="K464" s="67"/>
    </row>
    <row r="465" spans="1:11">
      <c r="A465" s="35">
        <v>469</v>
      </c>
      <c r="B465" s="35">
        <v>113040</v>
      </c>
      <c r="C465">
        <v>6</v>
      </c>
      <c r="D465" t="s">
        <v>66</v>
      </c>
      <c r="E465">
        <v>1</v>
      </c>
      <c r="F465">
        <v>0</v>
      </c>
      <c r="G465" s="66">
        <v>17</v>
      </c>
      <c r="H465" s="66">
        <v>6.8</v>
      </c>
      <c r="I465" s="66">
        <v>136</v>
      </c>
      <c r="K465" s="67"/>
    </row>
    <row r="466" spans="1:11">
      <c r="A466" s="35">
        <v>470</v>
      </c>
      <c r="B466" s="35">
        <v>113040</v>
      </c>
      <c r="C466">
        <v>7</v>
      </c>
      <c r="D466" t="s">
        <v>66</v>
      </c>
      <c r="E466">
        <v>2</v>
      </c>
      <c r="F466">
        <v>0</v>
      </c>
      <c r="G466" s="66">
        <v>19</v>
      </c>
      <c r="H466" s="66">
        <v>7.6</v>
      </c>
      <c r="I466" s="66">
        <v>152</v>
      </c>
      <c r="K466" s="67"/>
    </row>
    <row r="467" spans="1:11">
      <c r="A467" s="35">
        <v>471</v>
      </c>
      <c r="B467" s="35">
        <v>113040</v>
      </c>
      <c r="C467">
        <v>8</v>
      </c>
      <c r="D467" t="s">
        <v>68</v>
      </c>
      <c r="E467">
        <v>2</v>
      </c>
      <c r="F467">
        <v>0</v>
      </c>
      <c r="G467" s="66">
        <v>21</v>
      </c>
      <c r="H467" s="66">
        <v>8.4</v>
      </c>
      <c r="I467" s="66">
        <v>168</v>
      </c>
      <c r="K467" s="67"/>
    </row>
    <row r="468" spans="1:11">
      <c r="A468" s="71">
        <v>472</v>
      </c>
      <c r="B468" s="36">
        <v>113041</v>
      </c>
      <c r="C468">
        <v>3</v>
      </c>
      <c r="E468">
        <v>0</v>
      </c>
      <c r="F468">
        <v>0</v>
      </c>
      <c r="G468" s="66">
        <v>12</v>
      </c>
      <c r="H468" s="66">
        <v>4.8</v>
      </c>
      <c r="I468" s="66">
        <v>96</v>
      </c>
      <c r="K468" s="67"/>
    </row>
    <row r="469" spans="1:11">
      <c r="A469" s="71">
        <v>473</v>
      </c>
      <c r="B469" s="36">
        <v>113041</v>
      </c>
      <c r="C469">
        <v>4</v>
      </c>
      <c r="D469" t="s">
        <v>64</v>
      </c>
      <c r="E469">
        <v>1</v>
      </c>
      <c r="F469">
        <v>0</v>
      </c>
      <c r="G469" s="66">
        <v>13.5</v>
      </c>
      <c r="H469" s="66">
        <v>5.4</v>
      </c>
      <c r="I469" s="66">
        <v>108</v>
      </c>
      <c r="K469" s="67"/>
    </row>
    <row r="470" spans="1:11">
      <c r="A470" s="71">
        <v>474</v>
      </c>
      <c r="B470" s="36">
        <v>113041</v>
      </c>
      <c r="C470">
        <v>5</v>
      </c>
      <c r="D470" t="s">
        <v>65</v>
      </c>
      <c r="E470">
        <v>1</v>
      </c>
      <c r="F470">
        <v>0</v>
      </c>
      <c r="G470" s="66">
        <v>15</v>
      </c>
      <c r="H470" s="66">
        <v>6</v>
      </c>
      <c r="I470" s="66">
        <v>120</v>
      </c>
      <c r="K470" s="67"/>
    </row>
    <row r="471" spans="1:11">
      <c r="A471" s="71">
        <v>475</v>
      </c>
      <c r="B471" s="36">
        <v>113041</v>
      </c>
      <c r="C471">
        <v>6</v>
      </c>
      <c r="D471" t="s">
        <v>66</v>
      </c>
      <c r="E471">
        <v>1</v>
      </c>
      <c r="F471">
        <v>0</v>
      </c>
      <c r="G471" s="66">
        <v>17</v>
      </c>
      <c r="H471" s="66">
        <v>6.8</v>
      </c>
      <c r="I471" s="66">
        <v>136</v>
      </c>
      <c r="K471" s="67"/>
    </row>
    <row r="472" spans="1:11">
      <c r="A472" s="71">
        <v>476</v>
      </c>
      <c r="B472" s="36">
        <v>113041</v>
      </c>
      <c r="C472">
        <v>7</v>
      </c>
      <c r="D472" t="s">
        <v>66</v>
      </c>
      <c r="E472">
        <v>2</v>
      </c>
      <c r="F472">
        <v>0</v>
      </c>
      <c r="G472" s="66">
        <v>19</v>
      </c>
      <c r="H472" s="66">
        <v>7.6</v>
      </c>
      <c r="I472" s="66">
        <v>152</v>
      </c>
      <c r="K472" s="67"/>
    </row>
    <row r="473" spans="1:11">
      <c r="A473" s="71">
        <v>477</v>
      </c>
      <c r="B473" s="36">
        <v>113041</v>
      </c>
      <c r="C473">
        <v>8</v>
      </c>
      <c r="D473" t="s">
        <v>68</v>
      </c>
      <c r="E473">
        <v>2</v>
      </c>
      <c r="F473">
        <v>0</v>
      </c>
      <c r="G473" s="66">
        <v>21</v>
      </c>
      <c r="H473" s="66">
        <v>8.4</v>
      </c>
      <c r="I473" s="66">
        <v>168</v>
      </c>
      <c r="K473" s="67"/>
    </row>
    <row r="474" spans="1:11">
      <c r="A474" s="28">
        <v>478</v>
      </c>
      <c r="B474" s="37">
        <v>113042</v>
      </c>
      <c r="C474">
        <v>3</v>
      </c>
      <c r="E474">
        <v>0</v>
      </c>
      <c r="F474">
        <v>0</v>
      </c>
      <c r="G474" s="66">
        <v>12</v>
      </c>
      <c r="H474" s="66">
        <v>4.8</v>
      </c>
      <c r="I474" s="66">
        <v>96</v>
      </c>
      <c r="K474" s="67"/>
    </row>
    <row r="475" spans="1:11">
      <c r="A475" s="28">
        <v>479</v>
      </c>
      <c r="B475" s="37">
        <v>113042</v>
      </c>
      <c r="C475">
        <v>4</v>
      </c>
      <c r="D475" t="s">
        <v>64</v>
      </c>
      <c r="E475">
        <v>1</v>
      </c>
      <c r="F475">
        <v>0</v>
      </c>
      <c r="G475" s="66">
        <v>13.5</v>
      </c>
      <c r="H475" s="66">
        <v>5.4</v>
      </c>
      <c r="I475" s="66">
        <v>108</v>
      </c>
      <c r="K475" s="67"/>
    </row>
    <row r="476" spans="1:11">
      <c r="A476" s="28">
        <v>480</v>
      </c>
      <c r="B476" s="37">
        <v>113042</v>
      </c>
      <c r="C476">
        <v>5</v>
      </c>
      <c r="D476" t="s">
        <v>65</v>
      </c>
      <c r="E476">
        <v>1</v>
      </c>
      <c r="F476">
        <v>0</v>
      </c>
      <c r="G476" s="66">
        <v>15</v>
      </c>
      <c r="H476" s="66">
        <v>6</v>
      </c>
      <c r="I476" s="66">
        <v>120</v>
      </c>
      <c r="K476" s="67"/>
    </row>
    <row r="477" spans="1:11">
      <c r="A477" s="28">
        <v>481</v>
      </c>
      <c r="B477" s="37">
        <v>113042</v>
      </c>
      <c r="C477">
        <v>6</v>
      </c>
      <c r="D477" t="s">
        <v>66</v>
      </c>
      <c r="E477">
        <v>1</v>
      </c>
      <c r="F477">
        <v>0</v>
      </c>
      <c r="G477" s="66">
        <v>17</v>
      </c>
      <c r="H477" s="66">
        <v>6.8</v>
      </c>
      <c r="I477" s="66">
        <v>136</v>
      </c>
      <c r="K477" s="67"/>
    </row>
    <row r="478" spans="1:11">
      <c r="A478" s="28">
        <v>482</v>
      </c>
      <c r="B478" s="37">
        <v>113042</v>
      </c>
      <c r="C478">
        <v>7</v>
      </c>
      <c r="D478" t="s">
        <v>66</v>
      </c>
      <c r="E478">
        <v>2</v>
      </c>
      <c r="F478">
        <v>0</v>
      </c>
      <c r="G478" s="66">
        <v>19</v>
      </c>
      <c r="H478" s="66">
        <v>7.6</v>
      </c>
      <c r="I478" s="66">
        <v>152</v>
      </c>
      <c r="K478" s="67"/>
    </row>
    <row r="479" spans="1:11">
      <c r="A479" s="28">
        <v>483</v>
      </c>
      <c r="B479" s="37">
        <v>113042</v>
      </c>
      <c r="C479">
        <v>8</v>
      </c>
      <c r="D479" t="s">
        <v>68</v>
      </c>
      <c r="E479">
        <v>2</v>
      </c>
      <c r="F479">
        <v>0</v>
      </c>
      <c r="G479" s="66">
        <v>21</v>
      </c>
      <c r="H479" s="66">
        <v>8.4</v>
      </c>
      <c r="I479" s="66">
        <v>168</v>
      </c>
      <c r="K479" s="67"/>
    </row>
    <row r="480" spans="1:11">
      <c r="A480" s="72">
        <v>484</v>
      </c>
      <c r="B480" s="15">
        <v>113043</v>
      </c>
      <c r="C480">
        <v>3</v>
      </c>
      <c r="E480">
        <v>0</v>
      </c>
      <c r="F480">
        <v>0</v>
      </c>
      <c r="G480" s="66">
        <v>12</v>
      </c>
      <c r="H480" s="66">
        <v>4.8</v>
      </c>
      <c r="I480" s="66">
        <v>96</v>
      </c>
      <c r="K480" s="67"/>
    </row>
    <row r="481" spans="1:11">
      <c r="A481" s="72">
        <v>485</v>
      </c>
      <c r="B481" s="15">
        <v>113043</v>
      </c>
      <c r="C481">
        <v>4</v>
      </c>
      <c r="D481" t="s">
        <v>64</v>
      </c>
      <c r="E481">
        <v>1</v>
      </c>
      <c r="F481">
        <v>0</v>
      </c>
      <c r="G481" s="66">
        <v>13.5</v>
      </c>
      <c r="H481" s="66">
        <v>5.4</v>
      </c>
      <c r="I481" s="66">
        <v>108</v>
      </c>
      <c r="K481" s="67"/>
    </row>
    <row r="482" spans="1:11">
      <c r="A482" s="72">
        <v>486</v>
      </c>
      <c r="B482" s="15">
        <v>113043</v>
      </c>
      <c r="C482">
        <v>5</v>
      </c>
      <c r="D482" t="s">
        <v>65</v>
      </c>
      <c r="E482">
        <v>1</v>
      </c>
      <c r="F482">
        <v>0</v>
      </c>
      <c r="G482" s="66">
        <v>15</v>
      </c>
      <c r="H482" s="66">
        <v>6</v>
      </c>
      <c r="I482" s="66">
        <v>120</v>
      </c>
      <c r="K482" s="67"/>
    </row>
    <row r="483" spans="1:11">
      <c r="A483" s="72">
        <v>487</v>
      </c>
      <c r="B483" s="15">
        <v>113043</v>
      </c>
      <c r="C483">
        <v>6</v>
      </c>
      <c r="D483" t="s">
        <v>66</v>
      </c>
      <c r="E483">
        <v>1</v>
      </c>
      <c r="F483">
        <v>0</v>
      </c>
      <c r="G483" s="66">
        <v>17</v>
      </c>
      <c r="H483" s="66">
        <v>6.8</v>
      </c>
      <c r="I483" s="66">
        <v>136</v>
      </c>
      <c r="K483" s="67"/>
    </row>
    <row r="484" spans="1:11">
      <c r="A484" s="72">
        <v>488</v>
      </c>
      <c r="B484" s="15">
        <v>113043</v>
      </c>
      <c r="C484">
        <v>7</v>
      </c>
      <c r="D484" t="s">
        <v>66</v>
      </c>
      <c r="E484">
        <v>2</v>
      </c>
      <c r="F484">
        <v>0</v>
      </c>
      <c r="G484" s="66">
        <v>19</v>
      </c>
      <c r="H484" s="66">
        <v>7.6</v>
      </c>
      <c r="I484" s="66">
        <v>152</v>
      </c>
      <c r="K484" s="67"/>
    </row>
    <row r="485" spans="1:11">
      <c r="A485" s="72">
        <v>489</v>
      </c>
      <c r="B485" s="15">
        <v>113043</v>
      </c>
      <c r="C485">
        <v>8</v>
      </c>
      <c r="D485" t="s">
        <v>68</v>
      </c>
      <c r="E485">
        <v>2</v>
      </c>
      <c r="F485">
        <v>0</v>
      </c>
      <c r="G485" s="66">
        <v>21</v>
      </c>
      <c r="H485" s="66">
        <v>8.4</v>
      </c>
      <c r="I485" s="66">
        <v>168</v>
      </c>
      <c r="K485" s="67"/>
    </row>
    <row r="486" s="38" customFormat="1" spans="1:11">
      <c r="A486" s="33">
        <v>490</v>
      </c>
      <c r="B486" s="38">
        <v>112029</v>
      </c>
      <c r="C486" s="38">
        <v>3</v>
      </c>
      <c r="E486" s="38">
        <v>0</v>
      </c>
      <c r="F486" s="38">
        <v>0</v>
      </c>
      <c r="G486" s="66">
        <v>9</v>
      </c>
      <c r="H486" s="66">
        <v>3.6</v>
      </c>
      <c r="I486" s="66">
        <v>72</v>
      </c>
      <c r="K486" s="67"/>
    </row>
    <row r="487" s="38" customFormat="1" spans="1:11">
      <c r="A487" s="33">
        <v>491</v>
      </c>
      <c r="B487" s="38">
        <v>112029</v>
      </c>
      <c r="C487" s="38">
        <v>4</v>
      </c>
      <c r="D487" s="38" t="s">
        <v>63</v>
      </c>
      <c r="E487" s="38">
        <v>1</v>
      </c>
      <c r="F487" s="38">
        <v>0</v>
      </c>
      <c r="G487" s="66">
        <v>10.5</v>
      </c>
      <c r="H487" s="66">
        <v>4.2</v>
      </c>
      <c r="I487" s="66">
        <v>84</v>
      </c>
      <c r="K487" s="67"/>
    </row>
    <row r="488" s="38" customFormat="1" spans="1:11">
      <c r="A488" s="33">
        <v>492</v>
      </c>
      <c r="B488" s="38">
        <v>112029</v>
      </c>
      <c r="C488" s="38">
        <v>5</v>
      </c>
      <c r="D488" s="38" t="s">
        <v>64</v>
      </c>
      <c r="E488" s="38">
        <v>1</v>
      </c>
      <c r="F488" s="38">
        <v>0</v>
      </c>
      <c r="G488" s="66">
        <v>12</v>
      </c>
      <c r="H488" s="66">
        <v>4.8</v>
      </c>
      <c r="I488" s="66">
        <v>96</v>
      </c>
      <c r="K488" s="67"/>
    </row>
    <row r="489" s="38" customFormat="1" spans="1:11">
      <c r="A489" s="33">
        <v>493</v>
      </c>
      <c r="B489" s="38">
        <v>112029</v>
      </c>
      <c r="C489" s="38">
        <v>6</v>
      </c>
      <c r="D489" s="38" t="s">
        <v>65</v>
      </c>
      <c r="E489" s="38">
        <v>1</v>
      </c>
      <c r="F489" s="38">
        <v>0</v>
      </c>
      <c r="G489" s="66">
        <v>14</v>
      </c>
      <c r="H489" s="66">
        <v>5.6</v>
      </c>
      <c r="I489" s="66">
        <v>112</v>
      </c>
      <c r="K489" s="67"/>
    </row>
    <row r="490" s="38" customFormat="1" spans="1:11">
      <c r="A490" s="33">
        <v>494</v>
      </c>
      <c r="B490" s="38">
        <v>112029</v>
      </c>
      <c r="C490" s="38">
        <v>7</v>
      </c>
      <c r="D490" s="38" t="s">
        <v>65</v>
      </c>
      <c r="E490" s="38">
        <v>2</v>
      </c>
      <c r="F490" s="38">
        <v>0</v>
      </c>
      <c r="G490" s="66">
        <v>16</v>
      </c>
      <c r="H490" s="66">
        <v>6.4</v>
      </c>
      <c r="I490" s="66">
        <v>128</v>
      </c>
      <c r="K490" s="67"/>
    </row>
    <row r="491" spans="1:11">
      <c r="A491" s="73">
        <v>495</v>
      </c>
      <c r="B491" s="18">
        <v>113044</v>
      </c>
      <c r="C491">
        <v>3</v>
      </c>
      <c r="E491">
        <v>0</v>
      </c>
      <c r="F491">
        <v>0</v>
      </c>
      <c r="G491" s="66">
        <v>12</v>
      </c>
      <c r="H491" s="66">
        <v>4.8</v>
      </c>
      <c r="I491" s="66">
        <v>96</v>
      </c>
      <c r="K491" s="67"/>
    </row>
    <row r="492" spans="1:11">
      <c r="A492" s="73">
        <v>496</v>
      </c>
      <c r="B492" s="18">
        <v>113044</v>
      </c>
      <c r="C492">
        <v>4</v>
      </c>
      <c r="D492" t="s">
        <v>64</v>
      </c>
      <c r="E492">
        <v>1</v>
      </c>
      <c r="F492">
        <v>0</v>
      </c>
      <c r="G492" s="66">
        <v>13.5</v>
      </c>
      <c r="H492" s="66">
        <v>5.4</v>
      </c>
      <c r="I492" s="66">
        <v>108</v>
      </c>
      <c r="K492" s="67"/>
    </row>
    <row r="493" spans="1:11">
      <c r="A493" s="73">
        <v>497</v>
      </c>
      <c r="B493" s="18">
        <v>113044</v>
      </c>
      <c r="C493">
        <v>5</v>
      </c>
      <c r="D493" t="s">
        <v>65</v>
      </c>
      <c r="E493">
        <v>1</v>
      </c>
      <c r="F493">
        <v>0</v>
      </c>
      <c r="G493" s="66">
        <v>15</v>
      </c>
      <c r="H493" s="66">
        <v>6</v>
      </c>
      <c r="I493" s="66">
        <v>120</v>
      </c>
      <c r="K493" s="67"/>
    </row>
    <row r="494" spans="1:11">
      <c r="A494" s="73">
        <v>498</v>
      </c>
      <c r="B494" s="18">
        <v>113044</v>
      </c>
      <c r="C494">
        <v>6</v>
      </c>
      <c r="D494" t="s">
        <v>66</v>
      </c>
      <c r="E494">
        <v>1</v>
      </c>
      <c r="F494">
        <v>0</v>
      </c>
      <c r="G494" s="66">
        <v>17</v>
      </c>
      <c r="H494" s="66">
        <v>6.8</v>
      </c>
      <c r="I494" s="66">
        <v>136</v>
      </c>
      <c r="K494" s="67"/>
    </row>
    <row r="495" spans="1:11">
      <c r="A495" s="73">
        <v>499</v>
      </c>
      <c r="B495" s="18">
        <v>113044</v>
      </c>
      <c r="C495">
        <v>7</v>
      </c>
      <c r="D495" t="s">
        <v>66</v>
      </c>
      <c r="E495">
        <v>2</v>
      </c>
      <c r="F495">
        <v>0</v>
      </c>
      <c r="G495" s="66">
        <v>19</v>
      </c>
      <c r="H495" s="66">
        <v>7.6</v>
      </c>
      <c r="I495" s="66">
        <v>152</v>
      </c>
      <c r="K495" s="67"/>
    </row>
    <row r="496" spans="1:11">
      <c r="A496" s="73">
        <v>500</v>
      </c>
      <c r="B496" s="18">
        <v>113044</v>
      </c>
      <c r="C496">
        <v>8</v>
      </c>
      <c r="D496" t="s">
        <v>68</v>
      </c>
      <c r="E496">
        <v>2</v>
      </c>
      <c r="F496">
        <v>0</v>
      </c>
      <c r="G496" s="66">
        <v>21</v>
      </c>
      <c r="H496" s="66">
        <v>8.4</v>
      </c>
      <c r="I496" s="66">
        <v>168</v>
      </c>
      <c r="K496" s="67"/>
    </row>
    <row r="497" spans="1:11">
      <c r="A497" s="73">
        <v>501</v>
      </c>
      <c r="B497" s="18">
        <v>113045</v>
      </c>
      <c r="C497">
        <v>3</v>
      </c>
      <c r="E497">
        <v>0</v>
      </c>
      <c r="F497">
        <v>0</v>
      </c>
      <c r="G497" s="66">
        <v>12</v>
      </c>
      <c r="H497" s="66">
        <v>4.8</v>
      </c>
      <c r="I497" s="66">
        <v>96</v>
      </c>
      <c r="K497" s="67"/>
    </row>
    <row r="498" spans="1:11">
      <c r="A498" s="73">
        <v>502</v>
      </c>
      <c r="B498" s="18">
        <v>113045</v>
      </c>
      <c r="C498">
        <v>4</v>
      </c>
      <c r="D498" t="s">
        <v>64</v>
      </c>
      <c r="E498">
        <v>1</v>
      </c>
      <c r="F498">
        <v>0</v>
      </c>
      <c r="G498" s="66">
        <v>13.5</v>
      </c>
      <c r="H498" s="66">
        <v>5.4</v>
      </c>
      <c r="I498" s="66">
        <v>108</v>
      </c>
      <c r="K498" s="67"/>
    </row>
    <row r="499" spans="1:11">
      <c r="A499" s="73">
        <v>503</v>
      </c>
      <c r="B499" s="18">
        <v>113045</v>
      </c>
      <c r="C499">
        <v>5</v>
      </c>
      <c r="D499" t="s">
        <v>65</v>
      </c>
      <c r="E499">
        <v>1</v>
      </c>
      <c r="F499">
        <v>0</v>
      </c>
      <c r="G499" s="66">
        <v>15</v>
      </c>
      <c r="H499" s="66">
        <v>6</v>
      </c>
      <c r="I499" s="66">
        <v>120</v>
      </c>
      <c r="K499" s="67"/>
    </row>
    <row r="500" spans="1:11">
      <c r="A500" s="73">
        <v>504</v>
      </c>
      <c r="B500" s="18">
        <v>113045</v>
      </c>
      <c r="C500">
        <v>6</v>
      </c>
      <c r="D500" t="s">
        <v>66</v>
      </c>
      <c r="E500">
        <v>1</v>
      </c>
      <c r="F500">
        <v>0</v>
      </c>
      <c r="G500" s="66">
        <v>17</v>
      </c>
      <c r="H500" s="66">
        <v>6.8</v>
      </c>
      <c r="I500" s="66">
        <v>136</v>
      </c>
      <c r="K500" s="67"/>
    </row>
    <row r="501" spans="1:11">
      <c r="A501" s="73">
        <v>505</v>
      </c>
      <c r="B501" s="18">
        <v>113045</v>
      </c>
      <c r="C501">
        <v>7</v>
      </c>
      <c r="D501" t="s">
        <v>66</v>
      </c>
      <c r="E501">
        <v>2</v>
      </c>
      <c r="F501">
        <v>0</v>
      </c>
      <c r="G501" s="66">
        <v>19</v>
      </c>
      <c r="H501" s="66">
        <v>7.6</v>
      </c>
      <c r="I501" s="66">
        <v>152</v>
      </c>
      <c r="K501" s="67"/>
    </row>
    <row r="502" spans="1:11">
      <c r="A502" s="73">
        <v>506</v>
      </c>
      <c r="B502" s="18">
        <v>113045</v>
      </c>
      <c r="C502">
        <v>8</v>
      </c>
      <c r="D502" t="s">
        <v>68</v>
      </c>
      <c r="E502">
        <v>2</v>
      </c>
      <c r="F502">
        <v>0</v>
      </c>
      <c r="G502" s="66">
        <v>21</v>
      </c>
      <c r="H502" s="66">
        <v>8.4</v>
      </c>
      <c r="I502" s="66">
        <v>168</v>
      </c>
      <c r="K502" s="67"/>
    </row>
    <row r="503" spans="1:11">
      <c r="A503" s="12">
        <v>507</v>
      </c>
      <c r="B503" s="12">
        <v>113047</v>
      </c>
      <c r="C503">
        <v>3</v>
      </c>
      <c r="E503">
        <v>0</v>
      </c>
      <c r="F503">
        <v>0</v>
      </c>
      <c r="G503" s="66">
        <v>12</v>
      </c>
      <c r="H503" s="66">
        <v>4.8</v>
      </c>
      <c r="I503" s="66">
        <v>96</v>
      </c>
      <c r="K503" s="67"/>
    </row>
    <row r="504" spans="1:11">
      <c r="A504" s="12">
        <v>508</v>
      </c>
      <c r="B504" s="12">
        <v>113047</v>
      </c>
      <c r="C504">
        <v>4</v>
      </c>
      <c r="D504" t="s">
        <v>64</v>
      </c>
      <c r="E504">
        <v>1</v>
      </c>
      <c r="F504">
        <v>0</v>
      </c>
      <c r="G504" s="66">
        <v>13.5</v>
      </c>
      <c r="H504" s="66">
        <v>5.4</v>
      </c>
      <c r="I504" s="66">
        <v>108</v>
      </c>
      <c r="K504" s="67"/>
    </row>
    <row r="505" spans="1:11">
      <c r="A505" s="12">
        <v>509</v>
      </c>
      <c r="B505" s="12">
        <v>113047</v>
      </c>
      <c r="C505">
        <v>5</v>
      </c>
      <c r="D505" t="s">
        <v>65</v>
      </c>
      <c r="E505">
        <v>1</v>
      </c>
      <c r="F505">
        <v>0</v>
      </c>
      <c r="G505" s="66">
        <v>15</v>
      </c>
      <c r="H505" s="66">
        <v>6</v>
      </c>
      <c r="I505" s="66">
        <v>120</v>
      </c>
      <c r="K505" s="67"/>
    </row>
    <row r="506" spans="1:11">
      <c r="A506" s="12">
        <v>510</v>
      </c>
      <c r="B506" s="12">
        <v>113047</v>
      </c>
      <c r="C506">
        <v>6</v>
      </c>
      <c r="D506" t="s">
        <v>66</v>
      </c>
      <c r="E506">
        <v>1</v>
      </c>
      <c r="F506">
        <v>0</v>
      </c>
      <c r="G506" s="66">
        <v>17</v>
      </c>
      <c r="H506" s="66">
        <v>6.8</v>
      </c>
      <c r="I506" s="66">
        <v>136</v>
      </c>
      <c r="K506" s="67"/>
    </row>
    <row r="507" spans="1:11">
      <c r="A507" s="12">
        <v>511</v>
      </c>
      <c r="B507" s="12">
        <v>113047</v>
      </c>
      <c r="C507">
        <v>7</v>
      </c>
      <c r="D507" t="s">
        <v>66</v>
      </c>
      <c r="E507">
        <v>2</v>
      </c>
      <c r="F507">
        <v>0</v>
      </c>
      <c r="G507" s="66">
        <v>19</v>
      </c>
      <c r="H507" s="66">
        <v>7.6</v>
      </c>
      <c r="I507" s="66">
        <v>152</v>
      </c>
      <c r="K507" s="67"/>
    </row>
    <row r="508" spans="1:11">
      <c r="A508" s="12">
        <v>512</v>
      </c>
      <c r="B508" s="12">
        <v>113047</v>
      </c>
      <c r="C508">
        <v>8</v>
      </c>
      <c r="D508" t="s">
        <v>68</v>
      </c>
      <c r="E508">
        <v>2</v>
      </c>
      <c r="F508">
        <v>0</v>
      </c>
      <c r="G508" s="66">
        <v>21</v>
      </c>
      <c r="H508" s="66">
        <v>8.4</v>
      </c>
      <c r="I508" s="66">
        <v>168</v>
      </c>
      <c r="K508" s="67"/>
    </row>
    <row r="509" spans="1:11">
      <c r="A509" s="13">
        <v>513</v>
      </c>
      <c r="B509" s="13">
        <v>113046</v>
      </c>
      <c r="C509" s="13">
        <v>3</v>
      </c>
      <c r="D509" s="13"/>
      <c r="E509" s="13">
        <v>0</v>
      </c>
      <c r="F509" s="13">
        <v>0</v>
      </c>
      <c r="G509" s="66">
        <v>12</v>
      </c>
      <c r="H509" s="66">
        <v>4.8</v>
      </c>
      <c r="I509" s="66">
        <v>96</v>
      </c>
      <c r="K509" s="67"/>
    </row>
    <row r="510" spans="1:11">
      <c r="A510" s="13">
        <v>514</v>
      </c>
      <c r="B510" s="13">
        <v>113046</v>
      </c>
      <c r="C510" s="13">
        <v>4</v>
      </c>
      <c r="D510" s="13" t="s">
        <v>64</v>
      </c>
      <c r="E510" s="13">
        <v>1</v>
      </c>
      <c r="F510" s="13">
        <v>0</v>
      </c>
      <c r="G510" s="66">
        <v>13.5</v>
      </c>
      <c r="H510" s="66">
        <v>5.4</v>
      </c>
      <c r="I510" s="66">
        <v>108</v>
      </c>
      <c r="K510" s="67"/>
    </row>
    <row r="511" spans="1:11">
      <c r="A511" s="13">
        <v>515</v>
      </c>
      <c r="B511" s="13">
        <v>113046</v>
      </c>
      <c r="C511" s="13">
        <v>5</v>
      </c>
      <c r="D511" s="13" t="s">
        <v>65</v>
      </c>
      <c r="E511" s="13">
        <v>1</v>
      </c>
      <c r="F511" s="13">
        <v>0</v>
      </c>
      <c r="G511" s="66">
        <v>15</v>
      </c>
      <c r="H511" s="66">
        <v>6</v>
      </c>
      <c r="I511" s="66">
        <v>120</v>
      </c>
      <c r="K511" s="67"/>
    </row>
    <row r="512" spans="1:11">
      <c r="A512" s="13">
        <v>516</v>
      </c>
      <c r="B512" s="13">
        <v>113046</v>
      </c>
      <c r="C512" s="13">
        <v>6</v>
      </c>
      <c r="D512" s="13" t="s">
        <v>66</v>
      </c>
      <c r="E512" s="13">
        <v>1</v>
      </c>
      <c r="F512" s="13">
        <v>0</v>
      </c>
      <c r="G512" s="66">
        <v>17</v>
      </c>
      <c r="H512" s="66">
        <v>6.8</v>
      </c>
      <c r="I512" s="66">
        <v>136</v>
      </c>
      <c r="K512" s="67"/>
    </row>
    <row r="513" spans="1:11">
      <c r="A513" s="13">
        <v>517</v>
      </c>
      <c r="B513" s="13">
        <v>113046</v>
      </c>
      <c r="C513" s="13">
        <v>7</v>
      </c>
      <c r="D513" s="13" t="s">
        <v>66</v>
      </c>
      <c r="E513" s="13">
        <v>2</v>
      </c>
      <c r="F513" s="13">
        <v>0</v>
      </c>
      <c r="G513" s="66">
        <v>19</v>
      </c>
      <c r="H513" s="66">
        <v>7.6</v>
      </c>
      <c r="I513" s="66">
        <v>152</v>
      </c>
      <c r="K513" s="67"/>
    </row>
    <row r="514" spans="1:11">
      <c r="A514" s="13">
        <v>518</v>
      </c>
      <c r="B514" s="13">
        <v>113046</v>
      </c>
      <c r="C514" s="13">
        <v>8</v>
      </c>
      <c r="D514" s="13" t="s">
        <v>68</v>
      </c>
      <c r="E514" s="13">
        <v>2</v>
      </c>
      <c r="F514" s="13">
        <v>0</v>
      </c>
      <c r="G514" s="66">
        <v>21</v>
      </c>
      <c r="H514" s="66">
        <v>8.4</v>
      </c>
      <c r="I514" s="66">
        <v>168</v>
      </c>
      <c r="K514" s="67"/>
    </row>
    <row r="515" spans="1:11">
      <c r="A515" s="12">
        <v>519</v>
      </c>
      <c r="B515" s="12">
        <v>113049</v>
      </c>
      <c r="C515">
        <v>3</v>
      </c>
      <c r="E515">
        <v>0</v>
      </c>
      <c r="F515">
        <v>0</v>
      </c>
      <c r="G515" s="66">
        <v>12</v>
      </c>
      <c r="H515" s="66">
        <v>4.8</v>
      </c>
      <c r="I515" s="66">
        <v>96</v>
      </c>
      <c r="K515" s="67"/>
    </row>
    <row r="516" spans="1:11">
      <c r="A516" s="12">
        <v>520</v>
      </c>
      <c r="B516" s="12">
        <v>113049</v>
      </c>
      <c r="C516">
        <v>4</v>
      </c>
      <c r="D516" t="s">
        <v>64</v>
      </c>
      <c r="E516">
        <v>1</v>
      </c>
      <c r="F516">
        <v>0</v>
      </c>
      <c r="G516" s="66">
        <v>13.5</v>
      </c>
      <c r="H516" s="66">
        <v>5.4</v>
      </c>
      <c r="I516" s="66">
        <v>108</v>
      </c>
      <c r="K516" s="67"/>
    </row>
    <row r="517" spans="1:11">
      <c r="A517" s="12">
        <v>521</v>
      </c>
      <c r="B517" s="12">
        <v>113049</v>
      </c>
      <c r="C517">
        <v>5</v>
      </c>
      <c r="D517" t="s">
        <v>65</v>
      </c>
      <c r="E517">
        <v>1</v>
      </c>
      <c r="F517">
        <v>0</v>
      </c>
      <c r="G517" s="66">
        <v>15</v>
      </c>
      <c r="H517" s="66">
        <v>6</v>
      </c>
      <c r="I517" s="66">
        <v>120</v>
      </c>
      <c r="K517" s="67"/>
    </row>
    <row r="518" spans="1:11">
      <c r="A518" s="12">
        <v>522</v>
      </c>
      <c r="B518" s="12">
        <v>113049</v>
      </c>
      <c r="C518">
        <v>6</v>
      </c>
      <c r="D518" t="s">
        <v>66</v>
      </c>
      <c r="E518">
        <v>1</v>
      </c>
      <c r="F518">
        <v>0</v>
      </c>
      <c r="G518" s="66">
        <v>17</v>
      </c>
      <c r="H518" s="66">
        <v>6.8</v>
      </c>
      <c r="I518" s="66">
        <v>136</v>
      </c>
      <c r="K518" s="67"/>
    </row>
    <row r="519" spans="1:11">
      <c r="A519" s="12">
        <v>523</v>
      </c>
      <c r="B519" s="12">
        <v>113049</v>
      </c>
      <c r="C519">
        <v>7</v>
      </c>
      <c r="D519" t="s">
        <v>66</v>
      </c>
      <c r="E519">
        <v>2</v>
      </c>
      <c r="F519">
        <v>0</v>
      </c>
      <c r="G519" s="66">
        <v>19</v>
      </c>
      <c r="H519" s="66">
        <v>7.6</v>
      </c>
      <c r="I519" s="66">
        <v>152</v>
      </c>
      <c r="K519" s="67"/>
    </row>
    <row r="520" spans="1:11">
      <c r="A520" s="12">
        <v>524</v>
      </c>
      <c r="B520" s="12">
        <v>113049</v>
      </c>
      <c r="C520">
        <v>8</v>
      </c>
      <c r="D520" t="s">
        <v>68</v>
      </c>
      <c r="E520">
        <v>2</v>
      </c>
      <c r="F520">
        <v>0</v>
      </c>
      <c r="G520" s="66">
        <v>21</v>
      </c>
      <c r="H520" s="66">
        <v>8.4</v>
      </c>
      <c r="I520" s="66">
        <v>168</v>
      </c>
      <c r="K520" s="67"/>
    </row>
    <row r="521" spans="1:11">
      <c r="A521" s="13">
        <v>525</v>
      </c>
      <c r="B521" s="13">
        <v>113050</v>
      </c>
      <c r="C521">
        <v>3</v>
      </c>
      <c r="E521">
        <v>0</v>
      </c>
      <c r="F521">
        <v>0</v>
      </c>
      <c r="G521" s="66">
        <v>12</v>
      </c>
      <c r="H521" s="66">
        <v>4.8</v>
      </c>
      <c r="I521" s="66">
        <v>96</v>
      </c>
      <c r="K521" s="67"/>
    </row>
    <row r="522" spans="1:11">
      <c r="A522" s="13">
        <v>526</v>
      </c>
      <c r="B522" s="13">
        <v>113050</v>
      </c>
      <c r="C522">
        <v>4</v>
      </c>
      <c r="D522" t="s">
        <v>64</v>
      </c>
      <c r="E522">
        <v>1</v>
      </c>
      <c r="F522">
        <v>0</v>
      </c>
      <c r="G522" s="66">
        <v>13.5</v>
      </c>
      <c r="H522" s="66">
        <v>5.4</v>
      </c>
      <c r="I522" s="66">
        <v>108</v>
      </c>
      <c r="K522" s="67"/>
    </row>
    <row r="523" spans="1:11">
      <c r="A523" s="13">
        <v>527</v>
      </c>
      <c r="B523" s="13">
        <v>113050</v>
      </c>
      <c r="C523">
        <v>5</v>
      </c>
      <c r="D523" t="s">
        <v>65</v>
      </c>
      <c r="E523">
        <v>1</v>
      </c>
      <c r="F523">
        <v>0</v>
      </c>
      <c r="G523" s="66">
        <v>15</v>
      </c>
      <c r="H523" s="66">
        <v>6</v>
      </c>
      <c r="I523" s="66">
        <v>120</v>
      </c>
      <c r="K523" s="67"/>
    </row>
    <row r="524" spans="1:11">
      <c r="A524" s="13">
        <v>528</v>
      </c>
      <c r="B524" s="13">
        <v>113050</v>
      </c>
      <c r="C524">
        <v>6</v>
      </c>
      <c r="D524" t="s">
        <v>66</v>
      </c>
      <c r="E524">
        <v>1</v>
      </c>
      <c r="F524">
        <v>0</v>
      </c>
      <c r="G524" s="66">
        <v>17</v>
      </c>
      <c r="H524" s="66">
        <v>6.8</v>
      </c>
      <c r="I524" s="66">
        <v>136</v>
      </c>
      <c r="K524" s="67"/>
    </row>
    <row r="525" spans="1:11">
      <c r="A525" s="13">
        <v>529</v>
      </c>
      <c r="B525" s="13">
        <v>113050</v>
      </c>
      <c r="C525">
        <v>7</v>
      </c>
      <c r="D525" t="s">
        <v>66</v>
      </c>
      <c r="E525">
        <v>2</v>
      </c>
      <c r="F525">
        <v>0</v>
      </c>
      <c r="G525" s="66">
        <v>19</v>
      </c>
      <c r="H525" s="66">
        <v>7.6</v>
      </c>
      <c r="I525" s="66">
        <v>152</v>
      </c>
      <c r="K525" s="67"/>
    </row>
    <row r="526" spans="1:11">
      <c r="A526" s="13">
        <v>530</v>
      </c>
      <c r="B526" s="13">
        <v>113050</v>
      </c>
      <c r="C526">
        <v>8</v>
      </c>
      <c r="D526" t="s">
        <v>68</v>
      </c>
      <c r="E526">
        <v>2</v>
      </c>
      <c r="F526">
        <v>0</v>
      </c>
      <c r="G526" s="66">
        <v>21</v>
      </c>
      <c r="H526" s="66">
        <v>8.4</v>
      </c>
      <c r="I526" s="66">
        <v>168</v>
      </c>
      <c r="K526" s="67"/>
    </row>
    <row r="527" spans="1:11">
      <c r="A527" s="17">
        <v>531</v>
      </c>
      <c r="B527" s="17">
        <v>113051</v>
      </c>
      <c r="C527">
        <v>3</v>
      </c>
      <c r="E527">
        <v>0</v>
      </c>
      <c r="F527">
        <v>0</v>
      </c>
      <c r="G527" s="66">
        <v>12</v>
      </c>
      <c r="H527" s="66">
        <v>4.8</v>
      </c>
      <c r="I527" s="66">
        <v>96</v>
      </c>
      <c r="K527" s="67"/>
    </row>
    <row r="528" spans="1:11">
      <c r="A528" s="17">
        <v>532</v>
      </c>
      <c r="B528" s="17">
        <v>113051</v>
      </c>
      <c r="C528">
        <v>4</v>
      </c>
      <c r="D528" t="s">
        <v>64</v>
      </c>
      <c r="E528">
        <v>1</v>
      </c>
      <c r="F528">
        <v>0</v>
      </c>
      <c r="G528" s="66">
        <v>13.5</v>
      </c>
      <c r="H528" s="66">
        <v>5.4</v>
      </c>
      <c r="I528" s="66">
        <v>108</v>
      </c>
      <c r="K528" s="67"/>
    </row>
    <row r="529" spans="1:11">
      <c r="A529" s="17">
        <v>533</v>
      </c>
      <c r="B529" s="17">
        <v>113051</v>
      </c>
      <c r="C529">
        <v>5</v>
      </c>
      <c r="D529" t="s">
        <v>65</v>
      </c>
      <c r="E529">
        <v>1</v>
      </c>
      <c r="F529">
        <v>0</v>
      </c>
      <c r="G529" s="66">
        <v>15</v>
      </c>
      <c r="H529" s="66">
        <v>6</v>
      </c>
      <c r="I529" s="66">
        <v>120</v>
      </c>
      <c r="K529" s="67"/>
    </row>
    <row r="530" spans="1:11">
      <c r="A530" s="17">
        <v>534</v>
      </c>
      <c r="B530" s="17">
        <v>113051</v>
      </c>
      <c r="C530">
        <v>6</v>
      </c>
      <c r="D530" t="s">
        <v>66</v>
      </c>
      <c r="E530">
        <v>1</v>
      </c>
      <c r="F530">
        <v>0</v>
      </c>
      <c r="G530" s="66">
        <v>17</v>
      </c>
      <c r="H530" s="66">
        <v>6.8</v>
      </c>
      <c r="I530" s="66">
        <v>136</v>
      </c>
      <c r="K530" s="67"/>
    </row>
    <row r="531" spans="1:11">
      <c r="A531" s="17">
        <v>535</v>
      </c>
      <c r="B531" s="17">
        <v>113051</v>
      </c>
      <c r="C531">
        <v>7</v>
      </c>
      <c r="D531" t="s">
        <v>66</v>
      </c>
      <c r="E531">
        <v>2</v>
      </c>
      <c r="F531">
        <v>0</v>
      </c>
      <c r="G531" s="66">
        <v>19</v>
      </c>
      <c r="H531" s="66">
        <v>7.6</v>
      </c>
      <c r="I531" s="66">
        <v>152</v>
      </c>
      <c r="K531" s="67"/>
    </row>
    <row r="532" spans="1:11">
      <c r="A532" s="17">
        <v>536</v>
      </c>
      <c r="B532" s="17">
        <v>113051</v>
      </c>
      <c r="C532">
        <v>8</v>
      </c>
      <c r="D532" t="s">
        <v>68</v>
      </c>
      <c r="E532">
        <v>2</v>
      </c>
      <c r="F532">
        <v>0</v>
      </c>
      <c r="G532" s="66">
        <v>21</v>
      </c>
      <c r="H532" s="66">
        <v>8.4</v>
      </c>
      <c r="I532" s="66">
        <v>168</v>
      </c>
      <c r="K532" s="67"/>
    </row>
    <row r="533" spans="1:11">
      <c r="A533" s="14">
        <v>537</v>
      </c>
      <c r="B533" s="14">
        <v>113052</v>
      </c>
      <c r="C533">
        <v>3</v>
      </c>
      <c r="E533">
        <v>0</v>
      </c>
      <c r="F533">
        <v>0</v>
      </c>
      <c r="G533" s="66">
        <v>12</v>
      </c>
      <c r="H533" s="66">
        <v>4.8</v>
      </c>
      <c r="I533" s="66">
        <v>96</v>
      </c>
      <c r="K533" s="67"/>
    </row>
    <row r="534" spans="1:11">
      <c r="A534" s="14">
        <v>538</v>
      </c>
      <c r="B534" s="14">
        <v>113052</v>
      </c>
      <c r="C534">
        <v>4</v>
      </c>
      <c r="D534" t="s">
        <v>64</v>
      </c>
      <c r="E534">
        <v>1</v>
      </c>
      <c r="F534">
        <v>0</v>
      </c>
      <c r="G534" s="66">
        <v>13.5</v>
      </c>
      <c r="H534" s="66">
        <v>5.4</v>
      </c>
      <c r="I534" s="66">
        <v>108</v>
      </c>
      <c r="K534" s="67"/>
    </row>
    <row r="535" spans="1:11">
      <c r="A535" s="14">
        <v>539</v>
      </c>
      <c r="B535" s="14">
        <v>113052</v>
      </c>
      <c r="C535">
        <v>5</v>
      </c>
      <c r="D535" t="s">
        <v>65</v>
      </c>
      <c r="E535">
        <v>1</v>
      </c>
      <c r="F535">
        <v>0</v>
      </c>
      <c r="G535" s="66">
        <v>15</v>
      </c>
      <c r="H535" s="66">
        <v>6</v>
      </c>
      <c r="I535" s="66">
        <v>120</v>
      </c>
      <c r="K535" s="67"/>
    </row>
    <row r="536" spans="1:11">
      <c r="A536" s="14">
        <v>540</v>
      </c>
      <c r="B536" s="14">
        <v>113052</v>
      </c>
      <c r="C536">
        <v>6</v>
      </c>
      <c r="D536" t="s">
        <v>66</v>
      </c>
      <c r="E536">
        <v>1</v>
      </c>
      <c r="F536">
        <v>0</v>
      </c>
      <c r="G536" s="66">
        <v>17</v>
      </c>
      <c r="H536" s="66">
        <v>6.8</v>
      </c>
      <c r="I536" s="66">
        <v>136</v>
      </c>
      <c r="K536" s="67"/>
    </row>
    <row r="537" spans="1:11">
      <c r="A537" s="14">
        <v>541</v>
      </c>
      <c r="B537" s="14">
        <v>113052</v>
      </c>
      <c r="C537">
        <v>7</v>
      </c>
      <c r="D537" t="s">
        <v>66</v>
      </c>
      <c r="E537">
        <v>2</v>
      </c>
      <c r="F537">
        <v>0</v>
      </c>
      <c r="G537" s="66">
        <v>19</v>
      </c>
      <c r="H537" s="66">
        <v>7.6</v>
      </c>
      <c r="I537" s="66">
        <v>152</v>
      </c>
      <c r="K537" s="67"/>
    </row>
    <row r="538" spans="1:11">
      <c r="A538" s="14">
        <v>542</v>
      </c>
      <c r="B538" s="14">
        <v>113052</v>
      </c>
      <c r="C538">
        <v>8</v>
      </c>
      <c r="D538" t="s">
        <v>68</v>
      </c>
      <c r="E538">
        <v>2</v>
      </c>
      <c r="F538">
        <v>0</v>
      </c>
      <c r="G538" s="66">
        <v>21</v>
      </c>
      <c r="H538" s="66">
        <v>8.4</v>
      </c>
      <c r="I538" s="66">
        <v>168</v>
      </c>
      <c r="K538" s="67"/>
    </row>
    <row r="539" spans="1:11">
      <c r="A539" s="39">
        <v>543</v>
      </c>
      <c r="B539" s="39">
        <v>113053</v>
      </c>
      <c r="C539">
        <v>3</v>
      </c>
      <c r="E539">
        <v>0</v>
      </c>
      <c r="F539">
        <v>0</v>
      </c>
      <c r="G539" s="66">
        <v>12</v>
      </c>
      <c r="H539" s="66">
        <v>4.8</v>
      </c>
      <c r="I539" s="66">
        <v>96</v>
      </c>
      <c r="K539" s="67"/>
    </row>
    <row r="540" spans="1:11">
      <c r="A540" s="39">
        <v>544</v>
      </c>
      <c r="B540" s="39">
        <v>113053</v>
      </c>
      <c r="C540">
        <v>4</v>
      </c>
      <c r="D540" t="s">
        <v>64</v>
      </c>
      <c r="E540">
        <v>1</v>
      </c>
      <c r="F540">
        <v>0</v>
      </c>
      <c r="G540" s="66">
        <v>13.5</v>
      </c>
      <c r="H540" s="66">
        <v>5.4</v>
      </c>
      <c r="I540" s="66">
        <v>108</v>
      </c>
      <c r="K540" s="67"/>
    </row>
    <row r="541" spans="1:11">
      <c r="A541" s="39">
        <v>545</v>
      </c>
      <c r="B541" s="39">
        <v>113053</v>
      </c>
      <c r="C541">
        <v>5</v>
      </c>
      <c r="D541" t="s">
        <v>65</v>
      </c>
      <c r="E541">
        <v>1</v>
      </c>
      <c r="F541">
        <v>0</v>
      </c>
      <c r="G541" s="66">
        <v>15</v>
      </c>
      <c r="H541" s="66">
        <v>6</v>
      </c>
      <c r="I541" s="66">
        <v>120</v>
      </c>
      <c r="K541" s="67"/>
    </row>
    <row r="542" spans="1:11">
      <c r="A542" s="39">
        <v>546</v>
      </c>
      <c r="B542" s="39">
        <v>113053</v>
      </c>
      <c r="C542">
        <v>6</v>
      </c>
      <c r="D542" t="s">
        <v>66</v>
      </c>
      <c r="E542">
        <v>1</v>
      </c>
      <c r="F542">
        <v>0</v>
      </c>
      <c r="G542" s="66">
        <v>17</v>
      </c>
      <c r="H542" s="66">
        <v>6.8</v>
      </c>
      <c r="I542" s="66">
        <v>136</v>
      </c>
      <c r="K542" s="67"/>
    </row>
    <row r="543" spans="1:11">
      <c r="A543" s="39">
        <v>547</v>
      </c>
      <c r="B543" s="39">
        <v>113053</v>
      </c>
      <c r="C543">
        <v>7</v>
      </c>
      <c r="D543" t="s">
        <v>66</v>
      </c>
      <c r="E543">
        <v>2</v>
      </c>
      <c r="F543">
        <v>0</v>
      </c>
      <c r="G543" s="66">
        <v>19</v>
      </c>
      <c r="H543" s="66">
        <v>7.6</v>
      </c>
      <c r="I543" s="66">
        <v>152</v>
      </c>
      <c r="K543" s="67"/>
    </row>
    <row r="544" spans="1:11">
      <c r="A544" s="39">
        <v>548</v>
      </c>
      <c r="B544" s="39">
        <v>113053</v>
      </c>
      <c r="C544">
        <v>8</v>
      </c>
      <c r="D544" t="s">
        <v>68</v>
      </c>
      <c r="E544">
        <v>2</v>
      </c>
      <c r="F544">
        <v>0</v>
      </c>
      <c r="G544" s="66">
        <v>21</v>
      </c>
      <c r="H544" s="66">
        <v>8.4</v>
      </c>
      <c r="I544" s="66">
        <v>168</v>
      </c>
      <c r="K544" s="67"/>
    </row>
    <row r="545" spans="1:11">
      <c r="A545" s="13">
        <v>549</v>
      </c>
      <c r="B545" s="13">
        <v>113054</v>
      </c>
      <c r="C545">
        <v>3</v>
      </c>
      <c r="E545">
        <v>0</v>
      </c>
      <c r="F545">
        <v>0</v>
      </c>
      <c r="G545" s="66">
        <v>12</v>
      </c>
      <c r="H545" s="66">
        <v>4.8</v>
      </c>
      <c r="I545" s="66">
        <v>96</v>
      </c>
      <c r="K545" s="67"/>
    </row>
    <row r="546" spans="1:11">
      <c r="A546" s="13">
        <v>550</v>
      </c>
      <c r="B546" s="13">
        <v>113054</v>
      </c>
      <c r="C546">
        <v>4</v>
      </c>
      <c r="D546" t="s">
        <v>64</v>
      </c>
      <c r="E546">
        <v>1</v>
      </c>
      <c r="F546">
        <v>0</v>
      </c>
      <c r="G546" s="66">
        <v>13.5</v>
      </c>
      <c r="H546" s="66">
        <v>5.4</v>
      </c>
      <c r="I546" s="66">
        <v>108</v>
      </c>
      <c r="K546" s="67"/>
    </row>
    <row r="547" spans="1:11">
      <c r="A547" s="13">
        <v>551</v>
      </c>
      <c r="B547" s="13">
        <v>113054</v>
      </c>
      <c r="C547">
        <v>5</v>
      </c>
      <c r="D547" t="s">
        <v>65</v>
      </c>
      <c r="E547">
        <v>1</v>
      </c>
      <c r="F547">
        <v>0</v>
      </c>
      <c r="G547" s="66">
        <v>15</v>
      </c>
      <c r="H547" s="66">
        <v>6</v>
      </c>
      <c r="I547" s="66">
        <v>120</v>
      </c>
      <c r="K547" s="67"/>
    </row>
    <row r="548" spans="1:11">
      <c r="A548" s="13">
        <v>552</v>
      </c>
      <c r="B548" s="13">
        <v>113054</v>
      </c>
      <c r="C548">
        <v>6</v>
      </c>
      <c r="D548" t="s">
        <v>66</v>
      </c>
      <c r="E548">
        <v>1</v>
      </c>
      <c r="F548">
        <v>0</v>
      </c>
      <c r="G548" s="66">
        <v>17</v>
      </c>
      <c r="H548" s="66">
        <v>6.8</v>
      </c>
      <c r="I548" s="66">
        <v>136</v>
      </c>
      <c r="K548" s="67"/>
    </row>
    <row r="549" spans="1:11">
      <c r="A549" s="13">
        <v>553</v>
      </c>
      <c r="B549" s="13">
        <v>113054</v>
      </c>
      <c r="C549">
        <v>7</v>
      </c>
      <c r="D549" t="s">
        <v>66</v>
      </c>
      <c r="E549">
        <v>2</v>
      </c>
      <c r="F549">
        <v>0</v>
      </c>
      <c r="G549" s="66">
        <v>19</v>
      </c>
      <c r="H549" s="66">
        <v>7.6</v>
      </c>
      <c r="I549" s="66">
        <v>152</v>
      </c>
      <c r="K549" s="67"/>
    </row>
    <row r="550" spans="1:11">
      <c r="A550" s="13">
        <v>554</v>
      </c>
      <c r="B550" s="13">
        <v>113054</v>
      </c>
      <c r="C550">
        <v>8</v>
      </c>
      <c r="D550" t="s">
        <v>68</v>
      </c>
      <c r="E550">
        <v>2</v>
      </c>
      <c r="F550">
        <v>0</v>
      </c>
      <c r="G550" s="66">
        <v>21</v>
      </c>
      <c r="H550" s="66">
        <v>8.4</v>
      </c>
      <c r="I550" s="66">
        <v>168</v>
      </c>
      <c r="K550" s="67"/>
    </row>
    <row r="551" s="40" customFormat="1" spans="1:11">
      <c r="A551" s="40">
        <v>555</v>
      </c>
      <c r="B551" s="40">
        <v>113055</v>
      </c>
      <c r="C551" s="40">
        <v>3</v>
      </c>
      <c r="E551" s="40">
        <v>0</v>
      </c>
      <c r="F551" s="40">
        <v>0</v>
      </c>
      <c r="G551" s="74">
        <v>12</v>
      </c>
      <c r="H551" s="74">
        <v>4.8</v>
      </c>
      <c r="I551" s="74">
        <v>96</v>
      </c>
      <c r="K551" s="78"/>
    </row>
    <row r="552" s="40" customFormat="1" spans="1:11">
      <c r="A552" s="40">
        <v>556</v>
      </c>
      <c r="B552" s="40">
        <v>113055</v>
      </c>
      <c r="C552" s="40">
        <v>4</v>
      </c>
      <c r="D552" s="40" t="s">
        <v>64</v>
      </c>
      <c r="E552" s="40">
        <v>1</v>
      </c>
      <c r="F552" s="40">
        <v>0</v>
      </c>
      <c r="G552" s="74">
        <v>13.5</v>
      </c>
      <c r="H552" s="74">
        <v>5.4</v>
      </c>
      <c r="I552" s="74">
        <v>108</v>
      </c>
      <c r="K552" s="78"/>
    </row>
    <row r="553" s="40" customFormat="1" spans="1:11">
      <c r="A553" s="40">
        <v>557</v>
      </c>
      <c r="B553" s="40">
        <v>113055</v>
      </c>
      <c r="C553" s="40">
        <v>5</v>
      </c>
      <c r="D553" s="40" t="s">
        <v>65</v>
      </c>
      <c r="E553" s="40">
        <v>1</v>
      </c>
      <c r="F553" s="40">
        <v>0</v>
      </c>
      <c r="G553" s="74">
        <v>15</v>
      </c>
      <c r="H553" s="74">
        <v>6</v>
      </c>
      <c r="I553" s="74">
        <v>120</v>
      </c>
      <c r="K553" s="78"/>
    </row>
    <row r="554" s="40" customFormat="1" spans="1:11">
      <c r="A554" s="40">
        <v>558</v>
      </c>
      <c r="B554" s="40">
        <v>113055</v>
      </c>
      <c r="C554" s="40">
        <v>6</v>
      </c>
      <c r="D554" s="40" t="s">
        <v>66</v>
      </c>
      <c r="E554" s="40">
        <v>1</v>
      </c>
      <c r="F554" s="40">
        <v>0</v>
      </c>
      <c r="G554" s="74">
        <v>17</v>
      </c>
      <c r="H554" s="74">
        <v>6.8</v>
      </c>
      <c r="I554" s="74">
        <v>136</v>
      </c>
      <c r="K554" s="78"/>
    </row>
    <row r="555" s="40" customFormat="1" spans="1:11">
      <c r="A555" s="40">
        <v>559</v>
      </c>
      <c r="B555" s="40">
        <v>113055</v>
      </c>
      <c r="C555" s="40">
        <v>7</v>
      </c>
      <c r="D555" s="40" t="s">
        <v>66</v>
      </c>
      <c r="E555" s="40">
        <v>2</v>
      </c>
      <c r="F555" s="40">
        <v>0</v>
      </c>
      <c r="G555" s="74">
        <v>19</v>
      </c>
      <c r="H555" s="74">
        <v>7.6</v>
      </c>
      <c r="I555" s="74">
        <v>152</v>
      </c>
      <c r="K555" s="78"/>
    </row>
    <row r="556" s="40" customFormat="1" spans="1:11">
      <c r="A556" s="40">
        <v>560</v>
      </c>
      <c r="B556" s="40">
        <v>113055</v>
      </c>
      <c r="C556" s="40">
        <v>8</v>
      </c>
      <c r="D556" s="40" t="s">
        <v>68</v>
      </c>
      <c r="E556" s="40">
        <v>2</v>
      </c>
      <c r="F556" s="40">
        <v>0</v>
      </c>
      <c r="G556" s="74">
        <v>21</v>
      </c>
      <c r="H556" s="74">
        <v>8.4</v>
      </c>
      <c r="I556" s="74">
        <v>168</v>
      </c>
      <c r="K556" s="78"/>
    </row>
    <row r="557" s="41" customFormat="1" spans="1:11">
      <c r="A557" s="41">
        <v>561</v>
      </c>
      <c r="B557" s="41">
        <v>113056</v>
      </c>
      <c r="C557" s="41">
        <v>3</v>
      </c>
      <c r="E557" s="41">
        <v>0</v>
      </c>
      <c r="F557" s="41">
        <v>0</v>
      </c>
      <c r="G557" s="75">
        <v>12</v>
      </c>
      <c r="H557" s="75">
        <v>4.8</v>
      </c>
      <c r="I557" s="75">
        <v>96</v>
      </c>
      <c r="K557" s="79"/>
    </row>
    <row r="558" s="41" customFormat="1" spans="1:11">
      <c r="A558" s="41">
        <v>562</v>
      </c>
      <c r="B558" s="41">
        <v>113056</v>
      </c>
      <c r="C558" s="41">
        <v>4</v>
      </c>
      <c r="D558" s="41" t="s">
        <v>64</v>
      </c>
      <c r="E558" s="41">
        <v>1</v>
      </c>
      <c r="F558" s="41">
        <v>0</v>
      </c>
      <c r="G558" s="75">
        <v>13.5</v>
      </c>
      <c r="H558" s="75">
        <v>5.4</v>
      </c>
      <c r="I558" s="75">
        <v>108</v>
      </c>
      <c r="K558" s="79"/>
    </row>
    <row r="559" s="41" customFormat="1" spans="1:11">
      <c r="A559" s="41">
        <v>563</v>
      </c>
      <c r="B559" s="41">
        <v>113056</v>
      </c>
      <c r="C559" s="41">
        <v>5</v>
      </c>
      <c r="D559" s="41" t="s">
        <v>65</v>
      </c>
      <c r="E559" s="41">
        <v>1</v>
      </c>
      <c r="F559" s="41">
        <v>0</v>
      </c>
      <c r="G559" s="75">
        <v>15</v>
      </c>
      <c r="H559" s="75">
        <v>6</v>
      </c>
      <c r="I559" s="75">
        <v>120</v>
      </c>
      <c r="K559" s="79"/>
    </row>
    <row r="560" s="41" customFormat="1" spans="1:11">
      <c r="A560" s="41">
        <v>564</v>
      </c>
      <c r="B560" s="41">
        <v>113056</v>
      </c>
      <c r="C560" s="41">
        <v>6</v>
      </c>
      <c r="D560" s="41" t="s">
        <v>66</v>
      </c>
      <c r="E560" s="41">
        <v>1</v>
      </c>
      <c r="F560" s="41">
        <v>0</v>
      </c>
      <c r="G560" s="75">
        <v>17</v>
      </c>
      <c r="H560" s="75">
        <v>6.8</v>
      </c>
      <c r="I560" s="75">
        <v>136</v>
      </c>
      <c r="K560" s="79"/>
    </row>
    <row r="561" s="41" customFormat="1" spans="1:11">
      <c r="A561" s="41">
        <v>565</v>
      </c>
      <c r="B561" s="41">
        <v>113056</v>
      </c>
      <c r="C561" s="41">
        <v>7</v>
      </c>
      <c r="D561" s="41" t="s">
        <v>66</v>
      </c>
      <c r="E561" s="41">
        <v>2</v>
      </c>
      <c r="F561" s="41">
        <v>0</v>
      </c>
      <c r="G561" s="75">
        <v>19</v>
      </c>
      <c r="H561" s="75">
        <v>7.6</v>
      </c>
      <c r="I561" s="75">
        <v>152</v>
      </c>
      <c r="K561" s="79"/>
    </row>
    <row r="562" s="41" customFormat="1" spans="1:11">
      <c r="A562" s="41">
        <v>566</v>
      </c>
      <c r="B562" s="41">
        <v>113056</v>
      </c>
      <c r="C562" s="41">
        <v>8</v>
      </c>
      <c r="D562" s="41" t="s">
        <v>68</v>
      </c>
      <c r="E562" s="41">
        <v>2</v>
      </c>
      <c r="F562" s="41">
        <v>0</v>
      </c>
      <c r="G562" s="75">
        <v>21</v>
      </c>
      <c r="H562" s="75">
        <v>8.4</v>
      </c>
      <c r="I562" s="75">
        <v>168</v>
      </c>
      <c r="K562" s="79"/>
    </row>
    <row r="563" s="42" customFormat="1" spans="1:11">
      <c r="A563" s="42">
        <v>567</v>
      </c>
      <c r="B563" s="42">
        <v>113058</v>
      </c>
      <c r="C563" s="42">
        <v>3</v>
      </c>
      <c r="E563" s="42">
        <v>0</v>
      </c>
      <c r="F563" s="42">
        <v>0</v>
      </c>
      <c r="G563" s="76">
        <v>12</v>
      </c>
      <c r="H563" s="76">
        <v>4.8</v>
      </c>
      <c r="I563" s="76">
        <v>96</v>
      </c>
      <c r="K563" s="80"/>
    </row>
    <row r="564" s="42" customFormat="1" spans="1:11">
      <c r="A564" s="42">
        <v>568</v>
      </c>
      <c r="B564" s="42">
        <v>113058</v>
      </c>
      <c r="C564" s="42">
        <v>4</v>
      </c>
      <c r="D564" s="42" t="s">
        <v>64</v>
      </c>
      <c r="E564" s="42">
        <v>1</v>
      </c>
      <c r="F564" s="42">
        <v>0</v>
      </c>
      <c r="G564" s="76">
        <v>13.5</v>
      </c>
      <c r="H564" s="76">
        <v>5.4</v>
      </c>
      <c r="I564" s="76">
        <v>108</v>
      </c>
      <c r="K564" s="80"/>
    </row>
    <row r="565" s="42" customFormat="1" spans="1:11">
      <c r="A565" s="42">
        <v>569</v>
      </c>
      <c r="B565" s="42">
        <v>113058</v>
      </c>
      <c r="C565" s="42">
        <v>5</v>
      </c>
      <c r="D565" s="42" t="s">
        <v>65</v>
      </c>
      <c r="E565" s="42">
        <v>1</v>
      </c>
      <c r="F565" s="42">
        <v>0</v>
      </c>
      <c r="G565" s="76">
        <v>15</v>
      </c>
      <c r="H565" s="76">
        <v>6</v>
      </c>
      <c r="I565" s="76">
        <v>120</v>
      </c>
      <c r="K565" s="80"/>
    </row>
    <row r="566" s="42" customFormat="1" spans="1:11">
      <c r="A566" s="42">
        <v>570</v>
      </c>
      <c r="B566" s="42">
        <v>113058</v>
      </c>
      <c r="C566" s="42">
        <v>6</v>
      </c>
      <c r="D566" s="42" t="s">
        <v>66</v>
      </c>
      <c r="E566" s="42">
        <v>1</v>
      </c>
      <c r="F566" s="42">
        <v>0</v>
      </c>
      <c r="G566" s="76">
        <v>17</v>
      </c>
      <c r="H566" s="76">
        <v>6.8</v>
      </c>
      <c r="I566" s="76">
        <v>136</v>
      </c>
      <c r="K566" s="80"/>
    </row>
    <row r="567" s="42" customFormat="1" spans="1:11">
      <c r="A567" s="42">
        <v>571</v>
      </c>
      <c r="B567" s="42">
        <v>113058</v>
      </c>
      <c r="C567" s="42">
        <v>7</v>
      </c>
      <c r="D567" s="42" t="s">
        <v>66</v>
      </c>
      <c r="E567" s="42">
        <v>2</v>
      </c>
      <c r="F567" s="42">
        <v>0</v>
      </c>
      <c r="G567" s="76">
        <v>19</v>
      </c>
      <c r="H567" s="76">
        <v>7.6</v>
      </c>
      <c r="I567" s="76">
        <v>152</v>
      </c>
      <c r="K567" s="80"/>
    </row>
    <row r="568" s="42" customFormat="1" spans="1:11">
      <c r="A568" s="42">
        <v>572</v>
      </c>
      <c r="B568" s="42">
        <v>113058</v>
      </c>
      <c r="C568" s="42">
        <v>8</v>
      </c>
      <c r="D568" s="42" t="s">
        <v>68</v>
      </c>
      <c r="E568" s="42">
        <v>2</v>
      </c>
      <c r="F568" s="42">
        <v>0</v>
      </c>
      <c r="G568" s="76">
        <v>21</v>
      </c>
      <c r="H568" s="76">
        <v>8.4</v>
      </c>
      <c r="I568" s="76">
        <v>168</v>
      </c>
      <c r="K568" s="80"/>
    </row>
    <row r="569" s="43" customFormat="1" spans="1:11">
      <c r="A569" s="43">
        <v>573</v>
      </c>
      <c r="B569" s="43">
        <v>113057</v>
      </c>
      <c r="C569" s="43">
        <v>3</v>
      </c>
      <c r="E569" s="43">
        <v>0</v>
      </c>
      <c r="F569" s="43">
        <v>0</v>
      </c>
      <c r="G569" s="77">
        <v>12</v>
      </c>
      <c r="H569" s="77">
        <v>4.8</v>
      </c>
      <c r="I569" s="77">
        <v>96</v>
      </c>
      <c r="K569" s="81"/>
    </row>
    <row r="570" s="43" customFormat="1" spans="1:11">
      <c r="A570" s="43">
        <v>574</v>
      </c>
      <c r="B570" s="43">
        <v>113057</v>
      </c>
      <c r="C570" s="43">
        <v>4</v>
      </c>
      <c r="D570" s="43" t="s">
        <v>64</v>
      </c>
      <c r="E570" s="43">
        <v>1</v>
      </c>
      <c r="F570" s="43">
        <v>0</v>
      </c>
      <c r="G570" s="77">
        <v>13.5</v>
      </c>
      <c r="H570" s="77">
        <v>5.4</v>
      </c>
      <c r="I570" s="77">
        <v>108</v>
      </c>
      <c r="K570" s="81"/>
    </row>
    <row r="571" s="43" customFormat="1" spans="1:11">
      <c r="A571" s="43">
        <v>575</v>
      </c>
      <c r="B571" s="43">
        <v>113057</v>
      </c>
      <c r="C571" s="43">
        <v>5</v>
      </c>
      <c r="D571" s="43" t="s">
        <v>65</v>
      </c>
      <c r="E571" s="43">
        <v>1</v>
      </c>
      <c r="F571" s="43">
        <v>0</v>
      </c>
      <c r="G571" s="77">
        <v>15</v>
      </c>
      <c r="H571" s="77">
        <v>6</v>
      </c>
      <c r="I571" s="77">
        <v>120</v>
      </c>
      <c r="K571" s="81"/>
    </row>
    <row r="572" s="43" customFormat="1" spans="1:11">
      <c r="A572" s="43">
        <v>576</v>
      </c>
      <c r="B572" s="43">
        <v>113057</v>
      </c>
      <c r="C572" s="43">
        <v>6</v>
      </c>
      <c r="D572" s="43" t="s">
        <v>66</v>
      </c>
      <c r="E572" s="43">
        <v>1</v>
      </c>
      <c r="F572" s="43">
        <v>0</v>
      </c>
      <c r="G572" s="77">
        <v>17</v>
      </c>
      <c r="H572" s="77">
        <v>6.8</v>
      </c>
      <c r="I572" s="77">
        <v>136</v>
      </c>
      <c r="K572" s="81"/>
    </row>
    <row r="573" s="43" customFormat="1" spans="1:11">
      <c r="A573" s="43">
        <v>577</v>
      </c>
      <c r="B573" s="43">
        <v>113057</v>
      </c>
      <c r="C573" s="43">
        <v>7</v>
      </c>
      <c r="D573" s="43" t="s">
        <v>66</v>
      </c>
      <c r="E573" s="43">
        <v>2</v>
      </c>
      <c r="F573" s="43">
        <v>0</v>
      </c>
      <c r="G573" s="77">
        <v>19</v>
      </c>
      <c r="H573" s="77">
        <v>7.6</v>
      </c>
      <c r="I573" s="77">
        <v>152</v>
      </c>
      <c r="K573" s="81"/>
    </row>
    <row r="574" s="43" customFormat="1" spans="1:11">
      <c r="A574" s="43">
        <v>578</v>
      </c>
      <c r="B574" s="43">
        <v>113057</v>
      </c>
      <c r="C574" s="43">
        <v>8</v>
      </c>
      <c r="D574" s="43" t="s">
        <v>68</v>
      </c>
      <c r="E574" s="43">
        <v>2</v>
      </c>
      <c r="F574" s="43">
        <v>0</v>
      </c>
      <c r="G574" s="77">
        <v>21</v>
      </c>
      <c r="H574" s="77">
        <v>8.4</v>
      </c>
      <c r="I574" s="77">
        <v>168</v>
      </c>
      <c r="K574" s="81"/>
    </row>
    <row r="575" s="41" customFormat="1" spans="1:11">
      <c r="A575" s="41">
        <v>579</v>
      </c>
      <c r="B575" s="41">
        <v>113059</v>
      </c>
      <c r="C575" s="41">
        <v>3</v>
      </c>
      <c r="E575" s="41">
        <v>0</v>
      </c>
      <c r="F575" s="41">
        <v>0</v>
      </c>
      <c r="G575" s="75">
        <v>12</v>
      </c>
      <c r="H575" s="75">
        <v>4.8</v>
      </c>
      <c r="I575" s="75">
        <v>96</v>
      </c>
      <c r="K575" s="79"/>
    </row>
    <row r="576" s="41" customFormat="1" spans="1:11">
      <c r="A576" s="41">
        <v>580</v>
      </c>
      <c r="B576" s="41">
        <v>113059</v>
      </c>
      <c r="C576" s="41">
        <v>4</v>
      </c>
      <c r="D576" s="41" t="s">
        <v>64</v>
      </c>
      <c r="E576" s="41">
        <v>1</v>
      </c>
      <c r="F576" s="41">
        <v>0</v>
      </c>
      <c r="G576" s="75">
        <v>13.5</v>
      </c>
      <c r="H576" s="75">
        <v>5.4</v>
      </c>
      <c r="I576" s="75">
        <v>108</v>
      </c>
      <c r="K576" s="79"/>
    </row>
    <row r="577" s="41" customFormat="1" spans="1:11">
      <c r="A577" s="41">
        <v>581</v>
      </c>
      <c r="B577" s="41">
        <v>113059</v>
      </c>
      <c r="C577" s="41">
        <v>5</v>
      </c>
      <c r="D577" s="41" t="s">
        <v>65</v>
      </c>
      <c r="E577" s="41">
        <v>1</v>
      </c>
      <c r="F577" s="41">
        <v>0</v>
      </c>
      <c r="G577" s="75">
        <v>15</v>
      </c>
      <c r="H577" s="75">
        <v>6</v>
      </c>
      <c r="I577" s="75">
        <v>120</v>
      </c>
      <c r="K577" s="79"/>
    </row>
    <row r="578" s="41" customFormat="1" spans="1:11">
      <c r="A578" s="41">
        <v>582</v>
      </c>
      <c r="B578" s="41">
        <v>113059</v>
      </c>
      <c r="C578" s="41">
        <v>6</v>
      </c>
      <c r="D578" s="41" t="s">
        <v>66</v>
      </c>
      <c r="E578" s="41">
        <v>1</v>
      </c>
      <c r="F578" s="41">
        <v>0</v>
      </c>
      <c r="G578" s="75">
        <v>17</v>
      </c>
      <c r="H578" s="75">
        <v>6.8</v>
      </c>
      <c r="I578" s="75">
        <v>136</v>
      </c>
      <c r="K578" s="79"/>
    </row>
    <row r="579" s="41" customFormat="1" spans="1:11">
      <c r="A579" s="41">
        <v>583</v>
      </c>
      <c r="B579" s="41">
        <v>113059</v>
      </c>
      <c r="C579" s="41">
        <v>7</v>
      </c>
      <c r="D579" s="41" t="s">
        <v>66</v>
      </c>
      <c r="E579" s="41">
        <v>2</v>
      </c>
      <c r="F579" s="41">
        <v>0</v>
      </c>
      <c r="G579" s="75">
        <v>19</v>
      </c>
      <c r="H579" s="75">
        <v>7.6</v>
      </c>
      <c r="I579" s="75">
        <v>152</v>
      </c>
      <c r="K579" s="79"/>
    </row>
    <row r="580" s="41" customFormat="1" spans="1:11">
      <c r="A580" s="41">
        <v>584</v>
      </c>
      <c r="B580" s="41">
        <v>113059</v>
      </c>
      <c r="C580" s="41">
        <v>8</v>
      </c>
      <c r="D580" s="41" t="s">
        <v>68</v>
      </c>
      <c r="E580" s="41">
        <v>2</v>
      </c>
      <c r="F580" s="41">
        <v>0</v>
      </c>
      <c r="G580" s="75">
        <v>21</v>
      </c>
      <c r="H580" s="75">
        <v>8.4</v>
      </c>
      <c r="I580" s="75">
        <v>168</v>
      </c>
      <c r="K580" s="79"/>
    </row>
    <row r="581" s="44" customFormat="1" spans="1:11">
      <c r="A581" s="44">
        <v>585</v>
      </c>
      <c r="B581" s="44">
        <v>113060</v>
      </c>
      <c r="C581" s="44">
        <v>3</v>
      </c>
      <c r="E581" s="44">
        <v>0</v>
      </c>
      <c r="F581" s="44">
        <v>0</v>
      </c>
      <c r="G581" s="82">
        <v>12</v>
      </c>
      <c r="H581" s="82">
        <v>4.8</v>
      </c>
      <c r="I581" s="82">
        <v>96</v>
      </c>
      <c r="K581" s="89"/>
    </row>
    <row r="582" s="44" customFormat="1" spans="1:11">
      <c r="A582" s="44">
        <v>586</v>
      </c>
      <c r="B582" s="44">
        <v>113060</v>
      </c>
      <c r="C582" s="44">
        <v>4</v>
      </c>
      <c r="D582" s="44" t="s">
        <v>64</v>
      </c>
      <c r="E582" s="44">
        <v>1</v>
      </c>
      <c r="F582" s="44">
        <v>0</v>
      </c>
      <c r="G582" s="82">
        <v>13.5</v>
      </c>
      <c r="H582" s="82">
        <v>5.4</v>
      </c>
      <c r="I582" s="82">
        <v>108</v>
      </c>
      <c r="K582" s="89"/>
    </row>
    <row r="583" s="44" customFormat="1" spans="1:11">
      <c r="A583" s="44">
        <v>587</v>
      </c>
      <c r="B583" s="44">
        <v>113060</v>
      </c>
      <c r="C583" s="44">
        <v>5</v>
      </c>
      <c r="D583" s="44" t="s">
        <v>65</v>
      </c>
      <c r="E583" s="44">
        <v>1</v>
      </c>
      <c r="F583" s="44">
        <v>0</v>
      </c>
      <c r="G583" s="82">
        <v>15</v>
      </c>
      <c r="H583" s="82">
        <v>6</v>
      </c>
      <c r="I583" s="82">
        <v>120</v>
      </c>
      <c r="K583" s="89"/>
    </row>
    <row r="584" s="44" customFormat="1" spans="1:11">
      <c r="A584" s="44">
        <v>588</v>
      </c>
      <c r="B584" s="44">
        <v>113060</v>
      </c>
      <c r="C584" s="44">
        <v>6</v>
      </c>
      <c r="D584" s="44" t="s">
        <v>66</v>
      </c>
      <c r="E584" s="44">
        <v>1</v>
      </c>
      <c r="F584" s="44">
        <v>0</v>
      </c>
      <c r="G584" s="82">
        <v>17</v>
      </c>
      <c r="H584" s="82">
        <v>6.8</v>
      </c>
      <c r="I584" s="82">
        <v>136</v>
      </c>
      <c r="K584" s="89"/>
    </row>
    <row r="585" s="44" customFormat="1" spans="1:11">
      <c r="A585" s="44">
        <v>589</v>
      </c>
      <c r="B585" s="44">
        <v>113060</v>
      </c>
      <c r="C585" s="44">
        <v>7</v>
      </c>
      <c r="D585" s="44" t="s">
        <v>66</v>
      </c>
      <c r="E585" s="44">
        <v>2</v>
      </c>
      <c r="F585" s="44">
        <v>0</v>
      </c>
      <c r="G585" s="82">
        <v>19</v>
      </c>
      <c r="H585" s="82">
        <v>7.6</v>
      </c>
      <c r="I585" s="82">
        <v>152</v>
      </c>
      <c r="K585" s="89"/>
    </row>
    <row r="586" s="44" customFormat="1" spans="1:11">
      <c r="A586" s="44">
        <v>590</v>
      </c>
      <c r="B586" s="44">
        <v>113060</v>
      </c>
      <c r="C586" s="44">
        <v>8</v>
      </c>
      <c r="D586" s="44" t="s">
        <v>68</v>
      </c>
      <c r="E586" s="44">
        <v>2</v>
      </c>
      <c r="F586" s="44">
        <v>0</v>
      </c>
      <c r="G586" s="82">
        <v>21</v>
      </c>
      <c r="H586" s="82">
        <v>8.4</v>
      </c>
      <c r="I586" s="82">
        <v>168</v>
      </c>
      <c r="K586" s="89"/>
    </row>
    <row r="587" s="45" customFormat="1" spans="1:11">
      <c r="A587" s="45">
        <v>591</v>
      </c>
      <c r="B587" s="45">
        <v>113061</v>
      </c>
      <c r="C587" s="45">
        <v>3</v>
      </c>
      <c r="E587" s="45">
        <v>0</v>
      </c>
      <c r="F587" s="45">
        <v>0</v>
      </c>
      <c r="G587" s="83">
        <v>12</v>
      </c>
      <c r="H587" s="83">
        <v>4.8</v>
      </c>
      <c r="I587" s="83">
        <v>96</v>
      </c>
      <c r="K587" s="90"/>
    </row>
    <row r="588" s="45" customFormat="1" spans="1:11">
      <c r="A588" s="45">
        <v>592</v>
      </c>
      <c r="B588" s="45">
        <v>113061</v>
      </c>
      <c r="C588" s="45">
        <v>4</v>
      </c>
      <c r="D588" s="45" t="s">
        <v>64</v>
      </c>
      <c r="E588" s="45">
        <v>1</v>
      </c>
      <c r="F588" s="45">
        <v>0</v>
      </c>
      <c r="G588" s="83">
        <v>13.5</v>
      </c>
      <c r="H588" s="83">
        <v>5.4</v>
      </c>
      <c r="I588" s="83">
        <v>108</v>
      </c>
      <c r="K588" s="90"/>
    </row>
    <row r="589" s="45" customFormat="1" spans="1:11">
      <c r="A589" s="45">
        <v>593</v>
      </c>
      <c r="B589" s="45">
        <v>113061</v>
      </c>
      <c r="C589" s="45">
        <v>5</v>
      </c>
      <c r="D589" s="45" t="s">
        <v>65</v>
      </c>
      <c r="E589" s="45">
        <v>1</v>
      </c>
      <c r="F589" s="45">
        <v>0</v>
      </c>
      <c r="G589" s="83">
        <v>15</v>
      </c>
      <c r="H589" s="83">
        <v>6</v>
      </c>
      <c r="I589" s="83">
        <v>120</v>
      </c>
      <c r="K589" s="90"/>
    </row>
    <row r="590" s="45" customFormat="1" spans="1:11">
      <c r="A590" s="45">
        <v>594</v>
      </c>
      <c r="B590" s="45">
        <v>113061</v>
      </c>
      <c r="C590" s="45">
        <v>6</v>
      </c>
      <c r="D590" s="45" t="s">
        <v>66</v>
      </c>
      <c r="E590" s="45">
        <v>1</v>
      </c>
      <c r="F590" s="45">
        <v>0</v>
      </c>
      <c r="G590" s="83">
        <v>17</v>
      </c>
      <c r="H590" s="83">
        <v>6.8</v>
      </c>
      <c r="I590" s="83">
        <v>136</v>
      </c>
      <c r="K590" s="90"/>
    </row>
    <row r="591" s="45" customFormat="1" spans="1:11">
      <c r="A591" s="45">
        <v>595</v>
      </c>
      <c r="B591" s="45">
        <v>113061</v>
      </c>
      <c r="C591" s="45">
        <v>7</v>
      </c>
      <c r="D591" s="45" t="s">
        <v>66</v>
      </c>
      <c r="E591" s="45">
        <v>2</v>
      </c>
      <c r="F591" s="45">
        <v>0</v>
      </c>
      <c r="G591" s="83">
        <v>19</v>
      </c>
      <c r="H591" s="83">
        <v>7.6</v>
      </c>
      <c r="I591" s="83">
        <v>152</v>
      </c>
      <c r="K591" s="90"/>
    </row>
    <row r="592" s="45" customFormat="1" spans="1:11">
      <c r="A592" s="45">
        <v>596</v>
      </c>
      <c r="B592" s="45">
        <v>113061</v>
      </c>
      <c r="C592" s="45">
        <v>8</v>
      </c>
      <c r="D592" s="45" t="s">
        <v>68</v>
      </c>
      <c r="E592" s="45">
        <v>2</v>
      </c>
      <c r="F592" s="45">
        <v>0</v>
      </c>
      <c r="G592" s="83">
        <v>21</v>
      </c>
      <c r="H592" s="83">
        <v>8.4</v>
      </c>
      <c r="I592" s="83">
        <v>168</v>
      </c>
      <c r="K592" s="90"/>
    </row>
    <row r="593" s="46" customFormat="1" spans="1:11">
      <c r="A593" s="46">
        <v>597</v>
      </c>
      <c r="B593" s="46">
        <v>113062</v>
      </c>
      <c r="C593" s="46">
        <v>3</v>
      </c>
      <c r="E593" s="46">
        <v>0</v>
      </c>
      <c r="F593" s="46">
        <v>0</v>
      </c>
      <c r="G593" s="84">
        <v>12</v>
      </c>
      <c r="H593" s="84">
        <v>4.8</v>
      </c>
      <c r="I593" s="84">
        <v>96</v>
      </c>
      <c r="K593" s="91"/>
    </row>
    <row r="594" s="46" customFormat="1" spans="1:11">
      <c r="A594" s="46">
        <v>598</v>
      </c>
      <c r="B594" s="46">
        <v>113062</v>
      </c>
      <c r="C594" s="46">
        <v>4</v>
      </c>
      <c r="D594" s="46" t="s">
        <v>64</v>
      </c>
      <c r="E594" s="46">
        <v>1</v>
      </c>
      <c r="F594" s="46">
        <v>0</v>
      </c>
      <c r="G594" s="84">
        <v>13.5</v>
      </c>
      <c r="H594" s="84">
        <v>5.4</v>
      </c>
      <c r="I594" s="84">
        <v>108</v>
      </c>
      <c r="K594" s="91"/>
    </row>
    <row r="595" s="46" customFormat="1" spans="1:11">
      <c r="A595" s="46">
        <v>599</v>
      </c>
      <c r="B595" s="46">
        <v>113062</v>
      </c>
      <c r="C595" s="46">
        <v>5</v>
      </c>
      <c r="D595" s="46" t="s">
        <v>65</v>
      </c>
      <c r="E595" s="46">
        <v>1</v>
      </c>
      <c r="F595" s="46">
        <v>0</v>
      </c>
      <c r="G595" s="84">
        <v>15</v>
      </c>
      <c r="H595" s="84">
        <v>6</v>
      </c>
      <c r="I595" s="84">
        <v>120</v>
      </c>
      <c r="K595" s="91"/>
    </row>
    <row r="596" s="46" customFormat="1" spans="1:11">
      <c r="A596" s="46">
        <v>600</v>
      </c>
      <c r="B596" s="46">
        <v>113062</v>
      </c>
      <c r="C596" s="46">
        <v>6</v>
      </c>
      <c r="D596" s="46" t="s">
        <v>66</v>
      </c>
      <c r="E596" s="46">
        <v>1</v>
      </c>
      <c r="F596" s="46">
        <v>0</v>
      </c>
      <c r="G596" s="84">
        <v>17</v>
      </c>
      <c r="H596" s="84">
        <v>6.8</v>
      </c>
      <c r="I596" s="84">
        <v>136</v>
      </c>
      <c r="K596" s="91"/>
    </row>
    <row r="597" s="46" customFormat="1" spans="1:11">
      <c r="A597" s="46">
        <v>601</v>
      </c>
      <c r="B597" s="46">
        <v>113062</v>
      </c>
      <c r="C597" s="46">
        <v>7</v>
      </c>
      <c r="D597" s="46" t="s">
        <v>66</v>
      </c>
      <c r="E597" s="46">
        <v>2</v>
      </c>
      <c r="F597" s="46">
        <v>0</v>
      </c>
      <c r="G597" s="84">
        <v>19</v>
      </c>
      <c r="H597" s="84">
        <v>7.6</v>
      </c>
      <c r="I597" s="84">
        <v>152</v>
      </c>
      <c r="K597" s="91"/>
    </row>
    <row r="598" s="46" customFormat="1" spans="1:11">
      <c r="A598" s="46">
        <v>602</v>
      </c>
      <c r="B598" s="46">
        <v>113062</v>
      </c>
      <c r="C598" s="46">
        <v>8</v>
      </c>
      <c r="D598" s="46" t="s">
        <v>68</v>
      </c>
      <c r="E598" s="46">
        <v>2</v>
      </c>
      <c r="F598" s="46">
        <v>0</v>
      </c>
      <c r="G598" s="84">
        <v>21</v>
      </c>
      <c r="H598" s="84">
        <v>8.4</v>
      </c>
      <c r="I598" s="84">
        <v>168</v>
      </c>
      <c r="K598" s="91"/>
    </row>
    <row r="599" s="47" customFormat="1" spans="1:11">
      <c r="A599" s="47">
        <v>603</v>
      </c>
      <c r="B599" s="47">
        <v>113063</v>
      </c>
      <c r="C599" s="47">
        <v>3</v>
      </c>
      <c r="E599" s="47">
        <v>0</v>
      </c>
      <c r="F599" s="47">
        <v>0</v>
      </c>
      <c r="G599" s="66">
        <v>12</v>
      </c>
      <c r="H599" s="66">
        <v>4.8</v>
      </c>
      <c r="I599" s="66">
        <v>96</v>
      </c>
      <c r="K599" s="67"/>
    </row>
    <row r="600" s="47" customFormat="1" spans="1:11">
      <c r="A600" s="47">
        <v>604</v>
      </c>
      <c r="B600" s="47">
        <v>113063</v>
      </c>
      <c r="C600" s="47">
        <v>4</v>
      </c>
      <c r="D600" s="47" t="s">
        <v>64</v>
      </c>
      <c r="E600" s="47">
        <v>1</v>
      </c>
      <c r="F600" s="47">
        <v>0</v>
      </c>
      <c r="G600" s="66">
        <v>13.5</v>
      </c>
      <c r="H600" s="66">
        <v>5.4</v>
      </c>
      <c r="I600" s="66">
        <v>108</v>
      </c>
      <c r="K600" s="67"/>
    </row>
    <row r="601" s="47" customFormat="1" spans="1:11">
      <c r="A601" s="47">
        <v>605</v>
      </c>
      <c r="B601" s="47">
        <v>113063</v>
      </c>
      <c r="C601" s="47">
        <v>5</v>
      </c>
      <c r="D601" s="47" t="s">
        <v>65</v>
      </c>
      <c r="E601" s="47">
        <v>1</v>
      </c>
      <c r="F601" s="47">
        <v>0</v>
      </c>
      <c r="G601" s="66">
        <v>15</v>
      </c>
      <c r="H601" s="66">
        <v>6</v>
      </c>
      <c r="I601" s="66">
        <v>120</v>
      </c>
      <c r="K601" s="67"/>
    </row>
    <row r="602" s="47" customFormat="1" spans="1:11">
      <c r="A602" s="47">
        <v>606</v>
      </c>
      <c r="B602" s="47">
        <v>113063</v>
      </c>
      <c r="C602" s="47">
        <v>6</v>
      </c>
      <c r="D602" s="47" t="s">
        <v>66</v>
      </c>
      <c r="E602" s="47">
        <v>1</v>
      </c>
      <c r="F602" s="47">
        <v>0</v>
      </c>
      <c r="G602" s="66">
        <v>17</v>
      </c>
      <c r="H602" s="66">
        <v>6.8</v>
      </c>
      <c r="I602" s="66">
        <v>136</v>
      </c>
      <c r="K602" s="67"/>
    </row>
    <row r="603" s="47" customFormat="1" spans="1:11">
      <c r="A603" s="47">
        <v>607</v>
      </c>
      <c r="B603" s="47">
        <v>113063</v>
      </c>
      <c r="C603" s="47">
        <v>7</v>
      </c>
      <c r="D603" s="47" t="s">
        <v>66</v>
      </c>
      <c r="E603" s="47">
        <v>2</v>
      </c>
      <c r="F603" s="47">
        <v>0</v>
      </c>
      <c r="G603" s="66">
        <v>19</v>
      </c>
      <c r="H603" s="66">
        <v>7.6</v>
      </c>
      <c r="I603" s="66">
        <v>152</v>
      </c>
      <c r="K603" s="67"/>
    </row>
    <row r="604" s="47" customFormat="1" spans="1:11">
      <c r="A604" s="47">
        <v>608</v>
      </c>
      <c r="B604" s="47">
        <v>113063</v>
      </c>
      <c r="C604" s="47">
        <v>8</v>
      </c>
      <c r="D604" s="47" t="s">
        <v>68</v>
      </c>
      <c r="E604" s="47">
        <v>2</v>
      </c>
      <c r="F604" s="47">
        <v>0</v>
      </c>
      <c r="G604" s="66">
        <v>21</v>
      </c>
      <c r="H604" s="66">
        <v>8.4</v>
      </c>
      <c r="I604" s="66">
        <v>168</v>
      </c>
      <c r="K604" s="67"/>
    </row>
    <row r="605" s="41" customFormat="1" spans="1:11">
      <c r="A605" s="41">
        <v>609</v>
      </c>
      <c r="B605" s="41">
        <v>113064</v>
      </c>
      <c r="C605" s="41">
        <v>3</v>
      </c>
      <c r="E605" s="41">
        <v>0</v>
      </c>
      <c r="F605" s="41">
        <v>0</v>
      </c>
      <c r="G605" s="75">
        <v>12</v>
      </c>
      <c r="H605" s="75">
        <v>4.8</v>
      </c>
      <c r="I605" s="75">
        <v>96</v>
      </c>
      <c r="K605" s="79"/>
    </row>
    <row r="606" s="41" customFormat="1" spans="1:11">
      <c r="A606" s="41">
        <v>610</v>
      </c>
      <c r="B606" s="41">
        <v>113064</v>
      </c>
      <c r="C606" s="41">
        <v>4</v>
      </c>
      <c r="D606" s="41" t="s">
        <v>64</v>
      </c>
      <c r="E606" s="41">
        <v>1</v>
      </c>
      <c r="F606" s="41">
        <v>0</v>
      </c>
      <c r="G606" s="75">
        <v>13.5</v>
      </c>
      <c r="H606" s="75">
        <v>5.4</v>
      </c>
      <c r="I606" s="75">
        <v>108</v>
      </c>
      <c r="K606" s="79"/>
    </row>
    <row r="607" s="41" customFormat="1" spans="1:11">
      <c r="A607" s="41">
        <v>611</v>
      </c>
      <c r="B607" s="41">
        <v>113064</v>
      </c>
      <c r="C607" s="41">
        <v>5</v>
      </c>
      <c r="D607" s="41" t="s">
        <v>65</v>
      </c>
      <c r="E607" s="41">
        <v>1</v>
      </c>
      <c r="F607" s="41">
        <v>0</v>
      </c>
      <c r="G607" s="75">
        <v>15</v>
      </c>
      <c r="H607" s="75">
        <v>6</v>
      </c>
      <c r="I607" s="75">
        <v>120</v>
      </c>
      <c r="K607" s="79"/>
    </row>
    <row r="608" s="41" customFormat="1" spans="1:11">
      <c r="A608" s="41">
        <v>612</v>
      </c>
      <c r="B608" s="41">
        <v>113064</v>
      </c>
      <c r="C608" s="41">
        <v>6</v>
      </c>
      <c r="D608" s="41" t="s">
        <v>66</v>
      </c>
      <c r="E608" s="41">
        <v>1</v>
      </c>
      <c r="F608" s="41">
        <v>0</v>
      </c>
      <c r="G608" s="75">
        <v>17</v>
      </c>
      <c r="H608" s="75">
        <v>6.8</v>
      </c>
      <c r="I608" s="75">
        <v>136</v>
      </c>
      <c r="K608" s="79"/>
    </row>
    <row r="609" s="41" customFormat="1" spans="1:11">
      <c r="A609" s="41">
        <v>613</v>
      </c>
      <c r="B609" s="41">
        <v>113064</v>
      </c>
      <c r="C609" s="41">
        <v>7</v>
      </c>
      <c r="D609" s="41" t="s">
        <v>66</v>
      </c>
      <c r="E609" s="41">
        <v>2</v>
      </c>
      <c r="F609" s="41">
        <v>0</v>
      </c>
      <c r="G609" s="75">
        <v>19</v>
      </c>
      <c r="H609" s="75">
        <v>7.6</v>
      </c>
      <c r="I609" s="75">
        <v>152</v>
      </c>
      <c r="K609" s="79"/>
    </row>
    <row r="610" s="41" customFormat="1" spans="1:11">
      <c r="A610" s="41">
        <v>614</v>
      </c>
      <c r="B610" s="41">
        <v>113064</v>
      </c>
      <c r="C610" s="41">
        <v>8</v>
      </c>
      <c r="D610" s="41" t="s">
        <v>68</v>
      </c>
      <c r="E610" s="41">
        <v>2</v>
      </c>
      <c r="F610" s="41">
        <v>0</v>
      </c>
      <c r="G610" s="75">
        <v>21</v>
      </c>
      <c r="H610" s="75">
        <v>8.4</v>
      </c>
      <c r="I610" s="75">
        <v>168</v>
      </c>
      <c r="K610" s="79"/>
    </row>
    <row r="611" s="13" customFormat="1" spans="1:11">
      <c r="A611" s="13">
        <v>615</v>
      </c>
      <c r="B611" s="13">
        <v>113065</v>
      </c>
      <c r="C611" s="13">
        <v>3</v>
      </c>
      <c r="E611" s="13">
        <v>0</v>
      </c>
      <c r="F611" s="13">
        <v>0</v>
      </c>
      <c r="G611" s="51">
        <v>12</v>
      </c>
      <c r="H611" s="51">
        <v>4.8</v>
      </c>
      <c r="I611" s="51">
        <v>96</v>
      </c>
      <c r="K611" s="92"/>
    </row>
    <row r="612" s="13" customFormat="1" spans="1:11">
      <c r="A612" s="13">
        <v>616</v>
      </c>
      <c r="B612" s="13">
        <v>113065</v>
      </c>
      <c r="C612" s="13">
        <v>4</v>
      </c>
      <c r="D612" s="13" t="s">
        <v>64</v>
      </c>
      <c r="E612" s="13">
        <v>1</v>
      </c>
      <c r="F612" s="13">
        <v>0</v>
      </c>
      <c r="G612" s="51">
        <v>13.5</v>
      </c>
      <c r="H612" s="51">
        <v>5.4</v>
      </c>
      <c r="I612" s="51">
        <v>108</v>
      </c>
      <c r="K612" s="92"/>
    </row>
    <row r="613" s="13" customFormat="1" spans="1:11">
      <c r="A613" s="13">
        <v>617</v>
      </c>
      <c r="B613" s="13">
        <v>113065</v>
      </c>
      <c r="C613" s="13">
        <v>5</v>
      </c>
      <c r="D613" s="13" t="s">
        <v>65</v>
      </c>
      <c r="E613" s="13">
        <v>1</v>
      </c>
      <c r="F613" s="13">
        <v>0</v>
      </c>
      <c r="G613" s="51">
        <v>15</v>
      </c>
      <c r="H613" s="51">
        <v>6</v>
      </c>
      <c r="I613" s="51">
        <v>120</v>
      </c>
      <c r="K613" s="92"/>
    </row>
    <row r="614" s="13" customFormat="1" spans="1:11">
      <c r="A614" s="13">
        <v>618</v>
      </c>
      <c r="B614" s="13">
        <v>113065</v>
      </c>
      <c r="C614" s="13">
        <v>6</v>
      </c>
      <c r="D614" s="13" t="s">
        <v>66</v>
      </c>
      <c r="E614" s="13">
        <v>1</v>
      </c>
      <c r="F614" s="13">
        <v>0</v>
      </c>
      <c r="G614" s="51">
        <v>17</v>
      </c>
      <c r="H614" s="51">
        <v>6.8</v>
      </c>
      <c r="I614" s="51">
        <v>136</v>
      </c>
      <c r="K614" s="92"/>
    </row>
    <row r="615" s="13" customFormat="1" spans="1:11">
      <c r="A615" s="13">
        <v>619</v>
      </c>
      <c r="B615" s="13">
        <v>113065</v>
      </c>
      <c r="C615" s="13">
        <v>7</v>
      </c>
      <c r="D615" s="13" t="s">
        <v>66</v>
      </c>
      <c r="E615" s="13">
        <v>2</v>
      </c>
      <c r="F615" s="13">
        <v>0</v>
      </c>
      <c r="G615" s="51">
        <v>19</v>
      </c>
      <c r="H615" s="51">
        <v>7.6</v>
      </c>
      <c r="I615" s="51">
        <v>152</v>
      </c>
      <c r="K615" s="92"/>
    </row>
    <row r="616" s="13" customFormat="1" spans="1:11">
      <c r="A616" s="13">
        <v>620</v>
      </c>
      <c r="B616" s="13">
        <v>113065</v>
      </c>
      <c r="C616" s="13">
        <v>8</v>
      </c>
      <c r="D616" s="13" t="s">
        <v>68</v>
      </c>
      <c r="E616" s="13">
        <v>2</v>
      </c>
      <c r="F616" s="13">
        <v>0</v>
      </c>
      <c r="G616" s="51">
        <v>21</v>
      </c>
      <c r="H616" s="51">
        <v>8.4</v>
      </c>
      <c r="I616" s="51">
        <v>168</v>
      </c>
      <c r="K616" s="92"/>
    </row>
    <row r="617" s="20" customFormat="1" spans="1:11">
      <c r="A617" s="20">
        <v>621</v>
      </c>
      <c r="B617" s="20">
        <v>113066</v>
      </c>
      <c r="C617" s="20">
        <v>3</v>
      </c>
      <c r="E617" s="20">
        <v>0</v>
      </c>
      <c r="F617" s="20">
        <v>0</v>
      </c>
      <c r="G617" s="85">
        <v>12</v>
      </c>
      <c r="H617" s="85">
        <v>4.8</v>
      </c>
      <c r="I617" s="85">
        <v>96</v>
      </c>
      <c r="K617" s="93"/>
    </row>
    <row r="618" s="20" customFormat="1" spans="1:11">
      <c r="A618" s="20">
        <v>622</v>
      </c>
      <c r="B618" s="20">
        <v>113066</v>
      </c>
      <c r="C618" s="20">
        <v>4</v>
      </c>
      <c r="D618" s="20" t="s">
        <v>64</v>
      </c>
      <c r="E618" s="20">
        <v>1</v>
      </c>
      <c r="F618" s="20">
        <v>0</v>
      </c>
      <c r="G618" s="85">
        <v>13.5</v>
      </c>
      <c r="H618" s="85">
        <v>5.4</v>
      </c>
      <c r="I618" s="85">
        <v>108</v>
      </c>
      <c r="K618" s="93"/>
    </row>
    <row r="619" s="20" customFormat="1" spans="1:11">
      <c r="A619" s="20">
        <v>623</v>
      </c>
      <c r="B619" s="20">
        <v>113066</v>
      </c>
      <c r="C619" s="20">
        <v>5</v>
      </c>
      <c r="D619" s="20" t="s">
        <v>65</v>
      </c>
      <c r="E619" s="20">
        <v>1</v>
      </c>
      <c r="F619" s="20">
        <v>0</v>
      </c>
      <c r="G619" s="85">
        <v>15</v>
      </c>
      <c r="H619" s="85">
        <v>6</v>
      </c>
      <c r="I619" s="85">
        <v>120</v>
      </c>
      <c r="K619" s="93"/>
    </row>
    <row r="620" s="20" customFormat="1" spans="1:11">
      <c r="A620" s="20">
        <v>624</v>
      </c>
      <c r="B620" s="20">
        <v>113066</v>
      </c>
      <c r="C620" s="20">
        <v>6</v>
      </c>
      <c r="D620" s="20" t="s">
        <v>66</v>
      </c>
      <c r="E620" s="20">
        <v>1</v>
      </c>
      <c r="F620" s="20">
        <v>0</v>
      </c>
      <c r="G620" s="85">
        <v>17</v>
      </c>
      <c r="H620" s="85">
        <v>6.8</v>
      </c>
      <c r="I620" s="85">
        <v>136</v>
      </c>
      <c r="K620" s="93"/>
    </row>
    <row r="621" s="20" customFormat="1" spans="1:11">
      <c r="A621" s="20">
        <v>625</v>
      </c>
      <c r="B621" s="20">
        <v>113066</v>
      </c>
      <c r="C621" s="20">
        <v>7</v>
      </c>
      <c r="D621" s="20" t="s">
        <v>66</v>
      </c>
      <c r="E621" s="20">
        <v>2</v>
      </c>
      <c r="F621" s="20">
        <v>0</v>
      </c>
      <c r="G621" s="85">
        <v>19</v>
      </c>
      <c r="H621" s="85">
        <v>7.6</v>
      </c>
      <c r="I621" s="85">
        <v>152</v>
      </c>
      <c r="K621" s="93"/>
    </row>
    <row r="622" s="20" customFormat="1" spans="1:11">
      <c r="A622" s="20">
        <v>626</v>
      </c>
      <c r="B622" s="20">
        <v>113066</v>
      </c>
      <c r="C622" s="20">
        <v>8</v>
      </c>
      <c r="D622" s="20" t="s">
        <v>68</v>
      </c>
      <c r="E622" s="20">
        <v>2</v>
      </c>
      <c r="F622" s="20">
        <v>0</v>
      </c>
      <c r="G622" s="85">
        <v>21</v>
      </c>
      <c r="H622" s="85">
        <v>8.4</v>
      </c>
      <c r="I622" s="85">
        <v>168</v>
      </c>
      <c r="K622" s="93"/>
    </row>
    <row r="623" s="48" customFormat="1" spans="1:11">
      <c r="A623" s="48">
        <v>627</v>
      </c>
      <c r="B623" s="48">
        <v>113067</v>
      </c>
      <c r="C623" s="48">
        <v>3</v>
      </c>
      <c r="E623" s="48">
        <v>0</v>
      </c>
      <c r="F623" s="48">
        <v>0</v>
      </c>
      <c r="G623" s="86">
        <v>12</v>
      </c>
      <c r="H623" s="86">
        <v>4.8</v>
      </c>
      <c r="I623" s="86">
        <v>96</v>
      </c>
      <c r="K623" s="94"/>
    </row>
    <row r="624" s="48" customFormat="1" spans="1:11">
      <c r="A624" s="48">
        <v>628</v>
      </c>
      <c r="B624" s="48">
        <v>113067</v>
      </c>
      <c r="C624" s="48">
        <v>4</v>
      </c>
      <c r="D624" s="48" t="s">
        <v>64</v>
      </c>
      <c r="E624" s="48">
        <v>1</v>
      </c>
      <c r="F624" s="48">
        <v>0</v>
      </c>
      <c r="G624" s="86">
        <v>13.5</v>
      </c>
      <c r="H624" s="86">
        <v>5.4</v>
      </c>
      <c r="I624" s="86">
        <v>108</v>
      </c>
      <c r="K624" s="94"/>
    </row>
    <row r="625" s="48" customFormat="1" spans="1:11">
      <c r="A625" s="48">
        <v>629</v>
      </c>
      <c r="B625" s="48">
        <v>113067</v>
      </c>
      <c r="C625" s="48">
        <v>5</v>
      </c>
      <c r="D625" s="48" t="s">
        <v>65</v>
      </c>
      <c r="E625" s="48">
        <v>1</v>
      </c>
      <c r="F625" s="48">
        <v>0</v>
      </c>
      <c r="G625" s="86">
        <v>15</v>
      </c>
      <c r="H625" s="86">
        <v>6</v>
      </c>
      <c r="I625" s="86">
        <v>120</v>
      </c>
      <c r="K625" s="94"/>
    </row>
    <row r="626" s="48" customFormat="1" spans="1:11">
      <c r="A626" s="48">
        <v>630</v>
      </c>
      <c r="B626" s="48">
        <v>113067</v>
      </c>
      <c r="C626" s="48">
        <v>6</v>
      </c>
      <c r="D626" s="48" t="s">
        <v>66</v>
      </c>
      <c r="E626" s="48">
        <v>1</v>
      </c>
      <c r="F626" s="48">
        <v>0</v>
      </c>
      <c r="G626" s="86">
        <v>17</v>
      </c>
      <c r="H626" s="86">
        <v>6.8</v>
      </c>
      <c r="I626" s="86">
        <v>136</v>
      </c>
      <c r="K626" s="94"/>
    </row>
    <row r="627" s="48" customFormat="1" spans="1:11">
      <c r="A627" s="48">
        <v>631</v>
      </c>
      <c r="B627" s="48">
        <v>113067</v>
      </c>
      <c r="C627" s="48">
        <v>7</v>
      </c>
      <c r="D627" s="48" t="s">
        <v>66</v>
      </c>
      <c r="E627" s="48">
        <v>2</v>
      </c>
      <c r="F627" s="48">
        <v>0</v>
      </c>
      <c r="G627" s="86">
        <v>19</v>
      </c>
      <c r="H627" s="86">
        <v>7.6</v>
      </c>
      <c r="I627" s="86">
        <v>152</v>
      </c>
      <c r="K627" s="94"/>
    </row>
    <row r="628" s="48" customFormat="1" spans="1:11">
      <c r="A628" s="48">
        <v>632</v>
      </c>
      <c r="B628" s="48">
        <v>113067</v>
      </c>
      <c r="C628" s="48">
        <v>8</v>
      </c>
      <c r="D628" s="48" t="s">
        <v>68</v>
      </c>
      <c r="E628" s="48">
        <v>2</v>
      </c>
      <c r="F628" s="48">
        <v>0</v>
      </c>
      <c r="G628" s="86">
        <v>21</v>
      </c>
      <c r="H628" s="86">
        <v>8.4</v>
      </c>
      <c r="I628" s="86">
        <v>168</v>
      </c>
      <c r="K628" s="94"/>
    </row>
    <row r="629" s="53" customFormat="1" spans="1:9">
      <c r="A629" s="53">
        <v>633</v>
      </c>
      <c r="B629" s="53">
        <v>113068</v>
      </c>
      <c r="C629" s="53">
        <v>3</v>
      </c>
      <c r="E629" s="53">
        <v>0</v>
      </c>
      <c r="F629" s="53">
        <v>0</v>
      </c>
      <c r="G629" s="87">
        <v>12</v>
      </c>
      <c r="H629" s="87">
        <v>4.8</v>
      </c>
      <c r="I629" s="87">
        <v>96</v>
      </c>
    </row>
    <row r="630" s="53" customFormat="1" spans="1:9">
      <c r="A630" s="53">
        <v>634</v>
      </c>
      <c r="B630" s="53">
        <v>113068</v>
      </c>
      <c r="C630" s="53">
        <v>4</v>
      </c>
      <c r="D630" s="53" t="s">
        <v>64</v>
      </c>
      <c r="E630" s="53">
        <v>1</v>
      </c>
      <c r="F630" s="53">
        <v>0</v>
      </c>
      <c r="G630" s="87">
        <v>13.5</v>
      </c>
      <c r="H630" s="87">
        <v>5.4</v>
      </c>
      <c r="I630" s="87">
        <v>108</v>
      </c>
    </row>
    <row r="631" s="53" customFormat="1" spans="1:9">
      <c r="A631" s="53">
        <v>635</v>
      </c>
      <c r="B631" s="53">
        <v>113068</v>
      </c>
      <c r="C631" s="53">
        <v>5</v>
      </c>
      <c r="D631" s="53" t="s">
        <v>65</v>
      </c>
      <c r="E631" s="53">
        <v>1</v>
      </c>
      <c r="F631" s="53">
        <v>0</v>
      </c>
      <c r="G631" s="87">
        <v>15</v>
      </c>
      <c r="H631" s="87">
        <v>6</v>
      </c>
      <c r="I631" s="87">
        <v>120</v>
      </c>
    </row>
    <row r="632" s="53" customFormat="1" spans="1:9">
      <c r="A632" s="53">
        <v>636</v>
      </c>
      <c r="B632" s="53">
        <v>113068</v>
      </c>
      <c r="C632" s="53">
        <v>6</v>
      </c>
      <c r="D632" s="53" t="s">
        <v>66</v>
      </c>
      <c r="E632" s="53">
        <v>1</v>
      </c>
      <c r="F632" s="53">
        <v>0</v>
      </c>
      <c r="G632" s="87">
        <v>17</v>
      </c>
      <c r="H632" s="87">
        <v>6.8</v>
      </c>
      <c r="I632" s="87">
        <v>136</v>
      </c>
    </row>
    <row r="633" s="53" customFormat="1" spans="1:9">
      <c r="A633" s="53">
        <v>637</v>
      </c>
      <c r="B633" s="53">
        <v>113068</v>
      </c>
      <c r="C633" s="53">
        <v>7</v>
      </c>
      <c r="D633" s="53" t="s">
        <v>66</v>
      </c>
      <c r="E633" s="53">
        <v>2</v>
      </c>
      <c r="F633" s="53">
        <v>0</v>
      </c>
      <c r="G633" s="87">
        <v>19</v>
      </c>
      <c r="H633" s="87">
        <v>7.6</v>
      </c>
      <c r="I633" s="87">
        <v>152</v>
      </c>
    </row>
    <row r="634" s="53" customFormat="1" spans="1:9">
      <c r="A634" s="53">
        <v>638</v>
      </c>
      <c r="B634" s="53">
        <v>113068</v>
      </c>
      <c r="C634" s="53">
        <v>8</v>
      </c>
      <c r="D634" s="53" t="s">
        <v>68</v>
      </c>
      <c r="E634" s="53">
        <v>2</v>
      </c>
      <c r="F634" s="53">
        <v>0</v>
      </c>
      <c r="G634" s="87">
        <v>21</v>
      </c>
      <c r="H634" s="87">
        <v>8.4</v>
      </c>
      <c r="I634" s="87">
        <v>168</v>
      </c>
    </row>
    <row r="635" s="54" customFormat="1" spans="1:9">
      <c r="A635" s="54">
        <v>639</v>
      </c>
      <c r="B635" s="54">
        <v>113069</v>
      </c>
      <c r="C635" s="54">
        <v>3</v>
      </c>
      <c r="E635" s="54">
        <v>0</v>
      </c>
      <c r="F635" s="54">
        <v>0</v>
      </c>
      <c r="G635" s="88">
        <v>12</v>
      </c>
      <c r="H635" s="88">
        <v>4.8</v>
      </c>
      <c r="I635" s="88">
        <v>96</v>
      </c>
    </row>
    <row r="636" s="54" customFormat="1" spans="1:9">
      <c r="A636" s="54">
        <v>640</v>
      </c>
      <c r="B636" s="54">
        <v>113069</v>
      </c>
      <c r="C636" s="54">
        <v>4</v>
      </c>
      <c r="D636" s="54" t="s">
        <v>64</v>
      </c>
      <c r="E636" s="54">
        <v>1</v>
      </c>
      <c r="F636" s="54">
        <v>0</v>
      </c>
      <c r="G636" s="88">
        <v>13.5</v>
      </c>
      <c r="H636" s="88">
        <v>5.4</v>
      </c>
      <c r="I636" s="88">
        <v>108</v>
      </c>
    </row>
    <row r="637" s="54" customFormat="1" spans="1:9">
      <c r="A637" s="54">
        <v>641</v>
      </c>
      <c r="B637" s="54">
        <v>113069</v>
      </c>
      <c r="C637" s="54">
        <v>5</v>
      </c>
      <c r="D637" s="54" t="s">
        <v>65</v>
      </c>
      <c r="E637" s="54">
        <v>1</v>
      </c>
      <c r="F637" s="54">
        <v>0</v>
      </c>
      <c r="G637" s="88">
        <v>15</v>
      </c>
      <c r="H637" s="88">
        <v>6</v>
      </c>
      <c r="I637" s="88">
        <v>120</v>
      </c>
    </row>
    <row r="638" s="54" customFormat="1" spans="1:9">
      <c r="A638" s="54">
        <v>642</v>
      </c>
      <c r="B638" s="54">
        <v>113069</v>
      </c>
      <c r="C638" s="54">
        <v>6</v>
      </c>
      <c r="D638" s="54" t="s">
        <v>66</v>
      </c>
      <c r="E638" s="54">
        <v>1</v>
      </c>
      <c r="F638" s="54">
        <v>0</v>
      </c>
      <c r="G638" s="88">
        <v>17</v>
      </c>
      <c r="H638" s="88">
        <v>6.8</v>
      </c>
      <c r="I638" s="88">
        <v>136</v>
      </c>
    </row>
    <row r="639" s="54" customFormat="1" spans="1:9">
      <c r="A639" s="54">
        <v>643</v>
      </c>
      <c r="B639" s="54">
        <v>113069</v>
      </c>
      <c r="C639" s="54">
        <v>7</v>
      </c>
      <c r="D639" s="54" t="s">
        <v>66</v>
      </c>
      <c r="E639" s="54">
        <v>2</v>
      </c>
      <c r="F639" s="54">
        <v>0</v>
      </c>
      <c r="G639" s="88">
        <v>19</v>
      </c>
      <c r="H639" s="88">
        <v>7.6</v>
      </c>
      <c r="I639" s="88">
        <v>152</v>
      </c>
    </row>
    <row r="640" s="54" customFormat="1" spans="1:9">
      <c r="A640" s="54">
        <v>644</v>
      </c>
      <c r="B640" s="54">
        <v>113069</v>
      </c>
      <c r="C640" s="54">
        <v>8</v>
      </c>
      <c r="D640" s="54" t="s">
        <v>68</v>
      </c>
      <c r="E640" s="54">
        <v>2</v>
      </c>
      <c r="F640" s="54">
        <v>0</v>
      </c>
      <c r="G640" s="88">
        <v>21</v>
      </c>
      <c r="H640" s="88">
        <v>8.4</v>
      </c>
      <c r="I640" s="88">
        <v>168</v>
      </c>
    </row>
    <row r="641" s="33" customFormat="1" spans="1:20">
      <c r="A641" s="33">
        <v>645</v>
      </c>
      <c r="B641" s="33">
        <v>113070</v>
      </c>
      <c r="C641" s="33">
        <v>3</v>
      </c>
      <c r="E641" s="33">
        <v>0</v>
      </c>
      <c r="F641" s="33">
        <v>0</v>
      </c>
      <c r="G641" s="95">
        <v>12</v>
      </c>
      <c r="H641" s="95">
        <v>4.8</v>
      </c>
      <c r="I641" s="95">
        <v>96</v>
      </c>
      <c r="Q641" s="38"/>
      <c r="R641" s="38"/>
      <c r="S641" s="38"/>
      <c r="T641" s="38"/>
    </row>
    <row r="642" s="33" customFormat="1" spans="1:20">
      <c r="A642" s="33">
        <v>646</v>
      </c>
      <c r="B642" s="33">
        <v>113070</v>
      </c>
      <c r="C642" s="33">
        <v>4</v>
      </c>
      <c r="D642" s="33" t="s">
        <v>64</v>
      </c>
      <c r="E642" s="33">
        <v>1</v>
      </c>
      <c r="F642" s="33">
        <v>0</v>
      </c>
      <c r="G642" s="95">
        <v>13.5</v>
      </c>
      <c r="H642" s="95">
        <v>5.4</v>
      </c>
      <c r="I642" s="95">
        <v>108</v>
      </c>
      <c r="Q642" s="38"/>
      <c r="R642" s="38"/>
      <c r="S642" s="38"/>
      <c r="T642" s="38"/>
    </row>
    <row r="643" s="33" customFormat="1" spans="1:20">
      <c r="A643" s="33">
        <v>647</v>
      </c>
      <c r="B643" s="33">
        <v>113070</v>
      </c>
      <c r="C643" s="33">
        <v>5</v>
      </c>
      <c r="D643" s="33" t="s">
        <v>65</v>
      </c>
      <c r="E643" s="33">
        <v>1</v>
      </c>
      <c r="F643" s="33">
        <v>0</v>
      </c>
      <c r="G643" s="95">
        <v>15</v>
      </c>
      <c r="H643" s="95">
        <v>6</v>
      </c>
      <c r="I643" s="95">
        <v>120</v>
      </c>
      <c r="Q643" s="38"/>
      <c r="R643" s="38"/>
      <c r="S643" s="38"/>
      <c r="T643" s="38"/>
    </row>
    <row r="644" s="33" customFormat="1" spans="1:20">
      <c r="A644" s="33">
        <v>648</v>
      </c>
      <c r="B644" s="33">
        <v>113070</v>
      </c>
      <c r="C644" s="33">
        <v>6</v>
      </c>
      <c r="D644" s="33" t="s">
        <v>66</v>
      </c>
      <c r="E644" s="33">
        <v>1</v>
      </c>
      <c r="F644" s="33">
        <v>0</v>
      </c>
      <c r="G644" s="95">
        <v>17</v>
      </c>
      <c r="H644" s="95">
        <v>6.8</v>
      </c>
      <c r="I644" s="95">
        <v>136</v>
      </c>
      <c r="Q644" s="38"/>
      <c r="R644" s="38"/>
      <c r="S644" s="38"/>
      <c r="T644" s="38"/>
    </row>
    <row r="645" s="33" customFormat="1" spans="1:20">
      <c r="A645" s="33">
        <v>649</v>
      </c>
      <c r="B645" s="33">
        <v>113070</v>
      </c>
      <c r="C645" s="33">
        <v>7</v>
      </c>
      <c r="D645" s="33" t="s">
        <v>66</v>
      </c>
      <c r="E645" s="33">
        <v>2</v>
      </c>
      <c r="F645" s="33">
        <v>0</v>
      </c>
      <c r="G645" s="95">
        <v>19</v>
      </c>
      <c r="H645" s="95">
        <v>7.6</v>
      </c>
      <c r="I645" s="95">
        <v>152</v>
      </c>
      <c r="Q645" s="38"/>
      <c r="R645" s="38"/>
      <c r="S645" s="38"/>
      <c r="T645" s="38"/>
    </row>
    <row r="646" s="33" customFormat="1" spans="1:20">
      <c r="A646" s="33">
        <v>650</v>
      </c>
      <c r="B646" s="33">
        <v>113070</v>
      </c>
      <c r="C646" s="33">
        <v>8</v>
      </c>
      <c r="D646" s="33" t="s">
        <v>68</v>
      </c>
      <c r="E646" s="33">
        <v>2</v>
      </c>
      <c r="F646" s="33">
        <v>0</v>
      </c>
      <c r="G646" s="95">
        <v>21</v>
      </c>
      <c r="H646" s="95">
        <v>8.4</v>
      </c>
      <c r="I646" s="95">
        <v>168</v>
      </c>
      <c r="Q646" s="38"/>
      <c r="R646" s="38"/>
      <c r="S646" s="38"/>
      <c r="T646" s="38"/>
    </row>
    <row r="647" s="14" customFormat="1" spans="1:9">
      <c r="A647" s="96">
        <v>651</v>
      </c>
      <c r="B647" s="96">
        <v>113071</v>
      </c>
      <c r="C647" s="96">
        <v>3</v>
      </c>
      <c r="D647" s="96"/>
      <c r="E647" s="96">
        <v>0</v>
      </c>
      <c r="F647" s="96">
        <v>0</v>
      </c>
      <c r="G647" s="97">
        <v>12</v>
      </c>
      <c r="H647" s="97">
        <v>4.8</v>
      </c>
      <c r="I647" s="97">
        <v>96</v>
      </c>
    </row>
    <row r="648" s="14" customFormat="1" spans="1:9">
      <c r="A648" s="96">
        <v>652</v>
      </c>
      <c r="B648" s="96">
        <v>113071</v>
      </c>
      <c r="C648" s="96">
        <v>4</v>
      </c>
      <c r="D648" s="96" t="s">
        <v>64</v>
      </c>
      <c r="E648" s="96">
        <v>1</v>
      </c>
      <c r="F648" s="96">
        <v>0</v>
      </c>
      <c r="G648" s="97">
        <v>13.5</v>
      </c>
      <c r="H648" s="97">
        <v>5.4</v>
      </c>
      <c r="I648" s="97">
        <v>108</v>
      </c>
    </row>
    <row r="649" s="14" customFormat="1" spans="1:9">
      <c r="A649" s="96">
        <v>653</v>
      </c>
      <c r="B649" s="96">
        <v>113071</v>
      </c>
      <c r="C649" s="96">
        <v>5</v>
      </c>
      <c r="D649" s="96" t="s">
        <v>65</v>
      </c>
      <c r="E649" s="96">
        <v>1</v>
      </c>
      <c r="F649" s="96">
        <v>0</v>
      </c>
      <c r="G649" s="97">
        <v>15</v>
      </c>
      <c r="H649" s="97">
        <v>6</v>
      </c>
      <c r="I649" s="97">
        <v>120</v>
      </c>
    </row>
    <row r="650" s="14" customFormat="1" spans="1:9">
      <c r="A650" s="96">
        <v>654</v>
      </c>
      <c r="B650" s="96">
        <v>113071</v>
      </c>
      <c r="C650" s="96">
        <v>6</v>
      </c>
      <c r="D650" s="96" t="s">
        <v>66</v>
      </c>
      <c r="E650" s="96">
        <v>1</v>
      </c>
      <c r="F650" s="96">
        <v>0</v>
      </c>
      <c r="G650" s="97">
        <v>17</v>
      </c>
      <c r="H650" s="97">
        <v>6.8</v>
      </c>
      <c r="I650" s="97">
        <v>136</v>
      </c>
    </row>
    <row r="651" s="14" customFormat="1" spans="1:9">
      <c r="A651" s="96">
        <v>655</v>
      </c>
      <c r="B651" s="96">
        <v>113071</v>
      </c>
      <c r="C651" s="96">
        <v>7</v>
      </c>
      <c r="D651" s="96" t="s">
        <v>66</v>
      </c>
      <c r="E651" s="96">
        <v>2</v>
      </c>
      <c r="F651" s="96">
        <v>0</v>
      </c>
      <c r="G651" s="97">
        <v>19</v>
      </c>
      <c r="H651" s="97">
        <v>7.6</v>
      </c>
      <c r="I651" s="97">
        <v>152</v>
      </c>
    </row>
    <row r="652" s="14" customFormat="1" spans="1:9">
      <c r="A652" s="96">
        <v>656</v>
      </c>
      <c r="B652" s="96">
        <v>113071</v>
      </c>
      <c r="C652" s="96">
        <v>8</v>
      </c>
      <c r="D652" s="96" t="s">
        <v>68</v>
      </c>
      <c r="E652" s="96">
        <v>2</v>
      </c>
      <c r="F652" s="96">
        <v>0</v>
      </c>
      <c r="G652" s="97">
        <v>21</v>
      </c>
      <c r="H652" s="97">
        <v>8.4</v>
      </c>
      <c r="I652" s="97">
        <v>168</v>
      </c>
    </row>
    <row r="653" s="13" customFormat="1" spans="1:11">
      <c r="A653" s="98">
        <v>657</v>
      </c>
      <c r="B653" s="13">
        <v>113072</v>
      </c>
      <c r="C653" s="13">
        <v>3</v>
      </c>
      <c r="E653" s="13">
        <v>0</v>
      </c>
      <c r="F653" s="13">
        <v>0</v>
      </c>
      <c r="G653" s="51">
        <v>12</v>
      </c>
      <c r="H653" s="51">
        <v>4.8</v>
      </c>
      <c r="I653" s="51">
        <v>96</v>
      </c>
      <c r="K653" s="92"/>
    </row>
    <row r="654" s="13" customFormat="1" spans="1:11">
      <c r="A654" s="98">
        <v>658</v>
      </c>
      <c r="B654" s="13">
        <v>113072</v>
      </c>
      <c r="C654" s="13">
        <v>4</v>
      </c>
      <c r="D654" s="13" t="s">
        <v>64</v>
      </c>
      <c r="E654" s="13">
        <v>1</v>
      </c>
      <c r="F654" s="13">
        <v>0</v>
      </c>
      <c r="G654" s="51">
        <v>13.5</v>
      </c>
      <c r="H654" s="51">
        <v>5.4</v>
      </c>
      <c r="I654" s="51">
        <v>108</v>
      </c>
      <c r="K654" s="92"/>
    </row>
    <row r="655" s="13" customFormat="1" spans="1:11">
      <c r="A655" s="98">
        <v>659</v>
      </c>
      <c r="B655" s="13">
        <v>113072</v>
      </c>
      <c r="C655" s="13">
        <v>5</v>
      </c>
      <c r="D655" s="13" t="s">
        <v>65</v>
      </c>
      <c r="E655" s="13">
        <v>1</v>
      </c>
      <c r="F655" s="13">
        <v>0</v>
      </c>
      <c r="G655" s="51">
        <v>15</v>
      </c>
      <c r="H655" s="51">
        <v>6</v>
      </c>
      <c r="I655" s="51">
        <v>120</v>
      </c>
      <c r="K655" s="92"/>
    </row>
    <row r="656" s="13" customFormat="1" spans="1:11">
      <c r="A656" s="98">
        <v>660</v>
      </c>
      <c r="B656" s="13">
        <v>113072</v>
      </c>
      <c r="C656" s="13">
        <v>6</v>
      </c>
      <c r="D656" s="13" t="s">
        <v>66</v>
      </c>
      <c r="E656" s="13">
        <v>1</v>
      </c>
      <c r="F656" s="13">
        <v>0</v>
      </c>
      <c r="G656" s="51">
        <v>17</v>
      </c>
      <c r="H656" s="51">
        <v>6.8</v>
      </c>
      <c r="I656" s="51">
        <v>136</v>
      </c>
      <c r="K656" s="92"/>
    </row>
    <row r="657" s="13" customFormat="1" spans="1:11">
      <c r="A657" s="98">
        <v>661</v>
      </c>
      <c r="B657" s="13">
        <v>113072</v>
      </c>
      <c r="C657" s="13">
        <v>7</v>
      </c>
      <c r="D657" s="13" t="s">
        <v>66</v>
      </c>
      <c r="E657" s="13">
        <v>2</v>
      </c>
      <c r="F657" s="13">
        <v>0</v>
      </c>
      <c r="G657" s="51">
        <v>19</v>
      </c>
      <c r="H657" s="51">
        <v>7.6</v>
      </c>
      <c r="I657" s="51">
        <v>152</v>
      </c>
      <c r="K657" s="92"/>
    </row>
    <row r="658" s="13" customFormat="1" spans="1:11">
      <c r="A658" s="98">
        <v>662</v>
      </c>
      <c r="B658" s="13">
        <v>113072</v>
      </c>
      <c r="C658" s="13">
        <v>8</v>
      </c>
      <c r="D658" s="13" t="s">
        <v>68</v>
      </c>
      <c r="E658" s="13">
        <v>2</v>
      </c>
      <c r="F658" s="13">
        <v>0</v>
      </c>
      <c r="G658" s="51">
        <v>21</v>
      </c>
      <c r="H658" s="51">
        <v>8.4</v>
      </c>
      <c r="I658" s="51">
        <v>168</v>
      </c>
      <c r="K658" s="92"/>
    </row>
    <row r="659" s="55" customFormat="1" spans="1:9">
      <c r="A659" s="53">
        <v>663</v>
      </c>
      <c r="B659" s="53">
        <v>113073</v>
      </c>
      <c r="C659" s="53">
        <v>3</v>
      </c>
      <c r="D659" s="53"/>
      <c r="E659" s="53">
        <v>0</v>
      </c>
      <c r="F659" s="53">
        <v>0</v>
      </c>
      <c r="G659" s="87">
        <v>12</v>
      </c>
      <c r="H659" s="87">
        <v>4.8</v>
      </c>
      <c r="I659" s="87">
        <v>96</v>
      </c>
    </row>
    <row r="660" s="55" customFormat="1" spans="1:9">
      <c r="A660" s="53">
        <v>664</v>
      </c>
      <c r="B660" s="53">
        <v>113073</v>
      </c>
      <c r="C660" s="53">
        <v>4</v>
      </c>
      <c r="D660" s="53" t="s">
        <v>64</v>
      </c>
      <c r="E660" s="53">
        <v>1</v>
      </c>
      <c r="F660" s="53">
        <v>0</v>
      </c>
      <c r="G660" s="87">
        <v>13.5</v>
      </c>
      <c r="H660" s="87">
        <v>5.4</v>
      </c>
      <c r="I660" s="87">
        <v>108</v>
      </c>
    </row>
    <row r="661" s="55" customFormat="1" spans="1:9">
      <c r="A661" s="53">
        <v>665</v>
      </c>
      <c r="B661" s="53">
        <v>113073</v>
      </c>
      <c r="C661" s="53">
        <v>5</v>
      </c>
      <c r="D661" s="53" t="s">
        <v>65</v>
      </c>
      <c r="E661" s="53">
        <v>1</v>
      </c>
      <c r="F661" s="53">
        <v>0</v>
      </c>
      <c r="G661" s="87">
        <v>15</v>
      </c>
      <c r="H661" s="87">
        <v>6</v>
      </c>
      <c r="I661" s="87">
        <v>120</v>
      </c>
    </row>
    <row r="662" s="55" customFormat="1" spans="1:9">
      <c r="A662" s="53">
        <v>666</v>
      </c>
      <c r="B662" s="53">
        <v>113073</v>
      </c>
      <c r="C662" s="53">
        <v>6</v>
      </c>
      <c r="D662" s="53" t="s">
        <v>66</v>
      </c>
      <c r="E662" s="53">
        <v>1</v>
      </c>
      <c r="F662" s="53">
        <v>0</v>
      </c>
      <c r="G662" s="87">
        <v>17</v>
      </c>
      <c r="H662" s="87">
        <v>6.8</v>
      </c>
      <c r="I662" s="87">
        <v>136</v>
      </c>
    </row>
    <row r="663" s="55" customFormat="1" spans="1:9">
      <c r="A663" s="53">
        <v>667</v>
      </c>
      <c r="B663" s="53">
        <v>113073</v>
      </c>
      <c r="C663" s="53">
        <v>7</v>
      </c>
      <c r="D663" s="53" t="s">
        <v>66</v>
      </c>
      <c r="E663" s="53">
        <v>2</v>
      </c>
      <c r="F663" s="53">
        <v>0</v>
      </c>
      <c r="G663" s="87">
        <v>19</v>
      </c>
      <c r="H663" s="87">
        <v>7.6</v>
      </c>
      <c r="I663" s="87">
        <v>152</v>
      </c>
    </row>
    <row r="664" s="55" customFormat="1" spans="1:9">
      <c r="A664" s="53">
        <v>668</v>
      </c>
      <c r="B664" s="53">
        <v>113073</v>
      </c>
      <c r="C664" s="53">
        <v>8</v>
      </c>
      <c r="D664" s="53" t="s">
        <v>68</v>
      </c>
      <c r="E664" s="53">
        <v>2</v>
      </c>
      <c r="F664" s="53">
        <v>0</v>
      </c>
      <c r="G664" s="87">
        <v>21</v>
      </c>
      <c r="H664" s="87">
        <v>8.4</v>
      </c>
      <c r="I664" s="87">
        <v>168</v>
      </c>
    </row>
    <row r="665" s="56" customFormat="1" spans="1:9">
      <c r="A665" s="56">
        <v>669</v>
      </c>
      <c r="B665" s="56">
        <v>113076</v>
      </c>
      <c r="C665" s="56">
        <v>3</v>
      </c>
      <c r="E665" s="56">
        <v>0</v>
      </c>
      <c r="F665" s="56">
        <v>0</v>
      </c>
      <c r="G665" s="99">
        <v>12</v>
      </c>
      <c r="H665" s="99">
        <v>4.8</v>
      </c>
      <c r="I665" s="99">
        <v>96</v>
      </c>
    </row>
    <row r="666" s="56" customFormat="1" spans="1:9">
      <c r="A666" s="56">
        <v>670</v>
      </c>
      <c r="B666" s="56">
        <v>113076</v>
      </c>
      <c r="C666" s="56">
        <v>4</v>
      </c>
      <c r="D666" s="56" t="s">
        <v>64</v>
      </c>
      <c r="E666" s="56">
        <v>1</v>
      </c>
      <c r="F666" s="56">
        <v>0</v>
      </c>
      <c r="G666" s="99">
        <v>13.5</v>
      </c>
      <c r="H666" s="99">
        <v>5.4</v>
      </c>
      <c r="I666" s="99">
        <v>108</v>
      </c>
    </row>
    <row r="667" s="56" customFormat="1" spans="1:9">
      <c r="A667" s="56">
        <v>671</v>
      </c>
      <c r="B667" s="56">
        <v>113076</v>
      </c>
      <c r="C667" s="56">
        <v>5</v>
      </c>
      <c r="D667" s="56" t="s">
        <v>65</v>
      </c>
      <c r="E667" s="56">
        <v>1</v>
      </c>
      <c r="F667" s="56">
        <v>0</v>
      </c>
      <c r="G667" s="99">
        <v>15</v>
      </c>
      <c r="H667" s="99">
        <v>6</v>
      </c>
      <c r="I667" s="99">
        <v>120</v>
      </c>
    </row>
    <row r="668" s="56" customFormat="1" spans="1:9">
      <c r="A668" s="56">
        <v>672</v>
      </c>
      <c r="B668" s="56">
        <v>113076</v>
      </c>
      <c r="C668" s="56">
        <v>6</v>
      </c>
      <c r="D668" s="56" t="s">
        <v>66</v>
      </c>
      <c r="E668" s="56">
        <v>1</v>
      </c>
      <c r="F668" s="56">
        <v>0</v>
      </c>
      <c r="G668" s="99">
        <v>17</v>
      </c>
      <c r="H668" s="99">
        <v>6.8</v>
      </c>
      <c r="I668" s="99">
        <v>136</v>
      </c>
    </row>
    <row r="669" s="56" customFormat="1" spans="1:9">
      <c r="A669" s="56">
        <v>673</v>
      </c>
      <c r="B669" s="56">
        <v>113076</v>
      </c>
      <c r="C669" s="56">
        <v>7</v>
      </c>
      <c r="D669" s="56" t="s">
        <v>66</v>
      </c>
      <c r="E669" s="56">
        <v>2</v>
      </c>
      <c r="F669" s="56">
        <v>0</v>
      </c>
      <c r="G669" s="99">
        <v>19</v>
      </c>
      <c r="H669" s="99">
        <v>7.6</v>
      </c>
      <c r="I669" s="99">
        <v>152</v>
      </c>
    </row>
    <row r="670" s="56" customFormat="1" spans="1:9">
      <c r="A670" s="56">
        <v>674</v>
      </c>
      <c r="B670" s="56">
        <v>113076</v>
      </c>
      <c r="C670" s="56">
        <v>8</v>
      </c>
      <c r="D670" s="56" t="s">
        <v>68</v>
      </c>
      <c r="E670" s="56">
        <v>2</v>
      </c>
      <c r="F670" s="56">
        <v>0</v>
      </c>
      <c r="G670" s="99">
        <v>21</v>
      </c>
      <c r="H670" s="99">
        <v>8.4</v>
      </c>
      <c r="I670" s="99">
        <v>168</v>
      </c>
    </row>
    <row r="671" s="57" customFormat="1" spans="1:9">
      <c r="A671" s="57">
        <v>675</v>
      </c>
      <c r="B671" s="57">
        <v>113077</v>
      </c>
      <c r="C671" s="57">
        <v>3</v>
      </c>
      <c r="E671" s="57">
        <v>0</v>
      </c>
      <c r="F671" s="57">
        <v>0</v>
      </c>
      <c r="G671" s="100">
        <v>12</v>
      </c>
      <c r="H671" s="100">
        <v>4.8</v>
      </c>
      <c r="I671" s="100">
        <v>96</v>
      </c>
    </row>
    <row r="672" s="57" customFormat="1" spans="1:9">
      <c r="A672" s="57">
        <v>676</v>
      </c>
      <c r="B672" s="57">
        <v>113077</v>
      </c>
      <c r="C672" s="57">
        <v>4</v>
      </c>
      <c r="D672" s="57" t="s">
        <v>64</v>
      </c>
      <c r="E672" s="57">
        <v>1</v>
      </c>
      <c r="F672" s="57">
        <v>0</v>
      </c>
      <c r="G672" s="100">
        <v>13.5</v>
      </c>
      <c r="H672" s="100">
        <v>5.4</v>
      </c>
      <c r="I672" s="100">
        <v>108</v>
      </c>
    </row>
    <row r="673" s="57" customFormat="1" spans="1:9">
      <c r="A673" s="57">
        <v>677</v>
      </c>
      <c r="B673" s="57">
        <v>113077</v>
      </c>
      <c r="C673" s="57">
        <v>5</v>
      </c>
      <c r="D673" s="57" t="s">
        <v>65</v>
      </c>
      <c r="E673" s="57">
        <v>1</v>
      </c>
      <c r="F673" s="57">
        <v>0</v>
      </c>
      <c r="G673" s="100">
        <v>15</v>
      </c>
      <c r="H673" s="100">
        <v>6</v>
      </c>
      <c r="I673" s="100">
        <v>120</v>
      </c>
    </row>
    <row r="674" s="57" customFormat="1" spans="1:9">
      <c r="A674" s="57">
        <v>678</v>
      </c>
      <c r="B674" s="57">
        <v>113077</v>
      </c>
      <c r="C674" s="57">
        <v>6</v>
      </c>
      <c r="D674" s="57" t="s">
        <v>66</v>
      </c>
      <c r="E674" s="57">
        <v>1</v>
      </c>
      <c r="F674" s="57">
        <v>0</v>
      </c>
      <c r="G674" s="100">
        <v>17</v>
      </c>
      <c r="H674" s="100">
        <v>6.8</v>
      </c>
      <c r="I674" s="100">
        <v>136</v>
      </c>
    </row>
    <row r="675" s="57" customFormat="1" spans="1:9">
      <c r="A675" s="57">
        <v>679</v>
      </c>
      <c r="B675" s="57">
        <v>113077</v>
      </c>
      <c r="C675" s="57">
        <v>7</v>
      </c>
      <c r="D675" s="57" t="s">
        <v>66</v>
      </c>
      <c r="E675" s="57">
        <v>2</v>
      </c>
      <c r="F675" s="57">
        <v>0</v>
      </c>
      <c r="G675" s="100">
        <v>19</v>
      </c>
      <c r="H675" s="100">
        <v>7.6</v>
      </c>
      <c r="I675" s="100">
        <v>152</v>
      </c>
    </row>
    <row r="676" s="57" customFormat="1" spans="1:9">
      <c r="A676" s="57">
        <v>680</v>
      </c>
      <c r="B676" s="57">
        <v>113077</v>
      </c>
      <c r="C676" s="57">
        <v>8</v>
      </c>
      <c r="D676" s="57" t="s">
        <v>68</v>
      </c>
      <c r="E676" s="57">
        <v>2</v>
      </c>
      <c r="F676" s="57">
        <v>0</v>
      </c>
      <c r="G676" s="100">
        <v>21</v>
      </c>
      <c r="H676" s="100">
        <v>8.4</v>
      </c>
      <c r="I676" s="100">
        <v>168</v>
      </c>
    </row>
    <row r="677" s="13" customFormat="1" spans="1:11">
      <c r="A677" s="98">
        <v>681</v>
      </c>
      <c r="B677" s="13">
        <v>113078</v>
      </c>
      <c r="C677" s="98">
        <v>3</v>
      </c>
      <c r="D677" s="98"/>
      <c r="E677" s="98">
        <v>0</v>
      </c>
      <c r="F677" s="98">
        <v>0</v>
      </c>
      <c r="G677" s="101">
        <v>12</v>
      </c>
      <c r="H677" s="101">
        <v>4.8</v>
      </c>
      <c r="I677" s="101">
        <v>96</v>
      </c>
      <c r="J677" s="98"/>
      <c r="K677" s="98"/>
    </row>
    <row r="678" s="13" customFormat="1" spans="1:11">
      <c r="A678" s="98">
        <v>682</v>
      </c>
      <c r="B678" s="13">
        <v>113078</v>
      </c>
      <c r="C678" s="98">
        <v>4</v>
      </c>
      <c r="D678" s="98" t="s">
        <v>64</v>
      </c>
      <c r="E678" s="98">
        <v>1</v>
      </c>
      <c r="F678" s="98">
        <v>0</v>
      </c>
      <c r="G678" s="101">
        <v>13.5</v>
      </c>
      <c r="H678" s="101">
        <v>5.4</v>
      </c>
      <c r="I678" s="101">
        <v>108</v>
      </c>
      <c r="J678" s="98"/>
      <c r="K678" s="98"/>
    </row>
    <row r="679" s="13" customFormat="1" spans="1:11">
      <c r="A679" s="98">
        <v>683</v>
      </c>
      <c r="B679" s="13">
        <v>113078</v>
      </c>
      <c r="C679" s="98">
        <v>5</v>
      </c>
      <c r="D679" s="98" t="s">
        <v>65</v>
      </c>
      <c r="E679" s="98">
        <v>1</v>
      </c>
      <c r="F679" s="98">
        <v>0</v>
      </c>
      <c r="G679" s="101">
        <v>15</v>
      </c>
      <c r="H679" s="101">
        <v>6</v>
      </c>
      <c r="I679" s="101">
        <v>120</v>
      </c>
      <c r="J679" s="98"/>
      <c r="K679" s="98"/>
    </row>
    <row r="680" s="13" customFormat="1" spans="1:11">
      <c r="A680" s="98">
        <v>684</v>
      </c>
      <c r="B680" s="13">
        <v>113078</v>
      </c>
      <c r="C680" s="98">
        <v>6</v>
      </c>
      <c r="D680" s="98" t="s">
        <v>66</v>
      </c>
      <c r="E680" s="98">
        <v>1</v>
      </c>
      <c r="F680" s="98">
        <v>0</v>
      </c>
      <c r="G680" s="101">
        <v>17</v>
      </c>
      <c r="H680" s="101">
        <v>6.8</v>
      </c>
      <c r="I680" s="101">
        <v>136</v>
      </c>
      <c r="J680" s="98"/>
      <c r="K680" s="98"/>
    </row>
    <row r="681" s="13" customFormat="1" spans="1:11">
      <c r="A681" s="98">
        <v>685</v>
      </c>
      <c r="B681" s="13">
        <v>113078</v>
      </c>
      <c r="C681" s="98">
        <v>7</v>
      </c>
      <c r="D681" s="98" t="s">
        <v>66</v>
      </c>
      <c r="E681" s="98">
        <v>2</v>
      </c>
      <c r="F681" s="98">
        <v>0</v>
      </c>
      <c r="G681" s="101">
        <v>19</v>
      </c>
      <c r="H681" s="101">
        <v>7.6</v>
      </c>
      <c r="I681" s="101">
        <v>152</v>
      </c>
      <c r="J681" s="98"/>
      <c r="K681" s="98"/>
    </row>
    <row r="682" s="13" customFormat="1" spans="1:11">
      <c r="A682" s="98">
        <v>686</v>
      </c>
      <c r="B682" s="13">
        <v>113078</v>
      </c>
      <c r="C682" s="98">
        <v>8</v>
      </c>
      <c r="D682" s="98" t="s">
        <v>68</v>
      </c>
      <c r="E682" s="98">
        <v>2</v>
      </c>
      <c r="F682" s="98">
        <v>0</v>
      </c>
      <c r="G682" s="101">
        <v>21</v>
      </c>
      <c r="H682" s="101">
        <v>8.4</v>
      </c>
      <c r="I682" s="101">
        <v>168</v>
      </c>
      <c r="J682" s="98"/>
      <c r="K682" s="98"/>
    </row>
    <row r="683" s="20" customFormat="1" spans="1:11">
      <c r="A683" s="23">
        <v>687</v>
      </c>
      <c r="B683" s="13">
        <v>113079</v>
      </c>
      <c r="C683" s="23">
        <v>3</v>
      </c>
      <c r="D683" s="23"/>
      <c r="E683" s="23">
        <v>0</v>
      </c>
      <c r="F683" s="23">
        <v>0</v>
      </c>
      <c r="G683" s="102">
        <v>12</v>
      </c>
      <c r="H683" s="102">
        <v>4.8</v>
      </c>
      <c r="I683" s="102">
        <v>96</v>
      </c>
      <c r="J683" s="23"/>
      <c r="K683" s="23"/>
    </row>
    <row r="684" s="20" customFormat="1" spans="1:11">
      <c r="A684" s="23">
        <v>688</v>
      </c>
      <c r="B684" s="13">
        <v>113079</v>
      </c>
      <c r="C684" s="23">
        <v>4</v>
      </c>
      <c r="D684" s="23" t="s">
        <v>64</v>
      </c>
      <c r="E684" s="23">
        <v>1</v>
      </c>
      <c r="F684" s="23">
        <v>0</v>
      </c>
      <c r="G684" s="102">
        <v>13.5</v>
      </c>
      <c r="H684" s="102">
        <v>5.4</v>
      </c>
      <c r="I684" s="102">
        <v>108</v>
      </c>
      <c r="J684" s="23"/>
      <c r="K684" s="23"/>
    </row>
    <row r="685" s="20" customFormat="1" spans="1:11">
      <c r="A685" s="23">
        <v>689</v>
      </c>
      <c r="B685" s="13">
        <v>113079</v>
      </c>
      <c r="C685" s="23">
        <v>5</v>
      </c>
      <c r="D685" s="23" t="s">
        <v>65</v>
      </c>
      <c r="E685" s="23">
        <v>1</v>
      </c>
      <c r="F685" s="23">
        <v>0</v>
      </c>
      <c r="G685" s="102">
        <v>15</v>
      </c>
      <c r="H685" s="102">
        <v>6</v>
      </c>
      <c r="I685" s="102">
        <v>120</v>
      </c>
      <c r="J685" s="23"/>
      <c r="K685" s="23"/>
    </row>
    <row r="686" s="20" customFormat="1" spans="1:11">
      <c r="A686" s="23">
        <v>690</v>
      </c>
      <c r="B686" s="13">
        <v>113079</v>
      </c>
      <c r="C686" s="23">
        <v>6</v>
      </c>
      <c r="D686" s="23" t="s">
        <v>66</v>
      </c>
      <c r="E686" s="23">
        <v>1</v>
      </c>
      <c r="F686" s="23">
        <v>0</v>
      </c>
      <c r="G686" s="102">
        <v>17</v>
      </c>
      <c r="H686" s="102">
        <v>6.8</v>
      </c>
      <c r="I686" s="102">
        <v>136</v>
      </c>
      <c r="J686" s="23"/>
      <c r="K686" s="23"/>
    </row>
    <row r="687" s="20" customFormat="1" spans="1:11">
      <c r="A687" s="23">
        <v>691</v>
      </c>
      <c r="B687" s="13">
        <v>113079</v>
      </c>
      <c r="C687" s="23">
        <v>7</v>
      </c>
      <c r="D687" s="23" t="s">
        <v>66</v>
      </c>
      <c r="E687" s="23">
        <v>2</v>
      </c>
      <c r="F687" s="23">
        <v>0</v>
      </c>
      <c r="G687" s="102">
        <v>19</v>
      </c>
      <c r="H687" s="102">
        <v>7.6</v>
      </c>
      <c r="I687" s="102">
        <v>152</v>
      </c>
      <c r="J687" s="23"/>
      <c r="K687" s="23"/>
    </row>
    <row r="688" s="20" customFormat="1" spans="1:11">
      <c r="A688" s="23">
        <v>692</v>
      </c>
      <c r="B688" s="13">
        <v>113079</v>
      </c>
      <c r="C688" s="23">
        <v>8</v>
      </c>
      <c r="D688" s="23" t="s">
        <v>68</v>
      </c>
      <c r="E688" s="23">
        <v>2</v>
      </c>
      <c r="F688" s="23">
        <v>0</v>
      </c>
      <c r="G688" s="102">
        <v>21</v>
      </c>
      <c r="H688" s="102">
        <v>8.4</v>
      </c>
      <c r="I688" s="102">
        <v>168</v>
      </c>
      <c r="J688" s="23"/>
      <c r="K688" s="23"/>
    </row>
    <row r="689" s="58" customFormat="1" spans="1:11">
      <c r="A689" s="103">
        <v>693</v>
      </c>
      <c r="B689" s="58">
        <v>113080</v>
      </c>
      <c r="C689" s="103">
        <v>3</v>
      </c>
      <c r="D689" s="103"/>
      <c r="E689" s="103">
        <v>0</v>
      </c>
      <c r="F689" s="103">
        <v>0</v>
      </c>
      <c r="G689" s="104">
        <v>12</v>
      </c>
      <c r="H689" s="104">
        <v>4.8</v>
      </c>
      <c r="I689" s="104">
        <v>96</v>
      </c>
      <c r="J689" s="103"/>
      <c r="K689" s="103"/>
    </row>
    <row r="690" s="58" customFormat="1" spans="1:11">
      <c r="A690" s="103">
        <v>694</v>
      </c>
      <c r="B690" s="58">
        <v>113080</v>
      </c>
      <c r="C690" s="103">
        <v>4</v>
      </c>
      <c r="D690" s="103" t="s">
        <v>64</v>
      </c>
      <c r="E690" s="103">
        <v>1</v>
      </c>
      <c r="F690" s="103">
        <v>0</v>
      </c>
      <c r="G690" s="104">
        <v>13.5</v>
      </c>
      <c r="H690" s="104">
        <v>5.4</v>
      </c>
      <c r="I690" s="104">
        <v>108</v>
      </c>
      <c r="J690" s="103"/>
      <c r="K690" s="103"/>
    </row>
    <row r="691" s="58" customFormat="1" spans="1:11">
      <c r="A691" s="103">
        <v>695</v>
      </c>
      <c r="B691" s="58">
        <v>113080</v>
      </c>
      <c r="C691" s="103">
        <v>5</v>
      </c>
      <c r="D691" s="103" t="s">
        <v>65</v>
      </c>
      <c r="E691" s="103">
        <v>1</v>
      </c>
      <c r="F691" s="103">
        <v>0</v>
      </c>
      <c r="G691" s="104">
        <v>15</v>
      </c>
      <c r="H691" s="104">
        <v>6</v>
      </c>
      <c r="I691" s="104">
        <v>120</v>
      </c>
      <c r="J691" s="103"/>
      <c r="K691" s="103"/>
    </row>
    <row r="692" s="58" customFormat="1" spans="1:11">
      <c r="A692" s="103">
        <v>696</v>
      </c>
      <c r="B692" s="58">
        <v>113080</v>
      </c>
      <c r="C692" s="103">
        <v>6</v>
      </c>
      <c r="D692" s="103" t="s">
        <v>66</v>
      </c>
      <c r="E692" s="103">
        <v>1</v>
      </c>
      <c r="F692" s="103">
        <v>0</v>
      </c>
      <c r="G692" s="104">
        <v>17</v>
      </c>
      <c r="H692" s="104">
        <v>6.8</v>
      </c>
      <c r="I692" s="104">
        <v>136</v>
      </c>
      <c r="J692" s="103"/>
      <c r="K692" s="103"/>
    </row>
    <row r="693" s="58" customFormat="1" spans="1:11">
      <c r="A693" s="103">
        <v>697</v>
      </c>
      <c r="B693" s="58">
        <v>113080</v>
      </c>
      <c r="C693" s="103">
        <v>7</v>
      </c>
      <c r="D693" s="103" t="s">
        <v>66</v>
      </c>
      <c r="E693" s="103">
        <v>2</v>
      </c>
      <c r="F693" s="103">
        <v>0</v>
      </c>
      <c r="G693" s="104">
        <v>19</v>
      </c>
      <c r="H693" s="104">
        <v>7.6</v>
      </c>
      <c r="I693" s="104">
        <v>152</v>
      </c>
      <c r="J693" s="103"/>
      <c r="K693" s="103"/>
    </row>
    <row r="694" s="58" customFormat="1" spans="1:11">
      <c r="A694" s="103">
        <v>698</v>
      </c>
      <c r="B694" s="58">
        <v>113080</v>
      </c>
      <c r="C694" s="103">
        <v>8</v>
      </c>
      <c r="D694" s="103" t="s">
        <v>68</v>
      </c>
      <c r="E694" s="103">
        <v>2</v>
      </c>
      <c r="F694" s="103">
        <v>0</v>
      </c>
      <c r="G694" s="104">
        <v>21</v>
      </c>
      <c r="H694" s="104">
        <v>8.4</v>
      </c>
      <c r="I694" s="104">
        <v>168</v>
      </c>
      <c r="J694" s="103"/>
      <c r="K694" s="103"/>
    </row>
    <row r="695" s="21" customFormat="1" spans="1:9">
      <c r="A695" s="103">
        <v>699</v>
      </c>
      <c r="B695" s="21">
        <v>113081</v>
      </c>
      <c r="C695" s="105">
        <v>3</v>
      </c>
      <c r="D695" s="105"/>
      <c r="E695" s="105">
        <v>0</v>
      </c>
      <c r="F695" s="105">
        <v>0</v>
      </c>
      <c r="G695" s="106">
        <v>12</v>
      </c>
      <c r="H695" s="106">
        <v>4.8</v>
      </c>
      <c r="I695" s="106">
        <v>96</v>
      </c>
    </row>
    <row r="696" s="21" customFormat="1" spans="1:9">
      <c r="A696" s="103">
        <v>700</v>
      </c>
      <c r="B696" s="21">
        <v>113081</v>
      </c>
      <c r="C696" s="105">
        <v>4</v>
      </c>
      <c r="D696" s="105" t="s">
        <v>64</v>
      </c>
      <c r="E696" s="105">
        <v>1</v>
      </c>
      <c r="F696" s="105">
        <v>0</v>
      </c>
      <c r="G696" s="106">
        <v>13.5</v>
      </c>
      <c r="H696" s="106">
        <v>5.4</v>
      </c>
      <c r="I696" s="106">
        <v>108</v>
      </c>
    </row>
    <row r="697" s="21" customFormat="1" spans="1:9">
      <c r="A697" s="103">
        <v>701</v>
      </c>
      <c r="B697" s="21">
        <v>113081</v>
      </c>
      <c r="C697" s="105">
        <v>5</v>
      </c>
      <c r="D697" s="105" t="s">
        <v>65</v>
      </c>
      <c r="E697" s="105">
        <v>1</v>
      </c>
      <c r="F697" s="105">
        <v>0</v>
      </c>
      <c r="G697" s="106">
        <v>15</v>
      </c>
      <c r="H697" s="106">
        <v>6</v>
      </c>
      <c r="I697" s="106">
        <v>120</v>
      </c>
    </row>
    <row r="698" s="21" customFormat="1" spans="1:9">
      <c r="A698" s="103">
        <v>702</v>
      </c>
      <c r="B698" s="21">
        <v>113081</v>
      </c>
      <c r="C698" s="105">
        <v>6</v>
      </c>
      <c r="D698" s="105" t="s">
        <v>66</v>
      </c>
      <c r="E698" s="105">
        <v>1</v>
      </c>
      <c r="F698" s="105">
        <v>0</v>
      </c>
      <c r="G698" s="106">
        <v>17</v>
      </c>
      <c r="H698" s="106">
        <v>6.8</v>
      </c>
      <c r="I698" s="106">
        <v>136</v>
      </c>
    </row>
    <row r="699" s="21" customFormat="1" spans="1:9">
      <c r="A699" s="103">
        <v>703</v>
      </c>
      <c r="B699" s="21">
        <v>113081</v>
      </c>
      <c r="C699" s="105">
        <v>7</v>
      </c>
      <c r="D699" s="105" t="s">
        <v>66</v>
      </c>
      <c r="E699" s="105">
        <v>2</v>
      </c>
      <c r="F699" s="105">
        <v>0</v>
      </c>
      <c r="G699" s="106">
        <v>19</v>
      </c>
      <c r="H699" s="106">
        <v>7.6</v>
      </c>
      <c r="I699" s="106">
        <v>152</v>
      </c>
    </row>
    <row r="700" s="21" customFormat="1" spans="1:9">
      <c r="A700" s="103">
        <v>704</v>
      </c>
      <c r="B700" s="21">
        <v>113081</v>
      </c>
      <c r="C700" s="105">
        <v>8</v>
      </c>
      <c r="D700" s="105" t="s">
        <v>68</v>
      </c>
      <c r="E700" s="105">
        <v>2</v>
      </c>
      <c r="F700" s="105">
        <v>0</v>
      </c>
      <c r="G700" s="106">
        <v>21</v>
      </c>
      <c r="H700" s="106">
        <v>8.4</v>
      </c>
      <c r="I700" s="106">
        <v>168</v>
      </c>
    </row>
    <row r="701" s="59" customFormat="1" spans="1:9">
      <c r="A701" s="103">
        <v>705</v>
      </c>
      <c r="B701" s="59">
        <v>113082</v>
      </c>
      <c r="C701" s="107">
        <v>3</v>
      </c>
      <c r="D701" s="107"/>
      <c r="E701" s="107">
        <v>0</v>
      </c>
      <c r="F701" s="107">
        <v>0</v>
      </c>
      <c r="G701" s="108">
        <v>12</v>
      </c>
      <c r="H701" s="108">
        <v>4.8</v>
      </c>
      <c r="I701" s="108">
        <v>96</v>
      </c>
    </row>
    <row r="702" s="59" customFormat="1" spans="1:9">
      <c r="A702" s="103">
        <v>706</v>
      </c>
      <c r="B702" s="59">
        <v>113082</v>
      </c>
      <c r="C702" s="107">
        <v>4</v>
      </c>
      <c r="D702" s="107" t="s">
        <v>64</v>
      </c>
      <c r="E702" s="107">
        <v>1</v>
      </c>
      <c r="F702" s="107">
        <v>0</v>
      </c>
      <c r="G702" s="108">
        <v>13.5</v>
      </c>
      <c r="H702" s="108">
        <v>5.4</v>
      </c>
      <c r="I702" s="108">
        <v>108</v>
      </c>
    </row>
    <row r="703" s="59" customFormat="1" spans="1:9">
      <c r="A703" s="103">
        <v>707</v>
      </c>
      <c r="B703" s="59">
        <v>113082</v>
      </c>
      <c r="C703" s="107">
        <v>5</v>
      </c>
      <c r="D703" s="107" t="s">
        <v>65</v>
      </c>
      <c r="E703" s="107">
        <v>1</v>
      </c>
      <c r="F703" s="107">
        <v>0</v>
      </c>
      <c r="G703" s="108">
        <v>15</v>
      </c>
      <c r="H703" s="108">
        <v>6</v>
      </c>
      <c r="I703" s="108">
        <v>120</v>
      </c>
    </row>
    <row r="704" s="59" customFormat="1" spans="1:9">
      <c r="A704" s="103">
        <v>708</v>
      </c>
      <c r="B704" s="59">
        <v>113082</v>
      </c>
      <c r="C704" s="107">
        <v>6</v>
      </c>
      <c r="D704" s="107" t="s">
        <v>66</v>
      </c>
      <c r="E704" s="107">
        <v>1</v>
      </c>
      <c r="F704" s="107">
        <v>0</v>
      </c>
      <c r="G704" s="108">
        <v>17</v>
      </c>
      <c r="H704" s="108">
        <v>6.8</v>
      </c>
      <c r="I704" s="108">
        <v>136</v>
      </c>
    </row>
    <row r="705" s="59" customFormat="1" spans="1:9">
      <c r="A705" s="103">
        <v>709</v>
      </c>
      <c r="B705" s="59">
        <v>113082</v>
      </c>
      <c r="C705" s="107">
        <v>7</v>
      </c>
      <c r="D705" s="107" t="s">
        <v>66</v>
      </c>
      <c r="E705" s="107">
        <v>2</v>
      </c>
      <c r="F705" s="107">
        <v>0</v>
      </c>
      <c r="G705" s="108">
        <v>19</v>
      </c>
      <c r="H705" s="108">
        <v>7.6</v>
      </c>
      <c r="I705" s="108">
        <v>152</v>
      </c>
    </row>
    <row r="706" s="59" customFormat="1" spans="1:9">
      <c r="A706" s="103">
        <v>710</v>
      </c>
      <c r="B706" s="59">
        <v>113082</v>
      </c>
      <c r="C706" s="107">
        <v>8</v>
      </c>
      <c r="D706" s="107" t="s">
        <v>68</v>
      </c>
      <c r="E706" s="107">
        <v>2</v>
      </c>
      <c r="F706" s="107">
        <v>0</v>
      </c>
      <c r="G706" s="108">
        <v>21</v>
      </c>
      <c r="H706" s="108">
        <v>8.4</v>
      </c>
      <c r="I706" s="108">
        <v>168</v>
      </c>
    </row>
    <row r="707" s="40" customFormat="1" spans="1:9">
      <c r="A707" s="103">
        <v>711</v>
      </c>
      <c r="B707" s="40">
        <v>113083</v>
      </c>
      <c r="C707" s="109">
        <v>3</v>
      </c>
      <c r="D707" s="109"/>
      <c r="E707" s="109">
        <v>0</v>
      </c>
      <c r="F707" s="109">
        <v>0</v>
      </c>
      <c r="G707" s="110">
        <v>12</v>
      </c>
      <c r="H707" s="110">
        <v>4.8</v>
      </c>
      <c r="I707" s="110">
        <v>96</v>
      </c>
    </row>
    <row r="708" s="40" customFormat="1" spans="1:9">
      <c r="A708" s="103">
        <v>712</v>
      </c>
      <c r="B708" s="40">
        <v>113083</v>
      </c>
      <c r="C708" s="109">
        <v>4</v>
      </c>
      <c r="D708" s="109" t="s">
        <v>64</v>
      </c>
      <c r="E708" s="109">
        <v>1</v>
      </c>
      <c r="F708" s="109">
        <v>0</v>
      </c>
      <c r="G708" s="110">
        <v>13.5</v>
      </c>
      <c r="H708" s="110">
        <v>5.4</v>
      </c>
      <c r="I708" s="110">
        <v>108</v>
      </c>
    </row>
    <row r="709" s="40" customFormat="1" spans="1:9">
      <c r="A709" s="103">
        <v>713</v>
      </c>
      <c r="B709" s="40">
        <v>113083</v>
      </c>
      <c r="C709" s="109">
        <v>5</v>
      </c>
      <c r="D709" s="109" t="s">
        <v>65</v>
      </c>
      <c r="E709" s="109">
        <v>1</v>
      </c>
      <c r="F709" s="109">
        <v>0</v>
      </c>
      <c r="G709" s="110">
        <v>15</v>
      </c>
      <c r="H709" s="110">
        <v>6</v>
      </c>
      <c r="I709" s="110">
        <v>120</v>
      </c>
    </row>
    <row r="710" s="40" customFormat="1" spans="1:9">
      <c r="A710" s="103">
        <v>714</v>
      </c>
      <c r="B710" s="40">
        <v>113083</v>
      </c>
      <c r="C710" s="109">
        <v>6</v>
      </c>
      <c r="D710" s="109" t="s">
        <v>66</v>
      </c>
      <c r="E710" s="109">
        <v>1</v>
      </c>
      <c r="F710" s="109">
        <v>0</v>
      </c>
      <c r="G710" s="110">
        <v>17</v>
      </c>
      <c r="H710" s="110">
        <v>6.8</v>
      </c>
      <c r="I710" s="110">
        <v>136</v>
      </c>
    </row>
    <row r="711" s="40" customFormat="1" spans="1:9">
      <c r="A711" s="103">
        <v>715</v>
      </c>
      <c r="B711" s="40">
        <v>113083</v>
      </c>
      <c r="C711" s="109">
        <v>7</v>
      </c>
      <c r="D711" s="109" t="s">
        <v>66</v>
      </c>
      <c r="E711" s="109">
        <v>2</v>
      </c>
      <c r="F711" s="109">
        <v>0</v>
      </c>
      <c r="G711" s="110">
        <v>19</v>
      </c>
      <c r="H711" s="110">
        <v>7.6</v>
      </c>
      <c r="I711" s="110">
        <v>152</v>
      </c>
    </row>
    <row r="712" s="40" customFormat="1" spans="1:9">
      <c r="A712" s="103">
        <v>716</v>
      </c>
      <c r="B712" s="40">
        <v>113083</v>
      </c>
      <c r="C712" s="109">
        <v>8</v>
      </c>
      <c r="D712" s="109" t="s">
        <v>68</v>
      </c>
      <c r="E712" s="109">
        <v>2</v>
      </c>
      <c r="F712" s="109">
        <v>0</v>
      </c>
      <c r="G712" s="110">
        <v>21</v>
      </c>
      <c r="H712" s="110">
        <v>8.4</v>
      </c>
      <c r="I712" s="110">
        <v>168</v>
      </c>
    </row>
    <row r="713" s="21" customFormat="1" spans="1:9">
      <c r="A713" s="105">
        <v>717</v>
      </c>
      <c r="B713" s="21">
        <v>113084</v>
      </c>
      <c r="C713" s="105">
        <v>3</v>
      </c>
      <c r="D713" s="105"/>
      <c r="E713" s="105">
        <v>0</v>
      </c>
      <c r="F713" s="105">
        <v>0</v>
      </c>
      <c r="G713" s="106">
        <v>12</v>
      </c>
      <c r="H713" s="106">
        <v>4.8</v>
      </c>
      <c r="I713" s="106">
        <v>96</v>
      </c>
    </row>
    <row r="714" s="21" customFormat="1" spans="1:9">
      <c r="A714" s="105">
        <v>718</v>
      </c>
      <c r="B714" s="21">
        <v>113084</v>
      </c>
      <c r="C714" s="105">
        <v>4</v>
      </c>
      <c r="D714" s="105" t="s">
        <v>64</v>
      </c>
      <c r="E714" s="105">
        <v>1</v>
      </c>
      <c r="F714" s="105">
        <v>0</v>
      </c>
      <c r="G714" s="106">
        <v>13.5</v>
      </c>
      <c r="H714" s="106">
        <v>5.4</v>
      </c>
      <c r="I714" s="106">
        <v>108</v>
      </c>
    </row>
    <row r="715" s="21" customFormat="1" spans="1:9">
      <c r="A715" s="105">
        <v>719</v>
      </c>
      <c r="B715" s="21">
        <v>113084</v>
      </c>
      <c r="C715" s="105">
        <v>5</v>
      </c>
      <c r="D715" s="105" t="s">
        <v>65</v>
      </c>
      <c r="E715" s="105">
        <v>1</v>
      </c>
      <c r="F715" s="105">
        <v>0</v>
      </c>
      <c r="G715" s="106">
        <v>15</v>
      </c>
      <c r="H715" s="106">
        <v>6</v>
      </c>
      <c r="I715" s="106">
        <v>120</v>
      </c>
    </row>
    <row r="716" s="21" customFormat="1" spans="1:9">
      <c r="A716" s="105">
        <v>720</v>
      </c>
      <c r="B716" s="21">
        <v>113084</v>
      </c>
      <c r="C716" s="105">
        <v>6</v>
      </c>
      <c r="D716" s="105" t="s">
        <v>66</v>
      </c>
      <c r="E716" s="105">
        <v>1</v>
      </c>
      <c r="F716" s="105">
        <v>0</v>
      </c>
      <c r="G716" s="106">
        <v>17</v>
      </c>
      <c r="H716" s="106">
        <v>6.8</v>
      </c>
      <c r="I716" s="106">
        <v>136</v>
      </c>
    </row>
    <row r="717" s="21" customFormat="1" spans="1:9">
      <c r="A717" s="105">
        <v>721</v>
      </c>
      <c r="B717" s="21">
        <v>113084</v>
      </c>
      <c r="C717" s="105">
        <v>7</v>
      </c>
      <c r="D717" s="105" t="s">
        <v>66</v>
      </c>
      <c r="E717" s="105">
        <v>2</v>
      </c>
      <c r="F717" s="105">
        <v>0</v>
      </c>
      <c r="G717" s="106">
        <v>19</v>
      </c>
      <c r="H717" s="106">
        <v>7.6</v>
      </c>
      <c r="I717" s="106">
        <v>152</v>
      </c>
    </row>
    <row r="718" s="21" customFormat="1" spans="1:9">
      <c r="A718" s="105">
        <v>722</v>
      </c>
      <c r="B718" s="21">
        <v>113084</v>
      </c>
      <c r="C718" s="105">
        <v>8</v>
      </c>
      <c r="D718" s="105" t="s">
        <v>68</v>
      </c>
      <c r="E718" s="105">
        <v>2</v>
      </c>
      <c r="F718" s="105">
        <v>0</v>
      </c>
      <c r="G718" s="106">
        <v>21</v>
      </c>
      <c r="H718" s="106">
        <v>8.4</v>
      </c>
      <c r="I718" s="106">
        <v>168</v>
      </c>
    </row>
    <row r="719" spans="1:10">
      <c r="A719" s="98">
        <v>723</v>
      </c>
      <c r="B719" s="13">
        <v>113085</v>
      </c>
      <c r="C719" s="98">
        <v>3</v>
      </c>
      <c r="D719" s="98"/>
      <c r="E719" s="98">
        <v>0</v>
      </c>
      <c r="F719" s="98">
        <v>0</v>
      </c>
      <c r="G719" s="101">
        <v>12</v>
      </c>
      <c r="H719" s="101">
        <v>4.8</v>
      </c>
      <c r="I719" s="101">
        <v>96</v>
      </c>
      <c r="J719" s="13"/>
    </row>
    <row r="720" spans="1:10">
      <c r="A720" s="98">
        <v>724</v>
      </c>
      <c r="B720" s="13">
        <v>113085</v>
      </c>
      <c r="C720" s="98">
        <v>4</v>
      </c>
      <c r="D720" s="98" t="s">
        <v>64</v>
      </c>
      <c r="E720" s="98">
        <v>1</v>
      </c>
      <c r="F720" s="98">
        <v>0</v>
      </c>
      <c r="G720" s="101">
        <v>13.5</v>
      </c>
      <c r="H720" s="101">
        <v>5.4</v>
      </c>
      <c r="I720" s="101">
        <v>108</v>
      </c>
      <c r="J720" s="13"/>
    </row>
    <row r="721" spans="1:10">
      <c r="A721" s="98">
        <v>725</v>
      </c>
      <c r="B721" s="13">
        <v>113085</v>
      </c>
      <c r="C721" s="98">
        <v>5</v>
      </c>
      <c r="D721" s="98" t="s">
        <v>65</v>
      </c>
      <c r="E721" s="98">
        <v>1</v>
      </c>
      <c r="F721" s="98">
        <v>0</v>
      </c>
      <c r="G721" s="101">
        <v>15</v>
      </c>
      <c r="H721" s="101">
        <v>6</v>
      </c>
      <c r="I721" s="101">
        <v>120</v>
      </c>
      <c r="J721" s="13"/>
    </row>
    <row r="722" spans="1:10">
      <c r="A722" s="98">
        <v>726</v>
      </c>
      <c r="B722" s="13">
        <v>113085</v>
      </c>
      <c r="C722" s="98">
        <v>6</v>
      </c>
      <c r="D722" s="98" t="s">
        <v>66</v>
      </c>
      <c r="E722" s="98">
        <v>1</v>
      </c>
      <c r="F722" s="98">
        <v>0</v>
      </c>
      <c r="G722" s="101">
        <v>17</v>
      </c>
      <c r="H722" s="101">
        <v>6.8</v>
      </c>
      <c r="I722" s="101">
        <v>136</v>
      </c>
      <c r="J722" s="13"/>
    </row>
    <row r="723" spans="1:10">
      <c r="A723" s="98">
        <v>727</v>
      </c>
      <c r="B723" s="13">
        <v>113085</v>
      </c>
      <c r="C723" s="98">
        <v>7</v>
      </c>
      <c r="D723" s="98" t="s">
        <v>66</v>
      </c>
      <c r="E723" s="98">
        <v>2</v>
      </c>
      <c r="F723" s="98">
        <v>0</v>
      </c>
      <c r="G723" s="101">
        <v>19</v>
      </c>
      <c r="H723" s="101">
        <v>7.6</v>
      </c>
      <c r="I723" s="101">
        <v>152</v>
      </c>
      <c r="J723" s="13"/>
    </row>
    <row r="724" spans="1:10">
      <c r="A724" s="98">
        <v>728</v>
      </c>
      <c r="B724" s="13">
        <v>113085</v>
      </c>
      <c r="C724" s="98">
        <v>8</v>
      </c>
      <c r="D724" s="98" t="s">
        <v>68</v>
      </c>
      <c r="E724" s="98">
        <v>2</v>
      </c>
      <c r="F724" s="98">
        <v>0</v>
      </c>
      <c r="G724" s="101">
        <v>21</v>
      </c>
      <c r="H724" s="101">
        <v>8.4</v>
      </c>
      <c r="I724" s="101">
        <v>168</v>
      </c>
      <c r="J724" s="13"/>
    </row>
    <row r="725" s="60" customFormat="1" spans="1:9">
      <c r="A725" s="57">
        <v>729</v>
      </c>
      <c r="B725" s="60">
        <v>113086</v>
      </c>
      <c r="C725" s="57">
        <v>3</v>
      </c>
      <c r="D725" s="57"/>
      <c r="E725" s="57">
        <v>0</v>
      </c>
      <c r="F725" s="57">
        <v>0</v>
      </c>
      <c r="G725" s="100">
        <v>12</v>
      </c>
      <c r="H725" s="100">
        <v>4.8</v>
      </c>
      <c r="I725" s="100">
        <v>96</v>
      </c>
    </row>
    <row r="726" s="60" customFormat="1" spans="1:9">
      <c r="A726" s="57">
        <v>730</v>
      </c>
      <c r="B726" s="60">
        <v>113086</v>
      </c>
      <c r="C726" s="57">
        <v>4</v>
      </c>
      <c r="D726" s="57" t="s">
        <v>64</v>
      </c>
      <c r="E726" s="57">
        <v>1</v>
      </c>
      <c r="F726" s="57">
        <v>0</v>
      </c>
      <c r="G726" s="100">
        <v>13.5</v>
      </c>
      <c r="H726" s="100">
        <v>5.4</v>
      </c>
      <c r="I726" s="100">
        <v>108</v>
      </c>
    </row>
    <row r="727" s="60" customFormat="1" spans="1:9">
      <c r="A727" s="57">
        <v>731</v>
      </c>
      <c r="B727" s="60">
        <v>113086</v>
      </c>
      <c r="C727" s="57">
        <v>5</v>
      </c>
      <c r="D727" s="57" t="s">
        <v>65</v>
      </c>
      <c r="E727" s="57">
        <v>1</v>
      </c>
      <c r="F727" s="57">
        <v>0</v>
      </c>
      <c r="G727" s="100">
        <v>15</v>
      </c>
      <c r="H727" s="100">
        <v>6</v>
      </c>
      <c r="I727" s="100">
        <v>120</v>
      </c>
    </row>
    <row r="728" s="60" customFormat="1" spans="1:9">
      <c r="A728" s="57">
        <v>732</v>
      </c>
      <c r="B728" s="60">
        <v>113086</v>
      </c>
      <c r="C728" s="57">
        <v>6</v>
      </c>
      <c r="D728" s="57" t="s">
        <v>66</v>
      </c>
      <c r="E728" s="57">
        <v>1</v>
      </c>
      <c r="F728" s="57">
        <v>0</v>
      </c>
      <c r="G728" s="100">
        <v>17</v>
      </c>
      <c r="H728" s="100">
        <v>6.8</v>
      </c>
      <c r="I728" s="100">
        <v>136</v>
      </c>
    </row>
    <row r="729" s="60" customFormat="1" spans="1:9">
      <c r="A729" s="57">
        <v>733</v>
      </c>
      <c r="B729" s="60">
        <v>113086</v>
      </c>
      <c r="C729" s="57">
        <v>7</v>
      </c>
      <c r="D729" s="57" t="s">
        <v>66</v>
      </c>
      <c r="E729" s="57">
        <v>2</v>
      </c>
      <c r="F729" s="57">
        <v>0</v>
      </c>
      <c r="G729" s="100">
        <v>19</v>
      </c>
      <c r="H729" s="100">
        <v>7.6</v>
      </c>
      <c r="I729" s="100">
        <v>152</v>
      </c>
    </row>
    <row r="730" s="60" customFormat="1" spans="1:9">
      <c r="A730" s="57">
        <v>734</v>
      </c>
      <c r="B730" s="60">
        <v>113086</v>
      </c>
      <c r="C730" s="57">
        <v>8</v>
      </c>
      <c r="D730" s="57" t="s">
        <v>68</v>
      </c>
      <c r="E730" s="57">
        <v>2</v>
      </c>
      <c r="F730" s="57">
        <v>0</v>
      </c>
      <c r="G730" s="100">
        <v>21</v>
      </c>
      <c r="H730" s="100">
        <v>8.4</v>
      </c>
      <c r="I730" s="100">
        <v>168</v>
      </c>
    </row>
    <row r="731" s="18" customFormat="1" spans="1:9">
      <c r="A731" s="73">
        <v>735</v>
      </c>
      <c r="B731" s="18">
        <v>113087</v>
      </c>
      <c r="C731" s="73">
        <v>3</v>
      </c>
      <c r="D731" s="73"/>
      <c r="E731" s="73">
        <v>0</v>
      </c>
      <c r="F731" s="73">
        <v>0</v>
      </c>
      <c r="G731" s="111">
        <v>12</v>
      </c>
      <c r="H731" s="111">
        <v>4.8</v>
      </c>
      <c r="I731" s="111">
        <v>96</v>
      </c>
    </row>
    <row r="732" s="18" customFormat="1" spans="1:9">
      <c r="A732" s="73">
        <v>736</v>
      </c>
      <c r="B732" s="18">
        <v>113087</v>
      </c>
      <c r="C732" s="73">
        <v>4</v>
      </c>
      <c r="D732" s="73" t="s">
        <v>64</v>
      </c>
      <c r="E732" s="73">
        <v>1</v>
      </c>
      <c r="F732" s="73">
        <v>0</v>
      </c>
      <c r="G732" s="111">
        <v>13.5</v>
      </c>
      <c r="H732" s="111">
        <v>5.4</v>
      </c>
      <c r="I732" s="111">
        <v>108</v>
      </c>
    </row>
    <row r="733" s="18" customFormat="1" spans="1:9">
      <c r="A733" s="73">
        <v>737</v>
      </c>
      <c r="B733" s="18">
        <v>113087</v>
      </c>
      <c r="C733" s="73">
        <v>5</v>
      </c>
      <c r="D733" s="73" t="s">
        <v>65</v>
      </c>
      <c r="E733" s="73">
        <v>1</v>
      </c>
      <c r="F733" s="73">
        <v>0</v>
      </c>
      <c r="G733" s="111">
        <v>15</v>
      </c>
      <c r="H733" s="111">
        <v>6</v>
      </c>
      <c r="I733" s="111">
        <v>120</v>
      </c>
    </row>
    <row r="734" s="18" customFormat="1" spans="1:9">
      <c r="A734" s="73">
        <v>738</v>
      </c>
      <c r="B734" s="18">
        <v>113087</v>
      </c>
      <c r="C734" s="73">
        <v>6</v>
      </c>
      <c r="D734" s="73" t="s">
        <v>66</v>
      </c>
      <c r="E734" s="73">
        <v>1</v>
      </c>
      <c r="F734" s="73">
        <v>0</v>
      </c>
      <c r="G734" s="111">
        <v>17</v>
      </c>
      <c r="H734" s="111">
        <v>6.8</v>
      </c>
      <c r="I734" s="111">
        <v>136</v>
      </c>
    </row>
    <row r="735" s="18" customFormat="1" spans="1:9">
      <c r="A735" s="73">
        <v>739</v>
      </c>
      <c r="B735" s="18">
        <v>113087</v>
      </c>
      <c r="C735" s="73">
        <v>7</v>
      </c>
      <c r="D735" s="73" t="s">
        <v>66</v>
      </c>
      <c r="E735" s="73">
        <v>2</v>
      </c>
      <c r="F735" s="73">
        <v>0</v>
      </c>
      <c r="G735" s="111">
        <v>19</v>
      </c>
      <c r="H735" s="111">
        <v>7.6</v>
      </c>
      <c r="I735" s="111">
        <v>152</v>
      </c>
    </row>
    <row r="736" s="18" customFormat="1" spans="1:9">
      <c r="A736" s="73">
        <v>740</v>
      </c>
      <c r="B736" s="18">
        <v>113087</v>
      </c>
      <c r="C736" s="73">
        <v>8</v>
      </c>
      <c r="D736" s="73" t="s">
        <v>68</v>
      </c>
      <c r="E736" s="73">
        <v>2</v>
      </c>
      <c r="F736" s="73">
        <v>0</v>
      </c>
      <c r="G736" s="111">
        <v>21</v>
      </c>
      <c r="H736" s="111">
        <v>8.4</v>
      </c>
      <c r="I736" s="111">
        <v>168</v>
      </c>
    </row>
    <row r="737" s="36" customFormat="1" spans="1:9">
      <c r="A737" s="71">
        <v>741</v>
      </c>
      <c r="B737" s="36">
        <v>113088</v>
      </c>
      <c r="C737" s="71">
        <v>3</v>
      </c>
      <c r="D737" s="71"/>
      <c r="E737" s="71">
        <v>0</v>
      </c>
      <c r="F737" s="71">
        <v>0</v>
      </c>
      <c r="G737" s="112">
        <v>12</v>
      </c>
      <c r="H737" s="112">
        <v>4.8</v>
      </c>
      <c r="I737" s="112">
        <v>96</v>
      </c>
    </row>
    <row r="738" s="36" customFormat="1" spans="1:9">
      <c r="A738" s="71">
        <v>742</v>
      </c>
      <c r="B738" s="36">
        <v>113088</v>
      </c>
      <c r="C738" s="71">
        <v>4</v>
      </c>
      <c r="D738" s="71" t="s">
        <v>64</v>
      </c>
      <c r="E738" s="71">
        <v>1</v>
      </c>
      <c r="F738" s="71">
        <v>0</v>
      </c>
      <c r="G738" s="112">
        <v>13.5</v>
      </c>
      <c r="H738" s="112">
        <v>5.4</v>
      </c>
      <c r="I738" s="112">
        <v>108</v>
      </c>
    </row>
    <row r="739" s="36" customFormat="1" spans="1:9">
      <c r="A739" s="71">
        <v>743</v>
      </c>
      <c r="B739" s="36">
        <v>113088</v>
      </c>
      <c r="C739" s="71">
        <v>5</v>
      </c>
      <c r="D739" s="71" t="s">
        <v>65</v>
      </c>
      <c r="E739" s="71">
        <v>1</v>
      </c>
      <c r="F739" s="71">
        <v>0</v>
      </c>
      <c r="G739" s="112">
        <v>15</v>
      </c>
      <c r="H739" s="112">
        <v>6</v>
      </c>
      <c r="I739" s="112">
        <v>120</v>
      </c>
    </row>
    <row r="740" s="36" customFormat="1" spans="1:9">
      <c r="A740" s="71">
        <v>744</v>
      </c>
      <c r="B740" s="36">
        <v>113088</v>
      </c>
      <c r="C740" s="71">
        <v>6</v>
      </c>
      <c r="D740" s="71" t="s">
        <v>66</v>
      </c>
      <c r="E740" s="71">
        <v>1</v>
      </c>
      <c r="F740" s="71">
        <v>0</v>
      </c>
      <c r="G740" s="112">
        <v>17</v>
      </c>
      <c r="H740" s="112">
        <v>6.8</v>
      </c>
      <c r="I740" s="112">
        <v>136</v>
      </c>
    </row>
    <row r="741" s="36" customFormat="1" spans="1:9">
      <c r="A741" s="71">
        <v>745</v>
      </c>
      <c r="B741" s="36">
        <v>113088</v>
      </c>
      <c r="C741" s="71">
        <v>7</v>
      </c>
      <c r="D741" s="71" t="s">
        <v>66</v>
      </c>
      <c r="E741" s="71">
        <v>2</v>
      </c>
      <c r="F741" s="71">
        <v>0</v>
      </c>
      <c r="G741" s="112">
        <v>19</v>
      </c>
      <c r="H741" s="112">
        <v>7.6</v>
      </c>
      <c r="I741" s="112">
        <v>152</v>
      </c>
    </row>
    <row r="742" s="36" customFormat="1" spans="1:9">
      <c r="A742" s="71">
        <v>746</v>
      </c>
      <c r="B742" s="36">
        <v>113088</v>
      </c>
      <c r="C742" s="71">
        <v>8</v>
      </c>
      <c r="D742" s="71" t="s">
        <v>68</v>
      </c>
      <c r="E742" s="71">
        <v>2</v>
      </c>
      <c r="F742" s="71">
        <v>0</v>
      </c>
      <c r="G742" s="112">
        <v>21</v>
      </c>
      <c r="H742" s="112">
        <v>8.4</v>
      </c>
      <c r="I742" s="112">
        <v>168</v>
      </c>
    </row>
    <row r="743" s="18" customFormat="1" spans="1:9">
      <c r="A743" s="73">
        <v>747</v>
      </c>
      <c r="B743" s="18">
        <v>113089</v>
      </c>
      <c r="C743" s="73">
        <v>3</v>
      </c>
      <c r="D743" s="73"/>
      <c r="E743" s="73">
        <v>0</v>
      </c>
      <c r="F743" s="73">
        <v>0</v>
      </c>
      <c r="G743" s="111">
        <v>12</v>
      </c>
      <c r="H743" s="111">
        <v>4.8</v>
      </c>
      <c r="I743" s="111">
        <v>96</v>
      </c>
    </row>
    <row r="744" s="18" customFormat="1" spans="1:9">
      <c r="A744" s="73">
        <v>748</v>
      </c>
      <c r="B744" s="18">
        <v>113089</v>
      </c>
      <c r="C744" s="73">
        <v>4</v>
      </c>
      <c r="D744" s="73" t="s">
        <v>64</v>
      </c>
      <c r="E744" s="73">
        <v>1</v>
      </c>
      <c r="F744" s="73">
        <v>0</v>
      </c>
      <c r="G744" s="111">
        <v>13.5</v>
      </c>
      <c r="H744" s="111">
        <v>5.4</v>
      </c>
      <c r="I744" s="111">
        <v>108</v>
      </c>
    </row>
    <row r="745" s="18" customFormat="1" spans="1:9">
      <c r="A745" s="73">
        <v>749</v>
      </c>
      <c r="B745" s="18">
        <v>113089</v>
      </c>
      <c r="C745" s="73">
        <v>5</v>
      </c>
      <c r="D745" s="73" t="s">
        <v>65</v>
      </c>
      <c r="E745" s="73">
        <v>1</v>
      </c>
      <c r="F745" s="73">
        <v>0</v>
      </c>
      <c r="G745" s="111">
        <v>15</v>
      </c>
      <c r="H745" s="111">
        <v>6</v>
      </c>
      <c r="I745" s="111">
        <v>120</v>
      </c>
    </row>
    <row r="746" s="18" customFormat="1" spans="1:9">
      <c r="A746" s="73">
        <v>750</v>
      </c>
      <c r="B746" s="18">
        <v>113089</v>
      </c>
      <c r="C746" s="73">
        <v>6</v>
      </c>
      <c r="D746" s="73" t="s">
        <v>66</v>
      </c>
      <c r="E746" s="73">
        <v>1</v>
      </c>
      <c r="F746" s="73">
        <v>0</v>
      </c>
      <c r="G746" s="111">
        <v>17</v>
      </c>
      <c r="H746" s="111">
        <v>6.8</v>
      </c>
      <c r="I746" s="111">
        <v>136</v>
      </c>
    </row>
    <row r="747" s="18" customFormat="1" spans="1:9">
      <c r="A747" s="73">
        <v>751</v>
      </c>
      <c r="B747" s="18">
        <v>113089</v>
      </c>
      <c r="C747" s="73">
        <v>7</v>
      </c>
      <c r="D747" s="73" t="s">
        <v>66</v>
      </c>
      <c r="E747" s="73">
        <v>2</v>
      </c>
      <c r="F747" s="73">
        <v>0</v>
      </c>
      <c r="G747" s="111">
        <v>19</v>
      </c>
      <c r="H747" s="111">
        <v>7.6</v>
      </c>
      <c r="I747" s="111">
        <v>152</v>
      </c>
    </row>
    <row r="748" s="18" customFormat="1" spans="1:9">
      <c r="A748" s="73">
        <v>752</v>
      </c>
      <c r="B748" s="18">
        <v>113089</v>
      </c>
      <c r="C748" s="73">
        <v>8</v>
      </c>
      <c r="D748" s="73" t="s">
        <v>68</v>
      </c>
      <c r="E748" s="73">
        <v>2</v>
      </c>
      <c r="F748" s="73">
        <v>0</v>
      </c>
      <c r="G748" s="111">
        <v>21</v>
      </c>
      <c r="H748" s="111">
        <v>8.4</v>
      </c>
      <c r="I748" s="111">
        <v>168</v>
      </c>
    </row>
    <row r="749" s="61" customFormat="1" spans="1:9">
      <c r="A749" s="113">
        <v>753</v>
      </c>
      <c r="B749" s="61">
        <v>113090</v>
      </c>
      <c r="C749" s="113">
        <v>3</v>
      </c>
      <c r="D749" s="113"/>
      <c r="E749" s="113">
        <v>0</v>
      </c>
      <c r="F749" s="113">
        <v>0</v>
      </c>
      <c r="G749" s="114">
        <v>12</v>
      </c>
      <c r="H749" s="114">
        <v>4.8</v>
      </c>
      <c r="I749" s="114">
        <v>96</v>
      </c>
    </row>
    <row r="750" s="61" customFormat="1" spans="1:9">
      <c r="A750" s="113">
        <v>754</v>
      </c>
      <c r="B750" s="61">
        <v>113090</v>
      </c>
      <c r="C750" s="113">
        <v>4</v>
      </c>
      <c r="D750" s="113" t="s">
        <v>64</v>
      </c>
      <c r="E750" s="113">
        <v>1</v>
      </c>
      <c r="F750" s="113">
        <v>0</v>
      </c>
      <c r="G750" s="114">
        <v>13.5</v>
      </c>
      <c r="H750" s="114">
        <v>5.4</v>
      </c>
      <c r="I750" s="114">
        <v>108</v>
      </c>
    </row>
    <row r="751" s="61" customFormat="1" spans="1:9">
      <c r="A751" s="113">
        <v>755</v>
      </c>
      <c r="B751" s="61">
        <v>113090</v>
      </c>
      <c r="C751" s="113">
        <v>5</v>
      </c>
      <c r="D751" s="113" t="s">
        <v>65</v>
      </c>
      <c r="E751" s="113">
        <v>1</v>
      </c>
      <c r="F751" s="113">
        <v>0</v>
      </c>
      <c r="G751" s="114">
        <v>15</v>
      </c>
      <c r="H751" s="114">
        <v>6</v>
      </c>
      <c r="I751" s="114">
        <v>120</v>
      </c>
    </row>
    <row r="752" s="61" customFormat="1" spans="1:9">
      <c r="A752" s="113">
        <v>756</v>
      </c>
      <c r="B752" s="61">
        <v>113090</v>
      </c>
      <c r="C752" s="113">
        <v>6</v>
      </c>
      <c r="D752" s="113" t="s">
        <v>66</v>
      </c>
      <c r="E752" s="113">
        <v>1</v>
      </c>
      <c r="F752" s="113">
        <v>0</v>
      </c>
      <c r="G752" s="114">
        <v>17</v>
      </c>
      <c r="H752" s="114">
        <v>6.8</v>
      </c>
      <c r="I752" s="114">
        <v>136</v>
      </c>
    </row>
    <row r="753" s="61" customFormat="1" spans="1:9">
      <c r="A753" s="113">
        <v>757</v>
      </c>
      <c r="B753" s="61">
        <v>113090</v>
      </c>
      <c r="C753" s="113">
        <v>7</v>
      </c>
      <c r="D753" s="113" t="s">
        <v>66</v>
      </c>
      <c r="E753" s="113">
        <v>2</v>
      </c>
      <c r="F753" s="113">
        <v>0</v>
      </c>
      <c r="G753" s="114">
        <v>19</v>
      </c>
      <c r="H753" s="114">
        <v>7.6</v>
      </c>
      <c r="I753" s="114">
        <v>152</v>
      </c>
    </row>
    <row r="754" s="61" customFormat="1" spans="1:9">
      <c r="A754" s="113">
        <v>758</v>
      </c>
      <c r="B754" s="61">
        <v>113090</v>
      </c>
      <c r="C754" s="113">
        <v>8</v>
      </c>
      <c r="D754" s="113" t="s">
        <v>68</v>
      </c>
      <c r="E754" s="113">
        <v>2</v>
      </c>
      <c r="F754" s="113">
        <v>0</v>
      </c>
      <c r="G754" s="114">
        <v>21</v>
      </c>
      <c r="H754" s="114">
        <v>8.4</v>
      </c>
      <c r="I754" s="114">
        <v>168</v>
      </c>
    </row>
    <row r="755" s="46" customFormat="1" spans="1:9">
      <c r="A755" s="113">
        <v>759</v>
      </c>
      <c r="B755" s="46">
        <v>113091</v>
      </c>
      <c r="C755" s="115">
        <v>3</v>
      </c>
      <c r="D755" s="115"/>
      <c r="E755" s="115">
        <v>0</v>
      </c>
      <c r="F755" s="115">
        <v>0</v>
      </c>
      <c r="G755" s="116">
        <v>12</v>
      </c>
      <c r="H755" s="116">
        <v>4.8</v>
      </c>
      <c r="I755" s="116">
        <v>96</v>
      </c>
    </row>
    <row r="756" s="46" customFormat="1" spans="1:9">
      <c r="A756" s="113">
        <v>760</v>
      </c>
      <c r="B756" s="46">
        <v>113091</v>
      </c>
      <c r="C756" s="115">
        <v>4</v>
      </c>
      <c r="D756" s="115" t="s">
        <v>64</v>
      </c>
      <c r="E756" s="115">
        <v>1</v>
      </c>
      <c r="F756" s="115">
        <v>0</v>
      </c>
      <c r="G756" s="116">
        <v>13.5</v>
      </c>
      <c r="H756" s="116">
        <v>5.4</v>
      </c>
      <c r="I756" s="116">
        <v>108</v>
      </c>
    </row>
    <row r="757" s="46" customFormat="1" spans="1:9">
      <c r="A757" s="113">
        <v>761</v>
      </c>
      <c r="B757" s="46">
        <v>113091</v>
      </c>
      <c r="C757" s="115">
        <v>5</v>
      </c>
      <c r="D757" s="115" t="s">
        <v>65</v>
      </c>
      <c r="E757" s="115">
        <v>1</v>
      </c>
      <c r="F757" s="115">
        <v>0</v>
      </c>
      <c r="G757" s="116">
        <v>15</v>
      </c>
      <c r="H757" s="116">
        <v>6</v>
      </c>
      <c r="I757" s="116">
        <v>120</v>
      </c>
    </row>
    <row r="758" s="46" customFormat="1" spans="1:9">
      <c r="A758" s="113">
        <v>762</v>
      </c>
      <c r="B758" s="46">
        <v>113091</v>
      </c>
      <c r="C758" s="115">
        <v>6</v>
      </c>
      <c r="D758" s="115" t="s">
        <v>66</v>
      </c>
      <c r="E758" s="115">
        <v>1</v>
      </c>
      <c r="F758" s="115">
        <v>0</v>
      </c>
      <c r="G758" s="116">
        <v>17</v>
      </c>
      <c r="H758" s="116">
        <v>6.8</v>
      </c>
      <c r="I758" s="116">
        <v>136</v>
      </c>
    </row>
    <row r="759" s="46" customFormat="1" spans="1:9">
      <c r="A759" s="113">
        <v>763</v>
      </c>
      <c r="B759" s="46">
        <v>113091</v>
      </c>
      <c r="C759" s="115">
        <v>7</v>
      </c>
      <c r="D759" s="115" t="s">
        <v>66</v>
      </c>
      <c r="E759" s="115">
        <v>2</v>
      </c>
      <c r="F759" s="115">
        <v>0</v>
      </c>
      <c r="G759" s="116">
        <v>19</v>
      </c>
      <c r="H759" s="116">
        <v>7.6</v>
      </c>
      <c r="I759" s="116">
        <v>152</v>
      </c>
    </row>
    <row r="760" s="46" customFormat="1" spans="1:9">
      <c r="A760" s="113">
        <v>764</v>
      </c>
      <c r="B760" s="46">
        <v>113091</v>
      </c>
      <c r="C760" s="115">
        <v>8</v>
      </c>
      <c r="D760" s="115" t="s">
        <v>68</v>
      </c>
      <c r="E760" s="115">
        <v>2</v>
      </c>
      <c r="F760" s="115">
        <v>0</v>
      </c>
      <c r="G760" s="116">
        <v>21</v>
      </c>
      <c r="H760" s="116">
        <v>8.4</v>
      </c>
      <c r="I760" s="116">
        <v>168</v>
      </c>
    </row>
    <row r="761" s="41" customFormat="1" spans="1:9">
      <c r="A761" s="117">
        <v>765</v>
      </c>
      <c r="B761" s="41">
        <v>113092</v>
      </c>
      <c r="C761" s="117">
        <v>3</v>
      </c>
      <c r="D761" s="117"/>
      <c r="E761" s="117">
        <v>0</v>
      </c>
      <c r="F761" s="117">
        <v>0</v>
      </c>
      <c r="G761" s="118">
        <v>12</v>
      </c>
      <c r="H761" s="118">
        <v>4.8</v>
      </c>
      <c r="I761" s="118">
        <v>96</v>
      </c>
    </row>
    <row r="762" s="41" customFormat="1" spans="1:9">
      <c r="A762" s="117">
        <v>766</v>
      </c>
      <c r="B762" s="41">
        <v>113092</v>
      </c>
      <c r="C762" s="117">
        <v>4</v>
      </c>
      <c r="D762" s="117" t="s">
        <v>64</v>
      </c>
      <c r="E762" s="117">
        <v>1</v>
      </c>
      <c r="F762" s="117">
        <v>0</v>
      </c>
      <c r="G762" s="118">
        <v>13.5</v>
      </c>
      <c r="H762" s="118">
        <v>5.4</v>
      </c>
      <c r="I762" s="118">
        <v>108</v>
      </c>
    </row>
    <row r="763" s="41" customFormat="1" spans="1:9">
      <c r="A763" s="117">
        <v>767</v>
      </c>
      <c r="B763" s="41">
        <v>113092</v>
      </c>
      <c r="C763" s="117">
        <v>5</v>
      </c>
      <c r="D763" s="117" t="s">
        <v>65</v>
      </c>
      <c r="E763" s="117">
        <v>1</v>
      </c>
      <c r="F763" s="117">
        <v>0</v>
      </c>
      <c r="G763" s="118">
        <v>15</v>
      </c>
      <c r="H763" s="118">
        <v>6</v>
      </c>
      <c r="I763" s="118">
        <v>120</v>
      </c>
    </row>
    <row r="764" s="41" customFormat="1" spans="1:9">
      <c r="A764" s="117">
        <v>768</v>
      </c>
      <c r="B764" s="41">
        <v>113092</v>
      </c>
      <c r="C764" s="117">
        <v>6</v>
      </c>
      <c r="D764" s="117" t="s">
        <v>66</v>
      </c>
      <c r="E764" s="117">
        <v>1</v>
      </c>
      <c r="F764" s="117">
        <v>0</v>
      </c>
      <c r="G764" s="118">
        <v>17</v>
      </c>
      <c r="H764" s="118">
        <v>6.8</v>
      </c>
      <c r="I764" s="118">
        <v>136</v>
      </c>
    </row>
    <row r="765" s="41" customFormat="1" spans="1:9">
      <c r="A765" s="117">
        <v>769</v>
      </c>
      <c r="B765" s="41">
        <v>113092</v>
      </c>
      <c r="C765" s="117">
        <v>7</v>
      </c>
      <c r="D765" s="117" t="s">
        <v>66</v>
      </c>
      <c r="E765" s="117">
        <v>2</v>
      </c>
      <c r="F765" s="117">
        <v>0</v>
      </c>
      <c r="G765" s="118">
        <v>19</v>
      </c>
      <c r="H765" s="118">
        <v>7.6</v>
      </c>
      <c r="I765" s="118">
        <v>152</v>
      </c>
    </row>
    <row r="766" s="41" customFormat="1" spans="1:9">
      <c r="A766" s="117">
        <v>770</v>
      </c>
      <c r="B766" s="41">
        <v>113092</v>
      </c>
      <c r="C766" s="117">
        <v>8</v>
      </c>
      <c r="D766" s="117" t="s">
        <v>68</v>
      </c>
      <c r="E766" s="117">
        <v>2</v>
      </c>
      <c r="F766" s="117">
        <v>0</v>
      </c>
      <c r="G766" s="118">
        <v>21</v>
      </c>
      <c r="H766" s="118">
        <v>8.4</v>
      </c>
      <c r="I766" s="118">
        <v>168</v>
      </c>
    </row>
    <row r="767" spans="1:9">
      <c r="A767" s="117">
        <v>771</v>
      </c>
      <c r="B767" s="41">
        <v>113093</v>
      </c>
      <c r="C767" s="117">
        <v>3</v>
      </c>
      <c r="D767" s="117"/>
      <c r="E767" s="117">
        <v>0</v>
      </c>
      <c r="F767" s="117">
        <v>0</v>
      </c>
      <c r="G767" s="118">
        <v>12</v>
      </c>
      <c r="H767" s="118">
        <v>4.8</v>
      </c>
      <c r="I767" s="118">
        <v>96</v>
      </c>
    </row>
    <row r="768" spans="1:9">
      <c r="A768" s="117">
        <v>772</v>
      </c>
      <c r="B768" s="41">
        <v>113093</v>
      </c>
      <c r="C768" s="117">
        <v>4</v>
      </c>
      <c r="D768" s="117" t="s">
        <v>64</v>
      </c>
      <c r="E768" s="117">
        <v>1</v>
      </c>
      <c r="F768" s="117">
        <v>0</v>
      </c>
      <c r="G768" s="118">
        <v>13.5</v>
      </c>
      <c r="H768" s="118">
        <v>5.4</v>
      </c>
      <c r="I768" s="118">
        <v>108</v>
      </c>
    </row>
    <row r="769" spans="1:9">
      <c r="A769" s="117">
        <v>773</v>
      </c>
      <c r="B769" s="41">
        <v>113093</v>
      </c>
      <c r="C769" s="117">
        <v>5</v>
      </c>
      <c r="D769" s="117" t="s">
        <v>65</v>
      </c>
      <c r="E769" s="117">
        <v>1</v>
      </c>
      <c r="F769" s="117">
        <v>0</v>
      </c>
      <c r="G769" s="118">
        <v>15</v>
      </c>
      <c r="H769" s="118">
        <v>6</v>
      </c>
      <c r="I769" s="118">
        <v>120</v>
      </c>
    </row>
    <row r="770" spans="1:9">
      <c r="A770" s="117">
        <v>774</v>
      </c>
      <c r="B770" s="41">
        <v>113093</v>
      </c>
      <c r="C770" s="117">
        <v>6</v>
      </c>
      <c r="D770" s="117" t="s">
        <v>66</v>
      </c>
      <c r="E770" s="117">
        <v>1</v>
      </c>
      <c r="F770" s="117">
        <v>0</v>
      </c>
      <c r="G770" s="118">
        <v>17</v>
      </c>
      <c r="H770" s="118">
        <v>6.8</v>
      </c>
      <c r="I770" s="118">
        <v>136</v>
      </c>
    </row>
    <row r="771" spans="1:9">
      <c r="A771" s="117">
        <v>775</v>
      </c>
      <c r="B771" s="41">
        <v>113093</v>
      </c>
      <c r="C771" s="117">
        <v>7</v>
      </c>
      <c r="D771" s="117" t="s">
        <v>66</v>
      </c>
      <c r="E771" s="117">
        <v>2</v>
      </c>
      <c r="F771" s="117">
        <v>0</v>
      </c>
      <c r="G771" s="118">
        <v>19</v>
      </c>
      <c r="H771" s="118">
        <v>7.6</v>
      </c>
      <c r="I771" s="118">
        <v>152</v>
      </c>
    </row>
    <row r="772" spans="1:9">
      <c r="A772" s="117">
        <v>776</v>
      </c>
      <c r="B772" s="41">
        <v>113093</v>
      </c>
      <c r="C772" s="117">
        <v>8</v>
      </c>
      <c r="D772" s="117" t="s">
        <v>68</v>
      </c>
      <c r="E772" s="117">
        <v>2</v>
      </c>
      <c r="F772" s="117">
        <v>0</v>
      </c>
      <c r="G772" s="118">
        <v>21</v>
      </c>
      <c r="H772" s="118">
        <v>8.4</v>
      </c>
      <c r="I772" s="118">
        <v>168</v>
      </c>
    </row>
    <row r="773" s="62" customFormat="1" spans="1:9">
      <c r="A773" s="117">
        <v>777</v>
      </c>
      <c r="B773" s="62">
        <v>113094</v>
      </c>
      <c r="C773" s="119">
        <v>3</v>
      </c>
      <c r="D773" s="119"/>
      <c r="E773" s="119">
        <v>0</v>
      </c>
      <c r="F773" s="119">
        <v>0</v>
      </c>
      <c r="G773" s="120">
        <v>12</v>
      </c>
      <c r="H773" s="120">
        <v>4.8</v>
      </c>
      <c r="I773" s="120">
        <v>96</v>
      </c>
    </row>
    <row r="774" s="62" customFormat="1" spans="1:9">
      <c r="A774" s="117">
        <v>778</v>
      </c>
      <c r="B774" s="62">
        <v>113094</v>
      </c>
      <c r="C774" s="119">
        <v>4</v>
      </c>
      <c r="D774" s="119" t="s">
        <v>64</v>
      </c>
      <c r="E774" s="119">
        <v>1</v>
      </c>
      <c r="F774" s="119">
        <v>0</v>
      </c>
      <c r="G774" s="120">
        <v>13.5</v>
      </c>
      <c r="H774" s="120">
        <v>5.4</v>
      </c>
      <c r="I774" s="120">
        <v>108</v>
      </c>
    </row>
    <row r="775" s="62" customFormat="1" spans="1:9">
      <c r="A775" s="117">
        <v>779</v>
      </c>
      <c r="B775" s="62">
        <v>113094</v>
      </c>
      <c r="C775" s="119">
        <v>5</v>
      </c>
      <c r="D775" s="119" t="s">
        <v>65</v>
      </c>
      <c r="E775" s="119">
        <v>1</v>
      </c>
      <c r="F775" s="119">
        <v>0</v>
      </c>
      <c r="G775" s="120">
        <v>15</v>
      </c>
      <c r="H775" s="120">
        <v>6</v>
      </c>
      <c r="I775" s="120">
        <v>120</v>
      </c>
    </row>
    <row r="776" s="62" customFormat="1" spans="1:9">
      <c r="A776" s="117">
        <v>780</v>
      </c>
      <c r="B776" s="62">
        <v>113094</v>
      </c>
      <c r="C776" s="119">
        <v>6</v>
      </c>
      <c r="D776" s="119" t="s">
        <v>66</v>
      </c>
      <c r="E776" s="119">
        <v>1</v>
      </c>
      <c r="F776" s="119">
        <v>0</v>
      </c>
      <c r="G776" s="120">
        <v>17</v>
      </c>
      <c r="H776" s="120">
        <v>6.8</v>
      </c>
      <c r="I776" s="120">
        <v>136</v>
      </c>
    </row>
    <row r="777" s="62" customFormat="1" spans="1:9">
      <c r="A777" s="117">
        <v>781</v>
      </c>
      <c r="B777" s="62">
        <v>113094</v>
      </c>
      <c r="C777" s="119">
        <v>7</v>
      </c>
      <c r="D777" s="119" t="s">
        <v>66</v>
      </c>
      <c r="E777" s="119">
        <v>2</v>
      </c>
      <c r="F777" s="119">
        <v>0</v>
      </c>
      <c r="G777" s="120">
        <v>19</v>
      </c>
      <c r="H777" s="120">
        <v>7.6</v>
      </c>
      <c r="I777" s="120">
        <v>152</v>
      </c>
    </row>
    <row r="778" s="62" customFormat="1" spans="1:9">
      <c r="A778" s="117">
        <v>782</v>
      </c>
      <c r="B778" s="62">
        <v>113094</v>
      </c>
      <c r="C778" s="119">
        <v>8</v>
      </c>
      <c r="D778" s="119" t="s">
        <v>68</v>
      </c>
      <c r="E778" s="119">
        <v>2</v>
      </c>
      <c r="F778" s="119">
        <v>0</v>
      </c>
      <c r="G778" s="120">
        <v>21</v>
      </c>
      <c r="H778" s="120">
        <v>8.4</v>
      </c>
      <c r="I778" s="120">
        <v>168</v>
      </c>
    </row>
    <row r="779" s="17" customFormat="1" spans="1:9">
      <c r="A779" s="30">
        <v>783</v>
      </c>
      <c r="B779" s="17">
        <v>113095</v>
      </c>
      <c r="C779" s="30">
        <v>3</v>
      </c>
      <c r="D779" s="30"/>
      <c r="E779" s="30">
        <v>0</v>
      </c>
      <c r="F779" s="30">
        <v>0</v>
      </c>
      <c r="G779" s="121">
        <v>12</v>
      </c>
      <c r="H779" s="121">
        <v>4.8</v>
      </c>
      <c r="I779" s="121">
        <v>96</v>
      </c>
    </row>
    <row r="780" s="17" customFormat="1" spans="1:9">
      <c r="A780" s="30">
        <v>784</v>
      </c>
      <c r="B780" s="17">
        <v>113095</v>
      </c>
      <c r="C780" s="30">
        <v>4</v>
      </c>
      <c r="D780" s="30" t="s">
        <v>64</v>
      </c>
      <c r="E780" s="30">
        <v>1</v>
      </c>
      <c r="F780" s="30">
        <v>0</v>
      </c>
      <c r="G780" s="121">
        <v>13.5</v>
      </c>
      <c r="H780" s="121">
        <v>5.4</v>
      </c>
      <c r="I780" s="121">
        <v>108</v>
      </c>
    </row>
    <row r="781" s="17" customFormat="1" spans="1:9">
      <c r="A781" s="30">
        <v>785</v>
      </c>
      <c r="B781" s="17">
        <v>113095</v>
      </c>
      <c r="C781" s="30">
        <v>5</v>
      </c>
      <c r="D781" s="30" t="s">
        <v>65</v>
      </c>
      <c r="E781" s="30">
        <v>1</v>
      </c>
      <c r="F781" s="30">
        <v>0</v>
      </c>
      <c r="G781" s="121">
        <v>15</v>
      </c>
      <c r="H781" s="121">
        <v>6</v>
      </c>
      <c r="I781" s="121">
        <v>120</v>
      </c>
    </row>
    <row r="782" s="17" customFormat="1" spans="1:9">
      <c r="A782" s="30">
        <v>786</v>
      </c>
      <c r="B782" s="17">
        <v>113095</v>
      </c>
      <c r="C782" s="30">
        <v>6</v>
      </c>
      <c r="D782" s="30" t="s">
        <v>66</v>
      </c>
      <c r="E782" s="30">
        <v>1</v>
      </c>
      <c r="F782" s="30">
        <v>0</v>
      </c>
      <c r="G782" s="121">
        <v>17</v>
      </c>
      <c r="H782" s="121">
        <v>6.8</v>
      </c>
      <c r="I782" s="121">
        <v>136</v>
      </c>
    </row>
    <row r="783" s="17" customFormat="1" spans="1:9">
      <c r="A783" s="30">
        <v>787</v>
      </c>
      <c r="B783" s="17">
        <v>113095</v>
      </c>
      <c r="C783" s="30">
        <v>7</v>
      </c>
      <c r="D783" s="30" t="s">
        <v>66</v>
      </c>
      <c r="E783" s="30">
        <v>2</v>
      </c>
      <c r="F783" s="30">
        <v>0</v>
      </c>
      <c r="G783" s="121">
        <v>19</v>
      </c>
      <c r="H783" s="121">
        <v>7.6</v>
      </c>
      <c r="I783" s="121">
        <v>152</v>
      </c>
    </row>
    <row r="784" s="17" customFormat="1" spans="1:9">
      <c r="A784" s="30">
        <v>788</v>
      </c>
      <c r="B784" s="17">
        <v>113095</v>
      </c>
      <c r="C784" s="30">
        <v>8</v>
      </c>
      <c r="D784" s="30" t="s">
        <v>68</v>
      </c>
      <c r="E784" s="30">
        <v>2</v>
      </c>
      <c r="F784" s="30">
        <v>0</v>
      </c>
      <c r="G784" s="121">
        <v>21</v>
      </c>
      <c r="H784" s="121">
        <v>8.4</v>
      </c>
      <c r="I784" s="121">
        <v>168</v>
      </c>
    </row>
    <row r="785" s="15" customFormat="1" spans="1:9">
      <c r="A785" s="72">
        <v>789</v>
      </c>
      <c r="B785" s="15">
        <v>113096</v>
      </c>
      <c r="C785" s="72">
        <v>3</v>
      </c>
      <c r="D785" s="72"/>
      <c r="E785" s="72">
        <v>0</v>
      </c>
      <c r="F785" s="72">
        <v>0</v>
      </c>
      <c r="G785" s="122">
        <v>12</v>
      </c>
      <c r="H785" s="122">
        <v>4.8</v>
      </c>
      <c r="I785" s="122">
        <v>96</v>
      </c>
    </row>
    <row r="786" s="15" customFormat="1" spans="1:9">
      <c r="A786" s="72">
        <v>790</v>
      </c>
      <c r="B786" s="15">
        <v>113096</v>
      </c>
      <c r="C786" s="72">
        <v>4</v>
      </c>
      <c r="D786" s="72" t="s">
        <v>64</v>
      </c>
      <c r="E786" s="72">
        <v>1</v>
      </c>
      <c r="F786" s="72">
        <v>0</v>
      </c>
      <c r="G786" s="122">
        <v>13.5</v>
      </c>
      <c r="H786" s="122">
        <v>5.4</v>
      </c>
      <c r="I786" s="122">
        <v>108</v>
      </c>
    </row>
    <row r="787" s="15" customFormat="1" spans="1:9">
      <c r="A787" s="72">
        <v>791</v>
      </c>
      <c r="B787" s="15">
        <v>113096</v>
      </c>
      <c r="C787" s="72">
        <v>5</v>
      </c>
      <c r="D787" s="72" t="s">
        <v>65</v>
      </c>
      <c r="E787" s="72">
        <v>1</v>
      </c>
      <c r="F787" s="72">
        <v>0</v>
      </c>
      <c r="G787" s="122">
        <v>15</v>
      </c>
      <c r="H787" s="122">
        <v>6</v>
      </c>
      <c r="I787" s="122">
        <v>120</v>
      </c>
    </row>
    <row r="788" s="15" customFormat="1" spans="1:9">
      <c r="A788" s="72">
        <v>792</v>
      </c>
      <c r="B788" s="15">
        <v>113096</v>
      </c>
      <c r="C788" s="72">
        <v>6</v>
      </c>
      <c r="D788" s="72" t="s">
        <v>66</v>
      </c>
      <c r="E788" s="72">
        <v>1</v>
      </c>
      <c r="F788" s="72">
        <v>0</v>
      </c>
      <c r="G788" s="122">
        <v>17</v>
      </c>
      <c r="H788" s="122">
        <v>6.8</v>
      </c>
      <c r="I788" s="122">
        <v>136</v>
      </c>
    </row>
    <row r="789" s="15" customFormat="1" spans="1:9">
      <c r="A789" s="72">
        <v>793</v>
      </c>
      <c r="B789" s="15">
        <v>113096</v>
      </c>
      <c r="C789" s="72">
        <v>7</v>
      </c>
      <c r="D789" s="72" t="s">
        <v>66</v>
      </c>
      <c r="E789" s="72">
        <v>2</v>
      </c>
      <c r="F789" s="72">
        <v>0</v>
      </c>
      <c r="G789" s="122">
        <v>19</v>
      </c>
      <c r="H789" s="122">
        <v>7.6</v>
      </c>
      <c r="I789" s="122">
        <v>152</v>
      </c>
    </row>
    <row r="790" s="15" customFormat="1" spans="1:9">
      <c r="A790" s="72">
        <v>794</v>
      </c>
      <c r="B790" s="15">
        <v>113096</v>
      </c>
      <c r="C790" s="72">
        <v>8</v>
      </c>
      <c r="D790" s="72" t="s">
        <v>68</v>
      </c>
      <c r="E790" s="72">
        <v>2</v>
      </c>
      <c r="F790" s="72">
        <v>0</v>
      </c>
      <c r="G790" s="122">
        <v>21</v>
      </c>
      <c r="H790" s="122">
        <v>8.4</v>
      </c>
      <c r="I790" s="122">
        <v>168</v>
      </c>
    </row>
    <row r="791" s="46" customFormat="1" spans="1:9">
      <c r="A791" s="115">
        <v>795</v>
      </c>
      <c r="B791" s="46">
        <v>113097</v>
      </c>
      <c r="C791" s="115">
        <v>3</v>
      </c>
      <c r="D791" s="115"/>
      <c r="E791" s="115">
        <v>0</v>
      </c>
      <c r="F791" s="115">
        <v>0</v>
      </c>
      <c r="G791" s="116">
        <v>12</v>
      </c>
      <c r="H791" s="116">
        <v>4.8</v>
      </c>
      <c r="I791" s="116">
        <v>96</v>
      </c>
    </row>
    <row r="792" s="46" customFormat="1" spans="1:9">
      <c r="A792" s="115">
        <v>796</v>
      </c>
      <c r="B792" s="46">
        <v>113097</v>
      </c>
      <c r="C792" s="115">
        <v>4</v>
      </c>
      <c r="D792" s="115" t="s">
        <v>64</v>
      </c>
      <c r="E792" s="115">
        <v>1</v>
      </c>
      <c r="F792" s="115">
        <v>0</v>
      </c>
      <c r="G792" s="116">
        <v>13.5</v>
      </c>
      <c r="H792" s="116">
        <v>5.4</v>
      </c>
      <c r="I792" s="116">
        <v>108</v>
      </c>
    </row>
    <row r="793" s="46" customFormat="1" spans="1:9">
      <c r="A793" s="115">
        <v>797</v>
      </c>
      <c r="B793" s="46">
        <v>113097</v>
      </c>
      <c r="C793" s="115">
        <v>5</v>
      </c>
      <c r="D793" s="115" t="s">
        <v>65</v>
      </c>
      <c r="E793" s="115">
        <v>1</v>
      </c>
      <c r="F793" s="115">
        <v>0</v>
      </c>
      <c r="G793" s="116">
        <v>15</v>
      </c>
      <c r="H793" s="116">
        <v>6</v>
      </c>
      <c r="I793" s="116">
        <v>120</v>
      </c>
    </row>
    <row r="794" s="46" customFormat="1" spans="1:9">
      <c r="A794" s="115">
        <v>798</v>
      </c>
      <c r="B794" s="46">
        <v>113097</v>
      </c>
      <c r="C794" s="115">
        <v>6</v>
      </c>
      <c r="D794" s="115" t="s">
        <v>66</v>
      </c>
      <c r="E794" s="115">
        <v>1</v>
      </c>
      <c r="F794" s="115">
        <v>0</v>
      </c>
      <c r="G794" s="116">
        <v>17</v>
      </c>
      <c r="H794" s="116">
        <v>6.8</v>
      </c>
      <c r="I794" s="116">
        <v>136</v>
      </c>
    </row>
    <row r="795" s="46" customFormat="1" spans="1:9">
      <c r="A795" s="115">
        <v>799</v>
      </c>
      <c r="B795" s="46">
        <v>113097</v>
      </c>
      <c r="C795" s="115">
        <v>7</v>
      </c>
      <c r="D795" s="115" t="s">
        <v>66</v>
      </c>
      <c r="E795" s="115">
        <v>2</v>
      </c>
      <c r="F795" s="115">
        <v>0</v>
      </c>
      <c r="G795" s="116">
        <v>19</v>
      </c>
      <c r="H795" s="116">
        <v>7.6</v>
      </c>
      <c r="I795" s="116">
        <v>152</v>
      </c>
    </row>
    <row r="796" s="46" customFormat="1" spans="1:9">
      <c r="A796" s="115">
        <v>800</v>
      </c>
      <c r="B796" s="46">
        <v>113097</v>
      </c>
      <c r="C796" s="115">
        <v>8</v>
      </c>
      <c r="D796" s="115" t="s">
        <v>68</v>
      </c>
      <c r="E796" s="115">
        <v>2</v>
      </c>
      <c r="F796" s="115">
        <v>0</v>
      </c>
      <c r="G796" s="116">
        <v>21</v>
      </c>
      <c r="H796" s="116">
        <v>8.4</v>
      </c>
      <c r="I796" s="116">
        <v>168</v>
      </c>
    </row>
    <row r="797" spans="1:9">
      <c r="A797" s="115">
        <v>801</v>
      </c>
      <c r="B797" s="46">
        <v>113098</v>
      </c>
      <c r="C797" s="115">
        <v>3</v>
      </c>
      <c r="D797" s="115"/>
      <c r="E797" s="115">
        <v>0</v>
      </c>
      <c r="F797" s="115">
        <v>0</v>
      </c>
      <c r="G797" s="116">
        <v>12</v>
      </c>
      <c r="H797" s="116">
        <v>4.8</v>
      </c>
      <c r="I797" s="116">
        <v>96</v>
      </c>
    </row>
    <row r="798" spans="1:9">
      <c r="A798" s="115">
        <v>802</v>
      </c>
      <c r="B798" s="46">
        <v>113098</v>
      </c>
      <c r="C798" s="115">
        <v>4</v>
      </c>
      <c r="D798" s="115" t="s">
        <v>64</v>
      </c>
      <c r="E798" s="115">
        <v>1</v>
      </c>
      <c r="F798" s="115">
        <v>0</v>
      </c>
      <c r="G798" s="116">
        <v>13.5</v>
      </c>
      <c r="H798" s="116">
        <v>5.4</v>
      </c>
      <c r="I798" s="116">
        <v>108</v>
      </c>
    </row>
    <row r="799" spans="1:9">
      <c r="A799" s="115">
        <v>803</v>
      </c>
      <c r="B799" s="46">
        <v>113098</v>
      </c>
      <c r="C799" s="115">
        <v>5</v>
      </c>
      <c r="D799" s="115" t="s">
        <v>65</v>
      </c>
      <c r="E799" s="115">
        <v>1</v>
      </c>
      <c r="F799" s="115">
        <v>0</v>
      </c>
      <c r="G799" s="116">
        <v>15</v>
      </c>
      <c r="H799" s="116">
        <v>6</v>
      </c>
      <c r="I799" s="116">
        <v>120</v>
      </c>
    </row>
    <row r="800" spans="1:9">
      <c r="A800" s="115">
        <v>804</v>
      </c>
      <c r="B800" s="46">
        <v>113098</v>
      </c>
      <c r="C800" s="115">
        <v>6</v>
      </c>
      <c r="D800" s="115" t="s">
        <v>66</v>
      </c>
      <c r="E800" s="115">
        <v>1</v>
      </c>
      <c r="F800" s="115">
        <v>0</v>
      </c>
      <c r="G800" s="116">
        <v>17</v>
      </c>
      <c r="H800" s="116">
        <v>6.8</v>
      </c>
      <c r="I800" s="116">
        <v>136</v>
      </c>
    </row>
    <row r="801" spans="1:9">
      <c r="A801" s="115">
        <v>805</v>
      </c>
      <c r="B801" s="46">
        <v>113098</v>
      </c>
      <c r="C801" s="115">
        <v>7</v>
      </c>
      <c r="D801" s="115" t="s">
        <v>66</v>
      </c>
      <c r="E801" s="115">
        <v>2</v>
      </c>
      <c r="F801" s="115">
        <v>0</v>
      </c>
      <c r="G801" s="116">
        <v>19</v>
      </c>
      <c r="H801" s="116">
        <v>7.6</v>
      </c>
      <c r="I801" s="116">
        <v>152</v>
      </c>
    </row>
    <row r="802" spans="1:9">
      <c r="A802" s="115">
        <v>806</v>
      </c>
      <c r="B802" s="46">
        <v>113098</v>
      </c>
      <c r="C802" s="115">
        <v>8</v>
      </c>
      <c r="D802" s="115" t="s">
        <v>68</v>
      </c>
      <c r="E802" s="115">
        <v>2</v>
      </c>
      <c r="F802" s="115">
        <v>0</v>
      </c>
      <c r="G802" s="116">
        <v>21</v>
      </c>
      <c r="H802" s="116">
        <v>8.4</v>
      </c>
      <c r="I802" s="116">
        <v>168</v>
      </c>
    </row>
    <row r="803" spans="1:9">
      <c r="A803" s="115">
        <v>807</v>
      </c>
      <c r="B803" s="46">
        <v>113099</v>
      </c>
      <c r="C803" s="115">
        <v>3</v>
      </c>
      <c r="D803" s="115"/>
      <c r="E803" s="115">
        <v>0</v>
      </c>
      <c r="F803" s="115">
        <v>0</v>
      </c>
      <c r="G803" s="116">
        <v>12</v>
      </c>
      <c r="H803" s="116">
        <v>4.8</v>
      </c>
      <c r="I803" s="116">
        <v>96</v>
      </c>
    </row>
    <row r="804" spans="1:9">
      <c r="A804" s="115">
        <v>808</v>
      </c>
      <c r="B804" s="46">
        <v>113099</v>
      </c>
      <c r="C804" s="115">
        <v>4</v>
      </c>
      <c r="D804" s="115" t="s">
        <v>64</v>
      </c>
      <c r="E804" s="115">
        <v>1</v>
      </c>
      <c r="F804" s="115">
        <v>0</v>
      </c>
      <c r="G804" s="116">
        <v>13.5</v>
      </c>
      <c r="H804" s="116">
        <v>5.4</v>
      </c>
      <c r="I804" s="116">
        <v>108</v>
      </c>
    </row>
    <row r="805" spans="1:9">
      <c r="A805" s="115">
        <v>809</v>
      </c>
      <c r="B805" s="46">
        <v>113099</v>
      </c>
      <c r="C805" s="115">
        <v>5</v>
      </c>
      <c r="D805" s="115" t="s">
        <v>65</v>
      </c>
      <c r="E805" s="115">
        <v>1</v>
      </c>
      <c r="F805" s="115">
        <v>0</v>
      </c>
      <c r="G805" s="116">
        <v>15</v>
      </c>
      <c r="H805" s="116">
        <v>6</v>
      </c>
      <c r="I805" s="116">
        <v>120</v>
      </c>
    </row>
    <row r="806" spans="1:9">
      <c r="A806" s="115">
        <v>810</v>
      </c>
      <c r="B806" s="46">
        <v>113099</v>
      </c>
      <c r="C806" s="115">
        <v>6</v>
      </c>
      <c r="D806" s="115" t="s">
        <v>66</v>
      </c>
      <c r="E806" s="115">
        <v>1</v>
      </c>
      <c r="F806" s="115">
        <v>0</v>
      </c>
      <c r="G806" s="116">
        <v>17</v>
      </c>
      <c r="H806" s="116">
        <v>6.8</v>
      </c>
      <c r="I806" s="116">
        <v>136</v>
      </c>
    </row>
    <row r="807" spans="1:9">
      <c r="A807" s="115">
        <v>811</v>
      </c>
      <c r="B807" s="46">
        <v>113099</v>
      </c>
      <c r="C807" s="115">
        <v>7</v>
      </c>
      <c r="D807" s="115" t="s">
        <v>66</v>
      </c>
      <c r="E807" s="115">
        <v>2</v>
      </c>
      <c r="F807" s="115">
        <v>0</v>
      </c>
      <c r="G807" s="116">
        <v>19</v>
      </c>
      <c r="H807" s="116">
        <v>7.6</v>
      </c>
      <c r="I807" s="116">
        <v>152</v>
      </c>
    </row>
    <row r="808" spans="1:9">
      <c r="A808" s="115">
        <v>812</v>
      </c>
      <c r="B808" s="46">
        <v>113099</v>
      </c>
      <c r="C808" s="115">
        <v>8</v>
      </c>
      <c r="D808" s="115" t="s">
        <v>68</v>
      </c>
      <c r="E808" s="115">
        <v>2</v>
      </c>
      <c r="F808" s="115">
        <v>0</v>
      </c>
      <c r="G808" s="116">
        <v>21</v>
      </c>
      <c r="H808" s="116">
        <v>8.4</v>
      </c>
      <c r="I808" s="116">
        <v>168</v>
      </c>
    </row>
    <row r="809" spans="1:9">
      <c r="A809" s="115">
        <v>813</v>
      </c>
      <c r="B809" s="57">
        <v>113100</v>
      </c>
      <c r="C809" s="57">
        <v>3</v>
      </c>
      <c r="D809" s="57"/>
      <c r="E809" s="57">
        <v>0</v>
      </c>
      <c r="F809" s="57">
        <v>0</v>
      </c>
      <c r="G809" s="100">
        <v>12</v>
      </c>
      <c r="H809" s="100">
        <v>4.8</v>
      </c>
      <c r="I809" s="100">
        <v>96</v>
      </c>
    </row>
    <row r="810" spans="1:9">
      <c r="A810" s="115">
        <v>814</v>
      </c>
      <c r="B810" s="57">
        <v>113100</v>
      </c>
      <c r="C810" s="57">
        <v>4</v>
      </c>
      <c r="D810" s="57" t="s">
        <v>64</v>
      </c>
      <c r="E810" s="57">
        <v>1</v>
      </c>
      <c r="F810" s="57">
        <v>0</v>
      </c>
      <c r="G810" s="100">
        <v>13.5</v>
      </c>
      <c r="H810" s="100">
        <v>5.4</v>
      </c>
      <c r="I810" s="100">
        <v>108</v>
      </c>
    </row>
    <row r="811" spans="1:9">
      <c r="A811" s="115">
        <v>815</v>
      </c>
      <c r="B811" s="57">
        <v>113100</v>
      </c>
      <c r="C811" s="57">
        <v>5</v>
      </c>
      <c r="D811" s="57" t="s">
        <v>65</v>
      </c>
      <c r="E811" s="57">
        <v>1</v>
      </c>
      <c r="F811" s="57">
        <v>0</v>
      </c>
      <c r="G811" s="100">
        <v>15</v>
      </c>
      <c r="H811" s="100">
        <v>6</v>
      </c>
      <c r="I811" s="100">
        <v>120</v>
      </c>
    </row>
    <row r="812" spans="1:9">
      <c r="A812" s="115">
        <v>816</v>
      </c>
      <c r="B812" s="57">
        <v>113100</v>
      </c>
      <c r="C812" s="57">
        <v>6</v>
      </c>
      <c r="D812" s="57" t="s">
        <v>66</v>
      </c>
      <c r="E812" s="57">
        <v>1</v>
      </c>
      <c r="F812" s="57">
        <v>0</v>
      </c>
      <c r="G812" s="100">
        <v>17</v>
      </c>
      <c r="H812" s="100">
        <v>6.8</v>
      </c>
      <c r="I812" s="100">
        <v>136</v>
      </c>
    </row>
    <row r="813" spans="1:9">
      <c r="A813" s="115">
        <v>817</v>
      </c>
      <c r="B813" s="57">
        <v>113100</v>
      </c>
      <c r="C813" s="57">
        <v>7</v>
      </c>
      <c r="D813" s="57" t="s">
        <v>66</v>
      </c>
      <c r="E813" s="57">
        <v>2</v>
      </c>
      <c r="F813" s="57">
        <v>0</v>
      </c>
      <c r="G813" s="100">
        <v>19</v>
      </c>
      <c r="H813" s="100">
        <v>7.6</v>
      </c>
      <c r="I813" s="100">
        <v>152</v>
      </c>
    </row>
    <row r="814" spans="1:9">
      <c r="A814" s="115">
        <v>818</v>
      </c>
      <c r="B814" s="57">
        <v>113100</v>
      </c>
      <c r="C814" s="57">
        <v>8</v>
      </c>
      <c r="D814" s="57" t="s">
        <v>68</v>
      </c>
      <c r="E814" s="57">
        <v>2</v>
      </c>
      <c r="F814" s="57">
        <v>0</v>
      </c>
      <c r="G814" s="100">
        <v>21</v>
      </c>
      <c r="H814" s="100">
        <v>8.4</v>
      </c>
      <c r="I814" s="100">
        <v>168</v>
      </c>
    </row>
    <row r="815" spans="1:9">
      <c r="A815" s="115">
        <v>819</v>
      </c>
      <c r="B815" s="46">
        <v>113101</v>
      </c>
      <c r="C815" s="115">
        <v>3</v>
      </c>
      <c r="D815" s="115"/>
      <c r="E815" s="115">
        <v>0</v>
      </c>
      <c r="F815" s="115">
        <v>0</v>
      </c>
      <c r="G815" s="116">
        <v>12</v>
      </c>
      <c r="H815" s="116">
        <v>4.8</v>
      </c>
      <c r="I815" s="116">
        <v>96</v>
      </c>
    </row>
    <row r="816" spans="1:9">
      <c r="A816" s="115">
        <v>820</v>
      </c>
      <c r="B816" s="46">
        <v>113101</v>
      </c>
      <c r="C816" s="115">
        <v>4</v>
      </c>
      <c r="D816" s="115" t="s">
        <v>64</v>
      </c>
      <c r="E816" s="115">
        <v>1</v>
      </c>
      <c r="F816" s="115">
        <v>0</v>
      </c>
      <c r="G816" s="116">
        <v>13.5</v>
      </c>
      <c r="H816" s="116">
        <v>5.4</v>
      </c>
      <c r="I816" s="116">
        <v>108</v>
      </c>
    </row>
    <row r="817" spans="1:9">
      <c r="A817" s="115">
        <v>821</v>
      </c>
      <c r="B817" s="46">
        <v>113101</v>
      </c>
      <c r="C817" s="115">
        <v>5</v>
      </c>
      <c r="D817" s="115" t="s">
        <v>65</v>
      </c>
      <c r="E817" s="115">
        <v>1</v>
      </c>
      <c r="F817" s="115">
        <v>0</v>
      </c>
      <c r="G817" s="116">
        <v>15</v>
      </c>
      <c r="H817" s="116">
        <v>6</v>
      </c>
      <c r="I817" s="116">
        <v>120</v>
      </c>
    </row>
    <row r="818" spans="1:9">
      <c r="A818" s="115">
        <v>822</v>
      </c>
      <c r="B818" s="46">
        <v>113101</v>
      </c>
      <c r="C818" s="115">
        <v>6</v>
      </c>
      <c r="D818" s="115" t="s">
        <v>66</v>
      </c>
      <c r="E818" s="115">
        <v>1</v>
      </c>
      <c r="F818" s="115">
        <v>0</v>
      </c>
      <c r="G818" s="116">
        <v>17</v>
      </c>
      <c r="H818" s="116">
        <v>6.8</v>
      </c>
      <c r="I818" s="116">
        <v>136</v>
      </c>
    </row>
    <row r="819" spans="1:9">
      <c r="A819" s="115">
        <v>823</v>
      </c>
      <c r="B819" s="46">
        <v>113101</v>
      </c>
      <c r="C819" s="115">
        <v>7</v>
      </c>
      <c r="D819" s="115" t="s">
        <v>66</v>
      </c>
      <c r="E819" s="115">
        <v>2</v>
      </c>
      <c r="F819" s="115">
        <v>0</v>
      </c>
      <c r="G819" s="116">
        <v>19</v>
      </c>
      <c r="H819" s="116">
        <v>7.6</v>
      </c>
      <c r="I819" s="116">
        <v>152</v>
      </c>
    </row>
    <row r="820" spans="1:9">
      <c r="A820" s="115">
        <v>824</v>
      </c>
      <c r="B820" s="46">
        <v>113101</v>
      </c>
      <c r="C820" s="115">
        <v>8</v>
      </c>
      <c r="D820" s="115" t="s">
        <v>68</v>
      </c>
      <c r="E820" s="115">
        <v>2</v>
      </c>
      <c r="F820" s="115">
        <v>0</v>
      </c>
      <c r="G820" s="116">
        <v>21</v>
      </c>
      <c r="H820" s="116">
        <v>8.4</v>
      </c>
      <c r="I820" s="116">
        <v>168</v>
      </c>
    </row>
    <row r="821" s="63" customFormat="1" spans="1:9">
      <c r="A821" s="123">
        <v>825</v>
      </c>
      <c r="B821" s="63">
        <v>113102</v>
      </c>
      <c r="C821" s="123">
        <v>3</v>
      </c>
      <c r="D821" s="123"/>
      <c r="E821" s="123">
        <v>0</v>
      </c>
      <c r="F821" s="123">
        <v>0</v>
      </c>
      <c r="G821" s="124">
        <v>12</v>
      </c>
      <c r="H821" s="124">
        <v>4.8</v>
      </c>
      <c r="I821" s="124">
        <v>96</v>
      </c>
    </row>
    <row r="822" s="63" customFormat="1" spans="1:9">
      <c r="A822" s="123">
        <v>826</v>
      </c>
      <c r="B822" s="63">
        <v>113102</v>
      </c>
      <c r="C822" s="123">
        <v>4</v>
      </c>
      <c r="D822" s="123" t="s">
        <v>64</v>
      </c>
      <c r="E822" s="123">
        <v>1</v>
      </c>
      <c r="F822" s="123">
        <v>0</v>
      </c>
      <c r="G822" s="124">
        <v>13.5</v>
      </c>
      <c r="H822" s="124">
        <v>5.4</v>
      </c>
      <c r="I822" s="124">
        <v>108</v>
      </c>
    </row>
    <row r="823" s="63" customFormat="1" spans="1:9">
      <c r="A823" s="123">
        <v>827</v>
      </c>
      <c r="B823" s="63">
        <v>113102</v>
      </c>
      <c r="C823" s="123">
        <v>5</v>
      </c>
      <c r="D823" s="123" t="s">
        <v>65</v>
      </c>
      <c r="E823" s="123">
        <v>1</v>
      </c>
      <c r="F823" s="123">
        <v>0</v>
      </c>
      <c r="G823" s="124">
        <v>15</v>
      </c>
      <c r="H823" s="124">
        <v>6</v>
      </c>
      <c r="I823" s="124">
        <v>120</v>
      </c>
    </row>
    <row r="824" s="63" customFormat="1" spans="1:9">
      <c r="A824" s="123">
        <v>828</v>
      </c>
      <c r="B824" s="63">
        <v>113102</v>
      </c>
      <c r="C824" s="123">
        <v>6</v>
      </c>
      <c r="D824" s="123" t="s">
        <v>66</v>
      </c>
      <c r="E824" s="123">
        <v>1</v>
      </c>
      <c r="F824" s="123">
        <v>0</v>
      </c>
      <c r="G824" s="124">
        <v>17</v>
      </c>
      <c r="H824" s="124">
        <v>6.8</v>
      </c>
      <c r="I824" s="124">
        <v>136</v>
      </c>
    </row>
    <row r="825" s="63" customFormat="1" spans="1:9">
      <c r="A825" s="123">
        <v>829</v>
      </c>
      <c r="B825" s="63">
        <v>113102</v>
      </c>
      <c r="C825" s="123">
        <v>7</v>
      </c>
      <c r="D825" s="123" t="s">
        <v>66</v>
      </c>
      <c r="E825" s="123">
        <v>2</v>
      </c>
      <c r="F825" s="123">
        <v>0</v>
      </c>
      <c r="G825" s="124">
        <v>19</v>
      </c>
      <c r="H825" s="124">
        <v>7.6</v>
      </c>
      <c r="I825" s="124">
        <v>152</v>
      </c>
    </row>
    <row r="826" s="63" customFormat="1" spans="1:9">
      <c r="A826" s="123">
        <v>830</v>
      </c>
      <c r="B826" s="63">
        <v>113102</v>
      </c>
      <c r="C826" s="123">
        <v>8</v>
      </c>
      <c r="D826" s="123" t="s">
        <v>68</v>
      </c>
      <c r="E826" s="123">
        <v>2</v>
      </c>
      <c r="F826" s="123">
        <v>0</v>
      </c>
      <c r="G826" s="124">
        <v>21</v>
      </c>
      <c r="H826" s="124">
        <v>8.4</v>
      </c>
      <c r="I826" s="124">
        <v>168</v>
      </c>
    </row>
    <row r="827" s="63" customFormat="1" spans="1:9">
      <c r="A827" s="123">
        <v>831</v>
      </c>
      <c r="B827" s="63">
        <v>113103</v>
      </c>
      <c r="C827" s="123">
        <v>3</v>
      </c>
      <c r="D827" s="123"/>
      <c r="E827" s="123">
        <v>0</v>
      </c>
      <c r="F827" s="123">
        <v>0</v>
      </c>
      <c r="G827" s="124">
        <v>12</v>
      </c>
      <c r="H827" s="124">
        <v>4.8</v>
      </c>
      <c r="I827" s="124">
        <v>96</v>
      </c>
    </row>
    <row r="828" s="63" customFormat="1" spans="1:9">
      <c r="A828" s="123">
        <v>832</v>
      </c>
      <c r="B828" s="63">
        <v>113103</v>
      </c>
      <c r="C828" s="123">
        <v>4</v>
      </c>
      <c r="D828" s="123" t="s">
        <v>64</v>
      </c>
      <c r="E828" s="123">
        <v>1</v>
      </c>
      <c r="F828" s="123">
        <v>0</v>
      </c>
      <c r="G828" s="124">
        <v>13.5</v>
      </c>
      <c r="H828" s="124">
        <v>5.4</v>
      </c>
      <c r="I828" s="124">
        <v>108</v>
      </c>
    </row>
    <row r="829" s="63" customFormat="1" spans="1:9">
      <c r="A829" s="123">
        <v>833</v>
      </c>
      <c r="B829" s="63">
        <v>113103</v>
      </c>
      <c r="C829" s="123">
        <v>5</v>
      </c>
      <c r="D829" s="123" t="s">
        <v>65</v>
      </c>
      <c r="E829" s="123">
        <v>1</v>
      </c>
      <c r="F829" s="123">
        <v>0</v>
      </c>
      <c r="G829" s="124">
        <v>15</v>
      </c>
      <c r="H829" s="124">
        <v>6</v>
      </c>
      <c r="I829" s="124">
        <v>120</v>
      </c>
    </row>
    <row r="830" s="63" customFormat="1" spans="1:9">
      <c r="A830" s="123">
        <v>834</v>
      </c>
      <c r="B830" s="63">
        <v>113103</v>
      </c>
      <c r="C830" s="123">
        <v>6</v>
      </c>
      <c r="D830" s="123" t="s">
        <v>66</v>
      </c>
      <c r="E830" s="123">
        <v>1</v>
      </c>
      <c r="F830" s="123">
        <v>0</v>
      </c>
      <c r="G830" s="124">
        <v>17</v>
      </c>
      <c r="H830" s="124">
        <v>6.8</v>
      </c>
      <c r="I830" s="124">
        <v>136</v>
      </c>
    </row>
    <row r="831" s="63" customFormat="1" spans="1:9">
      <c r="A831" s="123">
        <v>835</v>
      </c>
      <c r="B831" s="63">
        <v>113103</v>
      </c>
      <c r="C831" s="123">
        <v>7</v>
      </c>
      <c r="D831" s="123" t="s">
        <v>66</v>
      </c>
      <c r="E831" s="123">
        <v>2</v>
      </c>
      <c r="F831" s="123">
        <v>0</v>
      </c>
      <c r="G831" s="124">
        <v>19</v>
      </c>
      <c r="H831" s="124">
        <v>7.6</v>
      </c>
      <c r="I831" s="124">
        <v>152</v>
      </c>
    </row>
    <row r="832" s="63" customFormat="1" spans="1:9">
      <c r="A832" s="123">
        <v>836</v>
      </c>
      <c r="B832" s="63">
        <v>113103</v>
      </c>
      <c r="C832" s="123">
        <v>8</v>
      </c>
      <c r="D832" s="123" t="s">
        <v>68</v>
      </c>
      <c r="E832" s="123">
        <v>2</v>
      </c>
      <c r="F832" s="123">
        <v>0</v>
      </c>
      <c r="G832" s="124">
        <v>21</v>
      </c>
      <c r="H832" s="124">
        <v>8.4</v>
      </c>
      <c r="I832" s="124">
        <v>168</v>
      </c>
    </row>
    <row r="833" s="63" customFormat="1" spans="1:9">
      <c r="A833" s="123">
        <v>837</v>
      </c>
      <c r="B833" s="63">
        <v>113104</v>
      </c>
      <c r="C833" s="123">
        <v>3</v>
      </c>
      <c r="D833" s="123"/>
      <c r="E833" s="123">
        <v>0</v>
      </c>
      <c r="F833" s="123">
        <v>0</v>
      </c>
      <c r="G833" s="124">
        <v>12</v>
      </c>
      <c r="H833" s="124">
        <v>4.8</v>
      </c>
      <c r="I833" s="124">
        <v>96</v>
      </c>
    </row>
    <row r="834" s="63" customFormat="1" spans="1:9">
      <c r="A834" s="123">
        <v>838</v>
      </c>
      <c r="B834" s="63">
        <v>113104</v>
      </c>
      <c r="C834" s="123">
        <v>4</v>
      </c>
      <c r="D834" s="123" t="s">
        <v>64</v>
      </c>
      <c r="E834" s="123">
        <v>1</v>
      </c>
      <c r="F834" s="123">
        <v>0</v>
      </c>
      <c r="G834" s="124">
        <v>13.5</v>
      </c>
      <c r="H834" s="124">
        <v>5.4</v>
      </c>
      <c r="I834" s="124">
        <v>108</v>
      </c>
    </row>
    <row r="835" s="63" customFormat="1" spans="1:9">
      <c r="A835" s="123">
        <v>839</v>
      </c>
      <c r="B835" s="63">
        <v>113104</v>
      </c>
      <c r="C835" s="123">
        <v>5</v>
      </c>
      <c r="D835" s="123" t="s">
        <v>65</v>
      </c>
      <c r="E835" s="123">
        <v>1</v>
      </c>
      <c r="F835" s="123">
        <v>0</v>
      </c>
      <c r="G835" s="124">
        <v>15</v>
      </c>
      <c r="H835" s="124">
        <v>6</v>
      </c>
      <c r="I835" s="124">
        <v>120</v>
      </c>
    </row>
    <row r="836" s="63" customFormat="1" spans="1:9">
      <c r="A836" s="123">
        <v>840</v>
      </c>
      <c r="B836" s="63">
        <v>113104</v>
      </c>
      <c r="C836" s="123">
        <v>6</v>
      </c>
      <c r="D836" s="123" t="s">
        <v>66</v>
      </c>
      <c r="E836" s="123">
        <v>1</v>
      </c>
      <c r="F836" s="123">
        <v>0</v>
      </c>
      <c r="G836" s="124">
        <v>17</v>
      </c>
      <c r="H836" s="124">
        <v>6.8</v>
      </c>
      <c r="I836" s="124">
        <v>136</v>
      </c>
    </row>
    <row r="837" s="63" customFormat="1" spans="1:9">
      <c r="A837" s="123">
        <v>841</v>
      </c>
      <c r="B837" s="63">
        <v>113104</v>
      </c>
      <c r="C837" s="123">
        <v>7</v>
      </c>
      <c r="D837" s="123" t="s">
        <v>66</v>
      </c>
      <c r="E837" s="123">
        <v>2</v>
      </c>
      <c r="F837" s="123">
        <v>0</v>
      </c>
      <c r="G837" s="124">
        <v>19</v>
      </c>
      <c r="H837" s="124">
        <v>7.6</v>
      </c>
      <c r="I837" s="124">
        <v>152</v>
      </c>
    </row>
    <row r="838" s="63" customFormat="1" spans="1:9">
      <c r="A838" s="123">
        <v>842</v>
      </c>
      <c r="B838" s="63">
        <v>113104</v>
      </c>
      <c r="C838" s="123">
        <v>8</v>
      </c>
      <c r="D838" s="123" t="s">
        <v>68</v>
      </c>
      <c r="E838" s="123">
        <v>2</v>
      </c>
      <c r="F838" s="123">
        <v>0</v>
      </c>
      <c r="G838" s="124">
        <v>21</v>
      </c>
      <c r="H838" s="124">
        <v>8.4</v>
      </c>
      <c r="I838" s="124">
        <v>168</v>
      </c>
    </row>
    <row r="839" s="63" customFormat="1" spans="1:9">
      <c r="A839" s="123">
        <v>843</v>
      </c>
      <c r="B839" s="63">
        <v>113105</v>
      </c>
      <c r="C839" s="123">
        <v>3</v>
      </c>
      <c r="D839" s="123"/>
      <c r="E839" s="123">
        <v>0</v>
      </c>
      <c r="F839" s="123">
        <v>0</v>
      </c>
      <c r="G839" s="124">
        <v>12</v>
      </c>
      <c r="H839" s="124">
        <v>4.8</v>
      </c>
      <c r="I839" s="124">
        <v>96</v>
      </c>
    </row>
    <row r="840" s="63" customFormat="1" spans="1:9">
      <c r="A840" s="123">
        <v>844</v>
      </c>
      <c r="B840" s="63">
        <v>113105</v>
      </c>
      <c r="C840" s="123">
        <v>4</v>
      </c>
      <c r="D840" s="123" t="s">
        <v>64</v>
      </c>
      <c r="E840" s="123">
        <v>1</v>
      </c>
      <c r="F840" s="123">
        <v>0</v>
      </c>
      <c r="G840" s="124">
        <v>13.5</v>
      </c>
      <c r="H840" s="124">
        <v>5.4</v>
      </c>
      <c r="I840" s="124">
        <v>108</v>
      </c>
    </row>
    <row r="841" s="63" customFormat="1" spans="1:9">
      <c r="A841" s="123">
        <v>845</v>
      </c>
      <c r="B841" s="63">
        <v>113105</v>
      </c>
      <c r="C841" s="123">
        <v>5</v>
      </c>
      <c r="D841" s="123" t="s">
        <v>65</v>
      </c>
      <c r="E841" s="123">
        <v>1</v>
      </c>
      <c r="F841" s="123">
        <v>0</v>
      </c>
      <c r="G841" s="124">
        <v>15</v>
      </c>
      <c r="H841" s="124">
        <v>6</v>
      </c>
      <c r="I841" s="124">
        <v>120</v>
      </c>
    </row>
    <row r="842" s="63" customFormat="1" spans="1:9">
      <c r="A842" s="123">
        <v>846</v>
      </c>
      <c r="B842" s="63">
        <v>113105</v>
      </c>
      <c r="C842" s="123">
        <v>6</v>
      </c>
      <c r="D842" s="123" t="s">
        <v>66</v>
      </c>
      <c r="E842" s="123">
        <v>1</v>
      </c>
      <c r="F842" s="123">
        <v>0</v>
      </c>
      <c r="G842" s="124">
        <v>17</v>
      </c>
      <c r="H842" s="124">
        <v>6.8</v>
      </c>
      <c r="I842" s="124">
        <v>136</v>
      </c>
    </row>
    <row r="843" s="63" customFormat="1" spans="1:9">
      <c r="A843" s="123">
        <v>847</v>
      </c>
      <c r="B843" s="63">
        <v>113105</v>
      </c>
      <c r="C843" s="123">
        <v>7</v>
      </c>
      <c r="D843" s="123" t="s">
        <v>66</v>
      </c>
      <c r="E843" s="123">
        <v>2</v>
      </c>
      <c r="F843" s="123">
        <v>0</v>
      </c>
      <c r="G843" s="124">
        <v>19</v>
      </c>
      <c r="H843" s="124">
        <v>7.6</v>
      </c>
      <c r="I843" s="124">
        <v>152</v>
      </c>
    </row>
    <row r="844" s="63" customFormat="1" spans="1:9">
      <c r="A844" s="123">
        <v>848</v>
      </c>
      <c r="B844" s="63">
        <v>113105</v>
      </c>
      <c r="C844" s="123">
        <v>8</v>
      </c>
      <c r="D844" s="123" t="s">
        <v>68</v>
      </c>
      <c r="E844" s="123">
        <v>2</v>
      </c>
      <c r="F844" s="123">
        <v>0</v>
      </c>
      <c r="G844" s="124">
        <v>21</v>
      </c>
      <c r="H844" s="124">
        <v>8.4</v>
      </c>
      <c r="I844" s="124">
        <v>168</v>
      </c>
    </row>
    <row r="845" s="64" customFormat="1" spans="1:9">
      <c r="A845" s="123">
        <v>849</v>
      </c>
      <c r="B845" s="64">
        <v>113106</v>
      </c>
      <c r="C845" s="125">
        <v>3</v>
      </c>
      <c r="D845" s="125"/>
      <c r="E845" s="125">
        <v>0</v>
      </c>
      <c r="F845" s="125">
        <v>0</v>
      </c>
      <c r="G845" s="126">
        <v>12</v>
      </c>
      <c r="H845" s="126">
        <v>4.8</v>
      </c>
      <c r="I845" s="126">
        <v>96</v>
      </c>
    </row>
    <row r="846" s="64" customFormat="1" spans="1:9">
      <c r="A846" s="123">
        <v>850</v>
      </c>
      <c r="B846" s="64">
        <v>113106</v>
      </c>
      <c r="C846" s="125">
        <v>4</v>
      </c>
      <c r="D846" s="125" t="s">
        <v>64</v>
      </c>
      <c r="E846" s="125">
        <v>1</v>
      </c>
      <c r="F846" s="125">
        <v>0</v>
      </c>
      <c r="G846" s="126">
        <v>13.5</v>
      </c>
      <c r="H846" s="126">
        <v>5.4</v>
      </c>
      <c r="I846" s="126">
        <v>108</v>
      </c>
    </row>
    <row r="847" s="64" customFormat="1" spans="1:9">
      <c r="A847" s="123">
        <v>851</v>
      </c>
      <c r="B847" s="64">
        <v>113106</v>
      </c>
      <c r="C847" s="125">
        <v>5</v>
      </c>
      <c r="D847" s="125" t="s">
        <v>65</v>
      </c>
      <c r="E847" s="125">
        <v>1</v>
      </c>
      <c r="F847" s="125">
        <v>0</v>
      </c>
      <c r="G847" s="126">
        <v>15</v>
      </c>
      <c r="H847" s="126">
        <v>6</v>
      </c>
      <c r="I847" s="126">
        <v>120</v>
      </c>
    </row>
    <row r="848" s="64" customFormat="1" spans="1:9">
      <c r="A848" s="123">
        <v>852</v>
      </c>
      <c r="B848" s="64">
        <v>113106</v>
      </c>
      <c r="C848" s="125">
        <v>6</v>
      </c>
      <c r="D848" s="125" t="s">
        <v>66</v>
      </c>
      <c r="E848" s="125">
        <v>1</v>
      </c>
      <c r="F848" s="125">
        <v>0</v>
      </c>
      <c r="G848" s="126">
        <v>17</v>
      </c>
      <c r="H848" s="126">
        <v>6.8</v>
      </c>
      <c r="I848" s="126">
        <v>136</v>
      </c>
    </row>
    <row r="849" s="64" customFormat="1" spans="1:9">
      <c r="A849" s="123">
        <v>853</v>
      </c>
      <c r="B849" s="64">
        <v>113106</v>
      </c>
      <c r="C849" s="125">
        <v>7</v>
      </c>
      <c r="D849" s="125" t="s">
        <v>66</v>
      </c>
      <c r="E849" s="125">
        <v>2</v>
      </c>
      <c r="F849" s="125">
        <v>0</v>
      </c>
      <c r="G849" s="126">
        <v>19</v>
      </c>
      <c r="H849" s="126">
        <v>7.6</v>
      </c>
      <c r="I849" s="126">
        <v>152</v>
      </c>
    </row>
    <row r="850" s="64" customFormat="1" spans="1:9">
      <c r="A850" s="123">
        <v>854</v>
      </c>
      <c r="B850" s="64">
        <v>113106</v>
      </c>
      <c r="C850" s="125">
        <v>8</v>
      </c>
      <c r="D850" s="125" t="s">
        <v>68</v>
      </c>
      <c r="E850" s="125">
        <v>2</v>
      </c>
      <c r="F850" s="125">
        <v>0</v>
      </c>
      <c r="G850" s="126">
        <v>21</v>
      </c>
      <c r="H850" s="126">
        <v>8.4</v>
      </c>
      <c r="I850" s="126">
        <v>168</v>
      </c>
    </row>
    <row r="851" s="64" customFormat="1" spans="1:9">
      <c r="A851" s="123">
        <v>855</v>
      </c>
      <c r="B851" s="64">
        <v>113107</v>
      </c>
      <c r="C851" s="125">
        <v>3</v>
      </c>
      <c r="D851" s="125"/>
      <c r="E851" s="125">
        <v>0</v>
      </c>
      <c r="F851" s="125">
        <v>0</v>
      </c>
      <c r="G851" s="126">
        <v>12</v>
      </c>
      <c r="H851" s="126">
        <v>4.8</v>
      </c>
      <c r="I851" s="126">
        <v>96</v>
      </c>
    </row>
    <row r="852" s="64" customFormat="1" spans="1:9">
      <c r="A852" s="123">
        <v>856</v>
      </c>
      <c r="B852" s="64">
        <v>113107</v>
      </c>
      <c r="C852" s="125">
        <v>4</v>
      </c>
      <c r="D852" s="125" t="s">
        <v>64</v>
      </c>
      <c r="E852" s="125">
        <v>1</v>
      </c>
      <c r="F852" s="125">
        <v>0</v>
      </c>
      <c r="G852" s="126">
        <v>13.5</v>
      </c>
      <c r="H852" s="126">
        <v>5.4</v>
      </c>
      <c r="I852" s="126">
        <v>108</v>
      </c>
    </row>
    <row r="853" s="64" customFormat="1" spans="1:9">
      <c r="A853" s="123">
        <v>857</v>
      </c>
      <c r="B853" s="64">
        <v>113107</v>
      </c>
      <c r="C853" s="125">
        <v>5</v>
      </c>
      <c r="D853" s="125" t="s">
        <v>65</v>
      </c>
      <c r="E853" s="125">
        <v>1</v>
      </c>
      <c r="F853" s="125">
        <v>0</v>
      </c>
      <c r="G853" s="126">
        <v>15</v>
      </c>
      <c r="H853" s="126">
        <v>6</v>
      </c>
      <c r="I853" s="126">
        <v>120</v>
      </c>
    </row>
    <row r="854" s="64" customFormat="1" spans="1:9">
      <c r="A854" s="123">
        <v>858</v>
      </c>
      <c r="B854" s="64">
        <v>113107</v>
      </c>
      <c r="C854" s="125">
        <v>6</v>
      </c>
      <c r="D854" s="125" t="s">
        <v>66</v>
      </c>
      <c r="E854" s="125">
        <v>1</v>
      </c>
      <c r="F854" s="125">
        <v>0</v>
      </c>
      <c r="G854" s="126">
        <v>17</v>
      </c>
      <c r="H854" s="126">
        <v>6.8</v>
      </c>
      <c r="I854" s="126">
        <v>136</v>
      </c>
    </row>
    <row r="855" s="64" customFormat="1" spans="1:9">
      <c r="A855" s="123">
        <v>859</v>
      </c>
      <c r="B855" s="64">
        <v>113107</v>
      </c>
      <c r="C855" s="125">
        <v>7</v>
      </c>
      <c r="D855" s="125" t="s">
        <v>66</v>
      </c>
      <c r="E855" s="125">
        <v>2</v>
      </c>
      <c r="F855" s="125">
        <v>0</v>
      </c>
      <c r="G855" s="126">
        <v>19</v>
      </c>
      <c r="H855" s="126">
        <v>7.6</v>
      </c>
      <c r="I855" s="126">
        <v>152</v>
      </c>
    </row>
    <row r="856" s="64" customFormat="1" spans="1:9">
      <c r="A856" s="123">
        <v>860</v>
      </c>
      <c r="B856" s="64">
        <v>113107</v>
      </c>
      <c r="C856" s="125">
        <v>8</v>
      </c>
      <c r="D856" s="125" t="s">
        <v>68</v>
      </c>
      <c r="E856" s="125">
        <v>2</v>
      </c>
      <c r="F856" s="125">
        <v>0</v>
      </c>
      <c r="G856" s="126">
        <v>21</v>
      </c>
      <c r="H856" s="126">
        <v>8.4</v>
      </c>
      <c r="I856" s="126">
        <v>168</v>
      </c>
    </row>
    <row r="857" s="41" customFormat="1" spans="1:11">
      <c r="A857" s="123">
        <v>861</v>
      </c>
      <c r="B857" s="64">
        <v>113108</v>
      </c>
      <c r="C857" s="41">
        <v>3</v>
      </c>
      <c r="E857" s="41">
        <v>0</v>
      </c>
      <c r="F857" s="41">
        <v>0</v>
      </c>
      <c r="G857" s="75">
        <v>12</v>
      </c>
      <c r="H857" s="75">
        <v>4.8</v>
      </c>
      <c r="I857" s="75">
        <v>96</v>
      </c>
      <c r="K857" s="79"/>
    </row>
    <row r="858" s="41" customFormat="1" spans="1:11">
      <c r="A858" s="123">
        <v>862</v>
      </c>
      <c r="B858" s="64">
        <v>113108</v>
      </c>
      <c r="C858" s="41">
        <v>4</v>
      </c>
      <c r="D858" s="41" t="s">
        <v>64</v>
      </c>
      <c r="E858" s="41">
        <v>1</v>
      </c>
      <c r="F858" s="41">
        <v>0</v>
      </c>
      <c r="G858" s="75">
        <v>13.5</v>
      </c>
      <c r="H858" s="75">
        <v>5.4</v>
      </c>
      <c r="I858" s="75">
        <v>108</v>
      </c>
      <c r="K858" s="79"/>
    </row>
    <row r="859" s="41" customFormat="1" spans="1:11">
      <c r="A859" s="123">
        <v>863</v>
      </c>
      <c r="B859" s="64">
        <v>113108</v>
      </c>
      <c r="C859" s="41">
        <v>5</v>
      </c>
      <c r="D859" s="41" t="s">
        <v>65</v>
      </c>
      <c r="E859" s="41">
        <v>1</v>
      </c>
      <c r="F859" s="41">
        <v>0</v>
      </c>
      <c r="G859" s="75">
        <v>15</v>
      </c>
      <c r="H859" s="75">
        <v>6</v>
      </c>
      <c r="I859" s="75">
        <v>120</v>
      </c>
      <c r="K859" s="79"/>
    </row>
    <row r="860" s="41" customFormat="1" spans="1:11">
      <c r="A860" s="123">
        <v>864</v>
      </c>
      <c r="B860" s="64">
        <v>113108</v>
      </c>
      <c r="C860" s="41">
        <v>6</v>
      </c>
      <c r="D860" s="41" t="s">
        <v>66</v>
      </c>
      <c r="E860" s="41">
        <v>1</v>
      </c>
      <c r="F860" s="41">
        <v>0</v>
      </c>
      <c r="G860" s="75">
        <v>17</v>
      </c>
      <c r="H860" s="75">
        <v>6.8</v>
      </c>
      <c r="I860" s="75">
        <v>136</v>
      </c>
      <c r="K860" s="79"/>
    </row>
    <row r="861" s="41" customFormat="1" spans="1:11">
      <c r="A861" s="123">
        <v>865</v>
      </c>
      <c r="B861" s="64">
        <v>113108</v>
      </c>
      <c r="C861" s="41">
        <v>7</v>
      </c>
      <c r="D861" s="41" t="s">
        <v>66</v>
      </c>
      <c r="E861" s="41">
        <v>2</v>
      </c>
      <c r="F861" s="41">
        <v>0</v>
      </c>
      <c r="G861" s="75">
        <v>19</v>
      </c>
      <c r="H861" s="75">
        <v>7.6</v>
      </c>
      <c r="I861" s="75">
        <v>152</v>
      </c>
      <c r="K861" s="79"/>
    </row>
    <row r="862" s="41" customFormat="1" spans="1:11">
      <c r="A862" s="123">
        <v>866</v>
      </c>
      <c r="B862" s="64">
        <v>113108</v>
      </c>
      <c r="C862" s="41">
        <v>8</v>
      </c>
      <c r="D862" s="41" t="s">
        <v>68</v>
      </c>
      <c r="E862" s="41">
        <v>2</v>
      </c>
      <c r="F862" s="41">
        <v>0</v>
      </c>
      <c r="G862" s="75">
        <v>21</v>
      </c>
      <c r="H862" s="75">
        <v>8.4</v>
      </c>
      <c r="I862" s="75">
        <v>168</v>
      </c>
      <c r="K862" s="79"/>
    </row>
    <row r="863" spans="1:24">
      <c r="A863" s="123">
        <v>867</v>
      </c>
      <c r="B863" s="127">
        <v>113109</v>
      </c>
      <c r="C863" s="127">
        <v>3</v>
      </c>
      <c r="D863" s="127"/>
      <c r="E863" s="127">
        <v>0</v>
      </c>
      <c r="F863" s="127">
        <v>0</v>
      </c>
      <c r="G863" s="127">
        <v>12</v>
      </c>
      <c r="H863" s="127">
        <v>4.8</v>
      </c>
      <c r="I863" s="127">
        <v>96</v>
      </c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</row>
    <row r="864" spans="1:24">
      <c r="A864" s="123">
        <v>868</v>
      </c>
      <c r="B864" s="127">
        <v>113109</v>
      </c>
      <c r="C864" s="127">
        <v>4</v>
      </c>
      <c r="D864" s="127" t="s">
        <v>64</v>
      </c>
      <c r="E864" s="127">
        <v>1</v>
      </c>
      <c r="F864" s="127">
        <v>0</v>
      </c>
      <c r="G864" s="127">
        <v>13.5</v>
      </c>
      <c r="H864" s="127">
        <v>5.4</v>
      </c>
      <c r="I864" s="127">
        <v>108</v>
      </c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</row>
    <row r="865" spans="1:24">
      <c r="A865" s="123">
        <v>869</v>
      </c>
      <c r="B865" s="127">
        <v>113109</v>
      </c>
      <c r="C865" s="127">
        <v>5</v>
      </c>
      <c r="D865" s="127" t="s">
        <v>65</v>
      </c>
      <c r="E865" s="127">
        <v>1</v>
      </c>
      <c r="F865" s="127">
        <v>0</v>
      </c>
      <c r="G865" s="127">
        <v>15</v>
      </c>
      <c r="H865" s="127">
        <v>6</v>
      </c>
      <c r="I865" s="127">
        <v>120</v>
      </c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</row>
    <row r="866" spans="1:24">
      <c r="A866" s="123">
        <v>870</v>
      </c>
      <c r="B866" s="127">
        <v>113109</v>
      </c>
      <c r="C866" s="127">
        <v>6</v>
      </c>
      <c r="D866" s="127" t="s">
        <v>66</v>
      </c>
      <c r="E866" s="127">
        <v>1</v>
      </c>
      <c r="F866" s="127">
        <v>0</v>
      </c>
      <c r="G866" s="127">
        <v>17</v>
      </c>
      <c r="H866" s="127">
        <v>6.8</v>
      </c>
      <c r="I866" s="127">
        <v>136</v>
      </c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</row>
    <row r="867" spans="1:24">
      <c r="A867" s="123">
        <v>871</v>
      </c>
      <c r="B867" s="127">
        <v>113109</v>
      </c>
      <c r="C867" s="127">
        <v>7</v>
      </c>
      <c r="D867" s="127" t="s">
        <v>66</v>
      </c>
      <c r="E867" s="127">
        <v>2</v>
      </c>
      <c r="F867" s="127">
        <v>0</v>
      </c>
      <c r="G867" s="127">
        <v>19</v>
      </c>
      <c r="H867" s="127">
        <v>7.6</v>
      </c>
      <c r="I867" s="127">
        <v>152</v>
      </c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</row>
    <row r="868" spans="1:24">
      <c r="A868" s="123">
        <v>872</v>
      </c>
      <c r="B868" s="127">
        <v>113109</v>
      </c>
      <c r="C868" s="127">
        <v>8</v>
      </c>
      <c r="D868" s="127" t="s">
        <v>68</v>
      </c>
      <c r="E868" s="127">
        <v>2</v>
      </c>
      <c r="F868" s="127">
        <v>0</v>
      </c>
      <c r="G868" s="127">
        <v>21</v>
      </c>
      <c r="H868" s="127">
        <v>8.4</v>
      </c>
      <c r="I868" s="127">
        <v>168</v>
      </c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</row>
    <row r="869" s="41" customFormat="1" spans="1:11">
      <c r="A869" s="123">
        <v>873</v>
      </c>
      <c r="B869" s="64">
        <v>113110</v>
      </c>
      <c r="C869" s="41">
        <v>3</v>
      </c>
      <c r="E869" s="41">
        <v>0</v>
      </c>
      <c r="F869" s="41">
        <v>0</v>
      </c>
      <c r="G869" s="75">
        <v>12</v>
      </c>
      <c r="H869" s="75">
        <v>4.8</v>
      </c>
      <c r="I869" s="75">
        <v>96</v>
      </c>
      <c r="K869" s="79"/>
    </row>
    <row r="870" s="41" customFormat="1" spans="1:11">
      <c r="A870" s="123">
        <v>874</v>
      </c>
      <c r="B870" s="64">
        <v>113110</v>
      </c>
      <c r="C870" s="41">
        <v>4</v>
      </c>
      <c r="D870" s="41" t="s">
        <v>64</v>
      </c>
      <c r="E870" s="41">
        <v>1</v>
      </c>
      <c r="F870" s="41">
        <v>0</v>
      </c>
      <c r="G870" s="75">
        <v>13.5</v>
      </c>
      <c r="H870" s="75">
        <v>5.4</v>
      </c>
      <c r="I870" s="75">
        <v>108</v>
      </c>
      <c r="K870" s="79"/>
    </row>
    <row r="871" s="41" customFormat="1" spans="1:11">
      <c r="A871" s="123">
        <v>875</v>
      </c>
      <c r="B871" s="64">
        <v>113110</v>
      </c>
      <c r="C871" s="41">
        <v>5</v>
      </c>
      <c r="D871" s="41" t="s">
        <v>65</v>
      </c>
      <c r="E871" s="41">
        <v>1</v>
      </c>
      <c r="F871" s="41">
        <v>0</v>
      </c>
      <c r="G871" s="75">
        <v>15</v>
      </c>
      <c r="H871" s="75">
        <v>6</v>
      </c>
      <c r="I871" s="75">
        <v>120</v>
      </c>
      <c r="K871" s="79"/>
    </row>
    <row r="872" s="41" customFormat="1" spans="1:11">
      <c r="A872" s="123">
        <v>876</v>
      </c>
      <c r="B872" s="64">
        <v>113110</v>
      </c>
      <c r="C872" s="41">
        <v>6</v>
      </c>
      <c r="D872" s="41" t="s">
        <v>66</v>
      </c>
      <c r="E872" s="41">
        <v>1</v>
      </c>
      <c r="F872" s="41">
        <v>0</v>
      </c>
      <c r="G872" s="75">
        <v>17</v>
      </c>
      <c r="H872" s="75">
        <v>6.8</v>
      </c>
      <c r="I872" s="75">
        <v>136</v>
      </c>
      <c r="K872" s="79"/>
    </row>
    <row r="873" s="41" customFormat="1" spans="1:11">
      <c r="A873" s="123">
        <v>877</v>
      </c>
      <c r="B873" s="64">
        <v>113110</v>
      </c>
      <c r="C873" s="41">
        <v>7</v>
      </c>
      <c r="D873" s="41" t="s">
        <v>66</v>
      </c>
      <c r="E873" s="41">
        <v>2</v>
      </c>
      <c r="F873" s="41">
        <v>0</v>
      </c>
      <c r="G873" s="75">
        <v>19</v>
      </c>
      <c r="H873" s="75">
        <v>7.6</v>
      </c>
      <c r="I873" s="75">
        <v>152</v>
      </c>
      <c r="K873" s="79"/>
    </row>
    <row r="874" s="41" customFormat="1" spans="1:11">
      <c r="A874" s="123">
        <v>878</v>
      </c>
      <c r="B874" s="64">
        <v>113110</v>
      </c>
      <c r="C874" s="41">
        <v>8</v>
      </c>
      <c r="D874" s="41" t="s">
        <v>68</v>
      </c>
      <c r="E874" s="41">
        <v>2</v>
      </c>
      <c r="F874" s="41">
        <v>0</v>
      </c>
      <c r="G874" s="75">
        <v>21</v>
      </c>
      <c r="H874" s="75">
        <v>8.4</v>
      </c>
      <c r="I874" s="75">
        <v>168</v>
      </c>
      <c r="K874" s="79"/>
    </row>
    <row r="875" customFormat="1" spans="1:24">
      <c r="A875" s="123">
        <f>A874+1</f>
        <v>879</v>
      </c>
      <c r="B875" s="127">
        <v>113111</v>
      </c>
      <c r="C875" s="127">
        <v>3</v>
      </c>
      <c r="D875" s="127"/>
      <c r="E875" s="127">
        <v>0</v>
      </c>
      <c r="F875" s="127">
        <v>0</v>
      </c>
      <c r="G875" s="127">
        <v>12</v>
      </c>
      <c r="H875" s="127">
        <v>4.8</v>
      </c>
      <c r="I875" s="127">
        <v>96</v>
      </c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</row>
    <row r="876" customFormat="1" spans="1:24">
      <c r="A876" s="123">
        <f t="shared" ref="A876:A886" si="0">A875+1</f>
        <v>880</v>
      </c>
      <c r="B876" s="127">
        <v>113111</v>
      </c>
      <c r="C876" s="127">
        <v>4</v>
      </c>
      <c r="D876" s="127" t="s">
        <v>64</v>
      </c>
      <c r="E876" s="127">
        <v>1</v>
      </c>
      <c r="F876" s="127">
        <v>0</v>
      </c>
      <c r="G876" s="127">
        <v>13.5</v>
      </c>
      <c r="H876" s="127">
        <v>5.4</v>
      </c>
      <c r="I876" s="127">
        <v>108</v>
      </c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</row>
    <row r="877" customFormat="1" spans="1:24">
      <c r="A877" s="123">
        <f t="shared" si="0"/>
        <v>881</v>
      </c>
      <c r="B877" s="127">
        <v>113111</v>
      </c>
      <c r="C877" s="127">
        <v>5</v>
      </c>
      <c r="D877" s="127" t="s">
        <v>65</v>
      </c>
      <c r="E877" s="127">
        <v>1</v>
      </c>
      <c r="F877" s="127">
        <v>0</v>
      </c>
      <c r="G877" s="127">
        <v>15</v>
      </c>
      <c r="H877" s="127">
        <v>6</v>
      </c>
      <c r="I877" s="127">
        <v>120</v>
      </c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</row>
    <row r="878" customFormat="1" spans="1:24">
      <c r="A878" s="123">
        <f t="shared" si="0"/>
        <v>882</v>
      </c>
      <c r="B878" s="127">
        <v>113111</v>
      </c>
      <c r="C878" s="127">
        <v>6</v>
      </c>
      <c r="D878" s="127" t="s">
        <v>66</v>
      </c>
      <c r="E878" s="127">
        <v>1</v>
      </c>
      <c r="F878" s="127">
        <v>0</v>
      </c>
      <c r="G878" s="127">
        <v>17</v>
      </c>
      <c r="H878" s="127">
        <v>6.8</v>
      </c>
      <c r="I878" s="127">
        <v>136</v>
      </c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</row>
    <row r="879" customFormat="1" spans="1:24">
      <c r="A879" s="123">
        <f t="shared" si="0"/>
        <v>883</v>
      </c>
      <c r="B879" s="127">
        <v>113111</v>
      </c>
      <c r="C879" s="127">
        <v>7</v>
      </c>
      <c r="D879" s="127" t="s">
        <v>66</v>
      </c>
      <c r="E879" s="127">
        <v>2</v>
      </c>
      <c r="F879" s="127">
        <v>0</v>
      </c>
      <c r="G879" s="127">
        <v>19</v>
      </c>
      <c r="H879" s="127">
        <v>7.6</v>
      </c>
      <c r="I879" s="127">
        <v>152</v>
      </c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</row>
    <row r="880" customFormat="1" spans="1:24">
      <c r="A880" s="123">
        <f t="shared" si="0"/>
        <v>884</v>
      </c>
      <c r="B880" s="127">
        <v>113111</v>
      </c>
      <c r="C880" s="127">
        <v>8</v>
      </c>
      <c r="D880" s="127" t="s">
        <v>68</v>
      </c>
      <c r="E880" s="127">
        <v>2</v>
      </c>
      <c r="F880" s="127">
        <v>0</v>
      </c>
      <c r="G880" s="127">
        <v>21</v>
      </c>
      <c r="H880" s="127">
        <v>8.4</v>
      </c>
      <c r="I880" s="127">
        <v>168</v>
      </c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</row>
    <row r="881" s="41" customFormat="1" spans="1:11">
      <c r="A881" s="123">
        <f t="shared" si="0"/>
        <v>885</v>
      </c>
      <c r="B881" s="64">
        <v>113112</v>
      </c>
      <c r="C881" s="41">
        <v>3</v>
      </c>
      <c r="E881" s="41">
        <v>0</v>
      </c>
      <c r="F881" s="41">
        <v>0</v>
      </c>
      <c r="G881" s="75">
        <v>12</v>
      </c>
      <c r="H881" s="75">
        <v>4.8</v>
      </c>
      <c r="I881" s="75">
        <v>96</v>
      </c>
      <c r="K881" s="79"/>
    </row>
    <row r="882" s="41" customFormat="1" spans="1:11">
      <c r="A882" s="123">
        <f t="shared" si="0"/>
        <v>886</v>
      </c>
      <c r="B882" s="64">
        <v>113112</v>
      </c>
      <c r="C882" s="41">
        <v>4</v>
      </c>
      <c r="D882" s="41" t="s">
        <v>64</v>
      </c>
      <c r="E882" s="41">
        <v>1</v>
      </c>
      <c r="F882" s="41">
        <v>0</v>
      </c>
      <c r="G882" s="75">
        <v>13.5</v>
      </c>
      <c r="H882" s="75">
        <v>5.4</v>
      </c>
      <c r="I882" s="75">
        <v>108</v>
      </c>
      <c r="K882" s="79"/>
    </row>
    <row r="883" s="41" customFormat="1" spans="1:11">
      <c r="A883" s="123">
        <f t="shared" si="0"/>
        <v>887</v>
      </c>
      <c r="B883" s="64">
        <v>113112</v>
      </c>
      <c r="C883" s="41">
        <v>5</v>
      </c>
      <c r="D883" s="41" t="s">
        <v>65</v>
      </c>
      <c r="E883" s="41">
        <v>1</v>
      </c>
      <c r="F883" s="41">
        <v>0</v>
      </c>
      <c r="G883" s="75">
        <v>15</v>
      </c>
      <c r="H883" s="75">
        <v>6</v>
      </c>
      <c r="I883" s="75">
        <v>120</v>
      </c>
      <c r="K883" s="79"/>
    </row>
    <row r="884" s="41" customFormat="1" spans="1:11">
      <c r="A884" s="123">
        <f t="shared" si="0"/>
        <v>888</v>
      </c>
      <c r="B884" s="64">
        <v>113112</v>
      </c>
      <c r="C884" s="41">
        <v>6</v>
      </c>
      <c r="D884" s="41" t="s">
        <v>66</v>
      </c>
      <c r="E884" s="41">
        <v>1</v>
      </c>
      <c r="F884" s="41">
        <v>0</v>
      </c>
      <c r="G884" s="75">
        <v>17</v>
      </c>
      <c r="H884" s="75">
        <v>6.8</v>
      </c>
      <c r="I884" s="75">
        <v>136</v>
      </c>
      <c r="K884" s="79"/>
    </row>
    <row r="885" s="41" customFormat="1" spans="1:11">
      <c r="A885" s="123">
        <f t="shared" si="0"/>
        <v>889</v>
      </c>
      <c r="B885" s="64">
        <v>113112</v>
      </c>
      <c r="C885" s="41">
        <v>7</v>
      </c>
      <c r="D885" s="41" t="s">
        <v>66</v>
      </c>
      <c r="E885" s="41">
        <v>2</v>
      </c>
      <c r="F885" s="41">
        <v>0</v>
      </c>
      <c r="G885" s="75">
        <v>19</v>
      </c>
      <c r="H885" s="75">
        <v>7.6</v>
      </c>
      <c r="I885" s="75">
        <v>152</v>
      </c>
      <c r="K885" s="79"/>
    </row>
    <row r="886" s="41" customFormat="1" spans="1:11">
      <c r="A886" s="123">
        <f t="shared" si="0"/>
        <v>890</v>
      </c>
      <c r="B886" s="64">
        <v>113112</v>
      </c>
      <c r="C886" s="41">
        <v>8</v>
      </c>
      <c r="D886" s="41" t="s">
        <v>68</v>
      </c>
      <c r="E886" s="41">
        <v>2</v>
      </c>
      <c r="F886" s="41">
        <v>0</v>
      </c>
      <c r="G886" s="75">
        <v>21</v>
      </c>
      <c r="H886" s="75">
        <v>8.4</v>
      </c>
      <c r="I886" s="75">
        <v>168</v>
      </c>
      <c r="K886" s="79"/>
    </row>
    <row r="887" spans="1:9">
      <c r="A887" s="123">
        <f t="shared" ref="A887:A904" si="1">A886+1</f>
        <v>891</v>
      </c>
      <c r="B887">
        <v>119999</v>
      </c>
      <c r="C887">
        <v>3</v>
      </c>
      <c r="E887">
        <v>0</v>
      </c>
      <c r="F887">
        <v>0</v>
      </c>
      <c r="G887">
        <v>12</v>
      </c>
      <c r="H887">
        <v>4.8</v>
      </c>
      <c r="I887">
        <v>96</v>
      </c>
    </row>
    <row r="888" spans="1:9">
      <c r="A888" s="123">
        <f t="shared" si="1"/>
        <v>892</v>
      </c>
      <c r="B888">
        <v>119999</v>
      </c>
      <c r="C888">
        <v>4</v>
      </c>
      <c r="D888" t="s">
        <v>64</v>
      </c>
      <c r="E888">
        <v>1</v>
      </c>
      <c r="F888">
        <v>0</v>
      </c>
      <c r="G888">
        <v>13.5</v>
      </c>
      <c r="H888">
        <v>5.4</v>
      </c>
      <c r="I888">
        <v>108</v>
      </c>
    </row>
    <row r="889" spans="1:9">
      <c r="A889" s="123">
        <f t="shared" si="1"/>
        <v>893</v>
      </c>
      <c r="B889">
        <v>119999</v>
      </c>
      <c r="C889">
        <v>5</v>
      </c>
      <c r="D889" t="s">
        <v>65</v>
      </c>
      <c r="E889">
        <v>1</v>
      </c>
      <c r="F889">
        <v>0</v>
      </c>
      <c r="G889">
        <v>15</v>
      </c>
      <c r="H889">
        <v>6</v>
      </c>
      <c r="I889">
        <v>120</v>
      </c>
    </row>
    <row r="890" spans="1:9">
      <c r="A890" s="123">
        <f t="shared" si="1"/>
        <v>894</v>
      </c>
      <c r="B890">
        <v>119999</v>
      </c>
      <c r="C890">
        <v>6</v>
      </c>
      <c r="D890" t="s">
        <v>66</v>
      </c>
      <c r="E890">
        <v>1</v>
      </c>
      <c r="F890">
        <v>0</v>
      </c>
      <c r="G890">
        <v>17</v>
      </c>
      <c r="H890">
        <v>6.8</v>
      </c>
      <c r="I890">
        <v>136</v>
      </c>
    </row>
    <row r="891" spans="1:9">
      <c r="A891" s="123">
        <f t="shared" si="1"/>
        <v>895</v>
      </c>
      <c r="B891">
        <v>119999</v>
      </c>
      <c r="C891">
        <v>7</v>
      </c>
      <c r="D891" t="s">
        <v>66</v>
      </c>
      <c r="E891">
        <v>2</v>
      </c>
      <c r="F891">
        <v>0</v>
      </c>
      <c r="G891">
        <v>19</v>
      </c>
      <c r="H891">
        <v>7.6</v>
      </c>
      <c r="I891">
        <v>152</v>
      </c>
    </row>
    <row r="892" spans="1:9">
      <c r="A892" s="123">
        <f t="shared" si="1"/>
        <v>896</v>
      </c>
      <c r="B892">
        <v>119999</v>
      </c>
      <c r="C892">
        <v>8</v>
      </c>
      <c r="D892" t="s">
        <v>68</v>
      </c>
      <c r="E892">
        <v>2</v>
      </c>
      <c r="F892">
        <v>0</v>
      </c>
      <c r="G892">
        <v>21</v>
      </c>
      <c r="H892">
        <v>8.4</v>
      </c>
      <c r="I892">
        <v>168</v>
      </c>
    </row>
    <row r="893" s="41" customFormat="1" spans="1:11">
      <c r="A893" s="123">
        <f t="shared" si="1"/>
        <v>897</v>
      </c>
      <c r="B893" s="64">
        <v>113113</v>
      </c>
      <c r="C893" s="41">
        <v>3</v>
      </c>
      <c r="E893" s="41">
        <v>0</v>
      </c>
      <c r="F893" s="41">
        <v>0</v>
      </c>
      <c r="G893" s="75">
        <v>12</v>
      </c>
      <c r="H893" s="75">
        <v>4.8</v>
      </c>
      <c r="I893" s="75">
        <v>96</v>
      </c>
      <c r="K893" s="79"/>
    </row>
    <row r="894" s="41" customFormat="1" spans="1:11">
      <c r="A894" s="123">
        <f t="shared" si="1"/>
        <v>898</v>
      </c>
      <c r="B894" s="64">
        <v>113113</v>
      </c>
      <c r="C894" s="41">
        <v>4</v>
      </c>
      <c r="D894" s="41" t="s">
        <v>64</v>
      </c>
      <c r="E894" s="41">
        <v>1</v>
      </c>
      <c r="F894" s="41">
        <v>0</v>
      </c>
      <c r="G894" s="75">
        <v>13.5</v>
      </c>
      <c r="H894" s="75">
        <v>5.4</v>
      </c>
      <c r="I894" s="75">
        <v>108</v>
      </c>
      <c r="K894" s="79"/>
    </row>
    <row r="895" s="41" customFormat="1" spans="1:11">
      <c r="A895" s="123">
        <f t="shared" si="1"/>
        <v>899</v>
      </c>
      <c r="B895" s="64">
        <v>113113</v>
      </c>
      <c r="C895" s="41">
        <v>5</v>
      </c>
      <c r="D895" s="41" t="s">
        <v>65</v>
      </c>
      <c r="E895" s="41">
        <v>1</v>
      </c>
      <c r="F895" s="41">
        <v>0</v>
      </c>
      <c r="G895" s="75">
        <v>15</v>
      </c>
      <c r="H895" s="75">
        <v>6</v>
      </c>
      <c r="I895" s="75">
        <v>120</v>
      </c>
      <c r="K895" s="79"/>
    </row>
    <row r="896" s="41" customFormat="1" spans="1:11">
      <c r="A896" s="123">
        <f t="shared" si="1"/>
        <v>900</v>
      </c>
      <c r="B896" s="64">
        <v>113113</v>
      </c>
      <c r="C896" s="41">
        <v>6</v>
      </c>
      <c r="D896" s="41" t="s">
        <v>66</v>
      </c>
      <c r="E896" s="41">
        <v>1</v>
      </c>
      <c r="F896" s="41">
        <v>0</v>
      </c>
      <c r="G896" s="75">
        <v>17</v>
      </c>
      <c r="H896" s="75">
        <v>6.8</v>
      </c>
      <c r="I896" s="75">
        <v>136</v>
      </c>
      <c r="K896" s="79"/>
    </row>
    <row r="897" s="41" customFormat="1" spans="1:11">
      <c r="A897" s="123">
        <f t="shared" si="1"/>
        <v>901</v>
      </c>
      <c r="B897" s="64">
        <v>113113</v>
      </c>
      <c r="C897" s="41">
        <v>7</v>
      </c>
      <c r="D897" s="41" t="s">
        <v>66</v>
      </c>
      <c r="E897" s="41">
        <v>2</v>
      </c>
      <c r="F897" s="41">
        <v>0</v>
      </c>
      <c r="G897" s="75">
        <v>19</v>
      </c>
      <c r="H897" s="75">
        <v>7.6</v>
      </c>
      <c r="I897" s="75">
        <v>152</v>
      </c>
      <c r="K897" s="79"/>
    </row>
    <row r="898" s="41" customFormat="1" spans="1:11">
      <c r="A898" s="123">
        <f t="shared" si="1"/>
        <v>902</v>
      </c>
      <c r="B898" s="64">
        <v>113113</v>
      </c>
      <c r="C898" s="41">
        <v>8</v>
      </c>
      <c r="D898" s="41" t="s">
        <v>68</v>
      </c>
      <c r="E898" s="41">
        <v>2</v>
      </c>
      <c r="F898" s="41">
        <v>0</v>
      </c>
      <c r="G898" s="75">
        <v>21</v>
      </c>
      <c r="H898" s="75">
        <v>8.4</v>
      </c>
      <c r="I898" s="75">
        <v>168</v>
      </c>
      <c r="K898" s="79"/>
    </row>
    <row r="899" customFormat="1" spans="1:24">
      <c r="A899" s="123">
        <f t="shared" si="1"/>
        <v>903</v>
      </c>
      <c r="B899" s="127">
        <v>113114</v>
      </c>
      <c r="C899" s="127">
        <v>3</v>
      </c>
      <c r="D899" s="127"/>
      <c r="E899" s="127">
        <v>0</v>
      </c>
      <c r="F899" s="127">
        <v>0</v>
      </c>
      <c r="G899" s="127">
        <v>12</v>
      </c>
      <c r="H899" s="127">
        <v>4.8</v>
      </c>
      <c r="I899" s="127">
        <v>96</v>
      </c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</row>
    <row r="900" customFormat="1" spans="1:24">
      <c r="A900" s="123">
        <f t="shared" si="1"/>
        <v>904</v>
      </c>
      <c r="B900" s="127">
        <v>113114</v>
      </c>
      <c r="C900" s="127">
        <v>4</v>
      </c>
      <c r="D900" s="127" t="s">
        <v>64</v>
      </c>
      <c r="E900" s="127">
        <v>1</v>
      </c>
      <c r="F900" s="127">
        <v>0</v>
      </c>
      <c r="G900" s="127">
        <v>13.5</v>
      </c>
      <c r="H900" s="127">
        <v>5.4</v>
      </c>
      <c r="I900" s="127">
        <v>108</v>
      </c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</row>
    <row r="901" customFormat="1" spans="1:24">
      <c r="A901" s="123">
        <f t="shared" si="1"/>
        <v>905</v>
      </c>
      <c r="B901" s="127">
        <v>113114</v>
      </c>
      <c r="C901" s="127">
        <v>5</v>
      </c>
      <c r="D901" s="127" t="s">
        <v>65</v>
      </c>
      <c r="E901" s="127">
        <v>1</v>
      </c>
      <c r="F901" s="127">
        <v>0</v>
      </c>
      <c r="G901" s="127">
        <v>15</v>
      </c>
      <c r="H901" s="127">
        <v>6</v>
      </c>
      <c r="I901" s="127">
        <v>120</v>
      </c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</row>
    <row r="902" customFormat="1" spans="1:24">
      <c r="A902" s="123">
        <f t="shared" si="1"/>
        <v>906</v>
      </c>
      <c r="B902" s="127">
        <v>113114</v>
      </c>
      <c r="C902" s="127">
        <v>6</v>
      </c>
      <c r="D902" s="127" t="s">
        <v>66</v>
      </c>
      <c r="E902" s="127">
        <v>1</v>
      </c>
      <c r="F902" s="127">
        <v>0</v>
      </c>
      <c r="G902" s="127">
        <v>17</v>
      </c>
      <c r="H902" s="127">
        <v>6.8</v>
      </c>
      <c r="I902" s="127">
        <v>136</v>
      </c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</row>
    <row r="903" customFormat="1" spans="1:24">
      <c r="A903" s="123">
        <f t="shared" si="1"/>
        <v>907</v>
      </c>
      <c r="B903" s="127">
        <v>113114</v>
      </c>
      <c r="C903" s="127">
        <v>7</v>
      </c>
      <c r="D903" s="127" t="s">
        <v>66</v>
      </c>
      <c r="E903" s="127">
        <v>2</v>
      </c>
      <c r="F903" s="127">
        <v>0</v>
      </c>
      <c r="G903" s="127">
        <v>19</v>
      </c>
      <c r="H903" s="127">
        <v>7.6</v>
      </c>
      <c r="I903" s="127">
        <v>152</v>
      </c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</row>
    <row r="904" customFormat="1" spans="1:24">
      <c r="A904" s="123">
        <f t="shared" si="1"/>
        <v>908</v>
      </c>
      <c r="B904" s="127">
        <v>113114</v>
      </c>
      <c r="C904" s="127">
        <v>8</v>
      </c>
      <c r="D904" s="127" t="s">
        <v>68</v>
      </c>
      <c r="E904" s="127">
        <v>2</v>
      </c>
      <c r="F904" s="127">
        <v>0</v>
      </c>
      <c r="G904" s="127">
        <v>21</v>
      </c>
      <c r="H904" s="127">
        <v>8.4</v>
      </c>
      <c r="I904" s="127">
        <v>168</v>
      </c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</row>
  </sheetData>
  <autoFilter ref="A6:X898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9"/>
  <sheetViews>
    <sheetView workbookViewId="0">
      <selection activeCell="E21" sqref="E21:G25"/>
    </sheetView>
  </sheetViews>
  <sheetFormatPr defaultColWidth="9" defaultRowHeight="13.5"/>
  <cols>
    <col min="1" max="1" width="9" customWidth="1"/>
  </cols>
  <sheetData>
    <row r="1" spans="1:15">
      <c r="A1">
        <v>64.8</v>
      </c>
      <c r="B1">
        <v>4.6</v>
      </c>
      <c r="C1">
        <v>5.4</v>
      </c>
      <c r="D1">
        <v>81.9</v>
      </c>
      <c r="E1">
        <v>5.9</v>
      </c>
      <c r="F1">
        <v>6.8</v>
      </c>
      <c r="G1">
        <v>99.1</v>
      </c>
      <c r="H1">
        <v>7.1</v>
      </c>
      <c r="I1">
        <v>8.3</v>
      </c>
      <c r="J1">
        <v>116.2</v>
      </c>
      <c r="K1">
        <v>8.3</v>
      </c>
      <c r="L1">
        <v>9.7</v>
      </c>
      <c r="M1">
        <v>133.3</v>
      </c>
      <c r="N1">
        <v>9.5</v>
      </c>
      <c r="O1">
        <v>11.1</v>
      </c>
    </row>
    <row r="2" spans="1:15">
      <c r="A2">
        <v>55.6</v>
      </c>
      <c r="B2">
        <v>6.2</v>
      </c>
      <c r="C2">
        <v>4.6</v>
      </c>
      <c r="D2">
        <v>70.2</v>
      </c>
      <c r="E2">
        <v>7.8</v>
      </c>
      <c r="F2">
        <v>5.9</v>
      </c>
      <c r="G2">
        <v>84.9</v>
      </c>
      <c r="H2">
        <v>9.4</v>
      </c>
      <c r="I2">
        <v>7.1</v>
      </c>
      <c r="J2">
        <v>99.6</v>
      </c>
      <c r="K2">
        <v>11.1</v>
      </c>
      <c r="L2">
        <v>8.3</v>
      </c>
      <c r="M2">
        <v>114.2</v>
      </c>
      <c r="N2">
        <v>12.7</v>
      </c>
      <c r="O2">
        <v>9.5</v>
      </c>
    </row>
    <row r="4" spans="2:3">
      <c r="B4" s="52" t="s">
        <v>69</v>
      </c>
      <c r="C4" s="52"/>
    </row>
    <row r="5" spans="2:3">
      <c r="B5" s="52" t="s">
        <v>70</v>
      </c>
      <c r="C5" s="52">
        <v>1</v>
      </c>
    </row>
    <row r="6" spans="2:3">
      <c r="B6" s="52" t="s">
        <v>71</v>
      </c>
      <c r="C6" s="52">
        <v>2</v>
      </c>
    </row>
    <row r="7" spans="2:3">
      <c r="B7" s="52" t="s">
        <v>72</v>
      </c>
      <c r="C7" s="52">
        <v>3</v>
      </c>
    </row>
    <row r="8" spans="2:3">
      <c r="B8" s="52" t="s">
        <v>73</v>
      </c>
      <c r="C8" s="52">
        <v>4</v>
      </c>
    </row>
    <row r="9" spans="2:3">
      <c r="B9" s="52" t="s">
        <v>74</v>
      </c>
      <c r="C9" s="52">
        <v>5</v>
      </c>
    </row>
    <row r="10" spans="2:3">
      <c r="B10" s="52" t="s">
        <v>75</v>
      </c>
      <c r="C10" s="52">
        <v>6</v>
      </c>
    </row>
    <row r="11" spans="2:3">
      <c r="B11" s="52" t="s">
        <v>76</v>
      </c>
      <c r="C11" s="52">
        <v>7</v>
      </c>
    </row>
    <row r="12" spans="2:3">
      <c r="B12" s="52" t="s">
        <v>77</v>
      </c>
      <c r="C12" s="52">
        <v>8</v>
      </c>
    </row>
    <row r="15" spans="2:5">
      <c r="B15" t="s">
        <v>78</v>
      </c>
      <c r="C15" t="s">
        <v>79</v>
      </c>
      <c r="D15" t="s">
        <v>80</v>
      </c>
      <c r="E15" t="s">
        <v>81</v>
      </c>
    </row>
    <row r="16" spans="2:5">
      <c r="B16">
        <v>6</v>
      </c>
      <c r="C16">
        <v>4</v>
      </c>
      <c r="D16">
        <v>6</v>
      </c>
      <c r="E16">
        <v>5</v>
      </c>
    </row>
    <row r="17" spans="2:5">
      <c r="B17">
        <v>5</v>
      </c>
      <c r="C17">
        <v>5</v>
      </c>
      <c r="D17">
        <v>6</v>
      </c>
      <c r="E17">
        <v>4</v>
      </c>
    </row>
    <row r="19" spans="1:1">
      <c r="A19" t="s">
        <v>82</v>
      </c>
    </row>
    <row r="20" spans="5:7">
      <c r="E20" t="s">
        <v>78</v>
      </c>
      <c r="F20" t="s">
        <v>83</v>
      </c>
      <c r="G20" t="s">
        <v>80</v>
      </c>
    </row>
    <row r="21" spans="5:7">
      <c r="E21">
        <v>4.6</v>
      </c>
      <c r="F21">
        <v>5.4</v>
      </c>
      <c r="G21">
        <v>64.8</v>
      </c>
    </row>
    <row r="22" spans="5:7">
      <c r="E22">
        <v>5.9</v>
      </c>
      <c r="F22">
        <v>6.8</v>
      </c>
      <c r="G22">
        <v>81.9</v>
      </c>
    </row>
    <row r="23" spans="5:7">
      <c r="E23">
        <v>7.1</v>
      </c>
      <c r="F23">
        <v>8.3</v>
      </c>
      <c r="G23">
        <v>99.1</v>
      </c>
    </row>
    <row r="24" spans="5:7">
      <c r="E24">
        <v>8.3</v>
      </c>
      <c r="F24">
        <v>9.7</v>
      </c>
      <c r="G24">
        <v>116.2</v>
      </c>
    </row>
    <row r="25" spans="5:7">
      <c r="E25">
        <v>9.5</v>
      </c>
      <c r="F25">
        <v>11.1</v>
      </c>
      <c r="G25">
        <v>133.3</v>
      </c>
    </row>
    <row r="27" spans="7:7">
      <c r="G27" t="s">
        <v>84</v>
      </c>
    </row>
    <row r="48" spans="7:14">
      <c r="G48">
        <v>8</v>
      </c>
      <c r="H48">
        <v>8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</row>
    <row r="49" spans="7:14">
      <c r="G49">
        <v>8</v>
      </c>
      <c r="H49">
        <v>8</v>
      </c>
      <c r="I49">
        <v>8</v>
      </c>
      <c r="J49">
        <v>8</v>
      </c>
      <c r="K49">
        <v>8</v>
      </c>
      <c r="L49">
        <v>8</v>
      </c>
      <c r="M49">
        <v>8</v>
      </c>
      <c r="N49">
        <v>8</v>
      </c>
    </row>
    <row r="50" spans="7:14">
      <c r="G50">
        <v>8</v>
      </c>
      <c r="H50">
        <v>5</v>
      </c>
      <c r="I50">
        <v>3</v>
      </c>
      <c r="J50">
        <v>5</v>
      </c>
      <c r="K50">
        <v>8</v>
      </c>
      <c r="L50">
        <v>8</v>
      </c>
      <c r="M50">
        <v>8</v>
      </c>
      <c r="N50">
        <v>8</v>
      </c>
    </row>
    <row r="51" spans="7:14">
      <c r="G51">
        <v>8</v>
      </c>
      <c r="H51">
        <v>5</v>
      </c>
      <c r="I51">
        <v>3</v>
      </c>
      <c r="J51">
        <v>5</v>
      </c>
      <c r="K51">
        <v>8</v>
      </c>
      <c r="L51">
        <v>8</v>
      </c>
      <c r="M51">
        <v>8</v>
      </c>
      <c r="N51">
        <v>8</v>
      </c>
    </row>
    <row r="52" spans="7:14">
      <c r="G52">
        <v>8</v>
      </c>
      <c r="H52">
        <v>5</v>
      </c>
      <c r="I52">
        <v>3</v>
      </c>
      <c r="J52">
        <v>5</v>
      </c>
      <c r="K52">
        <v>8</v>
      </c>
      <c r="L52">
        <v>8</v>
      </c>
      <c r="M52">
        <v>8</v>
      </c>
      <c r="N52">
        <v>8</v>
      </c>
    </row>
    <row r="53" spans="7:14">
      <c r="G53">
        <v>8</v>
      </c>
      <c r="H53">
        <v>5</v>
      </c>
      <c r="I53">
        <v>3</v>
      </c>
      <c r="J53">
        <v>5</v>
      </c>
      <c r="K53">
        <v>8</v>
      </c>
      <c r="L53">
        <v>8</v>
      </c>
      <c r="M53">
        <v>8</v>
      </c>
      <c r="N53">
        <v>8</v>
      </c>
    </row>
    <row r="54" spans="7:14">
      <c r="G54">
        <v>4</v>
      </c>
      <c r="H54">
        <v>5</v>
      </c>
      <c r="I54">
        <v>3</v>
      </c>
      <c r="J54">
        <v>5</v>
      </c>
      <c r="K54">
        <v>8</v>
      </c>
      <c r="L54">
        <v>8</v>
      </c>
      <c r="M54">
        <v>8</v>
      </c>
      <c r="N54">
        <v>8</v>
      </c>
    </row>
    <row r="55" spans="7:14">
      <c r="G55">
        <v>3</v>
      </c>
      <c r="H55">
        <v>5</v>
      </c>
      <c r="I55">
        <v>3</v>
      </c>
      <c r="J55">
        <v>5</v>
      </c>
      <c r="K55">
        <v>8</v>
      </c>
      <c r="L55">
        <v>8</v>
      </c>
      <c r="M55">
        <v>8</v>
      </c>
      <c r="N55">
        <v>8</v>
      </c>
    </row>
    <row r="56" spans="7:14">
      <c r="G56">
        <v>8</v>
      </c>
      <c r="H56">
        <v>8</v>
      </c>
      <c r="I56">
        <v>8</v>
      </c>
      <c r="J56">
        <v>8</v>
      </c>
      <c r="K56">
        <v>8</v>
      </c>
      <c r="L56">
        <v>8</v>
      </c>
      <c r="M56">
        <v>8</v>
      </c>
      <c r="N56">
        <v>8</v>
      </c>
    </row>
    <row r="57" spans="7:14">
      <c r="G57">
        <v>8</v>
      </c>
      <c r="H57">
        <v>8</v>
      </c>
      <c r="I57">
        <v>8</v>
      </c>
      <c r="J57">
        <v>8</v>
      </c>
      <c r="K57">
        <v>8</v>
      </c>
      <c r="L57">
        <v>8</v>
      </c>
      <c r="M57">
        <v>8</v>
      </c>
      <c r="N57">
        <v>8</v>
      </c>
    </row>
    <row r="58" spans="7:14">
      <c r="G58">
        <v>8</v>
      </c>
      <c r="H58">
        <v>5</v>
      </c>
      <c r="I58">
        <v>3</v>
      </c>
      <c r="J58">
        <v>5</v>
      </c>
      <c r="K58">
        <v>8</v>
      </c>
      <c r="L58">
        <v>8</v>
      </c>
      <c r="M58">
        <v>8</v>
      </c>
      <c r="N58">
        <v>8</v>
      </c>
    </row>
    <row r="59" spans="7:14">
      <c r="G59">
        <v>8</v>
      </c>
      <c r="H59">
        <v>5</v>
      </c>
      <c r="I59">
        <v>3</v>
      </c>
      <c r="J59">
        <v>5</v>
      </c>
      <c r="K59">
        <v>8</v>
      </c>
      <c r="L59">
        <v>8</v>
      </c>
      <c r="M59">
        <v>8</v>
      </c>
      <c r="N59">
        <v>8</v>
      </c>
    </row>
    <row r="60" spans="7:14">
      <c r="G60">
        <v>8</v>
      </c>
      <c r="H60">
        <v>5</v>
      </c>
      <c r="I60">
        <v>3</v>
      </c>
      <c r="J60">
        <v>5</v>
      </c>
      <c r="K60">
        <v>8</v>
      </c>
      <c r="L60">
        <v>8</v>
      </c>
      <c r="M60">
        <v>8</v>
      </c>
      <c r="N60">
        <v>8</v>
      </c>
    </row>
    <row r="61" spans="7:14">
      <c r="G61">
        <v>8</v>
      </c>
      <c r="H61">
        <v>5</v>
      </c>
      <c r="I61">
        <v>3</v>
      </c>
      <c r="J61">
        <v>5</v>
      </c>
      <c r="K61">
        <v>8</v>
      </c>
      <c r="L61">
        <v>8</v>
      </c>
      <c r="M61">
        <v>8</v>
      </c>
      <c r="N61">
        <v>8</v>
      </c>
    </row>
    <row r="62" spans="7:14">
      <c r="G62">
        <v>4</v>
      </c>
      <c r="H62">
        <v>5</v>
      </c>
      <c r="I62">
        <v>3</v>
      </c>
      <c r="J62">
        <v>5</v>
      </c>
      <c r="K62">
        <v>8</v>
      </c>
      <c r="L62">
        <v>8</v>
      </c>
      <c r="M62">
        <v>8</v>
      </c>
      <c r="N62">
        <v>8</v>
      </c>
    </row>
    <row r="63" spans="7:14">
      <c r="G63">
        <v>3</v>
      </c>
      <c r="H63">
        <v>5</v>
      </c>
      <c r="I63">
        <v>3</v>
      </c>
      <c r="J63">
        <v>5</v>
      </c>
      <c r="K63">
        <v>8</v>
      </c>
      <c r="L63">
        <v>8</v>
      </c>
      <c r="M63">
        <v>8</v>
      </c>
      <c r="N63">
        <v>8</v>
      </c>
    </row>
    <row r="64" spans="7:14">
      <c r="G64">
        <v>8</v>
      </c>
      <c r="H64">
        <v>8</v>
      </c>
      <c r="I64">
        <v>8</v>
      </c>
      <c r="J64">
        <v>8</v>
      </c>
      <c r="K64">
        <v>8</v>
      </c>
      <c r="L64">
        <v>8</v>
      </c>
      <c r="M64">
        <v>8</v>
      </c>
      <c r="N64">
        <v>8</v>
      </c>
    </row>
    <row r="65" spans="7:14">
      <c r="G65">
        <v>8</v>
      </c>
      <c r="H65">
        <v>8</v>
      </c>
      <c r="I65">
        <v>8</v>
      </c>
      <c r="J65">
        <v>8</v>
      </c>
      <c r="K65">
        <v>8</v>
      </c>
      <c r="L65">
        <v>8</v>
      </c>
      <c r="M65">
        <v>8</v>
      </c>
      <c r="N65">
        <v>8</v>
      </c>
    </row>
    <row r="66" spans="7:14">
      <c r="G66">
        <v>8</v>
      </c>
      <c r="H66">
        <v>5</v>
      </c>
      <c r="I66">
        <v>3</v>
      </c>
      <c r="J66">
        <v>5</v>
      </c>
      <c r="K66">
        <v>8</v>
      </c>
      <c r="L66">
        <v>8</v>
      </c>
      <c r="M66">
        <v>8</v>
      </c>
      <c r="N66">
        <v>8</v>
      </c>
    </row>
    <row r="67" spans="7:14">
      <c r="G67">
        <v>8</v>
      </c>
      <c r="H67">
        <v>5</v>
      </c>
      <c r="I67">
        <v>3</v>
      </c>
      <c r="J67">
        <v>5</v>
      </c>
      <c r="K67">
        <v>8</v>
      </c>
      <c r="L67">
        <v>8</v>
      </c>
      <c r="M67">
        <v>8</v>
      </c>
      <c r="N67">
        <v>8</v>
      </c>
    </row>
    <row r="68" spans="7:14">
      <c r="G68">
        <v>8</v>
      </c>
      <c r="H68">
        <v>5</v>
      </c>
      <c r="I68">
        <v>3</v>
      </c>
      <c r="J68">
        <v>5</v>
      </c>
      <c r="K68">
        <v>8</v>
      </c>
      <c r="L68">
        <v>8</v>
      </c>
      <c r="M68">
        <v>8</v>
      </c>
      <c r="N68">
        <v>8</v>
      </c>
    </row>
    <row r="69" spans="7:14">
      <c r="G69">
        <v>8</v>
      </c>
      <c r="H69">
        <v>5</v>
      </c>
      <c r="I69">
        <v>3</v>
      </c>
      <c r="J69">
        <v>5</v>
      </c>
      <c r="K69">
        <v>8</v>
      </c>
      <c r="L69">
        <v>8</v>
      </c>
      <c r="M69">
        <v>8</v>
      </c>
      <c r="N69">
        <v>8</v>
      </c>
    </row>
    <row r="70" spans="7:14">
      <c r="G70">
        <v>4</v>
      </c>
      <c r="H70">
        <v>5</v>
      </c>
      <c r="I70">
        <v>3</v>
      </c>
      <c r="J70">
        <v>5</v>
      </c>
      <c r="K70">
        <v>8</v>
      </c>
      <c r="L70">
        <v>8</v>
      </c>
      <c r="M70">
        <v>8</v>
      </c>
      <c r="N70">
        <v>8</v>
      </c>
    </row>
    <row r="71" spans="7:14">
      <c r="G71">
        <v>3</v>
      </c>
      <c r="H71">
        <v>5</v>
      </c>
      <c r="I71">
        <v>3</v>
      </c>
      <c r="J71">
        <v>5</v>
      </c>
      <c r="K71">
        <v>8</v>
      </c>
      <c r="L71">
        <v>8</v>
      </c>
      <c r="M71">
        <v>8</v>
      </c>
      <c r="N71">
        <v>8</v>
      </c>
    </row>
    <row r="72" spans="7:14">
      <c r="G72">
        <v>8</v>
      </c>
      <c r="H72">
        <v>8</v>
      </c>
      <c r="I72">
        <v>8</v>
      </c>
      <c r="J72">
        <v>8</v>
      </c>
      <c r="K72">
        <v>8</v>
      </c>
      <c r="L72">
        <v>8</v>
      </c>
      <c r="M72">
        <v>8</v>
      </c>
      <c r="N72">
        <v>8</v>
      </c>
    </row>
    <row r="73" spans="7:14">
      <c r="G73">
        <v>8</v>
      </c>
      <c r="H73">
        <v>8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</row>
    <row r="74" spans="7:14">
      <c r="G74">
        <v>8</v>
      </c>
      <c r="H74">
        <v>5</v>
      </c>
      <c r="I74">
        <v>3</v>
      </c>
      <c r="J74">
        <v>5</v>
      </c>
      <c r="K74">
        <v>8</v>
      </c>
      <c r="L74">
        <v>8</v>
      </c>
      <c r="M74">
        <v>8</v>
      </c>
      <c r="N74">
        <v>8</v>
      </c>
    </row>
    <row r="75" spans="7:14">
      <c r="G75">
        <v>8</v>
      </c>
      <c r="H75">
        <v>5</v>
      </c>
      <c r="I75">
        <v>3</v>
      </c>
      <c r="J75">
        <v>5</v>
      </c>
      <c r="K75">
        <v>8</v>
      </c>
      <c r="L75">
        <v>8</v>
      </c>
      <c r="M75">
        <v>8</v>
      </c>
      <c r="N75">
        <v>8</v>
      </c>
    </row>
    <row r="76" spans="7:14">
      <c r="G76">
        <v>8</v>
      </c>
      <c r="H76">
        <v>5</v>
      </c>
      <c r="I76">
        <v>3</v>
      </c>
      <c r="J76">
        <v>5</v>
      </c>
      <c r="K76">
        <v>8</v>
      </c>
      <c r="L76">
        <v>8</v>
      </c>
      <c r="M76">
        <v>8</v>
      </c>
      <c r="N76">
        <v>8</v>
      </c>
    </row>
    <row r="77" spans="7:14">
      <c r="G77">
        <v>8</v>
      </c>
      <c r="H77">
        <v>5</v>
      </c>
      <c r="I77">
        <v>3</v>
      </c>
      <c r="J77">
        <v>5</v>
      </c>
      <c r="K77">
        <v>8</v>
      </c>
      <c r="L77">
        <v>8</v>
      </c>
      <c r="M77">
        <v>8</v>
      </c>
      <c r="N77">
        <v>8</v>
      </c>
    </row>
    <row r="78" spans="7:14">
      <c r="G78">
        <v>4</v>
      </c>
      <c r="H78">
        <v>5</v>
      </c>
      <c r="I78">
        <v>3</v>
      </c>
      <c r="J78">
        <v>5</v>
      </c>
      <c r="K78">
        <v>8</v>
      </c>
      <c r="L78">
        <v>8</v>
      </c>
      <c r="M78">
        <v>8</v>
      </c>
      <c r="N78">
        <v>8</v>
      </c>
    </row>
    <row r="79" spans="7:14">
      <c r="G79">
        <v>3</v>
      </c>
      <c r="H79">
        <v>5</v>
      </c>
      <c r="I79">
        <v>3</v>
      </c>
      <c r="J79">
        <v>5</v>
      </c>
      <c r="K79">
        <v>8</v>
      </c>
      <c r="L79">
        <v>8</v>
      </c>
      <c r="M79">
        <v>8</v>
      </c>
      <c r="N79">
        <v>8</v>
      </c>
    </row>
    <row r="80" spans="7:14">
      <c r="G80">
        <v>8</v>
      </c>
      <c r="H80">
        <v>8</v>
      </c>
      <c r="I80">
        <v>8</v>
      </c>
      <c r="J80">
        <v>8</v>
      </c>
      <c r="K80">
        <v>8</v>
      </c>
      <c r="L80">
        <v>8</v>
      </c>
      <c r="M80">
        <v>8</v>
      </c>
      <c r="N80">
        <v>8</v>
      </c>
    </row>
    <row r="81" spans="7:14">
      <c r="G81">
        <v>8</v>
      </c>
      <c r="H81">
        <v>8</v>
      </c>
      <c r="I81">
        <v>8</v>
      </c>
      <c r="J81">
        <v>8</v>
      </c>
      <c r="K81">
        <v>8</v>
      </c>
      <c r="L81">
        <v>8</v>
      </c>
      <c r="M81">
        <v>8</v>
      </c>
      <c r="N81">
        <v>8</v>
      </c>
    </row>
    <row r="82" spans="7:14">
      <c r="G82">
        <v>8</v>
      </c>
      <c r="H82">
        <v>5</v>
      </c>
      <c r="I82">
        <v>3</v>
      </c>
      <c r="J82">
        <v>5</v>
      </c>
      <c r="K82">
        <v>8</v>
      </c>
      <c r="L82">
        <v>8</v>
      </c>
      <c r="M82">
        <v>8</v>
      </c>
      <c r="N82">
        <v>8</v>
      </c>
    </row>
    <row r="83" spans="7:14">
      <c r="G83">
        <v>8</v>
      </c>
      <c r="H83">
        <v>5</v>
      </c>
      <c r="I83">
        <v>3</v>
      </c>
      <c r="J83">
        <v>5</v>
      </c>
      <c r="K83">
        <v>8</v>
      </c>
      <c r="L83">
        <v>8</v>
      </c>
      <c r="M83">
        <v>8</v>
      </c>
      <c r="N83">
        <v>8</v>
      </c>
    </row>
    <row r="84" spans="7:14">
      <c r="G84">
        <v>8</v>
      </c>
      <c r="H84">
        <v>5</v>
      </c>
      <c r="I84">
        <v>3</v>
      </c>
      <c r="J84">
        <v>5</v>
      </c>
      <c r="K84">
        <v>8</v>
      </c>
      <c r="L84">
        <v>8</v>
      </c>
      <c r="M84">
        <v>8</v>
      </c>
      <c r="N84">
        <v>8</v>
      </c>
    </row>
    <row r="85" spans="7:14">
      <c r="G85">
        <v>8</v>
      </c>
      <c r="H85">
        <v>5</v>
      </c>
      <c r="I85">
        <v>3</v>
      </c>
      <c r="J85">
        <v>5</v>
      </c>
      <c r="K85">
        <v>8</v>
      </c>
      <c r="L85">
        <v>8</v>
      </c>
      <c r="M85">
        <v>8</v>
      </c>
      <c r="N85">
        <v>8</v>
      </c>
    </row>
    <row r="86" spans="7:14">
      <c r="G86">
        <v>4</v>
      </c>
      <c r="H86">
        <v>5</v>
      </c>
      <c r="I86">
        <v>3</v>
      </c>
      <c r="J86">
        <v>5</v>
      </c>
      <c r="K86">
        <v>8</v>
      </c>
      <c r="L86">
        <v>8</v>
      </c>
      <c r="M86">
        <v>8</v>
      </c>
      <c r="N86">
        <v>8</v>
      </c>
    </row>
    <row r="87" spans="7:14">
      <c r="G87">
        <v>3</v>
      </c>
      <c r="H87">
        <v>5</v>
      </c>
      <c r="I87">
        <v>3</v>
      </c>
      <c r="J87">
        <v>5</v>
      </c>
      <c r="K87">
        <v>8</v>
      </c>
      <c r="L87">
        <v>8</v>
      </c>
      <c r="M87">
        <v>8</v>
      </c>
      <c r="N87">
        <v>8</v>
      </c>
    </row>
    <row r="88" spans="7:14">
      <c r="G88">
        <v>8</v>
      </c>
      <c r="H88">
        <v>8</v>
      </c>
      <c r="I88">
        <v>8</v>
      </c>
      <c r="J88">
        <v>8</v>
      </c>
      <c r="K88">
        <v>8</v>
      </c>
      <c r="L88">
        <v>8</v>
      </c>
      <c r="M88">
        <v>8</v>
      </c>
      <c r="N88">
        <v>8</v>
      </c>
    </row>
    <row r="89" spans="7:14">
      <c r="G89">
        <v>8</v>
      </c>
      <c r="H89">
        <v>8</v>
      </c>
      <c r="I89">
        <v>8</v>
      </c>
      <c r="J89">
        <v>8</v>
      </c>
      <c r="K89">
        <v>8</v>
      </c>
      <c r="L89">
        <v>8</v>
      </c>
      <c r="M89">
        <v>8</v>
      </c>
      <c r="N89">
        <v>8</v>
      </c>
    </row>
    <row r="90" spans="7:14">
      <c r="G90">
        <v>8</v>
      </c>
      <c r="H90">
        <v>5</v>
      </c>
      <c r="I90">
        <v>3</v>
      </c>
      <c r="J90">
        <v>5</v>
      </c>
      <c r="K90">
        <v>8</v>
      </c>
      <c r="L90">
        <v>8</v>
      </c>
      <c r="M90">
        <v>8</v>
      </c>
      <c r="N90">
        <v>8</v>
      </c>
    </row>
    <row r="91" spans="7:14">
      <c r="G91">
        <v>8</v>
      </c>
      <c r="H91">
        <v>5</v>
      </c>
      <c r="I91">
        <v>3</v>
      </c>
      <c r="J91">
        <v>5</v>
      </c>
      <c r="K91">
        <v>8</v>
      </c>
      <c r="L91">
        <v>8</v>
      </c>
      <c r="M91">
        <v>8</v>
      </c>
      <c r="N91">
        <v>8</v>
      </c>
    </row>
    <row r="92" spans="7:14">
      <c r="G92">
        <v>8</v>
      </c>
      <c r="H92">
        <v>5</v>
      </c>
      <c r="I92">
        <v>3</v>
      </c>
      <c r="J92">
        <v>5</v>
      </c>
      <c r="K92">
        <v>8</v>
      </c>
      <c r="L92">
        <v>8</v>
      </c>
      <c r="M92">
        <v>8</v>
      </c>
      <c r="N92">
        <v>8</v>
      </c>
    </row>
    <row r="93" spans="7:14">
      <c r="G93">
        <v>8</v>
      </c>
      <c r="H93">
        <v>5</v>
      </c>
      <c r="I93">
        <v>3</v>
      </c>
      <c r="J93">
        <v>5</v>
      </c>
      <c r="K93">
        <v>8</v>
      </c>
      <c r="L93">
        <v>8</v>
      </c>
      <c r="M93">
        <v>8</v>
      </c>
      <c r="N93">
        <v>8</v>
      </c>
    </row>
    <row r="94" spans="7:14">
      <c r="G94">
        <v>4</v>
      </c>
      <c r="H94">
        <v>5</v>
      </c>
      <c r="I94">
        <v>3</v>
      </c>
      <c r="J94">
        <v>5</v>
      </c>
      <c r="K94">
        <v>8</v>
      </c>
      <c r="L94">
        <v>8</v>
      </c>
      <c r="M94">
        <v>8</v>
      </c>
      <c r="N94">
        <v>8</v>
      </c>
    </row>
    <row r="95" spans="7:14">
      <c r="G95">
        <v>3</v>
      </c>
      <c r="H95">
        <v>5</v>
      </c>
      <c r="I95">
        <v>3</v>
      </c>
      <c r="J95">
        <v>5</v>
      </c>
      <c r="K95">
        <v>8</v>
      </c>
      <c r="L95">
        <v>8</v>
      </c>
      <c r="M95">
        <v>8</v>
      </c>
      <c r="N95">
        <v>8</v>
      </c>
    </row>
    <row r="96" spans="7:14">
      <c r="G96">
        <v>8</v>
      </c>
      <c r="H96">
        <v>8</v>
      </c>
      <c r="I96">
        <v>8</v>
      </c>
      <c r="J96">
        <v>8</v>
      </c>
      <c r="K96">
        <v>8</v>
      </c>
      <c r="L96">
        <v>8</v>
      </c>
      <c r="M96">
        <v>8</v>
      </c>
      <c r="N96">
        <v>8</v>
      </c>
    </row>
    <row r="97" spans="7:14">
      <c r="G97">
        <v>8</v>
      </c>
      <c r="H97">
        <v>8</v>
      </c>
      <c r="I97">
        <v>8</v>
      </c>
      <c r="J97">
        <v>8</v>
      </c>
      <c r="K97">
        <v>8</v>
      </c>
      <c r="L97">
        <v>8</v>
      </c>
      <c r="M97">
        <v>8</v>
      </c>
      <c r="N97">
        <v>8</v>
      </c>
    </row>
    <row r="98" spans="7:14">
      <c r="G98">
        <v>8</v>
      </c>
      <c r="H98">
        <v>5</v>
      </c>
      <c r="I98">
        <v>3</v>
      </c>
      <c r="J98">
        <v>5</v>
      </c>
      <c r="K98">
        <v>8</v>
      </c>
      <c r="L98">
        <v>8</v>
      </c>
      <c r="M98">
        <v>8</v>
      </c>
      <c r="N98">
        <v>8</v>
      </c>
    </row>
    <row r="99" spans="7:14">
      <c r="G99">
        <v>8</v>
      </c>
      <c r="H99">
        <v>5</v>
      </c>
      <c r="I99">
        <v>3</v>
      </c>
      <c r="J99">
        <v>5</v>
      </c>
      <c r="K99">
        <v>8</v>
      </c>
      <c r="L99">
        <v>8</v>
      </c>
      <c r="M99">
        <v>8</v>
      </c>
      <c r="N99">
        <v>8</v>
      </c>
    </row>
    <row r="100" spans="7:14">
      <c r="G100">
        <v>8</v>
      </c>
      <c r="H100">
        <v>5</v>
      </c>
      <c r="I100">
        <v>3</v>
      </c>
      <c r="J100">
        <v>5</v>
      </c>
      <c r="K100">
        <v>8</v>
      </c>
      <c r="L100">
        <v>8</v>
      </c>
      <c r="M100">
        <v>8</v>
      </c>
      <c r="N100">
        <v>8</v>
      </c>
    </row>
    <row r="101" spans="7:14">
      <c r="G101">
        <v>8</v>
      </c>
      <c r="H101">
        <v>5</v>
      </c>
      <c r="I101">
        <v>3</v>
      </c>
      <c r="J101">
        <v>5</v>
      </c>
      <c r="K101">
        <v>8</v>
      </c>
      <c r="L101">
        <v>8</v>
      </c>
      <c r="M101">
        <v>8</v>
      </c>
      <c r="N101">
        <v>8</v>
      </c>
    </row>
    <row r="102" spans="7:14">
      <c r="G102">
        <v>4</v>
      </c>
      <c r="H102">
        <v>5</v>
      </c>
      <c r="I102">
        <v>3</v>
      </c>
      <c r="J102">
        <v>5</v>
      </c>
      <c r="K102">
        <v>8</v>
      </c>
      <c r="L102">
        <v>8</v>
      </c>
      <c r="M102">
        <v>8</v>
      </c>
      <c r="N102">
        <v>8</v>
      </c>
    </row>
    <row r="103" spans="7:14">
      <c r="G103">
        <v>3</v>
      </c>
      <c r="H103">
        <v>5</v>
      </c>
      <c r="I103">
        <v>3</v>
      </c>
      <c r="J103">
        <v>5</v>
      </c>
      <c r="K103">
        <v>8</v>
      </c>
      <c r="L103">
        <v>8</v>
      </c>
      <c r="M103">
        <v>8</v>
      </c>
      <c r="N103">
        <v>8</v>
      </c>
    </row>
    <row r="104" spans="7:14">
      <c r="G104">
        <v>8</v>
      </c>
      <c r="H104">
        <v>8</v>
      </c>
      <c r="I104">
        <v>8</v>
      </c>
      <c r="J104">
        <v>8</v>
      </c>
      <c r="K104">
        <v>8</v>
      </c>
      <c r="L104">
        <v>8</v>
      </c>
      <c r="M104">
        <v>8</v>
      </c>
      <c r="N104">
        <v>8</v>
      </c>
    </row>
    <row r="105" spans="7:14">
      <c r="G105">
        <v>8</v>
      </c>
      <c r="H105">
        <v>8</v>
      </c>
      <c r="I105">
        <v>8</v>
      </c>
      <c r="J105">
        <v>8</v>
      </c>
      <c r="K105">
        <v>8</v>
      </c>
      <c r="L105">
        <v>8</v>
      </c>
      <c r="M105">
        <v>8</v>
      </c>
      <c r="N105">
        <v>8</v>
      </c>
    </row>
    <row r="106" spans="7:14">
      <c r="G106">
        <v>8</v>
      </c>
      <c r="H106">
        <v>5</v>
      </c>
      <c r="I106">
        <v>3</v>
      </c>
      <c r="J106">
        <v>5</v>
      </c>
      <c r="K106">
        <v>8</v>
      </c>
      <c r="L106">
        <v>8</v>
      </c>
      <c r="M106">
        <v>8</v>
      </c>
      <c r="N106">
        <v>8</v>
      </c>
    </row>
    <row r="107" spans="7:14">
      <c r="G107">
        <v>8</v>
      </c>
      <c r="H107">
        <v>5</v>
      </c>
      <c r="I107">
        <v>3</v>
      </c>
      <c r="J107">
        <v>5</v>
      </c>
      <c r="K107">
        <v>8</v>
      </c>
      <c r="L107">
        <v>8</v>
      </c>
      <c r="M107">
        <v>8</v>
      </c>
      <c r="N107">
        <v>8</v>
      </c>
    </row>
    <row r="108" spans="7:14">
      <c r="G108">
        <v>8</v>
      </c>
      <c r="H108">
        <v>5</v>
      </c>
      <c r="I108">
        <v>3</v>
      </c>
      <c r="J108">
        <v>5</v>
      </c>
      <c r="K108">
        <v>8</v>
      </c>
      <c r="L108">
        <v>8</v>
      </c>
      <c r="M108">
        <v>8</v>
      </c>
      <c r="N108">
        <v>8</v>
      </c>
    </row>
    <row r="109" spans="7:14">
      <c r="G109">
        <v>8</v>
      </c>
      <c r="H109">
        <v>5</v>
      </c>
      <c r="I109">
        <v>3</v>
      </c>
      <c r="J109">
        <v>5</v>
      </c>
      <c r="K109">
        <v>8</v>
      </c>
      <c r="L109">
        <v>8</v>
      </c>
      <c r="M109">
        <v>8</v>
      </c>
      <c r="N109">
        <v>8</v>
      </c>
    </row>
    <row r="110" spans="7:14">
      <c r="G110">
        <v>4</v>
      </c>
      <c r="H110">
        <v>5</v>
      </c>
      <c r="I110">
        <v>3</v>
      </c>
      <c r="J110">
        <v>5</v>
      </c>
      <c r="K110">
        <v>8</v>
      </c>
      <c r="L110">
        <v>8</v>
      </c>
      <c r="M110">
        <v>8</v>
      </c>
      <c r="N110">
        <v>8</v>
      </c>
    </row>
    <row r="111" spans="7:14">
      <c r="G111">
        <v>3</v>
      </c>
      <c r="H111">
        <v>5</v>
      </c>
      <c r="I111">
        <v>3</v>
      </c>
      <c r="J111">
        <v>5</v>
      </c>
      <c r="K111">
        <v>8</v>
      </c>
      <c r="L111">
        <v>8</v>
      </c>
      <c r="M111">
        <v>8</v>
      </c>
      <c r="N111">
        <v>8</v>
      </c>
    </row>
    <row r="112" spans="7:14">
      <c r="G112">
        <v>8</v>
      </c>
      <c r="H112">
        <v>8</v>
      </c>
      <c r="I112">
        <v>8</v>
      </c>
      <c r="J112">
        <v>8</v>
      </c>
      <c r="K112">
        <v>8</v>
      </c>
      <c r="L112">
        <v>8</v>
      </c>
      <c r="M112">
        <v>8</v>
      </c>
      <c r="N112">
        <v>8</v>
      </c>
    </row>
    <row r="113" spans="7:14">
      <c r="G113">
        <v>8</v>
      </c>
      <c r="H113">
        <v>8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</row>
    <row r="114" spans="7:14">
      <c r="G114">
        <v>8</v>
      </c>
      <c r="H114">
        <v>5</v>
      </c>
      <c r="I114">
        <v>3</v>
      </c>
      <c r="J114">
        <v>5</v>
      </c>
      <c r="K114">
        <v>8</v>
      </c>
      <c r="L114">
        <v>8</v>
      </c>
      <c r="M114">
        <v>8</v>
      </c>
      <c r="N114">
        <v>8</v>
      </c>
    </row>
    <row r="115" spans="7:14">
      <c r="G115">
        <v>8</v>
      </c>
      <c r="H115">
        <v>5</v>
      </c>
      <c r="I115">
        <v>3</v>
      </c>
      <c r="J115">
        <v>5</v>
      </c>
      <c r="K115">
        <v>8</v>
      </c>
      <c r="L115">
        <v>8</v>
      </c>
      <c r="M115">
        <v>8</v>
      </c>
      <c r="N115">
        <v>8</v>
      </c>
    </row>
    <row r="116" spans="7:14">
      <c r="G116">
        <v>8</v>
      </c>
      <c r="H116">
        <v>5</v>
      </c>
      <c r="I116">
        <v>3</v>
      </c>
      <c r="J116">
        <v>5</v>
      </c>
      <c r="K116">
        <v>8</v>
      </c>
      <c r="L116">
        <v>8</v>
      </c>
      <c r="M116">
        <v>8</v>
      </c>
      <c r="N116">
        <v>8</v>
      </c>
    </row>
    <row r="117" spans="7:14">
      <c r="G117">
        <v>8</v>
      </c>
      <c r="H117">
        <v>5</v>
      </c>
      <c r="I117">
        <v>3</v>
      </c>
      <c r="J117">
        <v>5</v>
      </c>
      <c r="K117">
        <v>8</v>
      </c>
      <c r="L117">
        <v>8</v>
      </c>
      <c r="M117">
        <v>8</v>
      </c>
      <c r="N117">
        <v>8</v>
      </c>
    </row>
    <row r="118" spans="7:14">
      <c r="G118">
        <v>4</v>
      </c>
      <c r="H118">
        <v>5</v>
      </c>
      <c r="I118">
        <v>3</v>
      </c>
      <c r="J118">
        <v>5</v>
      </c>
      <c r="K118">
        <v>8</v>
      </c>
      <c r="L118">
        <v>8</v>
      </c>
      <c r="M118">
        <v>8</v>
      </c>
      <c r="N118">
        <v>8</v>
      </c>
    </row>
    <row r="119" spans="7:14">
      <c r="G119">
        <v>3</v>
      </c>
      <c r="H119">
        <v>5</v>
      </c>
      <c r="I119">
        <v>3</v>
      </c>
      <c r="J119">
        <v>5</v>
      </c>
      <c r="K119">
        <v>8</v>
      </c>
      <c r="L119">
        <v>8</v>
      </c>
      <c r="M119">
        <v>8</v>
      </c>
      <c r="N119">
        <v>8</v>
      </c>
    </row>
    <row r="120" spans="7:14">
      <c r="G120">
        <v>8</v>
      </c>
      <c r="H120">
        <v>8</v>
      </c>
      <c r="I120">
        <v>8</v>
      </c>
      <c r="J120">
        <v>8</v>
      </c>
      <c r="K120">
        <v>8</v>
      </c>
      <c r="L120">
        <v>8</v>
      </c>
      <c r="M120">
        <v>8</v>
      </c>
      <c r="N120">
        <v>8</v>
      </c>
    </row>
    <row r="121" spans="7:14">
      <c r="G121">
        <v>8</v>
      </c>
      <c r="H121">
        <v>8</v>
      </c>
      <c r="I121">
        <v>8</v>
      </c>
      <c r="J121">
        <v>8</v>
      </c>
      <c r="K121">
        <v>8</v>
      </c>
      <c r="L121">
        <v>8</v>
      </c>
      <c r="M121">
        <v>8</v>
      </c>
      <c r="N121">
        <v>8</v>
      </c>
    </row>
    <row r="122" spans="7:14">
      <c r="G122">
        <v>8</v>
      </c>
      <c r="H122">
        <v>5</v>
      </c>
      <c r="I122">
        <v>3</v>
      </c>
      <c r="J122">
        <v>5</v>
      </c>
      <c r="K122">
        <v>8</v>
      </c>
      <c r="L122">
        <v>8</v>
      </c>
      <c r="M122">
        <v>8</v>
      </c>
      <c r="N122">
        <v>8</v>
      </c>
    </row>
    <row r="123" spans="7:14">
      <c r="G123">
        <v>8</v>
      </c>
      <c r="H123">
        <v>5</v>
      </c>
      <c r="I123">
        <v>3</v>
      </c>
      <c r="J123">
        <v>5</v>
      </c>
      <c r="K123">
        <v>8</v>
      </c>
      <c r="L123">
        <v>8</v>
      </c>
      <c r="M123">
        <v>8</v>
      </c>
      <c r="N123">
        <v>8</v>
      </c>
    </row>
    <row r="124" spans="7:14">
      <c r="G124">
        <v>8</v>
      </c>
      <c r="H124">
        <v>5</v>
      </c>
      <c r="I124">
        <v>3</v>
      </c>
      <c r="J124">
        <v>5</v>
      </c>
      <c r="K124">
        <v>8</v>
      </c>
      <c r="L124">
        <v>8</v>
      </c>
      <c r="M124">
        <v>8</v>
      </c>
      <c r="N124">
        <v>8</v>
      </c>
    </row>
    <row r="125" spans="7:14">
      <c r="G125">
        <v>8</v>
      </c>
      <c r="H125">
        <v>5</v>
      </c>
      <c r="I125">
        <v>3</v>
      </c>
      <c r="J125">
        <v>5</v>
      </c>
      <c r="K125">
        <v>8</v>
      </c>
      <c r="L125">
        <v>8</v>
      </c>
      <c r="M125">
        <v>8</v>
      </c>
      <c r="N125">
        <v>8</v>
      </c>
    </row>
    <row r="126" spans="7:14">
      <c r="G126">
        <v>4</v>
      </c>
      <c r="H126">
        <v>5</v>
      </c>
      <c r="I126">
        <v>3</v>
      </c>
      <c r="J126">
        <v>5</v>
      </c>
      <c r="K126">
        <v>8</v>
      </c>
      <c r="L126">
        <v>8</v>
      </c>
      <c r="M126">
        <v>8</v>
      </c>
      <c r="N126">
        <v>8</v>
      </c>
    </row>
    <row r="127" spans="7:14">
      <c r="G127">
        <v>3</v>
      </c>
      <c r="H127">
        <v>5</v>
      </c>
      <c r="I127">
        <v>3</v>
      </c>
      <c r="J127">
        <v>5</v>
      </c>
      <c r="K127">
        <v>8</v>
      </c>
      <c r="L127">
        <v>8</v>
      </c>
      <c r="M127">
        <v>8</v>
      </c>
      <c r="N127">
        <v>8</v>
      </c>
    </row>
    <row r="128" spans="7:14">
      <c r="G128">
        <v>8</v>
      </c>
      <c r="H128">
        <v>8</v>
      </c>
      <c r="I128">
        <v>8</v>
      </c>
      <c r="J128">
        <v>8</v>
      </c>
      <c r="K128">
        <v>8</v>
      </c>
      <c r="L128">
        <v>8</v>
      </c>
      <c r="M128">
        <v>8</v>
      </c>
      <c r="N128">
        <v>8</v>
      </c>
    </row>
    <row r="129" spans="7:14">
      <c r="G129">
        <v>8</v>
      </c>
      <c r="H129">
        <v>8</v>
      </c>
      <c r="I129">
        <v>8</v>
      </c>
      <c r="J129">
        <v>8</v>
      </c>
      <c r="K129">
        <v>8</v>
      </c>
      <c r="L129">
        <v>8</v>
      </c>
      <c r="M129">
        <v>8</v>
      </c>
      <c r="N129">
        <v>8</v>
      </c>
    </row>
    <row r="130" spans="7:14">
      <c r="G130">
        <v>8</v>
      </c>
      <c r="H130">
        <v>5</v>
      </c>
      <c r="I130">
        <v>3</v>
      </c>
      <c r="J130">
        <v>5</v>
      </c>
      <c r="K130">
        <v>8</v>
      </c>
      <c r="L130">
        <v>8</v>
      </c>
      <c r="M130">
        <v>8</v>
      </c>
      <c r="N130">
        <v>8</v>
      </c>
    </row>
    <row r="131" spans="7:14">
      <c r="G131">
        <v>8</v>
      </c>
      <c r="H131">
        <v>5</v>
      </c>
      <c r="I131">
        <v>3</v>
      </c>
      <c r="J131">
        <v>5</v>
      </c>
      <c r="K131">
        <v>8</v>
      </c>
      <c r="L131">
        <v>8</v>
      </c>
      <c r="M131">
        <v>8</v>
      </c>
      <c r="N131">
        <v>8</v>
      </c>
    </row>
    <row r="132" spans="7:14">
      <c r="G132">
        <v>8</v>
      </c>
      <c r="H132">
        <v>5</v>
      </c>
      <c r="I132">
        <v>3</v>
      </c>
      <c r="J132">
        <v>5</v>
      </c>
      <c r="K132">
        <v>8</v>
      </c>
      <c r="L132">
        <v>8</v>
      </c>
      <c r="M132">
        <v>8</v>
      </c>
      <c r="N132">
        <v>8</v>
      </c>
    </row>
    <row r="133" spans="7:14">
      <c r="G133">
        <v>8</v>
      </c>
      <c r="H133">
        <v>5</v>
      </c>
      <c r="I133">
        <v>3</v>
      </c>
      <c r="J133">
        <v>5</v>
      </c>
      <c r="K133">
        <v>8</v>
      </c>
      <c r="L133">
        <v>8</v>
      </c>
      <c r="M133">
        <v>8</v>
      </c>
      <c r="N133">
        <v>8</v>
      </c>
    </row>
    <row r="134" spans="7:14">
      <c r="G134">
        <v>4</v>
      </c>
      <c r="H134">
        <v>5</v>
      </c>
      <c r="I134">
        <v>3</v>
      </c>
      <c r="J134">
        <v>5</v>
      </c>
      <c r="K134">
        <v>8</v>
      </c>
      <c r="L134">
        <v>8</v>
      </c>
      <c r="M134">
        <v>8</v>
      </c>
      <c r="N134">
        <v>8</v>
      </c>
    </row>
    <row r="135" spans="7:14">
      <c r="G135">
        <v>3</v>
      </c>
      <c r="H135">
        <v>5</v>
      </c>
      <c r="I135">
        <v>3</v>
      </c>
      <c r="J135">
        <v>5</v>
      </c>
      <c r="K135">
        <v>8</v>
      </c>
      <c r="L135">
        <v>8</v>
      </c>
      <c r="M135">
        <v>8</v>
      </c>
      <c r="N135">
        <v>8</v>
      </c>
    </row>
    <row r="136" spans="7:14">
      <c r="G136">
        <v>8</v>
      </c>
      <c r="H136">
        <v>8</v>
      </c>
      <c r="I136">
        <v>8</v>
      </c>
      <c r="J136">
        <v>8</v>
      </c>
      <c r="K136">
        <v>8</v>
      </c>
      <c r="L136">
        <v>8</v>
      </c>
      <c r="M136">
        <v>8</v>
      </c>
      <c r="N136">
        <v>8</v>
      </c>
    </row>
    <row r="137" spans="7:14">
      <c r="G137">
        <v>8</v>
      </c>
      <c r="H137">
        <v>8</v>
      </c>
      <c r="I137">
        <v>8</v>
      </c>
      <c r="J137">
        <v>8</v>
      </c>
      <c r="K137">
        <v>8</v>
      </c>
      <c r="L137">
        <v>8</v>
      </c>
      <c r="M137">
        <v>8</v>
      </c>
      <c r="N137">
        <v>8</v>
      </c>
    </row>
    <row r="138" spans="7:14">
      <c r="G138">
        <v>8</v>
      </c>
      <c r="H138">
        <v>5</v>
      </c>
      <c r="I138">
        <v>3</v>
      </c>
      <c r="J138">
        <v>5</v>
      </c>
      <c r="K138">
        <v>8</v>
      </c>
      <c r="L138">
        <v>8</v>
      </c>
      <c r="M138">
        <v>8</v>
      </c>
      <c r="N138">
        <v>8</v>
      </c>
    </row>
    <row r="139" spans="7:14">
      <c r="G139">
        <v>8</v>
      </c>
      <c r="H139">
        <v>5</v>
      </c>
      <c r="I139">
        <v>3</v>
      </c>
      <c r="J139">
        <v>5</v>
      </c>
      <c r="K139">
        <v>8</v>
      </c>
      <c r="L139">
        <v>8</v>
      </c>
      <c r="M139">
        <v>8</v>
      </c>
      <c r="N139">
        <v>8</v>
      </c>
    </row>
    <row r="140" spans="7:14">
      <c r="G140">
        <v>8</v>
      </c>
      <c r="H140">
        <v>5</v>
      </c>
      <c r="I140">
        <v>3</v>
      </c>
      <c r="J140">
        <v>5</v>
      </c>
      <c r="K140">
        <v>8</v>
      </c>
      <c r="L140">
        <v>8</v>
      </c>
      <c r="M140">
        <v>8</v>
      </c>
      <c r="N140">
        <v>8</v>
      </c>
    </row>
    <row r="141" spans="7:14">
      <c r="G141">
        <v>8</v>
      </c>
      <c r="H141">
        <v>5</v>
      </c>
      <c r="I141">
        <v>3</v>
      </c>
      <c r="J141">
        <v>5</v>
      </c>
      <c r="K141">
        <v>8</v>
      </c>
      <c r="L141">
        <v>8</v>
      </c>
      <c r="M141">
        <v>8</v>
      </c>
      <c r="N141">
        <v>8</v>
      </c>
    </row>
    <row r="142" spans="7:14">
      <c r="G142">
        <v>4</v>
      </c>
      <c r="H142">
        <v>5</v>
      </c>
      <c r="I142">
        <v>3</v>
      </c>
      <c r="J142">
        <v>5</v>
      </c>
      <c r="K142">
        <v>8</v>
      </c>
      <c r="L142">
        <v>8</v>
      </c>
      <c r="M142">
        <v>8</v>
      </c>
      <c r="N142">
        <v>8</v>
      </c>
    </row>
    <row r="143" spans="7:14">
      <c r="G143">
        <v>3</v>
      </c>
      <c r="H143">
        <v>5</v>
      </c>
      <c r="I143">
        <v>3</v>
      </c>
      <c r="J143">
        <v>5</v>
      </c>
      <c r="K143">
        <v>8</v>
      </c>
      <c r="L143">
        <v>8</v>
      </c>
      <c r="M143">
        <v>8</v>
      </c>
      <c r="N143">
        <v>8</v>
      </c>
    </row>
    <row r="144" spans="7:14">
      <c r="G144">
        <v>8</v>
      </c>
      <c r="H144">
        <v>8</v>
      </c>
      <c r="I144">
        <v>8</v>
      </c>
      <c r="J144">
        <v>8</v>
      </c>
      <c r="K144">
        <v>8</v>
      </c>
      <c r="L144">
        <v>8</v>
      </c>
      <c r="M144">
        <v>8</v>
      </c>
      <c r="N144">
        <v>8</v>
      </c>
    </row>
    <row r="145" spans="7:14">
      <c r="G145">
        <v>8</v>
      </c>
      <c r="H145">
        <v>8</v>
      </c>
      <c r="I145">
        <v>8</v>
      </c>
      <c r="J145">
        <v>8</v>
      </c>
      <c r="K145">
        <v>8</v>
      </c>
      <c r="L145">
        <v>8</v>
      </c>
      <c r="M145">
        <v>8</v>
      </c>
      <c r="N145">
        <v>8</v>
      </c>
    </row>
    <row r="146" spans="7:14">
      <c r="G146">
        <v>8</v>
      </c>
      <c r="H146">
        <v>5</v>
      </c>
      <c r="I146">
        <v>3</v>
      </c>
      <c r="J146">
        <v>5</v>
      </c>
      <c r="K146">
        <v>8</v>
      </c>
      <c r="L146">
        <v>8</v>
      </c>
      <c r="M146">
        <v>8</v>
      </c>
      <c r="N146">
        <v>8</v>
      </c>
    </row>
    <row r="147" spans="7:14">
      <c r="G147">
        <v>8</v>
      </c>
      <c r="H147">
        <v>5</v>
      </c>
      <c r="I147">
        <v>3</v>
      </c>
      <c r="J147">
        <v>5</v>
      </c>
      <c r="K147">
        <v>8</v>
      </c>
      <c r="L147">
        <v>8</v>
      </c>
      <c r="M147">
        <v>8</v>
      </c>
      <c r="N147">
        <v>8</v>
      </c>
    </row>
    <row r="148" spans="7:14">
      <c r="G148">
        <v>8</v>
      </c>
      <c r="H148">
        <v>5</v>
      </c>
      <c r="I148">
        <v>3</v>
      </c>
      <c r="J148">
        <v>5</v>
      </c>
      <c r="K148">
        <v>8</v>
      </c>
      <c r="L148">
        <v>8</v>
      </c>
      <c r="M148">
        <v>8</v>
      </c>
      <c r="N148">
        <v>8</v>
      </c>
    </row>
    <row r="149" spans="7:14">
      <c r="G149">
        <v>8</v>
      </c>
      <c r="H149">
        <v>5</v>
      </c>
      <c r="I149">
        <v>3</v>
      </c>
      <c r="J149">
        <v>5</v>
      </c>
      <c r="K149">
        <v>8</v>
      </c>
      <c r="L149">
        <v>8</v>
      </c>
      <c r="M149">
        <v>8</v>
      </c>
      <c r="N149">
        <v>8</v>
      </c>
    </row>
    <row r="150" spans="7:14">
      <c r="G150">
        <v>4</v>
      </c>
      <c r="H150">
        <v>5</v>
      </c>
      <c r="I150">
        <v>3</v>
      </c>
      <c r="J150">
        <v>5</v>
      </c>
      <c r="K150">
        <v>8</v>
      </c>
      <c r="L150">
        <v>8</v>
      </c>
      <c r="M150">
        <v>8</v>
      </c>
      <c r="N150">
        <v>8</v>
      </c>
    </row>
    <row r="151" spans="7:14">
      <c r="G151">
        <v>3</v>
      </c>
      <c r="H151">
        <v>5</v>
      </c>
      <c r="I151">
        <v>3</v>
      </c>
      <c r="J151">
        <v>5</v>
      </c>
      <c r="K151">
        <v>8</v>
      </c>
      <c r="L151">
        <v>8</v>
      </c>
      <c r="M151">
        <v>8</v>
      </c>
      <c r="N151">
        <v>8</v>
      </c>
    </row>
    <row r="152" spans="7:14">
      <c r="G152">
        <v>8</v>
      </c>
      <c r="H152">
        <v>8</v>
      </c>
      <c r="I152">
        <v>8</v>
      </c>
      <c r="J152">
        <v>8</v>
      </c>
      <c r="K152">
        <v>8</v>
      </c>
      <c r="L152">
        <v>8</v>
      </c>
      <c r="M152">
        <v>8</v>
      </c>
      <c r="N152">
        <v>8</v>
      </c>
    </row>
    <row r="153" spans="7:14">
      <c r="G153">
        <v>8</v>
      </c>
      <c r="H153">
        <v>8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</row>
    <row r="154" spans="7:14">
      <c r="G154">
        <v>8</v>
      </c>
      <c r="H154">
        <v>5</v>
      </c>
      <c r="I154">
        <v>3</v>
      </c>
      <c r="J154">
        <v>5</v>
      </c>
      <c r="K154">
        <v>8</v>
      </c>
      <c r="L154">
        <v>8</v>
      </c>
      <c r="M154">
        <v>8</v>
      </c>
      <c r="N154">
        <v>8</v>
      </c>
    </row>
    <row r="155" spans="7:14">
      <c r="G155">
        <v>8</v>
      </c>
      <c r="H155">
        <v>5</v>
      </c>
      <c r="I155">
        <v>3</v>
      </c>
      <c r="J155">
        <v>5</v>
      </c>
      <c r="K155">
        <v>8</v>
      </c>
      <c r="L155">
        <v>8</v>
      </c>
      <c r="M155">
        <v>8</v>
      </c>
      <c r="N155">
        <v>8</v>
      </c>
    </row>
    <row r="156" spans="7:14">
      <c r="G156">
        <v>8</v>
      </c>
      <c r="H156">
        <v>5</v>
      </c>
      <c r="I156">
        <v>3</v>
      </c>
      <c r="J156">
        <v>5</v>
      </c>
      <c r="K156">
        <v>8</v>
      </c>
      <c r="L156">
        <v>8</v>
      </c>
      <c r="M156">
        <v>8</v>
      </c>
      <c r="N156">
        <v>8</v>
      </c>
    </row>
    <row r="157" spans="7:14">
      <c r="G157">
        <v>8</v>
      </c>
      <c r="H157">
        <v>5</v>
      </c>
      <c r="I157">
        <v>3</v>
      </c>
      <c r="J157">
        <v>5</v>
      </c>
      <c r="K157">
        <v>8</v>
      </c>
      <c r="L157">
        <v>8</v>
      </c>
      <c r="M157">
        <v>8</v>
      </c>
      <c r="N157">
        <v>8</v>
      </c>
    </row>
    <row r="158" spans="7:14">
      <c r="G158">
        <v>4</v>
      </c>
      <c r="H158">
        <v>5</v>
      </c>
      <c r="I158">
        <v>3</v>
      </c>
      <c r="J158">
        <v>5</v>
      </c>
      <c r="K158">
        <v>8</v>
      </c>
      <c r="L158">
        <v>8</v>
      </c>
      <c r="M158">
        <v>8</v>
      </c>
      <c r="N158">
        <v>8</v>
      </c>
    </row>
    <row r="159" spans="7:14">
      <c r="G159">
        <v>3</v>
      </c>
      <c r="H159">
        <v>5</v>
      </c>
      <c r="I159">
        <v>3</v>
      </c>
      <c r="J159">
        <v>5</v>
      </c>
      <c r="K159">
        <v>8</v>
      </c>
      <c r="L159">
        <v>8</v>
      </c>
      <c r="M159">
        <v>8</v>
      </c>
      <c r="N159">
        <v>8</v>
      </c>
    </row>
    <row r="160" spans="7:14">
      <c r="G160">
        <v>8</v>
      </c>
      <c r="H160">
        <v>8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</row>
    <row r="161" spans="7:14">
      <c r="G161">
        <v>8</v>
      </c>
      <c r="H161">
        <v>8</v>
      </c>
      <c r="I161">
        <v>8</v>
      </c>
      <c r="J161">
        <v>8</v>
      </c>
      <c r="K161">
        <v>8</v>
      </c>
      <c r="L161">
        <v>8</v>
      </c>
      <c r="M161">
        <v>8</v>
      </c>
      <c r="N161">
        <v>8</v>
      </c>
    </row>
    <row r="162" spans="7:14">
      <c r="G162">
        <v>8</v>
      </c>
      <c r="H162">
        <v>5</v>
      </c>
      <c r="I162">
        <v>3</v>
      </c>
      <c r="J162">
        <v>5</v>
      </c>
      <c r="K162">
        <v>8</v>
      </c>
      <c r="L162">
        <v>8</v>
      </c>
      <c r="M162">
        <v>8</v>
      </c>
      <c r="N162">
        <v>8</v>
      </c>
    </row>
    <row r="163" spans="7:14">
      <c r="G163">
        <v>8</v>
      </c>
      <c r="H163">
        <v>5</v>
      </c>
      <c r="I163">
        <v>3</v>
      </c>
      <c r="J163">
        <v>5</v>
      </c>
      <c r="K163">
        <v>8</v>
      </c>
      <c r="L163">
        <v>8</v>
      </c>
      <c r="M163">
        <v>8</v>
      </c>
      <c r="N163">
        <v>8</v>
      </c>
    </row>
    <row r="164" spans="7:14">
      <c r="G164">
        <v>8</v>
      </c>
      <c r="H164">
        <v>5</v>
      </c>
      <c r="I164">
        <v>3</v>
      </c>
      <c r="J164">
        <v>5</v>
      </c>
      <c r="K164">
        <v>8</v>
      </c>
      <c r="L164">
        <v>8</v>
      </c>
      <c r="M164">
        <v>8</v>
      </c>
      <c r="N164">
        <v>8</v>
      </c>
    </row>
    <row r="165" spans="7:14">
      <c r="G165">
        <v>8</v>
      </c>
      <c r="H165">
        <v>5</v>
      </c>
      <c r="I165">
        <v>3</v>
      </c>
      <c r="J165">
        <v>5</v>
      </c>
      <c r="K165">
        <v>8</v>
      </c>
      <c r="L165">
        <v>8</v>
      </c>
      <c r="M165">
        <v>8</v>
      </c>
      <c r="N165">
        <v>8</v>
      </c>
    </row>
    <row r="166" spans="7:14">
      <c r="G166">
        <v>4</v>
      </c>
      <c r="H166">
        <v>5</v>
      </c>
      <c r="I166">
        <v>3</v>
      </c>
      <c r="J166">
        <v>5</v>
      </c>
      <c r="K166">
        <v>8</v>
      </c>
      <c r="L166">
        <v>8</v>
      </c>
      <c r="M166">
        <v>8</v>
      </c>
      <c r="N166">
        <v>8</v>
      </c>
    </row>
    <row r="167" spans="7:14">
      <c r="G167">
        <v>3</v>
      </c>
      <c r="H167">
        <v>5</v>
      </c>
      <c r="I167">
        <v>3</v>
      </c>
      <c r="J167">
        <v>5</v>
      </c>
      <c r="K167">
        <v>8</v>
      </c>
      <c r="L167">
        <v>8</v>
      </c>
      <c r="M167">
        <v>8</v>
      </c>
      <c r="N167">
        <v>8</v>
      </c>
    </row>
    <row r="168" spans="7:14">
      <c r="G168">
        <v>8</v>
      </c>
      <c r="H168">
        <v>8</v>
      </c>
      <c r="I168">
        <v>8</v>
      </c>
      <c r="J168">
        <v>8</v>
      </c>
      <c r="K168">
        <v>8</v>
      </c>
      <c r="L168">
        <v>8</v>
      </c>
      <c r="M168">
        <v>8</v>
      </c>
      <c r="N168">
        <v>8</v>
      </c>
    </row>
    <row r="169" spans="7:14">
      <c r="G169">
        <v>8</v>
      </c>
      <c r="H169">
        <v>8</v>
      </c>
      <c r="I169">
        <v>8</v>
      </c>
      <c r="J169">
        <v>8</v>
      </c>
      <c r="K169">
        <v>8</v>
      </c>
      <c r="L169">
        <v>8</v>
      </c>
      <c r="M169">
        <v>8</v>
      </c>
      <c r="N169">
        <v>8</v>
      </c>
    </row>
    <row r="170" spans="7:14">
      <c r="G170">
        <v>8</v>
      </c>
      <c r="H170">
        <v>5</v>
      </c>
      <c r="I170">
        <v>3</v>
      </c>
      <c r="J170">
        <v>5</v>
      </c>
      <c r="K170">
        <v>8</v>
      </c>
      <c r="L170">
        <v>8</v>
      </c>
      <c r="M170">
        <v>8</v>
      </c>
      <c r="N170">
        <v>8</v>
      </c>
    </row>
    <row r="171" spans="7:14">
      <c r="G171">
        <v>8</v>
      </c>
      <c r="H171">
        <v>5</v>
      </c>
      <c r="I171">
        <v>3</v>
      </c>
      <c r="J171">
        <v>5</v>
      </c>
      <c r="K171">
        <v>8</v>
      </c>
      <c r="L171">
        <v>8</v>
      </c>
      <c r="M171">
        <v>8</v>
      </c>
      <c r="N171">
        <v>8</v>
      </c>
    </row>
    <row r="172" spans="7:14">
      <c r="G172">
        <v>8</v>
      </c>
      <c r="H172">
        <v>5</v>
      </c>
      <c r="I172">
        <v>3</v>
      </c>
      <c r="J172">
        <v>5</v>
      </c>
      <c r="K172">
        <v>8</v>
      </c>
      <c r="L172">
        <v>8</v>
      </c>
      <c r="M172">
        <v>8</v>
      </c>
      <c r="N172">
        <v>8</v>
      </c>
    </row>
    <row r="173" spans="7:14">
      <c r="G173">
        <v>8</v>
      </c>
      <c r="H173">
        <v>5</v>
      </c>
      <c r="I173">
        <v>3</v>
      </c>
      <c r="J173">
        <v>5</v>
      </c>
      <c r="K173">
        <v>8</v>
      </c>
      <c r="L173">
        <v>8</v>
      </c>
      <c r="M173">
        <v>8</v>
      </c>
      <c r="N173">
        <v>8</v>
      </c>
    </row>
    <row r="174" spans="7:14">
      <c r="G174">
        <v>4</v>
      </c>
      <c r="H174">
        <v>5</v>
      </c>
      <c r="I174">
        <v>3</v>
      </c>
      <c r="J174">
        <v>5</v>
      </c>
      <c r="K174">
        <v>8</v>
      </c>
      <c r="L174">
        <v>8</v>
      </c>
      <c r="M174">
        <v>8</v>
      </c>
      <c r="N174">
        <v>8</v>
      </c>
    </row>
    <row r="175" spans="7:14">
      <c r="G175">
        <v>3</v>
      </c>
      <c r="H175">
        <v>5</v>
      </c>
      <c r="I175">
        <v>3</v>
      </c>
      <c r="J175">
        <v>5</v>
      </c>
      <c r="K175">
        <v>8</v>
      </c>
      <c r="L175">
        <v>8</v>
      </c>
      <c r="M175">
        <v>8</v>
      </c>
      <c r="N175">
        <v>8</v>
      </c>
    </row>
    <row r="176" spans="7:14">
      <c r="G176">
        <v>8</v>
      </c>
      <c r="H176">
        <v>8</v>
      </c>
      <c r="I176">
        <v>8</v>
      </c>
      <c r="J176">
        <v>8</v>
      </c>
      <c r="K176">
        <v>8</v>
      </c>
      <c r="L176">
        <v>8</v>
      </c>
      <c r="M176">
        <v>8</v>
      </c>
      <c r="N176">
        <v>8</v>
      </c>
    </row>
    <row r="177" spans="7:14">
      <c r="G177">
        <v>8</v>
      </c>
      <c r="H177">
        <v>8</v>
      </c>
      <c r="I177">
        <v>8</v>
      </c>
      <c r="J177">
        <v>8</v>
      </c>
      <c r="K177">
        <v>8</v>
      </c>
      <c r="L177">
        <v>8</v>
      </c>
      <c r="M177">
        <v>8</v>
      </c>
      <c r="N177">
        <v>8</v>
      </c>
    </row>
    <row r="178" spans="7:14">
      <c r="G178">
        <v>8</v>
      </c>
      <c r="H178">
        <v>5</v>
      </c>
      <c r="I178">
        <v>3</v>
      </c>
      <c r="J178">
        <v>5</v>
      </c>
      <c r="K178">
        <v>8</v>
      </c>
      <c r="L178">
        <v>8</v>
      </c>
      <c r="M178">
        <v>8</v>
      </c>
      <c r="N178">
        <v>8</v>
      </c>
    </row>
    <row r="179" spans="7:14">
      <c r="G179">
        <v>8</v>
      </c>
      <c r="H179">
        <v>5</v>
      </c>
      <c r="I179">
        <v>3</v>
      </c>
      <c r="J179">
        <v>5</v>
      </c>
      <c r="K179">
        <v>8</v>
      </c>
      <c r="L179">
        <v>8</v>
      </c>
      <c r="M179">
        <v>8</v>
      </c>
      <c r="N179">
        <v>8</v>
      </c>
    </row>
    <row r="180" spans="7:14">
      <c r="G180">
        <v>8</v>
      </c>
      <c r="H180">
        <v>5</v>
      </c>
      <c r="I180">
        <v>3</v>
      </c>
      <c r="J180">
        <v>5</v>
      </c>
      <c r="K180">
        <v>8</v>
      </c>
      <c r="L180">
        <v>8</v>
      </c>
      <c r="M180">
        <v>8</v>
      </c>
      <c r="N180">
        <v>8</v>
      </c>
    </row>
    <row r="181" spans="7:14">
      <c r="G181">
        <v>8</v>
      </c>
      <c r="H181">
        <v>5</v>
      </c>
      <c r="I181">
        <v>3</v>
      </c>
      <c r="J181">
        <v>5</v>
      </c>
      <c r="K181">
        <v>8</v>
      </c>
      <c r="L181">
        <v>8</v>
      </c>
      <c r="M181">
        <v>8</v>
      </c>
      <c r="N181">
        <v>8</v>
      </c>
    </row>
    <row r="182" spans="7:14">
      <c r="G182">
        <v>4</v>
      </c>
      <c r="H182">
        <v>5</v>
      </c>
      <c r="I182">
        <v>3</v>
      </c>
      <c r="J182">
        <v>5</v>
      </c>
      <c r="K182">
        <v>8</v>
      </c>
      <c r="L182">
        <v>8</v>
      </c>
      <c r="M182">
        <v>8</v>
      </c>
      <c r="N182">
        <v>8</v>
      </c>
    </row>
    <row r="183" spans="7:14">
      <c r="G183">
        <v>3</v>
      </c>
      <c r="H183">
        <v>5</v>
      </c>
      <c r="I183">
        <v>3</v>
      </c>
      <c r="J183">
        <v>5</v>
      </c>
      <c r="K183">
        <v>8</v>
      </c>
      <c r="L183">
        <v>8</v>
      </c>
      <c r="M183">
        <v>8</v>
      </c>
      <c r="N183">
        <v>8</v>
      </c>
    </row>
    <row r="184" spans="7:14">
      <c r="G184">
        <v>8</v>
      </c>
      <c r="H184">
        <v>8</v>
      </c>
      <c r="I184">
        <v>8</v>
      </c>
      <c r="J184">
        <v>8</v>
      </c>
      <c r="K184">
        <v>8</v>
      </c>
      <c r="L184">
        <v>8</v>
      </c>
      <c r="M184">
        <v>8</v>
      </c>
      <c r="N184">
        <v>8</v>
      </c>
    </row>
    <row r="185" spans="7:14">
      <c r="G185">
        <v>8</v>
      </c>
      <c r="H185">
        <v>8</v>
      </c>
      <c r="I185">
        <v>8</v>
      </c>
      <c r="J185">
        <v>8</v>
      </c>
      <c r="K185">
        <v>8</v>
      </c>
      <c r="L185">
        <v>8</v>
      </c>
      <c r="M185">
        <v>8</v>
      </c>
      <c r="N185">
        <v>8</v>
      </c>
    </row>
    <row r="186" spans="7:14">
      <c r="G186">
        <v>8</v>
      </c>
      <c r="H186">
        <v>5</v>
      </c>
      <c r="I186">
        <v>3</v>
      </c>
      <c r="J186">
        <v>5</v>
      </c>
      <c r="K186">
        <v>8</v>
      </c>
      <c r="L186">
        <v>8</v>
      </c>
      <c r="M186">
        <v>8</v>
      </c>
      <c r="N186">
        <v>8</v>
      </c>
    </row>
    <row r="187" spans="7:14">
      <c r="G187">
        <v>8</v>
      </c>
      <c r="H187">
        <v>5</v>
      </c>
      <c r="I187">
        <v>3</v>
      </c>
      <c r="J187">
        <v>5</v>
      </c>
      <c r="K187">
        <v>8</v>
      </c>
      <c r="L187">
        <v>8</v>
      </c>
      <c r="M187">
        <v>8</v>
      </c>
      <c r="N187">
        <v>8</v>
      </c>
    </row>
    <row r="188" spans="7:14">
      <c r="G188">
        <v>8</v>
      </c>
      <c r="H188">
        <v>5</v>
      </c>
      <c r="I188">
        <v>3</v>
      </c>
      <c r="J188">
        <v>5</v>
      </c>
      <c r="K188">
        <v>8</v>
      </c>
      <c r="L188">
        <v>8</v>
      </c>
      <c r="M188">
        <v>8</v>
      </c>
      <c r="N188">
        <v>8</v>
      </c>
    </row>
    <row r="189" spans="7:14">
      <c r="G189">
        <v>8</v>
      </c>
      <c r="H189">
        <v>5</v>
      </c>
      <c r="I189">
        <v>3</v>
      </c>
      <c r="J189">
        <v>5</v>
      </c>
      <c r="K189">
        <v>8</v>
      </c>
      <c r="L189">
        <v>8</v>
      </c>
      <c r="M189">
        <v>8</v>
      </c>
      <c r="N189">
        <v>8</v>
      </c>
    </row>
    <row r="190" spans="7:14">
      <c r="G190">
        <v>4</v>
      </c>
      <c r="H190">
        <v>5</v>
      </c>
      <c r="I190">
        <v>3</v>
      </c>
      <c r="J190">
        <v>5</v>
      </c>
      <c r="K190">
        <v>8</v>
      </c>
      <c r="L190">
        <v>8</v>
      </c>
      <c r="M190">
        <v>8</v>
      </c>
      <c r="N190">
        <v>8</v>
      </c>
    </row>
    <row r="191" spans="7:14">
      <c r="G191">
        <v>3</v>
      </c>
      <c r="H191">
        <v>5</v>
      </c>
      <c r="I191">
        <v>3</v>
      </c>
      <c r="J191">
        <v>5</v>
      </c>
      <c r="K191">
        <v>8</v>
      </c>
      <c r="L191">
        <v>8</v>
      </c>
      <c r="M191">
        <v>8</v>
      </c>
      <c r="N191">
        <v>8</v>
      </c>
    </row>
    <row r="192" spans="7:14">
      <c r="G192">
        <v>8</v>
      </c>
      <c r="H192">
        <v>8</v>
      </c>
      <c r="I192">
        <v>8</v>
      </c>
      <c r="J192">
        <v>8</v>
      </c>
      <c r="K192">
        <v>8</v>
      </c>
      <c r="L192">
        <v>8</v>
      </c>
      <c r="M192">
        <v>8</v>
      </c>
      <c r="N192">
        <v>8</v>
      </c>
    </row>
    <row r="193" spans="7:14">
      <c r="G193">
        <v>8</v>
      </c>
      <c r="H193">
        <v>8</v>
      </c>
      <c r="I193">
        <v>8</v>
      </c>
      <c r="J193">
        <v>8</v>
      </c>
      <c r="K193">
        <v>8</v>
      </c>
      <c r="L193">
        <v>8</v>
      </c>
      <c r="M193">
        <v>8</v>
      </c>
      <c r="N193">
        <v>8</v>
      </c>
    </row>
    <row r="194" spans="7:14">
      <c r="G194">
        <v>8</v>
      </c>
      <c r="H194">
        <v>5</v>
      </c>
      <c r="I194">
        <v>3</v>
      </c>
      <c r="J194">
        <v>5</v>
      </c>
      <c r="K194">
        <v>8</v>
      </c>
      <c r="L194">
        <v>8</v>
      </c>
      <c r="M194">
        <v>8</v>
      </c>
      <c r="N194">
        <v>8</v>
      </c>
    </row>
    <row r="195" spans="7:14">
      <c r="G195">
        <v>8</v>
      </c>
      <c r="H195">
        <v>5</v>
      </c>
      <c r="I195">
        <v>3</v>
      </c>
      <c r="J195">
        <v>5</v>
      </c>
      <c r="K195">
        <v>8</v>
      </c>
      <c r="L195">
        <v>8</v>
      </c>
      <c r="M195">
        <v>8</v>
      </c>
      <c r="N195">
        <v>8</v>
      </c>
    </row>
    <row r="196" spans="7:14">
      <c r="G196">
        <v>8</v>
      </c>
      <c r="H196">
        <v>5</v>
      </c>
      <c r="I196">
        <v>3</v>
      </c>
      <c r="J196">
        <v>5</v>
      </c>
      <c r="K196">
        <v>8</v>
      </c>
      <c r="L196">
        <v>8</v>
      </c>
      <c r="M196">
        <v>8</v>
      </c>
      <c r="N196">
        <v>8</v>
      </c>
    </row>
    <row r="197" spans="7:14">
      <c r="G197">
        <v>8</v>
      </c>
      <c r="H197">
        <v>5</v>
      </c>
      <c r="I197">
        <v>3</v>
      </c>
      <c r="J197">
        <v>5</v>
      </c>
      <c r="K197">
        <v>8</v>
      </c>
      <c r="L197">
        <v>8</v>
      </c>
      <c r="M197">
        <v>8</v>
      </c>
      <c r="N197">
        <v>8</v>
      </c>
    </row>
    <row r="198" spans="7:14">
      <c r="G198">
        <v>4</v>
      </c>
      <c r="H198">
        <v>5</v>
      </c>
      <c r="I198">
        <v>3</v>
      </c>
      <c r="J198">
        <v>5</v>
      </c>
      <c r="K198">
        <v>8</v>
      </c>
      <c r="L198">
        <v>8</v>
      </c>
      <c r="M198">
        <v>8</v>
      </c>
      <c r="N198">
        <v>8</v>
      </c>
    </row>
    <row r="199" spans="7:14">
      <c r="G199">
        <v>3</v>
      </c>
      <c r="H199">
        <v>5</v>
      </c>
      <c r="I199">
        <v>3</v>
      </c>
      <c r="J199">
        <v>5</v>
      </c>
      <c r="K199">
        <v>8</v>
      </c>
      <c r="L199">
        <v>8</v>
      </c>
      <c r="M199">
        <v>8</v>
      </c>
      <c r="N199">
        <v>8</v>
      </c>
    </row>
    <row r="200" spans="7:14">
      <c r="G200">
        <v>8</v>
      </c>
      <c r="H200">
        <v>8</v>
      </c>
      <c r="I200">
        <v>8</v>
      </c>
      <c r="J200">
        <v>8</v>
      </c>
      <c r="K200">
        <v>8</v>
      </c>
      <c r="L200">
        <v>8</v>
      </c>
      <c r="M200">
        <v>8</v>
      </c>
      <c r="N200">
        <v>8</v>
      </c>
    </row>
    <row r="201" spans="7:14">
      <c r="G201">
        <v>8</v>
      </c>
      <c r="H201">
        <v>8</v>
      </c>
      <c r="I201">
        <v>8</v>
      </c>
      <c r="J201">
        <v>8</v>
      </c>
      <c r="K201">
        <v>8</v>
      </c>
      <c r="L201">
        <v>8</v>
      </c>
      <c r="M201">
        <v>8</v>
      </c>
      <c r="N201">
        <v>8</v>
      </c>
    </row>
    <row r="202" spans="7:14">
      <c r="G202">
        <v>8</v>
      </c>
      <c r="H202">
        <v>5</v>
      </c>
      <c r="I202">
        <v>3</v>
      </c>
      <c r="J202">
        <v>5</v>
      </c>
      <c r="K202">
        <v>8</v>
      </c>
      <c r="L202">
        <v>8</v>
      </c>
      <c r="M202">
        <v>8</v>
      </c>
      <c r="N202">
        <v>8</v>
      </c>
    </row>
    <row r="203" spans="7:14">
      <c r="G203">
        <v>8</v>
      </c>
      <c r="H203">
        <v>5</v>
      </c>
      <c r="I203">
        <v>3</v>
      </c>
      <c r="J203">
        <v>5</v>
      </c>
      <c r="K203">
        <v>8</v>
      </c>
      <c r="L203">
        <v>8</v>
      </c>
      <c r="M203">
        <v>8</v>
      </c>
      <c r="N203">
        <v>8</v>
      </c>
    </row>
    <row r="204" spans="7:14">
      <c r="G204">
        <v>8</v>
      </c>
      <c r="H204">
        <v>5</v>
      </c>
      <c r="I204">
        <v>3</v>
      </c>
      <c r="J204">
        <v>5</v>
      </c>
      <c r="K204">
        <v>8</v>
      </c>
      <c r="L204">
        <v>8</v>
      </c>
      <c r="M204">
        <v>8</v>
      </c>
      <c r="N204">
        <v>8</v>
      </c>
    </row>
    <row r="205" spans="7:14">
      <c r="G205">
        <v>8</v>
      </c>
      <c r="H205">
        <v>5</v>
      </c>
      <c r="I205">
        <v>3</v>
      </c>
      <c r="J205">
        <v>5</v>
      </c>
      <c r="K205">
        <v>8</v>
      </c>
      <c r="L205">
        <v>8</v>
      </c>
      <c r="M205">
        <v>8</v>
      </c>
      <c r="N205">
        <v>8</v>
      </c>
    </row>
    <row r="206" spans="7:14">
      <c r="G206">
        <v>4</v>
      </c>
      <c r="H206">
        <v>5</v>
      </c>
      <c r="I206">
        <v>3</v>
      </c>
      <c r="J206">
        <v>5</v>
      </c>
      <c r="K206">
        <v>8</v>
      </c>
      <c r="L206">
        <v>8</v>
      </c>
      <c r="M206">
        <v>8</v>
      </c>
      <c r="N206">
        <v>8</v>
      </c>
    </row>
    <row r="207" spans="7:14">
      <c r="G207">
        <v>3</v>
      </c>
      <c r="H207">
        <v>5</v>
      </c>
      <c r="I207">
        <v>3</v>
      </c>
      <c r="J207">
        <v>5</v>
      </c>
      <c r="K207">
        <v>8</v>
      </c>
      <c r="L207">
        <v>8</v>
      </c>
      <c r="M207">
        <v>8</v>
      </c>
      <c r="N207">
        <v>8</v>
      </c>
    </row>
    <row r="208" spans="7:14">
      <c r="G208">
        <v>8</v>
      </c>
      <c r="H208">
        <v>8</v>
      </c>
      <c r="I208">
        <v>8</v>
      </c>
      <c r="J208">
        <v>8</v>
      </c>
      <c r="K208">
        <v>8</v>
      </c>
      <c r="L208">
        <v>8</v>
      </c>
      <c r="M208">
        <v>8</v>
      </c>
      <c r="N208">
        <v>8</v>
      </c>
    </row>
    <row r="209" spans="7:14">
      <c r="G209">
        <v>8</v>
      </c>
      <c r="H209">
        <v>8</v>
      </c>
      <c r="I209">
        <v>8</v>
      </c>
      <c r="J209">
        <v>8</v>
      </c>
      <c r="K209">
        <v>8</v>
      </c>
      <c r="L209">
        <v>8</v>
      </c>
      <c r="M209">
        <v>8</v>
      </c>
      <c r="N209">
        <v>8</v>
      </c>
    </row>
    <row r="210" spans="7:14">
      <c r="G210">
        <v>8</v>
      </c>
      <c r="H210">
        <v>5</v>
      </c>
      <c r="I210">
        <v>3</v>
      </c>
      <c r="J210">
        <v>5</v>
      </c>
      <c r="K210">
        <v>8</v>
      </c>
      <c r="L210">
        <v>8</v>
      </c>
      <c r="M210">
        <v>8</v>
      </c>
      <c r="N210">
        <v>8</v>
      </c>
    </row>
    <row r="211" spans="7:14">
      <c r="G211">
        <v>8</v>
      </c>
      <c r="H211">
        <v>5</v>
      </c>
      <c r="I211">
        <v>3</v>
      </c>
      <c r="J211">
        <v>5</v>
      </c>
      <c r="K211">
        <v>8</v>
      </c>
      <c r="L211">
        <v>8</v>
      </c>
      <c r="M211">
        <v>8</v>
      </c>
      <c r="N211">
        <v>8</v>
      </c>
    </row>
    <row r="212" spans="7:14">
      <c r="G212">
        <v>8</v>
      </c>
      <c r="H212">
        <v>5</v>
      </c>
      <c r="I212">
        <v>3</v>
      </c>
      <c r="J212">
        <v>5</v>
      </c>
      <c r="K212">
        <v>8</v>
      </c>
      <c r="L212">
        <v>8</v>
      </c>
      <c r="M212">
        <v>8</v>
      </c>
      <c r="N212">
        <v>8</v>
      </c>
    </row>
    <row r="213" spans="7:14">
      <c r="G213">
        <v>8</v>
      </c>
      <c r="H213">
        <v>5</v>
      </c>
      <c r="I213">
        <v>3</v>
      </c>
      <c r="J213">
        <v>5</v>
      </c>
      <c r="K213">
        <v>8</v>
      </c>
      <c r="L213">
        <v>8</v>
      </c>
      <c r="M213">
        <v>8</v>
      </c>
      <c r="N213">
        <v>8</v>
      </c>
    </row>
    <row r="214" spans="7:14">
      <c r="G214">
        <v>4</v>
      </c>
      <c r="H214">
        <v>5</v>
      </c>
      <c r="I214">
        <v>3</v>
      </c>
      <c r="J214">
        <v>5</v>
      </c>
      <c r="K214">
        <v>8</v>
      </c>
      <c r="L214">
        <v>8</v>
      </c>
      <c r="M214">
        <v>8</v>
      </c>
      <c r="N214">
        <v>8</v>
      </c>
    </row>
    <row r="215" spans="7:14">
      <c r="G215">
        <v>3</v>
      </c>
      <c r="H215">
        <v>5</v>
      </c>
      <c r="I215">
        <v>3</v>
      </c>
      <c r="J215">
        <v>5</v>
      </c>
      <c r="K215">
        <v>8</v>
      </c>
      <c r="L215">
        <v>8</v>
      </c>
      <c r="M215">
        <v>8</v>
      </c>
      <c r="N215">
        <v>8</v>
      </c>
    </row>
    <row r="216" spans="7:14">
      <c r="G216">
        <v>8</v>
      </c>
      <c r="H216">
        <v>8</v>
      </c>
      <c r="I216">
        <v>8</v>
      </c>
      <c r="J216">
        <v>8</v>
      </c>
      <c r="K216">
        <v>8</v>
      </c>
      <c r="L216">
        <v>8</v>
      </c>
      <c r="M216">
        <v>8</v>
      </c>
      <c r="N216">
        <v>8</v>
      </c>
    </row>
    <row r="217" spans="7:14">
      <c r="G217">
        <v>8</v>
      </c>
      <c r="H217">
        <v>8</v>
      </c>
      <c r="I217">
        <v>8</v>
      </c>
      <c r="J217">
        <v>8</v>
      </c>
      <c r="K217">
        <v>8</v>
      </c>
      <c r="L217">
        <v>8</v>
      </c>
      <c r="M217">
        <v>8</v>
      </c>
      <c r="N217">
        <v>8</v>
      </c>
    </row>
    <row r="218" spans="7:14">
      <c r="G218">
        <v>8</v>
      </c>
      <c r="H218">
        <v>5</v>
      </c>
      <c r="I218">
        <v>3</v>
      </c>
      <c r="J218">
        <v>5</v>
      </c>
      <c r="K218">
        <v>8</v>
      </c>
      <c r="L218">
        <v>8</v>
      </c>
      <c r="M218">
        <v>8</v>
      </c>
      <c r="N218">
        <v>8</v>
      </c>
    </row>
    <row r="219" spans="7:14">
      <c r="G219">
        <v>8</v>
      </c>
      <c r="H219">
        <v>5</v>
      </c>
      <c r="I219">
        <v>3</v>
      </c>
      <c r="J219">
        <v>5</v>
      </c>
      <c r="K219">
        <v>8</v>
      </c>
      <c r="L219">
        <v>8</v>
      </c>
      <c r="M219">
        <v>8</v>
      </c>
      <c r="N219">
        <v>8</v>
      </c>
    </row>
    <row r="220" spans="7:14">
      <c r="G220">
        <v>8</v>
      </c>
      <c r="H220">
        <v>5</v>
      </c>
      <c r="I220">
        <v>3</v>
      </c>
      <c r="J220">
        <v>5</v>
      </c>
      <c r="K220">
        <v>8</v>
      </c>
      <c r="L220">
        <v>8</v>
      </c>
      <c r="M220">
        <v>8</v>
      </c>
      <c r="N220">
        <v>8</v>
      </c>
    </row>
    <row r="221" spans="7:14">
      <c r="G221">
        <v>8</v>
      </c>
      <c r="H221">
        <v>5</v>
      </c>
      <c r="I221">
        <v>3</v>
      </c>
      <c r="J221">
        <v>5</v>
      </c>
      <c r="K221">
        <v>8</v>
      </c>
      <c r="L221">
        <v>8</v>
      </c>
      <c r="M221">
        <v>8</v>
      </c>
      <c r="N221">
        <v>8</v>
      </c>
    </row>
    <row r="222" spans="7:14">
      <c r="G222">
        <v>4</v>
      </c>
      <c r="H222">
        <v>5</v>
      </c>
      <c r="I222">
        <v>3</v>
      </c>
      <c r="J222">
        <v>5</v>
      </c>
      <c r="K222">
        <v>8</v>
      </c>
      <c r="L222">
        <v>8</v>
      </c>
      <c r="M222">
        <v>8</v>
      </c>
      <c r="N222">
        <v>8</v>
      </c>
    </row>
    <row r="223" spans="7:14">
      <c r="G223">
        <v>3</v>
      </c>
      <c r="H223">
        <v>5</v>
      </c>
      <c r="I223">
        <v>3</v>
      </c>
      <c r="J223">
        <v>5</v>
      </c>
      <c r="K223">
        <v>8</v>
      </c>
      <c r="L223">
        <v>8</v>
      </c>
      <c r="M223">
        <v>8</v>
      </c>
      <c r="N223">
        <v>8</v>
      </c>
    </row>
    <row r="224" spans="7:14">
      <c r="G224">
        <v>8</v>
      </c>
      <c r="H224">
        <v>8</v>
      </c>
      <c r="I224">
        <v>8</v>
      </c>
      <c r="J224">
        <v>8</v>
      </c>
      <c r="K224">
        <v>8</v>
      </c>
      <c r="L224">
        <v>8</v>
      </c>
      <c r="M224">
        <v>8</v>
      </c>
      <c r="N224">
        <v>8</v>
      </c>
    </row>
    <row r="225" spans="7:14">
      <c r="G225">
        <v>8</v>
      </c>
      <c r="H225">
        <v>8</v>
      </c>
      <c r="I225">
        <v>8</v>
      </c>
      <c r="J225">
        <v>8</v>
      </c>
      <c r="K225">
        <v>8</v>
      </c>
      <c r="L225">
        <v>8</v>
      </c>
      <c r="M225">
        <v>8</v>
      </c>
      <c r="N225">
        <v>8</v>
      </c>
    </row>
    <row r="226" spans="7:14">
      <c r="G226">
        <v>8</v>
      </c>
      <c r="H226">
        <v>5</v>
      </c>
      <c r="I226">
        <v>3</v>
      </c>
      <c r="J226">
        <v>5</v>
      </c>
      <c r="K226">
        <v>8</v>
      </c>
      <c r="L226">
        <v>8</v>
      </c>
      <c r="M226">
        <v>8</v>
      </c>
      <c r="N226">
        <v>8</v>
      </c>
    </row>
    <row r="227" spans="7:14">
      <c r="G227">
        <v>8</v>
      </c>
      <c r="H227">
        <v>5</v>
      </c>
      <c r="I227">
        <v>3</v>
      </c>
      <c r="J227">
        <v>5</v>
      </c>
      <c r="K227">
        <v>8</v>
      </c>
      <c r="L227">
        <v>8</v>
      </c>
      <c r="M227">
        <v>8</v>
      </c>
      <c r="N227">
        <v>8</v>
      </c>
    </row>
    <row r="228" spans="7:14">
      <c r="G228">
        <v>8</v>
      </c>
      <c r="H228">
        <v>5</v>
      </c>
      <c r="I228">
        <v>3</v>
      </c>
      <c r="J228">
        <v>5</v>
      </c>
      <c r="K228">
        <v>8</v>
      </c>
      <c r="L228">
        <v>8</v>
      </c>
      <c r="M228">
        <v>8</v>
      </c>
      <c r="N228">
        <v>8</v>
      </c>
    </row>
    <row r="229" spans="7:14">
      <c r="G229">
        <v>8</v>
      </c>
      <c r="H229">
        <v>5</v>
      </c>
      <c r="I229">
        <v>3</v>
      </c>
      <c r="J229">
        <v>5</v>
      </c>
      <c r="K229">
        <v>8</v>
      </c>
      <c r="L229">
        <v>8</v>
      </c>
      <c r="M229">
        <v>8</v>
      </c>
      <c r="N229">
        <v>8</v>
      </c>
    </row>
    <row r="230" spans="7:14">
      <c r="G230">
        <v>4</v>
      </c>
      <c r="H230">
        <v>5</v>
      </c>
      <c r="I230">
        <v>3</v>
      </c>
      <c r="J230">
        <v>5</v>
      </c>
      <c r="K230">
        <v>8</v>
      </c>
      <c r="L230">
        <v>8</v>
      </c>
      <c r="M230">
        <v>8</v>
      </c>
      <c r="N230">
        <v>8</v>
      </c>
    </row>
    <row r="231" spans="7:14">
      <c r="G231">
        <v>3</v>
      </c>
      <c r="H231">
        <v>5</v>
      </c>
      <c r="I231">
        <v>3</v>
      </c>
      <c r="J231">
        <v>5</v>
      </c>
      <c r="K231">
        <v>8</v>
      </c>
      <c r="L231">
        <v>8</v>
      </c>
      <c r="M231">
        <v>8</v>
      </c>
      <c r="N231">
        <v>8</v>
      </c>
    </row>
    <row r="232" spans="7:14">
      <c r="G232">
        <v>8</v>
      </c>
      <c r="H232">
        <v>8</v>
      </c>
      <c r="I232">
        <v>8</v>
      </c>
      <c r="J232">
        <v>8</v>
      </c>
      <c r="K232">
        <v>8</v>
      </c>
      <c r="L232">
        <v>8</v>
      </c>
      <c r="M232">
        <v>8</v>
      </c>
      <c r="N232">
        <v>8</v>
      </c>
    </row>
    <row r="233" spans="7:14">
      <c r="G233">
        <v>8</v>
      </c>
      <c r="H233">
        <v>8</v>
      </c>
      <c r="I233">
        <v>8</v>
      </c>
      <c r="J233">
        <v>8</v>
      </c>
      <c r="K233">
        <v>8</v>
      </c>
      <c r="L233">
        <v>8</v>
      </c>
      <c r="M233">
        <v>8</v>
      </c>
      <c r="N233">
        <v>8</v>
      </c>
    </row>
    <row r="234" spans="7:14">
      <c r="G234">
        <v>8</v>
      </c>
      <c r="H234">
        <v>5</v>
      </c>
      <c r="I234">
        <v>3</v>
      </c>
      <c r="J234">
        <v>5</v>
      </c>
      <c r="K234">
        <v>8</v>
      </c>
      <c r="L234">
        <v>8</v>
      </c>
      <c r="M234">
        <v>8</v>
      </c>
      <c r="N234">
        <v>8</v>
      </c>
    </row>
    <row r="235" spans="7:14">
      <c r="G235">
        <v>8</v>
      </c>
      <c r="H235">
        <v>5</v>
      </c>
      <c r="I235">
        <v>3</v>
      </c>
      <c r="J235">
        <v>5</v>
      </c>
      <c r="K235">
        <v>8</v>
      </c>
      <c r="L235">
        <v>8</v>
      </c>
      <c r="M235">
        <v>8</v>
      </c>
      <c r="N235">
        <v>8</v>
      </c>
    </row>
    <row r="236" spans="7:14">
      <c r="G236">
        <v>8</v>
      </c>
      <c r="H236">
        <v>5</v>
      </c>
      <c r="I236">
        <v>3</v>
      </c>
      <c r="J236">
        <v>5</v>
      </c>
      <c r="K236">
        <v>8</v>
      </c>
      <c r="L236">
        <v>8</v>
      </c>
      <c r="M236">
        <v>8</v>
      </c>
      <c r="N236">
        <v>8</v>
      </c>
    </row>
    <row r="237" spans="7:14">
      <c r="G237">
        <v>8</v>
      </c>
      <c r="H237">
        <v>5</v>
      </c>
      <c r="I237">
        <v>3</v>
      </c>
      <c r="J237">
        <v>5</v>
      </c>
      <c r="K237">
        <v>8</v>
      </c>
      <c r="L237">
        <v>8</v>
      </c>
      <c r="M237">
        <v>8</v>
      </c>
      <c r="N237">
        <v>8</v>
      </c>
    </row>
    <row r="238" spans="7:14">
      <c r="G238">
        <v>4</v>
      </c>
      <c r="H238">
        <v>5</v>
      </c>
      <c r="I238">
        <v>3</v>
      </c>
      <c r="J238">
        <v>5</v>
      </c>
      <c r="K238">
        <v>8</v>
      </c>
      <c r="L238">
        <v>8</v>
      </c>
      <c r="M238">
        <v>8</v>
      </c>
      <c r="N238">
        <v>8</v>
      </c>
    </row>
    <row r="239" spans="7:14">
      <c r="G239">
        <v>3</v>
      </c>
      <c r="H239">
        <v>5</v>
      </c>
      <c r="I239">
        <v>3</v>
      </c>
      <c r="J239">
        <v>5</v>
      </c>
      <c r="K239">
        <v>8</v>
      </c>
      <c r="L239">
        <v>8</v>
      </c>
      <c r="M239">
        <v>8</v>
      </c>
      <c r="N239">
        <v>8</v>
      </c>
    </row>
    <row r="240" spans="7:14">
      <c r="G240">
        <v>8</v>
      </c>
      <c r="H240">
        <v>8</v>
      </c>
      <c r="I240">
        <v>8</v>
      </c>
      <c r="J240">
        <v>8</v>
      </c>
      <c r="K240">
        <v>8</v>
      </c>
      <c r="L240">
        <v>8</v>
      </c>
      <c r="M240">
        <v>8</v>
      </c>
      <c r="N240">
        <v>8</v>
      </c>
    </row>
    <row r="241" spans="7:14">
      <c r="G241">
        <v>8</v>
      </c>
      <c r="H241">
        <v>8</v>
      </c>
      <c r="I241">
        <v>8</v>
      </c>
      <c r="J241">
        <v>8</v>
      </c>
      <c r="K241">
        <v>8</v>
      </c>
      <c r="L241">
        <v>8</v>
      </c>
      <c r="M241">
        <v>8</v>
      </c>
      <c r="N241">
        <v>8</v>
      </c>
    </row>
    <row r="242" spans="7:14">
      <c r="G242">
        <v>8</v>
      </c>
      <c r="H242">
        <v>5</v>
      </c>
      <c r="I242">
        <v>3</v>
      </c>
      <c r="J242">
        <v>5</v>
      </c>
      <c r="K242">
        <v>8</v>
      </c>
      <c r="L242">
        <v>8</v>
      </c>
      <c r="M242">
        <v>8</v>
      </c>
      <c r="N242">
        <v>8</v>
      </c>
    </row>
    <row r="243" spans="7:14">
      <c r="G243">
        <v>8</v>
      </c>
      <c r="H243">
        <v>5</v>
      </c>
      <c r="I243">
        <v>3</v>
      </c>
      <c r="J243">
        <v>5</v>
      </c>
      <c r="K243">
        <v>8</v>
      </c>
      <c r="L243">
        <v>8</v>
      </c>
      <c r="M243">
        <v>8</v>
      </c>
      <c r="N243">
        <v>8</v>
      </c>
    </row>
    <row r="244" spans="7:14">
      <c r="G244">
        <v>8</v>
      </c>
      <c r="H244">
        <v>5</v>
      </c>
      <c r="I244">
        <v>3</v>
      </c>
      <c r="J244">
        <v>5</v>
      </c>
      <c r="K244">
        <v>8</v>
      </c>
      <c r="L244">
        <v>8</v>
      </c>
      <c r="M244">
        <v>8</v>
      </c>
      <c r="N244">
        <v>8</v>
      </c>
    </row>
    <row r="245" spans="7:14">
      <c r="G245">
        <v>8</v>
      </c>
      <c r="H245">
        <v>5</v>
      </c>
      <c r="I245">
        <v>3</v>
      </c>
      <c r="J245">
        <v>5</v>
      </c>
      <c r="K245">
        <v>8</v>
      </c>
      <c r="L245">
        <v>8</v>
      </c>
      <c r="M245">
        <v>8</v>
      </c>
      <c r="N245">
        <v>8</v>
      </c>
    </row>
    <row r="246" spans="7:14">
      <c r="G246">
        <v>4</v>
      </c>
      <c r="H246">
        <v>5</v>
      </c>
      <c r="I246">
        <v>3</v>
      </c>
      <c r="J246">
        <v>5</v>
      </c>
      <c r="K246">
        <v>8</v>
      </c>
      <c r="L246">
        <v>8</v>
      </c>
      <c r="M246">
        <v>8</v>
      </c>
      <c r="N246">
        <v>8</v>
      </c>
    </row>
    <row r="247" spans="7:14">
      <c r="G247">
        <v>3</v>
      </c>
      <c r="H247">
        <v>5</v>
      </c>
      <c r="I247">
        <v>3</v>
      </c>
      <c r="J247">
        <v>5</v>
      </c>
      <c r="K247">
        <v>8</v>
      </c>
      <c r="L247">
        <v>8</v>
      </c>
      <c r="M247">
        <v>8</v>
      </c>
      <c r="N247">
        <v>8</v>
      </c>
    </row>
    <row r="248" spans="7:14">
      <c r="G248">
        <v>8</v>
      </c>
      <c r="H248">
        <v>8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</row>
    <row r="249" spans="7:14">
      <c r="G249">
        <v>8</v>
      </c>
      <c r="H249">
        <v>8</v>
      </c>
      <c r="I249">
        <v>8</v>
      </c>
      <c r="J249">
        <v>8</v>
      </c>
      <c r="K249">
        <v>8</v>
      </c>
      <c r="L249">
        <v>8</v>
      </c>
      <c r="M249">
        <v>8</v>
      </c>
      <c r="N249">
        <v>8</v>
      </c>
    </row>
    <row r="250" spans="7:14">
      <c r="G250">
        <v>8</v>
      </c>
      <c r="H250">
        <v>5</v>
      </c>
      <c r="I250">
        <v>3</v>
      </c>
      <c r="J250">
        <v>5</v>
      </c>
      <c r="K250">
        <v>8</v>
      </c>
      <c r="L250">
        <v>8</v>
      </c>
      <c r="M250">
        <v>8</v>
      </c>
      <c r="N250">
        <v>8</v>
      </c>
    </row>
    <row r="251" spans="7:14">
      <c r="G251">
        <v>8</v>
      </c>
      <c r="H251">
        <v>5</v>
      </c>
      <c r="I251">
        <v>3</v>
      </c>
      <c r="J251">
        <v>5</v>
      </c>
      <c r="K251">
        <v>8</v>
      </c>
      <c r="L251">
        <v>8</v>
      </c>
      <c r="M251">
        <v>8</v>
      </c>
      <c r="N251">
        <v>8</v>
      </c>
    </row>
    <row r="252" spans="7:14">
      <c r="G252">
        <v>8</v>
      </c>
      <c r="H252">
        <v>5</v>
      </c>
      <c r="I252">
        <v>3</v>
      </c>
      <c r="J252">
        <v>5</v>
      </c>
      <c r="K252">
        <v>8</v>
      </c>
      <c r="L252">
        <v>8</v>
      </c>
      <c r="M252">
        <v>8</v>
      </c>
      <c r="N252">
        <v>8</v>
      </c>
    </row>
    <row r="253" spans="7:14">
      <c r="G253">
        <v>8</v>
      </c>
      <c r="H253">
        <v>5</v>
      </c>
      <c r="I253">
        <v>3</v>
      </c>
      <c r="J253">
        <v>5</v>
      </c>
      <c r="K253">
        <v>8</v>
      </c>
      <c r="L253">
        <v>8</v>
      </c>
      <c r="M253">
        <v>8</v>
      </c>
      <c r="N253">
        <v>8</v>
      </c>
    </row>
    <row r="254" spans="7:14">
      <c r="G254">
        <v>4</v>
      </c>
      <c r="H254">
        <v>5</v>
      </c>
      <c r="I254">
        <v>3</v>
      </c>
      <c r="J254">
        <v>5</v>
      </c>
      <c r="K254">
        <v>8</v>
      </c>
      <c r="L254">
        <v>8</v>
      </c>
      <c r="M254">
        <v>8</v>
      </c>
      <c r="N254">
        <v>8</v>
      </c>
    </row>
    <row r="255" spans="7:14">
      <c r="G255">
        <v>3</v>
      </c>
      <c r="H255">
        <v>5</v>
      </c>
      <c r="I255">
        <v>3</v>
      </c>
      <c r="J255">
        <v>5</v>
      </c>
      <c r="K255">
        <v>8</v>
      </c>
      <c r="L255">
        <v>8</v>
      </c>
      <c r="M255">
        <v>8</v>
      </c>
      <c r="N255">
        <v>8</v>
      </c>
    </row>
    <row r="256" spans="7:14">
      <c r="G256">
        <v>8</v>
      </c>
      <c r="H256">
        <v>8</v>
      </c>
      <c r="I256">
        <v>8</v>
      </c>
      <c r="J256">
        <v>8</v>
      </c>
      <c r="K256">
        <v>8</v>
      </c>
      <c r="L256">
        <v>8</v>
      </c>
      <c r="M256">
        <v>8</v>
      </c>
      <c r="N256">
        <v>8</v>
      </c>
    </row>
    <row r="257" spans="7:14">
      <c r="G257">
        <v>8</v>
      </c>
      <c r="H257">
        <v>8</v>
      </c>
      <c r="I257">
        <v>8</v>
      </c>
      <c r="J257">
        <v>8</v>
      </c>
      <c r="K257">
        <v>8</v>
      </c>
      <c r="L257">
        <v>8</v>
      </c>
      <c r="M257">
        <v>8</v>
      </c>
      <c r="N257">
        <v>8</v>
      </c>
    </row>
    <row r="258" spans="7:14">
      <c r="G258">
        <v>8</v>
      </c>
      <c r="H258">
        <v>5</v>
      </c>
      <c r="I258">
        <v>3</v>
      </c>
      <c r="J258">
        <v>5</v>
      </c>
      <c r="K258">
        <v>8</v>
      </c>
      <c r="L258">
        <v>8</v>
      </c>
      <c r="M258">
        <v>8</v>
      </c>
      <c r="N258">
        <v>8</v>
      </c>
    </row>
    <row r="259" spans="7:14">
      <c r="G259">
        <v>8</v>
      </c>
      <c r="H259">
        <v>5</v>
      </c>
      <c r="I259">
        <v>3</v>
      </c>
      <c r="J259">
        <v>5</v>
      </c>
      <c r="K259">
        <v>8</v>
      </c>
      <c r="L259">
        <v>8</v>
      </c>
      <c r="M259">
        <v>8</v>
      </c>
      <c r="N259">
        <v>8</v>
      </c>
    </row>
    <row r="260" spans="7:14">
      <c r="G260">
        <v>8</v>
      </c>
      <c r="H260">
        <v>5</v>
      </c>
      <c r="I260">
        <v>3</v>
      </c>
      <c r="J260">
        <v>5</v>
      </c>
      <c r="K260">
        <v>8</v>
      </c>
      <c r="L260">
        <v>8</v>
      </c>
      <c r="M260">
        <v>8</v>
      </c>
      <c r="N260">
        <v>8</v>
      </c>
    </row>
    <row r="261" spans="7:14">
      <c r="G261">
        <v>8</v>
      </c>
      <c r="H261">
        <v>5</v>
      </c>
      <c r="I261">
        <v>3</v>
      </c>
      <c r="J261">
        <v>5</v>
      </c>
      <c r="K261">
        <v>8</v>
      </c>
      <c r="L261">
        <v>8</v>
      </c>
      <c r="M261">
        <v>8</v>
      </c>
      <c r="N261">
        <v>8</v>
      </c>
    </row>
    <row r="262" spans="7:14">
      <c r="G262">
        <v>4</v>
      </c>
      <c r="H262">
        <v>5</v>
      </c>
      <c r="I262">
        <v>3</v>
      </c>
      <c r="J262">
        <v>5</v>
      </c>
      <c r="K262">
        <v>8</v>
      </c>
      <c r="L262">
        <v>8</v>
      </c>
      <c r="M262">
        <v>8</v>
      </c>
      <c r="N262">
        <v>8</v>
      </c>
    </row>
    <row r="263" spans="7:14">
      <c r="G263">
        <v>3</v>
      </c>
      <c r="H263">
        <v>5</v>
      </c>
      <c r="I263">
        <v>3</v>
      </c>
      <c r="J263">
        <v>5</v>
      </c>
      <c r="K263">
        <v>8</v>
      </c>
      <c r="L263">
        <v>8</v>
      </c>
      <c r="M263">
        <v>8</v>
      </c>
      <c r="N263">
        <v>8</v>
      </c>
    </row>
    <row r="264" spans="7:14">
      <c r="G264">
        <v>8</v>
      </c>
      <c r="H264">
        <v>8</v>
      </c>
      <c r="I264">
        <v>8</v>
      </c>
      <c r="J264">
        <v>8</v>
      </c>
      <c r="K264">
        <v>8</v>
      </c>
      <c r="L264">
        <v>8</v>
      </c>
      <c r="M264">
        <v>8</v>
      </c>
      <c r="N264">
        <v>8</v>
      </c>
    </row>
    <row r="265" spans="7:14">
      <c r="G265">
        <v>8</v>
      </c>
      <c r="H265">
        <v>8</v>
      </c>
      <c r="I265">
        <v>8</v>
      </c>
      <c r="J265">
        <v>8</v>
      </c>
      <c r="K265">
        <v>8</v>
      </c>
      <c r="L265">
        <v>8</v>
      </c>
      <c r="M265">
        <v>8</v>
      </c>
      <c r="N265">
        <v>8</v>
      </c>
    </row>
    <row r="266" spans="7:14">
      <c r="G266">
        <v>8</v>
      </c>
      <c r="H266">
        <v>5</v>
      </c>
      <c r="I266">
        <v>3</v>
      </c>
      <c r="J266">
        <v>5</v>
      </c>
      <c r="K266">
        <v>8</v>
      </c>
      <c r="L266">
        <v>8</v>
      </c>
      <c r="M266">
        <v>8</v>
      </c>
      <c r="N266">
        <v>8</v>
      </c>
    </row>
    <row r="267" spans="7:14">
      <c r="G267">
        <v>8</v>
      </c>
      <c r="H267">
        <v>5</v>
      </c>
      <c r="I267">
        <v>3</v>
      </c>
      <c r="J267">
        <v>5</v>
      </c>
      <c r="K267">
        <v>8</v>
      </c>
      <c r="L267">
        <v>8</v>
      </c>
      <c r="M267">
        <v>8</v>
      </c>
      <c r="N267">
        <v>8</v>
      </c>
    </row>
    <row r="268" spans="7:14">
      <c r="G268">
        <v>8</v>
      </c>
      <c r="H268">
        <v>5</v>
      </c>
      <c r="I268">
        <v>3</v>
      </c>
      <c r="J268">
        <v>5</v>
      </c>
      <c r="K268">
        <v>8</v>
      </c>
      <c r="L268">
        <v>8</v>
      </c>
      <c r="M268">
        <v>8</v>
      </c>
      <c r="N268">
        <v>8</v>
      </c>
    </row>
    <row r="269" spans="7:14">
      <c r="G269">
        <v>8</v>
      </c>
      <c r="H269">
        <v>5</v>
      </c>
      <c r="I269">
        <v>3</v>
      </c>
      <c r="J269">
        <v>5</v>
      </c>
      <c r="K269">
        <v>8</v>
      </c>
      <c r="L269">
        <v>8</v>
      </c>
      <c r="M269">
        <v>8</v>
      </c>
      <c r="N269">
        <v>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116"/>
  <sheetViews>
    <sheetView workbookViewId="0">
      <selection activeCell="D8" sqref="D8"/>
    </sheetView>
  </sheetViews>
  <sheetFormatPr defaultColWidth="9" defaultRowHeight="13.5" outlineLevelCol="4"/>
  <sheetData>
    <row r="1" spans="3:5">
      <c r="C1" s="49"/>
      <c r="D1" s="49"/>
      <c r="E1" s="49"/>
    </row>
    <row r="2" spans="3:5">
      <c r="C2" s="50">
        <v>1</v>
      </c>
      <c r="D2" s="50">
        <v>1</v>
      </c>
      <c r="E2" s="50">
        <v>1</v>
      </c>
    </row>
    <row r="3" spans="3:5">
      <c r="C3" s="51">
        <v>111001</v>
      </c>
      <c r="D3" s="51">
        <v>1</v>
      </c>
      <c r="E3" s="51" t="s">
        <v>85</v>
      </c>
    </row>
    <row r="4" spans="3:5">
      <c r="C4" s="51">
        <v>111002</v>
      </c>
      <c r="D4" s="51">
        <v>1</v>
      </c>
      <c r="E4" s="51" t="s">
        <v>86</v>
      </c>
    </row>
    <row r="5" spans="3:5">
      <c r="C5" s="51">
        <v>111003</v>
      </c>
      <c r="D5" s="51">
        <v>1</v>
      </c>
      <c r="E5" s="51" t="s">
        <v>87</v>
      </c>
    </row>
    <row r="6" spans="3:5">
      <c r="C6" s="51">
        <v>111004</v>
      </c>
      <c r="D6" s="51">
        <v>1</v>
      </c>
      <c r="E6" s="51" t="s">
        <v>88</v>
      </c>
    </row>
    <row r="7" spans="3:5">
      <c r="C7" s="51">
        <v>111005</v>
      </c>
      <c r="D7" s="51">
        <v>1</v>
      </c>
      <c r="E7" s="51" t="s">
        <v>89</v>
      </c>
    </row>
    <row r="8" spans="3:5">
      <c r="C8" s="51">
        <v>111006</v>
      </c>
      <c r="D8" s="51">
        <v>1</v>
      </c>
      <c r="E8" s="51" t="s">
        <v>90</v>
      </c>
    </row>
    <row r="9" spans="3:5">
      <c r="C9" s="51">
        <v>111007</v>
      </c>
      <c r="D9" s="51">
        <v>1</v>
      </c>
      <c r="E9" s="51" t="s">
        <v>91</v>
      </c>
    </row>
    <row r="10" spans="3:5">
      <c r="C10" s="51">
        <v>111008</v>
      </c>
      <c r="D10" s="51">
        <v>1</v>
      </c>
      <c r="E10" s="51" t="s">
        <v>92</v>
      </c>
    </row>
    <row r="11" spans="3:5">
      <c r="C11" s="51">
        <v>111009</v>
      </c>
      <c r="D11" s="51">
        <v>1</v>
      </c>
      <c r="E11" s="51" t="s">
        <v>93</v>
      </c>
    </row>
    <row r="12" spans="3:5">
      <c r="C12" s="51">
        <v>111010</v>
      </c>
      <c r="D12" s="51">
        <v>1</v>
      </c>
      <c r="E12" s="51" t="s">
        <v>94</v>
      </c>
    </row>
    <row r="13" spans="3:5">
      <c r="C13" s="51">
        <v>111011</v>
      </c>
      <c r="D13" s="51">
        <v>1</v>
      </c>
      <c r="E13" s="51" t="s">
        <v>95</v>
      </c>
    </row>
    <row r="14" spans="3:5">
      <c r="C14" s="51">
        <v>111012</v>
      </c>
      <c r="D14" s="51">
        <v>1</v>
      </c>
      <c r="E14" s="51" t="s">
        <v>96</v>
      </c>
    </row>
    <row r="15" spans="3:5">
      <c r="C15" s="51">
        <v>111013</v>
      </c>
      <c r="D15" s="51">
        <v>1</v>
      </c>
      <c r="E15" s="51" t="s">
        <v>97</v>
      </c>
    </row>
    <row r="16" spans="3:5">
      <c r="C16" s="51">
        <v>111014</v>
      </c>
      <c r="D16" s="51">
        <v>1</v>
      </c>
      <c r="E16" s="51" t="s">
        <v>98</v>
      </c>
    </row>
    <row r="17" spans="3:5">
      <c r="C17" s="51">
        <v>111015</v>
      </c>
      <c r="D17" s="51">
        <v>1</v>
      </c>
      <c r="E17" s="51" t="s">
        <v>99</v>
      </c>
    </row>
    <row r="18" spans="3:5">
      <c r="C18" s="51">
        <v>111016</v>
      </c>
      <c r="D18" s="51">
        <v>1</v>
      </c>
      <c r="E18" s="51" t="s">
        <v>100</v>
      </c>
    </row>
    <row r="19" spans="3:5">
      <c r="C19" s="51">
        <v>111017</v>
      </c>
      <c r="D19" s="51">
        <v>1</v>
      </c>
      <c r="E19" s="51" t="s">
        <v>101</v>
      </c>
    </row>
    <row r="20" spans="3:5">
      <c r="C20" s="51">
        <v>111018</v>
      </c>
      <c r="D20" s="51">
        <v>1</v>
      </c>
      <c r="E20" s="51" t="s">
        <v>102</v>
      </c>
    </row>
    <row r="21" spans="3:5">
      <c r="C21" s="49">
        <v>112001</v>
      </c>
      <c r="D21" s="49">
        <v>2</v>
      </c>
      <c r="E21" s="49" t="s">
        <v>103</v>
      </c>
    </row>
    <row r="22" spans="3:5">
      <c r="C22" s="49">
        <v>112002</v>
      </c>
      <c r="D22" s="49">
        <v>2</v>
      </c>
      <c r="E22" s="49" t="s">
        <v>104</v>
      </c>
    </row>
    <row r="23" spans="3:5">
      <c r="C23" s="49">
        <v>112003</v>
      </c>
      <c r="D23" s="49">
        <v>2</v>
      </c>
      <c r="E23" s="49" t="s">
        <v>105</v>
      </c>
    </row>
    <row r="24" spans="3:5">
      <c r="C24" s="49">
        <v>112004</v>
      </c>
      <c r="D24" s="49">
        <v>2</v>
      </c>
      <c r="E24" s="49" t="s">
        <v>106</v>
      </c>
    </row>
    <row r="25" spans="3:5">
      <c r="C25" s="49">
        <v>112005</v>
      </c>
      <c r="D25" s="49">
        <v>2</v>
      </c>
      <c r="E25" s="49" t="s">
        <v>107</v>
      </c>
    </row>
    <row r="26" spans="3:5">
      <c r="C26" s="49">
        <v>112006</v>
      </c>
      <c r="D26" s="49">
        <v>2</v>
      </c>
      <c r="E26" s="49" t="s">
        <v>108</v>
      </c>
    </row>
    <row r="27" spans="3:5">
      <c r="C27" s="49">
        <v>112007</v>
      </c>
      <c r="D27" s="49">
        <v>2</v>
      </c>
      <c r="E27" s="49" t="s">
        <v>109</v>
      </c>
    </row>
    <row r="28" spans="3:5">
      <c r="C28" s="49">
        <v>112008</v>
      </c>
      <c r="D28" s="49">
        <v>2</v>
      </c>
      <c r="E28" s="49" t="s">
        <v>110</v>
      </c>
    </row>
    <row r="29" spans="3:5">
      <c r="C29" s="49">
        <v>112009</v>
      </c>
      <c r="D29" s="49">
        <v>2</v>
      </c>
      <c r="E29" s="49" t="s">
        <v>111</v>
      </c>
    </row>
    <row r="30" spans="3:5">
      <c r="C30" s="49">
        <v>112010</v>
      </c>
      <c r="D30" s="49">
        <v>2</v>
      </c>
      <c r="E30" s="49" t="s">
        <v>112</v>
      </c>
    </row>
    <row r="31" spans="3:5">
      <c r="C31" s="49">
        <v>112011</v>
      </c>
      <c r="D31" s="49">
        <v>2</v>
      </c>
      <c r="E31" s="49" t="s">
        <v>113</v>
      </c>
    </row>
    <row r="32" spans="3:5">
      <c r="C32" s="49">
        <v>112012</v>
      </c>
      <c r="D32" s="49">
        <v>2</v>
      </c>
      <c r="E32" s="49" t="s">
        <v>114</v>
      </c>
    </row>
    <row r="33" spans="3:5">
      <c r="C33" s="49">
        <v>112013</v>
      </c>
      <c r="D33" s="49">
        <v>2</v>
      </c>
      <c r="E33" s="49" t="s">
        <v>115</v>
      </c>
    </row>
    <row r="34" spans="3:5">
      <c r="C34" s="49">
        <v>112014</v>
      </c>
      <c r="D34" s="49">
        <v>2</v>
      </c>
      <c r="E34" s="49" t="s">
        <v>116</v>
      </c>
    </row>
    <row r="35" spans="3:5">
      <c r="C35" s="49">
        <v>112015</v>
      </c>
      <c r="D35" s="49">
        <v>2</v>
      </c>
      <c r="E35" s="49" t="s">
        <v>117</v>
      </c>
    </row>
    <row r="36" spans="3:5">
      <c r="C36" s="49">
        <v>112016</v>
      </c>
      <c r="D36" s="49">
        <v>2</v>
      </c>
      <c r="E36" s="49" t="s">
        <v>118</v>
      </c>
    </row>
    <row r="37" spans="3:5">
      <c r="C37" s="49">
        <v>112017</v>
      </c>
      <c r="D37" s="49">
        <v>2</v>
      </c>
      <c r="E37" s="49" t="s">
        <v>119</v>
      </c>
    </row>
    <row r="38" spans="3:5">
      <c r="C38" s="49">
        <v>112018</v>
      </c>
      <c r="D38" s="49">
        <v>2</v>
      </c>
      <c r="E38" s="49" t="s">
        <v>120</v>
      </c>
    </row>
    <row r="39" spans="3:5">
      <c r="C39" s="49">
        <v>112019</v>
      </c>
      <c r="D39" s="49">
        <v>2</v>
      </c>
      <c r="E39" s="49" t="s">
        <v>121</v>
      </c>
    </row>
    <row r="40" spans="3:5">
      <c r="C40" s="49">
        <v>112020</v>
      </c>
      <c r="D40" s="49">
        <v>2</v>
      </c>
      <c r="E40" s="49" t="s">
        <v>122</v>
      </c>
    </row>
    <row r="41" spans="3:5">
      <c r="C41" s="49">
        <v>112021</v>
      </c>
      <c r="D41" s="49">
        <v>2</v>
      </c>
      <c r="E41" s="49" t="s">
        <v>123</v>
      </c>
    </row>
    <row r="42" spans="3:5">
      <c r="C42" s="49">
        <v>112022</v>
      </c>
      <c r="D42" s="49">
        <v>2</v>
      </c>
      <c r="E42" s="49" t="s">
        <v>124</v>
      </c>
    </row>
    <row r="43" spans="3:5">
      <c r="C43" s="49">
        <v>112023</v>
      </c>
      <c r="D43" s="49">
        <v>2</v>
      </c>
      <c r="E43" s="49" t="s">
        <v>125</v>
      </c>
    </row>
    <row r="44" spans="3:5">
      <c r="C44" s="49">
        <v>112024</v>
      </c>
      <c r="D44" s="49">
        <v>2</v>
      </c>
      <c r="E44" s="49" t="s">
        <v>126</v>
      </c>
    </row>
    <row r="45" spans="3:5">
      <c r="C45" s="49">
        <v>112025</v>
      </c>
      <c r="D45" s="49">
        <v>2</v>
      </c>
      <c r="E45" s="49" t="s">
        <v>127</v>
      </c>
    </row>
    <row r="46" spans="3:5">
      <c r="C46" s="49">
        <v>112026</v>
      </c>
      <c r="D46" s="49">
        <v>2</v>
      </c>
      <c r="E46" s="49" t="s">
        <v>128</v>
      </c>
    </row>
    <row r="47" spans="3:5">
      <c r="C47" s="49">
        <v>112027</v>
      </c>
      <c r="D47" s="49">
        <v>2</v>
      </c>
      <c r="E47" s="49" t="s">
        <v>129</v>
      </c>
    </row>
    <row r="48" spans="3:5">
      <c r="C48" s="49">
        <v>112028</v>
      </c>
      <c r="D48" s="49">
        <v>3</v>
      </c>
      <c r="E48" s="49" t="s">
        <v>82</v>
      </c>
    </row>
    <row r="49" spans="3:5">
      <c r="C49" s="49">
        <v>112029</v>
      </c>
      <c r="D49" s="49">
        <v>2</v>
      </c>
      <c r="E49" s="49" t="s">
        <v>130</v>
      </c>
    </row>
    <row r="50" spans="3:5">
      <c r="C50" s="49">
        <v>112030</v>
      </c>
      <c r="D50" s="49">
        <v>2</v>
      </c>
      <c r="E50" s="49" t="s">
        <v>131</v>
      </c>
    </row>
    <row r="51" spans="3:5">
      <c r="C51" s="49">
        <v>113001</v>
      </c>
      <c r="D51" s="49">
        <v>3</v>
      </c>
      <c r="E51" s="49" t="s">
        <v>132</v>
      </c>
    </row>
    <row r="52" spans="3:5">
      <c r="C52" s="49">
        <v>113002</v>
      </c>
      <c r="D52" s="49">
        <v>3</v>
      </c>
      <c r="E52" s="49" t="s">
        <v>133</v>
      </c>
    </row>
    <row r="53" spans="3:5">
      <c r="C53" s="49">
        <v>113003</v>
      </c>
      <c r="D53" s="49">
        <v>3</v>
      </c>
      <c r="E53" s="49" t="s">
        <v>134</v>
      </c>
    </row>
    <row r="54" spans="3:5">
      <c r="C54" s="49">
        <v>113004</v>
      </c>
      <c r="D54" s="49">
        <v>3</v>
      </c>
      <c r="E54" s="49" t="s">
        <v>135</v>
      </c>
    </row>
    <row r="55" spans="3:5">
      <c r="C55" s="49">
        <v>113005</v>
      </c>
      <c r="D55" s="49">
        <v>3</v>
      </c>
      <c r="E55" s="49" t="s">
        <v>136</v>
      </c>
    </row>
    <row r="56" spans="3:5">
      <c r="C56" s="49">
        <v>113006</v>
      </c>
      <c r="D56" s="49">
        <v>3</v>
      </c>
      <c r="E56" s="49" t="s">
        <v>137</v>
      </c>
    </row>
    <row r="57" spans="3:5">
      <c r="C57" s="49">
        <v>113007</v>
      </c>
      <c r="D57" s="49">
        <v>3</v>
      </c>
      <c r="E57" s="49" t="s">
        <v>138</v>
      </c>
    </row>
    <row r="58" spans="3:5">
      <c r="C58" s="49">
        <v>113008</v>
      </c>
      <c r="D58" s="49">
        <v>3</v>
      </c>
      <c r="E58" s="49" t="s">
        <v>139</v>
      </c>
    </row>
    <row r="59" spans="3:5">
      <c r="C59" s="49">
        <v>113009</v>
      </c>
      <c r="D59" s="49">
        <v>3</v>
      </c>
      <c r="E59" s="49" t="s">
        <v>140</v>
      </c>
    </row>
    <row r="60" spans="3:5">
      <c r="C60" s="49">
        <v>113010</v>
      </c>
      <c r="D60" s="49">
        <v>3</v>
      </c>
      <c r="E60" s="49" t="s">
        <v>141</v>
      </c>
    </row>
    <row r="61" spans="3:5">
      <c r="C61" s="49">
        <v>113011</v>
      </c>
      <c r="D61" s="49">
        <v>3</v>
      </c>
      <c r="E61" s="49" t="s">
        <v>124</v>
      </c>
    </row>
    <row r="62" spans="3:5">
      <c r="C62" s="49">
        <v>113012</v>
      </c>
      <c r="D62" s="49">
        <v>3</v>
      </c>
      <c r="E62" s="49" t="s">
        <v>142</v>
      </c>
    </row>
    <row r="63" spans="3:5">
      <c r="C63" s="49">
        <v>113013</v>
      </c>
      <c r="D63" s="49">
        <v>3</v>
      </c>
      <c r="E63" s="49" t="s">
        <v>143</v>
      </c>
    </row>
    <row r="64" spans="3:5">
      <c r="C64" s="49">
        <v>113014</v>
      </c>
      <c r="D64" s="49">
        <v>3</v>
      </c>
      <c r="E64" s="49" t="s">
        <v>144</v>
      </c>
    </row>
    <row r="65" spans="3:5">
      <c r="C65" s="49">
        <v>113015</v>
      </c>
      <c r="D65" s="49">
        <v>3</v>
      </c>
      <c r="E65" s="49" t="s">
        <v>145</v>
      </c>
    </row>
    <row r="66" spans="3:5">
      <c r="C66" s="49">
        <v>113016</v>
      </c>
      <c r="D66" s="49">
        <v>3</v>
      </c>
      <c r="E66" s="49" t="s">
        <v>146</v>
      </c>
    </row>
    <row r="67" spans="3:5">
      <c r="C67" s="49">
        <v>113017</v>
      </c>
      <c r="D67" s="49">
        <v>3</v>
      </c>
      <c r="E67" s="49" t="s">
        <v>147</v>
      </c>
    </row>
    <row r="68" spans="3:5">
      <c r="C68" s="49">
        <v>113018</v>
      </c>
      <c r="D68" s="49">
        <v>3</v>
      </c>
      <c r="E68" s="49" t="s">
        <v>148</v>
      </c>
    </row>
    <row r="69" spans="3:5">
      <c r="C69" s="49">
        <v>113019</v>
      </c>
      <c r="D69" s="49">
        <v>3</v>
      </c>
      <c r="E69" s="49" t="s">
        <v>149</v>
      </c>
    </row>
    <row r="70" spans="3:5">
      <c r="C70" s="49">
        <v>113020</v>
      </c>
      <c r="D70" s="49">
        <v>3</v>
      </c>
      <c r="E70" s="49" t="s">
        <v>150</v>
      </c>
    </row>
    <row r="71" spans="3:5">
      <c r="C71" s="49">
        <v>113021</v>
      </c>
      <c r="D71" s="49">
        <v>3</v>
      </c>
      <c r="E71" s="49" t="s">
        <v>151</v>
      </c>
    </row>
    <row r="72" spans="3:5">
      <c r="C72" s="49">
        <v>113022</v>
      </c>
      <c r="D72" s="49">
        <v>3</v>
      </c>
      <c r="E72" s="49" t="s">
        <v>152</v>
      </c>
    </row>
    <row r="73" spans="3:5">
      <c r="C73" s="49">
        <v>113023</v>
      </c>
      <c r="D73" s="49">
        <v>3</v>
      </c>
      <c r="E73" s="49" t="s">
        <v>153</v>
      </c>
    </row>
    <row r="74" spans="3:5">
      <c r="C74" s="49">
        <v>113024</v>
      </c>
      <c r="D74" s="49">
        <v>3</v>
      </c>
      <c r="E74" s="49" t="s">
        <v>154</v>
      </c>
    </row>
    <row r="75" spans="3:5">
      <c r="C75" s="49">
        <v>113025</v>
      </c>
      <c r="D75" s="49">
        <v>3</v>
      </c>
      <c r="E75" s="49" t="s">
        <v>155</v>
      </c>
    </row>
    <row r="76" spans="3:5">
      <c r="C76" s="49">
        <v>113026</v>
      </c>
      <c r="D76" s="49">
        <v>3</v>
      </c>
      <c r="E76" s="49" t="s">
        <v>156</v>
      </c>
    </row>
    <row r="77" spans="3:5">
      <c r="C77" s="49">
        <v>113027</v>
      </c>
      <c r="D77" s="49">
        <v>3</v>
      </c>
      <c r="E77" s="49" t="s">
        <v>157</v>
      </c>
    </row>
    <row r="78" spans="3:5">
      <c r="C78" s="49">
        <v>113028</v>
      </c>
      <c r="D78" s="49">
        <v>3</v>
      </c>
      <c r="E78" s="49" t="s">
        <v>158</v>
      </c>
    </row>
    <row r="79" spans="3:5">
      <c r="C79" s="49">
        <v>113029</v>
      </c>
      <c r="D79" s="49">
        <v>3</v>
      </c>
      <c r="E79" s="49" t="s">
        <v>159</v>
      </c>
    </row>
    <row r="80" spans="3:5">
      <c r="C80" s="49">
        <v>113030</v>
      </c>
      <c r="D80" s="49">
        <v>3</v>
      </c>
      <c r="E80" s="49" t="s">
        <v>160</v>
      </c>
    </row>
    <row r="81" spans="3:5">
      <c r="C81" s="49">
        <v>113031</v>
      </c>
      <c r="D81" s="49">
        <v>3</v>
      </c>
      <c r="E81" s="49" t="s">
        <v>161</v>
      </c>
    </row>
    <row r="82" spans="3:5">
      <c r="C82" s="49">
        <v>113032</v>
      </c>
      <c r="D82" s="49">
        <v>3</v>
      </c>
      <c r="E82" s="49" t="s">
        <v>162</v>
      </c>
    </row>
    <row r="83" spans="3:5">
      <c r="C83" s="49">
        <v>113033</v>
      </c>
      <c r="D83" s="49">
        <v>3</v>
      </c>
      <c r="E83" s="49" t="s">
        <v>163</v>
      </c>
    </row>
    <row r="84" spans="3:5">
      <c r="C84" s="49">
        <v>113034</v>
      </c>
      <c r="D84" s="49">
        <v>3</v>
      </c>
      <c r="E84" s="49" t="s">
        <v>164</v>
      </c>
    </row>
    <row r="85" spans="3:5">
      <c r="C85" s="49">
        <v>113035</v>
      </c>
      <c r="D85" s="49">
        <v>3</v>
      </c>
      <c r="E85" s="49" t="s">
        <v>165</v>
      </c>
    </row>
    <row r="86" spans="3:5">
      <c r="C86" s="49">
        <v>113036</v>
      </c>
      <c r="D86" s="49">
        <v>3</v>
      </c>
      <c r="E86" s="49" t="s">
        <v>166</v>
      </c>
    </row>
    <row r="87" spans="3:5">
      <c r="C87" s="49">
        <v>113037</v>
      </c>
      <c r="D87" s="49">
        <v>3</v>
      </c>
      <c r="E87" s="49" t="s">
        <v>167</v>
      </c>
    </row>
    <row r="88" spans="3:5">
      <c r="C88" s="49">
        <v>113038</v>
      </c>
      <c r="D88" s="49">
        <v>3</v>
      </c>
      <c r="E88" s="49" t="s">
        <v>168</v>
      </c>
    </row>
    <row r="89" spans="3:5">
      <c r="C89" s="49">
        <v>113039</v>
      </c>
      <c r="D89" s="49">
        <v>3</v>
      </c>
      <c r="E89" s="49" t="s">
        <v>169</v>
      </c>
    </row>
    <row r="90" spans="3:5">
      <c r="C90" s="49">
        <v>113040</v>
      </c>
      <c r="D90" s="49">
        <v>3</v>
      </c>
      <c r="E90" s="49" t="s">
        <v>170</v>
      </c>
    </row>
    <row r="91" spans="3:5">
      <c r="C91" s="49">
        <v>113041</v>
      </c>
      <c r="D91" s="49">
        <v>3</v>
      </c>
      <c r="E91" s="49" t="s">
        <v>171</v>
      </c>
    </row>
    <row r="92" spans="3:5">
      <c r="C92" s="49">
        <v>113042</v>
      </c>
      <c r="D92" s="49">
        <v>3</v>
      </c>
      <c r="E92" s="49" t="s">
        <v>172</v>
      </c>
    </row>
    <row r="93" spans="3:5">
      <c r="C93" s="49">
        <v>113043</v>
      </c>
      <c r="D93" s="49">
        <v>3</v>
      </c>
      <c r="E93" s="49" t="s">
        <v>173</v>
      </c>
    </row>
    <row r="94" spans="3:5">
      <c r="C94" s="49">
        <v>113044</v>
      </c>
      <c r="D94" s="49">
        <v>3</v>
      </c>
      <c r="E94" s="49" t="s">
        <v>174</v>
      </c>
    </row>
    <row r="95" spans="3:5">
      <c r="C95" s="49">
        <v>113045</v>
      </c>
      <c r="D95" s="49">
        <v>3</v>
      </c>
      <c r="E95" s="49" t="s">
        <v>175</v>
      </c>
    </row>
    <row r="96" spans="3:5">
      <c r="C96" s="49">
        <v>113046</v>
      </c>
      <c r="D96" s="49">
        <v>3</v>
      </c>
      <c r="E96" s="49" t="s">
        <v>176</v>
      </c>
    </row>
    <row r="97" spans="3:5">
      <c r="C97" s="49">
        <v>113047</v>
      </c>
      <c r="D97" s="49">
        <v>3</v>
      </c>
      <c r="E97" s="49" t="s">
        <v>177</v>
      </c>
    </row>
    <row r="98" spans="3:5">
      <c r="C98" s="49">
        <v>113048</v>
      </c>
      <c r="D98" s="49">
        <v>3</v>
      </c>
      <c r="E98" s="49" t="s">
        <v>178</v>
      </c>
    </row>
    <row r="99" spans="3:5">
      <c r="C99" s="49">
        <v>113049</v>
      </c>
      <c r="D99" s="49">
        <v>3</v>
      </c>
      <c r="E99" s="49" t="s">
        <v>179</v>
      </c>
    </row>
    <row r="100" spans="3:5">
      <c r="C100" s="49">
        <v>113050</v>
      </c>
      <c r="D100" s="49">
        <v>3</v>
      </c>
      <c r="E100" s="49" t="s">
        <v>180</v>
      </c>
    </row>
    <row r="101" spans="3:5">
      <c r="C101" s="49">
        <v>113051</v>
      </c>
      <c r="D101" s="49">
        <v>3</v>
      </c>
      <c r="E101" s="49" t="s">
        <v>181</v>
      </c>
    </row>
    <row r="102" spans="3:5">
      <c r="C102" s="49">
        <v>113052</v>
      </c>
      <c r="D102" s="49">
        <v>3</v>
      </c>
      <c r="E102" s="49" t="s">
        <v>182</v>
      </c>
    </row>
    <row r="103" spans="3:5">
      <c r="C103" s="49">
        <v>113053</v>
      </c>
      <c r="D103" s="49">
        <v>3</v>
      </c>
      <c r="E103" s="49" t="s">
        <v>183</v>
      </c>
    </row>
    <row r="104" spans="3:5">
      <c r="C104" s="49">
        <v>113054</v>
      </c>
      <c r="D104" s="49">
        <v>3</v>
      </c>
      <c r="E104" s="49" t="s">
        <v>184</v>
      </c>
    </row>
    <row r="105" spans="3:5">
      <c r="C105" s="49">
        <v>113055</v>
      </c>
      <c r="D105" s="49">
        <v>3</v>
      </c>
      <c r="E105" s="49" t="s">
        <v>185</v>
      </c>
    </row>
    <row r="106" spans="3:5">
      <c r="C106" s="49">
        <v>113056</v>
      </c>
      <c r="D106" s="49">
        <v>3</v>
      </c>
      <c r="E106" s="49" t="s">
        <v>186</v>
      </c>
    </row>
    <row r="107" spans="3:5">
      <c r="C107" s="49">
        <v>113057</v>
      </c>
      <c r="D107" s="49">
        <v>3</v>
      </c>
      <c r="E107" s="49" t="s">
        <v>187</v>
      </c>
    </row>
    <row r="108" spans="3:5">
      <c r="C108" s="49">
        <v>113058</v>
      </c>
      <c r="D108" s="49">
        <v>3</v>
      </c>
      <c r="E108" s="49" t="s">
        <v>178</v>
      </c>
    </row>
    <row r="109" spans="3:5">
      <c r="C109" s="49">
        <v>113059</v>
      </c>
      <c r="D109" s="49">
        <v>3</v>
      </c>
      <c r="E109" s="49" t="s">
        <v>188</v>
      </c>
    </row>
    <row r="110" spans="3:5">
      <c r="C110" s="49">
        <v>113060</v>
      </c>
      <c r="D110" s="49">
        <v>3</v>
      </c>
      <c r="E110" s="49" t="s">
        <v>189</v>
      </c>
    </row>
    <row r="111" spans="3:5">
      <c r="C111" s="49">
        <v>113061</v>
      </c>
      <c r="D111" s="49">
        <v>3</v>
      </c>
      <c r="E111" s="49" t="s">
        <v>190</v>
      </c>
    </row>
    <row r="112" spans="3:5">
      <c r="C112" s="49">
        <v>113062</v>
      </c>
      <c r="D112" s="49">
        <v>3</v>
      </c>
      <c r="E112" s="49" t="s">
        <v>191</v>
      </c>
    </row>
    <row r="113" spans="3:5">
      <c r="C113" s="49">
        <v>113063</v>
      </c>
      <c r="D113" s="49">
        <v>3</v>
      </c>
      <c r="E113" s="49" t="s">
        <v>130</v>
      </c>
    </row>
    <row r="114" spans="3:5">
      <c r="C114" s="49">
        <v>113064</v>
      </c>
      <c r="D114" s="49">
        <v>3</v>
      </c>
      <c r="E114" s="49" t="s">
        <v>192</v>
      </c>
    </row>
    <row r="115" spans="3:5">
      <c r="C115" s="49">
        <v>113065</v>
      </c>
      <c r="D115" s="49">
        <v>3</v>
      </c>
      <c r="E115" s="49" t="s">
        <v>193</v>
      </c>
    </row>
    <row r="116" spans="3:5">
      <c r="C116" s="49">
        <v>113066</v>
      </c>
      <c r="D116" s="49">
        <v>3</v>
      </c>
      <c r="E116" s="49" t="s">
        <v>194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Y628"/>
  <sheetViews>
    <sheetView topLeftCell="D598" workbookViewId="0">
      <selection activeCell="K7" sqref="K7:M628"/>
    </sheetView>
  </sheetViews>
  <sheetFormatPr defaultColWidth="9" defaultRowHeight="13.5"/>
  <cols>
    <col min="4" max="4" width="9.13333333333333" customWidth="1"/>
    <col min="7" max="7" width="9.625" customWidth="1"/>
  </cols>
  <sheetData>
    <row r="1" spans="4:18">
      <c r="D1" s="1">
        <v>1</v>
      </c>
      <c r="G1" s="1">
        <v>9999</v>
      </c>
      <c r="Q1" s="3">
        <v>7</v>
      </c>
      <c r="R1" s="4"/>
    </row>
    <row r="2" ht="54" spans="4:18">
      <c r="D2" t="s">
        <v>2</v>
      </c>
      <c r="G2" t="s">
        <v>3</v>
      </c>
      <c r="K2" s="2" t="s">
        <v>7</v>
      </c>
      <c r="L2" s="2" t="s">
        <v>8</v>
      </c>
      <c r="M2" s="2" t="s">
        <v>9</v>
      </c>
      <c r="Q2" t="s">
        <v>2</v>
      </c>
      <c r="R2" s="5" t="s">
        <v>195</v>
      </c>
    </row>
    <row r="3" spans="4:18">
      <c r="D3" t="s">
        <v>26</v>
      </c>
      <c r="G3" t="s">
        <v>27</v>
      </c>
      <c r="Q3" t="s">
        <v>26</v>
      </c>
      <c r="R3" t="s">
        <v>196</v>
      </c>
    </row>
    <row r="4" spans="4:18">
      <c r="D4" t="s">
        <v>49</v>
      </c>
      <c r="G4" t="s">
        <v>49</v>
      </c>
      <c r="Q4" t="s">
        <v>49</v>
      </c>
      <c r="R4" t="s">
        <v>49</v>
      </c>
    </row>
    <row r="5" spans="4:18">
      <c r="D5" t="s">
        <v>55</v>
      </c>
      <c r="G5" t="s">
        <v>55</v>
      </c>
      <c r="Q5" t="s">
        <v>54</v>
      </c>
      <c r="R5" t="s">
        <v>57</v>
      </c>
    </row>
    <row r="6" spans="4:18">
      <c r="D6" t="s">
        <v>26</v>
      </c>
      <c r="G6" t="s">
        <v>27</v>
      </c>
      <c r="Q6" t="s">
        <v>26</v>
      </c>
      <c r="R6" t="s">
        <v>196</v>
      </c>
    </row>
    <row r="7" ht="16.5" spans="4:24">
      <c r="D7">
        <v>111001</v>
      </c>
      <c r="E7">
        <f>VLOOKUP(D7,Q:R,2,FALSE)</f>
        <v>1</v>
      </c>
      <c r="G7">
        <v>2</v>
      </c>
      <c r="H7">
        <f>E7*10+G7</f>
        <v>12</v>
      </c>
      <c r="I7">
        <f>H7*100</f>
        <v>1200</v>
      </c>
      <c r="J7">
        <v>1200</v>
      </c>
      <c r="K7">
        <f>VLOOKUP(J7,U:X,2,FALSE)</f>
        <v>7</v>
      </c>
      <c r="L7">
        <f>VLOOKUP(J7,U:X,3,FALSE)</f>
        <v>2.8</v>
      </c>
      <c r="M7">
        <f>VLOOKUP(J7,U:X,4,FALSE)</f>
        <v>56</v>
      </c>
      <c r="Q7" s="6">
        <v>111001</v>
      </c>
      <c r="R7" s="7">
        <v>1</v>
      </c>
      <c r="U7" s="8"/>
      <c r="V7" s="8"/>
      <c r="W7" s="8"/>
      <c r="X7" s="8"/>
    </row>
    <row r="8" ht="16.5" spans="4:24">
      <c r="D8">
        <v>111001</v>
      </c>
      <c r="E8">
        <f t="shared" ref="E8:E71" si="0">VLOOKUP(D8,Q:R,2,FALSE)</f>
        <v>1</v>
      </c>
      <c r="G8">
        <v>3</v>
      </c>
      <c r="H8">
        <f t="shared" ref="H8:H71" si="1">E8*10+G8</f>
        <v>13</v>
      </c>
      <c r="I8">
        <f t="shared" ref="I8:I71" si="2">H8*100</f>
        <v>1300</v>
      </c>
      <c r="J8">
        <v>1300</v>
      </c>
      <c r="K8">
        <f t="shared" ref="K8:K71" si="3">VLOOKUP(J8,U:X,2,FALSE)</f>
        <v>8</v>
      </c>
      <c r="L8">
        <f t="shared" ref="L8:L71" si="4">VLOOKUP(J8,U:X,3,FALSE)</f>
        <v>3.2</v>
      </c>
      <c r="M8">
        <f t="shared" ref="M8:M71" si="5">VLOOKUP(J8,U:X,4,FALSE)</f>
        <v>64</v>
      </c>
      <c r="Q8" s="6">
        <v>111002</v>
      </c>
      <c r="R8" s="7">
        <v>1</v>
      </c>
      <c r="U8" s="8"/>
      <c r="V8" s="8"/>
      <c r="W8" s="8"/>
      <c r="X8" s="8"/>
    </row>
    <row r="9" ht="16.5" spans="4:24">
      <c r="D9">
        <v>111001</v>
      </c>
      <c r="E9">
        <f t="shared" si="0"/>
        <v>1</v>
      </c>
      <c r="G9">
        <v>4</v>
      </c>
      <c r="H9">
        <f t="shared" si="1"/>
        <v>14</v>
      </c>
      <c r="I9">
        <f t="shared" si="2"/>
        <v>1400</v>
      </c>
      <c r="J9">
        <v>1400</v>
      </c>
      <c r="K9">
        <f t="shared" si="3"/>
        <v>9</v>
      </c>
      <c r="L9">
        <f t="shared" si="4"/>
        <v>3.6</v>
      </c>
      <c r="M9">
        <f t="shared" si="5"/>
        <v>72</v>
      </c>
      <c r="Q9" s="6">
        <v>111003</v>
      </c>
      <c r="R9" s="7">
        <v>1</v>
      </c>
      <c r="U9" s="8"/>
      <c r="V9" s="8"/>
      <c r="W9" s="8"/>
      <c r="X9" s="8"/>
    </row>
    <row r="10" ht="16.5" spans="4:24">
      <c r="D10">
        <v>111001</v>
      </c>
      <c r="E10">
        <f t="shared" si="0"/>
        <v>1</v>
      </c>
      <c r="G10">
        <v>5</v>
      </c>
      <c r="H10">
        <f t="shared" si="1"/>
        <v>15</v>
      </c>
      <c r="I10">
        <f t="shared" si="2"/>
        <v>1500</v>
      </c>
      <c r="J10">
        <v>1500</v>
      </c>
      <c r="K10">
        <f t="shared" si="3"/>
        <v>10</v>
      </c>
      <c r="L10">
        <f t="shared" si="4"/>
        <v>4</v>
      </c>
      <c r="M10">
        <f t="shared" si="5"/>
        <v>80</v>
      </c>
      <c r="Q10" s="6">
        <v>111004</v>
      </c>
      <c r="R10" s="7">
        <v>1</v>
      </c>
      <c r="U10" s="8"/>
      <c r="V10" s="8"/>
      <c r="W10" s="8"/>
      <c r="X10" s="8"/>
    </row>
    <row r="11" ht="16.5" spans="4:24">
      <c r="D11">
        <v>111001</v>
      </c>
      <c r="E11">
        <f t="shared" si="0"/>
        <v>1</v>
      </c>
      <c r="G11">
        <v>6</v>
      </c>
      <c r="H11">
        <f t="shared" si="1"/>
        <v>16</v>
      </c>
      <c r="I11">
        <f t="shared" si="2"/>
        <v>1600</v>
      </c>
      <c r="J11">
        <v>1600</v>
      </c>
      <c r="K11">
        <f t="shared" si="3"/>
        <v>11</v>
      </c>
      <c r="L11">
        <f t="shared" si="4"/>
        <v>4.4</v>
      </c>
      <c r="M11">
        <f t="shared" si="5"/>
        <v>88</v>
      </c>
      <c r="Q11" s="6">
        <v>111005</v>
      </c>
      <c r="R11" s="7">
        <v>1</v>
      </c>
      <c r="U11" s="8"/>
      <c r="V11" s="8"/>
      <c r="W11" s="8"/>
      <c r="X11" s="8"/>
    </row>
    <row r="12" ht="16.5" spans="4:24">
      <c r="D12">
        <v>111002</v>
      </c>
      <c r="E12">
        <f t="shared" si="0"/>
        <v>1</v>
      </c>
      <c r="G12">
        <v>2</v>
      </c>
      <c r="H12">
        <f t="shared" si="1"/>
        <v>12</v>
      </c>
      <c r="I12">
        <f t="shared" si="2"/>
        <v>1200</v>
      </c>
      <c r="J12">
        <v>1200</v>
      </c>
      <c r="K12">
        <f t="shared" si="3"/>
        <v>7</v>
      </c>
      <c r="L12">
        <f t="shared" si="4"/>
        <v>2.8</v>
      </c>
      <c r="M12">
        <f t="shared" si="5"/>
        <v>56</v>
      </c>
      <c r="Q12" s="6">
        <v>111006</v>
      </c>
      <c r="R12" s="7">
        <v>1</v>
      </c>
      <c r="U12" s="8" t="s">
        <v>197</v>
      </c>
      <c r="V12" s="8" t="s">
        <v>7</v>
      </c>
      <c r="W12" s="8" t="s">
        <v>8</v>
      </c>
      <c r="X12" s="8" t="s">
        <v>198</v>
      </c>
    </row>
    <row r="13" ht="16.5" spans="4:25">
      <c r="D13">
        <v>111002</v>
      </c>
      <c r="E13">
        <f t="shared" si="0"/>
        <v>1</v>
      </c>
      <c r="G13">
        <v>3</v>
      </c>
      <c r="H13">
        <f t="shared" si="1"/>
        <v>13</v>
      </c>
      <c r="I13">
        <f t="shared" si="2"/>
        <v>1300</v>
      </c>
      <c r="J13">
        <v>1300</v>
      </c>
      <c r="K13">
        <f t="shared" si="3"/>
        <v>8</v>
      </c>
      <c r="L13">
        <f t="shared" si="4"/>
        <v>3.2</v>
      </c>
      <c r="M13">
        <f t="shared" si="5"/>
        <v>64</v>
      </c>
      <c r="Q13" s="6">
        <v>111007</v>
      </c>
      <c r="R13" s="7">
        <v>1</v>
      </c>
      <c r="T13">
        <v>3</v>
      </c>
      <c r="U13">
        <v>3300</v>
      </c>
      <c r="V13" s="8">
        <v>12</v>
      </c>
      <c r="W13" s="8">
        <v>4.8</v>
      </c>
      <c r="X13" s="8">
        <v>96</v>
      </c>
      <c r="Y13">
        <f>V13+W13+X13</f>
        <v>112.8</v>
      </c>
    </row>
    <row r="14" ht="16.5" spans="4:25">
      <c r="D14">
        <v>111002</v>
      </c>
      <c r="E14">
        <f t="shared" si="0"/>
        <v>1</v>
      </c>
      <c r="G14">
        <v>4</v>
      </c>
      <c r="H14">
        <f t="shared" si="1"/>
        <v>14</v>
      </c>
      <c r="I14">
        <f t="shared" si="2"/>
        <v>1400</v>
      </c>
      <c r="J14">
        <v>1400</v>
      </c>
      <c r="K14">
        <f t="shared" si="3"/>
        <v>9</v>
      </c>
      <c r="L14">
        <f t="shared" si="4"/>
        <v>3.6</v>
      </c>
      <c r="M14">
        <f t="shared" si="5"/>
        <v>72</v>
      </c>
      <c r="Q14" s="6">
        <v>111008</v>
      </c>
      <c r="R14" s="7">
        <v>1</v>
      </c>
      <c r="T14">
        <v>4</v>
      </c>
      <c r="U14">
        <v>3400</v>
      </c>
      <c r="V14" s="8">
        <v>13.5</v>
      </c>
      <c r="W14" s="8">
        <v>5.4</v>
      </c>
      <c r="X14" s="8">
        <v>108</v>
      </c>
      <c r="Y14">
        <f t="shared" ref="Y14:Y32" si="6">V14+W14+X14</f>
        <v>126.9</v>
      </c>
    </row>
    <row r="15" ht="16.5" spans="4:25">
      <c r="D15">
        <v>111002</v>
      </c>
      <c r="E15">
        <f t="shared" si="0"/>
        <v>1</v>
      </c>
      <c r="G15">
        <v>5</v>
      </c>
      <c r="H15">
        <f t="shared" si="1"/>
        <v>15</v>
      </c>
      <c r="I15">
        <f t="shared" si="2"/>
        <v>1500</v>
      </c>
      <c r="J15">
        <v>1500</v>
      </c>
      <c r="K15">
        <f t="shared" si="3"/>
        <v>10</v>
      </c>
      <c r="L15">
        <f t="shared" si="4"/>
        <v>4</v>
      </c>
      <c r="M15">
        <f t="shared" si="5"/>
        <v>80</v>
      </c>
      <c r="Q15" s="6">
        <v>111009</v>
      </c>
      <c r="R15" s="7">
        <v>1</v>
      </c>
      <c r="T15">
        <v>5</v>
      </c>
      <c r="U15">
        <v>3500</v>
      </c>
      <c r="V15" s="8">
        <v>15</v>
      </c>
      <c r="W15" s="8">
        <v>6</v>
      </c>
      <c r="X15" s="8">
        <v>120</v>
      </c>
      <c r="Y15">
        <f t="shared" si="6"/>
        <v>141</v>
      </c>
    </row>
    <row r="16" ht="16.5" spans="4:25">
      <c r="D16">
        <v>111002</v>
      </c>
      <c r="E16">
        <f t="shared" si="0"/>
        <v>1</v>
      </c>
      <c r="G16">
        <v>6</v>
      </c>
      <c r="H16">
        <f t="shared" si="1"/>
        <v>16</v>
      </c>
      <c r="I16">
        <f t="shared" si="2"/>
        <v>1600</v>
      </c>
      <c r="J16">
        <v>1600</v>
      </c>
      <c r="K16">
        <f t="shared" si="3"/>
        <v>11</v>
      </c>
      <c r="L16">
        <f t="shared" si="4"/>
        <v>4.4</v>
      </c>
      <c r="M16">
        <f t="shared" si="5"/>
        <v>88</v>
      </c>
      <c r="Q16" s="6">
        <v>111010</v>
      </c>
      <c r="R16" s="7">
        <v>1</v>
      </c>
      <c r="T16">
        <v>6</v>
      </c>
      <c r="U16">
        <v>3600</v>
      </c>
      <c r="V16" s="8">
        <v>17</v>
      </c>
      <c r="W16" s="8">
        <v>6.8</v>
      </c>
      <c r="X16" s="8">
        <v>136</v>
      </c>
      <c r="Y16">
        <f t="shared" si="6"/>
        <v>159.8</v>
      </c>
    </row>
    <row r="17" ht="16.5" spans="4:25">
      <c r="D17">
        <v>111003</v>
      </c>
      <c r="E17">
        <f t="shared" si="0"/>
        <v>1</v>
      </c>
      <c r="G17">
        <v>2</v>
      </c>
      <c r="H17">
        <f t="shared" si="1"/>
        <v>12</v>
      </c>
      <c r="I17">
        <f t="shared" si="2"/>
        <v>1200</v>
      </c>
      <c r="J17">
        <v>1200</v>
      </c>
      <c r="K17">
        <f t="shared" si="3"/>
        <v>7</v>
      </c>
      <c r="L17">
        <f t="shared" si="4"/>
        <v>2.8</v>
      </c>
      <c r="M17">
        <f t="shared" si="5"/>
        <v>56</v>
      </c>
      <c r="Q17" s="6">
        <v>111011</v>
      </c>
      <c r="R17" s="7">
        <v>1</v>
      </c>
      <c r="T17">
        <v>7</v>
      </c>
      <c r="U17">
        <v>3700</v>
      </c>
      <c r="V17" s="8">
        <v>19</v>
      </c>
      <c r="W17" s="8">
        <v>7.6</v>
      </c>
      <c r="X17" s="8">
        <v>152</v>
      </c>
      <c r="Y17">
        <f t="shared" si="6"/>
        <v>178.6</v>
      </c>
    </row>
    <row r="18" ht="16.5" spans="4:25">
      <c r="D18">
        <v>111003</v>
      </c>
      <c r="E18">
        <f t="shared" si="0"/>
        <v>1</v>
      </c>
      <c r="G18">
        <v>3</v>
      </c>
      <c r="H18">
        <f t="shared" si="1"/>
        <v>13</v>
      </c>
      <c r="I18">
        <f t="shared" si="2"/>
        <v>1300</v>
      </c>
      <c r="J18">
        <v>1300</v>
      </c>
      <c r="K18">
        <f t="shared" si="3"/>
        <v>8</v>
      </c>
      <c r="L18">
        <f t="shared" si="4"/>
        <v>3.2</v>
      </c>
      <c r="M18">
        <f t="shared" si="5"/>
        <v>64</v>
      </c>
      <c r="Q18" s="6">
        <v>111012</v>
      </c>
      <c r="R18" s="7">
        <v>1</v>
      </c>
      <c r="T18">
        <v>8</v>
      </c>
      <c r="U18">
        <v>3800</v>
      </c>
      <c r="V18" s="8">
        <v>21</v>
      </c>
      <c r="W18" s="8">
        <v>8.4</v>
      </c>
      <c r="X18" s="8">
        <v>168</v>
      </c>
      <c r="Y18">
        <f t="shared" si="6"/>
        <v>197.4</v>
      </c>
    </row>
    <row r="19" ht="16.5" spans="4:24">
      <c r="D19">
        <v>111003</v>
      </c>
      <c r="E19">
        <f t="shared" si="0"/>
        <v>1</v>
      </c>
      <c r="G19">
        <v>4</v>
      </c>
      <c r="H19">
        <f t="shared" si="1"/>
        <v>14</v>
      </c>
      <c r="I19">
        <f t="shared" si="2"/>
        <v>1400</v>
      </c>
      <c r="J19">
        <v>1400</v>
      </c>
      <c r="K19">
        <f t="shared" si="3"/>
        <v>9</v>
      </c>
      <c r="L19">
        <f t="shared" si="4"/>
        <v>3.6</v>
      </c>
      <c r="M19">
        <f t="shared" si="5"/>
        <v>72</v>
      </c>
      <c r="Q19" s="6">
        <v>111013</v>
      </c>
      <c r="R19" s="7">
        <v>1</v>
      </c>
      <c r="V19" s="8"/>
      <c r="W19" s="8"/>
      <c r="X19" s="8"/>
    </row>
    <row r="20" ht="16.5" spans="4:24">
      <c r="D20">
        <v>111003</v>
      </c>
      <c r="E20">
        <f t="shared" si="0"/>
        <v>1</v>
      </c>
      <c r="G20">
        <v>5</v>
      </c>
      <c r="H20">
        <f t="shared" si="1"/>
        <v>15</v>
      </c>
      <c r="I20">
        <f t="shared" si="2"/>
        <v>1500</v>
      </c>
      <c r="J20">
        <v>1500</v>
      </c>
      <c r="K20">
        <f t="shared" si="3"/>
        <v>10</v>
      </c>
      <c r="L20">
        <f t="shared" si="4"/>
        <v>4</v>
      </c>
      <c r="M20">
        <f t="shared" si="5"/>
        <v>80</v>
      </c>
      <c r="Q20" s="6">
        <v>111014</v>
      </c>
      <c r="R20" s="7">
        <v>1</v>
      </c>
      <c r="V20" s="8" t="s">
        <v>7</v>
      </c>
      <c r="W20" s="8" t="s">
        <v>8</v>
      </c>
      <c r="X20" s="8" t="s">
        <v>198</v>
      </c>
    </row>
    <row r="21" ht="16.5" spans="4:25">
      <c r="D21">
        <v>111003</v>
      </c>
      <c r="E21">
        <f t="shared" si="0"/>
        <v>1</v>
      </c>
      <c r="G21">
        <v>6</v>
      </c>
      <c r="H21">
        <f t="shared" si="1"/>
        <v>16</v>
      </c>
      <c r="I21">
        <f t="shared" si="2"/>
        <v>1600</v>
      </c>
      <c r="J21">
        <v>1600</v>
      </c>
      <c r="K21">
        <f t="shared" si="3"/>
        <v>11</v>
      </c>
      <c r="L21">
        <f t="shared" si="4"/>
        <v>4.4</v>
      </c>
      <c r="M21">
        <f t="shared" si="5"/>
        <v>88</v>
      </c>
      <c r="Q21" s="6">
        <v>111015</v>
      </c>
      <c r="R21" s="7">
        <v>1</v>
      </c>
      <c r="U21">
        <v>2300</v>
      </c>
      <c r="V21" s="8">
        <v>9</v>
      </c>
      <c r="W21" s="8">
        <v>3.6</v>
      </c>
      <c r="X21" s="8">
        <v>72</v>
      </c>
      <c r="Y21">
        <f t="shared" si="6"/>
        <v>84.6</v>
      </c>
    </row>
    <row r="22" ht="16.5" spans="4:25">
      <c r="D22">
        <v>111004</v>
      </c>
      <c r="E22">
        <f t="shared" si="0"/>
        <v>1</v>
      </c>
      <c r="G22">
        <v>2</v>
      </c>
      <c r="H22">
        <f t="shared" si="1"/>
        <v>12</v>
      </c>
      <c r="I22">
        <f t="shared" si="2"/>
        <v>1200</v>
      </c>
      <c r="J22">
        <v>1200</v>
      </c>
      <c r="K22">
        <f t="shared" si="3"/>
        <v>7</v>
      </c>
      <c r="L22">
        <f t="shared" si="4"/>
        <v>2.8</v>
      </c>
      <c r="M22">
        <f t="shared" si="5"/>
        <v>56</v>
      </c>
      <c r="Q22" s="6">
        <v>111018</v>
      </c>
      <c r="R22" s="7">
        <v>1</v>
      </c>
      <c r="U22">
        <v>2400</v>
      </c>
      <c r="V22" s="8">
        <v>10.5</v>
      </c>
      <c r="W22" s="8">
        <v>4.2</v>
      </c>
      <c r="X22" s="8">
        <v>84</v>
      </c>
      <c r="Y22">
        <f t="shared" si="6"/>
        <v>98.7</v>
      </c>
    </row>
    <row r="23" ht="16.5" spans="4:25">
      <c r="D23">
        <v>111004</v>
      </c>
      <c r="E23">
        <f t="shared" si="0"/>
        <v>1</v>
      </c>
      <c r="G23">
        <v>3</v>
      </c>
      <c r="H23">
        <f t="shared" si="1"/>
        <v>13</v>
      </c>
      <c r="I23">
        <f t="shared" si="2"/>
        <v>1300</v>
      </c>
      <c r="J23">
        <v>1300</v>
      </c>
      <c r="K23">
        <f t="shared" si="3"/>
        <v>8</v>
      </c>
      <c r="L23">
        <f t="shared" si="4"/>
        <v>3.2</v>
      </c>
      <c r="M23">
        <f t="shared" si="5"/>
        <v>64</v>
      </c>
      <c r="Q23" s="9">
        <v>112001</v>
      </c>
      <c r="R23" s="10">
        <v>2</v>
      </c>
      <c r="U23">
        <v>2500</v>
      </c>
      <c r="V23" s="8">
        <v>12</v>
      </c>
      <c r="W23" s="8">
        <v>4.8</v>
      </c>
      <c r="X23" s="8">
        <v>96</v>
      </c>
      <c r="Y23">
        <f t="shared" si="6"/>
        <v>112.8</v>
      </c>
    </row>
    <row r="24" ht="16.5" spans="4:25">
      <c r="D24">
        <v>111004</v>
      </c>
      <c r="E24">
        <f t="shared" si="0"/>
        <v>1</v>
      </c>
      <c r="G24">
        <v>4</v>
      </c>
      <c r="H24">
        <f t="shared" si="1"/>
        <v>14</v>
      </c>
      <c r="I24">
        <f t="shared" si="2"/>
        <v>1400</v>
      </c>
      <c r="J24">
        <v>1400</v>
      </c>
      <c r="K24">
        <f t="shared" si="3"/>
        <v>9</v>
      </c>
      <c r="L24">
        <f t="shared" si="4"/>
        <v>3.6</v>
      </c>
      <c r="M24">
        <f t="shared" si="5"/>
        <v>72</v>
      </c>
      <c r="Q24" s="9">
        <v>112002</v>
      </c>
      <c r="R24" s="10">
        <v>2</v>
      </c>
      <c r="U24">
        <v>2600</v>
      </c>
      <c r="V24" s="8">
        <v>14</v>
      </c>
      <c r="W24" s="8">
        <v>5.6</v>
      </c>
      <c r="X24" s="8">
        <v>112</v>
      </c>
      <c r="Y24">
        <f t="shared" si="6"/>
        <v>131.6</v>
      </c>
    </row>
    <row r="25" ht="16.5" spans="4:25">
      <c r="D25">
        <v>111004</v>
      </c>
      <c r="E25">
        <f t="shared" si="0"/>
        <v>1</v>
      </c>
      <c r="G25">
        <v>5</v>
      </c>
      <c r="H25">
        <f t="shared" si="1"/>
        <v>15</v>
      </c>
      <c r="I25">
        <f t="shared" si="2"/>
        <v>1500</v>
      </c>
      <c r="J25">
        <v>1500</v>
      </c>
      <c r="K25">
        <f t="shared" si="3"/>
        <v>10</v>
      </c>
      <c r="L25">
        <f t="shared" si="4"/>
        <v>4</v>
      </c>
      <c r="M25">
        <f t="shared" si="5"/>
        <v>80</v>
      </c>
      <c r="Q25" s="9">
        <v>112003</v>
      </c>
      <c r="R25" s="10">
        <v>2</v>
      </c>
      <c r="U25">
        <v>2700</v>
      </c>
      <c r="V25" s="8">
        <v>16</v>
      </c>
      <c r="W25" s="8">
        <v>6.4</v>
      </c>
      <c r="X25" s="8">
        <v>128</v>
      </c>
      <c r="Y25">
        <f t="shared" si="6"/>
        <v>150.4</v>
      </c>
    </row>
    <row r="26" ht="16.5" spans="4:24">
      <c r="D26">
        <v>111004</v>
      </c>
      <c r="E26">
        <f t="shared" si="0"/>
        <v>1</v>
      </c>
      <c r="G26">
        <v>6</v>
      </c>
      <c r="H26">
        <f t="shared" si="1"/>
        <v>16</v>
      </c>
      <c r="I26">
        <f t="shared" si="2"/>
        <v>1600</v>
      </c>
      <c r="J26">
        <v>1600</v>
      </c>
      <c r="K26">
        <f t="shared" si="3"/>
        <v>11</v>
      </c>
      <c r="L26">
        <f t="shared" si="4"/>
        <v>4.4</v>
      </c>
      <c r="M26">
        <f t="shared" si="5"/>
        <v>88</v>
      </c>
      <c r="Q26" s="9">
        <v>112004</v>
      </c>
      <c r="R26" s="10">
        <v>2</v>
      </c>
      <c r="V26" s="8"/>
      <c r="W26" s="8"/>
      <c r="X26" s="8"/>
    </row>
    <row r="27" ht="16.5" spans="4:24">
      <c r="D27">
        <v>111005</v>
      </c>
      <c r="E27">
        <f t="shared" si="0"/>
        <v>1</v>
      </c>
      <c r="G27">
        <v>2</v>
      </c>
      <c r="H27">
        <f t="shared" si="1"/>
        <v>12</v>
      </c>
      <c r="I27">
        <f t="shared" si="2"/>
        <v>1200</v>
      </c>
      <c r="J27">
        <v>1200</v>
      </c>
      <c r="K27">
        <f t="shared" si="3"/>
        <v>7</v>
      </c>
      <c r="L27">
        <f t="shared" si="4"/>
        <v>2.8</v>
      </c>
      <c r="M27">
        <f t="shared" si="5"/>
        <v>56</v>
      </c>
      <c r="Q27" s="9">
        <v>112005</v>
      </c>
      <c r="R27" s="10">
        <v>2</v>
      </c>
      <c r="V27" s="8" t="s">
        <v>7</v>
      </c>
      <c r="W27" s="8" t="s">
        <v>8</v>
      </c>
      <c r="X27" s="8" t="s">
        <v>198</v>
      </c>
    </row>
    <row r="28" ht="16.5" spans="4:25">
      <c r="D28">
        <v>111005</v>
      </c>
      <c r="E28">
        <f t="shared" si="0"/>
        <v>1</v>
      </c>
      <c r="G28">
        <v>3</v>
      </c>
      <c r="H28">
        <f t="shared" si="1"/>
        <v>13</v>
      </c>
      <c r="I28">
        <f t="shared" si="2"/>
        <v>1300</v>
      </c>
      <c r="J28">
        <v>1300</v>
      </c>
      <c r="K28">
        <f t="shared" si="3"/>
        <v>8</v>
      </c>
      <c r="L28">
        <f t="shared" si="4"/>
        <v>3.2</v>
      </c>
      <c r="M28">
        <f t="shared" si="5"/>
        <v>64</v>
      </c>
      <c r="Q28" s="9">
        <v>112006</v>
      </c>
      <c r="R28" s="10">
        <v>2</v>
      </c>
      <c r="U28">
        <v>1200</v>
      </c>
      <c r="V28" s="8">
        <v>7</v>
      </c>
      <c r="W28" s="8">
        <v>2.8</v>
      </c>
      <c r="X28" s="8">
        <v>56</v>
      </c>
      <c r="Y28">
        <f t="shared" si="6"/>
        <v>65.8</v>
      </c>
    </row>
    <row r="29" ht="16.5" spans="4:25">
      <c r="D29">
        <v>111005</v>
      </c>
      <c r="E29">
        <f t="shared" si="0"/>
        <v>1</v>
      </c>
      <c r="G29">
        <v>4</v>
      </c>
      <c r="H29">
        <f t="shared" si="1"/>
        <v>14</v>
      </c>
      <c r="I29">
        <f t="shared" si="2"/>
        <v>1400</v>
      </c>
      <c r="J29">
        <v>1400</v>
      </c>
      <c r="K29">
        <f t="shared" si="3"/>
        <v>9</v>
      </c>
      <c r="L29">
        <f t="shared" si="4"/>
        <v>3.6</v>
      </c>
      <c r="M29">
        <f t="shared" si="5"/>
        <v>72</v>
      </c>
      <c r="Q29" s="9">
        <v>112007</v>
      </c>
      <c r="R29" s="10">
        <v>2</v>
      </c>
      <c r="U29">
        <v>1300</v>
      </c>
      <c r="V29" s="8">
        <v>8</v>
      </c>
      <c r="W29" s="8">
        <v>3.2</v>
      </c>
      <c r="X29" s="8">
        <v>64</v>
      </c>
      <c r="Y29">
        <f t="shared" si="6"/>
        <v>75.2</v>
      </c>
    </row>
    <row r="30" ht="16.5" spans="4:25">
      <c r="D30">
        <v>111005</v>
      </c>
      <c r="E30">
        <f t="shared" si="0"/>
        <v>1</v>
      </c>
      <c r="G30">
        <v>5</v>
      </c>
      <c r="H30">
        <f t="shared" si="1"/>
        <v>15</v>
      </c>
      <c r="I30">
        <f t="shared" si="2"/>
        <v>1500</v>
      </c>
      <c r="J30">
        <v>1500</v>
      </c>
      <c r="K30">
        <f t="shared" si="3"/>
        <v>10</v>
      </c>
      <c r="L30">
        <f t="shared" si="4"/>
        <v>4</v>
      </c>
      <c r="M30">
        <f t="shared" si="5"/>
        <v>80</v>
      </c>
      <c r="Q30" s="9">
        <v>112008</v>
      </c>
      <c r="R30" s="10">
        <v>2</v>
      </c>
      <c r="U30">
        <v>1400</v>
      </c>
      <c r="V30" s="8">
        <v>9</v>
      </c>
      <c r="W30" s="8">
        <v>3.6</v>
      </c>
      <c r="X30" s="8">
        <v>72</v>
      </c>
      <c r="Y30">
        <f t="shared" si="6"/>
        <v>84.6</v>
      </c>
    </row>
    <row r="31" ht="16.5" spans="4:25">
      <c r="D31">
        <v>111005</v>
      </c>
      <c r="E31">
        <f t="shared" si="0"/>
        <v>1</v>
      </c>
      <c r="G31">
        <v>6</v>
      </c>
      <c r="H31">
        <f t="shared" si="1"/>
        <v>16</v>
      </c>
      <c r="I31">
        <f t="shared" si="2"/>
        <v>1600</v>
      </c>
      <c r="J31">
        <v>1600</v>
      </c>
      <c r="K31">
        <f t="shared" si="3"/>
        <v>11</v>
      </c>
      <c r="L31">
        <f t="shared" si="4"/>
        <v>4.4</v>
      </c>
      <c r="M31">
        <f t="shared" si="5"/>
        <v>88</v>
      </c>
      <c r="Q31" s="9">
        <v>112009</v>
      </c>
      <c r="R31" s="10">
        <v>2</v>
      </c>
      <c r="U31">
        <v>1500</v>
      </c>
      <c r="V31" s="8">
        <v>10</v>
      </c>
      <c r="W31" s="8">
        <v>4</v>
      </c>
      <c r="X31" s="8">
        <v>80</v>
      </c>
      <c r="Y31">
        <f t="shared" si="6"/>
        <v>94</v>
      </c>
    </row>
    <row r="32" ht="16.5" spans="4:25">
      <c r="D32">
        <v>111006</v>
      </c>
      <c r="E32">
        <f t="shared" si="0"/>
        <v>1</v>
      </c>
      <c r="G32">
        <v>2</v>
      </c>
      <c r="H32">
        <f t="shared" si="1"/>
        <v>12</v>
      </c>
      <c r="I32">
        <f t="shared" si="2"/>
        <v>1200</v>
      </c>
      <c r="J32">
        <v>1200</v>
      </c>
      <c r="K32">
        <f t="shared" si="3"/>
        <v>7</v>
      </c>
      <c r="L32">
        <f t="shared" si="4"/>
        <v>2.8</v>
      </c>
      <c r="M32">
        <f t="shared" si="5"/>
        <v>56</v>
      </c>
      <c r="Q32" s="9">
        <v>112010</v>
      </c>
      <c r="R32" s="10">
        <v>2</v>
      </c>
      <c r="U32">
        <v>1600</v>
      </c>
      <c r="V32" s="8">
        <v>11</v>
      </c>
      <c r="W32" s="8">
        <v>4.4</v>
      </c>
      <c r="X32" s="8">
        <v>88</v>
      </c>
      <c r="Y32">
        <f t="shared" si="6"/>
        <v>103.4</v>
      </c>
    </row>
    <row r="33" spans="4:18">
      <c r="D33">
        <v>111006</v>
      </c>
      <c r="E33">
        <f t="shared" si="0"/>
        <v>1</v>
      </c>
      <c r="G33">
        <v>3</v>
      </c>
      <c r="H33">
        <f t="shared" si="1"/>
        <v>13</v>
      </c>
      <c r="I33">
        <f t="shared" si="2"/>
        <v>1300</v>
      </c>
      <c r="J33">
        <v>1300</v>
      </c>
      <c r="K33">
        <f t="shared" si="3"/>
        <v>8</v>
      </c>
      <c r="L33">
        <f t="shared" si="4"/>
        <v>3.2</v>
      </c>
      <c r="M33">
        <f t="shared" si="5"/>
        <v>64</v>
      </c>
      <c r="Q33" s="9">
        <v>112011</v>
      </c>
      <c r="R33" s="10">
        <v>2</v>
      </c>
    </row>
    <row r="34" spans="4:18">
      <c r="D34">
        <v>111006</v>
      </c>
      <c r="E34">
        <f t="shared" si="0"/>
        <v>1</v>
      </c>
      <c r="G34">
        <v>4</v>
      </c>
      <c r="H34">
        <f t="shared" si="1"/>
        <v>14</v>
      </c>
      <c r="I34">
        <f t="shared" si="2"/>
        <v>1400</v>
      </c>
      <c r="J34">
        <v>1400</v>
      </c>
      <c r="K34">
        <f t="shared" si="3"/>
        <v>9</v>
      </c>
      <c r="L34">
        <f t="shared" si="4"/>
        <v>3.6</v>
      </c>
      <c r="M34">
        <f t="shared" si="5"/>
        <v>72</v>
      </c>
      <c r="Q34" s="9">
        <v>112012</v>
      </c>
      <c r="R34" s="10">
        <v>2</v>
      </c>
    </row>
    <row r="35" spans="4:18">
      <c r="D35">
        <v>111006</v>
      </c>
      <c r="E35">
        <f t="shared" si="0"/>
        <v>1</v>
      </c>
      <c r="G35">
        <v>5</v>
      </c>
      <c r="H35">
        <f t="shared" si="1"/>
        <v>15</v>
      </c>
      <c r="I35">
        <f t="shared" si="2"/>
        <v>1500</v>
      </c>
      <c r="J35">
        <v>1500</v>
      </c>
      <c r="K35">
        <f t="shared" si="3"/>
        <v>10</v>
      </c>
      <c r="L35">
        <f t="shared" si="4"/>
        <v>4</v>
      </c>
      <c r="M35">
        <f t="shared" si="5"/>
        <v>80</v>
      </c>
      <c r="Q35" s="9">
        <v>112013</v>
      </c>
      <c r="R35" s="10">
        <v>2</v>
      </c>
    </row>
    <row r="36" spans="4:18">
      <c r="D36">
        <v>111006</v>
      </c>
      <c r="E36">
        <f t="shared" si="0"/>
        <v>1</v>
      </c>
      <c r="G36">
        <v>6</v>
      </c>
      <c r="H36">
        <f t="shared" si="1"/>
        <v>16</v>
      </c>
      <c r="I36">
        <f t="shared" si="2"/>
        <v>1600</v>
      </c>
      <c r="J36">
        <v>1600</v>
      </c>
      <c r="K36">
        <f t="shared" si="3"/>
        <v>11</v>
      </c>
      <c r="L36">
        <f t="shared" si="4"/>
        <v>4.4</v>
      </c>
      <c r="M36">
        <f t="shared" si="5"/>
        <v>88</v>
      </c>
      <c r="Q36" s="9">
        <v>112014</v>
      </c>
      <c r="R36" s="10">
        <v>2</v>
      </c>
    </row>
    <row r="37" spans="4:18">
      <c r="D37">
        <v>111007</v>
      </c>
      <c r="E37">
        <f t="shared" si="0"/>
        <v>1</v>
      </c>
      <c r="G37">
        <v>2</v>
      </c>
      <c r="H37">
        <f t="shared" si="1"/>
        <v>12</v>
      </c>
      <c r="I37">
        <f t="shared" si="2"/>
        <v>1200</v>
      </c>
      <c r="J37">
        <v>1200</v>
      </c>
      <c r="K37">
        <f t="shared" si="3"/>
        <v>7</v>
      </c>
      <c r="L37">
        <f t="shared" si="4"/>
        <v>2.8</v>
      </c>
      <c r="M37">
        <f t="shared" si="5"/>
        <v>56</v>
      </c>
      <c r="Q37" s="9">
        <v>112015</v>
      </c>
      <c r="R37" s="10">
        <v>2</v>
      </c>
    </row>
    <row r="38" spans="4:18">
      <c r="D38">
        <v>111007</v>
      </c>
      <c r="E38">
        <f t="shared" si="0"/>
        <v>1</v>
      </c>
      <c r="G38">
        <v>3</v>
      </c>
      <c r="H38">
        <f t="shared" si="1"/>
        <v>13</v>
      </c>
      <c r="I38">
        <f t="shared" si="2"/>
        <v>1300</v>
      </c>
      <c r="J38">
        <v>1300</v>
      </c>
      <c r="K38">
        <f t="shared" si="3"/>
        <v>8</v>
      </c>
      <c r="L38">
        <f t="shared" si="4"/>
        <v>3.2</v>
      </c>
      <c r="M38">
        <f t="shared" si="5"/>
        <v>64</v>
      </c>
      <c r="Q38" s="9">
        <v>112016</v>
      </c>
      <c r="R38" s="10">
        <v>2</v>
      </c>
    </row>
    <row r="39" spans="4:18">
      <c r="D39">
        <v>111007</v>
      </c>
      <c r="E39">
        <f t="shared" si="0"/>
        <v>1</v>
      </c>
      <c r="G39">
        <v>4</v>
      </c>
      <c r="H39">
        <f t="shared" si="1"/>
        <v>14</v>
      </c>
      <c r="I39">
        <f t="shared" si="2"/>
        <v>1400</v>
      </c>
      <c r="J39">
        <v>1400</v>
      </c>
      <c r="K39">
        <f t="shared" si="3"/>
        <v>9</v>
      </c>
      <c r="L39">
        <f t="shared" si="4"/>
        <v>3.6</v>
      </c>
      <c r="M39">
        <f t="shared" si="5"/>
        <v>72</v>
      </c>
      <c r="Q39" s="9">
        <v>112017</v>
      </c>
      <c r="R39" s="10">
        <v>2</v>
      </c>
    </row>
    <row r="40" spans="4:18">
      <c r="D40">
        <v>111007</v>
      </c>
      <c r="E40">
        <f t="shared" si="0"/>
        <v>1</v>
      </c>
      <c r="G40">
        <v>5</v>
      </c>
      <c r="H40">
        <f t="shared" si="1"/>
        <v>15</v>
      </c>
      <c r="I40">
        <f t="shared" si="2"/>
        <v>1500</v>
      </c>
      <c r="J40">
        <v>1500</v>
      </c>
      <c r="K40">
        <f t="shared" si="3"/>
        <v>10</v>
      </c>
      <c r="L40">
        <f t="shared" si="4"/>
        <v>4</v>
      </c>
      <c r="M40">
        <f t="shared" si="5"/>
        <v>80</v>
      </c>
      <c r="Q40" s="9">
        <v>112019</v>
      </c>
      <c r="R40" s="10">
        <v>2</v>
      </c>
    </row>
    <row r="41" spans="4:18">
      <c r="D41">
        <v>111007</v>
      </c>
      <c r="E41">
        <f t="shared" si="0"/>
        <v>1</v>
      </c>
      <c r="G41">
        <v>6</v>
      </c>
      <c r="H41">
        <f t="shared" si="1"/>
        <v>16</v>
      </c>
      <c r="I41">
        <f t="shared" si="2"/>
        <v>1600</v>
      </c>
      <c r="J41">
        <v>1600</v>
      </c>
      <c r="K41">
        <f t="shared" si="3"/>
        <v>11</v>
      </c>
      <c r="L41">
        <f t="shared" si="4"/>
        <v>4.4</v>
      </c>
      <c r="M41">
        <f t="shared" si="5"/>
        <v>88</v>
      </c>
      <c r="Q41" s="9">
        <v>112020</v>
      </c>
      <c r="R41" s="10">
        <v>2</v>
      </c>
    </row>
    <row r="42" spans="4:18">
      <c r="D42">
        <v>111008</v>
      </c>
      <c r="E42">
        <f t="shared" si="0"/>
        <v>1</v>
      </c>
      <c r="G42">
        <v>2</v>
      </c>
      <c r="H42">
        <f t="shared" si="1"/>
        <v>12</v>
      </c>
      <c r="I42">
        <f t="shared" si="2"/>
        <v>1200</v>
      </c>
      <c r="J42">
        <v>1200</v>
      </c>
      <c r="K42">
        <f t="shared" si="3"/>
        <v>7</v>
      </c>
      <c r="L42">
        <f t="shared" si="4"/>
        <v>2.8</v>
      </c>
      <c r="M42">
        <f t="shared" si="5"/>
        <v>56</v>
      </c>
      <c r="Q42" s="9">
        <v>112021</v>
      </c>
      <c r="R42" s="10">
        <v>2</v>
      </c>
    </row>
    <row r="43" spans="4:18">
      <c r="D43">
        <v>111008</v>
      </c>
      <c r="E43">
        <f t="shared" si="0"/>
        <v>1</v>
      </c>
      <c r="G43">
        <v>3</v>
      </c>
      <c r="H43">
        <f t="shared" si="1"/>
        <v>13</v>
      </c>
      <c r="I43">
        <f t="shared" si="2"/>
        <v>1300</v>
      </c>
      <c r="J43">
        <v>1300</v>
      </c>
      <c r="K43">
        <f t="shared" si="3"/>
        <v>8</v>
      </c>
      <c r="L43">
        <f t="shared" si="4"/>
        <v>3.2</v>
      </c>
      <c r="M43">
        <f t="shared" si="5"/>
        <v>64</v>
      </c>
      <c r="Q43" s="9">
        <v>112023</v>
      </c>
      <c r="R43" s="10">
        <v>2</v>
      </c>
    </row>
    <row r="44" spans="4:18">
      <c r="D44">
        <v>111008</v>
      </c>
      <c r="E44">
        <f t="shared" si="0"/>
        <v>1</v>
      </c>
      <c r="G44">
        <v>4</v>
      </c>
      <c r="H44">
        <f t="shared" si="1"/>
        <v>14</v>
      </c>
      <c r="I44">
        <f t="shared" si="2"/>
        <v>1400</v>
      </c>
      <c r="J44">
        <v>1400</v>
      </c>
      <c r="K44">
        <f t="shared" si="3"/>
        <v>9</v>
      </c>
      <c r="L44">
        <f t="shared" si="4"/>
        <v>3.6</v>
      </c>
      <c r="M44">
        <f t="shared" si="5"/>
        <v>72</v>
      </c>
      <c r="Q44" s="9">
        <v>112024</v>
      </c>
      <c r="R44" s="10">
        <v>2</v>
      </c>
    </row>
    <row r="45" spans="4:18">
      <c r="D45">
        <v>111008</v>
      </c>
      <c r="E45">
        <f t="shared" si="0"/>
        <v>1</v>
      </c>
      <c r="G45">
        <v>5</v>
      </c>
      <c r="H45">
        <f t="shared" si="1"/>
        <v>15</v>
      </c>
      <c r="I45">
        <f t="shared" si="2"/>
        <v>1500</v>
      </c>
      <c r="J45">
        <v>1500</v>
      </c>
      <c r="K45">
        <f t="shared" si="3"/>
        <v>10</v>
      </c>
      <c r="L45">
        <f t="shared" si="4"/>
        <v>4</v>
      </c>
      <c r="M45">
        <f t="shared" si="5"/>
        <v>80</v>
      </c>
      <c r="Q45" s="9">
        <v>112025</v>
      </c>
      <c r="R45" s="10">
        <v>2</v>
      </c>
    </row>
    <row r="46" spans="4:18">
      <c r="D46">
        <v>111008</v>
      </c>
      <c r="E46">
        <f t="shared" si="0"/>
        <v>1</v>
      </c>
      <c r="G46">
        <v>6</v>
      </c>
      <c r="H46">
        <f t="shared" si="1"/>
        <v>16</v>
      </c>
      <c r="I46">
        <f t="shared" si="2"/>
        <v>1600</v>
      </c>
      <c r="J46">
        <v>1600</v>
      </c>
      <c r="K46">
        <f t="shared" si="3"/>
        <v>11</v>
      </c>
      <c r="L46">
        <f t="shared" si="4"/>
        <v>4.4</v>
      </c>
      <c r="M46">
        <f t="shared" si="5"/>
        <v>88</v>
      </c>
      <c r="Q46" s="9">
        <v>112026</v>
      </c>
      <c r="R46" s="10">
        <v>2</v>
      </c>
    </row>
    <row r="47" spans="4:18">
      <c r="D47">
        <v>111009</v>
      </c>
      <c r="E47">
        <f t="shared" si="0"/>
        <v>1</v>
      </c>
      <c r="G47">
        <v>2</v>
      </c>
      <c r="H47">
        <f t="shared" si="1"/>
        <v>12</v>
      </c>
      <c r="I47">
        <f t="shared" si="2"/>
        <v>1200</v>
      </c>
      <c r="J47">
        <v>1200</v>
      </c>
      <c r="K47">
        <f t="shared" si="3"/>
        <v>7</v>
      </c>
      <c r="L47">
        <f t="shared" si="4"/>
        <v>2.8</v>
      </c>
      <c r="M47">
        <f t="shared" si="5"/>
        <v>56</v>
      </c>
      <c r="Q47" s="9">
        <v>112027</v>
      </c>
      <c r="R47" s="10">
        <v>2</v>
      </c>
    </row>
    <row r="48" spans="4:18">
      <c r="D48">
        <v>111009</v>
      </c>
      <c r="E48">
        <f t="shared" si="0"/>
        <v>1</v>
      </c>
      <c r="G48">
        <v>3</v>
      </c>
      <c r="H48">
        <f t="shared" si="1"/>
        <v>13</v>
      </c>
      <c r="I48">
        <f t="shared" si="2"/>
        <v>1300</v>
      </c>
      <c r="J48">
        <v>1300</v>
      </c>
      <c r="K48">
        <f t="shared" si="3"/>
        <v>8</v>
      </c>
      <c r="L48">
        <f t="shared" si="4"/>
        <v>3.2</v>
      </c>
      <c r="M48">
        <f t="shared" si="5"/>
        <v>64</v>
      </c>
      <c r="Q48" s="11">
        <v>112028</v>
      </c>
      <c r="R48" s="12">
        <v>3</v>
      </c>
    </row>
    <row r="49" spans="4:18">
      <c r="D49">
        <v>111009</v>
      </c>
      <c r="E49">
        <f t="shared" si="0"/>
        <v>1</v>
      </c>
      <c r="G49">
        <v>4</v>
      </c>
      <c r="H49">
        <f t="shared" si="1"/>
        <v>14</v>
      </c>
      <c r="I49">
        <f t="shared" si="2"/>
        <v>1400</v>
      </c>
      <c r="J49">
        <v>1400</v>
      </c>
      <c r="K49">
        <f t="shared" si="3"/>
        <v>9</v>
      </c>
      <c r="L49">
        <f t="shared" si="4"/>
        <v>3.6</v>
      </c>
      <c r="M49">
        <f t="shared" si="5"/>
        <v>72</v>
      </c>
      <c r="Q49" s="9">
        <v>112029</v>
      </c>
      <c r="R49" s="10">
        <v>2</v>
      </c>
    </row>
    <row r="50" spans="4:18">
      <c r="D50">
        <v>111009</v>
      </c>
      <c r="E50">
        <f t="shared" si="0"/>
        <v>1</v>
      </c>
      <c r="G50">
        <v>5</v>
      </c>
      <c r="H50">
        <f t="shared" si="1"/>
        <v>15</v>
      </c>
      <c r="I50">
        <f t="shared" si="2"/>
        <v>1500</v>
      </c>
      <c r="J50">
        <v>1500</v>
      </c>
      <c r="K50">
        <f t="shared" si="3"/>
        <v>10</v>
      </c>
      <c r="L50">
        <f t="shared" si="4"/>
        <v>4</v>
      </c>
      <c r="M50">
        <f t="shared" si="5"/>
        <v>80</v>
      </c>
      <c r="Q50" s="9">
        <v>112030</v>
      </c>
      <c r="R50" s="10">
        <v>2</v>
      </c>
    </row>
    <row r="51" spans="4:18">
      <c r="D51">
        <v>111009</v>
      </c>
      <c r="E51">
        <f t="shared" si="0"/>
        <v>1</v>
      </c>
      <c r="G51">
        <v>6</v>
      </c>
      <c r="H51">
        <f t="shared" si="1"/>
        <v>16</v>
      </c>
      <c r="I51">
        <f t="shared" si="2"/>
        <v>1600</v>
      </c>
      <c r="J51">
        <v>1600</v>
      </c>
      <c r="K51">
        <f t="shared" si="3"/>
        <v>11</v>
      </c>
      <c r="L51">
        <f t="shared" si="4"/>
        <v>4.4</v>
      </c>
      <c r="M51">
        <f t="shared" si="5"/>
        <v>88</v>
      </c>
      <c r="Q51" s="11">
        <v>113001</v>
      </c>
      <c r="R51" s="12">
        <v>3</v>
      </c>
    </row>
    <row r="52" spans="4:18">
      <c r="D52">
        <v>111010</v>
      </c>
      <c r="E52">
        <f t="shared" si="0"/>
        <v>1</v>
      </c>
      <c r="G52">
        <v>2</v>
      </c>
      <c r="H52">
        <f t="shared" si="1"/>
        <v>12</v>
      </c>
      <c r="I52">
        <f t="shared" si="2"/>
        <v>1200</v>
      </c>
      <c r="J52">
        <v>1200</v>
      </c>
      <c r="K52">
        <f t="shared" si="3"/>
        <v>7</v>
      </c>
      <c r="L52">
        <f t="shared" si="4"/>
        <v>2.8</v>
      </c>
      <c r="M52">
        <f t="shared" si="5"/>
        <v>56</v>
      </c>
      <c r="Q52" s="11">
        <v>113002</v>
      </c>
      <c r="R52" s="12">
        <v>3</v>
      </c>
    </row>
    <row r="53" spans="4:18">
      <c r="D53">
        <v>111010</v>
      </c>
      <c r="E53">
        <f t="shared" si="0"/>
        <v>1</v>
      </c>
      <c r="G53">
        <v>3</v>
      </c>
      <c r="H53">
        <f t="shared" si="1"/>
        <v>13</v>
      </c>
      <c r="I53">
        <f t="shared" si="2"/>
        <v>1300</v>
      </c>
      <c r="J53">
        <v>1300</v>
      </c>
      <c r="K53">
        <f t="shared" si="3"/>
        <v>8</v>
      </c>
      <c r="L53">
        <f t="shared" si="4"/>
        <v>3.2</v>
      </c>
      <c r="M53">
        <f t="shared" si="5"/>
        <v>64</v>
      </c>
      <c r="Q53" s="11">
        <v>113003</v>
      </c>
      <c r="R53" s="12">
        <v>3</v>
      </c>
    </row>
    <row r="54" spans="4:18">
      <c r="D54">
        <v>111010</v>
      </c>
      <c r="E54">
        <f t="shared" si="0"/>
        <v>1</v>
      </c>
      <c r="G54">
        <v>4</v>
      </c>
      <c r="H54">
        <f t="shared" si="1"/>
        <v>14</v>
      </c>
      <c r="I54">
        <f t="shared" si="2"/>
        <v>1400</v>
      </c>
      <c r="J54">
        <v>1400</v>
      </c>
      <c r="K54">
        <f t="shared" si="3"/>
        <v>9</v>
      </c>
      <c r="L54">
        <f t="shared" si="4"/>
        <v>3.6</v>
      </c>
      <c r="M54">
        <f t="shared" si="5"/>
        <v>72</v>
      </c>
      <c r="Q54" s="11">
        <v>113004</v>
      </c>
      <c r="R54" s="12">
        <v>3</v>
      </c>
    </row>
    <row r="55" spans="4:18">
      <c r="D55">
        <v>111010</v>
      </c>
      <c r="E55">
        <f t="shared" si="0"/>
        <v>1</v>
      </c>
      <c r="G55">
        <v>5</v>
      </c>
      <c r="H55">
        <f t="shared" si="1"/>
        <v>15</v>
      </c>
      <c r="I55">
        <f t="shared" si="2"/>
        <v>1500</v>
      </c>
      <c r="J55">
        <v>1500</v>
      </c>
      <c r="K55">
        <f t="shared" si="3"/>
        <v>10</v>
      </c>
      <c r="L55">
        <f t="shared" si="4"/>
        <v>4</v>
      </c>
      <c r="M55">
        <f t="shared" si="5"/>
        <v>80</v>
      </c>
      <c r="Q55" s="11">
        <v>113005</v>
      </c>
      <c r="R55" s="12">
        <v>3</v>
      </c>
    </row>
    <row r="56" spans="4:18">
      <c r="D56">
        <v>111010</v>
      </c>
      <c r="E56">
        <f t="shared" si="0"/>
        <v>1</v>
      </c>
      <c r="G56">
        <v>6</v>
      </c>
      <c r="H56">
        <f t="shared" si="1"/>
        <v>16</v>
      </c>
      <c r="I56">
        <f t="shared" si="2"/>
        <v>1600</v>
      </c>
      <c r="J56">
        <v>1600</v>
      </c>
      <c r="K56">
        <f t="shared" si="3"/>
        <v>11</v>
      </c>
      <c r="L56">
        <f t="shared" si="4"/>
        <v>4.4</v>
      </c>
      <c r="M56">
        <f t="shared" si="5"/>
        <v>88</v>
      </c>
      <c r="Q56" s="11">
        <v>113006</v>
      </c>
      <c r="R56" s="12">
        <v>3</v>
      </c>
    </row>
    <row r="57" spans="4:18">
      <c r="D57">
        <v>111011</v>
      </c>
      <c r="E57">
        <f t="shared" si="0"/>
        <v>1</v>
      </c>
      <c r="G57">
        <v>2</v>
      </c>
      <c r="H57">
        <f t="shared" si="1"/>
        <v>12</v>
      </c>
      <c r="I57">
        <f t="shared" si="2"/>
        <v>1200</v>
      </c>
      <c r="J57">
        <v>1200</v>
      </c>
      <c r="K57">
        <f t="shared" si="3"/>
        <v>7</v>
      </c>
      <c r="L57">
        <f t="shared" si="4"/>
        <v>2.8</v>
      </c>
      <c r="M57">
        <f t="shared" si="5"/>
        <v>56</v>
      </c>
      <c r="Q57" s="11">
        <v>113007</v>
      </c>
      <c r="R57" s="12">
        <v>3</v>
      </c>
    </row>
    <row r="58" spans="4:18">
      <c r="D58">
        <v>111011</v>
      </c>
      <c r="E58">
        <f t="shared" si="0"/>
        <v>1</v>
      </c>
      <c r="G58">
        <v>3</v>
      </c>
      <c r="H58">
        <f t="shared" si="1"/>
        <v>13</v>
      </c>
      <c r="I58">
        <f t="shared" si="2"/>
        <v>1300</v>
      </c>
      <c r="J58">
        <v>1300</v>
      </c>
      <c r="K58">
        <f t="shared" si="3"/>
        <v>8</v>
      </c>
      <c r="L58">
        <f t="shared" si="4"/>
        <v>3.2</v>
      </c>
      <c r="M58">
        <f t="shared" si="5"/>
        <v>64</v>
      </c>
      <c r="Q58" s="11">
        <v>113008</v>
      </c>
      <c r="R58" s="12">
        <v>3</v>
      </c>
    </row>
    <row r="59" spans="4:18">
      <c r="D59">
        <v>111011</v>
      </c>
      <c r="E59">
        <f t="shared" si="0"/>
        <v>1</v>
      </c>
      <c r="G59">
        <v>4</v>
      </c>
      <c r="H59">
        <f t="shared" si="1"/>
        <v>14</v>
      </c>
      <c r="I59">
        <f t="shared" si="2"/>
        <v>1400</v>
      </c>
      <c r="J59">
        <v>1400</v>
      </c>
      <c r="K59">
        <f t="shared" si="3"/>
        <v>9</v>
      </c>
      <c r="L59">
        <f t="shared" si="4"/>
        <v>3.6</v>
      </c>
      <c r="M59">
        <f t="shared" si="5"/>
        <v>72</v>
      </c>
      <c r="Q59" s="11">
        <v>113009</v>
      </c>
      <c r="R59" s="12">
        <v>3</v>
      </c>
    </row>
    <row r="60" spans="4:18">
      <c r="D60">
        <v>111011</v>
      </c>
      <c r="E60">
        <f t="shared" si="0"/>
        <v>1</v>
      </c>
      <c r="G60">
        <v>5</v>
      </c>
      <c r="H60">
        <f t="shared" si="1"/>
        <v>15</v>
      </c>
      <c r="I60">
        <f t="shared" si="2"/>
        <v>1500</v>
      </c>
      <c r="J60">
        <v>1500</v>
      </c>
      <c r="K60">
        <f t="shared" si="3"/>
        <v>10</v>
      </c>
      <c r="L60">
        <f t="shared" si="4"/>
        <v>4</v>
      </c>
      <c r="M60">
        <f t="shared" si="5"/>
        <v>80</v>
      </c>
      <c r="Q60" s="11">
        <v>113010</v>
      </c>
      <c r="R60" s="12">
        <v>3</v>
      </c>
    </row>
    <row r="61" spans="4:18">
      <c r="D61">
        <v>111011</v>
      </c>
      <c r="E61">
        <f t="shared" si="0"/>
        <v>1</v>
      </c>
      <c r="G61">
        <v>6</v>
      </c>
      <c r="H61">
        <f t="shared" si="1"/>
        <v>16</v>
      </c>
      <c r="I61">
        <f t="shared" si="2"/>
        <v>1600</v>
      </c>
      <c r="J61">
        <v>1600</v>
      </c>
      <c r="K61">
        <f t="shared" si="3"/>
        <v>11</v>
      </c>
      <c r="L61">
        <f t="shared" si="4"/>
        <v>4.4</v>
      </c>
      <c r="M61">
        <f t="shared" si="5"/>
        <v>88</v>
      </c>
      <c r="Q61" s="11">
        <v>113011</v>
      </c>
      <c r="R61" s="12">
        <v>3</v>
      </c>
    </row>
    <row r="62" spans="4:18">
      <c r="D62">
        <v>111012</v>
      </c>
      <c r="E62">
        <f t="shared" si="0"/>
        <v>1</v>
      </c>
      <c r="G62">
        <v>2</v>
      </c>
      <c r="H62">
        <f t="shared" si="1"/>
        <v>12</v>
      </c>
      <c r="I62">
        <f t="shared" si="2"/>
        <v>1200</v>
      </c>
      <c r="J62">
        <v>1200</v>
      </c>
      <c r="K62">
        <f t="shared" si="3"/>
        <v>7</v>
      </c>
      <c r="L62">
        <f t="shared" si="4"/>
        <v>2.8</v>
      </c>
      <c r="M62">
        <f t="shared" si="5"/>
        <v>56</v>
      </c>
      <c r="Q62" s="11">
        <v>113012</v>
      </c>
      <c r="R62" s="12">
        <v>3</v>
      </c>
    </row>
    <row r="63" spans="4:18">
      <c r="D63">
        <v>111012</v>
      </c>
      <c r="E63">
        <f t="shared" si="0"/>
        <v>1</v>
      </c>
      <c r="G63">
        <v>3</v>
      </c>
      <c r="H63">
        <f t="shared" si="1"/>
        <v>13</v>
      </c>
      <c r="I63">
        <f t="shared" si="2"/>
        <v>1300</v>
      </c>
      <c r="J63">
        <v>1300</v>
      </c>
      <c r="K63">
        <f t="shared" si="3"/>
        <v>8</v>
      </c>
      <c r="L63">
        <f t="shared" si="4"/>
        <v>3.2</v>
      </c>
      <c r="M63">
        <f t="shared" si="5"/>
        <v>64</v>
      </c>
      <c r="Q63" s="11">
        <v>113013</v>
      </c>
      <c r="R63" s="12">
        <v>3</v>
      </c>
    </row>
    <row r="64" spans="4:18">
      <c r="D64">
        <v>111012</v>
      </c>
      <c r="E64">
        <f t="shared" si="0"/>
        <v>1</v>
      </c>
      <c r="G64">
        <v>4</v>
      </c>
      <c r="H64">
        <f t="shared" si="1"/>
        <v>14</v>
      </c>
      <c r="I64">
        <f t="shared" si="2"/>
        <v>1400</v>
      </c>
      <c r="J64">
        <v>1400</v>
      </c>
      <c r="K64">
        <f t="shared" si="3"/>
        <v>9</v>
      </c>
      <c r="L64">
        <f t="shared" si="4"/>
        <v>3.6</v>
      </c>
      <c r="M64">
        <f t="shared" si="5"/>
        <v>72</v>
      </c>
      <c r="Q64" s="11">
        <v>113014</v>
      </c>
      <c r="R64" s="12">
        <v>3</v>
      </c>
    </row>
    <row r="65" spans="4:18">
      <c r="D65">
        <v>111012</v>
      </c>
      <c r="E65">
        <f t="shared" si="0"/>
        <v>1</v>
      </c>
      <c r="G65">
        <v>5</v>
      </c>
      <c r="H65">
        <f t="shared" si="1"/>
        <v>15</v>
      </c>
      <c r="I65">
        <f t="shared" si="2"/>
        <v>1500</v>
      </c>
      <c r="J65">
        <v>1500</v>
      </c>
      <c r="K65">
        <f t="shared" si="3"/>
        <v>10</v>
      </c>
      <c r="L65">
        <f t="shared" si="4"/>
        <v>4</v>
      </c>
      <c r="M65">
        <f t="shared" si="5"/>
        <v>80</v>
      </c>
      <c r="Q65" s="11">
        <v>113015</v>
      </c>
      <c r="R65" s="12">
        <v>3</v>
      </c>
    </row>
    <row r="66" spans="4:18">
      <c r="D66">
        <v>111012</v>
      </c>
      <c r="E66">
        <f t="shared" si="0"/>
        <v>1</v>
      </c>
      <c r="G66">
        <v>6</v>
      </c>
      <c r="H66">
        <f t="shared" si="1"/>
        <v>16</v>
      </c>
      <c r="I66">
        <f t="shared" si="2"/>
        <v>1600</v>
      </c>
      <c r="J66">
        <v>1600</v>
      </c>
      <c r="K66">
        <f t="shared" si="3"/>
        <v>11</v>
      </c>
      <c r="L66">
        <f t="shared" si="4"/>
        <v>4.4</v>
      </c>
      <c r="M66">
        <f t="shared" si="5"/>
        <v>88</v>
      </c>
      <c r="Q66" s="11">
        <v>113016</v>
      </c>
      <c r="R66" s="12">
        <v>3</v>
      </c>
    </row>
    <row r="67" spans="4:18">
      <c r="D67">
        <v>111013</v>
      </c>
      <c r="E67">
        <f t="shared" si="0"/>
        <v>1</v>
      </c>
      <c r="G67">
        <v>2</v>
      </c>
      <c r="H67">
        <f t="shared" si="1"/>
        <v>12</v>
      </c>
      <c r="I67">
        <f t="shared" si="2"/>
        <v>1200</v>
      </c>
      <c r="J67">
        <v>1200</v>
      </c>
      <c r="K67">
        <f t="shared" si="3"/>
        <v>7</v>
      </c>
      <c r="L67">
        <f t="shared" si="4"/>
        <v>2.8</v>
      </c>
      <c r="M67">
        <f t="shared" si="5"/>
        <v>56</v>
      </c>
      <c r="Q67" s="11">
        <v>113017</v>
      </c>
      <c r="R67" s="12">
        <v>3</v>
      </c>
    </row>
    <row r="68" spans="4:18">
      <c r="D68">
        <v>111013</v>
      </c>
      <c r="E68">
        <f t="shared" si="0"/>
        <v>1</v>
      </c>
      <c r="G68">
        <v>3</v>
      </c>
      <c r="H68">
        <f t="shared" si="1"/>
        <v>13</v>
      </c>
      <c r="I68">
        <f t="shared" si="2"/>
        <v>1300</v>
      </c>
      <c r="J68">
        <v>1300</v>
      </c>
      <c r="K68">
        <f t="shared" si="3"/>
        <v>8</v>
      </c>
      <c r="L68">
        <f t="shared" si="4"/>
        <v>3.2</v>
      </c>
      <c r="M68">
        <f t="shared" si="5"/>
        <v>64</v>
      </c>
      <c r="Q68" s="11">
        <v>113018</v>
      </c>
      <c r="R68" s="12">
        <v>3</v>
      </c>
    </row>
    <row r="69" spans="4:18">
      <c r="D69">
        <v>111013</v>
      </c>
      <c r="E69">
        <f t="shared" si="0"/>
        <v>1</v>
      </c>
      <c r="G69">
        <v>4</v>
      </c>
      <c r="H69">
        <f t="shared" si="1"/>
        <v>14</v>
      </c>
      <c r="I69">
        <f t="shared" si="2"/>
        <v>1400</v>
      </c>
      <c r="J69">
        <v>1400</v>
      </c>
      <c r="K69">
        <f t="shared" si="3"/>
        <v>9</v>
      </c>
      <c r="L69">
        <f t="shared" si="4"/>
        <v>3.6</v>
      </c>
      <c r="M69">
        <f t="shared" si="5"/>
        <v>72</v>
      </c>
      <c r="Q69" s="11">
        <v>113019</v>
      </c>
      <c r="R69" s="12">
        <v>3</v>
      </c>
    </row>
    <row r="70" spans="4:18">
      <c r="D70">
        <v>111013</v>
      </c>
      <c r="E70">
        <f t="shared" si="0"/>
        <v>1</v>
      </c>
      <c r="G70">
        <v>5</v>
      </c>
      <c r="H70">
        <f t="shared" si="1"/>
        <v>15</v>
      </c>
      <c r="I70">
        <f t="shared" si="2"/>
        <v>1500</v>
      </c>
      <c r="J70">
        <v>1500</v>
      </c>
      <c r="K70">
        <f t="shared" si="3"/>
        <v>10</v>
      </c>
      <c r="L70">
        <f t="shared" si="4"/>
        <v>4</v>
      </c>
      <c r="M70">
        <f t="shared" si="5"/>
        <v>80</v>
      </c>
      <c r="Q70" s="11">
        <v>113020</v>
      </c>
      <c r="R70" s="12">
        <v>3</v>
      </c>
    </row>
    <row r="71" spans="4:18">
      <c r="D71">
        <v>111013</v>
      </c>
      <c r="E71">
        <f t="shared" si="0"/>
        <v>1</v>
      </c>
      <c r="G71">
        <v>6</v>
      </c>
      <c r="H71">
        <f t="shared" si="1"/>
        <v>16</v>
      </c>
      <c r="I71">
        <f t="shared" si="2"/>
        <v>1600</v>
      </c>
      <c r="J71">
        <v>1600</v>
      </c>
      <c r="K71">
        <f t="shared" si="3"/>
        <v>11</v>
      </c>
      <c r="L71">
        <f t="shared" si="4"/>
        <v>4.4</v>
      </c>
      <c r="M71">
        <f t="shared" si="5"/>
        <v>88</v>
      </c>
      <c r="Q71" s="11">
        <v>113021</v>
      </c>
      <c r="R71" s="12">
        <v>3</v>
      </c>
    </row>
    <row r="72" spans="4:18">
      <c r="D72">
        <v>111014</v>
      </c>
      <c r="E72">
        <f t="shared" ref="E72:E135" si="7">VLOOKUP(D72,Q:R,2,FALSE)</f>
        <v>1</v>
      </c>
      <c r="G72">
        <v>2</v>
      </c>
      <c r="H72">
        <f t="shared" ref="H72:H135" si="8">E72*10+G72</f>
        <v>12</v>
      </c>
      <c r="I72">
        <f t="shared" ref="I72:I135" si="9">H72*100</f>
        <v>1200</v>
      </c>
      <c r="J72">
        <v>1200</v>
      </c>
      <c r="K72">
        <f t="shared" ref="K72:K135" si="10">VLOOKUP(J72,U:X,2,FALSE)</f>
        <v>7</v>
      </c>
      <c r="L72">
        <f t="shared" ref="L72:L135" si="11">VLOOKUP(J72,U:X,3,FALSE)</f>
        <v>2.8</v>
      </c>
      <c r="M72">
        <f t="shared" ref="M72:M135" si="12">VLOOKUP(J72,U:X,4,FALSE)</f>
        <v>56</v>
      </c>
      <c r="Q72" s="11">
        <v>113022</v>
      </c>
      <c r="R72" s="12">
        <v>3</v>
      </c>
    </row>
    <row r="73" spans="4:18">
      <c r="D73">
        <v>111014</v>
      </c>
      <c r="E73">
        <f t="shared" si="7"/>
        <v>1</v>
      </c>
      <c r="G73">
        <v>3</v>
      </c>
      <c r="H73">
        <f t="shared" si="8"/>
        <v>13</v>
      </c>
      <c r="I73">
        <f t="shared" si="9"/>
        <v>1300</v>
      </c>
      <c r="J73">
        <v>1300</v>
      </c>
      <c r="K73">
        <f t="shared" si="10"/>
        <v>8</v>
      </c>
      <c r="L73">
        <f t="shared" si="11"/>
        <v>3.2</v>
      </c>
      <c r="M73">
        <f t="shared" si="12"/>
        <v>64</v>
      </c>
      <c r="Q73" s="11">
        <v>113023</v>
      </c>
      <c r="R73" s="12">
        <v>3</v>
      </c>
    </row>
    <row r="74" spans="4:18">
      <c r="D74">
        <v>111014</v>
      </c>
      <c r="E74">
        <f t="shared" si="7"/>
        <v>1</v>
      </c>
      <c r="G74">
        <v>4</v>
      </c>
      <c r="H74">
        <f t="shared" si="8"/>
        <v>14</v>
      </c>
      <c r="I74">
        <f t="shared" si="9"/>
        <v>1400</v>
      </c>
      <c r="J74">
        <v>1400</v>
      </c>
      <c r="K74">
        <f t="shared" si="10"/>
        <v>9</v>
      </c>
      <c r="L74">
        <f t="shared" si="11"/>
        <v>3.6</v>
      </c>
      <c r="M74">
        <f t="shared" si="12"/>
        <v>72</v>
      </c>
      <c r="Q74" s="11">
        <v>113024</v>
      </c>
      <c r="R74" s="12">
        <v>3</v>
      </c>
    </row>
    <row r="75" spans="4:18">
      <c r="D75">
        <v>111014</v>
      </c>
      <c r="E75">
        <f t="shared" si="7"/>
        <v>1</v>
      </c>
      <c r="G75">
        <v>5</v>
      </c>
      <c r="H75">
        <f t="shared" si="8"/>
        <v>15</v>
      </c>
      <c r="I75">
        <f t="shared" si="9"/>
        <v>1500</v>
      </c>
      <c r="J75">
        <v>1500</v>
      </c>
      <c r="K75">
        <f t="shared" si="10"/>
        <v>10</v>
      </c>
      <c r="L75">
        <f t="shared" si="11"/>
        <v>4</v>
      </c>
      <c r="M75">
        <f t="shared" si="12"/>
        <v>80</v>
      </c>
      <c r="Q75" s="11">
        <v>113025</v>
      </c>
      <c r="R75" s="12">
        <v>3</v>
      </c>
    </row>
    <row r="76" spans="4:18">
      <c r="D76">
        <v>111014</v>
      </c>
      <c r="E76">
        <f t="shared" si="7"/>
        <v>1</v>
      </c>
      <c r="G76">
        <v>6</v>
      </c>
      <c r="H76">
        <f t="shared" si="8"/>
        <v>16</v>
      </c>
      <c r="I76">
        <f t="shared" si="9"/>
        <v>1600</v>
      </c>
      <c r="J76">
        <v>1600</v>
      </c>
      <c r="K76">
        <f t="shared" si="10"/>
        <v>11</v>
      </c>
      <c r="L76">
        <f t="shared" si="11"/>
        <v>4.4</v>
      </c>
      <c r="M76">
        <f t="shared" si="12"/>
        <v>88</v>
      </c>
      <c r="Q76" s="11">
        <v>113026</v>
      </c>
      <c r="R76" s="12">
        <v>3</v>
      </c>
    </row>
    <row r="77" spans="4:18">
      <c r="D77">
        <v>111015</v>
      </c>
      <c r="E77">
        <f t="shared" si="7"/>
        <v>1</v>
      </c>
      <c r="G77">
        <v>2</v>
      </c>
      <c r="H77">
        <f t="shared" si="8"/>
        <v>12</v>
      </c>
      <c r="I77">
        <f t="shared" si="9"/>
        <v>1200</v>
      </c>
      <c r="J77">
        <v>1200</v>
      </c>
      <c r="K77">
        <f t="shared" si="10"/>
        <v>7</v>
      </c>
      <c r="L77">
        <f t="shared" si="11"/>
        <v>2.8</v>
      </c>
      <c r="M77">
        <f t="shared" si="12"/>
        <v>56</v>
      </c>
      <c r="Q77" s="11">
        <v>113027</v>
      </c>
      <c r="R77" s="12">
        <v>3</v>
      </c>
    </row>
    <row r="78" spans="4:18">
      <c r="D78">
        <v>111015</v>
      </c>
      <c r="E78">
        <f t="shared" si="7"/>
        <v>1</v>
      </c>
      <c r="G78">
        <v>3</v>
      </c>
      <c r="H78">
        <f t="shared" si="8"/>
        <v>13</v>
      </c>
      <c r="I78">
        <f t="shared" si="9"/>
        <v>1300</v>
      </c>
      <c r="J78">
        <v>1300</v>
      </c>
      <c r="K78">
        <f t="shared" si="10"/>
        <v>8</v>
      </c>
      <c r="L78">
        <f t="shared" si="11"/>
        <v>3.2</v>
      </c>
      <c r="M78">
        <f t="shared" si="12"/>
        <v>64</v>
      </c>
      <c r="Q78" s="11">
        <v>113028</v>
      </c>
      <c r="R78" s="12">
        <v>3</v>
      </c>
    </row>
    <row r="79" spans="4:18">
      <c r="D79">
        <v>111015</v>
      </c>
      <c r="E79">
        <f t="shared" si="7"/>
        <v>1</v>
      </c>
      <c r="G79">
        <v>4</v>
      </c>
      <c r="H79">
        <f t="shared" si="8"/>
        <v>14</v>
      </c>
      <c r="I79">
        <f t="shared" si="9"/>
        <v>1400</v>
      </c>
      <c r="J79">
        <v>1400</v>
      </c>
      <c r="K79">
        <f t="shared" si="10"/>
        <v>9</v>
      </c>
      <c r="L79">
        <f t="shared" si="11"/>
        <v>3.6</v>
      </c>
      <c r="M79">
        <f t="shared" si="12"/>
        <v>72</v>
      </c>
      <c r="Q79" s="11">
        <v>113029</v>
      </c>
      <c r="R79" s="12">
        <v>3</v>
      </c>
    </row>
    <row r="80" spans="4:18">
      <c r="D80">
        <v>111015</v>
      </c>
      <c r="E80">
        <f t="shared" si="7"/>
        <v>1</v>
      </c>
      <c r="G80">
        <v>5</v>
      </c>
      <c r="H80">
        <f t="shared" si="8"/>
        <v>15</v>
      </c>
      <c r="I80">
        <f t="shared" si="9"/>
        <v>1500</v>
      </c>
      <c r="J80">
        <v>1500</v>
      </c>
      <c r="K80">
        <f t="shared" si="10"/>
        <v>10</v>
      </c>
      <c r="L80">
        <f t="shared" si="11"/>
        <v>4</v>
      </c>
      <c r="M80">
        <f t="shared" si="12"/>
        <v>80</v>
      </c>
      <c r="Q80" s="11">
        <v>113030</v>
      </c>
      <c r="R80" s="12">
        <v>3</v>
      </c>
    </row>
    <row r="81" spans="4:18">
      <c r="D81">
        <v>111015</v>
      </c>
      <c r="E81">
        <f t="shared" si="7"/>
        <v>1</v>
      </c>
      <c r="G81">
        <v>6</v>
      </c>
      <c r="H81">
        <f t="shared" si="8"/>
        <v>16</v>
      </c>
      <c r="I81">
        <f t="shared" si="9"/>
        <v>1600</v>
      </c>
      <c r="J81">
        <v>1600</v>
      </c>
      <c r="K81">
        <f t="shared" si="10"/>
        <v>11</v>
      </c>
      <c r="L81">
        <f t="shared" si="11"/>
        <v>4.4</v>
      </c>
      <c r="M81">
        <f t="shared" si="12"/>
        <v>88</v>
      </c>
      <c r="Q81" s="11">
        <v>113031</v>
      </c>
      <c r="R81" s="12">
        <v>3</v>
      </c>
    </row>
    <row r="82" spans="4:18">
      <c r="D82">
        <v>111018</v>
      </c>
      <c r="E82">
        <f t="shared" si="7"/>
        <v>1</v>
      </c>
      <c r="G82">
        <v>2</v>
      </c>
      <c r="H82">
        <f t="shared" si="8"/>
        <v>12</v>
      </c>
      <c r="I82">
        <f t="shared" si="9"/>
        <v>1200</v>
      </c>
      <c r="J82">
        <v>1200</v>
      </c>
      <c r="K82">
        <f t="shared" si="10"/>
        <v>7</v>
      </c>
      <c r="L82">
        <f t="shared" si="11"/>
        <v>2.8</v>
      </c>
      <c r="M82">
        <f t="shared" si="12"/>
        <v>56</v>
      </c>
      <c r="Q82" s="11">
        <v>113032</v>
      </c>
      <c r="R82" s="12">
        <v>3</v>
      </c>
    </row>
    <row r="83" spans="4:18">
      <c r="D83">
        <v>111018</v>
      </c>
      <c r="E83">
        <f t="shared" si="7"/>
        <v>1</v>
      </c>
      <c r="G83">
        <v>3</v>
      </c>
      <c r="H83">
        <f t="shared" si="8"/>
        <v>13</v>
      </c>
      <c r="I83">
        <f t="shared" si="9"/>
        <v>1300</v>
      </c>
      <c r="J83">
        <v>1300</v>
      </c>
      <c r="K83">
        <f t="shared" si="10"/>
        <v>8</v>
      </c>
      <c r="L83">
        <f t="shared" si="11"/>
        <v>3.2</v>
      </c>
      <c r="M83">
        <f t="shared" si="12"/>
        <v>64</v>
      </c>
      <c r="Q83" s="11">
        <v>113033</v>
      </c>
      <c r="R83" s="12">
        <v>3</v>
      </c>
    </row>
    <row r="84" spans="4:18">
      <c r="D84">
        <v>111018</v>
      </c>
      <c r="E84">
        <f t="shared" si="7"/>
        <v>1</v>
      </c>
      <c r="G84">
        <v>4</v>
      </c>
      <c r="H84">
        <f t="shared" si="8"/>
        <v>14</v>
      </c>
      <c r="I84">
        <f t="shared" si="9"/>
        <v>1400</v>
      </c>
      <c r="J84">
        <v>1400</v>
      </c>
      <c r="K84">
        <f t="shared" si="10"/>
        <v>9</v>
      </c>
      <c r="L84">
        <f t="shared" si="11"/>
        <v>3.6</v>
      </c>
      <c r="M84">
        <f t="shared" si="12"/>
        <v>72</v>
      </c>
      <c r="Q84" s="11">
        <v>113034</v>
      </c>
      <c r="R84" s="12">
        <v>3</v>
      </c>
    </row>
    <row r="85" spans="4:18">
      <c r="D85">
        <v>111018</v>
      </c>
      <c r="E85">
        <f t="shared" si="7"/>
        <v>1</v>
      </c>
      <c r="G85">
        <v>5</v>
      </c>
      <c r="H85">
        <f t="shared" si="8"/>
        <v>15</v>
      </c>
      <c r="I85">
        <f t="shared" si="9"/>
        <v>1500</v>
      </c>
      <c r="J85">
        <v>1500</v>
      </c>
      <c r="K85">
        <f t="shared" si="10"/>
        <v>10</v>
      </c>
      <c r="L85">
        <f t="shared" si="11"/>
        <v>4</v>
      </c>
      <c r="M85">
        <f t="shared" si="12"/>
        <v>80</v>
      </c>
      <c r="Q85" s="11">
        <v>113035</v>
      </c>
      <c r="R85" s="12">
        <v>3</v>
      </c>
    </row>
    <row r="86" spans="4:18">
      <c r="D86">
        <v>111018</v>
      </c>
      <c r="E86">
        <f t="shared" si="7"/>
        <v>1</v>
      </c>
      <c r="G86">
        <v>6</v>
      </c>
      <c r="H86">
        <f t="shared" si="8"/>
        <v>16</v>
      </c>
      <c r="I86">
        <f t="shared" si="9"/>
        <v>1600</v>
      </c>
      <c r="J86">
        <v>1600</v>
      </c>
      <c r="K86">
        <f t="shared" si="10"/>
        <v>11</v>
      </c>
      <c r="L86">
        <f t="shared" si="11"/>
        <v>4.4</v>
      </c>
      <c r="M86">
        <f t="shared" si="12"/>
        <v>88</v>
      </c>
      <c r="Q86" s="11">
        <v>113036</v>
      </c>
      <c r="R86" s="12">
        <v>3</v>
      </c>
    </row>
    <row r="87" spans="4:18">
      <c r="D87">
        <v>112001</v>
      </c>
      <c r="E87">
        <f t="shared" si="7"/>
        <v>2</v>
      </c>
      <c r="G87">
        <v>3</v>
      </c>
      <c r="H87">
        <f t="shared" si="8"/>
        <v>23</v>
      </c>
      <c r="I87">
        <f t="shared" si="9"/>
        <v>2300</v>
      </c>
      <c r="J87">
        <v>2300</v>
      </c>
      <c r="K87">
        <f t="shared" si="10"/>
        <v>9</v>
      </c>
      <c r="L87">
        <f t="shared" si="11"/>
        <v>3.6</v>
      </c>
      <c r="M87">
        <f t="shared" si="12"/>
        <v>72</v>
      </c>
      <c r="Q87" s="11">
        <v>113037</v>
      </c>
      <c r="R87" s="12">
        <v>3</v>
      </c>
    </row>
    <row r="88" spans="4:18">
      <c r="D88">
        <v>112001</v>
      </c>
      <c r="E88">
        <f t="shared" si="7"/>
        <v>2</v>
      </c>
      <c r="G88">
        <v>4</v>
      </c>
      <c r="H88">
        <f t="shared" si="8"/>
        <v>24</v>
      </c>
      <c r="I88">
        <f t="shared" si="9"/>
        <v>2400</v>
      </c>
      <c r="J88">
        <v>2400</v>
      </c>
      <c r="K88">
        <f t="shared" si="10"/>
        <v>10.5</v>
      </c>
      <c r="L88">
        <f t="shared" si="11"/>
        <v>4.2</v>
      </c>
      <c r="M88">
        <f t="shared" si="12"/>
        <v>84</v>
      </c>
      <c r="Q88" s="11">
        <v>113038</v>
      </c>
      <c r="R88" s="12">
        <v>3</v>
      </c>
    </row>
    <row r="89" spans="4:18">
      <c r="D89">
        <v>112001</v>
      </c>
      <c r="E89">
        <f t="shared" si="7"/>
        <v>2</v>
      </c>
      <c r="G89">
        <v>5</v>
      </c>
      <c r="H89">
        <f t="shared" si="8"/>
        <v>25</v>
      </c>
      <c r="I89">
        <f t="shared" si="9"/>
        <v>2500</v>
      </c>
      <c r="J89">
        <v>2500</v>
      </c>
      <c r="K89">
        <f t="shared" si="10"/>
        <v>12</v>
      </c>
      <c r="L89">
        <f t="shared" si="11"/>
        <v>4.8</v>
      </c>
      <c r="M89">
        <f t="shared" si="12"/>
        <v>96</v>
      </c>
      <c r="Q89" s="11">
        <v>113039</v>
      </c>
      <c r="R89" s="12">
        <v>3</v>
      </c>
    </row>
    <row r="90" spans="4:18">
      <c r="D90">
        <v>112001</v>
      </c>
      <c r="E90">
        <f t="shared" si="7"/>
        <v>2</v>
      </c>
      <c r="G90">
        <v>6</v>
      </c>
      <c r="H90">
        <f t="shared" si="8"/>
        <v>26</v>
      </c>
      <c r="I90">
        <f t="shared" si="9"/>
        <v>2600</v>
      </c>
      <c r="J90">
        <v>2600</v>
      </c>
      <c r="K90">
        <f t="shared" si="10"/>
        <v>14</v>
      </c>
      <c r="L90">
        <f t="shared" si="11"/>
        <v>5.6</v>
      </c>
      <c r="M90">
        <f t="shared" si="12"/>
        <v>112</v>
      </c>
      <c r="Q90" s="11">
        <v>113040</v>
      </c>
      <c r="R90" s="12">
        <v>3</v>
      </c>
    </row>
    <row r="91" spans="4:18">
      <c r="D91">
        <v>112001</v>
      </c>
      <c r="E91">
        <f t="shared" si="7"/>
        <v>2</v>
      </c>
      <c r="G91">
        <v>7</v>
      </c>
      <c r="H91">
        <f t="shared" si="8"/>
        <v>27</v>
      </c>
      <c r="I91">
        <f t="shared" si="9"/>
        <v>2700</v>
      </c>
      <c r="J91">
        <v>2700</v>
      </c>
      <c r="K91">
        <f t="shared" si="10"/>
        <v>16</v>
      </c>
      <c r="L91">
        <f t="shared" si="11"/>
        <v>6.4</v>
      </c>
      <c r="M91">
        <f t="shared" si="12"/>
        <v>128</v>
      </c>
      <c r="Q91" s="12">
        <v>113041</v>
      </c>
      <c r="R91" s="12">
        <v>3</v>
      </c>
    </row>
    <row r="92" spans="4:18">
      <c r="D92">
        <v>112002</v>
      </c>
      <c r="E92">
        <f t="shared" si="7"/>
        <v>2</v>
      </c>
      <c r="G92">
        <v>3</v>
      </c>
      <c r="H92">
        <f t="shared" si="8"/>
        <v>23</v>
      </c>
      <c r="I92">
        <f t="shared" si="9"/>
        <v>2300</v>
      </c>
      <c r="J92">
        <v>2300</v>
      </c>
      <c r="K92">
        <f t="shared" si="10"/>
        <v>9</v>
      </c>
      <c r="L92">
        <f t="shared" si="11"/>
        <v>3.6</v>
      </c>
      <c r="M92">
        <f t="shared" si="12"/>
        <v>72</v>
      </c>
      <c r="Q92" s="12">
        <v>113042</v>
      </c>
      <c r="R92" s="12">
        <v>3</v>
      </c>
    </row>
    <row r="93" spans="4:18">
      <c r="D93">
        <v>112002</v>
      </c>
      <c r="E93">
        <f t="shared" si="7"/>
        <v>2</v>
      </c>
      <c r="G93">
        <v>4</v>
      </c>
      <c r="H93">
        <f t="shared" si="8"/>
        <v>24</v>
      </c>
      <c r="I93">
        <f t="shared" si="9"/>
        <v>2400</v>
      </c>
      <c r="J93">
        <v>2400</v>
      </c>
      <c r="K93">
        <f t="shared" si="10"/>
        <v>10.5</v>
      </c>
      <c r="L93">
        <f t="shared" si="11"/>
        <v>4.2</v>
      </c>
      <c r="M93">
        <f t="shared" si="12"/>
        <v>84</v>
      </c>
      <c r="Q93" s="12">
        <v>113043</v>
      </c>
      <c r="R93" s="12">
        <v>3</v>
      </c>
    </row>
    <row r="94" spans="4:18">
      <c r="D94">
        <v>112002</v>
      </c>
      <c r="E94">
        <f t="shared" si="7"/>
        <v>2</v>
      </c>
      <c r="G94">
        <v>5</v>
      </c>
      <c r="H94">
        <f t="shared" si="8"/>
        <v>25</v>
      </c>
      <c r="I94">
        <f t="shared" si="9"/>
        <v>2500</v>
      </c>
      <c r="J94">
        <v>2500</v>
      </c>
      <c r="K94">
        <f t="shared" si="10"/>
        <v>12</v>
      </c>
      <c r="L94">
        <f t="shared" si="11"/>
        <v>4.8</v>
      </c>
      <c r="M94">
        <f t="shared" si="12"/>
        <v>96</v>
      </c>
      <c r="Q94" s="12">
        <v>113044</v>
      </c>
      <c r="R94" s="12">
        <v>3</v>
      </c>
    </row>
    <row r="95" spans="4:18">
      <c r="D95">
        <v>112002</v>
      </c>
      <c r="E95">
        <f t="shared" si="7"/>
        <v>2</v>
      </c>
      <c r="G95">
        <v>6</v>
      </c>
      <c r="H95">
        <f t="shared" si="8"/>
        <v>26</v>
      </c>
      <c r="I95">
        <f t="shared" si="9"/>
        <v>2600</v>
      </c>
      <c r="J95">
        <v>2600</v>
      </c>
      <c r="K95">
        <f t="shared" si="10"/>
        <v>14</v>
      </c>
      <c r="L95">
        <f t="shared" si="11"/>
        <v>5.6</v>
      </c>
      <c r="M95">
        <f t="shared" si="12"/>
        <v>112</v>
      </c>
      <c r="Q95" s="12">
        <v>113045</v>
      </c>
      <c r="R95" s="12">
        <v>3</v>
      </c>
    </row>
    <row r="96" spans="4:18">
      <c r="D96">
        <v>112002</v>
      </c>
      <c r="E96">
        <f t="shared" si="7"/>
        <v>2</v>
      </c>
      <c r="G96">
        <v>7</v>
      </c>
      <c r="H96">
        <f t="shared" si="8"/>
        <v>27</v>
      </c>
      <c r="I96">
        <f t="shared" si="9"/>
        <v>2700</v>
      </c>
      <c r="J96">
        <v>2700</v>
      </c>
      <c r="K96">
        <f t="shared" si="10"/>
        <v>16</v>
      </c>
      <c r="L96">
        <f t="shared" si="11"/>
        <v>6.4</v>
      </c>
      <c r="M96">
        <f t="shared" si="12"/>
        <v>128</v>
      </c>
      <c r="Q96" s="12">
        <v>113046</v>
      </c>
      <c r="R96" s="12">
        <v>3</v>
      </c>
    </row>
    <row r="97" spans="4:18">
      <c r="D97">
        <v>112003</v>
      </c>
      <c r="E97">
        <f t="shared" si="7"/>
        <v>2</v>
      </c>
      <c r="G97">
        <v>3</v>
      </c>
      <c r="H97">
        <f t="shared" si="8"/>
        <v>23</v>
      </c>
      <c r="I97">
        <f t="shared" si="9"/>
        <v>2300</v>
      </c>
      <c r="J97">
        <v>2300</v>
      </c>
      <c r="K97">
        <f t="shared" si="10"/>
        <v>9</v>
      </c>
      <c r="L97">
        <f t="shared" si="11"/>
        <v>3.6</v>
      </c>
      <c r="M97">
        <f t="shared" si="12"/>
        <v>72</v>
      </c>
      <c r="Q97" s="12">
        <v>113047</v>
      </c>
      <c r="R97" s="12">
        <v>3</v>
      </c>
    </row>
    <row r="98" spans="4:18">
      <c r="D98">
        <v>112003</v>
      </c>
      <c r="E98">
        <f t="shared" si="7"/>
        <v>2</v>
      </c>
      <c r="G98">
        <v>4</v>
      </c>
      <c r="H98">
        <f t="shared" si="8"/>
        <v>24</v>
      </c>
      <c r="I98">
        <f t="shared" si="9"/>
        <v>2400</v>
      </c>
      <c r="J98">
        <v>2400</v>
      </c>
      <c r="K98">
        <f t="shared" si="10"/>
        <v>10.5</v>
      </c>
      <c r="L98">
        <f t="shared" si="11"/>
        <v>4.2</v>
      </c>
      <c r="M98">
        <f t="shared" si="12"/>
        <v>84</v>
      </c>
      <c r="Q98" s="13">
        <v>113048</v>
      </c>
      <c r="R98" s="13">
        <v>3</v>
      </c>
    </row>
    <row r="99" spans="4:18">
      <c r="D99">
        <v>112003</v>
      </c>
      <c r="E99">
        <f t="shared" si="7"/>
        <v>2</v>
      </c>
      <c r="G99">
        <v>5</v>
      </c>
      <c r="H99">
        <f t="shared" si="8"/>
        <v>25</v>
      </c>
      <c r="I99">
        <f t="shared" si="9"/>
        <v>2500</v>
      </c>
      <c r="J99">
        <v>2500</v>
      </c>
      <c r="K99">
        <f t="shared" si="10"/>
        <v>12</v>
      </c>
      <c r="L99">
        <f t="shared" si="11"/>
        <v>4.8</v>
      </c>
      <c r="M99">
        <f t="shared" si="12"/>
        <v>96</v>
      </c>
      <c r="Q99" s="12">
        <v>113049</v>
      </c>
      <c r="R99" s="12">
        <v>3</v>
      </c>
    </row>
    <row r="100" spans="4:18">
      <c r="D100">
        <v>112003</v>
      </c>
      <c r="E100">
        <f t="shared" si="7"/>
        <v>2</v>
      </c>
      <c r="G100">
        <v>6</v>
      </c>
      <c r="H100">
        <f t="shared" si="8"/>
        <v>26</v>
      </c>
      <c r="I100">
        <f t="shared" si="9"/>
        <v>2600</v>
      </c>
      <c r="J100">
        <v>2600</v>
      </c>
      <c r="K100">
        <f t="shared" si="10"/>
        <v>14</v>
      </c>
      <c r="L100">
        <f t="shared" si="11"/>
        <v>5.6</v>
      </c>
      <c r="M100">
        <f t="shared" si="12"/>
        <v>112</v>
      </c>
      <c r="Q100" s="12">
        <v>113050</v>
      </c>
      <c r="R100" s="12">
        <v>3</v>
      </c>
    </row>
    <row r="101" spans="4:18">
      <c r="D101">
        <v>112003</v>
      </c>
      <c r="E101">
        <f t="shared" si="7"/>
        <v>2</v>
      </c>
      <c r="G101">
        <v>7</v>
      </c>
      <c r="H101">
        <f t="shared" si="8"/>
        <v>27</v>
      </c>
      <c r="I101">
        <f t="shared" si="9"/>
        <v>2700</v>
      </c>
      <c r="J101">
        <v>2700</v>
      </c>
      <c r="K101">
        <f t="shared" si="10"/>
        <v>16</v>
      </c>
      <c r="L101">
        <f t="shared" si="11"/>
        <v>6.4</v>
      </c>
      <c r="M101">
        <f t="shared" si="12"/>
        <v>128</v>
      </c>
      <c r="Q101" s="12">
        <v>113051</v>
      </c>
      <c r="R101" s="12">
        <v>3</v>
      </c>
    </row>
    <row r="102" spans="4:18">
      <c r="D102">
        <v>112004</v>
      </c>
      <c r="E102">
        <f t="shared" si="7"/>
        <v>2</v>
      </c>
      <c r="G102">
        <v>3</v>
      </c>
      <c r="H102">
        <f t="shared" si="8"/>
        <v>23</v>
      </c>
      <c r="I102">
        <f t="shared" si="9"/>
        <v>2300</v>
      </c>
      <c r="J102">
        <v>2300</v>
      </c>
      <c r="K102">
        <f t="shared" si="10"/>
        <v>9</v>
      </c>
      <c r="L102">
        <f t="shared" si="11"/>
        <v>3.6</v>
      </c>
      <c r="M102">
        <f t="shared" si="12"/>
        <v>72</v>
      </c>
      <c r="Q102" s="12">
        <v>113052</v>
      </c>
      <c r="R102" s="12">
        <v>3</v>
      </c>
    </row>
    <row r="103" spans="4:18">
      <c r="D103">
        <v>112004</v>
      </c>
      <c r="E103">
        <f t="shared" si="7"/>
        <v>2</v>
      </c>
      <c r="G103">
        <v>4</v>
      </c>
      <c r="H103">
        <f t="shared" si="8"/>
        <v>24</v>
      </c>
      <c r="I103">
        <f t="shared" si="9"/>
        <v>2400</v>
      </c>
      <c r="J103">
        <v>2400</v>
      </c>
      <c r="K103">
        <f t="shared" si="10"/>
        <v>10.5</v>
      </c>
      <c r="L103">
        <f t="shared" si="11"/>
        <v>4.2</v>
      </c>
      <c r="M103">
        <f t="shared" si="12"/>
        <v>84</v>
      </c>
      <c r="Q103" s="12">
        <v>113053</v>
      </c>
      <c r="R103" s="12">
        <v>3</v>
      </c>
    </row>
    <row r="104" spans="4:18">
      <c r="D104">
        <v>112004</v>
      </c>
      <c r="E104">
        <f t="shared" si="7"/>
        <v>2</v>
      </c>
      <c r="G104">
        <v>5</v>
      </c>
      <c r="H104">
        <f t="shared" si="8"/>
        <v>25</v>
      </c>
      <c r="I104">
        <f t="shared" si="9"/>
        <v>2500</v>
      </c>
      <c r="J104">
        <v>2500</v>
      </c>
      <c r="K104">
        <f t="shared" si="10"/>
        <v>12</v>
      </c>
      <c r="L104">
        <f t="shared" si="11"/>
        <v>4.8</v>
      </c>
      <c r="M104">
        <f t="shared" si="12"/>
        <v>96</v>
      </c>
      <c r="Q104" s="12">
        <v>113054</v>
      </c>
      <c r="R104" s="12">
        <v>3</v>
      </c>
    </row>
    <row r="105" spans="4:18">
      <c r="D105">
        <v>112004</v>
      </c>
      <c r="E105">
        <f t="shared" si="7"/>
        <v>2</v>
      </c>
      <c r="G105">
        <v>6</v>
      </c>
      <c r="H105">
        <f t="shared" si="8"/>
        <v>26</v>
      </c>
      <c r="I105">
        <f t="shared" si="9"/>
        <v>2600</v>
      </c>
      <c r="J105">
        <v>2600</v>
      </c>
      <c r="K105">
        <f t="shared" si="10"/>
        <v>14</v>
      </c>
      <c r="L105">
        <f t="shared" si="11"/>
        <v>5.6</v>
      </c>
      <c r="M105">
        <f t="shared" si="12"/>
        <v>112</v>
      </c>
      <c r="Q105" s="12">
        <v>113055</v>
      </c>
      <c r="R105" s="12">
        <v>3</v>
      </c>
    </row>
    <row r="106" spans="4:18">
      <c r="D106">
        <v>112004</v>
      </c>
      <c r="E106">
        <f t="shared" si="7"/>
        <v>2</v>
      </c>
      <c r="G106">
        <v>7</v>
      </c>
      <c r="H106">
        <f t="shared" si="8"/>
        <v>27</v>
      </c>
      <c r="I106">
        <f t="shared" si="9"/>
        <v>2700</v>
      </c>
      <c r="J106">
        <v>2700</v>
      </c>
      <c r="K106">
        <f t="shared" si="10"/>
        <v>16</v>
      </c>
      <c r="L106">
        <f t="shared" si="11"/>
        <v>6.4</v>
      </c>
      <c r="M106">
        <f t="shared" si="12"/>
        <v>128</v>
      </c>
      <c r="Q106" s="12">
        <v>113056</v>
      </c>
      <c r="R106" s="12">
        <v>3</v>
      </c>
    </row>
    <row r="107" spans="4:18">
      <c r="D107">
        <v>112005</v>
      </c>
      <c r="E107">
        <f t="shared" si="7"/>
        <v>2</v>
      </c>
      <c r="G107">
        <v>3</v>
      </c>
      <c r="H107">
        <f t="shared" si="8"/>
        <v>23</v>
      </c>
      <c r="I107">
        <f t="shared" si="9"/>
        <v>2300</v>
      </c>
      <c r="J107">
        <v>2300</v>
      </c>
      <c r="K107">
        <f t="shared" si="10"/>
        <v>9</v>
      </c>
      <c r="L107">
        <f t="shared" si="11"/>
        <v>3.6</v>
      </c>
      <c r="M107">
        <f t="shared" si="12"/>
        <v>72</v>
      </c>
      <c r="Q107" s="12">
        <v>113057</v>
      </c>
      <c r="R107" s="12">
        <v>3</v>
      </c>
    </row>
    <row r="108" spans="4:18">
      <c r="D108">
        <v>112005</v>
      </c>
      <c r="E108">
        <f t="shared" si="7"/>
        <v>2</v>
      </c>
      <c r="G108">
        <v>4</v>
      </c>
      <c r="H108">
        <f t="shared" si="8"/>
        <v>24</v>
      </c>
      <c r="I108">
        <f t="shared" si="9"/>
        <v>2400</v>
      </c>
      <c r="J108">
        <v>2400</v>
      </c>
      <c r="K108">
        <f t="shared" si="10"/>
        <v>10.5</v>
      </c>
      <c r="L108">
        <f t="shared" si="11"/>
        <v>4.2</v>
      </c>
      <c r="M108">
        <f t="shared" si="12"/>
        <v>84</v>
      </c>
      <c r="Q108" s="12">
        <v>113058</v>
      </c>
      <c r="R108" s="12">
        <v>3</v>
      </c>
    </row>
    <row r="109" spans="4:18">
      <c r="D109">
        <v>112005</v>
      </c>
      <c r="E109">
        <f t="shared" si="7"/>
        <v>2</v>
      </c>
      <c r="G109">
        <v>5</v>
      </c>
      <c r="H109">
        <f t="shared" si="8"/>
        <v>25</v>
      </c>
      <c r="I109">
        <f t="shared" si="9"/>
        <v>2500</v>
      </c>
      <c r="J109">
        <v>2500</v>
      </c>
      <c r="K109">
        <f t="shared" si="10"/>
        <v>12</v>
      </c>
      <c r="L109">
        <f t="shared" si="11"/>
        <v>4.8</v>
      </c>
      <c r="M109">
        <f t="shared" si="12"/>
        <v>96</v>
      </c>
      <c r="Q109" s="12">
        <v>113059</v>
      </c>
      <c r="R109" s="12">
        <v>3</v>
      </c>
    </row>
    <row r="110" spans="4:18">
      <c r="D110">
        <v>112005</v>
      </c>
      <c r="E110">
        <f t="shared" si="7"/>
        <v>2</v>
      </c>
      <c r="G110">
        <v>6</v>
      </c>
      <c r="H110">
        <f t="shared" si="8"/>
        <v>26</v>
      </c>
      <c r="I110">
        <f t="shared" si="9"/>
        <v>2600</v>
      </c>
      <c r="J110">
        <v>2600</v>
      </c>
      <c r="K110">
        <f t="shared" si="10"/>
        <v>14</v>
      </c>
      <c r="L110">
        <f t="shared" si="11"/>
        <v>5.6</v>
      </c>
      <c r="M110">
        <f t="shared" si="12"/>
        <v>112</v>
      </c>
      <c r="Q110" s="12">
        <v>113060</v>
      </c>
      <c r="R110" s="12">
        <v>3</v>
      </c>
    </row>
    <row r="111" spans="4:18">
      <c r="D111">
        <v>112005</v>
      </c>
      <c r="E111">
        <f t="shared" si="7"/>
        <v>2</v>
      </c>
      <c r="G111">
        <v>7</v>
      </c>
      <c r="H111">
        <f t="shared" si="8"/>
        <v>27</v>
      </c>
      <c r="I111">
        <f t="shared" si="9"/>
        <v>2700</v>
      </c>
      <c r="J111">
        <v>2700</v>
      </c>
      <c r="K111">
        <f t="shared" si="10"/>
        <v>16</v>
      </c>
      <c r="L111">
        <f t="shared" si="11"/>
        <v>6.4</v>
      </c>
      <c r="M111">
        <f t="shared" si="12"/>
        <v>128</v>
      </c>
      <c r="Q111" s="12">
        <v>113061</v>
      </c>
      <c r="R111" s="12">
        <v>3</v>
      </c>
    </row>
    <row r="112" spans="4:18">
      <c r="D112">
        <v>112006</v>
      </c>
      <c r="E112">
        <f t="shared" si="7"/>
        <v>2</v>
      </c>
      <c r="G112">
        <v>3</v>
      </c>
      <c r="H112">
        <f t="shared" si="8"/>
        <v>23</v>
      </c>
      <c r="I112">
        <f t="shared" si="9"/>
        <v>2300</v>
      </c>
      <c r="J112">
        <v>2300</v>
      </c>
      <c r="K112">
        <f t="shared" si="10"/>
        <v>9</v>
      </c>
      <c r="L112">
        <f t="shared" si="11"/>
        <v>3.6</v>
      </c>
      <c r="M112">
        <f t="shared" si="12"/>
        <v>72</v>
      </c>
      <c r="Q112" s="12">
        <v>113062</v>
      </c>
      <c r="R112" s="12">
        <v>3</v>
      </c>
    </row>
    <row r="113" spans="4:18">
      <c r="D113">
        <v>112006</v>
      </c>
      <c r="E113">
        <f t="shared" si="7"/>
        <v>2</v>
      </c>
      <c r="G113">
        <v>4</v>
      </c>
      <c r="H113">
        <f t="shared" si="8"/>
        <v>24</v>
      </c>
      <c r="I113">
        <f t="shared" si="9"/>
        <v>2400</v>
      </c>
      <c r="J113">
        <v>2400</v>
      </c>
      <c r="K113">
        <f t="shared" si="10"/>
        <v>10.5</v>
      </c>
      <c r="L113">
        <f t="shared" si="11"/>
        <v>4.2</v>
      </c>
      <c r="M113">
        <f t="shared" si="12"/>
        <v>84</v>
      </c>
      <c r="Q113" s="12">
        <v>113063</v>
      </c>
      <c r="R113" s="12">
        <v>3</v>
      </c>
    </row>
    <row r="114" spans="4:18">
      <c r="D114">
        <v>112006</v>
      </c>
      <c r="E114">
        <f t="shared" si="7"/>
        <v>2</v>
      </c>
      <c r="G114">
        <v>5</v>
      </c>
      <c r="H114">
        <f t="shared" si="8"/>
        <v>25</v>
      </c>
      <c r="I114">
        <f t="shared" si="9"/>
        <v>2500</v>
      </c>
      <c r="J114">
        <v>2500</v>
      </c>
      <c r="K114">
        <f t="shared" si="10"/>
        <v>12</v>
      </c>
      <c r="L114">
        <f t="shared" si="11"/>
        <v>4.8</v>
      </c>
      <c r="M114">
        <f t="shared" si="12"/>
        <v>96</v>
      </c>
      <c r="Q114" s="12">
        <v>113064</v>
      </c>
      <c r="R114" s="12">
        <v>3</v>
      </c>
    </row>
    <row r="115" spans="4:18">
      <c r="D115">
        <v>112006</v>
      </c>
      <c r="E115">
        <f t="shared" si="7"/>
        <v>2</v>
      </c>
      <c r="G115">
        <v>6</v>
      </c>
      <c r="H115">
        <f t="shared" si="8"/>
        <v>26</v>
      </c>
      <c r="I115">
        <f t="shared" si="9"/>
        <v>2600</v>
      </c>
      <c r="J115">
        <v>2600</v>
      </c>
      <c r="K115">
        <f t="shared" si="10"/>
        <v>14</v>
      </c>
      <c r="L115">
        <f t="shared" si="11"/>
        <v>5.6</v>
      </c>
      <c r="M115">
        <f t="shared" si="12"/>
        <v>112</v>
      </c>
      <c r="Q115" s="12">
        <v>113065</v>
      </c>
      <c r="R115" s="12">
        <v>3</v>
      </c>
    </row>
    <row r="116" spans="4:18">
      <c r="D116">
        <v>112006</v>
      </c>
      <c r="E116">
        <f t="shared" si="7"/>
        <v>2</v>
      </c>
      <c r="G116">
        <v>7</v>
      </c>
      <c r="H116">
        <f t="shared" si="8"/>
        <v>27</v>
      </c>
      <c r="I116">
        <f t="shared" si="9"/>
        <v>2700</v>
      </c>
      <c r="J116">
        <v>2700</v>
      </c>
      <c r="K116">
        <f t="shared" si="10"/>
        <v>16</v>
      </c>
      <c r="L116">
        <f t="shared" si="11"/>
        <v>6.4</v>
      </c>
      <c r="M116">
        <f t="shared" si="12"/>
        <v>128</v>
      </c>
      <c r="Q116" s="14">
        <v>113066</v>
      </c>
      <c r="R116" s="14">
        <v>3</v>
      </c>
    </row>
    <row r="117" spans="4:18">
      <c r="D117">
        <v>112007</v>
      </c>
      <c r="E117">
        <f t="shared" si="7"/>
        <v>2</v>
      </c>
      <c r="G117">
        <v>3</v>
      </c>
      <c r="H117">
        <f t="shared" si="8"/>
        <v>23</v>
      </c>
      <c r="I117">
        <f t="shared" si="9"/>
        <v>2300</v>
      </c>
      <c r="J117">
        <v>2300</v>
      </c>
      <c r="K117">
        <f t="shared" si="10"/>
        <v>9</v>
      </c>
      <c r="L117">
        <f t="shared" si="11"/>
        <v>3.6</v>
      </c>
      <c r="M117">
        <f t="shared" si="12"/>
        <v>72</v>
      </c>
      <c r="Q117" s="14">
        <v>113067</v>
      </c>
      <c r="R117" s="14">
        <v>3</v>
      </c>
    </row>
    <row r="118" spans="4:13">
      <c r="D118">
        <v>112007</v>
      </c>
      <c r="E118">
        <f t="shared" si="7"/>
        <v>2</v>
      </c>
      <c r="G118">
        <v>4</v>
      </c>
      <c r="H118">
        <f t="shared" si="8"/>
        <v>24</v>
      </c>
      <c r="I118">
        <f t="shared" si="9"/>
        <v>2400</v>
      </c>
      <c r="J118">
        <v>2400</v>
      </c>
      <c r="K118">
        <f t="shared" si="10"/>
        <v>10.5</v>
      </c>
      <c r="L118">
        <f t="shared" si="11"/>
        <v>4.2</v>
      </c>
      <c r="M118">
        <f t="shared" si="12"/>
        <v>84</v>
      </c>
    </row>
    <row r="119" spans="4:13">
      <c r="D119">
        <v>112007</v>
      </c>
      <c r="E119">
        <f t="shared" si="7"/>
        <v>2</v>
      </c>
      <c r="G119">
        <v>5</v>
      </c>
      <c r="H119">
        <f t="shared" si="8"/>
        <v>25</v>
      </c>
      <c r="I119">
        <f t="shared" si="9"/>
        <v>2500</v>
      </c>
      <c r="J119">
        <v>2500</v>
      </c>
      <c r="K119">
        <f t="shared" si="10"/>
        <v>12</v>
      </c>
      <c r="L119">
        <f t="shared" si="11"/>
        <v>4.8</v>
      </c>
      <c r="M119">
        <f t="shared" si="12"/>
        <v>96</v>
      </c>
    </row>
    <row r="120" spans="4:13">
      <c r="D120">
        <v>112007</v>
      </c>
      <c r="E120">
        <f t="shared" si="7"/>
        <v>2</v>
      </c>
      <c r="G120">
        <v>6</v>
      </c>
      <c r="H120">
        <f t="shared" si="8"/>
        <v>26</v>
      </c>
      <c r="I120">
        <f t="shared" si="9"/>
        <v>2600</v>
      </c>
      <c r="J120">
        <v>2600</v>
      </c>
      <c r="K120">
        <f t="shared" si="10"/>
        <v>14</v>
      </c>
      <c r="L120">
        <f t="shared" si="11"/>
        <v>5.6</v>
      </c>
      <c r="M120">
        <f t="shared" si="12"/>
        <v>112</v>
      </c>
    </row>
    <row r="121" spans="4:13">
      <c r="D121">
        <v>112007</v>
      </c>
      <c r="E121">
        <f t="shared" si="7"/>
        <v>2</v>
      </c>
      <c r="G121">
        <v>7</v>
      </c>
      <c r="H121">
        <f t="shared" si="8"/>
        <v>27</v>
      </c>
      <c r="I121">
        <f t="shared" si="9"/>
        <v>2700</v>
      </c>
      <c r="J121">
        <v>2700</v>
      </c>
      <c r="K121">
        <f t="shared" si="10"/>
        <v>16</v>
      </c>
      <c r="L121">
        <f t="shared" si="11"/>
        <v>6.4</v>
      </c>
      <c r="M121">
        <f t="shared" si="12"/>
        <v>128</v>
      </c>
    </row>
    <row r="122" spans="4:13">
      <c r="D122">
        <v>112008</v>
      </c>
      <c r="E122">
        <f t="shared" si="7"/>
        <v>2</v>
      </c>
      <c r="G122">
        <v>3</v>
      </c>
      <c r="H122">
        <f t="shared" si="8"/>
        <v>23</v>
      </c>
      <c r="I122">
        <f t="shared" si="9"/>
        <v>2300</v>
      </c>
      <c r="J122">
        <v>2300</v>
      </c>
      <c r="K122">
        <f t="shared" si="10"/>
        <v>9</v>
      </c>
      <c r="L122">
        <f t="shared" si="11"/>
        <v>3.6</v>
      </c>
      <c r="M122">
        <f t="shared" si="12"/>
        <v>72</v>
      </c>
    </row>
    <row r="123" spans="4:13">
      <c r="D123">
        <v>112008</v>
      </c>
      <c r="E123">
        <f t="shared" si="7"/>
        <v>2</v>
      </c>
      <c r="G123">
        <v>4</v>
      </c>
      <c r="H123">
        <f t="shared" si="8"/>
        <v>24</v>
      </c>
      <c r="I123">
        <f t="shared" si="9"/>
        <v>2400</v>
      </c>
      <c r="J123">
        <v>2400</v>
      </c>
      <c r="K123">
        <f t="shared" si="10"/>
        <v>10.5</v>
      </c>
      <c r="L123">
        <f t="shared" si="11"/>
        <v>4.2</v>
      </c>
      <c r="M123">
        <f t="shared" si="12"/>
        <v>84</v>
      </c>
    </row>
    <row r="124" spans="4:13">
      <c r="D124">
        <v>112008</v>
      </c>
      <c r="E124">
        <f t="shared" si="7"/>
        <v>2</v>
      </c>
      <c r="G124">
        <v>5</v>
      </c>
      <c r="H124">
        <f t="shared" si="8"/>
        <v>25</v>
      </c>
      <c r="I124">
        <f t="shared" si="9"/>
        <v>2500</v>
      </c>
      <c r="J124">
        <v>2500</v>
      </c>
      <c r="K124">
        <f t="shared" si="10"/>
        <v>12</v>
      </c>
      <c r="L124">
        <f t="shared" si="11"/>
        <v>4.8</v>
      </c>
      <c r="M124">
        <f t="shared" si="12"/>
        <v>96</v>
      </c>
    </row>
    <row r="125" spans="4:13">
      <c r="D125">
        <v>112008</v>
      </c>
      <c r="E125">
        <f t="shared" si="7"/>
        <v>2</v>
      </c>
      <c r="G125">
        <v>6</v>
      </c>
      <c r="H125">
        <f t="shared" si="8"/>
        <v>26</v>
      </c>
      <c r="I125">
        <f t="shared" si="9"/>
        <v>2600</v>
      </c>
      <c r="J125">
        <v>2600</v>
      </c>
      <c r="K125">
        <f t="shared" si="10"/>
        <v>14</v>
      </c>
      <c r="L125">
        <f t="shared" si="11"/>
        <v>5.6</v>
      </c>
      <c r="M125">
        <f t="shared" si="12"/>
        <v>112</v>
      </c>
    </row>
    <row r="126" spans="4:13">
      <c r="D126">
        <v>112008</v>
      </c>
      <c r="E126">
        <f t="shared" si="7"/>
        <v>2</v>
      </c>
      <c r="G126">
        <v>7</v>
      </c>
      <c r="H126">
        <f t="shared" si="8"/>
        <v>27</v>
      </c>
      <c r="I126">
        <f t="shared" si="9"/>
        <v>2700</v>
      </c>
      <c r="J126">
        <v>2700</v>
      </c>
      <c r="K126">
        <f t="shared" si="10"/>
        <v>16</v>
      </c>
      <c r="L126">
        <f t="shared" si="11"/>
        <v>6.4</v>
      </c>
      <c r="M126">
        <f t="shared" si="12"/>
        <v>128</v>
      </c>
    </row>
    <row r="127" spans="4:13">
      <c r="D127">
        <v>112009</v>
      </c>
      <c r="E127">
        <f t="shared" si="7"/>
        <v>2</v>
      </c>
      <c r="G127">
        <v>3</v>
      </c>
      <c r="H127">
        <f t="shared" si="8"/>
        <v>23</v>
      </c>
      <c r="I127">
        <f t="shared" si="9"/>
        <v>2300</v>
      </c>
      <c r="J127">
        <v>2300</v>
      </c>
      <c r="K127">
        <f t="shared" si="10"/>
        <v>9</v>
      </c>
      <c r="L127">
        <f t="shared" si="11"/>
        <v>3.6</v>
      </c>
      <c r="M127">
        <f t="shared" si="12"/>
        <v>72</v>
      </c>
    </row>
    <row r="128" spans="4:13">
      <c r="D128">
        <v>112009</v>
      </c>
      <c r="E128">
        <f t="shared" si="7"/>
        <v>2</v>
      </c>
      <c r="G128">
        <v>4</v>
      </c>
      <c r="H128">
        <f t="shared" si="8"/>
        <v>24</v>
      </c>
      <c r="I128">
        <f t="shared" si="9"/>
        <v>2400</v>
      </c>
      <c r="J128">
        <v>2400</v>
      </c>
      <c r="K128">
        <f t="shared" si="10"/>
        <v>10.5</v>
      </c>
      <c r="L128">
        <f t="shared" si="11"/>
        <v>4.2</v>
      </c>
      <c r="M128">
        <f t="shared" si="12"/>
        <v>84</v>
      </c>
    </row>
    <row r="129" spans="4:13">
      <c r="D129">
        <v>112009</v>
      </c>
      <c r="E129">
        <f t="shared" si="7"/>
        <v>2</v>
      </c>
      <c r="G129">
        <v>5</v>
      </c>
      <c r="H129">
        <f t="shared" si="8"/>
        <v>25</v>
      </c>
      <c r="I129">
        <f t="shared" si="9"/>
        <v>2500</v>
      </c>
      <c r="J129">
        <v>2500</v>
      </c>
      <c r="K129">
        <f t="shared" si="10"/>
        <v>12</v>
      </c>
      <c r="L129">
        <f t="shared" si="11"/>
        <v>4.8</v>
      </c>
      <c r="M129">
        <f t="shared" si="12"/>
        <v>96</v>
      </c>
    </row>
    <row r="130" spans="4:13">
      <c r="D130">
        <v>112009</v>
      </c>
      <c r="E130">
        <f t="shared" si="7"/>
        <v>2</v>
      </c>
      <c r="G130">
        <v>6</v>
      </c>
      <c r="H130">
        <f t="shared" si="8"/>
        <v>26</v>
      </c>
      <c r="I130">
        <f t="shared" si="9"/>
        <v>2600</v>
      </c>
      <c r="J130">
        <v>2600</v>
      </c>
      <c r="K130">
        <f t="shared" si="10"/>
        <v>14</v>
      </c>
      <c r="L130">
        <f t="shared" si="11"/>
        <v>5.6</v>
      </c>
      <c r="M130">
        <f t="shared" si="12"/>
        <v>112</v>
      </c>
    </row>
    <row r="131" spans="4:13">
      <c r="D131">
        <v>112009</v>
      </c>
      <c r="E131">
        <f t="shared" si="7"/>
        <v>2</v>
      </c>
      <c r="G131">
        <v>7</v>
      </c>
      <c r="H131">
        <f t="shared" si="8"/>
        <v>27</v>
      </c>
      <c r="I131">
        <f t="shared" si="9"/>
        <v>2700</v>
      </c>
      <c r="J131">
        <v>2700</v>
      </c>
      <c r="K131">
        <f t="shared" si="10"/>
        <v>16</v>
      </c>
      <c r="L131">
        <f t="shared" si="11"/>
        <v>6.4</v>
      </c>
      <c r="M131">
        <f t="shared" si="12"/>
        <v>128</v>
      </c>
    </row>
    <row r="132" spans="4:13">
      <c r="D132">
        <v>112010</v>
      </c>
      <c r="E132">
        <f t="shared" si="7"/>
        <v>2</v>
      </c>
      <c r="G132">
        <v>3</v>
      </c>
      <c r="H132">
        <f t="shared" si="8"/>
        <v>23</v>
      </c>
      <c r="I132">
        <f t="shared" si="9"/>
        <v>2300</v>
      </c>
      <c r="J132">
        <v>2300</v>
      </c>
      <c r="K132">
        <f t="shared" si="10"/>
        <v>9</v>
      </c>
      <c r="L132">
        <f t="shared" si="11"/>
        <v>3.6</v>
      </c>
      <c r="M132">
        <f t="shared" si="12"/>
        <v>72</v>
      </c>
    </row>
    <row r="133" spans="4:13">
      <c r="D133">
        <v>112010</v>
      </c>
      <c r="E133">
        <f t="shared" si="7"/>
        <v>2</v>
      </c>
      <c r="G133">
        <v>4</v>
      </c>
      <c r="H133">
        <f t="shared" si="8"/>
        <v>24</v>
      </c>
      <c r="I133">
        <f t="shared" si="9"/>
        <v>2400</v>
      </c>
      <c r="J133">
        <v>2400</v>
      </c>
      <c r="K133">
        <f t="shared" si="10"/>
        <v>10.5</v>
      </c>
      <c r="L133">
        <f t="shared" si="11"/>
        <v>4.2</v>
      </c>
      <c r="M133">
        <f t="shared" si="12"/>
        <v>84</v>
      </c>
    </row>
    <row r="134" spans="4:13">
      <c r="D134">
        <v>112010</v>
      </c>
      <c r="E134">
        <f t="shared" si="7"/>
        <v>2</v>
      </c>
      <c r="G134">
        <v>5</v>
      </c>
      <c r="H134">
        <f t="shared" si="8"/>
        <v>25</v>
      </c>
      <c r="I134">
        <f t="shared" si="9"/>
        <v>2500</v>
      </c>
      <c r="J134">
        <v>2500</v>
      </c>
      <c r="K134">
        <f t="shared" si="10"/>
        <v>12</v>
      </c>
      <c r="L134">
        <f t="shared" si="11"/>
        <v>4.8</v>
      </c>
      <c r="M134">
        <f t="shared" si="12"/>
        <v>96</v>
      </c>
    </row>
    <row r="135" spans="4:13">
      <c r="D135">
        <v>112010</v>
      </c>
      <c r="E135">
        <f t="shared" si="7"/>
        <v>2</v>
      </c>
      <c r="G135">
        <v>6</v>
      </c>
      <c r="H135">
        <f t="shared" si="8"/>
        <v>26</v>
      </c>
      <c r="I135">
        <f t="shared" si="9"/>
        <v>2600</v>
      </c>
      <c r="J135">
        <v>2600</v>
      </c>
      <c r="K135">
        <f t="shared" si="10"/>
        <v>14</v>
      </c>
      <c r="L135">
        <f t="shared" si="11"/>
        <v>5.6</v>
      </c>
      <c r="M135">
        <f t="shared" si="12"/>
        <v>112</v>
      </c>
    </row>
    <row r="136" spans="4:13">
      <c r="D136">
        <v>112010</v>
      </c>
      <c r="E136">
        <f t="shared" ref="E136:E199" si="13">VLOOKUP(D136,Q:R,2,FALSE)</f>
        <v>2</v>
      </c>
      <c r="G136">
        <v>7</v>
      </c>
      <c r="H136">
        <f t="shared" ref="H136:H199" si="14">E136*10+G136</f>
        <v>27</v>
      </c>
      <c r="I136">
        <f t="shared" ref="I136:I199" si="15">H136*100</f>
        <v>2700</v>
      </c>
      <c r="J136">
        <v>2700</v>
      </c>
      <c r="K136">
        <f t="shared" ref="K136:K199" si="16">VLOOKUP(J136,U:X,2,FALSE)</f>
        <v>16</v>
      </c>
      <c r="L136">
        <f t="shared" ref="L136:L199" si="17">VLOOKUP(J136,U:X,3,FALSE)</f>
        <v>6.4</v>
      </c>
      <c r="M136">
        <f t="shared" ref="M136:M199" si="18">VLOOKUP(J136,U:X,4,FALSE)</f>
        <v>128</v>
      </c>
    </row>
    <row r="137" spans="4:13">
      <c r="D137">
        <v>112011</v>
      </c>
      <c r="E137">
        <f t="shared" si="13"/>
        <v>2</v>
      </c>
      <c r="G137">
        <v>3</v>
      </c>
      <c r="H137">
        <f t="shared" si="14"/>
        <v>23</v>
      </c>
      <c r="I137">
        <f t="shared" si="15"/>
        <v>2300</v>
      </c>
      <c r="J137">
        <v>2300</v>
      </c>
      <c r="K137">
        <f t="shared" si="16"/>
        <v>9</v>
      </c>
      <c r="L137">
        <f t="shared" si="17"/>
        <v>3.6</v>
      </c>
      <c r="M137">
        <f t="shared" si="18"/>
        <v>72</v>
      </c>
    </row>
    <row r="138" spans="4:13">
      <c r="D138">
        <v>112011</v>
      </c>
      <c r="E138">
        <f t="shared" si="13"/>
        <v>2</v>
      </c>
      <c r="G138">
        <v>4</v>
      </c>
      <c r="H138">
        <f t="shared" si="14"/>
        <v>24</v>
      </c>
      <c r="I138">
        <f t="shared" si="15"/>
        <v>2400</v>
      </c>
      <c r="J138">
        <v>2400</v>
      </c>
      <c r="K138">
        <f t="shared" si="16"/>
        <v>10.5</v>
      </c>
      <c r="L138">
        <f t="shared" si="17"/>
        <v>4.2</v>
      </c>
      <c r="M138">
        <f t="shared" si="18"/>
        <v>84</v>
      </c>
    </row>
    <row r="139" spans="4:13">
      <c r="D139">
        <v>112011</v>
      </c>
      <c r="E139">
        <f t="shared" si="13"/>
        <v>2</v>
      </c>
      <c r="G139">
        <v>5</v>
      </c>
      <c r="H139">
        <f t="shared" si="14"/>
        <v>25</v>
      </c>
      <c r="I139">
        <f t="shared" si="15"/>
        <v>2500</v>
      </c>
      <c r="J139">
        <v>2500</v>
      </c>
      <c r="K139">
        <f t="shared" si="16"/>
        <v>12</v>
      </c>
      <c r="L139">
        <f t="shared" si="17"/>
        <v>4.8</v>
      </c>
      <c r="M139">
        <f t="shared" si="18"/>
        <v>96</v>
      </c>
    </row>
    <row r="140" spans="4:13">
      <c r="D140">
        <v>112011</v>
      </c>
      <c r="E140">
        <f t="shared" si="13"/>
        <v>2</v>
      </c>
      <c r="G140">
        <v>6</v>
      </c>
      <c r="H140">
        <f t="shared" si="14"/>
        <v>26</v>
      </c>
      <c r="I140">
        <f t="shared" si="15"/>
        <v>2600</v>
      </c>
      <c r="J140">
        <v>2600</v>
      </c>
      <c r="K140">
        <f t="shared" si="16"/>
        <v>14</v>
      </c>
      <c r="L140">
        <f t="shared" si="17"/>
        <v>5.6</v>
      </c>
      <c r="M140">
        <f t="shared" si="18"/>
        <v>112</v>
      </c>
    </row>
    <row r="141" spans="4:13">
      <c r="D141">
        <v>112011</v>
      </c>
      <c r="E141">
        <f t="shared" si="13"/>
        <v>2</v>
      </c>
      <c r="G141">
        <v>7</v>
      </c>
      <c r="H141">
        <f t="shared" si="14"/>
        <v>27</v>
      </c>
      <c r="I141">
        <f t="shared" si="15"/>
        <v>2700</v>
      </c>
      <c r="J141">
        <v>2700</v>
      </c>
      <c r="K141">
        <f t="shared" si="16"/>
        <v>16</v>
      </c>
      <c r="L141">
        <f t="shared" si="17"/>
        <v>6.4</v>
      </c>
      <c r="M141">
        <f t="shared" si="18"/>
        <v>128</v>
      </c>
    </row>
    <row r="142" spans="4:13">
      <c r="D142">
        <v>112012</v>
      </c>
      <c r="E142">
        <f t="shared" si="13"/>
        <v>2</v>
      </c>
      <c r="G142">
        <v>3</v>
      </c>
      <c r="H142">
        <f t="shared" si="14"/>
        <v>23</v>
      </c>
      <c r="I142">
        <f t="shared" si="15"/>
        <v>2300</v>
      </c>
      <c r="J142">
        <v>2300</v>
      </c>
      <c r="K142">
        <f t="shared" si="16"/>
        <v>9</v>
      </c>
      <c r="L142">
        <f t="shared" si="17"/>
        <v>3.6</v>
      </c>
      <c r="M142">
        <f t="shared" si="18"/>
        <v>72</v>
      </c>
    </row>
    <row r="143" spans="4:13">
      <c r="D143">
        <v>112012</v>
      </c>
      <c r="E143">
        <f t="shared" si="13"/>
        <v>2</v>
      </c>
      <c r="G143">
        <v>4</v>
      </c>
      <c r="H143">
        <f t="shared" si="14"/>
        <v>24</v>
      </c>
      <c r="I143">
        <f t="shared" si="15"/>
        <v>2400</v>
      </c>
      <c r="J143">
        <v>2400</v>
      </c>
      <c r="K143">
        <f t="shared" si="16"/>
        <v>10.5</v>
      </c>
      <c r="L143">
        <f t="shared" si="17"/>
        <v>4.2</v>
      </c>
      <c r="M143">
        <f t="shared" si="18"/>
        <v>84</v>
      </c>
    </row>
    <row r="144" spans="4:13">
      <c r="D144">
        <v>112012</v>
      </c>
      <c r="E144">
        <f t="shared" si="13"/>
        <v>2</v>
      </c>
      <c r="G144">
        <v>5</v>
      </c>
      <c r="H144">
        <f t="shared" si="14"/>
        <v>25</v>
      </c>
      <c r="I144">
        <f t="shared" si="15"/>
        <v>2500</v>
      </c>
      <c r="J144">
        <v>2500</v>
      </c>
      <c r="K144">
        <f t="shared" si="16"/>
        <v>12</v>
      </c>
      <c r="L144">
        <f t="shared" si="17"/>
        <v>4.8</v>
      </c>
      <c r="M144">
        <f t="shared" si="18"/>
        <v>96</v>
      </c>
    </row>
    <row r="145" spans="4:13">
      <c r="D145">
        <v>112012</v>
      </c>
      <c r="E145">
        <f t="shared" si="13"/>
        <v>2</v>
      </c>
      <c r="G145">
        <v>6</v>
      </c>
      <c r="H145">
        <f t="shared" si="14"/>
        <v>26</v>
      </c>
      <c r="I145">
        <f t="shared" si="15"/>
        <v>2600</v>
      </c>
      <c r="J145">
        <v>2600</v>
      </c>
      <c r="K145">
        <f t="shared" si="16"/>
        <v>14</v>
      </c>
      <c r="L145">
        <f t="shared" si="17"/>
        <v>5.6</v>
      </c>
      <c r="M145">
        <f t="shared" si="18"/>
        <v>112</v>
      </c>
    </row>
    <row r="146" spans="4:13">
      <c r="D146">
        <v>112012</v>
      </c>
      <c r="E146">
        <f t="shared" si="13"/>
        <v>2</v>
      </c>
      <c r="G146">
        <v>7</v>
      </c>
      <c r="H146">
        <f t="shared" si="14"/>
        <v>27</v>
      </c>
      <c r="I146">
        <f t="shared" si="15"/>
        <v>2700</v>
      </c>
      <c r="J146">
        <v>2700</v>
      </c>
      <c r="K146">
        <f t="shared" si="16"/>
        <v>16</v>
      </c>
      <c r="L146">
        <f t="shared" si="17"/>
        <v>6.4</v>
      </c>
      <c r="M146">
        <f t="shared" si="18"/>
        <v>128</v>
      </c>
    </row>
    <row r="147" spans="4:13">
      <c r="D147">
        <v>112013</v>
      </c>
      <c r="E147">
        <f t="shared" si="13"/>
        <v>2</v>
      </c>
      <c r="G147">
        <v>3</v>
      </c>
      <c r="H147">
        <f t="shared" si="14"/>
        <v>23</v>
      </c>
      <c r="I147">
        <f t="shared" si="15"/>
        <v>2300</v>
      </c>
      <c r="J147">
        <v>2300</v>
      </c>
      <c r="K147">
        <f t="shared" si="16"/>
        <v>9</v>
      </c>
      <c r="L147">
        <f t="shared" si="17"/>
        <v>3.6</v>
      </c>
      <c r="M147">
        <f t="shared" si="18"/>
        <v>72</v>
      </c>
    </row>
    <row r="148" spans="4:13">
      <c r="D148">
        <v>112013</v>
      </c>
      <c r="E148">
        <f t="shared" si="13"/>
        <v>2</v>
      </c>
      <c r="G148">
        <v>4</v>
      </c>
      <c r="H148">
        <f t="shared" si="14"/>
        <v>24</v>
      </c>
      <c r="I148">
        <f t="shared" si="15"/>
        <v>2400</v>
      </c>
      <c r="J148">
        <v>2400</v>
      </c>
      <c r="K148">
        <f t="shared" si="16"/>
        <v>10.5</v>
      </c>
      <c r="L148">
        <f t="shared" si="17"/>
        <v>4.2</v>
      </c>
      <c r="M148">
        <f t="shared" si="18"/>
        <v>84</v>
      </c>
    </row>
    <row r="149" spans="4:13">
      <c r="D149">
        <v>112013</v>
      </c>
      <c r="E149">
        <f t="shared" si="13"/>
        <v>2</v>
      </c>
      <c r="G149">
        <v>5</v>
      </c>
      <c r="H149">
        <f t="shared" si="14"/>
        <v>25</v>
      </c>
      <c r="I149">
        <f t="shared" si="15"/>
        <v>2500</v>
      </c>
      <c r="J149">
        <v>2500</v>
      </c>
      <c r="K149">
        <f t="shared" si="16"/>
        <v>12</v>
      </c>
      <c r="L149">
        <f t="shared" si="17"/>
        <v>4.8</v>
      </c>
      <c r="M149">
        <f t="shared" si="18"/>
        <v>96</v>
      </c>
    </row>
    <row r="150" spans="4:13">
      <c r="D150">
        <v>112013</v>
      </c>
      <c r="E150">
        <f t="shared" si="13"/>
        <v>2</v>
      </c>
      <c r="G150">
        <v>6</v>
      </c>
      <c r="H150">
        <f t="shared" si="14"/>
        <v>26</v>
      </c>
      <c r="I150">
        <f t="shared" si="15"/>
        <v>2600</v>
      </c>
      <c r="J150">
        <v>2600</v>
      </c>
      <c r="K150">
        <f t="shared" si="16"/>
        <v>14</v>
      </c>
      <c r="L150">
        <f t="shared" si="17"/>
        <v>5.6</v>
      </c>
      <c r="M150">
        <f t="shared" si="18"/>
        <v>112</v>
      </c>
    </row>
    <row r="151" spans="4:13">
      <c r="D151">
        <v>112013</v>
      </c>
      <c r="E151">
        <f t="shared" si="13"/>
        <v>2</v>
      </c>
      <c r="G151">
        <v>7</v>
      </c>
      <c r="H151">
        <f t="shared" si="14"/>
        <v>27</v>
      </c>
      <c r="I151">
        <f t="shared" si="15"/>
        <v>2700</v>
      </c>
      <c r="J151">
        <v>2700</v>
      </c>
      <c r="K151">
        <f t="shared" si="16"/>
        <v>16</v>
      </c>
      <c r="L151">
        <f t="shared" si="17"/>
        <v>6.4</v>
      </c>
      <c r="M151">
        <f t="shared" si="18"/>
        <v>128</v>
      </c>
    </row>
    <row r="152" spans="4:13">
      <c r="D152">
        <v>112014</v>
      </c>
      <c r="E152">
        <f t="shared" si="13"/>
        <v>2</v>
      </c>
      <c r="G152">
        <v>3</v>
      </c>
      <c r="H152">
        <f t="shared" si="14"/>
        <v>23</v>
      </c>
      <c r="I152">
        <f t="shared" si="15"/>
        <v>2300</v>
      </c>
      <c r="J152">
        <v>2300</v>
      </c>
      <c r="K152">
        <f t="shared" si="16"/>
        <v>9</v>
      </c>
      <c r="L152">
        <f t="shared" si="17"/>
        <v>3.6</v>
      </c>
      <c r="M152">
        <f t="shared" si="18"/>
        <v>72</v>
      </c>
    </row>
    <row r="153" spans="4:13">
      <c r="D153">
        <v>112014</v>
      </c>
      <c r="E153">
        <f t="shared" si="13"/>
        <v>2</v>
      </c>
      <c r="G153">
        <v>4</v>
      </c>
      <c r="H153">
        <f t="shared" si="14"/>
        <v>24</v>
      </c>
      <c r="I153">
        <f t="shared" si="15"/>
        <v>2400</v>
      </c>
      <c r="J153">
        <v>2400</v>
      </c>
      <c r="K153">
        <f t="shared" si="16"/>
        <v>10.5</v>
      </c>
      <c r="L153">
        <f t="shared" si="17"/>
        <v>4.2</v>
      </c>
      <c r="M153">
        <f t="shared" si="18"/>
        <v>84</v>
      </c>
    </row>
    <row r="154" spans="4:13">
      <c r="D154">
        <v>112014</v>
      </c>
      <c r="E154">
        <f t="shared" si="13"/>
        <v>2</v>
      </c>
      <c r="G154">
        <v>5</v>
      </c>
      <c r="H154">
        <f t="shared" si="14"/>
        <v>25</v>
      </c>
      <c r="I154">
        <f t="shared" si="15"/>
        <v>2500</v>
      </c>
      <c r="J154">
        <v>2500</v>
      </c>
      <c r="K154">
        <f t="shared" si="16"/>
        <v>12</v>
      </c>
      <c r="L154">
        <f t="shared" si="17"/>
        <v>4.8</v>
      </c>
      <c r="M154">
        <f t="shared" si="18"/>
        <v>96</v>
      </c>
    </row>
    <row r="155" spans="4:13">
      <c r="D155">
        <v>112014</v>
      </c>
      <c r="E155">
        <f t="shared" si="13"/>
        <v>2</v>
      </c>
      <c r="G155">
        <v>6</v>
      </c>
      <c r="H155">
        <f t="shared" si="14"/>
        <v>26</v>
      </c>
      <c r="I155">
        <f t="shared" si="15"/>
        <v>2600</v>
      </c>
      <c r="J155">
        <v>2600</v>
      </c>
      <c r="K155">
        <f t="shared" si="16"/>
        <v>14</v>
      </c>
      <c r="L155">
        <f t="shared" si="17"/>
        <v>5.6</v>
      </c>
      <c r="M155">
        <f t="shared" si="18"/>
        <v>112</v>
      </c>
    </row>
    <row r="156" spans="4:13">
      <c r="D156">
        <v>112014</v>
      </c>
      <c r="E156">
        <f t="shared" si="13"/>
        <v>2</v>
      </c>
      <c r="G156">
        <v>7</v>
      </c>
      <c r="H156">
        <f t="shared" si="14"/>
        <v>27</v>
      </c>
      <c r="I156">
        <f t="shared" si="15"/>
        <v>2700</v>
      </c>
      <c r="J156">
        <v>2700</v>
      </c>
      <c r="K156">
        <f t="shared" si="16"/>
        <v>16</v>
      </c>
      <c r="L156">
        <f t="shared" si="17"/>
        <v>6.4</v>
      </c>
      <c r="M156">
        <f t="shared" si="18"/>
        <v>128</v>
      </c>
    </row>
    <row r="157" spans="4:13">
      <c r="D157">
        <v>112015</v>
      </c>
      <c r="E157">
        <f t="shared" si="13"/>
        <v>2</v>
      </c>
      <c r="G157">
        <v>3</v>
      </c>
      <c r="H157">
        <f t="shared" si="14"/>
        <v>23</v>
      </c>
      <c r="I157">
        <f t="shared" si="15"/>
        <v>2300</v>
      </c>
      <c r="J157">
        <v>2300</v>
      </c>
      <c r="K157">
        <f t="shared" si="16"/>
        <v>9</v>
      </c>
      <c r="L157">
        <f t="shared" si="17"/>
        <v>3.6</v>
      </c>
      <c r="M157">
        <f t="shared" si="18"/>
        <v>72</v>
      </c>
    </row>
    <row r="158" spans="4:13">
      <c r="D158">
        <v>112015</v>
      </c>
      <c r="E158">
        <f t="shared" si="13"/>
        <v>2</v>
      </c>
      <c r="G158">
        <v>4</v>
      </c>
      <c r="H158">
        <f t="shared" si="14"/>
        <v>24</v>
      </c>
      <c r="I158">
        <f t="shared" si="15"/>
        <v>2400</v>
      </c>
      <c r="J158">
        <v>2400</v>
      </c>
      <c r="K158">
        <f t="shared" si="16"/>
        <v>10.5</v>
      </c>
      <c r="L158">
        <f t="shared" si="17"/>
        <v>4.2</v>
      </c>
      <c r="M158">
        <f t="shared" si="18"/>
        <v>84</v>
      </c>
    </row>
    <row r="159" spans="4:13">
      <c r="D159">
        <v>112015</v>
      </c>
      <c r="E159">
        <f t="shared" si="13"/>
        <v>2</v>
      </c>
      <c r="G159">
        <v>5</v>
      </c>
      <c r="H159">
        <f t="shared" si="14"/>
        <v>25</v>
      </c>
      <c r="I159">
        <f t="shared" si="15"/>
        <v>2500</v>
      </c>
      <c r="J159">
        <v>2500</v>
      </c>
      <c r="K159">
        <f t="shared" si="16"/>
        <v>12</v>
      </c>
      <c r="L159">
        <f t="shared" si="17"/>
        <v>4.8</v>
      </c>
      <c r="M159">
        <f t="shared" si="18"/>
        <v>96</v>
      </c>
    </row>
    <row r="160" spans="4:13">
      <c r="D160">
        <v>112015</v>
      </c>
      <c r="E160">
        <f t="shared" si="13"/>
        <v>2</v>
      </c>
      <c r="G160">
        <v>6</v>
      </c>
      <c r="H160">
        <f t="shared" si="14"/>
        <v>26</v>
      </c>
      <c r="I160">
        <f t="shared" si="15"/>
        <v>2600</v>
      </c>
      <c r="J160">
        <v>2600</v>
      </c>
      <c r="K160">
        <f t="shared" si="16"/>
        <v>14</v>
      </c>
      <c r="L160">
        <f t="shared" si="17"/>
        <v>5.6</v>
      </c>
      <c r="M160">
        <f t="shared" si="18"/>
        <v>112</v>
      </c>
    </row>
    <row r="161" spans="4:13">
      <c r="D161">
        <v>112015</v>
      </c>
      <c r="E161">
        <f t="shared" si="13"/>
        <v>2</v>
      </c>
      <c r="G161">
        <v>7</v>
      </c>
      <c r="H161">
        <f t="shared" si="14"/>
        <v>27</v>
      </c>
      <c r="I161">
        <f t="shared" si="15"/>
        <v>2700</v>
      </c>
      <c r="J161">
        <v>2700</v>
      </c>
      <c r="K161">
        <f t="shared" si="16"/>
        <v>16</v>
      </c>
      <c r="L161">
        <f t="shared" si="17"/>
        <v>6.4</v>
      </c>
      <c r="M161">
        <f t="shared" si="18"/>
        <v>128</v>
      </c>
    </row>
    <row r="162" spans="4:13">
      <c r="D162">
        <v>112016</v>
      </c>
      <c r="E162">
        <f t="shared" si="13"/>
        <v>2</v>
      </c>
      <c r="G162">
        <v>3</v>
      </c>
      <c r="H162">
        <f t="shared" si="14"/>
        <v>23</v>
      </c>
      <c r="I162">
        <f t="shared" si="15"/>
        <v>2300</v>
      </c>
      <c r="J162">
        <v>2300</v>
      </c>
      <c r="K162">
        <f t="shared" si="16"/>
        <v>9</v>
      </c>
      <c r="L162">
        <f t="shared" si="17"/>
        <v>3.6</v>
      </c>
      <c r="M162">
        <f t="shared" si="18"/>
        <v>72</v>
      </c>
    </row>
    <row r="163" spans="4:13">
      <c r="D163">
        <v>112016</v>
      </c>
      <c r="E163">
        <f t="shared" si="13"/>
        <v>2</v>
      </c>
      <c r="G163">
        <v>4</v>
      </c>
      <c r="H163">
        <f t="shared" si="14"/>
        <v>24</v>
      </c>
      <c r="I163">
        <f t="shared" si="15"/>
        <v>2400</v>
      </c>
      <c r="J163">
        <v>2400</v>
      </c>
      <c r="K163">
        <f t="shared" si="16"/>
        <v>10.5</v>
      </c>
      <c r="L163">
        <f t="shared" si="17"/>
        <v>4.2</v>
      </c>
      <c r="M163">
        <f t="shared" si="18"/>
        <v>84</v>
      </c>
    </row>
    <row r="164" spans="4:13">
      <c r="D164">
        <v>112016</v>
      </c>
      <c r="E164">
        <f t="shared" si="13"/>
        <v>2</v>
      </c>
      <c r="G164">
        <v>5</v>
      </c>
      <c r="H164">
        <f t="shared" si="14"/>
        <v>25</v>
      </c>
      <c r="I164">
        <f t="shared" si="15"/>
        <v>2500</v>
      </c>
      <c r="J164">
        <v>2500</v>
      </c>
      <c r="K164">
        <f t="shared" si="16"/>
        <v>12</v>
      </c>
      <c r="L164">
        <f t="shared" si="17"/>
        <v>4.8</v>
      </c>
      <c r="M164">
        <f t="shared" si="18"/>
        <v>96</v>
      </c>
    </row>
    <row r="165" spans="4:13">
      <c r="D165">
        <v>112016</v>
      </c>
      <c r="E165">
        <f t="shared" si="13"/>
        <v>2</v>
      </c>
      <c r="G165">
        <v>6</v>
      </c>
      <c r="H165">
        <f t="shared" si="14"/>
        <v>26</v>
      </c>
      <c r="I165">
        <f t="shared" si="15"/>
        <v>2600</v>
      </c>
      <c r="J165">
        <v>2600</v>
      </c>
      <c r="K165">
        <f t="shared" si="16"/>
        <v>14</v>
      </c>
      <c r="L165">
        <f t="shared" si="17"/>
        <v>5.6</v>
      </c>
      <c r="M165">
        <f t="shared" si="18"/>
        <v>112</v>
      </c>
    </row>
    <row r="166" spans="4:13">
      <c r="D166">
        <v>112016</v>
      </c>
      <c r="E166">
        <f t="shared" si="13"/>
        <v>2</v>
      </c>
      <c r="G166">
        <v>7</v>
      </c>
      <c r="H166">
        <f t="shared" si="14"/>
        <v>27</v>
      </c>
      <c r="I166">
        <f t="shared" si="15"/>
        <v>2700</v>
      </c>
      <c r="J166">
        <v>2700</v>
      </c>
      <c r="K166">
        <f t="shared" si="16"/>
        <v>16</v>
      </c>
      <c r="L166">
        <f t="shared" si="17"/>
        <v>6.4</v>
      </c>
      <c r="M166">
        <f t="shared" si="18"/>
        <v>128</v>
      </c>
    </row>
    <row r="167" spans="4:13">
      <c r="D167">
        <v>112017</v>
      </c>
      <c r="E167">
        <f t="shared" si="13"/>
        <v>2</v>
      </c>
      <c r="G167">
        <v>3</v>
      </c>
      <c r="H167">
        <f t="shared" si="14"/>
        <v>23</v>
      </c>
      <c r="I167">
        <f t="shared" si="15"/>
        <v>2300</v>
      </c>
      <c r="J167">
        <v>2300</v>
      </c>
      <c r="K167">
        <f t="shared" si="16"/>
        <v>9</v>
      </c>
      <c r="L167">
        <f t="shared" si="17"/>
        <v>3.6</v>
      </c>
      <c r="M167">
        <f t="shared" si="18"/>
        <v>72</v>
      </c>
    </row>
    <row r="168" spans="4:13">
      <c r="D168">
        <v>112017</v>
      </c>
      <c r="E168">
        <f t="shared" si="13"/>
        <v>2</v>
      </c>
      <c r="G168">
        <v>4</v>
      </c>
      <c r="H168">
        <f t="shared" si="14"/>
        <v>24</v>
      </c>
      <c r="I168">
        <f t="shared" si="15"/>
        <v>2400</v>
      </c>
      <c r="J168">
        <v>2400</v>
      </c>
      <c r="K168">
        <f t="shared" si="16"/>
        <v>10.5</v>
      </c>
      <c r="L168">
        <f t="shared" si="17"/>
        <v>4.2</v>
      </c>
      <c r="M168">
        <f t="shared" si="18"/>
        <v>84</v>
      </c>
    </row>
    <row r="169" spans="4:13">
      <c r="D169">
        <v>112017</v>
      </c>
      <c r="E169">
        <f t="shared" si="13"/>
        <v>2</v>
      </c>
      <c r="G169">
        <v>5</v>
      </c>
      <c r="H169">
        <f t="shared" si="14"/>
        <v>25</v>
      </c>
      <c r="I169">
        <f t="shared" si="15"/>
        <v>2500</v>
      </c>
      <c r="J169">
        <v>2500</v>
      </c>
      <c r="K169">
        <f t="shared" si="16"/>
        <v>12</v>
      </c>
      <c r="L169">
        <f t="shared" si="17"/>
        <v>4.8</v>
      </c>
      <c r="M169">
        <f t="shared" si="18"/>
        <v>96</v>
      </c>
    </row>
    <row r="170" spans="4:13">
      <c r="D170">
        <v>112017</v>
      </c>
      <c r="E170">
        <f t="shared" si="13"/>
        <v>2</v>
      </c>
      <c r="G170">
        <v>6</v>
      </c>
      <c r="H170">
        <f t="shared" si="14"/>
        <v>26</v>
      </c>
      <c r="I170">
        <f t="shared" si="15"/>
        <v>2600</v>
      </c>
      <c r="J170">
        <v>2600</v>
      </c>
      <c r="K170">
        <f t="shared" si="16"/>
        <v>14</v>
      </c>
      <c r="L170">
        <f t="shared" si="17"/>
        <v>5.6</v>
      </c>
      <c r="M170">
        <f t="shared" si="18"/>
        <v>112</v>
      </c>
    </row>
    <row r="171" spans="4:13">
      <c r="D171">
        <v>112017</v>
      </c>
      <c r="E171">
        <f t="shared" si="13"/>
        <v>2</v>
      </c>
      <c r="G171">
        <v>7</v>
      </c>
      <c r="H171">
        <f t="shared" si="14"/>
        <v>27</v>
      </c>
      <c r="I171">
        <f t="shared" si="15"/>
        <v>2700</v>
      </c>
      <c r="J171">
        <v>2700</v>
      </c>
      <c r="K171">
        <f t="shared" si="16"/>
        <v>16</v>
      </c>
      <c r="L171">
        <f t="shared" si="17"/>
        <v>6.4</v>
      </c>
      <c r="M171">
        <f t="shared" si="18"/>
        <v>128</v>
      </c>
    </row>
    <row r="172" spans="4:13">
      <c r="D172">
        <v>112018</v>
      </c>
      <c r="E172">
        <v>2</v>
      </c>
      <c r="G172">
        <v>3</v>
      </c>
      <c r="H172">
        <f t="shared" si="14"/>
        <v>23</v>
      </c>
      <c r="I172">
        <f t="shared" si="15"/>
        <v>2300</v>
      </c>
      <c r="J172">
        <v>2300</v>
      </c>
      <c r="K172">
        <f t="shared" si="16"/>
        <v>9</v>
      </c>
      <c r="L172">
        <f t="shared" si="17"/>
        <v>3.6</v>
      </c>
      <c r="M172">
        <f t="shared" si="18"/>
        <v>72</v>
      </c>
    </row>
    <row r="173" spans="4:13">
      <c r="D173">
        <v>112018</v>
      </c>
      <c r="E173">
        <v>2</v>
      </c>
      <c r="G173">
        <v>4</v>
      </c>
      <c r="H173">
        <f t="shared" si="14"/>
        <v>24</v>
      </c>
      <c r="I173">
        <f t="shared" si="15"/>
        <v>2400</v>
      </c>
      <c r="J173">
        <v>2400</v>
      </c>
      <c r="K173">
        <f t="shared" si="16"/>
        <v>10.5</v>
      </c>
      <c r="L173">
        <f t="shared" si="17"/>
        <v>4.2</v>
      </c>
      <c r="M173">
        <f t="shared" si="18"/>
        <v>84</v>
      </c>
    </row>
    <row r="174" spans="4:13">
      <c r="D174">
        <v>112018</v>
      </c>
      <c r="E174">
        <v>2</v>
      </c>
      <c r="G174">
        <v>5</v>
      </c>
      <c r="H174">
        <f t="shared" si="14"/>
        <v>25</v>
      </c>
      <c r="I174">
        <f t="shared" si="15"/>
        <v>2500</v>
      </c>
      <c r="J174">
        <v>2500</v>
      </c>
      <c r="K174">
        <f t="shared" si="16"/>
        <v>12</v>
      </c>
      <c r="L174">
        <f t="shared" si="17"/>
        <v>4.8</v>
      </c>
      <c r="M174">
        <f t="shared" si="18"/>
        <v>96</v>
      </c>
    </row>
    <row r="175" spans="4:13">
      <c r="D175">
        <v>112018</v>
      </c>
      <c r="E175">
        <v>2</v>
      </c>
      <c r="G175">
        <v>6</v>
      </c>
      <c r="H175">
        <f t="shared" si="14"/>
        <v>26</v>
      </c>
      <c r="I175">
        <f t="shared" si="15"/>
        <v>2600</v>
      </c>
      <c r="J175">
        <v>2600</v>
      </c>
      <c r="K175">
        <f t="shared" si="16"/>
        <v>14</v>
      </c>
      <c r="L175">
        <f t="shared" si="17"/>
        <v>5.6</v>
      </c>
      <c r="M175">
        <f t="shared" si="18"/>
        <v>112</v>
      </c>
    </row>
    <row r="176" spans="4:13">
      <c r="D176">
        <v>112018</v>
      </c>
      <c r="E176">
        <v>2</v>
      </c>
      <c r="G176">
        <v>7</v>
      </c>
      <c r="H176">
        <f t="shared" si="14"/>
        <v>27</v>
      </c>
      <c r="I176">
        <f t="shared" si="15"/>
        <v>2700</v>
      </c>
      <c r="J176">
        <v>2700</v>
      </c>
      <c r="K176">
        <f t="shared" si="16"/>
        <v>16</v>
      </c>
      <c r="L176">
        <f t="shared" si="17"/>
        <v>6.4</v>
      </c>
      <c r="M176">
        <f t="shared" si="18"/>
        <v>128</v>
      </c>
    </row>
    <row r="177" spans="4:13">
      <c r="D177">
        <v>112019</v>
      </c>
      <c r="E177">
        <f t="shared" si="13"/>
        <v>2</v>
      </c>
      <c r="G177">
        <v>3</v>
      </c>
      <c r="H177">
        <f t="shared" si="14"/>
        <v>23</v>
      </c>
      <c r="I177">
        <f t="shared" si="15"/>
        <v>2300</v>
      </c>
      <c r="J177">
        <v>2300</v>
      </c>
      <c r="K177">
        <f t="shared" si="16"/>
        <v>9</v>
      </c>
      <c r="L177">
        <f t="shared" si="17"/>
        <v>3.6</v>
      </c>
      <c r="M177">
        <f t="shared" si="18"/>
        <v>72</v>
      </c>
    </row>
    <row r="178" spans="4:13">
      <c r="D178">
        <v>112019</v>
      </c>
      <c r="E178">
        <f t="shared" si="13"/>
        <v>2</v>
      </c>
      <c r="G178">
        <v>4</v>
      </c>
      <c r="H178">
        <f t="shared" si="14"/>
        <v>24</v>
      </c>
      <c r="I178">
        <f t="shared" si="15"/>
        <v>2400</v>
      </c>
      <c r="J178">
        <v>2400</v>
      </c>
      <c r="K178">
        <f t="shared" si="16"/>
        <v>10.5</v>
      </c>
      <c r="L178">
        <f t="shared" si="17"/>
        <v>4.2</v>
      </c>
      <c r="M178">
        <f t="shared" si="18"/>
        <v>84</v>
      </c>
    </row>
    <row r="179" spans="4:13">
      <c r="D179">
        <v>112019</v>
      </c>
      <c r="E179">
        <f t="shared" si="13"/>
        <v>2</v>
      </c>
      <c r="G179">
        <v>5</v>
      </c>
      <c r="H179">
        <f t="shared" si="14"/>
        <v>25</v>
      </c>
      <c r="I179">
        <f t="shared" si="15"/>
        <v>2500</v>
      </c>
      <c r="J179">
        <v>2500</v>
      </c>
      <c r="K179">
        <f t="shared" si="16"/>
        <v>12</v>
      </c>
      <c r="L179">
        <f t="shared" si="17"/>
        <v>4.8</v>
      </c>
      <c r="M179">
        <f t="shared" si="18"/>
        <v>96</v>
      </c>
    </row>
    <row r="180" spans="4:13">
      <c r="D180">
        <v>112019</v>
      </c>
      <c r="E180">
        <f t="shared" si="13"/>
        <v>2</v>
      </c>
      <c r="G180">
        <v>6</v>
      </c>
      <c r="H180">
        <f t="shared" si="14"/>
        <v>26</v>
      </c>
      <c r="I180">
        <f t="shared" si="15"/>
        <v>2600</v>
      </c>
      <c r="J180">
        <v>2600</v>
      </c>
      <c r="K180">
        <f t="shared" si="16"/>
        <v>14</v>
      </c>
      <c r="L180">
        <f t="shared" si="17"/>
        <v>5.6</v>
      </c>
      <c r="M180">
        <f t="shared" si="18"/>
        <v>112</v>
      </c>
    </row>
    <row r="181" spans="4:13">
      <c r="D181">
        <v>112019</v>
      </c>
      <c r="E181">
        <f t="shared" si="13"/>
        <v>2</v>
      </c>
      <c r="G181">
        <v>7</v>
      </c>
      <c r="H181">
        <f t="shared" si="14"/>
        <v>27</v>
      </c>
      <c r="I181">
        <f t="shared" si="15"/>
        <v>2700</v>
      </c>
      <c r="J181">
        <v>2700</v>
      </c>
      <c r="K181">
        <f t="shared" si="16"/>
        <v>16</v>
      </c>
      <c r="L181">
        <f t="shared" si="17"/>
        <v>6.4</v>
      </c>
      <c r="M181">
        <f t="shared" si="18"/>
        <v>128</v>
      </c>
    </row>
    <row r="182" spans="4:13">
      <c r="D182">
        <v>112020</v>
      </c>
      <c r="E182">
        <f t="shared" si="13"/>
        <v>2</v>
      </c>
      <c r="G182">
        <v>3</v>
      </c>
      <c r="H182">
        <f t="shared" si="14"/>
        <v>23</v>
      </c>
      <c r="I182">
        <f t="shared" si="15"/>
        <v>2300</v>
      </c>
      <c r="J182">
        <v>2300</v>
      </c>
      <c r="K182">
        <f t="shared" si="16"/>
        <v>9</v>
      </c>
      <c r="L182">
        <f t="shared" si="17"/>
        <v>3.6</v>
      </c>
      <c r="M182">
        <f t="shared" si="18"/>
        <v>72</v>
      </c>
    </row>
    <row r="183" spans="4:13">
      <c r="D183">
        <v>112020</v>
      </c>
      <c r="E183">
        <f t="shared" si="13"/>
        <v>2</v>
      </c>
      <c r="G183">
        <v>4</v>
      </c>
      <c r="H183">
        <f t="shared" si="14"/>
        <v>24</v>
      </c>
      <c r="I183">
        <f t="shared" si="15"/>
        <v>2400</v>
      </c>
      <c r="J183">
        <v>2400</v>
      </c>
      <c r="K183">
        <f t="shared" si="16"/>
        <v>10.5</v>
      </c>
      <c r="L183">
        <f t="shared" si="17"/>
        <v>4.2</v>
      </c>
      <c r="M183">
        <f t="shared" si="18"/>
        <v>84</v>
      </c>
    </row>
    <row r="184" spans="4:13">
      <c r="D184">
        <v>112020</v>
      </c>
      <c r="E184">
        <f t="shared" si="13"/>
        <v>2</v>
      </c>
      <c r="G184">
        <v>5</v>
      </c>
      <c r="H184">
        <f t="shared" si="14"/>
        <v>25</v>
      </c>
      <c r="I184">
        <f t="shared" si="15"/>
        <v>2500</v>
      </c>
      <c r="J184">
        <v>2500</v>
      </c>
      <c r="K184">
        <f t="shared" si="16"/>
        <v>12</v>
      </c>
      <c r="L184">
        <f t="shared" si="17"/>
        <v>4.8</v>
      </c>
      <c r="M184">
        <f t="shared" si="18"/>
        <v>96</v>
      </c>
    </row>
    <row r="185" spans="4:13">
      <c r="D185">
        <v>112020</v>
      </c>
      <c r="E185">
        <f t="shared" si="13"/>
        <v>2</v>
      </c>
      <c r="G185">
        <v>6</v>
      </c>
      <c r="H185">
        <f t="shared" si="14"/>
        <v>26</v>
      </c>
      <c r="I185">
        <f t="shared" si="15"/>
        <v>2600</v>
      </c>
      <c r="J185">
        <v>2600</v>
      </c>
      <c r="K185">
        <f t="shared" si="16"/>
        <v>14</v>
      </c>
      <c r="L185">
        <f t="shared" si="17"/>
        <v>5.6</v>
      </c>
      <c r="M185">
        <f t="shared" si="18"/>
        <v>112</v>
      </c>
    </row>
    <row r="186" spans="4:13">
      <c r="D186">
        <v>112020</v>
      </c>
      <c r="E186">
        <f t="shared" si="13"/>
        <v>2</v>
      </c>
      <c r="G186">
        <v>7</v>
      </c>
      <c r="H186">
        <f t="shared" si="14"/>
        <v>27</v>
      </c>
      <c r="I186">
        <f t="shared" si="15"/>
        <v>2700</v>
      </c>
      <c r="J186">
        <v>2700</v>
      </c>
      <c r="K186">
        <f t="shared" si="16"/>
        <v>16</v>
      </c>
      <c r="L186">
        <f t="shared" si="17"/>
        <v>6.4</v>
      </c>
      <c r="M186">
        <f t="shared" si="18"/>
        <v>128</v>
      </c>
    </row>
    <row r="187" spans="4:13">
      <c r="D187">
        <v>112021</v>
      </c>
      <c r="E187">
        <f t="shared" si="13"/>
        <v>2</v>
      </c>
      <c r="G187">
        <v>3</v>
      </c>
      <c r="H187">
        <f t="shared" si="14"/>
        <v>23</v>
      </c>
      <c r="I187">
        <f t="shared" si="15"/>
        <v>2300</v>
      </c>
      <c r="J187">
        <v>2300</v>
      </c>
      <c r="K187">
        <f t="shared" si="16"/>
        <v>9</v>
      </c>
      <c r="L187">
        <f t="shared" si="17"/>
        <v>3.6</v>
      </c>
      <c r="M187">
        <f t="shared" si="18"/>
        <v>72</v>
      </c>
    </row>
    <row r="188" spans="4:13">
      <c r="D188">
        <v>112021</v>
      </c>
      <c r="E188">
        <f t="shared" si="13"/>
        <v>2</v>
      </c>
      <c r="G188">
        <v>4</v>
      </c>
      <c r="H188">
        <f t="shared" si="14"/>
        <v>24</v>
      </c>
      <c r="I188">
        <f t="shared" si="15"/>
        <v>2400</v>
      </c>
      <c r="J188">
        <v>2400</v>
      </c>
      <c r="K188">
        <f t="shared" si="16"/>
        <v>10.5</v>
      </c>
      <c r="L188">
        <f t="shared" si="17"/>
        <v>4.2</v>
      </c>
      <c r="M188">
        <f t="shared" si="18"/>
        <v>84</v>
      </c>
    </row>
    <row r="189" spans="4:13">
      <c r="D189">
        <v>112021</v>
      </c>
      <c r="E189">
        <f t="shared" si="13"/>
        <v>2</v>
      </c>
      <c r="G189">
        <v>5</v>
      </c>
      <c r="H189">
        <f t="shared" si="14"/>
        <v>25</v>
      </c>
      <c r="I189">
        <f t="shared" si="15"/>
        <v>2500</v>
      </c>
      <c r="J189">
        <v>2500</v>
      </c>
      <c r="K189">
        <f t="shared" si="16"/>
        <v>12</v>
      </c>
      <c r="L189">
        <f t="shared" si="17"/>
        <v>4.8</v>
      </c>
      <c r="M189">
        <f t="shared" si="18"/>
        <v>96</v>
      </c>
    </row>
    <row r="190" spans="4:13">
      <c r="D190">
        <v>112021</v>
      </c>
      <c r="E190">
        <f t="shared" si="13"/>
        <v>2</v>
      </c>
      <c r="G190">
        <v>6</v>
      </c>
      <c r="H190">
        <f t="shared" si="14"/>
        <v>26</v>
      </c>
      <c r="I190">
        <f t="shared" si="15"/>
        <v>2600</v>
      </c>
      <c r="J190">
        <v>2600</v>
      </c>
      <c r="K190">
        <f t="shared" si="16"/>
        <v>14</v>
      </c>
      <c r="L190">
        <f t="shared" si="17"/>
        <v>5.6</v>
      </c>
      <c r="M190">
        <f t="shared" si="18"/>
        <v>112</v>
      </c>
    </row>
    <row r="191" spans="4:13">
      <c r="D191">
        <v>112021</v>
      </c>
      <c r="E191">
        <f t="shared" si="13"/>
        <v>2</v>
      </c>
      <c r="G191">
        <v>7</v>
      </c>
      <c r="H191">
        <f t="shared" si="14"/>
        <v>27</v>
      </c>
      <c r="I191">
        <f t="shared" si="15"/>
        <v>2700</v>
      </c>
      <c r="J191">
        <v>2700</v>
      </c>
      <c r="K191">
        <f t="shared" si="16"/>
        <v>16</v>
      </c>
      <c r="L191">
        <f t="shared" si="17"/>
        <v>6.4</v>
      </c>
      <c r="M191">
        <f t="shared" si="18"/>
        <v>128</v>
      </c>
    </row>
    <row r="192" spans="4:13">
      <c r="D192">
        <v>112022</v>
      </c>
      <c r="E192">
        <v>2</v>
      </c>
      <c r="G192">
        <v>3</v>
      </c>
      <c r="H192">
        <f t="shared" si="14"/>
        <v>23</v>
      </c>
      <c r="I192">
        <f t="shared" si="15"/>
        <v>2300</v>
      </c>
      <c r="J192">
        <v>2300</v>
      </c>
      <c r="K192">
        <f t="shared" si="16"/>
        <v>9</v>
      </c>
      <c r="L192">
        <f t="shared" si="17"/>
        <v>3.6</v>
      </c>
      <c r="M192">
        <f t="shared" si="18"/>
        <v>72</v>
      </c>
    </row>
    <row r="193" spans="4:13">
      <c r="D193">
        <v>112022</v>
      </c>
      <c r="E193">
        <v>2</v>
      </c>
      <c r="G193">
        <v>4</v>
      </c>
      <c r="H193">
        <f t="shared" si="14"/>
        <v>24</v>
      </c>
      <c r="I193">
        <f t="shared" si="15"/>
        <v>2400</v>
      </c>
      <c r="J193">
        <v>2400</v>
      </c>
      <c r="K193">
        <f t="shared" si="16"/>
        <v>10.5</v>
      </c>
      <c r="L193">
        <f t="shared" si="17"/>
        <v>4.2</v>
      </c>
      <c r="M193">
        <f t="shared" si="18"/>
        <v>84</v>
      </c>
    </row>
    <row r="194" spans="4:13">
      <c r="D194">
        <v>112022</v>
      </c>
      <c r="E194">
        <v>2</v>
      </c>
      <c r="G194">
        <v>5</v>
      </c>
      <c r="H194">
        <f t="shared" si="14"/>
        <v>25</v>
      </c>
      <c r="I194">
        <f t="shared" si="15"/>
        <v>2500</v>
      </c>
      <c r="J194">
        <v>2500</v>
      </c>
      <c r="K194">
        <f t="shared" si="16"/>
        <v>12</v>
      </c>
      <c r="L194">
        <f t="shared" si="17"/>
        <v>4.8</v>
      </c>
      <c r="M194">
        <f t="shared" si="18"/>
        <v>96</v>
      </c>
    </row>
    <row r="195" spans="4:13">
      <c r="D195">
        <v>112022</v>
      </c>
      <c r="E195">
        <v>2</v>
      </c>
      <c r="G195">
        <v>6</v>
      </c>
      <c r="H195">
        <f t="shared" si="14"/>
        <v>26</v>
      </c>
      <c r="I195">
        <f t="shared" si="15"/>
        <v>2600</v>
      </c>
      <c r="J195">
        <v>2600</v>
      </c>
      <c r="K195">
        <f t="shared" si="16"/>
        <v>14</v>
      </c>
      <c r="L195">
        <f t="shared" si="17"/>
        <v>5.6</v>
      </c>
      <c r="M195">
        <f t="shared" si="18"/>
        <v>112</v>
      </c>
    </row>
    <row r="196" spans="4:13">
      <c r="D196">
        <v>112022</v>
      </c>
      <c r="E196">
        <v>2</v>
      </c>
      <c r="G196">
        <v>7</v>
      </c>
      <c r="H196">
        <f t="shared" si="14"/>
        <v>27</v>
      </c>
      <c r="I196">
        <f t="shared" si="15"/>
        <v>2700</v>
      </c>
      <c r="J196">
        <v>2700</v>
      </c>
      <c r="K196">
        <f t="shared" si="16"/>
        <v>16</v>
      </c>
      <c r="L196">
        <f t="shared" si="17"/>
        <v>6.4</v>
      </c>
      <c r="M196">
        <f t="shared" si="18"/>
        <v>128</v>
      </c>
    </row>
    <row r="197" spans="4:13">
      <c r="D197">
        <v>112023</v>
      </c>
      <c r="E197">
        <f t="shared" si="13"/>
        <v>2</v>
      </c>
      <c r="G197">
        <v>3</v>
      </c>
      <c r="H197">
        <f t="shared" si="14"/>
        <v>23</v>
      </c>
      <c r="I197">
        <f t="shared" si="15"/>
        <v>2300</v>
      </c>
      <c r="J197">
        <v>2300</v>
      </c>
      <c r="K197">
        <f t="shared" si="16"/>
        <v>9</v>
      </c>
      <c r="L197">
        <f t="shared" si="17"/>
        <v>3.6</v>
      </c>
      <c r="M197">
        <f t="shared" si="18"/>
        <v>72</v>
      </c>
    </row>
    <row r="198" spans="4:13">
      <c r="D198">
        <v>112023</v>
      </c>
      <c r="E198">
        <f t="shared" si="13"/>
        <v>2</v>
      </c>
      <c r="G198">
        <v>4</v>
      </c>
      <c r="H198">
        <f t="shared" si="14"/>
        <v>24</v>
      </c>
      <c r="I198">
        <f t="shared" si="15"/>
        <v>2400</v>
      </c>
      <c r="J198">
        <v>2400</v>
      </c>
      <c r="K198">
        <f t="shared" si="16"/>
        <v>10.5</v>
      </c>
      <c r="L198">
        <f t="shared" si="17"/>
        <v>4.2</v>
      </c>
      <c r="M198">
        <f t="shared" si="18"/>
        <v>84</v>
      </c>
    </row>
    <row r="199" spans="4:13">
      <c r="D199">
        <v>112023</v>
      </c>
      <c r="E199">
        <f t="shared" si="13"/>
        <v>2</v>
      </c>
      <c r="G199">
        <v>5</v>
      </c>
      <c r="H199">
        <f t="shared" si="14"/>
        <v>25</v>
      </c>
      <c r="I199">
        <f t="shared" si="15"/>
        <v>2500</v>
      </c>
      <c r="J199">
        <v>2500</v>
      </c>
      <c r="K199">
        <f t="shared" si="16"/>
        <v>12</v>
      </c>
      <c r="L199">
        <f t="shared" si="17"/>
        <v>4.8</v>
      </c>
      <c r="M199">
        <f t="shared" si="18"/>
        <v>96</v>
      </c>
    </row>
    <row r="200" spans="4:13">
      <c r="D200">
        <v>112023</v>
      </c>
      <c r="E200">
        <f t="shared" ref="E200:E263" si="19">VLOOKUP(D200,Q:R,2,FALSE)</f>
        <v>2</v>
      </c>
      <c r="G200">
        <v>6</v>
      </c>
      <c r="H200">
        <f t="shared" ref="H200:H263" si="20">E200*10+G200</f>
        <v>26</v>
      </c>
      <c r="I200">
        <f t="shared" ref="I200:I263" si="21">H200*100</f>
        <v>2600</v>
      </c>
      <c r="J200">
        <v>2600</v>
      </c>
      <c r="K200">
        <f t="shared" ref="K200:K263" si="22">VLOOKUP(J200,U:X,2,FALSE)</f>
        <v>14</v>
      </c>
      <c r="L200">
        <f t="shared" ref="L200:L263" si="23">VLOOKUP(J200,U:X,3,FALSE)</f>
        <v>5.6</v>
      </c>
      <c r="M200">
        <f t="shared" ref="M200:M263" si="24">VLOOKUP(J200,U:X,4,FALSE)</f>
        <v>112</v>
      </c>
    </row>
    <row r="201" spans="4:13">
      <c r="D201">
        <v>112023</v>
      </c>
      <c r="E201">
        <f t="shared" si="19"/>
        <v>2</v>
      </c>
      <c r="G201">
        <v>7</v>
      </c>
      <c r="H201">
        <f t="shared" si="20"/>
        <v>27</v>
      </c>
      <c r="I201">
        <f t="shared" si="21"/>
        <v>2700</v>
      </c>
      <c r="J201">
        <v>2700</v>
      </c>
      <c r="K201">
        <f t="shared" si="22"/>
        <v>16</v>
      </c>
      <c r="L201">
        <f t="shared" si="23"/>
        <v>6.4</v>
      </c>
      <c r="M201">
        <f t="shared" si="24"/>
        <v>128</v>
      </c>
    </row>
    <row r="202" spans="4:13">
      <c r="D202">
        <v>112024</v>
      </c>
      <c r="E202">
        <f t="shared" si="19"/>
        <v>2</v>
      </c>
      <c r="G202">
        <v>3</v>
      </c>
      <c r="H202">
        <f t="shared" si="20"/>
        <v>23</v>
      </c>
      <c r="I202">
        <f t="shared" si="21"/>
        <v>2300</v>
      </c>
      <c r="J202">
        <v>2300</v>
      </c>
      <c r="K202">
        <f t="shared" si="22"/>
        <v>9</v>
      </c>
      <c r="L202">
        <f t="shared" si="23"/>
        <v>3.6</v>
      </c>
      <c r="M202">
        <f t="shared" si="24"/>
        <v>72</v>
      </c>
    </row>
    <row r="203" spans="4:13">
      <c r="D203">
        <v>112024</v>
      </c>
      <c r="E203">
        <f t="shared" si="19"/>
        <v>2</v>
      </c>
      <c r="G203">
        <v>4</v>
      </c>
      <c r="H203">
        <f t="shared" si="20"/>
        <v>24</v>
      </c>
      <c r="I203">
        <f t="shared" si="21"/>
        <v>2400</v>
      </c>
      <c r="J203">
        <v>2400</v>
      </c>
      <c r="K203">
        <f t="shared" si="22"/>
        <v>10.5</v>
      </c>
      <c r="L203">
        <f t="shared" si="23"/>
        <v>4.2</v>
      </c>
      <c r="M203">
        <f t="shared" si="24"/>
        <v>84</v>
      </c>
    </row>
    <row r="204" spans="4:13">
      <c r="D204">
        <v>112024</v>
      </c>
      <c r="E204">
        <f t="shared" si="19"/>
        <v>2</v>
      </c>
      <c r="G204">
        <v>5</v>
      </c>
      <c r="H204">
        <f t="shared" si="20"/>
        <v>25</v>
      </c>
      <c r="I204">
        <f t="shared" si="21"/>
        <v>2500</v>
      </c>
      <c r="J204">
        <v>2500</v>
      </c>
      <c r="K204">
        <f t="shared" si="22"/>
        <v>12</v>
      </c>
      <c r="L204">
        <f t="shared" si="23"/>
        <v>4.8</v>
      </c>
      <c r="M204">
        <f t="shared" si="24"/>
        <v>96</v>
      </c>
    </row>
    <row r="205" spans="4:13">
      <c r="D205">
        <v>112024</v>
      </c>
      <c r="E205">
        <f t="shared" si="19"/>
        <v>2</v>
      </c>
      <c r="G205">
        <v>6</v>
      </c>
      <c r="H205">
        <f t="shared" si="20"/>
        <v>26</v>
      </c>
      <c r="I205">
        <f t="shared" si="21"/>
        <v>2600</v>
      </c>
      <c r="J205">
        <v>2600</v>
      </c>
      <c r="K205">
        <f t="shared" si="22"/>
        <v>14</v>
      </c>
      <c r="L205">
        <f t="shared" si="23"/>
        <v>5.6</v>
      </c>
      <c r="M205">
        <f t="shared" si="24"/>
        <v>112</v>
      </c>
    </row>
    <row r="206" spans="4:13">
      <c r="D206">
        <v>112024</v>
      </c>
      <c r="E206">
        <f t="shared" si="19"/>
        <v>2</v>
      </c>
      <c r="G206">
        <v>7</v>
      </c>
      <c r="H206">
        <f t="shared" si="20"/>
        <v>27</v>
      </c>
      <c r="I206">
        <f t="shared" si="21"/>
        <v>2700</v>
      </c>
      <c r="J206">
        <v>2700</v>
      </c>
      <c r="K206">
        <f t="shared" si="22"/>
        <v>16</v>
      </c>
      <c r="L206">
        <f t="shared" si="23"/>
        <v>6.4</v>
      </c>
      <c r="M206">
        <f t="shared" si="24"/>
        <v>128</v>
      </c>
    </row>
    <row r="207" spans="4:13">
      <c r="D207">
        <v>112025</v>
      </c>
      <c r="E207">
        <f t="shared" si="19"/>
        <v>2</v>
      </c>
      <c r="G207">
        <v>3</v>
      </c>
      <c r="H207">
        <f t="shared" si="20"/>
        <v>23</v>
      </c>
      <c r="I207">
        <f t="shared" si="21"/>
        <v>2300</v>
      </c>
      <c r="J207">
        <v>2300</v>
      </c>
      <c r="K207">
        <f t="shared" si="22"/>
        <v>9</v>
      </c>
      <c r="L207">
        <f t="shared" si="23"/>
        <v>3.6</v>
      </c>
      <c r="M207">
        <f t="shared" si="24"/>
        <v>72</v>
      </c>
    </row>
    <row r="208" spans="4:13">
      <c r="D208">
        <v>112025</v>
      </c>
      <c r="E208">
        <f t="shared" si="19"/>
        <v>2</v>
      </c>
      <c r="G208">
        <v>4</v>
      </c>
      <c r="H208">
        <f t="shared" si="20"/>
        <v>24</v>
      </c>
      <c r="I208">
        <f t="shared" si="21"/>
        <v>2400</v>
      </c>
      <c r="J208">
        <v>2400</v>
      </c>
      <c r="K208">
        <f t="shared" si="22"/>
        <v>10.5</v>
      </c>
      <c r="L208">
        <f t="shared" si="23"/>
        <v>4.2</v>
      </c>
      <c r="M208">
        <f t="shared" si="24"/>
        <v>84</v>
      </c>
    </row>
    <row r="209" spans="4:13">
      <c r="D209">
        <v>112025</v>
      </c>
      <c r="E209">
        <f t="shared" si="19"/>
        <v>2</v>
      </c>
      <c r="G209">
        <v>5</v>
      </c>
      <c r="H209">
        <f t="shared" si="20"/>
        <v>25</v>
      </c>
      <c r="I209">
        <f t="shared" si="21"/>
        <v>2500</v>
      </c>
      <c r="J209">
        <v>2500</v>
      </c>
      <c r="K209">
        <f t="shared" si="22"/>
        <v>12</v>
      </c>
      <c r="L209">
        <f t="shared" si="23"/>
        <v>4.8</v>
      </c>
      <c r="M209">
        <f t="shared" si="24"/>
        <v>96</v>
      </c>
    </row>
    <row r="210" spans="4:13">
      <c r="D210">
        <v>112025</v>
      </c>
      <c r="E210">
        <f t="shared" si="19"/>
        <v>2</v>
      </c>
      <c r="G210">
        <v>6</v>
      </c>
      <c r="H210">
        <f t="shared" si="20"/>
        <v>26</v>
      </c>
      <c r="I210">
        <f t="shared" si="21"/>
        <v>2600</v>
      </c>
      <c r="J210">
        <v>2600</v>
      </c>
      <c r="K210">
        <f t="shared" si="22"/>
        <v>14</v>
      </c>
      <c r="L210">
        <f t="shared" si="23"/>
        <v>5.6</v>
      </c>
      <c r="M210">
        <f t="shared" si="24"/>
        <v>112</v>
      </c>
    </row>
    <row r="211" spans="4:13">
      <c r="D211">
        <v>112025</v>
      </c>
      <c r="E211">
        <f t="shared" si="19"/>
        <v>2</v>
      </c>
      <c r="G211">
        <v>7</v>
      </c>
      <c r="H211">
        <f t="shared" si="20"/>
        <v>27</v>
      </c>
      <c r="I211">
        <f t="shared" si="21"/>
        <v>2700</v>
      </c>
      <c r="J211">
        <v>2700</v>
      </c>
      <c r="K211">
        <f t="shared" si="22"/>
        <v>16</v>
      </c>
      <c r="L211">
        <f t="shared" si="23"/>
        <v>6.4</v>
      </c>
      <c r="M211">
        <f t="shared" si="24"/>
        <v>128</v>
      </c>
    </row>
    <row r="212" spans="4:13">
      <c r="D212">
        <v>112026</v>
      </c>
      <c r="E212">
        <f t="shared" si="19"/>
        <v>2</v>
      </c>
      <c r="G212">
        <v>3</v>
      </c>
      <c r="H212">
        <f t="shared" si="20"/>
        <v>23</v>
      </c>
      <c r="I212">
        <f t="shared" si="21"/>
        <v>2300</v>
      </c>
      <c r="J212">
        <v>2300</v>
      </c>
      <c r="K212">
        <f t="shared" si="22"/>
        <v>9</v>
      </c>
      <c r="L212">
        <f t="shared" si="23"/>
        <v>3.6</v>
      </c>
      <c r="M212">
        <f t="shared" si="24"/>
        <v>72</v>
      </c>
    </row>
    <row r="213" spans="4:13">
      <c r="D213">
        <v>112026</v>
      </c>
      <c r="E213">
        <f t="shared" si="19"/>
        <v>2</v>
      </c>
      <c r="G213">
        <v>4</v>
      </c>
      <c r="H213">
        <f t="shared" si="20"/>
        <v>24</v>
      </c>
      <c r="I213">
        <f t="shared" si="21"/>
        <v>2400</v>
      </c>
      <c r="J213">
        <v>2400</v>
      </c>
      <c r="K213">
        <f t="shared" si="22"/>
        <v>10.5</v>
      </c>
      <c r="L213">
        <f t="shared" si="23"/>
        <v>4.2</v>
      </c>
      <c r="M213">
        <f t="shared" si="24"/>
        <v>84</v>
      </c>
    </row>
    <row r="214" spans="4:13">
      <c r="D214">
        <v>112026</v>
      </c>
      <c r="E214">
        <f t="shared" si="19"/>
        <v>2</v>
      </c>
      <c r="G214">
        <v>5</v>
      </c>
      <c r="H214">
        <f t="shared" si="20"/>
        <v>25</v>
      </c>
      <c r="I214">
        <f t="shared" si="21"/>
        <v>2500</v>
      </c>
      <c r="J214">
        <v>2500</v>
      </c>
      <c r="K214">
        <f t="shared" si="22"/>
        <v>12</v>
      </c>
      <c r="L214">
        <f t="shared" si="23"/>
        <v>4.8</v>
      </c>
      <c r="M214">
        <f t="shared" si="24"/>
        <v>96</v>
      </c>
    </row>
    <row r="215" spans="4:13">
      <c r="D215">
        <v>112026</v>
      </c>
      <c r="E215">
        <f t="shared" si="19"/>
        <v>2</v>
      </c>
      <c r="G215">
        <v>6</v>
      </c>
      <c r="H215">
        <f t="shared" si="20"/>
        <v>26</v>
      </c>
      <c r="I215">
        <f t="shared" si="21"/>
        <v>2600</v>
      </c>
      <c r="J215">
        <v>2600</v>
      </c>
      <c r="K215">
        <f t="shared" si="22"/>
        <v>14</v>
      </c>
      <c r="L215">
        <f t="shared" si="23"/>
        <v>5.6</v>
      </c>
      <c r="M215">
        <f t="shared" si="24"/>
        <v>112</v>
      </c>
    </row>
    <row r="216" spans="4:13">
      <c r="D216">
        <v>112026</v>
      </c>
      <c r="E216">
        <f t="shared" si="19"/>
        <v>2</v>
      </c>
      <c r="G216">
        <v>7</v>
      </c>
      <c r="H216">
        <f t="shared" si="20"/>
        <v>27</v>
      </c>
      <c r="I216">
        <f t="shared" si="21"/>
        <v>2700</v>
      </c>
      <c r="J216">
        <v>2700</v>
      </c>
      <c r="K216">
        <f t="shared" si="22"/>
        <v>16</v>
      </c>
      <c r="L216">
        <f t="shared" si="23"/>
        <v>6.4</v>
      </c>
      <c r="M216">
        <f t="shared" si="24"/>
        <v>128</v>
      </c>
    </row>
    <row r="217" spans="4:13">
      <c r="D217">
        <v>112027</v>
      </c>
      <c r="E217">
        <f t="shared" si="19"/>
        <v>2</v>
      </c>
      <c r="G217">
        <v>3</v>
      </c>
      <c r="H217">
        <f t="shared" si="20"/>
        <v>23</v>
      </c>
      <c r="I217">
        <f t="shared" si="21"/>
        <v>2300</v>
      </c>
      <c r="J217">
        <v>2300</v>
      </c>
      <c r="K217">
        <f t="shared" si="22"/>
        <v>9</v>
      </c>
      <c r="L217">
        <f t="shared" si="23"/>
        <v>3.6</v>
      </c>
      <c r="M217">
        <f t="shared" si="24"/>
        <v>72</v>
      </c>
    </row>
    <row r="218" spans="4:13">
      <c r="D218">
        <v>112027</v>
      </c>
      <c r="E218">
        <f t="shared" si="19"/>
        <v>2</v>
      </c>
      <c r="G218">
        <v>4</v>
      </c>
      <c r="H218">
        <f t="shared" si="20"/>
        <v>24</v>
      </c>
      <c r="I218">
        <f t="shared" si="21"/>
        <v>2400</v>
      </c>
      <c r="J218">
        <v>2400</v>
      </c>
      <c r="K218">
        <f t="shared" si="22"/>
        <v>10.5</v>
      </c>
      <c r="L218">
        <f t="shared" si="23"/>
        <v>4.2</v>
      </c>
      <c r="M218">
        <f t="shared" si="24"/>
        <v>84</v>
      </c>
    </row>
    <row r="219" spans="4:13">
      <c r="D219">
        <v>112027</v>
      </c>
      <c r="E219">
        <f t="shared" si="19"/>
        <v>2</v>
      </c>
      <c r="G219">
        <v>5</v>
      </c>
      <c r="H219">
        <f t="shared" si="20"/>
        <v>25</v>
      </c>
      <c r="I219">
        <f t="shared" si="21"/>
        <v>2500</v>
      </c>
      <c r="J219">
        <v>2500</v>
      </c>
      <c r="K219">
        <f t="shared" si="22"/>
        <v>12</v>
      </c>
      <c r="L219">
        <f t="shared" si="23"/>
        <v>4.8</v>
      </c>
      <c r="M219">
        <f t="shared" si="24"/>
        <v>96</v>
      </c>
    </row>
    <row r="220" spans="4:13">
      <c r="D220">
        <v>112027</v>
      </c>
      <c r="E220">
        <f t="shared" si="19"/>
        <v>2</v>
      </c>
      <c r="G220">
        <v>6</v>
      </c>
      <c r="H220">
        <f t="shared" si="20"/>
        <v>26</v>
      </c>
      <c r="I220">
        <f t="shared" si="21"/>
        <v>2600</v>
      </c>
      <c r="J220">
        <v>2600</v>
      </c>
      <c r="K220">
        <f t="shared" si="22"/>
        <v>14</v>
      </c>
      <c r="L220">
        <f t="shared" si="23"/>
        <v>5.6</v>
      </c>
      <c r="M220">
        <f t="shared" si="24"/>
        <v>112</v>
      </c>
    </row>
    <row r="221" spans="4:13">
      <c r="D221">
        <v>112027</v>
      </c>
      <c r="E221">
        <f t="shared" si="19"/>
        <v>2</v>
      </c>
      <c r="G221">
        <v>7</v>
      </c>
      <c r="H221">
        <f t="shared" si="20"/>
        <v>27</v>
      </c>
      <c r="I221">
        <f t="shared" si="21"/>
        <v>2700</v>
      </c>
      <c r="J221">
        <v>2700</v>
      </c>
      <c r="K221">
        <f t="shared" si="22"/>
        <v>16</v>
      </c>
      <c r="L221">
        <f t="shared" si="23"/>
        <v>6.4</v>
      </c>
      <c r="M221">
        <f t="shared" si="24"/>
        <v>128</v>
      </c>
    </row>
    <row r="222" spans="4:13">
      <c r="D222">
        <v>112028</v>
      </c>
      <c r="E222">
        <f t="shared" si="19"/>
        <v>3</v>
      </c>
      <c r="G222">
        <v>3</v>
      </c>
      <c r="H222">
        <f t="shared" si="20"/>
        <v>33</v>
      </c>
      <c r="I222">
        <f t="shared" si="21"/>
        <v>3300</v>
      </c>
      <c r="J222">
        <v>3300</v>
      </c>
      <c r="K222">
        <f t="shared" si="22"/>
        <v>12</v>
      </c>
      <c r="L222">
        <f t="shared" si="23"/>
        <v>4.8</v>
      </c>
      <c r="M222">
        <f t="shared" si="24"/>
        <v>96</v>
      </c>
    </row>
    <row r="223" spans="4:13">
      <c r="D223">
        <v>112028</v>
      </c>
      <c r="E223">
        <f t="shared" si="19"/>
        <v>3</v>
      </c>
      <c r="G223">
        <v>4</v>
      </c>
      <c r="H223">
        <f t="shared" si="20"/>
        <v>34</v>
      </c>
      <c r="I223">
        <f t="shared" si="21"/>
        <v>3400</v>
      </c>
      <c r="J223">
        <v>3400</v>
      </c>
      <c r="K223">
        <f t="shared" si="22"/>
        <v>13.5</v>
      </c>
      <c r="L223">
        <f t="shared" si="23"/>
        <v>5.4</v>
      </c>
      <c r="M223">
        <f t="shared" si="24"/>
        <v>108</v>
      </c>
    </row>
    <row r="224" spans="4:13">
      <c r="D224">
        <v>112028</v>
      </c>
      <c r="E224">
        <f t="shared" si="19"/>
        <v>3</v>
      </c>
      <c r="G224">
        <v>5</v>
      </c>
      <c r="H224">
        <f t="shared" si="20"/>
        <v>35</v>
      </c>
      <c r="I224">
        <f t="shared" si="21"/>
        <v>3500</v>
      </c>
      <c r="J224">
        <v>3500</v>
      </c>
      <c r="K224">
        <f t="shared" si="22"/>
        <v>15</v>
      </c>
      <c r="L224">
        <f t="shared" si="23"/>
        <v>6</v>
      </c>
      <c r="M224">
        <f t="shared" si="24"/>
        <v>120</v>
      </c>
    </row>
    <row r="225" spans="4:13">
      <c r="D225">
        <v>112028</v>
      </c>
      <c r="E225">
        <f t="shared" si="19"/>
        <v>3</v>
      </c>
      <c r="G225">
        <v>6</v>
      </c>
      <c r="H225">
        <f t="shared" si="20"/>
        <v>36</v>
      </c>
      <c r="I225">
        <f t="shared" si="21"/>
        <v>3600</v>
      </c>
      <c r="J225">
        <v>3600</v>
      </c>
      <c r="K225">
        <f t="shared" si="22"/>
        <v>17</v>
      </c>
      <c r="L225">
        <f t="shared" si="23"/>
        <v>6.8</v>
      </c>
      <c r="M225">
        <f t="shared" si="24"/>
        <v>136</v>
      </c>
    </row>
    <row r="226" spans="4:13">
      <c r="D226">
        <v>112028</v>
      </c>
      <c r="E226">
        <f t="shared" si="19"/>
        <v>3</v>
      </c>
      <c r="G226">
        <v>7</v>
      </c>
      <c r="H226">
        <f t="shared" si="20"/>
        <v>37</v>
      </c>
      <c r="I226">
        <f t="shared" si="21"/>
        <v>3700</v>
      </c>
      <c r="J226">
        <v>3700</v>
      </c>
      <c r="K226">
        <f t="shared" si="22"/>
        <v>19</v>
      </c>
      <c r="L226">
        <f t="shared" si="23"/>
        <v>7.6</v>
      </c>
      <c r="M226">
        <f t="shared" si="24"/>
        <v>152</v>
      </c>
    </row>
    <row r="227" spans="4:13">
      <c r="D227">
        <v>112028</v>
      </c>
      <c r="E227">
        <f t="shared" si="19"/>
        <v>3</v>
      </c>
      <c r="G227">
        <v>8</v>
      </c>
      <c r="H227">
        <f t="shared" si="20"/>
        <v>38</v>
      </c>
      <c r="I227">
        <f t="shared" si="21"/>
        <v>3800</v>
      </c>
      <c r="J227">
        <v>3800</v>
      </c>
      <c r="K227">
        <f t="shared" si="22"/>
        <v>21</v>
      </c>
      <c r="L227">
        <f t="shared" si="23"/>
        <v>8.4</v>
      </c>
      <c r="M227">
        <f t="shared" si="24"/>
        <v>168</v>
      </c>
    </row>
    <row r="228" spans="4:13">
      <c r="D228">
        <v>113001</v>
      </c>
      <c r="E228">
        <f t="shared" si="19"/>
        <v>3</v>
      </c>
      <c r="G228">
        <v>3</v>
      </c>
      <c r="H228">
        <f t="shared" si="20"/>
        <v>33</v>
      </c>
      <c r="I228">
        <f t="shared" si="21"/>
        <v>3300</v>
      </c>
      <c r="J228">
        <v>3300</v>
      </c>
      <c r="K228">
        <f t="shared" si="22"/>
        <v>12</v>
      </c>
      <c r="L228">
        <f t="shared" si="23"/>
        <v>4.8</v>
      </c>
      <c r="M228">
        <f t="shared" si="24"/>
        <v>96</v>
      </c>
    </row>
    <row r="229" spans="4:13">
      <c r="D229">
        <v>113001</v>
      </c>
      <c r="E229">
        <f t="shared" si="19"/>
        <v>3</v>
      </c>
      <c r="G229">
        <v>4</v>
      </c>
      <c r="H229">
        <f t="shared" si="20"/>
        <v>34</v>
      </c>
      <c r="I229">
        <f t="shared" si="21"/>
        <v>3400</v>
      </c>
      <c r="J229">
        <v>3400</v>
      </c>
      <c r="K229">
        <f t="shared" si="22"/>
        <v>13.5</v>
      </c>
      <c r="L229">
        <f t="shared" si="23"/>
        <v>5.4</v>
      </c>
      <c r="M229">
        <f t="shared" si="24"/>
        <v>108</v>
      </c>
    </row>
    <row r="230" spans="4:13">
      <c r="D230">
        <v>113001</v>
      </c>
      <c r="E230">
        <f t="shared" si="19"/>
        <v>3</v>
      </c>
      <c r="G230">
        <v>5</v>
      </c>
      <c r="H230">
        <f t="shared" si="20"/>
        <v>35</v>
      </c>
      <c r="I230">
        <f t="shared" si="21"/>
        <v>3500</v>
      </c>
      <c r="J230">
        <v>3500</v>
      </c>
      <c r="K230">
        <f t="shared" si="22"/>
        <v>15</v>
      </c>
      <c r="L230">
        <f t="shared" si="23"/>
        <v>6</v>
      </c>
      <c r="M230">
        <f t="shared" si="24"/>
        <v>120</v>
      </c>
    </row>
    <row r="231" spans="4:13">
      <c r="D231">
        <v>113001</v>
      </c>
      <c r="E231">
        <f t="shared" si="19"/>
        <v>3</v>
      </c>
      <c r="G231">
        <v>6</v>
      </c>
      <c r="H231">
        <f t="shared" si="20"/>
        <v>36</v>
      </c>
      <c r="I231">
        <f t="shared" si="21"/>
        <v>3600</v>
      </c>
      <c r="J231">
        <v>3600</v>
      </c>
      <c r="K231">
        <f t="shared" si="22"/>
        <v>17</v>
      </c>
      <c r="L231">
        <f t="shared" si="23"/>
        <v>6.8</v>
      </c>
      <c r="M231">
        <f t="shared" si="24"/>
        <v>136</v>
      </c>
    </row>
    <row r="232" spans="4:13">
      <c r="D232">
        <v>113001</v>
      </c>
      <c r="E232">
        <f t="shared" si="19"/>
        <v>3</v>
      </c>
      <c r="G232">
        <v>7</v>
      </c>
      <c r="H232">
        <f t="shared" si="20"/>
        <v>37</v>
      </c>
      <c r="I232">
        <f t="shared" si="21"/>
        <v>3700</v>
      </c>
      <c r="J232">
        <v>3700</v>
      </c>
      <c r="K232">
        <f t="shared" si="22"/>
        <v>19</v>
      </c>
      <c r="L232">
        <f t="shared" si="23"/>
        <v>7.6</v>
      </c>
      <c r="M232">
        <f t="shared" si="24"/>
        <v>152</v>
      </c>
    </row>
    <row r="233" spans="4:13">
      <c r="D233">
        <v>113001</v>
      </c>
      <c r="E233">
        <f t="shared" si="19"/>
        <v>3</v>
      </c>
      <c r="G233">
        <v>8</v>
      </c>
      <c r="H233">
        <f t="shared" si="20"/>
        <v>38</v>
      </c>
      <c r="I233">
        <f t="shared" si="21"/>
        <v>3800</v>
      </c>
      <c r="J233">
        <v>3800</v>
      </c>
      <c r="K233">
        <f t="shared" si="22"/>
        <v>21</v>
      </c>
      <c r="L233">
        <f t="shared" si="23"/>
        <v>8.4</v>
      </c>
      <c r="M233">
        <f t="shared" si="24"/>
        <v>168</v>
      </c>
    </row>
    <row r="234" spans="4:13">
      <c r="D234">
        <v>113002</v>
      </c>
      <c r="E234">
        <f t="shared" si="19"/>
        <v>3</v>
      </c>
      <c r="G234">
        <v>3</v>
      </c>
      <c r="H234">
        <f t="shared" si="20"/>
        <v>33</v>
      </c>
      <c r="I234">
        <f t="shared" si="21"/>
        <v>3300</v>
      </c>
      <c r="J234">
        <v>3300</v>
      </c>
      <c r="K234">
        <f t="shared" si="22"/>
        <v>12</v>
      </c>
      <c r="L234">
        <f t="shared" si="23"/>
        <v>4.8</v>
      </c>
      <c r="M234">
        <f t="shared" si="24"/>
        <v>96</v>
      </c>
    </row>
    <row r="235" spans="4:13">
      <c r="D235">
        <v>113002</v>
      </c>
      <c r="E235">
        <f t="shared" si="19"/>
        <v>3</v>
      </c>
      <c r="G235">
        <v>4</v>
      </c>
      <c r="H235">
        <f t="shared" si="20"/>
        <v>34</v>
      </c>
      <c r="I235">
        <f t="shared" si="21"/>
        <v>3400</v>
      </c>
      <c r="J235">
        <v>3400</v>
      </c>
      <c r="K235">
        <f t="shared" si="22"/>
        <v>13.5</v>
      </c>
      <c r="L235">
        <f t="shared" si="23"/>
        <v>5.4</v>
      </c>
      <c r="M235">
        <f t="shared" si="24"/>
        <v>108</v>
      </c>
    </row>
    <row r="236" spans="4:13">
      <c r="D236">
        <v>113002</v>
      </c>
      <c r="E236">
        <f t="shared" si="19"/>
        <v>3</v>
      </c>
      <c r="G236">
        <v>5</v>
      </c>
      <c r="H236">
        <f t="shared" si="20"/>
        <v>35</v>
      </c>
      <c r="I236">
        <f t="shared" si="21"/>
        <v>3500</v>
      </c>
      <c r="J236">
        <v>3500</v>
      </c>
      <c r="K236">
        <f t="shared" si="22"/>
        <v>15</v>
      </c>
      <c r="L236">
        <f t="shared" si="23"/>
        <v>6</v>
      </c>
      <c r="M236">
        <f t="shared" si="24"/>
        <v>120</v>
      </c>
    </row>
    <row r="237" spans="4:13">
      <c r="D237">
        <v>113002</v>
      </c>
      <c r="E237">
        <f t="shared" si="19"/>
        <v>3</v>
      </c>
      <c r="G237">
        <v>6</v>
      </c>
      <c r="H237">
        <f t="shared" si="20"/>
        <v>36</v>
      </c>
      <c r="I237">
        <f t="shared" si="21"/>
        <v>3600</v>
      </c>
      <c r="J237">
        <v>3600</v>
      </c>
      <c r="K237">
        <f t="shared" si="22"/>
        <v>17</v>
      </c>
      <c r="L237">
        <f t="shared" si="23"/>
        <v>6.8</v>
      </c>
      <c r="M237">
        <f t="shared" si="24"/>
        <v>136</v>
      </c>
    </row>
    <row r="238" spans="4:13">
      <c r="D238">
        <v>113002</v>
      </c>
      <c r="E238">
        <f t="shared" si="19"/>
        <v>3</v>
      </c>
      <c r="G238">
        <v>7</v>
      </c>
      <c r="H238">
        <f t="shared" si="20"/>
        <v>37</v>
      </c>
      <c r="I238">
        <f t="shared" si="21"/>
        <v>3700</v>
      </c>
      <c r="J238">
        <v>3700</v>
      </c>
      <c r="K238">
        <f t="shared" si="22"/>
        <v>19</v>
      </c>
      <c r="L238">
        <f t="shared" si="23"/>
        <v>7.6</v>
      </c>
      <c r="M238">
        <f t="shared" si="24"/>
        <v>152</v>
      </c>
    </row>
    <row r="239" spans="4:13">
      <c r="D239">
        <v>113002</v>
      </c>
      <c r="E239">
        <f t="shared" si="19"/>
        <v>3</v>
      </c>
      <c r="G239">
        <v>8</v>
      </c>
      <c r="H239">
        <f t="shared" si="20"/>
        <v>38</v>
      </c>
      <c r="I239">
        <f t="shared" si="21"/>
        <v>3800</v>
      </c>
      <c r="J239">
        <v>3800</v>
      </c>
      <c r="K239">
        <f t="shared" si="22"/>
        <v>21</v>
      </c>
      <c r="L239">
        <f t="shared" si="23"/>
        <v>8.4</v>
      </c>
      <c r="M239">
        <f t="shared" si="24"/>
        <v>168</v>
      </c>
    </row>
    <row r="240" spans="4:13">
      <c r="D240">
        <v>113003</v>
      </c>
      <c r="E240">
        <f t="shared" si="19"/>
        <v>3</v>
      </c>
      <c r="G240">
        <v>3</v>
      </c>
      <c r="H240">
        <f t="shared" si="20"/>
        <v>33</v>
      </c>
      <c r="I240">
        <f t="shared" si="21"/>
        <v>3300</v>
      </c>
      <c r="J240">
        <v>3300</v>
      </c>
      <c r="K240">
        <f t="shared" si="22"/>
        <v>12</v>
      </c>
      <c r="L240">
        <f t="shared" si="23"/>
        <v>4.8</v>
      </c>
      <c r="M240">
        <f t="shared" si="24"/>
        <v>96</v>
      </c>
    </row>
    <row r="241" spans="4:13">
      <c r="D241">
        <v>113003</v>
      </c>
      <c r="E241">
        <f t="shared" si="19"/>
        <v>3</v>
      </c>
      <c r="G241">
        <v>4</v>
      </c>
      <c r="H241">
        <f t="shared" si="20"/>
        <v>34</v>
      </c>
      <c r="I241">
        <f t="shared" si="21"/>
        <v>3400</v>
      </c>
      <c r="J241">
        <v>3400</v>
      </c>
      <c r="K241">
        <f t="shared" si="22"/>
        <v>13.5</v>
      </c>
      <c r="L241">
        <f t="shared" si="23"/>
        <v>5.4</v>
      </c>
      <c r="M241">
        <f t="shared" si="24"/>
        <v>108</v>
      </c>
    </row>
    <row r="242" spans="4:13">
      <c r="D242">
        <v>113003</v>
      </c>
      <c r="E242">
        <f t="shared" si="19"/>
        <v>3</v>
      </c>
      <c r="G242">
        <v>5</v>
      </c>
      <c r="H242">
        <f t="shared" si="20"/>
        <v>35</v>
      </c>
      <c r="I242">
        <f t="shared" si="21"/>
        <v>3500</v>
      </c>
      <c r="J242">
        <v>3500</v>
      </c>
      <c r="K242">
        <f t="shared" si="22"/>
        <v>15</v>
      </c>
      <c r="L242">
        <f t="shared" si="23"/>
        <v>6</v>
      </c>
      <c r="M242">
        <f t="shared" si="24"/>
        <v>120</v>
      </c>
    </row>
    <row r="243" spans="4:13">
      <c r="D243">
        <v>113003</v>
      </c>
      <c r="E243">
        <f t="shared" si="19"/>
        <v>3</v>
      </c>
      <c r="G243">
        <v>6</v>
      </c>
      <c r="H243">
        <f t="shared" si="20"/>
        <v>36</v>
      </c>
      <c r="I243">
        <f t="shared" si="21"/>
        <v>3600</v>
      </c>
      <c r="J243">
        <v>3600</v>
      </c>
      <c r="K243">
        <f t="shared" si="22"/>
        <v>17</v>
      </c>
      <c r="L243">
        <f t="shared" si="23"/>
        <v>6.8</v>
      </c>
      <c r="M243">
        <f t="shared" si="24"/>
        <v>136</v>
      </c>
    </row>
    <row r="244" spans="4:13">
      <c r="D244">
        <v>113003</v>
      </c>
      <c r="E244">
        <f t="shared" si="19"/>
        <v>3</v>
      </c>
      <c r="G244">
        <v>7</v>
      </c>
      <c r="H244">
        <f t="shared" si="20"/>
        <v>37</v>
      </c>
      <c r="I244">
        <f t="shared" si="21"/>
        <v>3700</v>
      </c>
      <c r="J244">
        <v>3700</v>
      </c>
      <c r="K244">
        <f t="shared" si="22"/>
        <v>19</v>
      </c>
      <c r="L244">
        <f t="shared" si="23"/>
        <v>7.6</v>
      </c>
      <c r="M244">
        <f t="shared" si="24"/>
        <v>152</v>
      </c>
    </row>
    <row r="245" spans="4:13">
      <c r="D245">
        <v>113003</v>
      </c>
      <c r="E245">
        <f t="shared" si="19"/>
        <v>3</v>
      </c>
      <c r="G245">
        <v>8</v>
      </c>
      <c r="H245">
        <f t="shared" si="20"/>
        <v>38</v>
      </c>
      <c r="I245">
        <f t="shared" si="21"/>
        <v>3800</v>
      </c>
      <c r="J245">
        <v>3800</v>
      </c>
      <c r="K245">
        <f t="shared" si="22"/>
        <v>21</v>
      </c>
      <c r="L245">
        <f t="shared" si="23"/>
        <v>8.4</v>
      </c>
      <c r="M245">
        <f t="shared" si="24"/>
        <v>168</v>
      </c>
    </row>
    <row r="246" spans="4:13">
      <c r="D246">
        <v>113004</v>
      </c>
      <c r="E246">
        <f t="shared" si="19"/>
        <v>3</v>
      </c>
      <c r="G246">
        <v>3</v>
      </c>
      <c r="H246">
        <f t="shared" si="20"/>
        <v>33</v>
      </c>
      <c r="I246">
        <f t="shared" si="21"/>
        <v>3300</v>
      </c>
      <c r="J246">
        <v>3300</v>
      </c>
      <c r="K246">
        <f t="shared" si="22"/>
        <v>12</v>
      </c>
      <c r="L246">
        <f t="shared" si="23"/>
        <v>4.8</v>
      </c>
      <c r="M246">
        <f t="shared" si="24"/>
        <v>96</v>
      </c>
    </row>
    <row r="247" spans="4:13">
      <c r="D247">
        <v>113004</v>
      </c>
      <c r="E247">
        <f t="shared" si="19"/>
        <v>3</v>
      </c>
      <c r="G247">
        <v>4</v>
      </c>
      <c r="H247">
        <f t="shared" si="20"/>
        <v>34</v>
      </c>
      <c r="I247">
        <f t="shared" si="21"/>
        <v>3400</v>
      </c>
      <c r="J247">
        <v>3400</v>
      </c>
      <c r="K247">
        <f t="shared" si="22"/>
        <v>13.5</v>
      </c>
      <c r="L247">
        <f t="shared" si="23"/>
        <v>5.4</v>
      </c>
      <c r="M247">
        <f t="shared" si="24"/>
        <v>108</v>
      </c>
    </row>
    <row r="248" spans="4:13">
      <c r="D248">
        <v>113004</v>
      </c>
      <c r="E248">
        <f t="shared" si="19"/>
        <v>3</v>
      </c>
      <c r="G248">
        <v>5</v>
      </c>
      <c r="H248">
        <f t="shared" si="20"/>
        <v>35</v>
      </c>
      <c r="I248">
        <f t="shared" si="21"/>
        <v>3500</v>
      </c>
      <c r="J248">
        <v>3500</v>
      </c>
      <c r="K248">
        <f t="shared" si="22"/>
        <v>15</v>
      </c>
      <c r="L248">
        <f t="shared" si="23"/>
        <v>6</v>
      </c>
      <c r="M248">
        <f t="shared" si="24"/>
        <v>120</v>
      </c>
    </row>
    <row r="249" spans="4:13">
      <c r="D249">
        <v>113004</v>
      </c>
      <c r="E249">
        <f t="shared" si="19"/>
        <v>3</v>
      </c>
      <c r="G249">
        <v>6</v>
      </c>
      <c r="H249">
        <f t="shared" si="20"/>
        <v>36</v>
      </c>
      <c r="I249">
        <f t="shared" si="21"/>
        <v>3600</v>
      </c>
      <c r="J249">
        <v>3600</v>
      </c>
      <c r="K249">
        <f t="shared" si="22"/>
        <v>17</v>
      </c>
      <c r="L249">
        <f t="shared" si="23"/>
        <v>6.8</v>
      </c>
      <c r="M249">
        <f t="shared" si="24"/>
        <v>136</v>
      </c>
    </row>
    <row r="250" spans="4:13">
      <c r="D250">
        <v>113004</v>
      </c>
      <c r="E250">
        <f t="shared" si="19"/>
        <v>3</v>
      </c>
      <c r="G250">
        <v>7</v>
      </c>
      <c r="H250">
        <f t="shared" si="20"/>
        <v>37</v>
      </c>
      <c r="I250">
        <f t="shared" si="21"/>
        <v>3700</v>
      </c>
      <c r="J250">
        <v>3700</v>
      </c>
      <c r="K250">
        <f t="shared" si="22"/>
        <v>19</v>
      </c>
      <c r="L250">
        <f t="shared" si="23"/>
        <v>7.6</v>
      </c>
      <c r="M250">
        <f t="shared" si="24"/>
        <v>152</v>
      </c>
    </row>
    <row r="251" spans="4:13">
      <c r="D251">
        <v>113004</v>
      </c>
      <c r="E251">
        <f t="shared" si="19"/>
        <v>3</v>
      </c>
      <c r="G251">
        <v>8</v>
      </c>
      <c r="H251">
        <f t="shared" si="20"/>
        <v>38</v>
      </c>
      <c r="I251">
        <f t="shared" si="21"/>
        <v>3800</v>
      </c>
      <c r="J251">
        <v>3800</v>
      </c>
      <c r="K251">
        <f t="shared" si="22"/>
        <v>21</v>
      </c>
      <c r="L251">
        <f t="shared" si="23"/>
        <v>8.4</v>
      </c>
      <c r="M251">
        <f t="shared" si="24"/>
        <v>168</v>
      </c>
    </row>
    <row r="252" spans="4:13">
      <c r="D252">
        <v>113005</v>
      </c>
      <c r="E252">
        <f t="shared" si="19"/>
        <v>3</v>
      </c>
      <c r="G252">
        <v>3</v>
      </c>
      <c r="H252">
        <f t="shared" si="20"/>
        <v>33</v>
      </c>
      <c r="I252">
        <f t="shared" si="21"/>
        <v>3300</v>
      </c>
      <c r="J252">
        <v>3300</v>
      </c>
      <c r="K252">
        <f t="shared" si="22"/>
        <v>12</v>
      </c>
      <c r="L252">
        <f t="shared" si="23"/>
        <v>4.8</v>
      </c>
      <c r="M252">
        <f t="shared" si="24"/>
        <v>96</v>
      </c>
    </row>
    <row r="253" spans="4:13">
      <c r="D253">
        <v>113005</v>
      </c>
      <c r="E253">
        <f t="shared" si="19"/>
        <v>3</v>
      </c>
      <c r="G253">
        <v>4</v>
      </c>
      <c r="H253">
        <f t="shared" si="20"/>
        <v>34</v>
      </c>
      <c r="I253">
        <f t="shared" si="21"/>
        <v>3400</v>
      </c>
      <c r="J253">
        <v>3400</v>
      </c>
      <c r="K253">
        <f t="shared" si="22"/>
        <v>13.5</v>
      </c>
      <c r="L253">
        <f t="shared" si="23"/>
        <v>5.4</v>
      </c>
      <c r="M253">
        <f t="shared" si="24"/>
        <v>108</v>
      </c>
    </row>
    <row r="254" spans="4:13">
      <c r="D254">
        <v>113005</v>
      </c>
      <c r="E254">
        <f t="shared" si="19"/>
        <v>3</v>
      </c>
      <c r="G254">
        <v>5</v>
      </c>
      <c r="H254">
        <f t="shared" si="20"/>
        <v>35</v>
      </c>
      <c r="I254">
        <f t="shared" si="21"/>
        <v>3500</v>
      </c>
      <c r="J254">
        <v>3500</v>
      </c>
      <c r="K254">
        <f t="shared" si="22"/>
        <v>15</v>
      </c>
      <c r="L254">
        <f t="shared" si="23"/>
        <v>6</v>
      </c>
      <c r="M254">
        <f t="shared" si="24"/>
        <v>120</v>
      </c>
    </row>
    <row r="255" spans="4:13">
      <c r="D255">
        <v>113005</v>
      </c>
      <c r="E255">
        <f t="shared" si="19"/>
        <v>3</v>
      </c>
      <c r="G255">
        <v>6</v>
      </c>
      <c r="H255">
        <f t="shared" si="20"/>
        <v>36</v>
      </c>
      <c r="I255">
        <f t="shared" si="21"/>
        <v>3600</v>
      </c>
      <c r="J255">
        <v>3600</v>
      </c>
      <c r="K255">
        <f t="shared" si="22"/>
        <v>17</v>
      </c>
      <c r="L255">
        <f t="shared" si="23"/>
        <v>6.8</v>
      </c>
      <c r="M255">
        <f t="shared" si="24"/>
        <v>136</v>
      </c>
    </row>
    <row r="256" spans="4:13">
      <c r="D256">
        <v>113005</v>
      </c>
      <c r="E256">
        <f t="shared" si="19"/>
        <v>3</v>
      </c>
      <c r="G256">
        <v>7</v>
      </c>
      <c r="H256">
        <f t="shared" si="20"/>
        <v>37</v>
      </c>
      <c r="I256">
        <f t="shared" si="21"/>
        <v>3700</v>
      </c>
      <c r="J256">
        <v>3700</v>
      </c>
      <c r="K256">
        <f t="shared" si="22"/>
        <v>19</v>
      </c>
      <c r="L256">
        <f t="shared" si="23"/>
        <v>7.6</v>
      </c>
      <c r="M256">
        <f t="shared" si="24"/>
        <v>152</v>
      </c>
    </row>
    <row r="257" spans="4:13">
      <c r="D257">
        <v>113005</v>
      </c>
      <c r="E257">
        <f t="shared" si="19"/>
        <v>3</v>
      </c>
      <c r="G257">
        <v>8</v>
      </c>
      <c r="H257">
        <f t="shared" si="20"/>
        <v>38</v>
      </c>
      <c r="I257">
        <f t="shared" si="21"/>
        <v>3800</v>
      </c>
      <c r="J257">
        <v>3800</v>
      </c>
      <c r="K257">
        <f t="shared" si="22"/>
        <v>21</v>
      </c>
      <c r="L257">
        <f t="shared" si="23"/>
        <v>8.4</v>
      </c>
      <c r="M257">
        <f t="shared" si="24"/>
        <v>168</v>
      </c>
    </row>
    <row r="258" spans="4:13">
      <c r="D258">
        <v>113006</v>
      </c>
      <c r="E258">
        <f t="shared" si="19"/>
        <v>3</v>
      </c>
      <c r="G258">
        <v>3</v>
      </c>
      <c r="H258">
        <f t="shared" si="20"/>
        <v>33</v>
      </c>
      <c r="I258">
        <f t="shared" si="21"/>
        <v>3300</v>
      </c>
      <c r="J258">
        <v>3300</v>
      </c>
      <c r="K258">
        <f t="shared" si="22"/>
        <v>12</v>
      </c>
      <c r="L258">
        <f t="shared" si="23"/>
        <v>4.8</v>
      </c>
      <c r="M258">
        <f t="shared" si="24"/>
        <v>96</v>
      </c>
    </row>
    <row r="259" spans="4:13">
      <c r="D259">
        <v>113006</v>
      </c>
      <c r="E259">
        <f t="shared" si="19"/>
        <v>3</v>
      </c>
      <c r="G259">
        <v>4</v>
      </c>
      <c r="H259">
        <f t="shared" si="20"/>
        <v>34</v>
      </c>
      <c r="I259">
        <f t="shared" si="21"/>
        <v>3400</v>
      </c>
      <c r="J259">
        <v>3400</v>
      </c>
      <c r="K259">
        <f t="shared" si="22"/>
        <v>13.5</v>
      </c>
      <c r="L259">
        <f t="shared" si="23"/>
        <v>5.4</v>
      </c>
      <c r="M259">
        <f t="shared" si="24"/>
        <v>108</v>
      </c>
    </row>
    <row r="260" spans="4:13">
      <c r="D260">
        <v>113006</v>
      </c>
      <c r="E260">
        <f t="shared" si="19"/>
        <v>3</v>
      </c>
      <c r="G260">
        <v>5</v>
      </c>
      <c r="H260">
        <f t="shared" si="20"/>
        <v>35</v>
      </c>
      <c r="I260">
        <f t="shared" si="21"/>
        <v>3500</v>
      </c>
      <c r="J260">
        <v>3500</v>
      </c>
      <c r="K260">
        <f t="shared" si="22"/>
        <v>15</v>
      </c>
      <c r="L260">
        <f t="shared" si="23"/>
        <v>6</v>
      </c>
      <c r="M260">
        <f t="shared" si="24"/>
        <v>120</v>
      </c>
    </row>
    <row r="261" spans="4:13">
      <c r="D261">
        <v>113006</v>
      </c>
      <c r="E261">
        <f t="shared" si="19"/>
        <v>3</v>
      </c>
      <c r="G261">
        <v>6</v>
      </c>
      <c r="H261">
        <f t="shared" si="20"/>
        <v>36</v>
      </c>
      <c r="I261">
        <f t="shared" si="21"/>
        <v>3600</v>
      </c>
      <c r="J261">
        <v>3600</v>
      </c>
      <c r="K261">
        <f t="shared" si="22"/>
        <v>17</v>
      </c>
      <c r="L261">
        <f t="shared" si="23"/>
        <v>6.8</v>
      </c>
      <c r="M261">
        <f t="shared" si="24"/>
        <v>136</v>
      </c>
    </row>
    <row r="262" spans="4:13">
      <c r="D262">
        <v>113006</v>
      </c>
      <c r="E262">
        <f t="shared" si="19"/>
        <v>3</v>
      </c>
      <c r="G262">
        <v>7</v>
      </c>
      <c r="H262">
        <f t="shared" si="20"/>
        <v>37</v>
      </c>
      <c r="I262">
        <f t="shared" si="21"/>
        <v>3700</v>
      </c>
      <c r="J262">
        <v>3700</v>
      </c>
      <c r="K262">
        <f t="shared" si="22"/>
        <v>19</v>
      </c>
      <c r="L262">
        <f t="shared" si="23"/>
        <v>7.6</v>
      </c>
      <c r="M262">
        <f t="shared" si="24"/>
        <v>152</v>
      </c>
    </row>
    <row r="263" spans="4:13">
      <c r="D263">
        <v>113006</v>
      </c>
      <c r="E263">
        <f t="shared" si="19"/>
        <v>3</v>
      </c>
      <c r="G263">
        <v>8</v>
      </c>
      <c r="H263">
        <f t="shared" si="20"/>
        <v>38</v>
      </c>
      <c r="I263">
        <f t="shared" si="21"/>
        <v>3800</v>
      </c>
      <c r="J263">
        <v>3800</v>
      </c>
      <c r="K263">
        <f t="shared" si="22"/>
        <v>21</v>
      </c>
      <c r="L263">
        <f t="shared" si="23"/>
        <v>8.4</v>
      </c>
      <c r="M263">
        <f t="shared" si="24"/>
        <v>168</v>
      </c>
    </row>
    <row r="264" spans="4:13">
      <c r="D264">
        <v>113007</v>
      </c>
      <c r="E264">
        <f t="shared" ref="E264:E327" si="25">VLOOKUP(D264,Q:R,2,FALSE)</f>
        <v>3</v>
      </c>
      <c r="G264">
        <v>3</v>
      </c>
      <c r="H264">
        <f t="shared" ref="H264:H327" si="26">E264*10+G264</f>
        <v>33</v>
      </c>
      <c r="I264">
        <f t="shared" ref="I264:I327" si="27">H264*100</f>
        <v>3300</v>
      </c>
      <c r="J264">
        <v>3300</v>
      </c>
      <c r="K264">
        <f t="shared" ref="K264:K327" si="28">VLOOKUP(J264,U:X,2,FALSE)</f>
        <v>12</v>
      </c>
      <c r="L264">
        <f t="shared" ref="L264:L327" si="29">VLOOKUP(J264,U:X,3,FALSE)</f>
        <v>4.8</v>
      </c>
      <c r="M264">
        <f t="shared" ref="M264:M327" si="30">VLOOKUP(J264,U:X,4,FALSE)</f>
        <v>96</v>
      </c>
    </row>
    <row r="265" spans="4:13">
      <c r="D265">
        <v>113007</v>
      </c>
      <c r="E265">
        <f t="shared" si="25"/>
        <v>3</v>
      </c>
      <c r="G265">
        <v>4</v>
      </c>
      <c r="H265">
        <f t="shared" si="26"/>
        <v>34</v>
      </c>
      <c r="I265">
        <f t="shared" si="27"/>
        <v>3400</v>
      </c>
      <c r="J265">
        <v>3400</v>
      </c>
      <c r="K265">
        <f t="shared" si="28"/>
        <v>13.5</v>
      </c>
      <c r="L265">
        <f t="shared" si="29"/>
        <v>5.4</v>
      </c>
      <c r="M265">
        <f t="shared" si="30"/>
        <v>108</v>
      </c>
    </row>
    <row r="266" spans="4:13">
      <c r="D266">
        <v>113007</v>
      </c>
      <c r="E266">
        <f t="shared" si="25"/>
        <v>3</v>
      </c>
      <c r="G266">
        <v>5</v>
      </c>
      <c r="H266">
        <f t="shared" si="26"/>
        <v>35</v>
      </c>
      <c r="I266">
        <f t="shared" si="27"/>
        <v>3500</v>
      </c>
      <c r="J266">
        <v>3500</v>
      </c>
      <c r="K266">
        <f t="shared" si="28"/>
        <v>15</v>
      </c>
      <c r="L266">
        <f t="shared" si="29"/>
        <v>6</v>
      </c>
      <c r="M266">
        <f t="shared" si="30"/>
        <v>120</v>
      </c>
    </row>
    <row r="267" spans="4:13">
      <c r="D267">
        <v>113007</v>
      </c>
      <c r="E267">
        <f t="shared" si="25"/>
        <v>3</v>
      </c>
      <c r="G267">
        <v>6</v>
      </c>
      <c r="H267">
        <f t="shared" si="26"/>
        <v>36</v>
      </c>
      <c r="I267">
        <f t="shared" si="27"/>
        <v>3600</v>
      </c>
      <c r="J267">
        <v>3600</v>
      </c>
      <c r="K267">
        <f t="shared" si="28"/>
        <v>17</v>
      </c>
      <c r="L267">
        <f t="shared" si="29"/>
        <v>6.8</v>
      </c>
      <c r="M267">
        <f t="shared" si="30"/>
        <v>136</v>
      </c>
    </row>
    <row r="268" spans="4:13">
      <c r="D268">
        <v>113007</v>
      </c>
      <c r="E268">
        <f t="shared" si="25"/>
        <v>3</v>
      </c>
      <c r="G268">
        <v>7</v>
      </c>
      <c r="H268">
        <f t="shared" si="26"/>
        <v>37</v>
      </c>
      <c r="I268">
        <f t="shared" si="27"/>
        <v>3700</v>
      </c>
      <c r="J268">
        <v>3700</v>
      </c>
      <c r="K268">
        <f t="shared" si="28"/>
        <v>19</v>
      </c>
      <c r="L268">
        <f t="shared" si="29"/>
        <v>7.6</v>
      </c>
      <c r="M268">
        <f t="shared" si="30"/>
        <v>152</v>
      </c>
    </row>
    <row r="269" spans="4:13">
      <c r="D269">
        <v>113007</v>
      </c>
      <c r="E269">
        <f t="shared" si="25"/>
        <v>3</v>
      </c>
      <c r="G269">
        <v>8</v>
      </c>
      <c r="H269">
        <f t="shared" si="26"/>
        <v>38</v>
      </c>
      <c r="I269">
        <f t="shared" si="27"/>
        <v>3800</v>
      </c>
      <c r="J269">
        <v>3800</v>
      </c>
      <c r="K269">
        <f t="shared" si="28"/>
        <v>21</v>
      </c>
      <c r="L269">
        <f t="shared" si="29"/>
        <v>8.4</v>
      </c>
      <c r="M269">
        <f t="shared" si="30"/>
        <v>168</v>
      </c>
    </row>
    <row r="270" spans="4:13">
      <c r="D270">
        <v>113008</v>
      </c>
      <c r="E270">
        <f t="shared" si="25"/>
        <v>3</v>
      </c>
      <c r="G270">
        <v>3</v>
      </c>
      <c r="H270">
        <f t="shared" si="26"/>
        <v>33</v>
      </c>
      <c r="I270">
        <f t="shared" si="27"/>
        <v>3300</v>
      </c>
      <c r="J270">
        <v>3300</v>
      </c>
      <c r="K270">
        <f t="shared" si="28"/>
        <v>12</v>
      </c>
      <c r="L270">
        <f t="shared" si="29"/>
        <v>4.8</v>
      </c>
      <c r="M270">
        <f t="shared" si="30"/>
        <v>96</v>
      </c>
    </row>
    <row r="271" spans="4:13">
      <c r="D271">
        <v>113008</v>
      </c>
      <c r="E271">
        <f t="shared" si="25"/>
        <v>3</v>
      </c>
      <c r="G271">
        <v>4</v>
      </c>
      <c r="H271">
        <f t="shared" si="26"/>
        <v>34</v>
      </c>
      <c r="I271">
        <f t="shared" si="27"/>
        <v>3400</v>
      </c>
      <c r="J271">
        <v>3400</v>
      </c>
      <c r="K271">
        <f t="shared" si="28"/>
        <v>13.5</v>
      </c>
      <c r="L271">
        <f t="shared" si="29"/>
        <v>5.4</v>
      </c>
      <c r="M271">
        <f t="shared" si="30"/>
        <v>108</v>
      </c>
    </row>
    <row r="272" spans="4:13">
      <c r="D272">
        <v>113008</v>
      </c>
      <c r="E272">
        <f t="shared" si="25"/>
        <v>3</v>
      </c>
      <c r="G272">
        <v>5</v>
      </c>
      <c r="H272">
        <f t="shared" si="26"/>
        <v>35</v>
      </c>
      <c r="I272">
        <f t="shared" si="27"/>
        <v>3500</v>
      </c>
      <c r="J272">
        <v>3500</v>
      </c>
      <c r="K272">
        <f t="shared" si="28"/>
        <v>15</v>
      </c>
      <c r="L272">
        <f t="shared" si="29"/>
        <v>6</v>
      </c>
      <c r="M272">
        <f t="shared" si="30"/>
        <v>120</v>
      </c>
    </row>
    <row r="273" spans="4:13">
      <c r="D273">
        <v>113008</v>
      </c>
      <c r="E273">
        <f t="shared" si="25"/>
        <v>3</v>
      </c>
      <c r="G273">
        <v>6</v>
      </c>
      <c r="H273">
        <f t="shared" si="26"/>
        <v>36</v>
      </c>
      <c r="I273">
        <f t="shared" si="27"/>
        <v>3600</v>
      </c>
      <c r="J273">
        <v>3600</v>
      </c>
      <c r="K273">
        <f t="shared" si="28"/>
        <v>17</v>
      </c>
      <c r="L273">
        <f t="shared" si="29"/>
        <v>6.8</v>
      </c>
      <c r="M273">
        <f t="shared" si="30"/>
        <v>136</v>
      </c>
    </row>
    <row r="274" spans="4:13">
      <c r="D274">
        <v>113008</v>
      </c>
      <c r="E274">
        <f t="shared" si="25"/>
        <v>3</v>
      </c>
      <c r="G274">
        <v>7</v>
      </c>
      <c r="H274">
        <f t="shared" si="26"/>
        <v>37</v>
      </c>
      <c r="I274">
        <f t="shared" si="27"/>
        <v>3700</v>
      </c>
      <c r="J274">
        <v>3700</v>
      </c>
      <c r="K274">
        <f t="shared" si="28"/>
        <v>19</v>
      </c>
      <c r="L274">
        <f t="shared" si="29"/>
        <v>7.6</v>
      </c>
      <c r="M274">
        <f t="shared" si="30"/>
        <v>152</v>
      </c>
    </row>
    <row r="275" spans="4:13">
      <c r="D275">
        <v>113008</v>
      </c>
      <c r="E275">
        <f t="shared" si="25"/>
        <v>3</v>
      </c>
      <c r="G275">
        <v>8</v>
      </c>
      <c r="H275">
        <f t="shared" si="26"/>
        <v>38</v>
      </c>
      <c r="I275">
        <f t="shared" si="27"/>
        <v>3800</v>
      </c>
      <c r="J275">
        <v>3800</v>
      </c>
      <c r="K275">
        <f t="shared" si="28"/>
        <v>21</v>
      </c>
      <c r="L275">
        <f t="shared" si="29"/>
        <v>8.4</v>
      </c>
      <c r="M275">
        <f t="shared" si="30"/>
        <v>168</v>
      </c>
    </row>
    <row r="276" spans="4:13">
      <c r="D276">
        <v>113009</v>
      </c>
      <c r="E276">
        <f t="shared" si="25"/>
        <v>3</v>
      </c>
      <c r="G276">
        <v>3</v>
      </c>
      <c r="H276">
        <f t="shared" si="26"/>
        <v>33</v>
      </c>
      <c r="I276">
        <f t="shared" si="27"/>
        <v>3300</v>
      </c>
      <c r="J276">
        <v>3300</v>
      </c>
      <c r="K276">
        <f t="shared" si="28"/>
        <v>12</v>
      </c>
      <c r="L276">
        <f t="shared" si="29"/>
        <v>4.8</v>
      </c>
      <c r="M276">
        <f t="shared" si="30"/>
        <v>96</v>
      </c>
    </row>
    <row r="277" spans="4:13">
      <c r="D277">
        <v>113009</v>
      </c>
      <c r="E277">
        <f t="shared" si="25"/>
        <v>3</v>
      </c>
      <c r="G277">
        <v>4</v>
      </c>
      <c r="H277">
        <f t="shared" si="26"/>
        <v>34</v>
      </c>
      <c r="I277">
        <f t="shared" si="27"/>
        <v>3400</v>
      </c>
      <c r="J277">
        <v>3400</v>
      </c>
      <c r="K277">
        <f t="shared" si="28"/>
        <v>13.5</v>
      </c>
      <c r="L277">
        <f t="shared" si="29"/>
        <v>5.4</v>
      </c>
      <c r="M277">
        <f t="shared" si="30"/>
        <v>108</v>
      </c>
    </row>
    <row r="278" spans="4:13">
      <c r="D278">
        <v>113009</v>
      </c>
      <c r="E278">
        <f t="shared" si="25"/>
        <v>3</v>
      </c>
      <c r="G278">
        <v>5</v>
      </c>
      <c r="H278">
        <f t="shared" si="26"/>
        <v>35</v>
      </c>
      <c r="I278">
        <f t="shared" si="27"/>
        <v>3500</v>
      </c>
      <c r="J278">
        <v>3500</v>
      </c>
      <c r="K278">
        <f t="shared" si="28"/>
        <v>15</v>
      </c>
      <c r="L278">
        <f t="shared" si="29"/>
        <v>6</v>
      </c>
      <c r="M278">
        <f t="shared" si="30"/>
        <v>120</v>
      </c>
    </row>
    <row r="279" spans="4:13">
      <c r="D279">
        <v>113009</v>
      </c>
      <c r="E279">
        <f t="shared" si="25"/>
        <v>3</v>
      </c>
      <c r="G279">
        <v>6</v>
      </c>
      <c r="H279">
        <f t="shared" si="26"/>
        <v>36</v>
      </c>
      <c r="I279">
        <f t="shared" si="27"/>
        <v>3600</v>
      </c>
      <c r="J279">
        <v>3600</v>
      </c>
      <c r="K279">
        <f t="shared" si="28"/>
        <v>17</v>
      </c>
      <c r="L279">
        <f t="shared" si="29"/>
        <v>6.8</v>
      </c>
      <c r="M279">
        <f t="shared" si="30"/>
        <v>136</v>
      </c>
    </row>
    <row r="280" spans="4:13">
      <c r="D280">
        <v>113009</v>
      </c>
      <c r="E280">
        <f t="shared" si="25"/>
        <v>3</v>
      </c>
      <c r="G280">
        <v>7</v>
      </c>
      <c r="H280">
        <f t="shared" si="26"/>
        <v>37</v>
      </c>
      <c r="I280">
        <f t="shared" si="27"/>
        <v>3700</v>
      </c>
      <c r="J280">
        <v>3700</v>
      </c>
      <c r="K280">
        <f t="shared" si="28"/>
        <v>19</v>
      </c>
      <c r="L280">
        <f t="shared" si="29"/>
        <v>7.6</v>
      </c>
      <c r="M280">
        <f t="shared" si="30"/>
        <v>152</v>
      </c>
    </row>
    <row r="281" spans="4:13">
      <c r="D281">
        <v>113009</v>
      </c>
      <c r="E281">
        <f t="shared" si="25"/>
        <v>3</v>
      </c>
      <c r="G281">
        <v>8</v>
      </c>
      <c r="H281">
        <f t="shared" si="26"/>
        <v>38</v>
      </c>
      <c r="I281">
        <f t="shared" si="27"/>
        <v>3800</v>
      </c>
      <c r="J281">
        <v>3800</v>
      </c>
      <c r="K281">
        <f t="shared" si="28"/>
        <v>21</v>
      </c>
      <c r="L281">
        <f t="shared" si="29"/>
        <v>8.4</v>
      </c>
      <c r="M281">
        <f t="shared" si="30"/>
        <v>168</v>
      </c>
    </row>
    <row r="282" spans="4:13">
      <c r="D282">
        <v>113010</v>
      </c>
      <c r="E282">
        <f t="shared" si="25"/>
        <v>3</v>
      </c>
      <c r="G282">
        <v>3</v>
      </c>
      <c r="H282">
        <f t="shared" si="26"/>
        <v>33</v>
      </c>
      <c r="I282">
        <f t="shared" si="27"/>
        <v>3300</v>
      </c>
      <c r="J282">
        <v>3300</v>
      </c>
      <c r="K282">
        <f t="shared" si="28"/>
        <v>12</v>
      </c>
      <c r="L282">
        <f t="shared" si="29"/>
        <v>4.8</v>
      </c>
      <c r="M282">
        <f t="shared" si="30"/>
        <v>96</v>
      </c>
    </row>
    <row r="283" spans="4:13">
      <c r="D283">
        <v>113010</v>
      </c>
      <c r="E283">
        <f t="shared" si="25"/>
        <v>3</v>
      </c>
      <c r="G283">
        <v>4</v>
      </c>
      <c r="H283">
        <f t="shared" si="26"/>
        <v>34</v>
      </c>
      <c r="I283">
        <f t="shared" si="27"/>
        <v>3400</v>
      </c>
      <c r="J283">
        <v>3400</v>
      </c>
      <c r="K283">
        <f t="shared" si="28"/>
        <v>13.5</v>
      </c>
      <c r="L283">
        <f t="shared" si="29"/>
        <v>5.4</v>
      </c>
      <c r="M283">
        <f t="shared" si="30"/>
        <v>108</v>
      </c>
    </row>
    <row r="284" spans="4:13">
      <c r="D284">
        <v>113010</v>
      </c>
      <c r="E284">
        <f t="shared" si="25"/>
        <v>3</v>
      </c>
      <c r="G284">
        <v>5</v>
      </c>
      <c r="H284">
        <f t="shared" si="26"/>
        <v>35</v>
      </c>
      <c r="I284">
        <f t="shared" si="27"/>
        <v>3500</v>
      </c>
      <c r="J284">
        <v>3500</v>
      </c>
      <c r="K284">
        <f t="shared" si="28"/>
        <v>15</v>
      </c>
      <c r="L284">
        <f t="shared" si="29"/>
        <v>6</v>
      </c>
      <c r="M284">
        <f t="shared" si="30"/>
        <v>120</v>
      </c>
    </row>
    <row r="285" spans="4:13">
      <c r="D285">
        <v>113010</v>
      </c>
      <c r="E285">
        <f t="shared" si="25"/>
        <v>3</v>
      </c>
      <c r="G285">
        <v>6</v>
      </c>
      <c r="H285">
        <f t="shared" si="26"/>
        <v>36</v>
      </c>
      <c r="I285">
        <f t="shared" si="27"/>
        <v>3600</v>
      </c>
      <c r="J285">
        <v>3600</v>
      </c>
      <c r="K285">
        <f t="shared" si="28"/>
        <v>17</v>
      </c>
      <c r="L285">
        <f t="shared" si="29"/>
        <v>6.8</v>
      </c>
      <c r="M285">
        <f t="shared" si="30"/>
        <v>136</v>
      </c>
    </row>
    <row r="286" spans="4:13">
      <c r="D286">
        <v>113010</v>
      </c>
      <c r="E286">
        <f t="shared" si="25"/>
        <v>3</v>
      </c>
      <c r="G286">
        <v>7</v>
      </c>
      <c r="H286">
        <f t="shared" si="26"/>
        <v>37</v>
      </c>
      <c r="I286">
        <f t="shared" si="27"/>
        <v>3700</v>
      </c>
      <c r="J286">
        <v>3700</v>
      </c>
      <c r="K286">
        <f t="shared" si="28"/>
        <v>19</v>
      </c>
      <c r="L286">
        <f t="shared" si="29"/>
        <v>7.6</v>
      </c>
      <c r="M286">
        <f t="shared" si="30"/>
        <v>152</v>
      </c>
    </row>
    <row r="287" spans="4:13">
      <c r="D287">
        <v>113010</v>
      </c>
      <c r="E287">
        <f t="shared" si="25"/>
        <v>3</v>
      </c>
      <c r="G287">
        <v>8</v>
      </c>
      <c r="H287">
        <f t="shared" si="26"/>
        <v>38</v>
      </c>
      <c r="I287">
        <f t="shared" si="27"/>
        <v>3800</v>
      </c>
      <c r="J287">
        <v>3800</v>
      </c>
      <c r="K287">
        <f t="shared" si="28"/>
        <v>21</v>
      </c>
      <c r="L287">
        <f t="shared" si="29"/>
        <v>8.4</v>
      </c>
      <c r="M287">
        <f t="shared" si="30"/>
        <v>168</v>
      </c>
    </row>
    <row r="288" spans="4:13">
      <c r="D288">
        <v>113011</v>
      </c>
      <c r="E288">
        <f t="shared" si="25"/>
        <v>3</v>
      </c>
      <c r="G288">
        <v>3</v>
      </c>
      <c r="H288">
        <f t="shared" si="26"/>
        <v>33</v>
      </c>
      <c r="I288">
        <f t="shared" si="27"/>
        <v>3300</v>
      </c>
      <c r="J288">
        <v>3300</v>
      </c>
      <c r="K288">
        <f t="shared" si="28"/>
        <v>12</v>
      </c>
      <c r="L288">
        <f t="shared" si="29"/>
        <v>4.8</v>
      </c>
      <c r="M288">
        <f t="shared" si="30"/>
        <v>96</v>
      </c>
    </row>
    <row r="289" spans="4:13">
      <c r="D289">
        <v>113011</v>
      </c>
      <c r="E289">
        <f t="shared" si="25"/>
        <v>3</v>
      </c>
      <c r="G289">
        <v>4</v>
      </c>
      <c r="H289">
        <f t="shared" si="26"/>
        <v>34</v>
      </c>
      <c r="I289">
        <f t="shared" si="27"/>
        <v>3400</v>
      </c>
      <c r="J289">
        <v>3400</v>
      </c>
      <c r="K289">
        <f t="shared" si="28"/>
        <v>13.5</v>
      </c>
      <c r="L289">
        <f t="shared" si="29"/>
        <v>5.4</v>
      </c>
      <c r="M289">
        <f t="shared" si="30"/>
        <v>108</v>
      </c>
    </row>
    <row r="290" spans="4:13">
      <c r="D290">
        <v>113011</v>
      </c>
      <c r="E290">
        <f t="shared" si="25"/>
        <v>3</v>
      </c>
      <c r="G290">
        <v>5</v>
      </c>
      <c r="H290">
        <f t="shared" si="26"/>
        <v>35</v>
      </c>
      <c r="I290">
        <f t="shared" si="27"/>
        <v>3500</v>
      </c>
      <c r="J290">
        <v>3500</v>
      </c>
      <c r="K290">
        <f t="shared" si="28"/>
        <v>15</v>
      </c>
      <c r="L290">
        <f t="shared" si="29"/>
        <v>6</v>
      </c>
      <c r="M290">
        <f t="shared" si="30"/>
        <v>120</v>
      </c>
    </row>
    <row r="291" spans="4:13">
      <c r="D291">
        <v>113011</v>
      </c>
      <c r="E291">
        <f t="shared" si="25"/>
        <v>3</v>
      </c>
      <c r="G291">
        <v>6</v>
      </c>
      <c r="H291">
        <f t="shared" si="26"/>
        <v>36</v>
      </c>
      <c r="I291">
        <f t="shared" si="27"/>
        <v>3600</v>
      </c>
      <c r="J291">
        <v>3600</v>
      </c>
      <c r="K291">
        <f t="shared" si="28"/>
        <v>17</v>
      </c>
      <c r="L291">
        <f t="shared" si="29"/>
        <v>6.8</v>
      </c>
      <c r="M291">
        <f t="shared" si="30"/>
        <v>136</v>
      </c>
    </row>
    <row r="292" spans="4:13">
      <c r="D292">
        <v>113011</v>
      </c>
      <c r="E292">
        <f t="shared" si="25"/>
        <v>3</v>
      </c>
      <c r="G292">
        <v>7</v>
      </c>
      <c r="H292">
        <f t="shared" si="26"/>
        <v>37</v>
      </c>
      <c r="I292">
        <f t="shared" si="27"/>
        <v>3700</v>
      </c>
      <c r="J292">
        <v>3700</v>
      </c>
      <c r="K292">
        <f t="shared" si="28"/>
        <v>19</v>
      </c>
      <c r="L292">
        <f t="shared" si="29"/>
        <v>7.6</v>
      </c>
      <c r="M292">
        <f t="shared" si="30"/>
        <v>152</v>
      </c>
    </row>
    <row r="293" spans="4:13">
      <c r="D293">
        <v>113011</v>
      </c>
      <c r="E293">
        <f t="shared" si="25"/>
        <v>3</v>
      </c>
      <c r="G293">
        <v>8</v>
      </c>
      <c r="H293">
        <f t="shared" si="26"/>
        <v>38</v>
      </c>
      <c r="I293">
        <f t="shared" si="27"/>
        <v>3800</v>
      </c>
      <c r="J293">
        <v>3800</v>
      </c>
      <c r="K293">
        <f t="shared" si="28"/>
        <v>21</v>
      </c>
      <c r="L293">
        <f t="shared" si="29"/>
        <v>8.4</v>
      </c>
      <c r="M293">
        <f t="shared" si="30"/>
        <v>168</v>
      </c>
    </row>
    <row r="294" spans="4:13">
      <c r="D294">
        <v>113012</v>
      </c>
      <c r="E294">
        <f t="shared" si="25"/>
        <v>3</v>
      </c>
      <c r="G294">
        <v>3</v>
      </c>
      <c r="H294">
        <f t="shared" si="26"/>
        <v>33</v>
      </c>
      <c r="I294">
        <f t="shared" si="27"/>
        <v>3300</v>
      </c>
      <c r="J294">
        <v>3300</v>
      </c>
      <c r="K294">
        <f t="shared" si="28"/>
        <v>12</v>
      </c>
      <c r="L294">
        <f t="shared" si="29"/>
        <v>4.8</v>
      </c>
      <c r="M294">
        <f t="shared" si="30"/>
        <v>96</v>
      </c>
    </row>
    <row r="295" spans="4:13">
      <c r="D295">
        <v>113012</v>
      </c>
      <c r="E295">
        <f t="shared" si="25"/>
        <v>3</v>
      </c>
      <c r="G295">
        <v>4</v>
      </c>
      <c r="H295">
        <f t="shared" si="26"/>
        <v>34</v>
      </c>
      <c r="I295">
        <f t="shared" si="27"/>
        <v>3400</v>
      </c>
      <c r="J295">
        <v>3400</v>
      </c>
      <c r="K295">
        <f t="shared" si="28"/>
        <v>13.5</v>
      </c>
      <c r="L295">
        <f t="shared" si="29"/>
        <v>5.4</v>
      </c>
      <c r="M295">
        <f t="shared" si="30"/>
        <v>108</v>
      </c>
    </row>
    <row r="296" spans="4:13">
      <c r="D296">
        <v>113012</v>
      </c>
      <c r="E296">
        <f t="shared" si="25"/>
        <v>3</v>
      </c>
      <c r="G296">
        <v>5</v>
      </c>
      <c r="H296">
        <f t="shared" si="26"/>
        <v>35</v>
      </c>
      <c r="I296">
        <f t="shared" si="27"/>
        <v>3500</v>
      </c>
      <c r="J296">
        <v>3500</v>
      </c>
      <c r="K296">
        <f t="shared" si="28"/>
        <v>15</v>
      </c>
      <c r="L296">
        <f t="shared" si="29"/>
        <v>6</v>
      </c>
      <c r="M296">
        <f t="shared" si="30"/>
        <v>120</v>
      </c>
    </row>
    <row r="297" spans="4:13">
      <c r="D297">
        <v>113012</v>
      </c>
      <c r="E297">
        <f t="shared" si="25"/>
        <v>3</v>
      </c>
      <c r="G297">
        <v>6</v>
      </c>
      <c r="H297">
        <f t="shared" si="26"/>
        <v>36</v>
      </c>
      <c r="I297">
        <f t="shared" si="27"/>
        <v>3600</v>
      </c>
      <c r="J297">
        <v>3600</v>
      </c>
      <c r="K297">
        <f t="shared" si="28"/>
        <v>17</v>
      </c>
      <c r="L297">
        <f t="shared" si="29"/>
        <v>6.8</v>
      </c>
      <c r="M297">
        <f t="shared" si="30"/>
        <v>136</v>
      </c>
    </row>
    <row r="298" spans="4:13">
      <c r="D298">
        <v>113012</v>
      </c>
      <c r="E298">
        <f t="shared" si="25"/>
        <v>3</v>
      </c>
      <c r="G298">
        <v>7</v>
      </c>
      <c r="H298">
        <f t="shared" si="26"/>
        <v>37</v>
      </c>
      <c r="I298">
        <f t="shared" si="27"/>
        <v>3700</v>
      </c>
      <c r="J298">
        <v>3700</v>
      </c>
      <c r="K298">
        <f t="shared" si="28"/>
        <v>19</v>
      </c>
      <c r="L298">
        <f t="shared" si="29"/>
        <v>7.6</v>
      </c>
      <c r="M298">
        <f t="shared" si="30"/>
        <v>152</v>
      </c>
    </row>
    <row r="299" spans="4:13">
      <c r="D299">
        <v>113012</v>
      </c>
      <c r="E299">
        <f t="shared" si="25"/>
        <v>3</v>
      </c>
      <c r="G299">
        <v>8</v>
      </c>
      <c r="H299">
        <f t="shared" si="26"/>
        <v>38</v>
      </c>
      <c r="I299">
        <f t="shared" si="27"/>
        <v>3800</v>
      </c>
      <c r="J299">
        <v>3800</v>
      </c>
      <c r="K299">
        <f t="shared" si="28"/>
        <v>21</v>
      </c>
      <c r="L299">
        <f t="shared" si="29"/>
        <v>8.4</v>
      </c>
      <c r="M299">
        <f t="shared" si="30"/>
        <v>168</v>
      </c>
    </row>
    <row r="300" spans="4:13">
      <c r="D300">
        <v>113013</v>
      </c>
      <c r="E300">
        <f t="shared" si="25"/>
        <v>3</v>
      </c>
      <c r="G300">
        <v>3</v>
      </c>
      <c r="H300">
        <f t="shared" si="26"/>
        <v>33</v>
      </c>
      <c r="I300">
        <f t="shared" si="27"/>
        <v>3300</v>
      </c>
      <c r="J300">
        <v>3300</v>
      </c>
      <c r="K300">
        <f t="shared" si="28"/>
        <v>12</v>
      </c>
      <c r="L300">
        <f t="shared" si="29"/>
        <v>4.8</v>
      </c>
      <c r="M300">
        <f t="shared" si="30"/>
        <v>96</v>
      </c>
    </row>
    <row r="301" spans="4:13">
      <c r="D301">
        <v>113013</v>
      </c>
      <c r="E301">
        <f t="shared" si="25"/>
        <v>3</v>
      </c>
      <c r="G301">
        <v>4</v>
      </c>
      <c r="H301">
        <f t="shared" si="26"/>
        <v>34</v>
      </c>
      <c r="I301">
        <f t="shared" si="27"/>
        <v>3400</v>
      </c>
      <c r="J301">
        <v>3400</v>
      </c>
      <c r="K301">
        <f t="shared" si="28"/>
        <v>13.5</v>
      </c>
      <c r="L301">
        <f t="shared" si="29"/>
        <v>5.4</v>
      </c>
      <c r="M301">
        <f t="shared" si="30"/>
        <v>108</v>
      </c>
    </row>
    <row r="302" spans="4:13">
      <c r="D302">
        <v>113013</v>
      </c>
      <c r="E302">
        <f t="shared" si="25"/>
        <v>3</v>
      </c>
      <c r="G302">
        <v>5</v>
      </c>
      <c r="H302">
        <f t="shared" si="26"/>
        <v>35</v>
      </c>
      <c r="I302">
        <f t="shared" si="27"/>
        <v>3500</v>
      </c>
      <c r="J302">
        <v>3500</v>
      </c>
      <c r="K302">
        <f t="shared" si="28"/>
        <v>15</v>
      </c>
      <c r="L302">
        <f t="shared" si="29"/>
        <v>6</v>
      </c>
      <c r="M302">
        <f t="shared" si="30"/>
        <v>120</v>
      </c>
    </row>
    <row r="303" spans="4:13">
      <c r="D303">
        <v>113013</v>
      </c>
      <c r="E303">
        <f t="shared" si="25"/>
        <v>3</v>
      </c>
      <c r="G303">
        <v>6</v>
      </c>
      <c r="H303">
        <f t="shared" si="26"/>
        <v>36</v>
      </c>
      <c r="I303">
        <f t="shared" si="27"/>
        <v>3600</v>
      </c>
      <c r="J303">
        <v>3600</v>
      </c>
      <c r="K303">
        <f t="shared" si="28"/>
        <v>17</v>
      </c>
      <c r="L303">
        <f t="shared" si="29"/>
        <v>6.8</v>
      </c>
      <c r="M303">
        <f t="shared" si="30"/>
        <v>136</v>
      </c>
    </row>
    <row r="304" spans="4:13">
      <c r="D304">
        <v>113013</v>
      </c>
      <c r="E304">
        <f t="shared" si="25"/>
        <v>3</v>
      </c>
      <c r="G304">
        <v>7</v>
      </c>
      <c r="H304">
        <f t="shared" si="26"/>
        <v>37</v>
      </c>
      <c r="I304">
        <f t="shared" si="27"/>
        <v>3700</v>
      </c>
      <c r="J304">
        <v>3700</v>
      </c>
      <c r="K304">
        <f t="shared" si="28"/>
        <v>19</v>
      </c>
      <c r="L304">
        <f t="shared" si="29"/>
        <v>7.6</v>
      </c>
      <c r="M304">
        <f t="shared" si="30"/>
        <v>152</v>
      </c>
    </row>
    <row r="305" spans="4:13">
      <c r="D305">
        <v>113013</v>
      </c>
      <c r="E305">
        <f t="shared" si="25"/>
        <v>3</v>
      </c>
      <c r="G305">
        <v>8</v>
      </c>
      <c r="H305">
        <f t="shared" si="26"/>
        <v>38</v>
      </c>
      <c r="I305">
        <f t="shared" si="27"/>
        <v>3800</v>
      </c>
      <c r="J305">
        <v>3800</v>
      </c>
      <c r="K305">
        <f t="shared" si="28"/>
        <v>21</v>
      </c>
      <c r="L305">
        <f t="shared" si="29"/>
        <v>8.4</v>
      </c>
      <c r="M305">
        <f t="shared" si="30"/>
        <v>168</v>
      </c>
    </row>
    <row r="306" spans="4:13">
      <c r="D306">
        <v>113014</v>
      </c>
      <c r="E306">
        <f t="shared" si="25"/>
        <v>3</v>
      </c>
      <c r="G306">
        <v>3</v>
      </c>
      <c r="H306">
        <f t="shared" si="26"/>
        <v>33</v>
      </c>
      <c r="I306">
        <f t="shared" si="27"/>
        <v>3300</v>
      </c>
      <c r="J306">
        <v>3300</v>
      </c>
      <c r="K306">
        <f t="shared" si="28"/>
        <v>12</v>
      </c>
      <c r="L306">
        <f t="shared" si="29"/>
        <v>4.8</v>
      </c>
      <c r="M306">
        <f t="shared" si="30"/>
        <v>96</v>
      </c>
    </row>
    <row r="307" spans="4:13">
      <c r="D307">
        <v>113014</v>
      </c>
      <c r="E307">
        <f t="shared" si="25"/>
        <v>3</v>
      </c>
      <c r="G307">
        <v>4</v>
      </c>
      <c r="H307">
        <f t="shared" si="26"/>
        <v>34</v>
      </c>
      <c r="I307">
        <f t="shared" si="27"/>
        <v>3400</v>
      </c>
      <c r="J307">
        <v>3400</v>
      </c>
      <c r="K307">
        <f t="shared" si="28"/>
        <v>13.5</v>
      </c>
      <c r="L307">
        <f t="shared" si="29"/>
        <v>5.4</v>
      </c>
      <c r="M307">
        <f t="shared" si="30"/>
        <v>108</v>
      </c>
    </row>
    <row r="308" spans="4:13">
      <c r="D308">
        <v>113014</v>
      </c>
      <c r="E308">
        <f t="shared" si="25"/>
        <v>3</v>
      </c>
      <c r="G308">
        <v>5</v>
      </c>
      <c r="H308">
        <f t="shared" si="26"/>
        <v>35</v>
      </c>
      <c r="I308">
        <f t="shared" si="27"/>
        <v>3500</v>
      </c>
      <c r="J308">
        <v>3500</v>
      </c>
      <c r="K308">
        <f t="shared" si="28"/>
        <v>15</v>
      </c>
      <c r="L308">
        <f t="shared" si="29"/>
        <v>6</v>
      </c>
      <c r="M308">
        <f t="shared" si="30"/>
        <v>120</v>
      </c>
    </row>
    <row r="309" spans="4:13">
      <c r="D309">
        <v>113014</v>
      </c>
      <c r="E309">
        <f t="shared" si="25"/>
        <v>3</v>
      </c>
      <c r="G309">
        <v>6</v>
      </c>
      <c r="H309">
        <f t="shared" si="26"/>
        <v>36</v>
      </c>
      <c r="I309">
        <f t="shared" si="27"/>
        <v>3600</v>
      </c>
      <c r="J309">
        <v>3600</v>
      </c>
      <c r="K309">
        <f t="shared" si="28"/>
        <v>17</v>
      </c>
      <c r="L309">
        <f t="shared" si="29"/>
        <v>6.8</v>
      </c>
      <c r="M309">
        <f t="shared" si="30"/>
        <v>136</v>
      </c>
    </row>
    <row r="310" spans="4:13">
      <c r="D310">
        <v>113014</v>
      </c>
      <c r="E310">
        <f t="shared" si="25"/>
        <v>3</v>
      </c>
      <c r="G310">
        <v>7</v>
      </c>
      <c r="H310">
        <f t="shared" si="26"/>
        <v>37</v>
      </c>
      <c r="I310">
        <f t="shared" si="27"/>
        <v>3700</v>
      </c>
      <c r="J310">
        <v>3700</v>
      </c>
      <c r="K310">
        <f t="shared" si="28"/>
        <v>19</v>
      </c>
      <c r="L310">
        <f t="shared" si="29"/>
        <v>7.6</v>
      </c>
      <c r="M310">
        <f t="shared" si="30"/>
        <v>152</v>
      </c>
    </row>
    <row r="311" spans="4:13">
      <c r="D311">
        <v>113014</v>
      </c>
      <c r="E311">
        <f t="shared" si="25"/>
        <v>3</v>
      </c>
      <c r="G311">
        <v>8</v>
      </c>
      <c r="H311">
        <f t="shared" si="26"/>
        <v>38</v>
      </c>
      <c r="I311">
        <f t="shared" si="27"/>
        <v>3800</v>
      </c>
      <c r="J311">
        <v>3800</v>
      </c>
      <c r="K311">
        <f t="shared" si="28"/>
        <v>21</v>
      </c>
      <c r="L311">
        <f t="shared" si="29"/>
        <v>8.4</v>
      </c>
      <c r="M311">
        <f t="shared" si="30"/>
        <v>168</v>
      </c>
    </row>
    <row r="312" spans="4:13">
      <c r="D312">
        <v>113015</v>
      </c>
      <c r="E312">
        <f t="shared" si="25"/>
        <v>3</v>
      </c>
      <c r="G312">
        <v>3</v>
      </c>
      <c r="H312">
        <f t="shared" si="26"/>
        <v>33</v>
      </c>
      <c r="I312">
        <f t="shared" si="27"/>
        <v>3300</v>
      </c>
      <c r="J312">
        <v>3300</v>
      </c>
      <c r="K312">
        <f t="shared" si="28"/>
        <v>12</v>
      </c>
      <c r="L312">
        <f t="shared" si="29"/>
        <v>4.8</v>
      </c>
      <c r="M312">
        <f t="shared" si="30"/>
        <v>96</v>
      </c>
    </row>
    <row r="313" spans="4:13">
      <c r="D313">
        <v>113015</v>
      </c>
      <c r="E313">
        <f t="shared" si="25"/>
        <v>3</v>
      </c>
      <c r="G313">
        <v>4</v>
      </c>
      <c r="H313">
        <f t="shared" si="26"/>
        <v>34</v>
      </c>
      <c r="I313">
        <f t="shared" si="27"/>
        <v>3400</v>
      </c>
      <c r="J313">
        <v>3400</v>
      </c>
      <c r="K313">
        <f t="shared" si="28"/>
        <v>13.5</v>
      </c>
      <c r="L313">
        <f t="shared" si="29"/>
        <v>5.4</v>
      </c>
      <c r="M313">
        <f t="shared" si="30"/>
        <v>108</v>
      </c>
    </row>
    <row r="314" spans="4:13">
      <c r="D314">
        <v>113015</v>
      </c>
      <c r="E314">
        <f t="shared" si="25"/>
        <v>3</v>
      </c>
      <c r="G314">
        <v>5</v>
      </c>
      <c r="H314">
        <f t="shared" si="26"/>
        <v>35</v>
      </c>
      <c r="I314">
        <f t="shared" si="27"/>
        <v>3500</v>
      </c>
      <c r="J314">
        <v>3500</v>
      </c>
      <c r="K314">
        <f t="shared" si="28"/>
        <v>15</v>
      </c>
      <c r="L314">
        <f t="shared" si="29"/>
        <v>6</v>
      </c>
      <c r="M314">
        <f t="shared" si="30"/>
        <v>120</v>
      </c>
    </row>
    <row r="315" spans="4:13">
      <c r="D315">
        <v>113015</v>
      </c>
      <c r="E315">
        <f t="shared" si="25"/>
        <v>3</v>
      </c>
      <c r="G315">
        <v>6</v>
      </c>
      <c r="H315">
        <f t="shared" si="26"/>
        <v>36</v>
      </c>
      <c r="I315">
        <f t="shared" si="27"/>
        <v>3600</v>
      </c>
      <c r="J315">
        <v>3600</v>
      </c>
      <c r="K315">
        <f t="shared" si="28"/>
        <v>17</v>
      </c>
      <c r="L315">
        <f t="shared" si="29"/>
        <v>6.8</v>
      </c>
      <c r="M315">
        <f t="shared" si="30"/>
        <v>136</v>
      </c>
    </row>
    <row r="316" spans="4:13">
      <c r="D316">
        <v>113015</v>
      </c>
      <c r="E316">
        <f t="shared" si="25"/>
        <v>3</v>
      </c>
      <c r="G316">
        <v>7</v>
      </c>
      <c r="H316">
        <f t="shared" si="26"/>
        <v>37</v>
      </c>
      <c r="I316">
        <f t="shared" si="27"/>
        <v>3700</v>
      </c>
      <c r="J316">
        <v>3700</v>
      </c>
      <c r="K316">
        <f t="shared" si="28"/>
        <v>19</v>
      </c>
      <c r="L316">
        <f t="shared" si="29"/>
        <v>7.6</v>
      </c>
      <c r="M316">
        <f t="shared" si="30"/>
        <v>152</v>
      </c>
    </row>
    <row r="317" spans="4:13">
      <c r="D317">
        <v>113015</v>
      </c>
      <c r="E317">
        <f t="shared" si="25"/>
        <v>3</v>
      </c>
      <c r="G317">
        <v>8</v>
      </c>
      <c r="H317">
        <f t="shared" si="26"/>
        <v>38</v>
      </c>
      <c r="I317">
        <f t="shared" si="27"/>
        <v>3800</v>
      </c>
      <c r="J317">
        <v>3800</v>
      </c>
      <c r="K317">
        <f t="shared" si="28"/>
        <v>21</v>
      </c>
      <c r="L317">
        <f t="shared" si="29"/>
        <v>8.4</v>
      </c>
      <c r="M317">
        <f t="shared" si="30"/>
        <v>168</v>
      </c>
    </row>
    <row r="318" spans="4:13">
      <c r="D318">
        <v>113016</v>
      </c>
      <c r="E318">
        <f t="shared" si="25"/>
        <v>3</v>
      </c>
      <c r="G318">
        <v>3</v>
      </c>
      <c r="H318">
        <f t="shared" si="26"/>
        <v>33</v>
      </c>
      <c r="I318">
        <f t="shared" si="27"/>
        <v>3300</v>
      </c>
      <c r="J318">
        <v>3300</v>
      </c>
      <c r="K318">
        <f t="shared" si="28"/>
        <v>12</v>
      </c>
      <c r="L318">
        <f t="shared" si="29"/>
        <v>4.8</v>
      </c>
      <c r="M318">
        <f t="shared" si="30"/>
        <v>96</v>
      </c>
    </row>
    <row r="319" spans="4:13">
      <c r="D319">
        <v>113016</v>
      </c>
      <c r="E319">
        <f t="shared" si="25"/>
        <v>3</v>
      </c>
      <c r="G319">
        <v>4</v>
      </c>
      <c r="H319">
        <f t="shared" si="26"/>
        <v>34</v>
      </c>
      <c r="I319">
        <f t="shared" si="27"/>
        <v>3400</v>
      </c>
      <c r="J319">
        <v>3400</v>
      </c>
      <c r="K319">
        <f t="shared" si="28"/>
        <v>13.5</v>
      </c>
      <c r="L319">
        <f t="shared" si="29"/>
        <v>5.4</v>
      </c>
      <c r="M319">
        <f t="shared" si="30"/>
        <v>108</v>
      </c>
    </row>
    <row r="320" spans="4:13">
      <c r="D320">
        <v>113016</v>
      </c>
      <c r="E320">
        <f t="shared" si="25"/>
        <v>3</v>
      </c>
      <c r="G320">
        <v>5</v>
      </c>
      <c r="H320">
        <f t="shared" si="26"/>
        <v>35</v>
      </c>
      <c r="I320">
        <f t="shared" si="27"/>
        <v>3500</v>
      </c>
      <c r="J320">
        <v>3500</v>
      </c>
      <c r="K320">
        <f t="shared" si="28"/>
        <v>15</v>
      </c>
      <c r="L320">
        <f t="shared" si="29"/>
        <v>6</v>
      </c>
      <c r="M320">
        <f t="shared" si="30"/>
        <v>120</v>
      </c>
    </row>
    <row r="321" spans="4:13">
      <c r="D321">
        <v>113016</v>
      </c>
      <c r="E321">
        <f t="shared" si="25"/>
        <v>3</v>
      </c>
      <c r="G321">
        <v>6</v>
      </c>
      <c r="H321">
        <f t="shared" si="26"/>
        <v>36</v>
      </c>
      <c r="I321">
        <f t="shared" si="27"/>
        <v>3600</v>
      </c>
      <c r="J321">
        <v>3600</v>
      </c>
      <c r="K321">
        <f t="shared" si="28"/>
        <v>17</v>
      </c>
      <c r="L321">
        <f t="shared" si="29"/>
        <v>6.8</v>
      </c>
      <c r="M321">
        <f t="shared" si="30"/>
        <v>136</v>
      </c>
    </row>
    <row r="322" spans="4:13">
      <c r="D322">
        <v>113016</v>
      </c>
      <c r="E322">
        <f t="shared" si="25"/>
        <v>3</v>
      </c>
      <c r="G322">
        <v>7</v>
      </c>
      <c r="H322">
        <f t="shared" si="26"/>
        <v>37</v>
      </c>
      <c r="I322">
        <f t="shared" si="27"/>
        <v>3700</v>
      </c>
      <c r="J322">
        <v>3700</v>
      </c>
      <c r="K322">
        <f t="shared" si="28"/>
        <v>19</v>
      </c>
      <c r="L322">
        <f t="shared" si="29"/>
        <v>7.6</v>
      </c>
      <c r="M322">
        <f t="shared" si="30"/>
        <v>152</v>
      </c>
    </row>
    <row r="323" spans="4:13">
      <c r="D323">
        <v>113016</v>
      </c>
      <c r="E323">
        <f t="shared" si="25"/>
        <v>3</v>
      </c>
      <c r="G323">
        <v>8</v>
      </c>
      <c r="H323">
        <f t="shared" si="26"/>
        <v>38</v>
      </c>
      <c r="I323">
        <f t="shared" si="27"/>
        <v>3800</v>
      </c>
      <c r="J323">
        <v>3800</v>
      </c>
      <c r="K323">
        <f t="shared" si="28"/>
        <v>21</v>
      </c>
      <c r="L323">
        <f t="shared" si="29"/>
        <v>8.4</v>
      </c>
      <c r="M323">
        <f t="shared" si="30"/>
        <v>168</v>
      </c>
    </row>
    <row r="324" spans="4:13">
      <c r="D324">
        <v>113017</v>
      </c>
      <c r="E324">
        <f t="shared" si="25"/>
        <v>3</v>
      </c>
      <c r="G324">
        <v>3</v>
      </c>
      <c r="H324">
        <f t="shared" si="26"/>
        <v>33</v>
      </c>
      <c r="I324">
        <f t="shared" si="27"/>
        <v>3300</v>
      </c>
      <c r="J324">
        <v>3300</v>
      </c>
      <c r="K324">
        <f t="shared" si="28"/>
        <v>12</v>
      </c>
      <c r="L324">
        <f t="shared" si="29"/>
        <v>4.8</v>
      </c>
      <c r="M324">
        <f t="shared" si="30"/>
        <v>96</v>
      </c>
    </row>
    <row r="325" spans="4:13">
      <c r="D325">
        <v>113017</v>
      </c>
      <c r="E325">
        <f t="shared" si="25"/>
        <v>3</v>
      </c>
      <c r="G325">
        <v>4</v>
      </c>
      <c r="H325">
        <f t="shared" si="26"/>
        <v>34</v>
      </c>
      <c r="I325">
        <f t="shared" si="27"/>
        <v>3400</v>
      </c>
      <c r="J325">
        <v>3400</v>
      </c>
      <c r="K325">
        <f t="shared" si="28"/>
        <v>13.5</v>
      </c>
      <c r="L325">
        <f t="shared" si="29"/>
        <v>5.4</v>
      </c>
      <c r="M325">
        <f t="shared" si="30"/>
        <v>108</v>
      </c>
    </row>
    <row r="326" spans="4:13">
      <c r="D326">
        <v>113017</v>
      </c>
      <c r="E326">
        <f t="shared" si="25"/>
        <v>3</v>
      </c>
      <c r="G326">
        <v>5</v>
      </c>
      <c r="H326">
        <f t="shared" si="26"/>
        <v>35</v>
      </c>
      <c r="I326">
        <f t="shared" si="27"/>
        <v>3500</v>
      </c>
      <c r="J326">
        <v>3500</v>
      </c>
      <c r="K326">
        <f t="shared" si="28"/>
        <v>15</v>
      </c>
      <c r="L326">
        <f t="shared" si="29"/>
        <v>6</v>
      </c>
      <c r="M326">
        <f t="shared" si="30"/>
        <v>120</v>
      </c>
    </row>
    <row r="327" spans="4:13">
      <c r="D327">
        <v>113017</v>
      </c>
      <c r="E327">
        <f t="shared" si="25"/>
        <v>3</v>
      </c>
      <c r="G327">
        <v>6</v>
      </c>
      <c r="H327">
        <f t="shared" si="26"/>
        <v>36</v>
      </c>
      <c r="I327">
        <f t="shared" si="27"/>
        <v>3600</v>
      </c>
      <c r="J327">
        <v>3600</v>
      </c>
      <c r="K327">
        <f t="shared" si="28"/>
        <v>17</v>
      </c>
      <c r="L327">
        <f t="shared" si="29"/>
        <v>6.8</v>
      </c>
      <c r="M327">
        <f t="shared" si="30"/>
        <v>136</v>
      </c>
    </row>
    <row r="328" spans="4:13">
      <c r="D328">
        <v>113017</v>
      </c>
      <c r="E328">
        <f t="shared" ref="E328:E391" si="31">VLOOKUP(D328,Q:R,2,FALSE)</f>
        <v>3</v>
      </c>
      <c r="G328">
        <v>7</v>
      </c>
      <c r="H328">
        <f t="shared" ref="H328:H391" si="32">E328*10+G328</f>
        <v>37</v>
      </c>
      <c r="I328">
        <f t="shared" ref="I328:I391" si="33">H328*100</f>
        <v>3700</v>
      </c>
      <c r="J328">
        <v>3700</v>
      </c>
      <c r="K328">
        <f t="shared" ref="K328:K391" si="34">VLOOKUP(J328,U:X,2,FALSE)</f>
        <v>19</v>
      </c>
      <c r="L328">
        <f t="shared" ref="L328:L391" si="35">VLOOKUP(J328,U:X,3,FALSE)</f>
        <v>7.6</v>
      </c>
      <c r="M328">
        <f t="shared" ref="M328:M391" si="36">VLOOKUP(J328,U:X,4,FALSE)</f>
        <v>152</v>
      </c>
    </row>
    <row r="329" spans="4:13">
      <c r="D329">
        <v>113017</v>
      </c>
      <c r="E329">
        <f t="shared" si="31"/>
        <v>3</v>
      </c>
      <c r="G329">
        <v>8</v>
      </c>
      <c r="H329">
        <f t="shared" si="32"/>
        <v>38</v>
      </c>
      <c r="I329">
        <f t="shared" si="33"/>
        <v>3800</v>
      </c>
      <c r="J329">
        <v>3800</v>
      </c>
      <c r="K329">
        <f t="shared" si="34"/>
        <v>21</v>
      </c>
      <c r="L329">
        <f t="shared" si="35"/>
        <v>8.4</v>
      </c>
      <c r="M329">
        <f t="shared" si="36"/>
        <v>168</v>
      </c>
    </row>
    <row r="330" spans="4:13">
      <c r="D330" s="15">
        <v>113018</v>
      </c>
      <c r="E330">
        <f t="shared" si="31"/>
        <v>3</v>
      </c>
      <c r="G330">
        <v>3</v>
      </c>
      <c r="H330">
        <f t="shared" si="32"/>
        <v>33</v>
      </c>
      <c r="I330">
        <f t="shared" si="33"/>
        <v>3300</v>
      </c>
      <c r="J330">
        <v>3300</v>
      </c>
      <c r="K330">
        <f t="shared" si="34"/>
        <v>12</v>
      </c>
      <c r="L330">
        <f t="shared" si="35"/>
        <v>4.8</v>
      </c>
      <c r="M330">
        <f t="shared" si="36"/>
        <v>96</v>
      </c>
    </row>
    <row r="331" spans="4:13">
      <c r="D331" s="15">
        <v>113018</v>
      </c>
      <c r="E331">
        <f t="shared" si="31"/>
        <v>3</v>
      </c>
      <c r="G331">
        <v>4</v>
      </c>
      <c r="H331">
        <f t="shared" si="32"/>
        <v>34</v>
      </c>
      <c r="I331">
        <f t="shared" si="33"/>
        <v>3400</v>
      </c>
      <c r="J331">
        <v>3400</v>
      </c>
      <c r="K331">
        <f t="shared" si="34"/>
        <v>13.5</v>
      </c>
      <c r="L331">
        <f t="shared" si="35"/>
        <v>5.4</v>
      </c>
      <c r="M331">
        <f t="shared" si="36"/>
        <v>108</v>
      </c>
    </row>
    <row r="332" spans="4:13">
      <c r="D332" s="15">
        <v>113018</v>
      </c>
      <c r="E332">
        <f t="shared" si="31"/>
        <v>3</v>
      </c>
      <c r="G332">
        <v>5</v>
      </c>
      <c r="H332">
        <f t="shared" si="32"/>
        <v>35</v>
      </c>
      <c r="I332">
        <f t="shared" si="33"/>
        <v>3500</v>
      </c>
      <c r="J332">
        <v>3500</v>
      </c>
      <c r="K332">
        <f t="shared" si="34"/>
        <v>15</v>
      </c>
      <c r="L332">
        <f t="shared" si="35"/>
        <v>6</v>
      </c>
      <c r="M332">
        <f t="shared" si="36"/>
        <v>120</v>
      </c>
    </row>
    <row r="333" spans="4:13">
      <c r="D333" s="15">
        <v>113018</v>
      </c>
      <c r="E333">
        <f t="shared" si="31"/>
        <v>3</v>
      </c>
      <c r="G333">
        <v>6</v>
      </c>
      <c r="H333">
        <f t="shared" si="32"/>
        <v>36</v>
      </c>
      <c r="I333">
        <f t="shared" si="33"/>
        <v>3600</v>
      </c>
      <c r="J333">
        <v>3600</v>
      </c>
      <c r="K333">
        <f t="shared" si="34"/>
        <v>17</v>
      </c>
      <c r="L333">
        <f t="shared" si="35"/>
        <v>6.8</v>
      </c>
      <c r="M333">
        <f t="shared" si="36"/>
        <v>136</v>
      </c>
    </row>
    <row r="334" spans="4:13">
      <c r="D334" s="15">
        <v>113018</v>
      </c>
      <c r="E334">
        <f t="shared" si="31"/>
        <v>3</v>
      </c>
      <c r="G334">
        <v>7</v>
      </c>
      <c r="H334">
        <f t="shared" si="32"/>
        <v>37</v>
      </c>
      <c r="I334">
        <f t="shared" si="33"/>
        <v>3700</v>
      </c>
      <c r="J334">
        <v>3700</v>
      </c>
      <c r="K334">
        <f t="shared" si="34"/>
        <v>19</v>
      </c>
      <c r="L334">
        <f t="shared" si="35"/>
        <v>7.6</v>
      </c>
      <c r="M334">
        <f t="shared" si="36"/>
        <v>152</v>
      </c>
    </row>
    <row r="335" spans="4:13">
      <c r="D335" s="15">
        <v>113018</v>
      </c>
      <c r="E335">
        <f t="shared" si="31"/>
        <v>3</v>
      </c>
      <c r="G335">
        <v>8</v>
      </c>
      <c r="H335">
        <f t="shared" si="32"/>
        <v>38</v>
      </c>
      <c r="I335">
        <f t="shared" si="33"/>
        <v>3800</v>
      </c>
      <c r="J335">
        <v>3800</v>
      </c>
      <c r="K335">
        <f t="shared" si="34"/>
        <v>21</v>
      </c>
      <c r="L335">
        <f t="shared" si="35"/>
        <v>8.4</v>
      </c>
      <c r="M335">
        <f t="shared" si="36"/>
        <v>168</v>
      </c>
    </row>
    <row r="336" spans="4:13">
      <c r="D336" s="16">
        <v>113019</v>
      </c>
      <c r="E336">
        <f t="shared" si="31"/>
        <v>3</v>
      </c>
      <c r="G336">
        <v>3</v>
      </c>
      <c r="H336">
        <f t="shared" si="32"/>
        <v>33</v>
      </c>
      <c r="I336">
        <f t="shared" si="33"/>
        <v>3300</v>
      </c>
      <c r="J336">
        <v>3300</v>
      </c>
      <c r="K336">
        <f t="shared" si="34"/>
        <v>12</v>
      </c>
      <c r="L336">
        <f t="shared" si="35"/>
        <v>4.8</v>
      </c>
      <c r="M336">
        <f t="shared" si="36"/>
        <v>96</v>
      </c>
    </row>
    <row r="337" spans="4:13">
      <c r="D337" s="16">
        <v>113019</v>
      </c>
      <c r="E337">
        <f t="shared" si="31"/>
        <v>3</v>
      </c>
      <c r="G337">
        <v>4</v>
      </c>
      <c r="H337">
        <f t="shared" si="32"/>
        <v>34</v>
      </c>
      <c r="I337">
        <f t="shared" si="33"/>
        <v>3400</v>
      </c>
      <c r="J337">
        <v>3400</v>
      </c>
      <c r="K337">
        <f t="shared" si="34"/>
        <v>13.5</v>
      </c>
      <c r="L337">
        <f t="shared" si="35"/>
        <v>5.4</v>
      </c>
      <c r="M337">
        <f t="shared" si="36"/>
        <v>108</v>
      </c>
    </row>
    <row r="338" spans="4:13">
      <c r="D338" s="16">
        <v>113019</v>
      </c>
      <c r="E338">
        <f t="shared" si="31"/>
        <v>3</v>
      </c>
      <c r="G338">
        <v>5</v>
      </c>
      <c r="H338">
        <f t="shared" si="32"/>
        <v>35</v>
      </c>
      <c r="I338">
        <f t="shared" si="33"/>
        <v>3500</v>
      </c>
      <c r="J338">
        <v>3500</v>
      </c>
      <c r="K338">
        <f t="shared" si="34"/>
        <v>15</v>
      </c>
      <c r="L338">
        <f t="shared" si="35"/>
        <v>6</v>
      </c>
      <c r="M338">
        <f t="shared" si="36"/>
        <v>120</v>
      </c>
    </row>
    <row r="339" spans="4:13">
      <c r="D339" s="16">
        <v>113019</v>
      </c>
      <c r="E339">
        <f t="shared" si="31"/>
        <v>3</v>
      </c>
      <c r="G339">
        <v>6</v>
      </c>
      <c r="H339">
        <f t="shared" si="32"/>
        <v>36</v>
      </c>
      <c r="I339">
        <f t="shared" si="33"/>
        <v>3600</v>
      </c>
      <c r="J339">
        <v>3600</v>
      </c>
      <c r="K339">
        <f t="shared" si="34"/>
        <v>17</v>
      </c>
      <c r="L339">
        <f t="shared" si="35"/>
        <v>6.8</v>
      </c>
      <c r="M339">
        <f t="shared" si="36"/>
        <v>136</v>
      </c>
    </row>
    <row r="340" spans="4:13">
      <c r="D340" s="16">
        <v>113019</v>
      </c>
      <c r="E340">
        <f t="shared" si="31"/>
        <v>3</v>
      </c>
      <c r="G340">
        <v>7</v>
      </c>
      <c r="H340">
        <f t="shared" si="32"/>
        <v>37</v>
      </c>
      <c r="I340">
        <f t="shared" si="33"/>
        <v>3700</v>
      </c>
      <c r="J340">
        <v>3700</v>
      </c>
      <c r="K340">
        <f t="shared" si="34"/>
        <v>19</v>
      </c>
      <c r="L340">
        <f t="shared" si="35"/>
        <v>7.6</v>
      </c>
      <c r="M340">
        <f t="shared" si="36"/>
        <v>152</v>
      </c>
    </row>
    <row r="341" spans="4:13">
      <c r="D341" s="16">
        <v>113019</v>
      </c>
      <c r="E341">
        <f t="shared" si="31"/>
        <v>3</v>
      </c>
      <c r="G341">
        <v>8</v>
      </c>
      <c r="H341">
        <f t="shared" si="32"/>
        <v>38</v>
      </c>
      <c r="I341">
        <f t="shared" si="33"/>
        <v>3800</v>
      </c>
      <c r="J341">
        <v>3800</v>
      </c>
      <c r="K341">
        <f t="shared" si="34"/>
        <v>21</v>
      </c>
      <c r="L341">
        <f t="shared" si="35"/>
        <v>8.4</v>
      </c>
      <c r="M341">
        <f t="shared" si="36"/>
        <v>168</v>
      </c>
    </row>
    <row r="342" spans="4:13">
      <c r="D342" s="17">
        <v>113020</v>
      </c>
      <c r="E342">
        <f t="shared" si="31"/>
        <v>3</v>
      </c>
      <c r="G342">
        <v>3</v>
      </c>
      <c r="H342">
        <f t="shared" si="32"/>
        <v>33</v>
      </c>
      <c r="I342">
        <f t="shared" si="33"/>
        <v>3300</v>
      </c>
      <c r="J342">
        <v>3300</v>
      </c>
      <c r="K342">
        <f t="shared" si="34"/>
        <v>12</v>
      </c>
      <c r="L342">
        <f t="shared" si="35"/>
        <v>4.8</v>
      </c>
      <c r="M342">
        <f t="shared" si="36"/>
        <v>96</v>
      </c>
    </row>
    <row r="343" spans="4:13">
      <c r="D343" s="17">
        <v>113020</v>
      </c>
      <c r="E343">
        <f t="shared" si="31"/>
        <v>3</v>
      </c>
      <c r="G343">
        <v>4</v>
      </c>
      <c r="H343">
        <f t="shared" si="32"/>
        <v>34</v>
      </c>
      <c r="I343">
        <f t="shared" si="33"/>
        <v>3400</v>
      </c>
      <c r="J343">
        <v>3400</v>
      </c>
      <c r="K343">
        <f t="shared" si="34"/>
        <v>13.5</v>
      </c>
      <c r="L343">
        <f t="shared" si="35"/>
        <v>5.4</v>
      </c>
      <c r="M343">
        <f t="shared" si="36"/>
        <v>108</v>
      </c>
    </row>
    <row r="344" spans="4:13">
      <c r="D344" s="17">
        <v>113020</v>
      </c>
      <c r="E344">
        <f t="shared" si="31"/>
        <v>3</v>
      </c>
      <c r="G344">
        <v>5</v>
      </c>
      <c r="H344">
        <f t="shared" si="32"/>
        <v>35</v>
      </c>
      <c r="I344">
        <f t="shared" si="33"/>
        <v>3500</v>
      </c>
      <c r="J344">
        <v>3500</v>
      </c>
      <c r="K344">
        <f t="shared" si="34"/>
        <v>15</v>
      </c>
      <c r="L344">
        <f t="shared" si="35"/>
        <v>6</v>
      </c>
      <c r="M344">
        <f t="shared" si="36"/>
        <v>120</v>
      </c>
    </row>
    <row r="345" spans="4:13">
      <c r="D345" s="17">
        <v>113020</v>
      </c>
      <c r="E345">
        <f t="shared" si="31"/>
        <v>3</v>
      </c>
      <c r="G345">
        <v>6</v>
      </c>
      <c r="H345">
        <f t="shared" si="32"/>
        <v>36</v>
      </c>
      <c r="I345">
        <f t="shared" si="33"/>
        <v>3600</v>
      </c>
      <c r="J345">
        <v>3600</v>
      </c>
      <c r="K345">
        <f t="shared" si="34"/>
        <v>17</v>
      </c>
      <c r="L345">
        <f t="shared" si="35"/>
        <v>6.8</v>
      </c>
      <c r="M345">
        <f t="shared" si="36"/>
        <v>136</v>
      </c>
    </row>
    <row r="346" spans="4:13">
      <c r="D346" s="17">
        <v>113020</v>
      </c>
      <c r="E346">
        <f t="shared" si="31"/>
        <v>3</v>
      </c>
      <c r="G346">
        <v>7</v>
      </c>
      <c r="H346">
        <f t="shared" si="32"/>
        <v>37</v>
      </c>
      <c r="I346">
        <f t="shared" si="33"/>
        <v>3700</v>
      </c>
      <c r="J346">
        <v>3700</v>
      </c>
      <c r="K346">
        <f t="shared" si="34"/>
        <v>19</v>
      </c>
      <c r="L346">
        <f t="shared" si="35"/>
        <v>7.6</v>
      </c>
      <c r="M346">
        <f t="shared" si="36"/>
        <v>152</v>
      </c>
    </row>
    <row r="347" spans="4:13">
      <c r="D347" s="17">
        <v>113020</v>
      </c>
      <c r="E347">
        <f t="shared" si="31"/>
        <v>3</v>
      </c>
      <c r="G347">
        <v>8</v>
      </c>
      <c r="H347">
        <f t="shared" si="32"/>
        <v>38</v>
      </c>
      <c r="I347">
        <f t="shared" si="33"/>
        <v>3800</v>
      </c>
      <c r="J347">
        <v>3800</v>
      </c>
      <c r="K347">
        <f t="shared" si="34"/>
        <v>21</v>
      </c>
      <c r="L347">
        <f t="shared" si="35"/>
        <v>8.4</v>
      </c>
      <c r="M347">
        <f t="shared" si="36"/>
        <v>168</v>
      </c>
    </row>
    <row r="348" spans="4:13">
      <c r="D348" s="13">
        <v>113021</v>
      </c>
      <c r="E348">
        <f t="shared" si="31"/>
        <v>3</v>
      </c>
      <c r="G348">
        <v>3</v>
      </c>
      <c r="H348">
        <f t="shared" si="32"/>
        <v>33</v>
      </c>
      <c r="I348">
        <f t="shared" si="33"/>
        <v>3300</v>
      </c>
      <c r="J348">
        <v>3300</v>
      </c>
      <c r="K348">
        <f t="shared" si="34"/>
        <v>12</v>
      </c>
      <c r="L348">
        <f t="shared" si="35"/>
        <v>4.8</v>
      </c>
      <c r="M348">
        <f t="shared" si="36"/>
        <v>96</v>
      </c>
    </row>
    <row r="349" spans="4:13">
      <c r="D349" s="13">
        <v>113021</v>
      </c>
      <c r="E349">
        <f t="shared" si="31"/>
        <v>3</v>
      </c>
      <c r="G349">
        <v>4</v>
      </c>
      <c r="H349">
        <f t="shared" si="32"/>
        <v>34</v>
      </c>
      <c r="I349">
        <f t="shared" si="33"/>
        <v>3400</v>
      </c>
      <c r="J349">
        <v>3400</v>
      </c>
      <c r="K349">
        <f t="shared" si="34"/>
        <v>13.5</v>
      </c>
      <c r="L349">
        <f t="shared" si="35"/>
        <v>5.4</v>
      </c>
      <c r="M349">
        <f t="shared" si="36"/>
        <v>108</v>
      </c>
    </row>
    <row r="350" spans="4:13">
      <c r="D350" s="13">
        <v>113021</v>
      </c>
      <c r="E350">
        <f t="shared" si="31"/>
        <v>3</v>
      </c>
      <c r="G350">
        <v>5</v>
      </c>
      <c r="H350">
        <f t="shared" si="32"/>
        <v>35</v>
      </c>
      <c r="I350">
        <f t="shared" si="33"/>
        <v>3500</v>
      </c>
      <c r="J350">
        <v>3500</v>
      </c>
      <c r="K350">
        <f t="shared" si="34"/>
        <v>15</v>
      </c>
      <c r="L350">
        <f t="shared" si="35"/>
        <v>6</v>
      </c>
      <c r="M350">
        <f t="shared" si="36"/>
        <v>120</v>
      </c>
    </row>
    <row r="351" spans="4:13">
      <c r="D351" s="13">
        <v>113021</v>
      </c>
      <c r="E351">
        <f t="shared" si="31"/>
        <v>3</v>
      </c>
      <c r="G351">
        <v>6</v>
      </c>
      <c r="H351">
        <f t="shared" si="32"/>
        <v>36</v>
      </c>
      <c r="I351">
        <f t="shared" si="33"/>
        <v>3600</v>
      </c>
      <c r="J351">
        <v>3600</v>
      </c>
      <c r="K351">
        <f t="shared" si="34"/>
        <v>17</v>
      </c>
      <c r="L351">
        <f t="shared" si="35"/>
        <v>6.8</v>
      </c>
      <c r="M351">
        <f t="shared" si="36"/>
        <v>136</v>
      </c>
    </row>
    <row r="352" spans="4:13">
      <c r="D352" s="13">
        <v>113021</v>
      </c>
      <c r="E352">
        <f t="shared" si="31"/>
        <v>3</v>
      </c>
      <c r="G352">
        <v>7</v>
      </c>
      <c r="H352">
        <f t="shared" si="32"/>
        <v>37</v>
      </c>
      <c r="I352">
        <f t="shared" si="33"/>
        <v>3700</v>
      </c>
      <c r="J352">
        <v>3700</v>
      </c>
      <c r="K352">
        <f t="shared" si="34"/>
        <v>19</v>
      </c>
      <c r="L352">
        <f t="shared" si="35"/>
        <v>7.6</v>
      </c>
      <c r="M352">
        <f t="shared" si="36"/>
        <v>152</v>
      </c>
    </row>
    <row r="353" spans="4:13">
      <c r="D353" s="13">
        <v>113021</v>
      </c>
      <c r="E353">
        <f t="shared" si="31"/>
        <v>3</v>
      </c>
      <c r="G353">
        <v>8</v>
      </c>
      <c r="H353">
        <f t="shared" si="32"/>
        <v>38</v>
      </c>
      <c r="I353">
        <f t="shared" si="33"/>
        <v>3800</v>
      </c>
      <c r="J353">
        <v>3800</v>
      </c>
      <c r="K353">
        <f t="shared" si="34"/>
        <v>21</v>
      </c>
      <c r="L353">
        <f t="shared" si="35"/>
        <v>8.4</v>
      </c>
      <c r="M353">
        <f t="shared" si="36"/>
        <v>168</v>
      </c>
    </row>
    <row r="354" spans="4:13">
      <c r="D354" s="18">
        <v>113022</v>
      </c>
      <c r="E354">
        <f t="shared" si="31"/>
        <v>3</v>
      </c>
      <c r="G354">
        <v>3</v>
      </c>
      <c r="H354">
        <f t="shared" si="32"/>
        <v>33</v>
      </c>
      <c r="I354">
        <f t="shared" si="33"/>
        <v>3300</v>
      </c>
      <c r="J354">
        <v>3300</v>
      </c>
      <c r="K354">
        <f t="shared" si="34"/>
        <v>12</v>
      </c>
      <c r="L354">
        <f t="shared" si="35"/>
        <v>4.8</v>
      </c>
      <c r="M354">
        <f t="shared" si="36"/>
        <v>96</v>
      </c>
    </row>
    <row r="355" spans="4:13">
      <c r="D355" s="18">
        <v>113022</v>
      </c>
      <c r="E355">
        <f t="shared" si="31"/>
        <v>3</v>
      </c>
      <c r="G355">
        <v>4</v>
      </c>
      <c r="H355">
        <f t="shared" si="32"/>
        <v>34</v>
      </c>
      <c r="I355">
        <f t="shared" si="33"/>
        <v>3400</v>
      </c>
      <c r="J355">
        <v>3400</v>
      </c>
      <c r="K355">
        <f t="shared" si="34"/>
        <v>13.5</v>
      </c>
      <c r="L355">
        <f t="shared" si="35"/>
        <v>5.4</v>
      </c>
      <c r="M355">
        <f t="shared" si="36"/>
        <v>108</v>
      </c>
    </row>
    <row r="356" spans="4:13">
      <c r="D356" s="18">
        <v>113022</v>
      </c>
      <c r="E356">
        <f t="shared" si="31"/>
        <v>3</v>
      </c>
      <c r="G356">
        <v>5</v>
      </c>
      <c r="H356">
        <f t="shared" si="32"/>
        <v>35</v>
      </c>
      <c r="I356">
        <f t="shared" si="33"/>
        <v>3500</v>
      </c>
      <c r="J356">
        <v>3500</v>
      </c>
      <c r="K356">
        <f t="shared" si="34"/>
        <v>15</v>
      </c>
      <c r="L356">
        <f t="shared" si="35"/>
        <v>6</v>
      </c>
      <c r="M356">
        <f t="shared" si="36"/>
        <v>120</v>
      </c>
    </row>
    <row r="357" spans="4:13">
      <c r="D357" s="18">
        <v>113022</v>
      </c>
      <c r="E357">
        <f t="shared" si="31"/>
        <v>3</v>
      </c>
      <c r="G357">
        <v>6</v>
      </c>
      <c r="H357">
        <f t="shared" si="32"/>
        <v>36</v>
      </c>
      <c r="I357">
        <f t="shared" si="33"/>
        <v>3600</v>
      </c>
      <c r="J357">
        <v>3600</v>
      </c>
      <c r="K357">
        <f t="shared" si="34"/>
        <v>17</v>
      </c>
      <c r="L357">
        <f t="shared" si="35"/>
        <v>6.8</v>
      </c>
      <c r="M357">
        <f t="shared" si="36"/>
        <v>136</v>
      </c>
    </row>
    <row r="358" spans="4:13">
      <c r="D358" s="18">
        <v>113022</v>
      </c>
      <c r="E358">
        <f t="shared" si="31"/>
        <v>3</v>
      </c>
      <c r="G358">
        <v>7</v>
      </c>
      <c r="H358">
        <f t="shared" si="32"/>
        <v>37</v>
      </c>
      <c r="I358">
        <f t="shared" si="33"/>
        <v>3700</v>
      </c>
      <c r="J358">
        <v>3700</v>
      </c>
      <c r="K358">
        <f t="shared" si="34"/>
        <v>19</v>
      </c>
      <c r="L358">
        <f t="shared" si="35"/>
        <v>7.6</v>
      </c>
      <c r="M358">
        <f t="shared" si="36"/>
        <v>152</v>
      </c>
    </row>
    <row r="359" spans="4:13">
      <c r="D359" s="18">
        <v>113022</v>
      </c>
      <c r="E359">
        <f t="shared" si="31"/>
        <v>3</v>
      </c>
      <c r="G359">
        <v>8</v>
      </c>
      <c r="H359">
        <f t="shared" si="32"/>
        <v>38</v>
      </c>
      <c r="I359">
        <f t="shared" si="33"/>
        <v>3800</v>
      </c>
      <c r="J359">
        <v>3800</v>
      </c>
      <c r="K359">
        <f t="shared" si="34"/>
        <v>21</v>
      </c>
      <c r="L359">
        <f t="shared" si="35"/>
        <v>8.4</v>
      </c>
      <c r="M359">
        <f t="shared" si="36"/>
        <v>168</v>
      </c>
    </row>
    <row r="360" spans="4:13">
      <c r="D360" s="18">
        <v>113023</v>
      </c>
      <c r="E360">
        <f t="shared" si="31"/>
        <v>3</v>
      </c>
      <c r="G360">
        <v>3</v>
      </c>
      <c r="H360">
        <f t="shared" si="32"/>
        <v>33</v>
      </c>
      <c r="I360">
        <f t="shared" si="33"/>
        <v>3300</v>
      </c>
      <c r="J360">
        <v>3300</v>
      </c>
      <c r="K360">
        <f t="shared" si="34"/>
        <v>12</v>
      </c>
      <c r="L360">
        <f t="shared" si="35"/>
        <v>4.8</v>
      </c>
      <c r="M360">
        <f t="shared" si="36"/>
        <v>96</v>
      </c>
    </row>
    <row r="361" spans="4:13">
      <c r="D361" s="18">
        <v>113023</v>
      </c>
      <c r="E361">
        <f t="shared" si="31"/>
        <v>3</v>
      </c>
      <c r="G361">
        <v>4</v>
      </c>
      <c r="H361">
        <f t="shared" si="32"/>
        <v>34</v>
      </c>
      <c r="I361">
        <f t="shared" si="33"/>
        <v>3400</v>
      </c>
      <c r="J361">
        <v>3400</v>
      </c>
      <c r="K361">
        <f t="shared" si="34"/>
        <v>13.5</v>
      </c>
      <c r="L361">
        <f t="shared" si="35"/>
        <v>5.4</v>
      </c>
      <c r="M361">
        <f t="shared" si="36"/>
        <v>108</v>
      </c>
    </row>
    <row r="362" spans="4:13">
      <c r="D362" s="18">
        <v>113023</v>
      </c>
      <c r="E362">
        <f t="shared" si="31"/>
        <v>3</v>
      </c>
      <c r="G362">
        <v>5</v>
      </c>
      <c r="H362">
        <f t="shared" si="32"/>
        <v>35</v>
      </c>
      <c r="I362">
        <f t="shared" si="33"/>
        <v>3500</v>
      </c>
      <c r="J362">
        <v>3500</v>
      </c>
      <c r="K362">
        <f t="shared" si="34"/>
        <v>15</v>
      </c>
      <c r="L362">
        <f t="shared" si="35"/>
        <v>6</v>
      </c>
      <c r="M362">
        <f t="shared" si="36"/>
        <v>120</v>
      </c>
    </row>
    <row r="363" spans="4:13">
      <c r="D363" s="18">
        <v>113023</v>
      </c>
      <c r="E363">
        <f t="shared" si="31"/>
        <v>3</v>
      </c>
      <c r="G363">
        <v>6</v>
      </c>
      <c r="H363">
        <f t="shared" si="32"/>
        <v>36</v>
      </c>
      <c r="I363">
        <f t="shared" si="33"/>
        <v>3600</v>
      </c>
      <c r="J363">
        <v>3600</v>
      </c>
      <c r="K363">
        <f t="shared" si="34"/>
        <v>17</v>
      </c>
      <c r="L363">
        <f t="shared" si="35"/>
        <v>6.8</v>
      </c>
      <c r="M363">
        <f t="shared" si="36"/>
        <v>136</v>
      </c>
    </row>
    <row r="364" spans="4:13">
      <c r="D364" s="18">
        <v>113023</v>
      </c>
      <c r="E364">
        <f t="shared" si="31"/>
        <v>3</v>
      </c>
      <c r="G364">
        <v>7</v>
      </c>
      <c r="H364">
        <f t="shared" si="32"/>
        <v>37</v>
      </c>
      <c r="I364">
        <f t="shared" si="33"/>
        <v>3700</v>
      </c>
      <c r="J364">
        <v>3700</v>
      </c>
      <c r="K364">
        <f t="shared" si="34"/>
        <v>19</v>
      </c>
      <c r="L364">
        <f t="shared" si="35"/>
        <v>7.6</v>
      </c>
      <c r="M364">
        <f t="shared" si="36"/>
        <v>152</v>
      </c>
    </row>
    <row r="365" spans="4:13">
      <c r="D365" s="18">
        <v>113023</v>
      </c>
      <c r="E365">
        <f t="shared" si="31"/>
        <v>3</v>
      </c>
      <c r="G365">
        <v>8</v>
      </c>
      <c r="H365">
        <f t="shared" si="32"/>
        <v>38</v>
      </c>
      <c r="I365">
        <f t="shared" si="33"/>
        <v>3800</v>
      </c>
      <c r="J365">
        <v>3800</v>
      </c>
      <c r="K365">
        <f t="shared" si="34"/>
        <v>21</v>
      </c>
      <c r="L365">
        <f t="shared" si="35"/>
        <v>8.4</v>
      </c>
      <c r="M365">
        <f t="shared" si="36"/>
        <v>168</v>
      </c>
    </row>
    <row r="366" spans="4:13">
      <c r="D366" s="19">
        <v>113024</v>
      </c>
      <c r="E366">
        <f t="shared" si="31"/>
        <v>3</v>
      </c>
      <c r="G366">
        <v>3</v>
      </c>
      <c r="H366">
        <f t="shared" si="32"/>
        <v>33</v>
      </c>
      <c r="I366">
        <f t="shared" si="33"/>
        <v>3300</v>
      </c>
      <c r="J366">
        <v>3300</v>
      </c>
      <c r="K366">
        <f t="shared" si="34"/>
        <v>12</v>
      </c>
      <c r="L366">
        <f t="shared" si="35"/>
        <v>4.8</v>
      </c>
      <c r="M366">
        <f t="shared" si="36"/>
        <v>96</v>
      </c>
    </row>
    <row r="367" spans="4:13">
      <c r="D367" s="19">
        <v>113024</v>
      </c>
      <c r="E367">
        <f t="shared" si="31"/>
        <v>3</v>
      </c>
      <c r="G367">
        <v>4</v>
      </c>
      <c r="H367">
        <f t="shared" si="32"/>
        <v>34</v>
      </c>
      <c r="I367">
        <f t="shared" si="33"/>
        <v>3400</v>
      </c>
      <c r="J367">
        <v>3400</v>
      </c>
      <c r="K367">
        <f t="shared" si="34"/>
        <v>13.5</v>
      </c>
      <c r="L367">
        <f t="shared" si="35"/>
        <v>5.4</v>
      </c>
      <c r="M367">
        <f t="shared" si="36"/>
        <v>108</v>
      </c>
    </row>
    <row r="368" spans="4:13">
      <c r="D368" s="19">
        <v>113024</v>
      </c>
      <c r="E368">
        <f t="shared" si="31"/>
        <v>3</v>
      </c>
      <c r="G368">
        <v>5</v>
      </c>
      <c r="H368">
        <f t="shared" si="32"/>
        <v>35</v>
      </c>
      <c r="I368">
        <f t="shared" si="33"/>
        <v>3500</v>
      </c>
      <c r="J368">
        <v>3500</v>
      </c>
      <c r="K368">
        <f t="shared" si="34"/>
        <v>15</v>
      </c>
      <c r="L368">
        <f t="shared" si="35"/>
        <v>6</v>
      </c>
      <c r="M368">
        <f t="shared" si="36"/>
        <v>120</v>
      </c>
    </row>
    <row r="369" spans="4:13">
      <c r="D369" s="19">
        <v>113024</v>
      </c>
      <c r="E369">
        <f t="shared" si="31"/>
        <v>3</v>
      </c>
      <c r="G369">
        <v>6</v>
      </c>
      <c r="H369">
        <f t="shared" si="32"/>
        <v>36</v>
      </c>
      <c r="I369">
        <f t="shared" si="33"/>
        <v>3600</v>
      </c>
      <c r="J369">
        <v>3600</v>
      </c>
      <c r="K369">
        <f t="shared" si="34"/>
        <v>17</v>
      </c>
      <c r="L369">
        <f t="shared" si="35"/>
        <v>6.8</v>
      </c>
      <c r="M369">
        <f t="shared" si="36"/>
        <v>136</v>
      </c>
    </row>
    <row r="370" spans="4:13">
      <c r="D370" s="19">
        <v>113024</v>
      </c>
      <c r="E370">
        <f t="shared" si="31"/>
        <v>3</v>
      </c>
      <c r="G370">
        <v>7</v>
      </c>
      <c r="H370">
        <f t="shared" si="32"/>
        <v>37</v>
      </c>
      <c r="I370">
        <f t="shared" si="33"/>
        <v>3700</v>
      </c>
      <c r="J370">
        <v>3700</v>
      </c>
      <c r="K370">
        <f t="shared" si="34"/>
        <v>19</v>
      </c>
      <c r="L370">
        <f t="shared" si="35"/>
        <v>7.6</v>
      </c>
      <c r="M370">
        <f t="shared" si="36"/>
        <v>152</v>
      </c>
    </row>
    <row r="371" spans="4:13">
      <c r="D371" s="19">
        <v>113024</v>
      </c>
      <c r="E371">
        <f t="shared" si="31"/>
        <v>3</v>
      </c>
      <c r="G371">
        <v>8</v>
      </c>
      <c r="H371">
        <f t="shared" si="32"/>
        <v>38</v>
      </c>
      <c r="I371">
        <f t="shared" si="33"/>
        <v>3800</v>
      </c>
      <c r="J371">
        <v>3800</v>
      </c>
      <c r="K371">
        <f t="shared" si="34"/>
        <v>21</v>
      </c>
      <c r="L371">
        <f t="shared" si="35"/>
        <v>8.4</v>
      </c>
      <c r="M371">
        <f t="shared" si="36"/>
        <v>168</v>
      </c>
    </row>
    <row r="372" spans="4:13">
      <c r="D372" s="20">
        <v>113025</v>
      </c>
      <c r="E372">
        <f t="shared" si="31"/>
        <v>3</v>
      </c>
      <c r="G372">
        <v>3</v>
      </c>
      <c r="H372">
        <f t="shared" si="32"/>
        <v>33</v>
      </c>
      <c r="I372">
        <f t="shared" si="33"/>
        <v>3300</v>
      </c>
      <c r="J372">
        <v>3300</v>
      </c>
      <c r="K372">
        <f t="shared" si="34"/>
        <v>12</v>
      </c>
      <c r="L372">
        <f t="shared" si="35"/>
        <v>4.8</v>
      </c>
      <c r="M372">
        <f t="shared" si="36"/>
        <v>96</v>
      </c>
    </row>
    <row r="373" spans="4:13">
      <c r="D373" s="20">
        <v>113025</v>
      </c>
      <c r="E373">
        <f t="shared" si="31"/>
        <v>3</v>
      </c>
      <c r="G373">
        <v>4</v>
      </c>
      <c r="H373">
        <f t="shared" si="32"/>
        <v>34</v>
      </c>
      <c r="I373">
        <f t="shared" si="33"/>
        <v>3400</v>
      </c>
      <c r="J373">
        <v>3400</v>
      </c>
      <c r="K373">
        <f t="shared" si="34"/>
        <v>13.5</v>
      </c>
      <c r="L373">
        <f t="shared" si="35"/>
        <v>5.4</v>
      </c>
      <c r="M373">
        <f t="shared" si="36"/>
        <v>108</v>
      </c>
    </row>
    <row r="374" spans="4:13">
      <c r="D374" s="20">
        <v>113025</v>
      </c>
      <c r="E374">
        <f t="shared" si="31"/>
        <v>3</v>
      </c>
      <c r="G374">
        <v>5</v>
      </c>
      <c r="H374">
        <f t="shared" si="32"/>
        <v>35</v>
      </c>
      <c r="I374">
        <f t="shared" si="33"/>
        <v>3500</v>
      </c>
      <c r="J374">
        <v>3500</v>
      </c>
      <c r="K374">
        <f t="shared" si="34"/>
        <v>15</v>
      </c>
      <c r="L374">
        <f t="shared" si="35"/>
        <v>6</v>
      </c>
      <c r="M374">
        <f t="shared" si="36"/>
        <v>120</v>
      </c>
    </row>
    <row r="375" spans="4:13">
      <c r="D375" s="20">
        <v>113025</v>
      </c>
      <c r="E375">
        <f t="shared" si="31"/>
        <v>3</v>
      </c>
      <c r="G375">
        <v>6</v>
      </c>
      <c r="H375">
        <f t="shared" si="32"/>
        <v>36</v>
      </c>
      <c r="I375">
        <f t="shared" si="33"/>
        <v>3600</v>
      </c>
      <c r="J375">
        <v>3600</v>
      </c>
      <c r="K375">
        <f t="shared" si="34"/>
        <v>17</v>
      </c>
      <c r="L375">
        <f t="shared" si="35"/>
        <v>6.8</v>
      </c>
      <c r="M375">
        <f t="shared" si="36"/>
        <v>136</v>
      </c>
    </row>
    <row r="376" spans="4:13">
      <c r="D376" s="20">
        <v>113025</v>
      </c>
      <c r="E376">
        <f t="shared" si="31"/>
        <v>3</v>
      </c>
      <c r="G376">
        <v>7</v>
      </c>
      <c r="H376">
        <f t="shared" si="32"/>
        <v>37</v>
      </c>
      <c r="I376">
        <f t="shared" si="33"/>
        <v>3700</v>
      </c>
      <c r="J376">
        <v>3700</v>
      </c>
      <c r="K376">
        <f t="shared" si="34"/>
        <v>19</v>
      </c>
      <c r="L376">
        <f t="shared" si="35"/>
        <v>7.6</v>
      </c>
      <c r="M376">
        <f t="shared" si="36"/>
        <v>152</v>
      </c>
    </row>
    <row r="377" spans="4:13">
      <c r="D377" s="20">
        <v>113025</v>
      </c>
      <c r="E377">
        <f t="shared" si="31"/>
        <v>3</v>
      </c>
      <c r="G377">
        <v>8</v>
      </c>
      <c r="H377">
        <f t="shared" si="32"/>
        <v>38</v>
      </c>
      <c r="I377">
        <f t="shared" si="33"/>
        <v>3800</v>
      </c>
      <c r="J377">
        <v>3800</v>
      </c>
      <c r="K377">
        <f t="shared" si="34"/>
        <v>21</v>
      </c>
      <c r="L377">
        <f t="shared" si="35"/>
        <v>8.4</v>
      </c>
      <c r="M377">
        <f t="shared" si="36"/>
        <v>168</v>
      </c>
    </row>
    <row r="378" spans="4:13">
      <c r="D378" s="21">
        <v>113026</v>
      </c>
      <c r="E378">
        <f t="shared" si="31"/>
        <v>3</v>
      </c>
      <c r="G378">
        <v>3</v>
      </c>
      <c r="H378">
        <f t="shared" si="32"/>
        <v>33</v>
      </c>
      <c r="I378">
        <f t="shared" si="33"/>
        <v>3300</v>
      </c>
      <c r="J378">
        <v>3300</v>
      </c>
      <c r="K378">
        <f t="shared" si="34"/>
        <v>12</v>
      </c>
      <c r="L378">
        <f t="shared" si="35"/>
        <v>4.8</v>
      </c>
      <c r="M378">
        <f t="shared" si="36"/>
        <v>96</v>
      </c>
    </row>
    <row r="379" spans="4:13">
      <c r="D379" s="21">
        <v>113026</v>
      </c>
      <c r="E379">
        <f t="shared" si="31"/>
        <v>3</v>
      </c>
      <c r="G379">
        <v>4</v>
      </c>
      <c r="H379">
        <f t="shared" si="32"/>
        <v>34</v>
      </c>
      <c r="I379">
        <f t="shared" si="33"/>
        <v>3400</v>
      </c>
      <c r="J379">
        <v>3400</v>
      </c>
      <c r="K379">
        <f t="shared" si="34"/>
        <v>13.5</v>
      </c>
      <c r="L379">
        <f t="shared" si="35"/>
        <v>5.4</v>
      </c>
      <c r="M379">
        <f t="shared" si="36"/>
        <v>108</v>
      </c>
    </row>
    <row r="380" spans="4:13">
      <c r="D380" s="21">
        <v>113026</v>
      </c>
      <c r="E380">
        <f t="shared" si="31"/>
        <v>3</v>
      </c>
      <c r="G380">
        <v>5</v>
      </c>
      <c r="H380">
        <f t="shared" si="32"/>
        <v>35</v>
      </c>
      <c r="I380">
        <f t="shared" si="33"/>
        <v>3500</v>
      </c>
      <c r="J380">
        <v>3500</v>
      </c>
      <c r="K380">
        <f t="shared" si="34"/>
        <v>15</v>
      </c>
      <c r="L380">
        <f t="shared" si="35"/>
        <v>6</v>
      </c>
      <c r="M380">
        <f t="shared" si="36"/>
        <v>120</v>
      </c>
    </row>
    <row r="381" spans="4:13">
      <c r="D381" s="21">
        <v>113026</v>
      </c>
      <c r="E381">
        <f t="shared" si="31"/>
        <v>3</v>
      </c>
      <c r="G381">
        <v>6</v>
      </c>
      <c r="H381">
        <f t="shared" si="32"/>
        <v>36</v>
      </c>
      <c r="I381">
        <f t="shared" si="33"/>
        <v>3600</v>
      </c>
      <c r="J381">
        <v>3600</v>
      </c>
      <c r="K381">
        <f t="shared" si="34"/>
        <v>17</v>
      </c>
      <c r="L381">
        <f t="shared" si="35"/>
        <v>6.8</v>
      </c>
      <c r="M381">
        <f t="shared" si="36"/>
        <v>136</v>
      </c>
    </row>
    <row r="382" spans="4:13">
      <c r="D382" s="21">
        <v>113026</v>
      </c>
      <c r="E382">
        <f t="shared" si="31"/>
        <v>3</v>
      </c>
      <c r="G382">
        <v>7</v>
      </c>
      <c r="H382">
        <f t="shared" si="32"/>
        <v>37</v>
      </c>
      <c r="I382">
        <f t="shared" si="33"/>
        <v>3700</v>
      </c>
      <c r="J382">
        <v>3700</v>
      </c>
      <c r="K382">
        <f t="shared" si="34"/>
        <v>19</v>
      </c>
      <c r="L382">
        <f t="shared" si="35"/>
        <v>7.6</v>
      </c>
      <c r="M382">
        <f t="shared" si="36"/>
        <v>152</v>
      </c>
    </row>
    <row r="383" spans="4:13">
      <c r="D383" s="21">
        <v>113026</v>
      </c>
      <c r="E383">
        <f t="shared" si="31"/>
        <v>3</v>
      </c>
      <c r="G383">
        <v>8</v>
      </c>
      <c r="H383">
        <f t="shared" si="32"/>
        <v>38</v>
      </c>
      <c r="I383">
        <f t="shared" si="33"/>
        <v>3800</v>
      </c>
      <c r="J383">
        <v>3800</v>
      </c>
      <c r="K383">
        <f t="shared" si="34"/>
        <v>21</v>
      </c>
      <c r="L383">
        <f t="shared" si="35"/>
        <v>8.4</v>
      </c>
      <c r="M383">
        <f t="shared" si="36"/>
        <v>168</v>
      </c>
    </row>
    <row r="384" spans="4:13">
      <c r="D384" s="22">
        <v>113027</v>
      </c>
      <c r="E384">
        <f t="shared" si="31"/>
        <v>3</v>
      </c>
      <c r="G384">
        <v>3</v>
      </c>
      <c r="H384">
        <f t="shared" si="32"/>
        <v>33</v>
      </c>
      <c r="I384">
        <f t="shared" si="33"/>
        <v>3300</v>
      </c>
      <c r="J384">
        <v>3300</v>
      </c>
      <c r="K384">
        <f t="shared" si="34"/>
        <v>12</v>
      </c>
      <c r="L384">
        <f t="shared" si="35"/>
        <v>4.8</v>
      </c>
      <c r="M384">
        <f t="shared" si="36"/>
        <v>96</v>
      </c>
    </row>
    <row r="385" spans="4:13">
      <c r="D385" s="22">
        <v>113027</v>
      </c>
      <c r="E385">
        <f t="shared" si="31"/>
        <v>3</v>
      </c>
      <c r="G385">
        <v>4</v>
      </c>
      <c r="H385">
        <f t="shared" si="32"/>
        <v>34</v>
      </c>
      <c r="I385">
        <f t="shared" si="33"/>
        <v>3400</v>
      </c>
      <c r="J385">
        <v>3400</v>
      </c>
      <c r="K385">
        <f t="shared" si="34"/>
        <v>13.5</v>
      </c>
      <c r="L385">
        <f t="shared" si="35"/>
        <v>5.4</v>
      </c>
      <c r="M385">
        <f t="shared" si="36"/>
        <v>108</v>
      </c>
    </row>
    <row r="386" spans="4:13">
      <c r="D386" s="22">
        <v>113027</v>
      </c>
      <c r="E386">
        <f t="shared" si="31"/>
        <v>3</v>
      </c>
      <c r="G386">
        <v>5</v>
      </c>
      <c r="H386">
        <f t="shared" si="32"/>
        <v>35</v>
      </c>
      <c r="I386">
        <f t="shared" si="33"/>
        <v>3500</v>
      </c>
      <c r="J386">
        <v>3500</v>
      </c>
      <c r="K386">
        <f t="shared" si="34"/>
        <v>15</v>
      </c>
      <c r="L386">
        <f t="shared" si="35"/>
        <v>6</v>
      </c>
      <c r="M386">
        <f t="shared" si="36"/>
        <v>120</v>
      </c>
    </row>
    <row r="387" spans="4:13">
      <c r="D387" s="22">
        <v>113027</v>
      </c>
      <c r="E387">
        <f t="shared" si="31"/>
        <v>3</v>
      </c>
      <c r="G387">
        <v>6</v>
      </c>
      <c r="H387">
        <f t="shared" si="32"/>
        <v>36</v>
      </c>
      <c r="I387">
        <f t="shared" si="33"/>
        <v>3600</v>
      </c>
      <c r="J387">
        <v>3600</v>
      </c>
      <c r="K387">
        <f t="shared" si="34"/>
        <v>17</v>
      </c>
      <c r="L387">
        <f t="shared" si="35"/>
        <v>6.8</v>
      </c>
      <c r="M387">
        <f t="shared" si="36"/>
        <v>136</v>
      </c>
    </row>
    <row r="388" spans="4:13">
      <c r="D388" s="22">
        <v>113027</v>
      </c>
      <c r="E388">
        <f t="shared" si="31"/>
        <v>3</v>
      </c>
      <c r="G388">
        <v>7</v>
      </c>
      <c r="H388">
        <f t="shared" si="32"/>
        <v>37</v>
      </c>
      <c r="I388">
        <f t="shared" si="33"/>
        <v>3700</v>
      </c>
      <c r="J388">
        <v>3700</v>
      </c>
      <c r="K388">
        <f t="shared" si="34"/>
        <v>19</v>
      </c>
      <c r="L388">
        <f t="shared" si="35"/>
        <v>7.6</v>
      </c>
      <c r="M388">
        <f t="shared" si="36"/>
        <v>152</v>
      </c>
    </row>
    <row r="389" spans="4:13">
      <c r="D389" s="22">
        <v>113027</v>
      </c>
      <c r="E389">
        <f t="shared" si="31"/>
        <v>3</v>
      </c>
      <c r="G389">
        <v>8</v>
      </c>
      <c r="H389">
        <f t="shared" si="32"/>
        <v>38</v>
      </c>
      <c r="I389">
        <f t="shared" si="33"/>
        <v>3800</v>
      </c>
      <c r="J389">
        <v>3800</v>
      </c>
      <c r="K389">
        <f t="shared" si="34"/>
        <v>21</v>
      </c>
      <c r="L389">
        <f t="shared" si="35"/>
        <v>8.4</v>
      </c>
      <c r="M389">
        <f t="shared" si="36"/>
        <v>168</v>
      </c>
    </row>
    <row r="390" spans="4:13">
      <c r="D390" s="23">
        <v>113028</v>
      </c>
      <c r="E390">
        <f t="shared" si="31"/>
        <v>3</v>
      </c>
      <c r="G390">
        <v>3</v>
      </c>
      <c r="H390">
        <f t="shared" si="32"/>
        <v>33</v>
      </c>
      <c r="I390">
        <f t="shared" si="33"/>
        <v>3300</v>
      </c>
      <c r="J390">
        <v>3300</v>
      </c>
      <c r="K390">
        <f t="shared" si="34"/>
        <v>12</v>
      </c>
      <c r="L390">
        <f t="shared" si="35"/>
        <v>4.8</v>
      </c>
      <c r="M390">
        <f t="shared" si="36"/>
        <v>96</v>
      </c>
    </row>
    <row r="391" spans="4:13">
      <c r="D391" s="23">
        <v>113028</v>
      </c>
      <c r="E391">
        <f t="shared" si="31"/>
        <v>3</v>
      </c>
      <c r="G391">
        <v>4</v>
      </c>
      <c r="H391">
        <f t="shared" si="32"/>
        <v>34</v>
      </c>
      <c r="I391">
        <f t="shared" si="33"/>
        <v>3400</v>
      </c>
      <c r="J391">
        <v>3400</v>
      </c>
      <c r="K391">
        <f t="shared" si="34"/>
        <v>13.5</v>
      </c>
      <c r="L391">
        <f t="shared" si="35"/>
        <v>5.4</v>
      </c>
      <c r="M391">
        <f t="shared" si="36"/>
        <v>108</v>
      </c>
    </row>
    <row r="392" spans="4:13">
      <c r="D392" s="23">
        <v>113028</v>
      </c>
      <c r="E392">
        <f t="shared" ref="E392:E455" si="37">VLOOKUP(D392,Q:R,2,FALSE)</f>
        <v>3</v>
      </c>
      <c r="G392">
        <v>5</v>
      </c>
      <c r="H392">
        <f t="shared" ref="H392:H455" si="38">E392*10+G392</f>
        <v>35</v>
      </c>
      <c r="I392">
        <f t="shared" ref="I392:I455" si="39">H392*100</f>
        <v>3500</v>
      </c>
      <c r="J392">
        <v>3500</v>
      </c>
      <c r="K392">
        <f t="shared" ref="K392:K455" si="40">VLOOKUP(J392,U:X,2,FALSE)</f>
        <v>15</v>
      </c>
      <c r="L392">
        <f t="shared" ref="L392:L455" si="41">VLOOKUP(J392,U:X,3,FALSE)</f>
        <v>6</v>
      </c>
      <c r="M392">
        <f t="shared" ref="M392:M455" si="42">VLOOKUP(J392,U:X,4,FALSE)</f>
        <v>120</v>
      </c>
    </row>
    <row r="393" spans="4:13">
      <c r="D393" s="23">
        <v>113028</v>
      </c>
      <c r="E393">
        <f t="shared" si="37"/>
        <v>3</v>
      </c>
      <c r="G393">
        <v>6</v>
      </c>
      <c r="H393">
        <f t="shared" si="38"/>
        <v>36</v>
      </c>
      <c r="I393">
        <f t="shared" si="39"/>
        <v>3600</v>
      </c>
      <c r="J393">
        <v>3600</v>
      </c>
      <c r="K393">
        <f t="shared" si="40"/>
        <v>17</v>
      </c>
      <c r="L393">
        <f t="shared" si="41"/>
        <v>6.8</v>
      </c>
      <c r="M393">
        <f t="shared" si="42"/>
        <v>136</v>
      </c>
    </row>
    <row r="394" spans="4:13">
      <c r="D394" s="23">
        <v>113028</v>
      </c>
      <c r="E394">
        <f t="shared" si="37"/>
        <v>3</v>
      </c>
      <c r="G394">
        <v>7</v>
      </c>
      <c r="H394">
        <f t="shared" si="38"/>
        <v>37</v>
      </c>
      <c r="I394">
        <f t="shared" si="39"/>
        <v>3700</v>
      </c>
      <c r="J394">
        <v>3700</v>
      </c>
      <c r="K394">
        <f t="shared" si="40"/>
        <v>19</v>
      </c>
      <c r="L394">
        <f t="shared" si="41"/>
        <v>7.6</v>
      </c>
      <c r="M394">
        <f t="shared" si="42"/>
        <v>152</v>
      </c>
    </row>
    <row r="395" spans="4:13">
      <c r="D395" s="23">
        <v>113028</v>
      </c>
      <c r="E395">
        <f t="shared" si="37"/>
        <v>3</v>
      </c>
      <c r="G395">
        <v>8</v>
      </c>
      <c r="H395">
        <f t="shared" si="38"/>
        <v>38</v>
      </c>
      <c r="I395">
        <f t="shared" si="39"/>
        <v>3800</v>
      </c>
      <c r="J395">
        <v>3800</v>
      </c>
      <c r="K395">
        <f t="shared" si="40"/>
        <v>21</v>
      </c>
      <c r="L395">
        <f t="shared" si="41"/>
        <v>8.4</v>
      </c>
      <c r="M395">
        <f t="shared" si="42"/>
        <v>168</v>
      </c>
    </row>
    <row r="396" spans="4:13">
      <c r="D396" s="24">
        <v>113029</v>
      </c>
      <c r="E396">
        <f t="shared" si="37"/>
        <v>3</v>
      </c>
      <c r="G396">
        <v>3</v>
      </c>
      <c r="H396">
        <f t="shared" si="38"/>
        <v>33</v>
      </c>
      <c r="I396">
        <f t="shared" si="39"/>
        <v>3300</v>
      </c>
      <c r="J396">
        <v>3300</v>
      </c>
      <c r="K396">
        <f t="shared" si="40"/>
        <v>12</v>
      </c>
      <c r="L396">
        <f t="shared" si="41"/>
        <v>4.8</v>
      </c>
      <c r="M396">
        <f t="shared" si="42"/>
        <v>96</v>
      </c>
    </row>
    <row r="397" spans="4:13">
      <c r="D397" s="24">
        <v>113029</v>
      </c>
      <c r="E397">
        <f t="shared" si="37"/>
        <v>3</v>
      </c>
      <c r="G397">
        <v>4</v>
      </c>
      <c r="H397">
        <f t="shared" si="38"/>
        <v>34</v>
      </c>
      <c r="I397">
        <f t="shared" si="39"/>
        <v>3400</v>
      </c>
      <c r="J397">
        <v>3400</v>
      </c>
      <c r="K397">
        <f t="shared" si="40"/>
        <v>13.5</v>
      </c>
      <c r="L397">
        <f t="shared" si="41"/>
        <v>5.4</v>
      </c>
      <c r="M397">
        <f t="shared" si="42"/>
        <v>108</v>
      </c>
    </row>
    <row r="398" spans="4:13">
      <c r="D398" s="24">
        <v>113029</v>
      </c>
      <c r="E398">
        <f t="shared" si="37"/>
        <v>3</v>
      </c>
      <c r="G398">
        <v>5</v>
      </c>
      <c r="H398">
        <f t="shared" si="38"/>
        <v>35</v>
      </c>
      <c r="I398">
        <f t="shared" si="39"/>
        <v>3500</v>
      </c>
      <c r="J398">
        <v>3500</v>
      </c>
      <c r="K398">
        <f t="shared" si="40"/>
        <v>15</v>
      </c>
      <c r="L398">
        <f t="shared" si="41"/>
        <v>6</v>
      </c>
      <c r="M398">
        <f t="shared" si="42"/>
        <v>120</v>
      </c>
    </row>
    <row r="399" spans="4:13">
      <c r="D399" s="24">
        <v>113029</v>
      </c>
      <c r="E399">
        <f t="shared" si="37"/>
        <v>3</v>
      </c>
      <c r="G399">
        <v>6</v>
      </c>
      <c r="H399">
        <f t="shared" si="38"/>
        <v>36</v>
      </c>
      <c r="I399">
        <f t="shared" si="39"/>
        <v>3600</v>
      </c>
      <c r="J399">
        <v>3600</v>
      </c>
      <c r="K399">
        <f t="shared" si="40"/>
        <v>17</v>
      </c>
      <c r="L399">
        <f t="shared" si="41"/>
        <v>6.8</v>
      </c>
      <c r="M399">
        <f t="shared" si="42"/>
        <v>136</v>
      </c>
    </row>
    <row r="400" spans="4:13">
      <c r="D400" s="24">
        <v>113029</v>
      </c>
      <c r="E400">
        <f t="shared" si="37"/>
        <v>3</v>
      </c>
      <c r="G400">
        <v>7</v>
      </c>
      <c r="H400">
        <f t="shared" si="38"/>
        <v>37</v>
      </c>
      <c r="I400">
        <f t="shared" si="39"/>
        <v>3700</v>
      </c>
      <c r="J400">
        <v>3700</v>
      </c>
      <c r="K400">
        <f t="shared" si="40"/>
        <v>19</v>
      </c>
      <c r="L400">
        <f t="shared" si="41"/>
        <v>7.6</v>
      </c>
      <c r="M400">
        <f t="shared" si="42"/>
        <v>152</v>
      </c>
    </row>
    <row r="401" spans="4:13">
      <c r="D401" s="24">
        <v>113029</v>
      </c>
      <c r="E401">
        <f t="shared" si="37"/>
        <v>3</v>
      </c>
      <c r="G401">
        <v>8</v>
      </c>
      <c r="H401">
        <f t="shared" si="38"/>
        <v>38</v>
      </c>
      <c r="I401">
        <f t="shared" si="39"/>
        <v>3800</v>
      </c>
      <c r="J401">
        <v>3800</v>
      </c>
      <c r="K401">
        <f t="shared" si="40"/>
        <v>21</v>
      </c>
      <c r="L401">
        <f t="shared" si="41"/>
        <v>8.4</v>
      </c>
      <c r="M401">
        <f t="shared" si="42"/>
        <v>168</v>
      </c>
    </row>
    <row r="402" spans="4:13">
      <c r="D402" s="25">
        <v>113030</v>
      </c>
      <c r="E402">
        <f t="shared" si="37"/>
        <v>3</v>
      </c>
      <c r="G402">
        <v>3</v>
      </c>
      <c r="H402">
        <f t="shared" si="38"/>
        <v>33</v>
      </c>
      <c r="I402">
        <f t="shared" si="39"/>
        <v>3300</v>
      </c>
      <c r="J402">
        <v>3300</v>
      </c>
      <c r="K402">
        <f t="shared" si="40"/>
        <v>12</v>
      </c>
      <c r="L402">
        <f t="shared" si="41"/>
        <v>4.8</v>
      </c>
      <c r="M402">
        <f t="shared" si="42"/>
        <v>96</v>
      </c>
    </row>
    <row r="403" spans="4:13">
      <c r="D403" s="25">
        <v>113030</v>
      </c>
      <c r="E403">
        <f t="shared" si="37"/>
        <v>3</v>
      </c>
      <c r="G403">
        <v>4</v>
      </c>
      <c r="H403">
        <f t="shared" si="38"/>
        <v>34</v>
      </c>
      <c r="I403">
        <f t="shared" si="39"/>
        <v>3400</v>
      </c>
      <c r="J403">
        <v>3400</v>
      </c>
      <c r="K403">
        <f t="shared" si="40"/>
        <v>13.5</v>
      </c>
      <c r="L403">
        <f t="shared" si="41"/>
        <v>5.4</v>
      </c>
      <c r="M403">
        <f t="shared" si="42"/>
        <v>108</v>
      </c>
    </row>
    <row r="404" spans="4:13">
      <c r="D404" s="25">
        <v>113030</v>
      </c>
      <c r="E404">
        <f t="shared" si="37"/>
        <v>3</v>
      </c>
      <c r="G404">
        <v>5</v>
      </c>
      <c r="H404">
        <f t="shared" si="38"/>
        <v>35</v>
      </c>
      <c r="I404">
        <f t="shared" si="39"/>
        <v>3500</v>
      </c>
      <c r="J404">
        <v>3500</v>
      </c>
      <c r="K404">
        <f t="shared" si="40"/>
        <v>15</v>
      </c>
      <c r="L404">
        <f t="shared" si="41"/>
        <v>6</v>
      </c>
      <c r="M404">
        <f t="shared" si="42"/>
        <v>120</v>
      </c>
    </row>
    <row r="405" spans="4:13">
      <c r="D405" s="25">
        <v>113030</v>
      </c>
      <c r="E405">
        <f t="shared" si="37"/>
        <v>3</v>
      </c>
      <c r="G405">
        <v>6</v>
      </c>
      <c r="H405">
        <f t="shared" si="38"/>
        <v>36</v>
      </c>
      <c r="I405">
        <f t="shared" si="39"/>
        <v>3600</v>
      </c>
      <c r="J405">
        <v>3600</v>
      </c>
      <c r="K405">
        <f t="shared" si="40"/>
        <v>17</v>
      </c>
      <c r="L405">
        <f t="shared" si="41"/>
        <v>6.8</v>
      </c>
      <c r="M405">
        <f t="shared" si="42"/>
        <v>136</v>
      </c>
    </row>
    <row r="406" spans="4:13">
      <c r="D406" s="25">
        <v>113030</v>
      </c>
      <c r="E406">
        <f t="shared" si="37"/>
        <v>3</v>
      </c>
      <c r="G406">
        <v>7</v>
      </c>
      <c r="H406">
        <f t="shared" si="38"/>
        <v>37</v>
      </c>
      <c r="I406">
        <f t="shared" si="39"/>
        <v>3700</v>
      </c>
      <c r="J406">
        <v>3700</v>
      </c>
      <c r="K406">
        <f t="shared" si="40"/>
        <v>19</v>
      </c>
      <c r="L406">
        <f t="shared" si="41"/>
        <v>7.6</v>
      </c>
      <c r="M406">
        <f t="shared" si="42"/>
        <v>152</v>
      </c>
    </row>
    <row r="407" spans="4:13">
      <c r="D407" s="25">
        <v>113030</v>
      </c>
      <c r="E407">
        <f t="shared" si="37"/>
        <v>3</v>
      </c>
      <c r="G407">
        <v>8</v>
      </c>
      <c r="H407">
        <f t="shared" si="38"/>
        <v>38</v>
      </c>
      <c r="I407">
        <f t="shared" si="39"/>
        <v>3800</v>
      </c>
      <c r="J407">
        <v>3800</v>
      </c>
      <c r="K407">
        <f t="shared" si="40"/>
        <v>21</v>
      </c>
      <c r="L407">
        <f t="shared" si="41"/>
        <v>8.4</v>
      </c>
      <c r="M407">
        <f t="shared" si="42"/>
        <v>168</v>
      </c>
    </row>
    <row r="408" spans="4:13">
      <c r="D408" s="26">
        <v>113031</v>
      </c>
      <c r="E408">
        <f t="shared" si="37"/>
        <v>3</v>
      </c>
      <c r="G408">
        <v>3</v>
      </c>
      <c r="H408">
        <f t="shared" si="38"/>
        <v>33</v>
      </c>
      <c r="I408">
        <f t="shared" si="39"/>
        <v>3300</v>
      </c>
      <c r="J408">
        <v>3300</v>
      </c>
      <c r="K408">
        <f t="shared" si="40"/>
        <v>12</v>
      </c>
      <c r="L408">
        <f t="shared" si="41"/>
        <v>4.8</v>
      </c>
      <c r="M408">
        <f t="shared" si="42"/>
        <v>96</v>
      </c>
    </row>
    <row r="409" spans="4:13">
      <c r="D409" s="26">
        <v>113031</v>
      </c>
      <c r="E409">
        <f t="shared" si="37"/>
        <v>3</v>
      </c>
      <c r="G409">
        <v>4</v>
      </c>
      <c r="H409">
        <f t="shared" si="38"/>
        <v>34</v>
      </c>
      <c r="I409">
        <f t="shared" si="39"/>
        <v>3400</v>
      </c>
      <c r="J409">
        <v>3400</v>
      </c>
      <c r="K409">
        <f t="shared" si="40"/>
        <v>13.5</v>
      </c>
      <c r="L409">
        <f t="shared" si="41"/>
        <v>5.4</v>
      </c>
      <c r="M409">
        <f t="shared" si="42"/>
        <v>108</v>
      </c>
    </row>
    <row r="410" spans="4:13">
      <c r="D410" s="26">
        <v>113031</v>
      </c>
      <c r="E410">
        <f t="shared" si="37"/>
        <v>3</v>
      </c>
      <c r="G410">
        <v>5</v>
      </c>
      <c r="H410">
        <f t="shared" si="38"/>
        <v>35</v>
      </c>
      <c r="I410">
        <f t="shared" si="39"/>
        <v>3500</v>
      </c>
      <c r="J410">
        <v>3500</v>
      </c>
      <c r="K410">
        <f t="shared" si="40"/>
        <v>15</v>
      </c>
      <c r="L410">
        <f t="shared" si="41"/>
        <v>6</v>
      </c>
      <c r="M410">
        <f t="shared" si="42"/>
        <v>120</v>
      </c>
    </row>
    <row r="411" spans="4:13">
      <c r="D411" s="26">
        <v>113031</v>
      </c>
      <c r="E411">
        <f t="shared" si="37"/>
        <v>3</v>
      </c>
      <c r="G411">
        <v>6</v>
      </c>
      <c r="H411">
        <f t="shared" si="38"/>
        <v>36</v>
      </c>
      <c r="I411">
        <f t="shared" si="39"/>
        <v>3600</v>
      </c>
      <c r="J411">
        <v>3600</v>
      </c>
      <c r="K411">
        <f t="shared" si="40"/>
        <v>17</v>
      </c>
      <c r="L411">
        <f t="shared" si="41"/>
        <v>6.8</v>
      </c>
      <c r="M411">
        <f t="shared" si="42"/>
        <v>136</v>
      </c>
    </row>
    <row r="412" spans="4:13">
      <c r="D412" s="26">
        <v>113031</v>
      </c>
      <c r="E412">
        <f t="shared" si="37"/>
        <v>3</v>
      </c>
      <c r="G412">
        <v>7</v>
      </c>
      <c r="H412">
        <f t="shared" si="38"/>
        <v>37</v>
      </c>
      <c r="I412">
        <f t="shared" si="39"/>
        <v>3700</v>
      </c>
      <c r="J412">
        <v>3700</v>
      </c>
      <c r="K412">
        <f t="shared" si="40"/>
        <v>19</v>
      </c>
      <c r="L412">
        <f t="shared" si="41"/>
        <v>7.6</v>
      </c>
      <c r="M412">
        <f t="shared" si="42"/>
        <v>152</v>
      </c>
    </row>
    <row r="413" spans="4:13">
      <c r="D413" s="26">
        <v>113031</v>
      </c>
      <c r="E413">
        <f t="shared" si="37"/>
        <v>3</v>
      </c>
      <c r="G413">
        <v>8</v>
      </c>
      <c r="H413">
        <f t="shared" si="38"/>
        <v>38</v>
      </c>
      <c r="I413">
        <f t="shared" si="39"/>
        <v>3800</v>
      </c>
      <c r="J413">
        <v>3800</v>
      </c>
      <c r="K413">
        <f t="shared" si="40"/>
        <v>21</v>
      </c>
      <c r="L413">
        <f t="shared" si="41"/>
        <v>8.4</v>
      </c>
      <c r="M413">
        <f t="shared" si="42"/>
        <v>168</v>
      </c>
    </row>
    <row r="414" spans="4:13">
      <c r="D414" s="27">
        <v>113032</v>
      </c>
      <c r="E414">
        <f t="shared" si="37"/>
        <v>3</v>
      </c>
      <c r="G414">
        <v>3</v>
      </c>
      <c r="H414">
        <f t="shared" si="38"/>
        <v>33</v>
      </c>
      <c r="I414">
        <f t="shared" si="39"/>
        <v>3300</v>
      </c>
      <c r="J414">
        <v>3300</v>
      </c>
      <c r="K414">
        <f t="shared" si="40"/>
        <v>12</v>
      </c>
      <c r="L414">
        <f t="shared" si="41"/>
        <v>4.8</v>
      </c>
      <c r="M414">
        <f t="shared" si="42"/>
        <v>96</v>
      </c>
    </row>
    <row r="415" spans="4:13">
      <c r="D415" s="27">
        <v>113032</v>
      </c>
      <c r="E415">
        <f t="shared" si="37"/>
        <v>3</v>
      </c>
      <c r="G415">
        <v>4</v>
      </c>
      <c r="H415">
        <f t="shared" si="38"/>
        <v>34</v>
      </c>
      <c r="I415">
        <f t="shared" si="39"/>
        <v>3400</v>
      </c>
      <c r="J415">
        <v>3400</v>
      </c>
      <c r="K415">
        <f t="shared" si="40"/>
        <v>13.5</v>
      </c>
      <c r="L415">
        <f t="shared" si="41"/>
        <v>5.4</v>
      </c>
      <c r="M415">
        <f t="shared" si="42"/>
        <v>108</v>
      </c>
    </row>
    <row r="416" spans="4:13">
      <c r="D416" s="27">
        <v>113032</v>
      </c>
      <c r="E416">
        <f t="shared" si="37"/>
        <v>3</v>
      </c>
      <c r="G416">
        <v>5</v>
      </c>
      <c r="H416">
        <f t="shared" si="38"/>
        <v>35</v>
      </c>
      <c r="I416">
        <f t="shared" si="39"/>
        <v>3500</v>
      </c>
      <c r="J416">
        <v>3500</v>
      </c>
      <c r="K416">
        <f t="shared" si="40"/>
        <v>15</v>
      </c>
      <c r="L416">
        <f t="shared" si="41"/>
        <v>6</v>
      </c>
      <c r="M416">
        <f t="shared" si="42"/>
        <v>120</v>
      </c>
    </row>
    <row r="417" spans="4:13">
      <c r="D417" s="27">
        <v>113032</v>
      </c>
      <c r="E417">
        <f t="shared" si="37"/>
        <v>3</v>
      </c>
      <c r="G417">
        <v>6</v>
      </c>
      <c r="H417">
        <f t="shared" si="38"/>
        <v>36</v>
      </c>
      <c r="I417">
        <f t="shared" si="39"/>
        <v>3600</v>
      </c>
      <c r="J417">
        <v>3600</v>
      </c>
      <c r="K417">
        <f t="shared" si="40"/>
        <v>17</v>
      </c>
      <c r="L417">
        <f t="shared" si="41"/>
        <v>6.8</v>
      </c>
      <c r="M417">
        <f t="shared" si="42"/>
        <v>136</v>
      </c>
    </row>
    <row r="418" spans="4:13">
      <c r="D418" s="27">
        <v>113032</v>
      </c>
      <c r="E418">
        <f t="shared" si="37"/>
        <v>3</v>
      </c>
      <c r="G418">
        <v>7</v>
      </c>
      <c r="H418">
        <f t="shared" si="38"/>
        <v>37</v>
      </c>
      <c r="I418">
        <f t="shared" si="39"/>
        <v>3700</v>
      </c>
      <c r="J418">
        <v>3700</v>
      </c>
      <c r="K418">
        <f t="shared" si="40"/>
        <v>19</v>
      </c>
      <c r="L418">
        <f t="shared" si="41"/>
        <v>7.6</v>
      </c>
      <c r="M418">
        <f t="shared" si="42"/>
        <v>152</v>
      </c>
    </row>
    <row r="419" spans="4:13">
      <c r="D419" s="27">
        <v>113032</v>
      </c>
      <c r="E419">
        <f t="shared" si="37"/>
        <v>3</v>
      </c>
      <c r="G419">
        <v>8</v>
      </c>
      <c r="H419">
        <f t="shared" si="38"/>
        <v>38</v>
      </c>
      <c r="I419">
        <f t="shared" si="39"/>
        <v>3800</v>
      </c>
      <c r="J419">
        <v>3800</v>
      </c>
      <c r="K419">
        <f t="shared" si="40"/>
        <v>21</v>
      </c>
      <c r="L419">
        <f t="shared" si="41"/>
        <v>8.4</v>
      </c>
      <c r="M419">
        <f t="shared" si="42"/>
        <v>168</v>
      </c>
    </row>
    <row r="420" spans="4:13">
      <c r="D420" s="28">
        <v>113033</v>
      </c>
      <c r="E420">
        <f t="shared" si="37"/>
        <v>3</v>
      </c>
      <c r="G420">
        <v>3</v>
      </c>
      <c r="H420">
        <f t="shared" si="38"/>
        <v>33</v>
      </c>
      <c r="I420">
        <f t="shared" si="39"/>
        <v>3300</v>
      </c>
      <c r="J420">
        <v>3300</v>
      </c>
      <c r="K420">
        <f t="shared" si="40"/>
        <v>12</v>
      </c>
      <c r="L420">
        <f t="shared" si="41"/>
        <v>4.8</v>
      </c>
      <c r="M420">
        <f t="shared" si="42"/>
        <v>96</v>
      </c>
    </row>
    <row r="421" spans="4:13">
      <c r="D421" s="28">
        <v>113033</v>
      </c>
      <c r="E421">
        <f t="shared" si="37"/>
        <v>3</v>
      </c>
      <c r="G421">
        <v>4</v>
      </c>
      <c r="H421">
        <f t="shared" si="38"/>
        <v>34</v>
      </c>
      <c r="I421">
        <f t="shared" si="39"/>
        <v>3400</v>
      </c>
      <c r="J421">
        <v>3400</v>
      </c>
      <c r="K421">
        <f t="shared" si="40"/>
        <v>13.5</v>
      </c>
      <c r="L421">
        <f t="shared" si="41"/>
        <v>5.4</v>
      </c>
      <c r="M421">
        <f t="shared" si="42"/>
        <v>108</v>
      </c>
    </row>
    <row r="422" spans="4:13">
      <c r="D422" s="28">
        <v>113033</v>
      </c>
      <c r="E422">
        <f t="shared" si="37"/>
        <v>3</v>
      </c>
      <c r="G422">
        <v>5</v>
      </c>
      <c r="H422">
        <f t="shared" si="38"/>
        <v>35</v>
      </c>
      <c r="I422">
        <f t="shared" si="39"/>
        <v>3500</v>
      </c>
      <c r="J422">
        <v>3500</v>
      </c>
      <c r="K422">
        <f t="shared" si="40"/>
        <v>15</v>
      </c>
      <c r="L422">
        <f t="shared" si="41"/>
        <v>6</v>
      </c>
      <c r="M422">
        <f t="shared" si="42"/>
        <v>120</v>
      </c>
    </row>
    <row r="423" spans="4:13">
      <c r="D423" s="28">
        <v>113033</v>
      </c>
      <c r="E423">
        <f t="shared" si="37"/>
        <v>3</v>
      </c>
      <c r="G423">
        <v>6</v>
      </c>
      <c r="H423">
        <f t="shared" si="38"/>
        <v>36</v>
      </c>
      <c r="I423">
        <f t="shared" si="39"/>
        <v>3600</v>
      </c>
      <c r="J423">
        <v>3600</v>
      </c>
      <c r="K423">
        <f t="shared" si="40"/>
        <v>17</v>
      </c>
      <c r="L423">
        <f t="shared" si="41"/>
        <v>6.8</v>
      </c>
      <c r="M423">
        <f t="shared" si="42"/>
        <v>136</v>
      </c>
    </row>
    <row r="424" spans="4:13">
      <c r="D424" s="28">
        <v>113033</v>
      </c>
      <c r="E424">
        <f t="shared" si="37"/>
        <v>3</v>
      </c>
      <c r="G424">
        <v>7</v>
      </c>
      <c r="H424">
        <f t="shared" si="38"/>
        <v>37</v>
      </c>
      <c r="I424">
        <f t="shared" si="39"/>
        <v>3700</v>
      </c>
      <c r="J424">
        <v>3700</v>
      </c>
      <c r="K424">
        <f t="shared" si="40"/>
        <v>19</v>
      </c>
      <c r="L424">
        <f t="shared" si="41"/>
        <v>7.6</v>
      </c>
      <c r="M424">
        <f t="shared" si="42"/>
        <v>152</v>
      </c>
    </row>
    <row r="425" spans="4:13">
      <c r="D425" s="28">
        <v>113033</v>
      </c>
      <c r="E425">
        <f t="shared" si="37"/>
        <v>3</v>
      </c>
      <c r="G425">
        <v>8</v>
      </c>
      <c r="H425">
        <f t="shared" si="38"/>
        <v>38</v>
      </c>
      <c r="I425">
        <f t="shared" si="39"/>
        <v>3800</v>
      </c>
      <c r="J425">
        <v>3800</v>
      </c>
      <c r="K425">
        <f t="shared" si="40"/>
        <v>21</v>
      </c>
      <c r="L425">
        <f t="shared" si="41"/>
        <v>8.4</v>
      </c>
      <c r="M425">
        <f t="shared" si="42"/>
        <v>168</v>
      </c>
    </row>
    <row r="426" spans="4:13">
      <c r="D426" s="29">
        <v>113034</v>
      </c>
      <c r="E426">
        <f t="shared" si="37"/>
        <v>3</v>
      </c>
      <c r="G426">
        <v>3</v>
      </c>
      <c r="H426">
        <f t="shared" si="38"/>
        <v>33</v>
      </c>
      <c r="I426">
        <f t="shared" si="39"/>
        <v>3300</v>
      </c>
      <c r="J426">
        <v>3300</v>
      </c>
      <c r="K426">
        <f t="shared" si="40"/>
        <v>12</v>
      </c>
      <c r="L426">
        <f t="shared" si="41"/>
        <v>4.8</v>
      </c>
      <c r="M426">
        <f t="shared" si="42"/>
        <v>96</v>
      </c>
    </row>
    <row r="427" spans="4:13">
      <c r="D427" s="29">
        <v>113034</v>
      </c>
      <c r="E427">
        <f t="shared" si="37"/>
        <v>3</v>
      </c>
      <c r="G427">
        <v>4</v>
      </c>
      <c r="H427">
        <f t="shared" si="38"/>
        <v>34</v>
      </c>
      <c r="I427">
        <f t="shared" si="39"/>
        <v>3400</v>
      </c>
      <c r="J427">
        <v>3400</v>
      </c>
      <c r="K427">
        <f t="shared" si="40"/>
        <v>13.5</v>
      </c>
      <c r="L427">
        <f t="shared" si="41"/>
        <v>5.4</v>
      </c>
      <c r="M427">
        <f t="shared" si="42"/>
        <v>108</v>
      </c>
    </row>
    <row r="428" spans="4:13">
      <c r="D428" s="29">
        <v>113034</v>
      </c>
      <c r="E428">
        <f t="shared" si="37"/>
        <v>3</v>
      </c>
      <c r="G428">
        <v>5</v>
      </c>
      <c r="H428">
        <f t="shared" si="38"/>
        <v>35</v>
      </c>
      <c r="I428">
        <f t="shared" si="39"/>
        <v>3500</v>
      </c>
      <c r="J428">
        <v>3500</v>
      </c>
      <c r="K428">
        <f t="shared" si="40"/>
        <v>15</v>
      </c>
      <c r="L428">
        <f t="shared" si="41"/>
        <v>6</v>
      </c>
      <c r="M428">
        <f t="shared" si="42"/>
        <v>120</v>
      </c>
    </row>
    <row r="429" spans="4:13">
      <c r="D429" s="29">
        <v>113034</v>
      </c>
      <c r="E429">
        <f t="shared" si="37"/>
        <v>3</v>
      </c>
      <c r="G429">
        <v>6</v>
      </c>
      <c r="H429">
        <f t="shared" si="38"/>
        <v>36</v>
      </c>
      <c r="I429">
        <f t="shared" si="39"/>
        <v>3600</v>
      </c>
      <c r="J429">
        <v>3600</v>
      </c>
      <c r="K429">
        <f t="shared" si="40"/>
        <v>17</v>
      </c>
      <c r="L429">
        <f t="shared" si="41"/>
        <v>6.8</v>
      </c>
      <c r="M429">
        <f t="shared" si="42"/>
        <v>136</v>
      </c>
    </row>
    <row r="430" spans="4:13">
      <c r="D430" s="29">
        <v>113034</v>
      </c>
      <c r="E430">
        <f t="shared" si="37"/>
        <v>3</v>
      </c>
      <c r="G430">
        <v>7</v>
      </c>
      <c r="H430">
        <f t="shared" si="38"/>
        <v>37</v>
      </c>
      <c r="I430">
        <f t="shared" si="39"/>
        <v>3700</v>
      </c>
      <c r="J430">
        <v>3700</v>
      </c>
      <c r="K430">
        <f t="shared" si="40"/>
        <v>19</v>
      </c>
      <c r="L430">
        <f t="shared" si="41"/>
        <v>7.6</v>
      </c>
      <c r="M430">
        <f t="shared" si="42"/>
        <v>152</v>
      </c>
    </row>
    <row r="431" spans="4:13">
      <c r="D431" s="29">
        <v>113034</v>
      </c>
      <c r="E431">
        <f t="shared" si="37"/>
        <v>3</v>
      </c>
      <c r="G431">
        <v>8</v>
      </c>
      <c r="H431">
        <f t="shared" si="38"/>
        <v>38</v>
      </c>
      <c r="I431">
        <f t="shared" si="39"/>
        <v>3800</v>
      </c>
      <c r="J431">
        <v>3800</v>
      </c>
      <c r="K431">
        <f t="shared" si="40"/>
        <v>21</v>
      </c>
      <c r="L431">
        <f t="shared" si="41"/>
        <v>8.4</v>
      </c>
      <c r="M431">
        <f t="shared" si="42"/>
        <v>168</v>
      </c>
    </row>
    <row r="432" spans="4:13">
      <c r="D432" s="30">
        <v>113035</v>
      </c>
      <c r="E432">
        <f t="shared" si="37"/>
        <v>3</v>
      </c>
      <c r="G432">
        <v>3</v>
      </c>
      <c r="H432">
        <f t="shared" si="38"/>
        <v>33</v>
      </c>
      <c r="I432">
        <f t="shared" si="39"/>
        <v>3300</v>
      </c>
      <c r="J432">
        <v>3300</v>
      </c>
      <c r="K432">
        <f t="shared" si="40"/>
        <v>12</v>
      </c>
      <c r="L432">
        <f t="shared" si="41"/>
        <v>4.8</v>
      </c>
      <c r="M432">
        <f t="shared" si="42"/>
        <v>96</v>
      </c>
    </row>
    <row r="433" spans="4:13">
      <c r="D433" s="30">
        <v>113035</v>
      </c>
      <c r="E433">
        <f t="shared" si="37"/>
        <v>3</v>
      </c>
      <c r="G433">
        <v>4</v>
      </c>
      <c r="H433">
        <f t="shared" si="38"/>
        <v>34</v>
      </c>
      <c r="I433">
        <f t="shared" si="39"/>
        <v>3400</v>
      </c>
      <c r="J433">
        <v>3400</v>
      </c>
      <c r="K433">
        <f t="shared" si="40"/>
        <v>13.5</v>
      </c>
      <c r="L433">
        <f t="shared" si="41"/>
        <v>5.4</v>
      </c>
      <c r="M433">
        <f t="shared" si="42"/>
        <v>108</v>
      </c>
    </row>
    <row r="434" spans="4:13">
      <c r="D434" s="30">
        <v>113035</v>
      </c>
      <c r="E434">
        <f t="shared" si="37"/>
        <v>3</v>
      </c>
      <c r="G434">
        <v>5</v>
      </c>
      <c r="H434">
        <f t="shared" si="38"/>
        <v>35</v>
      </c>
      <c r="I434">
        <f t="shared" si="39"/>
        <v>3500</v>
      </c>
      <c r="J434">
        <v>3500</v>
      </c>
      <c r="K434">
        <f t="shared" si="40"/>
        <v>15</v>
      </c>
      <c r="L434">
        <f t="shared" si="41"/>
        <v>6</v>
      </c>
      <c r="M434">
        <f t="shared" si="42"/>
        <v>120</v>
      </c>
    </row>
    <row r="435" spans="4:13">
      <c r="D435" s="30">
        <v>113035</v>
      </c>
      <c r="E435">
        <f t="shared" si="37"/>
        <v>3</v>
      </c>
      <c r="G435">
        <v>6</v>
      </c>
      <c r="H435">
        <f t="shared" si="38"/>
        <v>36</v>
      </c>
      <c r="I435">
        <f t="shared" si="39"/>
        <v>3600</v>
      </c>
      <c r="J435">
        <v>3600</v>
      </c>
      <c r="K435">
        <f t="shared" si="40"/>
        <v>17</v>
      </c>
      <c r="L435">
        <f t="shared" si="41"/>
        <v>6.8</v>
      </c>
      <c r="M435">
        <f t="shared" si="42"/>
        <v>136</v>
      </c>
    </row>
    <row r="436" spans="4:13">
      <c r="D436" s="30">
        <v>113035</v>
      </c>
      <c r="E436">
        <f t="shared" si="37"/>
        <v>3</v>
      </c>
      <c r="G436">
        <v>7</v>
      </c>
      <c r="H436">
        <f t="shared" si="38"/>
        <v>37</v>
      </c>
      <c r="I436">
        <f t="shared" si="39"/>
        <v>3700</v>
      </c>
      <c r="J436">
        <v>3700</v>
      </c>
      <c r="K436">
        <f t="shared" si="40"/>
        <v>19</v>
      </c>
      <c r="L436">
        <f t="shared" si="41"/>
        <v>7.6</v>
      </c>
      <c r="M436">
        <f t="shared" si="42"/>
        <v>152</v>
      </c>
    </row>
    <row r="437" spans="4:13">
      <c r="D437" s="30">
        <v>113035</v>
      </c>
      <c r="E437">
        <f t="shared" si="37"/>
        <v>3</v>
      </c>
      <c r="G437">
        <v>8</v>
      </c>
      <c r="H437">
        <f t="shared" si="38"/>
        <v>38</v>
      </c>
      <c r="I437">
        <f t="shared" si="39"/>
        <v>3800</v>
      </c>
      <c r="J437">
        <v>3800</v>
      </c>
      <c r="K437">
        <f t="shared" si="40"/>
        <v>21</v>
      </c>
      <c r="L437">
        <f t="shared" si="41"/>
        <v>8.4</v>
      </c>
      <c r="M437">
        <f t="shared" si="42"/>
        <v>168</v>
      </c>
    </row>
    <row r="438" spans="4:13">
      <c r="D438" s="31">
        <v>113036</v>
      </c>
      <c r="E438">
        <f t="shared" si="37"/>
        <v>3</v>
      </c>
      <c r="G438" s="32">
        <v>3</v>
      </c>
      <c r="H438">
        <f t="shared" si="38"/>
        <v>33</v>
      </c>
      <c r="I438">
        <f t="shared" si="39"/>
        <v>3300</v>
      </c>
      <c r="J438">
        <v>3300</v>
      </c>
      <c r="K438">
        <f t="shared" si="40"/>
        <v>12</v>
      </c>
      <c r="L438">
        <f t="shared" si="41"/>
        <v>4.8</v>
      </c>
      <c r="M438">
        <f t="shared" si="42"/>
        <v>96</v>
      </c>
    </row>
    <row r="439" spans="4:13">
      <c r="D439" s="31">
        <v>113036</v>
      </c>
      <c r="E439">
        <f t="shared" si="37"/>
        <v>3</v>
      </c>
      <c r="G439" s="32">
        <v>4</v>
      </c>
      <c r="H439">
        <f t="shared" si="38"/>
        <v>34</v>
      </c>
      <c r="I439">
        <f t="shared" si="39"/>
        <v>3400</v>
      </c>
      <c r="J439">
        <v>3400</v>
      </c>
      <c r="K439">
        <f t="shared" si="40"/>
        <v>13.5</v>
      </c>
      <c r="L439">
        <f t="shared" si="41"/>
        <v>5.4</v>
      </c>
      <c r="M439">
        <f t="shared" si="42"/>
        <v>108</v>
      </c>
    </row>
    <row r="440" spans="4:13">
      <c r="D440" s="31">
        <v>113036</v>
      </c>
      <c r="E440">
        <f t="shared" si="37"/>
        <v>3</v>
      </c>
      <c r="G440" s="32">
        <v>5</v>
      </c>
      <c r="H440">
        <f t="shared" si="38"/>
        <v>35</v>
      </c>
      <c r="I440">
        <f t="shared" si="39"/>
        <v>3500</v>
      </c>
      <c r="J440">
        <v>3500</v>
      </c>
      <c r="K440">
        <f t="shared" si="40"/>
        <v>15</v>
      </c>
      <c r="L440">
        <f t="shared" si="41"/>
        <v>6</v>
      </c>
      <c r="M440">
        <f t="shared" si="42"/>
        <v>120</v>
      </c>
    </row>
    <row r="441" spans="4:13">
      <c r="D441" s="31">
        <v>113036</v>
      </c>
      <c r="E441">
        <f t="shared" si="37"/>
        <v>3</v>
      </c>
      <c r="G441" s="32">
        <v>6</v>
      </c>
      <c r="H441">
        <f t="shared" si="38"/>
        <v>36</v>
      </c>
      <c r="I441">
        <f t="shared" si="39"/>
        <v>3600</v>
      </c>
      <c r="J441">
        <v>3600</v>
      </c>
      <c r="K441">
        <f t="shared" si="40"/>
        <v>17</v>
      </c>
      <c r="L441">
        <f t="shared" si="41"/>
        <v>6.8</v>
      </c>
      <c r="M441">
        <f t="shared" si="42"/>
        <v>136</v>
      </c>
    </row>
    <row r="442" spans="4:13">
      <c r="D442" s="31">
        <v>113036</v>
      </c>
      <c r="E442">
        <f t="shared" si="37"/>
        <v>3</v>
      </c>
      <c r="G442" s="32">
        <v>7</v>
      </c>
      <c r="H442">
        <f t="shared" si="38"/>
        <v>37</v>
      </c>
      <c r="I442">
        <f t="shared" si="39"/>
        <v>3700</v>
      </c>
      <c r="J442">
        <v>3700</v>
      </c>
      <c r="K442">
        <f t="shared" si="40"/>
        <v>19</v>
      </c>
      <c r="L442">
        <f t="shared" si="41"/>
        <v>7.6</v>
      </c>
      <c r="M442">
        <f t="shared" si="42"/>
        <v>152</v>
      </c>
    </row>
    <row r="443" spans="4:13">
      <c r="D443" s="31">
        <v>113036</v>
      </c>
      <c r="E443">
        <f t="shared" si="37"/>
        <v>3</v>
      </c>
      <c r="G443" s="32">
        <v>8</v>
      </c>
      <c r="H443">
        <f t="shared" si="38"/>
        <v>38</v>
      </c>
      <c r="I443">
        <f t="shared" si="39"/>
        <v>3800</v>
      </c>
      <c r="J443">
        <v>3800</v>
      </c>
      <c r="K443">
        <f t="shared" si="40"/>
        <v>21</v>
      </c>
      <c r="L443">
        <f t="shared" si="41"/>
        <v>8.4</v>
      </c>
      <c r="M443">
        <f t="shared" si="42"/>
        <v>168</v>
      </c>
    </row>
    <row r="444" spans="4:13">
      <c r="D444" s="23">
        <v>113037</v>
      </c>
      <c r="E444">
        <f t="shared" si="37"/>
        <v>3</v>
      </c>
      <c r="G444">
        <v>3</v>
      </c>
      <c r="H444">
        <f t="shared" si="38"/>
        <v>33</v>
      </c>
      <c r="I444">
        <f t="shared" si="39"/>
        <v>3300</v>
      </c>
      <c r="J444">
        <v>3300</v>
      </c>
      <c r="K444">
        <f t="shared" si="40"/>
        <v>12</v>
      </c>
      <c r="L444">
        <f t="shared" si="41"/>
        <v>4.8</v>
      </c>
      <c r="M444">
        <f t="shared" si="42"/>
        <v>96</v>
      </c>
    </row>
    <row r="445" spans="4:13">
      <c r="D445" s="23">
        <v>113037</v>
      </c>
      <c r="E445">
        <f t="shared" si="37"/>
        <v>3</v>
      </c>
      <c r="G445">
        <v>4</v>
      </c>
      <c r="H445">
        <f t="shared" si="38"/>
        <v>34</v>
      </c>
      <c r="I445">
        <f t="shared" si="39"/>
        <v>3400</v>
      </c>
      <c r="J445">
        <v>3400</v>
      </c>
      <c r="K445">
        <f t="shared" si="40"/>
        <v>13.5</v>
      </c>
      <c r="L445">
        <f t="shared" si="41"/>
        <v>5.4</v>
      </c>
      <c r="M445">
        <f t="shared" si="42"/>
        <v>108</v>
      </c>
    </row>
    <row r="446" spans="4:13">
      <c r="D446" s="23">
        <v>113037</v>
      </c>
      <c r="E446">
        <f t="shared" si="37"/>
        <v>3</v>
      </c>
      <c r="G446">
        <v>5</v>
      </c>
      <c r="H446">
        <f t="shared" si="38"/>
        <v>35</v>
      </c>
      <c r="I446">
        <f t="shared" si="39"/>
        <v>3500</v>
      </c>
      <c r="J446">
        <v>3500</v>
      </c>
      <c r="K446">
        <f t="shared" si="40"/>
        <v>15</v>
      </c>
      <c r="L446">
        <f t="shared" si="41"/>
        <v>6</v>
      </c>
      <c r="M446">
        <f t="shared" si="42"/>
        <v>120</v>
      </c>
    </row>
    <row r="447" spans="4:13">
      <c r="D447" s="23">
        <v>113037</v>
      </c>
      <c r="E447">
        <f t="shared" si="37"/>
        <v>3</v>
      </c>
      <c r="G447">
        <v>6</v>
      </c>
      <c r="H447">
        <f t="shared" si="38"/>
        <v>36</v>
      </c>
      <c r="I447">
        <f t="shared" si="39"/>
        <v>3600</v>
      </c>
      <c r="J447">
        <v>3600</v>
      </c>
      <c r="K447">
        <f t="shared" si="40"/>
        <v>17</v>
      </c>
      <c r="L447">
        <f t="shared" si="41"/>
        <v>6.8</v>
      </c>
      <c r="M447">
        <f t="shared" si="42"/>
        <v>136</v>
      </c>
    </row>
    <row r="448" spans="4:13">
      <c r="D448" s="23">
        <v>113037</v>
      </c>
      <c r="E448">
        <f t="shared" si="37"/>
        <v>3</v>
      </c>
      <c r="G448">
        <v>7</v>
      </c>
      <c r="H448">
        <f t="shared" si="38"/>
        <v>37</v>
      </c>
      <c r="I448">
        <f t="shared" si="39"/>
        <v>3700</v>
      </c>
      <c r="J448">
        <v>3700</v>
      </c>
      <c r="K448">
        <f t="shared" si="40"/>
        <v>19</v>
      </c>
      <c r="L448">
        <f t="shared" si="41"/>
        <v>7.6</v>
      </c>
      <c r="M448">
        <f t="shared" si="42"/>
        <v>152</v>
      </c>
    </row>
    <row r="449" spans="4:13">
      <c r="D449" s="23">
        <v>113037</v>
      </c>
      <c r="E449">
        <f t="shared" si="37"/>
        <v>3</v>
      </c>
      <c r="G449">
        <v>8</v>
      </c>
      <c r="H449">
        <f t="shared" si="38"/>
        <v>38</v>
      </c>
      <c r="I449">
        <f t="shared" si="39"/>
        <v>3800</v>
      </c>
      <c r="J449">
        <v>3800</v>
      </c>
      <c r="K449">
        <f t="shared" si="40"/>
        <v>21</v>
      </c>
      <c r="L449">
        <f t="shared" si="41"/>
        <v>8.4</v>
      </c>
      <c r="M449">
        <f t="shared" si="42"/>
        <v>168</v>
      </c>
    </row>
    <row r="450" spans="4:13">
      <c r="D450" s="33">
        <v>113038</v>
      </c>
      <c r="E450">
        <f t="shared" si="37"/>
        <v>3</v>
      </c>
      <c r="G450">
        <v>3</v>
      </c>
      <c r="H450">
        <f t="shared" si="38"/>
        <v>33</v>
      </c>
      <c r="I450">
        <f t="shared" si="39"/>
        <v>3300</v>
      </c>
      <c r="J450">
        <v>3300</v>
      </c>
      <c r="K450">
        <f t="shared" si="40"/>
        <v>12</v>
      </c>
      <c r="L450">
        <f t="shared" si="41"/>
        <v>4.8</v>
      </c>
      <c r="M450">
        <f t="shared" si="42"/>
        <v>96</v>
      </c>
    </row>
    <row r="451" spans="4:13">
      <c r="D451" s="33">
        <v>113038</v>
      </c>
      <c r="E451">
        <f t="shared" si="37"/>
        <v>3</v>
      </c>
      <c r="G451">
        <v>4</v>
      </c>
      <c r="H451">
        <f t="shared" si="38"/>
        <v>34</v>
      </c>
      <c r="I451">
        <f t="shared" si="39"/>
        <v>3400</v>
      </c>
      <c r="J451">
        <v>3400</v>
      </c>
      <c r="K451">
        <f t="shared" si="40"/>
        <v>13.5</v>
      </c>
      <c r="L451">
        <f t="shared" si="41"/>
        <v>5.4</v>
      </c>
      <c r="M451">
        <f t="shared" si="42"/>
        <v>108</v>
      </c>
    </row>
    <row r="452" spans="4:13">
      <c r="D452" s="33">
        <v>113038</v>
      </c>
      <c r="E452">
        <f t="shared" si="37"/>
        <v>3</v>
      </c>
      <c r="G452">
        <v>5</v>
      </c>
      <c r="H452">
        <f t="shared" si="38"/>
        <v>35</v>
      </c>
      <c r="I452">
        <f t="shared" si="39"/>
        <v>3500</v>
      </c>
      <c r="J452">
        <v>3500</v>
      </c>
      <c r="K452">
        <f t="shared" si="40"/>
        <v>15</v>
      </c>
      <c r="L452">
        <f t="shared" si="41"/>
        <v>6</v>
      </c>
      <c r="M452">
        <f t="shared" si="42"/>
        <v>120</v>
      </c>
    </row>
    <row r="453" spans="4:13">
      <c r="D453" s="33">
        <v>113038</v>
      </c>
      <c r="E453">
        <f t="shared" si="37"/>
        <v>3</v>
      </c>
      <c r="G453">
        <v>6</v>
      </c>
      <c r="H453">
        <f t="shared" si="38"/>
        <v>36</v>
      </c>
      <c r="I453">
        <f t="shared" si="39"/>
        <v>3600</v>
      </c>
      <c r="J453">
        <v>3600</v>
      </c>
      <c r="K453">
        <f t="shared" si="40"/>
        <v>17</v>
      </c>
      <c r="L453">
        <f t="shared" si="41"/>
        <v>6.8</v>
      </c>
      <c r="M453">
        <f t="shared" si="42"/>
        <v>136</v>
      </c>
    </row>
    <row r="454" spans="4:13">
      <c r="D454" s="33">
        <v>113038</v>
      </c>
      <c r="E454">
        <f t="shared" si="37"/>
        <v>3</v>
      </c>
      <c r="G454">
        <v>7</v>
      </c>
      <c r="H454">
        <f t="shared" si="38"/>
        <v>37</v>
      </c>
      <c r="I454">
        <f t="shared" si="39"/>
        <v>3700</v>
      </c>
      <c r="J454">
        <v>3700</v>
      </c>
      <c r="K454">
        <f t="shared" si="40"/>
        <v>19</v>
      </c>
      <c r="L454">
        <f t="shared" si="41"/>
        <v>7.6</v>
      </c>
      <c r="M454">
        <f t="shared" si="42"/>
        <v>152</v>
      </c>
    </row>
    <row r="455" spans="4:13">
      <c r="D455" s="33">
        <v>113038</v>
      </c>
      <c r="E455">
        <f t="shared" si="37"/>
        <v>3</v>
      </c>
      <c r="G455">
        <v>8</v>
      </c>
      <c r="H455">
        <f t="shared" si="38"/>
        <v>38</v>
      </c>
      <c r="I455">
        <f t="shared" si="39"/>
        <v>3800</v>
      </c>
      <c r="J455">
        <v>3800</v>
      </c>
      <c r="K455">
        <f t="shared" si="40"/>
        <v>21</v>
      </c>
      <c r="L455">
        <f t="shared" si="41"/>
        <v>8.4</v>
      </c>
      <c r="M455">
        <f t="shared" si="42"/>
        <v>168</v>
      </c>
    </row>
    <row r="456" spans="4:13">
      <c r="D456" s="34">
        <v>113039</v>
      </c>
      <c r="E456">
        <f t="shared" ref="E456:E519" si="43">VLOOKUP(D456,Q:R,2,FALSE)</f>
        <v>3</v>
      </c>
      <c r="G456">
        <v>3</v>
      </c>
      <c r="H456">
        <f t="shared" ref="H456:H519" si="44">E456*10+G456</f>
        <v>33</v>
      </c>
      <c r="I456">
        <f t="shared" ref="I456:I519" si="45">H456*100</f>
        <v>3300</v>
      </c>
      <c r="J456">
        <v>3300</v>
      </c>
      <c r="K456">
        <f t="shared" ref="K456:K519" si="46">VLOOKUP(J456,U:X,2,FALSE)</f>
        <v>12</v>
      </c>
      <c r="L456">
        <f t="shared" ref="L456:L519" si="47">VLOOKUP(J456,U:X,3,FALSE)</f>
        <v>4.8</v>
      </c>
      <c r="M456">
        <f t="shared" ref="M456:M519" si="48">VLOOKUP(J456,U:X,4,FALSE)</f>
        <v>96</v>
      </c>
    </row>
    <row r="457" spans="4:13">
      <c r="D457" s="34">
        <v>113039</v>
      </c>
      <c r="E457">
        <f t="shared" si="43"/>
        <v>3</v>
      </c>
      <c r="G457">
        <v>4</v>
      </c>
      <c r="H457">
        <f t="shared" si="44"/>
        <v>34</v>
      </c>
      <c r="I457">
        <f t="shared" si="45"/>
        <v>3400</v>
      </c>
      <c r="J457">
        <v>3400</v>
      </c>
      <c r="K457">
        <f t="shared" si="46"/>
        <v>13.5</v>
      </c>
      <c r="L457">
        <f t="shared" si="47"/>
        <v>5.4</v>
      </c>
      <c r="M457">
        <f t="shared" si="48"/>
        <v>108</v>
      </c>
    </row>
    <row r="458" spans="4:13">
      <c r="D458" s="34">
        <v>113039</v>
      </c>
      <c r="E458">
        <f t="shared" si="43"/>
        <v>3</v>
      </c>
      <c r="G458">
        <v>5</v>
      </c>
      <c r="H458">
        <f t="shared" si="44"/>
        <v>35</v>
      </c>
      <c r="I458">
        <f t="shared" si="45"/>
        <v>3500</v>
      </c>
      <c r="J458">
        <v>3500</v>
      </c>
      <c r="K458">
        <f t="shared" si="46"/>
        <v>15</v>
      </c>
      <c r="L458">
        <f t="shared" si="47"/>
        <v>6</v>
      </c>
      <c r="M458">
        <f t="shared" si="48"/>
        <v>120</v>
      </c>
    </row>
    <row r="459" spans="4:13">
      <c r="D459" s="34">
        <v>113039</v>
      </c>
      <c r="E459">
        <f t="shared" si="43"/>
        <v>3</v>
      </c>
      <c r="G459">
        <v>6</v>
      </c>
      <c r="H459">
        <f t="shared" si="44"/>
        <v>36</v>
      </c>
      <c r="I459">
        <f t="shared" si="45"/>
        <v>3600</v>
      </c>
      <c r="J459">
        <v>3600</v>
      </c>
      <c r="K459">
        <f t="shared" si="46"/>
        <v>17</v>
      </c>
      <c r="L459">
        <f t="shared" si="47"/>
        <v>6.8</v>
      </c>
      <c r="M459">
        <f t="shared" si="48"/>
        <v>136</v>
      </c>
    </row>
    <row r="460" spans="4:13">
      <c r="D460" s="34">
        <v>113039</v>
      </c>
      <c r="E460">
        <f t="shared" si="43"/>
        <v>3</v>
      </c>
      <c r="G460">
        <v>7</v>
      </c>
      <c r="H460">
        <f t="shared" si="44"/>
        <v>37</v>
      </c>
      <c r="I460">
        <f t="shared" si="45"/>
        <v>3700</v>
      </c>
      <c r="J460">
        <v>3700</v>
      </c>
      <c r="K460">
        <f t="shared" si="46"/>
        <v>19</v>
      </c>
      <c r="L460">
        <f t="shared" si="47"/>
        <v>7.6</v>
      </c>
      <c r="M460">
        <f t="shared" si="48"/>
        <v>152</v>
      </c>
    </row>
    <row r="461" spans="4:13">
      <c r="D461" s="34">
        <v>113039</v>
      </c>
      <c r="E461">
        <f t="shared" si="43"/>
        <v>3</v>
      </c>
      <c r="G461">
        <v>8</v>
      </c>
      <c r="H461">
        <f t="shared" si="44"/>
        <v>38</v>
      </c>
      <c r="I461">
        <f t="shared" si="45"/>
        <v>3800</v>
      </c>
      <c r="J461">
        <v>3800</v>
      </c>
      <c r="K461">
        <f t="shared" si="46"/>
        <v>21</v>
      </c>
      <c r="L461">
        <f t="shared" si="47"/>
        <v>8.4</v>
      </c>
      <c r="M461">
        <f t="shared" si="48"/>
        <v>168</v>
      </c>
    </row>
    <row r="462" spans="4:13">
      <c r="D462" s="35">
        <v>113040</v>
      </c>
      <c r="E462">
        <f t="shared" si="43"/>
        <v>3</v>
      </c>
      <c r="G462">
        <v>3</v>
      </c>
      <c r="H462">
        <f t="shared" si="44"/>
        <v>33</v>
      </c>
      <c r="I462">
        <f t="shared" si="45"/>
        <v>3300</v>
      </c>
      <c r="J462">
        <v>3300</v>
      </c>
      <c r="K462">
        <f t="shared" si="46"/>
        <v>12</v>
      </c>
      <c r="L462">
        <f t="shared" si="47"/>
        <v>4.8</v>
      </c>
      <c r="M462">
        <f t="shared" si="48"/>
        <v>96</v>
      </c>
    </row>
    <row r="463" spans="4:13">
      <c r="D463" s="35">
        <v>113040</v>
      </c>
      <c r="E463">
        <f t="shared" si="43"/>
        <v>3</v>
      </c>
      <c r="G463">
        <v>4</v>
      </c>
      <c r="H463">
        <f t="shared" si="44"/>
        <v>34</v>
      </c>
      <c r="I463">
        <f t="shared" si="45"/>
        <v>3400</v>
      </c>
      <c r="J463">
        <v>3400</v>
      </c>
      <c r="K463">
        <f t="shared" si="46"/>
        <v>13.5</v>
      </c>
      <c r="L463">
        <f t="shared" si="47"/>
        <v>5.4</v>
      </c>
      <c r="M463">
        <f t="shared" si="48"/>
        <v>108</v>
      </c>
    </row>
    <row r="464" spans="4:13">
      <c r="D464" s="35">
        <v>113040</v>
      </c>
      <c r="E464">
        <f t="shared" si="43"/>
        <v>3</v>
      </c>
      <c r="G464">
        <v>5</v>
      </c>
      <c r="H464">
        <f t="shared" si="44"/>
        <v>35</v>
      </c>
      <c r="I464">
        <f t="shared" si="45"/>
        <v>3500</v>
      </c>
      <c r="J464">
        <v>3500</v>
      </c>
      <c r="K464">
        <f t="shared" si="46"/>
        <v>15</v>
      </c>
      <c r="L464">
        <f t="shared" si="47"/>
        <v>6</v>
      </c>
      <c r="M464">
        <f t="shared" si="48"/>
        <v>120</v>
      </c>
    </row>
    <row r="465" spans="4:13">
      <c r="D465" s="35">
        <v>113040</v>
      </c>
      <c r="E465">
        <f t="shared" si="43"/>
        <v>3</v>
      </c>
      <c r="G465">
        <v>6</v>
      </c>
      <c r="H465">
        <f t="shared" si="44"/>
        <v>36</v>
      </c>
      <c r="I465">
        <f t="shared" si="45"/>
        <v>3600</v>
      </c>
      <c r="J465">
        <v>3600</v>
      </c>
      <c r="K465">
        <f t="shared" si="46"/>
        <v>17</v>
      </c>
      <c r="L465">
        <f t="shared" si="47"/>
        <v>6.8</v>
      </c>
      <c r="M465">
        <f t="shared" si="48"/>
        <v>136</v>
      </c>
    </row>
    <row r="466" spans="4:13">
      <c r="D466" s="35">
        <v>113040</v>
      </c>
      <c r="E466">
        <f t="shared" si="43"/>
        <v>3</v>
      </c>
      <c r="G466">
        <v>7</v>
      </c>
      <c r="H466">
        <f t="shared" si="44"/>
        <v>37</v>
      </c>
      <c r="I466">
        <f t="shared" si="45"/>
        <v>3700</v>
      </c>
      <c r="J466">
        <v>3700</v>
      </c>
      <c r="K466">
        <f t="shared" si="46"/>
        <v>19</v>
      </c>
      <c r="L466">
        <f t="shared" si="47"/>
        <v>7.6</v>
      </c>
      <c r="M466">
        <f t="shared" si="48"/>
        <v>152</v>
      </c>
    </row>
    <row r="467" spans="4:13">
      <c r="D467" s="35">
        <v>113040</v>
      </c>
      <c r="E467">
        <f t="shared" si="43"/>
        <v>3</v>
      </c>
      <c r="G467">
        <v>8</v>
      </c>
      <c r="H467">
        <f t="shared" si="44"/>
        <v>38</v>
      </c>
      <c r="I467">
        <f t="shared" si="45"/>
        <v>3800</v>
      </c>
      <c r="J467">
        <v>3800</v>
      </c>
      <c r="K467">
        <f t="shared" si="46"/>
        <v>21</v>
      </c>
      <c r="L467">
        <f t="shared" si="47"/>
        <v>8.4</v>
      </c>
      <c r="M467">
        <f t="shared" si="48"/>
        <v>168</v>
      </c>
    </row>
    <row r="468" spans="4:13">
      <c r="D468" s="36">
        <v>113041</v>
      </c>
      <c r="E468">
        <f t="shared" si="43"/>
        <v>3</v>
      </c>
      <c r="G468">
        <v>3</v>
      </c>
      <c r="H468">
        <f t="shared" si="44"/>
        <v>33</v>
      </c>
      <c r="I468">
        <f t="shared" si="45"/>
        <v>3300</v>
      </c>
      <c r="J468">
        <v>3300</v>
      </c>
      <c r="K468">
        <f t="shared" si="46"/>
        <v>12</v>
      </c>
      <c r="L468">
        <f t="shared" si="47"/>
        <v>4.8</v>
      </c>
      <c r="M468">
        <f t="shared" si="48"/>
        <v>96</v>
      </c>
    </row>
    <row r="469" spans="4:13">
      <c r="D469" s="36">
        <v>113041</v>
      </c>
      <c r="E469">
        <f t="shared" si="43"/>
        <v>3</v>
      </c>
      <c r="G469">
        <v>4</v>
      </c>
      <c r="H469">
        <f t="shared" si="44"/>
        <v>34</v>
      </c>
      <c r="I469">
        <f t="shared" si="45"/>
        <v>3400</v>
      </c>
      <c r="J469">
        <v>3400</v>
      </c>
      <c r="K469">
        <f t="shared" si="46"/>
        <v>13.5</v>
      </c>
      <c r="L469">
        <f t="shared" si="47"/>
        <v>5.4</v>
      </c>
      <c r="M469">
        <f t="shared" si="48"/>
        <v>108</v>
      </c>
    </row>
    <row r="470" spans="4:13">
      <c r="D470" s="36">
        <v>113041</v>
      </c>
      <c r="E470">
        <f t="shared" si="43"/>
        <v>3</v>
      </c>
      <c r="G470">
        <v>5</v>
      </c>
      <c r="H470">
        <f t="shared" si="44"/>
        <v>35</v>
      </c>
      <c r="I470">
        <f t="shared" si="45"/>
        <v>3500</v>
      </c>
      <c r="J470">
        <v>3500</v>
      </c>
      <c r="K470">
        <f t="shared" si="46"/>
        <v>15</v>
      </c>
      <c r="L470">
        <f t="shared" si="47"/>
        <v>6</v>
      </c>
      <c r="M470">
        <f t="shared" si="48"/>
        <v>120</v>
      </c>
    </row>
    <row r="471" spans="4:13">
      <c r="D471" s="36">
        <v>113041</v>
      </c>
      <c r="E471">
        <f t="shared" si="43"/>
        <v>3</v>
      </c>
      <c r="G471">
        <v>6</v>
      </c>
      <c r="H471">
        <f t="shared" si="44"/>
        <v>36</v>
      </c>
      <c r="I471">
        <f t="shared" si="45"/>
        <v>3600</v>
      </c>
      <c r="J471">
        <v>3600</v>
      </c>
      <c r="K471">
        <f t="shared" si="46"/>
        <v>17</v>
      </c>
      <c r="L471">
        <f t="shared" si="47"/>
        <v>6.8</v>
      </c>
      <c r="M471">
        <f t="shared" si="48"/>
        <v>136</v>
      </c>
    </row>
    <row r="472" spans="4:13">
      <c r="D472" s="36">
        <v>113041</v>
      </c>
      <c r="E472">
        <f t="shared" si="43"/>
        <v>3</v>
      </c>
      <c r="G472">
        <v>7</v>
      </c>
      <c r="H472">
        <f t="shared" si="44"/>
        <v>37</v>
      </c>
      <c r="I472">
        <f t="shared" si="45"/>
        <v>3700</v>
      </c>
      <c r="J472">
        <v>3700</v>
      </c>
      <c r="K472">
        <f t="shared" si="46"/>
        <v>19</v>
      </c>
      <c r="L472">
        <f t="shared" si="47"/>
        <v>7.6</v>
      </c>
      <c r="M472">
        <f t="shared" si="48"/>
        <v>152</v>
      </c>
    </row>
    <row r="473" spans="4:13">
      <c r="D473" s="36">
        <v>113041</v>
      </c>
      <c r="E473">
        <f t="shared" si="43"/>
        <v>3</v>
      </c>
      <c r="G473">
        <v>8</v>
      </c>
      <c r="H473">
        <f t="shared" si="44"/>
        <v>38</v>
      </c>
      <c r="I473">
        <f t="shared" si="45"/>
        <v>3800</v>
      </c>
      <c r="J473">
        <v>3800</v>
      </c>
      <c r="K473">
        <f t="shared" si="46"/>
        <v>21</v>
      </c>
      <c r="L473">
        <f t="shared" si="47"/>
        <v>8.4</v>
      </c>
      <c r="M473">
        <f t="shared" si="48"/>
        <v>168</v>
      </c>
    </row>
    <row r="474" spans="4:13">
      <c r="D474" s="37">
        <v>113042</v>
      </c>
      <c r="E474">
        <f t="shared" si="43"/>
        <v>3</v>
      </c>
      <c r="G474">
        <v>3</v>
      </c>
      <c r="H474">
        <f t="shared" si="44"/>
        <v>33</v>
      </c>
      <c r="I474">
        <f t="shared" si="45"/>
        <v>3300</v>
      </c>
      <c r="J474">
        <v>3300</v>
      </c>
      <c r="K474">
        <f t="shared" si="46"/>
        <v>12</v>
      </c>
      <c r="L474">
        <f t="shared" si="47"/>
        <v>4.8</v>
      </c>
      <c r="M474">
        <f t="shared" si="48"/>
        <v>96</v>
      </c>
    </row>
    <row r="475" spans="4:13">
      <c r="D475" s="37">
        <v>113042</v>
      </c>
      <c r="E475">
        <f t="shared" si="43"/>
        <v>3</v>
      </c>
      <c r="G475">
        <v>4</v>
      </c>
      <c r="H475">
        <f t="shared" si="44"/>
        <v>34</v>
      </c>
      <c r="I475">
        <f t="shared" si="45"/>
        <v>3400</v>
      </c>
      <c r="J475">
        <v>3400</v>
      </c>
      <c r="K475">
        <f t="shared" si="46"/>
        <v>13.5</v>
      </c>
      <c r="L475">
        <f t="shared" si="47"/>
        <v>5.4</v>
      </c>
      <c r="M475">
        <f t="shared" si="48"/>
        <v>108</v>
      </c>
    </row>
    <row r="476" spans="4:13">
      <c r="D476" s="37">
        <v>113042</v>
      </c>
      <c r="E476">
        <f t="shared" si="43"/>
        <v>3</v>
      </c>
      <c r="G476">
        <v>5</v>
      </c>
      <c r="H476">
        <f t="shared" si="44"/>
        <v>35</v>
      </c>
      <c r="I476">
        <f t="shared" si="45"/>
        <v>3500</v>
      </c>
      <c r="J476">
        <v>3500</v>
      </c>
      <c r="K476">
        <f t="shared" si="46"/>
        <v>15</v>
      </c>
      <c r="L476">
        <f t="shared" si="47"/>
        <v>6</v>
      </c>
      <c r="M476">
        <f t="shared" si="48"/>
        <v>120</v>
      </c>
    </row>
    <row r="477" spans="4:13">
      <c r="D477" s="37">
        <v>113042</v>
      </c>
      <c r="E477">
        <f t="shared" si="43"/>
        <v>3</v>
      </c>
      <c r="G477">
        <v>6</v>
      </c>
      <c r="H477">
        <f t="shared" si="44"/>
        <v>36</v>
      </c>
      <c r="I477">
        <f t="shared" si="45"/>
        <v>3600</v>
      </c>
      <c r="J477">
        <v>3600</v>
      </c>
      <c r="K477">
        <f t="shared" si="46"/>
        <v>17</v>
      </c>
      <c r="L477">
        <f t="shared" si="47"/>
        <v>6.8</v>
      </c>
      <c r="M477">
        <f t="shared" si="48"/>
        <v>136</v>
      </c>
    </row>
    <row r="478" spans="4:13">
      <c r="D478" s="37">
        <v>113042</v>
      </c>
      <c r="E478">
        <f t="shared" si="43"/>
        <v>3</v>
      </c>
      <c r="G478">
        <v>7</v>
      </c>
      <c r="H478">
        <f t="shared" si="44"/>
        <v>37</v>
      </c>
      <c r="I478">
        <f t="shared" si="45"/>
        <v>3700</v>
      </c>
      <c r="J478">
        <v>3700</v>
      </c>
      <c r="K478">
        <f t="shared" si="46"/>
        <v>19</v>
      </c>
      <c r="L478">
        <f t="shared" si="47"/>
        <v>7.6</v>
      </c>
      <c r="M478">
        <f t="shared" si="48"/>
        <v>152</v>
      </c>
    </row>
    <row r="479" spans="4:13">
      <c r="D479" s="37">
        <v>113042</v>
      </c>
      <c r="E479">
        <f t="shared" si="43"/>
        <v>3</v>
      </c>
      <c r="G479">
        <v>8</v>
      </c>
      <c r="H479">
        <f t="shared" si="44"/>
        <v>38</v>
      </c>
      <c r="I479">
        <f t="shared" si="45"/>
        <v>3800</v>
      </c>
      <c r="J479">
        <v>3800</v>
      </c>
      <c r="K479">
        <f t="shared" si="46"/>
        <v>21</v>
      </c>
      <c r="L479">
        <f t="shared" si="47"/>
        <v>8.4</v>
      </c>
      <c r="M479">
        <f t="shared" si="48"/>
        <v>168</v>
      </c>
    </row>
    <row r="480" spans="4:13">
      <c r="D480" s="15">
        <v>113043</v>
      </c>
      <c r="E480">
        <f t="shared" si="43"/>
        <v>3</v>
      </c>
      <c r="G480">
        <v>3</v>
      </c>
      <c r="H480">
        <f t="shared" si="44"/>
        <v>33</v>
      </c>
      <c r="I480">
        <f t="shared" si="45"/>
        <v>3300</v>
      </c>
      <c r="J480">
        <v>3300</v>
      </c>
      <c r="K480">
        <f t="shared" si="46"/>
        <v>12</v>
      </c>
      <c r="L480">
        <f t="shared" si="47"/>
        <v>4.8</v>
      </c>
      <c r="M480">
        <f t="shared" si="48"/>
        <v>96</v>
      </c>
    </row>
    <row r="481" spans="4:13">
      <c r="D481" s="15">
        <v>113043</v>
      </c>
      <c r="E481">
        <f t="shared" si="43"/>
        <v>3</v>
      </c>
      <c r="G481">
        <v>4</v>
      </c>
      <c r="H481">
        <f t="shared" si="44"/>
        <v>34</v>
      </c>
      <c r="I481">
        <f t="shared" si="45"/>
        <v>3400</v>
      </c>
      <c r="J481">
        <v>3400</v>
      </c>
      <c r="K481">
        <f t="shared" si="46"/>
        <v>13.5</v>
      </c>
      <c r="L481">
        <f t="shared" si="47"/>
        <v>5.4</v>
      </c>
      <c r="M481">
        <f t="shared" si="48"/>
        <v>108</v>
      </c>
    </row>
    <row r="482" spans="4:13">
      <c r="D482" s="15">
        <v>113043</v>
      </c>
      <c r="E482">
        <f t="shared" si="43"/>
        <v>3</v>
      </c>
      <c r="G482">
        <v>5</v>
      </c>
      <c r="H482">
        <f t="shared" si="44"/>
        <v>35</v>
      </c>
      <c r="I482">
        <f t="shared" si="45"/>
        <v>3500</v>
      </c>
      <c r="J482">
        <v>3500</v>
      </c>
      <c r="K482">
        <f t="shared" si="46"/>
        <v>15</v>
      </c>
      <c r="L482">
        <f t="shared" si="47"/>
        <v>6</v>
      </c>
      <c r="M482">
        <f t="shared" si="48"/>
        <v>120</v>
      </c>
    </row>
    <row r="483" spans="4:13">
      <c r="D483" s="15">
        <v>113043</v>
      </c>
      <c r="E483">
        <f t="shared" si="43"/>
        <v>3</v>
      </c>
      <c r="G483">
        <v>6</v>
      </c>
      <c r="H483">
        <f t="shared" si="44"/>
        <v>36</v>
      </c>
      <c r="I483">
        <f t="shared" si="45"/>
        <v>3600</v>
      </c>
      <c r="J483">
        <v>3600</v>
      </c>
      <c r="K483">
        <f t="shared" si="46"/>
        <v>17</v>
      </c>
      <c r="L483">
        <f t="shared" si="47"/>
        <v>6.8</v>
      </c>
      <c r="M483">
        <f t="shared" si="48"/>
        <v>136</v>
      </c>
    </row>
    <row r="484" spans="4:13">
      <c r="D484" s="15">
        <v>113043</v>
      </c>
      <c r="E484">
        <f t="shared" si="43"/>
        <v>3</v>
      </c>
      <c r="G484">
        <v>7</v>
      </c>
      <c r="H484">
        <f t="shared" si="44"/>
        <v>37</v>
      </c>
      <c r="I484">
        <f t="shared" si="45"/>
        <v>3700</v>
      </c>
      <c r="J484">
        <v>3700</v>
      </c>
      <c r="K484">
        <f t="shared" si="46"/>
        <v>19</v>
      </c>
      <c r="L484">
        <f t="shared" si="47"/>
        <v>7.6</v>
      </c>
      <c r="M484">
        <f t="shared" si="48"/>
        <v>152</v>
      </c>
    </row>
    <row r="485" spans="4:13">
      <c r="D485" s="15">
        <v>113043</v>
      </c>
      <c r="E485">
        <f t="shared" si="43"/>
        <v>3</v>
      </c>
      <c r="G485">
        <v>8</v>
      </c>
      <c r="H485">
        <f t="shared" si="44"/>
        <v>38</v>
      </c>
      <c r="I485">
        <f t="shared" si="45"/>
        <v>3800</v>
      </c>
      <c r="J485">
        <v>3800</v>
      </c>
      <c r="K485">
        <f t="shared" si="46"/>
        <v>21</v>
      </c>
      <c r="L485">
        <f t="shared" si="47"/>
        <v>8.4</v>
      </c>
      <c r="M485">
        <f t="shared" si="48"/>
        <v>168</v>
      </c>
    </row>
    <row r="486" spans="4:13">
      <c r="D486" s="38">
        <v>112029</v>
      </c>
      <c r="E486">
        <f t="shared" si="43"/>
        <v>2</v>
      </c>
      <c r="G486" s="38">
        <v>3</v>
      </c>
      <c r="H486">
        <f t="shared" si="44"/>
        <v>23</v>
      </c>
      <c r="I486">
        <f t="shared" si="45"/>
        <v>2300</v>
      </c>
      <c r="J486">
        <v>2300</v>
      </c>
      <c r="K486">
        <f t="shared" si="46"/>
        <v>9</v>
      </c>
      <c r="L486">
        <f t="shared" si="47"/>
        <v>3.6</v>
      </c>
      <c r="M486">
        <f t="shared" si="48"/>
        <v>72</v>
      </c>
    </row>
    <row r="487" spans="4:13">
      <c r="D487" s="38">
        <v>112029</v>
      </c>
      <c r="E487">
        <f t="shared" si="43"/>
        <v>2</v>
      </c>
      <c r="G487" s="38">
        <v>4</v>
      </c>
      <c r="H487">
        <f t="shared" si="44"/>
        <v>24</v>
      </c>
      <c r="I487">
        <f t="shared" si="45"/>
        <v>2400</v>
      </c>
      <c r="J487">
        <v>2400</v>
      </c>
      <c r="K487">
        <f t="shared" si="46"/>
        <v>10.5</v>
      </c>
      <c r="L487">
        <f t="shared" si="47"/>
        <v>4.2</v>
      </c>
      <c r="M487">
        <f t="shared" si="48"/>
        <v>84</v>
      </c>
    </row>
    <row r="488" spans="4:13">
      <c r="D488" s="38">
        <v>112029</v>
      </c>
      <c r="E488">
        <f t="shared" si="43"/>
        <v>2</v>
      </c>
      <c r="G488" s="38">
        <v>5</v>
      </c>
      <c r="H488">
        <f t="shared" si="44"/>
        <v>25</v>
      </c>
      <c r="I488">
        <f t="shared" si="45"/>
        <v>2500</v>
      </c>
      <c r="J488">
        <v>2500</v>
      </c>
      <c r="K488">
        <f t="shared" si="46"/>
        <v>12</v>
      </c>
      <c r="L488">
        <f t="shared" si="47"/>
        <v>4.8</v>
      </c>
      <c r="M488">
        <f t="shared" si="48"/>
        <v>96</v>
      </c>
    </row>
    <row r="489" spans="4:13">
      <c r="D489" s="38">
        <v>112029</v>
      </c>
      <c r="E489">
        <f t="shared" si="43"/>
        <v>2</v>
      </c>
      <c r="G489" s="38">
        <v>6</v>
      </c>
      <c r="H489">
        <f t="shared" si="44"/>
        <v>26</v>
      </c>
      <c r="I489">
        <f t="shared" si="45"/>
        <v>2600</v>
      </c>
      <c r="J489">
        <v>2600</v>
      </c>
      <c r="K489">
        <f t="shared" si="46"/>
        <v>14</v>
      </c>
      <c r="L489">
        <f t="shared" si="47"/>
        <v>5.6</v>
      </c>
      <c r="M489">
        <f t="shared" si="48"/>
        <v>112</v>
      </c>
    </row>
    <row r="490" spans="4:13">
      <c r="D490" s="38">
        <v>112029</v>
      </c>
      <c r="E490">
        <f t="shared" si="43"/>
        <v>2</v>
      </c>
      <c r="G490" s="38">
        <v>7</v>
      </c>
      <c r="H490">
        <f t="shared" si="44"/>
        <v>27</v>
      </c>
      <c r="I490">
        <f t="shared" si="45"/>
        <v>2700</v>
      </c>
      <c r="J490">
        <v>2700</v>
      </c>
      <c r="K490">
        <f t="shared" si="46"/>
        <v>16</v>
      </c>
      <c r="L490">
        <f t="shared" si="47"/>
        <v>6.4</v>
      </c>
      <c r="M490">
        <f t="shared" si="48"/>
        <v>128</v>
      </c>
    </row>
    <row r="491" spans="4:13">
      <c r="D491" s="18">
        <v>113044</v>
      </c>
      <c r="E491">
        <f t="shared" si="43"/>
        <v>3</v>
      </c>
      <c r="G491">
        <v>3</v>
      </c>
      <c r="H491">
        <f t="shared" si="44"/>
        <v>33</v>
      </c>
      <c r="I491">
        <f t="shared" si="45"/>
        <v>3300</v>
      </c>
      <c r="J491">
        <v>3300</v>
      </c>
      <c r="K491">
        <f t="shared" si="46"/>
        <v>12</v>
      </c>
      <c r="L491">
        <f t="shared" si="47"/>
        <v>4.8</v>
      </c>
      <c r="M491">
        <f t="shared" si="48"/>
        <v>96</v>
      </c>
    </row>
    <row r="492" spans="4:13">
      <c r="D492" s="18">
        <v>113044</v>
      </c>
      <c r="E492">
        <f t="shared" si="43"/>
        <v>3</v>
      </c>
      <c r="G492">
        <v>4</v>
      </c>
      <c r="H492">
        <f t="shared" si="44"/>
        <v>34</v>
      </c>
      <c r="I492">
        <f t="shared" si="45"/>
        <v>3400</v>
      </c>
      <c r="J492">
        <v>3400</v>
      </c>
      <c r="K492">
        <f t="shared" si="46"/>
        <v>13.5</v>
      </c>
      <c r="L492">
        <f t="shared" si="47"/>
        <v>5.4</v>
      </c>
      <c r="M492">
        <f t="shared" si="48"/>
        <v>108</v>
      </c>
    </row>
    <row r="493" spans="4:13">
      <c r="D493" s="18">
        <v>113044</v>
      </c>
      <c r="E493">
        <f t="shared" si="43"/>
        <v>3</v>
      </c>
      <c r="G493">
        <v>5</v>
      </c>
      <c r="H493">
        <f t="shared" si="44"/>
        <v>35</v>
      </c>
      <c r="I493">
        <f t="shared" si="45"/>
        <v>3500</v>
      </c>
      <c r="J493">
        <v>3500</v>
      </c>
      <c r="K493">
        <f t="shared" si="46"/>
        <v>15</v>
      </c>
      <c r="L493">
        <f t="shared" si="47"/>
        <v>6</v>
      </c>
      <c r="M493">
        <f t="shared" si="48"/>
        <v>120</v>
      </c>
    </row>
    <row r="494" spans="4:13">
      <c r="D494" s="18">
        <v>113044</v>
      </c>
      <c r="E494">
        <f t="shared" si="43"/>
        <v>3</v>
      </c>
      <c r="G494">
        <v>6</v>
      </c>
      <c r="H494">
        <f t="shared" si="44"/>
        <v>36</v>
      </c>
      <c r="I494">
        <f t="shared" si="45"/>
        <v>3600</v>
      </c>
      <c r="J494">
        <v>3600</v>
      </c>
      <c r="K494">
        <f t="shared" si="46"/>
        <v>17</v>
      </c>
      <c r="L494">
        <f t="shared" si="47"/>
        <v>6.8</v>
      </c>
      <c r="M494">
        <f t="shared" si="48"/>
        <v>136</v>
      </c>
    </row>
    <row r="495" spans="4:13">
      <c r="D495" s="18">
        <v>113044</v>
      </c>
      <c r="E495">
        <f t="shared" si="43"/>
        <v>3</v>
      </c>
      <c r="G495">
        <v>7</v>
      </c>
      <c r="H495">
        <f t="shared" si="44"/>
        <v>37</v>
      </c>
      <c r="I495">
        <f t="shared" si="45"/>
        <v>3700</v>
      </c>
      <c r="J495">
        <v>3700</v>
      </c>
      <c r="K495">
        <f t="shared" si="46"/>
        <v>19</v>
      </c>
      <c r="L495">
        <f t="shared" si="47"/>
        <v>7.6</v>
      </c>
      <c r="M495">
        <f t="shared" si="48"/>
        <v>152</v>
      </c>
    </row>
    <row r="496" spans="4:13">
      <c r="D496" s="18">
        <v>113044</v>
      </c>
      <c r="E496">
        <f t="shared" si="43"/>
        <v>3</v>
      </c>
      <c r="G496">
        <v>8</v>
      </c>
      <c r="H496">
        <f t="shared" si="44"/>
        <v>38</v>
      </c>
      <c r="I496">
        <f t="shared" si="45"/>
        <v>3800</v>
      </c>
      <c r="J496">
        <v>3800</v>
      </c>
      <c r="K496">
        <f t="shared" si="46"/>
        <v>21</v>
      </c>
      <c r="L496">
        <f t="shared" si="47"/>
        <v>8.4</v>
      </c>
      <c r="M496">
        <f t="shared" si="48"/>
        <v>168</v>
      </c>
    </row>
    <row r="497" spans="4:13">
      <c r="D497" s="18">
        <v>113045</v>
      </c>
      <c r="E497">
        <f t="shared" si="43"/>
        <v>3</v>
      </c>
      <c r="G497">
        <v>3</v>
      </c>
      <c r="H497">
        <f t="shared" si="44"/>
        <v>33</v>
      </c>
      <c r="I497">
        <f t="shared" si="45"/>
        <v>3300</v>
      </c>
      <c r="J497">
        <v>3300</v>
      </c>
      <c r="K497">
        <f t="shared" si="46"/>
        <v>12</v>
      </c>
      <c r="L497">
        <f t="shared" si="47"/>
        <v>4.8</v>
      </c>
      <c r="M497">
        <f t="shared" si="48"/>
        <v>96</v>
      </c>
    </row>
    <row r="498" spans="4:13">
      <c r="D498" s="18">
        <v>113045</v>
      </c>
      <c r="E498">
        <f t="shared" si="43"/>
        <v>3</v>
      </c>
      <c r="G498">
        <v>4</v>
      </c>
      <c r="H498">
        <f t="shared" si="44"/>
        <v>34</v>
      </c>
      <c r="I498">
        <f t="shared" si="45"/>
        <v>3400</v>
      </c>
      <c r="J498">
        <v>3400</v>
      </c>
      <c r="K498">
        <f t="shared" si="46"/>
        <v>13.5</v>
      </c>
      <c r="L498">
        <f t="shared" si="47"/>
        <v>5.4</v>
      </c>
      <c r="M498">
        <f t="shared" si="48"/>
        <v>108</v>
      </c>
    </row>
    <row r="499" spans="4:13">
      <c r="D499" s="18">
        <v>113045</v>
      </c>
      <c r="E499">
        <f t="shared" si="43"/>
        <v>3</v>
      </c>
      <c r="G499">
        <v>5</v>
      </c>
      <c r="H499">
        <f t="shared" si="44"/>
        <v>35</v>
      </c>
      <c r="I499">
        <f t="shared" si="45"/>
        <v>3500</v>
      </c>
      <c r="J499">
        <v>3500</v>
      </c>
      <c r="K499">
        <f t="shared" si="46"/>
        <v>15</v>
      </c>
      <c r="L499">
        <f t="shared" si="47"/>
        <v>6</v>
      </c>
      <c r="M499">
        <f t="shared" si="48"/>
        <v>120</v>
      </c>
    </row>
    <row r="500" spans="4:13">
      <c r="D500" s="18">
        <v>113045</v>
      </c>
      <c r="E500">
        <f t="shared" si="43"/>
        <v>3</v>
      </c>
      <c r="G500">
        <v>6</v>
      </c>
      <c r="H500">
        <f t="shared" si="44"/>
        <v>36</v>
      </c>
      <c r="I500">
        <f t="shared" si="45"/>
        <v>3600</v>
      </c>
      <c r="J500">
        <v>3600</v>
      </c>
      <c r="K500">
        <f t="shared" si="46"/>
        <v>17</v>
      </c>
      <c r="L500">
        <f t="shared" si="47"/>
        <v>6.8</v>
      </c>
      <c r="M500">
        <f t="shared" si="48"/>
        <v>136</v>
      </c>
    </row>
    <row r="501" spans="4:13">
      <c r="D501" s="18">
        <v>113045</v>
      </c>
      <c r="E501">
        <f t="shared" si="43"/>
        <v>3</v>
      </c>
      <c r="G501">
        <v>7</v>
      </c>
      <c r="H501">
        <f t="shared" si="44"/>
        <v>37</v>
      </c>
      <c r="I501">
        <f t="shared" si="45"/>
        <v>3700</v>
      </c>
      <c r="J501">
        <v>3700</v>
      </c>
      <c r="K501">
        <f t="shared" si="46"/>
        <v>19</v>
      </c>
      <c r="L501">
        <f t="shared" si="47"/>
        <v>7.6</v>
      </c>
      <c r="M501">
        <f t="shared" si="48"/>
        <v>152</v>
      </c>
    </row>
    <row r="502" spans="4:13">
      <c r="D502" s="18">
        <v>113045</v>
      </c>
      <c r="E502">
        <f t="shared" si="43"/>
        <v>3</v>
      </c>
      <c r="G502">
        <v>8</v>
      </c>
      <c r="H502">
        <f t="shared" si="44"/>
        <v>38</v>
      </c>
      <c r="I502">
        <f t="shared" si="45"/>
        <v>3800</v>
      </c>
      <c r="J502">
        <v>3800</v>
      </c>
      <c r="K502">
        <f t="shared" si="46"/>
        <v>21</v>
      </c>
      <c r="L502">
        <f t="shared" si="47"/>
        <v>8.4</v>
      </c>
      <c r="M502">
        <f t="shared" si="48"/>
        <v>168</v>
      </c>
    </row>
    <row r="503" spans="4:13">
      <c r="D503" s="12">
        <v>113047</v>
      </c>
      <c r="E503">
        <f t="shared" si="43"/>
        <v>3</v>
      </c>
      <c r="G503">
        <v>3</v>
      </c>
      <c r="H503">
        <f t="shared" si="44"/>
        <v>33</v>
      </c>
      <c r="I503">
        <f t="shared" si="45"/>
        <v>3300</v>
      </c>
      <c r="J503">
        <v>3300</v>
      </c>
      <c r="K503">
        <f t="shared" si="46"/>
        <v>12</v>
      </c>
      <c r="L503">
        <f t="shared" si="47"/>
        <v>4.8</v>
      </c>
      <c r="M503">
        <f t="shared" si="48"/>
        <v>96</v>
      </c>
    </row>
    <row r="504" spans="4:13">
      <c r="D504" s="12">
        <v>113047</v>
      </c>
      <c r="E504">
        <f t="shared" si="43"/>
        <v>3</v>
      </c>
      <c r="G504">
        <v>4</v>
      </c>
      <c r="H504">
        <f t="shared" si="44"/>
        <v>34</v>
      </c>
      <c r="I504">
        <f t="shared" si="45"/>
        <v>3400</v>
      </c>
      <c r="J504">
        <v>3400</v>
      </c>
      <c r="K504">
        <f t="shared" si="46"/>
        <v>13.5</v>
      </c>
      <c r="L504">
        <f t="shared" si="47"/>
        <v>5.4</v>
      </c>
      <c r="M504">
        <f t="shared" si="48"/>
        <v>108</v>
      </c>
    </row>
    <row r="505" spans="4:13">
      <c r="D505" s="12">
        <v>113047</v>
      </c>
      <c r="E505">
        <f t="shared" si="43"/>
        <v>3</v>
      </c>
      <c r="G505">
        <v>5</v>
      </c>
      <c r="H505">
        <f t="shared" si="44"/>
        <v>35</v>
      </c>
      <c r="I505">
        <f t="shared" si="45"/>
        <v>3500</v>
      </c>
      <c r="J505">
        <v>3500</v>
      </c>
      <c r="K505">
        <f t="shared" si="46"/>
        <v>15</v>
      </c>
      <c r="L505">
        <f t="shared" si="47"/>
        <v>6</v>
      </c>
      <c r="M505">
        <f t="shared" si="48"/>
        <v>120</v>
      </c>
    </row>
    <row r="506" spans="4:13">
      <c r="D506" s="12">
        <v>113047</v>
      </c>
      <c r="E506">
        <f t="shared" si="43"/>
        <v>3</v>
      </c>
      <c r="G506">
        <v>6</v>
      </c>
      <c r="H506">
        <f t="shared" si="44"/>
        <v>36</v>
      </c>
      <c r="I506">
        <f t="shared" si="45"/>
        <v>3600</v>
      </c>
      <c r="J506">
        <v>3600</v>
      </c>
      <c r="K506">
        <f t="shared" si="46"/>
        <v>17</v>
      </c>
      <c r="L506">
        <f t="shared" si="47"/>
        <v>6.8</v>
      </c>
      <c r="M506">
        <f t="shared" si="48"/>
        <v>136</v>
      </c>
    </row>
    <row r="507" spans="4:13">
      <c r="D507" s="12">
        <v>113047</v>
      </c>
      <c r="E507">
        <f t="shared" si="43"/>
        <v>3</v>
      </c>
      <c r="G507">
        <v>7</v>
      </c>
      <c r="H507">
        <f t="shared" si="44"/>
        <v>37</v>
      </c>
      <c r="I507">
        <f t="shared" si="45"/>
        <v>3700</v>
      </c>
      <c r="J507">
        <v>3700</v>
      </c>
      <c r="K507">
        <f t="shared" si="46"/>
        <v>19</v>
      </c>
      <c r="L507">
        <f t="shared" si="47"/>
        <v>7.6</v>
      </c>
      <c r="M507">
        <f t="shared" si="48"/>
        <v>152</v>
      </c>
    </row>
    <row r="508" spans="4:13">
      <c r="D508" s="12">
        <v>113047</v>
      </c>
      <c r="E508">
        <f t="shared" si="43"/>
        <v>3</v>
      </c>
      <c r="G508">
        <v>8</v>
      </c>
      <c r="H508">
        <f t="shared" si="44"/>
        <v>38</v>
      </c>
      <c r="I508">
        <f t="shared" si="45"/>
        <v>3800</v>
      </c>
      <c r="J508">
        <v>3800</v>
      </c>
      <c r="K508">
        <f t="shared" si="46"/>
        <v>21</v>
      </c>
      <c r="L508">
        <f t="shared" si="47"/>
        <v>8.4</v>
      </c>
      <c r="M508">
        <f t="shared" si="48"/>
        <v>168</v>
      </c>
    </row>
    <row r="509" spans="4:13">
      <c r="D509" s="13">
        <v>113046</v>
      </c>
      <c r="E509">
        <f t="shared" si="43"/>
        <v>3</v>
      </c>
      <c r="G509" s="13">
        <v>3</v>
      </c>
      <c r="H509">
        <f t="shared" si="44"/>
        <v>33</v>
      </c>
      <c r="I509">
        <f t="shared" si="45"/>
        <v>3300</v>
      </c>
      <c r="J509">
        <v>3300</v>
      </c>
      <c r="K509">
        <f t="shared" si="46"/>
        <v>12</v>
      </c>
      <c r="L509">
        <f t="shared" si="47"/>
        <v>4.8</v>
      </c>
      <c r="M509">
        <f t="shared" si="48"/>
        <v>96</v>
      </c>
    </row>
    <row r="510" spans="4:13">
      <c r="D510" s="13">
        <v>113046</v>
      </c>
      <c r="E510">
        <f t="shared" si="43"/>
        <v>3</v>
      </c>
      <c r="G510" s="13">
        <v>4</v>
      </c>
      <c r="H510">
        <f t="shared" si="44"/>
        <v>34</v>
      </c>
      <c r="I510">
        <f t="shared" si="45"/>
        <v>3400</v>
      </c>
      <c r="J510">
        <v>3400</v>
      </c>
      <c r="K510">
        <f t="shared" si="46"/>
        <v>13.5</v>
      </c>
      <c r="L510">
        <f t="shared" si="47"/>
        <v>5.4</v>
      </c>
      <c r="M510">
        <f t="shared" si="48"/>
        <v>108</v>
      </c>
    </row>
    <row r="511" spans="4:13">
      <c r="D511" s="13">
        <v>113046</v>
      </c>
      <c r="E511">
        <f t="shared" si="43"/>
        <v>3</v>
      </c>
      <c r="G511" s="13">
        <v>5</v>
      </c>
      <c r="H511">
        <f t="shared" si="44"/>
        <v>35</v>
      </c>
      <c r="I511">
        <f t="shared" si="45"/>
        <v>3500</v>
      </c>
      <c r="J511">
        <v>3500</v>
      </c>
      <c r="K511">
        <f t="shared" si="46"/>
        <v>15</v>
      </c>
      <c r="L511">
        <f t="shared" si="47"/>
        <v>6</v>
      </c>
      <c r="M511">
        <f t="shared" si="48"/>
        <v>120</v>
      </c>
    </row>
    <row r="512" spans="4:13">
      <c r="D512" s="13">
        <v>113046</v>
      </c>
      <c r="E512">
        <f t="shared" si="43"/>
        <v>3</v>
      </c>
      <c r="G512" s="13">
        <v>6</v>
      </c>
      <c r="H512">
        <f t="shared" si="44"/>
        <v>36</v>
      </c>
      <c r="I512">
        <f t="shared" si="45"/>
        <v>3600</v>
      </c>
      <c r="J512">
        <v>3600</v>
      </c>
      <c r="K512">
        <f t="shared" si="46"/>
        <v>17</v>
      </c>
      <c r="L512">
        <f t="shared" si="47"/>
        <v>6.8</v>
      </c>
      <c r="M512">
        <f t="shared" si="48"/>
        <v>136</v>
      </c>
    </row>
    <row r="513" spans="4:13">
      <c r="D513" s="13">
        <v>113046</v>
      </c>
      <c r="E513">
        <f t="shared" si="43"/>
        <v>3</v>
      </c>
      <c r="G513" s="13">
        <v>7</v>
      </c>
      <c r="H513">
        <f t="shared" si="44"/>
        <v>37</v>
      </c>
      <c r="I513">
        <f t="shared" si="45"/>
        <v>3700</v>
      </c>
      <c r="J513">
        <v>3700</v>
      </c>
      <c r="K513">
        <f t="shared" si="46"/>
        <v>19</v>
      </c>
      <c r="L513">
        <f t="shared" si="47"/>
        <v>7.6</v>
      </c>
      <c r="M513">
        <f t="shared" si="48"/>
        <v>152</v>
      </c>
    </row>
    <row r="514" spans="4:13">
      <c r="D514" s="13">
        <v>113046</v>
      </c>
      <c r="E514">
        <f t="shared" si="43"/>
        <v>3</v>
      </c>
      <c r="G514" s="13">
        <v>8</v>
      </c>
      <c r="H514">
        <f t="shared" si="44"/>
        <v>38</v>
      </c>
      <c r="I514">
        <f t="shared" si="45"/>
        <v>3800</v>
      </c>
      <c r="J514">
        <v>3800</v>
      </c>
      <c r="K514">
        <f t="shared" si="46"/>
        <v>21</v>
      </c>
      <c r="L514">
        <f t="shared" si="47"/>
        <v>8.4</v>
      </c>
      <c r="M514">
        <f t="shared" si="48"/>
        <v>168</v>
      </c>
    </row>
    <row r="515" spans="4:13">
      <c r="D515" s="12">
        <v>113049</v>
      </c>
      <c r="E515">
        <f t="shared" si="43"/>
        <v>3</v>
      </c>
      <c r="G515">
        <v>3</v>
      </c>
      <c r="H515">
        <f t="shared" si="44"/>
        <v>33</v>
      </c>
      <c r="I515">
        <f t="shared" si="45"/>
        <v>3300</v>
      </c>
      <c r="J515">
        <v>3300</v>
      </c>
      <c r="K515">
        <f t="shared" si="46"/>
        <v>12</v>
      </c>
      <c r="L515">
        <f t="shared" si="47"/>
        <v>4.8</v>
      </c>
      <c r="M515">
        <f t="shared" si="48"/>
        <v>96</v>
      </c>
    </row>
    <row r="516" spans="4:13">
      <c r="D516" s="12">
        <v>113049</v>
      </c>
      <c r="E516">
        <f t="shared" si="43"/>
        <v>3</v>
      </c>
      <c r="G516">
        <v>4</v>
      </c>
      <c r="H516">
        <f t="shared" si="44"/>
        <v>34</v>
      </c>
      <c r="I516">
        <f t="shared" si="45"/>
        <v>3400</v>
      </c>
      <c r="J516">
        <v>3400</v>
      </c>
      <c r="K516">
        <f t="shared" si="46"/>
        <v>13.5</v>
      </c>
      <c r="L516">
        <f t="shared" si="47"/>
        <v>5.4</v>
      </c>
      <c r="M516">
        <f t="shared" si="48"/>
        <v>108</v>
      </c>
    </row>
    <row r="517" spans="4:13">
      <c r="D517" s="12">
        <v>113049</v>
      </c>
      <c r="E517">
        <f t="shared" si="43"/>
        <v>3</v>
      </c>
      <c r="G517">
        <v>5</v>
      </c>
      <c r="H517">
        <f t="shared" si="44"/>
        <v>35</v>
      </c>
      <c r="I517">
        <f t="shared" si="45"/>
        <v>3500</v>
      </c>
      <c r="J517">
        <v>3500</v>
      </c>
      <c r="K517">
        <f t="shared" si="46"/>
        <v>15</v>
      </c>
      <c r="L517">
        <f t="shared" si="47"/>
        <v>6</v>
      </c>
      <c r="M517">
        <f t="shared" si="48"/>
        <v>120</v>
      </c>
    </row>
    <row r="518" spans="4:13">
      <c r="D518" s="12">
        <v>113049</v>
      </c>
      <c r="E518">
        <f t="shared" si="43"/>
        <v>3</v>
      </c>
      <c r="G518">
        <v>6</v>
      </c>
      <c r="H518">
        <f t="shared" si="44"/>
        <v>36</v>
      </c>
      <c r="I518">
        <f t="shared" si="45"/>
        <v>3600</v>
      </c>
      <c r="J518">
        <v>3600</v>
      </c>
      <c r="K518">
        <f t="shared" si="46"/>
        <v>17</v>
      </c>
      <c r="L518">
        <f t="shared" si="47"/>
        <v>6.8</v>
      </c>
      <c r="M518">
        <f t="shared" si="48"/>
        <v>136</v>
      </c>
    </row>
    <row r="519" spans="4:13">
      <c r="D519" s="12">
        <v>113049</v>
      </c>
      <c r="E519">
        <f t="shared" si="43"/>
        <v>3</v>
      </c>
      <c r="G519">
        <v>7</v>
      </c>
      <c r="H519">
        <f t="shared" si="44"/>
        <v>37</v>
      </c>
      <c r="I519">
        <f t="shared" si="45"/>
        <v>3700</v>
      </c>
      <c r="J519">
        <v>3700</v>
      </c>
      <c r="K519">
        <f t="shared" si="46"/>
        <v>19</v>
      </c>
      <c r="L519">
        <f t="shared" si="47"/>
        <v>7.6</v>
      </c>
      <c r="M519">
        <f t="shared" si="48"/>
        <v>152</v>
      </c>
    </row>
    <row r="520" spans="4:13">
      <c r="D520" s="12">
        <v>113049</v>
      </c>
      <c r="E520">
        <f t="shared" ref="E520:E583" si="49">VLOOKUP(D520,Q:R,2,FALSE)</f>
        <v>3</v>
      </c>
      <c r="G520">
        <v>8</v>
      </c>
      <c r="H520">
        <f t="shared" ref="H520:H583" si="50">E520*10+G520</f>
        <v>38</v>
      </c>
      <c r="I520">
        <f t="shared" ref="I520:I583" si="51">H520*100</f>
        <v>3800</v>
      </c>
      <c r="J520">
        <v>3800</v>
      </c>
      <c r="K520">
        <f t="shared" ref="K520:K583" si="52">VLOOKUP(J520,U:X,2,FALSE)</f>
        <v>21</v>
      </c>
      <c r="L520">
        <f t="shared" ref="L520:L583" si="53">VLOOKUP(J520,U:X,3,FALSE)</f>
        <v>8.4</v>
      </c>
      <c r="M520">
        <f t="shared" ref="M520:M583" si="54">VLOOKUP(J520,U:X,4,FALSE)</f>
        <v>168</v>
      </c>
    </row>
    <row r="521" spans="4:13">
      <c r="D521" s="13">
        <v>113050</v>
      </c>
      <c r="E521">
        <f t="shared" si="49"/>
        <v>3</v>
      </c>
      <c r="G521">
        <v>3</v>
      </c>
      <c r="H521">
        <f t="shared" si="50"/>
        <v>33</v>
      </c>
      <c r="I521">
        <f t="shared" si="51"/>
        <v>3300</v>
      </c>
      <c r="J521">
        <v>3300</v>
      </c>
      <c r="K521">
        <f t="shared" si="52"/>
        <v>12</v>
      </c>
      <c r="L521">
        <f t="shared" si="53"/>
        <v>4.8</v>
      </c>
      <c r="M521">
        <f t="shared" si="54"/>
        <v>96</v>
      </c>
    </row>
    <row r="522" spans="4:13">
      <c r="D522" s="13">
        <v>113050</v>
      </c>
      <c r="E522">
        <f t="shared" si="49"/>
        <v>3</v>
      </c>
      <c r="G522">
        <v>4</v>
      </c>
      <c r="H522">
        <f t="shared" si="50"/>
        <v>34</v>
      </c>
      <c r="I522">
        <f t="shared" si="51"/>
        <v>3400</v>
      </c>
      <c r="J522">
        <v>3400</v>
      </c>
      <c r="K522">
        <f t="shared" si="52"/>
        <v>13.5</v>
      </c>
      <c r="L522">
        <f t="shared" si="53"/>
        <v>5.4</v>
      </c>
      <c r="M522">
        <f t="shared" si="54"/>
        <v>108</v>
      </c>
    </row>
    <row r="523" spans="4:13">
      <c r="D523" s="13">
        <v>113050</v>
      </c>
      <c r="E523">
        <f t="shared" si="49"/>
        <v>3</v>
      </c>
      <c r="G523">
        <v>5</v>
      </c>
      <c r="H523">
        <f t="shared" si="50"/>
        <v>35</v>
      </c>
      <c r="I523">
        <f t="shared" si="51"/>
        <v>3500</v>
      </c>
      <c r="J523">
        <v>3500</v>
      </c>
      <c r="K523">
        <f t="shared" si="52"/>
        <v>15</v>
      </c>
      <c r="L523">
        <f t="shared" si="53"/>
        <v>6</v>
      </c>
      <c r="M523">
        <f t="shared" si="54"/>
        <v>120</v>
      </c>
    </row>
    <row r="524" spans="4:13">
      <c r="D524" s="13">
        <v>113050</v>
      </c>
      <c r="E524">
        <f t="shared" si="49"/>
        <v>3</v>
      </c>
      <c r="G524">
        <v>6</v>
      </c>
      <c r="H524">
        <f t="shared" si="50"/>
        <v>36</v>
      </c>
      <c r="I524">
        <f t="shared" si="51"/>
        <v>3600</v>
      </c>
      <c r="J524">
        <v>3600</v>
      </c>
      <c r="K524">
        <f t="shared" si="52"/>
        <v>17</v>
      </c>
      <c r="L524">
        <f t="shared" si="53"/>
        <v>6.8</v>
      </c>
      <c r="M524">
        <f t="shared" si="54"/>
        <v>136</v>
      </c>
    </row>
    <row r="525" spans="4:13">
      <c r="D525" s="13">
        <v>113050</v>
      </c>
      <c r="E525">
        <f t="shared" si="49"/>
        <v>3</v>
      </c>
      <c r="G525">
        <v>7</v>
      </c>
      <c r="H525">
        <f t="shared" si="50"/>
        <v>37</v>
      </c>
      <c r="I525">
        <f t="shared" si="51"/>
        <v>3700</v>
      </c>
      <c r="J525">
        <v>3700</v>
      </c>
      <c r="K525">
        <f t="shared" si="52"/>
        <v>19</v>
      </c>
      <c r="L525">
        <f t="shared" si="53"/>
        <v>7.6</v>
      </c>
      <c r="M525">
        <f t="shared" si="54"/>
        <v>152</v>
      </c>
    </row>
    <row r="526" spans="4:13">
      <c r="D526" s="13">
        <v>113050</v>
      </c>
      <c r="E526">
        <f t="shared" si="49"/>
        <v>3</v>
      </c>
      <c r="G526">
        <v>8</v>
      </c>
      <c r="H526">
        <f t="shared" si="50"/>
        <v>38</v>
      </c>
      <c r="I526">
        <f t="shared" si="51"/>
        <v>3800</v>
      </c>
      <c r="J526">
        <v>3800</v>
      </c>
      <c r="K526">
        <f t="shared" si="52"/>
        <v>21</v>
      </c>
      <c r="L526">
        <f t="shared" si="53"/>
        <v>8.4</v>
      </c>
      <c r="M526">
        <f t="shared" si="54"/>
        <v>168</v>
      </c>
    </row>
    <row r="527" spans="4:13">
      <c r="D527" s="17">
        <v>113051</v>
      </c>
      <c r="E527">
        <f t="shared" si="49"/>
        <v>3</v>
      </c>
      <c r="G527">
        <v>3</v>
      </c>
      <c r="H527">
        <f t="shared" si="50"/>
        <v>33</v>
      </c>
      <c r="I527">
        <f t="shared" si="51"/>
        <v>3300</v>
      </c>
      <c r="J527">
        <v>3300</v>
      </c>
      <c r="K527">
        <f t="shared" si="52"/>
        <v>12</v>
      </c>
      <c r="L527">
        <f t="shared" si="53"/>
        <v>4.8</v>
      </c>
      <c r="M527">
        <f t="shared" si="54"/>
        <v>96</v>
      </c>
    </row>
    <row r="528" spans="4:13">
      <c r="D528" s="17">
        <v>113051</v>
      </c>
      <c r="E528">
        <f t="shared" si="49"/>
        <v>3</v>
      </c>
      <c r="G528">
        <v>4</v>
      </c>
      <c r="H528">
        <f t="shared" si="50"/>
        <v>34</v>
      </c>
      <c r="I528">
        <f t="shared" si="51"/>
        <v>3400</v>
      </c>
      <c r="J528">
        <v>3400</v>
      </c>
      <c r="K528">
        <f t="shared" si="52"/>
        <v>13.5</v>
      </c>
      <c r="L528">
        <f t="shared" si="53"/>
        <v>5.4</v>
      </c>
      <c r="M528">
        <f t="shared" si="54"/>
        <v>108</v>
      </c>
    </row>
    <row r="529" spans="4:13">
      <c r="D529" s="17">
        <v>113051</v>
      </c>
      <c r="E529">
        <f t="shared" si="49"/>
        <v>3</v>
      </c>
      <c r="G529">
        <v>5</v>
      </c>
      <c r="H529">
        <f t="shared" si="50"/>
        <v>35</v>
      </c>
      <c r="I529">
        <f t="shared" si="51"/>
        <v>3500</v>
      </c>
      <c r="J529">
        <v>3500</v>
      </c>
      <c r="K529">
        <f t="shared" si="52"/>
        <v>15</v>
      </c>
      <c r="L529">
        <f t="shared" si="53"/>
        <v>6</v>
      </c>
      <c r="M529">
        <f t="shared" si="54"/>
        <v>120</v>
      </c>
    </row>
    <row r="530" spans="4:13">
      <c r="D530" s="17">
        <v>113051</v>
      </c>
      <c r="E530">
        <f t="shared" si="49"/>
        <v>3</v>
      </c>
      <c r="G530">
        <v>6</v>
      </c>
      <c r="H530">
        <f t="shared" si="50"/>
        <v>36</v>
      </c>
      <c r="I530">
        <f t="shared" si="51"/>
        <v>3600</v>
      </c>
      <c r="J530">
        <v>3600</v>
      </c>
      <c r="K530">
        <f t="shared" si="52"/>
        <v>17</v>
      </c>
      <c r="L530">
        <f t="shared" si="53"/>
        <v>6.8</v>
      </c>
      <c r="M530">
        <f t="shared" si="54"/>
        <v>136</v>
      </c>
    </row>
    <row r="531" spans="4:13">
      <c r="D531" s="17">
        <v>113051</v>
      </c>
      <c r="E531">
        <f t="shared" si="49"/>
        <v>3</v>
      </c>
      <c r="G531">
        <v>7</v>
      </c>
      <c r="H531">
        <f t="shared" si="50"/>
        <v>37</v>
      </c>
      <c r="I531">
        <f t="shared" si="51"/>
        <v>3700</v>
      </c>
      <c r="J531">
        <v>3700</v>
      </c>
      <c r="K531">
        <f t="shared" si="52"/>
        <v>19</v>
      </c>
      <c r="L531">
        <f t="shared" si="53"/>
        <v>7.6</v>
      </c>
      <c r="M531">
        <f t="shared" si="54"/>
        <v>152</v>
      </c>
    </row>
    <row r="532" spans="4:13">
      <c r="D532" s="17">
        <v>113051</v>
      </c>
      <c r="E532">
        <f t="shared" si="49"/>
        <v>3</v>
      </c>
      <c r="G532">
        <v>8</v>
      </c>
      <c r="H532">
        <f t="shared" si="50"/>
        <v>38</v>
      </c>
      <c r="I532">
        <f t="shared" si="51"/>
        <v>3800</v>
      </c>
      <c r="J532">
        <v>3800</v>
      </c>
      <c r="K532">
        <f t="shared" si="52"/>
        <v>21</v>
      </c>
      <c r="L532">
        <f t="shared" si="53"/>
        <v>8.4</v>
      </c>
      <c r="M532">
        <f t="shared" si="54"/>
        <v>168</v>
      </c>
    </row>
    <row r="533" spans="4:13">
      <c r="D533" s="14">
        <v>113052</v>
      </c>
      <c r="E533">
        <f t="shared" si="49"/>
        <v>3</v>
      </c>
      <c r="G533">
        <v>3</v>
      </c>
      <c r="H533">
        <f t="shared" si="50"/>
        <v>33</v>
      </c>
      <c r="I533">
        <f t="shared" si="51"/>
        <v>3300</v>
      </c>
      <c r="J533">
        <v>3300</v>
      </c>
      <c r="K533">
        <f t="shared" si="52"/>
        <v>12</v>
      </c>
      <c r="L533">
        <f t="shared" si="53"/>
        <v>4.8</v>
      </c>
      <c r="M533">
        <f t="shared" si="54"/>
        <v>96</v>
      </c>
    </row>
    <row r="534" spans="4:13">
      <c r="D534" s="14">
        <v>113052</v>
      </c>
      <c r="E534">
        <f t="shared" si="49"/>
        <v>3</v>
      </c>
      <c r="G534">
        <v>4</v>
      </c>
      <c r="H534">
        <f t="shared" si="50"/>
        <v>34</v>
      </c>
      <c r="I534">
        <f t="shared" si="51"/>
        <v>3400</v>
      </c>
      <c r="J534">
        <v>3400</v>
      </c>
      <c r="K534">
        <f t="shared" si="52"/>
        <v>13.5</v>
      </c>
      <c r="L534">
        <f t="shared" si="53"/>
        <v>5.4</v>
      </c>
      <c r="M534">
        <f t="shared" si="54"/>
        <v>108</v>
      </c>
    </row>
    <row r="535" spans="4:13">
      <c r="D535" s="14">
        <v>113052</v>
      </c>
      <c r="E535">
        <f t="shared" si="49"/>
        <v>3</v>
      </c>
      <c r="G535">
        <v>5</v>
      </c>
      <c r="H535">
        <f t="shared" si="50"/>
        <v>35</v>
      </c>
      <c r="I535">
        <f t="shared" si="51"/>
        <v>3500</v>
      </c>
      <c r="J535">
        <v>3500</v>
      </c>
      <c r="K535">
        <f t="shared" si="52"/>
        <v>15</v>
      </c>
      <c r="L535">
        <f t="shared" si="53"/>
        <v>6</v>
      </c>
      <c r="M535">
        <f t="shared" si="54"/>
        <v>120</v>
      </c>
    </row>
    <row r="536" spans="4:13">
      <c r="D536" s="14">
        <v>113052</v>
      </c>
      <c r="E536">
        <f t="shared" si="49"/>
        <v>3</v>
      </c>
      <c r="G536">
        <v>6</v>
      </c>
      <c r="H536">
        <f t="shared" si="50"/>
        <v>36</v>
      </c>
      <c r="I536">
        <f t="shared" si="51"/>
        <v>3600</v>
      </c>
      <c r="J536">
        <v>3600</v>
      </c>
      <c r="K536">
        <f t="shared" si="52"/>
        <v>17</v>
      </c>
      <c r="L536">
        <f t="shared" si="53"/>
        <v>6.8</v>
      </c>
      <c r="M536">
        <f t="shared" si="54"/>
        <v>136</v>
      </c>
    </row>
    <row r="537" spans="4:13">
      <c r="D537" s="14">
        <v>113052</v>
      </c>
      <c r="E537">
        <f t="shared" si="49"/>
        <v>3</v>
      </c>
      <c r="G537">
        <v>7</v>
      </c>
      <c r="H537">
        <f t="shared" si="50"/>
        <v>37</v>
      </c>
      <c r="I537">
        <f t="shared" si="51"/>
        <v>3700</v>
      </c>
      <c r="J537">
        <v>3700</v>
      </c>
      <c r="K537">
        <f t="shared" si="52"/>
        <v>19</v>
      </c>
      <c r="L537">
        <f t="shared" si="53"/>
        <v>7.6</v>
      </c>
      <c r="M537">
        <f t="shared" si="54"/>
        <v>152</v>
      </c>
    </row>
    <row r="538" spans="4:13">
      <c r="D538" s="14">
        <v>113052</v>
      </c>
      <c r="E538">
        <f t="shared" si="49"/>
        <v>3</v>
      </c>
      <c r="G538">
        <v>8</v>
      </c>
      <c r="H538">
        <f t="shared" si="50"/>
        <v>38</v>
      </c>
      <c r="I538">
        <f t="shared" si="51"/>
        <v>3800</v>
      </c>
      <c r="J538">
        <v>3800</v>
      </c>
      <c r="K538">
        <f t="shared" si="52"/>
        <v>21</v>
      </c>
      <c r="L538">
        <f t="shared" si="53"/>
        <v>8.4</v>
      </c>
      <c r="M538">
        <f t="shared" si="54"/>
        <v>168</v>
      </c>
    </row>
    <row r="539" spans="4:13">
      <c r="D539" s="39">
        <v>113053</v>
      </c>
      <c r="E539">
        <f t="shared" si="49"/>
        <v>3</v>
      </c>
      <c r="G539">
        <v>3</v>
      </c>
      <c r="H539">
        <f t="shared" si="50"/>
        <v>33</v>
      </c>
      <c r="I539">
        <f t="shared" si="51"/>
        <v>3300</v>
      </c>
      <c r="J539">
        <v>3300</v>
      </c>
      <c r="K539">
        <f t="shared" si="52"/>
        <v>12</v>
      </c>
      <c r="L539">
        <f t="shared" si="53"/>
        <v>4.8</v>
      </c>
      <c r="M539">
        <f t="shared" si="54"/>
        <v>96</v>
      </c>
    </row>
    <row r="540" spans="4:13">
      <c r="D540" s="39">
        <v>113053</v>
      </c>
      <c r="E540">
        <f t="shared" si="49"/>
        <v>3</v>
      </c>
      <c r="G540">
        <v>4</v>
      </c>
      <c r="H540">
        <f t="shared" si="50"/>
        <v>34</v>
      </c>
      <c r="I540">
        <f t="shared" si="51"/>
        <v>3400</v>
      </c>
      <c r="J540">
        <v>3400</v>
      </c>
      <c r="K540">
        <f t="shared" si="52"/>
        <v>13.5</v>
      </c>
      <c r="L540">
        <f t="shared" si="53"/>
        <v>5.4</v>
      </c>
      <c r="M540">
        <f t="shared" si="54"/>
        <v>108</v>
      </c>
    </row>
    <row r="541" spans="4:13">
      <c r="D541" s="39">
        <v>113053</v>
      </c>
      <c r="E541">
        <f t="shared" si="49"/>
        <v>3</v>
      </c>
      <c r="G541">
        <v>5</v>
      </c>
      <c r="H541">
        <f t="shared" si="50"/>
        <v>35</v>
      </c>
      <c r="I541">
        <f t="shared" si="51"/>
        <v>3500</v>
      </c>
      <c r="J541">
        <v>3500</v>
      </c>
      <c r="K541">
        <f t="shared" si="52"/>
        <v>15</v>
      </c>
      <c r="L541">
        <f t="shared" si="53"/>
        <v>6</v>
      </c>
      <c r="M541">
        <f t="shared" si="54"/>
        <v>120</v>
      </c>
    </row>
    <row r="542" spans="4:13">
      <c r="D542" s="39">
        <v>113053</v>
      </c>
      <c r="E542">
        <f t="shared" si="49"/>
        <v>3</v>
      </c>
      <c r="G542">
        <v>6</v>
      </c>
      <c r="H542">
        <f t="shared" si="50"/>
        <v>36</v>
      </c>
      <c r="I542">
        <f t="shared" si="51"/>
        <v>3600</v>
      </c>
      <c r="J542">
        <v>3600</v>
      </c>
      <c r="K542">
        <f t="shared" si="52"/>
        <v>17</v>
      </c>
      <c r="L542">
        <f t="shared" si="53"/>
        <v>6.8</v>
      </c>
      <c r="M542">
        <f t="shared" si="54"/>
        <v>136</v>
      </c>
    </row>
    <row r="543" spans="4:13">
      <c r="D543" s="39">
        <v>113053</v>
      </c>
      <c r="E543">
        <f t="shared" si="49"/>
        <v>3</v>
      </c>
      <c r="G543">
        <v>7</v>
      </c>
      <c r="H543">
        <f t="shared" si="50"/>
        <v>37</v>
      </c>
      <c r="I543">
        <f t="shared" si="51"/>
        <v>3700</v>
      </c>
      <c r="J543">
        <v>3700</v>
      </c>
      <c r="K543">
        <f t="shared" si="52"/>
        <v>19</v>
      </c>
      <c r="L543">
        <f t="shared" si="53"/>
        <v>7.6</v>
      </c>
      <c r="M543">
        <f t="shared" si="54"/>
        <v>152</v>
      </c>
    </row>
    <row r="544" spans="4:13">
      <c r="D544" s="39">
        <v>113053</v>
      </c>
      <c r="E544">
        <f t="shared" si="49"/>
        <v>3</v>
      </c>
      <c r="G544">
        <v>8</v>
      </c>
      <c r="H544">
        <f t="shared" si="50"/>
        <v>38</v>
      </c>
      <c r="I544">
        <f t="shared" si="51"/>
        <v>3800</v>
      </c>
      <c r="J544">
        <v>3800</v>
      </c>
      <c r="K544">
        <f t="shared" si="52"/>
        <v>21</v>
      </c>
      <c r="L544">
        <f t="shared" si="53"/>
        <v>8.4</v>
      </c>
      <c r="M544">
        <f t="shared" si="54"/>
        <v>168</v>
      </c>
    </row>
    <row r="545" spans="4:13">
      <c r="D545" s="13">
        <v>113054</v>
      </c>
      <c r="E545">
        <f t="shared" si="49"/>
        <v>3</v>
      </c>
      <c r="G545">
        <v>3</v>
      </c>
      <c r="H545">
        <f t="shared" si="50"/>
        <v>33</v>
      </c>
      <c r="I545">
        <f t="shared" si="51"/>
        <v>3300</v>
      </c>
      <c r="J545">
        <v>3300</v>
      </c>
      <c r="K545">
        <f t="shared" si="52"/>
        <v>12</v>
      </c>
      <c r="L545">
        <f t="shared" si="53"/>
        <v>4.8</v>
      </c>
      <c r="M545">
        <f t="shared" si="54"/>
        <v>96</v>
      </c>
    </row>
    <row r="546" spans="4:13">
      <c r="D546" s="13">
        <v>113054</v>
      </c>
      <c r="E546">
        <f t="shared" si="49"/>
        <v>3</v>
      </c>
      <c r="G546">
        <v>4</v>
      </c>
      <c r="H546">
        <f t="shared" si="50"/>
        <v>34</v>
      </c>
      <c r="I546">
        <f t="shared" si="51"/>
        <v>3400</v>
      </c>
      <c r="J546">
        <v>3400</v>
      </c>
      <c r="K546">
        <f t="shared" si="52"/>
        <v>13.5</v>
      </c>
      <c r="L546">
        <f t="shared" si="53"/>
        <v>5.4</v>
      </c>
      <c r="M546">
        <f t="shared" si="54"/>
        <v>108</v>
      </c>
    </row>
    <row r="547" spans="4:13">
      <c r="D547" s="13">
        <v>113054</v>
      </c>
      <c r="E547">
        <f t="shared" si="49"/>
        <v>3</v>
      </c>
      <c r="G547">
        <v>5</v>
      </c>
      <c r="H547">
        <f t="shared" si="50"/>
        <v>35</v>
      </c>
      <c r="I547">
        <f t="shared" si="51"/>
        <v>3500</v>
      </c>
      <c r="J547">
        <v>3500</v>
      </c>
      <c r="K547">
        <f t="shared" si="52"/>
        <v>15</v>
      </c>
      <c r="L547">
        <f t="shared" si="53"/>
        <v>6</v>
      </c>
      <c r="M547">
        <f t="shared" si="54"/>
        <v>120</v>
      </c>
    </row>
    <row r="548" spans="4:13">
      <c r="D548" s="13">
        <v>113054</v>
      </c>
      <c r="E548">
        <f t="shared" si="49"/>
        <v>3</v>
      </c>
      <c r="G548">
        <v>6</v>
      </c>
      <c r="H548">
        <f t="shared" si="50"/>
        <v>36</v>
      </c>
      <c r="I548">
        <f t="shared" si="51"/>
        <v>3600</v>
      </c>
      <c r="J548">
        <v>3600</v>
      </c>
      <c r="K548">
        <f t="shared" si="52"/>
        <v>17</v>
      </c>
      <c r="L548">
        <f t="shared" si="53"/>
        <v>6.8</v>
      </c>
      <c r="M548">
        <f t="shared" si="54"/>
        <v>136</v>
      </c>
    </row>
    <row r="549" spans="4:13">
      <c r="D549" s="13">
        <v>113054</v>
      </c>
      <c r="E549">
        <f t="shared" si="49"/>
        <v>3</v>
      </c>
      <c r="G549">
        <v>7</v>
      </c>
      <c r="H549">
        <f t="shared" si="50"/>
        <v>37</v>
      </c>
      <c r="I549">
        <f t="shared" si="51"/>
        <v>3700</v>
      </c>
      <c r="J549">
        <v>3700</v>
      </c>
      <c r="K549">
        <f t="shared" si="52"/>
        <v>19</v>
      </c>
      <c r="L549">
        <f t="shared" si="53"/>
        <v>7.6</v>
      </c>
      <c r="M549">
        <f t="shared" si="54"/>
        <v>152</v>
      </c>
    </row>
    <row r="550" spans="4:13">
      <c r="D550" s="13">
        <v>113054</v>
      </c>
      <c r="E550">
        <f t="shared" si="49"/>
        <v>3</v>
      </c>
      <c r="G550">
        <v>8</v>
      </c>
      <c r="H550">
        <f t="shared" si="50"/>
        <v>38</v>
      </c>
      <c r="I550">
        <f t="shared" si="51"/>
        <v>3800</v>
      </c>
      <c r="J550">
        <v>3800</v>
      </c>
      <c r="K550">
        <f t="shared" si="52"/>
        <v>21</v>
      </c>
      <c r="L550">
        <f t="shared" si="53"/>
        <v>8.4</v>
      </c>
      <c r="M550">
        <f t="shared" si="54"/>
        <v>168</v>
      </c>
    </row>
    <row r="551" spans="4:13">
      <c r="D551" s="40">
        <v>113055</v>
      </c>
      <c r="E551">
        <f t="shared" si="49"/>
        <v>3</v>
      </c>
      <c r="G551" s="40">
        <v>3</v>
      </c>
      <c r="H551">
        <f t="shared" si="50"/>
        <v>33</v>
      </c>
      <c r="I551">
        <f t="shared" si="51"/>
        <v>3300</v>
      </c>
      <c r="J551">
        <v>3300</v>
      </c>
      <c r="K551">
        <f t="shared" si="52"/>
        <v>12</v>
      </c>
      <c r="L551">
        <f t="shared" si="53"/>
        <v>4.8</v>
      </c>
      <c r="M551">
        <f t="shared" si="54"/>
        <v>96</v>
      </c>
    </row>
    <row r="552" spans="4:13">
      <c r="D552" s="40">
        <v>113055</v>
      </c>
      <c r="E552">
        <f t="shared" si="49"/>
        <v>3</v>
      </c>
      <c r="G552" s="40">
        <v>4</v>
      </c>
      <c r="H552">
        <f t="shared" si="50"/>
        <v>34</v>
      </c>
      <c r="I552">
        <f t="shared" si="51"/>
        <v>3400</v>
      </c>
      <c r="J552">
        <v>3400</v>
      </c>
      <c r="K552">
        <f t="shared" si="52"/>
        <v>13.5</v>
      </c>
      <c r="L552">
        <f t="shared" si="53"/>
        <v>5.4</v>
      </c>
      <c r="M552">
        <f t="shared" si="54"/>
        <v>108</v>
      </c>
    </row>
    <row r="553" spans="4:13">
      <c r="D553" s="40">
        <v>113055</v>
      </c>
      <c r="E553">
        <f t="shared" si="49"/>
        <v>3</v>
      </c>
      <c r="G553" s="40">
        <v>5</v>
      </c>
      <c r="H553">
        <f t="shared" si="50"/>
        <v>35</v>
      </c>
      <c r="I553">
        <f t="shared" si="51"/>
        <v>3500</v>
      </c>
      <c r="J553">
        <v>3500</v>
      </c>
      <c r="K553">
        <f t="shared" si="52"/>
        <v>15</v>
      </c>
      <c r="L553">
        <f t="shared" si="53"/>
        <v>6</v>
      </c>
      <c r="M553">
        <f t="shared" si="54"/>
        <v>120</v>
      </c>
    </row>
    <row r="554" spans="4:13">
      <c r="D554" s="40">
        <v>113055</v>
      </c>
      <c r="E554">
        <f t="shared" si="49"/>
        <v>3</v>
      </c>
      <c r="G554" s="40">
        <v>6</v>
      </c>
      <c r="H554">
        <f t="shared" si="50"/>
        <v>36</v>
      </c>
      <c r="I554">
        <f t="shared" si="51"/>
        <v>3600</v>
      </c>
      <c r="J554">
        <v>3600</v>
      </c>
      <c r="K554">
        <f t="shared" si="52"/>
        <v>17</v>
      </c>
      <c r="L554">
        <f t="shared" si="53"/>
        <v>6.8</v>
      </c>
      <c r="M554">
        <f t="shared" si="54"/>
        <v>136</v>
      </c>
    </row>
    <row r="555" spans="4:13">
      <c r="D555" s="40">
        <v>113055</v>
      </c>
      <c r="E555">
        <f t="shared" si="49"/>
        <v>3</v>
      </c>
      <c r="G555" s="40">
        <v>7</v>
      </c>
      <c r="H555">
        <f t="shared" si="50"/>
        <v>37</v>
      </c>
      <c r="I555">
        <f t="shared" si="51"/>
        <v>3700</v>
      </c>
      <c r="J555">
        <v>3700</v>
      </c>
      <c r="K555">
        <f t="shared" si="52"/>
        <v>19</v>
      </c>
      <c r="L555">
        <f t="shared" si="53"/>
        <v>7.6</v>
      </c>
      <c r="M555">
        <f t="shared" si="54"/>
        <v>152</v>
      </c>
    </row>
    <row r="556" spans="4:13">
      <c r="D556" s="40">
        <v>113055</v>
      </c>
      <c r="E556">
        <f t="shared" si="49"/>
        <v>3</v>
      </c>
      <c r="G556" s="40">
        <v>8</v>
      </c>
      <c r="H556">
        <f t="shared" si="50"/>
        <v>38</v>
      </c>
      <c r="I556">
        <f t="shared" si="51"/>
        <v>3800</v>
      </c>
      <c r="J556">
        <v>3800</v>
      </c>
      <c r="K556">
        <f t="shared" si="52"/>
        <v>21</v>
      </c>
      <c r="L556">
        <f t="shared" si="53"/>
        <v>8.4</v>
      </c>
      <c r="M556">
        <f t="shared" si="54"/>
        <v>168</v>
      </c>
    </row>
    <row r="557" spans="4:13">
      <c r="D557" s="41">
        <v>113056</v>
      </c>
      <c r="E557">
        <f t="shared" si="49"/>
        <v>3</v>
      </c>
      <c r="G557" s="41">
        <v>3</v>
      </c>
      <c r="H557">
        <f t="shared" si="50"/>
        <v>33</v>
      </c>
      <c r="I557">
        <f t="shared" si="51"/>
        <v>3300</v>
      </c>
      <c r="J557">
        <v>3300</v>
      </c>
      <c r="K557">
        <f t="shared" si="52"/>
        <v>12</v>
      </c>
      <c r="L557">
        <f t="shared" si="53"/>
        <v>4.8</v>
      </c>
      <c r="M557">
        <f t="shared" si="54"/>
        <v>96</v>
      </c>
    </row>
    <row r="558" spans="4:13">
      <c r="D558" s="41">
        <v>113056</v>
      </c>
      <c r="E558">
        <f t="shared" si="49"/>
        <v>3</v>
      </c>
      <c r="G558" s="41">
        <v>4</v>
      </c>
      <c r="H558">
        <f t="shared" si="50"/>
        <v>34</v>
      </c>
      <c r="I558">
        <f t="shared" si="51"/>
        <v>3400</v>
      </c>
      <c r="J558">
        <v>3400</v>
      </c>
      <c r="K558">
        <f t="shared" si="52"/>
        <v>13.5</v>
      </c>
      <c r="L558">
        <f t="shared" si="53"/>
        <v>5.4</v>
      </c>
      <c r="M558">
        <f t="shared" si="54"/>
        <v>108</v>
      </c>
    </row>
    <row r="559" spans="4:13">
      <c r="D559" s="41">
        <v>113056</v>
      </c>
      <c r="E559">
        <f t="shared" si="49"/>
        <v>3</v>
      </c>
      <c r="G559" s="41">
        <v>5</v>
      </c>
      <c r="H559">
        <f t="shared" si="50"/>
        <v>35</v>
      </c>
      <c r="I559">
        <f t="shared" si="51"/>
        <v>3500</v>
      </c>
      <c r="J559">
        <v>3500</v>
      </c>
      <c r="K559">
        <f t="shared" si="52"/>
        <v>15</v>
      </c>
      <c r="L559">
        <f t="shared" si="53"/>
        <v>6</v>
      </c>
      <c r="M559">
        <f t="shared" si="54"/>
        <v>120</v>
      </c>
    </row>
    <row r="560" spans="4:13">
      <c r="D560" s="41">
        <v>113056</v>
      </c>
      <c r="E560">
        <f t="shared" si="49"/>
        <v>3</v>
      </c>
      <c r="G560" s="41">
        <v>6</v>
      </c>
      <c r="H560">
        <f t="shared" si="50"/>
        <v>36</v>
      </c>
      <c r="I560">
        <f t="shared" si="51"/>
        <v>3600</v>
      </c>
      <c r="J560">
        <v>3600</v>
      </c>
      <c r="K560">
        <f t="shared" si="52"/>
        <v>17</v>
      </c>
      <c r="L560">
        <f t="shared" si="53"/>
        <v>6.8</v>
      </c>
      <c r="M560">
        <f t="shared" si="54"/>
        <v>136</v>
      </c>
    </row>
    <row r="561" spans="4:13">
      <c r="D561" s="41">
        <v>113056</v>
      </c>
      <c r="E561">
        <f t="shared" si="49"/>
        <v>3</v>
      </c>
      <c r="G561" s="41">
        <v>7</v>
      </c>
      <c r="H561">
        <f t="shared" si="50"/>
        <v>37</v>
      </c>
      <c r="I561">
        <f t="shared" si="51"/>
        <v>3700</v>
      </c>
      <c r="J561">
        <v>3700</v>
      </c>
      <c r="K561">
        <f t="shared" si="52"/>
        <v>19</v>
      </c>
      <c r="L561">
        <f t="shared" si="53"/>
        <v>7.6</v>
      </c>
      <c r="M561">
        <f t="shared" si="54"/>
        <v>152</v>
      </c>
    </row>
    <row r="562" spans="4:13">
      <c r="D562" s="41">
        <v>113056</v>
      </c>
      <c r="E562">
        <f t="shared" si="49"/>
        <v>3</v>
      </c>
      <c r="G562" s="41">
        <v>8</v>
      </c>
      <c r="H562">
        <f t="shared" si="50"/>
        <v>38</v>
      </c>
      <c r="I562">
        <f t="shared" si="51"/>
        <v>3800</v>
      </c>
      <c r="J562">
        <v>3800</v>
      </c>
      <c r="K562">
        <f t="shared" si="52"/>
        <v>21</v>
      </c>
      <c r="L562">
        <f t="shared" si="53"/>
        <v>8.4</v>
      </c>
      <c r="M562">
        <f t="shared" si="54"/>
        <v>168</v>
      </c>
    </row>
    <row r="563" spans="4:13">
      <c r="D563" s="42">
        <v>113058</v>
      </c>
      <c r="E563">
        <f t="shared" si="49"/>
        <v>3</v>
      </c>
      <c r="G563" s="42">
        <v>3</v>
      </c>
      <c r="H563">
        <f t="shared" si="50"/>
        <v>33</v>
      </c>
      <c r="I563">
        <f t="shared" si="51"/>
        <v>3300</v>
      </c>
      <c r="J563">
        <v>3300</v>
      </c>
      <c r="K563">
        <f t="shared" si="52"/>
        <v>12</v>
      </c>
      <c r="L563">
        <f t="shared" si="53"/>
        <v>4.8</v>
      </c>
      <c r="M563">
        <f t="shared" si="54"/>
        <v>96</v>
      </c>
    </row>
    <row r="564" spans="4:13">
      <c r="D564" s="42">
        <v>113058</v>
      </c>
      <c r="E564">
        <f t="shared" si="49"/>
        <v>3</v>
      </c>
      <c r="G564" s="42">
        <v>4</v>
      </c>
      <c r="H564">
        <f t="shared" si="50"/>
        <v>34</v>
      </c>
      <c r="I564">
        <f t="shared" si="51"/>
        <v>3400</v>
      </c>
      <c r="J564">
        <v>3400</v>
      </c>
      <c r="K564">
        <f t="shared" si="52"/>
        <v>13.5</v>
      </c>
      <c r="L564">
        <f t="shared" si="53"/>
        <v>5.4</v>
      </c>
      <c r="M564">
        <f t="shared" si="54"/>
        <v>108</v>
      </c>
    </row>
    <row r="565" spans="4:13">
      <c r="D565" s="42">
        <v>113058</v>
      </c>
      <c r="E565">
        <f t="shared" si="49"/>
        <v>3</v>
      </c>
      <c r="G565" s="42">
        <v>5</v>
      </c>
      <c r="H565">
        <f t="shared" si="50"/>
        <v>35</v>
      </c>
      <c r="I565">
        <f t="shared" si="51"/>
        <v>3500</v>
      </c>
      <c r="J565">
        <v>3500</v>
      </c>
      <c r="K565">
        <f t="shared" si="52"/>
        <v>15</v>
      </c>
      <c r="L565">
        <f t="shared" si="53"/>
        <v>6</v>
      </c>
      <c r="M565">
        <f t="shared" si="54"/>
        <v>120</v>
      </c>
    </row>
    <row r="566" spans="4:13">
      <c r="D566" s="42">
        <v>113058</v>
      </c>
      <c r="E566">
        <f t="shared" si="49"/>
        <v>3</v>
      </c>
      <c r="G566" s="42">
        <v>6</v>
      </c>
      <c r="H566">
        <f t="shared" si="50"/>
        <v>36</v>
      </c>
      <c r="I566">
        <f t="shared" si="51"/>
        <v>3600</v>
      </c>
      <c r="J566">
        <v>3600</v>
      </c>
      <c r="K566">
        <f t="shared" si="52"/>
        <v>17</v>
      </c>
      <c r="L566">
        <f t="shared" si="53"/>
        <v>6.8</v>
      </c>
      <c r="M566">
        <f t="shared" si="54"/>
        <v>136</v>
      </c>
    </row>
    <row r="567" spans="4:13">
      <c r="D567" s="42">
        <v>113058</v>
      </c>
      <c r="E567">
        <f t="shared" si="49"/>
        <v>3</v>
      </c>
      <c r="G567" s="42">
        <v>7</v>
      </c>
      <c r="H567">
        <f t="shared" si="50"/>
        <v>37</v>
      </c>
      <c r="I567">
        <f t="shared" si="51"/>
        <v>3700</v>
      </c>
      <c r="J567">
        <v>3700</v>
      </c>
      <c r="K567">
        <f t="shared" si="52"/>
        <v>19</v>
      </c>
      <c r="L567">
        <f t="shared" si="53"/>
        <v>7.6</v>
      </c>
      <c r="M567">
        <f t="shared" si="54"/>
        <v>152</v>
      </c>
    </row>
    <row r="568" spans="4:13">
      <c r="D568" s="42">
        <v>113058</v>
      </c>
      <c r="E568">
        <f t="shared" si="49"/>
        <v>3</v>
      </c>
      <c r="G568" s="42">
        <v>8</v>
      </c>
      <c r="H568">
        <f t="shared" si="50"/>
        <v>38</v>
      </c>
      <c r="I568">
        <f t="shared" si="51"/>
        <v>3800</v>
      </c>
      <c r="J568">
        <v>3800</v>
      </c>
      <c r="K568">
        <f t="shared" si="52"/>
        <v>21</v>
      </c>
      <c r="L568">
        <f t="shared" si="53"/>
        <v>8.4</v>
      </c>
      <c r="M568">
        <f t="shared" si="54"/>
        <v>168</v>
      </c>
    </row>
    <row r="569" spans="4:13">
      <c r="D569" s="43">
        <v>113057</v>
      </c>
      <c r="E569">
        <f t="shared" si="49"/>
        <v>3</v>
      </c>
      <c r="G569" s="43">
        <v>3</v>
      </c>
      <c r="H569">
        <f t="shared" si="50"/>
        <v>33</v>
      </c>
      <c r="I569">
        <f t="shared" si="51"/>
        <v>3300</v>
      </c>
      <c r="J569">
        <v>3300</v>
      </c>
      <c r="K569">
        <f t="shared" si="52"/>
        <v>12</v>
      </c>
      <c r="L569">
        <f t="shared" si="53"/>
        <v>4.8</v>
      </c>
      <c r="M569">
        <f t="shared" si="54"/>
        <v>96</v>
      </c>
    </row>
    <row r="570" spans="4:13">
      <c r="D570" s="43">
        <v>113057</v>
      </c>
      <c r="E570">
        <f t="shared" si="49"/>
        <v>3</v>
      </c>
      <c r="G570" s="43">
        <v>4</v>
      </c>
      <c r="H570">
        <f t="shared" si="50"/>
        <v>34</v>
      </c>
      <c r="I570">
        <f t="shared" si="51"/>
        <v>3400</v>
      </c>
      <c r="J570">
        <v>3400</v>
      </c>
      <c r="K570">
        <f t="shared" si="52"/>
        <v>13.5</v>
      </c>
      <c r="L570">
        <f t="shared" si="53"/>
        <v>5.4</v>
      </c>
      <c r="M570">
        <f t="shared" si="54"/>
        <v>108</v>
      </c>
    </row>
    <row r="571" spans="4:13">
      <c r="D571" s="43">
        <v>113057</v>
      </c>
      <c r="E571">
        <f t="shared" si="49"/>
        <v>3</v>
      </c>
      <c r="G571" s="43">
        <v>5</v>
      </c>
      <c r="H571">
        <f t="shared" si="50"/>
        <v>35</v>
      </c>
      <c r="I571">
        <f t="shared" si="51"/>
        <v>3500</v>
      </c>
      <c r="J571">
        <v>3500</v>
      </c>
      <c r="K571">
        <f t="shared" si="52"/>
        <v>15</v>
      </c>
      <c r="L571">
        <f t="shared" si="53"/>
        <v>6</v>
      </c>
      <c r="M571">
        <f t="shared" si="54"/>
        <v>120</v>
      </c>
    </row>
    <row r="572" spans="4:13">
      <c r="D572" s="43">
        <v>113057</v>
      </c>
      <c r="E572">
        <f t="shared" si="49"/>
        <v>3</v>
      </c>
      <c r="G572" s="43">
        <v>6</v>
      </c>
      <c r="H572">
        <f t="shared" si="50"/>
        <v>36</v>
      </c>
      <c r="I572">
        <f t="shared" si="51"/>
        <v>3600</v>
      </c>
      <c r="J572">
        <v>3600</v>
      </c>
      <c r="K572">
        <f t="shared" si="52"/>
        <v>17</v>
      </c>
      <c r="L572">
        <f t="shared" si="53"/>
        <v>6.8</v>
      </c>
      <c r="M572">
        <f t="shared" si="54"/>
        <v>136</v>
      </c>
    </row>
    <row r="573" spans="4:13">
      <c r="D573" s="43">
        <v>113057</v>
      </c>
      <c r="E573">
        <f t="shared" si="49"/>
        <v>3</v>
      </c>
      <c r="G573" s="43">
        <v>7</v>
      </c>
      <c r="H573">
        <f t="shared" si="50"/>
        <v>37</v>
      </c>
      <c r="I573">
        <f t="shared" si="51"/>
        <v>3700</v>
      </c>
      <c r="J573">
        <v>3700</v>
      </c>
      <c r="K573">
        <f t="shared" si="52"/>
        <v>19</v>
      </c>
      <c r="L573">
        <f t="shared" si="53"/>
        <v>7.6</v>
      </c>
      <c r="M573">
        <f t="shared" si="54"/>
        <v>152</v>
      </c>
    </row>
    <row r="574" spans="4:13">
      <c r="D574" s="43">
        <v>113057</v>
      </c>
      <c r="E574">
        <f t="shared" si="49"/>
        <v>3</v>
      </c>
      <c r="G574" s="43">
        <v>8</v>
      </c>
      <c r="H574">
        <f t="shared" si="50"/>
        <v>38</v>
      </c>
      <c r="I574">
        <f t="shared" si="51"/>
        <v>3800</v>
      </c>
      <c r="J574">
        <v>3800</v>
      </c>
      <c r="K574">
        <f t="shared" si="52"/>
        <v>21</v>
      </c>
      <c r="L574">
        <f t="shared" si="53"/>
        <v>8.4</v>
      </c>
      <c r="M574">
        <f t="shared" si="54"/>
        <v>168</v>
      </c>
    </row>
    <row r="575" spans="4:13">
      <c r="D575" s="41">
        <v>113059</v>
      </c>
      <c r="E575">
        <f t="shared" si="49"/>
        <v>3</v>
      </c>
      <c r="G575" s="41">
        <v>3</v>
      </c>
      <c r="H575">
        <f t="shared" si="50"/>
        <v>33</v>
      </c>
      <c r="I575">
        <f t="shared" si="51"/>
        <v>3300</v>
      </c>
      <c r="J575">
        <v>3300</v>
      </c>
      <c r="K575">
        <f t="shared" si="52"/>
        <v>12</v>
      </c>
      <c r="L575">
        <f t="shared" si="53"/>
        <v>4.8</v>
      </c>
      <c r="M575">
        <f t="shared" si="54"/>
        <v>96</v>
      </c>
    </row>
    <row r="576" spans="4:13">
      <c r="D576" s="41">
        <v>113059</v>
      </c>
      <c r="E576">
        <f t="shared" si="49"/>
        <v>3</v>
      </c>
      <c r="G576" s="41">
        <v>4</v>
      </c>
      <c r="H576">
        <f t="shared" si="50"/>
        <v>34</v>
      </c>
      <c r="I576">
        <f t="shared" si="51"/>
        <v>3400</v>
      </c>
      <c r="J576">
        <v>3400</v>
      </c>
      <c r="K576">
        <f t="shared" si="52"/>
        <v>13.5</v>
      </c>
      <c r="L576">
        <f t="shared" si="53"/>
        <v>5.4</v>
      </c>
      <c r="M576">
        <f t="shared" si="54"/>
        <v>108</v>
      </c>
    </row>
    <row r="577" spans="4:13">
      <c r="D577" s="41">
        <v>113059</v>
      </c>
      <c r="E577">
        <f t="shared" si="49"/>
        <v>3</v>
      </c>
      <c r="G577" s="41">
        <v>5</v>
      </c>
      <c r="H577">
        <f t="shared" si="50"/>
        <v>35</v>
      </c>
      <c r="I577">
        <f t="shared" si="51"/>
        <v>3500</v>
      </c>
      <c r="J577">
        <v>3500</v>
      </c>
      <c r="K577">
        <f t="shared" si="52"/>
        <v>15</v>
      </c>
      <c r="L577">
        <f t="shared" si="53"/>
        <v>6</v>
      </c>
      <c r="M577">
        <f t="shared" si="54"/>
        <v>120</v>
      </c>
    </row>
    <row r="578" spans="4:13">
      <c r="D578" s="41">
        <v>113059</v>
      </c>
      <c r="E578">
        <f t="shared" si="49"/>
        <v>3</v>
      </c>
      <c r="G578" s="41">
        <v>6</v>
      </c>
      <c r="H578">
        <f t="shared" si="50"/>
        <v>36</v>
      </c>
      <c r="I578">
        <f t="shared" si="51"/>
        <v>3600</v>
      </c>
      <c r="J578">
        <v>3600</v>
      </c>
      <c r="K578">
        <f t="shared" si="52"/>
        <v>17</v>
      </c>
      <c r="L578">
        <f t="shared" si="53"/>
        <v>6.8</v>
      </c>
      <c r="M578">
        <f t="shared" si="54"/>
        <v>136</v>
      </c>
    </row>
    <row r="579" spans="4:13">
      <c r="D579" s="41">
        <v>113059</v>
      </c>
      <c r="E579">
        <f t="shared" si="49"/>
        <v>3</v>
      </c>
      <c r="G579" s="41">
        <v>7</v>
      </c>
      <c r="H579">
        <f t="shared" si="50"/>
        <v>37</v>
      </c>
      <c r="I579">
        <f t="shared" si="51"/>
        <v>3700</v>
      </c>
      <c r="J579">
        <v>3700</v>
      </c>
      <c r="K579">
        <f t="shared" si="52"/>
        <v>19</v>
      </c>
      <c r="L579">
        <f t="shared" si="53"/>
        <v>7.6</v>
      </c>
      <c r="M579">
        <f t="shared" si="54"/>
        <v>152</v>
      </c>
    </row>
    <row r="580" spans="4:13">
      <c r="D580" s="41">
        <v>113059</v>
      </c>
      <c r="E580">
        <f t="shared" si="49"/>
        <v>3</v>
      </c>
      <c r="G580" s="41">
        <v>8</v>
      </c>
      <c r="H580">
        <f t="shared" si="50"/>
        <v>38</v>
      </c>
      <c r="I580">
        <f t="shared" si="51"/>
        <v>3800</v>
      </c>
      <c r="J580">
        <v>3800</v>
      </c>
      <c r="K580">
        <f t="shared" si="52"/>
        <v>21</v>
      </c>
      <c r="L580">
        <f t="shared" si="53"/>
        <v>8.4</v>
      </c>
      <c r="M580">
        <f t="shared" si="54"/>
        <v>168</v>
      </c>
    </row>
    <row r="581" spans="4:13">
      <c r="D581" s="44">
        <v>113060</v>
      </c>
      <c r="E581">
        <f t="shared" si="49"/>
        <v>3</v>
      </c>
      <c r="G581" s="44">
        <v>3</v>
      </c>
      <c r="H581">
        <f t="shared" si="50"/>
        <v>33</v>
      </c>
      <c r="I581">
        <f t="shared" si="51"/>
        <v>3300</v>
      </c>
      <c r="J581">
        <v>3300</v>
      </c>
      <c r="K581">
        <f t="shared" si="52"/>
        <v>12</v>
      </c>
      <c r="L581">
        <f t="shared" si="53"/>
        <v>4.8</v>
      </c>
      <c r="M581">
        <f t="shared" si="54"/>
        <v>96</v>
      </c>
    </row>
    <row r="582" spans="4:13">
      <c r="D582" s="44">
        <v>113060</v>
      </c>
      <c r="E582">
        <f t="shared" si="49"/>
        <v>3</v>
      </c>
      <c r="G582" s="44">
        <v>4</v>
      </c>
      <c r="H582">
        <f t="shared" si="50"/>
        <v>34</v>
      </c>
      <c r="I582">
        <f t="shared" si="51"/>
        <v>3400</v>
      </c>
      <c r="J582">
        <v>3400</v>
      </c>
      <c r="K582">
        <f t="shared" si="52"/>
        <v>13.5</v>
      </c>
      <c r="L582">
        <f t="shared" si="53"/>
        <v>5.4</v>
      </c>
      <c r="M582">
        <f t="shared" si="54"/>
        <v>108</v>
      </c>
    </row>
    <row r="583" spans="4:13">
      <c r="D583" s="44">
        <v>113060</v>
      </c>
      <c r="E583">
        <f t="shared" si="49"/>
        <v>3</v>
      </c>
      <c r="G583" s="44">
        <v>5</v>
      </c>
      <c r="H583">
        <f t="shared" si="50"/>
        <v>35</v>
      </c>
      <c r="I583">
        <f t="shared" si="51"/>
        <v>3500</v>
      </c>
      <c r="J583">
        <v>3500</v>
      </c>
      <c r="K583">
        <f t="shared" si="52"/>
        <v>15</v>
      </c>
      <c r="L583">
        <f t="shared" si="53"/>
        <v>6</v>
      </c>
      <c r="M583">
        <f t="shared" si="54"/>
        <v>120</v>
      </c>
    </row>
    <row r="584" spans="4:13">
      <c r="D584" s="44">
        <v>113060</v>
      </c>
      <c r="E584">
        <f t="shared" ref="E584:E628" si="55">VLOOKUP(D584,Q:R,2,FALSE)</f>
        <v>3</v>
      </c>
      <c r="G584" s="44">
        <v>6</v>
      </c>
      <c r="H584">
        <f t="shared" ref="H584:H628" si="56">E584*10+G584</f>
        <v>36</v>
      </c>
      <c r="I584">
        <f t="shared" ref="I584:I628" si="57">H584*100</f>
        <v>3600</v>
      </c>
      <c r="J584">
        <v>3600</v>
      </c>
      <c r="K584">
        <f t="shared" ref="K584:K628" si="58">VLOOKUP(J584,U:X,2,FALSE)</f>
        <v>17</v>
      </c>
      <c r="L584">
        <f t="shared" ref="L584:L628" si="59">VLOOKUP(J584,U:X,3,FALSE)</f>
        <v>6.8</v>
      </c>
      <c r="M584">
        <f t="shared" ref="M584:M628" si="60">VLOOKUP(J584,U:X,4,FALSE)</f>
        <v>136</v>
      </c>
    </row>
    <row r="585" spans="4:13">
      <c r="D585" s="44">
        <v>113060</v>
      </c>
      <c r="E585">
        <f t="shared" si="55"/>
        <v>3</v>
      </c>
      <c r="G585" s="44">
        <v>7</v>
      </c>
      <c r="H585">
        <f t="shared" si="56"/>
        <v>37</v>
      </c>
      <c r="I585">
        <f t="shared" si="57"/>
        <v>3700</v>
      </c>
      <c r="J585">
        <v>3700</v>
      </c>
      <c r="K585">
        <f t="shared" si="58"/>
        <v>19</v>
      </c>
      <c r="L585">
        <f t="shared" si="59"/>
        <v>7.6</v>
      </c>
      <c r="M585">
        <f t="shared" si="60"/>
        <v>152</v>
      </c>
    </row>
    <row r="586" spans="4:13">
      <c r="D586" s="44">
        <v>113060</v>
      </c>
      <c r="E586">
        <f t="shared" si="55"/>
        <v>3</v>
      </c>
      <c r="G586" s="44">
        <v>8</v>
      </c>
      <c r="H586">
        <f t="shared" si="56"/>
        <v>38</v>
      </c>
      <c r="I586">
        <f t="shared" si="57"/>
        <v>3800</v>
      </c>
      <c r="J586">
        <v>3800</v>
      </c>
      <c r="K586">
        <f t="shared" si="58"/>
        <v>21</v>
      </c>
      <c r="L586">
        <f t="shared" si="59"/>
        <v>8.4</v>
      </c>
      <c r="M586">
        <f t="shared" si="60"/>
        <v>168</v>
      </c>
    </row>
    <row r="587" spans="4:13">
      <c r="D587" s="45">
        <v>113061</v>
      </c>
      <c r="E587">
        <f t="shared" si="55"/>
        <v>3</v>
      </c>
      <c r="G587" s="45">
        <v>3</v>
      </c>
      <c r="H587">
        <f t="shared" si="56"/>
        <v>33</v>
      </c>
      <c r="I587">
        <f t="shared" si="57"/>
        <v>3300</v>
      </c>
      <c r="J587">
        <v>3300</v>
      </c>
      <c r="K587">
        <f t="shared" si="58"/>
        <v>12</v>
      </c>
      <c r="L587">
        <f t="shared" si="59"/>
        <v>4.8</v>
      </c>
      <c r="M587">
        <f t="shared" si="60"/>
        <v>96</v>
      </c>
    </row>
    <row r="588" spans="4:13">
      <c r="D588" s="45">
        <v>113061</v>
      </c>
      <c r="E588">
        <f t="shared" si="55"/>
        <v>3</v>
      </c>
      <c r="G588" s="45">
        <v>4</v>
      </c>
      <c r="H588">
        <f t="shared" si="56"/>
        <v>34</v>
      </c>
      <c r="I588">
        <f t="shared" si="57"/>
        <v>3400</v>
      </c>
      <c r="J588">
        <v>3400</v>
      </c>
      <c r="K588">
        <f t="shared" si="58"/>
        <v>13.5</v>
      </c>
      <c r="L588">
        <f t="shared" si="59"/>
        <v>5.4</v>
      </c>
      <c r="M588">
        <f t="shared" si="60"/>
        <v>108</v>
      </c>
    </row>
    <row r="589" spans="4:13">
      <c r="D589" s="45">
        <v>113061</v>
      </c>
      <c r="E589">
        <f t="shared" si="55"/>
        <v>3</v>
      </c>
      <c r="G589" s="45">
        <v>5</v>
      </c>
      <c r="H589">
        <f t="shared" si="56"/>
        <v>35</v>
      </c>
      <c r="I589">
        <f t="shared" si="57"/>
        <v>3500</v>
      </c>
      <c r="J589">
        <v>3500</v>
      </c>
      <c r="K589">
        <f t="shared" si="58"/>
        <v>15</v>
      </c>
      <c r="L589">
        <f t="shared" si="59"/>
        <v>6</v>
      </c>
      <c r="M589">
        <f t="shared" si="60"/>
        <v>120</v>
      </c>
    </row>
    <row r="590" spans="4:13">
      <c r="D590" s="45">
        <v>113061</v>
      </c>
      <c r="E590">
        <f t="shared" si="55"/>
        <v>3</v>
      </c>
      <c r="G590" s="45">
        <v>6</v>
      </c>
      <c r="H590">
        <f t="shared" si="56"/>
        <v>36</v>
      </c>
      <c r="I590">
        <f t="shared" si="57"/>
        <v>3600</v>
      </c>
      <c r="J590">
        <v>3600</v>
      </c>
      <c r="K590">
        <f t="shared" si="58"/>
        <v>17</v>
      </c>
      <c r="L590">
        <f t="shared" si="59"/>
        <v>6.8</v>
      </c>
      <c r="M590">
        <f t="shared" si="60"/>
        <v>136</v>
      </c>
    </row>
    <row r="591" spans="4:13">
      <c r="D591" s="45">
        <v>113061</v>
      </c>
      <c r="E591">
        <f t="shared" si="55"/>
        <v>3</v>
      </c>
      <c r="G591" s="45">
        <v>7</v>
      </c>
      <c r="H591">
        <f t="shared" si="56"/>
        <v>37</v>
      </c>
      <c r="I591">
        <f t="shared" si="57"/>
        <v>3700</v>
      </c>
      <c r="J591">
        <v>3700</v>
      </c>
      <c r="K591">
        <f t="shared" si="58"/>
        <v>19</v>
      </c>
      <c r="L591">
        <f t="shared" si="59"/>
        <v>7.6</v>
      </c>
      <c r="M591">
        <f t="shared" si="60"/>
        <v>152</v>
      </c>
    </row>
    <row r="592" spans="4:13">
      <c r="D592" s="45">
        <v>113061</v>
      </c>
      <c r="E592">
        <f t="shared" si="55"/>
        <v>3</v>
      </c>
      <c r="G592" s="45">
        <v>8</v>
      </c>
      <c r="H592">
        <f t="shared" si="56"/>
        <v>38</v>
      </c>
      <c r="I592">
        <f t="shared" si="57"/>
        <v>3800</v>
      </c>
      <c r="J592">
        <v>3800</v>
      </c>
      <c r="K592">
        <f t="shared" si="58"/>
        <v>21</v>
      </c>
      <c r="L592">
        <f t="shared" si="59"/>
        <v>8.4</v>
      </c>
      <c r="M592">
        <f t="shared" si="60"/>
        <v>168</v>
      </c>
    </row>
    <row r="593" spans="4:13">
      <c r="D593" s="46">
        <v>113062</v>
      </c>
      <c r="E593">
        <f t="shared" si="55"/>
        <v>3</v>
      </c>
      <c r="G593" s="46">
        <v>3</v>
      </c>
      <c r="H593">
        <f t="shared" si="56"/>
        <v>33</v>
      </c>
      <c r="I593">
        <f t="shared" si="57"/>
        <v>3300</v>
      </c>
      <c r="J593">
        <v>3300</v>
      </c>
      <c r="K593">
        <f t="shared" si="58"/>
        <v>12</v>
      </c>
      <c r="L593">
        <f t="shared" si="59"/>
        <v>4.8</v>
      </c>
      <c r="M593">
        <f t="shared" si="60"/>
        <v>96</v>
      </c>
    </row>
    <row r="594" spans="4:13">
      <c r="D594" s="46">
        <v>113062</v>
      </c>
      <c r="E594">
        <f t="shared" si="55"/>
        <v>3</v>
      </c>
      <c r="G594" s="46">
        <v>4</v>
      </c>
      <c r="H594">
        <f t="shared" si="56"/>
        <v>34</v>
      </c>
      <c r="I594">
        <f t="shared" si="57"/>
        <v>3400</v>
      </c>
      <c r="J594">
        <v>3400</v>
      </c>
      <c r="K594">
        <f t="shared" si="58"/>
        <v>13.5</v>
      </c>
      <c r="L594">
        <f t="shared" si="59"/>
        <v>5.4</v>
      </c>
      <c r="M594">
        <f t="shared" si="60"/>
        <v>108</v>
      </c>
    </row>
    <row r="595" spans="4:13">
      <c r="D595" s="46">
        <v>113062</v>
      </c>
      <c r="E595">
        <f t="shared" si="55"/>
        <v>3</v>
      </c>
      <c r="G595" s="46">
        <v>5</v>
      </c>
      <c r="H595">
        <f t="shared" si="56"/>
        <v>35</v>
      </c>
      <c r="I595">
        <f t="shared" si="57"/>
        <v>3500</v>
      </c>
      <c r="J595">
        <v>3500</v>
      </c>
      <c r="K595">
        <f t="shared" si="58"/>
        <v>15</v>
      </c>
      <c r="L595">
        <f t="shared" si="59"/>
        <v>6</v>
      </c>
      <c r="M595">
        <f t="shared" si="60"/>
        <v>120</v>
      </c>
    </row>
    <row r="596" spans="4:13">
      <c r="D596" s="46">
        <v>113062</v>
      </c>
      <c r="E596">
        <f t="shared" si="55"/>
        <v>3</v>
      </c>
      <c r="G596" s="46">
        <v>6</v>
      </c>
      <c r="H596">
        <f t="shared" si="56"/>
        <v>36</v>
      </c>
      <c r="I596">
        <f t="shared" si="57"/>
        <v>3600</v>
      </c>
      <c r="J596">
        <v>3600</v>
      </c>
      <c r="K596">
        <f t="shared" si="58"/>
        <v>17</v>
      </c>
      <c r="L596">
        <f t="shared" si="59"/>
        <v>6.8</v>
      </c>
      <c r="M596">
        <f t="shared" si="60"/>
        <v>136</v>
      </c>
    </row>
    <row r="597" spans="4:13">
      <c r="D597" s="46">
        <v>113062</v>
      </c>
      <c r="E597">
        <f t="shared" si="55"/>
        <v>3</v>
      </c>
      <c r="G597" s="46">
        <v>7</v>
      </c>
      <c r="H597">
        <f t="shared" si="56"/>
        <v>37</v>
      </c>
      <c r="I597">
        <f t="shared" si="57"/>
        <v>3700</v>
      </c>
      <c r="J597">
        <v>3700</v>
      </c>
      <c r="K597">
        <f t="shared" si="58"/>
        <v>19</v>
      </c>
      <c r="L597">
        <f t="shared" si="59"/>
        <v>7.6</v>
      </c>
      <c r="M597">
        <f t="shared" si="60"/>
        <v>152</v>
      </c>
    </row>
    <row r="598" spans="4:13">
      <c r="D598" s="46">
        <v>113062</v>
      </c>
      <c r="E598">
        <f t="shared" si="55"/>
        <v>3</v>
      </c>
      <c r="G598" s="46">
        <v>8</v>
      </c>
      <c r="H598">
        <f t="shared" si="56"/>
        <v>38</v>
      </c>
      <c r="I598">
        <f t="shared" si="57"/>
        <v>3800</v>
      </c>
      <c r="J598">
        <v>3800</v>
      </c>
      <c r="K598">
        <f t="shared" si="58"/>
        <v>21</v>
      </c>
      <c r="L598">
        <f t="shared" si="59"/>
        <v>8.4</v>
      </c>
      <c r="M598">
        <f t="shared" si="60"/>
        <v>168</v>
      </c>
    </row>
    <row r="599" spans="4:13">
      <c r="D599" s="47">
        <v>113063</v>
      </c>
      <c r="E599">
        <f t="shared" si="55"/>
        <v>3</v>
      </c>
      <c r="G599" s="47">
        <v>3</v>
      </c>
      <c r="H599">
        <f t="shared" si="56"/>
        <v>33</v>
      </c>
      <c r="I599">
        <f t="shared" si="57"/>
        <v>3300</v>
      </c>
      <c r="J599">
        <v>3300</v>
      </c>
      <c r="K599">
        <f t="shared" si="58"/>
        <v>12</v>
      </c>
      <c r="L599">
        <f t="shared" si="59"/>
        <v>4.8</v>
      </c>
      <c r="M599">
        <f t="shared" si="60"/>
        <v>96</v>
      </c>
    </row>
    <row r="600" spans="4:13">
      <c r="D600" s="47">
        <v>113063</v>
      </c>
      <c r="E600">
        <f t="shared" si="55"/>
        <v>3</v>
      </c>
      <c r="G600" s="47">
        <v>4</v>
      </c>
      <c r="H600">
        <f t="shared" si="56"/>
        <v>34</v>
      </c>
      <c r="I600">
        <f t="shared" si="57"/>
        <v>3400</v>
      </c>
      <c r="J600">
        <v>3400</v>
      </c>
      <c r="K600">
        <f t="shared" si="58"/>
        <v>13.5</v>
      </c>
      <c r="L600">
        <f t="shared" si="59"/>
        <v>5.4</v>
      </c>
      <c r="M600">
        <f t="shared" si="60"/>
        <v>108</v>
      </c>
    </row>
    <row r="601" spans="4:13">
      <c r="D601" s="47">
        <v>113063</v>
      </c>
      <c r="E601">
        <f t="shared" si="55"/>
        <v>3</v>
      </c>
      <c r="G601" s="47">
        <v>5</v>
      </c>
      <c r="H601">
        <f t="shared" si="56"/>
        <v>35</v>
      </c>
      <c r="I601">
        <f t="shared" si="57"/>
        <v>3500</v>
      </c>
      <c r="J601">
        <v>3500</v>
      </c>
      <c r="K601">
        <f t="shared" si="58"/>
        <v>15</v>
      </c>
      <c r="L601">
        <f t="shared" si="59"/>
        <v>6</v>
      </c>
      <c r="M601">
        <f t="shared" si="60"/>
        <v>120</v>
      </c>
    </row>
    <row r="602" spans="4:13">
      <c r="D602" s="47">
        <v>113063</v>
      </c>
      <c r="E602">
        <f t="shared" si="55"/>
        <v>3</v>
      </c>
      <c r="G602" s="47">
        <v>6</v>
      </c>
      <c r="H602">
        <f t="shared" si="56"/>
        <v>36</v>
      </c>
      <c r="I602">
        <f t="shared" si="57"/>
        <v>3600</v>
      </c>
      <c r="J602">
        <v>3600</v>
      </c>
      <c r="K602">
        <f t="shared" si="58"/>
        <v>17</v>
      </c>
      <c r="L602">
        <f t="shared" si="59"/>
        <v>6.8</v>
      </c>
      <c r="M602">
        <f t="shared" si="60"/>
        <v>136</v>
      </c>
    </row>
    <row r="603" spans="4:13">
      <c r="D603" s="47">
        <v>113063</v>
      </c>
      <c r="E603">
        <f t="shared" si="55"/>
        <v>3</v>
      </c>
      <c r="G603" s="47">
        <v>7</v>
      </c>
      <c r="H603">
        <f t="shared" si="56"/>
        <v>37</v>
      </c>
      <c r="I603">
        <f t="shared" si="57"/>
        <v>3700</v>
      </c>
      <c r="J603">
        <v>3700</v>
      </c>
      <c r="K603">
        <f t="shared" si="58"/>
        <v>19</v>
      </c>
      <c r="L603">
        <f t="shared" si="59"/>
        <v>7.6</v>
      </c>
      <c r="M603">
        <f t="shared" si="60"/>
        <v>152</v>
      </c>
    </row>
    <row r="604" spans="4:13">
      <c r="D604" s="47">
        <v>113063</v>
      </c>
      <c r="E604">
        <f t="shared" si="55"/>
        <v>3</v>
      </c>
      <c r="G604" s="47">
        <v>8</v>
      </c>
      <c r="H604">
        <f t="shared" si="56"/>
        <v>38</v>
      </c>
      <c r="I604">
        <f t="shared" si="57"/>
        <v>3800</v>
      </c>
      <c r="J604">
        <v>3800</v>
      </c>
      <c r="K604">
        <f t="shared" si="58"/>
        <v>21</v>
      </c>
      <c r="L604">
        <f t="shared" si="59"/>
        <v>8.4</v>
      </c>
      <c r="M604">
        <f t="shared" si="60"/>
        <v>168</v>
      </c>
    </row>
    <row r="605" spans="4:13">
      <c r="D605" s="41">
        <v>113064</v>
      </c>
      <c r="E605">
        <f t="shared" si="55"/>
        <v>3</v>
      </c>
      <c r="G605" s="41">
        <v>3</v>
      </c>
      <c r="H605">
        <f t="shared" si="56"/>
        <v>33</v>
      </c>
      <c r="I605">
        <f t="shared" si="57"/>
        <v>3300</v>
      </c>
      <c r="J605">
        <v>3300</v>
      </c>
      <c r="K605">
        <f t="shared" si="58"/>
        <v>12</v>
      </c>
      <c r="L605">
        <f t="shared" si="59"/>
        <v>4.8</v>
      </c>
      <c r="M605">
        <f t="shared" si="60"/>
        <v>96</v>
      </c>
    </row>
    <row r="606" spans="4:13">
      <c r="D606" s="41">
        <v>113064</v>
      </c>
      <c r="E606">
        <f t="shared" si="55"/>
        <v>3</v>
      </c>
      <c r="G606" s="41">
        <v>4</v>
      </c>
      <c r="H606">
        <f t="shared" si="56"/>
        <v>34</v>
      </c>
      <c r="I606">
        <f t="shared" si="57"/>
        <v>3400</v>
      </c>
      <c r="J606">
        <v>3400</v>
      </c>
      <c r="K606">
        <f t="shared" si="58"/>
        <v>13.5</v>
      </c>
      <c r="L606">
        <f t="shared" si="59"/>
        <v>5.4</v>
      </c>
      <c r="M606">
        <f t="shared" si="60"/>
        <v>108</v>
      </c>
    </row>
    <row r="607" spans="4:13">
      <c r="D607" s="41">
        <v>113064</v>
      </c>
      <c r="E607">
        <f t="shared" si="55"/>
        <v>3</v>
      </c>
      <c r="G607" s="41">
        <v>5</v>
      </c>
      <c r="H607">
        <f t="shared" si="56"/>
        <v>35</v>
      </c>
      <c r="I607">
        <f t="shared" si="57"/>
        <v>3500</v>
      </c>
      <c r="J607">
        <v>3500</v>
      </c>
      <c r="K607">
        <f t="shared" si="58"/>
        <v>15</v>
      </c>
      <c r="L607">
        <f t="shared" si="59"/>
        <v>6</v>
      </c>
      <c r="M607">
        <f t="shared" si="60"/>
        <v>120</v>
      </c>
    </row>
    <row r="608" spans="4:13">
      <c r="D608" s="41">
        <v>113064</v>
      </c>
      <c r="E608">
        <f t="shared" si="55"/>
        <v>3</v>
      </c>
      <c r="G608" s="41">
        <v>6</v>
      </c>
      <c r="H608">
        <f t="shared" si="56"/>
        <v>36</v>
      </c>
      <c r="I608">
        <f t="shared" si="57"/>
        <v>3600</v>
      </c>
      <c r="J608">
        <v>3600</v>
      </c>
      <c r="K608">
        <f t="shared" si="58"/>
        <v>17</v>
      </c>
      <c r="L608">
        <f t="shared" si="59"/>
        <v>6.8</v>
      </c>
      <c r="M608">
        <f t="shared" si="60"/>
        <v>136</v>
      </c>
    </row>
    <row r="609" spans="4:13">
      <c r="D609" s="41">
        <v>113064</v>
      </c>
      <c r="E609">
        <f t="shared" si="55"/>
        <v>3</v>
      </c>
      <c r="G609" s="41">
        <v>7</v>
      </c>
      <c r="H609">
        <f t="shared" si="56"/>
        <v>37</v>
      </c>
      <c r="I609">
        <f t="shared" si="57"/>
        <v>3700</v>
      </c>
      <c r="J609">
        <v>3700</v>
      </c>
      <c r="K609">
        <f t="shared" si="58"/>
        <v>19</v>
      </c>
      <c r="L609">
        <f t="shared" si="59"/>
        <v>7.6</v>
      </c>
      <c r="M609">
        <f t="shared" si="60"/>
        <v>152</v>
      </c>
    </row>
    <row r="610" spans="4:13">
      <c r="D610" s="41">
        <v>113064</v>
      </c>
      <c r="E610">
        <f t="shared" si="55"/>
        <v>3</v>
      </c>
      <c r="G610" s="41">
        <v>8</v>
      </c>
      <c r="H610">
        <f t="shared" si="56"/>
        <v>38</v>
      </c>
      <c r="I610">
        <f t="shared" si="57"/>
        <v>3800</v>
      </c>
      <c r="J610">
        <v>3800</v>
      </c>
      <c r="K610">
        <f t="shared" si="58"/>
        <v>21</v>
      </c>
      <c r="L610">
        <f t="shared" si="59"/>
        <v>8.4</v>
      </c>
      <c r="M610">
        <f t="shared" si="60"/>
        <v>168</v>
      </c>
    </row>
    <row r="611" spans="4:13">
      <c r="D611" s="13">
        <v>113065</v>
      </c>
      <c r="E611">
        <f t="shared" si="55"/>
        <v>3</v>
      </c>
      <c r="G611" s="13">
        <v>3</v>
      </c>
      <c r="H611">
        <f t="shared" si="56"/>
        <v>33</v>
      </c>
      <c r="I611">
        <f t="shared" si="57"/>
        <v>3300</v>
      </c>
      <c r="J611">
        <v>3300</v>
      </c>
      <c r="K611">
        <f t="shared" si="58"/>
        <v>12</v>
      </c>
      <c r="L611">
        <f t="shared" si="59"/>
        <v>4.8</v>
      </c>
      <c r="M611">
        <f t="shared" si="60"/>
        <v>96</v>
      </c>
    </row>
    <row r="612" spans="4:13">
      <c r="D612" s="13">
        <v>113065</v>
      </c>
      <c r="E612">
        <f t="shared" si="55"/>
        <v>3</v>
      </c>
      <c r="G612" s="13">
        <v>4</v>
      </c>
      <c r="H612">
        <f t="shared" si="56"/>
        <v>34</v>
      </c>
      <c r="I612">
        <f t="shared" si="57"/>
        <v>3400</v>
      </c>
      <c r="J612">
        <v>3400</v>
      </c>
      <c r="K612">
        <f t="shared" si="58"/>
        <v>13.5</v>
      </c>
      <c r="L612">
        <f t="shared" si="59"/>
        <v>5.4</v>
      </c>
      <c r="M612">
        <f t="shared" si="60"/>
        <v>108</v>
      </c>
    </row>
    <row r="613" spans="4:13">
      <c r="D613" s="13">
        <v>113065</v>
      </c>
      <c r="E613">
        <f t="shared" si="55"/>
        <v>3</v>
      </c>
      <c r="G613" s="13">
        <v>5</v>
      </c>
      <c r="H613">
        <f t="shared" si="56"/>
        <v>35</v>
      </c>
      <c r="I613">
        <f t="shared" si="57"/>
        <v>3500</v>
      </c>
      <c r="J613">
        <v>3500</v>
      </c>
      <c r="K613">
        <f t="shared" si="58"/>
        <v>15</v>
      </c>
      <c r="L613">
        <f t="shared" si="59"/>
        <v>6</v>
      </c>
      <c r="M613">
        <f t="shared" si="60"/>
        <v>120</v>
      </c>
    </row>
    <row r="614" spans="4:13">
      <c r="D614" s="13">
        <v>113065</v>
      </c>
      <c r="E614">
        <f t="shared" si="55"/>
        <v>3</v>
      </c>
      <c r="G614" s="13">
        <v>6</v>
      </c>
      <c r="H614">
        <f t="shared" si="56"/>
        <v>36</v>
      </c>
      <c r="I614">
        <f t="shared" si="57"/>
        <v>3600</v>
      </c>
      <c r="J614">
        <v>3600</v>
      </c>
      <c r="K614">
        <f t="shared" si="58"/>
        <v>17</v>
      </c>
      <c r="L614">
        <f t="shared" si="59"/>
        <v>6.8</v>
      </c>
      <c r="M614">
        <f t="shared" si="60"/>
        <v>136</v>
      </c>
    </row>
    <row r="615" spans="4:13">
      <c r="D615" s="13">
        <v>113065</v>
      </c>
      <c r="E615">
        <f t="shared" si="55"/>
        <v>3</v>
      </c>
      <c r="G615" s="13">
        <v>7</v>
      </c>
      <c r="H615">
        <f t="shared" si="56"/>
        <v>37</v>
      </c>
      <c r="I615">
        <f t="shared" si="57"/>
        <v>3700</v>
      </c>
      <c r="J615">
        <v>3700</v>
      </c>
      <c r="K615">
        <f t="shared" si="58"/>
        <v>19</v>
      </c>
      <c r="L615">
        <f t="shared" si="59"/>
        <v>7.6</v>
      </c>
      <c r="M615">
        <f t="shared" si="60"/>
        <v>152</v>
      </c>
    </row>
    <row r="616" spans="4:13">
      <c r="D616" s="13">
        <v>113065</v>
      </c>
      <c r="E616">
        <f t="shared" si="55"/>
        <v>3</v>
      </c>
      <c r="G616" s="13">
        <v>8</v>
      </c>
      <c r="H616">
        <f t="shared" si="56"/>
        <v>38</v>
      </c>
      <c r="I616">
        <f t="shared" si="57"/>
        <v>3800</v>
      </c>
      <c r="J616">
        <v>3800</v>
      </c>
      <c r="K616">
        <f t="shared" si="58"/>
        <v>21</v>
      </c>
      <c r="L616">
        <f t="shared" si="59"/>
        <v>8.4</v>
      </c>
      <c r="M616">
        <f t="shared" si="60"/>
        <v>168</v>
      </c>
    </row>
    <row r="617" spans="4:13">
      <c r="D617" s="20">
        <v>113066</v>
      </c>
      <c r="E617">
        <f t="shared" si="55"/>
        <v>3</v>
      </c>
      <c r="G617" s="20">
        <v>3</v>
      </c>
      <c r="H617">
        <f t="shared" si="56"/>
        <v>33</v>
      </c>
      <c r="I617">
        <f t="shared" si="57"/>
        <v>3300</v>
      </c>
      <c r="J617">
        <v>3300</v>
      </c>
      <c r="K617">
        <f t="shared" si="58"/>
        <v>12</v>
      </c>
      <c r="L617">
        <f t="shared" si="59"/>
        <v>4.8</v>
      </c>
      <c r="M617">
        <f t="shared" si="60"/>
        <v>96</v>
      </c>
    </row>
    <row r="618" spans="4:13">
      <c r="D618" s="20">
        <v>113066</v>
      </c>
      <c r="E618">
        <f t="shared" si="55"/>
        <v>3</v>
      </c>
      <c r="G618" s="20">
        <v>4</v>
      </c>
      <c r="H618">
        <f t="shared" si="56"/>
        <v>34</v>
      </c>
      <c r="I618">
        <f t="shared" si="57"/>
        <v>3400</v>
      </c>
      <c r="J618">
        <v>3400</v>
      </c>
      <c r="K618">
        <f t="shared" si="58"/>
        <v>13.5</v>
      </c>
      <c r="L618">
        <f t="shared" si="59"/>
        <v>5.4</v>
      </c>
      <c r="M618">
        <f t="shared" si="60"/>
        <v>108</v>
      </c>
    </row>
    <row r="619" spans="4:13">
      <c r="D619" s="20">
        <v>113066</v>
      </c>
      <c r="E619">
        <f t="shared" si="55"/>
        <v>3</v>
      </c>
      <c r="G619" s="20">
        <v>5</v>
      </c>
      <c r="H619">
        <f t="shared" si="56"/>
        <v>35</v>
      </c>
      <c r="I619">
        <f t="shared" si="57"/>
        <v>3500</v>
      </c>
      <c r="J619">
        <v>3500</v>
      </c>
      <c r="K619">
        <f t="shared" si="58"/>
        <v>15</v>
      </c>
      <c r="L619">
        <f t="shared" si="59"/>
        <v>6</v>
      </c>
      <c r="M619">
        <f t="shared" si="60"/>
        <v>120</v>
      </c>
    </row>
    <row r="620" spans="4:13">
      <c r="D620" s="20">
        <v>113066</v>
      </c>
      <c r="E620">
        <f t="shared" si="55"/>
        <v>3</v>
      </c>
      <c r="G620" s="20">
        <v>6</v>
      </c>
      <c r="H620">
        <f t="shared" si="56"/>
        <v>36</v>
      </c>
      <c r="I620">
        <f t="shared" si="57"/>
        <v>3600</v>
      </c>
      <c r="J620">
        <v>3600</v>
      </c>
      <c r="K620">
        <f t="shared" si="58"/>
        <v>17</v>
      </c>
      <c r="L620">
        <f t="shared" si="59"/>
        <v>6.8</v>
      </c>
      <c r="M620">
        <f t="shared" si="60"/>
        <v>136</v>
      </c>
    </row>
    <row r="621" spans="4:13">
      <c r="D621" s="20">
        <v>113066</v>
      </c>
      <c r="E621">
        <f t="shared" si="55"/>
        <v>3</v>
      </c>
      <c r="G621" s="20">
        <v>7</v>
      </c>
      <c r="H621">
        <f t="shared" si="56"/>
        <v>37</v>
      </c>
      <c r="I621">
        <f t="shared" si="57"/>
        <v>3700</v>
      </c>
      <c r="J621">
        <v>3700</v>
      </c>
      <c r="K621">
        <f t="shared" si="58"/>
        <v>19</v>
      </c>
      <c r="L621">
        <f t="shared" si="59"/>
        <v>7.6</v>
      </c>
      <c r="M621">
        <f t="shared" si="60"/>
        <v>152</v>
      </c>
    </row>
    <row r="622" spans="4:13">
      <c r="D622" s="20">
        <v>113066</v>
      </c>
      <c r="E622">
        <f t="shared" si="55"/>
        <v>3</v>
      </c>
      <c r="G622" s="20">
        <v>8</v>
      </c>
      <c r="H622">
        <f t="shared" si="56"/>
        <v>38</v>
      </c>
      <c r="I622">
        <f t="shared" si="57"/>
        <v>3800</v>
      </c>
      <c r="J622">
        <v>3800</v>
      </c>
      <c r="K622">
        <f t="shared" si="58"/>
        <v>21</v>
      </c>
      <c r="L622">
        <f t="shared" si="59"/>
        <v>8.4</v>
      </c>
      <c r="M622">
        <f t="shared" si="60"/>
        <v>168</v>
      </c>
    </row>
    <row r="623" spans="4:13">
      <c r="D623" s="48">
        <v>113067</v>
      </c>
      <c r="E623">
        <f t="shared" si="55"/>
        <v>3</v>
      </c>
      <c r="G623" s="48">
        <v>3</v>
      </c>
      <c r="H623">
        <f t="shared" si="56"/>
        <v>33</v>
      </c>
      <c r="I623">
        <f t="shared" si="57"/>
        <v>3300</v>
      </c>
      <c r="J623">
        <v>3300</v>
      </c>
      <c r="K623">
        <f t="shared" si="58"/>
        <v>12</v>
      </c>
      <c r="L623">
        <f t="shared" si="59"/>
        <v>4.8</v>
      </c>
      <c r="M623">
        <f t="shared" si="60"/>
        <v>96</v>
      </c>
    </row>
    <row r="624" spans="4:13">
      <c r="D624" s="48">
        <v>113067</v>
      </c>
      <c r="E624">
        <f t="shared" si="55"/>
        <v>3</v>
      </c>
      <c r="G624" s="48">
        <v>4</v>
      </c>
      <c r="H624">
        <f t="shared" si="56"/>
        <v>34</v>
      </c>
      <c r="I624">
        <f t="shared" si="57"/>
        <v>3400</v>
      </c>
      <c r="J624">
        <v>3400</v>
      </c>
      <c r="K624">
        <f t="shared" si="58"/>
        <v>13.5</v>
      </c>
      <c r="L624">
        <f t="shared" si="59"/>
        <v>5.4</v>
      </c>
      <c r="M624">
        <f t="shared" si="60"/>
        <v>108</v>
      </c>
    </row>
    <row r="625" spans="4:13">
      <c r="D625" s="48">
        <v>113067</v>
      </c>
      <c r="E625">
        <f t="shared" si="55"/>
        <v>3</v>
      </c>
      <c r="G625" s="48">
        <v>5</v>
      </c>
      <c r="H625">
        <f t="shared" si="56"/>
        <v>35</v>
      </c>
      <c r="I625">
        <f t="shared" si="57"/>
        <v>3500</v>
      </c>
      <c r="J625">
        <v>3500</v>
      </c>
      <c r="K625">
        <f t="shared" si="58"/>
        <v>15</v>
      </c>
      <c r="L625">
        <f t="shared" si="59"/>
        <v>6</v>
      </c>
      <c r="M625">
        <f t="shared" si="60"/>
        <v>120</v>
      </c>
    </row>
    <row r="626" spans="4:13">
      <c r="D626" s="48">
        <v>113067</v>
      </c>
      <c r="E626">
        <f t="shared" si="55"/>
        <v>3</v>
      </c>
      <c r="G626" s="48">
        <v>6</v>
      </c>
      <c r="H626">
        <f t="shared" si="56"/>
        <v>36</v>
      </c>
      <c r="I626">
        <f t="shared" si="57"/>
        <v>3600</v>
      </c>
      <c r="J626">
        <v>3600</v>
      </c>
      <c r="K626">
        <f t="shared" si="58"/>
        <v>17</v>
      </c>
      <c r="L626">
        <f t="shared" si="59"/>
        <v>6.8</v>
      </c>
      <c r="M626">
        <f t="shared" si="60"/>
        <v>136</v>
      </c>
    </row>
    <row r="627" spans="4:13">
      <c r="D627" s="48">
        <v>113067</v>
      </c>
      <c r="E627">
        <f t="shared" si="55"/>
        <v>3</v>
      </c>
      <c r="G627" s="48">
        <v>7</v>
      </c>
      <c r="H627">
        <f t="shared" si="56"/>
        <v>37</v>
      </c>
      <c r="I627">
        <f t="shared" si="57"/>
        <v>3700</v>
      </c>
      <c r="J627">
        <v>3700</v>
      </c>
      <c r="K627">
        <f t="shared" si="58"/>
        <v>19</v>
      </c>
      <c r="L627">
        <f t="shared" si="59"/>
        <v>7.6</v>
      </c>
      <c r="M627">
        <f t="shared" si="60"/>
        <v>152</v>
      </c>
    </row>
    <row r="628" spans="4:13">
      <c r="D628" s="48">
        <v>113067</v>
      </c>
      <c r="E628">
        <f t="shared" si="55"/>
        <v>3</v>
      </c>
      <c r="G628" s="48">
        <v>8</v>
      </c>
      <c r="H628">
        <f t="shared" si="56"/>
        <v>38</v>
      </c>
      <c r="I628">
        <f t="shared" si="57"/>
        <v>3800</v>
      </c>
      <c r="J628">
        <v>3800</v>
      </c>
      <c r="K628">
        <f t="shared" si="58"/>
        <v>21</v>
      </c>
      <c r="L628">
        <f t="shared" si="59"/>
        <v>8.4</v>
      </c>
      <c r="M628">
        <f t="shared" si="60"/>
        <v>168</v>
      </c>
    </row>
  </sheetData>
  <autoFilter ref="D6:R628">
    <extLst/>
  </autoFilter>
  <conditionalFormatting sqref="Q42">
    <cfRule type="duplicateValues" dxfId="0" priority="17"/>
  </conditionalFormatting>
  <conditionalFormatting sqref="Q43">
    <cfRule type="duplicateValues" dxfId="0" priority="16"/>
  </conditionalFormatting>
  <conditionalFormatting sqref="Q55">
    <cfRule type="duplicateValues" dxfId="0" priority="14"/>
  </conditionalFormatting>
  <conditionalFormatting sqref="Q57">
    <cfRule type="duplicateValues" dxfId="0" priority="15"/>
  </conditionalFormatting>
  <conditionalFormatting sqref="Q66">
    <cfRule type="duplicateValues" dxfId="0" priority="12"/>
  </conditionalFormatting>
  <conditionalFormatting sqref="Q68">
    <cfRule type="duplicateValues" dxfId="0" priority="10"/>
  </conditionalFormatting>
  <conditionalFormatting sqref="Q71">
    <cfRule type="duplicateValues" dxfId="0" priority="6"/>
  </conditionalFormatting>
  <conditionalFormatting sqref="Q79">
    <cfRule type="duplicateValues" dxfId="0" priority="3"/>
    <cfRule type="duplicateValues" dxfId="0" priority="4"/>
  </conditionalFormatting>
  <conditionalFormatting sqref="Q48:Q50">
    <cfRule type="duplicateValues" dxfId="0" priority="9"/>
  </conditionalFormatting>
  <conditionalFormatting sqref="Q69:Q70">
    <cfRule type="duplicateValues" dxfId="0" priority="11"/>
  </conditionalFormatting>
  <conditionalFormatting sqref="Q72:Q73">
    <cfRule type="duplicateValues" dxfId="0" priority="8"/>
  </conditionalFormatting>
  <conditionalFormatting sqref="Q81:Q90">
    <cfRule type="duplicateValues" dxfId="0" priority="1"/>
    <cfRule type="duplicateValues" dxfId="0" priority="2"/>
  </conditionalFormatting>
  <conditionalFormatting sqref="Q1:Q16 Q118:Q1048065 Q51 Q23">
    <cfRule type="duplicateValues" dxfId="0" priority="20"/>
  </conditionalFormatting>
  <conditionalFormatting sqref="Q1:Q78 Q118:Q1048065 Q80">
    <cfRule type="duplicateValues" dxfId="0" priority="5"/>
  </conditionalFormatting>
  <conditionalFormatting sqref="Q24:Q30 Q45 Q32:Q41">
    <cfRule type="duplicateValues" dxfId="0" priority="19"/>
  </conditionalFormatting>
  <conditionalFormatting sqref="Q52:Q54 Q67 Q65 Q58:Q61 Q56 Q63">
    <cfRule type="duplicateValues" dxfId="0" priority="18"/>
  </conditionalFormatting>
  <conditionalFormatting sqref="Q62 Q64">
    <cfRule type="duplicateValues" dxfId="0" priority="13"/>
  </conditionalFormatting>
  <conditionalFormatting sqref="Q74:Q78 Q80">
    <cfRule type="duplicateValues" dxfId="0" priority="7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wangminxi</cp:lastModifiedBy>
  <dcterms:created xsi:type="dcterms:W3CDTF">2006-09-16T00:00:00Z</dcterms:created>
  <dcterms:modified xsi:type="dcterms:W3CDTF">2026-02-06T02:55:18Z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KSOReadingLayout">
    <vt:bool>true</vt:bool>
  </property>
  <property fmtid="{D5CDD505-2E9C-101B-9397-08002B2CF9AE}" pid="4" name="ICV">
    <vt:lpwstr>6031FDBFA2AD490D82FF98C4219F8F82</vt:lpwstr>
  </property>
</Properties>
</file>