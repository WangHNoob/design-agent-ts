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制作表" sheetId="2" r:id="rId2"/>
  </sheets>
  <calcPr calcId="144525"/>
</workbook>
</file>

<file path=xl/comments1.xml><?xml version="1.0" encoding="utf-8"?>
<comments xmlns="http://schemas.openxmlformats.org/spreadsheetml/2006/main">
  <authors>
    <author>杨德川</author>
    <author>admin</author>
  </authors>
  <commentList>
    <comment ref="B2" authorId="0">
      <text>
        <r>
          <rPr>
            <b/>
            <sz val="9"/>
            <rFont val="宋体"/>
            <charset val="134"/>
          </rPr>
          <t>杨德川:</t>
        </r>
        <r>
          <rPr>
            <sz val="9"/>
            <rFont val="宋体"/>
            <charset val="134"/>
          </rPr>
          <t xml:space="preserve">
4荣耀
5巅峰
</t>
        </r>
      </text>
    </comment>
    <comment ref="D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两个值一组，逗号间隔，分别为胜利一场额外加分和权重。
如40,1:40是分，1是权重。
</t>
        </r>
      </text>
    </comment>
    <comment ref="E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两个值一组，逗号间隔，分别为分值和权重。
如40,1:40是分，1是权重。</t>
        </r>
      </text>
    </comment>
    <comment ref="F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数组，可填多组。
依次为连胜数、下限修正、上限修正。
下限修正为减法，上限修正为加法，和时间扩展算法保持一致。
下限修正支持负数，即将下限向上提升。</t>
        </r>
      </text>
    </comment>
  </commentList>
</comments>
</file>

<file path=xl/sharedStrings.xml><?xml version="1.0" encoding="utf-8"?>
<sst xmlns="http://schemas.openxmlformats.org/spreadsheetml/2006/main" count="649" uniqueCount="111">
  <si>
    <t>id</t>
  </si>
  <si>
    <t>天梯赛区</t>
  </si>
  <si>
    <t>积分范围</t>
  </si>
  <si>
    <t>胜利额外增加积分</t>
  </si>
  <si>
    <t>失败额外减少积分</t>
  </si>
  <si>
    <t>连胜匹配范围</t>
  </si>
  <si>
    <t>连胜积分增加</t>
  </si>
  <si>
    <t>周结算扣除积分</t>
  </si>
  <si>
    <t>匹配CD</t>
  </si>
  <si>
    <t>初始战力配置</t>
  </si>
  <si>
    <t>战力匹配拓展区间</t>
  </si>
  <si>
    <t>积分修改参数k</t>
  </si>
  <si>
    <t>每周至少对战次数</t>
  </si>
  <si>
    <t>大师赛扣除积分</t>
  </si>
  <si>
    <t>关进小黑屋后胜利额外扣除x分</t>
  </si>
  <si>
    <t>关进小黑屋后失败额外扣除x分</t>
  </si>
  <si>
    <t>areaType</t>
  </si>
  <si>
    <t>integralRange</t>
  </si>
  <si>
    <t>winExtra</t>
  </si>
  <si>
    <t>failExtra</t>
  </si>
  <si>
    <t>continuousWinMatch</t>
  </si>
  <si>
    <t>continuousWinIntegral</t>
  </si>
  <si>
    <t>weekDeductIntegral</t>
  </si>
  <si>
    <t>sameDayMaxMatchCount</t>
  </si>
  <si>
    <t>initFightPower</t>
  </si>
  <si>
    <t>fightPowerExpand</t>
  </si>
  <si>
    <t>integralK</t>
  </si>
  <si>
    <t>limitWeekFightCount</t>
  </si>
  <si>
    <t>masterDeductScore</t>
  </si>
  <si>
    <t>extraDeductSucc</t>
  </si>
  <si>
    <t>extraDeductFail</t>
  </si>
  <si>
    <t>int</t>
  </si>
  <si>
    <t>string</t>
  </si>
  <si>
    <t>primary</t>
  </si>
  <si>
    <t>none</t>
  </si>
  <si>
    <t>d</t>
  </si>
  <si>
    <t>800-899</t>
  </si>
  <si>
    <t>7,1</t>
  </si>
  <si>
    <t>0,1</t>
  </si>
  <si>
    <t>10,0,0</t>
  </si>
  <si>
    <t>2,3;3,5;4,8;5,10;6,15</t>
  </si>
  <si>
    <t>900-999</t>
  </si>
  <si>
    <t>6,1</t>
  </si>
  <si>
    <t>1000-1099</t>
  </si>
  <si>
    <t>5,1</t>
  </si>
  <si>
    <t>1100-1199</t>
  </si>
  <si>
    <t>4,1</t>
  </si>
  <si>
    <t>1200-1299</t>
  </si>
  <si>
    <t>3,1</t>
  </si>
  <si>
    <t>1300-1399</t>
  </si>
  <si>
    <t>2,1</t>
  </si>
  <si>
    <t>1400-1499</t>
  </si>
  <si>
    <t>1,1</t>
  </si>
  <si>
    <t>1500-2500</t>
  </si>
  <si>
    <t>5000000,5000000,5000000,5000000,5000000,0,0,0,0</t>
  </si>
  <si>
    <t>8,1</t>
  </si>
  <si>
    <t>9,1</t>
  </si>
  <si>
    <t>10,1</t>
  </si>
  <si>
    <t>10000000,15000000,0,0,0,0,0,0,0</t>
  </si>
  <si>
    <t>11,1</t>
  </si>
  <si>
    <t>1500-1599</t>
  </si>
  <si>
    <t>12,1</t>
  </si>
  <si>
    <t>15000000,10000000,0,0,0,0,0,0,0</t>
  </si>
  <si>
    <t>1600-1899</t>
  </si>
  <si>
    <t>1900-2299</t>
  </si>
  <si>
    <t>2,3;3,5</t>
  </si>
  <si>
    <t>25000000,0,0,0,0,0,0,0,0</t>
  </si>
  <si>
    <t>2300-3000</t>
  </si>
  <si>
    <t>2300-2500</t>
  </si>
  <si>
    <t>0-999</t>
  </si>
  <si>
    <t>1600-1699</t>
  </si>
  <si>
    <t>1700-1799</t>
  </si>
  <si>
    <t>1800-1899</t>
  </si>
  <si>
    <t>1900-1999</t>
  </si>
  <si>
    <t>2000-2099</t>
  </si>
  <si>
    <t>2100-2299</t>
  </si>
  <si>
    <t>0-899</t>
  </si>
  <si>
    <t>1500-1799</t>
  </si>
  <si>
    <t>1800-1999</t>
  </si>
  <si>
    <t>-1,1</t>
  </si>
  <si>
    <t>2000-2299</t>
  </si>
  <si>
    <t>-2,1</t>
  </si>
  <si>
    <t>2300-2499</t>
  </si>
  <si>
    <t>-3,1</t>
  </si>
  <si>
    <t>2500-2699</t>
  </si>
  <si>
    <t>-5,1</t>
  </si>
  <si>
    <t>2700-3000</t>
  </si>
  <si>
    <t>-8,1</t>
  </si>
  <si>
    <t>0-2500</t>
  </si>
  <si>
    <t>0,0</t>
  </si>
  <si>
    <t>扩展时间</t>
  </si>
  <si>
    <t>＜4</t>
  </si>
  <si>
    <t>类型</t>
  </si>
  <si>
    <t>积分段</t>
  </si>
  <si>
    <t>初始区间</t>
  </si>
  <si>
    <t>战力扩展</t>
  </si>
  <si>
    <t>扩展1</t>
  </si>
  <si>
    <t>扩展2</t>
  </si>
  <si>
    <t>扩展3</t>
  </si>
  <si>
    <t>扩展4</t>
  </si>
  <si>
    <t>扩展5</t>
  </si>
  <si>
    <t>扩展6</t>
  </si>
  <si>
    <t>扩展7</t>
  </si>
  <si>
    <t>扩展8</t>
  </si>
  <si>
    <t>扩展9</t>
  </si>
  <si>
    <t>和</t>
  </si>
  <si>
    <t>分差</t>
  </si>
  <si>
    <t>累计战力</t>
  </si>
  <si>
    <t>测试数据</t>
  </si>
  <si>
    <t>扩展10</t>
  </si>
  <si>
    <t>统一到2000W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</si>
</sst>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2" fillId="14" borderId="0">
      <alignment vertical="center"/>
    </xf>
    <xf numFmtId="0" fontId="9" fillId="17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15" borderId="0">
      <alignment vertical="center"/>
    </xf>
    <xf numFmtId="0" fontId="5" fillId="9" borderId="0">
      <alignment vertical="center"/>
    </xf>
    <xf numFmtId="43" fontId="0" fillId="0" borderId="0">
      <alignment vertical="center"/>
    </xf>
    <xf numFmtId="0" fontId="4" fillId="21" borderId="0">
      <alignment vertical="center"/>
    </xf>
    <xf numFmtId="0" fontId="12" fillId="0" borderId="0">
      <alignment vertical="center"/>
    </xf>
    <xf numFmtId="9" fontId="0" fillId="0" borderId="0">
      <alignment vertical="center"/>
    </xf>
    <xf numFmtId="0" fontId="14" fillId="0" borderId="0">
      <alignment vertical="center"/>
    </xf>
    <xf numFmtId="0" fontId="0" fillId="22" borderId="5">
      <alignment vertical="center"/>
    </xf>
    <xf numFmtId="0" fontId="4" fillId="8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1" fillId="0" borderId="3">
      <alignment vertical="center"/>
    </xf>
    <xf numFmtId="0" fontId="8" fillId="0" borderId="3">
      <alignment vertical="center"/>
    </xf>
    <xf numFmtId="0" fontId="4" fillId="27" borderId="0">
      <alignment vertical="center"/>
    </xf>
    <xf numFmtId="0" fontId="16" fillId="0" borderId="7">
      <alignment vertical="center"/>
    </xf>
    <xf numFmtId="0" fontId="4" fillId="29" borderId="0">
      <alignment vertical="center"/>
    </xf>
    <xf numFmtId="0" fontId="3" fillId="7" borderId="1">
      <alignment vertical="center"/>
    </xf>
    <xf numFmtId="0" fontId="17" fillId="7" borderId="4">
      <alignment vertical="center"/>
    </xf>
    <xf numFmtId="0" fontId="7" fillId="13" borderId="2">
      <alignment vertical="center"/>
    </xf>
    <xf numFmtId="0" fontId="2" fillId="30" borderId="0">
      <alignment vertical="center"/>
    </xf>
    <xf numFmtId="0" fontId="4" fillId="26" borderId="0">
      <alignment vertical="center"/>
    </xf>
    <xf numFmtId="0" fontId="15" fillId="0" borderId="6">
      <alignment vertical="center"/>
    </xf>
    <xf numFmtId="0" fontId="20" fillId="0" borderId="8">
      <alignment vertical="center"/>
    </xf>
    <xf numFmtId="0" fontId="10" fillId="20" borderId="0">
      <alignment vertical="center"/>
    </xf>
    <xf numFmtId="0" fontId="6" fillId="12" borderId="0">
      <alignment vertical="center"/>
    </xf>
    <xf numFmtId="0" fontId="2" fillId="25" borderId="0">
      <alignment vertical="center"/>
    </xf>
    <xf numFmtId="0" fontId="4" fillId="32" borderId="0">
      <alignment vertical="center"/>
    </xf>
    <xf numFmtId="0" fontId="2" fillId="24" borderId="0">
      <alignment vertical="center"/>
    </xf>
    <xf numFmtId="0" fontId="2" fillId="19" borderId="0">
      <alignment vertical="center"/>
    </xf>
    <xf numFmtId="0" fontId="2" fillId="23" borderId="0">
      <alignment vertical="center"/>
    </xf>
    <xf numFmtId="0" fontId="2" fillId="6" borderId="0">
      <alignment vertical="center"/>
    </xf>
    <xf numFmtId="0" fontId="4" fillId="18" borderId="0">
      <alignment vertical="center"/>
    </xf>
    <xf numFmtId="0" fontId="4" fillId="16" borderId="0">
      <alignment vertical="center"/>
    </xf>
    <xf numFmtId="0" fontId="2" fillId="28" borderId="0">
      <alignment vertical="center"/>
    </xf>
    <xf numFmtId="0" fontId="2" fillId="11" borderId="0">
      <alignment vertical="center"/>
    </xf>
    <xf numFmtId="0" fontId="4" fillId="10" borderId="0">
      <alignment vertical="center"/>
    </xf>
    <xf numFmtId="0" fontId="2" fillId="31" borderId="0">
      <alignment vertical="center"/>
    </xf>
    <xf numFmtId="0" fontId="4" fillId="33" borderId="0">
      <alignment vertical="center"/>
    </xf>
    <xf numFmtId="0" fontId="4" fillId="34" borderId="0">
      <alignment vertical="center"/>
    </xf>
    <xf numFmtId="0" fontId="2" fillId="36" borderId="0">
      <alignment vertical="center"/>
    </xf>
    <xf numFmtId="0" fontId="4" fillId="35" borderId="0">
      <alignment vertical="center"/>
    </xf>
    <xf numFmtId="0" fontId="21" fillId="0" borderId="0">
      <alignment vertical="center"/>
    </xf>
  </cellStyleXfs>
  <cellXfs count="10">
    <xf numFmtId="0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0" fillId="4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5" borderId="0" xfId="0" applyNumberFormat="1" applyFont="1" applyFill="1" applyBorder="1" applyAlignment="1" applyProtection="1">
      <alignment horizontal="center" vertical="center"/>
    </xf>
    <xf numFmtId="49" fontId="1" fillId="0" borderId="0" xfId="0" applyNumberFormat="1" applyFont="1" applyFill="1" applyBorder="1" applyAlignment="1" applyProtection="1">
      <alignment horizontal="center" vertical="center"/>
    </xf>
    <xf numFmtId="49" fontId="1" fillId="0" borderId="0" xfId="0" applyNumberFormat="1" applyFont="1" applyFill="1" applyBorder="1" applyAlignment="1" applyProtection="1">
      <alignment vertical="center"/>
    </xf>
    <xf numFmtId="0" fontId="1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zoomScale="85" zoomScaleNormal="85" workbookViewId="0">
      <pane ySplit="6" topLeftCell="A55" activePane="bottomLeft" state="frozen"/>
      <selection/>
      <selection pane="bottomLeft" activeCell="G90" sqref="G90"/>
    </sheetView>
  </sheetViews>
  <sheetFormatPr defaultColWidth="9" defaultRowHeight="16.5"/>
  <cols>
    <col min="1" max="2" width="17.7545454545455" style="4" customWidth="1"/>
    <col min="3" max="3" width="16.5" style="4" customWidth="1"/>
    <col min="4" max="5" width="27.1272727272727" style="4" customWidth="1"/>
    <col min="6" max="6" width="26.1272727272727" style="4" customWidth="1"/>
    <col min="7" max="7" width="24.1272727272727" style="4" customWidth="1"/>
    <col min="8" max="8" width="18.2545454545455" style="4" customWidth="1"/>
    <col min="9" max="9" width="25.2545454545455" style="4" customWidth="1"/>
    <col min="10" max="10" width="12.7909090909091" style="4" customWidth="1"/>
    <col min="11" max="11" width="29.1909090909091" style="4" customWidth="1"/>
    <col min="12" max="14" width="14" style="4" customWidth="1"/>
    <col min="15" max="15" width="22.5" style="4" customWidth="1"/>
    <col min="16" max="16" width="18.9636363636364" style="4" customWidth="1"/>
    <col min="17" max="17" width="11.2545454545455" style="4" customWidth="1"/>
    <col min="18" max="18" width="10.2545454545455" style="4" customWidth="1"/>
    <col min="19" max="19" width="11.2545454545455" style="4" customWidth="1"/>
    <col min="20" max="20" width="10.2545454545455" style="4" customWidth="1"/>
    <col min="21" max="21" width="11.8727272727273" style="4" customWidth="1"/>
    <col min="22" max="16381" width="9" style="4" customWidth="1"/>
  </cols>
  <sheetData>
    <row r="1" spans="1:8">
      <c r="A1" s="5">
        <v>7</v>
      </c>
      <c r="B1" s="5">
        <v>1</v>
      </c>
      <c r="C1" s="5">
        <v>9999</v>
      </c>
      <c r="D1" s="5">
        <v>16</v>
      </c>
      <c r="E1" s="5"/>
      <c r="F1" s="5"/>
      <c r="G1" s="5"/>
      <c r="H1" s="5"/>
    </row>
    <row r="2" spans="1:16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</row>
    <row r="3" spans="1:16">
      <c r="A3" s="4" t="s">
        <v>0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24</v>
      </c>
      <c r="K3" s="4" t="s">
        <v>25</v>
      </c>
      <c r="L3" s="4" t="s">
        <v>26</v>
      </c>
      <c r="M3" s="4" t="s">
        <v>27</v>
      </c>
      <c r="N3" s="4" t="s">
        <v>28</v>
      </c>
      <c r="O3" s="4" t="s">
        <v>29</v>
      </c>
      <c r="P3" s="4" t="s">
        <v>30</v>
      </c>
    </row>
    <row r="4" spans="1:16">
      <c r="A4" s="4" t="s">
        <v>31</v>
      </c>
      <c r="B4" s="4" t="s">
        <v>31</v>
      </c>
      <c r="C4" s="4" t="s">
        <v>32</v>
      </c>
      <c r="D4" s="4" t="s">
        <v>32</v>
      </c>
      <c r="E4" s="4" t="s">
        <v>32</v>
      </c>
      <c r="F4" s="4" t="s">
        <v>32</v>
      </c>
      <c r="G4" s="4" t="s">
        <v>32</v>
      </c>
      <c r="H4" s="4" t="s">
        <v>32</v>
      </c>
      <c r="I4" s="4" t="s">
        <v>31</v>
      </c>
      <c r="J4" s="4" t="s">
        <v>31</v>
      </c>
      <c r="K4" s="4" t="s">
        <v>32</v>
      </c>
      <c r="L4" s="4" t="s">
        <v>31</v>
      </c>
      <c r="M4" s="4" t="s">
        <v>31</v>
      </c>
      <c r="N4" s="4" t="s">
        <v>31</v>
      </c>
      <c r="O4" s="4" t="s">
        <v>31</v>
      </c>
      <c r="P4" s="4" t="s">
        <v>31</v>
      </c>
    </row>
    <row r="5" spans="1:16">
      <c r="A5" s="4" t="s">
        <v>33</v>
      </c>
      <c r="B5" s="4" t="s">
        <v>34</v>
      </c>
      <c r="C5" s="4" t="s">
        <v>34</v>
      </c>
      <c r="D5" s="4" t="s">
        <v>34</v>
      </c>
      <c r="E5" s="4" t="s">
        <v>34</v>
      </c>
      <c r="F5" s="4" t="s">
        <v>34</v>
      </c>
      <c r="G5" s="4" t="s">
        <v>34</v>
      </c>
      <c r="H5" s="4" t="s">
        <v>34</v>
      </c>
      <c r="I5" s="4" t="s">
        <v>34</v>
      </c>
      <c r="J5" s="4" t="s">
        <v>34</v>
      </c>
      <c r="K5" s="4" t="s">
        <v>34</v>
      </c>
      <c r="L5" s="4" t="s">
        <v>34</v>
      </c>
      <c r="M5" s="4" t="s">
        <v>34</v>
      </c>
      <c r="N5" s="4" t="s">
        <v>35</v>
      </c>
      <c r="O5" s="4" t="s">
        <v>34</v>
      </c>
      <c r="P5" s="4" t="s">
        <v>34</v>
      </c>
    </row>
    <row r="6" spans="1:16">
      <c r="A6" s="4" t="s">
        <v>0</v>
      </c>
      <c r="B6" s="4" t="s">
        <v>16</v>
      </c>
      <c r="C6" s="4" t="s">
        <v>17</v>
      </c>
      <c r="D6" s="4" t="s">
        <v>18</v>
      </c>
      <c r="E6" s="4" t="s">
        <v>19</v>
      </c>
      <c r="F6" s="4" t="s">
        <v>20</v>
      </c>
      <c r="G6" s="4" t="s">
        <v>21</v>
      </c>
      <c r="H6" s="4" t="s">
        <v>22</v>
      </c>
      <c r="I6" s="4" t="s">
        <v>23</v>
      </c>
      <c r="J6" s="4" t="s">
        <v>24</v>
      </c>
      <c r="K6" s="4" t="s">
        <v>25</v>
      </c>
      <c r="L6" s="4" t="s">
        <v>26</v>
      </c>
      <c r="M6" s="4" t="s">
        <v>27</v>
      </c>
      <c r="N6" s="4" t="s">
        <v>28</v>
      </c>
      <c r="O6" s="4" t="s">
        <v>29</v>
      </c>
      <c r="P6" s="4" t="s">
        <v>30</v>
      </c>
    </row>
    <row r="7" spans="1:16">
      <c r="A7" s="4">
        <v>1</v>
      </c>
      <c r="B7" s="4">
        <v>4</v>
      </c>
      <c r="C7" s="4" t="s">
        <v>36</v>
      </c>
      <c r="D7" s="4" t="s">
        <v>37</v>
      </c>
      <c r="E7" s="4" t="s">
        <v>38</v>
      </c>
      <c r="F7" s="4" t="s">
        <v>39</v>
      </c>
      <c r="G7" s="4" t="s">
        <v>40</v>
      </c>
      <c r="H7" s="4">
        <v>0</v>
      </c>
      <c r="I7" s="4">
        <v>999</v>
      </c>
      <c r="J7" s="4">
        <v>20000000</v>
      </c>
      <c r="K7" s="4">
        <v>20000000</v>
      </c>
      <c r="L7" s="4">
        <v>32</v>
      </c>
      <c r="M7" s="4">
        <v>0</v>
      </c>
      <c r="N7" s="4">
        <v>0</v>
      </c>
      <c r="O7" s="4">
        <v>8</v>
      </c>
      <c r="P7" s="4">
        <v>8</v>
      </c>
    </row>
    <row r="8" spans="1:16">
      <c r="A8" s="4">
        <v>2</v>
      </c>
      <c r="B8" s="4">
        <v>4</v>
      </c>
      <c r="C8" s="4" t="s">
        <v>41</v>
      </c>
      <c r="D8" s="4" t="s">
        <v>42</v>
      </c>
      <c r="E8" s="4" t="s">
        <v>38</v>
      </c>
      <c r="F8" s="4" t="s">
        <v>39</v>
      </c>
      <c r="G8" s="4" t="s">
        <v>40</v>
      </c>
      <c r="H8" s="4">
        <v>0</v>
      </c>
      <c r="I8" s="4">
        <v>999</v>
      </c>
      <c r="J8" s="4">
        <v>20000000</v>
      </c>
      <c r="K8" s="4">
        <v>20000000</v>
      </c>
      <c r="L8" s="4">
        <v>32</v>
      </c>
      <c r="M8" s="4">
        <v>0</v>
      </c>
      <c r="N8" s="4">
        <v>0</v>
      </c>
      <c r="O8" s="4">
        <v>8</v>
      </c>
      <c r="P8" s="4">
        <v>8</v>
      </c>
    </row>
    <row r="9" spans="1:16">
      <c r="A9" s="4">
        <v>3</v>
      </c>
      <c r="B9" s="4">
        <v>4</v>
      </c>
      <c r="C9" s="4" t="s">
        <v>43</v>
      </c>
      <c r="D9" s="4" t="s">
        <v>44</v>
      </c>
      <c r="E9" s="4" t="s">
        <v>38</v>
      </c>
      <c r="F9" s="4" t="s">
        <v>39</v>
      </c>
      <c r="G9" s="4" t="s">
        <v>40</v>
      </c>
      <c r="H9" s="4">
        <v>0</v>
      </c>
      <c r="I9" s="4">
        <v>999</v>
      </c>
      <c r="J9" s="4">
        <v>20000000</v>
      </c>
      <c r="K9" s="4">
        <v>20000000</v>
      </c>
      <c r="L9" s="4">
        <v>32</v>
      </c>
      <c r="M9" s="4">
        <v>0</v>
      </c>
      <c r="N9" s="4">
        <v>0</v>
      </c>
      <c r="O9" s="4">
        <v>8</v>
      </c>
      <c r="P9" s="4">
        <v>8</v>
      </c>
    </row>
    <row r="10" spans="1:16">
      <c r="A10" s="4">
        <v>4</v>
      </c>
      <c r="B10" s="4">
        <v>4</v>
      </c>
      <c r="C10" s="4" t="s">
        <v>45</v>
      </c>
      <c r="D10" s="4" t="s">
        <v>46</v>
      </c>
      <c r="E10" s="4" t="s">
        <v>38</v>
      </c>
      <c r="F10" s="4" t="s">
        <v>39</v>
      </c>
      <c r="G10" s="4" t="s">
        <v>40</v>
      </c>
      <c r="H10" s="4">
        <v>0</v>
      </c>
      <c r="I10" s="4">
        <v>999</v>
      </c>
      <c r="J10" s="4">
        <v>20000000</v>
      </c>
      <c r="K10" s="4">
        <v>20000000</v>
      </c>
      <c r="L10" s="4">
        <v>32</v>
      </c>
      <c r="M10" s="4">
        <v>0</v>
      </c>
      <c r="N10" s="4">
        <v>0</v>
      </c>
      <c r="O10" s="4">
        <v>8</v>
      </c>
      <c r="P10" s="4">
        <v>8</v>
      </c>
    </row>
    <row r="11" spans="1:16">
      <c r="A11" s="4">
        <v>5</v>
      </c>
      <c r="B11" s="4">
        <v>4</v>
      </c>
      <c r="C11" s="4" t="s">
        <v>47</v>
      </c>
      <c r="D11" s="4" t="s">
        <v>48</v>
      </c>
      <c r="E11" s="4" t="s">
        <v>38</v>
      </c>
      <c r="F11" s="4" t="s">
        <v>39</v>
      </c>
      <c r="G11" s="4" t="s">
        <v>40</v>
      </c>
      <c r="H11" s="4">
        <v>50</v>
      </c>
      <c r="I11" s="4">
        <v>999</v>
      </c>
      <c r="J11" s="4">
        <v>20000000</v>
      </c>
      <c r="K11" s="4">
        <v>20000000</v>
      </c>
      <c r="L11" s="4">
        <v>32</v>
      </c>
      <c r="M11" s="4">
        <v>0</v>
      </c>
      <c r="N11" s="4">
        <v>0</v>
      </c>
      <c r="O11" s="4">
        <v>8</v>
      </c>
      <c r="P11" s="4">
        <v>8</v>
      </c>
    </row>
    <row r="12" spans="1:16">
      <c r="A12" s="4">
        <v>6</v>
      </c>
      <c r="B12" s="4">
        <v>4</v>
      </c>
      <c r="C12" s="4" t="s">
        <v>49</v>
      </c>
      <c r="D12" s="4" t="s">
        <v>50</v>
      </c>
      <c r="E12" s="4" t="s">
        <v>38</v>
      </c>
      <c r="F12" s="4" t="s">
        <v>39</v>
      </c>
      <c r="G12" s="4" t="s">
        <v>40</v>
      </c>
      <c r="H12" s="4">
        <v>50</v>
      </c>
      <c r="I12" s="4">
        <v>999</v>
      </c>
      <c r="J12" s="4">
        <v>20000000</v>
      </c>
      <c r="K12" s="4">
        <v>20000000</v>
      </c>
      <c r="L12" s="4">
        <v>32</v>
      </c>
      <c r="M12" s="4">
        <v>0</v>
      </c>
      <c r="N12" s="4">
        <v>0</v>
      </c>
      <c r="O12" s="4">
        <v>8</v>
      </c>
      <c r="P12" s="4">
        <v>8</v>
      </c>
    </row>
    <row r="13" spans="1:16">
      <c r="A13" s="4">
        <v>7</v>
      </c>
      <c r="B13" s="4">
        <v>4</v>
      </c>
      <c r="C13" s="4" t="s">
        <v>51</v>
      </c>
      <c r="D13" s="4" t="s">
        <v>52</v>
      </c>
      <c r="E13" s="4" t="s">
        <v>38</v>
      </c>
      <c r="F13" s="4" t="s">
        <v>39</v>
      </c>
      <c r="G13" s="4" t="s">
        <v>40</v>
      </c>
      <c r="H13" s="4">
        <v>50</v>
      </c>
      <c r="I13" s="4">
        <v>999</v>
      </c>
      <c r="J13" s="4">
        <v>20000000</v>
      </c>
      <c r="K13" s="4">
        <v>20000000</v>
      </c>
      <c r="L13" s="4">
        <v>32</v>
      </c>
      <c r="M13" s="4">
        <v>0</v>
      </c>
      <c r="N13" s="4">
        <v>0</v>
      </c>
      <c r="O13" s="4">
        <v>8</v>
      </c>
      <c r="P13" s="4">
        <v>8</v>
      </c>
    </row>
    <row r="14" spans="1:16">
      <c r="A14" s="4">
        <v>8</v>
      </c>
      <c r="B14" s="4">
        <v>4</v>
      </c>
      <c r="C14" s="4" t="s">
        <v>53</v>
      </c>
      <c r="D14" s="4" t="s">
        <v>38</v>
      </c>
      <c r="E14" s="4" t="s">
        <v>38</v>
      </c>
      <c r="F14" s="4" t="s">
        <v>39</v>
      </c>
      <c r="G14" s="4" t="s">
        <v>40</v>
      </c>
      <c r="H14" s="4">
        <v>50</v>
      </c>
      <c r="I14" s="4">
        <v>999</v>
      </c>
      <c r="J14" s="4">
        <v>20000000</v>
      </c>
      <c r="K14" s="4">
        <v>20000000</v>
      </c>
      <c r="L14" s="4">
        <v>24</v>
      </c>
      <c r="M14" s="4">
        <v>0</v>
      </c>
      <c r="N14" s="4">
        <v>0</v>
      </c>
      <c r="O14" s="4">
        <v>6</v>
      </c>
      <c r="P14" s="4">
        <v>6</v>
      </c>
    </row>
    <row r="15" spans="1:16">
      <c r="A15" s="4">
        <v>9</v>
      </c>
      <c r="B15" s="4">
        <v>5</v>
      </c>
      <c r="C15" s="4" t="s">
        <v>41</v>
      </c>
      <c r="D15" s="4" t="s">
        <v>37</v>
      </c>
      <c r="E15" s="4" t="s">
        <v>38</v>
      </c>
      <c r="F15" s="4" t="s">
        <v>39</v>
      </c>
      <c r="G15" s="4" t="s">
        <v>40</v>
      </c>
      <c r="H15" s="4">
        <v>0</v>
      </c>
      <c r="I15" s="4">
        <v>5</v>
      </c>
      <c r="J15" s="4">
        <v>5000000</v>
      </c>
      <c r="K15" s="7" t="s">
        <v>54</v>
      </c>
      <c r="L15" s="4">
        <v>32</v>
      </c>
      <c r="M15" s="4">
        <v>0</v>
      </c>
      <c r="N15" s="4">
        <v>0</v>
      </c>
      <c r="O15" s="4">
        <v>8</v>
      </c>
      <c r="P15" s="4">
        <v>8</v>
      </c>
    </row>
    <row r="16" spans="1:16">
      <c r="A16" s="4">
        <v>10</v>
      </c>
      <c r="B16" s="4">
        <v>5</v>
      </c>
      <c r="C16" s="4" t="s">
        <v>43</v>
      </c>
      <c r="D16" s="4" t="s">
        <v>37</v>
      </c>
      <c r="E16" s="4" t="s">
        <v>38</v>
      </c>
      <c r="F16" s="4" t="s">
        <v>39</v>
      </c>
      <c r="G16" s="4" t="s">
        <v>40</v>
      </c>
      <c r="H16" s="4">
        <v>0</v>
      </c>
      <c r="I16" s="4">
        <v>5</v>
      </c>
      <c r="J16" s="4">
        <v>5000000</v>
      </c>
      <c r="K16" s="7" t="s">
        <v>54</v>
      </c>
      <c r="L16" s="4">
        <v>32</v>
      </c>
      <c r="M16" s="4">
        <v>0</v>
      </c>
      <c r="N16" s="4">
        <v>0</v>
      </c>
      <c r="O16" s="4">
        <v>8</v>
      </c>
      <c r="P16" s="4">
        <v>8</v>
      </c>
    </row>
    <row r="17" spans="1:16">
      <c r="A17" s="4">
        <v>11</v>
      </c>
      <c r="B17" s="4">
        <v>5</v>
      </c>
      <c r="C17" s="4" t="s">
        <v>45</v>
      </c>
      <c r="D17" s="4" t="s">
        <v>55</v>
      </c>
      <c r="E17" s="4" t="s">
        <v>38</v>
      </c>
      <c r="F17" s="4" t="s">
        <v>39</v>
      </c>
      <c r="G17" s="4" t="s">
        <v>40</v>
      </c>
      <c r="H17" s="4">
        <v>0</v>
      </c>
      <c r="I17" s="4">
        <v>6</v>
      </c>
      <c r="J17" s="4">
        <v>5000000</v>
      </c>
      <c r="K17" s="7" t="s">
        <v>54</v>
      </c>
      <c r="L17" s="4">
        <v>32</v>
      </c>
      <c r="M17" s="4">
        <v>0</v>
      </c>
      <c r="N17" s="4">
        <v>0</v>
      </c>
      <c r="O17" s="4">
        <v>8</v>
      </c>
      <c r="P17" s="4">
        <v>8</v>
      </c>
    </row>
    <row r="18" spans="1:16">
      <c r="A18" s="4">
        <v>12</v>
      </c>
      <c r="B18" s="4">
        <v>5</v>
      </c>
      <c r="C18" s="4" t="s">
        <v>47</v>
      </c>
      <c r="D18" s="4" t="s">
        <v>56</v>
      </c>
      <c r="E18" s="4" t="s">
        <v>38</v>
      </c>
      <c r="F18" s="4" t="s">
        <v>39</v>
      </c>
      <c r="G18" s="4" t="s">
        <v>40</v>
      </c>
      <c r="H18" s="4">
        <v>50</v>
      </c>
      <c r="I18" s="4">
        <v>7</v>
      </c>
      <c r="J18" s="4">
        <v>5000000</v>
      </c>
      <c r="K18" s="7" t="s">
        <v>54</v>
      </c>
      <c r="L18" s="4">
        <v>32</v>
      </c>
      <c r="M18" s="4">
        <v>0</v>
      </c>
      <c r="N18" s="4">
        <v>0</v>
      </c>
      <c r="O18" s="4">
        <v>8</v>
      </c>
      <c r="P18" s="4">
        <v>8</v>
      </c>
    </row>
    <row r="19" spans="1:16">
      <c r="A19" s="4">
        <v>13</v>
      </c>
      <c r="B19" s="4">
        <v>5</v>
      </c>
      <c r="C19" s="4" t="s">
        <v>49</v>
      </c>
      <c r="D19" s="4" t="s">
        <v>57</v>
      </c>
      <c r="E19" s="4" t="s">
        <v>38</v>
      </c>
      <c r="F19" s="4" t="s">
        <v>39</v>
      </c>
      <c r="G19" s="4" t="s">
        <v>40</v>
      </c>
      <c r="H19" s="4">
        <v>50</v>
      </c>
      <c r="I19" s="4">
        <v>8</v>
      </c>
      <c r="J19" s="4">
        <v>10000000</v>
      </c>
      <c r="K19" s="7" t="s">
        <v>58</v>
      </c>
      <c r="L19" s="4">
        <v>32</v>
      </c>
      <c r="M19" s="4">
        <v>0</v>
      </c>
      <c r="N19" s="4">
        <v>0</v>
      </c>
      <c r="O19" s="4">
        <v>8</v>
      </c>
      <c r="P19" s="4">
        <v>8</v>
      </c>
    </row>
    <row r="20" spans="1:16">
      <c r="A20" s="4">
        <v>14</v>
      </c>
      <c r="B20" s="4">
        <v>5</v>
      </c>
      <c r="C20" s="4" t="s">
        <v>51</v>
      </c>
      <c r="D20" s="4" t="s">
        <v>59</v>
      </c>
      <c r="E20" s="4" t="s">
        <v>38</v>
      </c>
      <c r="F20" s="4" t="s">
        <v>39</v>
      </c>
      <c r="G20" s="4" t="s">
        <v>40</v>
      </c>
      <c r="H20" s="4">
        <v>50</v>
      </c>
      <c r="I20" s="4">
        <v>9</v>
      </c>
      <c r="J20" s="4">
        <v>10000000</v>
      </c>
      <c r="K20" s="7" t="s">
        <v>58</v>
      </c>
      <c r="L20" s="4">
        <v>32</v>
      </c>
      <c r="M20" s="4">
        <v>0</v>
      </c>
      <c r="N20" s="4">
        <v>0</v>
      </c>
      <c r="O20" s="4">
        <v>8</v>
      </c>
      <c r="P20" s="4">
        <v>8</v>
      </c>
    </row>
    <row r="21" spans="1:16">
      <c r="A21" s="4">
        <v>15</v>
      </c>
      <c r="B21" s="4">
        <v>5</v>
      </c>
      <c r="C21" s="4" t="s">
        <v>60</v>
      </c>
      <c r="D21" s="4" t="s">
        <v>61</v>
      </c>
      <c r="E21" s="4" t="s">
        <v>38</v>
      </c>
      <c r="F21" s="4" t="s">
        <v>39</v>
      </c>
      <c r="G21" s="4" t="s">
        <v>40</v>
      </c>
      <c r="H21" s="4">
        <v>50</v>
      </c>
      <c r="I21" s="4">
        <v>10</v>
      </c>
      <c r="J21" s="4">
        <v>15000000</v>
      </c>
      <c r="K21" s="7" t="s">
        <v>62</v>
      </c>
      <c r="L21" s="4">
        <v>32</v>
      </c>
      <c r="M21" s="4">
        <v>0</v>
      </c>
      <c r="N21" s="4">
        <v>0</v>
      </c>
      <c r="O21" s="4">
        <v>8</v>
      </c>
      <c r="P21" s="4">
        <v>8</v>
      </c>
    </row>
    <row r="22" spans="1:16">
      <c r="A22" s="4">
        <v>16</v>
      </c>
      <c r="B22" s="4">
        <v>5</v>
      </c>
      <c r="C22" s="4" t="s">
        <v>63</v>
      </c>
      <c r="D22" s="4" t="s">
        <v>38</v>
      </c>
      <c r="E22" s="4" t="s">
        <v>38</v>
      </c>
      <c r="F22" s="4" t="s">
        <v>39</v>
      </c>
      <c r="G22" s="4" t="s">
        <v>40</v>
      </c>
      <c r="H22" s="4">
        <v>50</v>
      </c>
      <c r="I22" s="4">
        <v>11</v>
      </c>
      <c r="J22" s="4">
        <v>15000000</v>
      </c>
      <c r="K22" s="7" t="s">
        <v>62</v>
      </c>
      <c r="L22" s="4">
        <v>32</v>
      </c>
      <c r="M22" s="4">
        <v>0</v>
      </c>
      <c r="N22" s="4">
        <v>0</v>
      </c>
      <c r="O22" s="4">
        <v>8</v>
      </c>
      <c r="P22" s="4">
        <v>8</v>
      </c>
    </row>
    <row r="23" spans="1:16">
      <c r="A23" s="4">
        <v>17</v>
      </c>
      <c r="B23" s="4">
        <v>5</v>
      </c>
      <c r="C23" s="4" t="s">
        <v>64</v>
      </c>
      <c r="D23" s="4" t="s">
        <v>38</v>
      </c>
      <c r="E23" s="4" t="s">
        <v>38</v>
      </c>
      <c r="F23" s="4" t="s">
        <v>39</v>
      </c>
      <c r="G23" s="4" t="s">
        <v>65</v>
      </c>
      <c r="H23" s="4">
        <v>50</v>
      </c>
      <c r="I23" s="4">
        <v>11</v>
      </c>
      <c r="J23" s="4">
        <v>25000000</v>
      </c>
      <c r="K23" s="7" t="s">
        <v>66</v>
      </c>
      <c r="L23" s="4">
        <v>24</v>
      </c>
      <c r="M23" s="4">
        <v>0</v>
      </c>
      <c r="N23" s="4">
        <v>0</v>
      </c>
      <c r="O23" s="4">
        <v>6</v>
      </c>
      <c r="P23" s="4">
        <v>6</v>
      </c>
    </row>
    <row r="24" spans="1:16">
      <c r="A24" s="4">
        <v>18</v>
      </c>
      <c r="B24" s="4">
        <v>5</v>
      </c>
      <c r="C24" s="4" t="s">
        <v>67</v>
      </c>
      <c r="D24" s="4" t="s">
        <v>38</v>
      </c>
      <c r="E24" s="4" t="s">
        <v>38</v>
      </c>
      <c r="F24" s="4" t="s">
        <v>39</v>
      </c>
      <c r="G24" s="4" t="s">
        <v>65</v>
      </c>
      <c r="H24" s="4">
        <v>50</v>
      </c>
      <c r="I24" s="4">
        <v>11</v>
      </c>
      <c r="J24" s="4">
        <v>25000000</v>
      </c>
      <c r="K24" s="7" t="s">
        <v>66</v>
      </c>
      <c r="L24" s="4">
        <v>16</v>
      </c>
      <c r="M24" s="4">
        <v>0</v>
      </c>
      <c r="N24" s="4">
        <v>0</v>
      </c>
      <c r="O24" s="4">
        <v>4</v>
      </c>
      <c r="P24" s="4">
        <v>4</v>
      </c>
    </row>
    <row r="25" spans="1:16">
      <c r="A25" s="4">
        <v>19</v>
      </c>
      <c r="B25" s="4">
        <v>6</v>
      </c>
      <c r="C25" s="4" t="s">
        <v>43</v>
      </c>
      <c r="D25" s="4" t="s">
        <v>37</v>
      </c>
      <c r="E25" s="4" t="s">
        <v>38</v>
      </c>
      <c r="F25" s="4" t="s">
        <v>39</v>
      </c>
      <c r="G25" s="4" t="s">
        <v>40</v>
      </c>
      <c r="H25" s="4">
        <v>0</v>
      </c>
      <c r="I25" s="4">
        <v>5</v>
      </c>
      <c r="J25" s="4">
        <v>5000000</v>
      </c>
      <c r="K25" s="7" t="s">
        <v>54</v>
      </c>
      <c r="L25" s="4">
        <v>32</v>
      </c>
      <c r="M25" s="4">
        <v>10</v>
      </c>
      <c r="N25" s="4">
        <v>100</v>
      </c>
      <c r="O25" s="4">
        <v>8</v>
      </c>
      <c r="P25" s="4">
        <v>8</v>
      </c>
    </row>
    <row r="26" spans="1:16">
      <c r="A26" s="4">
        <v>20</v>
      </c>
      <c r="B26" s="4">
        <v>6</v>
      </c>
      <c r="C26" s="4" t="s">
        <v>45</v>
      </c>
      <c r="D26" s="4" t="s">
        <v>55</v>
      </c>
      <c r="E26" s="4" t="s">
        <v>38</v>
      </c>
      <c r="F26" s="4" t="s">
        <v>39</v>
      </c>
      <c r="G26" s="4" t="s">
        <v>40</v>
      </c>
      <c r="H26" s="4">
        <v>0</v>
      </c>
      <c r="I26" s="4">
        <v>6</v>
      </c>
      <c r="J26" s="4">
        <v>5000000</v>
      </c>
      <c r="K26" s="7" t="s">
        <v>54</v>
      </c>
      <c r="L26" s="4">
        <v>32</v>
      </c>
      <c r="M26" s="4">
        <v>10</v>
      </c>
      <c r="N26" s="4">
        <v>100</v>
      </c>
      <c r="O26" s="4">
        <v>8</v>
      </c>
      <c r="P26" s="4">
        <v>8</v>
      </c>
    </row>
    <row r="27" spans="1:16">
      <c r="A27" s="4">
        <v>21</v>
      </c>
      <c r="B27" s="4">
        <v>6</v>
      </c>
      <c r="C27" s="4" t="s">
        <v>47</v>
      </c>
      <c r="D27" s="4" t="s">
        <v>56</v>
      </c>
      <c r="E27" s="4" t="s">
        <v>38</v>
      </c>
      <c r="F27" s="4" t="s">
        <v>39</v>
      </c>
      <c r="G27" s="4" t="s">
        <v>40</v>
      </c>
      <c r="H27" s="4">
        <v>50</v>
      </c>
      <c r="I27" s="4">
        <v>7</v>
      </c>
      <c r="J27" s="4">
        <v>5000000</v>
      </c>
      <c r="K27" s="7" t="s">
        <v>54</v>
      </c>
      <c r="L27" s="4">
        <v>32</v>
      </c>
      <c r="M27" s="4">
        <v>10</v>
      </c>
      <c r="N27" s="4">
        <v>100</v>
      </c>
      <c r="O27" s="4">
        <v>8</v>
      </c>
      <c r="P27" s="4">
        <v>8</v>
      </c>
    </row>
    <row r="28" spans="1:16">
      <c r="A28" s="4">
        <v>22</v>
      </c>
      <c r="B28" s="4">
        <v>6</v>
      </c>
      <c r="C28" s="4" t="s">
        <v>49</v>
      </c>
      <c r="D28" s="4" t="s">
        <v>57</v>
      </c>
      <c r="E28" s="4" t="s">
        <v>38</v>
      </c>
      <c r="F28" s="4" t="s">
        <v>39</v>
      </c>
      <c r="G28" s="4" t="s">
        <v>40</v>
      </c>
      <c r="H28" s="4">
        <v>50</v>
      </c>
      <c r="I28" s="4">
        <v>8</v>
      </c>
      <c r="J28" s="4">
        <v>10000000</v>
      </c>
      <c r="K28" s="7" t="s">
        <v>58</v>
      </c>
      <c r="L28" s="4">
        <v>32</v>
      </c>
      <c r="M28" s="4">
        <v>10</v>
      </c>
      <c r="N28" s="4">
        <v>100</v>
      </c>
      <c r="O28" s="4">
        <v>8</v>
      </c>
      <c r="P28" s="4">
        <v>8</v>
      </c>
    </row>
    <row r="29" spans="1:16">
      <c r="A29" s="4">
        <v>23</v>
      </c>
      <c r="B29" s="4">
        <v>6</v>
      </c>
      <c r="C29" s="4" t="s">
        <v>51</v>
      </c>
      <c r="D29" s="4" t="s">
        <v>59</v>
      </c>
      <c r="E29" s="4" t="s">
        <v>38</v>
      </c>
      <c r="F29" s="4" t="s">
        <v>39</v>
      </c>
      <c r="G29" s="4" t="s">
        <v>40</v>
      </c>
      <c r="H29" s="4">
        <v>50</v>
      </c>
      <c r="I29" s="4">
        <v>9</v>
      </c>
      <c r="J29" s="4">
        <v>10000000</v>
      </c>
      <c r="K29" s="7" t="s">
        <v>58</v>
      </c>
      <c r="L29" s="4">
        <v>32</v>
      </c>
      <c r="M29" s="4">
        <v>10</v>
      </c>
      <c r="N29" s="4">
        <v>100</v>
      </c>
      <c r="O29" s="4">
        <v>8</v>
      </c>
      <c r="P29" s="4">
        <v>8</v>
      </c>
    </row>
    <row r="30" spans="1:16">
      <c r="A30" s="4">
        <v>24</v>
      </c>
      <c r="B30" s="4">
        <v>6</v>
      </c>
      <c r="C30" s="4" t="s">
        <v>60</v>
      </c>
      <c r="D30" s="4" t="s">
        <v>61</v>
      </c>
      <c r="E30" s="4" t="s">
        <v>38</v>
      </c>
      <c r="F30" s="4" t="s">
        <v>39</v>
      </c>
      <c r="G30" s="4" t="s">
        <v>40</v>
      </c>
      <c r="H30" s="4">
        <v>50</v>
      </c>
      <c r="I30" s="4">
        <v>10</v>
      </c>
      <c r="J30" s="4">
        <v>15000000</v>
      </c>
      <c r="K30" s="7" t="s">
        <v>62</v>
      </c>
      <c r="L30" s="4">
        <v>32</v>
      </c>
      <c r="M30" s="4">
        <v>10</v>
      </c>
      <c r="N30" s="4">
        <v>100</v>
      </c>
      <c r="O30" s="4">
        <v>8</v>
      </c>
      <c r="P30" s="4">
        <v>8</v>
      </c>
    </row>
    <row r="31" spans="1:16">
      <c r="A31" s="4">
        <v>25</v>
      </c>
      <c r="B31" s="4">
        <v>6</v>
      </c>
      <c r="C31" s="4" t="s">
        <v>63</v>
      </c>
      <c r="D31" s="4" t="s">
        <v>38</v>
      </c>
      <c r="E31" s="4" t="s">
        <v>38</v>
      </c>
      <c r="F31" s="4" t="s">
        <v>39</v>
      </c>
      <c r="G31" s="4" t="s">
        <v>40</v>
      </c>
      <c r="H31" s="4">
        <v>50</v>
      </c>
      <c r="I31" s="4">
        <v>11</v>
      </c>
      <c r="J31" s="4">
        <v>15000000</v>
      </c>
      <c r="K31" s="7" t="s">
        <v>62</v>
      </c>
      <c r="L31" s="4">
        <v>32</v>
      </c>
      <c r="M31" s="4">
        <v>10</v>
      </c>
      <c r="N31" s="4">
        <v>100</v>
      </c>
      <c r="O31" s="4">
        <v>8</v>
      </c>
      <c r="P31" s="4">
        <v>8</v>
      </c>
    </row>
    <row r="32" spans="1:16">
      <c r="A32" s="4">
        <v>26</v>
      </c>
      <c r="B32" s="4">
        <v>6</v>
      </c>
      <c r="C32" s="4" t="s">
        <v>64</v>
      </c>
      <c r="D32" s="4" t="s">
        <v>38</v>
      </c>
      <c r="E32" s="4" t="s">
        <v>38</v>
      </c>
      <c r="F32" s="4" t="s">
        <v>39</v>
      </c>
      <c r="G32" s="4" t="s">
        <v>65</v>
      </c>
      <c r="H32" s="4">
        <v>50</v>
      </c>
      <c r="I32" s="4">
        <v>11</v>
      </c>
      <c r="J32" s="4">
        <v>25000000</v>
      </c>
      <c r="K32" s="7" t="s">
        <v>66</v>
      </c>
      <c r="L32" s="4">
        <v>24</v>
      </c>
      <c r="M32" s="4">
        <v>10</v>
      </c>
      <c r="N32" s="4">
        <v>100</v>
      </c>
      <c r="O32" s="4">
        <v>6</v>
      </c>
      <c r="P32" s="4">
        <v>6</v>
      </c>
    </row>
    <row r="33" spans="1:16">
      <c r="A33" s="4">
        <v>27</v>
      </c>
      <c r="B33" s="4">
        <v>6</v>
      </c>
      <c r="C33" s="4" t="s">
        <v>68</v>
      </c>
      <c r="D33" s="4" t="s">
        <v>38</v>
      </c>
      <c r="E33" s="4" t="s">
        <v>38</v>
      </c>
      <c r="F33" s="4" t="s">
        <v>39</v>
      </c>
      <c r="G33" s="4" t="s">
        <v>65</v>
      </c>
      <c r="H33" s="4">
        <v>50</v>
      </c>
      <c r="I33" s="4">
        <v>11</v>
      </c>
      <c r="J33" s="4">
        <v>25000000</v>
      </c>
      <c r="K33" s="7" t="s">
        <v>66</v>
      </c>
      <c r="L33" s="4">
        <v>16</v>
      </c>
      <c r="M33" s="4">
        <v>10</v>
      </c>
      <c r="N33" s="4">
        <v>100</v>
      </c>
      <c r="O33" s="4">
        <v>4</v>
      </c>
      <c r="P33" s="4">
        <v>4</v>
      </c>
    </row>
    <row r="34" spans="1:16">
      <c r="A34" s="4">
        <v>28</v>
      </c>
      <c r="B34" s="4">
        <v>7</v>
      </c>
      <c r="C34" s="4" t="s">
        <v>69</v>
      </c>
      <c r="D34" s="4" t="s">
        <v>44</v>
      </c>
      <c r="E34" s="4" t="s">
        <v>38</v>
      </c>
      <c r="F34" s="4" t="s">
        <v>39</v>
      </c>
      <c r="G34" s="4" t="s">
        <v>40</v>
      </c>
      <c r="H34" s="4">
        <v>0</v>
      </c>
      <c r="I34" s="4">
        <v>999</v>
      </c>
      <c r="J34" s="4">
        <v>25000000</v>
      </c>
      <c r="K34" s="7" t="s">
        <v>58</v>
      </c>
      <c r="L34" s="4">
        <v>32</v>
      </c>
      <c r="M34" s="4">
        <v>0</v>
      </c>
      <c r="N34" s="4">
        <v>0</v>
      </c>
      <c r="O34" s="4">
        <v>8</v>
      </c>
      <c r="P34" s="4">
        <v>8</v>
      </c>
    </row>
    <row r="35" spans="1:16">
      <c r="A35" s="4">
        <v>29</v>
      </c>
      <c r="B35" s="4">
        <v>7</v>
      </c>
      <c r="C35" s="4" t="s">
        <v>43</v>
      </c>
      <c r="D35" s="4" t="s">
        <v>44</v>
      </c>
      <c r="E35" s="4" t="s">
        <v>38</v>
      </c>
      <c r="F35" s="4" t="s">
        <v>39</v>
      </c>
      <c r="G35" s="4" t="s">
        <v>40</v>
      </c>
      <c r="H35" s="4">
        <v>0</v>
      </c>
      <c r="I35" s="4">
        <v>999</v>
      </c>
      <c r="J35" s="4">
        <v>25000000</v>
      </c>
      <c r="K35" s="7" t="s">
        <v>58</v>
      </c>
      <c r="L35" s="4">
        <v>32</v>
      </c>
      <c r="M35" s="4">
        <v>0</v>
      </c>
      <c r="N35" s="4">
        <v>0</v>
      </c>
      <c r="O35" s="4">
        <v>8</v>
      </c>
      <c r="P35" s="4">
        <v>8</v>
      </c>
    </row>
    <row r="36" spans="1:16">
      <c r="A36" s="4">
        <v>30</v>
      </c>
      <c r="B36" s="4">
        <v>7</v>
      </c>
      <c r="C36" s="4" t="s">
        <v>45</v>
      </c>
      <c r="D36" s="4" t="s">
        <v>46</v>
      </c>
      <c r="E36" s="4" t="s">
        <v>38</v>
      </c>
      <c r="F36" s="4" t="s">
        <v>39</v>
      </c>
      <c r="G36" s="4" t="s">
        <v>40</v>
      </c>
      <c r="H36" s="4">
        <v>0</v>
      </c>
      <c r="I36" s="4">
        <v>999</v>
      </c>
      <c r="J36" s="4">
        <v>25000000</v>
      </c>
      <c r="K36" s="7" t="s">
        <v>58</v>
      </c>
      <c r="L36" s="4">
        <v>32</v>
      </c>
      <c r="M36" s="4">
        <v>0</v>
      </c>
      <c r="N36" s="4">
        <v>0</v>
      </c>
      <c r="O36" s="4">
        <v>8</v>
      </c>
      <c r="P36" s="4">
        <v>8</v>
      </c>
    </row>
    <row r="37" spans="1:16">
      <c r="A37" s="4">
        <v>31</v>
      </c>
      <c r="B37" s="4">
        <v>7</v>
      </c>
      <c r="C37" s="4" t="s">
        <v>47</v>
      </c>
      <c r="D37" s="4" t="s">
        <v>48</v>
      </c>
      <c r="E37" s="4" t="s">
        <v>38</v>
      </c>
      <c r="F37" s="4" t="s">
        <v>39</v>
      </c>
      <c r="G37" s="4" t="s">
        <v>40</v>
      </c>
      <c r="H37" s="4">
        <v>0</v>
      </c>
      <c r="I37" s="4">
        <v>999</v>
      </c>
      <c r="J37" s="4">
        <v>25000000</v>
      </c>
      <c r="K37" s="7" t="s">
        <v>62</v>
      </c>
      <c r="L37" s="4">
        <v>32</v>
      </c>
      <c r="M37" s="4">
        <v>0</v>
      </c>
      <c r="N37" s="4">
        <v>0</v>
      </c>
      <c r="O37" s="4">
        <v>8</v>
      </c>
      <c r="P37" s="4">
        <v>8</v>
      </c>
    </row>
    <row r="38" spans="1:16">
      <c r="A38" s="4">
        <v>32</v>
      </c>
      <c r="B38" s="4">
        <v>7</v>
      </c>
      <c r="C38" s="4" t="s">
        <v>49</v>
      </c>
      <c r="D38" s="4" t="s">
        <v>50</v>
      </c>
      <c r="E38" s="4" t="s">
        <v>38</v>
      </c>
      <c r="F38" s="4" t="s">
        <v>39</v>
      </c>
      <c r="G38" s="4" t="s">
        <v>40</v>
      </c>
      <c r="H38" s="4">
        <v>0</v>
      </c>
      <c r="I38" s="4">
        <v>999</v>
      </c>
      <c r="J38" s="4">
        <v>25000000</v>
      </c>
      <c r="K38" s="7" t="s">
        <v>62</v>
      </c>
      <c r="L38" s="4">
        <v>32</v>
      </c>
      <c r="M38" s="4">
        <v>0</v>
      </c>
      <c r="N38" s="4">
        <v>0</v>
      </c>
      <c r="O38" s="4">
        <v>8</v>
      </c>
      <c r="P38" s="4">
        <v>8</v>
      </c>
    </row>
    <row r="39" spans="1:16">
      <c r="A39" s="4">
        <v>33</v>
      </c>
      <c r="B39" s="4">
        <v>7</v>
      </c>
      <c r="C39" s="4" t="s">
        <v>51</v>
      </c>
      <c r="D39" s="4" t="s">
        <v>52</v>
      </c>
      <c r="E39" s="4" t="s">
        <v>38</v>
      </c>
      <c r="F39" s="4" t="s">
        <v>39</v>
      </c>
      <c r="G39" s="4" t="s">
        <v>40</v>
      </c>
      <c r="H39" s="4">
        <v>0</v>
      </c>
      <c r="I39" s="4">
        <v>999</v>
      </c>
      <c r="J39" s="4">
        <v>25000000</v>
      </c>
      <c r="K39" s="7" t="s">
        <v>58</v>
      </c>
      <c r="L39" s="4">
        <v>32</v>
      </c>
      <c r="M39" s="4">
        <v>0</v>
      </c>
      <c r="N39" s="4">
        <v>0</v>
      </c>
      <c r="O39" s="4">
        <v>8</v>
      </c>
      <c r="P39" s="4">
        <v>8</v>
      </c>
    </row>
    <row r="40" spans="1:16">
      <c r="A40" s="4">
        <v>34</v>
      </c>
      <c r="B40" s="4">
        <v>7</v>
      </c>
      <c r="C40" s="4" t="s">
        <v>60</v>
      </c>
      <c r="D40" s="4" t="s">
        <v>38</v>
      </c>
      <c r="E40" s="4" t="s">
        <v>38</v>
      </c>
      <c r="F40" s="4" t="s">
        <v>39</v>
      </c>
      <c r="G40" s="4" t="s">
        <v>40</v>
      </c>
      <c r="H40" s="4">
        <v>0</v>
      </c>
      <c r="I40" s="4">
        <v>999</v>
      </c>
      <c r="J40" s="4">
        <v>25000000</v>
      </c>
      <c r="K40" s="7" t="s">
        <v>58</v>
      </c>
      <c r="L40" s="4">
        <v>32</v>
      </c>
      <c r="M40" s="4">
        <v>0</v>
      </c>
      <c r="N40" s="4">
        <v>0</v>
      </c>
      <c r="O40" s="4">
        <v>8</v>
      </c>
      <c r="P40" s="4">
        <v>8</v>
      </c>
    </row>
    <row r="41" spans="1:16">
      <c r="A41" s="4">
        <v>35</v>
      </c>
      <c r="B41" s="4">
        <v>7</v>
      </c>
      <c r="C41" s="4" t="s">
        <v>70</v>
      </c>
      <c r="D41" s="4" t="s">
        <v>38</v>
      </c>
      <c r="E41" s="4" t="s">
        <v>38</v>
      </c>
      <c r="F41" s="4" t="s">
        <v>39</v>
      </c>
      <c r="G41" s="4" t="s">
        <v>40</v>
      </c>
      <c r="H41" s="4">
        <v>0</v>
      </c>
      <c r="I41" s="4">
        <v>999</v>
      </c>
      <c r="J41" s="4">
        <v>25000000</v>
      </c>
      <c r="K41" s="7" t="s">
        <v>62</v>
      </c>
      <c r="L41" s="4">
        <v>32</v>
      </c>
      <c r="M41" s="4">
        <v>0</v>
      </c>
      <c r="N41" s="4">
        <v>0</v>
      </c>
      <c r="O41" s="4">
        <v>8</v>
      </c>
      <c r="P41" s="4">
        <v>8</v>
      </c>
    </row>
    <row r="42" spans="1:16">
      <c r="A42" s="4">
        <v>36</v>
      </c>
      <c r="B42" s="4">
        <v>7</v>
      </c>
      <c r="C42" s="4" t="s">
        <v>71</v>
      </c>
      <c r="D42" s="4" t="s">
        <v>38</v>
      </c>
      <c r="E42" s="4" t="s">
        <v>38</v>
      </c>
      <c r="F42" s="4" t="s">
        <v>39</v>
      </c>
      <c r="G42" s="4" t="s">
        <v>40</v>
      </c>
      <c r="H42" s="4">
        <v>0</v>
      </c>
      <c r="I42" s="4">
        <v>999</v>
      </c>
      <c r="J42" s="4">
        <v>25000000</v>
      </c>
      <c r="K42" s="7" t="s">
        <v>62</v>
      </c>
      <c r="L42" s="4">
        <v>24</v>
      </c>
      <c r="M42" s="4">
        <v>0</v>
      </c>
      <c r="N42" s="4">
        <v>0</v>
      </c>
      <c r="O42" s="4">
        <v>6</v>
      </c>
      <c r="P42" s="4">
        <v>6</v>
      </c>
    </row>
    <row r="43" spans="1:16">
      <c r="A43" s="4">
        <v>37</v>
      </c>
      <c r="B43" s="4">
        <v>7</v>
      </c>
      <c r="C43" s="4" t="s">
        <v>72</v>
      </c>
      <c r="D43" s="4" t="s">
        <v>38</v>
      </c>
      <c r="E43" s="4" t="s">
        <v>38</v>
      </c>
      <c r="F43" s="4" t="s">
        <v>39</v>
      </c>
      <c r="G43" s="4" t="s">
        <v>40</v>
      </c>
      <c r="H43" s="4">
        <v>0</v>
      </c>
      <c r="I43" s="4">
        <v>999</v>
      </c>
      <c r="J43" s="4">
        <v>25000000</v>
      </c>
      <c r="K43" s="7" t="s">
        <v>58</v>
      </c>
      <c r="L43" s="4">
        <v>20</v>
      </c>
      <c r="M43" s="4">
        <v>0</v>
      </c>
      <c r="N43" s="4">
        <v>0</v>
      </c>
      <c r="O43" s="4">
        <v>5</v>
      </c>
      <c r="P43" s="4">
        <v>5</v>
      </c>
    </row>
    <row r="44" spans="1:16">
      <c r="A44" s="4">
        <v>38</v>
      </c>
      <c r="B44" s="4">
        <v>7</v>
      </c>
      <c r="C44" s="4" t="s">
        <v>73</v>
      </c>
      <c r="D44" s="4" t="s">
        <v>38</v>
      </c>
      <c r="E44" s="4" t="s">
        <v>38</v>
      </c>
      <c r="F44" s="4" t="s">
        <v>39</v>
      </c>
      <c r="G44" s="4" t="s">
        <v>40</v>
      </c>
      <c r="H44" s="4">
        <v>0</v>
      </c>
      <c r="I44" s="4">
        <v>999</v>
      </c>
      <c r="J44" s="4">
        <v>25000000</v>
      </c>
      <c r="K44" s="7" t="s">
        <v>58</v>
      </c>
      <c r="L44" s="4">
        <v>20</v>
      </c>
      <c r="M44" s="4">
        <v>0</v>
      </c>
      <c r="N44" s="4">
        <v>0</v>
      </c>
      <c r="O44" s="4">
        <v>5</v>
      </c>
      <c r="P44" s="4">
        <v>5</v>
      </c>
    </row>
    <row r="45" spans="1:16">
      <c r="A45" s="4">
        <v>39</v>
      </c>
      <c r="B45" s="4">
        <v>7</v>
      </c>
      <c r="C45" s="4" t="s">
        <v>74</v>
      </c>
      <c r="D45" s="4" t="s">
        <v>38</v>
      </c>
      <c r="E45" s="4" t="s">
        <v>38</v>
      </c>
      <c r="F45" s="4" t="s">
        <v>39</v>
      </c>
      <c r="G45" s="4" t="s">
        <v>40</v>
      </c>
      <c r="H45" s="4">
        <v>0</v>
      </c>
      <c r="I45" s="4">
        <v>999</v>
      </c>
      <c r="J45" s="4">
        <v>25000000</v>
      </c>
      <c r="K45" s="7" t="s">
        <v>62</v>
      </c>
      <c r="L45" s="4">
        <v>20</v>
      </c>
      <c r="M45" s="4">
        <v>0</v>
      </c>
      <c r="N45" s="4">
        <v>0</v>
      </c>
      <c r="O45" s="4">
        <v>5</v>
      </c>
      <c r="P45" s="4">
        <v>5</v>
      </c>
    </row>
    <row r="46" spans="1:16">
      <c r="A46" s="4">
        <v>40</v>
      </c>
      <c r="B46" s="4">
        <v>7</v>
      </c>
      <c r="C46" s="4" t="s">
        <v>75</v>
      </c>
      <c r="D46" s="4" t="s">
        <v>38</v>
      </c>
      <c r="E46" s="4" t="s">
        <v>38</v>
      </c>
      <c r="F46" s="4" t="s">
        <v>39</v>
      </c>
      <c r="G46" s="4" t="s">
        <v>40</v>
      </c>
      <c r="H46" s="4">
        <v>50</v>
      </c>
      <c r="I46" s="4">
        <v>999</v>
      </c>
      <c r="J46" s="4">
        <v>25000000</v>
      </c>
      <c r="K46" s="7" t="s">
        <v>62</v>
      </c>
      <c r="L46" s="4">
        <v>16</v>
      </c>
      <c r="M46" s="4">
        <v>0</v>
      </c>
      <c r="N46" s="4">
        <v>0</v>
      </c>
      <c r="O46" s="4">
        <v>4</v>
      </c>
      <c r="P46" s="4">
        <v>4</v>
      </c>
    </row>
    <row r="47" spans="1:16">
      <c r="A47" s="4">
        <v>41</v>
      </c>
      <c r="B47" s="4">
        <v>7</v>
      </c>
      <c r="C47" s="4" t="s">
        <v>68</v>
      </c>
      <c r="D47" s="4" t="s">
        <v>38</v>
      </c>
      <c r="E47" s="4" t="s">
        <v>38</v>
      </c>
      <c r="F47" s="4" t="s">
        <v>39</v>
      </c>
      <c r="G47" s="4" t="s">
        <v>40</v>
      </c>
      <c r="H47" s="4">
        <v>50</v>
      </c>
      <c r="I47" s="4">
        <v>999</v>
      </c>
      <c r="J47" s="4">
        <v>25000000</v>
      </c>
      <c r="K47" s="7" t="s">
        <v>58</v>
      </c>
      <c r="L47" s="4">
        <v>16</v>
      </c>
      <c r="M47" s="4">
        <v>0</v>
      </c>
      <c r="N47" s="4">
        <v>0</v>
      </c>
      <c r="O47" s="4">
        <v>4</v>
      </c>
      <c r="P47" s="4">
        <v>4</v>
      </c>
    </row>
    <row r="48" spans="1:16">
      <c r="A48" s="4">
        <v>42</v>
      </c>
      <c r="B48" s="4">
        <v>8</v>
      </c>
      <c r="C48" s="4" t="s">
        <v>76</v>
      </c>
      <c r="D48" s="4" t="s">
        <v>37</v>
      </c>
      <c r="E48" s="4" t="s">
        <v>38</v>
      </c>
      <c r="F48" s="4" t="s">
        <v>39</v>
      </c>
      <c r="G48" s="4" t="s">
        <v>40</v>
      </c>
      <c r="H48" s="4">
        <v>0</v>
      </c>
      <c r="I48" s="4">
        <v>999</v>
      </c>
      <c r="J48" s="4">
        <v>20000000</v>
      </c>
      <c r="K48" s="4">
        <v>20000000</v>
      </c>
      <c r="L48" s="4">
        <v>32</v>
      </c>
      <c r="M48" s="4">
        <v>0</v>
      </c>
      <c r="N48" s="4">
        <v>0</v>
      </c>
      <c r="O48" s="4">
        <v>8</v>
      </c>
      <c r="P48" s="4">
        <v>8</v>
      </c>
    </row>
    <row r="49" spans="1:16">
      <c r="A49" s="4">
        <v>43</v>
      </c>
      <c r="B49" s="4">
        <v>8</v>
      </c>
      <c r="C49" s="4" t="s">
        <v>41</v>
      </c>
      <c r="D49" s="4" t="s">
        <v>42</v>
      </c>
      <c r="E49" s="4" t="s">
        <v>38</v>
      </c>
      <c r="F49" s="4" t="s">
        <v>39</v>
      </c>
      <c r="G49" s="4" t="s">
        <v>40</v>
      </c>
      <c r="H49" s="4">
        <v>0</v>
      </c>
      <c r="I49" s="4">
        <v>999</v>
      </c>
      <c r="J49" s="4">
        <v>20000000</v>
      </c>
      <c r="K49" s="4">
        <v>20000000</v>
      </c>
      <c r="L49" s="4">
        <v>32</v>
      </c>
      <c r="M49" s="4">
        <v>0</v>
      </c>
      <c r="N49" s="4">
        <v>0</v>
      </c>
      <c r="O49" s="4">
        <v>8</v>
      </c>
      <c r="P49" s="4">
        <v>8</v>
      </c>
    </row>
    <row r="50" spans="1:16">
      <c r="A50" s="4">
        <v>44</v>
      </c>
      <c r="B50" s="4">
        <v>8</v>
      </c>
      <c r="C50" s="4" t="s">
        <v>43</v>
      </c>
      <c r="D50" s="4" t="s">
        <v>44</v>
      </c>
      <c r="E50" s="4" t="s">
        <v>38</v>
      </c>
      <c r="F50" s="4" t="s">
        <v>39</v>
      </c>
      <c r="G50" s="4" t="s">
        <v>40</v>
      </c>
      <c r="H50" s="4">
        <v>0</v>
      </c>
      <c r="I50" s="4">
        <v>999</v>
      </c>
      <c r="J50" s="4">
        <v>20000000</v>
      </c>
      <c r="K50" s="4">
        <v>20000000</v>
      </c>
      <c r="L50" s="4">
        <v>32</v>
      </c>
      <c r="M50" s="4">
        <v>0</v>
      </c>
      <c r="N50" s="4">
        <v>0</v>
      </c>
      <c r="O50" s="4">
        <v>8</v>
      </c>
      <c r="P50" s="4">
        <v>8</v>
      </c>
    </row>
    <row r="51" spans="1:16">
      <c r="A51" s="4">
        <v>45</v>
      </c>
      <c r="B51" s="4">
        <v>8</v>
      </c>
      <c r="C51" s="4" t="s">
        <v>45</v>
      </c>
      <c r="D51" s="4" t="s">
        <v>46</v>
      </c>
      <c r="E51" s="4" t="s">
        <v>38</v>
      </c>
      <c r="F51" s="4" t="s">
        <v>39</v>
      </c>
      <c r="G51" s="4" t="s">
        <v>40</v>
      </c>
      <c r="H51" s="4">
        <v>0</v>
      </c>
      <c r="I51" s="4">
        <v>999</v>
      </c>
      <c r="J51" s="4">
        <v>20000000</v>
      </c>
      <c r="K51" s="4">
        <v>20000000</v>
      </c>
      <c r="L51" s="4">
        <v>32</v>
      </c>
      <c r="M51" s="4">
        <v>0</v>
      </c>
      <c r="N51" s="4">
        <v>0</v>
      </c>
      <c r="O51" s="4">
        <v>8</v>
      </c>
      <c r="P51" s="4">
        <v>8</v>
      </c>
    </row>
    <row r="52" spans="1:16">
      <c r="A52" s="4">
        <v>46</v>
      </c>
      <c r="B52" s="4">
        <v>8</v>
      </c>
      <c r="C52" s="4" t="s">
        <v>47</v>
      </c>
      <c r="D52" s="4" t="s">
        <v>48</v>
      </c>
      <c r="E52" s="4" t="s">
        <v>38</v>
      </c>
      <c r="F52" s="4" t="s">
        <v>39</v>
      </c>
      <c r="G52" s="4" t="s">
        <v>40</v>
      </c>
      <c r="H52" s="4">
        <v>0</v>
      </c>
      <c r="I52" s="4">
        <v>999</v>
      </c>
      <c r="J52" s="4">
        <v>20000000</v>
      </c>
      <c r="K52" s="4">
        <v>20000000</v>
      </c>
      <c r="L52" s="4">
        <v>32</v>
      </c>
      <c r="M52" s="4">
        <v>0</v>
      </c>
      <c r="N52" s="4">
        <v>0</v>
      </c>
      <c r="O52" s="4">
        <v>8</v>
      </c>
      <c r="P52" s="4">
        <v>8</v>
      </c>
    </row>
    <row r="53" spans="1:16">
      <c r="A53" s="4">
        <v>47</v>
      </c>
      <c r="B53" s="4">
        <v>8</v>
      </c>
      <c r="C53" s="4" t="s">
        <v>49</v>
      </c>
      <c r="D53" s="4" t="s">
        <v>50</v>
      </c>
      <c r="E53" s="4" t="s">
        <v>38</v>
      </c>
      <c r="F53" s="4" t="s">
        <v>39</v>
      </c>
      <c r="G53" s="4" t="s">
        <v>40</v>
      </c>
      <c r="H53" s="4">
        <v>0</v>
      </c>
      <c r="I53" s="4">
        <v>999</v>
      </c>
      <c r="J53" s="4">
        <v>20000000</v>
      </c>
      <c r="K53" s="4">
        <v>20000000</v>
      </c>
      <c r="L53" s="4">
        <v>32</v>
      </c>
      <c r="M53" s="4">
        <v>0</v>
      </c>
      <c r="N53" s="4">
        <v>0</v>
      </c>
      <c r="O53" s="4">
        <v>8</v>
      </c>
      <c r="P53" s="4">
        <v>8</v>
      </c>
    </row>
    <row r="54" spans="1:16">
      <c r="A54" s="4">
        <v>48</v>
      </c>
      <c r="B54" s="4">
        <v>8</v>
      </c>
      <c r="C54" s="4" t="s">
        <v>51</v>
      </c>
      <c r="D54" s="4" t="s">
        <v>52</v>
      </c>
      <c r="E54" s="4" t="s">
        <v>38</v>
      </c>
      <c r="F54" s="4" t="s">
        <v>39</v>
      </c>
      <c r="G54" s="4" t="s">
        <v>40</v>
      </c>
      <c r="H54" s="4">
        <v>0</v>
      </c>
      <c r="I54" s="4">
        <v>999</v>
      </c>
      <c r="J54" s="4">
        <v>20000000</v>
      </c>
      <c r="K54" s="4">
        <v>20000000</v>
      </c>
      <c r="L54" s="4">
        <v>32</v>
      </c>
      <c r="M54" s="4">
        <v>0</v>
      </c>
      <c r="N54" s="4">
        <v>0</v>
      </c>
      <c r="O54" s="4">
        <v>8</v>
      </c>
      <c r="P54" s="4">
        <v>8</v>
      </c>
    </row>
    <row r="55" spans="1:16">
      <c r="A55" s="4">
        <v>49</v>
      </c>
      <c r="B55" s="4">
        <v>8</v>
      </c>
      <c r="C55" s="4" t="s">
        <v>77</v>
      </c>
      <c r="D55" s="4" t="s">
        <v>38</v>
      </c>
      <c r="E55" s="4" t="s">
        <v>38</v>
      </c>
      <c r="F55" s="4" t="s">
        <v>39</v>
      </c>
      <c r="G55" s="4" t="s">
        <v>40</v>
      </c>
      <c r="H55" s="4">
        <v>0</v>
      </c>
      <c r="I55" s="4">
        <v>999</v>
      </c>
      <c r="J55" s="4">
        <v>20000000</v>
      </c>
      <c r="K55" s="4">
        <v>20000000</v>
      </c>
      <c r="L55" s="4">
        <v>24</v>
      </c>
      <c r="M55" s="4">
        <v>0</v>
      </c>
      <c r="N55" s="4">
        <v>0</v>
      </c>
      <c r="O55" s="4">
        <v>6</v>
      </c>
      <c r="P55" s="4">
        <v>6</v>
      </c>
    </row>
    <row r="56" spans="1:16">
      <c r="A56" s="4">
        <v>50</v>
      </c>
      <c r="B56" s="4">
        <v>8</v>
      </c>
      <c r="C56" s="4" t="s">
        <v>78</v>
      </c>
      <c r="D56" s="4" t="s">
        <v>38</v>
      </c>
      <c r="E56" s="6" t="s">
        <v>79</v>
      </c>
      <c r="F56" s="4" t="s">
        <v>39</v>
      </c>
      <c r="G56" s="4" t="s">
        <v>40</v>
      </c>
      <c r="H56" s="4">
        <v>100</v>
      </c>
      <c r="I56" s="4">
        <v>999</v>
      </c>
      <c r="J56" s="4">
        <v>20000000</v>
      </c>
      <c r="K56" s="4">
        <v>20000000</v>
      </c>
      <c r="L56" s="4">
        <v>24</v>
      </c>
      <c r="M56" s="4">
        <v>0</v>
      </c>
      <c r="N56" s="4">
        <v>0</v>
      </c>
      <c r="O56" s="4">
        <v>6</v>
      </c>
      <c r="P56" s="4">
        <v>6</v>
      </c>
    </row>
    <row r="57" spans="1:16">
      <c r="A57" s="4">
        <v>51</v>
      </c>
      <c r="B57" s="4">
        <v>8</v>
      </c>
      <c r="C57" s="4" t="s">
        <v>80</v>
      </c>
      <c r="D57" s="4" t="s">
        <v>38</v>
      </c>
      <c r="E57" s="6" t="s">
        <v>81</v>
      </c>
      <c r="F57" s="4" t="s">
        <v>39</v>
      </c>
      <c r="G57" s="4" t="s">
        <v>40</v>
      </c>
      <c r="H57" s="4">
        <v>100</v>
      </c>
      <c r="I57" s="4">
        <v>999</v>
      </c>
      <c r="J57" s="4">
        <v>20000000</v>
      </c>
      <c r="K57" s="4">
        <v>20000000</v>
      </c>
      <c r="L57" s="4">
        <v>24</v>
      </c>
      <c r="M57" s="4">
        <v>0</v>
      </c>
      <c r="N57" s="4">
        <v>0</v>
      </c>
      <c r="O57" s="4">
        <v>6</v>
      </c>
      <c r="P57" s="4">
        <v>6</v>
      </c>
    </row>
    <row r="58" spans="1:16">
      <c r="A58" s="4">
        <v>52</v>
      </c>
      <c r="B58" s="4">
        <v>8</v>
      </c>
      <c r="C58" s="4" t="s">
        <v>82</v>
      </c>
      <c r="D58" s="4" t="s">
        <v>38</v>
      </c>
      <c r="E58" s="6" t="s">
        <v>83</v>
      </c>
      <c r="F58" s="4" t="s">
        <v>39</v>
      </c>
      <c r="G58" s="4" t="s">
        <v>40</v>
      </c>
      <c r="H58" s="4">
        <v>100</v>
      </c>
      <c r="I58" s="4">
        <v>999</v>
      </c>
      <c r="J58" s="4">
        <v>20000000</v>
      </c>
      <c r="K58" s="4">
        <v>20000000</v>
      </c>
      <c r="L58" s="4">
        <v>24</v>
      </c>
      <c r="M58" s="4">
        <v>0</v>
      </c>
      <c r="N58" s="4">
        <v>0</v>
      </c>
      <c r="O58" s="4">
        <v>6</v>
      </c>
      <c r="P58" s="4">
        <v>6</v>
      </c>
    </row>
    <row r="59" spans="1:16">
      <c r="A59" s="4">
        <v>53</v>
      </c>
      <c r="B59" s="4">
        <v>8</v>
      </c>
      <c r="C59" s="4" t="s">
        <v>84</v>
      </c>
      <c r="D59" s="4" t="s">
        <v>38</v>
      </c>
      <c r="E59" s="6" t="s">
        <v>85</v>
      </c>
      <c r="F59" s="4" t="s">
        <v>39</v>
      </c>
      <c r="G59" s="4" t="s">
        <v>40</v>
      </c>
      <c r="H59" s="4">
        <v>100</v>
      </c>
      <c r="I59" s="4">
        <v>999</v>
      </c>
      <c r="J59" s="4">
        <v>20000000</v>
      </c>
      <c r="K59" s="4">
        <v>20000000</v>
      </c>
      <c r="L59" s="4">
        <v>24</v>
      </c>
      <c r="M59" s="4">
        <v>0</v>
      </c>
      <c r="N59" s="4">
        <v>0</v>
      </c>
      <c r="O59" s="4">
        <v>6</v>
      </c>
      <c r="P59" s="4">
        <v>6</v>
      </c>
    </row>
    <row r="60" spans="1:16">
      <c r="A60" s="4">
        <v>54</v>
      </c>
      <c r="B60" s="4">
        <v>8</v>
      </c>
      <c r="C60" s="4" t="s">
        <v>86</v>
      </c>
      <c r="D60" s="4" t="s">
        <v>38</v>
      </c>
      <c r="E60" s="6" t="s">
        <v>87</v>
      </c>
      <c r="F60" s="4" t="s">
        <v>39</v>
      </c>
      <c r="G60" s="4" t="s">
        <v>40</v>
      </c>
      <c r="H60" s="4">
        <v>100</v>
      </c>
      <c r="I60" s="4">
        <v>999</v>
      </c>
      <c r="J60" s="4">
        <v>20000000</v>
      </c>
      <c r="K60" s="4">
        <v>20000000</v>
      </c>
      <c r="L60" s="4">
        <v>24</v>
      </c>
      <c r="M60" s="4">
        <v>0</v>
      </c>
      <c r="N60" s="4">
        <v>0</v>
      </c>
      <c r="O60" s="4">
        <v>6</v>
      </c>
      <c r="P60" s="4">
        <v>6</v>
      </c>
    </row>
    <row r="61" spans="1:16">
      <c r="A61" s="4">
        <v>55</v>
      </c>
      <c r="B61" s="4">
        <v>9</v>
      </c>
      <c r="C61" s="4" t="s">
        <v>76</v>
      </c>
      <c r="D61" s="4" t="s">
        <v>37</v>
      </c>
      <c r="E61" s="4" t="s">
        <v>38</v>
      </c>
      <c r="F61" s="4" t="s">
        <v>39</v>
      </c>
      <c r="G61" s="4" t="s">
        <v>40</v>
      </c>
      <c r="H61" s="4">
        <v>0</v>
      </c>
      <c r="I61" s="4">
        <v>999</v>
      </c>
      <c r="J61" s="4">
        <v>20000000</v>
      </c>
      <c r="K61" s="4">
        <v>20000000</v>
      </c>
      <c r="L61" s="4">
        <v>32</v>
      </c>
      <c r="M61" s="4">
        <v>0</v>
      </c>
      <c r="N61" s="4">
        <v>0</v>
      </c>
      <c r="O61" s="4">
        <v>8</v>
      </c>
      <c r="P61" s="4">
        <v>8</v>
      </c>
    </row>
    <row r="62" spans="1:16">
      <c r="A62" s="4">
        <v>56</v>
      </c>
      <c r="B62" s="4">
        <v>9</v>
      </c>
      <c r="C62" s="4" t="s">
        <v>41</v>
      </c>
      <c r="D62" s="4" t="s">
        <v>42</v>
      </c>
      <c r="E62" s="4" t="s">
        <v>38</v>
      </c>
      <c r="F62" s="4" t="s">
        <v>39</v>
      </c>
      <c r="G62" s="4" t="s">
        <v>40</v>
      </c>
      <c r="H62" s="4">
        <v>0</v>
      </c>
      <c r="I62" s="4">
        <v>999</v>
      </c>
      <c r="J62" s="4">
        <v>20000000</v>
      </c>
      <c r="K62" s="4">
        <v>20000000</v>
      </c>
      <c r="L62" s="4">
        <v>32</v>
      </c>
      <c r="M62" s="4">
        <v>0</v>
      </c>
      <c r="N62" s="4">
        <v>0</v>
      </c>
      <c r="O62" s="4">
        <v>8</v>
      </c>
      <c r="P62" s="4">
        <v>8</v>
      </c>
    </row>
    <row r="63" spans="1:16">
      <c r="A63" s="4">
        <v>57</v>
      </c>
      <c r="B63" s="4">
        <v>9</v>
      </c>
      <c r="C63" s="4" t="s">
        <v>43</v>
      </c>
      <c r="D63" s="4" t="s">
        <v>44</v>
      </c>
      <c r="E63" s="4" t="s">
        <v>38</v>
      </c>
      <c r="F63" s="4" t="s">
        <v>39</v>
      </c>
      <c r="G63" s="4" t="s">
        <v>40</v>
      </c>
      <c r="H63" s="4">
        <v>0</v>
      </c>
      <c r="I63" s="4">
        <v>999</v>
      </c>
      <c r="J63" s="4">
        <v>20000000</v>
      </c>
      <c r="K63" s="4">
        <v>20000000</v>
      </c>
      <c r="L63" s="4">
        <v>32</v>
      </c>
      <c r="M63" s="4">
        <v>0</v>
      </c>
      <c r="N63" s="4">
        <v>0</v>
      </c>
      <c r="O63" s="4">
        <v>8</v>
      </c>
      <c r="P63" s="4">
        <v>8</v>
      </c>
    </row>
    <row r="64" spans="1:16">
      <c r="A64" s="4">
        <v>58</v>
      </c>
      <c r="B64" s="4">
        <v>9</v>
      </c>
      <c r="C64" s="4" t="s">
        <v>45</v>
      </c>
      <c r="D64" s="4" t="s">
        <v>46</v>
      </c>
      <c r="E64" s="4" t="s">
        <v>38</v>
      </c>
      <c r="F64" s="4" t="s">
        <v>39</v>
      </c>
      <c r="G64" s="4" t="s">
        <v>40</v>
      </c>
      <c r="H64" s="4">
        <v>0</v>
      </c>
      <c r="I64" s="4">
        <v>999</v>
      </c>
      <c r="J64" s="4">
        <v>20000000</v>
      </c>
      <c r="K64" s="4">
        <v>20000000</v>
      </c>
      <c r="L64" s="4">
        <v>32</v>
      </c>
      <c r="M64" s="4">
        <v>0</v>
      </c>
      <c r="N64" s="4">
        <v>0</v>
      </c>
      <c r="O64" s="4">
        <v>8</v>
      </c>
      <c r="P64" s="4">
        <v>8</v>
      </c>
    </row>
    <row r="65" spans="1:16">
      <c r="A65" s="4">
        <v>59</v>
      </c>
      <c r="B65" s="4">
        <v>9</v>
      </c>
      <c r="C65" s="4" t="s">
        <v>47</v>
      </c>
      <c r="D65" s="4" t="s">
        <v>48</v>
      </c>
      <c r="E65" s="4" t="s">
        <v>38</v>
      </c>
      <c r="F65" s="4" t="s">
        <v>39</v>
      </c>
      <c r="G65" s="4" t="s">
        <v>40</v>
      </c>
      <c r="H65" s="4">
        <v>0</v>
      </c>
      <c r="I65" s="4">
        <v>999</v>
      </c>
      <c r="J65" s="4">
        <v>20000000</v>
      </c>
      <c r="K65" s="4">
        <v>20000000</v>
      </c>
      <c r="L65" s="4">
        <v>32</v>
      </c>
      <c r="M65" s="4">
        <v>0</v>
      </c>
      <c r="N65" s="4">
        <v>0</v>
      </c>
      <c r="O65" s="4">
        <v>8</v>
      </c>
      <c r="P65" s="4">
        <v>8</v>
      </c>
    </row>
    <row r="66" spans="1:16">
      <c r="A66" s="4">
        <v>60</v>
      </c>
      <c r="B66" s="4">
        <v>9</v>
      </c>
      <c r="C66" s="4" t="s">
        <v>49</v>
      </c>
      <c r="D66" s="4" t="s">
        <v>50</v>
      </c>
      <c r="E66" s="4" t="s">
        <v>38</v>
      </c>
      <c r="F66" s="4" t="s">
        <v>39</v>
      </c>
      <c r="G66" s="4" t="s">
        <v>40</v>
      </c>
      <c r="H66" s="4">
        <v>0</v>
      </c>
      <c r="I66" s="4">
        <v>999</v>
      </c>
      <c r="J66" s="4">
        <v>20000000</v>
      </c>
      <c r="K66" s="4">
        <v>20000000</v>
      </c>
      <c r="L66" s="4">
        <v>32</v>
      </c>
      <c r="M66" s="4">
        <v>0</v>
      </c>
      <c r="N66" s="4">
        <v>0</v>
      </c>
      <c r="O66" s="4">
        <v>8</v>
      </c>
      <c r="P66" s="4">
        <v>8</v>
      </c>
    </row>
    <row r="67" spans="1:16">
      <c r="A67" s="4">
        <v>61</v>
      </c>
      <c r="B67" s="4">
        <v>9</v>
      </c>
      <c r="C67" s="4" t="s">
        <v>51</v>
      </c>
      <c r="D67" s="4" t="s">
        <v>52</v>
      </c>
      <c r="E67" s="4" t="s">
        <v>38</v>
      </c>
      <c r="F67" s="4" t="s">
        <v>39</v>
      </c>
      <c r="G67" s="4" t="s">
        <v>40</v>
      </c>
      <c r="H67" s="4">
        <v>0</v>
      </c>
      <c r="I67" s="4">
        <v>999</v>
      </c>
      <c r="J67" s="4">
        <v>20000000</v>
      </c>
      <c r="K67" s="4">
        <v>20000000</v>
      </c>
      <c r="L67" s="4">
        <v>32</v>
      </c>
      <c r="M67" s="4">
        <v>0</v>
      </c>
      <c r="N67" s="4">
        <v>0</v>
      </c>
      <c r="O67" s="4">
        <v>8</v>
      </c>
      <c r="P67" s="4">
        <v>8</v>
      </c>
    </row>
    <row r="68" spans="1:16">
      <c r="A68" s="4">
        <v>62</v>
      </c>
      <c r="B68" s="4">
        <v>9</v>
      </c>
      <c r="C68" s="4" t="s">
        <v>77</v>
      </c>
      <c r="D68" s="4" t="s">
        <v>38</v>
      </c>
      <c r="E68" s="4" t="s">
        <v>38</v>
      </c>
      <c r="F68" s="4" t="s">
        <v>39</v>
      </c>
      <c r="G68" s="4" t="s">
        <v>40</v>
      </c>
      <c r="H68" s="4">
        <v>0</v>
      </c>
      <c r="I68" s="4">
        <v>999</v>
      </c>
      <c r="J68" s="4">
        <v>20000000</v>
      </c>
      <c r="K68" s="4">
        <v>20000000</v>
      </c>
      <c r="L68" s="4">
        <v>24</v>
      </c>
      <c r="M68" s="4">
        <v>0</v>
      </c>
      <c r="N68" s="4">
        <v>0</v>
      </c>
      <c r="O68" s="4">
        <v>6</v>
      </c>
      <c r="P68" s="4">
        <v>6</v>
      </c>
    </row>
    <row r="69" spans="1:16">
      <c r="A69" s="4">
        <v>63</v>
      </c>
      <c r="B69" s="4">
        <v>9</v>
      </c>
      <c r="C69" s="4" t="s">
        <v>78</v>
      </c>
      <c r="D69" s="4" t="s">
        <v>38</v>
      </c>
      <c r="E69" s="6" t="s">
        <v>79</v>
      </c>
      <c r="F69" s="4" t="s">
        <v>39</v>
      </c>
      <c r="G69" s="4" t="s">
        <v>40</v>
      </c>
      <c r="H69" s="4">
        <v>100</v>
      </c>
      <c r="I69" s="4">
        <v>999</v>
      </c>
      <c r="J69" s="4">
        <v>20000000</v>
      </c>
      <c r="K69" s="4">
        <v>20000000</v>
      </c>
      <c r="L69" s="4">
        <v>24</v>
      </c>
      <c r="M69" s="4">
        <v>0</v>
      </c>
      <c r="N69" s="4">
        <v>0</v>
      </c>
      <c r="O69" s="4">
        <v>6</v>
      </c>
      <c r="P69" s="4">
        <v>6</v>
      </c>
    </row>
    <row r="70" spans="1:16">
      <c r="A70" s="4">
        <v>64</v>
      </c>
      <c r="B70" s="4">
        <v>9</v>
      </c>
      <c r="C70" s="4" t="s">
        <v>80</v>
      </c>
      <c r="D70" s="4" t="s">
        <v>38</v>
      </c>
      <c r="E70" s="6" t="s">
        <v>81</v>
      </c>
      <c r="F70" s="4" t="s">
        <v>39</v>
      </c>
      <c r="G70" s="4" t="s">
        <v>40</v>
      </c>
      <c r="H70" s="4">
        <v>100</v>
      </c>
      <c r="I70" s="4">
        <v>999</v>
      </c>
      <c r="J70" s="4">
        <v>20000000</v>
      </c>
      <c r="K70" s="4">
        <v>20000000</v>
      </c>
      <c r="L70" s="4">
        <v>24</v>
      </c>
      <c r="M70" s="4">
        <v>0</v>
      </c>
      <c r="N70" s="4">
        <v>0</v>
      </c>
      <c r="O70" s="4">
        <v>6</v>
      </c>
      <c r="P70" s="4">
        <v>6</v>
      </c>
    </row>
    <row r="71" spans="1:16">
      <c r="A71" s="4">
        <v>65</v>
      </c>
      <c r="B71" s="4">
        <v>9</v>
      </c>
      <c r="C71" s="4" t="s">
        <v>82</v>
      </c>
      <c r="D71" s="4" t="s">
        <v>38</v>
      </c>
      <c r="E71" s="6" t="s">
        <v>83</v>
      </c>
      <c r="F71" s="4" t="s">
        <v>39</v>
      </c>
      <c r="G71" s="4" t="s">
        <v>40</v>
      </c>
      <c r="H71" s="4">
        <v>100</v>
      </c>
      <c r="I71" s="4">
        <v>999</v>
      </c>
      <c r="J71" s="4">
        <v>20000000</v>
      </c>
      <c r="K71" s="4">
        <v>20000000</v>
      </c>
      <c r="L71" s="4">
        <v>24</v>
      </c>
      <c r="M71" s="4">
        <v>0</v>
      </c>
      <c r="N71" s="4">
        <v>0</v>
      </c>
      <c r="O71" s="4">
        <v>6</v>
      </c>
      <c r="P71" s="4">
        <v>6</v>
      </c>
    </row>
    <row r="72" spans="1:16">
      <c r="A72" s="4">
        <v>66</v>
      </c>
      <c r="B72" s="4">
        <v>9</v>
      </c>
      <c r="C72" s="4" t="s">
        <v>84</v>
      </c>
      <c r="D72" s="4" t="s">
        <v>38</v>
      </c>
      <c r="E72" s="6" t="s">
        <v>85</v>
      </c>
      <c r="F72" s="4" t="s">
        <v>39</v>
      </c>
      <c r="G72" s="4" t="s">
        <v>40</v>
      </c>
      <c r="H72" s="4">
        <v>100</v>
      </c>
      <c r="I72" s="4">
        <v>999</v>
      </c>
      <c r="J72" s="4">
        <v>20000000</v>
      </c>
      <c r="K72" s="4">
        <v>20000000</v>
      </c>
      <c r="L72" s="4">
        <v>24</v>
      </c>
      <c r="M72" s="4">
        <v>0</v>
      </c>
      <c r="N72" s="4">
        <v>0</v>
      </c>
      <c r="O72" s="4">
        <v>6</v>
      </c>
      <c r="P72" s="4">
        <v>6</v>
      </c>
    </row>
    <row r="73" spans="1:16">
      <c r="A73" s="4">
        <v>67</v>
      </c>
      <c r="B73" s="4">
        <v>9</v>
      </c>
      <c r="C73" s="4" t="s">
        <v>86</v>
      </c>
      <c r="D73" s="4" t="s">
        <v>38</v>
      </c>
      <c r="E73" s="6" t="s">
        <v>87</v>
      </c>
      <c r="F73" s="4" t="s">
        <v>39</v>
      </c>
      <c r="G73" s="4" t="s">
        <v>40</v>
      </c>
      <c r="H73" s="4">
        <v>100</v>
      </c>
      <c r="I73" s="4">
        <v>999</v>
      </c>
      <c r="J73" s="4">
        <v>20000000</v>
      </c>
      <c r="K73" s="4">
        <v>20000000</v>
      </c>
      <c r="L73" s="4">
        <v>24</v>
      </c>
      <c r="M73" s="4">
        <v>0</v>
      </c>
      <c r="N73" s="4">
        <v>0</v>
      </c>
      <c r="O73" s="4">
        <v>6</v>
      </c>
      <c r="P73" s="4">
        <v>6</v>
      </c>
    </row>
    <row r="74" spans="1:16">
      <c r="A74" s="4">
        <v>68</v>
      </c>
      <c r="B74" s="4">
        <v>10</v>
      </c>
      <c r="C74" s="4" t="s">
        <v>76</v>
      </c>
      <c r="D74" s="4" t="s">
        <v>37</v>
      </c>
      <c r="E74" s="4" t="s">
        <v>38</v>
      </c>
      <c r="F74" s="4" t="s">
        <v>39</v>
      </c>
      <c r="G74" s="4" t="s">
        <v>40</v>
      </c>
      <c r="H74" s="4">
        <v>0</v>
      </c>
      <c r="I74" s="4">
        <v>999</v>
      </c>
      <c r="J74" s="4">
        <v>20000000</v>
      </c>
      <c r="K74" s="4">
        <v>20000000</v>
      </c>
      <c r="L74" s="4">
        <v>32</v>
      </c>
      <c r="M74" s="4">
        <v>0</v>
      </c>
      <c r="N74" s="4">
        <v>0</v>
      </c>
      <c r="O74" s="4">
        <v>8</v>
      </c>
      <c r="P74" s="4">
        <v>8</v>
      </c>
    </row>
    <row r="75" spans="1:16">
      <c r="A75" s="4">
        <v>69</v>
      </c>
      <c r="B75" s="4">
        <v>10</v>
      </c>
      <c r="C75" s="4" t="s">
        <v>41</v>
      </c>
      <c r="D75" s="4" t="s">
        <v>42</v>
      </c>
      <c r="E75" s="4" t="s">
        <v>38</v>
      </c>
      <c r="F75" s="4" t="s">
        <v>39</v>
      </c>
      <c r="G75" s="4" t="s">
        <v>40</v>
      </c>
      <c r="H75" s="4">
        <v>0</v>
      </c>
      <c r="I75" s="4">
        <v>999</v>
      </c>
      <c r="J75" s="4">
        <v>20000000</v>
      </c>
      <c r="K75" s="4">
        <v>20000000</v>
      </c>
      <c r="L75" s="4">
        <v>32</v>
      </c>
      <c r="M75" s="4">
        <v>0</v>
      </c>
      <c r="N75" s="4">
        <v>0</v>
      </c>
      <c r="O75" s="4">
        <v>8</v>
      </c>
      <c r="P75" s="4">
        <v>8</v>
      </c>
    </row>
    <row r="76" spans="1:16">
      <c r="A76" s="4">
        <v>70</v>
      </c>
      <c r="B76" s="4">
        <v>10</v>
      </c>
      <c r="C76" s="4" t="s">
        <v>43</v>
      </c>
      <c r="D76" s="4" t="s">
        <v>44</v>
      </c>
      <c r="E76" s="4" t="s">
        <v>38</v>
      </c>
      <c r="F76" s="4" t="s">
        <v>39</v>
      </c>
      <c r="G76" s="4" t="s">
        <v>40</v>
      </c>
      <c r="H76" s="4">
        <v>0</v>
      </c>
      <c r="I76" s="4">
        <v>999</v>
      </c>
      <c r="J76" s="4">
        <v>20000000</v>
      </c>
      <c r="K76" s="4">
        <v>20000000</v>
      </c>
      <c r="L76" s="4">
        <v>32</v>
      </c>
      <c r="M76" s="4">
        <v>0</v>
      </c>
      <c r="N76" s="4">
        <v>0</v>
      </c>
      <c r="O76" s="4">
        <v>8</v>
      </c>
      <c r="P76" s="4">
        <v>8</v>
      </c>
    </row>
    <row r="77" spans="1:16">
      <c r="A77" s="4">
        <v>71</v>
      </c>
      <c r="B77" s="4">
        <v>10</v>
      </c>
      <c r="C77" s="4" t="s">
        <v>45</v>
      </c>
      <c r="D77" s="4" t="s">
        <v>46</v>
      </c>
      <c r="E77" s="4" t="s">
        <v>38</v>
      </c>
      <c r="F77" s="4" t="s">
        <v>39</v>
      </c>
      <c r="G77" s="4" t="s">
        <v>40</v>
      </c>
      <c r="H77" s="4">
        <v>0</v>
      </c>
      <c r="I77" s="4">
        <v>999</v>
      </c>
      <c r="J77" s="4">
        <v>20000000</v>
      </c>
      <c r="K77" s="4">
        <v>20000000</v>
      </c>
      <c r="L77" s="4">
        <v>32</v>
      </c>
      <c r="M77" s="4">
        <v>0</v>
      </c>
      <c r="N77" s="4">
        <v>0</v>
      </c>
      <c r="O77" s="4">
        <v>8</v>
      </c>
      <c r="P77" s="4">
        <v>8</v>
      </c>
    </row>
    <row r="78" spans="1:16">
      <c r="A78" s="4">
        <v>72</v>
      </c>
      <c r="B78" s="4">
        <v>10</v>
      </c>
      <c r="C78" s="4" t="s">
        <v>47</v>
      </c>
      <c r="D78" s="4" t="s">
        <v>48</v>
      </c>
      <c r="E78" s="4" t="s">
        <v>38</v>
      </c>
      <c r="F78" s="4" t="s">
        <v>39</v>
      </c>
      <c r="G78" s="4" t="s">
        <v>40</v>
      </c>
      <c r="H78" s="4">
        <v>0</v>
      </c>
      <c r="I78" s="4">
        <v>999</v>
      </c>
      <c r="J78" s="4">
        <v>20000000</v>
      </c>
      <c r="K78" s="4">
        <v>20000000</v>
      </c>
      <c r="L78" s="4">
        <v>32</v>
      </c>
      <c r="M78" s="4">
        <v>0</v>
      </c>
      <c r="N78" s="4">
        <v>0</v>
      </c>
      <c r="O78" s="4">
        <v>8</v>
      </c>
      <c r="P78" s="4">
        <v>8</v>
      </c>
    </row>
    <row r="79" spans="1:16">
      <c r="A79" s="4">
        <v>73</v>
      </c>
      <c r="B79" s="4">
        <v>10</v>
      </c>
      <c r="C79" s="4" t="s">
        <v>49</v>
      </c>
      <c r="D79" s="4" t="s">
        <v>50</v>
      </c>
      <c r="E79" s="4" t="s">
        <v>38</v>
      </c>
      <c r="F79" s="4" t="s">
        <v>39</v>
      </c>
      <c r="G79" s="4" t="s">
        <v>40</v>
      </c>
      <c r="H79" s="4">
        <v>0</v>
      </c>
      <c r="I79" s="4">
        <v>999</v>
      </c>
      <c r="J79" s="4">
        <v>20000000</v>
      </c>
      <c r="K79" s="4">
        <v>20000000</v>
      </c>
      <c r="L79" s="4">
        <v>32</v>
      </c>
      <c r="M79" s="4">
        <v>0</v>
      </c>
      <c r="N79" s="4">
        <v>0</v>
      </c>
      <c r="O79" s="4">
        <v>8</v>
      </c>
      <c r="P79" s="4">
        <v>8</v>
      </c>
    </row>
    <row r="80" spans="1:16">
      <c r="A80" s="4">
        <v>74</v>
      </c>
      <c r="B80" s="4">
        <v>10</v>
      </c>
      <c r="C80" s="4" t="s">
        <v>51</v>
      </c>
      <c r="D80" s="4" t="s">
        <v>52</v>
      </c>
      <c r="E80" s="4" t="s">
        <v>38</v>
      </c>
      <c r="F80" s="4" t="s">
        <v>39</v>
      </c>
      <c r="G80" s="4" t="s">
        <v>40</v>
      </c>
      <c r="H80" s="4">
        <v>0</v>
      </c>
      <c r="I80" s="4">
        <v>999</v>
      </c>
      <c r="J80" s="4">
        <v>20000000</v>
      </c>
      <c r="K80" s="4">
        <v>20000000</v>
      </c>
      <c r="L80" s="4">
        <v>32</v>
      </c>
      <c r="M80" s="4">
        <v>0</v>
      </c>
      <c r="N80" s="4">
        <v>0</v>
      </c>
      <c r="O80" s="4">
        <v>8</v>
      </c>
      <c r="P80" s="4">
        <v>8</v>
      </c>
    </row>
    <row r="81" spans="1:16">
      <c r="A81" s="4">
        <v>75</v>
      </c>
      <c r="B81" s="4">
        <v>10</v>
      </c>
      <c r="C81" s="4" t="s">
        <v>77</v>
      </c>
      <c r="D81" s="4" t="s">
        <v>38</v>
      </c>
      <c r="E81" s="4" t="s">
        <v>38</v>
      </c>
      <c r="F81" s="4" t="s">
        <v>39</v>
      </c>
      <c r="G81" s="4" t="s">
        <v>40</v>
      </c>
      <c r="H81" s="4">
        <v>0</v>
      </c>
      <c r="I81" s="4">
        <v>999</v>
      </c>
      <c r="J81" s="4">
        <v>20000000</v>
      </c>
      <c r="K81" s="4">
        <v>20000000</v>
      </c>
      <c r="L81" s="4">
        <v>24</v>
      </c>
      <c r="M81" s="4">
        <v>0</v>
      </c>
      <c r="N81" s="4">
        <v>0</v>
      </c>
      <c r="O81" s="4">
        <v>6</v>
      </c>
      <c r="P81" s="4">
        <v>6</v>
      </c>
    </row>
    <row r="82" spans="1:16">
      <c r="A82" s="4">
        <v>76</v>
      </c>
      <c r="B82" s="4">
        <v>10</v>
      </c>
      <c r="C82" s="4" t="s">
        <v>78</v>
      </c>
      <c r="D82" s="4" t="s">
        <v>38</v>
      </c>
      <c r="E82" s="6" t="s">
        <v>79</v>
      </c>
      <c r="F82" s="4" t="s">
        <v>39</v>
      </c>
      <c r="G82" s="4" t="s">
        <v>40</v>
      </c>
      <c r="H82" s="4">
        <v>100</v>
      </c>
      <c r="I82" s="4">
        <v>999</v>
      </c>
      <c r="J82" s="4">
        <v>20000000</v>
      </c>
      <c r="K82" s="4">
        <v>20000000</v>
      </c>
      <c r="L82" s="4">
        <v>24</v>
      </c>
      <c r="M82" s="4">
        <v>0</v>
      </c>
      <c r="N82" s="4">
        <v>0</v>
      </c>
      <c r="O82" s="4">
        <v>6</v>
      </c>
      <c r="P82" s="4">
        <v>6</v>
      </c>
    </row>
    <row r="83" spans="1:16">
      <c r="A83" s="4">
        <v>77</v>
      </c>
      <c r="B83" s="4">
        <v>10</v>
      </c>
      <c r="C83" s="4" t="s">
        <v>80</v>
      </c>
      <c r="D83" s="4" t="s">
        <v>38</v>
      </c>
      <c r="E83" s="6" t="s">
        <v>81</v>
      </c>
      <c r="F83" s="4" t="s">
        <v>39</v>
      </c>
      <c r="G83" s="4" t="s">
        <v>40</v>
      </c>
      <c r="H83" s="4">
        <v>100</v>
      </c>
      <c r="I83" s="4">
        <v>999</v>
      </c>
      <c r="J83" s="4">
        <v>20000000</v>
      </c>
      <c r="K83" s="4">
        <v>20000000</v>
      </c>
      <c r="L83" s="4">
        <v>24</v>
      </c>
      <c r="M83" s="4">
        <v>0</v>
      </c>
      <c r="N83" s="4">
        <v>0</v>
      </c>
      <c r="O83" s="4">
        <v>6</v>
      </c>
      <c r="P83" s="4">
        <v>6</v>
      </c>
    </row>
    <row r="84" spans="1:16">
      <c r="A84" s="4">
        <v>78</v>
      </c>
      <c r="B84" s="4">
        <v>10</v>
      </c>
      <c r="C84" s="4" t="s">
        <v>82</v>
      </c>
      <c r="D84" s="4" t="s">
        <v>38</v>
      </c>
      <c r="E84" s="6" t="s">
        <v>83</v>
      </c>
      <c r="F84" s="4" t="s">
        <v>39</v>
      </c>
      <c r="G84" s="4" t="s">
        <v>40</v>
      </c>
      <c r="H84" s="4">
        <v>100</v>
      </c>
      <c r="I84" s="4">
        <v>999</v>
      </c>
      <c r="J84" s="4">
        <v>20000000</v>
      </c>
      <c r="K84" s="4">
        <v>20000000</v>
      </c>
      <c r="L84" s="4">
        <v>24</v>
      </c>
      <c r="M84" s="4">
        <v>0</v>
      </c>
      <c r="N84" s="4">
        <v>0</v>
      </c>
      <c r="O84" s="4">
        <v>6</v>
      </c>
      <c r="P84" s="4">
        <v>6</v>
      </c>
    </row>
    <row r="85" spans="1:16">
      <c r="A85" s="4">
        <v>79</v>
      </c>
      <c r="B85" s="4">
        <v>10</v>
      </c>
      <c r="C85" s="4" t="s">
        <v>84</v>
      </c>
      <c r="D85" s="4" t="s">
        <v>38</v>
      </c>
      <c r="E85" s="6" t="s">
        <v>85</v>
      </c>
      <c r="F85" s="4" t="s">
        <v>39</v>
      </c>
      <c r="G85" s="4" t="s">
        <v>40</v>
      </c>
      <c r="H85" s="4">
        <v>100</v>
      </c>
      <c r="I85" s="4">
        <v>999</v>
      </c>
      <c r="J85" s="4">
        <v>20000000</v>
      </c>
      <c r="K85" s="4">
        <v>20000000</v>
      </c>
      <c r="L85" s="4">
        <v>24</v>
      </c>
      <c r="M85" s="4">
        <v>0</v>
      </c>
      <c r="N85" s="4">
        <v>0</v>
      </c>
      <c r="O85" s="4">
        <v>6</v>
      </c>
      <c r="P85" s="4">
        <v>6</v>
      </c>
    </row>
    <row r="86" spans="1:16">
      <c r="A86" s="4">
        <v>80</v>
      </c>
      <c r="B86" s="4">
        <v>10</v>
      </c>
      <c r="C86" s="4" t="s">
        <v>86</v>
      </c>
      <c r="D86" s="4" t="s">
        <v>38</v>
      </c>
      <c r="E86" s="6" t="s">
        <v>87</v>
      </c>
      <c r="F86" s="4" t="s">
        <v>39</v>
      </c>
      <c r="G86" s="4" t="s">
        <v>40</v>
      </c>
      <c r="H86" s="4">
        <v>100</v>
      </c>
      <c r="I86" s="4">
        <v>999</v>
      </c>
      <c r="J86" s="4">
        <v>20000000</v>
      </c>
      <c r="K86" s="4">
        <v>20000000</v>
      </c>
      <c r="L86" s="4">
        <v>24</v>
      </c>
      <c r="M86" s="4">
        <v>0</v>
      </c>
      <c r="N86" s="4">
        <v>0</v>
      </c>
      <c r="O86" s="4">
        <v>6</v>
      </c>
      <c r="P86" s="4">
        <v>6</v>
      </c>
    </row>
    <row r="87" spans="1:16">
      <c r="A87" s="4">
        <v>81</v>
      </c>
      <c r="B87" s="4">
        <v>11</v>
      </c>
      <c r="C87" s="4" t="s">
        <v>41</v>
      </c>
      <c r="D87" s="4" t="s">
        <v>37</v>
      </c>
      <c r="E87" s="4" t="s">
        <v>38</v>
      </c>
      <c r="F87" s="4" t="s">
        <v>39</v>
      </c>
      <c r="G87" s="4" t="s">
        <v>40</v>
      </c>
      <c r="H87" s="4">
        <v>0</v>
      </c>
      <c r="I87" s="4">
        <v>5</v>
      </c>
      <c r="J87" s="4">
        <v>5000000</v>
      </c>
      <c r="K87" s="7" t="s">
        <v>54</v>
      </c>
      <c r="L87" s="4">
        <v>32</v>
      </c>
      <c r="M87" s="4">
        <v>0</v>
      </c>
      <c r="N87" s="4">
        <v>0</v>
      </c>
      <c r="O87" s="4">
        <v>8</v>
      </c>
      <c r="P87" s="4">
        <v>8</v>
      </c>
    </row>
    <row r="88" spans="1:16">
      <c r="A88" s="4">
        <v>82</v>
      </c>
      <c r="B88" s="4">
        <v>11</v>
      </c>
      <c r="C88" s="4" t="s">
        <v>43</v>
      </c>
      <c r="D88" s="4" t="s">
        <v>37</v>
      </c>
      <c r="E88" s="4" t="s">
        <v>38</v>
      </c>
      <c r="F88" s="4" t="s">
        <v>39</v>
      </c>
      <c r="G88" s="4" t="s">
        <v>40</v>
      </c>
      <c r="H88" s="4">
        <v>0</v>
      </c>
      <c r="I88" s="4">
        <v>5</v>
      </c>
      <c r="J88" s="4">
        <v>5000000</v>
      </c>
      <c r="K88" s="7" t="s">
        <v>54</v>
      </c>
      <c r="L88" s="4">
        <v>32</v>
      </c>
      <c r="M88" s="4">
        <v>0</v>
      </c>
      <c r="N88" s="4">
        <v>0</v>
      </c>
      <c r="O88" s="4">
        <v>8</v>
      </c>
      <c r="P88" s="4">
        <v>8</v>
      </c>
    </row>
    <row r="89" spans="1:16">
      <c r="A89" s="4">
        <v>83</v>
      </c>
      <c r="B89" s="4">
        <v>11</v>
      </c>
      <c r="C89" s="4" t="s">
        <v>45</v>
      </c>
      <c r="D89" s="4" t="s">
        <v>55</v>
      </c>
      <c r="E89" s="4" t="s">
        <v>38</v>
      </c>
      <c r="F89" s="4" t="s">
        <v>39</v>
      </c>
      <c r="G89" s="4" t="s">
        <v>40</v>
      </c>
      <c r="H89" s="4">
        <v>0</v>
      </c>
      <c r="I89" s="4">
        <v>6</v>
      </c>
      <c r="J89" s="4">
        <v>5000000</v>
      </c>
      <c r="K89" s="7" t="s">
        <v>54</v>
      </c>
      <c r="L89" s="4">
        <v>32</v>
      </c>
      <c r="M89" s="4">
        <v>0</v>
      </c>
      <c r="N89" s="4">
        <v>0</v>
      </c>
      <c r="O89" s="4">
        <v>8</v>
      </c>
      <c r="P89" s="4">
        <v>8</v>
      </c>
    </row>
    <row r="90" spans="1:16">
      <c r="A90" s="4">
        <v>84</v>
      </c>
      <c r="B90" s="4">
        <v>11</v>
      </c>
      <c r="C90" s="4" t="s">
        <v>47</v>
      </c>
      <c r="D90" s="4" t="s">
        <v>56</v>
      </c>
      <c r="E90" s="4" t="s">
        <v>38</v>
      </c>
      <c r="F90" s="4" t="s">
        <v>39</v>
      </c>
      <c r="G90" s="4" t="s">
        <v>40</v>
      </c>
      <c r="H90" s="4">
        <v>50</v>
      </c>
      <c r="I90" s="4">
        <v>7</v>
      </c>
      <c r="J90" s="4">
        <v>5000000</v>
      </c>
      <c r="K90" s="7" t="s">
        <v>54</v>
      </c>
      <c r="L90" s="4">
        <v>32</v>
      </c>
      <c r="M90" s="4">
        <v>0</v>
      </c>
      <c r="N90" s="4">
        <v>0</v>
      </c>
      <c r="O90" s="4">
        <v>8</v>
      </c>
      <c r="P90" s="4">
        <v>8</v>
      </c>
    </row>
    <row r="91" spans="1:16">
      <c r="A91" s="4">
        <v>85</v>
      </c>
      <c r="B91" s="4">
        <v>11</v>
      </c>
      <c r="C91" s="4" t="s">
        <v>49</v>
      </c>
      <c r="D91" s="4" t="s">
        <v>57</v>
      </c>
      <c r="E91" s="4" t="s">
        <v>38</v>
      </c>
      <c r="F91" s="4" t="s">
        <v>39</v>
      </c>
      <c r="G91" s="4" t="s">
        <v>40</v>
      </c>
      <c r="H91" s="4">
        <v>50</v>
      </c>
      <c r="I91" s="4">
        <v>8</v>
      </c>
      <c r="J91" s="4">
        <v>10000000</v>
      </c>
      <c r="K91" s="7" t="s">
        <v>58</v>
      </c>
      <c r="L91" s="4">
        <v>32</v>
      </c>
      <c r="M91" s="4">
        <v>0</v>
      </c>
      <c r="N91" s="4">
        <v>0</v>
      </c>
      <c r="O91" s="4">
        <v>8</v>
      </c>
      <c r="P91" s="4">
        <v>8</v>
      </c>
    </row>
    <row r="92" spans="1:16">
      <c r="A92" s="4">
        <v>86</v>
      </c>
      <c r="B92" s="4">
        <v>11</v>
      </c>
      <c r="C92" s="4" t="s">
        <v>51</v>
      </c>
      <c r="D92" s="4" t="s">
        <v>59</v>
      </c>
      <c r="E92" s="4" t="s">
        <v>38</v>
      </c>
      <c r="F92" s="4" t="s">
        <v>39</v>
      </c>
      <c r="G92" s="4" t="s">
        <v>40</v>
      </c>
      <c r="H92" s="4">
        <v>50</v>
      </c>
      <c r="I92" s="4">
        <v>9</v>
      </c>
      <c r="J92" s="4">
        <v>10000000</v>
      </c>
      <c r="K92" s="7" t="s">
        <v>58</v>
      </c>
      <c r="L92" s="4">
        <v>32</v>
      </c>
      <c r="M92" s="4">
        <v>0</v>
      </c>
      <c r="N92" s="4">
        <v>0</v>
      </c>
      <c r="O92" s="4">
        <v>8</v>
      </c>
      <c r="P92" s="4">
        <v>8</v>
      </c>
    </row>
    <row r="93" spans="1:16">
      <c r="A93" s="4">
        <v>87</v>
      </c>
      <c r="B93" s="4">
        <v>11</v>
      </c>
      <c r="C93" s="4" t="s">
        <v>60</v>
      </c>
      <c r="D93" s="4" t="s">
        <v>61</v>
      </c>
      <c r="E93" s="4" t="s">
        <v>38</v>
      </c>
      <c r="F93" s="4" t="s">
        <v>39</v>
      </c>
      <c r="G93" s="4" t="s">
        <v>40</v>
      </c>
      <c r="H93" s="4">
        <v>50</v>
      </c>
      <c r="I93" s="4">
        <v>10</v>
      </c>
      <c r="J93" s="4">
        <v>15000000</v>
      </c>
      <c r="K93" s="7" t="s">
        <v>62</v>
      </c>
      <c r="L93" s="4">
        <v>32</v>
      </c>
      <c r="M93" s="4">
        <v>0</v>
      </c>
      <c r="N93" s="4">
        <v>0</v>
      </c>
      <c r="O93" s="4">
        <v>8</v>
      </c>
      <c r="P93" s="4">
        <v>8</v>
      </c>
    </row>
    <row r="94" spans="1:16">
      <c r="A94" s="4">
        <v>88</v>
      </c>
      <c r="B94" s="4">
        <v>11</v>
      </c>
      <c r="C94" s="4" t="s">
        <v>63</v>
      </c>
      <c r="D94" s="4" t="s">
        <v>38</v>
      </c>
      <c r="E94" s="4" t="s">
        <v>38</v>
      </c>
      <c r="F94" s="4" t="s">
        <v>39</v>
      </c>
      <c r="G94" s="4" t="s">
        <v>40</v>
      </c>
      <c r="H94" s="4">
        <v>50</v>
      </c>
      <c r="I94" s="4">
        <v>11</v>
      </c>
      <c r="J94" s="4">
        <v>15000000</v>
      </c>
      <c r="K94" s="7" t="s">
        <v>62</v>
      </c>
      <c r="L94" s="4">
        <v>32</v>
      </c>
      <c r="M94" s="4">
        <v>0</v>
      </c>
      <c r="N94" s="4">
        <v>0</v>
      </c>
      <c r="O94" s="4">
        <v>8</v>
      </c>
      <c r="P94" s="4">
        <v>8</v>
      </c>
    </row>
    <row r="95" spans="1:16">
      <c r="A95" s="4">
        <v>89</v>
      </c>
      <c r="B95" s="4">
        <v>11</v>
      </c>
      <c r="C95" s="4" t="s">
        <v>64</v>
      </c>
      <c r="D95" s="4" t="s">
        <v>38</v>
      </c>
      <c r="E95" s="4" t="s">
        <v>38</v>
      </c>
      <c r="F95" s="4" t="s">
        <v>39</v>
      </c>
      <c r="G95" s="4" t="s">
        <v>65</v>
      </c>
      <c r="H95" s="4">
        <v>50</v>
      </c>
      <c r="I95" s="4">
        <v>11</v>
      </c>
      <c r="J95" s="4">
        <v>25000000</v>
      </c>
      <c r="K95" s="7" t="s">
        <v>66</v>
      </c>
      <c r="L95" s="4">
        <v>24</v>
      </c>
      <c r="M95" s="4">
        <v>0</v>
      </c>
      <c r="N95" s="4">
        <v>0</v>
      </c>
      <c r="O95" s="4">
        <v>6</v>
      </c>
      <c r="P95" s="4">
        <v>6</v>
      </c>
    </row>
    <row r="96" spans="1:16">
      <c r="A96" s="4">
        <v>90</v>
      </c>
      <c r="B96" s="4">
        <v>11</v>
      </c>
      <c r="C96" s="4" t="s">
        <v>67</v>
      </c>
      <c r="D96" s="4" t="s">
        <v>38</v>
      </c>
      <c r="E96" s="4" t="s">
        <v>38</v>
      </c>
      <c r="F96" s="4" t="s">
        <v>39</v>
      </c>
      <c r="G96" s="4" t="s">
        <v>65</v>
      </c>
      <c r="H96" s="4">
        <v>50</v>
      </c>
      <c r="I96" s="4">
        <v>11</v>
      </c>
      <c r="J96" s="4">
        <v>25000000</v>
      </c>
      <c r="K96" s="7" t="s">
        <v>66</v>
      </c>
      <c r="L96" s="4">
        <v>16</v>
      </c>
      <c r="M96" s="4">
        <v>0</v>
      </c>
      <c r="N96" s="4">
        <v>0</v>
      </c>
      <c r="O96" s="4">
        <v>4</v>
      </c>
      <c r="P96" s="4">
        <v>4</v>
      </c>
    </row>
    <row r="97" spans="1:16">
      <c r="A97" s="8">
        <v>91</v>
      </c>
      <c r="B97" s="8">
        <v>1</v>
      </c>
      <c r="C97" s="8" t="s">
        <v>88</v>
      </c>
      <c r="D97" s="8" t="s">
        <v>38</v>
      </c>
      <c r="E97" s="8" t="s">
        <v>38</v>
      </c>
      <c r="F97" s="8" t="s">
        <v>39</v>
      </c>
      <c r="G97" s="8" t="s">
        <v>89</v>
      </c>
      <c r="H97" s="8">
        <v>0</v>
      </c>
      <c r="I97" s="8">
        <v>999</v>
      </c>
      <c r="J97" s="8">
        <v>25000000</v>
      </c>
      <c r="K97" s="9" t="s">
        <v>66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3"/>
  <sheetViews>
    <sheetView workbookViewId="0">
      <selection activeCell="C35" sqref="C35:D43"/>
    </sheetView>
  </sheetViews>
  <sheetFormatPr defaultColWidth="9" defaultRowHeight="14"/>
  <cols>
    <col min="2" max="2" width="10.3727272727273" customWidth="1"/>
    <col min="3" max="3" width="8.87272727272727" customWidth="1"/>
    <col min="4" max="4" width="54.8727272727273" customWidth="1"/>
    <col min="5" max="6" width="9.37272727272727" customWidth="1"/>
    <col min="7" max="12" width="8.37272727272727" customWidth="1"/>
    <col min="13" max="15" width="9.37272727272727" customWidth="1"/>
    <col min="18" max="21" width="8.37272727272727" customWidth="1"/>
    <col min="22" max="27" width="9.37272727272727" customWidth="1"/>
  </cols>
  <sheetData>
    <row r="1" spans="5:30"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f>SUM(E1:M1)</f>
        <v>54</v>
      </c>
      <c r="Q1" t="s">
        <v>90</v>
      </c>
      <c r="R1" t="s">
        <v>91</v>
      </c>
      <c r="S1">
        <v>4</v>
      </c>
      <c r="T1">
        <v>7</v>
      </c>
      <c r="U1">
        <v>12</v>
      </c>
      <c r="V1">
        <v>19</v>
      </c>
      <c r="W1">
        <v>28</v>
      </c>
      <c r="X1">
        <v>39</v>
      </c>
      <c r="Y1">
        <v>52</v>
      </c>
      <c r="Z1">
        <v>67</v>
      </c>
      <c r="AA1">
        <v>84</v>
      </c>
      <c r="AB1">
        <v>103</v>
      </c>
      <c r="AC1">
        <v>110</v>
      </c>
      <c r="AD1">
        <v>120</v>
      </c>
    </row>
    <row r="2" spans="1:30">
      <c r="A2" t="s">
        <v>92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  <c r="H2" t="s">
        <v>99</v>
      </c>
      <c r="I2" t="s">
        <v>100</v>
      </c>
      <c r="J2" t="s">
        <v>101</v>
      </c>
      <c r="K2" t="s">
        <v>102</v>
      </c>
      <c r="L2" t="s">
        <v>103</v>
      </c>
      <c r="M2" t="s">
        <v>104</v>
      </c>
      <c r="N2" t="s">
        <v>105</v>
      </c>
      <c r="Q2" t="s">
        <v>106</v>
      </c>
      <c r="R2">
        <v>16</v>
      </c>
      <c r="S2">
        <f>R2+16</f>
        <v>32</v>
      </c>
      <c r="T2">
        <f t="shared" ref="T2:AA2" si="0">S2+16</f>
        <v>48</v>
      </c>
      <c r="U2">
        <f t="shared" si="0"/>
        <v>64</v>
      </c>
      <c r="V2">
        <f t="shared" si="0"/>
        <v>80</v>
      </c>
      <c r="W2">
        <f t="shared" si="0"/>
        <v>96</v>
      </c>
      <c r="X2">
        <f t="shared" si="0"/>
        <v>112</v>
      </c>
      <c r="Y2">
        <f t="shared" si="0"/>
        <v>128</v>
      </c>
      <c r="Z2">
        <f t="shared" si="0"/>
        <v>144</v>
      </c>
      <c r="AA2">
        <f t="shared" si="0"/>
        <v>160</v>
      </c>
      <c r="AB2">
        <f t="shared" ref="AB2:AD2" si="1">AA2+16</f>
        <v>176</v>
      </c>
      <c r="AC2">
        <f t="shared" si="1"/>
        <v>192</v>
      </c>
      <c r="AD2">
        <f t="shared" si="1"/>
        <v>208</v>
      </c>
    </row>
    <row r="3" spans="1:27">
      <c r="A3">
        <v>5</v>
      </c>
      <c r="B3" t="s">
        <v>43</v>
      </c>
      <c r="C3" s="1">
        <v>100000</v>
      </c>
      <c r="D3" s="1" t="str">
        <f>_xlfn.TEXTJOIN(",",1,E3:M3)</f>
        <v>200000,300000,400000,500000,600000,700000,800000,900000,1000000</v>
      </c>
      <c r="E3">
        <f>$C3*E$1</f>
        <v>200000</v>
      </c>
      <c r="F3">
        <f t="shared" ref="F3:N3" si="2">$C3*F$1</f>
        <v>300000</v>
      </c>
      <c r="G3">
        <f t="shared" si="2"/>
        <v>400000</v>
      </c>
      <c r="H3">
        <f t="shared" si="2"/>
        <v>500000</v>
      </c>
      <c r="I3">
        <f t="shared" si="2"/>
        <v>600000</v>
      </c>
      <c r="J3">
        <f t="shared" si="2"/>
        <v>700000</v>
      </c>
      <c r="K3">
        <f t="shared" si="2"/>
        <v>800000</v>
      </c>
      <c r="L3">
        <f t="shared" si="2"/>
        <v>900000</v>
      </c>
      <c r="M3">
        <f t="shared" si="2"/>
        <v>1000000</v>
      </c>
      <c r="N3">
        <f>SUM(E3:M3)</f>
        <v>5400000</v>
      </c>
      <c r="Q3" t="s">
        <v>107</v>
      </c>
      <c r="R3">
        <f>C3</f>
        <v>100000</v>
      </c>
      <c r="S3">
        <f>E3</f>
        <v>200000</v>
      </c>
      <c r="T3">
        <f>S3+F3</f>
        <v>500000</v>
      </c>
      <c r="U3">
        <f>T3+G3</f>
        <v>900000</v>
      </c>
      <c r="V3">
        <f t="shared" ref="U3:AA3" si="3">U3+H3</f>
        <v>1400000</v>
      </c>
      <c r="W3">
        <f t="shared" si="3"/>
        <v>2000000</v>
      </c>
      <c r="X3">
        <f t="shared" si="3"/>
        <v>2700000</v>
      </c>
      <c r="Y3">
        <f t="shared" si="3"/>
        <v>3500000</v>
      </c>
      <c r="Z3">
        <f t="shared" si="3"/>
        <v>4400000</v>
      </c>
      <c r="AA3">
        <f t="shared" si="3"/>
        <v>5400000</v>
      </c>
    </row>
    <row r="4" spans="1:27">
      <c r="A4">
        <v>5</v>
      </c>
      <c r="B4" t="s">
        <v>45</v>
      </c>
      <c r="C4" s="1">
        <v>100000</v>
      </c>
      <c r="D4" s="1" t="str">
        <f t="shared" ref="D4:D11" si="4">_xlfn.TEXTJOIN(",",1,E4:M4)</f>
        <v>200000,300000,400000,500000,600000,700000,800000,900000,1000000</v>
      </c>
      <c r="E4">
        <f t="shared" ref="E4:E11" si="5">$C4*E$1</f>
        <v>200000</v>
      </c>
      <c r="F4">
        <f t="shared" ref="F4:F11" si="6">$C4*F$1</f>
        <v>300000</v>
      </c>
      <c r="G4">
        <f t="shared" ref="G4:G11" si="7">$C4*G$1</f>
        <v>400000</v>
      </c>
      <c r="H4">
        <f t="shared" ref="H4:H11" si="8">$C4*H$1</f>
        <v>500000</v>
      </c>
      <c r="I4">
        <f t="shared" ref="I4:I11" si="9">$C4*I$1</f>
        <v>600000</v>
      </c>
      <c r="J4">
        <f t="shared" ref="J4:J11" si="10">$C4*J$1</f>
        <v>700000</v>
      </c>
      <c r="K4">
        <f t="shared" ref="K4:K11" si="11">$C4*K$1</f>
        <v>800000</v>
      </c>
      <c r="L4">
        <f t="shared" ref="L4:L11" si="12">$C4*L$1</f>
        <v>900000</v>
      </c>
      <c r="M4">
        <f t="shared" ref="M4:M11" si="13">$C4*M$1</f>
        <v>1000000</v>
      </c>
      <c r="N4">
        <f t="shared" ref="N4:N11" si="14">SUM(E4:M4)</f>
        <v>5400000</v>
      </c>
      <c r="R4">
        <f t="shared" ref="R4:R11" si="15">C4</f>
        <v>100000</v>
      </c>
      <c r="S4">
        <f t="shared" ref="S4:S11" si="16">E4</f>
        <v>200000</v>
      </c>
      <c r="T4">
        <f t="shared" ref="T4:T11" si="17">S4+F4</f>
        <v>500000</v>
      </c>
      <c r="U4">
        <f t="shared" ref="U4:AA4" si="18">T4+G4</f>
        <v>900000</v>
      </c>
      <c r="V4">
        <f t="shared" si="18"/>
        <v>1400000</v>
      </c>
      <c r="W4">
        <f t="shared" si="18"/>
        <v>2000000</v>
      </c>
      <c r="X4">
        <f t="shared" si="18"/>
        <v>2700000</v>
      </c>
      <c r="Y4">
        <f t="shared" si="18"/>
        <v>3500000</v>
      </c>
      <c r="Z4">
        <f t="shared" si="18"/>
        <v>4400000</v>
      </c>
      <c r="AA4">
        <f t="shared" si="18"/>
        <v>5400000</v>
      </c>
    </row>
    <row r="5" spans="1:27">
      <c r="A5">
        <v>5</v>
      </c>
      <c r="B5" t="s">
        <v>47</v>
      </c>
      <c r="C5" s="1">
        <v>120000</v>
      </c>
      <c r="D5" s="1" t="str">
        <f t="shared" si="4"/>
        <v>240000,360000,480000,600000,720000,840000,960000,1080000,1200000</v>
      </c>
      <c r="E5">
        <f t="shared" si="5"/>
        <v>240000</v>
      </c>
      <c r="F5">
        <f t="shared" si="6"/>
        <v>360000</v>
      </c>
      <c r="G5">
        <f t="shared" si="7"/>
        <v>480000</v>
      </c>
      <c r="H5">
        <f t="shared" si="8"/>
        <v>600000</v>
      </c>
      <c r="I5">
        <f t="shared" si="9"/>
        <v>720000</v>
      </c>
      <c r="J5">
        <f t="shared" si="10"/>
        <v>840000</v>
      </c>
      <c r="K5">
        <f t="shared" si="11"/>
        <v>960000</v>
      </c>
      <c r="L5">
        <f t="shared" si="12"/>
        <v>1080000</v>
      </c>
      <c r="M5">
        <f t="shared" si="13"/>
        <v>1200000</v>
      </c>
      <c r="N5">
        <f t="shared" si="14"/>
        <v>6480000</v>
      </c>
      <c r="R5">
        <f t="shared" si="15"/>
        <v>120000</v>
      </c>
      <c r="S5">
        <f t="shared" si="16"/>
        <v>240000</v>
      </c>
      <c r="T5">
        <f t="shared" si="17"/>
        <v>600000</v>
      </c>
      <c r="U5">
        <f t="shared" ref="U5:AA5" si="19">T5+G5</f>
        <v>1080000</v>
      </c>
      <c r="V5">
        <f t="shared" si="19"/>
        <v>1680000</v>
      </c>
      <c r="W5">
        <f t="shared" si="19"/>
        <v>2400000</v>
      </c>
      <c r="X5">
        <f t="shared" si="19"/>
        <v>3240000</v>
      </c>
      <c r="Y5">
        <f t="shared" si="19"/>
        <v>4200000</v>
      </c>
      <c r="Z5">
        <f t="shared" si="19"/>
        <v>5280000</v>
      </c>
      <c r="AA5">
        <f t="shared" si="19"/>
        <v>6480000</v>
      </c>
    </row>
    <row r="6" spans="1:27">
      <c r="A6">
        <v>5</v>
      </c>
      <c r="B6" t="s">
        <v>49</v>
      </c>
      <c r="C6" s="1">
        <v>120000</v>
      </c>
      <c r="D6" s="1" t="str">
        <f t="shared" si="4"/>
        <v>240000,360000,480000,600000,720000,840000,960000,1080000,1200000</v>
      </c>
      <c r="E6">
        <f t="shared" si="5"/>
        <v>240000</v>
      </c>
      <c r="F6">
        <f t="shared" si="6"/>
        <v>360000</v>
      </c>
      <c r="G6">
        <f t="shared" si="7"/>
        <v>480000</v>
      </c>
      <c r="H6">
        <f t="shared" si="8"/>
        <v>600000</v>
      </c>
      <c r="I6">
        <f t="shared" si="9"/>
        <v>720000</v>
      </c>
      <c r="J6">
        <f t="shared" si="10"/>
        <v>840000</v>
      </c>
      <c r="K6">
        <f t="shared" si="11"/>
        <v>960000</v>
      </c>
      <c r="L6">
        <f t="shared" si="12"/>
        <v>1080000</v>
      </c>
      <c r="M6">
        <f t="shared" si="13"/>
        <v>1200000</v>
      </c>
      <c r="N6">
        <f t="shared" si="14"/>
        <v>6480000</v>
      </c>
      <c r="R6">
        <f t="shared" si="15"/>
        <v>120000</v>
      </c>
      <c r="S6">
        <f t="shared" si="16"/>
        <v>240000</v>
      </c>
      <c r="T6">
        <f t="shared" si="17"/>
        <v>600000</v>
      </c>
      <c r="U6">
        <f t="shared" ref="U6:AA6" si="20">T6+G6</f>
        <v>1080000</v>
      </c>
      <c r="V6">
        <f t="shared" si="20"/>
        <v>1680000</v>
      </c>
      <c r="W6">
        <f t="shared" si="20"/>
        <v>2400000</v>
      </c>
      <c r="X6">
        <f t="shared" si="20"/>
        <v>3240000</v>
      </c>
      <c r="Y6">
        <f t="shared" si="20"/>
        <v>4200000</v>
      </c>
      <c r="Z6">
        <f t="shared" si="20"/>
        <v>5280000</v>
      </c>
      <c r="AA6">
        <f t="shared" si="20"/>
        <v>6480000</v>
      </c>
    </row>
    <row r="7" spans="1:27">
      <c r="A7">
        <v>5</v>
      </c>
      <c r="B7" t="s">
        <v>51</v>
      </c>
      <c r="C7" s="1">
        <v>150000</v>
      </c>
      <c r="D7" s="1" t="str">
        <f t="shared" si="4"/>
        <v>300000,450000,600000,750000,900000,1050000,1200000,1350000,1500000</v>
      </c>
      <c r="E7">
        <f t="shared" si="5"/>
        <v>300000</v>
      </c>
      <c r="F7">
        <f t="shared" si="6"/>
        <v>450000</v>
      </c>
      <c r="G7">
        <f t="shared" si="7"/>
        <v>600000</v>
      </c>
      <c r="H7">
        <f t="shared" si="8"/>
        <v>750000</v>
      </c>
      <c r="I7">
        <f t="shared" si="9"/>
        <v>900000</v>
      </c>
      <c r="J7">
        <f t="shared" si="10"/>
        <v>1050000</v>
      </c>
      <c r="K7">
        <f t="shared" si="11"/>
        <v>1200000</v>
      </c>
      <c r="L7">
        <f t="shared" si="12"/>
        <v>1350000</v>
      </c>
      <c r="M7">
        <f t="shared" si="13"/>
        <v>1500000</v>
      </c>
      <c r="N7">
        <f t="shared" si="14"/>
        <v>8100000</v>
      </c>
      <c r="R7">
        <f t="shared" si="15"/>
        <v>150000</v>
      </c>
      <c r="S7">
        <f t="shared" si="16"/>
        <v>300000</v>
      </c>
      <c r="T7">
        <f t="shared" si="17"/>
        <v>750000</v>
      </c>
      <c r="U7">
        <f t="shared" ref="U7:AA7" si="21">T7+G7</f>
        <v>1350000</v>
      </c>
      <c r="V7">
        <f t="shared" si="21"/>
        <v>2100000</v>
      </c>
      <c r="W7">
        <f t="shared" si="21"/>
        <v>3000000</v>
      </c>
      <c r="X7">
        <f t="shared" si="21"/>
        <v>4050000</v>
      </c>
      <c r="Y7">
        <f t="shared" si="21"/>
        <v>5250000</v>
      </c>
      <c r="Z7">
        <f t="shared" si="21"/>
        <v>6600000</v>
      </c>
      <c r="AA7">
        <f t="shared" si="21"/>
        <v>8100000</v>
      </c>
    </row>
    <row r="8" spans="1:27">
      <c r="A8">
        <v>5</v>
      </c>
      <c r="B8" t="s">
        <v>60</v>
      </c>
      <c r="C8" s="1">
        <v>200000</v>
      </c>
      <c r="D8" s="1" t="str">
        <f t="shared" si="4"/>
        <v>400000,600000,800000,1000000,1200000,1400000,1600000,1800000,2000000</v>
      </c>
      <c r="E8">
        <f t="shared" si="5"/>
        <v>400000</v>
      </c>
      <c r="F8">
        <f t="shared" si="6"/>
        <v>600000</v>
      </c>
      <c r="G8">
        <f t="shared" si="7"/>
        <v>800000</v>
      </c>
      <c r="H8">
        <f t="shared" si="8"/>
        <v>1000000</v>
      </c>
      <c r="I8">
        <f t="shared" si="9"/>
        <v>1200000</v>
      </c>
      <c r="J8">
        <f t="shared" si="10"/>
        <v>1400000</v>
      </c>
      <c r="K8">
        <f t="shared" si="11"/>
        <v>1600000</v>
      </c>
      <c r="L8">
        <f t="shared" si="12"/>
        <v>1800000</v>
      </c>
      <c r="M8">
        <f t="shared" si="13"/>
        <v>2000000</v>
      </c>
      <c r="N8">
        <f t="shared" si="14"/>
        <v>10800000</v>
      </c>
      <c r="R8">
        <f t="shared" si="15"/>
        <v>200000</v>
      </c>
      <c r="S8">
        <f t="shared" si="16"/>
        <v>400000</v>
      </c>
      <c r="T8">
        <f t="shared" si="17"/>
        <v>1000000</v>
      </c>
      <c r="U8">
        <f t="shared" ref="U8:AA8" si="22">T8+G8</f>
        <v>1800000</v>
      </c>
      <c r="V8">
        <f t="shared" si="22"/>
        <v>2800000</v>
      </c>
      <c r="W8">
        <f t="shared" si="22"/>
        <v>4000000</v>
      </c>
      <c r="X8">
        <f t="shared" si="22"/>
        <v>5400000</v>
      </c>
      <c r="Y8">
        <f t="shared" si="22"/>
        <v>7000000</v>
      </c>
      <c r="Z8">
        <f t="shared" si="22"/>
        <v>8800000</v>
      </c>
      <c r="AA8">
        <f t="shared" si="22"/>
        <v>10800000</v>
      </c>
    </row>
    <row r="9" spans="1:27">
      <c r="A9">
        <v>5</v>
      </c>
      <c r="B9" t="s">
        <v>63</v>
      </c>
      <c r="C9" s="1">
        <v>200000</v>
      </c>
      <c r="D9" s="1" t="str">
        <f t="shared" si="4"/>
        <v>400000,600000,800000,1000000,1200000,1400000,1600000,1800000,2000000</v>
      </c>
      <c r="E9">
        <f t="shared" si="5"/>
        <v>400000</v>
      </c>
      <c r="F9">
        <f t="shared" si="6"/>
        <v>600000</v>
      </c>
      <c r="G9">
        <f t="shared" si="7"/>
        <v>800000</v>
      </c>
      <c r="H9">
        <f t="shared" si="8"/>
        <v>1000000</v>
      </c>
      <c r="I9">
        <f t="shared" si="9"/>
        <v>1200000</v>
      </c>
      <c r="J9">
        <f t="shared" si="10"/>
        <v>1400000</v>
      </c>
      <c r="K9">
        <f t="shared" si="11"/>
        <v>1600000</v>
      </c>
      <c r="L9">
        <f t="shared" si="12"/>
        <v>1800000</v>
      </c>
      <c r="M9">
        <f t="shared" si="13"/>
        <v>2000000</v>
      </c>
      <c r="N9">
        <f t="shared" si="14"/>
        <v>10800000</v>
      </c>
      <c r="R9">
        <f t="shared" si="15"/>
        <v>200000</v>
      </c>
      <c r="S9">
        <f t="shared" si="16"/>
        <v>400000</v>
      </c>
      <c r="T9">
        <f t="shared" si="17"/>
        <v>1000000</v>
      </c>
      <c r="U9">
        <f t="shared" ref="U9:AA9" si="23">T9+G9</f>
        <v>1800000</v>
      </c>
      <c r="V9">
        <f t="shared" si="23"/>
        <v>2800000</v>
      </c>
      <c r="W9">
        <f t="shared" si="23"/>
        <v>4000000</v>
      </c>
      <c r="X9">
        <f t="shared" si="23"/>
        <v>5400000</v>
      </c>
      <c r="Y9">
        <f t="shared" si="23"/>
        <v>7000000</v>
      </c>
      <c r="Z9">
        <f t="shared" si="23"/>
        <v>8800000</v>
      </c>
      <c r="AA9">
        <f t="shared" si="23"/>
        <v>10800000</v>
      </c>
    </row>
    <row r="10" spans="1:27">
      <c r="A10">
        <v>5</v>
      </c>
      <c r="B10" t="s">
        <v>64</v>
      </c>
      <c r="C10" s="1">
        <v>200000</v>
      </c>
      <c r="D10" s="1" t="str">
        <f t="shared" si="4"/>
        <v>400000,600000,800000,1000000,1200000,1400000,1600000,1800000,2000000</v>
      </c>
      <c r="E10">
        <f t="shared" si="5"/>
        <v>400000</v>
      </c>
      <c r="F10">
        <f t="shared" si="6"/>
        <v>600000</v>
      </c>
      <c r="G10">
        <f t="shared" si="7"/>
        <v>800000</v>
      </c>
      <c r="H10">
        <f t="shared" si="8"/>
        <v>1000000</v>
      </c>
      <c r="I10">
        <f t="shared" si="9"/>
        <v>1200000</v>
      </c>
      <c r="J10">
        <f t="shared" si="10"/>
        <v>1400000</v>
      </c>
      <c r="K10">
        <f t="shared" si="11"/>
        <v>1600000</v>
      </c>
      <c r="L10">
        <f t="shared" si="12"/>
        <v>1800000</v>
      </c>
      <c r="M10">
        <f t="shared" si="13"/>
        <v>2000000</v>
      </c>
      <c r="N10">
        <f t="shared" si="14"/>
        <v>10800000</v>
      </c>
      <c r="R10">
        <f t="shared" si="15"/>
        <v>200000</v>
      </c>
      <c r="S10">
        <f t="shared" si="16"/>
        <v>400000</v>
      </c>
      <c r="T10">
        <f t="shared" si="17"/>
        <v>1000000</v>
      </c>
      <c r="U10">
        <f t="shared" ref="U10:AA10" si="24">T10+G10</f>
        <v>1800000</v>
      </c>
      <c r="V10">
        <f t="shared" si="24"/>
        <v>2800000</v>
      </c>
      <c r="W10">
        <f t="shared" si="24"/>
        <v>4000000</v>
      </c>
      <c r="X10">
        <f t="shared" si="24"/>
        <v>5400000</v>
      </c>
      <c r="Y10">
        <f t="shared" si="24"/>
        <v>7000000</v>
      </c>
      <c r="Z10">
        <f t="shared" si="24"/>
        <v>8800000</v>
      </c>
      <c r="AA10">
        <f t="shared" si="24"/>
        <v>10800000</v>
      </c>
    </row>
    <row r="11" spans="1:27">
      <c r="A11">
        <v>5</v>
      </c>
      <c r="B11" t="s">
        <v>67</v>
      </c>
      <c r="C11" s="1">
        <v>200000</v>
      </c>
      <c r="D11" s="1" t="str">
        <f t="shared" si="4"/>
        <v>400000,600000,800000,1000000,1200000,1400000,1600000,1800000,2000000</v>
      </c>
      <c r="E11">
        <f t="shared" si="5"/>
        <v>400000</v>
      </c>
      <c r="F11">
        <f t="shared" si="6"/>
        <v>600000</v>
      </c>
      <c r="G11">
        <f t="shared" si="7"/>
        <v>800000</v>
      </c>
      <c r="H11">
        <f t="shared" si="8"/>
        <v>1000000</v>
      </c>
      <c r="I11">
        <f t="shared" si="9"/>
        <v>1200000</v>
      </c>
      <c r="J11">
        <f t="shared" si="10"/>
        <v>1400000</v>
      </c>
      <c r="K11">
        <f t="shared" si="11"/>
        <v>1600000</v>
      </c>
      <c r="L11">
        <f t="shared" si="12"/>
        <v>1800000</v>
      </c>
      <c r="M11">
        <f t="shared" si="13"/>
        <v>2000000</v>
      </c>
      <c r="N11">
        <f t="shared" si="14"/>
        <v>10800000</v>
      </c>
      <c r="R11">
        <f t="shared" si="15"/>
        <v>200000</v>
      </c>
      <c r="S11">
        <f t="shared" si="16"/>
        <v>400000</v>
      </c>
      <c r="T11">
        <f t="shared" si="17"/>
        <v>1000000</v>
      </c>
      <c r="U11">
        <f t="shared" ref="U11:AA11" si="25">T11+G11</f>
        <v>1800000</v>
      </c>
      <c r="V11">
        <f t="shared" si="25"/>
        <v>2800000</v>
      </c>
      <c r="W11">
        <f t="shared" si="25"/>
        <v>4000000</v>
      </c>
      <c r="X11">
        <f t="shared" si="25"/>
        <v>5400000</v>
      </c>
      <c r="Y11">
        <f t="shared" si="25"/>
        <v>7000000</v>
      </c>
      <c r="Z11">
        <f t="shared" si="25"/>
        <v>8800000</v>
      </c>
      <c r="AA11">
        <f t="shared" si="25"/>
        <v>10800000</v>
      </c>
    </row>
    <row r="13" spans="1:27">
      <c r="A13">
        <v>4</v>
      </c>
      <c r="B13" t="s">
        <v>36</v>
      </c>
      <c r="C13" s="1">
        <v>20000000</v>
      </c>
      <c r="D13" s="1" t="str">
        <f t="shared" ref="D13:D21" si="26">_xlfn.TEXTJOIN(",",1,E13:N13)</f>
        <v>1200000,0,0,1000000,0,0,0,0,1000000</v>
      </c>
      <c r="E13">
        <f>E3+1000000</f>
        <v>1200000</v>
      </c>
      <c r="F13">
        <v>0</v>
      </c>
      <c r="G13">
        <v>0</v>
      </c>
      <c r="H13">
        <v>1000000</v>
      </c>
      <c r="I13">
        <v>0</v>
      </c>
      <c r="J13">
        <v>0</v>
      </c>
      <c r="K13">
        <v>0</v>
      </c>
      <c r="L13">
        <v>0</v>
      </c>
      <c r="M13">
        <v>1000000</v>
      </c>
      <c r="R13">
        <f t="shared" ref="R13:R21" si="27">E13</f>
        <v>1200000</v>
      </c>
      <c r="S13">
        <f t="shared" ref="S13:AA13" si="28">R13+F13</f>
        <v>1200000</v>
      </c>
      <c r="T13">
        <f t="shared" si="28"/>
        <v>1200000</v>
      </c>
      <c r="U13">
        <f t="shared" si="28"/>
        <v>2200000</v>
      </c>
      <c r="V13">
        <f t="shared" si="28"/>
        <v>2200000</v>
      </c>
      <c r="W13">
        <f t="shared" si="28"/>
        <v>2200000</v>
      </c>
      <c r="X13">
        <f t="shared" si="28"/>
        <v>2200000</v>
      </c>
      <c r="Y13">
        <f t="shared" si="28"/>
        <v>2200000</v>
      </c>
      <c r="Z13">
        <f t="shared" si="28"/>
        <v>3200000</v>
      </c>
      <c r="AA13">
        <f t="shared" si="28"/>
        <v>3200000</v>
      </c>
    </row>
    <row r="14" spans="1:27">
      <c r="A14">
        <v>4</v>
      </c>
      <c r="B14" t="s">
        <v>41</v>
      </c>
      <c r="C14" s="1">
        <v>20000000</v>
      </c>
      <c r="D14" s="1" t="str">
        <f t="shared" si="26"/>
        <v>1200000,0,0,1000000,0,0,0,0,1000000</v>
      </c>
      <c r="E14">
        <f t="shared" ref="E14:E20" si="29">E4+1000000</f>
        <v>1200000</v>
      </c>
      <c r="F14">
        <v>0</v>
      </c>
      <c r="G14">
        <v>0</v>
      </c>
      <c r="H14">
        <v>1000000</v>
      </c>
      <c r="I14">
        <v>0</v>
      </c>
      <c r="J14">
        <v>0</v>
      </c>
      <c r="K14">
        <v>0</v>
      </c>
      <c r="L14">
        <v>0</v>
      </c>
      <c r="M14">
        <v>1000000</v>
      </c>
      <c r="R14">
        <f t="shared" si="27"/>
        <v>1200000</v>
      </c>
      <c r="S14">
        <f t="shared" ref="S14:AA14" si="30">R14+F14</f>
        <v>1200000</v>
      </c>
      <c r="T14">
        <f t="shared" si="30"/>
        <v>1200000</v>
      </c>
      <c r="U14">
        <f t="shared" si="30"/>
        <v>2200000</v>
      </c>
      <c r="V14">
        <f t="shared" si="30"/>
        <v>2200000</v>
      </c>
      <c r="W14">
        <f t="shared" si="30"/>
        <v>2200000</v>
      </c>
      <c r="X14">
        <f t="shared" si="30"/>
        <v>2200000</v>
      </c>
      <c r="Y14">
        <f t="shared" si="30"/>
        <v>2200000</v>
      </c>
      <c r="Z14">
        <f t="shared" si="30"/>
        <v>3200000</v>
      </c>
      <c r="AA14">
        <f t="shared" si="30"/>
        <v>3200000</v>
      </c>
    </row>
    <row r="15" spans="1:27">
      <c r="A15">
        <v>4</v>
      </c>
      <c r="B15" t="s">
        <v>43</v>
      </c>
      <c r="C15" s="1">
        <v>20000000</v>
      </c>
      <c r="D15" s="1" t="str">
        <f t="shared" si="26"/>
        <v>1240000,0,0,1000000,0,0,0,0,1000000</v>
      </c>
      <c r="E15">
        <f t="shared" si="29"/>
        <v>1240000</v>
      </c>
      <c r="F15">
        <v>0</v>
      </c>
      <c r="G15">
        <v>0</v>
      </c>
      <c r="H15">
        <v>1000000</v>
      </c>
      <c r="I15">
        <v>0</v>
      </c>
      <c r="J15">
        <v>0</v>
      </c>
      <c r="K15">
        <v>0</v>
      </c>
      <c r="L15">
        <v>0</v>
      </c>
      <c r="M15">
        <v>1000000</v>
      </c>
      <c r="R15">
        <f t="shared" si="27"/>
        <v>1240000</v>
      </c>
      <c r="S15">
        <f t="shared" ref="S15:AA15" si="31">R15+F15</f>
        <v>1240000</v>
      </c>
      <c r="T15">
        <f t="shared" si="31"/>
        <v>1240000</v>
      </c>
      <c r="U15">
        <f t="shared" si="31"/>
        <v>2240000</v>
      </c>
      <c r="V15">
        <f t="shared" si="31"/>
        <v>2240000</v>
      </c>
      <c r="W15">
        <f t="shared" si="31"/>
        <v>2240000</v>
      </c>
      <c r="X15">
        <f t="shared" si="31"/>
        <v>2240000</v>
      </c>
      <c r="Y15">
        <f t="shared" si="31"/>
        <v>2240000</v>
      </c>
      <c r="Z15">
        <f t="shared" si="31"/>
        <v>3240000</v>
      </c>
      <c r="AA15">
        <f t="shared" si="31"/>
        <v>3240000</v>
      </c>
    </row>
    <row r="16" spans="1:27">
      <c r="A16">
        <v>4</v>
      </c>
      <c r="B16" t="s">
        <v>45</v>
      </c>
      <c r="C16" s="1">
        <v>20000000</v>
      </c>
      <c r="D16" s="1" t="str">
        <f t="shared" si="26"/>
        <v>1240000,0,0,1000000,0,0,0,0,1000000</v>
      </c>
      <c r="E16">
        <f t="shared" si="29"/>
        <v>1240000</v>
      </c>
      <c r="F16">
        <v>0</v>
      </c>
      <c r="G16">
        <v>0</v>
      </c>
      <c r="H16">
        <v>1000000</v>
      </c>
      <c r="I16">
        <v>0</v>
      </c>
      <c r="J16">
        <v>0</v>
      </c>
      <c r="K16">
        <v>0</v>
      </c>
      <c r="L16">
        <v>0</v>
      </c>
      <c r="M16">
        <v>1000000</v>
      </c>
      <c r="R16">
        <f t="shared" si="27"/>
        <v>1240000</v>
      </c>
      <c r="S16">
        <f t="shared" ref="S16:AA16" si="32">R16+F16</f>
        <v>1240000</v>
      </c>
      <c r="T16">
        <f t="shared" si="32"/>
        <v>1240000</v>
      </c>
      <c r="U16">
        <f t="shared" si="32"/>
        <v>2240000</v>
      </c>
      <c r="V16">
        <f t="shared" si="32"/>
        <v>2240000</v>
      </c>
      <c r="W16">
        <f t="shared" si="32"/>
        <v>2240000</v>
      </c>
      <c r="X16">
        <f t="shared" si="32"/>
        <v>2240000</v>
      </c>
      <c r="Y16">
        <f t="shared" si="32"/>
        <v>2240000</v>
      </c>
      <c r="Z16">
        <f t="shared" si="32"/>
        <v>3240000</v>
      </c>
      <c r="AA16">
        <f t="shared" si="32"/>
        <v>3240000</v>
      </c>
    </row>
    <row r="17" spans="1:27">
      <c r="A17">
        <v>4</v>
      </c>
      <c r="B17" t="s">
        <v>47</v>
      </c>
      <c r="C17" s="1">
        <v>20000000</v>
      </c>
      <c r="D17" s="1" t="str">
        <f t="shared" si="26"/>
        <v>1300000,0,0,1000000,0,0,0,0,1000000</v>
      </c>
      <c r="E17">
        <f t="shared" si="29"/>
        <v>1300000</v>
      </c>
      <c r="F17">
        <v>0</v>
      </c>
      <c r="G17">
        <v>0</v>
      </c>
      <c r="H17">
        <v>1000000</v>
      </c>
      <c r="I17">
        <v>0</v>
      </c>
      <c r="J17">
        <v>0</v>
      </c>
      <c r="K17">
        <v>0</v>
      </c>
      <c r="L17">
        <v>0</v>
      </c>
      <c r="M17">
        <v>1000000</v>
      </c>
      <c r="R17">
        <f t="shared" si="27"/>
        <v>1300000</v>
      </c>
      <c r="S17">
        <f t="shared" ref="S17:AA17" si="33">R17+F17</f>
        <v>1300000</v>
      </c>
      <c r="T17">
        <f t="shared" si="33"/>
        <v>1300000</v>
      </c>
      <c r="U17">
        <f t="shared" si="33"/>
        <v>2300000</v>
      </c>
      <c r="V17">
        <f t="shared" si="33"/>
        <v>2300000</v>
      </c>
      <c r="W17">
        <f t="shared" si="33"/>
        <v>2300000</v>
      </c>
      <c r="X17">
        <f t="shared" si="33"/>
        <v>2300000</v>
      </c>
      <c r="Y17">
        <f t="shared" si="33"/>
        <v>2300000</v>
      </c>
      <c r="Z17">
        <f t="shared" si="33"/>
        <v>3300000</v>
      </c>
      <c r="AA17">
        <f t="shared" si="33"/>
        <v>3300000</v>
      </c>
    </row>
    <row r="18" spans="1:27">
      <c r="A18">
        <v>4</v>
      </c>
      <c r="B18" t="s">
        <v>49</v>
      </c>
      <c r="C18" s="1">
        <v>20000000</v>
      </c>
      <c r="D18" s="1" t="str">
        <f t="shared" si="26"/>
        <v>1400000,0,0,2000000,0,0,0,0,1000000</v>
      </c>
      <c r="E18">
        <f t="shared" si="29"/>
        <v>1400000</v>
      </c>
      <c r="F18">
        <v>0</v>
      </c>
      <c r="G18">
        <v>0</v>
      </c>
      <c r="H18">
        <v>2000000</v>
      </c>
      <c r="I18">
        <v>0</v>
      </c>
      <c r="J18">
        <v>0</v>
      </c>
      <c r="K18">
        <v>0</v>
      </c>
      <c r="L18">
        <v>0</v>
      </c>
      <c r="M18">
        <v>1000000</v>
      </c>
      <c r="R18">
        <f t="shared" si="27"/>
        <v>1400000</v>
      </c>
      <c r="S18">
        <f t="shared" ref="S18:AA18" si="34">R18+F18</f>
        <v>1400000</v>
      </c>
      <c r="T18">
        <f t="shared" si="34"/>
        <v>1400000</v>
      </c>
      <c r="U18">
        <f t="shared" si="34"/>
        <v>3400000</v>
      </c>
      <c r="V18">
        <f t="shared" si="34"/>
        <v>3400000</v>
      </c>
      <c r="W18">
        <f t="shared" si="34"/>
        <v>3400000</v>
      </c>
      <c r="X18">
        <f t="shared" si="34"/>
        <v>3400000</v>
      </c>
      <c r="Y18">
        <f t="shared" si="34"/>
        <v>3400000</v>
      </c>
      <c r="Z18">
        <f t="shared" si="34"/>
        <v>4400000</v>
      </c>
      <c r="AA18">
        <f t="shared" si="34"/>
        <v>4400000</v>
      </c>
    </row>
    <row r="19" spans="1:27">
      <c r="A19">
        <v>4</v>
      </c>
      <c r="B19" t="s">
        <v>51</v>
      </c>
      <c r="C19" s="1">
        <v>20000000</v>
      </c>
      <c r="D19" s="1" t="str">
        <f t="shared" si="26"/>
        <v>1400000,0,0,2000000,0,0,0,0,1000000</v>
      </c>
      <c r="E19">
        <f t="shared" si="29"/>
        <v>1400000</v>
      </c>
      <c r="F19">
        <v>0</v>
      </c>
      <c r="G19">
        <v>0</v>
      </c>
      <c r="H19">
        <v>2000000</v>
      </c>
      <c r="I19">
        <v>0</v>
      </c>
      <c r="J19">
        <v>0</v>
      </c>
      <c r="K19">
        <v>0</v>
      </c>
      <c r="L19">
        <v>0</v>
      </c>
      <c r="M19">
        <v>1000000</v>
      </c>
      <c r="R19">
        <f t="shared" si="27"/>
        <v>1400000</v>
      </c>
      <c r="S19">
        <f t="shared" ref="S19:AA19" si="35">R19+F19</f>
        <v>1400000</v>
      </c>
      <c r="T19">
        <f t="shared" si="35"/>
        <v>1400000</v>
      </c>
      <c r="U19">
        <f t="shared" si="35"/>
        <v>3400000</v>
      </c>
      <c r="V19">
        <f t="shared" si="35"/>
        <v>3400000</v>
      </c>
      <c r="W19">
        <f t="shared" si="35"/>
        <v>3400000</v>
      </c>
      <c r="X19">
        <f t="shared" si="35"/>
        <v>3400000</v>
      </c>
      <c r="Y19">
        <f t="shared" si="35"/>
        <v>3400000</v>
      </c>
      <c r="Z19">
        <f t="shared" si="35"/>
        <v>4400000</v>
      </c>
      <c r="AA19">
        <f t="shared" si="35"/>
        <v>4400000</v>
      </c>
    </row>
    <row r="20" spans="1:27">
      <c r="A20">
        <v>4</v>
      </c>
      <c r="B20" t="s">
        <v>53</v>
      </c>
      <c r="C20" s="1">
        <v>20000000</v>
      </c>
      <c r="D20" s="1" t="str">
        <f t="shared" si="26"/>
        <v>1400000,0,0,2000000,0,0,0,0,1000000</v>
      </c>
      <c r="E20">
        <f t="shared" si="29"/>
        <v>1400000</v>
      </c>
      <c r="F20">
        <v>0</v>
      </c>
      <c r="G20">
        <v>0</v>
      </c>
      <c r="H20">
        <v>2000000</v>
      </c>
      <c r="I20">
        <v>0</v>
      </c>
      <c r="J20">
        <v>0</v>
      </c>
      <c r="K20">
        <v>0</v>
      </c>
      <c r="L20">
        <v>0</v>
      </c>
      <c r="M20">
        <v>1000000</v>
      </c>
      <c r="R20">
        <f t="shared" si="27"/>
        <v>1400000</v>
      </c>
      <c r="S20">
        <f t="shared" ref="S20:AA20" si="36">R20+F20</f>
        <v>1400000</v>
      </c>
      <c r="T20">
        <f t="shared" si="36"/>
        <v>1400000</v>
      </c>
      <c r="U20">
        <f t="shared" si="36"/>
        <v>3400000</v>
      </c>
      <c r="V20">
        <f t="shared" si="36"/>
        <v>3400000</v>
      </c>
      <c r="W20">
        <f t="shared" si="36"/>
        <v>3400000</v>
      </c>
      <c r="X20">
        <f t="shared" si="36"/>
        <v>3400000</v>
      </c>
      <c r="Y20">
        <f t="shared" si="36"/>
        <v>3400000</v>
      </c>
      <c r="Z20">
        <f t="shared" si="36"/>
        <v>4400000</v>
      </c>
      <c r="AA20">
        <f t="shared" si="36"/>
        <v>4400000</v>
      </c>
    </row>
    <row r="22" spans="1:30">
      <c r="A22" t="s">
        <v>108</v>
      </c>
      <c r="R22">
        <v>20</v>
      </c>
      <c r="S22">
        <f>R22+20</f>
        <v>40</v>
      </c>
      <c r="T22">
        <f t="shared" ref="T22:AD22" si="37">S22+20</f>
        <v>60</v>
      </c>
      <c r="U22">
        <f t="shared" si="37"/>
        <v>80</v>
      </c>
      <c r="V22">
        <f t="shared" si="37"/>
        <v>100</v>
      </c>
      <c r="W22">
        <f t="shared" si="37"/>
        <v>120</v>
      </c>
      <c r="X22">
        <f t="shared" si="37"/>
        <v>140</v>
      </c>
      <c r="Y22">
        <f t="shared" si="37"/>
        <v>160</v>
      </c>
      <c r="Z22">
        <f t="shared" si="37"/>
        <v>180</v>
      </c>
      <c r="AA22">
        <f t="shared" si="37"/>
        <v>200</v>
      </c>
      <c r="AB22">
        <f t="shared" si="37"/>
        <v>220</v>
      </c>
      <c r="AC22">
        <f t="shared" si="37"/>
        <v>240</v>
      </c>
      <c r="AD22">
        <f t="shared" si="37"/>
        <v>260</v>
      </c>
    </row>
    <row r="23" spans="1:15">
      <c r="A23" t="s">
        <v>92</v>
      </c>
      <c r="B23" t="s">
        <v>93</v>
      </c>
      <c r="C23" t="s">
        <v>94</v>
      </c>
      <c r="D23" t="s">
        <v>95</v>
      </c>
      <c r="E23" t="s">
        <v>96</v>
      </c>
      <c r="F23" t="s">
        <v>97</v>
      </c>
      <c r="G23" t="s">
        <v>98</v>
      </c>
      <c r="H23" t="s">
        <v>99</v>
      </c>
      <c r="I23" t="s">
        <v>100</v>
      </c>
      <c r="J23" t="s">
        <v>101</v>
      </c>
      <c r="K23" t="s">
        <v>102</v>
      </c>
      <c r="L23" t="s">
        <v>103</v>
      </c>
      <c r="M23" t="s">
        <v>104</v>
      </c>
      <c r="N23" t="s">
        <v>109</v>
      </c>
      <c r="O23" t="s">
        <v>105</v>
      </c>
    </row>
    <row r="24" spans="1:15">
      <c r="A24">
        <v>5</v>
      </c>
      <c r="B24" t="s">
        <v>43</v>
      </c>
      <c r="C24" s="1">
        <v>1100000</v>
      </c>
      <c r="D24" s="1" t="str">
        <f t="shared" ref="D24:D32" si="38">_xlfn.TEXTJOIN(",",1,E24:N24)</f>
        <v>1100000,0,0,1000000,0,0,0,0,1000000</v>
      </c>
      <c r="E24">
        <v>1100000</v>
      </c>
      <c r="F24">
        <v>0</v>
      </c>
      <c r="G24">
        <v>0</v>
      </c>
      <c r="H24">
        <v>1000000</v>
      </c>
      <c r="I24">
        <v>0</v>
      </c>
      <c r="J24">
        <v>0</v>
      </c>
      <c r="K24">
        <v>0</v>
      </c>
      <c r="L24">
        <v>0</v>
      </c>
      <c r="M24">
        <v>1000000</v>
      </c>
      <c r="O24">
        <f t="shared" ref="O24:O32" si="39">SUM(E24:N24)</f>
        <v>3100000</v>
      </c>
    </row>
    <row r="25" spans="1:15">
      <c r="A25">
        <v>5</v>
      </c>
      <c r="B25" t="s">
        <v>45</v>
      </c>
      <c r="C25" s="1">
        <v>1200000</v>
      </c>
      <c r="D25" s="1" t="str">
        <f t="shared" si="38"/>
        <v>1200000,0,0,1000000,0,0,0,0,1000000</v>
      </c>
      <c r="E25">
        <v>1200000</v>
      </c>
      <c r="F25">
        <v>0</v>
      </c>
      <c r="G25">
        <v>0</v>
      </c>
      <c r="H25">
        <v>1000000</v>
      </c>
      <c r="I25">
        <v>0</v>
      </c>
      <c r="J25">
        <v>0</v>
      </c>
      <c r="K25">
        <v>0</v>
      </c>
      <c r="L25">
        <v>0</v>
      </c>
      <c r="M25">
        <v>1000000</v>
      </c>
      <c r="O25">
        <f t="shared" si="39"/>
        <v>3200000</v>
      </c>
    </row>
    <row r="26" spans="1:15">
      <c r="A26">
        <v>5</v>
      </c>
      <c r="B26" t="s">
        <v>47</v>
      </c>
      <c r="C26" s="1">
        <v>1300000</v>
      </c>
      <c r="D26" s="1" t="str">
        <f t="shared" si="38"/>
        <v>1300000,0,0,1000000,0,0,0,0,1000000</v>
      </c>
      <c r="E26">
        <v>1300000</v>
      </c>
      <c r="F26">
        <v>0</v>
      </c>
      <c r="G26">
        <v>0</v>
      </c>
      <c r="H26">
        <v>1000000</v>
      </c>
      <c r="I26">
        <v>0</v>
      </c>
      <c r="J26">
        <v>0</v>
      </c>
      <c r="K26">
        <v>0</v>
      </c>
      <c r="L26">
        <v>0</v>
      </c>
      <c r="M26">
        <v>1000000</v>
      </c>
      <c r="O26">
        <f t="shared" si="39"/>
        <v>3300000</v>
      </c>
    </row>
    <row r="27" spans="1:15">
      <c r="A27">
        <v>5</v>
      </c>
      <c r="B27" t="s">
        <v>49</v>
      </c>
      <c r="C27" s="1">
        <v>1500000</v>
      </c>
      <c r="D27" s="1" t="str">
        <f t="shared" si="38"/>
        <v>1500000,0,0,1000000,0,0,0,0,1000000</v>
      </c>
      <c r="E27">
        <v>1500000</v>
      </c>
      <c r="F27">
        <v>0</v>
      </c>
      <c r="G27">
        <v>0</v>
      </c>
      <c r="H27">
        <v>1000000</v>
      </c>
      <c r="I27">
        <v>0</v>
      </c>
      <c r="J27">
        <v>0</v>
      </c>
      <c r="K27">
        <v>0</v>
      </c>
      <c r="L27">
        <v>0</v>
      </c>
      <c r="M27">
        <v>1000000</v>
      </c>
      <c r="O27">
        <f t="shared" si="39"/>
        <v>3500000</v>
      </c>
    </row>
    <row r="28" spans="1:15">
      <c r="A28">
        <v>5</v>
      </c>
      <c r="B28" t="s">
        <v>51</v>
      </c>
      <c r="C28" s="1">
        <v>1800000</v>
      </c>
      <c r="D28" s="1" t="str">
        <f t="shared" si="38"/>
        <v>1800000,0,0,1000000,0,0,0,0,1000000</v>
      </c>
      <c r="E28">
        <v>1800000</v>
      </c>
      <c r="F28">
        <v>0</v>
      </c>
      <c r="G28">
        <v>0</v>
      </c>
      <c r="H28">
        <v>1000000</v>
      </c>
      <c r="I28">
        <v>0</v>
      </c>
      <c r="J28">
        <v>0</v>
      </c>
      <c r="K28">
        <v>0</v>
      </c>
      <c r="L28">
        <v>0</v>
      </c>
      <c r="M28">
        <v>1000000</v>
      </c>
      <c r="O28">
        <f t="shared" si="39"/>
        <v>3800000</v>
      </c>
    </row>
    <row r="29" spans="1:15">
      <c r="A29">
        <v>5</v>
      </c>
      <c r="B29" t="s">
        <v>60</v>
      </c>
      <c r="C29" s="1">
        <v>2000000</v>
      </c>
      <c r="D29" s="1" t="str">
        <f t="shared" si="38"/>
        <v>2000000,0,0,2000000,0,0,0,0,1000000</v>
      </c>
      <c r="E29">
        <v>2000000</v>
      </c>
      <c r="F29">
        <v>0</v>
      </c>
      <c r="G29">
        <v>0</v>
      </c>
      <c r="H29">
        <v>2000000</v>
      </c>
      <c r="I29">
        <v>0</v>
      </c>
      <c r="J29">
        <v>0</v>
      </c>
      <c r="K29">
        <v>0</v>
      </c>
      <c r="L29">
        <v>0</v>
      </c>
      <c r="M29">
        <v>1000000</v>
      </c>
      <c r="O29">
        <f t="shared" si="39"/>
        <v>5000000</v>
      </c>
    </row>
    <row r="30" spans="1:15">
      <c r="A30">
        <v>5</v>
      </c>
      <c r="B30" t="s">
        <v>63</v>
      </c>
      <c r="C30" s="1">
        <v>2000000</v>
      </c>
      <c r="D30" s="1" t="str">
        <f t="shared" si="38"/>
        <v>2000000,0,0,2000000,0,0,0,0,2000000</v>
      </c>
      <c r="E30">
        <v>2000000</v>
      </c>
      <c r="F30">
        <v>0</v>
      </c>
      <c r="G30">
        <v>0</v>
      </c>
      <c r="H30">
        <v>2000000</v>
      </c>
      <c r="I30">
        <v>0</v>
      </c>
      <c r="J30">
        <v>0</v>
      </c>
      <c r="K30">
        <v>0</v>
      </c>
      <c r="L30">
        <v>0</v>
      </c>
      <c r="M30">
        <v>2000000</v>
      </c>
      <c r="O30">
        <f t="shared" si="39"/>
        <v>6000000</v>
      </c>
    </row>
    <row r="31" spans="1:15">
      <c r="A31">
        <v>5</v>
      </c>
      <c r="B31" t="s">
        <v>64</v>
      </c>
      <c r="C31" s="1">
        <v>2000000</v>
      </c>
      <c r="D31" s="1" t="str">
        <f t="shared" si="38"/>
        <v>2000000,0,0,2000000,0,0,0,0,2000000</v>
      </c>
      <c r="E31">
        <v>2000000</v>
      </c>
      <c r="F31">
        <v>0</v>
      </c>
      <c r="G31">
        <v>0</v>
      </c>
      <c r="H31">
        <v>2000000</v>
      </c>
      <c r="I31">
        <v>0</v>
      </c>
      <c r="J31">
        <v>0</v>
      </c>
      <c r="K31">
        <v>0</v>
      </c>
      <c r="L31">
        <v>0</v>
      </c>
      <c r="M31">
        <v>2000000</v>
      </c>
      <c r="O31">
        <f t="shared" si="39"/>
        <v>6000000</v>
      </c>
    </row>
    <row r="32" spans="1:15">
      <c r="A32">
        <v>5</v>
      </c>
      <c r="B32" t="s">
        <v>67</v>
      </c>
      <c r="C32" s="1">
        <v>2000000</v>
      </c>
      <c r="D32" s="1" t="str">
        <f t="shared" si="38"/>
        <v>2000000,0,0,2000000,0,0,0,0,2000000</v>
      </c>
      <c r="E32">
        <v>2000000</v>
      </c>
      <c r="F32">
        <v>0</v>
      </c>
      <c r="G32">
        <v>0</v>
      </c>
      <c r="H32">
        <v>2000000</v>
      </c>
      <c r="I32">
        <v>0</v>
      </c>
      <c r="J32">
        <v>0</v>
      </c>
      <c r="K32">
        <v>0</v>
      </c>
      <c r="L32">
        <v>0</v>
      </c>
      <c r="M32">
        <v>2000000</v>
      </c>
      <c r="O32">
        <f t="shared" si="39"/>
        <v>6000000</v>
      </c>
    </row>
    <row r="34" spans="1:1">
      <c r="A34" t="s">
        <v>110</v>
      </c>
    </row>
    <row r="35" spans="1:14">
      <c r="A35">
        <v>5</v>
      </c>
      <c r="B35" t="s">
        <v>43</v>
      </c>
      <c r="C35" s="2">
        <v>5000000</v>
      </c>
      <c r="D35" s="3" t="str">
        <f>_xlfn.TEXTJOIN(",",1,E35:M35)</f>
        <v>5000000,5000000,5000000,5000000,5000000,0,0,0,0</v>
      </c>
      <c r="E35">
        <v>5000000</v>
      </c>
      <c r="F35">
        <v>5000000</v>
      </c>
      <c r="G35">
        <v>5000000</v>
      </c>
      <c r="H35">
        <v>5000000</v>
      </c>
      <c r="I35">
        <v>5000000</v>
      </c>
      <c r="J35">
        <v>0</v>
      </c>
      <c r="K35">
        <v>0</v>
      </c>
      <c r="L35">
        <v>0</v>
      </c>
      <c r="M35">
        <v>0</v>
      </c>
      <c r="N35">
        <f t="shared" ref="N35:N43" si="40">SUM(E35:M35)</f>
        <v>25000000</v>
      </c>
    </row>
    <row r="36" spans="1:14">
      <c r="A36">
        <v>5</v>
      </c>
      <c r="B36" t="s">
        <v>45</v>
      </c>
      <c r="C36" s="2">
        <v>5000000</v>
      </c>
      <c r="D36" s="3" t="str">
        <f t="shared" ref="D36:D43" si="41">_xlfn.TEXTJOIN(",",1,E36:M36)</f>
        <v>5000000,5000000,5000000,5000000,5000000,0,0,0,0</v>
      </c>
      <c r="E36">
        <v>5000000</v>
      </c>
      <c r="F36">
        <v>5000000</v>
      </c>
      <c r="G36">
        <v>5000000</v>
      </c>
      <c r="H36">
        <v>5000000</v>
      </c>
      <c r="I36">
        <v>5000000</v>
      </c>
      <c r="J36">
        <v>0</v>
      </c>
      <c r="K36">
        <v>0</v>
      </c>
      <c r="L36">
        <v>0</v>
      </c>
      <c r="M36">
        <v>0</v>
      </c>
      <c r="N36">
        <f t="shared" si="40"/>
        <v>25000000</v>
      </c>
    </row>
    <row r="37" spans="1:14">
      <c r="A37">
        <v>5</v>
      </c>
      <c r="B37" t="s">
        <v>47</v>
      </c>
      <c r="C37" s="2">
        <v>5000000</v>
      </c>
      <c r="D37" s="3" t="str">
        <f t="shared" si="41"/>
        <v>5000000,5000000,5000000,5000000,5000000,0,0,0,0</v>
      </c>
      <c r="E37">
        <v>5000000</v>
      </c>
      <c r="F37">
        <v>5000000</v>
      </c>
      <c r="G37">
        <v>5000000</v>
      </c>
      <c r="H37">
        <v>5000000</v>
      </c>
      <c r="I37">
        <v>5000000</v>
      </c>
      <c r="J37">
        <v>0</v>
      </c>
      <c r="K37">
        <v>0</v>
      </c>
      <c r="L37">
        <v>0</v>
      </c>
      <c r="M37">
        <v>0</v>
      </c>
      <c r="N37">
        <f t="shared" si="40"/>
        <v>25000000</v>
      </c>
    </row>
    <row r="38" spans="1:14">
      <c r="A38">
        <v>5</v>
      </c>
      <c r="B38" t="s">
        <v>49</v>
      </c>
      <c r="C38" s="2">
        <v>10000000</v>
      </c>
      <c r="D38" s="3" t="str">
        <f t="shared" si="41"/>
        <v>10000000,15000000,0,0,0,0,0,0,0</v>
      </c>
      <c r="E38">
        <v>10000000</v>
      </c>
      <c r="F38">
        <v>15000000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f t="shared" si="40"/>
        <v>25000000</v>
      </c>
    </row>
    <row r="39" spans="1:14">
      <c r="A39">
        <v>5</v>
      </c>
      <c r="B39" t="s">
        <v>51</v>
      </c>
      <c r="C39" s="2">
        <v>10000000</v>
      </c>
      <c r="D39" s="3" t="str">
        <f t="shared" si="41"/>
        <v>10000000,15000000,0,0,0,0,0,0,0</v>
      </c>
      <c r="E39">
        <v>10000000</v>
      </c>
      <c r="F39">
        <v>15000000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f t="shared" si="40"/>
        <v>25000000</v>
      </c>
    </row>
    <row r="40" spans="1:14">
      <c r="A40">
        <v>5</v>
      </c>
      <c r="B40" t="s">
        <v>60</v>
      </c>
      <c r="C40" s="2">
        <v>15000000</v>
      </c>
      <c r="D40" s="3" t="str">
        <f t="shared" si="41"/>
        <v>15000000,10000000,0,0,0,0,0,0,0</v>
      </c>
      <c r="E40">
        <v>15000000</v>
      </c>
      <c r="F40">
        <v>10000000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f t="shared" si="40"/>
        <v>25000000</v>
      </c>
    </row>
    <row r="41" spans="1:14">
      <c r="A41">
        <v>5</v>
      </c>
      <c r="B41" t="s">
        <v>63</v>
      </c>
      <c r="C41" s="2">
        <v>15000000</v>
      </c>
      <c r="D41" s="3" t="str">
        <f t="shared" si="41"/>
        <v>15000000,10000000,0,0,0,0,0,0,0</v>
      </c>
      <c r="E41">
        <v>15000000</v>
      </c>
      <c r="F41">
        <v>10000000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f t="shared" si="40"/>
        <v>25000000</v>
      </c>
    </row>
    <row r="42" spans="1:14">
      <c r="A42">
        <v>5</v>
      </c>
      <c r="B42" t="s">
        <v>64</v>
      </c>
      <c r="C42" s="2">
        <v>25000000</v>
      </c>
      <c r="D42" s="3" t="str">
        <f t="shared" si="41"/>
        <v>25000000,0,0,0,0,0,0,0,0</v>
      </c>
      <c r="E42">
        <v>25000000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f t="shared" si="40"/>
        <v>25000000</v>
      </c>
    </row>
    <row r="43" spans="1:14">
      <c r="A43">
        <v>5</v>
      </c>
      <c r="B43" t="s">
        <v>67</v>
      </c>
      <c r="C43" s="2">
        <v>25000000</v>
      </c>
      <c r="D43" s="3" t="str">
        <f t="shared" si="41"/>
        <v>25000000,0,0,0,0,0,0,0,0</v>
      </c>
      <c r="E43">
        <v>25000000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f t="shared" si="40"/>
        <v>25000000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制作表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2006-09-16T00:00:00Z</dcterms:created>
  <dcterms:modified xsi:type="dcterms:W3CDTF">2025-11-11T03:48:42Z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BAB9754B6DEE4FEB83D088563CE675A1</vt:lpwstr>
  </property>
</Properties>
</file>