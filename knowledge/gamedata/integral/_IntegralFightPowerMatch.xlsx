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G:\op_new\data\excel\integral\"/>
    </mc:Choice>
  </mc:AlternateContent>
  <xr:revisionPtr revIDLastSave="0" documentId="13_ncr:1_{43957CDF-3BE2-4AEB-BE49-AE47E6A9F9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制作表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2" l="1"/>
  <c r="O50" i="2"/>
  <c r="H50" i="2"/>
  <c r="G50" i="2"/>
  <c r="D46" i="2"/>
  <c r="D47" i="2"/>
  <c r="D48" i="2"/>
  <c r="D49" i="2"/>
  <c r="D5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50" i="2"/>
  <c r="M49" i="2"/>
  <c r="O49" i="2"/>
  <c r="H49" i="2"/>
  <c r="G49" i="2"/>
  <c r="C49" i="2"/>
  <c r="M48" i="2"/>
  <c r="O48" i="2"/>
  <c r="H48" i="2"/>
  <c r="G48" i="2"/>
  <c r="C48" i="2"/>
  <c r="M47" i="2"/>
  <c r="O47" i="2"/>
  <c r="H47" i="2"/>
  <c r="G47" i="2"/>
  <c r="C47" i="2"/>
  <c r="M46" i="2"/>
  <c r="O46" i="2"/>
  <c r="H46" i="2"/>
  <c r="G46" i="2"/>
  <c r="C46" i="2"/>
  <c r="M45" i="2"/>
  <c r="O45" i="2"/>
  <c r="H45" i="2"/>
  <c r="G45" i="2"/>
  <c r="D45" i="2"/>
  <c r="C45" i="2"/>
  <c r="M44" i="2"/>
  <c r="O44" i="2"/>
  <c r="H44" i="2"/>
  <c r="G44" i="2"/>
  <c r="D44" i="2"/>
  <c r="C44" i="2"/>
  <c r="M43" i="2"/>
  <c r="O43" i="2"/>
  <c r="H43" i="2"/>
  <c r="G43" i="2"/>
  <c r="D43" i="2"/>
  <c r="C43" i="2"/>
  <c r="M42" i="2"/>
  <c r="O42" i="2"/>
  <c r="H42" i="2"/>
  <c r="G42" i="2"/>
  <c r="D42" i="2"/>
  <c r="C42" i="2"/>
  <c r="M41" i="2"/>
  <c r="O41" i="2"/>
  <c r="H41" i="2"/>
  <c r="G41" i="2"/>
  <c r="D41" i="2"/>
  <c r="C41" i="2"/>
  <c r="M40" i="2"/>
  <c r="O40" i="2"/>
  <c r="H40" i="2"/>
  <c r="G40" i="2"/>
  <c r="D40" i="2"/>
  <c r="C40" i="2"/>
  <c r="M39" i="2"/>
  <c r="H39" i="2"/>
  <c r="G39" i="2"/>
  <c r="D39" i="2"/>
  <c r="C39" i="2"/>
  <c r="M38" i="2"/>
  <c r="H38" i="2"/>
  <c r="G38" i="2"/>
  <c r="D38" i="2"/>
  <c r="C38" i="2"/>
  <c r="M37" i="2"/>
  <c r="H37" i="2"/>
  <c r="G37" i="2"/>
  <c r="C37" i="2"/>
  <c r="M36" i="2"/>
  <c r="H36" i="2"/>
  <c r="G36" i="2"/>
  <c r="D32" i="2"/>
  <c r="E32" i="2"/>
  <c r="F32" i="2"/>
  <c r="D31" i="2"/>
  <c r="E31" i="2"/>
  <c r="F31" i="2"/>
  <c r="D30" i="2"/>
  <c r="E30" i="2"/>
  <c r="F30" i="2"/>
  <c r="D29" i="2"/>
  <c r="E29" i="2"/>
  <c r="F29" i="2"/>
  <c r="D28" i="2"/>
  <c r="E28" i="2"/>
  <c r="F28" i="2"/>
  <c r="D27" i="2"/>
  <c r="E27" i="2"/>
  <c r="F27" i="2"/>
  <c r="D26" i="2"/>
  <c r="E26" i="2"/>
  <c r="F26" i="2"/>
  <c r="D25" i="2"/>
  <c r="E25" i="2"/>
  <c r="F25" i="2"/>
  <c r="D24" i="2"/>
  <c r="E24" i="2"/>
  <c r="F24" i="2"/>
  <c r="D23" i="2"/>
  <c r="E23" i="2"/>
  <c r="F23" i="2"/>
  <c r="D22" i="2"/>
  <c r="E22" i="2"/>
  <c r="F22" i="2"/>
  <c r="D21" i="2"/>
  <c r="E21" i="2"/>
  <c r="F21" i="2"/>
  <c r="D20" i="2"/>
  <c r="E20" i="2"/>
  <c r="F20" i="2"/>
  <c r="D19" i="2"/>
  <c r="E19" i="2"/>
  <c r="F19" i="2"/>
  <c r="E18" i="2"/>
  <c r="M16" i="2"/>
  <c r="I16" i="2"/>
  <c r="H16" i="2"/>
  <c r="G16" i="2"/>
  <c r="M15" i="2"/>
  <c r="I15" i="2"/>
  <c r="H15" i="2"/>
  <c r="G15" i="2"/>
  <c r="M14" i="2"/>
  <c r="I14" i="2"/>
  <c r="H14" i="2"/>
  <c r="G14" i="2"/>
  <c r="M13" i="2"/>
  <c r="I13" i="2"/>
  <c r="H13" i="2"/>
  <c r="G13" i="2"/>
  <c r="M12" i="2"/>
  <c r="I12" i="2"/>
  <c r="H12" i="2"/>
  <c r="G12" i="2"/>
  <c r="M11" i="2"/>
  <c r="I11" i="2"/>
  <c r="H11" i="2"/>
  <c r="G11" i="2"/>
  <c r="M10" i="2"/>
  <c r="I10" i="2"/>
  <c r="H10" i="2"/>
  <c r="G10" i="2"/>
  <c r="M9" i="2"/>
  <c r="I9" i="2"/>
  <c r="H9" i="2"/>
  <c r="G9" i="2"/>
  <c r="M8" i="2"/>
  <c r="I8" i="2"/>
  <c r="H8" i="2"/>
  <c r="G8" i="2"/>
  <c r="M7" i="2"/>
  <c r="I7" i="2"/>
  <c r="H7" i="2"/>
  <c r="G7" i="2"/>
  <c r="M6" i="2"/>
  <c r="I6" i="2"/>
  <c r="H6" i="2"/>
  <c r="G6" i="2"/>
  <c r="M5" i="2"/>
  <c r="I5" i="2"/>
  <c r="H5" i="2"/>
  <c r="G5" i="2"/>
  <c r="M4" i="2"/>
  <c r="I4" i="2"/>
  <c r="H4" i="2"/>
  <c r="G4" i="2"/>
  <c r="M3" i="2"/>
  <c r="I3" i="2"/>
  <c r="H3" i="2"/>
  <c r="G3" i="2"/>
  <c r="M2" i="2"/>
  <c r="H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2" authorId="0" shapeId="0" xr:uid="{B435AF6F-0361-4616-8E21-96FA9929D327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该分段，能触发镜像的积分下限</t>
        </r>
      </text>
    </comment>
    <comment ref="E2" authorId="0" shapeId="0" xr:uid="{464AE9D2-6930-4E4F-9CB8-AAB4F355650C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该分段，能触发镜像的积分上限</t>
        </r>
      </text>
    </comment>
    <comment ref="F2" authorId="0" shapeId="0" xr:uid="{5EE6C4F8-7246-4AAB-82FE-00F032D92BBB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玩家胜率低于该值，触发弱镜像</t>
        </r>
      </text>
    </comment>
    <comment ref="G2" authorId="0" shapeId="0" xr:uid="{9934CCD8-FE42-484E-9843-29E7179E0143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玩家胜率高于该值，触发强镜像，实际不使用，无法控制玩家败于强镜像。</t>
        </r>
      </text>
    </comment>
    <comment ref="H2" authorId="0" shapeId="0" xr:uid="{3A9D4300-10B6-493C-A762-2807C95852D3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满足战力和胜率条件后，匹配弱镜像的几率。
数组，两两一对，依次为胜率区间，镜像几率。
如，0,50;50,30。胜率下限80，则玩家胜率在0-50,50%触发镜像，在50-80,30%触发镜像。</t>
        </r>
      </text>
    </comment>
    <comment ref="I2" authorId="0" shapeId="0" xr:uid="{5E0B4BDC-13F0-42A3-B4F9-1D2F87B4BECE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满足战力和胜率条件后，匹配强镜像的几率。
数组，两两一对，依次为胜率区间，镜像几率。
如，80,30;85,50。则玩家胜率在80-85,30%触发镜像，大于85,50%触发镜像。</t>
        </r>
      </text>
    </comment>
  </commentList>
</comments>
</file>

<file path=xl/sharedStrings.xml><?xml version="1.0" encoding="utf-8"?>
<sst xmlns="http://schemas.openxmlformats.org/spreadsheetml/2006/main" count="108" uniqueCount="42">
  <si>
    <t>id</t>
  </si>
  <si>
    <t>分数下限</t>
  </si>
  <si>
    <t>分数上限</t>
  </si>
  <si>
    <t>战力下限</t>
  </si>
  <si>
    <t>战力上限</t>
  </si>
  <si>
    <t>胜率下限</t>
  </si>
  <si>
    <t>胜率上限</t>
  </si>
  <si>
    <t>弱触发几率</t>
  </si>
  <si>
    <t>强触发几率</t>
  </si>
  <si>
    <t>minScore</t>
  </si>
  <si>
    <t>maxScore</t>
  </si>
  <si>
    <t>minFightPower</t>
  </si>
  <si>
    <t>maxFightPower</t>
  </si>
  <si>
    <t>minWinProb</t>
  </si>
  <si>
    <t>maxWinProb</t>
  </si>
  <si>
    <t>minProbs</t>
  </si>
  <si>
    <t>maxProbs</t>
  </si>
  <si>
    <t>int</t>
  </si>
  <si>
    <t>string</t>
  </si>
  <si>
    <t>primary</t>
  </si>
  <si>
    <t>none</t>
  </si>
  <si>
    <t>0,100</t>
  </si>
  <si>
    <t>100,50</t>
  </si>
  <si>
    <t>0,80</t>
  </si>
  <si>
    <t>0,70</t>
  </si>
  <si>
    <t>0,60</t>
  </si>
  <si>
    <t>80,50;85,80</t>
  </si>
  <si>
    <t>0,50</t>
  </si>
  <si>
    <t>70,50;75,50</t>
  </si>
  <si>
    <t>0,30</t>
  </si>
  <si>
    <t>70,30;75,30</t>
  </si>
  <si>
    <t>0,0</t>
  </si>
  <si>
    <t>100,0</t>
  </si>
  <si>
    <t>积分下限</t>
  </si>
  <si>
    <t>积分上限</t>
  </si>
  <si>
    <t>弱触发胜率</t>
  </si>
  <si>
    <t>弱触发胜率1</t>
  </si>
  <si>
    <t>几率</t>
  </si>
  <si>
    <t>弱触发胜率2</t>
  </si>
  <si>
    <t>强触发几率1</t>
  </si>
  <si>
    <t>强触发几率2</t>
  </si>
  <si>
    <t>测试数据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</si>
</sst>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7" sqref="A7:I21"/>
    </sheetView>
  </sheetViews>
  <sheetFormatPr defaultColWidth="9" defaultRowHeight="13.5" x14ac:dyDescent="0.15"/>
  <cols>
    <col min="1" max="1" width="8.375" customWidth="1"/>
    <col min="2" max="2" width="10" customWidth="1"/>
    <col min="3" max="3" width="10.375" customWidth="1"/>
    <col min="4" max="4" width="15.75" customWidth="1"/>
    <col min="5" max="5" width="16.125" customWidth="1"/>
    <col min="6" max="6" width="12.875" customWidth="1"/>
    <col min="7" max="7" width="13.375" customWidth="1"/>
    <col min="8" max="8" width="10.875" customWidth="1"/>
    <col min="9" max="9" width="13.75" customWidth="1"/>
    <col min="10" max="10" width="17.5" customWidth="1"/>
    <col min="11" max="11" width="13.5" customWidth="1"/>
    <col min="12" max="12" width="43" customWidth="1"/>
  </cols>
  <sheetData>
    <row r="1" spans="1:12" s="3" customFormat="1" ht="16.5" x14ac:dyDescent="0.15">
      <c r="A1" s="4">
        <v>7</v>
      </c>
      <c r="B1" s="4">
        <v>1</v>
      </c>
      <c r="C1" s="4">
        <v>9999</v>
      </c>
      <c r="D1" s="4">
        <v>9</v>
      </c>
      <c r="E1" s="4"/>
      <c r="F1" s="4"/>
      <c r="G1" s="4"/>
      <c r="H1" s="4"/>
      <c r="I1" s="4"/>
      <c r="J1" s="4"/>
      <c r="K1" s="4"/>
      <c r="L1" s="4"/>
    </row>
    <row r="2" spans="1:12" s="3" customFormat="1" ht="16.5" x14ac:dyDescent="0.1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/>
      <c r="K2" s="5"/>
    </row>
    <row r="3" spans="1:12" s="3" customFormat="1" ht="16.5" x14ac:dyDescent="0.15">
      <c r="A3" s="5" t="s">
        <v>0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/>
      <c r="K3" s="5"/>
    </row>
    <row r="4" spans="1:12" s="3" customFormat="1" ht="16.5" x14ac:dyDescent="0.15">
      <c r="A4" s="5" t="s">
        <v>17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18</v>
      </c>
      <c r="I4" s="5" t="s">
        <v>18</v>
      </c>
      <c r="J4" s="5"/>
      <c r="K4" s="5"/>
    </row>
    <row r="5" spans="1:12" s="3" customFormat="1" ht="16.5" x14ac:dyDescent="0.15">
      <c r="A5" s="5" t="s">
        <v>19</v>
      </c>
      <c r="B5" s="5" t="s">
        <v>20</v>
      </c>
      <c r="C5" s="5" t="s">
        <v>20</v>
      </c>
      <c r="D5" s="5" t="s">
        <v>20</v>
      </c>
      <c r="E5" s="5" t="s">
        <v>20</v>
      </c>
      <c r="F5" s="5" t="s">
        <v>20</v>
      </c>
      <c r="G5" s="5" t="s">
        <v>20</v>
      </c>
      <c r="H5" s="5" t="s">
        <v>20</v>
      </c>
      <c r="I5" s="5" t="s">
        <v>20</v>
      </c>
      <c r="J5" s="5"/>
      <c r="K5" s="5"/>
    </row>
    <row r="6" spans="1:12" s="3" customFormat="1" ht="16.5" x14ac:dyDescent="0.15">
      <c r="A6" s="5" t="s">
        <v>0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/>
      <c r="K6" s="5"/>
    </row>
    <row r="7" spans="1:12" ht="16.5" customHeight="1" x14ac:dyDescent="0.15">
      <c r="A7">
        <v>1</v>
      </c>
      <c r="B7">
        <v>1000</v>
      </c>
      <c r="C7">
        <v>1070</v>
      </c>
      <c r="D7">
        <v>0</v>
      </c>
      <c r="E7">
        <v>200000</v>
      </c>
      <c r="F7">
        <v>80</v>
      </c>
      <c r="G7">
        <v>100</v>
      </c>
      <c r="H7" t="s">
        <v>21</v>
      </c>
      <c r="I7" s="7" t="s">
        <v>22</v>
      </c>
      <c r="J7" s="8"/>
    </row>
    <row r="8" spans="1:12" ht="16.5" customHeight="1" x14ac:dyDescent="0.15">
      <c r="A8">
        <v>2</v>
      </c>
      <c r="B8">
        <v>1071</v>
      </c>
      <c r="C8">
        <v>1200</v>
      </c>
      <c r="D8">
        <v>200000</v>
      </c>
      <c r="E8">
        <v>360000</v>
      </c>
      <c r="F8">
        <v>80</v>
      </c>
      <c r="G8">
        <v>100</v>
      </c>
      <c r="H8" t="s">
        <v>21</v>
      </c>
      <c r="I8" s="7" t="s">
        <v>22</v>
      </c>
      <c r="J8" s="8"/>
    </row>
    <row r="9" spans="1:12" ht="16.5" customHeight="1" x14ac:dyDescent="0.15">
      <c r="A9">
        <v>3</v>
      </c>
      <c r="B9">
        <v>1201</v>
      </c>
      <c r="C9">
        <v>1300</v>
      </c>
      <c r="D9">
        <v>360000</v>
      </c>
      <c r="E9">
        <v>500000</v>
      </c>
      <c r="F9">
        <v>75</v>
      </c>
      <c r="G9">
        <v>100</v>
      </c>
      <c r="H9" t="s">
        <v>23</v>
      </c>
      <c r="I9" s="7" t="s">
        <v>22</v>
      </c>
      <c r="J9" s="8"/>
    </row>
    <row r="10" spans="1:12" ht="16.5" customHeight="1" x14ac:dyDescent="0.15">
      <c r="A10">
        <v>4</v>
      </c>
      <c r="B10">
        <v>1301</v>
      </c>
      <c r="C10">
        <v>1400</v>
      </c>
      <c r="D10">
        <v>500000</v>
      </c>
      <c r="E10">
        <v>660000</v>
      </c>
      <c r="F10">
        <v>70</v>
      </c>
      <c r="G10">
        <v>100</v>
      </c>
      <c r="H10" t="s">
        <v>24</v>
      </c>
      <c r="I10" s="7" t="s">
        <v>22</v>
      </c>
      <c r="J10" s="8"/>
    </row>
    <row r="11" spans="1:12" ht="16.5" customHeight="1" x14ac:dyDescent="0.15">
      <c r="A11">
        <v>5</v>
      </c>
      <c r="B11">
        <v>1401</v>
      </c>
      <c r="C11">
        <v>1500</v>
      </c>
      <c r="D11">
        <v>500000</v>
      </c>
      <c r="E11">
        <v>900000</v>
      </c>
      <c r="F11">
        <v>40</v>
      </c>
      <c r="G11">
        <v>80</v>
      </c>
      <c r="H11" t="s">
        <v>25</v>
      </c>
      <c r="I11" s="7" t="s">
        <v>26</v>
      </c>
      <c r="J11" s="8"/>
    </row>
    <row r="12" spans="1:12" ht="16.5" customHeight="1" x14ac:dyDescent="0.15">
      <c r="A12">
        <v>6</v>
      </c>
      <c r="B12">
        <v>1501</v>
      </c>
      <c r="C12">
        <v>1600</v>
      </c>
      <c r="D12">
        <v>500000</v>
      </c>
      <c r="E12">
        <v>1220000</v>
      </c>
      <c r="F12">
        <v>45</v>
      </c>
      <c r="G12">
        <v>70</v>
      </c>
      <c r="H12" t="s">
        <v>27</v>
      </c>
      <c r="I12" s="7" t="s">
        <v>28</v>
      </c>
      <c r="J12" s="8"/>
    </row>
    <row r="13" spans="1:12" ht="16.5" customHeight="1" x14ac:dyDescent="0.15">
      <c r="A13">
        <v>7</v>
      </c>
      <c r="B13">
        <v>1601</v>
      </c>
      <c r="C13">
        <v>1700</v>
      </c>
      <c r="D13">
        <v>500000</v>
      </c>
      <c r="E13">
        <v>1640000</v>
      </c>
      <c r="F13">
        <v>45</v>
      </c>
      <c r="G13">
        <v>70</v>
      </c>
      <c r="H13" t="s">
        <v>29</v>
      </c>
      <c r="I13" s="7" t="s">
        <v>30</v>
      </c>
      <c r="J13" s="8"/>
    </row>
    <row r="14" spans="1:12" ht="16.5" customHeight="1" x14ac:dyDescent="0.15">
      <c r="A14">
        <v>8</v>
      </c>
      <c r="B14">
        <v>1701</v>
      </c>
      <c r="C14">
        <v>1800</v>
      </c>
      <c r="D14">
        <v>99999999</v>
      </c>
      <c r="E14">
        <v>0</v>
      </c>
      <c r="F14">
        <v>0</v>
      </c>
      <c r="G14">
        <v>100</v>
      </c>
      <c r="H14" t="s">
        <v>31</v>
      </c>
      <c r="I14" s="7" t="s">
        <v>32</v>
      </c>
      <c r="J14" s="8"/>
    </row>
    <row r="15" spans="1:12" ht="16.5" customHeight="1" x14ac:dyDescent="0.15">
      <c r="A15">
        <v>9</v>
      </c>
      <c r="B15">
        <v>1801</v>
      </c>
      <c r="C15">
        <v>1900</v>
      </c>
      <c r="D15">
        <v>99999999</v>
      </c>
      <c r="E15">
        <v>0</v>
      </c>
      <c r="F15">
        <v>0</v>
      </c>
      <c r="G15">
        <v>100</v>
      </c>
      <c r="H15" t="s">
        <v>31</v>
      </c>
      <c r="I15" s="7" t="s">
        <v>32</v>
      </c>
      <c r="J15" s="8"/>
    </row>
    <row r="16" spans="1:12" ht="16.5" customHeight="1" x14ac:dyDescent="0.15">
      <c r="A16">
        <v>10</v>
      </c>
      <c r="B16">
        <v>1901</v>
      </c>
      <c r="C16">
        <v>2000</v>
      </c>
      <c r="D16">
        <v>99999999</v>
      </c>
      <c r="E16">
        <v>0</v>
      </c>
      <c r="F16">
        <v>0</v>
      </c>
      <c r="G16">
        <v>100</v>
      </c>
      <c r="H16" t="s">
        <v>31</v>
      </c>
      <c r="I16" s="7" t="s">
        <v>32</v>
      </c>
      <c r="J16" s="8"/>
    </row>
    <row r="17" spans="1:10" ht="16.5" customHeight="1" x14ac:dyDescent="0.15">
      <c r="A17">
        <v>11</v>
      </c>
      <c r="B17">
        <v>2001</v>
      </c>
      <c r="C17">
        <v>2100</v>
      </c>
      <c r="D17">
        <v>99999999</v>
      </c>
      <c r="E17">
        <v>0</v>
      </c>
      <c r="F17">
        <v>0</v>
      </c>
      <c r="G17">
        <v>100</v>
      </c>
      <c r="H17" t="s">
        <v>31</v>
      </c>
      <c r="I17" s="7" t="s">
        <v>32</v>
      </c>
      <c r="J17" s="8"/>
    </row>
    <row r="18" spans="1:10" ht="16.5" customHeight="1" x14ac:dyDescent="0.15">
      <c r="A18">
        <v>12</v>
      </c>
      <c r="B18">
        <v>2101</v>
      </c>
      <c r="C18">
        <v>2200</v>
      </c>
      <c r="D18">
        <v>99999999</v>
      </c>
      <c r="E18">
        <v>0</v>
      </c>
      <c r="F18">
        <v>0</v>
      </c>
      <c r="G18">
        <v>100</v>
      </c>
      <c r="H18" t="s">
        <v>31</v>
      </c>
      <c r="I18" s="7" t="s">
        <v>32</v>
      </c>
      <c r="J18" s="8"/>
    </row>
    <row r="19" spans="1:10" ht="16.5" customHeight="1" x14ac:dyDescent="0.15">
      <c r="A19">
        <v>13</v>
      </c>
      <c r="B19">
        <v>2201</v>
      </c>
      <c r="C19">
        <v>2300</v>
      </c>
      <c r="D19">
        <v>99999999</v>
      </c>
      <c r="E19">
        <v>0</v>
      </c>
      <c r="F19">
        <v>0</v>
      </c>
      <c r="G19">
        <v>100</v>
      </c>
      <c r="H19" t="s">
        <v>31</v>
      </c>
      <c r="I19" s="7" t="s">
        <v>32</v>
      </c>
      <c r="J19" s="8"/>
    </row>
    <row r="20" spans="1:10" ht="16.5" customHeight="1" x14ac:dyDescent="0.15">
      <c r="A20">
        <v>14</v>
      </c>
      <c r="B20">
        <v>2301</v>
      </c>
      <c r="C20">
        <v>2400</v>
      </c>
      <c r="D20">
        <v>99999999</v>
      </c>
      <c r="E20">
        <v>0</v>
      </c>
      <c r="F20">
        <v>0</v>
      </c>
      <c r="G20">
        <v>100</v>
      </c>
      <c r="H20" t="s">
        <v>31</v>
      </c>
      <c r="I20" s="7" t="s">
        <v>32</v>
      </c>
      <c r="J20" s="8"/>
    </row>
    <row r="21" spans="1:10" ht="16.5" customHeight="1" x14ac:dyDescent="0.15">
      <c r="A21">
        <v>15</v>
      </c>
      <c r="B21">
        <v>2401</v>
      </c>
      <c r="C21">
        <v>2500</v>
      </c>
      <c r="D21">
        <v>99999999</v>
      </c>
      <c r="E21">
        <v>0</v>
      </c>
      <c r="F21">
        <v>0</v>
      </c>
      <c r="G21">
        <v>100</v>
      </c>
      <c r="H21" t="s">
        <v>31</v>
      </c>
      <c r="I21" s="7" t="s">
        <v>32</v>
      </c>
      <c r="J21" s="8"/>
    </row>
    <row r="22" spans="1:10" ht="16.5" customHeight="1" x14ac:dyDescent="0.15">
      <c r="H22" s="6"/>
      <c r="I22" s="6"/>
      <c r="J22" s="8"/>
    </row>
    <row r="23" spans="1:10" ht="16.5" customHeight="1" x14ac:dyDescent="0.15">
      <c r="H23" s="6"/>
      <c r="I23" s="6"/>
      <c r="J23" s="8"/>
    </row>
    <row r="24" spans="1:10" ht="16.5" customHeight="1" x14ac:dyDescent="0.15">
      <c r="H24" s="6"/>
      <c r="I24" s="6"/>
      <c r="J24" s="8"/>
    </row>
    <row r="25" spans="1:10" ht="16.5" customHeight="1" x14ac:dyDescent="0.15">
      <c r="H25" s="6"/>
      <c r="I25" s="6"/>
      <c r="J25" s="8"/>
    </row>
    <row r="26" spans="1:10" ht="16.5" customHeight="1" x14ac:dyDescent="0.15">
      <c r="H26" s="6"/>
      <c r="I26" s="6"/>
      <c r="J26" s="8"/>
    </row>
    <row r="27" spans="1:10" ht="16.5" customHeight="1" x14ac:dyDescent="0.15">
      <c r="H27" s="6"/>
      <c r="I27" s="6"/>
      <c r="J27" s="8"/>
    </row>
  </sheetData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topLeftCell="A22" workbookViewId="0">
      <selection activeCell="G36" sqref="G36:H50"/>
    </sheetView>
  </sheetViews>
  <sheetFormatPr defaultColWidth="9" defaultRowHeight="13.5" x14ac:dyDescent="0.15"/>
  <cols>
    <col min="1" max="2" width="8.875" customWidth="1"/>
    <col min="3" max="4" width="9.375" customWidth="1"/>
    <col min="5" max="6" width="8.875" customWidth="1"/>
    <col min="7" max="7" width="12.625" customWidth="1"/>
    <col min="8" max="8" width="16" customWidth="1"/>
    <col min="9" max="9" width="12" customWidth="1"/>
    <col min="10" max="10" width="5.125" customWidth="1"/>
    <col min="11" max="11" width="12" customWidth="1"/>
    <col min="12" max="12" width="5.125" customWidth="1"/>
    <col min="13" max="13" width="12" customWidth="1"/>
    <col min="14" max="14" width="5.125" customWidth="1"/>
    <col min="15" max="15" width="12" customWidth="1"/>
    <col min="16" max="16" width="5.125" customWidth="1"/>
  </cols>
  <sheetData>
    <row r="1" spans="1:16" x14ac:dyDescent="0.15">
      <c r="A1" t="s">
        <v>33</v>
      </c>
      <c r="B1" t="s">
        <v>34</v>
      </c>
      <c r="C1" t="s">
        <v>3</v>
      </c>
      <c r="D1" t="s">
        <v>4</v>
      </c>
      <c r="E1" t="s">
        <v>5</v>
      </c>
      <c r="F1" t="s">
        <v>6</v>
      </c>
      <c r="G1" t="s">
        <v>35</v>
      </c>
      <c r="H1" t="s">
        <v>8</v>
      </c>
      <c r="I1" t="s">
        <v>36</v>
      </c>
      <c r="J1" t="s">
        <v>37</v>
      </c>
      <c r="K1" t="s">
        <v>38</v>
      </c>
      <c r="L1" t="s">
        <v>37</v>
      </c>
      <c r="M1" t="s">
        <v>39</v>
      </c>
      <c r="N1" t="s">
        <v>37</v>
      </c>
      <c r="O1" t="s">
        <v>40</v>
      </c>
      <c r="P1" t="s">
        <v>37</v>
      </c>
    </row>
    <row r="2" spans="1:16" x14ac:dyDescent="0.15">
      <c r="A2" s="1">
        <v>1000</v>
      </c>
      <c r="B2" s="1">
        <v>1070</v>
      </c>
      <c r="C2" s="1">
        <v>0</v>
      </c>
      <c r="D2" s="1">
        <v>500000</v>
      </c>
      <c r="E2" s="1">
        <v>0</v>
      </c>
      <c r="F2" s="1">
        <v>100</v>
      </c>
      <c r="G2" s="1" t="str">
        <f>I2&amp;","&amp;J2</f>
        <v>0,0</v>
      </c>
      <c r="H2" s="1" t="str">
        <f>M2&amp;","&amp;N2&amp;";"&amp;O2&amp;","&amp;P2</f>
        <v>100,50;100,100</v>
      </c>
      <c r="I2">
        <v>0</v>
      </c>
      <c r="J2">
        <v>0</v>
      </c>
      <c r="M2">
        <f>MIN(F2+5,100)</f>
        <v>100</v>
      </c>
      <c r="N2">
        <v>50</v>
      </c>
      <c r="O2">
        <v>100</v>
      </c>
      <c r="P2">
        <v>100</v>
      </c>
    </row>
    <row r="3" spans="1:16" x14ac:dyDescent="0.15">
      <c r="A3" s="1">
        <v>1071</v>
      </c>
      <c r="B3" s="1">
        <v>1200</v>
      </c>
      <c r="C3" s="1">
        <f>INT((C2+D2)/2/10000)*10000</f>
        <v>250000</v>
      </c>
      <c r="D3" s="1">
        <v>850000</v>
      </c>
      <c r="E3" s="1">
        <v>80</v>
      </c>
      <c r="F3" s="1">
        <v>100</v>
      </c>
      <c r="G3" s="1" t="str">
        <f t="shared" ref="G3:G16" si="0">I3&amp;","&amp;J3&amp;";"&amp;K3&amp;","&amp;L3</f>
        <v>75,50;0,100</v>
      </c>
      <c r="H3" s="1" t="str">
        <f t="shared" ref="H3:H16" si="1">M3&amp;","&amp;N3&amp;";"&amp;O3&amp;","&amp;P3</f>
        <v>100,50;100,100</v>
      </c>
      <c r="I3">
        <f>E3-5</f>
        <v>75</v>
      </c>
      <c r="J3">
        <v>50</v>
      </c>
      <c r="K3">
        <v>0</v>
      </c>
      <c r="L3">
        <v>100</v>
      </c>
      <c r="M3">
        <f t="shared" ref="M3:M16" si="2">MIN(F3+5,100)</f>
        <v>100</v>
      </c>
      <c r="N3">
        <v>50</v>
      </c>
      <c r="O3">
        <v>100</v>
      </c>
      <c r="P3">
        <v>100</v>
      </c>
    </row>
    <row r="4" spans="1:16" x14ac:dyDescent="0.15">
      <c r="A4" s="1">
        <v>1201</v>
      </c>
      <c r="B4" s="1">
        <v>1300</v>
      </c>
      <c r="C4" s="1">
        <f>INT((C3+D3)/2/10000)*10000</f>
        <v>550000</v>
      </c>
      <c r="D4" s="1">
        <v>1100000</v>
      </c>
      <c r="E4" s="1">
        <v>75</v>
      </c>
      <c r="F4" s="1">
        <v>100</v>
      </c>
      <c r="G4" s="1" t="str">
        <f t="shared" si="0"/>
        <v>70,50;0,100</v>
      </c>
      <c r="H4" s="1" t="str">
        <f t="shared" si="1"/>
        <v>100,50;100,100</v>
      </c>
      <c r="I4">
        <f t="shared" ref="I4:I16" si="3">E4-5</f>
        <v>70</v>
      </c>
      <c r="J4">
        <v>50</v>
      </c>
      <c r="K4">
        <v>0</v>
      </c>
      <c r="L4">
        <v>100</v>
      </c>
      <c r="M4">
        <f t="shared" si="2"/>
        <v>100</v>
      </c>
      <c r="N4">
        <v>50</v>
      </c>
      <c r="O4">
        <v>100</v>
      </c>
      <c r="P4">
        <v>100</v>
      </c>
    </row>
    <row r="5" spans="1:16" x14ac:dyDescent="0.15">
      <c r="A5" s="1">
        <v>1301</v>
      </c>
      <c r="B5" s="1">
        <v>1400</v>
      </c>
      <c r="C5" s="1">
        <f>INT((C4+D4)/2/10000)*10000</f>
        <v>820000</v>
      </c>
      <c r="D5" s="1">
        <v>1450000</v>
      </c>
      <c r="E5" s="1">
        <v>70</v>
      </c>
      <c r="F5" s="1">
        <v>100</v>
      </c>
      <c r="G5" s="1" t="str">
        <f t="shared" si="0"/>
        <v>65,50;0,100</v>
      </c>
      <c r="H5" s="1" t="str">
        <f t="shared" si="1"/>
        <v>100,50;100,100</v>
      </c>
      <c r="I5">
        <f t="shared" si="3"/>
        <v>65</v>
      </c>
      <c r="J5">
        <v>50</v>
      </c>
      <c r="K5">
        <v>0</v>
      </c>
      <c r="L5">
        <v>100</v>
      </c>
      <c r="M5">
        <f t="shared" si="2"/>
        <v>100</v>
      </c>
      <c r="N5">
        <v>50</v>
      </c>
      <c r="O5">
        <v>100</v>
      </c>
      <c r="P5">
        <v>100</v>
      </c>
    </row>
    <row r="6" spans="1:16" x14ac:dyDescent="0.15">
      <c r="A6" s="1">
        <v>1401</v>
      </c>
      <c r="B6" s="1">
        <v>1500</v>
      </c>
      <c r="C6" s="1">
        <f t="shared" ref="C6:C16" si="4">INT((C5+D5)/2/10000)*10000</f>
        <v>1130000</v>
      </c>
      <c r="D6" s="1">
        <v>1850000</v>
      </c>
      <c r="E6" s="1">
        <v>40</v>
      </c>
      <c r="F6" s="1">
        <v>80</v>
      </c>
      <c r="G6" s="1" t="str">
        <f t="shared" si="0"/>
        <v>35,50;0,100</v>
      </c>
      <c r="H6" s="1" t="str">
        <f t="shared" si="1"/>
        <v>85,50;100,100</v>
      </c>
      <c r="I6">
        <f t="shared" si="3"/>
        <v>35</v>
      </c>
      <c r="J6">
        <v>50</v>
      </c>
      <c r="K6">
        <v>0</v>
      </c>
      <c r="L6">
        <v>100</v>
      </c>
      <c r="M6">
        <f t="shared" si="2"/>
        <v>85</v>
      </c>
      <c r="N6">
        <v>50</v>
      </c>
      <c r="O6">
        <v>100</v>
      </c>
      <c r="P6">
        <v>100</v>
      </c>
    </row>
    <row r="7" spans="1:16" x14ac:dyDescent="0.15">
      <c r="A7" s="1">
        <v>1501</v>
      </c>
      <c r="B7" s="1">
        <v>1600</v>
      </c>
      <c r="C7" s="1">
        <f t="shared" si="4"/>
        <v>1490000</v>
      </c>
      <c r="D7" s="1">
        <v>2400000</v>
      </c>
      <c r="E7" s="1">
        <v>45</v>
      </c>
      <c r="F7" s="1">
        <v>70</v>
      </c>
      <c r="G7" s="1" t="str">
        <f t="shared" si="0"/>
        <v>40,50;0,100</v>
      </c>
      <c r="H7" s="1" t="str">
        <f t="shared" si="1"/>
        <v>75,50;100,100</v>
      </c>
      <c r="I7">
        <f t="shared" si="3"/>
        <v>40</v>
      </c>
      <c r="J7">
        <v>50</v>
      </c>
      <c r="K7">
        <v>0</v>
      </c>
      <c r="L7">
        <v>100</v>
      </c>
      <c r="M7">
        <f t="shared" si="2"/>
        <v>75</v>
      </c>
      <c r="N7">
        <v>50</v>
      </c>
      <c r="O7">
        <v>100</v>
      </c>
      <c r="P7">
        <v>100</v>
      </c>
    </row>
    <row r="8" spans="1:16" x14ac:dyDescent="0.15">
      <c r="A8" s="1">
        <v>1601</v>
      </c>
      <c r="B8" s="1">
        <v>1700</v>
      </c>
      <c r="C8" s="1">
        <f t="shared" si="4"/>
        <v>1940000</v>
      </c>
      <c r="D8" s="1">
        <v>3150000</v>
      </c>
      <c r="E8" s="1">
        <v>45</v>
      </c>
      <c r="F8" s="1">
        <v>70</v>
      </c>
      <c r="G8" s="1" t="str">
        <f t="shared" si="0"/>
        <v>40,50;0,100</v>
      </c>
      <c r="H8" s="1" t="str">
        <f t="shared" si="1"/>
        <v>75,50;100,100</v>
      </c>
      <c r="I8">
        <f t="shared" si="3"/>
        <v>40</v>
      </c>
      <c r="J8">
        <v>50</v>
      </c>
      <c r="K8">
        <v>0</v>
      </c>
      <c r="L8">
        <v>100</v>
      </c>
      <c r="M8">
        <f t="shared" si="2"/>
        <v>75</v>
      </c>
      <c r="N8">
        <v>50</v>
      </c>
      <c r="O8">
        <v>100</v>
      </c>
      <c r="P8">
        <v>100</v>
      </c>
    </row>
    <row r="9" spans="1:16" x14ac:dyDescent="0.15">
      <c r="A9" s="1">
        <v>1701</v>
      </c>
      <c r="B9" s="1">
        <v>1800</v>
      </c>
      <c r="C9" s="1">
        <f t="shared" si="4"/>
        <v>2540000</v>
      </c>
      <c r="D9" s="1">
        <v>4100000</v>
      </c>
      <c r="E9" s="1">
        <v>45</v>
      </c>
      <c r="F9" s="1">
        <v>70</v>
      </c>
      <c r="G9" s="1" t="str">
        <f t="shared" si="0"/>
        <v>40,50;0,100</v>
      </c>
      <c r="H9" s="1" t="str">
        <f t="shared" si="1"/>
        <v>75,50;100,100</v>
      </c>
      <c r="I9">
        <f t="shared" si="3"/>
        <v>40</v>
      </c>
      <c r="J9">
        <v>50</v>
      </c>
      <c r="K9">
        <v>0</v>
      </c>
      <c r="L9">
        <v>100</v>
      </c>
      <c r="M9">
        <f t="shared" si="2"/>
        <v>75</v>
      </c>
      <c r="N9">
        <v>50</v>
      </c>
      <c r="O9">
        <v>100</v>
      </c>
      <c r="P9">
        <v>100</v>
      </c>
    </row>
    <row r="10" spans="1:16" x14ac:dyDescent="0.15">
      <c r="A10" s="1">
        <v>1801</v>
      </c>
      <c r="B10" s="1">
        <v>1900</v>
      </c>
      <c r="C10" s="1">
        <f t="shared" si="4"/>
        <v>3320000</v>
      </c>
      <c r="D10" s="1">
        <v>5300000</v>
      </c>
      <c r="E10" s="1">
        <v>45</v>
      </c>
      <c r="F10" s="1">
        <v>65</v>
      </c>
      <c r="G10" s="1" t="str">
        <f t="shared" si="0"/>
        <v>40,50;0,100</v>
      </c>
      <c r="H10" s="1" t="str">
        <f t="shared" si="1"/>
        <v>70,50;100,100</v>
      </c>
      <c r="I10">
        <f t="shared" si="3"/>
        <v>40</v>
      </c>
      <c r="J10">
        <v>50</v>
      </c>
      <c r="K10">
        <v>0</v>
      </c>
      <c r="L10">
        <v>100</v>
      </c>
      <c r="M10">
        <f t="shared" si="2"/>
        <v>70</v>
      </c>
      <c r="N10">
        <v>50</v>
      </c>
      <c r="O10">
        <v>100</v>
      </c>
      <c r="P10">
        <v>100</v>
      </c>
    </row>
    <row r="11" spans="1:16" x14ac:dyDescent="0.15">
      <c r="A11" s="1">
        <v>1901</v>
      </c>
      <c r="B11" s="1">
        <v>2000</v>
      </c>
      <c r="C11" s="1">
        <f t="shared" si="4"/>
        <v>4310000</v>
      </c>
      <c r="D11" s="1">
        <v>6900000</v>
      </c>
      <c r="E11" s="1">
        <v>40</v>
      </c>
      <c r="F11" s="1">
        <v>65</v>
      </c>
      <c r="G11" s="1" t="str">
        <f t="shared" si="0"/>
        <v>35,50;0,100</v>
      </c>
      <c r="H11" s="1" t="str">
        <f t="shared" si="1"/>
        <v>70,50;100,100</v>
      </c>
      <c r="I11">
        <f t="shared" si="3"/>
        <v>35</v>
      </c>
      <c r="J11">
        <v>50</v>
      </c>
      <c r="K11">
        <v>0</v>
      </c>
      <c r="L11">
        <v>100</v>
      </c>
      <c r="M11">
        <f t="shared" si="2"/>
        <v>70</v>
      </c>
      <c r="N11">
        <v>50</v>
      </c>
      <c r="O11">
        <v>100</v>
      </c>
      <c r="P11">
        <v>100</v>
      </c>
    </row>
    <row r="12" spans="1:16" x14ac:dyDescent="0.15">
      <c r="A12" s="1">
        <v>2001</v>
      </c>
      <c r="B12" s="1">
        <v>2100</v>
      </c>
      <c r="C12" s="1">
        <f t="shared" si="4"/>
        <v>5600000</v>
      </c>
      <c r="D12" s="1">
        <v>8950000</v>
      </c>
      <c r="E12" s="1">
        <v>50</v>
      </c>
      <c r="F12" s="1">
        <v>70</v>
      </c>
      <c r="G12" s="1" t="str">
        <f t="shared" si="0"/>
        <v>45,50;0,100</v>
      </c>
      <c r="H12" s="1" t="str">
        <f t="shared" si="1"/>
        <v>75,50;100,100</v>
      </c>
      <c r="I12">
        <f t="shared" si="3"/>
        <v>45</v>
      </c>
      <c r="J12">
        <v>50</v>
      </c>
      <c r="K12">
        <v>0</v>
      </c>
      <c r="L12">
        <v>100</v>
      </c>
      <c r="M12">
        <f t="shared" si="2"/>
        <v>75</v>
      </c>
      <c r="N12">
        <v>50</v>
      </c>
      <c r="O12">
        <v>100</v>
      </c>
      <c r="P12">
        <v>100</v>
      </c>
    </row>
    <row r="13" spans="1:16" x14ac:dyDescent="0.15">
      <c r="A13" s="1">
        <v>2101</v>
      </c>
      <c r="B13" s="1">
        <v>2200</v>
      </c>
      <c r="C13" s="1">
        <f t="shared" si="4"/>
        <v>7270000</v>
      </c>
      <c r="D13" s="1">
        <v>11650000</v>
      </c>
      <c r="E13" s="1">
        <v>51</v>
      </c>
      <c r="F13" s="1">
        <v>70</v>
      </c>
      <c r="G13" s="1" t="str">
        <f t="shared" si="0"/>
        <v>46,50;0,100</v>
      </c>
      <c r="H13" s="1" t="str">
        <f t="shared" si="1"/>
        <v>75,50;100,100</v>
      </c>
      <c r="I13">
        <f t="shared" si="3"/>
        <v>46</v>
      </c>
      <c r="J13">
        <v>50</v>
      </c>
      <c r="K13">
        <v>0</v>
      </c>
      <c r="L13">
        <v>100</v>
      </c>
      <c r="M13">
        <f t="shared" si="2"/>
        <v>75</v>
      </c>
      <c r="N13">
        <v>50</v>
      </c>
      <c r="O13">
        <v>100</v>
      </c>
      <c r="P13">
        <v>100</v>
      </c>
    </row>
    <row r="14" spans="1:16" x14ac:dyDescent="0.15">
      <c r="A14" s="1">
        <v>2201</v>
      </c>
      <c r="B14" s="1">
        <v>2300</v>
      </c>
      <c r="C14" s="1">
        <f t="shared" si="4"/>
        <v>9460000</v>
      </c>
      <c r="D14" s="1">
        <v>15150000</v>
      </c>
      <c r="E14" s="1">
        <v>51</v>
      </c>
      <c r="F14" s="1">
        <v>60</v>
      </c>
      <c r="G14" s="1" t="str">
        <f t="shared" si="0"/>
        <v>46,50;0,100</v>
      </c>
      <c r="H14" s="1" t="str">
        <f t="shared" si="1"/>
        <v>65,50;100,100</v>
      </c>
      <c r="I14">
        <f t="shared" si="3"/>
        <v>46</v>
      </c>
      <c r="J14">
        <v>50</v>
      </c>
      <c r="K14">
        <v>0</v>
      </c>
      <c r="L14">
        <v>100</v>
      </c>
      <c r="M14">
        <f t="shared" si="2"/>
        <v>65</v>
      </c>
      <c r="N14">
        <v>50</v>
      </c>
      <c r="O14">
        <v>100</v>
      </c>
      <c r="P14">
        <v>100</v>
      </c>
    </row>
    <row r="15" spans="1:16" x14ac:dyDescent="0.15">
      <c r="A15" s="1">
        <v>2301</v>
      </c>
      <c r="B15" s="1">
        <v>2400</v>
      </c>
      <c r="C15" s="1">
        <f t="shared" si="4"/>
        <v>12300000</v>
      </c>
      <c r="D15" s="1">
        <v>19700000</v>
      </c>
      <c r="E15" s="1">
        <v>53</v>
      </c>
      <c r="F15" s="1">
        <v>60</v>
      </c>
      <c r="G15" s="1" t="str">
        <f t="shared" si="0"/>
        <v>48,50;0,100</v>
      </c>
      <c r="H15" s="1" t="str">
        <f t="shared" si="1"/>
        <v>65,50;100,100</v>
      </c>
      <c r="I15">
        <f t="shared" si="3"/>
        <v>48</v>
      </c>
      <c r="J15">
        <v>50</v>
      </c>
      <c r="K15">
        <v>0</v>
      </c>
      <c r="L15">
        <v>100</v>
      </c>
      <c r="M15">
        <f t="shared" si="2"/>
        <v>65</v>
      </c>
      <c r="N15">
        <v>50</v>
      </c>
      <c r="O15">
        <v>100</v>
      </c>
      <c r="P15">
        <v>100</v>
      </c>
    </row>
    <row r="16" spans="1:16" x14ac:dyDescent="0.15">
      <c r="A16" s="1">
        <v>2401</v>
      </c>
      <c r="B16" s="1">
        <v>2500</v>
      </c>
      <c r="C16" s="1">
        <f t="shared" si="4"/>
        <v>16000000</v>
      </c>
      <c r="D16" s="1">
        <v>25600000</v>
      </c>
      <c r="E16" s="1">
        <v>55</v>
      </c>
      <c r="F16" s="1">
        <v>60</v>
      </c>
      <c r="G16" s="1" t="str">
        <f t="shared" si="0"/>
        <v>50,50;0,100</v>
      </c>
      <c r="H16" s="1" t="str">
        <f t="shared" si="1"/>
        <v>65,50;100,100</v>
      </c>
      <c r="I16">
        <f t="shared" si="3"/>
        <v>50</v>
      </c>
      <c r="J16">
        <v>50</v>
      </c>
      <c r="K16">
        <v>0</v>
      </c>
      <c r="L16">
        <v>100</v>
      </c>
      <c r="M16">
        <f t="shared" si="2"/>
        <v>65</v>
      </c>
      <c r="N16">
        <v>50</v>
      </c>
      <c r="O16">
        <v>100</v>
      </c>
      <c r="P16">
        <v>100</v>
      </c>
    </row>
    <row r="17" spans="2:6" x14ac:dyDescent="0.15">
      <c r="D17">
        <v>1.3</v>
      </c>
    </row>
    <row r="18" spans="2:6" x14ac:dyDescent="0.15">
      <c r="B18">
        <v>200</v>
      </c>
      <c r="C18">
        <v>1</v>
      </c>
      <c r="D18">
        <v>1</v>
      </c>
      <c r="E18">
        <f>ROUND(D18,1)</f>
        <v>1</v>
      </c>
      <c r="F18">
        <v>500000</v>
      </c>
    </row>
    <row r="19" spans="2:6" x14ac:dyDescent="0.15">
      <c r="C19">
        <v>2</v>
      </c>
      <c r="D19">
        <f>D$17^C19</f>
        <v>1.6900000000000002</v>
      </c>
      <c r="E19">
        <f>ROUND(D19,1)</f>
        <v>1.7</v>
      </c>
      <c r="F19">
        <f>F$18*E19</f>
        <v>850000</v>
      </c>
    </row>
    <row r="20" spans="2:6" x14ac:dyDescent="0.15">
      <c r="C20">
        <v>3</v>
      </c>
      <c r="D20">
        <f t="shared" ref="D20:D32" si="5">D$17^C20</f>
        <v>2.1970000000000005</v>
      </c>
      <c r="E20">
        <f t="shared" ref="E20:E32" si="6">ROUND(D20,1)</f>
        <v>2.2000000000000002</v>
      </c>
      <c r="F20">
        <f t="shared" ref="F20:F32" si="7">F$18*E20</f>
        <v>1100000</v>
      </c>
    </row>
    <row r="21" spans="2:6" x14ac:dyDescent="0.15">
      <c r="C21">
        <v>4</v>
      </c>
      <c r="D21">
        <f t="shared" si="5"/>
        <v>2.8561000000000005</v>
      </c>
      <c r="E21">
        <f t="shared" si="6"/>
        <v>2.9</v>
      </c>
      <c r="F21">
        <f t="shared" si="7"/>
        <v>1450000</v>
      </c>
    </row>
    <row r="22" spans="2:6" x14ac:dyDescent="0.15">
      <c r="C22">
        <v>5</v>
      </c>
      <c r="D22">
        <f t="shared" si="5"/>
        <v>3.712930000000001</v>
      </c>
      <c r="E22">
        <f t="shared" si="6"/>
        <v>3.7</v>
      </c>
      <c r="F22">
        <f t="shared" si="7"/>
        <v>1850000</v>
      </c>
    </row>
    <row r="23" spans="2:6" x14ac:dyDescent="0.15">
      <c r="C23">
        <v>6</v>
      </c>
      <c r="D23">
        <f t="shared" si="5"/>
        <v>4.8268090000000017</v>
      </c>
      <c r="E23">
        <f t="shared" si="6"/>
        <v>4.8</v>
      </c>
      <c r="F23">
        <f t="shared" si="7"/>
        <v>2400000</v>
      </c>
    </row>
    <row r="24" spans="2:6" x14ac:dyDescent="0.15">
      <c r="C24">
        <v>7</v>
      </c>
      <c r="D24">
        <f t="shared" si="5"/>
        <v>6.2748517000000028</v>
      </c>
      <c r="E24">
        <f t="shared" si="6"/>
        <v>6.3</v>
      </c>
      <c r="F24">
        <f t="shared" si="7"/>
        <v>3150000</v>
      </c>
    </row>
    <row r="25" spans="2:6" x14ac:dyDescent="0.15">
      <c r="C25">
        <v>8</v>
      </c>
      <c r="D25">
        <f t="shared" si="5"/>
        <v>8.1573072100000026</v>
      </c>
      <c r="E25">
        <f t="shared" si="6"/>
        <v>8.1999999999999993</v>
      </c>
      <c r="F25">
        <f t="shared" si="7"/>
        <v>4099999.9999999995</v>
      </c>
    </row>
    <row r="26" spans="2:6" x14ac:dyDescent="0.15">
      <c r="C26">
        <v>9</v>
      </c>
      <c r="D26">
        <f t="shared" si="5"/>
        <v>10.604499373000003</v>
      </c>
      <c r="E26">
        <f t="shared" si="6"/>
        <v>10.6</v>
      </c>
      <c r="F26">
        <f t="shared" si="7"/>
        <v>5300000</v>
      </c>
    </row>
    <row r="27" spans="2:6" x14ac:dyDescent="0.15">
      <c r="C27">
        <v>10</v>
      </c>
      <c r="D27">
        <f t="shared" si="5"/>
        <v>13.785849184900005</v>
      </c>
      <c r="E27">
        <f t="shared" si="6"/>
        <v>13.8</v>
      </c>
      <c r="F27">
        <f t="shared" si="7"/>
        <v>6900000</v>
      </c>
    </row>
    <row r="28" spans="2:6" x14ac:dyDescent="0.15">
      <c r="C28">
        <v>11</v>
      </c>
      <c r="D28">
        <f t="shared" si="5"/>
        <v>17.921603940370009</v>
      </c>
      <c r="E28">
        <f t="shared" si="6"/>
        <v>17.899999999999999</v>
      </c>
      <c r="F28">
        <f t="shared" si="7"/>
        <v>8950000</v>
      </c>
    </row>
    <row r="29" spans="2:6" x14ac:dyDescent="0.15">
      <c r="C29">
        <v>12</v>
      </c>
      <c r="D29">
        <f t="shared" si="5"/>
        <v>23.298085122481012</v>
      </c>
      <c r="E29">
        <f t="shared" si="6"/>
        <v>23.3</v>
      </c>
      <c r="F29">
        <f t="shared" si="7"/>
        <v>11650000</v>
      </c>
    </row>
    <row r="30" spans="2:6" x14ac:dyDescent="0.15">
      <c r="C30">
        <v>13</v>
      </c>
      <c r="D30">
        <f t="shared" si="5"/>
        <v>30.287510659225319</v>
      </c>
      <c r="E30">
        <f t="shared" si="6"/>
        <v>30.3</v>
      </c>
      <c r="F30">
        <f t="shared" si="7"/>
        <v>15150000</v>
      </c>
    </row>
    <row r="31" spans="2:6" x14ac:dyDescent="0.15">
      <c r="C31">
        <v>14</v>
      </c>
      <c r="D31">
        <f t="shared" si="5"/>
        <v>39.373763856992916</v>
      </c>
      <c r="E31">
        <f t="shared" si="6"/>
        <v>39.4</v>
      </c>
      <c r="F31">
        <f t="shared" si="7"/>
        <v>19700000</v>
      </c>
    </row>
    <row r="32" spans="2:6" x14ac:dyDescent="0.15">
      <c r="C32">
        <v>15</v>
      </c>
      <c r="D32">
        <f t="shared" si="5"/>
        <v>51.185893014090794</v>
      </c>
      <c r="E32">
        <f t="shared" si="6"/>
        <v>51.2</v>
      </c>
      <c r="F32">
        <f t="shared" si="7"/>
        <v>25600000</v>
      </c>
    </row>
    <row r="34" spans="1:16" x14ac:dyDescent="0.15">
      <c r="A34" t="s">
        <v>41</v>
      </c>
    </row>
    <row r="35" spans="1:16" x14ac:dyDescent="0.15">
      <c r="A35" t="s">
        <v>33</v>
      </c>
      <c r="B35" t="s">
        <v>34</v>
      </c>
      <c r="C35" t="s">
        <v>3</v>
      </c>
      <c r="D35" t="s">
        <v>4</v>
      </c>
      <c r="E35" t="s">
        <v>5</v>
      </c>
      <c r="F35" t="s">
        <v>6</v>
      </c>
      <c r="G35" t="s">
        <v>35</v>
      </c>
      <c r="H35" t="s">
        <v>8</v>
      </c>
      <c r="I35" t="s">
        <v>36</v>
      </c>
      <c r="J35" t="s">
        <v>37</v>
      </c>
      <c r="K35" t="s">
        <v>38</v>
      </c>
      <c r="L35" t="s">
        <v>37</v>
      </c>
      <c r="M35" t="s">
        <v>39</v>
      </c>
      <c r="N35" t="s">
        <v>37</v>
      </c>
      <c r="O35" t="s">
        <v>40</v>
      </c>
      <c r="P35" t="s">
        <v>37</v>
      </c>
    </row>
    <row r="36" spans="1:16" x14ac:dyDescent="0.15">
      <c r="A36" s="1">
        <v>1000</v>
      </c>
      <c r="B36" s="1">
        <v>1070</v>
      </c>
      <c r="C36" s="1">
        <v>0</v>
      </c>
      <c r="D36" s="1">
        <v>500000</v>
      </c>
      <c r="E36" s="1">
        <v>80</v>
      </c>
      <c r="F36" s="1">
        <v>100</v>
      </c>
      <c r="G36" s="1" t="str">
        <f>I36&amp;","&amp;J36</f>
        <v>0,100</v>
      </c>
      <c r="H36" s="1" t="str">
        <f>M36&amp;","&amp;N36</f>
        <v>100,50</v>
      </c>
      <c r="I36">
        <v>0</v>
      </c>
      <c r="J36">
        <v>100</v>
      </c>
      <c r="M36">
        <f>F36</f>
        <v>100</v>
      </c>
      <c r="N36">
        <v>50</v>
      </c>
    </row>
    <row r="37" spans="1:16" x14ac:dyDescent="0.15">
      <c r="A37" s="1">
        <v>1071</v>
      </c>
      <c r="B37" s="1">
        <v>1200</v>
      </c>
      <c r="C37" s="1">
        <f>C3</f>
        <v>250000</v>
      </c>
      <c r="D37" s="1">
        <v>850000</v>
      </c>
      <c r="E37" s="1">
        <v>80</v>
      </c>
      <c r="F37" s="1">
        <v>100</v>
      </c>
      <c r="G37" s="1" t="str">
        <f>I37&amp;","&amp;J37</f>
        <v>0,100</v>
      </c>
      <c r="H37" s="1" t="str">
        <f>M37&amp;","&amp;N37</f>
        <v>100,50</v>
      </c>
      <c r="I37">
        <v>0</v>
      </c>
      <c r="J37">
        <v>100</v>
      </c>
      <c r="M37">
        <f t="shared" ref="M37:M50" si="8">F37</f>
        <v>100</v>
      </c>
      <c r="N37">
        <v>50</v>
      </c>
    </row>
    <row r="38" spans="1:16" x14ac:dyDescent="0.15">
      <c r="A38" s="1">
        <v>1201</v>
      </c>
      <c r="B38" s="1">
        <v>1300</v>
      </c>
      <c r="C38" s="1">
        <f t="shared" ref="C38:C50" si="9">C4</f>
        <v>550000</v>
      </c>
      <c r="D38" s="1">
        <f>D4*3</f>
        <v>3300000</v>
      </c>
      <c r="E38" s="1">
        <v>75</v>
      </c>
      <c r="F38" s="1">
        <v>100</v>
      </c>
      <c r="G38" s="1" t="str">
        <f t="shared" ref="G38:G50" si="10">I38&amp;","&amp;J38</f>
        <v>0,100</v>
      </c>
      <c r="H38" s="1" t="str">
        <f>M38&amp;","&amp;N38</f>
        <v>100,50</v>
      </c>
      <c r="I38">
        <v>0</v>
      </c>
      <c r="J38">
        <v>100</v>
      </c>
      <c r="M38">
        <f t="shared" si="8"/>
        <v>100</v>
      </c>
      <c r="N38">
        <v>50</v>
      </c>
    </row>
    <row r="39" spans="1:16" x14ac:dyDescent="0.15">
      <c r="A39" s="1">
        <v>1301</v>
      </c>
      <c r="B39" s="1">
        <v>1400</v>
      </c>
      <c r="C39" s="1">
        <f t="shared" si="9"/>
        <v>820000</v>
      </c>
      <c r="D39" s="1">
        <f t="shared" ref="D39:D46" si="11">D5*3</f>
        <v>4350000</v>
      </c>
      <c r="E39" s="1">
        <v>70</v>
      </c>
      <c r="F39" s="1">
        <v>100</v>
      </c>
      <c r="G39" s="1" t="str">
        <f t="shared" si="10"/>
        <v>0,100</v>
      </c>
      <c r="H39" s="1" t="str">
        <f>M39&amp;","&amp;N39</f>
        <v>100,50</v>
      </c>
      <c r="I39">
        <v>0</v>
      </c>
      <c r="J39">
        <v>100</v>
      </c>
      <c r="M39">
        <f t="shared" si="8"/>
        <v>100</v>
      </c>
      <c r="N39">
        <v>50</v>
      </c>
    </row>
    <row r="40" spans="1:16" x14ac:dyDescent="0.15">
      <c r="A40" s="1">
        <v>1401</v>
      </c>
      <c r="B40" s="1">
        <v>1500</v>
      </c>
      <c r="C40" s="1">
        <f t="shared" si="9"/>
        <v>1130000</v>
      </c>
      <c r="D40" s="1">
        <f t="shared" si="11"/>
        <v>5550000</v>
      </c>
      <c r="E40" s="1">
        <v>40</v>
      </c>
      <c r="F40" s="1">
        <v>80</v>
      </c>
      <c r="G40" s="1" t="str">
        <f t="shared" si="10"/>
        <v>0,100</v>
      </c>
      <c r="H40" s="1" t="str">
        <f t="shared" ref="H40:H50" si="12">M40&amp;","&amp;N40&amp;";"&amp;O40&amp;","&amp;P40</f>
        <v>80,50;85,100</v>
      </c>
      <c r="I40">
        <v>0</v>
      </c>
      <c r="J40">
        <v>100</v>
      </c>
      <c r="M40">
        <f t="shared" si="8"/>
        <v>80</v>
      </c>
      <c r="N40">
        <v>50</v>
      </c>
      <c r="O40">
        <f>M40+5</f>
        <v>85</v>
      </c>
      <c r="P40">
        <v>100</v>
      </c>
    </row>
    <row r="41" spans="1:16" x14ac:dyDescent="0.15">
      <c r="A41" s="1">
        <v>1501</v>
      </c>
      <c r="B41" s="1">
        <v>1600</v>
      </c>
      <c r="C41" s="1">
        <f t="shared" si="9"/>
        <v>1490000</v>
      </c>
      <c r="D41" s="1">
        <f t="shared" si="11"/>
        <v>7200000</v>
      </c>
      <c r="E41" s="1">
        <v>45</v>
      </c>
      <c r="F41" s="1">
        <v>70</v>
      </c>
      <c r="G41" s="1" t="str">
        <f t="shared" si="10"/>
        <v>0,100</v>
      </c>
      <c r="H41" s="1" t="str">
        <f t="shared" si="12"/>
        <v>70,50;75,100</v>
      </c>
      <c r="I41">
        <v>0</v>
      </c>
      <c r="J41">
        <v>100</v>
      </c>
      <c r="M41">
        <f t="shared" si="8"/>
        <v>70</v>
      </c>
      <c r="N41">
        <v>50</v>
      </c>
      <c r="O41">
        <f t="shared" ref="O41:O50" si="13">M41+5</f>
        <v>75</v>
      </c>
      <c r="P41">
        <v>100</v>
      </c>
    </row>
    <row r="42" spans="1:16" x14ac:dyDescent="0.15">
      <c r="A42" s="1">
        <v>1601</v>
      </c>
      <c r="B42" s="1">
        <v>1700</v>
      </c>
      <c r="C42" s="1">
        <f t="shared" si="9"/>
        <v>1940000</v>
      </c>
      <c r="D42" s="1">
        <f t="shared" si="11"/>
        <v>9450000</v>
      </c>
      <c r="E42" s="1">
        <v>45</v>
      </c>
      <c r="F42" s="1">
        <v>70</v>
      </c>
      <c r="G42" s="1" t="str">
        <f t="shared" si="10"/>
        <v>0,100</v>
      </c>
      <c r="H42" s="1" t="str">
        <f t="shared" si="12"/>
        <v>70,50;75,100</v>
      </c>
      <c r="I42">
        <v>0</v>
      </c>
      <c r="J42">
        <v>100</v>
      </c>
      <c r="M42">
        <f t="shared" si="8"/>
        <v>70</v>
      </c>
      <c r="N42">
        <v>50</v>
      </c>
      <c r="O42">
        <f t="shared" si="13"/>
        <v>75</v>
      </c>
      <c r="P42">
        <v>100</v>
      </c>
    </row>
    <row r="43" spans="1:16" x14ac:dyDescent="0.15">
      <c r="A43" s="1">
        <v>1701</v>
      </c>
      <c r="B43" s="1">
        <v>1800</v>
      </c>
      <c r="C43" s="1">
        <f t="shared" si="9"/>
        <v>2540000</v>
      </c>
      <c r="D43" s="1">
        <f t="shared" si="11"/>
        <v>12300000</v>
      </c>
      <c r="E43" s="1">
        <v>45</v>
      </c>
      <c r="F43" s="1">
        <v>70</v>
      </c>
      <c r="G43" s="1" t="str">
        <f t="shared" si="10"/>
        <v>0,100</v>
      </c>
      <c r="H43" s="1" t="str">
        <f t="shared" si="12"/>
        <v>70,50;75,100</v>
      </c>
      <c r="I43">
        <v>0</v>
      </c>
      <c r="J43">
        <v>100</v>
      </c>
      <c r="M43">
        <f t="shared" si="8"/>
        <v>70</v>
      </c>
      <c r="N43">
        <v>50</v>
      </c>
      <c r="O43">
        <f t="shared" si="13"/>
        <v>75</v>
      </c>
      <c r="P43">
        <v>100</v>
      </c>
    </row>
    <row r="44" spans="1:16" x14ac:dyDescent="0.15">
      <c r="A44" s="1">
        <v>1801</v>
      </c>
      <c r="B44" s="1">
        <v>1900</v>
      </c>
      <c r="C44" s="1">
        <f t="shared" si="9"/>
        <v>3320000</v>
      </c>
      <c r="D44" s="1">
        <f t="shared" si="11"/>
        <v>15900000</v>
      </c>
      <c r="E44" s="1">
        <v>45</v>
      </c>
      <c r="F44" s="1">
        <v>65</v>
      </c>
      <c r="G44" s="1" t="str">
        <f t="shared" si="10"/>
        <v>0,100</v>
      </c>
      <c r="H44" s="1" t="str">
        <f t="shared" si="12"/>
        <v>65,50;70,100</v>
      </c>
      <c r="I44">
        <v>0</v>
      </c>
      <c r="J44">
        <v>100</v>
      </c>
      <c r="M44">
        <f t="shared" si="8"/>
        <v>65</v>
      </c>
      <c r="N44">
        <v>50</v>
      </c>
      <c r="O44">
        <f t="shared" si="13"/>
        <v>70</v>
      </c>
      <c r="P44">
        <v>100</v>
      </c>
    </row>
    <row r="45" spans="1:16" x14ac:dyDescent="0.15">
      <c r="A45" s="1">
        <v>1901</v>
      </c>
      <c r="B45" s="1">
        <v>2000</v>
      </c>
      <c r="C45" s="1">
        <f t="shared" si="9"/>
        <v>4310000</v>
      </c>
      <c r="D45" s="1">
        <f t="shared" si="11"/>
        <v>20700000</v>
      </c>
      <c r="E45" s="1">
        <v>40</v>
      </c>
      <c r="F45" s="1">
        <v>65</v>
      </c>
      <c r="G45" s="1" t="str">
        <f t="shared" si="10"/>
        <v>0,100</v>
      </c>
      <c r="H45" s="1" t="str">
        <f t="shared" si="12"/>
        <v>65,50;70,100</v>
      </c>
      <c r="I45">
        <v>0</v>
      </c>
      <c r="J45">
        <v>100</v>
      </c>
      <c r="M45">
        <f t="shared" si="8"/>
        <v>65</v>
      </c>
      <c r="N45">
        <v>50</v>
      </c>
      <c r="O45">
        <f t="shared" si="13"/>
        <v>70</v>
      </c>
      <c r="P45">
        <v>100</v>
      </c>
    </row>
    <row r="46" spans="1:16" x14ac:dyDescent="0.15">
      <c r="A46" s="1">
        <v>2001</v>
      </c>
      <c r="B46" s="1">
        <v>2100</v>
      </c>
      <c r="C46" s="1">
        <f t="shared" si="9"/>
        <v>5600000</v>
      </c>
      <c r="D46" s="2">
        <f t="shared" si="11"/>
        <v>26850000</v>
      </c>
      <c r="E46" s="1">
        <v>50</v>
      </c>
      <c r="F46" s="1">
        <v>70</v>
      </c>
      <c r="G46" s="1" t="str">
        <f t="shared" si="10"/>
        <v>0,100</v>
      </c>
      <c r="H46" s="1" t="str">
        <f t="shared" si="12"/>
        <v>70,50;75,100</v>
      </c>
      <c r="I46">
        <v>0</v>
      </c>
      <c r="J46">
        <v>100</v>
      </c>
      <c r="M46">
        <f t="shared" si="8"/>
        <v>70</v>
      </c>
      <c r="N46">
        <v>50</v>
      </c>
      <c r="O46">
        <f t="shared" si="13"/>
        <v>75</v>
      </c>
      <c r="P46">
        <v>100</v>
      </c>
    </row>
    <row r="47" spans="1:16" x14ac:dyDescent="0.15">
      <c r="A47" s="1">
        <v>2101</v>
      </c>
      <c r="B47" s="1">
        <v>2200</v>
      </c>
      <c r="C47" s="1">
        <f t="shared" si="9"/>
        <v>7270000</v>
      </c>
      <c r="D47" s="2">
        <f>D46</f>
        <v>26850000</v>
      </c>
      <c r="E47" s="1">
        <v>51</v>
      </c>
      <c r="F47" s="1">
        <v>70</v>
      </c>
      <c r="G47" s="1" t="str">
        <f t="shared" si="10"/>
        <v>0,100</v>
      </c>
      <c r="H47" s="1" t="str">
        <f t="shared" si="12"/>
        <v>70,50;75,100</v>
      </c>
      <c r="I47">
        <v>0</v>
      </c>
      <c r="J47">
        <v>100</v>
      </c>
      <c r="M47">
        <f t="shared" si="8"/>
        <v>70</v>
      </c>
      <c r="N47">
        <v>50</v>
      </c>
      <c r="O47">
        <f t="shared" si="13"/>
        <v>75</v>
      </c>
      <c r="P47">
        <v>100</v>
      </c>
    </row>
    <row r="48" spans="1:16" x14ac:dyDescent="0.15">
      <c r="A48" s="1">
        <v>2201</v>
      </c>
      <c r="B48" s="1">
        <v>2300</v>
      </c>
      <c r="C48" s="1">
        <f t="shared" si="9"/>
        <v>9460000</v>
      </c>
      <c r="D48" s="2">
        <f>D47</f>
        <v>26850000</v>
      </c>
      <c r="E48" s="1">
        <v>51</v>
      </c>
      <c r="F48" s="1">
        <v>60</v>
      </c>
      <c r="G48" s="1" t="str">
        <f t="shared" si="10"/>
        <v>0,100</v>
      </c>
      <c r="H48" s="1" t="str">
        <f t="shared" si="12"/>
        <v>60,50;65,100</v>
      </c>
      <c r="I48">
        <v>0</v>
      </c>
      <c r="J48">
        <v>100</v>
      </c>
      <c r="M48">
        <f t="shared" si="8"/>
        <v>60</v>
      </c>
      <c r="N48">
        <v>50</v>
      </c>
      <c r="O48">
        <f t="shared" si="13"/>
        <v>65</v>
      </c>
      <c r="P48">
        <v>100</v>
      </c>
    </row>
    <row r="49" spans="1:16" x14ac:dyDescent="0.15">
      <c r="A49" s="1">
        <v>2301</v>
      </c>
      <c r="B49" s="1">
        <v>2400</v>
      </c>
      <c r="C49" s="1">
        <f t="shared" si="9"/>
        <v>12300000</v>
      </c>
      <c r="D49" s="2">
        <f>D48</f>
        <v>26850000</v>
      </c>
      <c r="E49" s="1">
        <v>53</v>
      </c>
      <c r="F49" s="1">
        <v>60</v>
      </c>
      <c r="G49" s="1" t="str">
        <f t="shared" si="10"/>
        <v>0,100</v>
      </c>
      <c r="H49" s="1" t="str">
        <f t="shared" si="12"/>
        <v>60,50;65,100</v>
      </c>
      <c r="I49">
        <v>0</v>
      </c>
      <c r="J49">
        <v>100</v>
      </c>
      <c r="M49">
        <f t="shared" si="8"/>
        <v>60</v>
      </c>
      <c r="N49">
        <v>50</v>
      </c>
      <c r="O49">
        <f t="shared" si="13"/>
        <v>65</v>
      </c>
      <c r="P49">
        <v>100</v>
      </c>
    </row>
    <row r="50" spans="1:16" x14ac:dyDescent="0.15">
      <c r="A50" s="1">
        <v>2401</v>
      </c>
      <c r="B50" s="1">
        <v>2500</v>
      </c>
      <c r="C50" s="1">
        <f t="shared" si="9"/>
        <v>16000000</v>
      </c>
      <c r="D50" s="2">
        <f>D49</f>
        <v>26850000</v>
      </c>
      <c r="E50" s="1">
        <v>55</v>
      </c>
      <c r="F50" s="1">
        <v>60</v>
      </c>
      <c r="G50" s="1" t="str">
        <f t="shared" si="10"/>
        <v>0,100</v>
      </c>
      <c r="H50" s="1" t="str">
        <f t="shared" si="12"/>
        <v>60,50;65,100</v>
      </c>
      <c r="I50">
        <v>0</v>
      </c>
      <c r="J50">
        <v>100</v>
      </c>
      <c r="M50">
        <f t="shared" si="8"/>
        <v>60</v>
      </c>
      <c r="N50">
        <v>50</v>
      </c>
      <c r="O50">
        <f t="shared" si="13"/>
        <v>65</v>
      </c>
      <c r="P50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紫川 胡</cp:lastModifiedBy>
  <dcterms:created xsi:type="dcterms:W3CDTF">2022-07-14T08:01:00Z</dcterms:created>
  <dcterms:modified xsi:type="dcterms:W3CDTF">2024-03-20T09:35:44Z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58786D153885406F916BD29A8B1BF243</vt:lpwstr>
  </property>
</Properties>
</file>