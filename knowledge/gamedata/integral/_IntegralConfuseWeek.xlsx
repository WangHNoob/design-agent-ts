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940"/>
  </bookViews>
  <sheets>
    <sheet name="Sheet1" sheetId="1" r:id="rId1"/>
    <sheet name="制作表" sheetId="2" r:id="rId2"/>
  </sheets>
  <calcPr calcId="144525"/>
</workbook>
</file>

<file path=xl/sharedStrings.xml><?xml version="1.0" encoding="utf-8"?>
<sst xmlns="http://schemas.openxmlformats.org/spreadsheetml/2006/main" count="49" uniqueCount="26">
  <si>
    <t>id</t>
  </si>
  <si>
    <t>赛季id</t>
  </si>
  <si>
    <t>第几周</t>
  </si>
  <si>
    <t>buff ID 集合</t>
  </si>
  <si>
    <t>、</t>
  </si>
  <si>
    <t>int</t>
  </si>
  <si>
    <t>string</t>
  </si>
  <si>
    <t>primary</t>
  </si>
  <si>
    <t>seasonId</t>
  </si>
  <si>
    <t>week</t>
  </si>
  <si>
    <t>buffIds</t>
  </si>
  <si>
    <t>1</t>
  </si>
  <si>
    <t>积分下限</t>
  </si>
  <si>
    <t>积分上限</t>
  </si>
  <si>
    <t>战力下限</t>
  </si>
  <si>
    <t>战力上限</t>
  </si>
  <si>
    <t>胜率下限</t>
  </si>
  <si>
    <t>胜率上限</t>
  </si>
  <si>
    <t>弱触发胜率</t>
  </si>
  <si>
    <t>强触发几率</t>
  </si>
  <si>
    <t>弱触发胜率1</t>
  </si>
  <si>
    <t>几率</t>
  </si>
  <si>
    <t>弱触发胜率2</t>
  </si>
  <si>
    <t>强触发几率1</t>
  </si>
  <si>
    <t>强触发几率2</t>
  </si>
  <si>
    <t>测试数据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</si>
</sst>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0"/>
      <color theme="1"/>
      <name val="微软雅黑"/>
      <charset val="134"/>
    </font>
    <font>
      <sz val="10"/>
      <name val="微软雅黑"/>
      <charset val="134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9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4" borderId="2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2" fillId="4" borderId="3" applyNumberFormat="0" applyAlignment="0" applyProtection="0">
      <alignment vertical="center"/>
    </xf>
    <xf numFmtId="0" fontId="5" fillId="4" borderId="1" applyNumberFormat="0" applyAlignment="0" applyProtection="0">
      <alignment vertical="center"/>
    </xf>
    <xf numFmtId="0" fontId="21" fillId="23" borderId="7" applyNumberForma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NumberFormat="1" applyFill="1">
      <alignment vertical="center"/>
    </xf>
    <xf numFmtId="0" fontId="1" fillId="2" borderId="0" xfId="0" applyFont="1" applyFill="1">
      <alignment vertical="center"/>
    </xf>
    <xf numFmtId="0" fontId="2" fillId="0" borderId="0" xfId="0" applyNumberFormat="1" applyFont="1" applyFill="1" applyBorder="1" applyAlignment="1" applyProtection="1"/>
    <xf numFmtId="0" fontId="2" fillId="0" borderId="0" xfId="0" applyFont="1">
      <alignment vertical="center"/>
    </xf>
    <xf numFmtId="0" fontId="2" fillId="3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3" fontId="2" fillId="0" borderId="0" xfId="0" applyNumberFormat="1" applyFont="1" applyFill="1" applyAlignment="1">
      <alignment vertical="center"/>
    </xf>
    <xf numFmtId="0" fontId="3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2"/>
  <sheetViews>
    <sheetView tabSelected="1" zoomScale="115" zoomScaleNormal="115" workbookViewId="0">
      <selection activeCell="D9" sqref="D9"/>
    </sheetView>
  </sheetViews>
  <sheetFormatPr defaultColWidth="9" defaultRowHeight="14.5"/>
  <cols>
    <col min="1" max="1" width="13.8272727272727" style="5" customWidth="1"/>
    <col min="2" max="26" width="19.1363636363636" style="5" customWidth="1"/>
    <col min="27" max="16384" width="9" style="5"/>
  </cols>
  <sheetData>
    <row r="1" s="4" customFormat="1" spans="1:13">
      <c r="A1" s="6">
        <v>7</v>
      </c>
      <c r="B1" s="6">
        <v>1</v>
      </c>
      <c r="C1" s="6">
        <v>9999</v>
      </c>
      <c r="D1" s="6">
        <v>4</v>
      </c>
      <c r="E1" s="6"/>
      <c r="G1" s="6"/>
      <c r="H1" s="6"/>
      <c r="I1" s="6"/>
      <c r="J1" s="6"/>
      <c r="K1" s="6"/>
      <c r="L1" s="6"/>
      <c r="M1" s="6"/>
    </row>
    <row r="2" s="4" customFormat="1" spans="1:26">
      <c r="A2" s="7" t="s">
        <v>0</v>
      </c>
      <c r="B2" s="8" t="s">
        <v>1</v>
      </c>
      <c r="C2" s="7" t="s">
        <v>2</v>
      </c>
      <c r="D2" s="7" t="s">
        <v>3</v>
      </c>
      <c r="E2" s="7"/>
      <c r="F2" s="7" t="s">
        <v>4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="4" customFormat="1" spans="1:26">
      <c r="A3" s="7" t="s">
        <v>0</v>
      </c>
      <c r="B3" s="8"/>
      <c r="C3" s="7"/>
      <c r="D3" s="7"/>
      <c r="E3" s="8"/>
      <c r="F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="4" customFormat="1" spans="1:26">
      <c r="A4" s="7" t="s">
        <v>5</v>
      </c>
      <c r="B4" s="8" t="s">
        <v>5</v>
      </c>
      <c r="C4" s="8" t="s">
        <v>5</v>
      </c>
      <c r="D4" s="8" t="s">
        <v>6</v>
      </c>
      <c r="E4" s="7"/>
      <c r="F4" s="7"/>
      <c r="G4" s="7"/>
      <c r="H4" s="7"/>
      <c r="I4" s="7"/>
      <c r="J4" s="7"/>
      <c r="K4" s="7"/>
      <c r="L4" s="7"/>
      <c r="M4" s="7"/>
      <c r="N4" s="8"/>
      <c r="O4" s="7"/>
      <c r="P4" s="7"/>
      <c r="Q4" s="8"/>
      <c r="R4" s="7"/>
      <c r="S4" s="7"/>
      <c r="T4" s="8"/>
      <c r="U4" s="7"/>
      <c r="V4" s="7"/>
      <c r="W4" s="8"/>
      <c r="X4" s="7"/>
      <c r="Y4" s="7"/>
      <c r="Z4" s="8"/>
    </row>
    <row r="5" s="4" customFormat="1" spans="1:26">
      <c r="A5" s="7" t="s">
        <v>7</v>
      </c>
      <c r="E5" s="8"/>
      <c r="F5" s="7"/>
      <c r="G5" s="7"/>
      <c r="H5" s="8"/>
      <c r="I5" s="7"/>
      <c r="J5" s="7"/>
      <c r="K5" s="8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="4" customFormat="1" spans="1:26">
      <c r="A6" s="7" t="s">
        <v>0</v>
      </c>
      <c r="B6" s="8" t="s">
        <v>8</v>
      </c>
      <c r="C6" s="7" t="s">
        <v>9</v>
      </c>
      <c r="D6" s="7" t="s">
        <v>10</v>
      </c>
      <c r="E6" s="7"/>
      <c r="F6" s="7"/>
      <c r="G6" s="7"/>
      <c r="H6" s="7"/>
      <c r="I6" s="7"/>
      <c r="J6" s="7"/>
      <c r="K6" s="7"/>
      <c r="L6" s="7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6.5" customHeight="1" spans="1:12">
      <c r="A7" s="9">
        <v>1</v>
      </c>
      <c r="B7" s="7">
        <v>1</v>
      </c>
      <c r="C7" s="7">
        <v>1</v>
      </c>
      <c r="D7" s="7">
        <v>1</v>
      </c>
      <c r="E7" s="7"/>
      <c r="F7" s="7"/>
      <c r="G7" s="7"/>
      <c r="H7" s="7"/>
      <c r="I7" s="7"/>
      <c r="J7" s="7"/>
      <c r="K7" s="7"/>
      <c r="L7" s="7"/>
    </row>
    <row r="8" spans="1:11">
      <c r="A8" s="9">
        <v>2</v>
      </c>
      <c r="B8" s="10" t="s">
        <v>11</v>
      </c>
      <c r="C8" s="11">
        <v>2</v>
      </c>
      <c r="D8" s="11">
        <v>2</v>
      </c>
      <c r="E8" s="9"/>
      <c r="F8" s="11"/>
      <c r="G8" s="12"/>
      <c r="H8" s="12"/>
      <c r="I8" s="12"/>
      <c r="J8" s="13"/>
      <c r="K8" s="14"/>
    </row>
    <row r="9" spans="1:6">
      <c r="A9" s="9">
        <v>3</v>
      </c>
      <c r="B9" s="9"/>
      <c r="C9" s="9"/>
      <c r="D9" s="9"/>
      <c r="E9" s="9"/>
      <c r="F9" s="9"/>
    </row>
    <row r="10" spans="1:5">
      <c r="A10" s="9"/>
      <c r="B10" s="9"/>
      <c r="C10" s="9"/>
      <c r="D10" s="9"/>
      <c r="E10" s="9"/>
    </row>
    <row r="11" spans="1:5">
      <c r="A11" s="9"/>
      <c r="B11" s="9"/>
      <c r="C11" s="9"/>
      <c r="D11" s="9"/>
      <c r="E11" s="9"/>
    </row>
    <row r="12" spans="1:5">
      <c r="A12" s="9"/>
      <c r="B12" s="9"/>
      <c r="C12" s="9"/>
      <c r="D12" s="9"/>
      <c r="E12" s="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0"/>
  <sheetViews>
    <sheetView topLeftCell="A22" workbookViewId="0">
      <selection activeCell="G36" sqref="G36:H50"/>
    </sheetView>
  </sheetViews>
  <sheetFormatPr defaultColWidth="9" defaultRowHeight="14"/>
  <cols>
    <col min="1" max="2" width="8.87272727272727" customWidth="1"/>
    <col min="3" max="4" width="9.37272727272727" customWidth="1"/>
    <col min="5" max="6" width="8.87272727272727" customWidth="1"/>
    <col min="7" max="7" width="12.6272727272727" customWidth="1"/>
    <col min="8" max="8" width="16" customWidth="1"/>
    <col min="9" max="9" width="12" customWidth="1"/>
    <col min="10" max="10" width="5.12727272727273" customWidth="1"/>
    <col min="11" max="11" width="12" customWidth="1"/>
    <col min="12" max="12" width="5.12727272727273" customWidth="1"/>
    <col min="13" max="13" width="12" customWidth="1"/>
    <col min="14" max="14" width="5.12727272727273" customWidth="1"/>
    <col min="15" max="15" width="12" customWidth="1"/>
    <col min="16" max="16" width="5.12727272727273" customWidth="1"/>
  </cols>
  <sheetData>
    <row r="1" spans="1:1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21</v>
      </c>
      <c r="M1" t="s">
        <v>23</v>
      </c>
      <c r="N1" t="s">
        <v>21</v>
      </c>
      <c r="O1" t="s">
        <v>24</v>
      </c>
      <c r="P1" t="s">
        <v>21</v>
      </c>
    </row>
    <row r="2" spans="1:16">
      <c r="A2" s="1">
        <v>1000</v>
      </c>
      <c r="B2" s="1">
        <v>1070</v>
      </c>
      <c r="C2" s="1">
        <v>0</v>
      </c>
      <c r="D2" s="1">
        <v>500000</v>
      </c>
      <c r="E2" s="2">
        <v>0</v>
      </c>
      <c r="F2" s="2">
        <v>100</v>
      </c>
      <c r="G2" s="1" t="str">
        <f>I2&amp;","&amp;J2</f>
        <v>0,0</v>
      </c>
      <c r="H2" s="1" t="str">
        <f>M2&amp;","&amp;N2&amp;";"&amp;O2&amp;","&amp;P2</f>
        <v>100,50;100,100</v>
      </c>
      <c r="I2">
        <v>0</v>
      </c>
      <c r="J2">
        <v>0</v>
      </c>
      <c r="M2">
        <f>MIN(F2+5,100)</f>
        <v>100</v>
      </c>
      <c r="N2">
        <v>50</v>
      </c>
      <c r="O2">
        <v>100</v>
      </c>
      <c r="P2">
        <v>100</v>
      </c>
    </row>
    <row r="3" spans="1:16">
      <c r="A3" s="1">
        <v>1071</v>
      </c>
      <c r="B3" s="1">
        <v>1200</v>
      </c>
      <c r="C3" s="1">
        <f>INT((C2+D2)/2/10000)*10000</f>
        <v>250000</v>
      </c>
      <c r="D3" s="1">
        <v>850000</v>
      </c>
      <c r="E3" s="2">
        <v>80</v>
      </c>
      <c r="F3" s="2">
        <v>100</v>
      </c>
      <c r="G3" s="1" t="str">
        <f t="shared" ref="G3:G16" si="0">I3&amp;","&amp;J3&amp;";"&amp;K3&amp;","&amp;L3</f>
        <v>75,50;0,100</v>
      </c>
      <c r="H3" s="1" t="str">
        <f t="shared" ref="H3:H16" si="1">M3&amp;","&amp;N3&amp;";"&amp;O3&amp;","&amp;P3</f>
        <v>100,50;100,100</v>
      </c>
      <c r="I3">
        <f>E3-5</f>
        <v>75</v>
      </c>
      <c r="J3">
        <v>50</v>
      </c>
      <c r="K3">
        <v>0</v>
      </c>
      <c r="L3">
        <v>100</v>
      </c>
      <c r="M3">
        <f t="shared" ref="M3:M16" si="2">MIN(F3+5,100)</f>
        <v>100</v>
      </c>
      <c r="N3">
        <v>50</v>
      </c>
      <c r="O3">
        <v>100</v>
      </c>
      <c r="P3">
        <v>100</v>
      </c>
    </row>
    <row r="4" spans="1:16">
      <c r="A4" s="1">
        <v>1201</v>
      </c>
      <c r="B4" s="1">
        <v>1300</v>
      </c>
      <c r="C4" s="1">
        <f>INT((C3+D3)/2/10000)*10000</f>
        <v>550000</v>
      </c>
      <c r="D4" s="1">
        <v>1100000</v>
      </c>
      <c r="E4" s="2">
        <v>75</v>
      </c>
      <c r="F4" s="2">
        <v>100</v>
      </c>
      <c r="G4" s="1" t="str">
        <f t="shared" si="0"/>
        <v>70,50;0,100</v>
      </c>
      <c r="H4" s="1" t="str">
        <f t="shared" si="1"/>
        <v>100,50;100,100</v>
      </c>
      <c r="I4">
        <f t="shared" ref="I4:I16" si="3">E4-5</f>
        <v>70</v>
      </c>
      <c r="J4">
        <v>50</v>
      </c>
      <c r="K4">
        <v>0</v>
      </c>
      <c r="L4">
        <v>100</v>
      </c>
      <c r="M4">
        <f t="shared" si="2"/>
        <v>100</v>
      </c>
      <c r="N4">
        <v>50</v>
      </c>
      <c r="O4">
        <v>100</v>
      </c>
      <c r="P4">
        <v>100</v>
      </c>
    </row>
    <row r="5" spans="1:16">
      <c r="A5" s="1">
        <v>1301</v>
      </c>
      <c r="B5" s="1">
        <v>1400</v>
      </c>
      <c r="C5" s="1">
        <f>INT((C4+D4)/2/10000)*10000</f>
        <v>820000</v>
      </c>
      <c r="D5" s="1">
        <v>1450000</v>
      </c>
      <c r="E5" s="2">
        <v>70</v>
      </c>
      <c r="F5" s="2">
        <v>100</v>
      </c>
      <c r="G5" s="1" t="str">
        <f t="shared" si="0"/>
        <v>65,50;0,100</v>
      </c>
      <c r="H5" s="1" t="str">
        <f t="shared" si="1"/>
        <v>100,50;100,100</v>
      </c>
      <c r="I5">
        <f t="shared" si="3"/>
        <v>65</v>
      </c>
      <c r="J5">
        <v>50</v>
      </c>
      <c r="K5">
        <v>0</v>
      </c>
      <c r="L5">
        <v>100</v>
      </c>
      <c r="M5">
        <f t="shared" si="2"/>
        <v>100</v>
      </c>
      <c r="N5">
        <v>50</v>
      </c>
      <c r="O5">
        <v>100</v>
      </c>
      <c r="P5">
        <v>100</v>
      </c>
    </row>
    <row r="6" spans="1:16">
      <c r="A6" s="1">
        <v>1401</v>
      </c>
      <c r="B6" s="1">
        <v>1500</v>
      </c>
      <c r="C6" s="1">
        <f t="shared" ref="C6:C16" si="4">INT((C5+D5)/2/10000)*10000</f>
        <v>1130000</v>
      </c>
      <c r="D6" s="1">
        <v>1850000</v>
      </c>
      <c r="E6" s="2">
        <v>40</v>
      </c>
      <c r="F6" s="2">
        <v>80</v>
      </c>
      <c r="G6" s="1" t="str">
        <f t="shared" si="0"/>
        <v>35,50;0,100</v>
      </c>
      <c r="H6" s="1" t="str">
        <f t="shared" si="1"/>
        <v>85,50;100,100</v>
      </c>
      <c r="I6">
        <f t="shared" si="3"/>
        <v>35</v>
      </c>
      <c r="J6">
        <v>50</v>
      </c>
      <c r="K6">
        <v>0</v>
      </c>
      <c r="L6">
        <v>100</v>
      </c>
      <c r="M6">
        <f t="shared" si="2"/>
        <v>85</v>
      </c>
      <c r="N6">
        <v>50</v>
      </c>
      <c r="O6">
        <v>100</v>
      </c>
      <c r="P6">
        <v>100</v>
      </c>
    </row>
    <row r="7" spans="1:16">
      <c r="A7" s="1">
        <v>1501</v>
      </c>
      <c r="B7" s="1">
        <v>1600</v>
      </c>
      <c r="C7" s="1">
        <f t="shared" si="4"/>
        <v>1490000</v>
      </c>
      <c r="D7" s="1">
        <v>2400000</v>
      </c>
      <c r="E7" s="2">
        <v>45</v>
      </c>
      <c r="F7" s="2">
        <v>70</v>
      </c>
      <c r="G7" s="1" t="str">
        <f t="shared" si="0"/>
        <v>40,50;0,100</v>
      </c>
      <c r="H7" s="1" t="str">
        <f t="shared" si="1"/>
        <v>75,50;100,100</v>
      </c>
      <c r="I7">
        <f t="shared" si="3"/>
        <v>40</v>
      </c>
      <c r="J7">
        <v>50</v>
      </c>
      <c r="K7">
        <v>0</v>
      </c>
      <c r="L7">
        <v>100</v>
      </c>
      <c r="M7">
        <f t="shared" si="2"/>
        <v>75</v>
      </c>
      <c r="N7">
        <v>50</v>
      </c>
      <c r="O7">
        <v>100</v>
      </c>
      <c r="P7">
        <v>100</v>
      </c>
    </row>
    <row r="8" spans="1:16">
      <c r="A8" s="1">
        <v>1601</v>
      </c>
      <c r="B8" s="1">
        <v>1700</v>
      </c>
      <c r="C8" s="1">
        <f t="shared" si="4"/>
        <v>1940000</v>
      </c>
      <c r="D8" s="1">
        <v>3150000</v>
      </c>
      <c r="E8" s="2">
        <v>45</v>
      </c>
      <c r="F8" s="2">
        <v>70</v>
      </c>
      <c r="G8" s="1" t="str">
        <f t="shared" si="0"/>
        <v>40,50;0,100</v>
      </c>
      <c r="H8" s="1" t="str">
        <f t="shared" si="1"/>
        <v>75,50;100,100</v>
      </c>
      <c r="I8">
        <f t="shared" si="3"/>
        <v>40</v>
      </c>
      <c r="J8">
        <v>50</v>
      </c>
      <c r="K8">
        <v>0</v>
      </c>
      <c r="L8">
        <v>100</v>
      </c>
      <c r="M8">
        <f t="shared" si="2"/>
        <v>75</v>
      </c>
      <c r="N8">
        <v>50</v>
      </c>
      <c r="O8">
        <v>100</v>
      </c>
      <c r="P8">
        <v>100</v>
      </c>
    </row>
    <row r="9" spans="1:16">
      <c r="A9" s="1">
        <v>1701</v>
      </c>
      <c r="B9" s="1">
        <v>1800</v>
      </c>
      <c r="C9" s="1">
        <f t="shared" si="4"/>
        <v>2540000</v>
      </c>
      <c r="D9" s="1">
        <v>4100000</v>
      </c>
      <c r="E9" s="2">
        <v>45</v>
      </c>
      <c r="F9" s="2">
        <v>70</v>
      </c>
      <c r="G9" s="1" t="str">
        <f t="shared" si="0"/>
        <v>40,50;0,100</v>
      </c>
      <c r="H9" s="1" t="str">
        <f t="shared" si="1"/>
        <v>75,50;100,100</v>
      </c>
      <c r="I9">
        <f t="shared" si="3"/>
        <v>40</v>
      </c>
      <c r="J9">
        <v>50</v>
      </c>
      <c r="K9">
        <v>0</v>
      </c>
      <c r="L9">
        <v>100</v>
      </c>
      <c r="M9">
        <f t="shared" si="2"/>
        <v>75</v>
      </c>
      <c r="N9">
        <v>50</v>
      </c>
      <c r="O9">
        <v>100</v>
      </c>
      <c r="P9">
        <v>100</v>
      </c>
    </row>
    <row r="10" spans="1:16">
      <c r="A10" s="1">
        <v>1801</v>
      </c>
      <c r="B10" s="1">
        <v>1900</v>
      </c>
      <c r="C10" s="1">
        <f t="shared" si="4"/>
        <v>3320000</v>
      </c>
      <c r="D10" s="1">
        <v>5300000</v>
      </c>
      <c r="E10" s="2">
        <v>45</v>
      </c>
      <c r="F10" s="2">
        <v>65</v>
      </c>
      <c r="G10" s="1" t="str">
        <f t="shared" si="0"/>
        <v>40,50;0,100</v>
      </c>
      <c r="H10" s="1" t="str">
        <f t="shared" si="1"/>
        <v>70,50;100,100</v>
      </c>
      <c r="I10">
        <f t="shared" si="3"/>
        <v>40</v>
      </c>
      <c r="J10">
        <v>50</v>
      </c>
      <c r="K10">
        <v>0</v>
      </c>
      <c r="L10">
        <v>100</v>
      </c>
      <c r="M10">
        <f t="shared" si="2"/>
        <v>70</v>
      </c>
      <c r="N10">
        <v>50</v>
      </c>
      <c r="O10">
        <v>100</v>
      </c>
      <c r="P10">
        <v>100</v>
      </c>
    </row>
    <row r="11" spans="1:16">
      <c r="A11" s="1">
        <v>1901</v>
      </c>
      <c r="B11" s="1">
        <v>2000</v>
      </c>
      <c r="C11" s="1">
        <f t="shared" si="4"/>
        <v>4310000</v>
      </c>
      <c r="D11" s="1">
        <v>6900000</v>
      </c>
      <c r="E11" s="2">
        <v>40</v>
      </c>
      <c r="F11" s="2">
        <v>65</v>
      </c>
      <c r="G11" s="1" t="str">
        <f t="shared" si="0"/>
        <v>35,50;0,100</v>
      </c>
      <c r="H11" s="1" t="str">
        <f t="shared" si="1"/>
        <v>70,50;100,100</v>
      </c>
      <c r="I11">
        <f t="shared" si="3"/>
        <v>35</v>
      </c>
      <c r="J11">
        <v>50</v>
      </c>
      <c r="K11">
        <v>0</v>
      </c>
      <c r="L11">
        <v>100</v>
      </c>
      <c r="M11">
        <f t="shared" si="2"/>
        <v>70</v>
      </c>
      <c r="N11">
        <v>50</v>
      </c>
      <c r="O11">
        <v>100</v>
      </c>
      <c r="P11">
        <v>100</v>
      </c>
    </row>
    <row r="12" spans="1:16">
      <c r="A12" s="1">
        <v>2001</v>
      </c>
      <c r="B12" s="1">
        <v>2100</v>
      </c>
      <c r="C12" s="1">
        <f t="shared" si="4"/>
        <v>5600000</v>
      </c>
      <c r="D12" s="1">
        <v>8950000</v>
      </c>
      <c r="E12" s="2">
        <v>50</v>
      </c>
      <c r="F12" s="2">
        <v>70</v>
      </c>
      <c r="G12" s="1" t="str">
        <f t="shared" si="0"/>
        <v>45,50;0,100</v>
      </c>
      <c r="H12" s="1" t="str">
        <f t="shared" si="1"/>
        <v>75,50;100,100</v>
      </c>
      <c r="I12">
        <f t="shared" si="3"/>
        <v>45</v>
      </c>
      <c r="J12">
        <v>50</v>
      </c>
      <c r="K12">
        <v>0</v>
      </c>
      <c r="L12">
        <v>100</v>
      </c>
      <c r="M12">
        <f t="shared" si="2"/>
        <v>75</v>
      </c>
      <c r="N12">
        <v>50</v>
      </c>
      <c r="O12">
        <v>100</v>
      </c>
      <c r="P12">
        <v>100</v>
      </c>
    </row>
    <row r="13" spans="1:16">
      <c r="A13" s="1">
        <v>2101</v>
      </c>
      <c r="B13" s="1">
        <v>2200</v>
      </c>
      <c r="C13" s="1">
        <f t="shared" si="4"/>
        <v>7270000</v>
      </c>
      <c r="D13" s="1">
        <v>11650000</v>
      </c>
      <c r="E13" s="2">
        <v>51</v>
      </c>
      <c r="F13" s="2">
        <v>70</v>
      </c>
      <c r="G13" s="1" t="str">
        <f t="shared" si="0"/>
        <v>46,50;0,100</v>
      </c>
      <c r="H13" s="1" t="str">
        <f t="shared" si="1"/>
        <v>75,50;100,100</v>
      </c>
      <c r="I13">
        <f t="shared" si="3"/>
        <v>46</v>
      </c>
      <c r="J13">
        <v>50</v>
      </c>
      <c r="K13">
        <v>0</v>
      </c>
      <c r="L13">
        <v>100</v>
      </c>
      <c r="M13">
        <f t="shared" si="2"/>
        <v>75</v>
      </c>
      <c r="N13">
        <v>50</v>
      </c>
      <c r="O13">
        <v>100</v>
      </c>
      <c r="P13">
        <v>100</v>
      </c>
    </row>
    <row r="14" spans="1:16">
      <c r="A14" s="1">
        <v>2201</v>
      </c>
      <c r="B14" s="1">
        <v>2300</v>
      </c>
      <c r="C14" s="1">
        <f t="shared" si="4"/>
        <v>9460000</v>
      </c>
      <c r="D14" s="1">
        <v>15150000</v>
      </c>
      <c r="E14" s="2">
        <v>51</v>
      </c>
      <c r="F14" s="2">
        <v>60</v>
      </c>
      <c r="G14" s="1" t="str">
        <f t="shared" si="0"/>
        <v>46,50;0,100</v>
      </c>
      <c r="H14" s="1" t="str">
        <f t="shared" si="1"/>
        <v>65,50;100,100</v>
      </c>
      <c r="I14">
        <f t="shared" si="3"/>
        <v>46</v>
      </c>
      <c r="J14">
        <v>50</v>
      </c>
      <c r="K14">
        <v>0</v>
      </c>
      <c r="L14">
        <v>100</v>
      </c>
      <c r="M14">
        <f t="shared" si="2"/>
        <v>65</v>
      </c>
      <c r="N14">
        <v>50</v>
      </c>
      <c r="O14">
        <v>100</v>
      </c>
      <c r="P14">
        <v>100</v>
      </c>
    </row>
    <row r="15" spans="1:16">
      <c r="A15" s="1">
        <v>2301</v>
      </c>
      <c r="B15" s="1">
        <v>2400</v>
      </c>
      <c r="C15" s="1">
        <f t="shared" si="4"/>
        <v>12300000</v>
      </c>
      <c r="D15" s="1">
        <v>19700000</v>
      </c>
      <c r="E15" s="2">
        <v>53</v>
      </c>
      <c r="F15" s="2">
        <v>60</v>
      </c>
      <c r="G15" s="1" t="str">
        <f t="shared" si="0"/>
        <v>48,50;0,100</v>
      </c>
      <c r="H15" s="1" t="str">
        <f t="shared" si="1"/>
        <v>65,50;100,100</v>
      </c>
      <c r="I15">
        <f t="shared" si="3"/>
        <v>48</v>
      </c>
      <c r="J15">
        <v>50</v>
      </c>
      <c r="K15">
        <v>0</v>
      </c>
      <c r="L15">
        <v>100</v>
      </c>
      <c r="M15">
        <f t="shared" si="2"/>
        <v>65</v>
      </c>
      <c r="N15">
        <v>50</v>
      </c>
      <c r="O15">
        <v>100</v>
      </c>
      <c r="P15">
        <v>100</v>
      </c>
    </row>
    <row r="16" spans="1:16">
      <c r="A16" s="1">
        <v>2401</v>
      </c>
      <c r="B16" s="1">
        <v>2500</v>
      </c>
      <c r="C16" s="1">
        <f t="shared" si="4"/>
        <v>16000000</v>
      </c>
      <c r="D16" s="1">
        <v>25600000</v>
      </c>
      <c r="E16" s="2">
        <v>55</v>
      </c>
      <c r="F16" s="2">
        <v>60</v>
      </c>
      <c r="G16" s="1" t="str">
        <f t="shared" si="0"/>
        <v>50,50;0,100</v>
      </c>
      <c r="H16" s="1" t="str">
        <f t="shared" si="1"/>
        <v>65,50;100,100</v>
      </c>
      <c r="I16">
        <f t="shared" si="3"/>
        <v>50</v>
      </c>
      <c r="J16">
        <v>50</v>
      </c>
      <c r="K16">
        <v>0</v>
      </c>
      <c r="L16">
        <v>100</v>
      </c>
      <c r="M16">
        <f t="shared" si="2"/>
        <v>65</v>
      </c>
      <c r="N16">
        <v>50</v>
      </c>
      <c r="O16">
        <v>100</v>
      </c>
      <c r="P16">
        <v>100</v>
      </c>
    </row>
    <row r="17" spans="4:4">
      <c r="D17">
        <v>1.3</v>
      </c>
    </row>
    <row r="18" spans="2:6">
      <c r="B18">
        <v>200</v>
      </c>
      <c r="C18">
        <v>1</v>
      </c>
      <c r="D18">
        <v>1</v>
      </c>
      <c r="E18">
        <f>ROUND(D18,1)</f>
        <v>1</v>
      </c>
      <c r="F18">
        <v>500000</v>
      </c>
    </row>
    <row r="19" spans="3:6">
      <c r="C19">
        <v>2</v>
      </c>
      <c r="D19">
        <f>D$17^C19</f>
        <v>1.69</v>
      </c>
      <c r="E19">
        <f>ROUND(D19,1)</f>
        <v>1.7</v>
      </c>
      <c r="F19">
        <f>F$18*E19</f>
        <v>850000</v>
      </c>
    </row>
    <row r="20" spans="3:6">
      <c r="C20">
        <v>3</v>
      </c>
      <c r="D20">
        <f t="shared" ref="D20:D32" si="5">D$17^C20</f>
        <v>2.197</v>
      </c>
      <c r="E20">
        <f t="shared" ref="E20:E32" si="6">ROUND(D20,1)</f>
        <v>2.2</v>
      </c>
      <c r="F20">
        <f t="shared" ref="F20:F32" si="7">F$18*E20</f>
        <v>1100000</v>
      </c>
    </row>
    <row r="21" spans="3:6">
      <c r="C21">
        <v>4</v>
      </c>
      <c r="D21">
        <f t="shared" si="5"/>
        <v>2.8561</v>
      </c>
      <c r="E21">
        <f t="shared" si="6"/>
        <v>2.9</v>
      </c>
      <c r="F21">
        <f t="shared" si="7"/>
        <v>1450000</v>
      </c>
    </row>
    <row r="22" spans="3:6">
      <c r="C22">
        <v>5</v>
      </c>
      <c r="D22">
        <f t="shared" si="5"/>
        <v>3.71293</v>
      </c>
      <c r="E22">
        <f t="shared" si="6"/>
        <v>3.7</v>
      </c>
      <c r="F22">
        <f t="shared" si="7"/>
        <v>1850000</v>
      </c>
    </row>
    <row r="23" spans="3:6">
      <c r="C23">
        <v>6</v>
      </c>
      <c r="D23">
        <f t="shared" si="5"/>
        <v>4.826809</v>
      </c>
      <c r="E23">
        <f t="shared" si="6"/>
        <v>4.8</v>
      </c>
      <c r="F23">
        <f t="shared" si="7"/>
        <v>2400000</v>
      </c>
    </row>
    <row r="24" spans="3:6">
      <c r="C24">
        <v>7</v>
      </c>
      <c r="D24">
        <f t="shared" si="5"/>
        <v>6.2748517</v>
      </c>
      <c r="E24">
        <f t="shared" si="6"/>
        <v>6.3</v>
      </c>
      <c r="F24">
        <f t="shared" si="7"/>
        <v>3150000</v>
      </c>
    </row>
    <row r="25" spans="3:6">
      <c r="C25">
        <v>8</v>
      </c>
      <c r="D25">
        <f t="shared" si="5"/>
        <v>8.15730721</v>
      </c>
      <c r="E25">
        <f t="shared" si="6"/>
        <v>8.2</v>
      </c>
      <c r="F25">
        <f t="shared" si="7"/>
        <v>4100000</v>
      </c>
    </row>
    <row r="26" spans="3:6">
      <c r="C26">
        <v>9</v>
      </c>
      <c r="D26">
        <f t="shared" si="5"/>
        <v>10.604499373</v>
      </c>
      <c r="E26">
        <f t="shared" si="6"/>
        <v>10.6</v>
      </c>
      <c r="F26">
        <f t="shared" si="7"/>
        <v>5300000</v>
      </c>
    </row>
    <row r="27" spans="3:6">
      <c r="C27">
        <v>10</v>
      </c>
      <c r="D27">
        <f t="shared" si="5"/>
        <v>13.7858491849</v>
      </c>
      <c r="E27">
        <f t="shared" si="6"/>
        <v>13.8</v>
      </c>
      <c r="F27">
        <f t="shared" si="7"/>
        <v>6900000</v>
      </c>
    </row>
    <row r="28" spans="3:6">
      <c r="C28">
        <v>11</v>
      </c>
      <c r="D28">
        <f t="shared" si="5"/>
        <v>17.92160394037</v>
      </c>
      <c r="E28">
        <f t="shared" si="6"/>
        <v>17.9</v>
      </c>
      <c r="F28">
        <f t="shared" si="7"/>
        <v>8950000</v>
      </c>
    </row>
    <row r="29" spans="3:6">
      <c r="C29">
        <v>12</v>
      </c>
      <c r="D29">
        <f t="shared" si="5"/>
        <v>23.298085122481</v>
      </c>
      <c r="E29">
        <f t="shared" si="6"/>
        <v>23.3</v>
      </c>
      <c r="F29">
        <f t="shared" si="7"/>
        <v>11650000</v>
      </c>
    </row>
    <row r="30" spans="3:6">
      <c r="C30">
        <v>13</v>
      </c>
      <c r="D30">
        <f t="shared" si="5"/>
        <v>30.2875106592253</v>
      </c>
      <c r="E30">
        <f t="shared" si="6"/>
        <v>30.3</v>
      </c>
      <c r="F30">
        <f t="shared" si="7"/>
        <v>15150000</v>
      </c>
    </row>
    <row r="31" spans="3:6">
      <c r="C31">
        <v>14</v>
      </c>
      <c r="D31">
        <f t="shared" si="5"/>
        <v>39.3737638569929</v>
      </c>
      <c r="E31">
        <f t="shared" si="6"/>
        <v>39.4</v>
      </c>
      <c r="F31">
        <f t="shared" si="7"/>
        <v>19700000</v>
      </c>
    </row>
    <row r="32" spans="3:6">
      <c r="C32">
        <v>15</v>
      </c>
      <c r="D32">
        <f t="shared" si="5"/>
        <v>51.1858930140908</v>
      </c>
      <c r="E32">
        <f t="shared" si="6"/>
        <v>51.2</v>
      </c>
      <c r="F32">
        <f t="shared" si="7"/>
        <v>25600000</v>
      </c>
    </row>
    <row r="34" spans="1:1">
      <c r="A34" t="s">
        <v>25</v>
      </c>
    </row>
    <row r="35" spans="1:16">
      <c r="A35" t="s">
        <v>12</v>
      </c>
      <c r="B35" t="s">
        <v>13</v>
      </c>
      <c r="C35" t="s">
        <v>14</v>
      </c>
      <c r="D35" t="s">
        <v>15</v>
      </c>
      <c r="E35" t="s">
        <v>16</v>
      </c>
      <c r="F35" t="s">
        <v>17</v>
      </c>
      <c r="G35" t="s">
        <v>18</v>
      </c>
      <c r="H35" t="s">
        <v>19</v>
      </c>
      <c r="I35" t="s">
        <v>20</v>
      </c>
      <c r="J35" t="s">
        <v>21</v>
      </c>
      <c r="K35" t="s">
        <v>22</v>
      </c>
      <c r="L35" t="s">
        <v>21</v>
      </c>
      <c r="M35" t="s">
        <v>23</v>
      </c>
      <c r="N35" t="s">
        <v>21</v>
      </c>
      <c r="O35" t="s">
        <v>24</v>
      </c>
      <c r="P35" t="s">
        <v>21</v>
      </c>
    </row>
    <row r="36" spans="1:14">
      <c r="A36" s="1">
        <v>1000</v>
      </c>
      <c r="B36" s="1">
        <v>1070</v>
      </c>
      <c r="C36" s="1">
        <v>0</v>
      </c>
      <c r="D36" s="1">
        <v>500000</v>
      </c>
      <c r="E36" s="2">
        <v>80</v>
      </c>
      <c r="F36" s="2">
        <v>100</v>
      </c>
      <c r="G36" s="1" t="str">
        <f>I36&amp;","&amp;J36</f>
        <v>0,100</v>
      </c>
      <c r="H36" s="1" t="str">
        <f>M36&amp;","&amp;N36</f>
        <v>100,50</v>
      </c>
      <c r="I36">
        <v>0</v>
      </c>
      <c r="J36">
        <v>100</v>
      </c>
      <c r="M36">
        <f>F36</f>
        <v>100</v>
      </c>
      <c r="N36">
        <v>50</v>
      </c>
    </row>
    <row r="37" spans="1:14">
      <c r="A37" s="1">
        <v>1071</v>
      </c>
      <c r="B37" s="1">
        <v>1200</v>
      </c>
      <c r="C37" s="1">
        <f>C3</f>
        <v>250000</v>
      </c>
      <c r="D37" s="1">
        <v>850000</v>
      </c>
      <c r="E37" s="2">
        <v>80</v>
      </c>
      <c r="F37" s="2">
        <v>100</v>
      </c>
      <c r="G37" s="1" t="str">
        <f>I37&amp;","&amp;J37</f>
        <v>0,100</v>
      </c>
      <c r="H37" s="1" t="str">
        <f>M37&amp;","&amp;N37</f>
        <v>100,50</v>
      </c>
      <c r="I37">
        <v>0</v>
      </c>
      <c r="J37">
        <v>100</v>
      </c>
      <c r="M37">
        <f t="shared" ref="M37:M50" si="8">F37</f>
        <v>100</v>
      </c>
      <c r="N37">
        <v>50</v>
      </c>
    </row>
    <row r="38" spans="1:14">
      <c r="A38" s="1">
        <v>1201</v>
      </c>
      <c r="B38" s="1">
        <v>1300</v>
      </c>
      <c r="C38" s="1">
        <f t="shared" ref="C38:C50" si="9">C4</f>
        <v>550000</v>
      </c>
      <c r="D38" s="1">
        <f>D4*3</f>
        <v>3300000</v>
      </c>
      <c r="E38" s="2">
        <v>75</v>
      </c>
      <c r="F38" s="2">
        <v>100</v>
      </c>
      <c r="G38" s="1" t="str">
        <f t="shared" ref="G38:G50" si="10">I38&amp;","&amp;J38</f>
        <v>0,100</v>
      </c>
      <c r="H38" s="1" t="str">
        <f>M38&amp;","&amp;N38</f>
        <v>100,50</v>
      </c>
      <c r="I38">
        <v>0</v>
      </c>
      <c r="J38">
        <v>100</v>
      </c>
      <c r="M38">
        <f t="shared" si="8"/>
        <v>100</v>
      </c>
      <c r="N38">
        <v>50</v>
      </c>
    </row>
    <row r="39" spans="1:14">
      <c r="A39" s="1">
        <v>1301</v>
      </c>
      <c r="B39" s="1">
        <v>1400</v>
      </c>
      <c r="C39" s="1">
        <f t="shared" si="9"/>
        <v>820000</v>
      </c>
      <c r="D39" s="1">
        <f t="shared" ref="D39:D50" si="11">D5*3</f>
        <v>4350000</v>
      </c>
      <c r="E39" s="2">
        <v>70</v>
      </c>
      <c r="F39" s="2">
        <v>100</v>
      </c>
      <c r="G39" s="1" t="str">
        <f t="shared" si="10"/>
        <v>0,100</v>
      </c>
      <c r="H39" s="1" t="str">
        <f>M39&amp;","&amp;N39</f>
        <v>100,50</v>
      </c>
      <c r="I39">
        <v>0</v>
      </c>
      <c r="J39">
        <v>100</v>
      </c>
      <c r="M39">
        <f t="shared" si="8"/>
        <v>100</v>
      </c>
      <c r="N39">
        <v>50</v>
      </c>
    </row>
    <row r="40" spans="1:16">
      <c r="A40" s="1">
        <v>1401</v>
      </c>
      <c r="B40" s="1">
        <v>1500</v>
      </c>
      <c r="C40" s="1">
        <f t="shared" si="9"/>
        <v>1130000</v>
      </c>
      <c r="D40" s="1">
        <f t="shared" si="11"/>
        <v>5550000</v>
      </c>
      <c r="E40" s="2">
        <v>40</v>
      </c>
      <c r="F40" s="2">
        <v>80</v>
      </c>
      <c r="G40" s="1" t="str">
        <f t="shared" si="10"/>
        <v>0,100</v>
      </c>
      <c r="H40" s="1" t="str">
        <f t="shared" ref="H36:H50" si="12">M40&amp;","&amp;N40&amp;";"&amp;O40&amp;","&amp;P40</f>
        <v>80,50;85,100</v>
      </c>
      <c r="I40">
        <v>0</v>
      </c>
      <c r="J40">
        <v>100</v>
      </c>
      <c r="M40">
        <f t="shared" si="8"/>
        <v>80</v>
      </c>
      <c r="N40">
        <v>50</v>
      </c>
      <c r="O40">
        <f>M40+5</f>
        <v>85</v>
      </c>
      <c r="P40">
        <v>100</v>
      </c>
    </row>
    <row r="41" spans="1:16">
      <c r="A41" s="1">
        <v>1501</v>
      </c>
      <c r="B41" s="1">
        <v>1600</v>
      </c>
      <c r="C41" s="1">
        <f t="shared" si="9"/>
        <v>1490000</v>
      </c>
      <c r="D41" s="1">
        <f t="shared" si="11"/>
        <v>7200000</v>
      </c>
      <c r="E41" s="2">
        <v>45</v>
      </c>
      <c r="F41" s="2">
        <v>70</v>
      </c>
      <c r="G41" s="1" t="str">
        <f t="shared" si="10"/>
        <v>0,100</v>
      </c>
      <c r="H41" s="1" t="str">
        <f t="shared" si="12"/>
        <v>70,50;75,100</v>
      </c>
      <c r="I41">
        <v>0</v>
      </c>
      <c r="J41">
        <v>100</v>
      </c>
      <c r="M41">
        <f t="shared" si="8"/>
        <v>70</v>
      </c>
      <c r="N41">
        <v>50</v>
      </c>
      <c r="O41">
        <f t="shared" ref="O41:O50" si="13">M41+5</f>
        <v>75</v>
      </c>
      <c r="P41">
        <v>100</v>
      </c>
    </row>
    <row r="42" spans="1:16">
      <c r="A42" s="1">
        <v>1601</v>
      </c>
      <c r="B42" s="1">
        <v>1700</v>
      </c>
      <c r="C42" s="1">
        <f t="shared" si="9"/>
        <v>1940000</v>
      </c>
      <c r="D42" s="1">
        <f t="shared" si="11"/>
        <v>9450000</v>
      </c>
      <c r="E42" s="2">
        <v>45</v>
      </c>
      <c r="F42" s="2">
        <v>70</v>
      </c>
      <c r="G42" s="1" t="str">
        <f t="shared" si="10"/>
        <v>0,100</v>
      </c>
      <c r="H42" s="1" t="str">
        <f t="shared" si="12"/>
        <v>70,50;75,100</v>
      </c>
      <c r="I42">
        <v>0</v>
      </c>
      <c r="J42">
        <v>100</v>
      </c>
      <c r="M42">
        <f t="shared" si="8"/>
        <v>70</v>
      </c>
      <c r="N42">
        <v>50</v>
      </c>
      <c r="O42">
        <f t="shared" si="13"/>
        <v>75</v>
      </c>
      <c r="P42">
        <v>100</v>
      </c>
    </row>
    <row r="43" spans="1:16">
      <c r="A43" s="1">
        <v>1701</v>
      </c>
      <c r="B43" s="1">
        <v>1800</v>
      </c>
      <c r="C43" s="1">
        <f t="shared" si="9"/>
        <v>2540000</v>
      </c>
      <c r="D43" s="1">
        <f t="shared" si="11"/>
        <v>12300000</v>
      </c>
      <c r="E43" s="2">
        <v>45</v>
      </c>
      <c r="F43" s="2">
        <v>70</v>
      </c>
      <c r="G43" s="1" t="str">
        <f t="shared" si="10"/>
        <v>0,100</v>
      </c>
      <c r="H43" s="1" t="str">
        <f t="shared" si="12"/>
        <v>70,50;75,100</v>
      </c>
      <c r="I43">
        <v>0</v>
      </c>
      <c r="J43">
        <v>100</v>
      </c>
      <c r="M43">
        <f t="shared" si="8"/>
        <v>70</v>
      </c>
      <c r="N43">
        <v>50</v>
      </c>
      <c r="O43">
        <f t="shared" si="13"/>
        <v>75</v>
      </c>
      <c r="P43">
        <v>100</v>
      </c>
    </row>
    <row r="44" spans="1:16">
      <c r="A44" s="1">
        <v>1801</v>
      </c>
      <c r="B44" s="1">
        <v>1900</v>
      </c>
      <c r="C44" s="1">
        <f t="shared" si="9"/>
        <v>3320000</v>
      </c>
      <c r="D44" s="1">
        <f t="shared" si="11"/>
        <v>15900000</v>
      </c>
      <c r="E44" s="2">
        <v>45</v>
      </c>
      <c r="F44" s="2">
        <v>65</v>
      </c>
      <c r="G44" s="1" t="str">
        <f t="shared" si="10"/>
        <v>0,100</v>
      </c>
      <c r="H44" s="1" t="str">
        <f t="shared" si="12"/>
        <v>65,50;70,100</v>
      </c>
      <c r="I44">
        <v>0</v>
      </c>
      <c r="J44">
        <v>100</v>
      </c>
      <c r="M44">
        <f t="shared" si="8"/>
        <v>65</v>
      </c>
      <c r="N44">
        <v>50</v>
      </c>
      <c r="O44">
        <f t="shared" si="13"/>
        <v>70</v>
      </c>
      <c r="P44">
        <v>100</v>
      </c>
    </row>
    <row r="45" spans="1:16">
      <c r="A45" s="1">
        <v>1901</v>
      </c>
      <c r="B45" s="1">
        <v>2000</v>
      </c>
      <c r="C45" s="1">
        <f t="shared" si="9"/>
        <v>4310000</v>
      </c>
      <c r="D45" s="1">
        <f t="shared" si="11"/>
        <v>20700000</v>
      </c>
      <c r="E45" s="2">
        <v>40</v>
      </c>
      <c r="F45" s="2">
        <v>65</v>
      </c>
      <c r="G45" s="1" t="str">
        <f t="shared" si="10"/>
        <v>0,100</v>
      </c>
      <c r="H45" s="1" t="str">
        <f t="shared" si="12"/>
        <v>65,50;70,100</v>
      </c>
      <c r="I45">
        <v>0</v>
      </c>
      <c r="J45">
        <v>100</v>
      </c>
      <c r="M45">
        <f t="shared" si="8"/>
        <v>65</v>
      </c>
      <c r="N45">
        <v>50</v>
      </c>
      <c r="O45">
        <f t="shared" si="13"/>
        <v>70</v>
      </c>
      <c r="P45">
        <v>100</v>
      </c>
    </row>
    <row r="46" spans="1:16">
      <c r="A46" s="1">
        <v>2001</v>
      </c>
      <c r="B46" s="1">
        <v>2100</v>
      </c>
      <c r="C46" s="1">
        <f t="shared" si="9"/>
        <v>5600000</v>
      </c>
      <c r="D46" s="3">
        <f t="shared" si="11"/>
        <v>26850000</v>
      </c>
      <c r="E46" s="2">
        <v>50</v>
      </c>
      <c r="F46" s="2">
        <v>70</v>
      </c>
      <c r="G46" s="1" t="str">
        <f t="shared" si="10"/>
        <v>0,100</v>
      </c>
      <c r="H46" s="1" t="str">
        <f t="shared" si="12"/>
        <v>70,50;75,100</v>
      </c>
      <c r="I46">
        <v>0</v>
      </c>
      <c r="J46">
        <v>100</v>
      </c>
      <c r="M46">
        <f t="shared" si="8"/>
        <v>70</v>
      </c>
      <c r="N46">
        <v>50</v>
      </c>
      <c r="O46">
        <f t="shared" si="13"/>
        <v>75</v>
      </c>
      <c r="P46">
        <v>100</v>
      </c>
    </row>
    <row r="47" spans="1:16">
      <c r="A47" s="1">
        <v>2101</v>
      </c>
      <c r="B47" s="1">
        <v>2200</v>
      </c>
      <c r="C47" s="1">
        <f t="shared" si="9"/>
        <v>7270000</v>
      </c>
      <c r="D47" s="3">
        <f>D46</f>
        <v>26850000</v>
      </c>
      <c r="E47" s="2">
        <v>51</v>
      </c>
      <c r="F47" s="2">
        <v>70</v>
      </c>
      <c r="G47" s="1" t="str">
        <f t="shared" si="10"/>
        <v>0,100</v>
      </c>
      <c r="H47" s="1" t="str">
        <f t="shared" si="12"/>
        <v>70,50;75,100</v>
      </c>
      <c r="I47">
        <v>0</v>
      </c>
      <c r="J47">
        <v>100</v>
      </c>
      <c r="M47">
        <f t="shared" si="8"/>
        <v>70</v>
      </c>
      <c r="N47">
        <v>50</v>
      </c>
      <c r="O47">
        <f t="shared" si="13"/>
        <v>75</v>
      </c>
      <c r="P47">
        <v>100</v>
      </c>
    </row>
    <row r="48" spans="1:16">
      <c r="A48" s="1">
        <v>2201</v>
      </c>
      <c r="B48" s="1">
        <v>2300</v>
      </c>
      <c r="C48" s="1">
        <f t="shared" si="9"/>
        <v>9460000</v>
      </c>
      <c r="D48" s="3">
        <f>D47</f>
        <v>26850000</v>
      </c>
      <c r="E48" s="2">
        <v>51</v>
      </c>
      <c r="F48" s="2">
        <v>60</v>
      </c>
      <c r="G48" s="1" t="str">
        <f t="shared" si="10"/>
        <v>0,100</v>
      </c>
      <c r="H48" s="1" t="str">
        <f t="shared" si="12"/>
        <v>60,50;65,100</v>
      </c>
      <c r="I48">
        <v>0</v>
      </c>
      <c r="J48">
        <v>100</v>
      </c>
      <c r="M48">
        <f t="shared" si="8"/>
        <v>60</v>
      </c>
      <c r="N48">
        <v>50</v>
      </c>
      <c r="O48">
        <f t="shared" si="13"/>
        <v>65</v>
      </c>
      <c r="P48">
        <v>100</v>
      </c>
    </row>
    <row r="49" spans="1:16">
      <c r="A49" s="1">
        <v>2301</v>
      </c>
      <c r="B49" s="1">
        <v>2400</v>
      </c>
      <c r="C49" s="1">
        <f t="shared" si="9"/>
        <v>12300000</v>
      </c>
      <c r="D49" s="3">
        <f>D48</f>
        <v>26850000</v>
      </c>
      <c r="E49" s="2">
        <v>53</v>
      </c>
      <c r="F49" s="2">
        <v>60</v>
      </c>
      <c r="G49" s="1" t="str">
        <f t="shared" si="10"/>
        <v>0,100</v>
      </c>
      <c r="H49" s="1" t="str">
        <f t="shared" si="12"/>
        <v>60,50;65,100</v>
      </c>
      <c r="I49">
        <v>0</v>
      </c>
      <c r="J49">
        <v>100</v>
      </c>
      <c r="M49">
        <f t="shared" si="8"/>
        <v>60</v>
      </c>
      <c r="N49">
        <v>50</v>
      </c>
      <c r="O49">
        <f t="shared" si="13"/>
        <v>65</v>
      </c>
      <c r="P49">
        <v>100</v>
      </c>
    </row>
    <row r="50" spans="1:16">
      <c r="A50" s="1">
        <v>2401</v>
      </c>
      <c r="B50" s="1">
        <v>2500</v>
      </c>
      <c r="C50" s="1">
        <f t="shared" si="9"/>
        <v>16000000</v>
      </c>
      <c r="D50" s="3">
        <f>D49</f>
        <v>26850000</v>
      </c>
      <c r="E50" s="2">
        <v>55</v>
      </c>
      <c r="F50" s="2">
        <v>60</v>
      </c>
      <c r="G50" s="1" t="str">
        <f t="shared" si="10"/>
        <v>0,100</v>
      </c>
      <c r="H50" s="1" t="str">
        <f t="shared" si="12"/>
        <v>60,50;65,100</v>
      </c>
      <c r="I50">
        <v>0</v>
      </c>
      <c r="J50">
        <v>100</v>
      </c>
      <c r="M50">
        <f t="shared" si="8"/>
        <v>60</v>
      </c>
      <c r="N50">
        <v>50</v>
      </c>
      <c r="O50">
        <f t="shared" si="13"/>
        <v>65</v>
      </c>
      <c r="P50">
        <v>100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制作表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xuyuhan</cp:lastModifiedBy>
  <dcterms:created xsi:type="dcterms:W3CDTF">2022-07-14T08:01:00Z</dcterms:created>
  <dcterms:modified xsi:type="dcterms:W3CDTF">2025-05-22T08:33:11Z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2052-11.1.0.9740</vt:lpwstr>
  </property>
  <property fmtid="{D5CDD505-2E9C-101B-9397-08002B2CF9AE}" pid="3" name="ICV">
    <vt:lpwstr>58786D153885406F916BD29A8B1BF243</vt:lpwstr>
  </property>
</Properties>
</file>