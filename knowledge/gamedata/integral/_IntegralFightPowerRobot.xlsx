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G:\op_new\data\excel\integral\"/>
    </mc:Choice>
  </mc:AlternateContent>
  <xr:revisionPtr revIDLastSave="0" documentId="13_ncr:1_{11F8AC01-53CE-4B6A-9E63-C54D01A3524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制作表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4" i="2" l="1"/>
  <c r="O34" i="2"/>
  <c r="L34" i="2"/>
  <c r="E34" i="2"/>
  <c r="D34" i="2"/>
  <c r="C34" i="2"/>
  <c r="A34" i="2"/>
  <c r="P33" i="2"/>
  <c r="O33" i="2"/>
  <c r="L33" i="2"/>
  <c r="E33" i="2"/>
  <c r="D33" i="2"/>
  <c r="C33" i="2"/>
  <c r="A33" i="2"/>
  <c r="P32" i="2"/>
  <c r="O32" i="2"/>
  <c r="L32" i="2"/>
  <c r="E32" i="2"/>
  <c r="D32" i="2"/>
  <c r="C32" i="2"/>
  <c r="A32" i="2"/>
  <c r="P31" i="2"/>
  <c r="O31" i="2"/>
  <c r="L31" i="2"/>
  <c r="E31" i="2"/>
  <c r="D31" i="2"/>
  <c r="C31" i="2"/>
  <c r="A31" i="2"/>
  <c r="P30" i="2"/>
  <c r="O30" i="2"/>
  <c r="L30" i="2"/>
  <c r="E30" i="2"/>
  <c r="D30" i="2"/>
  <c r="C30" i="2"/>
  <c r="A30" i="2"/>
  <c r="P29" i="2"/>
  <c r="O29" i="2"/>
  <c r="L29" i="2"/>
  <c r="E29" i="2"/>
  <c r="D29" i="2"/>
  <c r="C29" i="2"/>
  <c r="A29" i="2"/>
  <c r="P28" i="2"/>
  <c r="O28" i="2"/>
  <c r="L28" i="2"/>
  <c r="E28" i="2"/>
  <c r="D28" i="2"/>
  <c r="C28" i="2"/>
  <c r="A28" i="2"/>
  <c r="P27" i="2"/>
  <c r="O27" i="2"/>
  <c r="L27" i="2"/>
  <c r="K27" i="2"/>
  <c r="I27" i="2"/>
  <c r="E27" i="2"/>
  <c r="D27" i="2"/>
  <c r="C27" i="2"/>
  <c r="A27" i="2"/>
  <c r="P26" i="2"/>
  <c r="O26" i="2"/>
  <c r="L26" i="2"/>
  <c r="K26" i="2"/>
  <c r="I26" i="2"/>
  <c r="E26" i="2"/>
  <c r="D26" i="2"/>
  <c r="C26" i="2"/>
  <c r="A26" i="2"/>
  <c r="P25" i="2"/>
  <c r="O25" i="2"/>
  <c r="L25" i="2"/>
  <c r="K25" i="2"/>
  <c r="I25" i="2"/>
  <c r="E25" i="2"/>
  <c r="D25" i="2"/>
  <c r="C25" i="2"/>
  <c r="A25" i="2"/>
  <c r="P24" i="2"/>
  <c r="O24" i="2"/>
  <c r="L24" i="2"/>
  <c r="K24" i="2"/>
  <c r="I24" i="2"/>
  <c r="E24" i="2"/>
  <c r="D24" i="2"/>
  <c r="C24" i="2"/>
  <c r="A24" i="2"/>
  <c r="P23" i="2"/>
  <c r="O23" i="2"/>
  <c r="L23" i="2"/>
  <c r="K23" i="2"/>
  <c r="I23" i="2"/>
  <c r="E23" i="2"/>
  <c r="D23" i="2"/>
  <c r="C23" i="2"/>
  <c r="A23" i="2"/>
  <c r="P22" i="2"/>
  <c r="O22" i="2"/>
  <c r="L22" i="2"/>
  <c r="K22" i="2"/>
  <c r="I22" i="2"/>
  <c r="E22" i="2"/>
  <c r="D22" i="2"/>
  <c r="C22" i="2"/>
  <c r="A22" i="2"/>
  <c r="P21" i="2"/>
  <c r="O21" i="2"/>
  <c r="L21" i="2"/>
  <c r="K21" i="2"/>
  <c r="I21" i="2"/>
  <c r="E21" i="2"/>
  <c r="D21" i="2"/>
  <c r="C21" i="2"/>
  <c r="A21" i="2"/>
  <c r="P20" i="2"/>
  <c r="O20" i="2"/>
  <c r="L20" i="2"/>
  <c r="K20" i="2"/>
  <c r="I20" i="2"/>
  <c r="E20" i="2"/>
  <c r="D20" i="2"/>
  <c r="C20" i="2"/>
  <c r="P16" i="2"/>
  <c r="O16" i="2"/>
  <c r="L16" i="2"/>
  <c r="K16" i="2"/>
  <c r="J16" i="2"/>
  <c r="I16" i="2"/>
  <c r="E16" i="2"/>
  <c r="D16" i="2"/>
  <c r="C16" i="2"/>
  <c r="A16" i="2"/>
  <c r="P15" i="2"/>
  <c r="O15" i="2"/>
  <c r="L15" i="2"/>
  <c r="K15" i="2"/>
  <c r="J15" i="2"/>
  <c r="I15" i="2"/>
  <c r="E15" i="2"/>
  <c r="D15" i="2"/>
  <c r="C15" i="2"/>
  <c r="A15" i="2"/>
  <c r="P14" i="2"/>
  <c r="O14" i="2"/>
  <c r="L14" i="2"/>
  <c r="K14" i="2"/>
  <c r="J14" i="2"/>
  <c r="I14" i="2"/>
  <c r="E14" i="2"/>
  <c r="D14" i="2"/>
  <c r="C14" i="2"/>
  <c r="A14" i="2"/>
  <c r="P13" i="2"/>
  <c r="O13" i="2"/>
  <c r="L13" i="2"/>
  <c r="K13" i="2"/>
  <c r="J13" i="2"/>
  <c r="I13" i="2"/>
  <c r="E13" i="2"/>
  <c r="D13" i="2"/>
  <c r="C13" i="2"/>
  <c r="A13" i="2"/>
  <c r="P12" i="2"/>
  <c r="O12" i="2"/>
  <c r="L12" i="2"/>
  <c r="K12" i="2"/>
  <c r="J12" i="2"/>
  <c r="I12" i="2"/>
  <c r="E12" i="2"/>
  <c r="D12" i="2"/>
  <c r="C12" i="2"/>
  <c r="A12" i="2"/>
  <c r="P11" i="2"/>
  <c r="O11" i="2"/>
  <c r="L11" i="2"/>
  <c r="K11" i="2"/>
  <c r="J11" i="2"/>
  <c r="I11" i="2"/>
  <c r="E11" i="2"/>
  <c r="D11" i="2"/>
  <c r="C11" i="2"/>
  <c r="A11" i="2"/>
  <c r="P10" i="2"/>
  <c r="O10" i="2"/>
  <c r="L10" i="2"/>
  <c r="K10" i="2"/>
  <c r="J10" i="2"/>
  <c r="I10" i="2"/>
  <c r="E10" i="2"/>
  <c r="D10" i="2"/>
  <c r="C10" i="2"/>
  <c r="A10" i="2"/>
  <c r="P9" i="2"/>
  <c r="O9" i="2"/>
  <c r="L9" i="2"/>
  <c r="K9" i="2"/>
  <c r="J9" i="2"/>
  <c r="I9" i="2"/>
  <c r="E9" i="2"/>
  <c r="D9" i="2"/>
  <c r="C9" i="2"/>
  <c r="A9" i="2"/>
  <c r="P8" i="2"/>
  <c r="O8" i="2"/>
  <c r="L8" i="2"/>
  <c r="K8" i="2"/>
  <c r="J8" i="2"/>
  <c r="I8" i="2"/>
  <c r="E8" i="2"/>
  <c r="D8" i="2"/>
  <c r="C8" i="2"/>
  <c r="A8" i="2"/>
  <c r="P7" i="2"/>
  <c r="O7" i="2"/>
  <c r="L7" i="2"/>
  <c r="K7" i="2"/>
  <c r="J7" i="2"/>
  <c r="I7" i="2"/>
  <c r="E7" i="2"/>
  <c r="D7" i="2"/>
  <c r="C7" i="2"/>
  <c r="A7" i="2"/>
  <c r="P6" i="2"/>
  <c r="O6" i="2"/>
  <c r="L6" i="2"/>
  <c r="K6" i="2"/>
  <c r="J6" i="2"/>
  <c r="I6" i="2"/>
  <c r="E6" i="2"/>
  <c r="D6" i="2"/>
  <c r="C6" i="2"/>
  <c r="A6" i="2"/>
  <c r="P5" i="2"/>
  <c r="O5" i="2"/>
  <c r="L5" i="2"/>
  <c r="K5" i="2"/>
  <c r="J5" i="2"/>
  <c r="I5" i="2"/>
  <c r="E5" i="2"/>
  <c r="D5" i="2"/>
  <c r="C5" i="2"/>
  <c r="A5" i="2"/>
  <c r="P4" i="2"/>
  <c r="O4" i="2"/>
  <c r="L4" i="2"/>
  <c r="K4" i="2"/>
  <c r="J4" i="2"/>
  <c r="I4" i="2"/>
  <c r="E4" i="2"/>
  <c r="D4" i="2"/>
  <c r="C4" i="2"/>
  <c r="A4" i="2"/>
  <c r="P3" i="2"/>
  <c r="O3" i="2"/>
  <c r="L3" i="2"/>
  <c r="K3" i="2"/>
  <c r="J3" i="2"/>
  <c r="I3" i="2"/>
  <c r="E3" i="2"/>
  <c r="D3" i="2"/>
  <c r="C3" i="2"/>
  <c r="A3" i="2"/>
  <c r="P2" i="2"/>
  <c r="O2" i="2"/>
  <c r="L2" i="2"/>
  <c r="K2" i="2"/>
  <c r="J2" i="2"/>
  <c r="I2" i="2"/>
  <c r="E2" i="2"/>
  <c r="D2" i="2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D2" authorId="0" shapeId="0" xr:uid="{B319AE8C-A1E7-433B-87EA-72477BEC9952}">
      <text>
        <r>
          <rPr>
            <b/>
            <sz val="9"/>
            <color indexed="81"/>
            <rFont val="宋体"/>
            <charset val="134"/>
          </rPr>
          <t>admin:</t>
        </r>
        <r>
          <rPr>
            <sz val="9"/>
            <color indexed="81"/>
            <rFont val="宋体"/>
            <charset val="134"/>
          </rPr>
          <t xml:space="preserve">
实际不适用强人机。
数组，两两一对。
玩家战胜强人机后，提升镜像的匹配战力区间。每赢一场，寻找下一个匹配区间。</t>
        </r>
      </text>
    </comment>
    <comment ref="E2" authorId="0" shapeId="0" xr:uid="{85CF525D-CCBE-4E6B-B46D-776115BC0104}">
      <text>
        <r>
          <rPr>
            <b/>
            <sz val="9"/>
            <color indexed="81"/>
            <rFont val="宋体"/>
            <charset val="134"/>
          </rPr>
          <t>admin:</t>
        </r>
        <r>
          <rPr>
            <sz val="9"/>
            <color indexed="81"/>
            <rFont val="宋体"/>
            <charset val="134"/>
          </rPr>
          <t xml:space="preserve">
数组，两两一对。根据玩家战力所在区间，对应战力下限、上限的修正值。
如玩家战力10W，配置-100000,0，则寻找战力0-10W的镜像。</t>
        </r>
      </text>
    </comment>
  </commentList>
</comments>
</file>

<file path=xl/sharedStrings.xml><?xml version="1.0" encoding="utf-8"?>
<sst xmlns="http://schemas.openxmlformats.org/spreadsheetml/2006/main" count="86" uniqueCount="52">
  <si>
    <t>id</t>
  </si>
  <si>
    <t>战力下限</t>
  </si>
  <si>
    <t>战力上限</t>
  </si>
  <si>
    <t>强机器人战力区间</t>
  </si>
  <si>
    <t>弱机器人战力区间</t>
  </si>
  <si>
    <t>minFightPower</t>
  </si>
  <si>
    <t>maxFightPower</t>
  </si>
  <si>
    <t>strongFightPowerRange</t>
  </si>
  <si>
    <t>weakFightPowerRange</t>
  </si>
  <si>
    <t>int</t>
  </si>
  <si>
    <t>string</t>
  </si>
  <si>
    <t>primary</t>
  </si>
  <si>
    <t>none</t>
  </si>
  <si>
    <t>0,100000;20000,200000</t>
  </si>
  <si>
    <t>0,200000;40000,400000</t>
  </si>
  <si>
    <t>0,300000;60000,600000</t>
  </si>
  <si>
    <t>0,500000;100000,1000000</t>
  </si>
  <si>
    <t>0,800000;160000,1600000</t>
  </si>
  <si>
    <t>0,1000000;200000,2000000</t>
  </si>
  <si>
    <t>0,2000000;400000,4000000</t>
  </si>
  <si>
    <t>0,3000000;600000,6000000</t>
  </si>
  <si>
    <t>0,5000000;1000000,10000000</t>
  </si>
  <si>
    <t>0,8000000;1600000,16000000</t>
  </si>
  <si>
    <t>0,10000000;2000000,20000000</t>
  </si>
  <si>
    <t>差值</t>
  </si>
  <si>
    <t>强上限1系数</t>
  </si>
  <si>
    <t>强上限2系数</t>
  </si>
  <si>
    <t>强下限1</t>
  </si>
  <si>
    <t>强上限1</t>
  </si>
  <si>
    <t>强下限2</t>
  </si>
  <si>
    <t>强上限2</t>
  </si>
  <si>
    <t>弱下限1</t>
  </si>
  <si>
    <t>弱上限1</t>
  </si>
  <si>
    <t>弱下限2系数</t>
  </si>
  <si>
    <t>弱下限2</t>
  </si>
  <si>
    <t>弱上限2</t>
  </si>
  <si>
    <t>测试数据</t>
  </si>
  <si>
    <t>-30000,0;-50000,-20000</t>
  </si>
  <si>
    <t>-60000,0;-100000,-40000</t>
  </si>
  <si>
    <t>-90000,0;-150000,-60000</t>
  </si>
  <si>
    <t>-150000,0;-250000,-100000</t>
  </si>
  <si>
    <t>-240000,0;-400000,-160000</t>
  </si>
  <si>
    <t>-300000,0;-500000,-200000</t>
  </si>
  <si>
    <t>-600000,0;-1000000,-400000</t>
  </si>
  <si>
    <t>-900000,0;-1500000,-600000</t>
  </si>
  <si>
    <t>-1500000,0;-2500000,-1000000</t>
  </si>
  <si>
    <t>-2400000,0;-4000000,-1600000</t>
  </si>
  <si>
    <t>-3000000,0;-4000000,-2000000</t>
  </si>
  <si>
    <t>-3600000,0;-4800000,-2400000</t>
  </si>
  <si>
    <t>-4500000,0;-6000000,-3000000</t>
  </si>
  <si>
    <t>-6000000,0;-8000000,-4000000</t>
  </si>
  <si>
    <t>-9000000,0;-12000000,-6000000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</si>
</sst>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indexed="81"/>
      <name val="宋体"/>
      <charset val="134"/>
    </font>
    <font>
      <b/>
      <sz val="9"/>
      <color indexed="81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 applyAlignment="1"/>
    <xf numFmtId="0" fontId="1" fillId="4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G8" sqref="G8"/>
    </sheetView>
  </sheetViews>
  <sheetFormatPr defaultColWidth="9" defaultRowHeight="13.5" x14ac:dyDescent="0.15"/>
  <cols>
    <col min="1" max="1" width="8.375" customWidth="1"/>
    <col min="2" max="2" width="15.75" customWidth="1"/>
    <col min="3" max="3" width="16.125" customWidth="1"/>
    <col min="4" max="4" width="29.375" customWidth="1"/>
    <col min="5" max="5" width="23.875" bestFit="1" customWidth="1"/>
    <col min="6" max="6" width="17.5" customWidth="1"/>
    <col min="7" max="7" width="13.5" customWidth="1"/>
    <col min="8" max="8" width="43" customWidth="1"/>
  </cols>
  <sheetData>
    <row r="1" spans="1:8" s="3" customFormat="1" ht="16.5" x14ac:dyDescent="0.15">
      <c r="A1" s="4">
        <v>7</v>
      </c>
      <c r="B1" s="4">
        <v>1</v>
      </c>
      <c r="C1" s="4">
        <v>9999</v>
      </c>
      <c r="D1" s="4">
        <v>5</v>
      </c>
      <c r="E1" s="4"/>
      <c r="F1" s="4"/>
      <c r="G1" s="4"/>
      <c r="H1" s="4"/>
    </row>
    <row r="2" spans="1:8" s="3" customFormat="1" ht="16.5" x14ac:dyDescent="0.1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/>
      <c r="G2" s="5"/>
    </row>
    <row r="3" spans="1:8" s="3" customFormat="1" ht="16.5" x14ac:dyDescent="0.15">
      <c r="A3" s="5" t="s">
        <v>0</v>
      </c>
      <c r="B3" s="5" t="s">
        <v>5</v>
      </c>
      <c r="C3" s="5" t="s">
        <v>6</v>
      </c>
      <c r="D3" s="5" t="s">
        <v>7</v>
      </c>
      <c r="E3" s="5" t="s">
        <v>8</v>
      </c>
      <c r="F3" s="5"/>
      <c r="G3" s="5"/>
    </row>
    <row r="4" spans="1:8" s="3" customFormat="1" ht="16.5" x14ac:dyDescent="0.15">
      <c r="A4" s="5" t="s">
        <v>9</v>
      </c>
      <c r="B4" s="5" t="s">
        <v>9</v>
      </c>
      <c r="C4" s="5" t="s">
        <v>9</v>
      </c>
      <c r="D4" s="5" t="s">
        <v>10</v>
      </c>
      <c r="E4" s="5" t="s">
        <v>10</v>
      </c>
      <c r="F4" s="5"/>
      <c r="G4" s="5"/>
    </row>
    <row r="5" spans="1:8" s="3" customFormat="1" ht="16.5" x14ac:dyDescent="0.15">
      <c r="A5" s="5" t="s">
        <v>11</v>
      </c>
      <c r="B5" s="5" t="s">
        <v>12</v>
      </c>
      <c r="C5" s="5" t="s">
        <v>12</v>
      </c>
      <c r="D5" s="5" t="s">
        <v>12</v>
      </c>
      <c r="E5" s="5" t="s">
        <v>12</v>
      </c>
      <c r="F5" s="5"/>
      <c r="G5" s="5"/>
    </row>
    <row r="6" spans="1:8" s="3" customFormat="1" ht="16.5" x14ac:dyDescent="0.15">
      <c r="A6" s="5" t="s">
        <v>0</v>
      </c>
      <c r="B6" s="5" t="s">
        <v>5</v>
      </c>
      <c r="C6" s="5" t="s">
        <v>6</v>
      </c>
      <c r="D6" s="5" t="s">
        <v>7</v>
      </c>
      <c r="E6" s="5" t="s">
        <v>8</v>
      </c>
      <c r="F6" s="5"/>
      <c r="G6" s="5"/>
    </row>
    <row r="7" spans="1:8" ht="16.5" customHeight="1" x14ac:dyDescent="0.15">
      <c r="A7">
        <v>1</v>
      </c>
      <c r="B7">
        <v>0</v>
      </c>
      <c r="C7">
        <v>100000</v>
      </c>
      <c r="D7" s="6" t="s">
        <v>13</v>
      </c>
      <c r="E7" s="6" t="s">
        <v>37</v>
      </c>
      <c r="F7" s="7"/>
    </row>
    <row r="8" spans="1:8" ht="16.5" customHeight="1" x14ac:dyDescent="0.15">
      <c r="A8">
        <v>2</v>
      </c>
      <c r="B8">
        <v>100001</v>
      </c>
      <c r="C8">
        <v>200000</v>
      </c>
      <c r="D8" s="6" t="s">
        <v>14</v>
      </c>
      <c r="E8" s="6" t="s">
        <v>38</v>
      </c>
      <c r="F8" s="7"/>
    </row>
    <row r="9" spans="1:8" ht="16.5" customHeight="1" x14ac:dyDescent="0.15">
      <c r="A9">
        <v>3</v>
      </c>
      <c r="B9">
        <v>200001</v>
      </c>
      <c r="C9">
        <v>300000</v>
      </c>
      <c r="D9" s="6" t="s">
        <v>15</v>
      </c>
      <c r="E9" s="6" t="s">
        <v>39</v>
      </c>
      <c r="F9" s="7"/>
    </row>
    <row r="10" spans="1:8" ht="16.5" customHeight="1" x14ac:dyDescent="0.15">
      <c r="A10">
        <v>4</v>
      </c>
      <c r="B10">
        <v>300001</v>
      </c>
      <c r="C10">
        <v>500000</v>
      </c>
      <c r="D10" s="6" t="s">
        <v>16</v>
      </c>
      <c r="E10" s="6" t="s">
        <v>40</v>
      </c>
      <c r="F10" s="7"/>
    </row>
    <row r="11" spans="1:8" ht="16.5" customHeight="1" x14ac:dyDescent="0.15">
      <c r="A11">
        <v>5</v>
      </c>
      <c r="B11">
        <v>500001</v>
      </c>
      <c r="C11">
        <v>800000</v>
      </c>
      <c r="D11" s="6" t="s">
        <v>17</v>
      </c>
      <c r="E11" s="6" t="s">
        <v>41</v>
      </c>
      <c r="F11" s="7"/>
    </row>
    <row r="12" spans="1:8" ht="16.5" customHeight="1" x14ac:dyDescent="0.15">
      <c r="A12">
        <v>6</v>
      </c>
      <c r="B12">
        <v>800001</v>
      </c>
      <c r="C12">
        <v>1000000</v>
      </c>
      <c r="D12" s="6" t="s">
        <v>18</v>
      </c>
      <c r="E12" s="6" t="s">
        <v>42</v>
      </c>
      <c r="F12" s="7"/>
    </row>
    <row r="13" spans="1:8" ht="16.5" customHeight="1" x14ac:dyDescent="0.15">
      <c r="A13">
        <v>7</v>
      </c>
      <c r="B13">
        <v>1000001</v>
      </c>
      <c r="C13">
        <v>2000000</v>
      </c>
      <c r="D13" s="6" t="s">
        <v>19</v>
      </c>
      <c r="E13" s="6" t="s">
        <v>43</v>
      </c>
      <c r="F13" s="7"/>
    </row>
    <row r="14" spans="1:8" ht="16.5" customHeight="1" x14ac:dyDescent="0.15">
      <c r="A14">
        <v>8</v>
      </c>
      <c r="B14">
        <v>2000001</v>
      </c>
      <c r="C14">
        <v>3000000</v>
      </c>
      <c r="D14" s="6" t="s">
        <v>20</v>
      </c>
      <c r="E14" s="6" t="s">
        <v>44</v>
      </c>
      <c r="F14" s="7"/>
    </row>
    <row r="15" spans="1:8" ht="16.5" customHeight="1" x14ac:dyDescent="0.15">
      <c r="A15">
        <v>9</v>
      </c>
      <c r="B15">
        <v>3000001</v>
      </c>
      <c r="C15">
        <v>5000000</v>
      </c>
      <c r="D15" s="6" t="s">
        <v>21</v>
      </c>
      <c r="E15" s="6" t="s">
        <v>45</v>
      </c>
      <c r="F15" s="7"/>
    </row>
    <row r="16" spans="1:8" ht="16.5" customHeight="1" x14ac:dyDescent="0.15">
      <c r="A16">
        <v>10</v>
      </c>
      <c r="B16">
        <v>5000001</v>
      </c>
      <c r="C16">
        <v>8000000</v>
      </c>
      <c r="D16" s="6" t="s">
        <v>22</v>
      </c>
      <c r="E16" s="6" t="s">
        <v>46</v>
      </c>
      <c r="F16" s="7"/>
    </row>
    <row r="17" spans="1:6" ht="16.5" customHeight="1" x14ac:dyDescent="0.15">
      <c r="A17">
        <v>11</v>
      </c>
      <c r="B17">
        <v>8000001</v>
      </c>
      <c r="C17">
        <v>10000000</v>
      </c>
      <c r="D17" s="6" t="s">
        <v>23</v>
      </c>
      <c r="E17" s="6" t="s">
        <v>47</v>
      </c>
      <c r="F17" s="7"/>
    </row>
    <row r="18" spans="1:6" ht="16.5" customHeight="1" x14ac:dyDescent="0.15">
      <c r="A18">
        <v>12</v>
      </c>
      <c r="B18">
        <v>10000001</v>
      </c>
      <c r="C18">
        <v>12000000</v>
      </c>
      <c r="D18" s="6" t="s">
        <v>23</v>
      </c>
      <c r="E18" s="6" t="s">
        <v>48</v>
      </c>
      <c r="F18" s="7"/>
    </row>
    <row r="19" spans="1:6" ht="16.5" customHeight="1" x14ac:dyDescent="0.15">
      <c r="A19">
        <v>13</v>
      </c>
      <c r="B19">
        <v>12000001</v>
      </c>
      <c r="C19">
        <v>15000000</v>
      </c>
      <c r="D19" s="6" t="s">
        <v>23</v>
      </c>
      <c r="E19" s="6" t="s">
        <v>49</v>
      </c>
      <c r="F19" s="7"/>
    </row>
    <row r="20" spans="1:6" ht="16.5" customHeight="1" x14ac:dyDescent="0.15">
      <c r="A20">
        <v>14</v>
      </c>
      <c r="B20">
        <v>15000001</v>
      </c>
      <c r="C20">
        <v>20000000</v>
      </c>
      <c r="D20" s="6" t="s">
        <v>23</v>
      </c>
      <c r="E20" s="6" t="s">
        <v>50</v>
      </c>
      <c r="F20" s="7"/>
    </row>
    <row r="21" spans="1:6" ht="16.5" customHeight="1" x14ac:dyDescent="0.15">
      <c r="A21">
        <v>15</v>
      </c>
      <c r="B21">
        <v>20000001</v>
      </c>
      <c r="C21">
        <v>30000000</v>
      </c>
      <c r="D21" s="6" t="s">
        <v>23</v>
      </c>
      <c r="E21" s="6" t="s">
        <v>51</v>
      </c>
      <c r="F21" s="7"/>
    </row>
    <row r="22" spans="1:6" ht="16.5" customHeight="1" x14ac:dyDescent="0.15">
      <c r="D22" s="6"/>
      <c r="E22" s="6"/>
      <c r="F22" s="7"/>
    </row>
    <row r="23" spans="1:6" ht="16.5" customHeight="1" x14ac:dyDescent="0.15">
      <c r="D23" s="6"/>
      <c r="E23" s="6"/>
      <c r="F23" s="7"/>
    </row>
    <row r="24" spans="1:6" ht="16.5" customHeight="1" x14ac:dyDescent="0.15">
      <c r="D24" s="6"/>
      <c r="E24" s="6"/>
      <c r="F24" s="7"/>
    </row>
    <row r="25" spans="1:6" ht="16.5" customHeight="1" x14ac:dyDescent="0.15">
      <c r="D25" s="6"/>
      <c r="E25" s="6"/>
      <c r="F25" s="7"/>
    </row>
    <row r="26" spans="1:6" ht="16.5" customHeight="1" x14ac:dyDescent="0.15">
      <c r="D26" s="6"/>
      <c r="E26" s="6"/>
      <c r="F26" s="7"/>
    </row>
    <row r="27" spans="1:6" ht="16.5" customHeight="1" x14ac:dyDescent="0.15">
      <c r="D27" s="6"/>
      <c r="E27" s="6"/>
      <c r="F27" s="7"/>
    </row>
  </sheetData>
  <phoneticPr fontId="3" type="noConversion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4"/>
  <sheetViews>
    <sheetView workbookViewId="0">
      <selection activeCell="A2" sqref="A2:D16"/>
    </sheetView>
  </sheetViews>
  <sheetFormatPr defaultColWidth="9" defaultRowHeight="13.5" x14ac:dyDescent="0.15"/>
  <cols>
    <col min="1" max="2" width="8.875" customWidth="1"/>
    <col min="3" max="3" width="28.25" customWidth="1"/>
    <col min="4" max="4" width="31.5" customWidth="1"/>
    <col min="5" max="5" width="9.375"/>
    <col min="6" max="7" width="12" customWidth="1"/>
    <col min="9" max="9" width="10.375"/>
    <col min="11" max="12" width="10.375"/>
    <col min="14" max="14" width="12" customWidth="1"/>
    <col min="15" max="15" width="10.375"/>
    <col min="16" max="16" width="9.375"/>
  </cols>
  <sheetData>
    <row r="1" spans="1:16" x14ac:dyDescent="0.15">
      <c r="A1" t="s">
        <v>1</v>
      </c>
      <c r="B1" t="s">
        <v>2</v>
      </c>
      <c r="C1" t="s">
        <v>3</v>
      </c>
      <c r="D1" t="s">
        <v>4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</row>
    <row r="2" spans="1:16" x14ac:dyDescent="0.15">
      <c r="A2" s="1">
        <v>0</v>
      </c>
      <c r="B2" s="1">
        <v>100000</v>
      </c>
      <c r="C2" s="1" t="str">
        <f>H2&amp;","&amp;I2&amp;";"&amp;J2&amp;","&amp;K2</f>
        <v>0,100000;20000,200000</v>
      </c>
      <c r="D2" s="1" t="str">
        <f>L2&amp;","&amp;M2&amp;";"&amp;O2&amp;","&amp;P2</f>
        <v>-30000,0;-50000,-20000</v>
      </c>
      <c r="E2">
        <f>B2-A2</f>
        <v>100000</v>
      </c>
      <c r="F2">
        <v>1</v>
      </c>
      <c r="G2">
        <v>2</v>
      </c>
      <c r="H2">
        <v>0</v>
      </c>
      <c r="I2" s="2">
        <f>MIN(B2*F2,10000000)</f>
        <v>100000</v>
      </c>
      <c r="J2" s="2">
        <f>MIN(B2*0.2,2000000)</f>
        <v>20000</v>
      </c>
      <c r="K2">
        <f>MIN(B2*2,20000000)</f>
        <v>200000</v>
      </c>
      <c r="L2">
        <f>-B2*0.3</f>
        <v>-30000</v>
      </c>
      <c r="M2">
        <v>0</v>
      </c>
      <c r="N2">
        <v>0.5</v>
      </c>
      <c r="O2">
        <f>-B2*N2</f>
        <v>-50000</v>
      </c>
      <c r="P2">
        <f>-B2*0.2</f>
        <v>-20000</v>
      </c>
    </row>
    <row r="3" spans="1:16" x14ac:dyDescent="0.15">
      <c r="A3" s="1">
        <f>B2+1</f>
        <v>100001</v>
      </c>
      <c r="B3" s="1">
        <v>200000</v>
      </c>
      <c r="C3" s="1" t="str">
        <f t="shared" ref="C3:C16" si="0">H3&amp;","&amp;I3&amp;";"&amp;J3&amp;","&amp;K3</f>
        <v>0,200000;40000,400000</v>
      </c>
      <c r="D3" s="1" t="str">
        <f t="shared" ref="D3:D16" si="1">L3&amp;","&amp;M3&amp;";"&amp;O3&amp;","&amp;P3</f>
        <v>-60000,0;-100000,-40000</v>
      </c>
      <c r="E3">
        <f>B3-B2</f>
        <v>100000</v>
      </c>
      <c r="F3">
        <v>1</v>
      </c>
      <c r="G3">
        <v>2</v>
      </c>
      <c r="H3">
        <v>0</v>
      </c>
      <c r="I3" s="2">
        <f t="shared" ref="I3:I16" si="2">MIN(B3*F3,10000000)</f>
        <v>200000</v>
      </c>
      <c r="J3" s="2">
        <f t="shared" ref="J3:J16" si="3">MIN(B3*0.2,2000000)</f>
        <v>40000</v>
      </c>
      <c r="K3">
        <f t="shared" ref="K3:K16" si="4">MIN(B3*2,20000000)</f>
        <v>400000</v>
      </c>
      <c r="L3">
        <f t="shared" ref="L3:L16" si="5">-B3*0.3</f>
        <v>-60000</v>
      </c>
      <c r="M3">
        <v>0</v>
      </c>
      <c r="N3">
        <v>0.5</v>
      </c>
      <c r="O3">
        <f t="shared" ref="O3:O16" si="6">-B3*N3</f>
        <v>-100000</v>
      </c>
      <c r="P3">
        <f t="shared" ref="P3:P16" si="7">-B3*0.2</f>
        <v>-40000</v>
      </c>
    </row>
    <row r="4" spans="1:16" x14ac:dyDescent="0.15">
      <c r="A4" s="1">
        <f t="shared" ref="A4:A16" si="8">B3+1</f>
        <v>200001</v>
      </c>
      <c r="B4" s="1">
        <v>300000</v>
      </c>
      <c r="C4" s="1" t="str">
        <f t="shared" si="0"/>
        <v>0,300000;60000,600000</v>
      </c>
      <c r="D4" s="1" t="str">
        <f t="shared" si="1"/>
        <v>-90000,0;-150000,-60000</v>
      </c>
      <c r="E4">
        <f t="shared" ref="E4:E16" si="9">B4-B3</f>
        <v>100000</v>
      </c>
      <c r="F4">
        <v>1</v>
      </c>
      <c r="G4">
        <v>2</v>
      </c>
      <c r="H4">
        <v>0</v>
      </c>
      <c r="I4" s="2">
        <f t="shared" si="2"/>
        <v>300000</v>
      </c>
      <c r="J4" s="2">
        <f t="shared" si="3"/>
        <v>60000</v>
      </c>
      <c r="K4">
        <f t="shared" si="4"/>
        <v>600000</v>
      </c>
      <c r="L4">
        <f t="shared" si="5"/>
        <v>-90000</v>
      </c>
      <c r="M4">
        <v>0</v>
      </c>
      <c r="N4">
        <v>0.5</v>
      </c>
      <c r="O4">
        <f t="shared" si="6"/>
        <v>-150000</v>
      </c>
      <c r="P4">
        <f t="shared" si="7"/>
        <v>-60000</v>
      </c>
    </row>
    <row r="5" spans="1:16" x14ac:dyDescent="0.15">
      <c r="A5" s="1">
        <f t="shared" si="8"/>
        <v>300001</v>
      </c>
      <c r="B5" s="1">
        <v>500000</v>
      </c>
      <c r="C5" s="1" t="str">
        <f t="shared" si="0"/>
        <v>0,500000;100000,1000000</v>
      </c>
      <c r="D5" s="1" t="str">
        <f t="shared" si="1"/>
        <v>-150000,0;-250000,-100000</v>
      </c>
      <c r="E5">
        <f t="shared" si="9"/>
        <v>200000</v>
      </c>
      <c r="F5">
        <v>1</v>
      </c>
      <c r="G5">
        <v>2</v>
      </c>
      <c r="H5">
        <v>0</v>
      </c>
      <c r="I5" s="2">
        <f t="shared" si="2"/>
        <v>500000</v>
      </c>
      <c r="J5" s="2">
        <f t="shared" si="3"/>
        <v>100000</v>
      </c>
      <c r="K5">
        <f t="shared" si="4"/>
        <v>1000000</v>
      </c>
      <c r="L5">
        <f t="shared" si="5"/>
        <v>-150000</v>
      </c>
      <c r="M5">
        <v>0</v>
      </c>
      <c r="N5">
        <v>0.5</v>
      </c>
      <c r="O5">
        <f t="shared" si="6"/>
        <v>-250000</v>
      </c>
      <c r="P5">
        <f t="shared" si="7"/>
        <v>-100000</v>
      </c>
    </row>
    <row r="6" spans="1:16" x14ac:dyDescent="0.15">
      <c r="A6" s="1">
        <f t="shared" si="8"/>
        <v>500001</v>
      </c>
      <c r="B6" s="1">
        <v>800000</v>
      </c>
      <c r="C6" s="1" t="str">
        <f t="shared" si="0"/>
        <v>0,800000;160000,1600000</v>
      </c>
      <c r="D6" s="1" t="str">
        <f t="shared" si="1"/>
        <v>-240000,0;-400000,-160000</v>
      </c>
      <c r="E6">
        <f t="shared" si="9"/>
        <v>300000</v>
      </c>
      <c r="F6">
        <v>1</v>
      </c>
      <c r="G6">
        <v>2</v>
      </c>
      <c r="H6">
        <v>0</v>
      </c>
      <c r="I6" s="2">
        <f t="shared" si="2"/>
        <v>800000</v>
      </c>
      <c r="J6" s="2">
        <f t="shared" si="3"/>
        <v>160000</v>
      </c>
      <c r="K6">
        <f t="shared" si="4"/>
        <v>1600000</v>
      </c>
      <c r="L6">
        <f t="shared" si="5"/>
        <v>-240000</v>
      </c>
      <c r="M6">
        <v>0</v>
      </c>
      <c r="N6">
        <v>0.5</v>
      </c>
      <c r="O6">
        <f t="shared" si="6"/>
        <v>-400000</v>
      </c>
      <c r="P6">
        <f t="shared" si="7"/>
        <v>-160000</v>
      </c>
    </row>
    <row r="7" spans="1:16" x14ac:dyDescent="0.15">
      <c r="A7" s="1">
        <f t="shared" si="8"/>
        <v>800001</v>
      </c>
      <c r="B7" s="1">
        <v>1000000</v>
      </c>
      <c r="C7" s="1" t="str">
        <f t="shared" si="0"/>
        <v>0,1000000;200000,2000000</v>
      </c>
      <c r="D7" s="1" t="str">
        <f t="shared" si="1"/>
        <v>-300000,0;-500000,-200000</v>
      </c>
      <c r="E7">
        <f t="shared" si="9"/>
        <v>200000</v>
      </c>
      <c r="F7">
        <v>1</v>
      </c>
      <c r="G7">
        <v>2</v>
      </c>
      <c r="H7">
        <v>0</v>
      </c>
      <c r="I7" s="2">
        <f t="shared" si="2"/>
        <v>1000000</v>
      </c>
      <c r="J7" s="2">
        <f t="shared" si="3"/>
        <v>200000</v>
      </c>
      <c r="K7">
        <f t="shared" si="4"/>
        <v>2000000</v>
      </c>
      <c r="L7">
        <f t="shared" si="5"/>
        <v>-300000</v>
      </c>
      <c r="M7">
        <v>0</v>
      </c>
      <c r="N7">
        <v>0.5</v>
      </c>
      <c r="O7">
        <f t="shared" si="6"/>
        <v>-500000</v>
      </c>
      <c r="P7">
        <f t="shared" si="7"/>
        <v>-200000</v>
      </c>
    </row>
    <row r="8" spans="1:16" x14ac:dyDescent="0.15">
      <c r="A8" s="1">
        <f t="shared" si="8"/>
        <v>1000001</v>
      </c>
      <c r="B8" s="1">
        <v>2000000</v>
      </c>
      <c r="C8" s="1" t="str">
        <f t="shared" si="0"/>
        <v>0,2000000;400000,4000000</v>
      </c>
      <c r="D8" s="1" t="str">
        <f t="shared" si="1"/>
        <v>-600000,0;-1000000,-400000</v>
      </c>
      <c r="E8">
        <f t="shared" si="9"/>
        <v>1000000</v>
      </c>
      <c r="F8">
        <v>1</v>
      </c>
      <c r="G8">
        <v>2</v>
      </c>
      <c r="H8">
        <v>0</v>
      </c>
      <c r="I8" s="2">
        <f t="shared" si="2"/>
        <v>2000000</v>
      </c>
      <c r="J8" s="2">
        <f t="shared" si="3"/>
        <v>400000</v>
      </c>
      <c r="K8">
        <f t="shared" si="4"/>
        <v>4000000</v>
      </c>
      <c r="L8">
        <f t="shared" si="5"/>
        <v>-600000</v>
      </c>
      <c r="M8">
        <v>0</v>
      </c>
      <c r="N8">
        <v>0.5</v>
      </c>
      <c r="O8">
        <f t="shared" si="6"/>
        <v>-1000000</v>
      </c>
      <c r="P8">
        <f t="shared" si="7"/>
        <v>-400000</v>
      </c>
    </row>
    <row r="9" spans="1:16" x14ac:dyDescent="0.15">
      <c r="A9" s="1">
        <f t="shared" si="8"/>
        <v>2000001</v>
      </c>
      <c r="B9" s="1">
        <v>3000000</v>
      </c>
      <c r="C9" s="1" t="str">
        <f t="shared" si="0"/>
        <v>0,3000000;600000,6000000</v>
      </c>
      <c r="D9" s="1" t="str">
        <f t="shared" si="1"/>
        <v>-900000,0;-1500000,-600000</v>
      </c>
      <c r="E9">
        <f t="shared" si="9"/>
        <v>1000000</v>
      </c>
      <c r="F9">
        <v>1</v>
      </c>
      <c r="G9">
        <v>2</v>
      </c>
      <c r="H9">
        <v>0</v>
      </c>
      <c r="I9" s="2">
        <f t="shared" si="2"/>
        <v>3000000</v>
      </c>
      <c r="J9" s="2">
        <f t="shared" si="3"/>
        <v>600000</v>
      </c>
      <c r="K9">
        <f t="shared" si="4"/>
        <v>6000000</v>
      </c>
      <c r="L9">
        <f t="shared" si="5"/>
        <v>-900000</v>
      </c>
      <c r="M9">
        <v>0</v>
      </c>
      <c r="N9">
        <v>0.5</v>
      </c>
      <c r="O9">
        <f t="shared" si="6"/>
        <v>-1500000</v>
      </c>
      <c r="P9">
        <f t="shared" si="7"/>
        <v>-600000</v>
      </c>
    </row>
    <row r="10" spans="1:16" x14ac:dyDescent="0.15">
      <c r="A10" s="1">
        <f t="shared" si="8"/>
        <v>3000001</v>
      </c>
      <c r="B10" s="1">
        <v>5000000</v>
      </c>
      <c r="C10" s="1" t="str">
        <f t="shared" si="0"/>
        <v>0,5000000;1000000,10000000</v>
      </c>
      <c r="D10" s="1" t="str">
        <f t="shared" si="1"/>
        <v>-1500000,0;-2500000,-1000000</v>
      </c>
      <c r="E10">
        <f t="shared" si="9"/>
        <v>2000000</v>
      </c>
      <c r="F10">
        <v>1</v>
      </c>
      <c r="G10">
        <v>2</v>
      </c>
      <c r="H10">
        <v>0</v>
      </c>
      <c r="I10" s="2">
        <f t="shared" si="2"/>
        <v>5000000</v>
      </c>
      <c r="J10" s="2">
        <f t="shared" si="3"/>
        <v>1000000</v>
      </c>
      <c r="K10">
        <f t="shared" si="4"/>
        <v>10000000</v>
      </c>
      <c r="L10">
        <f t="shared" si="5"/>
        <v>-1500000</v>
      </c>
      <c r="M10">
        <v>0</v>
      </c>
      <c r="N10">
        <v>0.5</v>
      </c>
      <c r="O10">
        <f t="shared" si="6"/>
        <v>-2500000</v>
      </c>
      <c r="P10">
        <f t="shared" si="7"/>
        <v>-1000000</v>
      </c>
    </row>
    <row r="11" spans="1:16" x14ac:dyDescent="0.15">
      <c r="A11" s="1">
        <f t="shared" si="8"/>
        <v>5000001</v>
      </c>
      <c r="B11" s="1">
        <v>8000000</v>
      </c>
      <c r="C11" s="1" t="str">
        <f t="shared" si="0"/>
        <v>0,8000000;1600000,16000000</v>
      </c>
      <c r="D11" s="1" t="str">
        <f t="shared" si="1"/>
        <v>-2400000,0;-4000000,-1600000</v>
      </c>
      <c r="E11">
        <f t="shared" si="9"/>
        <v>3000000</v>
      </c>
      <c r="F11">
        <v>1</v>
      </c>
      <c r="G11">
        <v>2</v>
      </c>
      <c r="H11">
        <v>0</v>
      </c>
      <c r="I11" s="2">
        <f t="shared" si="2"/>
        <v>8000000</v>
      </c>
      <c r="J11" s="2">
        <f t="shared" si="3"/>
        <v>1600000</v>
      </c>
      <c r="K11">
        <f t="shared" si="4"/>
        <v>16000000</v>
      </c>
      <c r="L11">
        <f t="shared" si="5"/>
        <v>-2400000</v>
      </c>
      <c r="M11">
        <v>0</v>
      </c>
      <c r="N11">
        <v>0.5</v>
      </c>
      <c r="O11">
        <f t="shared" si="6"/>
        <v>-4000000</v>
      </c>
      <c r="P11">
        <f t="shared" si="7"/>
        <v>-1600000</v>
      </c>
    </row>
    <row r="12" spans="1:16" x14ac:dyDescent="0.15">
      <c r="A12" s="1">
        <f t="shared" si="8"/>
        <v>8000001</v>
      </c>
      <c r="B12" s="1">
        <v>10000000</v>
      </c>
      <c r="C12" s="1" t="str">
        <f t="shared" si="0"/>
        <v>0,10000000;2000000,20000000</v>
      </c>
      <c r="D12" s="1" t="str">
        <f t="shared" si="1"/>
        <v>-3000000,0;-4000000,-2000000</v>
      </c>
      <c r="E12">
        <f t="shared" si="9"/>
        <v>2000000</v>
      </c>
      <c r="F12">
        <v>1</v>
      </c>
      <c r="G12">
        <v>2</v>
      </c>
      <c r="H12">
        <v>0</v>
      </c>
      <c r="I12" s="2">
        <f t="shared" si="2"/>
        <v>10000000</v>
      </c>
      <c r="J12" s="2">
        <f t="shared" si="3"/>
        <v>2000000</v>
      </c>
      <c r="K12">
        <f t="shared" si="4"/>
        <v>20000000</v>
      </c>
      <c r="L12">
        <f t="shared" si="5"/>
        <v>-3000000</v>
      </c>
      <c r="M12">
        <v>0</v>
      </c>
      <c r="N12">
        <v>0.4</v>
      </c>
      <c r="O12">
        <f t="shared" si="6"/>
        <v>-4000000</v>
      </c>
      <c r="P12">
        <f t="shared" si="7"/>
        <v>-2000000</v>
      </c>
    </row>
    <row r="13" spans="1:16" x14ac:dyDescent="0.15">
      <c r="A13" s="1">
        <f t="shared" si="8"/>
        <v>10000001</v>
      </c>
      <c r="B13" s="1">
        <v>12000000</v>
      </c>
      <c r="C13" s="1" t="str">
        <f t="shared" si="0"/>
        <v>0,10000000;2000000,20000000</v>
      </c>
      <c r="D13" s="1" t="str">
        <f t="shared" si="1"/>
        <v>-3600000,0;-4800000,-2400000</v>
      </c>
      <c r="E13">
        <f t="shared" si="9"/>
        <v>2000000</v>
      </c>
      <c r="F13">
        <v>1</v>
      </c>
      <c r="G13">
        <v>2</v>
      </c>
      <c r="H13">
        <v>0</v>
      </c>
      <c r="I13" s="2">
        <f t="shared" si="2"/>
        <v>10000000</v>
      </c>
      <c r="J13" s="2">
        <f t="shared" si="3"/>
        <v>2000000</v>
      </c>
      <c r="K13">
        <f t="shared" si="4"/>
        <v>20000000</v>
      </c>
      <c r="L13">
        <f t="shared" si="5"/>
        <v>-3600000</v>
      </c>
      <c r="M13">
        <v>0</v>
      </c>
      <c r="N13">
        <v>0.4</v>
      </c>
      <c r="O13">
        <f t="shared" si="6"/>
        <v>-4800000</v>
      </c>
      <c r="P13">
        <f t="shared" si="7"/>
        <v>-2400000</v>
      </c>
    </row>
    <row r="14" spans="1:16" x14ac:dyDescent="0.15">
      <c r="A14" s="1">
        <f t="shared" si="8"/>
        <v>12000001</v>
      </c>
      <c r="B14" s="1">
        <v>15000000</v>
      </c>
      <c r="C14" s="1" t="str">
        <f t="shared" si="0"/>
        <v>0,10000000;2000000,20000000</v>
      </c>
      <c r="D14" s="1" t="str">
        <f t="shared" si="1"/>
        <v>-4500000,0;-6000000,-3000000</v>
      </c>
      <c r="E14">
        <f t="shared" si="9"/>
        <v>3000000</v>
      </c>
      <c r="F14">
        <v>1</v>
      </c>
      <c r="G14">
        <v>2</v>
      </c>
      <c r="H14">
        <v>0</v>
      </c>
      <c r="I14" s="2">
        <f t="shared" si="2"/>
        <v>10000000</v>
      </c>
      <c r="J14" s="2">
        <f t="shared" si="3"/>
        <v>2000000</v>
      </c>
      <c r="K14">
        <f t="shared" si="4"/>
        <v>20000000</v>
      </c>
      <c r="L14">
        <f t="shared" si="5"/>
        <v>-4500000</v>
      </c>
      <c r="M14">
        <v>0</v>
      </c>
      <c r="N14">
        <v>0.4</v>
      </c>
      <c r="O14">
        <f t="shared" si="6"/>
        <v>-6000000</v>
      </c>
      <c r="P14">
        <f t="shared" si="7"/>
        <v>-3000000</v>
      </c>
    </row>
    <row r="15" spans="1:16" x14ac:dyDescent="0.15">
      <c r="A15" s="1">
        <f t="shared" si="8"/>
        <v>15000001</v>
      </c>
      <c r="B15" s="1">
        <v>20000000</v>
      </c>
      <c r="C15" s="1" t="str">
        <f t="shared" si="0"/>
        <v>0,10000000;2000000,20000000</v>
      </c>
      <c r="D15" s="1" t="str">
        <f t="shared" si="1"/>
        <v>-6000000,0;-8000000,-4000000</v>
      </c>
      <c r="E15">
        <f t="shared" si="9"/>
        <v>5000000</v>
      </c>
      <c r="F15">
        <v>1</v>
      </c>
      <c r="G15">
        <v>2</v>
      </c>
      <c r="H15">
        <v>0</v>
      </c>
      <c r="I15" s="2">
        <f t="shared" si="2"/>
        <v>10000000</v>
      </c>
      <c r="J15" s="2">
        <f t="shared" si="3"/>
        <v>2000000</v>
      </c>
      <c r="K15">
        <f t="shared" si="4"/>
        <v>20000000</v>
      </c>
      <c r="L15">
        <f t="shared" si="5"/>
        <v>-6000000</v>
      </c>
      <c r="M15">
        <v>0</v>
      </c>
      <c r="N15">
        <v>0.4</v>
      </c>
      <c r="O15">
        <f t="shared" si="6"/>
        <v>-8000000</v>
      </c>
      <c r="P15">
        <f t="shared" si="7"/>
        <v>-4000000</v>
      </c>
    </row>
    <row r="16" spans="1:16" x14ac:dyDescent="0.15">
      <c r="A16" s="1">
        <f t="shared" si="8"/>
        <v>20000001</v>
      </c>
      <c r="B16" s="1">
        <v>30000000</v>
      </c>
      <c r="C16" s="1" t="str">
        <f t="shared" si="0"/>
        <v>0,10000000;2000000,20000000</v>
      </c>
      <c r="D16" s="1" t="str">
        <f t="shared" si="1"/>
        <v>-9000000,0;-12000000,-6000000</v>
      </c>
      <c r="E16">
        <f t="shared" si="9"/>
        <v>10000000</v>
      </c>
      <c r="F16">
        <v>1</v>
      </c>
      <c r="G16">
        <v>2</v>
      </c>
      <c r="H16">
        <v>0</v>
      </c>
      <c r="I16" s="2">
        <f t="shared" si="2"/>
        <v>10000000</v>
      </c>
      <c r="J16" s="2">
        <f t="shared" si="3"/>
        <v>2000000</v>
      </c>
      <c r="K16">
        <f t="shared" si="4"/>
        <v>20000000</v>
      </c>
      <c r="L16">
        <f t="shared" si="5"/>
        <v>-9000000</v>
      </c>
      <c r="M16">
        <v>0</v>
      </c>
      <c r="N16">
        <v>0.4</v>
      </c>
      <c r="O16">
        <f t="shared" si="6"/>
        <v>-12000000</v>
      </c>
      <c r="P16">
        <f t="shared" si="7"/>
        <v>-6000000</v>
      </c>
    </row>
    <row r="18" spans="1:16" x14ac:dyDescent="0.15">
      <c r="A18" t="s">
        <v>36</v>
      </c>
    </row>
    <row r="19" spans="1:16" x14ac:dyDescent="0.15">
      <c r="A19" t="s">
        <v>1</v>
      </c>
      <c r="B19" t="s">
        <v>2</v>
      </c>
      <c r="C19" t="s">
        <v>3</v>
      </c>
      <c r="D19" t="s">
        <v>4</v>
      </c>
      <c r="E19" t="s">
        <v>24</v>
      </c>
      <c r="H19" t="s">
        <v>27</v>
      </c>
      <c r="I19" t="s">
        <v>28</v>
      </c>
      <c r="J19" t="s">
        <v>29</v>
      </c>
      <c r="K19" t="s">
        <v>30</v>
      </c>
      <c r="L19" t="s">
        <v>31</v>
      </c>
      <c r="M19" t="s">
        <v>32</v>
      </c>
      <c r="N19" t="s">
        <v>33</v>
      </c>
      <c r="O19" t="s">
        <v>34</v>
      </c>
      <c r="P19" t="s">
        <v>35</v>
      </c>
    </row>
    <row r="20" spans="1:16" x14ac:dyDescent="0.15">
      <c r="A20" s="1">
        <v>0</v>
      </c>
      <c r="B20" s="1">
        <v>100000</v>
      </c>
      <c r="C20" s="1" t="str">
        <f t="shared" ref="C20:C34" si="10">H20&amp;","&amp;I20&amp;";"&amp;J20&amp;","&amp;K20</f>
        <v>0,300000;0,1000000</v>
      </c>
      <c r="D20" s="1" t="str">
        <f t="shared" ref="D20:D34" si="11">L20&amp;","&amp;M20&amp;";"&amp;O20&amp;","&amp;P20</f>
        <v>-100000,0;-80000,-20000</v>
      </c>
      <c r="E20">
        <f>B20-A20</f>
        <v>100000</v>
      </c>
      <c r="H20">
        <v>0</v>
      </c>
      <c r="I20">
        <f>B20*3</f>
        <v>300000</v>
      </c>
      <c r="J20">
        <v>0</v>
      </c>
      <c r="K20">
        <f>B20*10</f>
        <v>1000000</v>
      </c>
      <c r="L20">
        <f>-B20*1</f>
        <v>-100000</v>
      </c>
      <c r="M20">
        <v>0</v>
      </c>
      <c r="N20">
        <v>0.8</v>
      </c>
      <c r="O20">
        <f t="shared" ref="O20:O34" si="12">-B20*N20</f>
        <v>-80000</v>
      </c>
      <c r="P20">
        <f t="shared" ref="P20:P34" si="13">-B20*0.2</f>
        <v>-20000</v>
      </c>
    </row>
    <row r="21" spans="1:16" x14ac:dyDescent="0.15">
      <c r="A21" s="1">
        <f t="shared" ref="A21:A34" si="14">B20+1</f>
        <v>100001</v>
      </c>
      <c r="B21" s="1">
        <v>200000</v>
      </c>
      <c r="C21" s="1" t="str">
        <f t="shared" si="10"/>
        <v>0,600000;0,2000000</v>
      </c>
      <c r="D21" s="1" t="str">
        <f t="shared" si="11"/>
        <v>-200000,0;-160000,-40000</v>
      </c>
      <c r="E21">
        <f t="shared" ref="E21:E34" si="15">B21-B20</f>
        <v>100000</v>
      </c>
      <c r="H21">
        <v>0</v>
      </c>
      <c r="I21">
        <f t="shared" ref="I21:I27" si="16">B21*3</f>
        <v>600000</v>
      </c>
      <c r="J21">
        <v>0</v>
      </c>
      <c r="K21">
        <f t="shared" ref="K21:K27" si="17">B21*10</f>
        <v>2000000</v>
      </c>
      <c r="L21">
        <f t="shared" ref="L21:L34" si="18">-B21*1</f>
        <v>-200000</v>
      </c>
      <c r="M21">
        <v>0</v>
      </c>
      <c r="N21">
        <v>0.8</v>
      </c>
      <c r="O21">
        <f t="shared" si="12"/>
        <v>-160000</v>
      </c>
      <c r="P21">
        <f t="shared" si="13"/>
        <v>-40000</v>
      </c>
    </row>
    <row r="22" spans="1:16" x14ac:dyDescent="0.15">
      <c r="A22" s="1">
        <f t="shared" si="14"/>
        <v>200001</v>
      </c>
      <c r="B22" s="1">
        <v>300000</v>
      </c>
      <c r="C22" s="1" t="str">
        <f t="shared" si="10"/>
        <v>0,900000;0,3000000</v>
      </c>
      <c r="D22" s="1" t="str">
        <f t="shared" si="11"/>
        <v>-300000,0;-240000,-60000</v>
      </c>
      <c r="E22">
        <f t="shared" si="15"/>
        <v>100000</v>
      </c>
      <c r="H22">
        <v>0</v>
      </c>
      <c r="I22">
        <f t="shared" si="16"/>
        <v>900000</v>
      </c>
      <c r="J22">
        <v>0</v>
      </c>
      <c r="K22">
        <f t="shared" si="17"/>
        <v>3000000</v>
      </c>
      <c r="L22">
        <f t="shared" si="18"/>
        <v>-300000</v>
      </c>
      <c r="M22">
        <v>0</v>
      </c>
      <c r="N22">
        <v>0.8</v>
      </c>
      <c r="O22">
        <f t="shared" si="12"/>
        <v>-240000</v>
      </c>
      <c r="P22">
        <f t="shared" si="13"/>
        <v>-60000</v>
      </c>
    </row>
    <row r="23" spans="1:16" x14ac:dyDescent="0.15">
      <c r="A23" s="1">
        <f t="shared" si="14"/>
        <v>300001</v>
      </c>
      <c r="B23" s="1">
        <v>500000</v>
      </c>
      <c r="C23" s="1" t="str">
        <f t="shared" si="10"/>
        <v>0,1500000;0,5000000</v>
      </c>
      <c r="D23" s="1" t="str">
        <f t="shared" si="11"/>
        <v>-500000,0;-400000,-100000</v>
      </c>
      <c r="E23">
        <f t="shared" si="15"/>
        <v>200000</v>
      </c>
      <c r="H23">
        <v>0</v>
      </c>
      <c r="I23">
        <f t="shared" si="16"/>
        <v>1500000</v>
      </c>
      <c r="J23">
        <v>0</v>
      </c>
      <c r="K23">
        <f t="shared" si="17"/>
        <v>5000000</v>
      </c>
      <c r="L23">
        <f t="shared" si="18"/>
        <v>-500000</v>
      </c>
      <c r="M23">
        <v>0</v>
      </c>
      <c r="N23">
        <v>0.8</v>
      </c>
      <c r="O23">
        <f t="shared" si="12"/>
        <v>-400000</v>
      </c>
      <c r="P23">
        <f t="shared" si="13"/>
        <v>-100000</v>
      </c>
    </row>
    <row r="24" spans="1:16" x14ac:dyDescent="0.15">
      <c r="A24" s="1">
        <f t="shared" si="14"/>
        <v>500001</v>
      </c>
      <c r="B24" s="1">
        <v>800000</v>
      </c>
      <c r="C24" s="1" t="str">
        <f t="shared" si="10"/>
        <v>0,2400000;0,8000000</v>
      </c>
      <c r="D24" s="1" t="str">
        <f t="shared" si="11"/>
        <v>-800000,0;-640000,-160000</v>
      </c>
      <c r="E24">
        <f t="shared" si="15"/>
        <v>300000</v>
      </c>
      <c r="H24">
        <v>0</v>
      </c>
      <c r="I24">
        <f t="shared" si="16"/>
        <v>2400000</v>
      </c>
      <c r="J24">
        <v>0</v>
      </c>
      <c r="K24">
        <f t="shared" si="17"/>
        <v>8000000</v>
      </c>
      <c r="L24">
        <f t="shared" si="18"/>
        <v>-800000</v>
      </c>
      <c r="M24">
        <v>0</v>
      </c>
      <c r="N24">
        <v>0.8</v>
      </c>
      <c r="O24">
        <f t="shared" si="12"/>
        <v>-640000</v>
      </c>
      <c r="P24">
        <f t="shared" si="13"/>
        <v>-160000</v>
      </c>
    </row>
    <row r="25" spans="1:16" x14ac:dyDescent="0.15">
      <c r="A25" s="1">
        <f t="shared" si="14"/>
        <v>800001</v>
      </c>
      <c r="B25" s="1">
        <v>1000000</v>
      </c>
      <c r="C25" s="1" t="str">
        <f t="shared" si="10"/>
        <v>0,3000000;0,10000000</v>
      </c>
      <c r="D25" s="1" t="str">
        <f t="shared" si="11"/>
        <v>-1000000,0;-800000,-200000</v>
      </c>
      <c r="E25">
        <f t="shared" si="15"/>
        <v>200000</v>
      </c>
      <c r="H25">
        <v>0</v>
      </c>
      <c r="I25">
        <f t="shared" si="16"/>
        <v>3000000</v>
      </c>
      <c r="J25">
        <v>0</v>
      </c>
      <c r="K25">
        <f t="shared" si="17"/>
        <v>10000000</v>
      </c>
      <c r="L25">
        <f t="shared" si="18"/>
        <v>-1000000</v>
      </c>
      <c r="M25">
        <v>0</v>
      </c>
      <c r="N25">
        <v>0.8</v>
      </c>
      <c r="O25">
        <f t="shared" si="12"/>
        <v>-800000</v>
      </c>
      <c r="P25">
        <f t="shared" si="13"/>
        <v>-200000</v>
      </c>
    </row>
    <row r="26" spans="1:16" x14ac:dyDescent="0.15">
      <c r="A26" s="1">
        <f t="shared" si="14"/>
        <v>1000001</v>
      </c>
      <c r="B26" s="1">
        <v>2000000</v>
      </c>
      <c r="C26" s="1" t="str">
        <f t="shared" si="10"/>
        <v>0,6000000;0,20000000</v>
      </c>
      <c r="D26" s="1" t="str">
        <f t="shared" si="11"/>
        <v>-2000000,0;-1600000,-400000</v>
      </c>
      <c r="E26">
        <f t="shared" si="15"/>
        <v>1000000</v>
      </c>
      <c r="H26">
        <v>0</v>
      </c>
      <c r="I26">
        <f t="shared" si="16"/>
        <v>6000000</v>
      </c>
      <c r="J26">
        <v>0</v>
      </c>
      <c r="K26">
        <f t="shared" si="17"/>
        <v>20000000</v>
      </c>
      <c r="L26">
        <f t="shared" si="18"/>
        <v>-2000000</v>
      </c>
      <c r="M26">
        <v>0</v>
      </c>
      <c r="N26">
        <v>0.8</v>
      </c>
      <c r="O26">
        <f t="shared" si="12"/>
        <v>-1600000</v>
      </c>
      <c r="P26">
        <f t="shared" si="13"/>
        <v>-400000</v>
      </c>
    </row>
    <row r="27" spans="1:16" x14ac:dyDescent="0.15">
      <c r="A27" s="1">
        <f t="shared" si="14"/>
        <v>2000001</v>
      </c>
      <c r="B27" s="1">
        <v>3000000</v>
      </c>
      <c r="C27" s="1" t="str">
        <f t="shared" si="10"/>
        <v>0,9000000;0,30000000</v>
      </c>
      <c r="D27" s="1" t="str">
        <f t="shared" si="11"/>
        <v>-3000000,0;-2400000,-600000</v>
      </c>
      <c r="E27">
        <f t="shared" si="15"/>
        <v>1000000</v>
      </c>
      <c r="H27">
        <v>0</v>
      </c>
      <c r="I27">
        <f t="shared" si="16"/>
        <v>9000000</v>
      </c>
      <c r="J27">
        <v>0</v>
      </c>
      <c r="K27">
        <f t="shared" si="17"/>
        <v>30000000</v>
      </c>
      <c r="L27">
        <f t="shared" si="18"/>
        <v>-3000000</v>
      </c>
      <c r="M27">
        <v>0</v>
      </c>
      <c r="N27">
        <v>0.8</v>
      </c>
      <c r="O27">
        <f t="shared" si="12"/>
        <v>-2400000</v>
      </c>
      <c r="P27">
        <f t="shared" si="13"/>
        <v>-600000</v>
      </c>
    </row>
    <row r="28" spans="1:16" x14ac:dyDescent="0.15">
      <c r="A28" s="1">
        <f t="shared" si="14"/>
        <v>3000001</v>
      </c>
      <c r="B28" s="1">
        <v>5000000</v>
      </c>
      <c r="C28" s="1" t="str">
        <f t="shared" si="10"/>
        <v>0,10000000;0,15000000</v>
      </c>
      <c r="D28" s="1" t="str">
        <f t="shared" si="11"/>
        <v>-5000000,0;-4000000,-1000000</v>
      </c>
      <c r="E28">
        <f t="shared" si="15"/>
        <v>2000000</v>
      </c>
      <c r="H28">
        <v>0</v>
      </c>
      <c r="I28">
        <v>10000000</v>
      </c>
      <c r="J28">
        <v>0</v>
      </c>
      <c r="K28">
        <v>15000000</v>
      </c>
      <c r="L28">
        <f t="shared" si="18"/>
        <v>-5000000</v>
      </c>
      <c r="M28">
        <v>0</v>
      </c>
      <c r="N28">
        <v>0.8</v>
      </c>
      <c r="O28">
        <f t="shared" si="12"/>
        <v>-4000000</v>
      </c>
      <c r="P28">
        <f t="shared" si="13"/>
        <v>-1000000</v>
      </c>
    </row>
    <row r="29" spans="1:16" x14ac:dyDescent="0.15">
      <c r="A29" s="1">
        <f t="shared" si="14"/>
        <v>5000001</v>
      </c>
      <c r="B29" s="1">
        <v>8000000</v>
      </c>
      <c r="C29" s="1" t="str">
        <f t="shared" si="10"/>
        <v>0,10000000;0,15000000</v>
      </c>
      <c r="D29" s="1" t="str">
        <f t="shared" si="11"/>
        <v>-8000000,0;-6400000,-1600000</v>
      </c>
      <c r="E29">
        <f t="shared" si="15"/>
        <v>3000000</v>
      </c>
      <c r="H29">
        <v>0</v>
      </c>
      <c r="I29">
        <v>10000000</v>
      </c>
      <c r="J29">
        <v>0</v>
      </c>
      <c r="K29">
        <v>15000000</v>
      </c>
      <c r="L29">
        <f t="shared" si="18"/>
        <v>-8000000</v>
      </c>
      <c r="M29">
        <v>0</v>
      </c>
      <c r="N29">
        <v>0.8</v>
      </c>
      <c r="O29">
        <f t="shared" si="12"/>
        <v>-6400000</v>
      </c>
      <c r="P29">
        <f t="shared" si="13"/>
        <v>-1600000</v>
      </c>
    </row>
    <row r="30" spans="1:16" x14ac:dyDescent="0.15">
      <c r="A30" s="1">
        <f t="shared" si="14"/>
        <v>8000001</v>
      </c>
      <c r="B30" s="1">
        <v>10000000</v>
      </c>
      <c r="C30" s="1" t="str">
        <f t="shared" si="10"/>
        <v>0,10000000;0,15000000</v>
      </c>
      <c r="D30" s="1" t="str">
        <f t="shared" si="11"/>
        <v>-10000000,0;-8000000,-2000000</v>
      </c>
      <c r="E30">
        <f t="shared" si="15"/>
        <v>2000000</v>
      </c>
      <c r="H30">
        <v>0</v>
      </c>
      <c r="I30">
        <v>10000000</v>
      </c>
      <c r="J30">
        <v>0</v>
      </c>
      <c r="K30">
        <v>15000000</v>
      </c>
      <c r="L30">
        <f t="shared" si="18"/>
        <v>-10000000</v>
      </c>
      <c r="M30">
        <v>0</v>
      </c>
      <c r="N30">
        <v>0.8</v>
      </c>
      <c r="O30">
        <f t="shared" si="12"/>
        <v>-8000000</v>
      </c>
      <c r="P30">
        <f t="shared" si="13"/>
        <v>-2000000</v>
      </c>
    </row>
    <row r="31" spans="1:16" x14ac:dyDescent="0.15">
      <c r="A31" s="1">
        <f t="shared" si="14"/>
        <v>10000001</v>
      </c>
      <c r="B31" s="1">
        <v>12000000</v>
      </c>
      <c r="C31" s="1" t="str">
        <f t="shared" si="10"/>
        <v>0,10000000;0,15000000</v>
      </c>
      <c r="D31" s="1" t="str">
        <f t="shared" si="11"/>
        <v>-12000000,0;-9600000,-2400000</v>
      </c>
      <c r="E31">
        <f t="shared" si="15"/>
        <v>2000000</v>
      </c>
      <c r="H31">
        <v>0</v>
      </c>
      <c r="I31">
        <v>10000000</v>
      </c>
      <c r="J31">
        <v>0</v>
      </c>
      <c r="K31">
        <v>15000000</v>
      </c>
      <c r="L31">
        <f t="shared" si="18"/>
        <v>-12000000</v>
      </c>
      <c r="M31">
        <v>0</v>
      </c>
      <c r="N31">
        <v>0.8</v>
      </c>
      <c r="O31">
        <f t="shared" si="12"/>
        <v>-9600000</v>
      </c>
      <c r="P31">
        <f t="shared" si="13"/>
        <v>-2400000</v>
      </c>
    </row>
    <row r="32" spans="1:16" x14ac:dyDescent="0.15">
      <c r="A32" s="1">
        <f t="shared" si="14"/>
        <v>12000001</v>
      </c>
      <c r="B32" s="1">
        <v>15000000</v>
      </c>
      <c r="C32" s="1" t="str">
        <f t="shared" si="10"/>
        <v>0,10000000;0,15000000</v>
      </c>
      <c r="D32" s="1" t="str">
        <f t="shared" si="11"/>
        <v>-15000000,0;-12000000,-3000000</v>
      </c>
      <c r="E32">
        <f t="shared" si="15"/>
        <v>3000000</v>
      </c>
      <c r="H32">
        <v>0</v>
      </c>
      <c r="I32">
        <v>10000000</v>
      </c>
      <c r="J32">
        <v>0</v>
      </c>
      <c r="K32">
        <v>15000000</v>
      </c>
      <c r="L32">
        <f t="shared" si="18"/>
        <v>-15000000</v>
      </c>
      <c r="M32">
        <v>0</v>
      </c>
      <c r="N32">
        <v>0.8</v>
      </c>
      <c r="O32">
        <f t="shared" si="12"/>
        <v>-12000000</v>
      </c>
      <c r="P32">
        <f t="shared" si="13"/>
        <v>-3000000</v>
      </c>
    </row>
    <row r="33" spans="1:16" x14ac:dyDescent="0.15">
      <c r="A33" s="1">
        <f t="shared" si="14"/>
        <v>15000001</v>
      </c>
      <c r="B33" s="1">
        <v>20000000</v>
      </c>
      <c r="C33" s="1" t="str">
        <f t="shared" si="10"/>
        <v>0,10000000;0,15000000</v>
      </c>
      <c r="D33" s="1" t="str">
        <f t="shared" si="11"/>
        <v>-20000000,0;-16000000,-4000000</v>
      </c>
      <c r="E33">
        <f t="shared" si="15"/>
        <v>5000000</v>
      </c>
      <c r="H33">
        <v>0</v>
      </c>
      <c r="I33">
        <v>10000000</v>
      </c>
      <c r="J33">
        <v>0</v>
      </c>
      <c r="K33">
        <v>15000000</v>
      </c>
      <c r="L33">
        <f t="shared" si="18"/>
        <v>-20000000</v>
      </c>
      <c r="M33">
        <v>0</v>
      </c>
      <c r="N33">
        <v>0.8</v>
      </c>
      <c r="O33">
        <f t="shared" si="12"/>
        <v>-16000000</v>
      </c>
      <c r="P33">
        <f t="shared" si="13"/>
        <v>-4000000</v>
      </c>
    </row>
    <row r="34" spans="1:16" x14ac:dyDescent="0.15">
      <c r="A34" s="1">
        <f t="shared" si="14"/>
        <v>20000001</v>
      </c>
      <c r="B34" s="1">
        <v>30000000</v>
      </c>
      <c r="C34" s="1" t="str">
        <f t="shared" si="10"/>
        <v>0,10000000;0,15000000</v>
      </c>
      <c r="D34" s="1" t="str">
        <f t="shared" si="11"/>
        <v>-30000000,0;-24000000,-6000000</v>
      </c>
      <c r="E34">
        <f t="shared" si="15"/>
        <v>10000000</v>
      </c>
      <c r="H34">
        <v>0</v>
      </c>
      <c r="I34">
        <v>10000000</v>
      </c>
      <c r="J34">
        <v>0</v>
      </c>
      <c r="K34">
        <v>15000000</v>
      </c>
      <c r="L34">
        <f t="shared" si="18"/>
        <v>-30000000</v>
      </c>
      <c r="M34">
        <v>0</v>
      </c>
      <c r="N34">
        <v>0.8</v>
      </c>
      <c r="O34">
        <f t="shared" si="12"/>
        <v>-24000000</v>
      </c>
      <c r="P34">
        <f t="shared" si="13"/>
        <v>-6000000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制作表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紫川 胡</cp:lastModifiedBy>
  <dcterms:created xsi:type="dcterms:W3CDTF">2022-07-14T08:01:00Z</dcterms:created>
  <dcterms:modified xsi:type="dcterms:W3CDTF">2024-03-20T09:36:58Z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58786D153885406F916BD29A8B1BF243</vt:lpwstr>
  </property>
</Properties>
</file>