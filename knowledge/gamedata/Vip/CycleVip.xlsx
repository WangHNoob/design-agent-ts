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</sheets>
  <definedNames>
    <definedName name="_xlnm._FilterDatabase" localSheetId="0">Sheet1!$A$6:$F$6</definedName>
  </definedNames>
  <calcPr calcId="144525"/>
</workbook>
</file>

<file path=xl/comments1.xml><?xml version="1.0" encoding="utf-8"?>
<comments xmlns="http://schemas.openxmlformats.org/spreadsheetml/2006/main">
  <authors>
    <author>王佳</author>
    <author>Unknown User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config 中转换参数 100彩钻转多少积分</t>
        </r>
      </text>
    </comment>
    <comment ref="C2" authorId="1">
      <text>
        <r>
          <rPr>
            <sz val="10"/>
            <rFont val="宋体"/>
            <charset val="134"/>
          </rPr>
          <t>Vip表主键
  - 王佳
未解锁时，也记积分
解锁时，按所记有效积分，如已达成，升级且发奖。</t>
        </r>
      </text>
    </comment>
    <comment ref="D2" authorId="1">
      <text>
        <r>
          <rPr>
            <sz val="10"/>
            <rFont val="宋体"/>
            <charset val="134"/>
          </rPr>
          <t>所填值+1天重置，跨天计算都是0点
  - 王佳
生效当天开始算第1天
  - 王佳</t>
        </r>
      </text>
    </comment>
    <comment ref="E2" authorId="1">
      <text>
        <r>
          <rPr>
            <sz val="10"/>
            <rFont val="宋体"/>
            <charset val="134"/>
          </rPr>
          <t>生效当天开始算第1天
  - 王佳
该列必须小于等于权限重置周期，否则会跨期有效。</t>
        </r>
      </text>
    </comment>
    <comment ref="F2" authorId="1">
      <text>
        <r>
          <rPr>
            <sz val="10"/>
            <rFont val="宋体"/>
            <charset val="134"/>
          </rPr>
          <t>前端：显示在左侧，第一个道具为默认放大的那个，剩下的在下边一行3个
  - 王佳</t>
        </r>
      </text>
    </comment>
    <comment ref="G2" authorId="1">
      <text>
        <r>
          <rPr>
            <b/>
            <sz val="9"/>
            <color rgb="FF000000"/>
            <rFont val="宋体"/>
            <charset val="134"/>
          </rPr>
          <t>王佳:</t>
        </r>
        <r>
          <rPr>
            <sz val="9"/>
            <color rgb="FF000000"/>
            <rFont val="宋体"/>
            <charset val="134"/>
          </rPr>
          <t xml:space="preserve">
索引HomeLandDress主键ID</t>
        </r>
        <r>
          <rPr>
            <sz val="10"/>
            <rFont val="宋体"/>
            <charset val="134"/>
          </rPr>
          <t xml:space="preserve">
  - 王佳
前端：该列有值则显示在右侧下方</t>
        </r>
      </text>
    </comment>
    <comment ref="H2" authorId="1">
      <text>
        <r>
          <rPr>
            <b/>
            <sz val="9"/>
            <color rgb="FF000000"/>
            <rFont val="宋体"/>
            <charset val="134"/>
          </rPr>
          <t>王佳:</t>
        </r>
        <r>
          <rPr>
            <sz val="9"/>
            <color rgb="FF000000"/>
            <rFont val="宋体"/>
            <charset val="134"/>
          </rPr>
          <t xml:space="preserve">
索引Title表主键</t>
        </r>
        <r>
          <rPr>
            <sz val="10"/>
            <rFont val="宋体"/>
            <charset val="134"/>
          </rPr>
          <t xml:space="preserve">
  - 王佳
前端：该列有值则显示在右侧下方
</t>
        </r>
      </text>
    </comment>
    <comment ref="I2" authorId="1">
      <text>
        <r>
          <rPr>
            <b/>
            <sz val="9"/>
            <color rgb="FF000000"/>
            <rFont val="宋体"/>
            <charset val="134"/>
          </rPr>
          <t>王佳:</t>
        </r>
        <r>
          <rPr>
            <sz val="9"/>
            <color rgb="FF000000"/>
            <rFont val="宋体"/>
            <charset val="134"/>
          </rPr>
          <t xml:space="preserve">
索引HeroActionPictorial表主键</t>
        </r>
        <r>
          <rPr>
            <sz val="10"/>
            <rFont val="宋体"/>
            <charset val="134"/>
          </rPr>
          <t xml:space="preserve">
  - 王佳
前端：该列有值则显示在右侧下方
</t>
        </r>
      </text>
    </comment>
    <comment ref="J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填写格式：ITEMID，小时
多个用分号</t>
        </r>
      </text>
    </comment>
  </commentList>
</comments>
</file>

<file path=xl/sharedStrings.xml><?xml version="1.0" encoding="utf-8"?>
<sst xmlns="http://schemas.openxmlformats.org/spreadsheetml/2006/main" count="138" uniqueCount="58">
  <si>
    <t>无双VIPvip等级</t>
  </si>
  <si>
    <t>需要无双VIP积分</t>
  </si>
  <si>
    <t>老VIP多少级能解锁</t>
  </si>
  <si>
    <t>无双VIP权限重置周期</t>
  </si>
  <si>
    <t>无双积分有效期</t>
  </si>
  <si>
    <t>VIP等级奖励</t>
  </si>
  <si>
    <t>特殊限时家园装扮奖励</t>
  </si>
  <si>
    <t>特殊限时称号奖励</t>
  </si>
  <si>
    <t>特殊限时奥义图奖励</t>
  </si>
  <si>
    <t>指定道具获得后在背包内的有效期</t>
  </si>
  <si>
    <t>cycleVipLevel</t>
  </si>
  <si>
    <t>needCycleVipExp</t>
  </si>
  <si>
    <t>needCycleVipLevel</t>
  </si>
  <si>
    <t>resetTime</t>
  </si>
  <si>
    <t>resetExpTime</t>
  </si>
  <si>
    <t>cycleVipLevelReward</t>
  </si>
  <si>
    <t>cycleVipHomeReward</t>
  </si>
  <si>
    <t>cycleVipTitleReward</t>
  </si>
  <si>
    <t>cycleVipActionPictorial</t>
  </si>
  <si>
    <t>int</t>
  </si>
  <si>
    <t>string</t>
  </si>
  <si>
    <t>primary</t>
  </si>
  <si>
    <t>none</t>
  </si>
  <si>
    <t>cycleVipRewardTime</t>
  </si>
  <si>
    <t>1001,215011,2;3,0,200;1001,215005,10;5,0,500000;</t>
  </si>
  <si>
    <t>1001,619360,30;1001,215011,8;1001,215015,5;1001,215005,20;</t>
  </si>
  <si>
    <t>1001,619360,40;1001,215015,10;1001,218004,25;1001,931025,30;1001,931023,20;</t>
  </si>
  <si>
    <t>1001,619360,50;1001,215015,10;1001,216002,50;1001,931025,50;1001,931023,20;</t>
  </si>
  <si>
    <t>1001,931066,1;1001,619360,60;1001,215015,20;1001,931025,80;1001,931023,50;</t>
  </si>
  <si>
    <t>蓝钻</t>
  </si>
  <si>
    <t>1001,215005,10;1001,215011,2;3,0,200;5,0,500000</t>
  </si>
  <si>
    <t>金块</t>
  </si>
  <si>
    <t>1001,619360,30;1001,215011,8;1001,215015,5;1001,215005,20</t>
  </si>
  <si>
    <t>1001,16010010,1;1001,619360,40;1001,215015,10;1001,931026,1</t>
  </si>
  <si>
    <t>1001,16010010,1;1001,619360,50;1001,215015,15;1001,931027,1</t>
  </si>
  <si>
    <t>1001,16010010,2;1001,619360,60;1001,215015,20;1001,931028,1</t>
  </si>
  <si>
    <t>限时铸造券</t>
  </si>
  <si>
    <t>在限时武器店使用的铸造券，可以通过限时铸造获得装备。</t>
  </si>
  <si>
    <t>时装兑换币</t>
  </si>
  <si>
    <t>活动道具，可用于兑换活动时装。</t>
  </si>
  <si>
    <t>强者招募券</t>
  </si>
  <si>
    <t>高级的酒馆使用券，可以在酒馆进行强者招募。</t>
  </si>
  <si>
    <t>黄金战魂</t>
  </si>
  <si>
    <t>承载着英勇海上战士的信念，用于SSR品质角色超越。</t>
  </si>
  <si>
    <t>樱花主题图纸7天</t>
  </si>
  <si>
    <t>樱花祭图纸</t>
  </si>
  <si>
    <t>使用后可以开启家园装扮【樱花祭】</t>
  </si>
  <si>
    <t>战船拆解材料包（小）</t>
  </si>
  <si>
    <t>打开后可获得：战船拆解自选物资包*20，战船拆解自选材料包*30</t>
  </si>
  <si>
    <t>战船拆解材料包（中）</t>
  </si>
  <si>
    <t>打开后可获得：战船拆解自选物资包*30，战船拆解自选材料包*50</t>
  </si>
  <si>
    <t>战船拆解材料包（大）</t>
  </si>
  <si>
    <t>打开后可获得：战船拆解自选物资包*50，战船拆解自选材料包*80</t>
  </si>
  <si>
    <t>1001,</t>
  </si>
  <si>
    <t>,</t>
  </si>
  <si>
    <t>;</t>
  </si>
  <si>
    <t>3,</t>
  </si>
  <si>
    <t>5,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</si>
</sst>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1">
    <font>
      <sz val="12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sz val="11"/>
      <name val="宋体"/>
      <charset val="134"/>
    </font>
    <font>
      <sz val="10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0"/>
      <color theme="10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15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26" borderId="7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21" borderId="5" applyNumberFormat="0" applyAlignment="0" applyProtection="0">
      <alignment vertical="center"/>
    </xf>
    <xf numFmtId="0" fontId="24" fillId="21" borderId="4" applyNumberFormat="0" applyAlignment="0" applyProtection="0">
      <alignment vertical="center"/>
    </xf>
    <xf numFmtId="0" fontId="23" fillId="29" borderId="8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49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1" fillId="0" borderId="0" xfId="49" applyNumberFormat="1" applyFont="1" applyFill="1" applyBorder="1" applyAlignment="1" applyProtection="1">
      <alignment vertical="center"/>
    </xf>
    <xf numFmtId="0" fontId="3" fillId="0" borderId="0" xfId="49" applyNumberFormat="1" applyFont="1" applyFill="1" applyBorder="1" applyAlignment="1" applyProtection="1"/>
    <xf numFmtId="0" fontId="2" fillId="0" borderId="0" xfId="0" applyFont="1" applyFill="1" applyAlignment="1">
      <alignment vertical="center"/>
    </xf>
    <xf numFmtId="0" fontId="1" fillId="0" borderId="0" xfId="49" applyNumberFormat="1" applyFont="1" applyFill="1" applyAlignment="1" applyProtection="1"/>
    <xf numFmtId="0" fontId="4" fillId="3" borderId="0" xfId="0" applyFont="1" applyFill="1" applyAlignment="1"/>
    <xf numFmtId="0" fontId="5" fillId="3" borderId="0" xfId="0" applyFont="1" applyFill="1" applyAlignment="1"/>
    <xf numFmtId="0" fontId="6" fillId="0" borderId="0" xfId="0" applyFont="1" applyAlignment="1"/>
    <xf numFmtId="0" fontId="5" fillId="4" borderId="0" xfId="0" applyFont="1" applyFill="1" applyAlignment="1"/>
    <xf numFmtId="0" fontId="4" fillId="5" borderId="0" xfId="0" applyFont="1" applyFill="1" applyAlignment="1"/>
    <xf numFmtId="0" fontId="5" fillId="5" borderId="0" xfId="0" applyFont="1" applyFill="1" applyAlignment="1"/>
    <xf numFmtId="49" fontId="6" fillId="0" borderId="0" xfId="0" applyNumberFormat="1" applyFont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1"/>
  <sheetViews>
    <sheetView tabSelected="1" workbookViewId="0">
      <selection activeCell="E19" sqref="E19"/>
    </sheetView>
  </sheetViews>
  <sheetFormatPr defaultColWidth="9" defaultRowHeight="16.5" customHeight="1"/>
  <cols>
    <col min="1" max="1" width="16.1666666666667" style="10" customWidth="1"/>
    <col min="2" max="5" width="16.6666666666667" style="10" customWidth="1"/>
    <col min="6" max="6" width="54.875" style="10" customWidth="1"/>
    <col min="7" max="7" width="18.8333333333333" style="10" customWidth="1"/>
    <col min="8" max="8" width="17.1666666666667" style="10" customWidth="1"/>
    <col min="9" max="9" width="19.8333333333333" style="10" customWidth="1"/>
    <col min="10" max="10" width="19.125" style="10" customWidth="1"/>
    <col min="11" max="40" width="9" style="10"/>
  </cols>
  <sheetData>
    <row r="1" s="8" customFormat="1" customHeight="1" spans="1:4">
      <c r="A1" s="8">
        <v>7</v>
      </c>
      <c r="B1" s="8">
        <v>1</v>
      </c>
      <c r="C1" s="8">
        <v>9999</v>
      </c>
      <c r="D1" s="8">
        <v>20</v>
      </c>
    </row>
    <row r="2" s="8" customFormat="1" customHeight="1" spans="1:10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</row>
    <row r="3" s="8" customFormat="1" customHeight="1" spans="1:10">
      <c r="A3" s="11" t="s">
        <v>10</v>
      </c>
      <c r="B3" s="11" t="s">
        <v>11</v>
      </c>
      <c r="C3" s="11" t="s">
        <v>12</v>
      </c>
      <c r="D3" s="11" t="s">
        <v>13</v>
      </c>
      <c r="E3" s="11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12"/>
    </row>
    <row r="4" s="8" customFormat="1" customHeight="1" spans="1:10">
      <c r="A4" s="11" t="s">
        <v>19</v>
      </c>
      <c r="B4" s="11" t="s">
        <v>19</v>
      </c>
      <c r="C4" s="11" t="s">
        <v>19</v>
      </c>
      <c r="D4" s="11" t="s">
        <v>19</v>
      </c>
      <c r="E4" s="11" t="s">
        <v>19</v>
      </c>
      <c r="F4" s="11" t="s">
        <v>20</v>
      </c>
      <c r="G4" s="11" t="s">
        <v>19</v>
      </c>
      <c r="H4" s="11" t="s">
        <v>19</v>
      </c>
      <c r="I4" s="11" t="s">
        <v>19</v>
      </c>
      <c r="J4" s="12"/>
    </row>
    <row r="5" s="8" customFormat="1" customHeight="1" spans="1:10">
      <c r="A5" s="11" t="s">
        <v>21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 t="s">
        <v>22</v>
      </c>
      <c r="J5" s="12"/>
    </row>
    <row r="6" s="9" customFormat="1" customHeight="1" spans="1:10">
      <c r="A6" s="11" t="s">
        <v>10</v>
      </c>
      <c r="B6" s="11" t="s">
        <v>11</v>
      </c>
      <c r="C6" s="11" t="s">
        <v>12</v>
      </c>
      <c r="D6" s="11" t="s">
        <v>13</v>
      </c>
      <c r="E6" s="11" t="s">
        <v>14</v>
      </c>
      <c r="F6" s="11" t="s">
        <v>15</v>
      </c>
      <c r="G6" s="11" t="s">
        <v>16</v>
      </c>
      <c r="H6" s="11" t="s">
        <v>17</v>
      </c>
      <c r="I6" s="11" t="s">
        <v>18</v>
      </c>
      <c r="J6" s="13" t="s">
        <v>23</v>
      </c>
    </row>
    <row r="7" customHeight="1" spans="1:10">
      <c r="A7" s="10">
        <v>1</v>
      </c>
      <c r="B7" s="10">
        <f>VLOOKUP(A7,Sheet2!N:Q,3,FALSE)</f>
        <v>2800</v>
      </c>
      <c r="C7" s="10">
        <f>VLOOKUP(A7,Sheet2!N:Q,2,FALSE)</f>
        <v>0</v>
      </c>
      <c r="D7" s="10">
        <v>42</v>
      </c>
      <c r="E7" s="10">
        <v>42</v>
      </c>
      <c r="F7" s="10" t="s">
        <v>24</v>
      </c>
      <c r="J7" s="14"/>
    </row>
    <row r="8" customHeight="1" spans="1:10">
      <c r="A8" s="10">
        <v>2</v>
      </c>
      <c r="B8" s="10">
        <f>VLOOKUP(A8,Sheet2!N:Q,3,FALSE)</f>
        <v>8800</v>
      </c>
      <c r="C8" s="10">
        <v>1</v>
      </c>
      <c r="D8" s="10">
        <v>42</v>
      </c>
      <c r="E8" s="10">
        <v>42</v>
      </c>
      <c r="F8" s="10" t="s">
        <v>25</v>
      </c>
      <c r="J8" s="14"/>
    </row>
    <row r="9" customHeight="1" spans="1:10">
      <c r="A9" s="10">
        <v>3</v>
      </c>
      <c r="B9" s="10">
        <f>VLOOKUP(A9,Sheet2!N:Q,3,FALSE)</f>
        <v>28000</v>
      </c>
      <c r="C9" s="10">
        <v>4</v>
      </c>
      <c r="D9" s="10">
        <v>42</v>
      </c>
      <c r="E9" s="10">
        <v>42</v>
      </c>
      <c r="F9" s="10" t="s">
        <v>26</v>
      </c>
      <c r="J9" s="14"/>
    </row>
    <row r="10" customHeight="1" spans="1:10">
      <c r="A10" s="10">
        <v>4</v>
      </c>
      <c r="B10" s="10">
        <f>VLOOKUP(A10,Sheet2!N:Q,3,FALSE)</f>
        <v>58000</v>
      </c>
      <c r="C10" s="10">
        <v>7</v>
      </c>
      <c r="D10" s="10">
        <v>42</v>
      </c>
      <c r="E10" s="10">
        <v>42</v>
      </c>
      <c r="F10" s="10" t="s">
        <v>27</v>
      </c>
      <c r="J10" s="14"/>
    </row>
    <row r="11" customHeight="1" spans="1:10">
      <c r="A11" s="10">
        <v>5</v>
      </c>
      <c r="B11" s="10">
        <f>VLOOKUP(A11,Sheet2!N:Q,3,FALSE)</f>
        <v>98000</v>
      </c>
      <c r="C11" s="10">
        <f>VLOOKUP(A11,Sheet2!N:Q,2,FALSE)</f>
        <v>10</v>
      </c>
      <c r="D11" s="10">
        <v>42</v>
      </c>
      <c r="E11" s="10">
        <v>42</v>
      </c>
      <c r="F11" s="10" t="s">
        <v>28</v>
      </c>
      <c r="J11" s="14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26"/>
  <sheetViews>
    <sheetView workbookViewId="0">
      <selection activeCell="F24" sqref="F24"/>
    </sheetView>
  </sheetViews>
  <sheetFormatPr defaultColWidth="9" defaultRowHeight="15.75"/>
  <cols>
    <col min="6" max="6" width="16.125" customWidth="1"/>
    <col min="11" max="12" width="6.375" customWidth="1"/>
    <col min="13" max="14" width="12" customWidth="1"/>
    <col min="18" max="19" width="10.875" customWidth="1"/>
  </cols>
  <sheetData>
    <row r="1" spans="8:17">
      <c r="H1" t="s">
        <v>29</v>
      </c>
      <c r="I1">
        <v>3</v>
      </c>
      <c r="N1" s="6">
        <v>1</v>
      </c>
      <c r="O1" s="6"/>
      <c r="P1" s="6">
        <v>2800</v>
      </c>
      <c r="Q1" t="s">
        <v>30</v>
      </c>
    </row>
    <row r="2" spans="8:17">
      <c r="H2" t="s">
        <v>31</v>
      </c>
      <c r="I2">
        <v>5</v>
      </c>
      <c r="N2" s="6">
        <v>2</v>
      </c>
      <c r="O2" s="6">
        <v>3</v>
      </c>
      <c r="P2" s="6">
        <v>8800</v>
      </c>
      <c r="Q2" t="s">
        <v>32</v>
      </c>
    </row>
    <row r="3" spans="14:17">
      <c r="N3" s="6">
        <v>3</v>
      </c>
      <c r="O3" s="6">
        <v>6</v>
      </c>
      <c r="P3" s="6">
        <v>28000</v>
      </c>
      <c r="Q3" t="s">
        <v>33</v>
      </c>
    </row>
    <row r="4" spans="14:17">
      <c r="N4" s="6">
        <v>4</v>
      </c>
      <c r="O4" s="6">
        <v>9</v>
      </c>
      <c r="P4" s="6">
        <v>58000</v>
      </c>
      <c r="Q4" t="s">
        <v>34</v>
      </c>
    </row>
    <row r="5" spans="14:17">
      <c r="N5" s="6">
        <v>5</v>
      </c>
      <c r="O5" s="6">
        <v>10</v>
      </c>
      <c r="P5" s="6">
        <v>98000</v>
      </c>
      <c r="Q5" t="s">
        <v>35</v>
      </c>
    </row>
    <row r="6" spans="2:8">
      <c r="B6" s="1">
        <v>215015</v>
      </c>
      <c r="C6" s="1">
        <v>1001</v>
      </c>
      <c r="D6" s="1">
        <v>1</v>
      </c>
      <c r="E6" s="1">
        <v>1001</v>
      </c>
      <c r="F6" s="2" t="s">
        <v>36</v>
      </c>
      <c r="G6" s="2" t="s">
        <v>36</v>
      </c>
      <c r="H6" s="2" t="s">
        <v>37</v>
      </c>
    </row>
    <row r="7" spans="2:8">
      <c r="B7" s="3">
        <v>619360</v>
      </c>
      <c r="C7" s="3">
        <v>1001</v>
      </c>
      <c r="D7" s="3">
        <v>1</v>
      </c>
      <c r="E7" s="3">
        <v>1001</v>
      </c>
      <c r="F7" s="3" t="s">
        <v>38</v>
      </c>
      <c r="G7" s="3" t="s">
        <v>38</v>
      </c>
      <c r="H7" s="3" t="s">
        <v>39</v>
      </c>
    </row>
    <row r="8" spans="2:8">
      <c r="B8" s="1">
        <v>215011</v>
      </c>
      <c r="C8" s="1">
        <v>1001</v>
      </c>
      <c r="D8" s="1">
        <v>1</v>
      </c>
      <c r="E8" s="1">
        <v>1001</v>
      </c>
      <c r="F8" s="2" t="s">
        <v>40</v>
      </c>
      <c r="G8" s="4" t="s">
        <v>40</v>
      </c>
      <c r="H8" s="2" t="s">
        <v>41</v>
      </c>
    </row>
    <row r="9" spans="2:8">
      <c r="B9" s="1">
        <v>215005</v>
      </c>
      <c r="C9" s="1">
        <v>1001</v>
      </c>
      <c r="D9" s="1">
        <v>1</v>
      </c>
      <c r="E9" s="1">
        <v>1001</v>
      </c>
      <c r="F9" s="2" t="s">
        <v>42</v>
      </c>
      <c r="G9" s="4" t="s">
        <v>42</v>
      </c>
      <c r="H9" s="2" t="s">
        <v>43</v>
      </c>
    </row>
    <row r="10" spans="2:8">
      <c r="B10" s="2">
        <v>16010010</v>
      </c>
      <c r="C10" s="5">
        <v>1001</v>
      </c>
      <c r="D10" s="5">
        <v>1</v>
      </c>
      <c r="E10" s="1">
        <v>1001</v>
      </c>
      <c r="F10" s="2" t="s">
        <v>44</v>
      </c>
      <c r="G10" s="2" t="s">
        <v>45</v>
      </c>
      <c r="H10" s="2" t="s">
        <v>46</v>
      </c>
    </row>
    <row r="12" spans="2:8">
      <c r="B12" s="2">
        <v>931026</v>
      </c>
      <c r="C12" s="1">
        <v>1001</v>
      </c>
      <c r="D12" s="1">
        <v>6</v>
      </c>
      <c r="E12" s="1">
        <v>1001</v>
      </c>
      <c r="F12" s="3" t="s">
        <v>47</v>
      </c>
      <c r="G12" s="3" t="s">
        <v>47</v>
      </c>
      <c r="H12" s="3" t="s">
        <v>48</v>
      </c>
    </row>
    <row r="13" spans="2:8">
      <c r="B13" s="2">
        <v>931027</v>
      </c>
      <c r="C13" s="1">
        <v>1001</v>
      </c>
      <c r="D13" s="1">
        <v>6</v>
      </c>
      <c r="E13" s="1">
        <v>1001</v>
      </c>
      <c r="F13" s="3" t="s">
        <v>49</v>
      </c>
      <c r="G13" s="3" t="s">
        <v>49</v>
      </c>
      <c r="H13" s="3" t="s">
        <v>50</v>
      </c>
    </row>
    <row r="14" spans="2:8">
      <c r="B14" s="2">
        <v>931028</v>
      </c>
      <c r="C14" s="1">
        <v>1001</v>
      </c>
      <c r="D14" s="1">
        <v>6</v>
      </c>
      <c r="E14" s="1">
        <v>1001</v>
      </c>
      <c r="F14" s="3" t="s">
        <v>51</v>
      </c>
      <c r="G14" s="3" t="s">
        <v>51</v>
      </c>
      <c r="H14" s="3" t="s">
        <v>52</v>
      </c>
    </row>
    <row r="17" spans="9:30">
      <c r="I17" s="6">
        <v>1</v>
      </c>
      <c r="J17" s="6"/>
      <c r="K17" s="6">
        <v>2800</v>
      </c>
      <c r="L17" s="6" t="s">
        <v>53</v>
      </c>
      <c r="M17" s="1">
        <v>215005</v>
      </c>
      <c r="N17" s="7" t="s">
        <v>54</v>
      </c>
      <c r="O17" s="6">
        <v>10</v>
      </c>
      <c r="P17" s="6" t="s">
        <v>55</v>
      </c>
      <c r="Q17" s="6" t="s">
        <v>53</v>
      </c>
      <c r="R17" s="1">
        <v>215011</v>
      </c>
      <c r="S17" s="7" t="s">
        <v>54</v>
      </c>
      <c r="T17" s="6">
        <v>2</v>
      </c>
      <c r="U17" s="6" t="s">
        <v>55</v>
      </c>
      <c r="V17" s="6" t="s">
        <v>56</v>
      </c>
      <c r="W17" s="6">
        <v>0</v>
      </c>
      <c r="X17" s="7" t="s">
        <v>54</v>
      </c>
      <c r="Y17" s="6">
        <v>200</v>
      </c>
      <c r="Z17" s="6" t="s">
        <v>55</v>
      </c>
      <c r="AA17" s="6" t="s">
        <v>57</v>
      </c>
      <c r="AB17" s="6">
        <v>0</v>
      </c>
      <c r="AC17" s="7" t="s">
        <v>54</v>
      </c>
      <c r="AD17" s="6">
        <v>500000</v>
      </c>
    </row>
    <row r="18" spans="9:30">
      <c r="I18" s="6">
        <v>2</v>
      </c>
      <c r="J18" s="6">
        <v>3</v>
      </c>
      <c r="K18" s="6">
        <v>8800</v>
      </c>
      <c r="L18" s="6" t="s">
        <v>53</v>
      </c>
      <c r="M18" s="6">
        <v>619360</v>
      </c>
      <c r="N18" s="7" t="s">
        <v>54</v>
      </c>
      <c r="O18" s="6">
        <v>30</v>
      </c>
      <c r="P18" s="6" t="s">
        <v>55</v>
      </c>
      <c r="Q18" s="6" t="s">
        <v>53</v>
      </c>
      <c r="R18" s="1">
        <v>215011</v>
      </c>
      <c r="S18" s="7" t="s">
        <v>54</v>
      </c>
      <c r="T18" s="6">
        <v>8</v>
      </c>
      <c r="U18" s="6" t="s">
        <v>55</v>
      </c>
      <c r="V18" s="6" t="s">
        <v>53</v>
      </c>
      <c r="W18" s="1">
        <v>215015</v>
      </c>
      <c r="X18" s="7" t="s">
        <v>54</v>
      </c>
      <c r="Y18" s="6">
        <v>5</v>
      </c>
      <c r="Z18" s="6" t="s">
        <v>55</v>
      </c>
      <c r="AA18" s="6" t="s">
        <v>53</v>
      </c>
      <c r="AB18" s="1">
        <v>215005</v>
      </c>
      <c r="AC18" s="7" t="s">
        <v>54</v>
      </c>
      <c r="AD18" s="6">
        <v>20</v>
      </c>
    </row>
    <row r="19" spans="9:30">
      <c r="I19" s="6">
        <v>3</v>
      </c>
      <c r="J19" s="6">
        <v>6</v>
      </c>
      <c r="K19" s="6">
        <v>28000</v>
      </c>
      <c r="L19" s="6" t="s">
        <v>53</v>
      </c>
      <c r="M19" s="2">
        <v>16010010</v>
      </c>
      <c r="N19" s="7" t="s">
        <v>54</v>
      </c>
      <c r="O19" s="6">
        <v>1</v>
      </c>
      <c r="P19" s="6" t="s">
        <v>55</v>
      </c>
      <c r="Q19" s="6" t="s">
        <v>53</v>
      </c>
      <c r="R19" s="6">
        <v>619360</v>
      </c>
      <c r="S19" s="7" t="s">
        <v>54</v>
      </c>
      <c r="T19" s="6">
        <v>40</v>
      </c>
      <c r="U19" s="6" t="s">
        <v>55</v>
      </c>
      <c r="V19" s="6" t="s">
        <v>53</v>
      </c>
      <c r="W19" s="1">
        <v>215015</v>
      </c>
      <c r="X19" s="7" t="s">
        <v>54</v>
      </c>
      <c r="Y19" s="6">
        <v>10</v>
      </c>
      <c r="Z19" s="6" t="s">
        <v>55</v>
      </c>
      <c r="AA19" s="6" t="s">
        <v>53</v>
      </c>
      <c r="AB19" s="2">
        <v>931026</v>
      </c>
      <c r="AC19" s="7" t="s">
        <v>54</v>
      </c>
      <c r="AD19" s="6">
        <v>1</v>
      </c>
    </row>
    <row r="20" spans="9:30">
      <c r="I20" s="6">
        <v>4</v>
      </c>
      <c r="J20" s="6">
        <v>9</v>
      </c>
      <c r="K20" s="6">
        <v>58000</v>
      </c>
      <c r="L20" s="6" t="s">
        <v>53</v>
      </c>
      <c r="M20" s="2">
        <v>16010010</v>
      </c>
      <c r="N20" s="7" t="s">
        <v>54</v>
      </c>
      <c r="O20" s="6">
        <v>1</v>
      </c>
      <c r="P20" s="6" t="s">
        <v>55</v>
      </c>
      <c r="Q20" s="6" t="s">
        <v>53</v>
      </c>
      <c r="R20" s="6">
        <v>619360</v>
      </c>
      <c r="S20" s="7" t="s">
        <v>54</v>
      </c>
      <c r="T20" s="6">
        <v>50</v>
      </c>
      <c r="U20" s="6" t="s">
        <v>55</v>
      </c>
      <c r="V20" s="6" t="s">
        <v>53</v>
      </c>
      <c r="W20" s="1">
        <v>215015</v>
      </c>
      <c r="X20" s="7" t="s">
        <v>54</v>
      </c>
      <c r="Y20" s="6">
        <v>15</v>
      </c>
      <c r="Z20" s="6" t="s">
        <v>55</v>
      </c>
      <c r="AA20" s="6" t="s">
        <v>53</v>
      </c>
      <c r="AB20" s="2">
        <v>931027</v>
      </c>
      <c r="AC20" s="7" t="s">
        <v>54</v>
      </c>
      <c r="AD20" s="6">
        <v>1</v>
      </c>
    </row>
    <row r="21" spans="9:30">
      <c r="I21" s="6">
        <v>5</v>
      </c>
      <c r="J21" s="6">
        <v>10</v>
      </c>
      <c r="K21" s="6">
        <v>98000</v>
      </c>
      <c r="L21" s="6" t="s">
        <v>53</v>
      </c>
      <c r="M21" s="2">
        <v>16010010</v>
      </c>
      <c r="N21" s="7" t="s">
        <v>54</v>
      </c>
      <c r="O21" s="6">
        <v>2</v>
      </c>
      <c r="P21" s="6" t="s">
        <v>55</v>
      </c>
      <c r="Q21" s="6" t="s">
        <v>53</v>
      </c>
      <c r="R21" s="6">
        <v>619360</v>
      </c>
      <c r="S21" s="7" t="s">
        <v>54</v>
      </c>
      <c r="T21" s="6">
        <v>60</v>
      </c>
      <c r="U21" s="6" t="s">
        <v>55</v>
      </c>
      <c r="V21" s="6" t="s">
        <v>53</v>
      </c>
      <c r="W21" s="1">
        <v>215015</v>
      </c>
      <c r="X21" s="7" t="s">
        <v>54</v>
      </c>
      <c r="Y21" s="6">
        <v>20</v>
      </c>
      <c r="Z21" s="6" t="s">
        <v>55</v>
      </c>
      <c r="AA21" s="6" t="s">
        <v>53</v>
      </c>
      <c r="AB21" s="2">
        <v>931028</v>
      </c>
      <c r="AC21" s="7" t="s">
        <v>54</v>
      </c>
      <c r="AD21" s="6">
        <v>1</v>
      </c>
    </row>
    <row r="22" spans="9:11">
      <c r="I22" s="6"/>
      <c r="J22" s="6"/>
      <c r="K22" s="6"/>
    </row>
    <row r="23" spans="9:11">
      <c r="I23" s="6"/>
      <c r="J23" s="6"/>
      <c r="K23" s="6"/>
    </row>
    <row r="24" spans="9:11">
      <c r="I24" s="6"/>
      <c r="J24" s="6"/>
      <c r="K24" s="6"/>
    </row>
    <row r="25" spans="9:11">
      <c r="I25" s="6"/>
      <c r="J25" s="6"/>
      <c r="K25" s="6"/>
    </row>
    <row r="26" spans="9:11">
      <c r="I26" s="6"/>
      <c r="J26" s="6"/>
      <c r="K26" s="6"/>
    </row>
  </sheetData>
  <conditionalFormatting sqref="B6">
    <cfRule type="duplicateValues" dxfId="0" priority="63"/>
    <cfRule type="duplicateValues" dxfId="0" priority="62"/>
    <cfRule type="duplicateValues" dxfId="0" priority="61"/>
  </conditionalFormatting>
  <conditionalFormatting sqref="B7">
    <cfRule type="duplicateValues" dxfId="0" priority="60"/>
    <cfRule type="duplicateValues" dxfId="0" priority="59"/>
    <cfRule type="duplicateValues" dxfId="0" priority="58"/>
  </conditionalFormatting>
  <conditionalFormatting sqref="B8">
    <cfRule type="duplicateValues" dxfId="0" priority="57"/>
    <cfRule type="duplicateValues" dxfId="0" priority="56"/>
    <cfRule type="duplicateValues" dxfId="0" priority="55"/>
  </conditionalFormatting>
  <conditionalFormatting sqref="B9">
    <cfRule type="duplicateValues" dxfId="0" priority="54"/>
    <cfRule type="duplicateValues" dxfId="0" priority="53"/>
    <cfRule type="duplicateValues" dxfId="0" priority="52"/>
  </conditionalFormatting>
  <conditionalFormatting sqref="B10">
    <cfRule type="duplicateValues" dxfId="0" priority="51"/>
    <cfRule type="duplicateValues" dxfId="0" priority="50"/>
    <cfRule type="duplicateValues" dxfId="0" priority="49"/>
  </conditionalFormatting>
  <conditionalFormatting sqref="R17">
    <cfRule type="duplicateValues" dxfId="0" priority="16"/>
    <cfRule type="duplicateValues" dxfId="0" priority="17"/>
    <cfRule type="duplicateValues" dxfId="0" priority="18"/>
  </conditionalFormatting>
  <conditionalFormatting sqref="R18">
    <cfRule type="duplicateValues" dxfId="0" priority="19"/>
    <cfRule type="duplicateValues" dxfId="0" priority="20"/>
    <cfRule type="duplicateValues" dxfId="0" priority="21"/>
  </conditionalFormatting>
  <conditionalFormatting sqref="W18">
    <cfRule type="duplicateValues" dxfId="0" priority="31"/>
    <cfRule type="duplicateValues" dxfId="0" priority="32"/>
    <cfRule type="duplicateValues" dxfId="0" priority="33"/>
  </conditionalFormatting>
  <conditionalFormatting sqref="AB18">
    <cfRule type="duplicateValues" dxfId="0" priority="10"/>
    <cfRule type="duplicateValues" dxfId="0" priority="11"/>
    <cfRule type="duplicateValues" dxfId="0" priority="12"/>
  </conditionalFormatting>
  <conditionalFormatting sqref="M19">
    <cfRule type="duplicateValues" dxfId="0" priority="43"/>
    <cfRule type="duplicateValues" dxfId="0" priority="44"/>
    <cfRule type="duplicateValues" dxfId="0" priority="45"/>
  </conditionalFormatting>
  <conditionalFormatting sqref="W19">
    <cfRule type="duplicateValues" dxfId="0" priority="28"/>
    <cfRule type="duplicateValues" dxfId="0" priority="29"/>
    <cfRule type="duplicateValues" dxfId="0" priority="30"/>
  </conditionalFormatting>
  <conditionalFormatting sqref="M20">
    <cfRule type="duplicateValues" dxfId="0" priority="40"/>
    <cfRule type="duplicateValues" dxfId="0" priority="41"/>
    <cfRule type="duplicateValues" dxfId="0" priority="42"/>
  </conditionalFormatting>
  <conditionalFormatting sqref="W20">
    <cfRule type="duplicateValues" dxfId="0" priority="25"/>
    <cfRule type="duplicateValues" dxfId="0" priority="26"/>
    <cfRule type="duplicateValues" dxfId="0" priority="27"/>
  </conditionalFormatting>
  <conditionalFormatting sqref="M21">
    <cfRule type="duplicateValues" dxfId="0" priority="37"/>
    <cfRule type="duplicateValues" dxfId="0" priority="38"/>
    <cfRule type="duplicateValues" dxfId="0" priority="39"/>
  </conditionalFormatting>
  <conditionalFormatting sqref="W21">
    <cfRule type="duplicateValues" dxfId="0" priority="22"/>
    <cfRule type="duplicateValues" dxfId="0" priority="23"/>
    <cfRule type="duplicateValues" dxfId="0" priority="24"/>
  </conditionalFormatting>
  <conditionalFormatting sqref="B12:B14">
    <cfRule type="duplicateValues" dxfId="0" priority="48"/>
    <cfRule type="duplicateValues" dxfId="0" priority="47"/>
    <cfRule type="duplicateValues" dxfId="0" priority="46"/>
  </conditionalFormatting>
  <conditionalFormatting sqref="AB19:AB21">
    <cfRule type="duplicateValues" dxfId="0" priority="34"/>
    <cfRule type="duplicateValues" dxfId="0" priority="35"/>
    <cfRule type="duplicateValues" dxfId="0" priority="36"/>
  </conditionalFormatting>
  <conditionalFormatting sqref="M17:N17 N18:N21">
    <cfRule type="duplicateValues" dxfId="0" priority="13"/>
    <cfRule type="duplicateValues" dxfId="0" priority="14"/>
    <cfRule type="duplicateValues" dxfId="0" priority="15"/>
  </conditionalFormatting>
  <conditionalFormatting sqref="S17 S18:S21">
    <cfRule type="duplicateValues" dxfId="0" priority="9"/>
    <cfRule type="duplicateValues" dxfId="0" priority="8"/>
    <cfRule type="duplicateValues" dxfId="0" priority="7"/>
  </conditionalFormatting>
  <conditionalFormatting sqref="X17 X18:X21">
    <cfRule type="duplicateValues" dxfId="0" priority="6"/>
    <cfRule type="duplicateValues" dxfId="0" priority="5"/>
    <cfRule type="duplicateValues" dxfId="0" priority="4"/>
  </conditionalFormatting>
  <conditionalFormatting sqref="AC17 AC18:AC21">
    <cfRule type="duplicateValues" dxfId="0" priority="3"/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王佳</cp:lastModifiedBy>
  <dcterms:created xsi:type="dcterms:W3CDTF">2006-09-16T00:00:00Z</dcterms:created>
  <dcterms:modified xsi:type="dcterms:W3CDTF">2025-04-23T08:27:05Z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</Properties>
</file>