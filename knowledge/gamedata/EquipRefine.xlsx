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3" sheetId="3" r:id="rId2"/>
    <sheet name="Sheet2" sheetId="2" r:id="rId3"/>
    <sheet name="Sheet4" sheetId="4" r:id="rId4"/>
  </sheets>
  <calcPr calcId="144525"/>
</workbook>
</file>

<file path=xl/comments1.xml><?xml version="1.0" encoding="utf-8"?>
<comments xmlns="http://schemas.openxmlformats.org/spreadsheetml/2006/main">
  <authors>
    <author>sh</author>
  </authors>
  <commentList>
    <comment ref="B2" authorId="0">
      <text>
        <r>
          <rPr>
            <b/>
            <sz val="9"/>
            <rFont val="宋体"/>
            <charset val="134"/>
          </rPr>
          <t>sh:</t>
        </r>
        <r>
          <rPr>
            <sz val="9"/>
            <rFont val="宋体"/>
            <charset val="134"/>
          </rPr>
          <t xml:space="preserve">
1:武器
2:帽子
3:戒指
4:项链</t>
        </r>
      </text>
    </comment>
    <comment ref="F2" authorId="0">
      <text>
        <r>
          <rPr>
            <b/>
            <sz val="9"/>
            <rFont val="宋体"/>
            <charset val="134"/>
          </rPr>
          <t>sh:</t>
        </r>
        <r>
          <rPr>
            <sz val="9"/>
            <rFont val="宋体"/>
            <charset val="134"/>
          </rPr>
          <t xml:space="preserve">
atk=1;		// 攻击
maxHp=2;		// 总血量
def=3;		// 防御
speed=4;		// 速度
cri=5;		// 暴击
anticri=6;		// 韧性
dodge=7;		// 闪避
hit=8;		// 命中
cridamage=9;		// 爆击伤害
block=10;		// 格挡机率
antiblock=11;		// 破击机率
effecthit=12;		// 效果命中
effectdodge=13;		// 效果回
damageadd=14;		// 伤害增加
damagereduce=15;	// 伤害减免
realdamage=16;		// 真实伤害
realdamagereduce=17;	// 真实减伤	</t>
        </r>
      </text>
    </comment>
  </commentList>
</comments>
</file>

<file path=xl/sharedStrings.xml><?xml version="1.0" encoding="utf-8"?>
<sst xmlns="http://schemas.openxmlformats.org/spreadsheetml/2006/main" count="415" uniqueCount="218">
  <si>
    <t>自增ID</t>
  </si>
  <si>
    <t>装备部位</t>
  </si>
  <si>
    <t>精炼等级</t>
  </si>
  <si>
    <t>精炼资源消耗（多个用分号）</t>
  </si>
  <si>
    <t>失败概率</t>
  </si>
  <si>
    <t>精炼加成</t>
  </si>
  <si>
    <r>
      <rPr>
        <sz val="11"/>
        <color theme="1"/>
        <rFont val="宋体"/>
        <charset val="134"/>
      </rPr>
      <t>失败后等级下降的概率（总1</t>
    </r>
    <r>
      <rPr>
        <sz val="11"/>
        <color theme="1"/>
        <rFont val="宋体"/>
        <charset val="134"/>
      </rPr>
      <t>00）</t>
    </r>
  </si>
  <si>
    <t>失败增加的概率</t>
  </si>
  <si>
    <t>失败次数限制</t>
  </si>
  <si>
    <t>战斗力系数B</t>
  </si>
  <si>
    <t>战斗力系数C</t>
  </si>
  <si>
    <t>战斗力系数D</t>
  </si>
  <si>
    <r>
      <rPr>
        <sz val="11"/>
        <color rgb="FFFF0000"/>
        <rFont val="微软雅黑"/>
        <charset val="134"/>
      </rPr>
      <t xml:space="preserve">所需装备使用等级
</t>
    </r>
    <r>
      <rPr>
        <sz val="10"/>
        <color rgb="FF7030A0"/>
        <rFont val="微软雅黑"/>
        <charset val="134"/>
      </rPr>
      <t>关联Equipment表useLevel字段</t>
    </r>
  </si>
  <si>
    <t>是否增加额外属性词条</t>
  </si>
  <si>
    <r>
      <rPr>
        <sz val="11"/>
        <color rgb="FFFF0000"/>
        <rFont val="微软雅黑"/>
        <charset val="134"/>
      </rPr>
      <t xml:space="preserve">词条属性规则
</t>
    </r>
    <r>
      <rPr>
        <sz val="10"/>
        <color rgb="FF7030A0"/>
        <rFont val="微软雅黑"/>
        <charset val="134"/>
      </rPr>
      <t>关联新表EquipExtraAttrRule</t>
    </r>
  </si>
  <si>
    <t>解锁共鸣等级</t>
  </si>
  <si>
    <t>是否赠送一次共鸣</t>
  </si>
  <si>
    <t>id</t>
  </si>
  <si>
    <t>equipPos</t>
  </si>
  <si>
    <t>refineLevel</t>
  </si>
  <si>
    <t>refineCost</t>
  </si>
  <si>
    <t>failProbability</t>
  </si>
  <si>
    <t>addProp</t>
  </si>
  <si>
    <t>failAddRate</t>
  </si>
  <si>
    <t>failNumLimit</t>
  </si>
  <si>
    <t>powerFactorB</t>
  </si>
  <si>
    <t>powerFactorC</t>
  </si>
  <si>
    <t>powerFactorD</t>
  </si>
  <si>
    <t>needEquipUseLv</t>
  </si>
  <si>
    <t>isAddAttr</t>
  </si>
  <si>
    <t>addAttrRule</t>
  </si>
  <si>
    <t>resonanceLevel</t>
  </si>
  <si>
    <t>freeResonance</t>
  </si>
  <si>
    <t>int</t>
  </si>
  <si>
    <r>
      <rPr>
        <b/>
        <sz val="11"/>
        <color theme="1"/>
        <rFont val="宋体"/>
        <charset val="134"/>
      </rPr>
      <t>s</t>
    </r>
    <r>
      <rPr>
        <b/>
        <sz val="11"/>
        <color indexed="8"/>
        <rFont val="宋体"/>
        <charset val="134"/>
      </rPr>
      <t>tring</t>
    </r>
  </si>
  <si>
    <t>string</t>
  </si>
  <si>
    <t>double</t>
  </si>
  <si>
    <t>float</t>
  </si>
  <si>
    <t>primary</t>
  </si>
  <si>
    <t>index</t>
  </si>
  <si>
    <t>none</t>
  </si>
  <si>
    <t>levelDownRate</t>
  </si>
  <si>
    <t>1001,212002,2;5,0,1000</t>
  </si>
  <si>
    <t>0</t>
  </si>
  <si>
    <t>1,9</t>
  </si>
  <si>
    <t>1001,212002,2;5,0,1500</t>
  </si>
  <si>
    <t>20</t>
  </si>
  <si>
    <t>1,19</t>
  </si>
  <si>
    <t>1001,212002,2;5,0,2000</t>
  </si>
  <si>
    <t>1,29</t>
  </si>
  <si>
    <t>1001,212002,3;5,0,2500</t>
  </si>
  <si>
    <t>1,40</t>
  </si>
  <si>
    <t>1001,212002,4;5,0,3000</t>
  </si>
  <si>
    <t>1,52</t>
  </si>
  <si>
    <t>1001,213002,2;5,0,3500</t>
  </si>
  <si>
    <t>1,64</t>
  </si>
  <si>
    <t>1001,213002,2;5,0,4000</t>
  </si>
  <si>
    <t>1,77</t>
  </si>
  <si>
    <t>1001,213002,2;5,0,4500</t>
  </si>
  <si>
    <t>1,91</t>
  </si>
  <si>
    <t>1001,213002,3;5,0,5000</t>
  </si>
  <si>
    <t>1,105</t>
  </si>
  <si>
    <t>1001,213002,4;5,0,5500</t>
  </si>
  <si>
    <t>1,120</t>
  </si>
  <si>
    <t>1001,214002,2;5,0,6000;1001,214003,1</t>
  </si>
  <si>
    <t>1,136</t>
  </si>
  <si>
    <t>1001,214002,2;5,0,6500;1001,214003,1</t>
  </si>
  <si>
    <t>1,152</t>
  </si>
  <si>
    <t>1001,214002,2;5,0,7000;1001,214003,2</t>
  </si>
  <si>
    <t>1,169</t>
  </si>
  <si>
    <t>1001,214002,3;5,0,7500;1001,214003,2</t>
  </si>
  <si>
    <t>1,187</t>
  </si>
  <si>
    <t>1001,214002,4;5,0,8000;1001,214003,2</t>
  </si>
  <si>
    <t>1,205</t>
  </si>
  <si>
    <t>1001,215002,2;5,0,8500;1001,214003,2</t>
  </si>
  <si>
    <t>1,224</t>
  </si>
  <si>
    <t>1001,215002,2;5,0,9000;1001,214003,2</t>
  </si>
  <si>
    <t>1,244</t>
  </si>
  <si>
    <t>1001,215002,2;5,0,9500;1001,214003,3</t>
  </si>
  <si>
    <t>1,264</t>
  </si>
  <si>
    <t>1001,215002,3;5,0,10000;1001,214003,3</t>
  </si>
  <si>
    <t>1,285</t>
  </si>
  <si>
    <t>1001,215002,4;5,0,10500;1001,214003,3</t>
  </si>
  <si>
    <t>1,307</t>
  </si>
  <si>
    <t>1001,215002,4;5,0,6000;1001,214003,3</t>
  </si>
  <si>
    <t>1,329</t>
  </si>
  <si>
    <t>1001,215002,4;5,0,6500;1001,214003,3</t>
  </si>
  <si>
    <t>1,352</t>
  </si>
  <si>
    <t>1001,215002,4;5,0,7000;1001,214003,4</t>
  </si>
  <si>
    <t>1,375</t>
  </si>
  <si>
    <t>1001,215002,4;5,0,7500;1001,214003,4</t>
  </si>
  <si>
    <t>1,399</t>
  </si>
  <si>
    <t>1001,215002,4;5,0,8000;1001,214003,5</t>
  </si>
  <si>
    <t>1,424</t>
  </si>
  <si>
    <t>1001,215002,5;5,0,8500;1001,214003,5</t>
  </si>
  <si>
    <t>1,449</t>
  </si>
  <si>
    <t>1001,215002,5;5,0,9000;1001,214003,6</t>
  </si>
  <si>
    <t>1,475</t>
  </si>
  <si>
    <t>1001,215002,5;5,0,9500;1001,214003,6</t>
  </si>
  <si>
    <t>1,502</t>
  </si>
  <si>
    <t>1001,215002,5;5,0,10000;1001,214003,7</t>
  </si>
  <si>
    <t>1,530</t>
  </si>
  <si>
    <t>1001,215002,5;5,0,10500;1001,214003,7</t>
  </si>
  <si>
    <t>1,558</t>
  </si>
  <si>
    <t>2,33;3,3</t>
  </si>
  <si>
    <t>2,68;3,6</t>
  </si>
  <si>
    <t>2,106;3,9</t>
  </si>
  <si>
    <t>2,146;3,13</t>
  </si>
  <si>
    <t>2,189;3,17</t>
  </si>
  <si>
    <t>2,234;3,21</t>
  </si>
  <si>
    <t>2,282;3,25</t>
  </si>
  <si>
    <t>2,332;3,29</t>
  </si>
  <si>
    <t>2,385;3,33</t>
  </si>
  <si>
    <t>2,440;3,38</t>
  </si>
  <si>
    <t>2,498;3,43</t>
  </si>
  <si>
    <t>2,558;3,48</t>
  </si>
  <si>
    <t>2,621;3,53</t>
  </si>
  <si>
    <t>2,686;3,58</t>
  </si>
  <si>
    <t>2,754;3,64</t>
  </si>
  <si>
    <t>2,824;3,70</t>
  </si>
  <si>
    <t>2,897;3,76</t>
  </si>
  <si>
    <t>2,972;3,82</t>
  </si>
  <si>
    <t>2,1050;3,88</t>
  </si>
  <si>
    <t>2,1130;3,95</t>
  </si>
  <si>
    <t>2,1197;3,107</t>
  </si>
  <si>
    <t>2,1281;3,115</t>
  </si>
  <si>
    <t>2,1365;3,123</t>
  </si>
  <si>
    <t>2,1454;3,131</t>
  </si>
  <si>
    <t>2,1545;3,139</t>
  </si>
  <si>
    <t>2,1636;3,147</t>
  </si>
  <si>
    <t>2,1732;3,156</t>
  </si>
  <si>
    <t>2,1831;3,165</t>
  </si>
  <si>
    <t>2,1932;3,174</t>
  </si>
  <si>
    <t>2,2033;3,183</t>
  </si>
  <si>
    <t>1,5;3,2</t>
  </si>
  <si>
    <t>1,10;3,4</t>
  </si>
  <si>
    <t>1,15;3,6</t>
  </si>
  <si>
    <t>1,21;3,8</t>
  </si>
  <si>
    <t>1,27;3,10</t>
  </si>
  <si>
    <t>1,33;3,12</t>
  </si>
  <si>
    <t>1,40;3,14</t>
  </si>
  <si>
    <t>1,47;3,16</t>
  </si>
  <si>
    <t>1,54;3,18</t>
  </si>
  <si>
    <t>1,62;3,21</t>
  </si>
  <si>
    <t>1,70;3,24</t>
  </si>
  <si>
    <t>1,78;3,27</t>
  </si>
  <si>
    <t>1,87;3,30</t>
  </si>
  <si>
    <t>1,96;3,33</t>
  </si>
  <si>
    <t>1,105;3,36</t>
  </si>
  <si>
    <t>1,115;3,39</t>
  </si>
  <si>
    <t>1,125;3,42</t>
  </si>
  <si>
    <t>1,135;3,45</t>
  </si>
  <si>
    <t>1,146;3,48</t>
  </si>
  <si>
    <t>1,157;3,52</t>
  </si>
  <si>
    <t>1,168;3,58</t>
  </si>
  <si>
    <t>1,179;3,62</t>
  </si>
  <si>
    <t>1,190;3,66</t>
  </si>
  <si>
    <t>1,202;3,70</t>
  </si>
  <si>
    <t>1,214;3,74</t>
  </si>
  <si>
    <t>1,226;3,78</t>
  </si>
  <si>
    <t>1,239;3,82</t>
  </si>
  <si>
    <t>1,252;3,86</t>
  </si>
  <si>
    <t>1,266;3,90</t>
  </si>
  <si>
    <t>1,280;3,94</t>
  </si>
  <si>
    <t>2,66;3,2</t>
  </si>
  <si>
    <t>2,136;3,4</t>
  </si>
  <si>
    <t>2,212;3,6</t>
  </si>
  <si>
    <t>2,292;3,8</t>
  </si>
  <si>
    <t>2,378;3,10</t>
  </si>
  <si>
    <t>2,468;3,12</t>
  </si>
  <si>
    <t>2,564;3,14</t>
  </si>
  <si>
    <t>2,664;3,16</t>
  </si>
  <si>
    <t>2,770;3,18</t>
  </si>
  <si>
    <t>2,880;3,21</t>
  </si>
  <si>
    <t>2,996;3,24</t>
  </si>
  <si>
    <t>2,1116;3,27</t>
  </si>
  <si>
    <t>2,1242;3,30</t>
  </si>
  <si>
    <t>2,1372;3,33</t>
  </si>
  <si>
    <t>2,1508;3,36</t>
  </si>
  <si>
    <t>2,1648;3,39</t>
  </si>
  <si>
    <t>2,1794;3,42</t>
  </si>
  <si>
    <t>2,1944;3,45</t>
  </si>
  <si>
    <t>2,2100;3,48</t>
  </si>
  <si>
    <t>2,2260;3,52</t>
  </si>
  <si>
    <t>2,2395;3,58</t>
  </si>
  <si>
    <t>2,2563;3,62</t>
  </si>
  <si>
    <t>2,2731;3,66</t>
  </si>
  <si>
    <t>2,2909;3,70</t>
  </si>
  <si>
    <t>2,3092;3,74</t>
  </si>
  <si>
    <t>2,3275;3,78</t>
  </si>
  <si>
    <t>2,3467;3,82</t>
  </si>
  <si>
    <t>2,3665;3,86</t>
  </si>
  <si>
    <t>2,3867;3,90</t>
  </si>
  <si>
    <t>2,4069;3,94</t>
  </si>
  <si>
    <t>1001,212002,1;5,0,5</t>
  </si>
  <si>
    <t>;</t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</si>
  <si>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,0,5000</t>
    </r>
  </si>
  <si>
    <t>1001,212002,1;5,0,19</t>
  </si>
  <si>
    <t>1001,212002,2;5,0,43</t>
  </si>
  <si>
    <t>1001,212002,2;5,0,69</t>
  </si>
  <si>
    <t>1001,212002,3;5,0,108</t>
  </si>
  <si>
    <t>1001,213002,3;5,0,136</t>
  </si>
  <si>
    <t>1001,213002,3;5,0,185</t>
  </si>
  <si>
    <t>1001,213002,4;5,0,242</t>
  </si>
  <si>
    <t>1001,213002,4;5,0,262</t>
  </si>
  <si>
    <t>1001,213002,5;5,0,324</t>
  </si>
  <si>
    <t>1001,214002,5;5,0,326;1001,214003,1</t>
  </si>
  <si>
    <t>1001,214003,1</t>
  </si>
  <si>
    <t>1001,214002,5;5,0,388;1001,214003,1</t>
  </si>
  <si>
    <t>1001,214002,6;5,0,456;1001,214003,1</t>
  </si>
  <si>
    <t>1001,214002,6;5,0,471;1001,214003,1</t>
  </si>
  <si>
    <t>1001,214002,7;5,0,486;1001,214003,1</t>
  </si>
  <si>
    <t>1001,215002,7;5,0,505;1001,214003,2</t>
  </si>
  <si>
    <t>1001,214003,3</t>
  </si>
  <si>
    <t>1001,215002,7;5,0,515;1001,214003,2</t>
  </si>
  <si>
    <t>1001,215002,8;5,0,525;1001,214003,2</t>
  </si>
  <si>
    <t>1001,215002,8;5,0,534;1001,214003,2</t>
  </si>
  <si>
    <t>1001,215002,8;5,0,544;1001,214003,2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</si>
</sst>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宋体"/>
      <charset val="134"/>
    </font>
    <font>
      <sz val="12"/>
      <color rgb="FF333333"/>
      <name val="Arial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b/>
      <sz val="11"/>
      <color rgb="FF7030A0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7030A0"/>
      <name val="微软雅黑"/>
      <charset val="134"/>
    </font>
    <font>
      <b/>
      <sz val="11"/>
      <color theme="1"/>
      <name val="宋体"/>
      <charset val="134"/>
    </font>
    <font>
      <b/>
      <sz val="11"/>
      <color indexed="8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ADF9CF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6" borderId="5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6">
      <alignment vertical="center"/>
    </xf>
    <xf numFmtId="0" fontId="15" fillId="0" borderId="6">
      <alignment vertical="center"/>
    </xf>
    <xf numFmtId="0" fontId="16" fillId="0" borderId="7">
      <alignment vertical="center"/>
    </xf>
    <xf numFmtId="0" fontId="16" fillId="0" borderId="0">
      <alignment vertical="center"/>
    </xf>
    <xf numFmtId="0" fontId="17" fillId="7" borderId="8">
      <alignment vertical="center"/>
    </xf>
    <xf numFmtId="0" fontId="18" fillId="8" borderId="9">
      <alignment vertical="center"/>
    </xf>
    <xf numFmtId="0" fontId="19" fillId="8" borderId="8">
      <alignment vertical="center"/>
    </xf>
    <xf numFmtId="0" fontId="20" fillId="9" borderId="10">
      <alignment vertical="center"/>
    </xf>
    <xf numFmtId="0" fontId="21" fillId="0" borderId="11">
      <alignment vertical="center"/>
    </xf>
    <xf numFmtId="0" fontId="22" fillId="0" borderId="12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7" fillId="34" borderId="0">
      <alignment vertical="center"/>
    </xf>
    <xf numFmtId="0" fontId="27" fillId="35" borderId="0">
      <alignment vertical="center"/>
    </xf>
    <xf numFmtId="0" fontId="26" fillId="36" borderId="0">
      <alignment vertical="center"/>
    </xf>
    <xf numFmtId="0" fontId="0" fillId="0" borderId="0"/>
  </cellStyleXfs>
  <cellXfs count="65">
    <xf numFmtId="0" fontId="0" fillId="0" borderId="0" xfId="0" applyNumberFormat="1" applyFont="1" applyFill="1" applyBorder="1" applyProtection="1"/>
    <xf numFmtId="176" fontId="0" fillId="0" borderId="0" xfId="0" applyNumberFormat="1" applyFont="1" applyFill="1" applyBorder="1" applyProtection="1"/>
    <xf numFmtId="0" fontId="1" fillId="0" borderId="1" xfId="0" applyNumberFormat="1" applyFont="1" applyFill="1" applyBorder="1" applyAlignment="1" applyProtection="1">
      <alignment horizontal="center" vertical="center"/>
    </xf>
    <xf numFmtId="9" fontId="1" fillId="0" borderId="1" xfId="0" applyNumberFormat="1" applyFont="1" applyFill="1" applyBorder="1" applyAlignment="1" applyProtection="1">
      <alignment horizontal="center" vertical="center"/>
    </xf>
    <xf numFmtId="9" fontId="1" fillId="0" borderId="1" xfId="0" applyNumberFormat="1" applyFont="1" applyFill="1" applyBorder="1" applyAlignment="1" applyProtection="1">
      <alignment horizontal="center"/>
    </xf>
    <xf numFmtId="0" fontId="2" fillId="2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0" fillId="0" borderId="2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0" fillId="4" borderId="0" xfId="0" applyNumberFormat="1" applyFont="1" applyFill="1" applyBorder="1" applyProtection="1"/>
    <xf numFmtId="0" fontId="0" fillId="0" borderId="3" xfId="0" applyNumberFormat="1" applyFont="1" applyFill="1" applyBorder="1" applyProtection="1"/>
    <xf numFmtId="0" fontId="0" fillId="2" borderId="3" xfId="0" applyNumberFormat="1" applyFont="1" applyFill="1" applyBorder="1" applyProtection="1"/>
    <xf numFmtId="0" fontId="0" fillId="4" borderId="3" xfId="0" applyNumberFormat="1" applyFont="1" applyFill="1" applyBorder="1" applyProtection="1"/>
    <xf numFmtId="49" fontId="0" fillId="0" borderId="0" xfId="0" applyNumberFormat="1" applyFont="1" applyFill="1" applyBorder="1" applyProtection="1"/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NumberFormat="1" applyFont="1" applyFill="1" applyAlignment="1">
      <alignment horizontal="left" vertical="center"/>
    </xf>
    <xf numFmtId="0" fontId="6" fillId="0" borderId="0" xfId="0" applyNumberFormat="1" applyFont="1" applyFill="1" applyBorder="1" applyProtection="1"/>
    <xf numFmtId="49" fontId="6" fillId="0" borderId="0" xfId="0" applyNumberFormat="1" applyFont="1" applyFill="1" applyBorder="1" applyProtection="1"/>
    <xf numFmtId="49" fontId="0" fillId="2" borderId="0" xfId="0" applyNumberFormat="1" applyFont="1" applyFill="1" applyBorder="1" applyProtection="1"/>
    <xf numFmtId="176" fontId="0" fillId="2" borderId="0" xfId="0" applyNumberFormat="1" applyFont="1" applyFill="1" applyBorder="1" applyProtection="1"/>
    <xf numFmtId="0" fontId="0" fillId="2" borderId="2" xfId="0" applyNumberFormat="1" applyFont="1" applyFill="1" applyBorder="1" applyProtection="1"/>
    <xf numFmtId="49" fontId="0" fillId="2" borderId="2" xfId="0" applyNumberFormat="1" applyFont="1" applyFill="1" applyBorder="1" applyProtection="1"/>
    <xf numFmtId="176" fontId="0" fillId="2" borderId="2" xfId="0" applyNumberFormat="1" applyFont="1" applyFill="1" applyBorder="1" applyProtection="1"/>
    <xf numFmtId="49" fontId="0" fillId="3" borderId="0" xfId="0" applyNumberFormat="1" applyFont="1" applyFill="1" applyBorder="1" applyProtection="1"/>
    <xf numFmtId="176" fontId="0" fillId="3" borderId="0" xfId="0" applyNumberFormat="1" applyFont="1" applyFill="1" applyBorder="1" applyProtection="1"/>
    <xf numFmtId="49" fontId="0" fillId="4" borderId="0" xfId="0" applyNumberFormat="1" applyFont="1" applyFill="1" applyBorder="1" applyProtection="1"/>
    <xf numFmtId="176" fontId="0" fillId="4" borderId="0" xfId="0" applyNumberFormat="1" applyFont="1" applyFill="1" applyBorder="1" applyProtection="1"/>
    <xf numFmtId="0" fontId="2" fillId="2" borderId="3" xfId="0" applyNumberFormat="1" applyFont="1" applyFill="1" applyBorder="1" applyProtection="1"/>
    <xf numFmtId="49" fontId="0" fillId="2" borderId="3" xfId="0" applyNumberFormat="1" applyFont="1" applyFill="1" applyBorder="1" applyProtection="1"/>
    <xf numFmtId="49" fontId="0" fillId="0" borderId="3" xfId="0" applyNumberFormat="1" applyFont="1" applyFill="1" applyBorder="1" applyProtection="1"/>
    <xf numFmtId="176" fontId="0" fillId="2" borderId="3" xfId="0" applyNumberFormat="1" applyFont="1" applyFill="1" applyBorder="1" applyProtection="1"/>
    <xf numFmtId="0" fontId="5" fillId="0" borderId="0" xfId="0" applyFont="1" applyFill="1" applyBorder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left" vertical="center"/>
    </xf>
    <xf numFmtId="0" fontId="7" fillId="0" borderId="0" xfId="0" applyNumberFormat="1" applyFont="1" applyFill="1" applyAlignment="1">
      <alignment horizontal="left" vertical="center"/>
    </xf>
    <xf numFmtId="0" fontId="0" fillId="0" borderId="0" xfId="0" applyNumberFormat="1" applyFont="1" applyFill="1" applyBorder="1" applyAlignment="1" applyProtection="1">
      <alignment vertical="center"/>
    </xf>
    <xf numFmtId="0" fontId="8" fillId="5" borderId="4" xfId="0" applyFont="1" applyFill="1" applyBorder="1" applyAlignment="1">
      <alignment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5" borderId="4" xfId="0" applyNumberFormat="1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vertical="center"/>
    </xf>
    <xf numFmtId="0" fontId="8" fillId="5" borderId="4" xfId="0" applyFont="1" applyFill="1" applyBorder="1" applyAlignment="1">
      <alignment horizontal="left" vertical="center"/>
    </xf>
    <xf numFmtId="0" fontId="8" fillId="5" borderId="4" xfId="0" applyNumberFormat="1" applyFont="1" applyFill="1" applyBorder="1" applyAlignment="1">
      <alignment horizontal="left" vertical="center"/>
    </xf>
    <xf numFmtId="0" fontId="8" fillId="0" borderId="0" xfId="0" applyFont="1" applyFill="1" applyAlignment="1">
      <alignment vertical="center"/>
    </xf>
    <xf numFmtId="3" fontId="5" fillId="0" borderId="0" xfId="0" applyNumberFormat="1" applyFont="1" applyFill="1" applyAlignment="1">
      <alignment horizontal="left" vertical="center"/>
    </xf>
    <xf numFmtId="0" fontId="8" fillId="0" borderId="0" xfId="0" applyNumberFormat="1" applyFont="1" applyFill="1" applyAlignment="1">
      <alignment horizontal="left" vertical="center"/>
    </xf>
    <xf numFmtId="0" fontId="8" fillId="0" borderId="2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left" vertical="center"/>
    </xf>
    <xf numFmtId="0" fontId="5" fillId="0" borderId="2" xfId="0" applyNumberFormat="1" applyFont="1" applyFill="1" applyBorder="1" applyAlignment="1">
      <alignment horizontal="left" vertical="center"/>
    </xf>
    <xf numFmtId="0" fontId="8" fillId="3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/>
    </xf>
    <xf numFmtId="0" fontId="5" fillId="3" borderId="0" xfId="0" applyNumberFormat="1" applyFont="1" applyFill="1" applyAlignment="1">
      <alignment horizontal="left" vertical="center"/>
    </xf>
    <xf numFmtId="0" fontId="8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5" fillId="4" borderId="0" xfId="0" applyNumberFormat="1" applyFont="1" applyFill="1" applyAlignment="1">
      <alignment horizontal="left" vertical="center"/>
    </xf>
    <xf numFmtId="0" fontId="8" fillId="0" borderId="3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left" vertical="center"/>
    </xf>
    <xf numFmtId="0" fontId="5" fillId="0" borderId="3" xfId="0" applyNumberFormat="1" applyFont="1" applyFill="1" applyBorder="1" applyAlignment="1">
      <alignment horizontal="left" vertical="center"/>
    </xf>
    <xf numFmtId="0" fontId="8" fillId="4" borderId="3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NumberFormat="1" applyFont="1" applyFill="1" applyBorder="1" applyAlignment="1">
      <alignment horizontal="left" vertical="center"/>
    </xf>
    <xf numFmtId="0" fontId="8" fillId="0" borderId="3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left" vertical="center"/>
    </xf>
    <xf numFmtId="0" fontId="5" fillId="0" borderId="3" xfId="0" applyNumberFormat="1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/>
  <colors>
    <mruColors>
      <color rgb="00ADF9C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6"/>
  <sheetViews>
    <sheetView tabSelected="1" zoomScale="85" zoomScaleNormal="85" topLeftCell="A90" workbookViewId="0">
      <selection activeCell="J117" sqref="J117:J126"/>
    </sheetView>
  </sheetViews>
  <sheetFormatPr defaultColWidth="9" defaultRowHeight="16.5"/>
  <cols>
    <col min="2" max="2" width="23.375" customWidth="1"/>
    <col min="3" max="3" width="14" customWidth="1"/>
    <col min="4" max="4" width="41.5" customWidth="1"/>
    <col min="5" max="5" width="19.5083333333333" style="14" customWidth="1"/>
    <col min="6" max="7" width="36" customWidth="1"/>
    <col min="8" max="8" width="22.125" customWidth="1"/>
    <col min="9" max="9" width="28" customWidth="1"/>
    <col min="10" max="11" width="13.375" customWidth="1"/>
    <col min="13" max="13" width="27.2583333333333" style="15" customWidth="1"/>
    <col min="14" max="14" width="22.55" style="16" customWidth="1"/>
    <col min="15" max="15" width="39.8416666666667" style="17" customWidth="1"/>
    <col min="16" max="16" width="15" customWidth="1"/>
  </cols>
  <sheetData>
    <row r="1" ht="15" spans="1:15">
      <c r="A1">
        <v>7</v>
      </c>
      <c r="B1">
        <v>1</v>
      </c>
      <c r="C1">
        <v>9999</v>
      </c>
      <c r="D1">
        <v>22</v>
      </c>
      <c r="M1" s="34"/>
      <c r="N1" s="35"/>
      <c r="O1" s="36"/>
    </row>
    <row r="2" ht="33" spans="1:17">
      <c r="A2" t="s">
        <v>0</v>
      </c>
      <c r="B2" t="s">
        <v>1</v>
      </c>
      <c r="C2" t="s">
        <v>2</v>
      </c>
      <c r="D2" t="s">
        <v>3</v>
      </c>
      <c r="E2" s="14" t="s">
        <v>4</v>
      </c>
      <c r="F2" t="s">
        <v>5</v>
      </c>
      <c r="G2" t="s">
        <v>6</v>
      </c>
      <c r="H2" t="s">
        <v>7</v>
      </c>
      <c r="I2" t="s">
        <v>8</v>
      </c>
      <c r="J2" s="37" t="s">
        <v>9</v>
      </c>
      <c r="K2" s="37" t="s">
        <v>10</v>
      </c>
      <c r="L2" s="37" t="s">
        <v>11</v>
      </c>
      <c r="M2" s="38" t="s">
        <v>12</v>
      </c>
      <c r="N2" s="39" t="s">
        <v>13</v>
      </c>
      <c r="O2" s="40" t="s">
        <v>14</v>
      </c>
      <c r="P2" t="s">
        <v>15</v>
      </c>
      <c r="Q2" t="s">
        <v>16</v>
      </c>
    </row>
    <row r="3" spans="1:17">
      <c r="A3" s="18" t="s">
        <v>17</v>
      </c>
      <c r="B3" t="s">
        <v>18</v>
      </c>
      <c r="C3" s="18" t="s">
        <v>19</v>
      </c>
      <c r="D3" s="18" t="s">
        <v>20</v>
      </c>
      <c r="E3" s="19" t="s">
        <v>21</v>
      </c>
      <c r="F3" s="18" t="s">
        <v>22</v>
      </c>
      <c r="G3" s="18"/>
      <c r="H3" t="s">
        <v>23</v>
      </c>
      <c r="I3" t="s">
        <v>24</v>
      </c>
      <c r="J3" s="37" t="s">
        <v>25</v>
      </c>
      <c r="K3" s="37" t="s">
        <v>26</v>
      </c>
      <c r="L3" s="37" t="s">
        <v>27</v>
      </c>
      <c r="M3" s="41" t="s">
        <v>28</v>
      </c>
      <c r="N3" s="42" t="s">
        <v>29</v>
      </c>
      <c r="O3" s="43" t="s">
        <v>30</v>
      </c>
      <c r="P3" t="s">
        <v>31</v>
      </c>
      <c r="Q3" t="s">
        <v>32</v>
      </c>
    </row>
    <row r="4" spans="1:17">
      <c r="A4" s="18" t="s">
        <v>33</v>
      </c>
      <c r="B4" t="s">
        <v>33</v>
      </c>
      <c r="C4" s="18" t="s">
        <v>33</v>
      </c>
      <c r="D4" s="18" t="s">
        <v>34</v>
      </c>
      <c r="E4" s="19" t="s">
        <v>33</v>
      </c>
      <c r="F4" s="18" t="s">
        <v>35</v>
      </c>
      <c r="H4" t="s">
        <v>36</v>
      </c>
      <c r="I4" s="19" t="s">
        <v>33</v>
      </c>
      <c r="J4" s="37" t="s">
        <v>33</v>
      </c>
      <c r="K4" s="37" t="s">
        <v>37</v>
      </c>
      <c r="L4" s="37" t="s">
        <v>33</v>
      </c>
      <c r="M4" s="41" t="s">
        <v>33</v>
      </c>
      <c r="N4" s="42" t="s">
        <v>33</v>
      </c>
      <c r="O4" s="43" t="s">
        <v>33</v>
      </c>
      <c r="P4" t="s">
        <v>33</v>
      </c>
      <c r="Q4" t="s">
        <v>33</v>
      </c>
    </row>
    <row r="5" spans="1:17">
      <c r="A5" s="18" t="s">
        <v>38</v>
      </c>
      <c r="B5" t="s">
        <v>39</v>
      </c>
      <c r="C5" s="18" t="s">
        <v>33</v>
      </c>
      <c r="D5" s="18" t="s">
        <v>40</v>
      </c>
      <c r="E5" s="19" t="s">
        <v>40</v>
      </c>
      <c r="F5" s="18" t="s">
        <v>40</v>
      </c>
      <c r="H5" s="19" t="s">
        <v>40</v>
      </c>
      <c r="I5" s="19" t="s">
        <v>40</v>
      </c>
      <c r="J5" s="37" t="s">
        <v>40</v>
      </c>
      <c r="K5" s="37" t="s">
        <v>40</v>
      </c>
      <c r="L5" s="37" t="s">
        <v>40</v>
      </c>
      <c r="M5" s="41" t="s">
        <v>40</v>
      </c>
      <c r="N5" s="42" t="s">
        <v>40</v>
      </c>
      <c r="O5" s="43" t="s">
        <v>40</v>
      </c>
      <c r="P5" t="s">
        <v>40</v>
      </c>
      <c r="Q5" t="s">
        <v>40</v>
      </c>
    </row>
    <row r="6" spans="1:17">
      <c r="A6" s="18" t="s">
        <v>17</v>
      </c>
      <c r="B6" t="s">
        <v>18</v>
      </c>
      <c r="C6" s="18" t="s">
        <v>19</v>
      </c>
      <c r="D6" s="18" t="s">
        <v>20</v>
      </c>
      <c r="E6" s="19" t="s">
        <v>21</v>
      </c>
      <c r="F6" s="18" t="s">
        <v>22</v>
      </c>
      <c r="G6" s="18" t="s">
        <v>41</v>
      </c>
      <c r="H6" t="s">
        <v>23</v>
      </c>
      <c r="I6" t="s">
        <v>24</v>
      </c>
      <c r="J6" s="37" t="s">
        <v>25</v>
      </c>
      <c r="K6" s="37" t="s">
        <v>26</v>
      </c>
      <c r="L6" s="37" t="s">
        <v>27</v>
      </c>
      <c r="M6" s="41" t="s">
        <v>28</v>
      </c>
      <c r="N6" s="42" t="s">
        <v>29</v>
      </c>
      <c r="O6" s="43" t="s">
        <v>30</v>
      </c>
      <c r="P6" t="s">
        <v>31</v>
      </c>
      <c r="Q6" t="s">
        <v>32</v>
      </c>
    </row>
    <row r="7" s="7" customFormat="1" spans="1:16">
      <c r="A7" s="7">
        <v>1</v>
      </c>
      <c r="B7" s="7">
        <v>1</v>
      </c>
      <c r="C7" s="7">
        <v>1</v>
      </c>
      <c r="D7" s="5" t="s">
        <v>42</v>
      </c>
      <c r="E7" s="20" t="s">
        <v>43</v>
      </c>
      <c r="F7" s="20" t="s">
        <v>44</v>
      </c>
      <c r="G7" s="21">
        <v>0</v>
      </c>
      <c r="H7" s="7">
        <v>0</v>
      </c>
      <c r="I7" s="7">
        <v>0</v>
      </c>
      <c r="J7" s="7">
        <v>144</v>
      </c>
      <c r="M7" s="44"/>
      <c r="N7" s="16"/>
      <c r="O7" s="17"/>
      <c r="P7" s="7">
        <v>0</v>
      </c>
    </row>
    <row r="8" s="7" customFormat="1" spans="1:16">
      <c r="A8" s="7">
        <v>2</v>
      </c>
      <c r="B8" s="7">
        <v>1</v>
      </c>
      <c r="C8" s="7">
        <v>2</v>
      </c>
      <c r="D8" s="5" t="s">
        <v>45</v>
      </c>
      <c r="E8" s="20" t="s">
        <v>46</v>
      </c>
      <c r="F8" s="20" t="s">
        <v>47</v>
      </c>
      <c r="G8" s="21">
        <v>0</v>
      </c>
      <c r="H8" s="7">
        <v>0</v>
      </c>
      <c r="I8" s="7">
        <v>0</v>
      </c>
      <c r="J8" s="7">
        <v>304</v>
      </c>
      <c r="M8" s="44"/>
      <c r="N8" s="16"/>
      <c r="O8" s="17"/>
      <c r="P8" s="7">
        <v>0</v>
      </c>
    </row>
    <row r="9" s="7" customFormat="1" spans="1:16">
      <c r="A9" s="7">
        <v>3</v>
      </c>
      <c r="B9" s="7">
        <v>1</v>
      </c>
      <c r="C9" s="7">
        <v>3</v>
      </c>
      <c r="D9" s="5" t="s">
        <v>48</v>
      </c>
      <c r="E9" s="20">
        <v>30</v>
      </c>
      <c r="F9" s="20" t="s">
        <v>49</v>
      </c>
      <c r="G9" s="21">
        <v>0</v>
      </c>
      <c r="H9" s="7">
        <v>0</v>
      </c>
      <c r="I9" s="7">
        <v>0</v>
      </c>
      <c r="J9" s="7">
        <v>464</v>
      </c>
      <c r="M9" s="44"/>
      <c r="N9" s="16"/>
      <c r="O9" s="17"/>
      <c r="P9" s="7">
        <v>0</v>
      </c>
    </row>
    <row r="10" s="7" customFormat="1" spans="1:16">
      <c r="A10" s="7">
        <v>4</v>
      </c>
      <c r="B10" s="7">
        <v>1</v>
      </c>
      <c r="C10" s="7">
        <v>4</v>
      </c>
      <c r="D10" s="5" t="s">
        <v>50</v>
      </c>
      <c r="E10" s="20">
        <v>40</v>
      </c>
      <c r="F10" s="20" t="s">
        <v>51</v>
      </c>
      <c r="G10" s="21">
        <v>0</v>
      </c>
      <c r="H10" s="7">
        <v>0</v>
      </c>
      <c r="I10" s="7">
        <v>0</v>
      </c>
      <c r="J10" s="7">
        <v>640</v>
      </c>
      <c r="M10" s="44"/>
      <c r="N10" s="16"/>
      <c r="O10" s="17"/>
      <c r="P10" s="7">
        <v>0</v>
      </c>
    </row>
    <row r="11" s="7" customFormat="1" spans="1:16">
      <c r="A11" s="7">
        <v>5</v>
      </c>
      <c r="B11" s="7">
        <v>1</v>
      </c>
      <c r="C11" s="7">
        <v>5</v>
      </c>
      <c r="D11" s="5" t="s">
        <v>52</v>
      </c>
      <c r="E11" s="20">
        <v>45</v>
      </c>
      <c r="F11" s="20" t="s">
        <v>53</v>
      </c>
      <c r="G11" s="21">
        <v>0</v>
      </c>
      <c r="H11" s="7">
        <v>0</v>
      </c>
      <c r="I11" s="7">
        <v>0</v>
      </c>
      <c r="J11" s="7">
        <v>832</v>
      </c>
      <c r="M11" s="44"/>
      <c r="N11" s="45"/>
      <c r="O11" s="46"/>
      <c r="P11" s="7">
        <v>0</v>
      </c>
    </row>
    <row r="12" s="7" customFormat="1" spans="1:16">
      <c r="A12" s="7">
        <v>6</v>
      </c>
      <c r="B12" s="7">
        <v>1</v>
      </c>
      <c r="C12" s="7">
        <v>6</v>
      </c>
      <c r="D12" s="5" t="s">
        <v>54</v>
      </c>
      <c r="E12" s="20">
        <v>50</v>
      </c>
      <c r="F12" s="20" t="s">
        <v>55</v>
      </c>
      <c r="G12" s="21">
        <v>0</v>
      </c>
      <c r="H12" s="7">
        <v>0</v>
      </c>
      <c r="I12" s="7">
        <v>0</v>
      </c>
      <c r="J12" s="7">
        <v>1024</v>
      </c>
      <c r="M12" s="44"/>
      <c r="N12" s="45"/>
      <c r="O12" s="17"/>
      <c r="P12" s="7">
        <v>0</v>
      </c>
    </row>
    <row r="13" s="7" customFormat="1" spans="1:16">
      <c r="A13" s="7">
        <v>7</v>
      </c>
      <c r="B13" s="7">
        <v>1</v>
      </c>
      <c r="C13" s="7">
        <v>7</v>
      </c>
      <c r="D13" s="5" t="s">
        <v>56</v>
      </c>
      <c r="E13" s="20">
        <v>55</v>
      </c>
      <c r="F13" s="20" t="s">
        <v>57</v>
      </c>
      <c r="G13" s="21">
        <v>0</v>
      </c>
      <c r="H13" s="7">
        <v>0</v>
      </c>
      <c r="I13" s="7">
        <v>0</v>
      </c>
      <c r="J13" s="7">
        <v>1232</v>
      </c>
      <c r="M13" s="44"/>
      <c r="N13" s="45"/>
      <c r="O13" s="17"/>
      <c r="P13" s="7">
        <v>0</v>
      </c>
    </row>
    <row r="14" s="7" customFormat="1" spans="1:16">
      <c r="A14" s="7">
        <v>8</v>
      </c>
      <c r="B14" s="7">
        <v>1</v>
      </c>
      <c r="C14" s="7">
        <v>8</v>
      </c>
      <c r="D14" s="5" t="s">
        <v>58</v>
      </c>
      <c r="E14" s="20">
        <v>60</v>
      </c>
      <c r="F14" s="20" t="s">
        <v>59</v>
      </c>
      <c r="G14" s="21">
        <v>0</v>
      </c>
      <c r="H14" s="7">
        <v>0</v>
      </c>
      <c r="I14" s="7">
        <v>0</v>
      </c>
      <c r="J14" s="7">
        <v>1456</v>
      </c>
      <c r="M14" s="44"/>
      <c r="N14" s="45"/>
      <c r="O14" s="17"/>
      <c r="P14" s="7">
        <v>0</v>
      </c>
    </row>
    <row r="15" s="7" customFormat="1" spans="1:16">
      <c r="A15" s="7">
        <v>9</v>
      </c>
      <c r="B15" s="7">
        <v>1</v>
      </c>
      <c r="C15" s="7">
        <v>9</v>
      </c>
      <c r="D15" s="5" t="s">
        <v>60</v>
      </c>
      <c r="E15" s="20">
        <v>65</v>
      </c>
      <c r="F15" s="20" t="s">
        <v>61</v>
      </c>
      <c r="G15" s="21">
        <v>0</v>
      </c>
      <c r="H15" s="7">
        <v>0</v>
      </c>
      <c r="I15" s="7">
        <v>0</v>
      </c>
      <c r="J15" s="7">
        <v>1680</v>
      </c>
      <c r="M15" s="44"/>
      <c r="N15" s="45"/>
      <c r="O15" s="17"/>
      <c r="P15" s="7">
        <v>0</v>
      </c>
    </row>
    <row r="16" s="7" customFormat="1" spans="1:16">
      <c r="A16" s="7">
        <v>10</v>
      </c>
      <c r="B16" s="7">
        <v>1</v>
      </c>
      <c r="C16" s="7">
        <v>10</v>
      </c>
      <c r="D16" s="5" t="s">
        <v>62</v>
      </c>
      <c r="E16" s="20">
        <v>70</v>
      </c>
      <c r="F16" s="20" t="s">
        <v>63</v>
      </c>
      <c r="G16" s="21">
        <v>0</v>
      </c>
      <c r="H16" s="7">
        <v>0</v>
      </c>
      <c r="I16" s="7">
        <v>0</v>
      </c>
      <c r="J16" s="7">
        <v>1920</v>
      </c>
      <c r="M16" s="44"/>
      <c r="N16" s="45"/>
      <c r="O16" s="46"/>
      <c r="P16" s="7">
        <v>0</v>
      </c>
    </row>
    <row r="17" s="7" customFormat="1" spans="1:16">
      <c r="A17" s="7">
        <v>11</v>
      </c>
      <c r="B17" s="7">
        <v>1</v>
      </c>
      <c r="C17" s="7">
        <v>11</v>
      </c>
      <c r="D17" s="5" t="s">
        <v>64</v>
      </c>
      <c r="E17" s="20">
        <v>75</v>
      </c>
      <c r="F17" s="20" t="s">
        <v>65</v>
      </c>
      <c r="G17" s="21">
        <v>0</v>
      </c>
      <c r="H17" s="7">
        <v>1</v>
      </c>
      <c r="I17" s="7">
        <v>10</v>
      </c>
      <c r="J17" s="7">
        <v>2176</v>
      </c>
      <c r="M17" s="44"/>
      <c r="N17" s="45"/>
      <c r="O17" s="17"/>
      <c r="P17" s="7">
        <v>0</v>
      </c>
    </row>
    <row r="18" s="7" customFormat="1" spans="1:16">
      <c r="A18" s="7">
        <v>12</v>
      </c>
      <c r="B18" s="7">
        <v>1</v>
      </c>
      <c r="C18" s="7">
        <v>12</v>
      </c>
      <c r="D18" s="5" t="s">
        <v>66</v>
      </c>
      <c r="E18" s="20">
        <v>80</v>
      </c>
      <c r="F18" s="20" t="s">
        <v>67</v>
      </c>
      <c r="G18" s="21">
        <v>0</v>
      </c>
      <c r="H18" s="7">
        <v>1</v>
      </c>
      <c r="I18" s="7">
        <v>10</v>
      </c>
      <c r="J18" s="7">
        <v>2432</v>
      </c>
      <c r="M18" s="44"/>
      <c r="N18" s="45"/>
      <c r="O18" s="17"/>
      <c r="P18" s="7">
        <v>0</v>
      </c>
    </row>
    <row r="19" s="7" customFormat="1" spans="1:16">
      <c r="A19" s="7">
        <v>13</v>
      </c>
      <c r="B19" s="7">
        <v>1</v>
      </c>
      <c r="C19" s="7">
        <v>13</v>
      </c>
      <c r="D19" s="5" t="s">
        <v>68</v>
      </c>
      <c r="E19" s="20">
        <v>83</v>
      </c>
      <c r="F19" s="20" t="s">
        <v>69</v>
      </c>
      <c r="G19" s="21">
        <v>0</v>
      </c>
      <c r="H19" s="7">
        <v>1</v>
      </c>
      <c r="I19" s="7">
        <v>10</v>
      </c>
      <c r="J19" s="7">
        <v>2704</v>
      </c>
      <c r="M19" s="44"/>
      <c r="N19" s="45"/>
      <c r="O19" s="17"/>
      <c r="P19" s="7">
        <v>0</v>
      </c>
    </row>
    <row r="20" s="7" customFormat="1" spans="1:16">
      <c r="A20" s="7">
        <v>14</v>
      </c>
      <c r="B20" s="7">
        <v>1</v>
      </c>
      <c r="C20" s="7">
        <v>14</v>
      </c>
      <c r="D20" s="5" t="s">
        <v>70</v>
      </c>
      <c r="E20" s="20">
        <v>85</v>
      </c>
      <c r="F20" s="20" t="s">
        <v>71</v>
      </c>
      <c r="G20" s="21">
        <v>0</v>
      </c>
      <c r="H20" s="7">
        <v>1</v>
      </c>
      <c r="I20" s="7">
        <v>10</v>
      </c>
      <c r="J20" s="7">
        <v>2992</v>
      </c>
      <c r="M20" s="44"/>
      <c r="N20" s="45"/>
      <c r="O20" s="17"/>
      <c r="P20" s="7">
        <v>0</v>
      </c>
    </row>
    <row r="21" s="7" customFormat="1" spans="1:16">
      <c r="A21" s="7">
        <v>15</v>
      </c>
      <c r="B21" s="7">
        <v>1</v>
      </c>
      <c r="C21" s="7">
        <v>15</v>
      </c>
      <c r="D21" s="5" t="s">
        <v>72</v>
      </c>
      <c r="E21" s="20">
        <v>87</v>
      </c>
      <c r="F21" s="20" t="s">
        <v>73</v>
      </c>
      <c r="G21" s="21">
        <v>0</v>
      </c>
      <c r="H21" s="7">
        <v>1</v>
      </c>
      <c r="I21" s="7">
        <v>10</v>
      </c>
      <c r="J21" s="7">
        <v>3280</v>
      </c>
      <c r="M21" s="44"/>
      <c r="N21" s="45"/>
      <c r="O21" s="46"/>
      <c r="P21" s="7">
        <v>0</v>
      </c>
    </row>
    <row r="22" s="7" customFormat="1" spans="1:16">
      <c r="A22" s="7">
        <v>16</v>
      </c>
      <c r="B22" s="7">
        <v>1</v>
      </c>
      <c r="C22" s="7">
        <v>16</v>
      </c>
      <c r="D22" s="5" t="s">
        <v>74</v>
      </c>
      <c r="E22" s="20">
        <v>90</v>
      </c>
      <c r="F22" s="20" t="s">
        <v>75</v>
      </c>
      <c r="G22" s="21">
        <v>0</v>
      </c>
      <c r="H22" s="7">
        <v>1</v>
      </c>
      <c r="I22" s="7">
        <v>10</v>
      </c>
      <c r="J22" s="7">
        <v>3584</v>
      </c>
      <c r="M22" s="44"/>
      <c r="N22" s="45"/>
      <c r="O22" s="17"/>
      <c r="P22" s="7">
        <v>0</v>
      </c>
    </row>
    <row r="23" s="7" customFormat="1" spans="1:16">
      <c r="A23" s="7">
        <v>17</v>
      </c>
      <c r="B23" s="7">
        <v>1</v>
      </c>
      <c r="C23" s="7">
        <v>17</v>
      </c>
      <c r="D23" s="5" t="s">
        <v>76</v>
      </c>
      <c r="E23" s="20">
        <v>92</v>
      </c>
      <c r="F23" s="20" t="s">
        <v>77</v>
      </c>
      <c r="G23" s="21">
        <v>0</v>
      </c>
      <c r="H23" s="7">
        <v>0.8</v>
      </c>
      <c r="I23" s="7">
        <v>10</v>
      </c>
      <c r="J23" s="7">
        <v>3904</v>
      </c>
      <c r="M23" s="44"/>
      <c r="N23" s="45"/>
      <c r="O23" s="17"/>
      <c r="P23" s="7">
        <v>0</v>
      </c>
    </row>
    <row r="24" s="7" customFormat="1" spans="1:16">
      <c r="A24" s="7">
        <v>18</v>
      </c>
      <c r="B24" s="7">
        <v>1</v>
      </c>
      <c r="C24" s="7">
        <v>18</v>
      </c>
      <c r="D24" s="5" t="s">
        <v>78</v>
      </c>
      <c r="E24" s="20">
        <v>93</v>
      </c>
      <c r="F24" s="20" t="s">
        <v>79</v>
      </c>
      <c r="G24" s="21">
        <v>0</v>
      </c>
      <c r="H24" s="7">
        <v>0.7</v>
      </c>
      <c r="I24" s="7">
        <v>10</v>
      </c>
      <c r="J24" s="7">
        <v>4224</v>
      </c>
      <c r="M24" s="44"/>
      <c r="N24" s="45"/>
      <c r="O24" s="17"/>
      <c r="P24" s="7">
        <v>0</v>
      </c>
    </row>
    <row r="25" s="7" customFormat="1" spans="1:16">
      <c r="A25" s="7">
        <v>19</v>
      </c>
      <c r="B25" s="7">
        <v>1</v>
      </c>
      <c r="C25" s="7">
        <v>19</v>
      </c>
      <c r="D25" s="5" t="s">
        <v>80</v>
      </c>
      <c r="E25" s="20">
        <v>93</v>
      </c>
      <c r="F25" s="20" t="s">
        <v>81</v>
      </c>
      <c r="G25" s="21">
        <v>0</v>
      </c>
      <c r="H25" s="7">
        <v>0.7</v>
      </c>
      <c r="I25" s="7">
        <v>10</v>
      </c>
      <c r="J25" s="7">
        <v>4560</v>
      </c>
      <c r="M25" s="44"/>
      <c r="N25" s="45"/>
      <c r="O25" s="17"/>
      <c r="P25" s="7">
        <v>0</v>
      </c>
    </row>
    <row r="26" s="7" customFormat="1" spans="1:16">
      <c r="A26" s="7">
        <v>20</v>
      </c>
      <c r="B26" s="7">
        <v>1</v>
      </c>
      <c r="C26" s="7">
        <v>20</v>
      </c>
      <c r="D26" s="5" t="s">
        <v>82</v>
      </c>
      <c r="E26" s="20">
        <v>93</v>
      </c>
      <c r="F26" s="20" t="s">
        <v>83</v>
      </c>
      <c r="G26" s="21">
        <v>0</v>
      </c>
      <c r="H26" s="7">
        <v>0.7</v>
      </c>
      <c r="I26" s="7">
        <v>10</v>
      </c>
      <c r="J26" s="7">
        <v>4912</v>
      </c>
      <c r="M26" s="44"/>
      <c r="N26" s="45"/>
      <c r="O26" s="46"/>
      <c r="P26" s="7">
        <v>0</v>
      </c>
    </row>
    <row r="27" s="8" customFormat="1" spans="1:17">
      <c r="A27" s="22">
        <v>21</v>
      </c>
      <c r="B27" s="22">
        <v>1</v>
      </c>
      <c r="C27" s="22">
        <v>21</v>
      </c>
      <c r="D27" s="5" t="s">
        <v>84</v>
      </c>
      <c r="E27" s="20" t="s">
        <v>43</v>
      </c>
      <c r="F27" s="23" t="s">
        <v>85</v>
      </c>
      <c r="G27" s="24">
        <v>0</v>
      </c>
      <c r="H27" s="22">
        <v>0.7</v>
      </c>
      <c r="I27" s="22">
        <v>10</v>
      </c>
      <c r="J27" s="7">
        <v>5157</v>
      </c>
      <c r="M27" s="47"/>
      <c r="N27" s="48"/>
      <c r="O27" s="49"/>
      <c r="P27" s="22">
        <v>0</v>
      </c>
      <c r="Q27" s="22"/>
    </row>
    <row r="28" customFormat="1" spans="1:17">
      <c r="A28" s="7">
        <v>22</v>
      </c>
      <c r="B28" s="7">
        <v>1</v>
      </c>
      <c r="C28" s="7">
        <v>22</v>
      </c>
      <c r="D28" s="5" t="s">
        <v>86</v>
      </c>
      <c r="E28" s="20" t="s">
        <v>46</v>
      </c>
      <c r="F28" s="20" t="s">
        <v>87</v>
      </c>
      <c r="G28" s="21">
        <v>0</v>
      </c>
      <c r="H28" s="7">
        <v>0.7</v>
      </c>
      <c r="I28" s="7">
        <v>10</v>
      </c>
      <c r="J28" s="7">
        <v>5414</v>
      </c>
      <c r="M28" s="44"/>
      <c r="N28" s="16"/>
      <c r="O28" s="17"/>
      <c r="P28" s="7">
        <v>0</v>
      </c>
      <c r="Q28" s="7"/>
    </row>
    <row r="29" customFormat="1" spans="1:17">
      <c r="A29" s="7">
        <v>23</v>
      </c>
      <c r="B29" s="7">
        <v>1</v>
      </c>
      <c r="C29" s="7">
        <v>23</v>
      </c>
      <c r="D29" s="5" t="s">
        <v>88</v>
      </c>
      <c r="E29" s="20">
        <v>30</v>
      </c>
      <c r="F29" s="20" t="s">
        <v>89</v>
      </c>
      <c r="G29" s="21">
        <v>0</v>
      </c>
      <c r="H29" s="7">
        <v>0.7</v>
      </c>
      <c r="I29" s="7">
        <v>10</v>
      </c>
      <c r="J29" s="7">
        <v>5684</v>
      </c>
      <c r="M29" s="44"/>
      <c r="N29" s="16"/>
      <c r="O29" s="17"/>
      <c r="P29" s="7">
        <v>0</v>
      </c>
      <c r="Q29" s="7"/>
    </row>
    <row r="30" customFormat="1" spans="1:17">
      <c r="A30" s="7">
        <v>24</v>
      </c>
      <c r="B30" s="7">
        <v>1</v>
      </c>
      <c r="C30" s="7">
        <v>24</v>
      </c>
      <c r="D30" s="5" t="s">
        <v>90</v>
      </c>
      <c r="E30" s="20">
        <v>40</v>
      </c>
      <c r="F30" s="20" t="s">
        <v>91</v>
      </c>
      <c r="G30" s="21">
        <v>0</v>
      </c>
      <c r="H30" s="7">
        <v>0.7</v>
      </c>
      <c r="I30" s="7">
        <v>10</v>
      </c>
      <c r="J30" s="7">
        <v>5968</v>
      </c>
      <c r="M30" s="44"/>
      <c r="N30" s="16"/>
      <c r="O30" s="17"/>
      <c r="P30" s="7">
        <v>0</v>
      </c>
      <c r="Q30" s="7"/>
    </row>
    <row r="31" s="9" customFormat="1" spans="1:17">
      <c r="A31" s="9">
        <v>25</v>
      </c>
      <c r="B31" s="9">
        <v>1</v>
      </c>
      <c r="C31" s="9">
        <v>25</v>
      </c>
      <c r="D31" s="5" t="s">
        <v>92</v>
      </c>
      <c r="E31" s="20">
        <v>45</v>
      </c>
      <c r="F31" s="25" t="s">
        <v>93</v>
      </c>
      <c r="G31" s="26">
        <v>0</v>
      </c>
      <c r="H31" s="9">
        <v>0.7</v>
      </c>
      <c r="I31" s="9">
        <v>10</v>
      </c>
      <c r="J31" s="7">
        <v>6266</v>
      </c>
      <c r="M31" s="50"/>
      <c r="N31" s="51"/>
      <c r="O31" s="52"/>
      <c r="P31" s="9">
        <v>1</v>
      </c>
      <c r="Q31" s="9">
        <v>1</v>
      </c>
    </row>
    <row r="32" customFormat="1" spans="1:17">
      <c r="A32" s="7">
        <v>26</v>
      </c>
      <c r="B32" s="7">
        <v>1</v>
      </c>
      <c r="C32" s="7">
        <v>26</v>
      </c>
      <c r="D32" s="5" t="s">
        <v>94</v>
      </c>
      <c r="E32" s="20">
        <v>50</v>
      </c>
      <c r="F32" s="20" t="s">
        <v>95</v>
      </c>
      <c r="G32" s="21">
        <v>0</v>
      </c>
      <c r="H32" s="7">
        <v>0.7</v>
      </c>
      <c r="I32" s="7">
        <v>10</v>
      </c>
      <c r="J32" s="7">
        <v>6579</v>
      </c>
      <c r="M32" s="44"/>
      <c r="N32" s="16"/>
      <c r="O32" s="17"/>
      <c r="P32" s="9">
        <v>1</v>
      </c>
      <c r="Q32" s="7"/>
    </row>
    <row r="33" customFormat="1" spans="1:17">
      <c r="A33" s="7">
        <v>27</v>
      </c>
      <c r="B33" s="7">
        <v>1</v>
      </c>
      <c r="C33" s="7">
        <v>27</v>
      </c>
      <c r="D33" s="5" t="s">
        <v>96</v>
      </c>
      <c r="E33" s="20">
        <v>55</v>
      </c>
      <c r="F33" s="20" t="s">
        <v>97</v>
      </c>
      <c r="G33" s="21">
        <v>0</v>
      </c>
      <c r="H33" s="7">
        <v>0.7</v>
      </c>
      <c r="I33" s="7">
        <v>10</v>
      </c>
      <c r="J33" s="7">
        <v>6907</v>
      </c>
      <c r="M33" s="44"/>
      <c r="N33" s="16"/>
      <c r="O33" s="17"/>
      <c r="P33" s="9">
        <v>1</v>
      </c>
      <c r="Q33" s="7"/>
    </row>
    <row r="34" customFormat="1" spans="1:17">
      <c r="A34" s="7">
        <v>28</v>
      </c>
      <c r="B34" s="7">
        <v>1</v>
      </c>
      <c r="C34" s="7">
        <v>28</v>
      </c>
      <c r="D34" s="5" t="s">
        <v>98</v>
      </c>
      <c r="E34" s="20">
        <v>60</v>
      </c>
      <c r="F34" s="20" t="s">
        <v>99</v>
      </c>
      <c r="G34" s="21">
        <v>0</v>
      </c>
      <c r="H34" s="7">
        <v>0.7</v>
      </c>
      <c r="I34" s="7">
        <v>10</v>
      </c>
      <c r="J34" s="7">
        <v>7252</v>
      </c>
      <c r="M34" s="44"/>
      <c r="N34" s="16"/>
      <c r="O34" s="17"/>
      <c r="P34" s="9">
        <v>1</v>
      </c>
      <c r="Q34" s="7"/>
    </row>
    <row r="35" customFormat="1" spans="1:17">
      <c r="A35" s="7">
        <v>29</v>
      </c>
      <c r="B35" s="7">
        <v>1</v>
      </c>
      <c r="C35" s="7">
        <v>29</v>
      </c>
      <c r="D35" s="5" t="s">
        <v>100</v>
      </c>
      <c r="E35" s="20">
        <v>65</v>
      </c>
      <c r="F35" s="20" t="s">
        <v>101</v>
      </c>
      <c r="G35" s="21">
        <v>0</v>
      </c>
      <c r="H35" s="7">
        <v>0.7</v>
      </c>
      <c r="I35" s="7">
        <v>10</v>
      </c>
      <c r="J35" s="7">
        <v>7614</v>
      </c>
      <c r="M35" s="44"/>
      <c r="N35" s="16"/>
      <c r="O35" s="17"/>
      <c r="P35" s="9">
        <v>1</v>
      </c>
      <c r="Q35" s="7"/>
    </row>
    <row r="36" s="10" customFormat="1" spans="1:17">
      <c r="A36" s="10">
        <v>30</v>
      </c>
      <c r="B36" s="10">
        <v>1</v>
      </c>
      <c r="C36" s="10">
        <v>30</v>
      </c>
      <c r="D36" s="5" t="s">
        <v>102</v>
      </c>
      <c r="E36" s="20">
        <v>70</v>
      </c>
      <c r="F36" s="27" t="s">
        <v>103</v>
      </c>
      <c r="G36" s="28">
        <v>0</v>
      </c>
      <c r="H36" s="10">
        <v>0.7</v>
      </c>
      <c r="I36" s="10">
        <v>10</v>
      </c>
      <c r="J36" s="7">
        <v>7994</v>
      </c>
      <c r="M36" s="53"/>
      <c r="N36" s="54"/>
      <c r="O36" s="55"/>
      <c r="P36" s="10">
        <v>2</v>
      </c>
      <c r="Q36" s="10">
        <v>1</v>
      </c>
    </row>
    <row r="37" spans="1:17">
      <c r="A37" s="7">
        <v>31</v>
      </c>
      <c r="B37">
        <v>2</v>
      </c>
      <c r="C37">
        <v>1</v>
      </c>
      <c r="D37" s="5" t="s">
        <v>42</v>
      </c>
      <c r="E37" s="20" t="s">
        <v>43</v>
      </c>
      <c r="F37" s="14" t="s">
        <v>104</v>
      </c>
      <c r="G37" s="21">
        <v>0</v>
      </c>
      <c r="H37" s="7">
        <v>0</v>
      </c>
      <c r="I37" s="7">
        <v>0</v>
      </c>
      <c r="J37">
        <v>186</v>
      </c>
      <c r="M37" s="44"/>
      <c r="P37" s="7">
        <v>0</v>
      </c>
      <c r="Q37" s="7"/>
    </row>
    <row r="38" spans="1:17">
      <c r="A38" s="7">
        <v>32</v>
      </c>
      <c r="B38">
        <v>2</v>
      </c>
      <c r="C38">
        <v>2</v>
      </c>
      <c r="D38" s="5" t="s">
        <v>45</v>
      </c>
      <c r="E38" s="20">
        <v>20</v>
      </c>
      <c r="F38" s="14" t="s">
        <v>105</v>
      </c>
      <c r="G38" s="21">
        <v>0</v>
      </c>
      <c r="H38" s="7">
        <v>0</v>
      </c>
      <c r="I38" s="7">
        <v>0</v>
      </c>
      <c r="J38">
        <v>376</v>
      </c>
      <c r="M38" s="44"/>
      <c r="P38" s="7">
        <v>0</v>
      </c>
      <c r="Q38" s="7"/>
    </row>
    <row r="39" spans="1:17">
      <c r="A39" s="7">
        <v>33</v>
      </c>
      <c r="B39">
        <v>2</v>
      </c>
      <c r="C39">
        <v>3</v>
      </c>
      <c r="D39" s="5" t="s">
        <v>48</v>
      </c>
      <c r="E39" s="20">
        <v>30</v>
      </c>
      <c r="F39" s="14" t="s">
        <v>106</v>
      </c>
      <c r="G39" s="21">
        <v>0</v>
      </c>
      <c r="H39" s="7">
        <v>0</v>
      </c>
      <c r="I39" s="7">
        <v>0</v>
      </c>
      <c r="J39">
        <v>572</v>
      </c>
      <c r="M39" s="44"/>
      <c r="P39" s="7">
        <v>0</v>
      </c>
      <c r="Q39" s="7"/>
    </row>
    <row r="40" spans="1:17">
      <c r="A40" s="7">
        <v>34</v>
      </c>
      <c r="B40">
        <v>2</v>
      </c>
      <c r="C40">
        <v>4</v>
      </c>
      <c r="D40" s="5" t="s">
        <v>50</v>
      </c>
      <c r="E40" s="20">
        <v>40</v>
      </c>
      <c r="F40" s="14" t="s">
        <v>107</v>
      </c>
      <c r="G40" s="21">
        <v>0</v>
      </c>
      <c r="H40" s="7">
        <v>0</v>
      </c>
      <c r="I40" s="7">
        <v>0</v>
      </c>
      <c r="J40">
        <v>812</v>
      </c>
      <c r="M40" s="44"/>
      <c r="P40" s="7">
        <v>0</v>
      </c>
      <c r="Q40" s="7"/>
    </row>
    <row r="41" spans="1:17">
      <c r="A41" s="7">
        <v>35</v>
      </c>
      <c r="B41">
        <v>2</v>
      </c>
      <c r="C41">
        <v>5</v>
      </c>
      <c r="D41" s="5" t="s">
        <v>52</v>
      </c>
      <c r="E41" s="20">
        <v>45</v>
      </c>
      <c r="F41" s="14" t="s">
        <v>108</v>
      </c>
      <c r="G41" s="21">
        <v>0</v>
      </c>
      <c r="H41" s="7">
        <v>0</v>
      </c>
      <c r="I41" s="7">
        <v>0</v>
      </c>
      <c r="J41">
        <v>1058</v>
      </c>
      <c r="M41" s="44"/>
      <c r="P41" s="7">
        <v>0</v>
      </c>
      <c r="Q41" s="7"/>
    </row>
    <row r="42" spans="1:17">
      <c r="A42" s="7">
        <v>36</v>
      </c>
      <c r="B42">
        <v>2</v>
      </c>
      <c r="C42">
        <v>6</v>
      </c>
      <c r="D42" s="5" t="s">
        <v>54</v>
      </c>
      <c r="E42" s="20">
        <v>50</v>
      </c>
      <c r="F42" s="14" t="s">
        <v>109</v>
      </c>
      <c r="G42" s="21">
        <v>0</v>
      </c>
      <c r="H42" s="7">
        <v>0</v>
      </c>
      <c r="I42" s="7">
        <v>0</v>
      </c>
      <c r="J42">
        <v>1308</v>
      </c>
      <c r="M42" s="44"/>
      <c r="P42" s="7">
        <v>0</v>
      </c>
      <c r="Q42" s="7"/>
    </row>
    <row r="43" spans="1:17">
      <c r="A43" s="7">
        <v>37</v>
      </c>
      <c r="B43">
        <v>2</v>
      </c>
      <c r="C43">
        <v>7</v>
      </c>
      <c r="D43" s="5" t="s">
        <v>56</v>
      </c>
      <c r="E43" s="20">
        <v>55</v>
      </c>
      <c r="F43" s="14" t="s">
        <v>110</v>
      </c>
      <c r="G43" s="21">
        <v>0</v>
      </c>
      <c r="H43" s="7">
        <v>0</v>
      </c>
      <c r="I43" s="7">
        <v>0</v>
      </c>
      <c r="J43">
        <v>1564</v>
      </c>
      <c r="M43" s="44"/>
      <c r="P43" s="7">
        <v>0</v>
      </c>
      <c r="Q43" s="7"/>
    </row>
    <row r="44" spans="1:17">
      <c r="A44" s="7">
        <v>38</v>
      </c>
      <c r="B44">
        <v>2</v>
      </c>
      <c r="C44">
        <v>8</v>
      </c>
      <c r="D44" s="5" t="s">
        <v>58</v>
      </c>
      <c r="E44" s="20">
        <v>60</v>
      </c>
      <c r="F44" s="14" t="s">
        <v>111</v>
      </c>
      <c r="G44" s="21">
        <v>0</v>
      </c>
      <c r="H44" s="7">
        <v>0</v>
      </c>
      <c r="I44" s="7">
        <v>0</v>
      </c>
      <c r="J44">
        <v>1824</v>
      </c>
      <c r="M44" s="44"/>
      <c r="P44" s="7">
        <v>0</v>
      </c>
      <c r="Q44" s="7"/>
    </row>
    <row r="45" spans="1:17">
      <c r="A45" s="7">
        <v>39</v>
      </c>
      <c r="B45">
        <v>2</v>
      </c>
      <c r="C45">
        <v>9</v>
      </c>
      <c r="D45" s="5" t="s">
        <v>60</v>
      </c>
      <c r="E45" s="20">
        <v>65</v>
      </c>
      <c r="F45" s="14" t="s">
        <v>112</v>
      </c>
      <c r="G45" s="21">
        <v>0</v>
      </c>
      <c r="H45" s="7">
        <v>0</v>
      </c>
      <c r="I45" s="7">
        <v>0</v>
      </c>
      <c r="J45">
        <v>2090</v>
      </c>
      <c r="M45" s="44"/>
      <c r="P45" s="7">
        <v>0</v>
      </c>
      <c r="Q45" s="7"/>
    </row>
    <row r="46" spans="1:17">
      <c r="A46" s="7">
        <v>40</v>
      </c>
      <c r="B46">
        <v>2</v>
      </c>
      <c r="C46">
        <v>10</v>
      </c>
      <c r="D46" s="5" t="s">
        <v>62</v>
      </c>
      <c r="E46" s="20">
        <v>70</v>
      </c>
      <c r="F46" s="14" t="s">
        <v>113</v>
      </c>
      <c r="G46" s="21">
        <v>0</v>
      </c>
      <c r="H46" s="7">
        <v>0</v>
      </c>
      <c r="I46" s="7">
        <v>0</v>
      </c>
      <c r="J46">
        <v>2400</v>
      </c>
      <c r="M46" s="44"/>
      <c r="P46" s="7">
        <v>0</v>
      </c>
      <c r="Q46" s="7"/>
    </row>
    <row r="47" spans="1:17">
      <c r="A47" s="7">
        <v>41</v>
      </c>
      <c r="B47">
        <v>2</v>
      </c>
      <c r="C47">
        <v>11</v>
      </c>
      <c r="D47" s="5" t="s">
        <v>64</v>
      </c>
      <c r="E47" s="20">
        <v>75</v>
      </c>
      <c r="F47" s="14" t="s">
        <v>114</v>
      </c>
      <c r="G47" s="21">
        <v>0</v>
      </c>
      <c r="H47" s="7">
        <v>1</v>
      </c>
      <c r="I47" s="7">
        <v>10</v>
      </c>
      <c r="J47">
        <v>2716</v>
      </c>
      <c r="M47" s="44"/>
      <c r="P47" s="7">
        <v>0</v>
      </c>
      <c r="Q47" s="7"/>
    </row>
    <row r="48" spans="1:17">
      <c r="A48" s="7">
        <v>42</v>
      </c>
      <c r="B48">
        <v>2</v>
      </c>
      <c r="C48">
        <v>12</v>
      </c>
      <c r="D48" s="5" t="s">
        <v>66</v>
      </c>
      <c r="E48" s="20">
        <v>80</v>
      </c>
      <c r="F48" s="14" t="s">
        <v>115</v>
      </c>
      <c r="G48" s="21">
        <v>0</v>
      </c>
      <c r="H48" s="7">
        <v>1</v>
      </c>
      <c r="I48" s="7">
        <v>10</v>
      </c>
      <c r="J48">
        <v>3036</v>
      </c>
      <c r="M48" s="44"/>
      <c r="P48" s="7">
        <v>0</v>
      </c>
      <c r="Q48" s="7"/>
    </row>
    <row r="49" spans="1:17">
      <c r="A49" s="7">
        <v>43</v>
      </c>
      <c r="B49">
        <v>2</v>
      </c>
      <c r="C49">
        <v>13</v>
      </c>
      <c r="D49" s="5" t="s">
        <v>68</v>
      </c>
      <c r="E49" s="20">
        <v>83</v>
      </c>
      <c r="F49" s="14" t="s">
        <v>116</v>
      </c>
      <c r="G49" s="21">
        <v>0</v>
      </c>
      <c r="H49" s="7">
        <v>1</v>
      </c>
      <c r="I49" s="7">
        <v>10</v>
      </c>
      <c r="J49">
        <v>3362</v>
      </c>
      <c r="M49" s="44"/>
      <c r="P49" s="7">
        <v>0</v>
      </c>
      <c r="Q49" s="7"/>
    </row>
    <row r="50" spans="1:17">
      <c r="A50" s="7">
        <v>44</v>
      </c>
      <c r="B50">
        <v>2</v>
      </c>
      <c r="C50">
        <v>14</v>
      </c>
      <c r="D50" s="5" t="s">
        <v>70</v>
      </c>
      <c r="E50" s="20">
        <v>85</v>
      </c>
      <c r="F50" s="14" t="s">
        <v>117</v>
      </c>
      <c r="G50" s="21">
        <v>0</v>
      </c>
      <c r="H50" s="7">
        <v>1</v>
      </c>
      <c r="I50" s="7">
        <v>10</v>
      </c>
      <c r="J50">
        <v>3692</v>
      </c>
      <c r="M50" s="44"/>
      <c r="P50" s="7">
        <v>0</v>
      </c>
      <c r="Q50" s="7"/>
    </row>
    <row r="51" spans="1:17">
      <c r="A51" s="7">
        <v>45</v>
      </c>
      <c r="B51">
        <v>2</v>
      </c>
      <c r="C51">
        <v>15</v>
      </c>
      <c r="D51" s="5" t="s">
        <v>72</v>
      </c>
      <c r="E51" s="20">
        <v>87</v>
      </c>
      <c r="F51" s="14" t="s">
        <v>118</v>
      </c>
      <c r="G51" s="21">
        <v>0</v>
      </c>
      <c r="H51" s="7">
        <v>1</v>
      </c>
      <c r="I51" s="7">
        <v>10</v>
      </c>
      <c r="J51">
        <v>4068</v>
      </c>
      <c r="M51" s="44"/>
      <c r="P51" s="7">
        <v>0</v>
      </c>
      <c r="Q51" s="7"/>
    </row>
    <row r="52" spans="1:17">
      <c r="A52" s="7">
        <v>46</v>
      </c>
      <c r="B52">
        <v>2</v>
      </c>
      <c r="C52">
        <v>16</v>
      </c>
      <c r="D52" s="5" t="s">
        <v>74</v>
      </c>
      <c r="E52" s="20">
        <v>90</v>
      </c>
      <c r="F52" s="14" t="s">
        <v>119</v>
      </c>
      <c r="G52" s="21">
        <v>0</v>
      </c>
      <c r="H52" s="7">
        <v>1</v>
      </c>
      <c r="I52" s="7">
        <v>10</v>
      </c>
      <c r="J52">
        <v>4448</v>
      </c>
      <c r="M52" s="44"/>
      <c r="P52" s="7">
        <v>0</v>
      </c>
      <c r="Q52" s="7"/>
    </row>
    <row r="53" spans="1:17">
      <c r="A53" s="7">
        <v>47</v>
      </c>
      <c r="B53">
        <v>2</v>
      </c>
      <c r="C53">
        <v>17</v>
      </c>
      <c r="D53" s="5" t="s">
        <v>76</v>
      </c>
      <c r="E53" s="20">
        <v>92</v>
      </c>
      <c r="F53" s="14" t="s">
        <v>120</v>
      </c>
      <c r="G53" s="21">
        <v>0</v>
      </c>
      <c r="H53" s="7">
        <v>0.8</v>
      </c>
      <c r="I53" s="7">
        <v>10</v>
      </c>
      <c r="J53">
        <v>4834</v>
      </c>
      <c r="M53" s="44"/>
      <c r="P53" s="7">
        <v>0</v>
      </c>
      <c r="Q53" s="7"/>
    </row>
    <row r="54" spans="1:17">
      <c r="A54" s="7">
        <v>48</v>
      </c>
      <c r="B54">
        <v>2</v>
      </c>
      <c r="C54">
        <v>18</v>
      </c>
      <c r="D54" s="5" t="s">
        <v>78</v>
      </c>
      <c r="E54" s="20">
        <v>93</v>
      </c>
      <c r="F54" s="14" t="s">
        <v>121</v>
      </c>
      <c r="G54" s="21">
        <v>0</v>
      </c>
      <c r="H54" s="7">
        <v>0.7</v>
      </c>
      <c r="I54" s="7">
        <v>10</v>
      </c>
      <c r="J54">
        <v>5224</v>
      </c>
      <c r="M54" s="44"/>
      <c r="P54" s="7">
        <v>0</v>
      </c>
      <c r="Q54" s="7"/>
    </row>
    <row r="55" spans="1:17">
      <c r="A55" s="7">
        <v>49</v>
      </c>
      <c r="B55">
        <v>2</v>
      </c>
      <c r="C55">
        <v>19</v>
      </c>
      <c r="D55" s="5" t="s">
        <v>80</v>
      </c>
      <c r="E55" s="20">
        <v>93</v>
      </c>
      <c r="F55" s="14" t="s">
        <v>122</v>
      </c>
      <c r="G55" s="21">
        <v>0</v>
      </c>
      <c r="H55" s="7">
        <v>0.7</v>
      </c>
      <c r="I55" s="7">
        <v>10</v>
      </c>
      <c r="J55">
        <v>5620</v>
      </c>
      <c r="M55" s="44"/>
      <c r="P55" s="7">
        <v>0</v>
      </c>
      <c r="Q55" s="7"/>
    </row>
    <row r="56" s="11" customFormat="1" spans="1:17">
      <c r="A56" s="12">
        <v>50</v>
      </c>
      <c r="B56" s="11">
        <v>2</v>
      </c>
      <c r="C56" s="11">
        <v>20</v>
      </c>
      <c r="D56" s="29" t="s">
        <v>82</v>
      </c>
      <c r="E56" s="30">
        <v>93</v>
      </c>
      <c r="F56" s="31" t="s">
        <v>123</v>
      </c>
      <c r="G56" s="32">
        <v>0</v>
      </c>
      <c r="H56" s="12">
        <v>0.7</v>
      </c>
      <c r="I56" s="12">
        <v>10</v>
      </c>
      <c r="J56" s="11">
        <v>6060</v>
      </c>
      <c r="M56" s="56"/>
      <c r="N56" s="57"/>
      <c r="O56" s="58"/>
      <c r="P56" s="12">
        <v>0</v>
      </c>
      <c r="Q56" s="12"/>
    </row>
    <row r="57" s="7" customFormat="1" spans="1:16">
      <c r="A57" s="7">
        <v>51</v>
      </c>
      <c r="B57">
        <v>2</v>
      </c>
      <c r="C57">
        <v>21</v>
      </c>
      <c r="D57" s="5" t="s">
        <v>84</v>
      </c>
      <c r="E57" s="20" t="s">
        <v>43</v>
      </c>
      <c r="F57" s="16" t="s">
        <v>124</v>
      </c>
      <c r="G57" s="21">
        <v>0</v>
      </c>
      <c r="H57" s="7">
        <v>0.7</v>
      </c>
      <c r="I57" s="22">
        <v>10</v>
      </c>
      <c r="J57" s="7">
        <v>6363</v>
      </c>
      <c r="M57" s="44"/>
      <c r="N57" s="16"/>
      <c r="O57" s="17"/>
      <c r="P57" s="7">
        <v>0</v>
      </c>
    </row>
    <row r="58" s="7" customFormat="1" spans="1:16">
      <c r="A58" s="7">
        <v>52</v>
      </c>
      <c r="B58">
        <v>2</v>
      </c>
      <c r="C58">
        <v>22</v>
      </c>
      <c r="D58" s="5" t="s">
        <v>86</v>
      </c>
      <c r="E58" s="20" t="s">
        <v>46</v>
      </c>
      <c r="F58" s="33" t="s">
        <v>125</v>
      </c>
      <c r="G58" s="21">
        <v>0</v>
      </c>
      <c r="H58" s="7">
        <v>0.7</v>
      </c>
      <c r="I58" s="7">
        <v>10</v>
      </c>
      <c r="J58" s="7">
        <v>6681</v>
      </c>
      <c r="M58" s="44"/>
      <c r="N58" s="16"/>
      <c r="O58" s="17"/>
      <c r="P58" s="7">
        <v>0</v>
      </c>
    </row>
    <row r="59" s="7" customFormat="1" spans="1:16">
      <c r="A59" s="7">
        <v>53</v>
      </c>
      <c r="B59">
        <v>2</v>
      </c>
      <c r="C59">
        <v>23</v>
      </c>
      <c r="D59" s="5" t="s">
        <v>88</v>
      </c>
      <c r="E59" s="20">
        <v>30</v>
      </c>
      <c r="F59" s="33" t="s">
        <v>126</v>
      </c>
      <c r="G59" s="21">
        <v>0</v>
      </c>
      <c r="H59" s="7">
        <v>0.7</v>
      </c>
      <c r="I59" s="7">
        <v>10</v>
      </c>
      <c r="J59" s="7">
        <v>7015</v>
      </c>
      <c r="M59" s="44"/>
      <c r="N59" s="16"/>
      <c r="O59" s="17"/>
      <c r="P59" s="7">
        <v>0</v>
      </c>
    </row>
    <row r="60" s="7" customFormat="1" spans="1:16">
      <c r="A60" s="7">
        <v>54</v>
      </c>
      <c r="B60">
        <v>2</v>
      </c>
      <c r="C60">
        <v>24</v>
      </c>
      <c r="D60" s="5" t="s">
        <v>90</v>
      </c>
      <c r="E60" s="20">
        <v>40</v>
      </c>
      <c r="F60" s="33" t="s">
        <v>127</v>
      </c>
      <c r="G60" s="21">
        <v>0</v>
      </c>
      <c r="H60" s="7">
        <v>0.7</v>
      </c>
      <c r="I60" s="7">
        <v>10</v>
      </c>
      <c r="J60" s="7">
        <v>7365</v>
      </c>
      <c r="M60" s="44"/>
      <c r="N60" s="16"/>
      <c r="O60" s="17"/>
      <c r="P60" s="7">
        <v>0</v>
      </c>
    </row>
    <row r="61" s="7" customFormat="1" spans="1:17">
      <c r="A61" s="7">
        <v>55</v>
      </c>
      <c r="B61">
        <v>2</v>
      </c>
      <c r="C61">
        <v>25</v>
      </c>
      <c r="D61" s="5" t="s">
        <v>92</v>
      </c>
      <c r="E61" s="20">
        <v>45</v>
      </c>
      <c r="F61" s="33" t="s">
        <v>128</v>
      </c>
      <c r="G61" s="26">
        <v>0</v>
      </c>
      <c r="H61" s="9">
        <v>0.7</v>
      </c>
      <c r="I61" s="9">
        <v>10</v>
      </c>
      <c r="J61" s="7">
        <v>7733</v>
      </c>
      <c r="M61" s="44"/>
      <c r="N61" s="16"/>
      <c r="O61" s="17"/>
      <c r="P61" s="9">
        <v>1</v>
      </c>
      <c r="Q61" s="9">
        <v>1</v>
      </c>
    </row>
    <row r="62" s="7" customFormat="1" spans="1:16">
      <c r="A62" s="7">
        <v>56</v>
      </c>
      <c r="B62">
        <v>2</v>
      </c>
      <c r="C62">
        <v>26</v>
      </c>
      <c r="D62" s="5" t="s">
        <v>94</v>
      </c>
      <c r="E62" s="20">
        <v>50</v>
      </c>
      <c r="F62" s="33" t="s">
        <v>129</v>
      </c>
      <c r="G62" s="21">
        <v>0</v>
      </c>
      <c r="H62" s="7">
        <v>0.7</v>
      </c>
      <c r="I62" s="7">
        <v>10</v>
      </c>
      <c r="J62" s="7">
        <v>8119</v>
      </c>
      <c r="M62" s="44"/>
      <c r="N62" s="16"/>
      <c r="O62" s="17"/>
      <c r="P62" s="9">
        <v>1</v>
      </c>
    </row>
    <row r="63" s="7" customFormat="1" spans="1:16">
      <c r="A63" s="7">
        <v>57</v>
      </c>
      <c r="B63">
        <v>2</v>
      </c>
      <c r="C63">
        <v>27</v>
      </c>
      <c r="D63" s="5" t="s">
        <v>96</v>
      </c>
      <c r="E63" s="20">
        <v>55</v>
      </c>
      <c r="F63" s="33" t="s">
        <v>130</v>
      </c>
      <c r="G63" s="21">
        <v>0</v>
      </c>
      <c r="H63" s="7">
        <v>0.7</v>
      </c>
      <c r="I63" s="7">
        <v>10</v>
      </c>
      <c r="J63" s="7">
        <v>8524</v>
      </c>
      <c r="M63" s="44"/>
      <c r="N63" s="16"/>
      <c r="O63" s="17"/>
      <c r="P63" s="9">
        <v>1</v>
      </c>
    </row>
    <row r="64" s="7" customFormat="1" spans="1:16">
      <c r="A64" s="7">
        <v>58</v>
      </c>
      <c r="B64">
        <v>2</v>
      </c>
      <c r="C64">
        <v>28</v>
      </c>
      <c r="D64" s="5" t="s">
        <v>98</v>
      </c>
      <c r="E64" s="20">
        <v>60</v>
      </c>
      <c r="F64" s="33" t="s">
        <v>131</v>
      </c>
      <c r="G64" s="21">
        <v>0</v>
      </c>
      <c r="H64" s="7">
        <v>0.7</v>
      </c>
      <c r="I64" s="7">
        <v>10</v>
      </c>
      <c r="J64" s="7">
        <v>8950</v>
      </c>
      <c r="M64" s="44"/>
      <c r="N64" s="16"/>
      <c r="O64" s="17"/>
      <c r="P64" s="9">
        <v>1</v>
      </c>
    </row>
    <row r="65" s="7" customFormat="1" spans="1:16">
      <c r="A65" s="7">
        <v>59</v>
      </c>
      <c r="B65">
        <v>2</v>
      </c>
      <c r="C65">
        <v>29</v>
      </c>
      <c r="D65" s="5" t="s">
        <v>100</v>
      </c>
      <c r="E65" s="20">
        <v>65</v>
      </c>
      <c r="F65" s="33" t="s">
        <v>132</v>
      </c>
      <c r="G65" s="21">
        <v>0</v>
      </c>
      <c r="H65" s="7">
        <v>0.7</v>
      </c>
      <c r="I65" s="7">
        <v>10</v>
      </c>
      <c r="J65" s="7">
        <v>9397</v>
      </c>
      <c r="M65" s="44"/>
      <c r="N65" s="16"/>
      <c r="O65" s="17"/>
      <c r="P65" s="9">
        <v>1</v>
      </c>
    </row>
    <row r="66" s="10" customFormat="1" spans="1:17">
      <c r="A66" s="10">
        <v>60</v>
      </c>
      <c r="B66">
        <v>2</v>
      </c>
      <c r="C66">
        <v>30</v>
      </c>
      <c r="D66" s="5" t="s">
        <v>102</v>
      </c>
      <c r="E66" s="20">
        <v>70</v>
      </c>
      <c r="F66" s="57" t="s">
        <v>133</v>
      </c>
      <c r="G66" s="28">
        <v>0</v>
      </c>
      <c r="H66" s="10">
        <v>0.7</v>
      </c>
      <c r="I66" s="10">
        <v>10</v>
      </c>
      <c r="J66" s="7">
        <v>9866</v>
      </c>
      <c r="M66" s="53"/>
      <c r="N66" s="54"/>
      <c r="O66" s="55"/>
      <c r="P66" s="10">
        <v>2</v>
      </c>
      <c r="Q66" s="10">
        <v>1</v>
      </c>
    </row>
    <row r="67" s="7" customFormat="1" spans="1:16">
      <c r="A67" s="7">
        <v>61</v>
      </c>
      <c r="B67" s="7">
        <v>3</v>
      </c>
      <c r="C67" s="7">
        <v>1</v>
      </c>
      <c r="D67" s="5" t="s">
        <v>42</v>
      </c>
      <c r="E67" s="20" t="s">
        <v>43</v>
      </c>
      <c r="F67" s="20" t="s">
        <v>134</v>
      </c>
      <c r="G67" s="21">
        <v>0</v>
      </c>
      <c r="H67" s="7">
        <v>0</v>
      </c>
      <c r="I67" s="7">
        <v>0</v>
      </c>
      <c r="J67" s="7">
        <v>160</v>
      </c>
      <c r="M67" s="44"/>
      <c r="N67" s="16"/>
      <c r="O67" s="17"/>
      <c r="P67" s="7">
        <v>0</v>
      </c>
    </row>
    <row r="68" s="7" customFormat="1" spans="1:16">
      <c r="A68" s="7">
        <v>62</v>
      </c>
      <c r="B68" s="7">
        <v>3</v>
      </c>
      <c r="C68" s="7">
        <v>2</v>
      </c>
      <c r="D68" s="5" t="s">
        <v>45</v>
      </c>
      <c r="E68" s="20">
        <v>20</v>
      </c>
      <c r="F68" s="20" t="s">
        <v>135</v>
      </c>
      <c r="G68" s="21">
        <v>0</v>
      </c>
      <c r="H68" s="7">
        <v>0</v>
      </c>
      <c r="I68" s="7">
        <v>0</v>
      </c>
      <c r="J68" s="7">
        <v>320</v>
      </c>
      <c r="M68" s="44"/>
      <c r="N68" s="16"/>
      <c r="O68" s="17"/>
      <c r="P68" s="7">
        <v>0</v>
      </c>
    </row>
    <row r="69" s="7" customFormat="1" spans="1:16">
      <c r="A69" s="7">
        <v>63</v>
      </c>
      <c r="B69" s="7">
        <v>3</v>
      </c>
      <c r="C69" s="7">
        <v>3</v>
      </c>
      <c r="D69" s="5" t="s">
        <v>48</v>
      </c>
      <c r="E69" s="20">
        <v>30</v>
      </c>
      <c r="F69" s="20" t="s">
        <v>136</v>
      </c>
      <c r="G69" s="21">
        <v>0</v>
      </c>
      <c r="H69" s="7">
        <v>0</v>
      </c>
      <c r="I69" s="7">
        <v>0</v>
      </c>
      <c r="J69" s="7">
        <v>480</v>
      </c>
      <c r="M69" s="44"/>
      <c r="N69" s="16"/>
      <c r="O69" s="17"/>
      <c r="P69" s="7">
        <v>0</v>
      </c>
    </row>
    <row r="70" s="7" customFormat="1" spans="1:16">
      <c r="A70" s="7">
        <v>64</v>
      </c>
      <c r="B70" s="7">
        <v>3</v>
      </c>
      <c r="C70" s="7">
        <v>4</v>
      </c>
      <c r="D70" s="5" t="s">
        <v>50</v>
      </c>
      <c r="E70" s="20">
        <v>40</v>
      </c>
      <c r="F70" s="20" t="s">
        <v>137</v>
      </c>
      <c r="G70" s="21">
        <v>0</v>
      </c>
      <c r="H70" s="7">
        <v>0</v>
      </c>
      <c r="I70" s="7">
        <v>0</v>
      </c>
      <c r="J70" s="7">
        <v>656</v>
      </c>
      <c r="M70" s="44"/>
      <c r="N70" s="16"/>
      <c r="O70" s="17"/>
      <c r="P70" s="7">
        <v>0</v>
      </c>
    </row>
    <row r="71" s="7" customFormat="1" spans="1:16">
      <c r="A71" s="7">
        <v>65</v>
      </c>
      <c r="B71" s="7">
        <v>3</v>
      </c>
      <c r="C71" s="7">
        <v>5</v>
      </c>
      <c r="D71" s="5" t="s">
        <v>52</v>
      </c>
      <c r="E71" s="20">
        <v>45</v>
      </c>
      <c r="F71" s="20" t="s">
        <v>138</v>
      </c>
      <c r="G71" s="21">
        <v>0</v>
      </c>
      <c r="H71" s="7">
        <v>0</v>
      </c>
      <c r="I71" s="7">
        <v>0</v>
      </c>
      <c r="J71" s="7">
        <v>832</v>
      </c>
      <c r="M71" s="44"/>
      <c r="N71" s="16"/>
      <c r="O71" s="17"/>
      <c r="P71" s="7">
        <v>0</v>
      </c>
    </row>
    <row r="72" s="7" customFormat="1" spans="1:16">
      <c r="A72" s="7">
        <v>66</v>
      </c>
      <c r="B72" s="7">
        <v>3</v>
      </c>
      <c r="C72" s="7">
        <v>6</v>
      </c>
      <c r="D72" s="5" t="s">
        <v>54</v>
      </c>
      <c r="E72" s="20">
        <v>50</v>
      </c>
      <c r="F72" s="20" t="s">
        <v>139</v>
      </c>
      <c r="G72" s="21">
        <v>0</v>
      </c>
      <c r="H72" s="7">
        <v>0</v>
      </c>
      <c r="I72" s="7">
        <v>0</v>
      </c>
      <c r="J72" s="7">
        <v>1008</v>
      </c>
      <c r="M72" s="44"/>
      <c r="N72" s="16"/>
      <c r="O72" s="17"/>
      <c r="P72" s="7">
        <v>0</v>
      </c>
    </row>
    <row r="73" s="7" customFormat="1" spans="1:16">
      <c r="A73" s="7">
        <v>67</v>
      </c>
      <c r="B73" s="7">
        <v>3</v>
      </c>
      <c r="C73" s="7">
        <v>7</v>
      </c>
      <c r="D73" s="5" t="s">
        <v>56</v>
      </c>
      <c r="E73" s="20">
        <v>55</v>
      </c>
      <c r="F73" s="20" t="s">
        <v>140</v>
      </c>
      <c r="G73" s="21">
        <v>0</v>
      </c>
      <c r="H73" s="7">
        <v>0</v>
      </c>
      <c r="I73" s="7">
        <v>0</v>
      </c>
      <c r="J73" s="7">
        <v>1200</v>
      </c>
      <c r="M73" s="44"/>
      <c r="N73" s="16"/>
      <c r="O73" s="17"/>
      <c r="P73" s="7">
        <v>0</v>
      </c>
    </row>
    <row r="74" s="7" customFormat="1" spans="1:16">
      <c r="A74" s="7">
        <v>68</v>
      </c>
      <c r="B74" s="7">
        <v>3</v>
      </c>
      <c r="C74" s="7">
        <v>8</v>
      </c>
      <c r="D74" s="5" t="s">
        <v>58</v>
      </c>
      <c r="E74" s="20">
        <v>60</v>
      </c>
      <c r="F74" s="20" t="s">
        <v>141</v>
      </c>
      <c r="G74" s="21">
        <v>0</v>
      </c>
      <c r="H74" s="7">
        <v>0</v>
      </c>
      <c r="I74" s="7">
        <v>0</v>
      </c>
      <c r="J74" s="7">
        <v>1392</v>
      </c>
      <c r="M74" s="44"/>
      <c r="N74" s="16"/>
      <c r="O74" s="17"/>
      <c r="P74" s="7">
        <v>0</v>
      </c>
    </row>
    <row r="75" s="7" customFormat="1" spans="1:16">
      <c r="A75" s="7">
        <v>69</v>
      </c>
      <c r="B75" s="7">
        <v>3</v>
      </c>
      <c r="C75" s="7">
        <v>9</v>
      </c>
      <c r="D75" s="5" t="s">
        <v>60</v>
      </c>
      <c r="E75" s="20">
        <v>65</v>
      </c>
      <c r="F75" s="20" t="s">
        <v>142</v>
      </c>
      <c r="G75" s="21">
        <v>0</v>
      </c>
      <c r="H75" s="7">
        <v>0</v>
      </c>
      <c r="I75" s="7">
        <v>0</v>
      </c>
      <c r="J75" s="7">
        <v>1584</v>
      </c>
      <c r="M75" s="44"/>
      <c r="N75" s="16"/>
      <c r="O75" s="17"/>
      <c r="P75" s="7">
        <v>0</v>
      </c>
    </row>
    <row r="76" s="7" customFormat="1" spans="1:16">
      <c r="A76" s="7">
        <v>70</v>
      </c>
      <c r="B76" s="7">
        <v>3</v>
      </c>
      <c r="C76" s="7">
        <v>10</v>
      </c>
      <c r="D76" s="5" t="s">
        <v>62</v>
      </c>
      <c r="E76" s="20">
        <v>70</v>
      </c>
      <c r="F76" s="20" t="s">
        <v>143</v>
      </c>
      <c r="G76" s="21">
        <v>0</v>
      </c>
      <c r="H76" s="7">
        <v>0</v>
      </c>
      <c r="I76" s="7">
        <v>0</v>
      </c>
      <c r="J76" s="7">
        <v>1832</v>
      </c>
      <c r="M76" s="44"/>
      <c r="N76" s="16"/>
      <c r="O76" s="17"/>
      <c r="P76" s="7">
        <v>0</v>
      </c>
    </row>
    <row r="77" s="7" customFormat="1" spans="1:16">
      <c r="A77" s="7">
        <v>71</v>
      </c>
      <c r="B77" s="7">
        <v>3</v>
      </c>
      <c r="C77" s="7">
        <v>11</v>
      </c>
      <c r="D77" s="5" t="s">
        <v>64</v>
      </c>
      <c r="E77" s="20">
        <v>75</v>
      </c>
      <c r="F77" s="20" t="s">
        <v>144</v>
      </c>
      <c r="G77" s="21">
        <v>0</v>
      </c>
      <c r="H77" s="7">
        <v>1</v>
      </c>
      <c r="I77" s="7">
        <v>10</v>
      </c>
      <c r="J77" s="7">
        <v>2080</v>
      </c>
      <c r="M77" s="44"/>
      <c r="N77" s="16"/>
      <c r="O77" s="17"/>
      <c r="P77" s="7">
        <v>0</v>
      </c>
    </row>
    <row r="78" s="7" customFormat="1" spans="1:16">
      <c r="A78" s="7">
        <v>72</v>
      </c>
      <c r="B78" s="7">
        <v>3</v>
      </c>
      <c r="C78" s="7">
        <v>12</v>
      </c>
      <c r="D78" s="5" t="s">
        <v>66</v>
      </c>
      <c r="E78" s="20">
        <v>80</v>
      </c>
      <c r="F78" s="20" t="s">
        <v>145</v>
      </c>
      <c r="G78" s="21">
        <v>0</v>
      </c>
      <c r="H78" s="7">
        <v>1</v>
      </c>
      <c r="I78" s="7">
        <v>10</v>
      </c>
      <c r="J78" s="7">
        <v>2328</v>
      </c>
      <c r="M78" s="44"/>
      <c r="N78" s="16"/>
      <c r="O78" s="17"/>
      <c r="P78" s="7">
        <v>0</v>
      </c>
    </row>
    <row r="79" s="7" customFormat="1" spans="1:16">
      <c r="A79" s="7">
        <v>73</v>
      </c>
      <c r="B79" s="7">
        <v>3</v>
      </c>
      <c r="C79" s="7">
        <v>13</v>
      </c>
      <c r="D79" s="5" t="s">
        <v>68</v>
      </c>
      <c r="E79" s="20">
        <v>83</v>
      </c>
      <c r="F79" s="20" t="s">
        <v>146</v>
      </c>
      <c r="G79" s="21">
        <v>0</v>
      </c>
      <c r="H79" s="7">
        <v>1</v>
      </c>
      <c r="I79" s="7">
        <v>10</v>
      </c>
      <c r="J79" s="7">
        <v>2592</v>
      </c>
      <c r="M79" s="44"/>
      <c r="N79" s="16"/>
      <c r="O79" s="17"/>
      <c r="P79" s="7">
        <v>0</v>
      </c>
    </row>
    <row r="80" s="7" customFormat="1" spans="1:16">
      <c r="A80" s="7">
        <v>74</v>
      </c>
      <c r="B80" s="7">
        <v>3</v>
      </c>
      <c r="C80" s="7">
        <v>14</v>
      </c>
      <c r="D80" s="5" t="s">
        <v>70</v>
      </c>
      <c r="E80" s="20">
        <v>85</v>
      </c>
      <c r="F80" s="20" t="s">
        <v>147</v>
      </c>
      <c r="G80" s="21">
        <v>0</v>
      </c>
      <c r="H80" s="7">
        <v>1</v>
      </c>
      <c r="I80" s="7">
        <v>10</v>
      </c>
      <c r="J80" s="7">
        <v>2856</v>
      </c>
      <c r="M80" s="44"/>
      <c r="N80" s="16"/>
      <c r="O80" s="17"/>
      <c r="P80" s="7">
        <v>0</v>
      </c>
    </row>
    <row r="81" s="7" customFormat="1" spans="1:16">
      <c r="A81" s="7">
        <v>75</v>
      </c>
      <c r="B81" s="7">
        <v>3</v>
      </c>
      <c r="C81" s="7">
        <v>15</v>
      </c>
      <c r="D81" s="5" t="s">
        <v>72</v>
      </c>
      <c r="E81" s="20">
        <v>87</v>
      </c>
      <c r="F81" s="20" t="s">
        <v>148</v>
      </c>
      <c r="G81" s="21">
        <v>0</v>
      </c>
      <c r="H81" s="7">
        <v>1</v>
      </c>
      <c r="I81" s="7">
        <v>10</v>
      </c>
      <c r="J81" s="7">
        <v>3120</v>
      </c>
      <c r="M81" s="44"/>
      <c r="N81" s="16"/>
      <c r="O81" s="17"/>
      <c r="P81" s="7">
        <v>0</v>
      </c>
    </row>
    <row r="82" s="7" customFormat="1" spans="1:16">
      <c r="A82" s="7">
        <v>76</v>
      </c>
      <c r="B82" s="7">
        <v>3</v>
      </c>
      <c r="C82" s="7">
        <v>16</v>
      </c>
      <c r="D82" s="5" t="s">
        <v>74</v>
      </c>
      <c r="E82" s="20">
        <v>90</v>
      </c>
      <c r="F82" s="20" t="s">
        <v>149</v>
      </c>
      <c r="G82" s="21">
        <v>0</v>
      </c>
      <c r="H82" s="7">
        <v>1</v>
      </c>
      <c r="I82" s="7">
        <v>10</v>
      </c>
      <c r="J82" s="7">
        <v>3400</v>
      </c>
      <c r="M82" s="44"/>
      <c r="N82" s="16"/>
      <c r="O82" s="17"/>
      <c r="P82" s="7">
        <v>0</v>
      </c>
    </row>
    <row r="83" s="7" customFormat="1" spans="1:16">
      <c r="A83" s="7">
        <v>77</v>
      </c>
      <c r="B83" s="7">
        <v>3</v>
      </c>
      <c r="C83" s="7">
        <v>17</v>
      </c>
      <c r="D83" s="5" t="s">
        <v>76</v>
      </c>
      <c r="E83" s="20">
        <v>92</v>
      </c>
      <c r="F83" s="20" t="s">
        <v>150</v>
      </c>
      <c r="G83" s="21">
        <v>0</v>
      </c>
      <c r="H83" s="7">
        <v>0.8</v>
      </c>
      <c r="I83" s="7">
        <v>10</v>
      </c>
      <c r="J83" s="7">
        <v>3680</v>
      </c>
      <c r="M83" s="44"/>
      <c r="N83" s="16"/>
      <c r="O83" s="17"/>
      <c r="P83" s="7">
        <v>0</v>
      </c>
    </row>
    <row r="84" s="7" customFormat="1" spans="1:16">
      <c r="A84" s="7">
        <v>78</v>
      </c>
      <c r="B84" s="7">
        <v>3</v>
      </c>
      <c r="C84" s="7">
        <v>18</v>
      </c>
      <c r="D84" s="5" t="s">
        <v>78</v>
      </c>
      <c r="E84" s="20">
        <v>93</v>
      </c>
      <c r="F84" s="20" t="s">
        <v>151</v>
      </c>
      <c r="G84" s="21">
        <v>0</v>
      </c>
      <c r="H84" s="7">
        <v>0.7</v>
      </c>
      <c r="I84" s="7">
        <v>10</v>
      </c>
      <c r="J84" s="7">
        <v>3960</v>
      </c>
      <c r="M84" s="44"/>
      <c r="N84" s="16"/>
      <c r="O84" s="17"/>
      <c r="P84" s="7">
        <v>0</v>
      </c>
    </row>
    <row r="85" s="7" customFormat="1" spans="1:16">
      <c r="A85" s="7">
        <v>79</v>
      </c>
      <c r="B85" s="7">
        <v>3</v>
      </c>
      <c r="C85" s="7">
        <v>19</v>
      </c>
      <c r="D85" s="5" t="s">
        <v>80</v>
      </c>
      <c r="E85" s="20">
        <v>93</v>
      </c>
      <c r="F85" s="20" t="s">
        <v>152</v>
      </c>
      <c r="G85" s="21">
        <v>0</v>
      </c>
      <c r="H85" s="7">
        <v>0.7</v>
      </c>
      <c r="I85" s="7">
        <v>10</v>
      </c>
      <c r="J85" s="7">
        <v>4256</v>
      </c>
      <c r="M85" s="44"/>
      <c r="N85" s="16"/>
      <c r="O85" s="17"/>
      <c r="P85" s="7">
        <v>0</v>
      </c>
    </row>
    <row r="86" s="12" customFormat="1" spans="1:16">
      <c r="A86" s="12">
        <v>80</v>
      </c>
      <c r="B86" s="12">
        <v>3</v>
      </c>
      <c r="C86" s="12">
        <v>20</v>
      </c>
      <c r="D86" s="29" t="s">
        <v>82</v>
      </c>
      <c r="E86" s="30">
        <v>93</v>
      </c>
      <c r="F86" s="30" t="s">
        <v>153</v>
      </c>
      <c r="G86" s="32">
        <v>0</v>
      </c>
      <c r="H86" s="12">
        <v>0.7</v>
      </c>
      <c r="I86" s="12">
        <v>10</v>
      </c>
      <c r="J86" s="12">
        <v>4592</v>
      </c>
      <c r="M86" s="56"/>
      <c r="N86" s="57"/>
      <c r="O86" s="58"/>
      <c r="P86" s="12">
        <v>0</v>
      </c>
    </row>
    <row r="87" customFormat="1" spans="1:17">
      <c r="A87" s="7">
        <v>81</v>
      </c>
      <c r="B87" s="7">
        <v>3</v>
      </c>
      <c r="C87" s="7">
        <v>21</v>
      </c>
      <c r="D87" s="5" t="s">
        <v>84</v>
      </c>
      <c r="E87" s="20" t="s">
        <v>43</v>
      </c>
      <c r="F87" s="16" t="s">
        <v>154</v>
      </c>
      <c r="G87" s="21">
        <v>0</v>
      </c>
      <c r="H87" s="7">
        <v>0.7</v>
      </c>
      <c r="I87" s="7">
        <v>10</v>
      </c>
      <c r="J87" s="7">
        <v>4821</v>
      </c>
      <c r="M87" s="44"/>
      <c r="N87" s="16"/>
      <c r="O87" s="17"/>
      <c r="P87" s="7">
        <v>0</v>
      </c>
      <c r="Q87" s="7"/>
    </row>
    <row r="88" customFormat="1" spans="1:17">
      <c r="A88" s="7">
        <v>82</v>
      </c>
      <c r="B88" s="7">
        <v>3</v>
      </c>
      <c r="C88" s="7">
        <v>22</v>
      </c>
      <c r="D88" s="5" t="s">
        <v>86</v>
      </c>
      <c r="E88" s="20" t="s">
        <v>46</v>
      </c>
      <c r="F88" s="16" t="s">
        <v>155</v>
      </c>
      <c r="G88" s="21">
        <v>0</v>
      </c>
      <c r="H88" s="7">
        <v>0.7</v>
      </c>
      <c r="I88" s="7">
        <v>10</v>
      </c>
      <c r="J88" s="7">
        <v>5062</v>
      </c>
      <c r="M88" s="44"/>
      <c r="N88" s="16"/>
      <c r="O88" s="17"/>
      <c r="P88" s="7">
        <v>0</v>
      </c>
      <c r="Q88" s="7"/>
    </row>
    <row r="89" customFormat="1" spans="1:17">
      <c r="A89" s="7">
        <v>83</v>
      </c>
      <c r="B89" s="7">
        <v>3</v>
      </c>
      <c r="C89" s="7">
        <v>23</v>
      </c>
      <c r="D89" s="5" t="s">
        <v>88</v>
      </c>
      <c r="E89" s="20">
        <v>30</v>
      </c>
      <c r="F89" s="16" t="s">
        <v>156</v>
      </c>
      <c r="G89" s="21">
        <v>0</v>
      </c>
      <c r="H89" s="7">
        <v>0.7</v>
      </c>
      <c r="I89" s="7">
        <v>10</v>
      </c>
      <c r="J89" s="7">
        <v>5315</v>
      </c>
      <c r="M89" s="44"/>
      <c r="N89" s="16"/>
      <c r="O89" s="17"/>
      <c r="P89" s="7">
        <v>0</v>
      </c>
      <c r="Q89" s="7"/>
    </row>
    <row r="90" customFormat="1" spans="1:17">
      <c r="A90" s="7">
        <v>84</v>
      </c>
      <c r="B90" s="7">
        <v>3</v>
      </c>
      <c r="C90" s="7">
        <v>24</v>
      </c>
      <c r="D90" s="5" t="s">
        <v>90</v>
      </c>
      <c r="E90" s="20">
        <v>40</v>
      </c>
      <c r="F90" s="16" t="s">
        <v>157</v>
      </c>
      <c r="G90" s="21">
        <v>0</v>
      </c>
      <c r="H90" s="7">
        <v>0.7</v>
      </c>
      <c r="I90" s="7">
        <v>10</v>
      </c>
      <c r="J90" s="7">
        <v>5580</v>
      </c>
      <c r="M90" s="44"/>
      <c r="N90" s="16"/>
      <c r="O90" s="17"/>
      <c r="P90" s="7">
        <v>0</v>
      </c>
      <c r="Q90" s="7"/>
    </row>
    <row r="91" customFormat="1" spans="1:17">
      <c r="A91" s="7">
        <v>85</v>
      </c>
      <c r="B91" s="7">
        <v>3</v>
      </c>
      <c r="C91" s="7">
        <v>25</v>
      </c>
      <c r="D91" s="5" t="s">
        <v>92</v>
      </c>
      <c r="E91" s="20">
        <v>45</v>
      </c>
      <c r="F91" s="16" t="s">
        <v>158</v>
      </c>
      <c r="G91" s="21">
        <v>0</v>
      </c>
      <c r="H91" s="7">
        <v>0.7</v>
      </c>
      <c r="I91" s="7">
        <v>10</v>
      </c>
      <c r="J91" s="7">
        <v>5859</v>
      </c>
      <c r="M91" s="44"/>
      <c r="N91" s="16"/>
      <c r="O91" s="17"/>
      <c r="P91" s="9">
        <v>1</v>
      </c>
      <c r="Q91" s="9">
        <v>1</v>
      </c>
    </row>
    <row r="92" customFormat="1" spans="1:17">
      <c r="A92" s="7">
        <v>86</v>
      </c>
      <c r="B92" s="7">
        <v>3</v>
      </c>
      <c r="C92" s="7">
        <v>26</v>
      </c>
      <c r="D92" s="5" t="s">
        <v>94</v>
      </c>
      <c r="E92" s="20">
        <v>50</v>
      </c>
      <c r="F92" s="16" t="s">
        <v>159</v>
      </c>
      <c r="G92" s="21">
        <v>0</v>
      </c>
      <c r="H92" s="7">
        <v>0.7</v>
      </c>
      <c r="I92" s="7">
        <v>10</v>
      </c>
      <c r="J92" s="7">
        <v>6151</v>
      </c>
      <c r="M92" s="44"/>
      <c r="N92" s="16"/>
      <c r="O92" s="17"/>
      <c r="P92" s="9">
        <v>1</v>
      </c>
      <c r="Q92" s="7"/>
    </row>
    <row r="93" customFormat="1" spans="1:17">
      <c r="A93" s="7">
        <v>87</v>
      </c>
      <c r="B93" s="7">
        <v>3</v>
      </c>
      <c r="C93" s="7">
        <v>27</v>
      </c>
      <c r="D93" s="5" t="s">
        <v>96</v>
      </c>
      <c r="E93" s="20">
        <v>55</v>
      </c>
      <c r="F93" s="16" t="s">
        <v>160</v>
      </c>
      <c r="G93" s="21">
        <v>0</v>
      </c>
      <c r="H93" s="7">
        <v>0.7</v>
      </c>
      <c r="I93" s="7">
        <v>10</v>
      </c>
      <c r="J93" s="7">
        <v>6458</v>
      </c>
      <c r="M93" s="44"/>
      <c r="N93" s="16"/>
      <c r="O93" s="17"/>
      <c r="P93" s="9">
        <v>1</v>
      </c>
      <c r="Q93" s="7"/>
    </row>
    <row r="94" customFormat="1" spans="1:17">
      <c r="A94" s="7">
        <v>88</v>
      </c>
      <c r="B94" s="7">
        <v>3</v>
      </c>
      <c r="C94" s="7">
        <v>28</v>
      </c>
      <c r="D94" s="5" t="s">
        <v>98</v>
      </c>
      <c r="E94" s="20">
        <v>60</v>
      </c>
      <c r="F94" s="16" t="s">
        <v>161</v>
      </c>
      <c r="G94" s="21">
        <v>0</v>
      </c>
      <c r="H94" s="7">
        <v>0.7</v>
      </c>
      <c r="I94" s="7">
        <v>10</v>
      </c>
      <c r="J94" s="7">
        <v>6780</v>
      </c>
      <c r="M94" s="44"/>
      <c r="N94" s="16"/>
      <c r="O94" s="17"/>
      <c r="P94" s="9">
        <v>1</v>
      </c>
      <c r="Q94" s="7"/>
    </row>
    <row r="95" customFormat="1" spans="1:17">
      <c r="A95" s="7">
        <v>89</v>
      </c>
      <c r="B95" s="7">
        <v>3</v>
      </c>
      <c r="C95" s="7">
        <v>29</v>
      </c>
      <c r="D95" s="5" t="s">
        <v>100</v>
      </c>
      <c r="E95" s="20">
        <v>65</v>
      </c>
      <c r="F95" s="16" t="s">
        <v>162</v>
      </c>
      <c r="G95" s="21">
        <v>0</v>
      </c>
      <c r="H95" s="7">
        <v>0.7</v>
      </c>
      <c r="I95" s="7">
        <v>10</v>
      </c>
      <c r="J95" s="7">
        <v>7119</v>
      </c>
      <c r="M95" s="44"/>
      <c r="N95" s="16"/>
      <c r="O95" s="17"/>
      <c r="P95" s="9">
        <v>1</v>
      </c>
      <c r="Q95" s="7"/>
    </row>
    <row r="96" s="13" customFormat="1" spans="1:17">
      <c r="A96" s="13">
        <v>90</v>
      </c>
      <c r="B96" s="11">
        <v>3</v>
      </c>
      <c r="C96" s="11">
        <v>30</v>
      </c>
      <c r="D96" s="5" t="s">
        <v>102</v>
      </c>
      <c r="E96" s="20">
        <v>70</v>
      </c>
      <c r="F96" s="57" t="s">
        <v>163</v>
      </c>
      <c r="G96" s="32">
        <v>0</v>
      </c>
      <c r="H96" s="12">
        <v>0.7</v>
      </c>
      <c r="I96" s="7">
        <v>10</v>
      </c>
      <c r="J96" s="7">
        <v>7474</v>
      </c>
      <c r="M96" s="59"/>
      <c r="N96" s="60"/>
      <c r="O96" s="61"/>
      <c r="P96" s="13">
        <v>2</v>
      </c>
      <c r="Q96" s="13">
        <v>1</v>
      </c>
    </row>
    <row r="97" customFormat="1" spans="1:17">
      <c r="A97" s="7">
        <v>91</v>
      </c>
      <c r="B97">
        <v>4</v>
      </c>
      <c r="C97">
        <v>1</v>
      </c>
      <c r="D97" s="5" t="s">
        <v>42</v>
      </c>
      <c r="E97" s="20" t="s">
        <v>43</v>
      </c>
      <c r="F97" s="14" t="s">
        <v>164</v>
      </c>
      <c r="G97" s="21">
        <v>0</v>
      </c>
      <c r="H97" s="7">
        <v>0</v>
      </c>
      <c r="I97" s="7">
        <v>0</v>
      </c>
      <c r="J97">
        <v>212</v>
      </c>
      <c r="M97" s="44"/>
      <c r="N97" s="16"/>
      <c r="O97" s="17"/>
      <c r="P97" s="7">
        <v>0</v>
      </c>
      <c r="Q97" s="7"/>
    </row>
    <row r="98" customFormat="1" spans="1:17">
      <c r="A98" s="7">
        <v>92</v>
      </c>
      <c r="B98">
        <v>4</v>
      </c>
      <c r="C98">
        <v>2</v>
      </c>
      <c r="D98" s="5" t="s">
        <v>45</v>
      </c>
      <c r="E98" s="20">
        <v>20</v>
      </c>
      <c r="F98" s="14" t="s">
        <v>165</v>
      </c>
      <c r="G98" s="21">
        <v>0</v>
      </c>
      <c r="H98" s="7">
        <v>0</v>
      </c>
      <c r="I98" s="7">
        <v>0</v>
      </c>
      <c r="J98">
        <v>432</v>
      </c>
      <c r="M98" s="44"/>
      <c r="N98" s="16"/>
      <c r="O98" s="17"/>
      <c r="P98" s="7">
        <v>0</v>
      </c>
      <c r="Q98" s="7"/>
    </row>
    <row r="99" customFormat="1" spans="1:17">
      <c r="A99" s="12">
        <v>93</v>
      </c>
      <c r="B99">
        <v>4</v>
      </c>
      <c r="C99">
        <v>3</v>
      </c>
      <c r="D99" s="5" t="s">
        <v>48</v>
      </c>
      <c r="E99" s="20">
        <v>30</v>
      </c>
      <c r="F99" s="14" t="s">
        <v>166</v>
      </c>
      <c r="G99" s="21">
        <v>0</v>
      </c>
      <c r="H99" s="7">
        <v>0</v>
      </c>
      <c r="I99" s="7">
        <v>0</v>
      </c>
      <c r="J99">
        <v>664</v>
      </c>
      <c r="M99" s="44"/>
      <c r="N99" s="16"/>
      <c r="O99" s="17"/>
      <c r="P99" s="7">
        <v>0</v>
      </c>
      <c r="Q99" s="7"/>
    </row>
    <row r="100" customFormat="1" spans="1:17">
      <c r="A100" s="7">
        <v>94</v>
      </c>
      <c r="B100">
        <v>4</v>
      </c>
      <c r="C100">
        <v>4</v>
      </c>
      <c r="D100" s="5" t="s">
        <v>50</v>
      </c>
      <c r="E100" s="20">
        <v>40</v>
      </c>
      <c r="F100" s="14" t="s">
        <v>167</v>
      </c>
      <c r="G100" s="21">
        <v>0</v>
      </c>
      <c r="H100" s="7">
        <v>0</v>
      </c>
      <c r="I100" s="7">
        <v>0</v>
      </c>
      <c r="J100">
        <v>904</v>
      </c>
      <c r="M100" s="44"/>
      <c r="N100" s="16"/>
      <c r="O100" s="17"/>
      <c r="P100" s="7">
        <v>0</v>
      </c>
      <c r="Q100" s="7"/>
    </row>
    <row r="101" customFormat="1" spans="1:17">
      <c r="A101" s="7">
        <v>95</v>
      </c>
      <c r="B101">
        <v>4</v>
      </c>
      <c r="C101">
        <v>5</v>
      </c>
      <c r="D101" s="5" t="s">
        <v>52</v>
      </c>
      <c r="E101" s="20">
        <v>45</v>
      </c>
      <c r="F101" s="14" t="s">
        <v>168</v>
      </c>
      <c r="G101" s="21">
        <v>0</v>
      </c>
      <c r="H101" s="7">
        <v>0</v>
      </c>
      <c r="I101" s="7">
        <v>0</v>
      </c>
      <c r="J101">
        <v>1156</v>
      </c>
      <c r="M101" s="44"/>
      <c r="N101" s="16"/>
      <c r="O101" s="17"/>
      <c r="P101" s="7">
        <v>0</v>
      </c>
      <c r="Q101" s="7"/>
    </row>
    <row r="102" customFormat="1" spans="1:17">
      <c r="A102" s="7">
        <v>96</v>
      </c>
      <c r="B102">
        <v>4</v>
      </c>
      <c r="C102">
        <v>6</v>
      </c>
      <c r="D102" s="5" t="s">
        <v>54</v>
      </c>
      <c r="E102" s="20">
        <v>50</v>
      </c>
      <c r="F102" s="14" t="s">
        <v>169</v>
      </c>
      <c r="G102" s="21">
        <v>0</v>
      </c>
      <c r="H102" s="7">
        <v>0</v>
      </c>
      <c r="I102" s="7">
        <v>0</v>
      </c>
      <c r="J102">
        <v>1416</v>
      </c>
      <c r="M102" s="44"/>
      <c r="N102" s="16"/>
      <c r="O102" s="17"/>
      <c r="P102" s="7">
        <v>0</v>
      </c>
      <c r="Q102" s="7"/>
    </row>
    <row r="103" customFormat="1" spans="1:17">
      <c r="A103" s="7">
        <v>97</v>
      </c>
      <c r="B103">
        <v>4</v>
      </c>
      <c r="C103">
        <v>7</v>
      </c>
      <c r="D103" s="5" t="s">
        <v>56</v>
      </c>
      <c r="E103" s="20">
        <v>55</v>
      </c>
      <c r="F103" s="14" t="s">
        <v>170</v>
      </c>
      <c r="G103" s="21">
        <v>0</v>
      </c>
      <c r="H103" s="7">
        <v>0</v>
      </c>
      <c r="I103" s="7">
        <v>0</v>
      </c>
      <c r="J103">
        <v>1688</v>
      </c>
      <c r="M103" s="44"/>
      <c r="N103" s="16"/>
      <c r="O103" s="17"/>
      <c r="P103" s="7">
        <v>0</v>
      </c>
      <c r="Q103" s="7"/>
    </row>
    <row r="104" customFormat="1" spans="1:17">
      <c r="A104" s="7">
        <v>98</v>
      </c>
      <c r="B104">
        <v>4</v>
      </c>
      <c r="C104">
        <v>8</v>
      </c>
      <c r="D104" s="5" t="s">
        <v>58</v>
      </c>
      <c r="E104" s="20">
        <v>60</v>
      </c>
      <c r="F104" s="14" t="s">
        <v>171</v>
      </c>
      <c r="G104" s="21">
        <v>0</v>
      </c>
      <c r="H104" s="7">
        <v>0</v>
      </c>
      <c r="I104" s="7">
        <v>0</v>
      </c>
      <c r="J104">
        <v>1968</v>
      </c>
      <c r="M104" s="44"/>
      <c r="N104" s="16"/>
      <c r="O104" s="17"/>
      <c r="P104" s="7">
        <v>0</v>
      </c>
      <c r="Q104" s="7"/>
    </row>
    <row r="105" customFormat="1" spans="1:17">
      <c r="A105" s="7">
        <v>99</v>
      </c>
      <c r="B105">
        <v>4</v>
      </c>
      <c r="C105">
        <v>9</v>
      </c>
      <c r="D105" s="5" t="s">
        <v>60</v>
      </c>
      <c r="E105" s="20">
        <v>65</v>
      </c>
      <c r="F105" s="14" t="s">
        <v>172</v>
      </c>
      <c r="G105" s="21">
        <v>0</v>
      </c>
      <c r="H105" s="7">
        <v>0</v>
      </c>
      <c r="I105" s="7">
        <v>0</v>
      </c>
      <c r="J105">
        <v>2260</v>
      </c>
      <c r="M105" s="44"/>
      <c r="N105" s="16"/>
      <c r="O105" s="17"/>
      <c r="P105" s="7">
        <v>0</v>
      </c>
      <c r="Q105" s="7"/>
    </row>
    <row r="106" customFormat="1" spans="1:17">
      <c r="A106" s="7">
        <v>100</v>
      </c>
      <c r="B106">
        <v>4</v>
      </c>
      <c r="C106">
        <v>10</v>
      </c>
      <c r="D106" s="5" t="s">
        <v>62</v>
      </c>
      <c r="E106" s="20">
        <v>70</v>
      </c>
      <c r="F106" s="14" t="s">
        <v>173</v>
      </c>
      <c r="G106" s="21">
        <v>0</v>
      </c>
      <c r="H106" s="7">
        <v>0</v>
      </c>
      <c r="I106" s="7">
        <v>0</v>
      </c>
      <c r="J106">
        <v>2600</v>
      </c>
      <c r="M106" s="44"/>
      <c r="N106" s="16"/>
      <c r="O106" s="17"/>
      <c r="P106" s="7">
        <v>0</v>
      </c>
      <c r="Q106" s="7"/>
    </row>
    <row r="107" customFormat="1" spans="1:17">
      <c r="A107" s="7">
        <v>101</v>
      </c>
      <c r="B107">
        <v>4</v>
      </c>
      <c r="C107">
        <v>11</v>
      </c>
      <c r="D107" s="5" t="s">
        <v>64</v>
      </c>
      <c r="E107" s="20">
        <v>75</v>
      </c>
      <c r="F107" s="14" t="s">
        <v>174</v>
      </c>
      <c r="G107" s="21">
        <v>0</v>
      </c>
      <c r="H107" s="7">
        <v>1</v>
      </c>
      <c r="I107" s="7">
        <v>10</v>
      </c>
      <c r="J107">
        <v>2952</v>
      </c>
      <c r="M107" s="44"/>
      <c r="N107" s="16"/>
      <c r="O107" s="17"/>
      <c r="P107" s="7">
        <v>0</v>
      </c>
      <c r="Q107" s="7"/>
    </row>
    <row r="108" customFormat="1" spans="1:17">
      <c r="A108" s="7">
        <v>102</v>
      </c>
      <c r="B108">
        <v>4</v>
      </c>
      <c r="C108">
        <v>12</v>
      </c>
      <c r="D108" s="5" t="s">
        <v>66</v>
      </c>
      <c r="E108" s="20">
        <v>80</v>
      </c>
      <c r="F108" s="14" t="s">
        <v>175</v>
      </c>
      <c r="G108" s="21">
        <v>0</v>
      </c>
      <c r="H108" s="7">
        <v>1</v>
      </c>
      <c r="I108" s="7">
        <v>10</v>
      </c>
      <c r="J108">
        <v>3312</v>
      </c>
      <c r="M108" s="44"/>
      <c r="N108" s="16"/>
      <c r="O108" s="17"/>
      <c r="P108" s="7">
        <v>0</v>
      </c>
      <c r="Q108" s="7"/>
    </row>
    <row r="109" customFormat="1" spans="1:17">
      <c r="A109" s="7">
        <v>103</v>
      </c>
      <c r="B109">
        <v>4</v>
      </c>
      <c r="C109">
        <v>13</v>
      </c>
      <c r="D109" s="5" t="s">
        <v>68</v>
      </c>
      <c r="E109" s="20">
        <v>83</v>
      </c>
      <c r="F109" s="14" t="s">
        <v>176</v>
      </c>
      <c r="G109" s="21">
        <v>0</v>
      </c>
      <c r="H109" s="7">
        <v>1</v>
      </c>
      <c r="I109" s="7">
        <v>10</v>
      </c>
      <c r="J109">
        <v>3684</v>
      </c>
      <c r="M109" s="44"/>
      <c r="N109" s="16"/>
      <c r="O109" s="17"/>
      <c r="P109" s="7">
        <v>0</v>
      </c>
      <c r="Q109" s="7"/>
    </row>
    <row r="110" customFormat="1" spans="1:17">
      <c r="A110" s="7">
        <v>104</v>
      </c>
      <c r="B110">
        <v>4</v>
      </c>
      <c r="C110">
        <v>14</v>
      </c>
      <c r="D110" s="5" t="s">
        <v>70</v>
      </c>
      <c r="E110" s="20">
        <v>85</v>
      </c>
      <c r="F110" s="14" t="s">
        <v>177</v>
      </c>
      <c r="G110" s="21">
        <v>0</v>
      </c>
      <c r="H110" s="7">
        <v>1</v>
      </c>
      <c r="I110" s="7">
        <v>10</v>
      </c>
      <c r="J110">
        <v>4064</v>
      </c>
      <c r="M110" s="44"/>
      <c r="N110" s="16"/>
      <c r="O110" s="17"/>
      <c r="P110" s="7">
        <v>0</v>
      </c>
      <c r="Q110" s="7"/>
    </row>
    <row r="111" customFormat="1" spans="1:17">
      <c r="A111" s="7">
        <v>105</v>
      </c>
      <c r="B111">
        <v>4</v>
      </c>
      <c r="C111">
        <v>15</v>
      </c>
      <c r="D111" s="5" t="s">
        <v>72</v>
      </c>
      <c r="E111" s="20">
        <v>87</v>
      </c>
      <c r="F111" s="14" t="s">
        <v>178</v>
      </c>
      <c r="G111" s="21">
        <v>0</v>
      </c>
      <c r="H111" s="7">
        <v>1</v>
      </c>
      <c r="I111" s="7">
        <v>10</v>
      </c>
      <c r="J111">
        <v>4456</v>
      </c>
      <c r="M111" s="44"/>
      <c r="N111" s="16"/>
      <c r="O111" s="17"/>
      <c r="P111" s="7">
        <v>0</v>
      </c>
      <c r="Q111" s="7"/>
    </row>
    <row r="112" customFormat="1" spans="1:17">
      <c r="A112" s="7">
        <v>106</v>
      </c>
      <c r="B112">
        <v>4</v>
      </c>
      <c r="C112">
        <v>16</v>
      </c>
      <c r="D112" s="5" t="s">
        <v>74</v>
      </c>
      <c r="E112" s="20">
        <v>90</v>
      </c>
      <c r="F112" s="14" t="s">
        <v>179</v>
      </c>
      <c r="G112" s="21">
        <v>0</v>
      </c>
      <c r="H112" s="7">
        <v>1</v>
      </c>
      <c r="I112" s="7">
        <v>10</v>
      </c>
      <c r="J112">
        <v>4856</v>
      </c>
      <c r="M112" s="44"/>
      <c r="N112" s="16"/>
      <c r="O112" s="17"/>
      <c r="P112" s="7">
        <v>0</v>
      </c>
      <c r="Q112" s="7"/>
    </row>
    <row r="113" customFormat="1" spans="1:17">
      <c r="A113" s="7">
        <v>107</v>
      </c>
      <c r="B113">
        <v>4</v>
      </c>
      <c r="C113">
        <v>17</v>
      </c>
      <c r="D113" s="5" t="s">
        <v>76</v>
      </c>
      <c r="E113" s="20">
        <v>92</v>
      </c>
      <c r="F113" s="14" t="s">
        <v>180</v>
      </c>
      <c r="G113" s="21">
        <v>0</v>
      </c>
      <c r="H113" s="7">
        <v>0.8</v>
      </c>
      <c r="I113" s="7">
        <v>10</v>
      </c>
      <c r="J113">
        <v>5268</v>
      </c>
      <c r="M113" s="44"/>
      <c r="N113" s="16"/>
      <c r="O113" s="17"/>
      <c r="P113" s="7">
        <v>0</v>
      </c>
      <c r="Q113" s="7"/>
    </row>
    <row r="114" customFormat="1" spans="1:17">
      <c r="A114" s="7">
        <v>108</v>
      </c>
      <c r="B114">
        <v>4</v>
      </c>
      <c r="C114">
        <v>18</v>
      </c>
      <c r="D114" s="5" t="s">
        <v>78</v>
      </c>
      <c r="E114" s="20">
        <v>93</v>
      </c>
      <c r="F114" s="14" t="s">
        <v>181</v>
      </c>
      <c r="G114" s="21">
        <v>0</v>
      </c>
      <c r="H114" s="7">
        <v>0.7</v>
      </c>
      <c r="I114" s="7">
        <v>10</v>
      </c>
      <c r="J114">
        <v>5688</v>
      </c>
      <c r="M114" s="44"/>
      <c r="N114" s="16"/>
      <c r="O114" s="17"/>
      <c r="P114" s="7">
        <v>0</v>
      </c>
      <c r="Q114" s="7"/>
    </row>
    <row r="115" customFormat="1" spans="1:17">
      <c r="A115" s="7">
        <v>109</v>
      </c>
      <c r="B115">
        <v>4</v>
      </c>
      <c r="C115">
        <v>19</v>
      </c>
      <c r="D115" s="5" t="s">
        <v>80</v>
      </c>
      <c r="E115" s="20">
        <v>93</v>
      </c>
      <c r="F115" s="14" t="s">
        <v>182</v>
      </c>
      <c r="G115" s="21">
        <v>0</v>
      </c>
      <c r="H115" s="7">
        <v>0.7</v>
      </c>
      <c r="I115" s="7">
        <v>10</v>
      </c>
      <c r="J115">
        <v>6120</v>
      </c>
      <c r="M115" s="44"/>
      <c r="N115" s="16"/>
      <c r="O115" s="17"/>
      <c r="P115" s="7">
        <v>0</v>
      </c>
      <c r="Q115" s="7"/>
    </row>
    <row r="116" s="11" customFormat="1" spans="1:17">
      <c r="A116" s="12">
        <v>110</v>
      </c>
      <c r="B116" s="11">
        <v>4</v>
      </c>
      <c r="C116" s="11">
        <v>20</v>
      </c>
      <c r="D116" s="29" t="s">
        <v>82</v>
      </c>
      <c r="E116" s="30">
        <v>93</v>
      </c>
      <c r="F116" s="31" t="s">
        <v>183</v>
      </c>
      <c r="G116" s="32">
        <v>0</v>
      </c>
      <c r="H116" s="12">
        <v>0.7</v>
      </c>
      <c r="I116" s="12">
        <v>10</v>
      </c>
      <c r="J116" s="11">
        <v>6600</v>
      </c>
      <c r="M116" s="62"/>
      <c r="N116" s="63"/>
      <c r="O116" s="64"/>
      <c r="P116" s="12">
        <v>0</v>
      </c>
      <c r="Q116" s="12"/>
    </row>
    <row r="117" spans="1:17">
      <c r="A117" s="7">
        <v>111</v>
      </c>
      <c r="B117">
        <v>4</v>
      </c>
      <c r="C117">
        <v>21</v>
      </c>
      <c r="D117" s="5" t="s">
        <v>84</v>
      </c>
      <c r="E117" s="20" t="s">
        <v>43</v>
      </c>
      <c r="F117" t="s">
        <v>184</v>
      </c>
      <c r="G117" s="21">
        <v>0</v>
      </c>
      <c r="H117" s="7">
        <v>0.7</v>
      </c>
      <c r="I117" s="7">
        <v>10</v>
      </c>
      <c r="J117" s="7">
        <v>6930</v>
      </c>
      <c r="P117" s="7">
        <v>0</v>
      </c>
      <c r="Q117" s="7"/>
    </row>
    <row r="118" spans="1:17">
      <c r="A118" s="7">
        <v>112</v>
      </c>
      <c r="B118">
        <v>4</v>
      </c>
      <c r="C118">
        <v>22</v>
      </c>
      <c r="D118" s="5" t="s">
        <v>86</v>
      </c>
      <c r="E118" s="20" t="s">
        <v>46</v>
      </c>
      <c r="F118" t="s">
        <v>185</v>
      </c>
      <c r="G118" s="21">
        <v>0</v>
      </c>
      <c r="H118" s="7">
        <v>0.7</v>
      </c>
      <c r="I118" s="7">
        <v>10</v>
      </c>
      <c r="J118" s="7">
        <v>7276</v>
      </c>
      <c r="P118" s="7">
        <v>0</v>
      </c>
      <c r="Q118" s="7"/>
    </row>
    <row r="119" spans="1:17">
      <c r="A119" s="7">
        <v>113</v>
      </c>
      <c r="B119">
        <v>4</v>
      </c>
      <c r="C119">
        <v>23</v>
      </c>
      <c r="D119" s="5" t="s">
        <v>88</v>
      </c>
      <c r="E119" s="20">
        <v>30</v>
      </c>
      <c r="F119" t="s">
        <v>186</v>
      </c>
      <c r="G119" s="21">
        <v>0</v>
      </c>
      <c r="H119" s="7">
        <v>0.7</v>
      </c>
      <c r="I119" s="7">
        <v>10</v>
      </c>
      <c r="J119" s="7">
        <v>7639</v>
      </c>
      <c r="P119" s="7">
        <v>0</v>
      </c>
      <c r="Q119" s="7"/>
    </row>
    <row r="120" spans="1:17">
      <c r="A120" s="7">
        <v>114</v>
      </c>
      <c r="B120">
        <v>4</v>
      </c>
      <c r="C120">
        <v>24</v>
      </c>
      <c r="D120" s="5" t="s">
        <v>90</v>
      </c>
      <c r="E120" s="20">
        <v>40</v>
      </c>
      <c r="F120" t="s">
        <v>187</v>
      </c>
      <c r="G120" s="21">
        <v>0</v>
      </c>
      <c r="H120" s="7">
        <v>0.7</v>
      </c>
      <c r="I120" s="7">
        <v>10</v>
      </c>
      <c r="J120" s="7">
        <v>8020</v>
      </c>
      <c r="P120" s="7">
        <v>0</v>
      </c>
      <c r="Q120" s="7"/>
    </row>
    <row r="121" spans="1:17">
      <c r="A121" s="7">
        <v>115</v>
      </c>
      <c r="B121">
        <v>4</v>
      </c>
      <c r="C121">
        <v>25</v>
      </c>
      <c r="D121" s="5" t="s">
        <v>92</v>
      </c>
      <c r="E121" s="20">
        <v>45</v>
      </c>
      <c r="F121" t="s">
        <v>188</v>
      </c>
      <c r="G121" s="21">
        <v>0</v>
      </c>
      <c r="H121" s="7">
        <v>0.7</v>
      </c>
      <c r="I121" s="7">
        <v>10</v>
      </c>
      <c r="J121" s="7">
        <v>8421</v>
      </c>
      <c r="P121" s="9">
        <v>1</v>
      </c>
      <c r="Q121" s="9">
        <v>1</v>
      </c>
    </row>
    <row r="122" spans="1:17">
      <c r="A122" s="7">
        <v>116</v>
      </c>
      <c r="B122">
        <v>4</v>
      </c>
      <c r="C122">
        <v>26</v>
      </c>
      <c r="D122" s="5" t="s">
        <v>94</v>
      </c>
      <c r="E122" s="20">
        <v>50</v>
      </c>
      <c r="F122" t="s">
        <v>189</v>
      </c>
      <c r="G122" s="21">
        <v>0</v>
      </c>
      <c r="H122" s="7">
        <v>0.7</v>
      </c>
      <c r="I122" s="7">
        <v>10</v>
      </c>
      <c r="J122" s="7">
        <v>8842</v>
      </c>
      <c r="P122" s="9">
        <v>1</v>
      </c>
      <c r="Q122" s="7"/>
    </row>
    <row r="123" spans="1:17">
      <c r="A123" s="7">
        <v>117</v>
      </c>
      <c r="B123">
        <v>4</v>
      </c>
      <c r="C123">
        <v>27</v>
      </c>
      <c r="D123" s="5" t="s">
        <v>96</v>
      </c>
      <c r="E123" s="20">
        <v>55</v>
      </c>
      <c r="F123" t="s">
        <v>190</v>
      </c>
      <c r="G123" s="21">
        <v>0</v>
      </c>
      <c r="H123" s="7">
        <v>0.7</v>
      </c>
      <c r="I123" s="7">
        <v>10</v>
      </c>
      <c r="J123" s="7">
        <v>9284</v>
      </c>
      <c r="P123" s="9">
        <v>1</v>
      </c>
      <c r="Q123" s="7"/>
    </row>
    <row r="124" spans="1:17">
      <c r="A124" s="7">
        <v>118</v>
      </c>
      <c r="B124">
        <v>4</v>
      </c>
      <c r="C124">
        <v>28</v>
      </c>
      <c r="D124" s="5" t="s">
        <v>98</v>
      </c>
      <c r="E124" s="20">
        <v>60</v>
      </c>
      <c r="F124" t="s">
        <v>191</v>
      </c>
      <c r="G124" s="21">
        <v>0</v>
      </c>
      <c r="H124" s="7">
        <v>0.7</v>
      </c>
      <c r="I124" s="7">
        <v>10</v>
      </c>
      <c r="J124" s="7">
        <v>9748</v>
      </c>
      <c r="P124" s="9">
        <v>1</v>
      </c>
      <c r="Q124" s="7"/>
    </row>
    <row r="125" spans="1:17">
      <c r="A125" s="7">
        <v>119</v>
      </c>
      <c r="B125">
        <v>4</v>
      </c>
      <c r="C125">
        <v>29</v>
      </c>
      <c r="D125" s="5" t="s">
        <v>100</v>
      </c>
      <c r="E125" s="20">
        <v>65</v>
      </c>
      <c r="F125" t="s">
        <v>192</v>
      </c>
      <c r="G125" s="21">
        <v>0</v>
      </c>
      <c r="H125" s="7">
        <v>0.7</v>
      </c>
      <c r="I125" s="7">
        <v>10</v>
      </c>
      <c r="J125" s="7">
        <v>10235</v>
      </c>
      <c r="P125" s="9">
        <v>1</v>
      </c>
      <c r="Q125" s="7"/>
    </row>
    <row r="126" spans="1:17">
      <c r="A126" s="7">
        <v>120</v>
      </c>
      <c r="B126">
        <v>4</v>
      </c>
      <c r="C126">
        <v>30</v>
      </c>
      <c r="D126" s="5" t="s">
        <v>102</v>
      </c>
      <c r="E126" s="20">
        <v>70</v>
      </c>
      <c r="F126" t="s">
        <v>193</v>
      </c>
      <c r="G126" s="21">
        <v>0</v>
      </c>
      <c r="H126" s="7">
        <v>0.7</v>
      </c>
      <c r="I126" s="7">
        <v>10</v>
      </c>
      <c r="J126" s="7">
        <v>10746</v>
      </c>
      <c r="P126" s="13">
        <v>2</v>
      </c>
      <c r="Q126" s="13">
        <v>1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E1" sqref="E1:E20"/>
    </sheetView>
  </sheetViews>
  <sheetFormatPr defaultColWidth="9" defaultRowHeight="13.5" outlineLevelCol="4"/>
  <sheetData>
    <row r="1" spans="1:5">
      <c r="A1">
        <v>0</v>
      </c>
      <c r="B1">
        <v>0</v>
      </c>
      <c r="D1">
        <f>A1+B1</f>
        <v>0</v>
      </c>
      <c r="E1">
        <f>D1*100</f>
        <v>0</v>
      </c>
    </row>
    <row r="2" spans="1:5">
      <c r="A2">
        <v>0.2</v>
      </c>
      <c r="B2">
        <v>0</v>
      </c>
      <c r="D2">
        <f t="shared" ref="D2:D20" si="0">A2+B2</f>
        <v>0.2</v>
      </c>
      <c r="E2">
        <f t="shared" ref="E2:E20" si="1">D2*100</f>
        <v>20</v>
      </c>
    </row>
    <row r="3" spans="1:5">
      <c r="A3">
        <v>0.3</v>
      </c>
      <c r="B3">
        <v>0</v>
      </c>
      <c r="D3">
        <f t="shared" si="0"/>
        <v>0.3</v>
      </c>
      <c r="E3">
        <f t="shared" si="1"/>
        <v>30</v>
      </c>
    </row>
    <row r="4" spans="1:5">
      <c r="A4">
        <v>0.4</v>
      </c>
      <c r="B4">
        <v>0</v>
      </c>
      <c r="D4">
        <f t="shared" si="0"/>
        <v>0.4</v>
      </c>
      <c r="E4">
        <f t="shared" si="1"/>
        <v>40</v>
      </c>
    </row>
    <row r="5" spans="1:5">
      <c r="A5">
        <v>0.5</v>
      </c>
      <c r="B5">
        <v>0</v>
      </c>
      <c r="D5">
        <f t="shared" si="0"/>
        <v>0.5</v>
      </c>
      <c r="E5">
        <f t="shared" si="1"/>
        <v>50</v>
      </c>
    </row>
    <row r="6" spans="1:5">
      <c r="A6">
        <v>0.55</v>
      </c>
      <c r="B6">
        <v>0.05</v>
      </c>
      <c r="D6">
        <f t="shared" si="0"/>
        <v>0.6</v>
      </c>
      <c r="E6">
        <f t="shared" si="1"/>
        <v>60</v>
      </c>
    </row>
    <row r="7" spans="1:5">
      <c r="A7">
        <v>0.65</v>
      </c>
      <c r="B7">
        <v>0.05</v>
      </c>
      <c r="D7">
        <f t="shared" si="0"/>
        <v>0.7</v>
      </c>
      <c r="E7">
        <f t="shared" si="1"/>
        <v>70</v>
      </c>
    </row>
    <row r="8" spans="1:5">
      <c r="A8">
        <v>0.7</v>
      </c>
      <c r="B8">
        <v>0.05</v>
      </c>
      <c r="D8">
        <f t="shared" si="0"/>
        <v>0.75</v>
      </c>
      <c r="E8">
        <f t="shared" si="1"/>
        <v>75</v>
      </c>
    </row>
    <row r="9" spans="1:5">
      <c r="A9">
        <v>0.75</v>
      </c>
      <c r="B9">
        <v>0.05</v>
      </c>
      <c r="D9">
        <f t="shared" si="0"/>
        <v>0.8</v>
      </c>
      <c r="E9">
        <f t="shared" si="1"/>
        <v>80</v>
      </c>
    </row>
    <row r="10" spans="1:5">
      <c r="A10">
        <v>0.8</v>
      </c>
      <c r="B10">
        <v>0.05</v>
      </c>
      <c r="D10">
        <f t="shared" si="0"/>
        <v>0.85</v>
      </c>
      <c r="E10">
        <f t="shared" si="1"/>
        <v>85</v>
      </c>
    </row>
    <row r="11" spans="1:5">
      <c r="A11">
        <v>0.8</v>
      </c>
      <c r="B11">
        <v>0.1</v>
      </c>
      <c r="D11">
        <f t="shared" si="0"/>
        <v>0.9</v>
      </c>
      <c r="E11">
        <f t="shared" si="1"/>
        <v>90</v>
      </c>
    </row>
    <row r="12" spans="1:5">
      <c r="A12">
        <v>0.81</v>
      </c>
      <c r="B12">
        <v>0.1</v>
      </c>
      <c r="D12">
        <f t="shared" si="0"/>
        <v>0.91</v>
      </c>
      <c r="E12">
        <f t="shared" si="1"/>
        <v>91</v>
      </c>
    </row>
    <row r="13" spans="1:5">
      <c r="A13">
        <v>0.82</v>
      </c>
      <c r="B13">
        <v>0.1</v>
      </c>
      <c r="D13">
        <f t="shared" si="0"/>
        <v>0.92</v>
      </c>
      <c r="E13">
        <f t="shared" si="1"/>
        <v>92</v>
      </c>
    </row>
    <row r="14" spans="1:5">
      <c r="A14">
        <v>0.83</v>
      </c>
      <c r="B14">
        <v>0.1</v>
      </c>
      <c r="D14">
        <f t="shared" si="0"/>
        <v>0.93</v>
      </c>
      <c r="E14">
        <f t="shared" si="1"/>
        <v>93</v>
      </c>
    </row>
    <row r="15" spans="1:5">
      <c r="A15">
        <v>0.84</v>
      </c>
      <c r="B15">
        <v>0.1</v>
      </c>
      <c r="D15">
        <f t="shared" si="0"/>
        <v>0.94</v>
      </c>
      <c r="E15">
        <f t="shared" si="1"/>
        <v>94</v>
      </c>
    </row>
    <row r="16" spans="1:5">
      <c r="A16">
        <v>0.8</v>
      </c>
      <c r="B16">
        <v>0.15</v>
      </c>
      <c r="D16">
        <f t="shared" si="0"/>
        <v>0.95</v>
      </c>
      <c r="E16">
        <f t="shared" si="1"/>
        <v>95</v>
      </c>
    </row>
    <row r="17" spans="1:5">
      <c r="A17">
        <v>0.81</v>
      </c>
      <c r="B17">
        <v>0.15</v>
      </c>
      <c r="D17">
        <f t="shared" si="0"/>
        <v>0.96</v>
      </c>
      <c r="E17">
        <f t="shared" si="1"/>
        <v>96</v>
      </c>
    </row>
    <row r="18" spans="1:5">
      <c r="A18">
        <v>0.82</v>
      </c>
      <c r="B18">
        <v>0.15</v>
      </c>
      <c r="D18">
        <f t="shared" si="0"/>
        <v>0.97</v>
      </c>
      <c r="E18">
        <f t="shared" si="1"/>
        <v>97</v>
      </c>
    </row>
    <row r="19" spans="1:5">
      <c r="A19">
        <v>0.83</v>
      </c>
      <c r="B19">
        <v>0.15</v>
      </c>
      <c r="D19">
        <f t="shared" si="0"/>
        <v>0.98</v>
      </c>
      <c r="E19">
        <f t="shared" si="1"/>
        <v>98</v>
      </c>
    </row>
    <row r="20" spans="1:5">
      <c r="A20">
        <v>0.84</v>
      </c>
      <c r="B20">
        <v>0.15</v>
      </c>
      <c r="D20">
        <f t="shared" si="0"/>
        <v>0.99</v>
      </c>
      <c r="E20">
        <f t="shared" si="1"/>
        <v>99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0"/>
  <sheetViews>
    <sheetView workbookViewId="0">
      <selection activeCell="C33" sqref="C33"/>
    </sheetView>
  </sheetViews>
  <sheetFormatPr defaultColWidth="9" defaultRowHeight="13.5"/>
  <cols>
    <col min="1" max="1" width="39.375" customWidth="1"/>
    <col min="3" max="3" width="14.375" customWidth="1"/>
    <col min="8" max="8" width="39" customWidth="1"/>
    <col min="9" max="9" width="40.5083333333333" customWidth="1"/>
  </cols>
  <sheetData>
    <row r="1" ht="15" spans="1:9">
      <c r="A1" s="5" t="s">
        <v>194</v>
      </c>
      <c r="C1" s="6" t="str">
        <f>LEFT(A1,12)</f>
        <v>1001,212002,</v>
      </c>
      <c r="D1">
        <v>5</v>
      </c>
      <c r="E1" t="s">
        <v>195</v>
      </c>
      <c r="F1" t="s">
        <v>196</v>
      </c>
      <c r="H1" s="6"/>
      <c r="I1" t="str">
        <f>C1&amp;D1&amp;E1&amp;F1&amp;G1&amp;H1</f>
        <v>1001,212002,5;5,0,5000</v>
      </c>
    </row>
    <row r="2" ht="15" spans="1:9">
      <c r="A2" s="5" t="s">
        <v>197</v>
      </c>
      <c r="C2" s="6" t="str">
        <f t="shared" ref="C2:C20" si="0">LEFT(A2,12)</f>
        <v>1001,212002,</v>
      </c>
      <c r="D2">
        <v>5</v>
      </c>
      <c r="E2" t="s">
        <v>195</v>
      </c>
      <c r="F2" t="s">
        <v>196</v>
      </c>
      <c r="H2" s="6"/>
      <c r="I2" t="str">
        <f t="shared" ref="I2:I20" si="1">C2&amp;D2&amp;E2&amp;F2&amp;G2&amp;H2</f>
        <v>1001,212002,5;5,0,5000</v>
      </c>
    </row>
    <row r="3" ht="15" spans="1:9">
      <c r="A3" s="5" t="s">
        <v>198</v>
      </c>
      <c r="C3" s="6" t="str">
        <f t="shared" si="0"/>
        <v>1001,212002,</v>
      </c>
      <c r="D3">
        <v>5</v>
      </c>
      <c r="E3" t="s">
        <v>195</v>
      </c>
      <c r="F3" t="s">
        <v>196</v>
      </c>
      <c r="H3" s="6"/>
      <c r="I3" t="str">
        <f t="shared" si="1"/>
        <v>1001,212002,5;5,0,5000</v>
      </c>
    </row>
    <row r="4" ht="15" spans="1:9">
      <c r="A4" s="5" t="s">
        <v>199</v>
      </c>
      <c r="C4" s="6" t="str">
        <f t="shared" si="0"/>
        <v>1001,212002,</v>
      </c>
      <c r="D4">
        <v>5</v>
      </c>
      <c r="E4" t="s">
        <v>195</v>
      </c>
      <c r="F4" t="s">
        <v>196</v>
      </c>
      <c r="H4" s="6"/>
      <c r="I4" t="str">
        <f t="shared" si="1"/>
        <v>1001,212002,5;5,0,5000</v>
      </c>
    </row>
    <row r="5" ht="15" spans="1:9">
      <c r="A5" s="5" t="s">
        <v>200</v>
      </c>
      <c r="C5" s="6" t="str">
        <f t="shared" si="0"/>
        <v>1001,212002,</v>
      </c>
      <c r="D5">
        <v>5</v>
      </c>
      <c r="E5" t="s">
        <v>195</v>
      </c>
      <c r="F5" t="s">
        <v>196</v>
      </c>
      <c r="H5" s="6"/>
      <c r="I5" t="str">
        <f t="shared" si="1"/>
        <v>1001,212002,5;5,0,5000</v>
      </c>
    </row>
    <row r="6" ht="15" spans="1:9">
      <c r="A6" s="5" t="s">
        <v>201</v>
      </c>
      <c r="C6" s="6" t="str">
        <f t="shared" si="0"/>
        <v>1001,213002,</v>
      </c>
      <c r="D6">
        <v>5</v>
      </c>
      <c r="E6" t="s">
        <v>195</v>
      </c>
      <c r="F6" t="s">
        <v>196</v>
      </c>
      <c r="H6" s="6"/>
      <c r="I6" t="str">
        <f t="shared" si="1"/>
        <v>1001,213002,5;5,0,5000</v>
      </c>
    </row>
    <row r="7" ht="15" spans="1:9">
      <c r="A7" s="5" t="s">
        <v>202</v>
      </c>
      <c r="C7" s="6" t="str">
        <f t="shared" si="0"/>
        <v>1001,213002,</v>
      </c>
      <c r="D7">
        <v>5</v>
      </c>
      <c r="E7" t="s">
        <v>195</v>
      </c>
      <c r="F7" t="s">
        <v>196</v>
      </c>
      <c r="H7" s="6"/>
      <c r="I7" t="str">
        <f t="shared" si="1"/>
        <v>1001,213002,5;5,0,5000</v>
      </c>
    </row>
    <row r="8" ht="15" spans="1:9">
      <c r="A8" s="5" t="s">
        <v>203</v>
      </c>
      <c r="C8" s="6" t="str">
        <f t="shared" si="0"/>
        <v>1001,213002,</v>
      </c>
      <c r="D8">
        <v>5</v>
      </c>
      <c r="E8" t="s">
        <v>195</v>
      </c>
      <c r="F8" t="s">
        <v>196</v>
      </c>
      <c r="H8" s="6"/>
      <c r="I8" t="str">
        <f t="shared" si="1"/>
        <v>1001,213002,5;5,0,5000</v>
      </c>
    </row>
    <row r="9" ht="15" spans="1:9">
      <c r="A9" s="5" t="s">
        <v>204</v>
      </c>
      <c r="C9" s="6" t="str">
        <f t="shared" si="0"/>
        <v>1001,213002,</v>
      </c>
      <c r="D9">
        <v>5</v>
      </c>
      <c r="E9" t="s">
        <v>195</v>
      </c>
      <c r="F9" t="s">
        <v>196</v>
      </c>
      <c r="H9" s="6"/>
      <c r="I9" t="str">
        <f t="shared" si="1"/>
        <v>1001,213002,5;5,0,5000</v>
      </c>
    </row>
    <row r="10" ht="15" spans="1:9">
      <c r="A10" s="5" t="s">
        <v>205</v>
      </c>
      <c r="C10" s="6" t="str">
        <f t="shared" si="0"/>
        <v>1001,213002,</v>
      </c>
      <c r="D10">
        <v>5</v>
      </c>
      <c r="E10" t="s">
        <v>195</v>
      </c>
      <c r="F10" t="s">
        <v>196</v>
      </c>
      <c r="H10" s="6"/>
      <c r="I10" t="str">
        <f t="shared" si="1"/>
        <v>1001,213002,5;5,0,5000</v>
      </c>
    </row>
    <row r="11" ht="15" spans="1:9">
      <c r="A11" s="5" t="s">
        <v>206</v>
      </c>
      <c r="C11" s="6" t="str">
        <f t="shared" si="0"/>
        <v>1001,214002,</v>
      </c>
      <c r="D11">
        <v>5</v>
      </c>
      <c r="E11" t="s">
        <v>195</v>
      </c>
      <c r="F11" t="s">
        <v>196</v>
      </c>
      <c r="G11" t="s">
        <v>195</v>
      </c>
      <c r="H11" s="6" t="s">
        <v>207</v>
      </c>
      <c r="I11" t="str">
        <f t="shared" si="1"/>
        <v>1001,214002,5;5,0,5000;1001,214003,1</v>
      </c>
    </row>
    <row r="12" ht="15" spans="1:9">
      <c r="A12" s="5" t="s">
        <v>208</v>
      </c>
      <c r="C12" s="6" t="str">
        <f t="shared" si="0"/>
        <v>1001,214002,</v>
      </c>
      <c r="D12">
        <v>5</v>
      </c>
      <c r="E12" t="s">
        <v>195</v>
      </c>
      <c r="F12" t="s">
        <v>196</v>
      </c>
      <c r="G12" t="s">
        <v>195</v>
      </c>
      <c r="H12" s="6" t="s">
        <v>207</v>
      </c>
      <c r="I12" t="str">
        <f t="shared" si="1"/>
        <v>1001,214002,5;5,0,5000;1001,214003,1</v>
      </c>
    </row>
    <row r="13" ht="15" spans="1:9">
      <c r="A13" s="5" t="s">
        <v>209</v>
      </c>
      <c r="C13" s="6" t="str">
        <f t="shared" si="0"/>
        <v>1001,214002,</v>
      </c>
      <c r="D13">
        <v>5</v>
      </c>
      <c r="E13" t="s">
        <v>195</v>
      </c>
      <c r="F13" t="s">
        <v>196</v>
      </c>
      <c r="G13" t="s">
        <v>195</v>
      </c>
      <c r="H13" s="6" t="s">
        <v>207</v>
      </c>
      <c r="I13" t="str">
        <f t="shared" si="1"/>
        <v>1001,214002,5;5,0,5000;1001,214003,1</v>
      </c>
    </row>
    <row r="14" ht="15" spans="1:9">
      <c r="A14" s="5" t="s">
        <v>210</v>
      </c>
      <c r="C14" s="6" t="str">
        <f t="shared" si="0"/>
        <v>1001,214002,</v>
      </c>
      <c r="D14">
        <v>5</v>
      </c>
      <c r="E14" t="s">
        <v>195</v>
      </c>
      <c r="F14" t="s">
        <v>196</v>
      </c>
      <c r="G14" t="s">
        <v>195</v>
      </c>
      <c r="H14" s="6" t="s">
        <v>207</v>
      </c>
      <c r="I14" t="str">
        <f t="shared" si="1"/>
        <v>1001,214002,5;5,0,5000;1001,214003,1</v>
      </c>
    </row>
    <row r="15" ht="15" spans="1:9">
      <c r="A15" s="5" t="s">
        <v>211</v>
      </c>
      <c r="C15" s="6" t="str">
        <f t="shared" si="0"/>
        <v>1001,214002,</v>
      </c>
      <c r="D15">
        <v>5</v>
      </c>
      <c r="E15" t="s">
        <v>195</v>
      </c>
      <c r="F15" t="s">
        <v>196</v>
      </c>
      <c r="G15" t="s">
        <v>195</v>
      </c>
      <c r="H15" s="6" t="s">
        <v>207</v>
      </c>
      <c r="I15" t="str">
        <f t="shared" si="1"/>
        <v>1001,214002,5;5,0,5000;1001,214003,1</v>
      </c>
    </row>
    <row r="16" ht="15" spans="1:9">
      <c r="A16" s="5" t="s">
        <v>212</v>
      </c>
      <c r="C16" s="6" t="str">
        <f t="shared" si="0"/>
        <v>1001,215002,</v>
      </c>
      <c r="D16">
        <v>5</v>
      </c>
      <c r="E16" t="s">
        <v>195</v>
      </c>
      <c r="F16" t="s">
        <v>196</v>
      </c>
      <c r="G16" t="s">
        <v>195</v>
      </c>
      <c r="H16" s="6" t="s">
        <v>213</v>
      </c>
      <c r="I16" t="str">
        <f t="shared" si="1"/>
        <v>1001,215002,5;5,0,5000;1001,214003,3</v>
      </c>
    </row>
    <row r="17" ht="15" spans="1:9">
      <c r="A17" s="5" t="s">
        <v>214</v>
      </c>
      <c r="C17" s="6" t="str">
        <f t="shared" si="0"/>
        <v>1001,215002,</v>
      </c>
      <c r="D17">
        <v>5</v>
      </c>
      <c r="E17" t="s">
        <v>195</v>
      </c>
      <c r="F17" t="s">
        <v>196</v>
      </c>
      <c r="G17" t="s">
        <v>195</v>
      </c>
      <c r="H17" s="6" t="s">
        <v>213</v>
      </c>
      <c r="I17" t="str">
        <f t="shared" si="1"/>
        <v>1001,215002,5;5,0,5000;1001,214003,3</v>
      </c>
    </row>
    <row r="18" ht="15" spans="1:9">
      <c r="A18" s="5" t="s">
        <v>215</v>
      </c>
      <c r="C18" s="6" t="str">
        <f t="shared" si="0"/>
        <v>1001,215002,</v>
      </c>
      <c r="D18">
        <v>5</v>
      </c>
      <c r="E18" t="s">
        <v>195</v>
      </c>
      <c r="F18" t="s">
        <v>196</v>
      </c>
      <c r="G18" t="s">
        <v>195</v>
      </c>
      <c r="H18" s="6" t="s">
        <v>213</v>
      </c>
      <c r="I18" t="str">
        <f t="shared" si="1"/>
        <v>1001,215002,5;5,0,5000;1001,214003,3</v>
      </c>
    </row>
    <row r="19" ht="15" spans="1:9">
      <c r="A19" s="5" t="s">
        <v>216</v>
      </c>
      <c r="C19" s="6" t="str">
        <f t="shared" si="0"/>
        <v>1001,215002,</v>
      </c>
      <c r="D19">
        <v>5</v>
      </c>
      <c r="E19" t="s">
        <v>195</v>
      </c>
      <c r="F19" t="s">
        <v>196</v>
      </c>
      <c r="G19" t="s">
        <v>195</v>
      </c>
      <c r="H19" s="6" t="s">
        <v>213</v>
      </c>
      <c r="I19" t="str">
        <f t="shared" si="1"/>
        <v>1001,215002,5;5,0,5000;1001,214003,3</v>
      </c>
    </row>
    <row r="20" ht="15" spans="1:9">
      <c r="A20" s="5" t="s">
        <v>217</v>
      </c>
      <c r="C20" s="6" t="str">
        <f t="shared" si="0"/>
        <v>1001,215002,</v>
      </c>
      <c r="D20">
        <v>5</v>
      </c>
      <c r="E20" t="s">
        <v>195</v>
      </c>
      <c r="F20" t="s">
        <v>196</v>
      </c>
      <c r="G20" t="s">
        <v>195</v>
      </c>
      <c r="H20" s="6" t="s">
        <v>213</v>
      </c>
      <c r="I20" t="str">
        <f t="shared" si="1"/>
        <v>1001,215002,5;5,0,5000;1001,214003,3</v>
      </c>
    </row>
    <row r="21" ht="15" spans="1:8">
      <c r="A21" s="5"/>
      <c r="H21" s="6"/>
    </row>
    <row r="22" ht="15" spans="1:8">
      <c r="A22" s="5"/>
      <c r="H22" s="6"/>
    </row>
    <row r="23" ht="15" spans="1:8">
      <c r="A23" s="5"/>
      <c r="H23" s="6"/>
    </row>
    <row r="24" ht="15" spans="1:8">
      <c r="A24" s="5"/>
      <c r="H24" s="6"/>
    </row>
    <row r="25" ht="15" spans="1:8">
      <c r="A25" s="5"/>
      <c r="H25" s="6"/>
    </row>
    <row r="26" ht="15" spans="1:8">
      <c r="A26" s="5"/>
      <c r="H26" s="6"/>
    </row>
    <row r="27" ht="15" spans="1:8">
      <c r="A27" s="5"/>
      <c r="H27" s="6"/>
    </row>
    <row r="28" ht="15" spans="1:8">
      <c r="A28" s="5"/>
      <c r="H28" s="6"/>
    </row>
    <row r="29" ht="15" spans="1:8">
      <c r="A29" s="5"/>
      <c r="H29" s="6"/>
    </row>
    <row r="30" ht="15" spans="1:8">
      <c r="A30" s="5"/>
      <c r="H30" s="6"/>
    </row>
    <row r="31" ht="15" spans="1:8">
      <c r="A31" s="5"/>
      <c r="H31" s="6"/>
    </row>
    <row r="32" ht="15" spans="1:8">
      <c r="A32" s="5"/>
      <c r="H32" s="6"/>
    </row>
    <row r="33" ht="15" spans="1:8">
      <c r="A33" s="5"/>
      <c r="H33" s="6"/>
    </row>
    <row r="34" ht="15" spans="1:8">
      <c r="A34" s="5"/>
      <c r="H34" s="6"/>
    </row>
    <row r="35" ht="15" spans="1:8">
      <c r="A35" s="5"/>
      <c r="H35" s="6"/>
    </row>
    <row r="36" ht="15" spans="1:8">
      <c r="A36" s="5"/>
      <c r="H36" s="6"/>
    </row>
    <row r="37" ht="15" spans="1:8">
      <c r="A37" s="5"/>
      <c r="H37" s="6"/>
    </row>
    <row r="38" ht="15" spans="1:8">
      <c r="A38" s="5"/>
      <c r="H38" s="6"/>
    </row>
    <row r="39" ht="15" spans="1:8">
      <c r="A39" s="5"/>
      <c r="H39" s="6"/>
    </row>
    <row r="40" ht="15" spans="1:8">
      <c r="A40" s="5"/>
      <c r="H40" s="6"/>
    </row>
    <row r="41" ht="15" spans="1:8">
      <c r="A41" s="5"/>
      <c r="H41" s="6"/>
    </row>
    <row r="42" ht="15" spans="1:8">
      <c r="A42" s="5"/>
      <c r="H42" s="6"/>
    </row>
    <row r="43" ht="15" spans="1:8">
      <c r="A43" s="5"/>
      <c r="H43" s="6"/>
    </row>
    <row r="44" ht="15" spans="1:8">
      <c r="A44" s="5"/>
      <c r="H44" s="6"/>
    </row>
    <row r="45" ht="15" spans="1:8">
      <c r="A45" s="5"/>
      <c r="H45" s="6"/>
    </row>
    <row r="46" ht="15" spans="1:8">
      <c r="A46" s="5"/>
      <c r="H46" s="6"/>
    </row>
    <row r="47" ht="15" spans="1:8">
      <c r="A47" s="5"/>
      <c r="H47" s="6"/>
    </row>
    <row r="48" ht="15" spans="1:8">
      <c r="A48" s="5"/>
      <c r="H48" s="6"/>
    </row>
    <row r="49" ht="15" spans="1:8">
      <c r="A49" s="5"/>
      <c r="H49" s="6"/>
    </row>
    <row r="50" ht="15" spans="1:8">
      <c r="A50" s="5"/>
      <c r="H50" s="6"/>
    </row>
    <row r="51" ht="15" spans="1:8">
      <c r="A51" s="5"/>
      <c r="H51" s="6"/>
    </row>
    <row r="52" ht="15" spans="1:8">
      <c r="A52" s="5"/>
      <c r="H52" s="6"/>
    </row>
    <row r="53" ht="15" spans="1:8">
      <c r="A53" s="5"/>
      <c r="H53" s="6"/>
    </row>
    <row r="54" ht="15" spans="1:8">
      <c r="A54" s="5"/>
      <c r="H54" s="6"/>
    </row>
    <row r="55" ht="15" spans="1:8">
      <c r="A55" s="5"/>
      <c r="H55" s="6"/>
    </row>
    <row r="56" ht="15" spans="1:8">
      <c r="A56" s="5"/>
      <c r="H56" s="6"/>
    </row>
    <row r="57" ht="15" spans="1:8">
      <c r="A57" s="5"/>
      <c r="H57" s="6"/>
    </row>
    <row r="58" ht="15" spans="1:8">
      <c r="A58" s="5"/>
      <c r="H58" s="6"/>
    </row>
    <row r="59" ht="15" spans="1:8">
      <c r="A59" s="5"/>
      <c r="H59" s="6"/>
    </row>
    <row r="60" ht="15" spans="1:8">
      <c r="A60" s="5"/>
      <c r="H60" s="6"/>
    </row>
    <row r="61" ht="15" spans="1:8">
      <c r="A61" s="5"/>
      <c r="H61" s="6"/>
    </row>
    <row r="62" ht="15" spans="1:8">
      <c r="A62" s="5"/>
      <c r="H62" s="6"/>
    </row>
    <row r="63" ht="15" spans="1:8">
      <c r="A63" s="5"/>
      <c r="H63" s="6"/>
    </row>
    <row r="64" ht="15" spans="1:8">
      <c r="A64" s="5"/>
      <c r="H64" s="6"/>
    </row>
    <row r="65" ht="15" spans="1:8">
      <c r="A65" s="5"/>
      <c r="H65" s="6"/>
    </row>
    <row r="66" ht="15" spans="1:8">
      <c r="A66" s="5"/>
      <c r="H66" s="6"/>
    </row>
    <row r="67" ht="15" spans="1:8">
      <c r="A67" s="5"/>
      <c r="H67" s="6"/>
    </row>
    <row r="68" ht="15" spans="1:8">
      <c r="A68" s="5"/>
      <c r="H68" s="6"/>
    </row>
    <row r="69" ht="15" spans="1:8">
      <c r="A69" s="5"/>
      <c r="H69" s="6"/>
    </row>
    <row r="70" ht="15" spans="1:8">
      <c r="A70" s="5"/>
      <c r="H70" s="6"/>
    </row>
    <row r="71" ht="15" spans="1:8">
      <c r="A71" s="5"/>
      <c r="H71" s="6"/>
    </row>
    <row r="72" ht="15" spans="1:8">
      <c r="A72" s="5"/>
      <c r="H72" s="6"/>
    </row>
    <row r="73" ht="15" spans="1:8">
      <c r="A73" s="5"/>
      <c r="H73" s="6"/>
    </row>
    <row r="74" ht="15" spans="1:8">
      <c r="A74" s="5"/>
      <c r="H74" s="6"/>
    </row>
    <row r="75" ht="15" spans="1:8">
      <c r="A75" s="5"/>
      <c r="H75" s="6"/>
    </row>
    <row r="76" ht="15" spans="1:8">
      <c r="A76" s="5"/>
      <c r="H76" s="6"/>
    </row>
    <row r="77" ht="15" spans="1:8">
      <c r="A77" s="5"/>
      <c r="H77" s="6"/>
    </row>
    <row r="78" ht="15" spans="1:8">
      <c r="A78" s="5"/>
      <c r="H78" s="6"/>
    </row>
    <row r="79" ht="15" spans="1:8">
      <c r="A79" s="5"/>
      <c r="H79" s="6"/>
    </row>
    <row r="80" ht="15" spans="1:8">
      <c r="A80" s="5"/>
      <c r="H80" s="6"/>
    </row>
  </sheetData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C1" sqref="C1:C20"/>
    </sheetView>
  </sheetViews>
  <sheetFormatPr defaultColWidth="9" defaultRowHeight="13.5"/>
  <sheetData>
    <row r="1" ht="16.5" spans="1:12">
      <c r="A1">
        <v>0</v>
      </c>
      <c r="B1">
        <v>0</v>
      </c>
      <c r="C1">
        <f>A1*100</f>
        <v>0</v>
      </c>
      <c r="D1">
        <v>0</v>
      </c>
      <c r="E1" s="1">
        <f>D1*100</f>
        <v>0</v>
      </c>
      <c r="F1">
        <v>0</v>
      </c>
      <c r="H1" s="2">
        <v>1</v>
      </c>
      <c r="I1" s="3">
        <v>1</v>
      </c>
      <c r="J1" s="3">
        <f>(1-K1)-I1</f>
        <v>0</v>
      </c>
      <c r="K1" s="3">
        <v>0</v>
      </c>
      <c r="L1" s="3">
        <f>J1+K1</f>
        <v>0</v>
      </c>
    </row>
    <row r="2" ht="16.5" spans="1:12">
      <c r="A2">
        <v>0</v>
      </c>
      <c r="B2">
        <v>0.2</v>
      </c>
      <c r="C2">
        <f t="shared" ref="C2:C20" si="0">A2*100</f>
        <v>0</v>
      </c>
      <c r="D2">
        <f t="shared" ref="D2:D20" si="1">A2/B2</f>
        <v>0</v>
      </c>
      <c r="E2" s="1">
        <f t="shared" ref="E2:E20" si="2">D2*100</f>
        <v>0</v>
      </c>
      <c r="F2">
        <v>0</v>
      </c>
      <c r="H2" s="2">
        <v>2</v>
      </c>
      <c r="I2" s="3">
        <v>0.8</v>
      </c>
      <c r="J2" s="3">
        <f t="shared" ref="J2:J20" si="3">(1-K2)-I2</f>
        <v>0.2</v>
      </c>
      <c r="K2" s="3">
        <v>0</v>
      </c>
      <c r="L2" s="3">
        <f t="shared" ref="L2:L20" si="4">J2+K2</f>
        <v>0.2</v>
      </c>
    </row>
    <row r="3" ht="16.5" spans="1:12">
      <c r="A3">
        <v>0</v>
      </c>
      <c r="B3">
        <v>0.3</v>
      </c>
      <c r="C3">
        <f t="shared" si="0"/>
        <v>0</v>
      </c>
      <c r="D3">
        <f t="shared" si="1"/>
        <v>0</v>
      </c>
      <c r="E3" s="1">
        <f t="shared" si="2"/>
        <v>0</v>
      </c>
      <c r="F3">
        <v>0</v>
      </c>
      <c r="H3" s="2">
        <v>3</v>
      </c>
      <c r="I3" s="3">
        <v>0.7</v>
      </c>
      <c r="J3" s="3">
        <f t="shared" si="3"/>
        <v>0.3</v>
      </c>
      <c r="K3" s="3">
        <v>0</v>
      </c>
      <c r="L3" s="3">
        <f t="shared" si="4"/>
        <v>0.3</v>
      </c>
    </row>
    <row r="4" ht="16.5" spans="1:12">
      <c r="A4">
        <v>0</v>
      </c>
      <c r="B4">
        <v>0.4</v>
      </c>
      <c r="C4">
        <f t="shared" si="0"/>
        <v>0</v>
      </c>
      <c r="D4">
        <f t="shared" si="1"/>
        <v>0</v>
      </c>
      <c r="E4" s="1">
        <f t="shared" si="2"/>
        <v>0</v>
      </c>
      <c r="F4">
        <v>0</v>
      </c>
      <c r="H4" s="2">
        <v>4</v>
      </c>
      <c r="I4" s="3">
        <v>0.6</v>
      </c>
      <c r="J4" s="3">
        <f t="shared" si="3"/>
        <v>0.4</v>
      </c>
      <c r="K4" s="3">
        <v>0</v>
      </c>
      <c r="L4" s="3">
        <f t="shared" si="4"/>
        <v>0.4</v>
      </c>
    </row>
    <row r="5" ht="16.5" spans="1:12">
      <c r="A5">
        <v>0</v>
      </c>
      <c r="B5">
        <v>0.5</v>
      </c>
      <c r="C5">
        <f t="shared" si="0"/>
        <v>0</v>
      </c>
      <c r="D5">
        <f t="shared" si="1"/>
        <v>0</v>
      </c>
      <c r="E5" s="1">
        <f t="shared" si="2"/>
        <v>0</v>
      </c>
      <c r="F5">
        <v>0</v>
      </c>
      <c r="H5" s="2">
        <v>5</v>
      </c>
      <c r="I5" s="3">
        <v>0.5</v>
      </c>
      <c r="J5" s="3">
        <f t="shared" si="3"/>
        <v>0.5</v>
      </c>
      <c r="K5" s="3">
        <v>0</v>
      </c>
      <c r="L5" s="3">
        <f t="shared" si="4"/>
        <v>0.5</v>
      </c>
    </row>
    <row r="6" ht="16.5" spans="1:12">
      <c r="A6">
        <v>0.05</v>
      </c>
      <c r="B6">
        <v>0.6</v>
      </c>
      <c r="C6">
        <f t="shared" si="0"/>
        <v>5</v>
      </c>
      <c r="D6">
        <f t="shared" si="1"/>
        <v>0.0833333333333333</v>
      </c>
      <c r="E6" s="1">
        <f t="shared" si="2"/>
        <v>8.33333333333333</v>
      </c>
      <c r="F6">
        <v>8</v>
      </c>
      <c r="H6" s="2">
        <v>6</v>
      </c>
      <c r="I6" s="3">
        <v>0.4</v>
      </c>
      <c r="J6" s="3">
        <f t="shared" si="3"/>
        <v>0.55</v>
      </c>
      <c r="K6" s="3">
        <v>0.05</v>
      </c>
      <c r="L6" s="3">
        <f t="shared" si="4"/>
        <v>0.6</v>
      </c>
    </row>
    <row r="7" ht="16.5" spans="1:12">
      <c r="A7">
        <v>0.05</v>
      </c>
      <c r="B7">
        <v>0.7</v>
      </c>
      <c r="C7">
        <f t="shared" si="0"/>
        <v>5</v>
      </c>
      <c r="D7">
        <f t="shared" si="1"/>
        <v>0.0714285714285714</v>
      </c>
      <c r="E7" s="1">
        <f t="shared" si="2"/>
        <v>7.14285714285714</v>
      </c>
      <c r="F7">
        <v>7</v>
      </c>
      <c r="H7" s="2">
        <v>7</v>
      </c>
      <c r="I7" s="3">
        <v>0.3</v>
      </c>
      <c r="J7" s="3">
        <f t="shared" si="3"/>
        <v>0.65</v>
      </c>
      <c r="K7" s="3">
        <v>0.05</v>
      </c>
      <c r="L7" s="3">
        <f t="shared" si="4"/>
        <v>0.7</v>
      </c>
    </row>
    <row r="8" ht="16.5" spans="1:12">
      <c r="A8">
        <v>0.05</v>
      </c>
      <c r="B8">
        <v>0.75</v>
      </c>
      <c r="C8">
        <f t="shared" si="0"/>
        <v>5</v>
      </c>
      <c r="D8">
        <f t="shared" si="1"/>
        <v>0.0666666666666667</v>
      </c>
      <c r="E8" s="1">
        <f t="shared" si="2"/>
        <v>6.66666666666667</v>
      </c>
      <c r="F8">
        <v>7</v>
      </c>
      <c r="H8" s="2">
        <v>8</v>
      </c>
      <c r="I8" s="3">
        <v>0.25</v>
      </c>
      <c r="J8" s="3">
        <f t="shared" si="3"/>
        <v>0.7</v>
      </c>
      <c r="K8" s="3">
        <v>0.05</v>
      </c>
      <c r="L8" s="3">
        <f t="shared" si="4"/>
        <v>0.75</v>
      </c>
    </row>
    <row r="9" ht="16.5" spans="1:12">
      <c r="A9">
        <v>0.05</v>
      </c>
      <c r="B9">
        <v>0.8</v>
      </c>
      <c r="C9">
        <f t="shared" si="0"/>
        <v>5</v>
      </c>
      <c r="D9">
        <f t="shared" si="1"/>
        <v>0.0625</v>
      </c>
      <c r="E9" s="1">
        <f t="shared" si="2"/>
        <v>6.25</v>
      </c>
      <c r="F9">
        <v>6</v>
      </c>
      <c r="H9" s="2">
        <v>9</v>
      </c>
      <c r="I9" s="3">
        <v>0.2</v>
      </c>
      <c r="J9" s="3">
        <f t="shared" si="3"/>
        <v>0.75</v>
      </c>
      <c r="K9" s="3">
        <v>0.05</v>
      </c>
      <c r="L9" s="3">
        <f t="shared" si="4"/>
        <v>0.8</v>
      </c>
    </row>
    <row r="10" ht="16.5" spans="1:12">
      <c r="A10">
        <v>0.05</v>
      </c>
      <c r="B10">
        <v>0.85</v>
      </c>
      <c r="C10">
        <f t="shared" si="0"/>
        <v>5</v>
      </c>
      <c r="D10">
        <f t="shared" si="1"/>
        <v>0.0588235294117647</v>
      </c>
      <c r="E10" s="1">
        <f t="shared" si="2"/>
        <v>5.88235294117647</v>
      </c>
      <c r="F10">
        <v>6</v>
      </c>
      <c r="H10" s="2">
        <v>10</v>
      </c>
      <c r="I10" s="3">
        <v>0.15</v>
      </c>
      <c r="J10" s="3">
        <f t="shared" si="3"/>
        <v>0.8</v>
      </c>
      <c r="K10" s="3">
        <v>0.05</v>
      </c>
      <c r="L10" s="3">
        <f t="shared" si="4"/>
        <v>0.85</v>
      </c>
    </row>
    <row r="11" ht="16.5" spans="1:12">
      <c r="A11">
        <v>0.1</v>
      </c>
      <c r="B11">
        <v>0.9</v>
      </c>
      <c r="C11">
        <f t="shared" si="0"/>
        <v>10</v>
      </c>
      <c r="D11">
        <f t="shared" si="1"/>
        <v>0.111111111111111</v>
      </c>
      <c r="E11" s="1">
        <f t="shared" si="2"/>
        <v>11.1111111111111</v>
      </c>
      <c r="F11">
        <v>11</v>
      </c>
      <c r="H11" s="2">
        <v>11</v>
      </c>
      <c r="I11" s="3">
        <v>0.1</v>
      </c>
      <c r="J11" s="3">
        <f t="shared" si="3"/>
        <v>0.8</v>
      </c>
      <c r="K11" s="3">
        <v>0.1</v>
      </c>
      <c r="L11" s="3">
        <f t="shared" si="4"/>
        <v>0.9</v>
      </c>
    </row>
    <row r="12" ht="16.5" spans="1:12">
      <c r="A12">
        <v>0.1</v>
      </c>
      <c r="B12">
        <v>0.91</v>
      </c>
      <c r="C12">
        <f t="shared" si="0"/>
        <v>10</v>
      </c>
      <c r="D12">
        <f t="shared" si="1"/>
        <v>0.10989010989011</v>
      </c>
      <c r="E12" s="1">
        <f t="shared" si="2"/>
        <v>10.989010989011</v>
      </c>
      <c r="F12">
        <v>11</v>
      </c>
      <c r="H12" s="2">
        <v>12</v>
      </c>
      <c r="I12" s="3">
        <v>0.09</v>
      </c>
      <c r="J12" s="3">
        <f t="shared" si="3"/>
        <v>0.81</v>
      </c>
      <c r="K12" s="3">
        <v>0.1</v>
      </c>
      <c r="L12" s="3">
        <f t="shared" si="4"/>
        <v>0.91</v>
      </c>
    </row>
    <row r="13" ht="16.5" spans="1:12">
      <c r="A13">
        <v>0.1</v>
      </c>
      <c r="B13">
        <v>0.92</v>
      </c>
      <c r="C13">
        <f t="shared" si="0"/>
        <v>10</v>
      </c>
      <c r="D13">
        <f t="shared" si="1"/>
        <v>0.108695652173913</v>
      </c>
      <c r="E13" s="1">
        <f t="shared" si="2"/>
        <v>10.8695652173913</v>
      </c>
      <c r="F13">
        <v>11</v>
      </c>
      <c r="H13" s="2">
        <v>13</v>
      </c>
      <c r="I13" s="3">
        <v>0.08</v>
      </c>
      <c r="J13" s="3">
        <f t="shared" si="3"/>
        <v>0.82</v>
      </c>
      <c r="K13" s="3">
        <v>0.1</v>
      </c>
      <c r="L13" s="3">
        <f t="shared" si="4"/>
        <v>0.92</v>
      </c>
    </row>
    <row r="14" ht="16.5" spans="1:12">
      <c r="A14">
        <v>0.1</v>
      </c>
      <c r="B14">
        <v>0.93</v>
      </c>
      <c r="C14">
        <f t="shared" si="0"/>
        <v>10</v>
      </c>
      <c r="D14">
        <f t="shared" si="1"/>
        <v>0.10752688172043</v>
      </c>
      <c r="E14" s="1">
        <f t="shared" si="2"/>
        <v>10.752688172043</v>
      </c>
      <c r="F14">
        <v>11</v>
      </c>
      <c r="H14" s="2">
        <v>14</v>
      </c>
      <c r="I14" s="3">
        <v>0.07</v>
      </c>
      <c r="J14" s="3">
        <f t="shared" si="3"/>
        <v>0.83</v>
      </c>
      <c r="K14" s="3">
        <v>0.1</v>
      </c>
      <c r="L14" s="3">
        <f t="shared" si="4"/>
        <v>0.93</v>
      </c>
    </row>
    <row r="15" ht="16.5" spans="1:12">
      <c r="A15">
        <v>0.1</v>
      </c>
      <c r="B15">
        <v>0.94</v>
      </c>
      <c r="C15">
        <f t="shared" si="0"/>
        <v>10</v>
      </c>
      <c r="D15">
        <f t="shared" si="1"/>
        <v>0.106382978723404</v>
      </c>
      <c r="E15" s="1">
        <f t="shared" si="2"/>
        <v>10.6382978723404</v>
      </c>
      <c r="F15">
        <v>11</v>
      </c>
      <c r="H15" s="2">
        <v>15</v>
      </c>
      <c r="I15" s="3">
        <v>0.06</v>
      </c>
      <c r="J15" s="3">
        <f t="shared" si="3"/>
        <v>0.84</v>
      </c>
      <c r="K15" s="3">
        <v>0.1</v>
      </c>
      <c r="L15" s="3">
        <f t="shared" si="4"/>
        <v>0.94</v>
      </c>
    </row>
    <row r="16" ht="16.5" spans="1:12">
      <c r="A16">
        <v>0.15</v>
      </c>
      <c r="B16">
        <v>0.95</v>
      </c>
      <c r="C16">
        <f t="shared" si="0"/>
        <v>15</v>
      </c>
      <c r="D16">
        <f t="shared" si="1"/>
        <v>0.157894736842105</v>
      </c>
      <c r="E16" s="1">
        <f t="shared" si="2"/>
        <v>15.7894736842105</v>
      </c>
      <c r="F16">
        <v>16</v>
      </c>
      <c r="H16" s="2">
        <v>16</v>
      </c>
      <c r="I16" s="4">
        <v>0.05</v>
      </c>
      <c r="J16" s="3">
        <f t="shared" si="3"/>
        <v>0.8</v>
      </c>
      <c r="K16" s="4">
        <v>0.15</v>
      </c>
      <c r="L16" s="3">
        <f t="shared" si="4"/>
        <v>0.95</v>
      </c>
    </row>
    <row r="17" ht="16.5" spans="1:12">
      <c r="A17">
        <v>0.15</v>
      </c>
      <c r="B17">
        <v>0.96</v>
      </c>
      <c r="C17">
        <f t="shared" si="0"/>
        <v>15</v>
      </c>
      <c r="D17">
        <f t="shared" si="1"/>
        <v>0.15625</v>
      </c>
      <c r="E17" s="1">
        <f t="shared" si="2"/>
        <v>15.625</v>
      </c>
      <c r="F17">
        <v>16</v>
      </c>
      <c r="H17" s="2">
        <v>17</v>
      </c>
      <c r="I17" s="4">
        <v>0.04</v>
      </c>
      <c r="J17" s="3">
        <f t="shared" si="3"/>
        <v>0.81</v>
      </c>
      <c r="K17" s="4">
        <v>0.15</v>
      </c>
      <c r="L17" s="3">
        <f t="shared" si="4"/>
        <v>0.96</v>
      </c>
    </row>
    <row r="18" ht="16.5" spans="1:12">
      <c r="A18">
        <v>0.15</v>
      </c>
      <c r="B18">
        <v>0.97</v>
      </c>
      <c r="C18">
        <f t="shared" si="0"/>
        <v>15</v>
      </c>
      <c r="D18">
        <f t="shared" si="1"/>
        <v>0.154639175257732</v>
      </c>
      <c r="E18" s="1">
        <f t="shared" si="2"/>
        <v>15.4639175257732</v>
      </c>
      <c r="F18">
        <v>15</v>
      </c>
      <c r="H18" s="2">
        <v>18</v>
      </c>
      <c r="I18" s="4">
        <v>0.03</v>
      </c>
      <c r="J18" s="3">
        <f t="shared" si="3"/>
        <v>0.82</v>
      </c>
      <c r="K18" s="4">
        <v>0.15</v>
      </c>
      <c r="L18" s="3">
        <f t="shared" si="4"/>
        <v>0.97</v>
      </c>
    </row>
    <row r="19" ht="16.5" spans="1:12">
      <c r="A19">
        <v>0.15</v>
      </c>
      <c r="B19">
        <v>0.98</v>
      </c>
      <c r="C19">
        <f t="shared" si="0"/>
        <v>15</v>
      </c>
      <c r="D19">
        <f t="shared" si="1"/>
        <v>0.153061224489796</v>
      </c>
      <c r="E19" s="1">
        <f t="shared" si="2"/>
        <v>15.3061224489796</v>
      </c>
      <c r="F19">
        <v>15</v>
      </c>
      <c r="H19" s="2">
        <v>19</v>
      </c>
      <c r="I19" s="4">
        <v>0.02</v>
      </c>
      <c r="J19" s="3">
        <f t="shared" si="3"/>
        <v>0.83</v>
      </c>
      <c r="K19" s="4">
        <v>0.15</v>
      </c>
      <c r="L19" s="3">
        <f t="shared" si="4"/>
        <v>0.98</v>
      </c>
    </row>
    <row r="20" ht="16.5" spans="1:12">
      <c r="A20">
        <v>0.15</v>
      </c>
      <c r="B20">
        <v>0.99</v>
      </c>
      <c r="C20">
        <f t="shared" si="0"/>
        <v>15</v>
      </c>
      <c r="D20">
        <f t="shared" si="1"/>
        <v>0.151515151515152</v>
      </c>
      <c r="E20" s="1">
        <f t="shared" si="2"/>
        <v>15.1515151515152</v>
      </c>
      <c r="F20">
        <v>15</v>
      </c>
      <c r="H20" s="2">
        <v>20</v>
      </c>
      <c r="I20" s="4">
        <v>0.01</v>
      </c>
      <c r="J20" s="3">
        <f t="shared" si="3"/>
        <v>0.84</v>
      </c>
      <c r="K20" s="4">
        <v>0.15</v>
      </c>
      <c r="L20" s="3">
        <f t="shared" si="4"/>
        <v>0.99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2025-05-27T09:51:39Z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3C7636ABA7024A318FDAD77BABBE574B</vt:lpwstr>
  </property>
</Properties>
</file>