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50" windowHeight="11190"/>
  </bookViews>
  <sheets>
    <sheet name="Sheet1" sheetId="1" r:id="rId1"/>
    <sheet name="Sheet2" sheetId="2" r:id="rId2"/>
    <sheet name="Sheet3" sheetId="3" r:id="rId3"/>
    <sheet name="Sheet4" sheetId="4" r:id="rId4"/>
    <sheet name="制作表" sheetId="7" r:id="rId5"/>
  </sheets>
  <definedNames>
    <definedName name="_xlnm._FilterDatabase" localSheetId="2" hidden="1">Sheet3!$L$1:$L$33</definedName>
    <definedName name="_xlnm._FilterDatabase" localSheetId="3" hidden="1">Sheet4!$C$4:$R$70</definedName>
    <definedName name="_xlnm._FilterDatabase" localSheetId="0" hidden="1">Sheet1!$A$6:$X$549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<sst xmlns="http://schemas.openxmlformats.org/spreadsheetml/2006/main" count="591" uniqueCount="152">
  <si>
    <t>试玩卡等级</t>
  </si>
  <si>
    <t>攻击</t>
  </si>
  <si>
    <t>防御</t>
  </si>
  <si>
    <t>血量</t>
  </si>
  <si>
    <t>速度</t>
  </si>
  <si>
    <t>命中</t>
  </si>
  <si>
    <t>闪避</t>
  </si>
  <si>
    <t>格挡</t>
  </si>
  <si>
    <t>破击</t>
  </si>
  <si>
    <t>暴击</t>
  </si>
  <si>
    <t>韧性</t>
  </si>
  <si>
    <t>暴伤</t>
  </si>
  <si>
    <t>抗暴伤</t>
  </si>
  <si>
    <t>heroLevel</t>
  </si>
  <si>
    <t>atk</t>
  </si>
  <si>
    <t>def</t>
  </si>
  <si>
    <t>maxHp</t>
  </si>
  <si>
    <t>speed</t>
  </si>
  <si>
    <t>hit</t>
  </si>
  <si>
    <t>dodge</t>
  </si>
  <si>
    <t>block</t>
  </si>
  <si>
    <t>antiblock</t>
  </si>
  <si>
    <t>cri</t>
  </si>
  <si>
    <t>anticri</t>
  </si>
  <si>
    <t>cridamage</t>
  </si>
  <si>
    <t>anticridamage</t>
  </si>
  <si>
    <t>int</t>
  </si>
  <si>
    <t>double</t>
  </si>
  <si>
    <t>primary</t>
  </si>
  <si>
    <t>none</t>
  </si>
  <si>
    <t>defEvaluate</t>
  </si>
  <si>
    <t>hpEvaluate</t>
  </si>
  <si>
    <t>speedEvaluate</t>
  </si>
  <si>
    <t>criEvaluate</t>
  </si>
  <si>
    <t>anticriEvaluate</t>
  </si>
  <si>
    <t>hitEvaluate</t>
  </si>
  <si>
    <t>dodgeEvaluate</t>
  </si>
  <si>
    <t>atkEvaluate</t>
  </si>
  <si>
    <t>路飞</t>
  </si>
  <si>
    <t>A</t>
  </si>
  <si>
    <t>C</t>
  </si>
  <si>
    <t>B</t>
  </si>
  <si>
    <t>D</t>
  </si>
  <si>
    <t>SSS</t>
  </si>
  <si>
    <t>索隆</t>
  </si>
  <si>
    <t>SS</t>
  </si>
  <si>
    <t>弗兰奇</t>
  </si>
  <si>
    <t>S</t>
  </si>
  <si>
    <t>娜美</t>
  </si>
  <si>
    <t>山治</t>
  </si>
  <si>
    <t>乌索普</t>
  </si>
  <si>
    <t>布鲁克</t>
  </si>
  <si>
    <t>乔巴</t>
  </si>
  <si>
    <t>罗宾</t>
  </si>
  <si>
    <t>巴基</t>
  </si>
  <si>
    <t>烟鬼</t>
  </si>
  <si>
    <t>塔西琪</t>
  </si>
  <si>
    <t>E</t>
  </si>
  <si>
    <t>Mr.1</t>
  </si>
  <si>
    <t>Mr.2</t>
  </si>
  <si>
    <t>Mr.3</t>
  </si>
  <si>
    <t>Ms.双手指</t>
  </si>
  <si>
    <t>贝拉米</t>
  </si>
  <si>
    <t>帕瓦</t>
  </si>
  <si>
    <t>杰布拉</t>
  </si>
  <si>
    <t>佳妮法</t>
  </si>
  <si>
    <t>卡古</t>
  </si>
  <si>
    <t>罗布</t>
  </si>
  <si>
    <t>阿布萨罗姆</t>
  </si>
  <si>
    <t>豪格巴克</t>
  </si>
  <si>
    <t>佩罗娜</t>
  </si>
  <si>
    <t>龙马</t>
  </si>
  <si>
    <t>鳄鱼</t>
  </si>
  <si>
    <t>艾尼路</t>
  </si>
  <si>
    <t>青雉</t>
  </si>
  <si>
    <t>卡普</t>
  </si>
  <si>
    <t>莫利亚</t>
  </si>
  <si>
    <t>大熊</t>
  </si>
  <si>
    <t>黄猿</t>
  </si>
  <si>
    <t>艾斯</t>
  </si>
  <si>
    <t>赤犬</t>
  </si>
  <si>
    <t>鹰眼</t>
  </si>
  <si>
    <t>可比（幼年）</t>
  </si>
  <si>
    <t>摩根</t>
  </si>
  <si>
    <t>卡巴奇</t>
  </si>
  <si>
    <t>克洛</t>
  </si>
  <si>
    <t>强高</t>
  </si>
  <si>
    <t>首领·克里克</t>
  </si>
  <si>
    <t>阿金</t>
  </si>
  <si>
    <t>帕鲁</t>
  </si>
  <si>
    <t>阿龙</t>
  </si>
  <si>
    <t>阿八</t>
  </si>
  <si>
    <t>约撒</t>
  </si>
  <si>
    <t>Miss.黄金周</t>
  </si>
  <si>
    <t>薇薇</t>
  </si>
  <si>
    <t>瓦波尔</t>
  </si>
  <si>
    <t>Mr.4</t>
  </si>
  <si>
    <t>Mr.5</t>
  </si>
  <si>
    <t>初级突破书</t>
  </si>
  <si>
    <t>中级突破书</t>
  </si>
  <si>
    <t>高级突破书</t>
  </si>
  <si>
    <t>超级突破书</t>
  </si>
  <si>
    <t>初级突破卷轴</t>
  </si>
  <si>
    <t>中级突破卷轴</t>
  </si>
  <si>
    <t>高级突破卷轴</t>
  </si>
  <si>
    <t>超级突破卷轴</t>
  </si>
  <si>
    <t>初级突破海图</t>
  </si>
  <si>
    <t>中级突破海图</t>
  </si>
  <si>
    <t>高级突破海图</t>
  </si>
  <si>
    <t>超级突破海图</t>
  </si>
  <si>
    <t>初级突破灵药</t>
  </si>
  <si>
    <t>中级突破灵药</t>
  </si>
  <si>
    <t>高级突破灵药</t>
  </si>
  <si>
    <t>超级突破灵药</t>
  </si>
  <si>
    <t>初级突破皇冠</t>
  </si>
  <si>
    <t>中级突破皇冠</t>
  </si>
  <si>
    <t>高级突破皇冠</t>
  </si>
  <si>
    <t>超级突破皇冠</t>
  </si>
  <si>
    <t>R</t>
  </si>
  <si>
    <t>A2</t>
  </si>
  <si>
    <t>B2</t>
  </si>
  <si>
    <t>B3</t>
  </si>
  <si>
    <t>A3</t>
  </si>
  <si>
    <t>C2</t>
  </si>
  <si>
    <t>C3</t>
  </si>
  <si>
    <t>D2</t>
  </si>
  <si>
    <t>D3</t>
  </si>
  <si>
    <t>E2</t>
  </si>
  <si>
    <t>E3</t>
  </si>
  <si>
    <t>Ms.黄金周</t>
  </si>
  <si>
    <t>猫头鹰</t>
  </si>
  <si>
    <t>脸谱</t>
  </si>
  <si>
    <t>战桃丸</t>
  </si>
  <si>
    <t>培波</t>
  </si>
  <si>
    <t>突破消耗</t>
  </si>
  <si>
    <t>品质</t>
  </si>
  <si>
    <t>heroId</t>
  </si>
  <si>
    <t>中级A</t>
  </si>
  <si>
    <t>中级B</t>
  </si>
  <si>
    <t>高级A</t>
  </si>
  <si>
    <t>高级B</t>
  </si>
  <si>
    <t>超级A</t>
  </si>
  <si>
    <t>超级B</t>
  </si>
  <si>
    <t>突破核心</t>
  </si>
  <si>
    <t>突破精华</t>
  </si>
  <si>
    <t>突破等级</t>
  </si>
  <si>
    <t>数量</t>
  </si>
  <si>
    <t>金币</t>
  </si>
  <si>
    <t>材料</t>
  </si>
  <si>
    <t>生命</t>
  </si>
  <si>
    <t>SSR突破</t>
  </si>
  <si>
    <t>增量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</si>
</sst>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.00_);[Red]\(0.00\)"/>
  </numFmts>
  <fonts count="30">
    <font>
      <sz val="11"/>
      <color theme="1"/>
      <name val="宋体"/>
      <charset val="134"/>
      <scheme val="minor"/>
    </font>
    <font>
      <sz val="11"/>
      <color rgb="FF000000"/>
      <name val="Microsoft YaHei UI"/>
      <charset val="134"/>
    </font>
    <font>
      <b/>
      <sz val="11"/>
      <color theme="0"/>
      <name val="Microsoft YaHei UI"/>
      <charset val="134"/>
    </font>
    <font>
      <sz val="11"/>
      <color theme="1"/>
      <name val="Microsoft YaHei UI"/>
      <charset val="134"/>
    </font>
    <font>
      <b/>
      <sz val="13"/>
      <color theme="0"/>
      <name val="Microsoft YaHei UI"/>
      <charset val="134"/>
    </font>
    <font>
      <sz val="11"/>
      <color theme="0" tint="-0.05"/>
      <name val="宋体"/>
      <charset val="134"/>
      <scheme val="minor"/>
    </font>
    <font>
      <sz val="11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微软雅黑"/>
      <charset val="134"/>
    </font>
    <font>
      <sz val="11"/>
      <color theme="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7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3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ADFB"/>
        <bgColor indexed="64"/>
      </patternFill>
    </fill>
    <fill>
      <patternFill patternType="solid">
        <fgColor rgb="FFFB757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CE34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E05EA4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theme="1" tint="0.25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9" tint="-0.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0" fillId="41" borderId="27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28">
      <alignment vertical="center"/>
    </xf>
    <xf numFmtId="0" fontId="17" fillId="0" borderId="28">
      <alignment vertical="center"/>
    </xf>
    <xf numFmtId="0" fontId="18" fillId="0" borderId="29">
      <alignment vertical="center"/>
    </xf>
    <xf numFmtId="0" fontId="18" fillId="0" borderId="0">
      <alignment vertical="center"/>
    </xf>
    <xf numFmtId="0" fontId="19" fillId="42" borderId="30">
      <alignment vertical="center"/>
    </xf>
    <xf numFmtId="0" fontId="20" fillId="43" borderId="31">
      <alignment vertical="center"/>
    </xf>
    <xf numFmtId="0" fontId="21" fillId="43" borderId="30">
      <alignment vertical="center"/>
    </xf>
    <xf numFmtId="0" fontId="22" fillId="44" borderId="32">
      <alignment vertical="center"/>
    </xf>
    <xf numFmtId="0" fontId="23" fillId="0" borderId="33">
      <alignment vertical="center"/>
    </xf>
    <xf numFmtId="0" fontId="24" fillId="0" borderId="34">
      <alignment vertical="center"/>
    </xf>
    <xf numFmtId="0" fontId="25" fillId="45" borderId="0">
      <alignment vertical="center"/>
    </xf>
    <xf numFmtId="0" fontId="26" fillId="46" borderId="0">
      <alignment vertical="center"/>
    </xf>
    <xf numFmtId="0" fontId="27" fillId="47" borderId="0">
      <alignment vertical="center"/>
    </xf>
    <xf numFmtId="0" fontId="28" fillId="21" borderId="0">
      <alignment vertical="center"/>
    </xf>
    <xf numFmtId="0" fontId="0" fillId="48" borderId="0">
      <alignment vertical="center"/>
    </xf>
    <xf numFmtId="0" fontId="0" fillId="49" borderId="0">
      <alignment vertical="center"/>
    </xf>
    <xf numFmtId="0" fontId="28" fillId="50" borderId="0">
      <alignment vertical="center"/>
    </xf>
    <xf numFmtId="0" fontId="28" fillId="51" borderId="0">
      <alignment vertical="center"/>
    </xf>
    <xf numFmtId="0" fontId="29" fillId="52" borderId="0">
      <alignment vertical="center"/>
    </xf>
    <xf numFmtId="0" fontId="29" fillId="53" borderId="0">
      <alignment vertical="center"/>
    </xf>
    <xf numFmtId="0" fontId="28" fillId="54" borderId="0">
      <alignment vertical="center"/>
    </xf>
    <xf numFmtId="0" fontId="28" fillId="55" borderId="0">
      <alignment vertical="center"/>
    </xf>
    <xf numFmtId="0" fontId="29" fillId="56" borderId="0">
      <alignment vertical="center"/>
    </xf>
    <xf numFmtId="0" fontId="29" fillId="57" borderId="0">
      <alignment vertical="center"/>
    </xf>
    <xf numFmtId="0" fontId="28" fillId="58" borderId="0">
      <alignment vertical="center"/>
    </xf>
    <xf numFmtId="0" fontId="28" fillId="59" borderId="0">
      <alignment vertical="center"/>
    </xf>
    <xf numFmtId="0" fontId="29" fillId="60" borderId="0">
      <alignment vertical="center"/>
    </xf>
    <xf numFmtId="0" fontId="29" fillId="61" borderId="0">
      <alignment vertical="center"/>
    </xf>
    <xf numFmtId="0" fontId="28" fillId="62" borderId="0">
      <alignment vertical="center"/>
    </xf>
    <xf numFmtId="0" fontId="28" fillId="38" borderId="0">
      <alignment vertical="center"/>
    </xf>
    <xf numFmtId="0" fontId="29" fillId="63" borderId="0">
      <alignment vertical="center"/>
    </xf>
    <xf numFmtId="0" fontId="29" fillId="64" borderId="0">
      <alignment vertical="center"/>
    </xf>
    <xf numFmtId="0" fontId="28" fillId="65" borderId="0">
      <alignment vertical="center"/>
    </xf>
    <xf numFmtId="0" fontId="28" fillId="66" borderId="0">
      <alignment vertical="center"/>
    </xf>
    <xf numFmtId="0" fontId="29" fillId="67" borderId="0">
      <alignment vertical="center"/>
    </xf>
    <xf numFmtId="0" fontId="29" fillId="68" borderId="0">
      <alignment vertical="center"/>
    </xf>
    <xf numFmtId="0" fontId="28" fillId="69" borderId="0">
      <alignment vertical="center"/>
    </xf>
    <xf numFmtId="0" fontId="8" fillId="0" borderId="0">
      <alignment vertical="center"/>
    </xf>
    <xf numFmtId="0" fontId="0" fillId="0" borderId="0">
      <alignment vertical="center"/>
    </xf>
    <xf numFmtId="0" fontId="7" fillId="51" borderId="0">
      <alignment vertical="center"/>
    </xf>
    <xf numFmtId="0" fontId="7" fillId="38" borderId="0">
      <alignment vertical="center"/>
    </xf>
    <xf numFmtId="0" fontId="7" fillId="66" borderId="0">
      <alignment vertical="center"/>
    </xf>
  </cellStyleXfs>
  <cellXfs count="97">
    <xf numFmtId="0" fontId="0" fillId="0" borderId="0" xfId="0" applyNumberFormat="1" applyFont="1" applyFill="1" applyBorder="1" applyProtection="1"/>
    <xf numFmtId="0" fontId="0" fillId="2" borderId="0" xfId="0" applyNumberFormat="1" applyFont="1" applyFill="1" applyBorder="1" applyProtection="1"/>
    <xf numFmtId="0" fontId="1" fillId="0" borderId="0" xfId="0" applyFont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0" borderId="3" xfId="0" applyNumberFormat="1" applyFont="1" applyFill="1" applyBorder="1" applyProtection="1"/>
    <xf numFmtId="0" fontId="3" fillId="0" borderId="0" xfId="0" applyFont="1" applyFill="1" applyBorder="1" applyAlignment="1">
      <alignment horizontal="center" vertical="center"/>
    </xf>
    <xf numFmtId="0" fontId="0" fillId="0" borderId="4" xfId="0" applyNumberFormat="1" applyFont="1" applyFill="1" applyBorder="1" applyProtection="1"/>
    <xf numFmtId="0" fontId="3" fillId="0" borderId="5" xfId="0" applyFont="1" applyFill="1" applyBorder="1" applyAlignment="1">
      <alignment horizontal="center" vertical="center"/>
    </xf>
    <xf numFmtId="0" fontId="0" fillId="0" borderId="6" xfId="0" applyNumberFormat="1" applyFont="1" applyFill="1" applyBorder="1" applyProtection="1"/>
    <xf numFmtId="0" fontId="3" fillId="0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0" fillId="0" borderId="13" xfId="0" applyNumberFormat="1" applyFont="1" applyFill="1" applyBorder="1" applyProtection="1"/>
    <xf numFmtId="0" fontId="0" fillId="0" borderId="16" xfId="0" applyNumberFormat="1" applyFont="1" applyFill="1" applyBorder="1" applyProtection="1"/>
    <xf numFmtId="0" fontId="3" fillId="0" borderId="13" xfId="0" applyFont="1" applyFill="1" applyBorder="1" applyAlignment="1">
      <alignment horizontal="center" vertical="center"/>
    </xf>
    <xf numFmtId="0" fontId="3" fillId="0" borderId="19" xfId="0" applyFont="1" applyFill="1" applyBorder="1" applyAlignment="1">
      <alignment horizontal="center" vertical="center"/>
    </xf>
    <xf numFmtId="0" fontId="0" fillId="0" borderId="19" xfId="0" applyNumberFormat="1" applyFont="1" applyFill="1" applyBorder="1" applyProtection="1"/>
    <xf numFmtId="0" fontId="0" fillId="5" borderId="0" xfId="0" applyNumberFormat="1" applyFont="1" applyFill="1" applyBorder="1" applyProtection="1"/>
    <xf numFmtId="0" fontId="0" fillId="6" borderId="0" xfId="0" applyNumberFormat="1" applyFont="1" applyFill="1" applyBorder="1" applyProtection="1"/>
    <xf numFmtId="0" fontId="0" fillId="7" borderId="0" xfId="0" applyNumberFormat="1" applyFont="1" applyFill="1" applyBorder="1" applyProtection="1"/>
    <xf numFmtId="0" fontId="0" fillId="8" borderId="0" xfId="0" applyNumberFormat="1" applyFont="1" applyFill="1" applyBorder="1" applyProtection="1"/>
    <xf numFmtId="0" fontId="0" fillId="4" borderId="0" xfId="0" applyNumberFormat="1" applyFont="1" applyFill="1" applyBorder="1" applyProtection="1"/>
    <xf numFmtId="0" fontId="0" fillId="9" borderId="0" xfId="0" applyNumberFormat="1" applyFont="1" applyFill="1" applyBorder="1" applyProtection="1"/>
    <xf numFmtId="0" fontId="0" fillId="10" borderId="0" xfId="0" applyNumberFormat="1" applyFont="1" applyFill="1" applyBorder="1" applyProtection="1"/>
    <xf numFmtId="0" fontId="0" fillId="11" borderId="0" xfId="0" applyNumberFormat="1" applyFont="1" applyFill="1" applyBorder="1" applyProtection="1"/>
    <xf numFmtId="0" fontId="5" fillId="12" borderId="0" xfId="0" applyNumberFormat="1" applyFont="1" applyFill="1" applyBorder="1" applyProtection="1"/>
    <xf numFmtId="0" fontId="6" fillId="13" borderId="0" xfId="0" applyNumberFormat="1" applyFont="1" applyFill="1" applyBorder="1" applyProtection="1"/>
    <xf numFmtId="0" fontId="6" fillId="14" borderId="0" xfId="0" applyNumberFormat="1" applyFont="1" applyFill="1" applyBorder="1" applyProtection="1"/>
    <xf numFmtId="0" fontId="6" fillId="15" borderId="0" xfId="0" applyNumberFormat="1" applyFont="1" applyFill="1" applyBorder="1" applyProtection="1"/>
    <xf numFmtId="0" fontId="6" fillId="16" borderId="0" xfId="0" applyNumberFormat="1" applyFont="1" applyFill="1" applyBorder="1" applyProtection="1"/>
    <xf numFmtId="0" fontId="6" fillId="17" borderId="0" xfId="0" applyNumberFormat="1" applyFont="1" applyFill="1" applyBorder="1" applyProtection="1"/>
    <xf numFmtId="0" fontId="6" fillId="18" borderId="0" xfId="0" applyNumberFormat="1" applyFont="1" applyFill="1" applyBorder="1" applyProtection="1"/>
    <xf numFmtId="0" fontId="6" fillId="19" borderId="0" xfId="0" applyNumberFormat="1" applyFont="1" applyFill="1" applyBorder="1" applyProtection="1"/>
    <xf numFmtId="0" fontId="6" fillId="8" borderId="0" xfId="0" applyNumberFormat="1" applyFont="1" applyFill="1" applyBorder="1" applyProtection="1"/>
    <xf numFmtId="0" fontId="6" fillId="6" borderId="0" xfId="0" applyNumberFormat="1" applyFont="1" applyFill="1" applyBorder="1" applyProtection="1"/>
    <xf numFmtId="0" fontId="6" fillId="20" borderId="0" xfId="0" applyNumberFormat="1" applyFont="1" applyFill="1" applyBorder="1" applyProtection="1"/>
    <xf numFmtId="0" fontId="6" fillId="21" borderId="0" xfId="0" applyNumberFormat="1" applyFont="1" applyFill="1" applyBorder="1" applyProtection="1"/>
    <xf numFmtId="0" fontId="6" fillId="22" borderId="0" xfId="0" applyNumberFormat="1" applyFont="1" applyFill="1" applyBorder="1" applyProtection="1"/>
    <xf numFmtId="0" fontId="0" fillId="23" borderId="0" xfId="0" applyNumberFormat="1" applyFont="1" applyFill="1" applyBorder="1" applyProtection="1"/>
    <xf numFmtId="0" fontId="0" fillId="15" borderId="0" xfId="0" applyNumberFormat="1" applyFont="1" applyFill="1" applyBorder="1" applyProtection="1"/>
    <xf numFmtId="0" fontId="0" fillId="24" borderId="0" xfId="0" applyNumberFormat="1" applyFont="1" applyFill="1" applyBorder="1" applyProtection="1"/>
    <xf numFmtId="0" fontId="0" fillId="25" borderId="0" xfId="0" applyNumberFormat="1" applyFont="1" applyFill="1" applyBorder="1" applyProtection="1"/>
    <xf numFmtId="0" fontId="0" fillId="26" borderId="0" xfId="0" applyNumberFormat="1" applyFont="1" applyFill="1" applyBorder="1" applyProtection="1"/>
    <xf numFmtId="0" fontId="0" fillId="13" borderId="0" xfId="0" applyNumberFormat="1" applyFont="1" applyFill="1" applyBorder="1" applyProtection="1"/>
    <xf numFmtId="0" fontId="0" fillId="27" borderId="0" xfId="0" applyNumberFormat="1" applyFont="1" applyFill="1" applyBorder="1" applyProtection="1"/>
    <xf numFmtId="0" fontId="0" fillId="28" borderId="0" xfId="0" applyNumberFormat="1" applyFont="1" applyFill="1" applyBorder="1" applyProtection="1"/>
    <xf numFmtId="0" fontId="0" fillId="29" borderId="0" xfId="0" applyNumberFormat="1" applyFont="1" applyFill="1" applyBorder="1" applyProtection="1"/>
    <xf numFmtId="0" fontId="0" fillId="30" borderId="0" xfId="0" applyNumberFormat="1" applyFont="1" applyFill="1" applyBorder="1" applyProtection="1"/>
    <xf numFmtId="0" fontId="0" fillId="19" borderId="0" xfId="0" applyNumberFormat="1" applyFont="1" applyFill="1" applyBorder="1" applyProtection="1"/>
    <xf numFmtId="0" fontId="0" fillId="31" borderId="0" xfId="0" applyNumberFormat="1" applyFont="1" applyFill="1" applyBorder="1" applyProtection="1"/>
    <xf numFmtId="0" fontId="4" fillId="3" borderId="24" xfId="0" applyFont="1" applyFill="1" applyBorder="1" applyAlignment="1">
      <alignment horizontal="center" vertical="center"/>
    </xf>
    <xf numFmtId="0" fontId="0" fillId="32" borderId="0" xfId="0" applyNumberFormat="1" applyFont="1" applyFill="1" applyBorder="1" applyProtection="1"/>
    <xf numFmtId="0" fontId="7" fillId="33" borderId="0" xfId="0" applyNumberFormat="1" applyFont="1" applyFill="1" applyBorder="1" applyProtection="1"/>
    <xf numFmtId="0" fontId="6" fillId="24" borderId="0" xfId="0" applyNumberFormat="1" applyFont="1" applyFill="1" applyBorder="1" applyProtection="1"/>
    <xf numFmtId="0" fontId="6" fillId="27" borderId="0" xfId="0" applyNumberFormat="1" applyFont="1" applyFill="1" applyBorder="1" applyProtection="1"/>
    <xf numFmtId="0" fontId="0" fillId="34" borderId="0" xfId="0" applyNumberFormat="1" applyFont="1" applyFill="1" applyBorder="1" applyProtection="1"/>
    <xf numFmtId="0" fontId="6" fillId="35" borderId="0" xfId="0" applyNumberFormat="1" applyFont="1" applyFill="1" applyBorder="1" applyProtection="1"/>
    <xf numFmtId="0" fontId="6" fillId="36" borderId="0" xfId="0" applyNumberFormat="1" applyFont="1" applyFill="1" applyBorder="1" applyProtection="1"/>
    <xf numFmtId="0" fontId="7" fillId="37" borderId="0" xfId="0" applyNumberFormat="1" applyFont="1" applyFill="1" applyBorder="1" applyProtection="1"/>
    <xf numFmtId="0" fontId="8" fillId="0" borderId="0" xfId="49" applyNumberFormat="1" applyFont="1" applyFill="1" applyBorder="1" applyAlignment="1" applyProtection="1"/>
    <xf numFmtId="0" fontId="9" fillId="0" borderId="25" xfId="0" applyNumberFormat="1" applyFont="1" applyFill="1" applyBorder="1" applyAlignment="1" applyProtection="1">
      <alignment vertical="center"/>
    </xf>
    <xf numFmtId="0" fontId="9" fillId="0" borderId="26" xfId="50" applyNumberFormat="1" applyFont="1" applyFill="1" applyBorder="1" applyAlignment="1" applyProtection="1">
      <alignment horizontal="center" vertical="center"/>
    </xf>
    <xf numFmtId="0" fontId="9" fillId="0" borderId="25" xfId="50" applyNumberFormat="1" applyFont="1" applyFill="1" applyBorder="1" applyAlignment="1" applyProtection="1">
      <alignment horizontal="center" vertical="center"/>
    </xf>
    <xf numFmtId="0" fontId="10" fillId="38" borderId="25" xfId="52" applyNumberFormat="1" applyFont="1" applyFill="1" applyBorder="1" applyAlignment="1" applyProtection="1">
      <alignment horizontal="center" vertical="center"/>
    </xf>
    <xf numFmtId="0" fontId="10" fillId="39" borderId="25" xfId="5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center"/>
    </xf>
    <xf numFmtId="0" fontId="0" fillId="14" borderId="0" xfId="0" applyNumberFormat="1" applyFont="1" applyFill="1" applyBorder="1" applyProtection="1"/>
    <xf numFmtId="176" fontId="0" fillId="40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/>
    <xf numFmtId="0" fontId="0" fillId="0" borderId="0" xfId="26" applyNumberFormat="1" applyFont="1" applyFill="1" applyBorder="1" applyAlignment="1" applyProtection="1"/>
    <xf numFmtId="177" fontId="0" fillId="0" borderId="0" xfId="0" applyNumberFormat="1" applyFont="1" applyFill="1" applyBorder="1" applyProtection="1"/>
    <xf numFmtId="0" fontId="0" fillId="0" borderId="0" xfId="27" applyNumberFormat="1" applyFont="1" applyFill="1" applyBorder="1" applyAlignment="1" applyProtection="1"/>
    <xf numFmtId="0" fontId="5" fillId="0" borderId="0" xfId="0" applyNumberFormat="1" applyFont="1" applyFill="1" applyBorder="1" applyProtection="1"/>
    <xf numFmtId="0" fontId="6" fillId="0" borderId="0" xfId="0" applyNumberFormat="1" applyFont="1" applyFill="1" applyBorder="1" applyProtection="1"/>
    <xf numFmtId="0" fontId="7" fillId="0" borderId="0" xfId="0" applyNumberFormat="1" applyFont="1" applyFill="1" applyBorder="1" applyProtection="1"/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6" xfId="49"/>
    <cellStyle name="常规 4" xfId="50"/>
    <cellStyle name="强调文字颜色 2 2" xfId="51"/>
    <cellStyle name="强调文字颜色 5 2" xfId="52"/>
    <cellStyle name="强调文字颜色 6 2" xfId="53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colors>
    <mruColors>
      <color rgb="00B7FBC4"/>
      <color rgb="00A0BFFE"/>
      <color rgb="00FB7575"/>
      <color rgb="00FCE34E"/>
      <color rgb="00E05EA4"/>
      <color rgb="00FFADFB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554"/>
  <sheetViews>
    <sheetView tabSelected="1" workbookViewId="0">
      <pane xSplit="1" ySplit="6" topLeftCell="B154" activePane="bottomRight" state="frozen"/>
      <selection/>
      <selection pane="topRight"/>
      <selection pane="bottomLeft"/>
      <selection pane="bottomRight" activeCell="E166" sqref="E166"/>
    </sheetView>
  </sheetViews>
  <sheetFormatPr defaultColWidth="9" defaultRowHeight="14.1"/>
  <cols>
    <col min="1" max="1" width="16.8859649122807" customWidth="1"/>
    <col min="2" max="13" width="14" customWidth="1"/>
    <col min="15" max="15" width="10.7543859649123" customWidth="1"/>
    <col min="16" max="16" width="17.3859649122807" customWidth="1"/>
    <col min="17" max="20" width="5" customWidth="1"/>
    <col min="21" max="21" width="9.5" customWidth="1"/>
  </cols>
  <sheetData>
    <row r="1" spans="1:9">
      <c r="A1" s="89">
        <v>7</v>
      </c>
      <c r="B1" s="89">
        <v>1</v>
      </c>
      <c r="C1" s="89">
        <v>9999</v>
      </c>
      <c r="D1" s="89">
        <v>13</v>
      </c>
      <c r="E1" s="90"/>
      <c r="F1" s="90"/>
      <c r="G1" s="90"/>
      <c r="H1" s="90"/>
      <c r="I1" s="90"/>
    </row>
    <row r="2" spans="1:24">
      <c r="A2" s="90" t="s">
        <v>0</v>
      </c>
      <c r="B2" s="91" t="s">
        <v>1</v>
      </c>
      <c r="C2" s="91" t="s">
        <v>2</v>
      </c>
      <c r="D2" s="91" t="s">
        <v>3</v>
      </c>
      <c r="E2" s="91" t="s">
        <v>4</v>
      </c>
      <c r="F2" s="91" t="s">
        <v>5</v>
      </c>
      <c r="G2" s="91" t="s">
        <v>6</v>
      </c>
      <c r="H2" t="s">
        <v>7</v>
      </c>
      <c r="I2" t="s">
        <v>8</v>
      </c>
      <c r="J2" s="91" t="s">
        <v>9</v>
      </c>
      <c r="K2" t="s">
        <v>10</v>
      </c>
      <c r="L2" t="s">
        <v>11</v>
      </c>
      <c r="M2" s="91" t="s">
        <v>12</v>
      </c>
      <c r="O2" s="93"/>
      <c r="P2" s="93"/>
      <c r="Q2" s="93"/>
      <c r="R2" s="93"/>
      <c r="S2" s="93"/>
      <c r="T2" s="93"/>
      <c r="U2" s="93"/>
      <c r="V2" s="93"/>
      <c r="W2" s="93"/>
      <c r="X2" s="93"/>
    </row>
    <row r="3" spans="1:24">
      <c r="A3" s="90" t="s">
        <v>13</v>
      </c>
      <c r="B3" s="91" t="s">
        <v>14</v>
      </c>
      <c r="C3" s="91" t="s">
        <v>15</v>
      </c>
      <c r="D3" s="91" t="s">
        <v>16</v>
      </c>
      <c r="E3" s="91" t="s">
        <v>17</v>
      </c>
      <c r="F3" s="91" t="s">
        <v>18</v>
      </c>
      <c r="G3" s="91" t="s">
        <v>19</v>
      </c>
      <c r="H3" t="s">
        <v>20</v>
      </c>
      <c r="I3" t="s">
        <v>21</v>
      </c>
      <c r="J3" s="91" t="s">
        <v>22</v>
      </c>
      <c r="K3" s="91" t="s">
        <v>23</v>
      </c>
      <c r="L3" t="s">
        <v>24</v>
      </c>
      <c r="M3" s="91" t="s">
        <v>25</v>
      </c>
      <c r="V3" s="93"/>
      <c r="W3" s="93"/>
      <c r="X3" s="93"/>
    </row>
    <row r="4" spans="1:24">
      <c r="A4" s="90" t="s">
        <v>26</v>
      </c>
      <c r="B4" s="91" t="s">
        <v>27</v>
      </c>
      <c r="C4" s="91" t="s">
        <v>27</v>
      </c>
      <c r="D4" s="91" t="s">
        <v>27</v>
      </c>
      <c r="E4" s="91" t="s">
        <v>27</v>
      </c>
      <c r="F4" s="91" t="s">
        <v>27</v>
      </c>
      <c r="G4" s="91" t="s">
        <v>27</v>
      </c>
      <c r="H4" s="91" t="s">
        <v>27</v>
      </c>
      <c r="I4" s="91" t="s">
        <v>27</v>
      </c>
      <c r="J4" s="91" t="s">
        <v>27</v>
      </c>
      <c r="K4" s="91" t="s">
        <v>27</v>
      </c>
      <c r="L4" s="91" t="s">
        <v>27</v>
      </c>
      <c r="M4" s="91" t="s">
        <v>27</v>
      </c>
      <c r="V4" s="93"/>
      <c r="W4" s="93"/>
      <c r="X4" s="93"/>
    </row>
    <row r="5" spans="1:24">
      <c r="A5" s="90" t="s">
        <v>28</v>
      </c>
      <c r="B5" s="91" t="s">
        <v>29</v>
      </c>
      <c r="C5" s="91" t="s">
        <v>29</v>
      </c>
      <c r="D5" s="91" t="s">
        <v>29</v>
      </c>
      <c r="E5" s="91" t="s">
        <v>29</v>
      </c>
      <c r="F5" s="91" t="s">
        <v>29</v>
      </c>
      <c r="G5" s="91" t="s">
        <v>29</v>
      </c>
      <c r="H5" s="91" t="s">
        <v>29</v>
      </c>
      <c r="I5" s="91" t="s">
        <v>29</v>
      </c>
      <c r="J5" s="91" t="s">
        <v>29</v>
      </c>
      <c r="K5" s="91" t="s">
        <v>29</v>
      </c>
      <c r="L5" s="91" t="s">
        <v>29</v>
      </c>
      <c r="M5" s="91" t="s">
        <v>29</v>
      </c>
      <c r="V5" s="93"/>
      <c r="W5" s="93"/>
      <c r="X5" s="93"/>
    </row>
    <row r="6" spans="1:24">
      <c r="A6" s="90" t="s">
        <v>13</v>
      </c>
      <c r="B6" s="91" t="s">
        <v>14</v>
      </c>
      <c r="C6" s="91" t="s">
        <v>15</v>
      </c>
      <c r="D6" s="91" t="s">
        <v>16</v>
      </c>
      <c r="E6" s="91" t="s">
        <v>17</v>
      </c>
      <c r="F6" s="91" t="s">
        <v>18</v>
      </c>
      <c r="G6" s="91" t="s">
        <v>19</v>
      </c>
      <c r="H6" t="s">
        <v>20</v>
      </c>
      <c r="I6" t="s">
        <v>21</v>
      </c>
      <c r="J6" s="91" t="s">
        <v>22</v>
      </c>
      <c r="K6" s="91" t="s">
        <v>23</v>
      </c>
      <c r="L6" t="s">
        <v>24</v>
      </c>
      <c r="M6" s="91" t="s">
        <v>25</v>
      </c>
      <c r="U6" s="93"/>
      <c r="V6" s="93"/>
      <c r="W6" s="93"/>
      <c r="X6" s="93"/>
    </row>
    <row r="7" spans="1:12">
      <c r="A7">
        <v>1</v>
      </c>
      <c r="B7">
        <v>618</v>
      </c>
      <c r="C7">
        <v>188</v>
      </c>
      <c r="D7">
        <v>6106</v>
      </c>
      <c r="E7">
        <v>120</v>
      </c>
      <c r="F7" s="92">
        <v>1</v>
      </c>
      <c r="G7" s="92">
        <v>0</v>
      </c>
      <c r="H7" s="92">
        <v>0</v>
      </c>
      <c r="I7" s="92">
        <v>0</v>
      </c>
      <c r="J7" s="92">
        <v>0.01</v>
      </c>
      <c r="K7" s="92">
        <v>0</v>
      </c>
      <c r="L7" s="92">
        <v>0</v>
      </c>
    </row>
    <row r="8" spans="1:12">
      <c r="A8">
        <v>2</v>
      </c>
      <c r="B8">
        <v>639</v>
      </c>
      <c r="C8">
        <v>197</v>
      </c>
      <c r="D8">
        <v>6279</v>
      </c>
      <c r="E8">
        <v>120</v>
      </c>
      <c r="F8" s="92">
        <v>1</v>
      </c>
      <c r="G8" s="92">
        <v>0</v>
      </c>
      <c r="H8" s="92">
        <v>0</v>
      </c>
      <c r="I8" s="92">
        <v>0</v>
      </c>
      <c r="J8" s="92">
        <v>0.01</v>
      </c>
      <c r="K8" s="92">
        <v>0</v>
      </c>
      <c r="L8" s="92">
        <v>0</v>
      </c>
    </row>
    <row r="9" spans="1:12">
      <c r="A9">
        <v>3</v>
      </c>
      <c r="B9">
        <v>742</v>
      </c>
      <c r="C9">
        <v>205</v>
      </c>
      <c r="D9">
        <v>6452</v>
      </c>
      <c r="E9">
        <v>120</v>
      </c>
      <c r="F9" s="92">
        <v>1</v>
      </c>
      <c r="G9" s="92">
        <v>0</v>
      </c>
      <c r="H9" s="92">
        <v>0</v>
      </c>
      <c r="I9" s="92">
        <v>0</v>
      </c>
      <c r="J9" s="92">
        <v>0.01</v>
      </c>
      <c r="K9" s="92">
        <v>0</v>
      </c>
      <c r="L9" s="92">
        <v>0</v>
      </c>
    </row>
    <row r="10" spans="1:12">
      <c r="A10">
        <v>4</v>
      </c>
      <c r="B10">
        <v>763</v>
      </c>
      <c r="C10">
        <v>214</v>
      </c>
      <c r="D10">
        <v>6625</v>
      </c>
      <c r="E10">
        <v>120</v>
      </c>
      <c r="F10" s="92">
        <v>1</v>
      </c>
      <c r="G10" s="92">
        <v>0</v>
      </c>
      <c r="H10" s="92">
        <v>0</v>
      </c>
      <c r="I10" s="92">
        <v>0</v>
      </c>
      <c r="J10" s="92">
        <v>0.01</v>
      </c>
      <c r="K10" s="92">
        <v>0</v>
      </c>
      <c r="L10" s="92">
        <v>0</v>
      </c>
    </row>
    <row r="11" spans="1:12">
      <c r="A11">
        <v>5</v>
      </c>
      <c r="B11">
        <v>785</v>
      </c>
      <c r="C11">
        <v>222</v>
      </c>
      <c r="D11">
        <v>6798</v>
      </c>
      <c r="E11">
        <v>120</v>
      </c>
      <c r="F11" s="92">
        <v>1</v>
      </c>
      <c r="G11" s="92">
        <v>0</v>
      </c>
      <c r="H11" s="92">
        <v>0</v>
      </c>
      <c r="I11" s="92">
        <v>0</v>
      </c>
      <c r="J11" s="92">
        <v>0.01</v>
      </c>
      <c r="K11" s="92">
        <v>0</v>
      </c>
      <c r="L11" s="92">
        <v>0</v>
      </c>
    </row>
    <row r="12" spans="1:12">
      <c r="A12">
        <v>6</v>
      </c>
      <c r="B12">
        <v>831</v>
      </c>
      <c r="C12">
        <v>230</v>
      </c>
      <c r="D12">
        <v>6971</v>
      </c>
      <c r="E12">
        <v>120</v>
      </c>
      <c r="F12" s="92">
        <v>1</v>
      </c>
      <c r="G12" s="92">
        <v>0</v>
      </c>
      <c r="H12" s="92">
        <v>0</v>
      </c>
      <c r="I12" s="92">
        <v>0</v>
      </c>
      <c r="J12" s="92">
        <v>0.01</v>
      </c>
      <c r="K12" s="92">
        <v>0</v>
      </c>
      <c r="L12" s="92">
        <v>0</v>
      </c>
    </row>
    <row r="13" spans="1:12">
      <c r="A13">
        <v>7</v>
      </c>
      <c r="B13">
        <v>857</v>
      </c>
      <c r="C13">
        <v>239</v>
      </c>
      <c r="D13">
        <v>7144</v>
      </c>
      <c r="E13">
        <v>120</v>
      </c>
      <c r="F13" s="92">
        <v>1</v>
      </c>
      <c r="G13" s="92">
        <v>0</v>
      </c>
      <c r="H13" s="92">
        <v>0</v>
      </c>
      <c r="I13" s="92">
        <v>0</v>
      </c>
      <c r="J13" s="92">
        <v>0.01</v>
      </c>
      <c r="K13" s="92">
        <v>0</v>
      </c>
      <c r="L13" s="92">
        <v>0</v>
      </c>
    </row>
    <row r="14" spans="1:12">
      <c r="A14">
        <v>8</v>
      </c>
      <c r="B14">
        <v>879</v>
      </c>
      <c r="C14">
        <v>247</v>
      </c>
      <c r="D14">
        <v>7317</v>
      </c>
      <c r="E14">
        <v>120</v>
      </c>
      <c r="F14" s="92">
        <v>1</v>
      </c>
      <c r="G14" s="92">
        <v>0</v>
      </c>
      <c r="H14" s="92">
        <v>0</v>
      </c>
      <c r="I14" s="92">
        <v>0</v>
      </c>
      <c r="J14" s="92">
        <v>0.01</v>
      </c>
      <c r="K14" s="92">
        <v>0</v>
      </c>
      <c r="L14" s="92">
        <v>0</v>
      </c>
    </row>
    <row r="15" spans="1:12">
      <c r="A15">
        <v>9</v>
      </c>
      <c r="B15">
        <v>924</v>
      </c>
      <c r="C15">
        <v>256</v>
      </c>
      <c r="D15">
        <v>7490</v>
      </c>
      <c r="E15">
        <v>120</v>
      </c>
      <c r="F15" s="92">
        <v>1</v>
      </c>
      <c r="G15" s="92">
        <v>0</v>
      </c>
      <c r="H15" s="92">
        <v>0</v>
      </c>
      <c r="I15" s="92">
        <v>0</v>
      </c>
      <c r="J15" s="92">
        <v>0.01</v>
      </c>
      <c r="K15" s="92">
        <v>0</v>
      </c>
      <c r="L15" s="92">
        <v>0</v>
      </c>
    </row>
    <row r="16" spans="1:12">
      <c r="A16">
        <v>10</v>
      </c>
      <c r="B16">
        <v>946</v>
      </c>
      <c r="C16">
        <v>297</v>
      </c>
      <c r="D16">
        <v>7663</v>
      </c>
      <c r="E16">
        <v>120</v>
      </c>
      <c r="F16" s="92">
        <v>1</v>
      </c>
      <c r="G16" s="92">
        <v>0</v>
      </c>
      <c r="H16" s="92">
        <v>0</v>
      </c>
      <c r="I16" s="92">
        <v>0</v>
      </c>
      <c r="J16" s="92">
        <v>0.01</v>
      </c>
      <c r="K16" s="92">
        <v>0</v>
      </c>
      <c r="L16" s="92">
        <v>0</v>
      </c>
    </row>
    <row r="17" spans="1:12">
      <c r="A17">
        <v>11</v>
      </c>
      <c r="B17">
        <v>968</v>
      </c>
      <c r="C17">
        <v>305</v>
      </c>
      <c r="D17">
        <v>7836</v>
      </c>
      <c r="E17">
        <v>120</v>
      </c>
      <c r="F17" s="92">
        <v>1</v>
      </c>
      <c r="G17" s="92">
        <v>0</v>
      </c>
      <c r="H17" s="92">
        <v>0</v>
      </c>
      <c r="I17" s="92">
        <v>0</v>
      </c>
      <c r="J17" s="92">
        <v>0.02</v>
      </c>
      <c r="K17" s="92">
        <v>0</v>
      </c>
      <c r="L17" s="92">
        <v>0</v>
      </c>
    </row>
    <row r="18" spans="1:12">
      <c r="A18">
        <v>12</v>
      </c>
      <c r="B18">
        <v>989</v>
      </c>
      <c r="C18">
        <v>314</v>
      </c>
      <c r="D18">
        <v>8009</v>
      </c>
      <c r="E18">
        <v>120</v>
      </c>
      <c r="F18" s="92">
        <v>1</v>
      </c>
      <c r="G18" s="92">
        <v>0</v>
      </c>
      <c r="H18" s="92">
        <v>0</v>
      </c>
      <c r="I18" s="92">
        <v>0</v>
      </c>
      <c r="J18" s="92">
        <v>0.02</v>
      </c>
      <c r="K18" s="92">
        <v>0</v>
      </c>
      <c r="L18" s="92">
        <v>0</v>
      </c>
    </row>
    <row r="19" spans="1:12">
      <c r="A19">
        <v>13</v>
      </c>
      <c r="B19">
        <v>1076</v>
      </c>
      <c r="C19">
        <v>332</v>
      </c>
      <c r="D19">
        <v>8182</v>
      </c>
      <c r="E19">
        <v>120</v>
      </c>
      <c r="F19" s="92">
        <v>1</v>
      </c>
      <c r="G19" s="92">
        <v>0</v>
      </c>
      <c r="H19" s="92">
        <v>0</v>
      </c>
      <c r="I19" s="92">
        <v>0</v>
      </c>
      <c r="J19" s="92">
        <v>0.02</v>
      </c>
      <c r="K19" s="92">
        <v>0</v>
      </c>
      <c r="L19" s="92">
        <v>0</v>
      </c>
    </row>
    <row r="20" spans="1:12">
      <c r="A20">
        <v>14</v>
      </c>
      <c r="B20">
        <v>1098</v>
      </c>
      <c r="C20">
        <v>343</v>
      </c>
      <c r="D20">
        <v>8355</v>
      </c>
      <c r="E20">
        <v>120</v>
      </c>
      <c r="F20" s="92">
        <v>1</v>
      </c>
      <c r="G20" s="92">
        <v>0</v>
      </c>
      <c r="H20" s="92">
        <v>0</v>
      </c>
      <c r="I20" s="92">
        <v>0</v>
      </c>
      <c r="J20" s="92">
        <v>0.02</v>
      </c>
      <c r="K20" s="92">
        <v>0</v>
      </c>
      <c r="L20" s="92">
        <v>0</v>
      </c>
    </row>
    <row r="21" spans="1:12">
      <c r="A21">
        <v>15</v>
      </c>
      <c r="B21">
        <v>1120</v>
      </c>
      <c r="C21">
        <v>352</v>
      </c>
      <c r="D21">
        <v>8528</v>
      </c>
      <c r="E21">
        <v>120</v>
      </c>
      <c r="F21" s="92">
        <v>1</v>
      </c>
      <c r="G21" s="92">
        <v>0</v>
      </c>
      <c r="H21" s="92">
        <v>0</v>
      </c>
      <c r="I21" s="92">
        <v>0</v>
      </c>
      <c r="J21" s="92">
        <v>0.02</v>
      </c>
      <c r="K21" s="92">
        <v>0</v>
      </c>
      <c r="L21" s="92">
        <v>0</v>
      </c>
    </row>
    <row r="22" spans="1:12">
      <c r="A22">
        <v>16</v>
      </c>
      <c r="B22">
        <v>1183</v>
      </c>
      <c r="C22">
        <v>370</v>
      </c>
      <c r="D22">
        <v>8701</v>
      </c>
      <c r="E22">
        <v>120</v>
      </c>
      <c r="F22" s="92">
        <v>1</v>
      </c>
      <c r="G22" s="92">
        <v>0</v>
      </c>
      <c r="H22" s="92">
        <v>0</v>
      </c>
      <c r="I22" s="92">
        <v>0</v>
      </c>
      <c r="J22" s="92">
        <v>0.02</v>
      </c>
      <c r="K22" s="92">
        <v>0</v>
      </c>
      <c r="L22" s="92">
        <v>0</v>
      </c>
    </row>
    <row r="23" spans="1:12">
      <c r="A23">
        <v>17</v>
      </c>
      <c r="B23">
        <v>1205</v>
      </c>
      <c r="C23">
        <v>378</v>
      </c>
      <c r="D23">
        <v>8874</v>
      </c>
      <c r="E23">
        <v>120</v>
      </c>
      <c r="F23" s="92">
        <v>1</v>
      </c>
      <c r="G23" s="92">
        <v>0</v>
      </c>
      <c r="H23" s="92">
        <v>0</v>
      </c>
      <c r="I23" s="92">
        <v>0</v>
      </c>
      <c r="J23" s="92">
        <v>0.02</v>
      </c>
      <c r="K23" s="92">
        <v>0</v>
      </c>
      <c r="L23" s="92">
        <v>0</v>
      </c>
    </row>
    <row r="24" spans="1:12">
      <c r="A24">
        <v>18</v>
      </c>
      <c r="B24">
        <v>1238</v>
      </c>
      <c r="C24">
        <v>387</v>
      </c>
      <c r="D24">
        <v>9047</v>
      </c>
      <c r="E24">
        <v>120</v>
      </c>
      <c r="F24" s="92">
        <v>1</v>
      </c>
      <c r="G24" s="92">
        <v>0</v>
      </c>
      <c r="H24" s="92">
        <v>0</v>
      </c>
      <c r="I24" s="92">
        <v>0</v>
      </c>
      <c r="J24" s="92">
        <v>0.02</v>
      </c>
      <c r="K24" s="92">
        <v>0</v>
      </c>
      <c r="L24" s="92">
        <v>0</v>
      </c>
    </row>
    <row r="25" spans="1:12">
      <c r="A25">
        <v>19</v>
      </c>
      <c r="B25">
        <v>1301</v>
      </c>
      <c r="C25">
        <v>396</v>
      </c>
      <c r="D25">
        <v>9220</v>
      </c>
      <c r="E25">
        <v>120</v>
      </c>
      <c r="F25" s="92">
        <v>1</v>
      </c>
      <c r="G25" s="92">
        <v>0</v>
      </c>
      <c r="H25" s="92">
        <v>0</v>
      </c>
      <c r="I25" s="92">
        <v>0</v>
      </c>
      <c r="J25" s="92">
        <v>0.02</v>
      </c>
      <c r="K25" s="92">
        <v>0</v>
      </c>
      <c r="L25" s="92">
        <v>0</v>
      </c>
    </row>
    <row r="26" spans="1:12">
      <c r="A26">
        <v>20</v>
      </c>
      <c r="B26">
        <v>1334</v>
      </c>
      <c r="C26">
        <v>430</v>
      </c>
      <c r="D26">
        <v>9393</v>
      </c>
      <c r="E26">
        <v>120</v>
      </c>
      <c r="F26" s="92">
        <v>1</v>
      </c>
      <c r="G26" s="92">
        <v>0</v>
      </c>
      <c r="H26" s="92">
        <v>0</v>
      </c>
      <c r="I26" s="92">
        <v>0</v>
      </c>
      <c r="J26" s="92">
        <v>0.02</v>
      </c>
      <c r="K26" s="92">
        <v>0</v>
      </c>
      <c r="L26" s="92">
        <v>0</v>
      </c>
    </row>
    <row r="27" spans="1:12">
      <c r="A27">
        <v>21</v>
      </c>
      <c r="B27">
        <v>1356</v>
      </c>
      <c r="C27">
        <v>439</v>
      </c>
      <c r="D27">
        <v>9566</v>
      </c>
      <c r="E27">
        <v>120</v>
      </c>
      <c r="F27" s="92">
        <v>1</v>
      </c>
      <c r="G27" s="92">
        <v>0</v>
      </c>
      <c r="H27" s="92">
        <v>0</v>
      </c>
      <c r="I27" s="92">
        <v>0</v>
      </c>
      <c r="J27" s="92">
        <v>0.08</v>
      </c>
      <c r="K27" s="92">
        <v>0</v>
      </c>
      <c r="L27" s="92">
        <v>0</v>
      </c>
    </row>
    <row r="28" spans="1:12">
      <c r="A28">
        <v>22</v>
      </c>
      <c r="B28">
        <v>1399</v>
      </c>
      <c r="C28">
        <v>448</v>
      </c>
      <c r="D28">
        <v>9739</v>
      </c>
      <c r="E28">
        <v>120</v>
      </c>
      <c r="F28" s="92">
        <v>1</v>
      </c>
      <c r="G28" s="92">
        <v>0</v>
      </c>
      <c r="H28" s="92">
        <v>0</v>
      </c>
      <c r="I28" s="92">
        <v>0</v>
      </c>
      <c r="J28" s="92">
        <v>0.08</v>
      </c>
      <c r="K28" s="92">
        <v>0</v>
      </c>
      <c r="L28" s="92">
        <v>0</v>
      </c>
    </row>
    <row r="29" spans="1:12">
      <c r="A29">
        <v>23</v>
      </c>
      <c r="B29">
        <v>1575</v>
      </c>
      <c r="C29">
        <v>473</v>
      </c>
      <c r="D29">
        <v>9912</v>
      </c>
      <c r="E29">
        <v>120</v>
      </c>
      <c r="F29" s="92">
        <v>1</v>
      </c>
      <c r="G29" s="92">
        <v>0</v>
      </c>
      <c r="H29" s="92">
        <v>0</v>
      </c>
      <c r="I29" s="92">
        <v>0</v>
      </c>
      <c r="J29" s="92">
        <v>0.08</v>
      </c>
      <c r="K29" s="92">
        <v>0</v>
      </c>
      <c r="L29" s="92">
        <v>0</v>
      </c>
    </row>
    <row r="30" spans="1:12">
      <c r="A30">
        <v>24</v>
      </c>
      <c r="B30">
        <v>1598</v>
      </c>
      <c r="C30">
        <v>482</v>
      </c>
      <c r="D30">
        <v>10085</v>
      </c>
      <c r="E30">
        <v>120</v>
      </c>
      <c r="F30" s="92">
        <v>1</v>
      </c>
      <c r="G30" s="92">
        <v>0</v>
      </c>
      <c r="H30" s="92">
        <v>0</v>
      </c>
      <c r="I30" s="92">
        <v>0</v>
      </c>
      <c r="J30" s="92">
        <v>0.08</v>
      </c>
      <c r="K30" s="92">
        <v>0</v>
      </c>
      <c r="L30" s="92">
        <v>0</v>
      </c>
    </row>
    <row r="31" spans="1:12">
      <c r="A31">
        <v>25</v>
      </c>
      <c r="B31">
        <v>1620</v>
      </c>
      <c r="C31">
        <v>495</v>
      </c>
      <c r="D31">
        <v>10258</v>
      </c>
      <c r="E31">
        <v>120</v>
      </c>
      <c r="F31" s="92">
        <v>1</v>
      </c>
      <c r="G31" s="92">
        <v>0</v>
      </c>
      <c r="H31" s="92">
        <v>0</v>
      </c>
      <c r="I31" s="92">
        <v>0</v>
      </c>
      <c r="J31" s="92">
        <v>0.08</v>
      </c>
      <c r="K31" s="92">
        <v>0</v>
      </c>
      <c r="L31" s="92">
        <v>0</v>
      </c>
    </row>
    <row r="32" spans="1:12">
      <c r="A32">
        <v>26</v>
      </c>
      <c r="B32">
        <v>1689</v>
      </c>
      <c r="C32">
        <v>520</v>
      </c>
      <c r="D32">
        <v>10292</v>
      </c>
      <c r="E32">
        <v>120</v>
      </c>
      <c r="F32" s="92">
        <v>1</v>
      </c>
      <c r="G32" s="92">
        <v>0</v>
      </c>
      <c r="H32" s="92">
        <v>0</v>
      </c>
      <c r="I32" s="92">
        <v>0</v>
      </c>
      <c r="J32" s="92">
        <v>0.08</v>
      </c>
      <c r="K32" s="92">
        <v>0</v>
      </c>
      <c r="L32" s="92">
        <v>0</v>
      </c>
    </row>
    <row r="33" spans="1:12">
      <c r="A33">
        <v>27</v>
      </c>
      <c r="B33">
        <v>1711</v>
      </c>
      <c r="C33">
        <v>533</v>
      </c>
      <c r="D33">
        <v>10472</v>
      </c>
      <c r="E33">
        <v>120</v>
      </c>
      <c r="F33" s="92">
        <v>1</v>
      </c>
      <c r="G33" s="92">
        <v>0</v>
      </c>
      <c r="H33" s="92">
        <v>0</v>
      </c>
      <c r="I33" s="92">
        <v>0</v>
      </c>
      <c r="J33" s="92">
        <v>0.08</v>
      </c>
      <c r="K33" s="92">
        <v>0</v>
      </c>
      <c r="L33" s="92">
        <v>0</v>
      </c>
    </row>
    <row r="34" spans="1:12">
      <c r="A34">
        <v>28</v>
      </c>
      <c r="B34">
        <v>1733</v>
      </c>
      <c r="C34">
        <v>542</v>
      </c>
      <c r="D34">
        <v>10651</v>
      </c>
      <c r="E34">
        <v>120</v>
      </c>
      <c r="F34" s="92">
        <v>1</v>
      </c>
      <c r="G34" s="92">
        <v>0</v>
      </c>
      <c r="H34" s="92">
        <v>0</v>
      </c>
      <c r="I34" s="92">
        <v>0</v>
      </c>
      <c r="J34" s="92">
        <v>0.08</v>
      </c>
      <c r="K34" s="92">
        <v>0</v>
      </c>
      <c r="L34" s="92">
        <v>0</v>
      </c>
    </row>
    <row r="35" spans="1:12">
      <c r="A35">
        <v>29</v>
      </c>
      <c r="B35">
        <v>1755</v>
      </c>
      <c r="C35">
        <v>560</v>
      </c>
      <c r="D35">
        <v>10833</v>
      </c>
      <c r="E35">
        <v>120</v>
      </c>
      <c r="F35" s="92">
        <v>1</v>
      </c>
      <c r="G35" s="92">
        <v>0</v>
      </c>
      <c r="H35" s="92">
        <v>0</v>
      </c>
      <c r="I35" s="92">
        <v>0</v>
      </c>
      <c r="J35" s="92">
        <v>0.08</v>
      </c>
      <c r="K35" s="92">
        <v>0</v>
      </c>
      <c r="L35" s="92">
        <v>0</v>
      </c>
    </row>
    <row r="36" spans="1:12">
      <c r="A36">
        <v>30</v>
      </c>
      <c r="B36">
        <v>1777</v>
      </c>
      <c r="C36">
        <v>630</v>
      </c>
      <c r="D36">
        <v>12240</v>
      </c>
      <c r="E36">
        <v>120</v>
      </c>
      <c r="F36" s="92">
        <v>1</v>
      </c>
      <c r="G36" s="92">
        <v>0</v>
      </c>
      <c r="H36" s="92">
        <v>0</v>
      </c>
      <c r="I36" s="92">
        <v>0</v>
      </c>
      <c r="J36" s="92">
        <v>0.08</v>
      </c>
      <c r="K36" s="92">
        <v>0</v>
      </c>
      <c r="L36" s="92">
        <v>0</v>
      </c>
    </row>
    <row r="37" spans="1:12">
      <c r="A37">
        <v>31</v>
      </c>
      <c r="B37">
        <v>1799</v>
      </c>
      <c r="C37">
        <v>639</v>
      </c>
      <c r="D37">
        <v>12419</v>
      </c>
      <c r="E37">
        <v>120</v>
      </c>
      <c r="F37" s="92">
        <v>1</v>
      </c>
      <c r="G37" s="92">
        <v>0</v>
      </c>
      <c r="H37" s="92">
        <v>0</v>
      </c>
      <c r="I37" s="92">
        <v>0</v>
      </c>
      <c r="J37" s="92">
        <v>0.11</v>
      </c>
      <c r="K37" s="92">
        <v>0</v>
      </c>
      <c r="L37" s="92">
        <v>0</v>
      </c>
    </row>
    <row r="38" spans="1:12">
      <c r="A38">
        <v>32</v>
      </c>
      <c r="B38">
        <v>1821</v>
      </c>
      <c r="C38">
        <v>648</v>
      </c>
      <c r="D38">
        <v>12599</v>
      </c>
      <c r="E38">
        <v>120</v>
      </c>
      <c r="F38" s="92">
        <v>1</v>
      </c>
      <c r="G38" s="92">
        <v>0</v>
      </c>
      <c r="H38" s="92">
        <v>0</v>
      </c>
      <c r="I38" s="92">
        <v>0</v>
      </c>
      <c r="J38" s="92">
        <v>0.11</v>
      </c>
      <c r="K38" s="92">
        <v>0</v>
      </c>
      <c r="L38" s="92">
        <v>0</v>
      </c>
    </row>
    <row r="39" spans="1:12">
      <c r="A39">
        <v>33</v>
      </c>
      <c r="B39">
        <v>1843</v>
      </c>
      <c r="C39">
        <v>676</v>
      </c>
      <c r="D39">
        <v>13150</v>
      </c>
      <c r="E39">
        <v>120</v>
      </c>
      <c r="F39" s="92">
        <v>1</v>
      </c>
      <c r="G39" s="92">
        <v>0</v>
      </c>
      <c r="H39" s="92">
        <v>0</v>
      </c>
      <c r="I39" s="92">
        <v>0</v>
      </c>
      <c r="J39" s="92">
        <v>0.11</v>
      </c>
      <c r="K39" s="92">
        <v>0</v>
      </c>
      <c r="L39" s="92">
        <v>0</v>
      </c>
    </row>
    <row r="40" spans="1:12">
      <c r="A40">
        <v>34</v>
      </c>
      <c r="B40">
        <v>1865</v>
      </c>
      <c r="C40">
        <v>685</v>
      </c>
      <c r="D40">
        <v>13330</v>
      </c>
      <c r="E40">
        <v>120</v>
      </c>
      <c r="F40" s="92">
        <v>1</v>
      </c>
      <c r="G40" s="92">
        <v>0</v>
      </c>
      <c r="H40" s="92">
        <v>0</v>
      </c>
      <c r="I40" s="92">
        <v>0</v>
      </c>
      <c r="J40" s="92">
        <v>0.11</v>
      </c>
      <c r="K40" s="92">
        <v>0</v>
      </c>
      <c r="L40" s="92">
        <v>0</v>
      </c>
    </row>
    <row r="41" spans="1:12">
      <c r="A41">
        <v>35</v>
      </c>
      <c r="B41">
        <v>1887</v>
      </c>
      <c r="C41">
        <v>697</v>
      </c>
      <c r="D41">
        <v>13572</v>
      </c>
      <c r="E41">
        <v>120</v>
      </c>
      <c r="F41" s="92">
        <v>1</v>
      </c>
      <c r="G41" s="92">
        <v>0</v>
      </c>
      <c r="H41" s="92">
        <v>0</v>
      </c>
      <c r="I41" s="92">
        <v>0</v>
      </c>
      <c r="J41" s="92">
        <v>0.11</v>
      </c>
      <c r="K41" s="92">
        <v>0</v>
      </c>
      <c r="L41" s="92">
        <v>0</v>
      </c>
    </row>
    <row r="42" spans="1:12">
      <c r="A42">
        <v>36</v>
      </c>
      <c r="B42">
        <v>1909</v>
      </c>
      <c r="C42">
        <v>734</v>
      </c>
      <c r="D42">
        <v>14130</v>
      </c>
      <c r="E42">
        <v>120</v>
      </c>
      <c r="F42" s="92">
        <v>1</v>
      </c>
      <c r="G42" s="92">
        <v>0</v>
      </c>
      <c r="H42" s="92">
        <v>0</v>
      </c>
      <c r="I42" s="92">
        <v>0</v>
      </c>
      <c r="J42" s="92">
        <v>0.12</v>
      </c>
      <c r="K42" s="92">
        <v>0</v>
      </c>
      <c r="L42" s="92">
        <v>0</v>
      </c>
    </row>
    <row r="43" spans="1:12">
      <c r="A43">
        <v>37</v>
      </c>
      <c r="B43">
        <v>1931</v>
      </c>
      <c r="C43">
        <v>743</v>
      </c>
      <c r="D43">
        <v>14310</v>
      </c>
      <c r="E43">
        <v>120</v>
      </c>
      <c r="F43" s="92">
        <v>1</v>
      </c>
      <c r="G43" s="92">
        <v>0</v>
      </c>
      <c r="H43" s="92">
        <v>0</v>
      </c>
      <c r="I43" s="92">
        <v>0</v>
      </c>
      <c r="J43" s="92">
        <v>0.12</v>
      </c>
      <c r="K43" s="92">
        <v>0</v>
      </c>
      <c r="L43" s="92">
        <v>0</v>
      </c>
    </row>
    <row r="44" spans="1:12">
      <c r="A44">
        <v>38</v>
      </c>
      <c r="B44">
        <v>1953</v>
      </c>
      <c r="C44">
        <v>752</v>
      </c>
      <c r="D44">
        <v>14491</v>
      </c>
      <c r="E44">
        <v>120</v>
      </c>
      <c r="F44" s="92">
        <v>1</v>
      </c>
      <c r="G44" s="92">
        <v>0</v>
      </c>
      <c r="H44" s="92">
        <v>0</v>
      </c>
      <c r="I44" s="92">
        <v>0</v>
      </c>
      <c r="J44" s="92">
        <v>0.12</v>
      </c>
      <c r="K44" s="92">
        <v>0</v>
      </c>
      <c r="L44" s="92">
        <v>0</v>
      </c>
    </row>
    <row r="45" spans="1:12">
      <c r="A45">
        <v>39</v>
      </c>
      <c r="B45">
        <v>1975</v>
      </c>
      <c r="C45">
        <v>761</v>
      </c>
      <c r="D45">
        <v>14671</v>
      </c>
      <c r="E45">
        <v>120</v>
      </c>
      <c r="F45" s="92">
        <v>1</v>
      </c>
      <c r="G45" s="92">
        <v>0</v>
      </c>
      <c r="H45" s="92">
        <v>0</v>
      </c>
      <c r="I45" s="92">
        <v>0</v>
      </c>
      <c r="J45" s="92">
        <v>0.12</v>
      </c>
      <c r="K45" s="92">
        <v>0</v>
      </c>
      <c r="L45" s="92">
        <v>0</v>
      </c>
    </row>
    <row r="46" spans="1:12">
      <c r="A46">
        <v>40</v>
      </c>
      <c r="B46">
        <v>1997</v>
      </c>
      <c r="C46">
        <v>920</v>
      </c>
      <c r="D46">
        <v>17660</v>
      </c>
      <c r="E46">
        <v>120</v>
      </c>
      <c r="F46" s="92">
        <v>1</v>
      </c>
      <c r="G46" s="92">
        <v>0</v>
      </c>
      <c r="H46" s="92">
        <v>0</v>
      </c>
      <c r="I46" s="92">
        <v>0</v>
      </c>
      <c r="J46" s="92">
        <v>0.12</v>
      </c>
      <c r="K46" s="92">
        <v>0</v>
      </c>
      <c r="L46" s="92">
        <v>0.14</v>
      </c>
    </row>
    <row r="47" spans="1:12">
      <c r="A47">
        <v>41</v>
      </c>
      <c r="B47">
        <v>2019</v>
      </c>
      <c r="C47">
        <v>945</v>
      </c>
      <c r="D47">
        <v>17855</v>
      </c>
      <c r="E47">
        <v>120</v>
      </c>
      <c r="F47" s="92">
        <v>1</v>
      </c>
      <c r="G47" s="92">
        <v>0</v>
      </c>
      <c r="H47" s="92">
        <v>0</v>
      </c>
      <c r="I47" s="92">
        <v>0</v>
      </c>
      <c r="J47" s="92">
        <v>0.12</v>
      </c>
      <c r="K47" s="92">
        <v>0</v>
      </c>
      <c r="L47" s="92">
        <v>0.14</v>
      </c>
    </row>
    <row r="48" spans="1:12">
      <c r="A48">
        <v>42</v>
      </c>
      <c r="B48">
        <v>2041</v>
      </c>
      <c r="C48">
        <v>963</v>
      </c>
      <c r="D48">
        <v>18178</v>
      </c>
      <c r="E48">
        <v>120</v>
      </c>
      <c r="F48" s="92">
        <v>1</v>
      </c>
      <c r="G48" s="92">
        <v>0</v>
      </c>
      <c r="H48" s="92">
        <v>0</v>
      </c>
      <c r="I48" s="92">
        <v>0</v>
      </c>
      <c r="J48" s="92">
        <v>0.12</v>
      </c>
      <c r="K48" s="92">
        <v>0</v>
      </c>
      <c r="L48" s="92">
        <v>0.14</v>
      </c>
    </row>
    <row r="49" spans="1:12">
      <c r="A49">
        <v>43</v>
      </c>
      <c r="B49">
        <v>2063</v>
      </c>
      <c r="C49">
        <v>1002</v>
      </c>
      <c r="D49">
        <v>18964</v>
      </c>
      <c r="E49">
        <v>120</v>
      </c>
      <c r="F49" s="92">
        <v>1</v>
      </c>
      <c r="G49" s="92">
        <v>0</v>
      </c>
      <c r="H49" s="92">
        <v>0</v>
      </c>
      <c r="I49" s="92">
        <v>0</v>
      </c>
      <c r="J49" s="92">
        <v>0.12</v>
      </c>
      <c r="K49" s="92">
        <v>0</v>
      </c>
      <c r="L49" s="92">
        <v>0.14</v>
      </c>
    </row>
    <row r="50" spans="1:12">
      <c r="A50">
        <v>44</v>
      </c>
      <c r="B50">
        <v>2085</v>
      </c>
      <c r="C50">
        <v>1019</v>
      </c>
      <c r="D50">
        <v>19296</v>
      </c>
      <c r="E50">
        <v>120</v>
      </c>
      <c r="F50" s="92">
        <v>1</v>
      </c>
      <c r="G50" s="92">
        <v>0</v>
      </c>
      <c r="H50" s="92">
        <v>0</v>
      </c>
      <c r="I50" s="92">
        <v>0</v>
      </c>
      <c r="J50" s="92">
        <v>0.12</v>
      </c>
      <c r="K50" s="92">
        <v>0</v>
      </c>
      <c r="L50" s="92">
        <v>0.14</v>
      </c>
    </row>
    <row r="51" spans="1:12">
      <c r="A51">
        <v>45</v>
      </c>
      <c r="B51">
        <v>2107</v>
      </c>
      <c r="C51">
        <v>1147</v>
      </c>
      <c r="D51">
        <v>21522</v>
      </c>
      <c r="E51">
        <v>120</v>
      </c>
      <c r="F51" s="92">
        <v>1</v>
      </c>
      <c r="G51" s="92">
        <v>0</v>
      </c>
      <c r="H51" s="92">
        <v>0</v>
      </c>
      <c r="I51" s="92">
        <v>0</v>
      </c>
      <c r="J51" s="92">
        <v>0.12</v>
      </c>
      <c r="K51" s="92">
        <v>0</v>
      </c>
      <c r="L51" s="92">
        <v>0.17</v>
      </c>
    </row>
    <row r="52" spans="1:12">
      <c r="A52">
        <v>46</v>
      </c>
      <c r="B52">
        <v>2129</v>
      </c>
      <c r="C52">
        <v>1218</v>
      </c>
      <c r="D52">
        <v>22467</v>
      </c>
      <c r="E52">
        <v>120</v>
      </c>
      <c r="F52" s="92">
        <v>1</v>
      </c>
      <c r="G52" s="92">
        <v>0</v>
      </c>
      <c r="H52" s="92">
        <v>0</v>
      </c>
      <c r="I52" s="92">
        <v>0</v>
      </c>
      <c r="J52" s="92">
        <v>0.12</v>
      </c>
      <c r="K52" s="92">
        <v>0</v>
      </c>
      <c r="L52" s="92">
        <v>0.17</v>
      </c>
    </row>
    <row r="53" spans="1:12">
      <c r="A53">
        <v>47</v>
      </c>
      <c r="B53">
        <v>2151</v>
      </c>
      <c r="C53">
        <v>1227</v>
      </c>
      <c r="D53">
        <v>22655</v>
      </c>
      <c r="E53">
        <v>120</v>
      </c>
      <c r="F53" s="92">
        <v>1</v>
      </c>
      <c r="G53" s="92">
        <v>0</v>
      </c>
      <c r="H53" s="92">
        <v>0</v>
      </c>
      <c r="I53" s="92">
        <v>0</v>
      </c>
      <c r="J53" s="92">
        <v>0.12</v>
      </c>
      <c r="K53" s="92">
        <v>0</v>
      </c>
      <c r="L53" s="92">
        <v>0.17</v>
      </c>
    </row>
    <row r="54" spans="1:12">
      <c r="A54">
        <v>48</v>
      </c>
      <c r="B54">
        <v>2285</v>
      </c>
      <c r="C54">
        <v>1245</v>
      </c>
      <c r="D54">
        <v>23002</v>
      </c>
      <c r="E54">
        <v>120</v>
      </c>
      <c r="F54" s="92">
        <v>1</v>
      </c>
      <c r="G54" s="92">
        <v>0</v>
      </c>
      <c r="H54" s="92">
        <v>0</v>
      </c>
      <c r="I54" s="92">
        <v>0</v>
      </c>
      <c r="J54" s="92">
        <v>0.12</v>
      </c>
      <c r="K54" s="92">
        <v>0</v>
      </c>
      <c r="L54" s="92">
        <v>0.17</v>
      </c>
    </row>
    <row r="55" spans="1:12">
      <c r="A55">
        <v>49</v>
      </c>
      <c r="B55">
        <v>2419</v>
      </c>
      <c r="C55">
        <v>1254</v>
      </c>
      <c r="D55">
        <v>23190</v>
      </c>
      <c r="E55">
        <v>120</v>
      </c>
      <c r="F55" s="92">
        <v>1</v>
      </c>
      <c r="G55" s="92">
        <v>0</v>
      </c>
      <c r="H55" s="92">
        <v>0</v>
      </c>
      <c r="I55" s="92">
        <v>0</v>
      </c>
      <c r="J55" s="92">
        <v>0.12</v>
      </c>
      <c r="K55" s="92">
        <v>0</v>
      </c>
      <c r="L55" s="92">
        <v>0.17</v>
      </c>
    </row>
    <row r="56" spans="1:12">
      <c r="A56">
        <v>50</v>
      </c>
      <c r="B56">
        <v>2553</v>
      </c>
      <c r="C56">
        <v>1413</v>
      </c>
      <c r="D56">
        <v>25181</v>
      </c>
      <c r="E56">
        <v>120</v>
      </c>
      <c r="F56" s="92">
        <v>1</v>
      </c>
      <c r="G56" s="92">
        <v>0</v>
      </c>
      <c r="H56" s="92">
        <v>0</v>
      </c>
      <c r="I56" s="92">
        <v>0</v>
      </c>
      <c r="J56" s="92">
        <v>0.12</v>
      </c>
      <c r="K56" s="92">
        <v>0</v>
      </c>
      <c r="L56" s="92">
        <v>0.23</v>
      </c>
    </row>
    <row r="57" spans="1:12">
      <c r="A57">
        <v>51</v>
      </c>
      <c r="B57">
        <v>2687</v>
      </c>
      <c r="C57">
        <v>1425</v>
      </c>
      <c r="D57">
        <v>25424</v>
      </c>
      <c r="E57">
        <v>120</v>
      </c>
      <c r="F57" s="92">
        <v>1</v>
      </c>
      <c r="G57" s="92">
        <v>0</v>
      </c>
      <c r="H57" s="92">
        <v>0</v>
      </c>
      <c r="I57" s="92">
        <v>0</v>
      </c>
      <c r="J57" s="92">
        <v>0.12</v>
      </c>
      <c r="K57" s="92">
        <v>0</v>
      </c>
      <c r="L57" s="92">
        <v>0.23</v>
      </c>
    </row>
    <row r="58" spans="1:12">
      <c r="A58">
        <v>52</v>
      </c>
      <c r="B58">
        <v>2821</v>
      </c>
      <c r="C58">
        <v>1454</v>
      </c>
      <c r="D58">
        <v>25948</v>
      </c>
      <c r="E58">
        <v>120</v>
      </c>
      <c r="F58" s="92">
        <v>1</v>
      </c>
      <c r="G58" s="92">
        <v>0</v>
      </c>
      <c r="H58" s="92">
        <v>0</v>
      </c>
      <c r="I58" s="92">
        <v>0</v>
      </c>
      <c r="J58" s="92">
        <v>0.12</v>
      </c>
      <c r="K58" s="92">
        <v>0</v>
      </c>
      <c r="L58" s="92">
        <v>0.23</v>
      </c>
    </row>
    <row r="59" spans="1:12">
      <c r="A59">
        <v>53</v>
      </c>
      <c r="B59">
        <v>2955</v>
      </c>
      <c r="C59">
        <v>1507</v>
      </c>
      <c r="D59">
        <v>27005</v>
      </c>
      <c r="E59">
        <v>120</v>
      </c>
      <c r="F59" s="92">
        <v>1</v>
      </c>
      <c r="G59" s="92">
        <v>0</v>
      </c>
      <c r="H59" s="92">
        <v>0</v>
      </c>
      <c r="I59" s="92">
        <v>0</v>
      </c>
      <c r="J59" s="92">
        <v>0.12</v>
      </c>
      <c r="K59" s="92">
        <v>0</v>
      </c>
      <c r="L59" s="92">
        <v>0.23</v>
      </c>
    </row>
    <row r="60" spans="1:12">
      <c r="A60">
        <v>54</v>
      </c>
      <c r="B60">
        <v>3089</v>
      </c>
      <c r="C60">
        <v>1519</v>
      </c>
      <c r="D60">
        <v>27249</v>
      </c>
      <c r="E60">
        <v>120</v>
      </c>
      <c r="F60" s="92">
        <v>1</v>
      </c>
      <c r="G60" s="92">
        <v>0</v>
      </c>
      <c r="H60" s="92">
        <v>0</v>
      </c>
      <c r="I60" s="92">
        <v>0</v>
      </c>
      <c r="J60" s="92">
        <v>0.12</v>
      </c>
      <c r="K60" s="92">
        <v>0</v>
      </c>
      <c r="L60" s="92">
        <v>0.23</v>
      </c>
    </row>
    <row r="61" spans="1:12">
      <c r="A61">
        <v>55</v>
      </c>
      <c r="B61">
        <v>3223</v>
      </c>
      <c r="C61">
        <v>1602</v>
      </c>
      <c r="D61">
        <v>28866</v>
      </c>
      <c r="E61">
        <v>120</v>
      </c>
      <c r="F61" s="92">
        <v>1</v>
      </c>
      <c r="G61" s="92">
        <v>0</v>
      </c>
      <c r="H61" s="92">
        <v>0</v>
      </c>
      <c r="I61" s="92">
        <v>0</v>
      </c>
      <c r="J61" s="92">
        <v>0.12</v>
      </c>
      <c r="K61" s="92">
        <v>0</v>
      </c>
      <c r="L61" s="92">
        <v>0.25</v>
      </c>
    </row>
    <row r="62" spans="1:12">
      <c r="A62">
        <v>56</v>
      </c>
      <c r="B62">
        <v>3357</v>
      </c>
      <c r="C62">
        <v>1657</v>
      </c>
      <c r="D62">
        <v>29966</v>
      </c>
      <c r="E62">
        <v>120</v>
      </c>
      <c r="F62" s="92">
        <v>1</v>
      </c>
      <c r="G62" s="92">
        <v>0</v>
      </c>
      <c r="H62" s="92">
        <v>0</v>
      </c>
      <c r="I62" s="92">
        <v>0</v>
      </c>
      <c r="J62" s="92">
        <v>0.12</v>
      </c>
      <c r="K62" s="92">
        <v>0</v>
      </c>
      <c r="L62" s="92">
        <v>0.25</v>
      </c>
    </row>
    <row r="63" spans="1:12">
      <c r="A63">
        <v>57</v>
      </c>
      <c r="B63">
        <v>3491</v>
      </c>
      <c r="C63">
        <v>1670</v>
      </c>
      <c r="D63">
        <v>30220</v>
      </c>
      <c r="E63">
        <v>120</v>
      </c>
      <c r="F63" s="92">
        <v>1</v>
      </c>
      <c r="G63" s="92">
        <v>0</v>
      </c>
      <c r="H63" s="92">
        <v>0</v>
      </c>
      <c r="I63" s="92">
        <v>0</v>
      </c>
      <c r="J63" s="92">
        <v>0.12</v>
      </c>
      <c r="K63" s="92">
        <v>0</v>
      </c>
      <c r="L63" s="92">
        <v>0.25</v>
      </c>
    </row>
    <row r="64" spans="1:12">
      <c r="A64">
        <v>58</v>
      </c>
      <c r="B64">
        <v>3625</v>
      </c>
      <c r="C64">
        <v>1700</v>
      </c>
      <c r="D64">
        <v>30783</v>
      </c>
      <c r="E64">
        <v>120</v>
      </c>
      <c r="F64" s="92">
        <v>1</v>
      </c>
      <c r="G64" s="92">
        <v>0</v>
      </c>
      <c r="H64" s="92">
        <v>0</v>
      </c>
      <c r="I64" s="92">
        <v>0</v>
      </c>
      <c r="J64" s="92">
        <v>0.12</v>
      </c>
      <c r="K64" s="92">
        <v>0</v>
      </c>
      <c r="L64" s="92">
        <v>0.25</v>
      </c>
    </row>
    <row r="65" spans="1:12">
      <c r="A65">
        <v>59</v>
      </c>
      <c r="B65">
        <v>3759</v>
      </c>
      <c r="C65">
        <v>1712</v>
      </c>
      <c r="D65">
        <v>31038</v>
      </c>
      <c r="E65">
        <v>120</v>
      </c>
      <c r="F65" s="92">
        <v>1</v>
      </c>
      <c r="G65" s="92">
        <v>0</v>
      </c>
      <c r="H65" s="92">
        <v>0</v>
      </c>
      <c r="I65" s="92">
        <v>0</v>
      </c>
      <c r="J65" s="92">
        <v>0.12</v>
      </c>
      <c r="K65" s="92">
        <v>0</v>
      </c>
      <c r="L65" s="92">
        <v>0.25</v>
      </c>
    </row>
    <row r="66" spans="1:12">
      <c r="A66">
        <v>60</v>
      </c>
      <c r="B66">
        <v>3893</v>
      </c>
      <c r="C66">
        <v>2051</v>
      </c>
      <c r="D66">
        <v>35577</v>
      </c>
      <c r="E66">
        <v>120</v>
      </c>
      <c r="F66" s="92">
        <v>1</v>
      </c>
      <c r="G66" s="92">
        <v>0</v>
      </c>
      <c r="H66" s="92">
        <v>0</v>
      </c>
      <c r="I66" s="92">
        <v>0</v>
      </c>
      <c r="J66" s="92">
        <v>0.12</v>
      </c>
      <c r="K66" s="92">
        <v>0</v>
      </c>
      <c r="L66" s="92">
        <v>0.25</v>
      </c>
    </row>
    <row r="67" spans="1:12">
      <c r="A67">
        <v>61</v>
      </c>
      <c r="B67">
        <v>4027</v>
      </c>
      <c r="C67">
        <v>2064</v>
      </c>
      <c r="D67">
        <v>35833</v>
      </c>
      <c r="E67">
        <v>120</v>
      </c>
      <c r="F67" s="92">
        <v>1</v>
      </c>
      <c r="G67" s="92">
        <v>0</v>
      </c>
      <c r="H67" s="92">
        <v>0</v>
      </c>
      <c r="I67" s="92">
        <v>0</v>
      </c>
      <c r="J67" s="92">
        <v>0.12</v>
      </c>
      <c r="K67" s="92">
        <v>0</v>
      </c>
      <c r="L67" s="92">
        <v>0.25</v>
      </c>
    </row>
    <row r="68" spans="1:12">
      <c r="A68">
        <v>62</v>
      </c>
      <c r="B68">
        <v>4161</v>
      </c>
      <c r="C68">
        <v>2076</v>
      </c>
      <c r="D68">
        <v>36089</v>
      </c>
      <c r="E68">
        <v>120</v>
      </c>
      <c r="F68" s="92">
        <v>1</v>
      </c>
      <c r="G68" s="92">
        <v>0</v>
      </c>
      <c r="H68" s="92">
        <v>0</v>
      </c>
      <c r="I68" s="92">
        <v>0</v>
      </c>
      <c r="J68" s="92">
        <v>0.12</v>
      </c>
      <c r="K68" s="92">
        <v>0</v>
      </c>
      <c r="L68" s="92">
        <v>0.25</v>
      </c>
    </row>
    <row r="69" spans="1:12">
      <c r="A69">
        <v>63</v>
      </c>
      <c r="B69">
        <v>4295</v>
      </c>
      <c r="C69">
        <v>2143</v>
      </c>
      <c r="D69">
        <v>36345</v>
      </c>
      <c r="E69">
        <v>120</v>
      </c>
      <c r="F69" s="92">
        <v>1</v>
      </c>
      <c r="G69" s="92">
        <v>0</v>
      </c>
      <c r="H69" s="92">
        <v>0</v>
      </c>
      <c r="I69" s="92">
        <v>0</v>
      </c>
      <c r="J69" s="92">
        <v>0.12</v>
      </c>
      <c r="K69" s="92">
        <v>0</v>
      </c>
      <c r="L69" s="92">
        <v>0.25</v>
      </c>
    </row>
    <row r="70" spans="1:12">
      <c r="A70">
        <v>64</v>
      </c>
      <c r="B70">
        <v>4429</v>
      </c>
      <c r="C70">
        <v>2156</v>
      </c>
      <c r="D70">
        <v>36601</v>
      </c>
      <c r="E70">
        <v>120</v>
      </c>
      <c r="F70" s="92">
        <v>1</v>
      </c>
      <c r="G70" s="92">
        <v>0</v>
      </c>
      <c r="H70" s="92">
        <v>0</v>
      </c>
      <c r="I70" s="92">
        <v>0</v>
      </c>
      <c r="J70" s="92">
        <v>0.12</v>
      </c>
      <c r="K70" s="92">
        <v>0</v>
      </c>
      <c r="L70" s="92">
        <v>0.25</v>
      </c>
    </row>
    <row r="71" spans="1:12">
      <c r="A71">
        <v>65</v>
      </c>
      <c r="B71">
        <v>4563</v>
      </c>
      <c r="C71">
        <v>2236</v>
      </c>
      <c r="D71">
        <v>36857</v>
      </c>
      <c r="E71">
        <v>120</v>
      </c>
      <c r="F71" s="92">
        <v>1</v>
      </c>
      <c r="G71" s="92">
        <v>0</v>
      </c>
      <c r="H71" s="92">
        <v>0</v>
      </c>
      <c r="I71" s="92">
        <v>0</v>
      </c>
      <c r="J71" s="92">
        <v>0.12</v>
      </c>
      <c r="K71" s="92">
        <v>0</v>
      </c>
      <c r="L71" s="92">
        <v>0.25</v>
      </c>
    </row>
    <row r="72" spans="1:12">
      <c r="A72">
        <v>66</v>
      </c>
      <c r="B72">
        <v>4697</v>
      </c>
      <c r="C72">
        <v>2304</v>
      </c>
      <c r="D72">
        <v>37113</v>
      </c>
      <c r="E72">
        <v>120</v>
      </c>
      <c r="F72" s="92">
        <v>1</v>
      </c>
      <c r="G72" s="92">
        <v>0</v>
      </c>
      <c r="H72" s="92">
        <v>0</v>
      </c>
      <c r="I72" s="92">
        <v>0</v>
      </c>
      <c r="J72" s="92">
        <v>0.12</v>
      </c>
      <c r="K72" s="92">
        <v>0</v>
      </c>
      <c r="L72" s="92">
        <v>0.25</v>
      </c>
    </row>
    <row r="73" spans="1:12">
      <c r="A73">
        <v>67</v>
      </c>
      <c r="B73">
        <v>4831</v>
      </c>
      <c r="C73">
        <v>2318</v>
      </c>
      <c r="D73">
        <v>37369</v>
      </c>
      <c r="E73">
        <v>120</v>
      </c>
      <c r="F73" s="92">
        <v>1</v>
      </c>
      <c r="G73" s="92">
        <v>0</v>
      </c>
      <c r="H73" s="92">
        <v>0</v>
      </c>
      <c r="I73" s="92">
        <v>0</v>
      </c>
      <c r="J73" s="92">
        <v>0.12</v>
      </c>
      <c r="K73" s="92">
        <v>0</v>
      </c>
      <c r="L73" s="92">
        <v>0.25</v>
      </c>
    </row>
    <row r="74" spans="1:12">
      <c r="A74">
        <v>68</v>
      </c>
      <c r="B74">
        <v>4965</v>
      </c>
      <c r="C74">
        <v>2331</v>
      </c>
      <c r="D74">
        <v>37625</v>
      </c>
      <c r="E74">
        <v>120</v>
      </c>
      <c r="F74" s="92">
        <v>1</v>
      </c>
      <c r="G74" s="92">
        <v>0</v>
      </c>
      <c r="H74" s="92">
        <v>0</v>
      </c>
      <c r="I74" s="92">
        <v>0</v>
      </c>
      <c r="J74" s="92">
        <v>0.12</v>
      </c>
      <c r="K74" s="92">
        <v>0</v>
      </c>
      <c r="L74" s="92">
        <v>0.25</v>
      </c>
    </row>
    <row r="75" spans="1:12">
      <c r="A75">
        <v>69</v>
      </c>
      <c r="B75">
        <v>5099</v>
      </c>
      <c r="C75">
        <v>2344</v>
      </c>
      <c r="D75">
        <v>37881</v>
      </c>
      <c r="E75">
        <v>120</v>
      </c>
      <c r="F75" s="92">
        <v>1</v>
      </c>
      <c r="G75" s="92">
        <v>0</v>
      </c>
      <c r="H75" s="92">
        <v>0</v>
      </c>
      <c r="I75" s="92">
        <v>0</v>
      </c>
      <c r="J75" s="92">
        <v>0.12</v>
      </c>
      <c r="K75" s="92">
        <v>0</v>
      </c>
      <c r="L75" s="92">
        <v>0.25</v>
      </c>
    </row>
    <row r="76" spans="1:12">
      <c r="A76">
        <v>70</v>
      </c>
      <c r="B76">
        <v>5233</v>
      </c>
      <c r="C76">
        <v>2470</v>
      </c>
      <c r="D76">
        <v>38137</v>
      </c>
      <c r="E76">
        <v>120</v>
      </c>
      <c r="F76" s="92">
        <v>1</v>
      </c>
      <c r="G76" s="92">
        <v>0</v>
      </c>
      <c r="H76" s="92">
        <v>0</v>
      </c>
      <c r="I76" s="92">
        <v>0</v>
      </c>
      <c r="J76" s="92">
        <v>0.12</v>
      </c>
      <c r="K76" s="92">
        <v>0</v>
      </c>
      <c r="L76" s="92">
        <v>0.25</v>
      </c>
    </row>
    <row r="77" spans="1:12">
      <c r="A77">
        <v>71</v>
      </c>
      <c r="B77">
        <v>5367</v>
      </c>
      <c r="C77">
        <v>2483</v>
      </c>
      <c r="D77">
        <v>38393</v>
      </c>
      <c r="E77">
        <v>120</v>
      </c>
      <c r="F77" s="92">
        <v>1</v>
      </c>
      <c r="G77" s="92">
        <v>0</v>
      </c>
      <c r="H77" s="92">
        <v>0</v>
      </c>
      <c r="I77" s="92">
        <v>0</v>
      </c>
      <c r="J77" s="92">
        <v>0.12</v>
      </c>
      <c r="K77" s="92">
        <v>0</v>
      </c>
      <c r="L77" s="92">
        <v>0.25</v>
      </c>
    </row>
    <row r="78" spans="1:12">
      <c r="A78">
        <v>72</v>
      </c>
      <c r="B78">
        <v>5501</v>
      </c>
      <c r="C78">
        <v>2496</v>
      </c>
      <c r="D78">
        <v>38649</v>
      </c>
      <c r="E78">
        <v>120</v>
      </c>
      <c r="F78" s="92">
        <v>1</v>
      </c>
      <c r="G78" s="92">
        <v>0</v>
      </c>
      <c r="H78" s="92">
        <v>0</v>
      </c>
      <c r="I78" s="92">
        <v>0</v>
      </c>
      <c r="J78" s="92">
        <v>0.12</v>
      </c>
      <c r="K78" s="92">
        <v>0</v>
      </c>
      <c r="L78" s="92">
        <v>0.25</v>
      </c>
    </row>
    <row r="79" spans="1:12">
      <c r="A79">
        <v>73</v>
      </c>
      <c r="B79">
        <v>5635</v>
      </c>
      <c r="C79">
        <v>2578</v>
      </c>
      <c r="D79">
        <v>38905</v>
      </c>
      <c r="E79">
        <v>120</v>
      </c>
      <c r="F79" s="92">
        <v>1</v>
      </c>
      <c r="G79" s="92">
        <v>0</v>
      </c>
      <c r="H79" s="92">
        <v>0</v>
      </c>
      <c r="I79" s="92">
        <v>0</v>
      </c>
      <c r="J79" s="92">
        <v>0.12</v>
      </c>
      <c r="K79" s="92">
        <v>0</v>
      </c>
      <c r="L79" s="92">
        <v>0.25</v>
      </c>
    </row>
    <row r="80" spans="1:12">
      <c r="A80">
        <v>74</v>
      </c>
      <c r="B80">
        <v>5769</v>
      </c>
      <c r="C80">
        <v>2591</v>
      </c>
      <c r="D80">
        <v>39161</v>
      </c>
      <c r="E80">
        <v>120</v>
      </c>
      <c r="F80" s="92">
        <v>1</v>
      </c>
      <c r="G80" s="92">
        <v>0</v>
      </c>
      <c r="H80" s="92">
        <v>0</v>
      </c>
      <c r="I80" s="92">
        <v>0</v>
      </c>
      <c r="J80" s="92">
        <v>0.12</v>
      </c>
      <c r="K80" s="92">
        <v>0</v>
      </c>
      <c r="L80" s="92">
        <v>0.25</v>
      </c>
    </row>
    <row r="81" spans="1:12">
      <c r="A81">
        <v>75</v>
      </c>
      <c r="B81">
        <v>5903</v>
      </c>
      <c r="C81">
        <v>2618</v>
      </c>
      <c r="D81">
        <v>39417</v>
      </c>
      <c r="E81">
        <v>120</v>
      </c>
      <c r="F81" s="92">
        <v>1</v>
      </c>
      <c r="G81" s="92">
        <v>0</v>
      </c>
      <c r="H81" s="92">
        <v>0</v>
      </c>
      <c r="I81" s="92">
        <v>0</v>
      </c>
      <c r="J81" s="92">
        <v>0.12</v>
      </c>
      <c r="K81" s="92">
        <v>0</v>
      </c>
      <c r="L81" s="92">
        <v>0.25</v>
      </c>
    </row>
    <row r="82" spans="1:12">
      <c r="A82">
        <v>76</v>
      </c>
      <c r="B82">
        <v>6037</v>
      </c>
      <c r="C82">
        <v>2700</v>
      </c>
      <c r="D82">
        <v>39673</v>
      </c>
      <c r="E82">
        <v>120</v>
      </c>
      <c r="F82" s="92">
        <v>1</v>
      </c>
      <c r="G82" s="92">
        <v>0</v>
      </c>
      <c r="H82" s="92">
        <v>0</v>
      </c>
      <c r="I82" s="92">
        <v>0</v>
      </c>
      <c r="J82" s="92">
        <v>0.12</v>
      </c>
      <c r="K82" s="92">
        <v>0</v>
      </c>
      <c r="L82" s="92">
        <v>0.25</v>
      </c>
    </row>
    <row r="83" spans="1:12">
      <c r="A83">
        <v>77</v>
      </c>
      <c r="B83">
        <v>6171</v>
      </c>
      <c r="C83">
        <v>2713</v>
      </c>
      <c r="D83">
        <v>39929</v>
      </c>
      <c r="E83">
        <v>120</v>
      </c>
      <c r="F83" s="92">
        <v>1</v>
      </c>
      <c r="G83" s="92">
        <v>0</v>
      </c>
      <c r="H83" s="92">
        <v>0</v>
      </c>
      <c r="I83" s="92">
        <v>0</v>
      </c>
      <c r="J83" s="92">
        <v>0.12</v>
      </c>
      <c r="K83" s="92">
        <v>0</v>
      </c>
      <c r="L83" s="92">
        <v>0.25</v>
      </c>
    </row>
    <row r="84" spans="1:12">
      <c r="A84">
        <v>78</v>
      </c>
      <c r="B84">
        <v>6305</v>
      </c>
      <c r="C84">
        <v>2726</v>
      </c>
      <c r="D84">
        <v>40185</v>
      </c>
      <c r="E84">
        <v>120</v>
      </c>
      <c r="F84" s="92">
        <v>1</v>
      </c>
      <c r="G84" s="92">
        <v>0</v>
      </c>
      <c r="H84" s="92">
        <v>0</v>
      </c>
      <c r="I84" s="92">
        <v>0</v>
      </c>
      <c r="J84" s="92">
        <v>0.12</v>
      </c>
      <c r="K84" s="92">
        <v>0</v>
      </c>
      <c r="L84" s="92">
        <v>0.25</v>
      </c>
    </row>
    <row r="85" spans="1:12">
      <c r="A85">
        <v>79</v>
      </c>
      <c r="B85">
        <v>6439</v>
      </c>
      <c r="C85">
        <v>2739</v>
      </c>
      <c r="D85">
        <v>40441</v>
      </c>
      <c r="E85">
        <v>120</v>
      </c>
      <c r="F85" s="92">
        <v>1</v>
      </c>
      <c r="G85" s="92">
        <v>0</v>
      </c>
      <c r="H85" s="92">
        <v>0</v>
      </c>
      <c r="I85" s="92">
        <v>0</v>
      </c>
      <c r="J85" s="92">
        <v>0.12</v>
      </c>
      <c r="K85" s="92">
        <v>0</v>
      </c>
      <c r="L85" s="92">
        <v>0.25</v>
      </c>
    </row>
    <row r="86" spans="1:12">
      <c r="A86">
        <v>80</v>
      </c>
      <c r="B86">
        <v>6573</v>
      </c>
      <c r="C86">
        <v>3605</v>
      </c>
      <c r="D86">
        <v>40697</v>
      </c>
      <c r="E86">
        <v>120</v>
      </c>
      <c r="F86" s="92">
        <v>1</v>
      </c>
      <c r="G86" s="92">
        <v>0</v>
      </c>
      <c r="H86" s="92">
        <v>0</v>
      </c>
      <c r="I86" s="92">
        <v>0</v>
      </c>
      <c r="J86" s="92">
        <v>0.12</v>
      </c>
      <c r="K86" s="92">
        <v>0</v>
      </c>
      <c r="L86" s="92">
        <v>0.25</v>
      </c>
    </row>
    <row r="87" spans="1:12">
      <c r="A87">
        <v>81</v>
      </c>
      <c r="B87">
        <v>6707</v>
      </c>
      <c r="C87">
        <v>3627</v>
      </c>
      <c r="D87">
        <v>40953</v>
      </c>
      <c r="E87">
        <v>120</v>
      </c>
      <c r="F87" s="92">
        <v>1</v>
      </c>
      <c r="G87" s="92">
        <v>0</v>
      </c>
      <c r="H87" s="92">
        <v>0</v>
      </c>
      <c r="I87" s="92">
        <v>0</v>
      </c>
      <c r="J87" s="92">
        <v>0.12</v>
      </c>
      <c r="K87" s="92">
        <v>0</v>
      </c>
      <c r="L87" s="92">
        <v>0.25</v>
      </c>
    </row>
    <row r="88" spans="1:12">
      <c r="A88">
        <v>82</v>
      </c>
      <c r="B88">
        <v>6841</v>
      </c>
      <c r="C88">
        <v>3648</v>
      </c>
      <c r="D88">
        <v>41209</v>
      </c>
      <c r="E88">
        <v>120</v>
      </c>
      <c r="F88" s="92">
        <v>1</v>
      </c>
      <c r="G88" s="92">
        <v>0</v>
      </c>
      <c r="H88" s="92">
        <v>0</v>
      </c>
      <c r="I88" s="92">
        <v>0</v>
      </c>
      <c r="J88" s="92">
        <v>0.12</v>
      </c>
      <c r="K88" s="92">
        <v>0</v>
      </c>
      <c r="L88" s="92">
        <v>0.25</v>
      </c>
    </row>
    <row r="89" spans="1:12">
      <c r="A89">
        <v>83</v>
      </c>
      <c r="B89">
        <v>6975</v>
      </c>
      <c r="C89">
        <v>3764</v>
      </c>
      <c r="D89">
        <v>41465</v>
      </c>
      <c r="E89">
        <v>120</v>
      </c>
      <c r="F89" s="92">
        <v>1</v>
      </c>
      <c r="G89" s="92">
        <v>0</v>
      </c>
      <c r="H89" s="92">
        <v>0</v>
      </c>
      <c r="I89" s="92">
        <v>0</v>
      </c>
      <c r="J89" s="92">
        <v>0.12</v>
      </c>
      <c r="K89" s="92">
        <v>0</v>
      </c>
      <c r="L89" s="92">
        <v>0.25</v>
      </c>
    </row>
    <row r="90" spans="1:12">
      <c r="A90">
        <v>84</v>
      </c>
      <c r="B90">
        <v>7109</v>
      </c>
      <c r="C90">
        <v>3786</v>
      </c>
      <c r="D90">
        <v>41721</v>
      </c>
      <c r="E90">
        <v>120</v>
      </c>
      <c r="F90" s="92">
        <v>1</v>
      </c>
      <c r="G90" s="92">
        <v>0</v>
      </c>
      <c r="H90" s="92">
        <v>0</v>
      </c>
      <c r="I90" s="92">
        <v>0</v>
      </c>
      <c r="J90" s="92">
        <v>0.12</v>
      </c>
      <c r="K90" s="92">
        <v>0</v>
      </c>
      <c r="L90" s="92">
        <v>0.25</v>
      </c>
    </row>
    <row r="91" spans="1:12">
      <c r="A91">
        <v>85</v>
      </c>
      <c r="B91">
        <v>7243</v>
      </c>
      <c r="C91">
        <v>3855</v>
      </c>
      <c r="D91">
        <v>41977</v>
      </c>
      <c r="E91">
        <v>120</v>
      </c>
      <c r="F91" s="92">
        <v>1</v>
      </c>
      <c r="G91" s="92">
        <v>0</v>
      </c>
      <c r="H91" s="92">
        <v>0</v>
      </c>
      <c r="I91" s="92">
        <v>0</v>
      </c>
      <c r="J91" s="92">
        <v>0.12</v>
      </c>
      <c r="K91" s="92">
        <v>0</v>
      </c>
      <c r="L91" s="92">
        <v>0.25</v>
      </c>
    </row>
    <row r="92" spans="1:12">
      <c r="A92">
        <v>86</v>
      </c>
      <c r="B92">
        <v>7377</v>
      </c>
      <c r="C92">
        <v>3972</v>
      </c>
      <c r="D92">
        <v>42233</v>
      </c>
      <c r="E92">
        <v>120</v>
      </c>
      <c r="F92" s="92">
        <v>1</v>
      </c>
      <c r="G92" s="92">
        <v>0</v>
      </c>
      <c r="H92" s="92">
        <v>0</v>
      </c>
      <c r="I92" s="92">
        <v>0</v>
      </c>
      <c r="J92" s="92">
        <v>0.12</v>
      </c>
      <c r="K92" s="92">
        <v>0</v>
      </c>
      <c r="L92" s="92">
        <v>0.25</v>
      </c>
    </row>
    <row r="93" spans="1:12">
      <c r="A93">
        <v>87</v>
      </c>
      <c r="B93">
        <v>7511</v>
      </c>
      <c r="C93">
        <v>3993</v>
      </c>
      <c r="D93">
        <v>42489</v>
      </c>
      <c r="E93">
        <v>120</v>
      </c>
      <c r="F93" s="92">
        <v>1</v>
      </c>
      <c r="G93" s="92">
        <v>0</v>
      </c>
      <c r="H93" s="92">
        <v>0</v>
      </c>
      <c r="I93" s="92">
        <v>0</v>
      </c>
      <c r="J93" s="92">
        <v>0.12</v>
      </c>
      <c r="K93" s="92">
        <v>0</v>
      </c>
      <c r="L93" s="92">
        <v>0.25</v>
      </c>
    </row>
    <row r="94" spans="1:12">
      <c r="A94">
        <v>88</v>
      </c>
      <c r="B94">
        <v>7645</v>
      </c>
      <c r="C94">
        <v>4014</v>
      </c>
      <c r="D94">
        <v>42745</v>
      </c>
      <c r="E94">
        <v>120</v>
      </c>
      <c r="F94" s="92">
        <v>1</v>
      </c>
      <c r="G94" s="92">
        <v>0</v>
      </c>
      <c r="H94" s="92">
        <v>0</v>
      </c>
      <c r="I94" s="92">
        <v>0</v>
      </c>
      <c r="J94" s="92">
        <v>0.12</v>
      </c>
      <c r="K94" s="92">
        <v>0</v>
      </c>
      <c r="L94" s="92">
        <v>0.25</v>
      </c>
    </row>
    <row r="95" spans="1:12">
      <c r="A95">
        <v>89</v>
      </c>
      <c r="B95">
        <v>7779</v>
      </c>
      <c r="C95">
        <v>4036</v>
      </c>
      <c r="D95">
        <v>43001</v>
      </c>
      <c r="E95">
        <v>120</v>
      </c>
      <c r="F95" s="92">
        <v>1</v>
      </c>
      <c r="G95" s="92">
        <v>0</v>
      </c>
      <c r="H95" s="92">
        <v>0</v>
      </c>
      <c r="I95" s="92">
        <v>0</v>
      </c>
      <c r="J95" s="92">
        <v>0.12</v>
      </c>
      <c r="K95" s="92">
        <v>0</v>
      </c>
      <c r="L95" s="92">
        <v>0.25</v>
      </c>
    </row>
    <row r="96" spans="1:12">
      <c r="A96">
        <v>90</v>
      </c>
      <c r="B96">
        <v>7913</v>
      </c>
      <c r="C96">
        <v>4235</v>
      </c>
      <c r="D96">
        <v>43257</v>
      </c>
      <c r="E96">
        <v>120</v>
      </c>
      <c r="F96" s="92">
        <v>1</v>
      </c>
      <c r="G96" s="92">
        <v>0</v>
      </c>
      <c r="H96" s="92">
        <v>0</v>
      </c>
      <c r="I96" s="92">
        <v>0</v>
      </c>
      <c r="J96" s="92">
        <v>0.12</v>
      </c>
      <c r="K96" s="92">
        <v>0</v>
      </c>
      <c r="L96" s="92">
        <v>0.25</v>
      </c>
    </row>
    <row r="97" spans="1:12">
      <c r="A97">
        <v>91</v>
      </c>
      <c r="B97">
        <v>8047</v>
      </c>
      <c r="C97">
        <v>4257</v>
      </c>
      <c r="D97">
        <v>43513</v>
      </c>
      <c r="E97">
        <v>120</v>
      </c>
      <c r="F97" s="92">
        <v>1</v>
      </c>
      <c r="G97" s="92">
        <v>0</v>
      </c>
      <c r="H97" s="92">
        <v>0</v>
      </c>
      <c r="I97" s="92">
        <v>0</v>
      </c>
      <c r="J97" s="92">
        <v>0.12</v>
      </c>
      <c r="K97" s="92">
        <v>0</v>
      </c>
      <c r="L97" s="92">
        <v>0.25</v>
      </c>
    </row>
    <row r="98" spans="1:12">
      <c r="A98">
        <v>92</v>
      </c>
      <c r="B98">
        <v>8181</v>
      </c>
      <c r="C98">
        <v>4278</v>
      </c>
      <c r="D98">
        <v>43769</v>
      </c>
      <c r="E98">
        <v>120</v>
      </c>
      <c r="F98" s="92">
        <v>1</v>
      </c>
      <c r="G98" s="92">
        <v>0</v>
      </c>
      <c r="H98" s="92">
        <v>0</v>
      </c>
      <c r="I98" s="92">
        <v>0</v>
      </c>
      <c r="J98" s="92">
        <v>0.12</v>
      </c>
      <c r="K98" s="92">
        <v>0</v>
      </c>
      <c r="L98" s="92">
        <v>0.25</v>
      </c>
    </row>
    <row r="99" spans="1:12">
      <c r="A99">
        <v>93</v>
      </c>
      <c r="B99">
        <v>8315</v>
      </c>
      <c r="C99">
        <v>4418</v>
      </c>
      <c r="D99">
        <v>44025</v>
      </c>
      <c r="E99">
        <v>120</v>
      </c>
      <c r="F99" s="92">
        <v>1</v>
      </c>
      <c r="G99" s="92">
        <v>0</v>
      </c>
      <c r="H99" s="92">
        <v>0</v>
      </c>
      <c r="I99" s="92">
        <v>0</v>
      </c>
      <c r="J99" s="92">
        <v>0.12</v>
      </c>
      <c r="K99" s="92">
        <v>0</v>
      </c>
      <c r="L99" s="92">
        <v>0.25</v>
      </c>
    </row>
    <row r="100" spans="1:12">
      <c r="A100">
        <v>94</v>
      </c>
      <c r="B100">
        <v>8449</v>
      </c>
      <c r="C100">
        <v>4440</v>
      </c>
      <c r="D100">
        <v>44281</v>
      </c>
      <c r="E100">
        <v>120</v>
      </c>
      <c r="F100" s="92">
        <v>1</v>
      </c>
      <c r="G100" s="92">
        <v>0</v>
      </c>
      <c r="H100" s="92">
        <v>0</v>
      </c>
      <c r="I100" s="92">
        <v>0</v>
      </c>
      <c r="J100" s="92">
        <v>0.12</v>
      </c>
      <c r="K100" s="92">
        <v>0</v>
      </c>
      <c r="L100" s="92">
        <v>0.25</v>
      </c>
    </row>
    <row r="101" spans="1:12">
      <c r="A101">
        <v>95</v>
      </c>
      <c r="B101">
        <v>8583</v>
      </c>
      <c r="C101">
        <v>4461</v>
      </c>
      <c r="D101">
        <v>44537</v>
      </c>
      <c r="E101">
        <v>120</v>
      </c>
      <c r="F101" s="92">
        <v>1</v>
      </c>
      <c r="G101" s="92">
        <v>0</v>
      </c>
      <c r="H101" s="92">
        <v>0</v>
      </c>
      <c r="I101" s="92">
        <v>0</v>
      </c>
      <c r="J101" s="92">
        <v>0.12</v>
      </c>
      <c r="K101" s="92">
        <v>0</v>
      </c>
      <c r="L101" s="92">
        <v>0.25</v>
      </c>
    </row>
    <row r="102" spans="1:12">
      <c r="A102">
        <v>96</v>
      </c>
      <c r="B102">
        <v>8717</v>
      </c>
      <c r="C102">
        <v>4601</v>
      </c>
      <c r="D102">
        <v>44793</v>
      </c>
      <c r="E102">
        <v>120</v>
      </c>
      <c r="F102" s="92">
        <v>1</v>
      </c>
      <c r="G102" s="92">
        <v>0</v>
      </c>
      <c r="H102" s="92">
        <v>0</v>
      </c>
      <c r="I102" s="92">
        <v>0</v>
      </c>
      <c r="J102" s="92">
        <v>0.12</v>
      </c>
      <c r="K102" s="92">
        <v>0</v>
      </c>
      <c r="L102" s="92">
        <v>0.25</v>
      </c>
    </row>
    <row r="103" spans="1:12">
      <c r="A103">
        <v>97</v>
      </c>
      <c r="B103">
        <v>8851</v>
      </c>
      <c r="C103">
        <v>4622</v>
      </c>
      <c r="D103">
        <v>45049</v>
      </c>
      <c r="E103">
        <v>120</v>
      </c>
      <c r="F103" s="92">
        <v>1</v>
      </c>
      <c r="G103" s="92">
        <v>0</v>
      </c>
      <c r="H103" s="92">
        <v>0</v>
      </c>
      <c r="I103" s="92">
        <v>0</v>
      </c>
      <c r="J103" s="92">
        <v>0.12</v>
      </c>
      <c r="K103" s="92">
        <v>0</v>
      </c>
      <c r="L103" s="92">
        <v>0.25</v>
      </c>
    </row>
    <row r="104" spans="1:12">
      <c r="A104">
        <v>98</v>
      </c>
      <c r="B104">
        <v>8985</v>
      </c>
      <c r="C104">
        <v>4644</v>
      </c>
      <c r="D104">
        <v>45305</v>
      </c>
      <c r="E104">
        <v>120</v>
      </c>
      <c r="F104" s="92">
        <v>1</v>
      </c>
      <c r="G104" s="92">
        <v>0</v>
      </c>
      <c r="H104" s="92">
        <v>0</v>
      </c>
      <c r="I104" s="92">
        <v>0</v>
      </c>
      <c r="J104" s="92">
        <v>0.12</v>
      </c>
      <c r="K104" s="92">
        <v>0</v>
      </c>
      <c r="L104" s="92">
        <v>0.25</v>
      </c>
    </row>
    <row r="105" spans="1:12">
      <c r="A105">
        <v>99</v>
      </c>
      <c r="B105">
        <v>9119</v>
      </c>
      <c r="C105">
        <v>4665</v>
      </c>
      <c r="D105">
        <v>45561</v>
      </c>
      <c r="E105">
        <v>120</v>
      </c>
      <c r="F105" s="92">
        <v>1</v>
      </c>
      <c r="G105" s="92">
        <v>0</v>
      </c>
      <c r="H105" s="92">
        <v>0</v>
      </c>
      <c r="I105" s="92">
        <v>0</v>
      </c>
      <c r="J105" s="92">
        <v>0.12</v>
      </c>
      <c r="K105" s="92">
        <v>0</v>
      </c>
      <c r="L105" s="92">
        <v>0.25</v>
      </c>
    </row>
    <row r="106" spans="1:12">
      <c r="A106">
        <v>100</v>
      </c>
      <c r="B106">
        <v>9253</v>
      </c>
      <c r="C106">
        <v>5709</v>
      </c>
      <c r="D106">
        <v>45817</v>
      </c>
      <c r="E106">
        <v>120</v>
      </c>
      <c r="F106" s="92">
        <v>1</v>
      </c>
      <c r="G106" s="92">
        <v>0</v>
      </c>
      <c r="H106" s="92">
        <v>0</v>
      </c>
      <c r="I106" s="92">
        <v>0</v>
      </c>
      <c r="J106" s="92">
        <v>0.12</v>
      </c>
      <c r="K106" s="92">
        <v>0</v>
      </c>
      <c r="L106" s="92">
        <v>0.25</v>
      </c>
    </row>
    <row r="107" spans="1:12">
      <c r="A107">
        <v>101</v>
      </c>
      <c r="B107">
        <v>9387</v>
      </c>
      <c r="C107">
        <v>5735</v>
      </c>
      <c r="D107">
        <v>46073</v>
      </c>
      <c r="E107">
        <v>120</v>
      </c>
      <c r="F107" s="92">
        <v>1</v>
      </c>
      <c r="G107" s="92">
        <v>0</v>
      </c>
      <c r="H107" s="92">
        <v>0</v>
      </c>
      <c r="I107" s="92">
        <v>0</v>
      </c>
      <c r="J107" s="92">
        <v>0.12</v>
      </c>
      <c r="K107" s="92">
        <v>0</v>
      </c>
      <c r="L107" s="92">
        <v>0.25</v>
      </c>
    </row>
    <row r="108" spans="1:12">
      <c r="A108">
        <v>102</v>
      </c>
      <c r="B108">
        <v>9521</v>
      </c>
      <c r="C108">
        <v>5824</v>
      </c>
      <c r="D108">
        <v>46329</v>
      </c>
      <c r="E108">
        <v>120</v>
      </c>
      <c r="F108" s="92">
        <v>1</v>
      </c>
      <c r="G108" s="92">
        <v>0</v>
      </c>
      <c r="H108" s="92">
        <v>0</v>
      </c>
      <c r="I108" s="92">
        <v>0</v>
      </c>
      <c r="J108" s="92">
        <v>0.12</v>
      </c>
      <c r="K108" s="92">
        <v>0</v>
      </c>
      <c r="L108" s="92">
        <v>0.25</v>
      </c>
    </row>
    <row r="109" spans="1:12">
      <c r="A109">
        <v>103</v>
      </c>
      <c r="B109">
        <v>9655</v>
      </c>
      <c r="C109">
        <v>5990</v>
      </c>
      <c r="D109">
        <v>46585</v>
      </c>
      <c r="E109">
        <v>120</v>
      </c>
      <c r="F109" s="92">
        <v>1</v>
      </c>
      <c r="G109" s="92">
        <v>0</v>
      </c>
      <c r="H109" s="92">
        <v>0</v>
      </c>
      <c r="I109" s="92">
        <v>0</v>
      </c>
      <c r="J109" s="92">
        <v>0.12</v>
      </c>
      <c r="K109" s="92">
        <v>0</v>
      </c>
      <c r="L109" s="92">
        <v>0.25</v>
      </c>
    </row>
    <row r="110" spans="1:12">
      <c r="A110">
        <v>104</v>
      </c>
      <c r="B110">
        <v>9789</v>
      </c>
      <c r="C110">
        <v>6079</v>
      </c>
      <c r="D110">
        <v>46841</v>
      </c>
      <c r="E110">
        <v>120</v>
      </c>
      <c r="F110" s="92">
        <v>1</v>
      </c>
      <c r="G110" s="92">
        <v>0</v>
      </c>
      <c r="H110" s="92">
        <v>0</v>
      </c>
      <c r="I110" s="92">
        <v>0</v>
      </c>
      <c r="J110" s="92">
        <v>0.12</v>
      </c>
      <c r="K110" s="92">
        <v>0</v>
      </c>
      <c r="L110" s="92">
        <v>0.25</v>
      </c>
    </row>
    <row r="111" spans="1:12">
      <c r="A111">
        <v>105</v>
      </c>
      <c r="B111">
        <v>9923</v>
      </c>
      <c r="C111">
        <v>6104</v>
      </c>
      <c r="D111">
        <v>47097</v>
      </c>
      <c r="E111">
        <v>120</v>
      </c>
      <c r="F111" s="92">
        <v>1</v>
      </c>
      <c r="G111" s="92">
        <v>0</v>
      </c>
      <c r="H111" s="92">
        <v>0</v>
      </c>
      <c r="I111" s="92">
        <v>0</v>
      </c>
      <c r="J111" s="92">
        <v>0.12</v>
      </c>
      <c r="K111" s="92">
        <v>0</v>
      </c>
      <c r="L111" s="92">
        <v>0.25</v>
      </c>
    </row>
    <row r="112" spans="1:12">
      <c r="A112">
        <v>106</v>
      </c>
      <c r="B112">
        <v>10057</v>
      </c>
      <c r="C112">
        <v>6334</v>
      </c>
      <c r="D112">
        <v>47353</v>
      </c>
      <c r="E112">
        <v>120</v>
      </c>
      <c r="F112" s="92">
        <v>1</v>
      </c>
      <c r="G112" s="92">
        <v>0</v>
      </c>
      <c r="H112" s="92">
        <v>0</v>
      </c>
      <c r="I112" s="92">
        <v>0</v>
      </c>
      <c r="J112" s="92">
        <v>0.12</v>
      </c>
      <c r="K112" s="92">
        <v>0</v>
      </c>
      <c r="L112" s="92">
        <v>0.25</v>
      </c>
    </row>
    <row r="113" spans="1:12">
      <c r="A113">
        <v>107</v>
      </c>
      <c r="B113">
        <v>10191</v>
      </c>
      <c r="C113">
        <v>6360</v>
      </c>
      <c r="D113">
        <v>47609</v>
      </c>
      <c r="E113">
        <v>120</v>
      </c>
      <c r="F113" s="92">
        <v>1</v>
      </c>
      <c r="G113" s="92">
        <v>0</v>
      </c>
      <c r="H113" s="92">
        <v>0</v>
      </c>
      <c r="I113" s="92">
        <v>0</v>
      </c>
      <c r="J113" s="92">
        <v>0.12</v>
      </c>
      <c r="K113" s="92">
        <v>0</v>
      </c>
      <c r="L113" s="92">
        <v>0.25</v>
      </c>
    </row>
    <row r="114" spans="1:12">
      <c r="A114">
        <v>108</v>
      </c>
      <c r="B114">
        <v>10325</v>
      </c>
      <c r="C114">
        <v>6449</v>
      </c>
      <c r="D114">
        <v>47865</v>
      </c>
      <c r="E114">
        <v>120</v>
      </c>
      <c r="F114" s="92">
        <v>1</v>
      </c>
      <c r="G114" s="92">
        <v>0</v>
      </c>
      <c r="H114" s="92">
        <v>0</v>
      </c>
      <c r="I114" s="92">
        <v>0</v>
      </c>
      <c r="J114" s="92">
        <v>0.12</v>
      </c>
      <c r="K114" s="92">
        <v>0</v>
      </c>
      <c r="L114" s="92">
        <v>0.25</v>
      </c>
    </row>
    <row r="115" spans="1:12">
      <c r="A115">
        <v>109</v>
      </c>
      <c r="B115">
        <v>10459</v>
      </c>
      <c r="C115">
        <v>6474</v>
      </c>
      <c r="D115">
        <v>48121</v>
      </c>
      <c r="E115">
        <v>120</v>
      </c>
      <c r="F115" s="92">
        <v>1</v>
      </c>
      <c r="G115" s="92">
        <v>0</v>
      </c>
      <c r="H115" s="92">
        <v>0</v>
      </c>
      <c r="I115" s="92">
        <v>0</v>
      </c>
      <c r="J115" s="92">
        <v>0.12</v>
      </c>
      <c r="K115" s="92">
        <v>0</v>
      </c>
      <c r="L115" s="92">
        <v>0.25</v>
      </c>
    </row>
    <row r="116" spans="1:12">
      <c r="A116">
        <v>110</v>
      </c>
      <c r="B116">
        <v>10593</v>
      </c>
      <c r="C116">
        <v>7314</v>
      </c>
      <c r="D116">
        <v>48377</v>
      </c>
      <c r="E116">
        <v>120</v>
      </c>
      <c r="F116" s="92">
        <v>1</v>
      </c>
      <c r="G116" s="92">
        <v>0</v>
      </c>
      <c r="H116" s="92">
        <v>0</v>
      </c>
      <c r="I116" s="92">
        <v>0</v>
      </c>
      <c r="J116" s="92">
        <v>0.12</v>
      </c>
      <c r="K116" s="92">
        <v>0</v>
      </c>
      <c r="L116" s="92">
        <v>0.25</v>
      </c>
    </row>
    <row r="117" spans="1:12">
      <c r="A117">
        <v>111</v>
      </c>
      <c r="B117">
        <v>10727</v>
      </c>
      <c r="C117">
        <v>7339</v>
      </c>
      <c r="D117">
        <v>48633</v>
      </c>
      <c r="E117">
        <v>120</v>
      </c>
      <c r="F117" s="92">
        <v>1</v>
      </c>
      <c r="G117" s="92">
        <v>0</v>
      </c>
      <c r="H117" s="92">
        <v>0</v>
      </c>
      <c r="I117" s="92">
        <v>0</v>
      </c>
      <c r="J117" s="92">
        <v>0.12</v>
      </c>
      <c r="K117" s="92">
        <v>0</v>
      </c>
      <c r="L117" s="92">
        <v>0.25</v>
      </c>
    </row>
    <row r="118" spans="1:12">
      <c r="A118">
        <v>112</v>
      </c>
      <c r="B118">
        <v>10861</v>
      </c>
      <c r="C118">
        <v>7429</v>
      </c>
      <c r="D118">
        <v>48889</v>
      </c>
      <c r="E118">
        <v>120</v>
      </c>
      <c r="F118" s="92">
        <v>1</v>
      </c>
      <c r="G118" s="92">
        <v>0</v>
      </c>
      <c r="H118" s="92">
        <v>0</v>
      </c>
      <c r="I118" s="92">
        <v>0</v>
      </c>
      <c r="J118" s="92">
        <v>0.12</v>
      </c>
      <c r="K118" s="92">
        <v>0</v>
      </c>
      <c r="L118" s="92">
        <v>0.25</v>
      </c>
    </row>
    <row r="119" spans="1:12">
      <c r="A119">
        <v>113</v>
      </c>
      <c r="B119">
        <v>10995</v>
      </c>
      <c r="C119">
        <v>7624</v>
      </c>
      <c r="D119">
        <v>49145</v>
      </c>
      <c r="E119">
        <v>120</v>
      </c>
      <c r="F119" s="92">
        <v>1</v>
      </c>
      <c r="G119" s="92">
        <v>0</v>
      </c>
      <c r="H119" s="92">
        <v>0</v>
      </c>
      <c r="I119" s="92">
        <v>0</v>
      </c>
      <c r="J119" s="92">
        <v>0.12</v>
      </c>
      <c r="K119" s="92">
        <v>0</v>
      </c>
      <c r="L119" s="92">
        <v>0.25</v>
      </c>
    </row>
    <row r="120" spans="1:12">
      <c r="A120">
        <v>114</v>
      </c>
      <c r="B120">
        <v>11129</v>
      </c>
      <c r="C120">
        <v>7713</v>
      </c>
      <c r="D120">
        <v>49401</v>
      </c>
      <c r="E120">
        <v>120</v>
      </c>
      <c r="F120" s="92">
        <v>1</v>
      </c>
      <c r="G120" s="92">
        <v>0</v>
      </c>
      <c r="H120" s="92">
        <v>0</v>
      </c>
      <c r="I120" s="92">
        <v>0</v>
      </c>
      <c r="J120" s="92">
        <v>0.12</v>
      </c>
      <c r="K120" s="92">
        <v>0</v>
      </c>
      <c r="L120" s="92">
        <v>0.25</v>
      </c>
    </row>
    <row r="121" spans="1:12">
      <c r="A121">
        <v>115</v>
      </c>
      <c r="B121">
        <v>11263</v>
      </c>
      <c r="C121">
        <v>7738</v>
      </c>
      <c r="D121">
        <v>49657</v>
      </c>
      <c r="E121">
        <v>120</v>
      </c>
      <c r="F121" s="92">
        <v>1</v>
      </c>
      <c r="G121" s="92">
        <v>0</v>
      </c>
      <c r="H121" s="92">
        <v>0</v>
      </c>
      <c r="I121" s="92">
        <v>0</v>
      </c>
      <c r="J121" s="92">
        <v>0.12</v>
      </c>
      <c r="K121" s="92">
        <v>0</v>
      </c>
      <c r="L121" s="92">
        <v>0.25</v>
      </c>
    </row>
    <row r="122" spans="1:12">
      <c r="A122">
        <v>116</v>
      </c>
      <c r="B122">
        <v>11397</v>
      </c>
      <c r="C122">
        <v>7997</v>
      </c>
      <c r="D122">
        <v>49913</v>
      </c>
      <c r="E122">
        <v>120</v>
      </c>
      <c r="F122" s="92">
        <v>1</v>
      </c>
      <c r="G122" s="92">
        <v>0</v>
      </c>
      <c r="H122" s="92">
        <v>0</v>
      </c>
      <c r="I122" s="92">
        <v>0</v>
      </c>
      <c r="J122" s="92">
        <v>0.12</v>
      </c>
      <c r="K122" s="92">
        <v>0</v>
      </c>
      <c r="L122" s="92">
        <v>0.25</v>
      </c>
    </row>
    <row r="123" spans="1:12">
      <c r="A123">
        <v>117</v>
      </c>
      <c r="B123">
        <v>11531</v>
      </c>
      <c r="C123">
        <v>8022</v>
      </c>
      <c r="D123">
        <v>50169</v>
      </c>
      <c r="E123">
        <v>120</v>
      </c>
      <c r="F123" s="92">
        <v>1</v>
      </c>
      <c r="G123" s="92">
        <v>0</v>
      </c>
      <c r="H123" s="92">
        <v>0</v>
      </c>
      <c r="I123" s="92">
        <v>0</v>
      </c>
      <c r="J123" s="92">
        <v>0.12</v>
      </c>
      <c r="K123" s="92">
        <v>0</v>
      </c>
      <c r="L123" s="92">
        <v>0.25</v>
      </c>
    </row>
    <row r="124" spans="1:12">
      <c r="A124">
        <v>118</v>
      </c>
      <c r="B124">
        <v>11665</v>
      </c>
      <c r="C124">
        <v>8111</v>
      </c>
      <c r="D124">
        <v>50425</v>
      </c>
      <c r="E124">
        <v>120</v>
      </c>
      <c r="F124" s="92">
        <v>1</v>
      </c>
      <c r="G124" s="92">
        <v>0</v>
      </c>
      <c r="H124" s="92">
        <v>0</v>
      </c>
      <c r="I124" s="92">
        <v>0</v>
      </c>
      <c r="J124" s="92">
        <v>0.12</v>
      </c>
      <c r="K124" s="92">
        <v>0</v>
      </c>
      <c r="L124" s="92">
        <v>0.25</v>
      </c>
    </row>
    <row r="125" spans="1:12">
      <c r="A125">
        <v>119</v>
      </c>
      <c r="B125">
        <v>11799</v>
      </c>
      <c r="C125">
        <v>8136</v>
      </c>
      <c r="D125">
        <v>50681</v>
      </c>
      <c r="E125">
        <v>120</v>
      </c>
      <c r="F125" s="92">
        <v>1</v>
      </c>
      <c r="G125" s="92">
        <v>0</v>
      </c>
      <c r="H125" s="92">
        <v>0</v>
      </c>
      <c r="I125" s="92">
        <v>0</v>
      </c>
      <c r="J125" s="92">
        <v>0.12</v>
      </c>
      <c r="K125" s="92">
        <v>0</v>
      </c>
      <c r="L125" s="92">
        <v>0.25</v>
      </c>
    </row>
    <row r="126" spans="1:12">
      <c r="A126">
        <v>120</v>
      </c>
      <c r="B126">
        <v>11933</v>
      </c>
      <c r="C126">
        <v>9092</v>
      </c>
      <c r="D126">
        <v>50937</v>
      </c>
      <c r="E126">
        <v>120</v>
      </c>
      <c r="F126" s="92">
        <v>1</v>
      </c>
      <c r="G126" s="92">
        <v>0</v>
      </c>
      <c r="H126" s="92">
        <v>0</v>
      </c>
      <c r="I126" s="92">
        <v>0</v>
      </c>
      <c r="J126" s="92">
        <v>0.12</v>
      </c>
      <c r="K126" s="92">
        <v>0</v>
      </c>
      <c r="L126" s="92">
        <v>0.25</v>
      </c>
    </row>
    <row r="127" spans="1:12">
      <c r="A127">
        <v>121</v>
      </c>
      <c r="B127">
        <v>12033</v>
      </c>
      <c r="C127">
        <v>9192</v>
      </c>
      <c r="D127">
        <v>51137</v>
      </c>
      <c r="E127">
        <v>120</v>
      </c>
      <c r="F127" s="92">
        <v>1</v>
      </c>
      <c r="G127" s="92">
        <v>0</v>
      </c>
      <c r="H127" s="92">
        <v>0</v>
      </c>
      <c r="I127" s="92">
        <v>0</v>
      </c>
      <c r="J127" s="92">
        <v>0.12</v>
      </c>
      <c r="K127" s="92">
        <v>0</v>
      </c>
      <c r="L127" s="92">
        <v>0.25</v>
      </c>
    </row>
    <row r="128" spans="1:12">
      <c r="A128">
        <v>122</v>
      </c>
      <c r="B128">
        <v>12133</v>
      </c>
      <c r="C128">
        <v>9292</v>
      </c>
      <c r="D128">
        <v>51337</v>
      </c>
      <c r="E128">
        <v>120</v>
      </c>
      <c r="F128" s="92">
        <v>1</v>
      </c>
      <c r="G128" s="92">
        <v>0</v>
      </c>
      <c r="H128" s="92">
        <v>0</v>
      </c>
      <c r="I128" s="92">
        <v>0</v>
      </c>
      <c r="J128" s="92">
        <v>0.12</v>
      </c>
      <c r="K128" s="92">
        <v>0</v>
      </c>
      <c r="L128" s="92">
        <v>0.25</v>
      </c>
    </row>
    <row r="129" spans="1:12">
      <c r="A129">
        <v>123</v>
      </c>
      <c r="B129">
        <v>12233</v>
      </c>
      <c r="C129">
        <v>9392</v>
      </c>
      <c r="D129">
        <v>51537</v>
      </c>
      <c r="E129">
        <v>120</v>
      </c>
      <c r="F129" s="92">
        <v>1</v>
      </c>
      <c r="G129" s="92">
        <v>0</v>
      </c>
      <c r="H129" s="92">
        <v>0</v>
      </c>
      <c r="I129" s="92">
        <v>0</v>
      </c>
      <c r="J129" s="92">
        <v>0.12</v>
      </c>
      <c r="K129" s="92">
        <v>0</v>
      </c>
      <c r="L129" s="92">
        <v>0.25</v>
      </c>
    </row>
    <row r="130" spans="1:12">
      <c r="A130">
        <v>124</v>
      </c>
      <c r="B130">
        <v>12333</v>
      </c>
      <c r="C130">
        <v>9492</v>
      </c>
      <c r="D130">
        <v>51737</v>
      </c>
      <c r="E130">
        <v>120</v>
      </c>
      <c r="F130" s="92">
        <v>1</v>
      </c>
      <c r="G130" s="92">
        <v>0</v>
      </c>
      <c r="H130" s="92">
        <v>0</v>
      </c>
      <c r="I130" s="92">
        <v>0</v>
      </c>
      <c r="J130" s="92">
        <v>0.12</v>
      </c>
      <c r="K130" s="92">
        <v>0</v>
      </c>
      <c r="L130" s="92">
        <v>0.25</v>
      </c>
    </row>
    <row r="131" spans="1:12">
      <c r="A131">
        <v>125</v>
      </c>
      <c r="B131">
        <v>12433</v>
      </c>
      <c r="C131">
        <v>9592</v>
      </c>
      <c r="D131">
        <v>51937</v>
      </c>
      <c r="E131">
        <v>120</v>
      </c>
      <c r="F131" s="92">
        <v>1</v>
      </c>
      <c r="G131" s="92">
        <v>0</v>
      </c>
      <c r="H131" s="92">
        <v>0</v>
      </c>
      <c r="I131" s="92">
        <v>0</v>
      </c>
      <c r="J131" s="92">
        <v>0.12</v>
      </c>
      <c r="K131" s="92">
        <v>0</v>
      </c>
      <c r="L131" s="92">
        <v>0.25</v>
      </c>
    </row>
    <row r="132" spans="1:12">
      <c r="A132">
        <v>126</v>
      </c>
      <c r="B132">
        <v>12533</v>
      </c>
      <c r="C132">
        <v>9692</v>
      </c>
      <c r="D132">
        <v>52137</v>
      </c>
      <c r="E132">
        <v>120</v>
      </c>
      <c r="F132" s="92">
        <v>1</v>
      </c>
      <c r="G132" s="92">
        <v>0</v>
      </c>
      <c r="H132" s="92">
        <v>0</v>
      </c>
      <c r="I132" s="92">
        <v>0</v>
      </c>
      <c r="J132" s="92">
        <v>0.12</v>
      </c>
      <c r="K132" s="92">
        <v>0</v>
      </c>
      <c r="L132" s="92">
        <v>0.25</v>
      </c>
    </row>
    <row r="133" spans="1:12">
      <c r="A133">
        <v>127</v>
      </c>
      <c r="B133">
        <v>12633</v>
      </c>
      <c r="C133">
        <v>9792</v>
      </c>
      <c r="D133">
        <v>52337</v>
      </c>
      <c r="E133">
        <v>120</v>
      </c>
      <c r="F133" s="92">
        <v>1</v>
      </c>
      <c r="G133" s="92">
        <v>0</v>
      </c>
      <c r="H133" s="92">
        <v>0</v>
      </c>
      <c r="I133" s="92">
        <v>0</v>
      </c>
      <c r="J133" s="92">
        <v>0.12</v>
      </c>
      <c r="K133" s="92">
        <v>0</v>
      </c>
      <c r="L133" s="92">
        <v>0.25</v>
      </c>
    </row>
    <row r="134" spans="1:12">
      <c r="A134">
        <v>128</v>
      </c>
      <c r="B134">
        <v>12733</v>
      </c>
      <c r="C134">
        <v>9892</v>
      </c>
      <c r="D134">
        <v>52537</v>
      </c>
      <c r="E134">
        <v>120</v>
      </c>
      <c r="F134" s="92">
        <v>1</v>
      </c>
      <c r="G134" s="92">
        <v>0</v>
      </c>
      <c r="H134" s="92">
        <v>0</v>
      </c>
      <c r="I134" s="92">
        <v>0</v>
      </c>
      <c r="J134" s="92">
        <v>0.12</v>
      </c>
      <c r="K134" s="92">
        <v>0</v>
      </c>
      <c r="L134" s="92">
        <v>0.25</v>
      </c>
    </row>
    <row r="135" spans="1:12">
      <c r="A135">
        <v>129</v>
      </c>
      <c r="B135">
        <v>12833</v>
      </c>
      <c r="C135">
        <v>9992</v>
      </c>
      <c r="D135">
        <v>52737</v>
      </c>
      <c r="E135">
        <v>120</v>
      </c>
      <c r="F135" s="92">
        <v>1</v>
      </c>
      <c r="G135" s="92">
        <v>0</v>
      </c>
      <c r="H135" s="92">
        <v>0</v>
      </c>
      <c r="I135" s="92">
        <v>0</v>
      </c>
      <c r="J135" s="92">
        <v>0.12</v>
      </c>
      <c r="K135" s="92">
        <v>0</v>
      </c>
      <c r="L135" s="92">
        <v>0.25</v>
      </c>
    </row>
    <row r="136" spans="1:12">
      <c r="A136">
        <v>130</v>
      </c>
      <c r="B136">
        <v>12933</v>
      </c>
      <c r="C136">
        <v>10092</v>
      </c>
      <c r="D136">
        <v>52937</v>
      </c>
      <c r="E136">
        <v>120</v>
      </c>
      <c r="F136" s="92">
        <v>1</v>
      </c>
      <c r="G136" s="92">
        <v>0</v>
      </c>
      <c r="H136" s="92">
        <v>0</v>
      </c>
      <c r="I136" s="92">
        <v>0</v>
      </c>
      <c r="J136" s="92">
        <v>0.12</v>
      </c>
      <c r="K136" s="92">
        <v>0</v>
      </c>
      <c r="L136" s="92">
        <v>0.25</v>
      </c>
    </row>
    <row r="137" spans="1:12">
      <c r="A137">
        <v>131</v>
      </c>
      <c r="B137">
        <v>13033</v>
      </c>
      <c r="C137">
        <v>10192</v>
      </c>
      <c r="D137">
        <v>53137</v>
      </c>
      <c r="E137">
        <v>120</v>
      </c>
      <c r="F137" s="92">
        <v>1</v>
      </c>
      <c r="G137" s="92">
        <v>0</v>
      </c>
      <c r="H137" s="92">
        <v>0</v>
      </c>
      <c r="I137" s="92">
        <v>0</v>
      </c>
      <c r="J137" s="92">
        <v>0.12</v>
      </c>
      <c r="K137" s="92">
        <v>0</v>
      </c>
      <c r="L137" s="92">
        <v>0.25</v>
      </c>
    </row>
    <row r="138" spans="1:12">
      <c r="A138">
        <v>132</v>
      </c>
      <c r="B138">
        <v>13133</v>
      </c>
      <c r="C138">
        <v>10292</v>
      </c>
      <c r="D138">
        <v>53337</v>
      </c>
      <c r="E138">
        <v>120</v>
      </c>
      <c r="F138" s="92">
        <v>1</v>
      </c>
      <c r="G138" s="92">
        <v>0</v>
      </c>
      <c r="H138" s="92">
        <v>0</v>
      </c>
      <c r="I138" s="92">
        <v>0</v>
      </c>
      <c r="J138" s="92">
        <v>0.12</v>
      </c>
      <c r="K138" s="92">
        <v>0</v>
      </c>
      <c r="L138" s="92">
        <v>0.25</v>
      </c>
    </row>
    <row r="139" spans="1:12">
      <c r="A139">
        <v>133</v>
      </c>
      <c r="B139">
        <v>13233</v>
      </c>
      <c r="C139">
        <v>10392</v>
      </c>
      <c r="D139">
        <v>53537</v>
      </c>
      <c r="E139">
        <v>120</v>
      </c>
      <c r="F139" s="92">
        <v>1</v>
      </c>
      <c r="G139" s="92">
        <v>0</v>
      </c>
      <c r="H139" s="92">
        <v>0</v>
      </c>
      <c r="I139" s="92">
        <v>0</v>
      </c>
      <c r="J139" s="92">
        <v>0.12</v>
      </c>
      <c r="K139" s="92">
        <v>0</v>
      </c>
      <c r="L139" s="92">
        <v>0.25</v>
      </c>
    </row>
    <row r="140" spans="1:12">
      <c r="A140">
        <v>134</v>
      </c>
      <c r="B140">
        <v>13333</v>
      </c>
      <c r="C140">
        <v>10492</v>
      </c>
      <c r="D140">
        <v>53737</v>
      </c>
      <c r="E140">
        <v>120</v>
      </c>
      <c r="F140" s="92">
        <v>1</v>
      </c>
      <c r="G140" s="92">
        <v>0</v>
      </c>
      <c r="H140" s="92">
        <v>0</v>
      </c>
      <c r="I140" s="92">
        <v>0</v>
      </c>
      <c r="J140" s="92">
        <v>0.12</v>
      </c>
      <c r="K140" s="92">
        <v>0</v>
      </c>
      <c r="L140" s="92">
        <v>0.25</v>
      </c>
    </row>
    <row r="141" spans="1:12">
      <c r="A141">
        <v>135</v>
      </c>
      <c r="B141">
        <v>13433</v>
      </c>
      <c r="C141">
        <v>10592</v>
      </c>
      <c r="D141">
        <v>53937</v>
      </c>
      <c r="E141">
        <v>120</v>
      </c>
      <c r="F141" s="92">
        <v>1</v>
      </c>
      <c r="G141" s="92">
        <v>0</v>
      </c>
      <c r="H141" s="92">
        <v>0</v>
      </c>
      <c r="I141" s="92">
        <v>0</v>
      </c>
      <c r="J141" s="92">
        <v>0.12</v>
      </c>
      <c r="K141" s="92">
        <v>0</v>
      </c>
      <c r="L141" s="92">
        <v>0.25</v>
      </c>
    </row>
    <row r="142" spans="1:12">
      <c r="A142">
        <v>136</v>
      </c>
      <c r="B142">
        <v>13533</v>
      </c>
      <c r="C142">
        <v>10692</v>
      </c>
      <c r="D142">
        <v>54137</v>
      </c>
      <c r="E142">
        <v>120</v>
      </c>
      <c r="F142" s="92">
        <v>1</v>
      </c>
      <c r="G142" s="92">
        <v>0</v>
      </c>
      <c r="H142" s="92">
        <v>0</v>
      </c>
      <c r="I142" s="92">
        <v>0</v>
      </c>
      <c r="J142" s="92">
        <v>0.12</v>
      </c>
      <c r="K142" s="92">
        <v>0</v>
      </c>
      <c r="L142" s="92">
        <v>0.25</v>
      </c>
    </row>
    <row r="143" spans="1:12">
      <c r="A143">
        <v>137</v>
      </c>
      <c r="B143">
        <v>13633</v>
      </c>
      <c r="C143">
        <v>10792</v>
      </c>
      <c r="D143">
        <v>54337</v>
      </c>
      <c r="E143">
        <v>120</v>
      </c>
      <c r="F143" s="92">
        <v>1</v>
      </c>
      <c r="G143" s="92">
        <v>0</v>
      </c>
      <c r="H143" s="92">
        <v>0</v>
      </c>
      <c r="I143" s="92">
        <v>0</v>
      </c>
      <c r="J143" s="92">
        <v>0.12</v>
      </c>
      <c r="K143" s="92">
        <v>0</v>
      </c>
      <c r="L143" s="92">
        <v>0.25</v>
      </c>
    </row>
    <row r="144" spans="1:12">
      <c r="A144">
        <v>138</v>
      </c>
      <c r="B144">
        <v>13733</v>
      </c>
      <c r="C144">
        <v>10892</v>
      </c>
      <c r="D144">
        <v>54537</v>
      </c>
      <c r="E144">
        <v>120</v>
      </c>
      <c r="F144" s="92">
        <v>1</v>
      </c>
      <c r="G144" s="92">
        <v>0</v>
      </c>
      <c r="H144" s="92">
        <v>0</v>
      </c>
      <c r="I144" s="92">
        <v>0</v>
      </c>
      <c r="J144" s="92">
        <v>0.12</v>
      </c>
      <c r="K144" s="92">
        <v>0</v>
      </c>
      <c r="L144" s="92">
        <v>0.25</v>
      </c>
    </row>
    <row r="145" spans="1:12">
      <c r="A145">
        <v>139</v>
      </c>
      <c r="B145">
        <v>13833</v>
      </c>
      <c r="C145">
        <v>10992</v>
      </c>
      <c r="D145">
        <v>54737</v>
      </c>
      <c r="E145">
        <v>120</v>
      </c>
      <c r="F145" s="92">
        <v>1</v>
      </c>
      <c r="G145" s="92">
        <v>0</v>
      </c>
      <c r="H145" s="92">
        <v>0</v>
      </c>
      <c r="I145" s="92">
        <v>0</v>
      </c>
      <c r="J145" s="92">
        <v>0.12</v>
      </c>
      <c r="K145" s="92">
        <v>0</v>
      </c>
      <c r="L145" s="92">
        <v>0.25</v>
      </c>
    </row>
    <row r="146" spans="1:12">
      <c r="A146">
        <v>140</v>
      </c>
      <c r="B146">
        <v>13933</v>
      </c>
      <c r="C146">
        <v>11092</v>
      </c>
      <c r="D146">
        <v>54937</v>
      </c>
      <c r="E146">
        <v>120</v>
      </c>
      <c r="F146" s="92">
        <v>1</v>
      </c>
      <c r="G146" s="92">
        <v>0</v>
      </c>
      <c r="H146" s="92">
        <v>0</v>
      </c>
      <c r="I146" s="92">
        <v>0</v>
      </c>
      <c r="J146" s="92">
        <v>0.12</v>
      </c>
      <c r="K146" s="92">
        <v>0</v>
      </c>
      <c r="L146" s="92">
        <v>0.25</v>
      </c>
    </row>
    <row r="147" spans="1:12">
      <c r="A147">
        <v>141</v>
      </c>
      <c r="B147">
        <v>14033</v>
      </c>
      <c r="C147">
        <v>11192</v>
      </c>
      <c r="D147">
        <v>55137</v>
      </c>
      <c r="E147">
        <v>120</v>
      </c>
      <c r="F147" s="92">
        <v>1</v>
      </c>
      <c r="G147" s="92">
        <v>0</v>
      </c>
      <c r="H147" s="92">
        <v>0</v>
      </c>
      <c r="I147" s="92">
        <v>0</v>
      </c>
      <c r="J147" s="92">
        <v>0.12</v>
      </c>
      <c r="K147" s="92">
        <v>0</v>
      </c>
      <c r="L147" s="92">
        <v>0.25</v>
      </c>
    </row>
    <row r="148" spans="1:12">
      <c r="A148">
        <v>142</v>
      </c>
      <c r="B148">
        <v>14133</v>
      </c>
      <c r="C148">
        <v>11292</v>
      </c>
      <c r="D148">
        <v>55337</v>
      </c>
      <c r="E148">
        <v>120</v>
      </c>
      <c r="F148" s="92">
        <v>1</v>
      </c>
      <c r="G148" s="92">
        <v>0</v>
      </c>
      <c r="H148" s="92">
        <v>0</v>
      </c>
      <c r="I148" s="92">
        <v>0</v>
      </c>
      <c r="J148" s="92">
        <v>0.12</v>
      </c>
      <c r="K148" s="92">
        <v>0</v>
      </c>
      <c r="L148" s="92">
        <v>0.25</v>
      </c>
    </row>
    <row r="149" spans="1:12">
      <c r="A149">
        <v>143</v>
      </c>
      <c r="B149">
        <v>14233</v>
      </c>
      <c r="C149">
        <v>11392</v>
      </c>
      <c r="D149">
        <v>55537</v>
      </c>
      <c r="E149">
        <v>120</v>
      </c>
      <c r="F149" s="92">
        <v>1</v>
      </c>
      <c r="G149" s="92">
        <v>0</v>
      </c>
      <c r="H149" s="92">
        <v>0</v>
      </c>
      <c r="I149" s="92">
        <v>0</v>
      </c>
      <c r="J149" s="92">
        <v>0.12</v>
      </c>
      <c r="K149" s="92">
        <v>0</v>
      </c>
      <c r="L149" s="92">
        <v>0.25</v>
      </c>
    </row>
    <row r="150" spans="1:12">
      <c r="A150">
        <v>144</v>
      </c>
      <c r="B150">
        <v>14333</v>
      </c>
      <c r="C150">
        <v>11492</v>
      </c>
      <c r="D150">
        <v>55737</v>
      </c>
      <c r="E150">
        <v>120</v>
      </c>
      <c r="F150" s="92">
        <v>1</v>
      </c>
      <c r="G150" s="92">
        <v>0</v>
      </c>
      <c r="H150" s="92">
        <v>0</v>
      </c>
      <c r="I150" s="92">
        <v>0</v>
      </c>
      <c r="J150" s="92">
        <v>0.12</v>
      </c>
      <c r="K150" s="92">
        <v>0</v>
      </c>
      <c r="L150" s="92">
        <v>0.25</v>
      </c>
    </row>
    <row r="151" spans="1:12">
      <c r="A151">
        <v>145</v>
      </c>
      <c r="B151">
        <v>14433</v>
      </c>
      <c r="C151">
        <v>11592</v>
      </c>
      <c r="D151">
        <v>55937</v>
      </c>
      <c r="E151">
        <v>120</v>
      </c>
      <c r="F151" s="92">
        <v>1</v>
      </c>
      <c r="G151" s="92">
        <v>0</v>
      </c>
      <c r="H151" s="92">
        <v>0</v>
      </c>
      <c r="I151" s="92">
        <v>0</v>
      </c>
      <c r="J151" s="92">
        <v>0.12</v>
      </c>
      <c r="K151" s="92">
        <v>0</v>
      </c>
      <c r="L151" s="92">
        <v>0.25</v>
      </c>
    </row>
    <row r="152" spans="1:12">
      <c r="A152">
        <v>146</v>
      </c>
      <c r="B152">
        <v>14533</v>
      </c>
      <c r="C152">
        <v>11692</v>
      </c>
      <c r="D152">
        <v>56137</v>
      </c>
      <c r="E152">
        <v>120</v>
      </c>
      <c r="F152" s="92">
        <v>1</v>
      </c>
      <c r="G152" s="92">
        <v>0</v>
      </c>
      <c r="H152" s="92">
        <v>0</v>
      </c>
      <c r="I152" s="92">
        <v>0</v>
      </c>
      <c r="J152" s="92">
        <v>0.12</v>
      </c>
      <c r="K152" s="92">
        <v>0</v>
      </c>
      <c r="L152" s="92">
        <v>0.25</v>
      </c>
    </row>
    <row r="153" ht="12" customHeight="1" spans="1:12">
      <c r="A153">
        <v>147</v>
      </c>
      <c r="B153">
        <v>14633</v>
      </c>
      <c r="C153">
        <v>11792</v>
      </c>
      <c r="D153">
        <v>56337</v>
      </c>
      <c r="E153">
        <v>120</v>
      </c>
      <c r="F153" s="92">
        <v>1</v>
      </c>
      <c r="G153" s="92">
        <v>0</v>
      </c>
      <c r="H153" s="92">
        <v>0</v>
      </c>
      <c r="I153" s="92">
        <v>0</v>
      </c>
      <c r="J153" s="92">
        <v>0.12</v>
      </c>
      <c r="K153" s="92">
        <v>0</v>
      </c>
      <c r="L153" s="92">
        <v>0.25</v>
      </c>
    </row>
    <row r="154" spans="1:12">
      <c r="A154">
        <v>148</v>
      </c>
      <c r="B154">
        <v>14733</v>
      </c>
      <c r="C154">
        <v>11892</v>
      </c>
      <c r="D154">
        <v>56537</v>
      </c>
      <c r="E154">
        <v>120</v>
      </c>
      <c r="F154" s="92">
        <v>1</v>
      </c>
      <c r="G154" s="92">
        <v>0</v>
      </c>
      <c r="H154" s="92">
        <v>0</v>
      </c>
      <c r="I154" s="92">
        <v>0</v>
      </c>
      <c r="J154" s="92">
        <v>0.12</v>
      </c>
      <c r="K154" s="92">
        <v>0</v>
      </c>
      <c r="L154" s="92">
        <v>0.25</v>
      </c>
    </row>
    <row r="155" spans="1:12">
      <c r="A155">
        <v>149</v>
      </c>
      <c r="B155">
        <v>14833</v>
      </c>
      <c r="C155">
        <v>11992</v>
      </c>
      <c r="D155">
        <v>56737</v>
      </c>
      <c r="E155">
        <v>120</v>
      </c>
      <c r="F155" s="92">
        <v>1</v>
      </c>
      <c r="G155" s="92">
        <v>0</v>
      </c>
      <c r="H155" s="92">
        <v>0</v>
      </c>
      <c r="I155" s="92">
        <v>0</v>
      </c>
      <c r="J155" s="92">
        <v>0.12</v>
      </c>
      <c r="K155" s="92">
        <v>0</v>
      </c>
      <c r="L155" s="92">
        <v>0.25</v>
      </c>
    </row>
    <row r="156" spans="1:12">
      <c r="A156">
        <v>150</v>
      </c>
      <c r="B156">
        <v>14933</v>
      </c>
      <c r="C156">
        <v>12092</v>
      </c>
      <c r="D156">
        <v>56937</v>
      </c>
      <c r="E156">
        <v>120</v>
      </c>
      <c r="F156" s="92">
        <v>1</v>
      </c>
      <c r="G156" s="92">
        <v>0</v>
      </c>
      <c r="H156" s="92">
        <v>0</v>
      </c>
      <c r="I156" s="92">
        <v>0</v>
      </c>
      <c r="J156" s="92">
        <v>0.12</v>
      </c>
      <c r="K156" s="92">
        <v>0</v>
      </c>
      <c r="L156" s="92">
        <v>0.25</v>
      </c>
    </row>
    <row r="157" ht="12" customHeight="1" spans="6:12">
      <c r="F157" s="92"/>
      <c r="G157" s="92"/>
      <c r="H157" s="92"/>
      <c r="I157" s="92"/>
      <c r="J157" s="92"/>
      <c r="K157" s="92"/>
      <c r="L157" s="92"/>
    </row>
    <row r="158" spans="6:12">
      <c r="F158" s="92"/>
      <c r="G158" s="92"/>
      <c r="H158" s="92"/>
      <c r="I158" s="92"/>
      <c r="J158" s="92"/>
      <c r="K158" s="92"/>
      <c r="L158" s="92"/>
    </row>
    <row r="159" spans="6:12">
      <c r="F159" s="92"/>
      <c r="G159" s="92"/>
      <c r="H159" s="92"/>
      <c r="I159" s="92"/>
      <c r="J159" s="92"/>
      <c r="K159" s="92"/>
      <c r="L159" s="92"/>
    </row>
    <row r="160" spans="6:12">
      <c r="F160" s="92"/>
      <c r="G160" s="92"/>
      <c r="H160" s="92"/>
      <c r="I160" s="92"/>
      <c r="J160" s="92"/>
      <c r="K160" s="92"/>
      <c r="L160" s="92"/>
    </row>
    <row r="161" spans="6:12">
      <c r="F161" s="92"/>
      <c r="G161" s="92"/>
      <c r="H161" s="92"/>
      <c r="I161" s="92"/>
      <c r="J161" s="92"/>
      <c r="K161" s="92"/>
      <c r="L161" s="92"/>
    </row>
    <row r="162" spans="6:12">
      <c r="F162" s="92"/>
      <c r="G162" s="92"/>
      <c r="H162" s="92"/>
      <c r="I162" s="92"/>
      <c r="J162" s="92"/>
      <c r="K162" s="92"/>
      <c r="L162" s="92"/>
    </row>
    <row r="163" spans="6:12">
      <c r="F163" s="92"/>
      <c r="G163" s="92"/>
      <c r="H163" s="92"/>
      <c r="I163" s="92"/>
      <c r="J163" s="92"/>
      <c r="K163" s="92"/>
      <c r="L163" s="92"/>
    </row>
    <row r="164" spans="6:12">
      <c r="F164" s="92"/>
      <c r="G164" s="92"/>
      <c r="H164" s="92"/>
      <c r="I164" s="92"/>
      <c r="J164" s="92"/>
      <c r="K164" s="92"/>
      <c r="L164" s="92"/>
    </row>
    <row r="165" spans="6:12">
      <c r="F165" s="92"/>
      <c r="G165" s="92"/>
      <c r="H165" s="92"/>
      <c r="I165" s="92"/>
      <c r="J165" s="92"/>
      <c r="K165" s="92"/>
      <c r="L165" s="92"/>
    </row>
    <row r="166" spans="6:12">
      <c r="F166" s="92"/>
      <c r="G166" s="92"/>
      <c r="H166" s="92"/>
      <c r="I166" s="92"/>
      <c r="J166" s="92"/>
      <c r="K166" s="92"/>
      <c r="L166" s="92"/>
    </row>
    <row r="204" ht="12.95" customHeight="1"/>
    <row r="224" customHeight="1"/>
    <row r="231" s="38" customFormat="1" spans="1:24">
      <c r="A231"/>
      <c r="B231"/>
      <c r="C231"/>
      <c r="D231"/>
      <c r="E231"/>
      <c r="F231"/>
      <c r="G231"/>
      <c r="H231"/>
      <c r="I231"/>
      <c r="J231"/>
      <c r="K231"/>
      <c r="L231"/>
      <c r="M231"/>
      <c r="O231"/>
      <c r="P231"/>
      <c r="Q231"/>
      <c r="R231"/>
      <c r="S231"/>
      <c r="T231"/>
      <c r="U231"/>
      <c r="V231"/>
      <c r="W231"/>
      <c r="X231"/>
    </row>
    <row r="232" s="38" customFormat="1" spans="1:24">
      <c r="A232"/>
      <c r="B232"/>
      <c r="C232"/>
      <c r="D232"/>
      <c r="E232"/>
      <c r="F232"/>
      <c r="G232"/>
      <c r="H232"/>
      <c r="I232"/>
      <c r="J232"/>
      <c r="K232"/>
      <c r="L232"/>
      <c r="M232"/>
      <c r="O232"/>
      <c r="P232"/>
      <c r="Q232"/>
      <c r="R232"/>
      <c r="S232"/>
      <c r="T232"/>
      <c r="U232"/>
      <c r="V232"/>
      <c r="W232"/>
      <c r="X232"/>
    </row>
    <row r="233" s="38" customFormat="1" spans="1:24">
      <c r="A233"/>
      <c r="B233"/>
      <c r="C233"/>
      <c r="D233"/>
      <c r="E233"/>
      <c r="F233"/>
      <c r="G233"/>
      <c r="H233"/>
      <c r="I233"/>
      <c r="J233"/>
      <c r="K233"/>
      <c r="L233"/>
      <c r="M233"/>
      <c r="O233"/>
      <c r="P233"/>
      <c r="Q233"/>
      <c r="R233"/>
      <c r="S233"/>
      <c r="T233"/>
      <c r="U233"/>
      <c r="V233"/>
      <c r="W233"/>
      <c r="X233"/>
    </row>
    <row r="234" s="38" customFormat="1" spans="1:24">
      <c r="A234"/>
      <c r="B234"/>
      <c r="C234"/>
      <c r="D234"/>
      <c r="E234"/>
      <c r="F234"/>
      <c r="G234"/>
      <c r="H234"/>
      <c r="I234"/>
      <c r="J234"/>
      <c r="K234"/>
      <c r="L234"/>
      <c r="M234"/>
      <c r="O234"/>
      <c r="P234"/>
      <c r="Q234"/>
      <c r="R234"/>
      <c r="S234"/>
      <c r="T234"/>
      <c r="U234"/>
      <c r="V234"/>
      <c r="W234"/>
      <c r="X234"/>
    </row>
    <row r="255" s="42" customFormat="1" spans="1:24">
      <c r="A255"/>
      <c r="B255"/>
      <c r="C255"/>
      <c r="D255"/>
      <c r="E255"/>
      <c r="F255"/>
      <c r="G255"/>
      <c r="H255"/>
      <c r="I255"/>
      <c r="J255"/>
      <c r="K255"/>
      <c r="L255"/>
      <c r="M255"/>
      <c r="O255"/>
      <c r="P255"/>
      <c r="Q255"/>
      <c r="R255"/>
      <c r="S255"/>
      <c r="T255"/>
      <c r="U255"/>
      <c r="V255"/>
      <c r="W255"/>
      <c r="X255"/>
    </row>
    <row r="256" s="42" customFormat="1" spans="1:24">
      <c r="A256"/>
      <c r="B256"/>
      <c r="C256"/>
      <c r="D256"/>
      <c r="E256"/>
      <c r="F256"/>
      <c r="G256"/>
      <c r="H256"/>
      <c r="I256"/>
      <c r="J256"/>
      <c r="K256"/>
      <c r="L256"/>
      <c r="M256"/>
      <c r="O256"/>
      <c r="P256"/>
      <c r="Q256"/>
      <c r="R256"/>
      <c r="S256"/>
      <c r="T256"/>
      <c r="U256"/>
      <c r="V256"/>
      <c r="W256"/>
      <c r="X256"/>
    </row>
    <row r="257" s="42" customFormat="1" spans="1:24">
      <c r="A257"/>
      <c r="B257"/>
      <c r="C257"/>
      <c r="D257"/>
      <c r="E257"/>
      <c r="F257"/>
      <c r="G257"/>
      <c r="H257"/>
      <c r="I257"/>
      <c r="J257"/>
      <c r="K257"/>
      <c r="L257"/>
      <c r="M257"/>
      <c r="O257"/>
      <c r="P257"/>
      <c r="Q257"/>
      <c r="R257"/>
      <c r="S257"/>
      <c r="T257"/>
      <c r="U257"/>
      <c r="V257"/>
      <c r="W257"/>
      <c r="X257"/>
    </row>
    <row r="258" s="42" customFormat="1" spans="1:24">
      <c r="A258"/>
      <c r="B258"/>
      <c r="C258"/>
      <c r="D258"/>
      <c r="E258"/>
      <c r="F258"/>
      <c r="G258"/>
      <c r="H258"/>
      <c r="I258"/>
      <c r="J258"/>
      <c r="K258"/>
      <c r="L258"/>
      <c r="M258"/>
      <c r="O258"/>
      <c r="P258"/>
      <c r="Q258"/>
      <c r="R258"/>
      <c r="S258"/>
      <c r="T258"/>
      <c r="U258"/>
      <c r="V258"/>
      <c r="W258"/>
      <c r="X258"/>
    </row>
    <row r="259" s="41" customFormat="1" spans="1:24">
      <c r="A259"/>
      <c r="B259"/>
      <c r="C259"/>
      <c r="D259"/>
      <c r="E259"/>
      <c r="F259"/>
      <c r="G259"/>
      <c r="H259"/>
      <c r="I259"/>
      <c r="J259"/>
      <c r="K259"/>
      <c r="L259"/>
      <c r="M259"/>
      <c r="O259"/>
      <c r="P259"/>
      <c r="Q259"/>
      <c r="R259"/>
      <c r="S259"/>
      <c r="T259"/>
      <c r="U259"/>
      <c r="V259"/>
      <c r="W259"/>
      <c r="X259"/>
    </row>
    <row r="260" s="41" customFormat="1" spans="1:24">
      <c r="A260"/>
      <c r="B260"/>
      <c r="C260"/>
      <c r="D260"/>
      <c r="E260"/>
      <c r="F260"/>
      <c r="G260"/>
      <c r="H260"/>
      <c r="I260"/>
      <c r="J260"/>
      <c r="K260"/>
      <c r="L260"/>
      <c r="M260"/>
      <c r="O260"/>
      <c r="P260"/>
      <c r="Q260"/>
      <c r="R260"/>
      <c r="S260"/>
      <c r="T260"/>
      <c r="U260"/>
      <c r="V260"/>
      <c r="W260"/>
      <c r="X260"/>
    </row>
    <row r="261" s="41" customFormat="1" spans="1:24">
      <c r="A261"/>
      <c r="B261"/>
      <c r="C261"/>
      <c r="D261"/>
      <c r="E261"/>
      <c r="F261"/>
      <c r="G261"/>
      <c r="H261"/>
      <c r="I261"/>
      <c r="J261"/>
      <c r="K261"/>
      <c r="L261"/>
      <c r="M261"/>
      <c r="O261"/>
      <c r="P261"/>
      <c r="Q261"/>
      <c r="R261"/>
      <c r="S261"/>
      <c r="T261"/>
      <c r="U261"/>
      <c r="V261"/>
      <c r="W261"/>
      <c r="X261"/>
    </row>
    <row r="262" s="41" customFormat="1" spans="1:24">
      <c r="A262"/>
      <c r="B262"/>
      <c r="C262"/>
      <c r="D262"/>
      <c r="E262"/>
      <c r="F262"/>
      <c r="G262"/>
      <c r="H262"/>
      <c r="I262"/>
      <c r="J262"/>
      <c r="K262"/>
      <c r="L262"/>
      <c r="M262"/>
      <c r="O262"/>
      <c r="P262"/>
      <c r="Q262"/>
      <c r="R262"/>
      <c r="S262"/>
      <c r="T262"/>
      <c r="U262"/>
      <c r="V262"/>
      <c r="W262"/>
      <c r="X262"/>
    </row>
    <row r="263" s="38" customFormat="1" spans="1:24">
      <c r="A263"/>
      <c r="B263"/>
      <c r="C263"/>
      <c r="D263"/>
      <c r="E263"/>
      <c r="F263"/>
      <c r="G263"/>
      <c r="H263"/>
      <c r="I263"/>
      <c r="J263"/>
      <c r="K263"/>
      <c r="L263"/>
      <c r="M263"/>
      <c r="O263"/>
      <c r="P263"/>
      <c r="Q263"/>
      <c r="R263"/>
      <c r="S263"/>
      <c r="T263"/>
      <c r="U263"/>
      <c r="V263"/>
      <c r="W263"/>
      <c r="X263"/>
    </row>
    <row r="264" s="38" customFormat="1" spans="1:24">
      <c r="A264"/>
      <c r="B264"/>
      <c r="C264"/>
      <c r="D264"/>
      <c r="E264"/>
      <c r="F264"/>
      <c r="G264"/>
      <c r="H264"/>
      <c r="I264"/>
      <c r="J264"/>
      <c r="K264"/>
      <c r="L264"/>
      <c r="M264"/>
      <c r="O264"/>
      <c r="P264"/>
      <c r="Q264"/>
      <c r="R264"/>
      <c r="S264"/>
      <c r="T264"/>
      <c r="U264"/>
      <c r="V264"/>
      <c r="W264"/>
      <c r="X264"/>
    </row>
    <row r="265" s="38" customFormat="1" spans="1:24">
      <c r="A265"/>
      <c r="B265"/>
      <c r="C265"/>
      <c r="D265"/>
      <c r="E265"/>
      <c r="F265"/>
      <c r="G265"/>
      <c r="H265"/>
      <c r="I265"/>
      <c r="J265"/>
      <c r="K265"/>
      <c r="L265"/>
      <c r="M265"/>
      <c r="O265"/>
      <c r="P265"/>
      <c r="Q265"/>
      <c r="R265"/>
      <c r="S265"/>
      <c r="T265"/>
      <c r="U265"/>
      <c r="V265"/>
      <c r="W265"/>
      <c r="X265"/>
    </row>
    <row r="266" s="38" customFormat="1" spans="1:24">
      <c r="A266"/>
      <c r="B266"/>
      <c r="C266"/>
      <c r="D266"/>
      <c r="E266"/>
      <c r="F266"/>
      <c r="G266"/>
      <c r="H266"/>
      <c r="I266"/>
      <c r="J266"/>
      <c r="K266"/>
      <c r="L266"/>
      <c r="M266"/>
      <c r="O266"/>
      <c r="P266"/>
      <c r="Q266"/>
      <c r="R266"/>
      <c r="S266"/>
      <c r="T266"/>
      <c r="U266"/>
      <c r="V266"/>
      <c r="W266"/>
      <c r="X266"/>
    </row>
    <row r="267" s="43" customFormat="1" spans="1:24">
      <c r="A267"/>
      <c r="B267"/>
      <c r="C267"/>
      <c r="D267"/>
      <c r="E267"/>
      <c r="F267"/>
      <c r="G267"/>
      <c r="H267"/>
      <c r="I267"/>
      <c r="J267"/>
      <c r="K267"/>
      <c r="L267"/>
      <c r="M267"/>
      <c r="O267"/>
      <c r="P267"/>
      <c r="Q267"/>
      <c r="R267"/>
      <c r="S267"/>
      <c r="T267"/>
      <c r="U267"/>
      <c r="V267"/>
      <c r="W267"/>
      <c r="X267"/>
    </row>
    <row r="268" s="43" customFormat="1" spans="1:24">
      <c r="A268"/>
      <c r="B268"/>
      <c r="C268"/>
      <c r="D268"/>
      <c r="E268"/>
      <c r="F268"/>
      <c r="G268"/>
      <c r="H268"/>
      <c r="I268"/>
      <c r="J268"/>
      <c r="K268"/>
      <c r="L268"/>
      <c r="M268"/>
      <c r="O268"/>
      <c r="P268"/>
      <c r="Q268"/>
      <c r="R268"/>
      <c r="S268"/>
      <c r="T268"/>
      <c r="U268"/>
      <c r="V268"/>
      <c r="W268"/>
      <c r="X268"/>
    </row>
    <row r="269" s="43" customFormat="1" spans="1:24">
      <c r="A269"/>
      <c r="B269"/>
      <c r="C269"/>
      <c r="D269"/>
      <c r="E269"/>
      <c r="F269"/>
      <c r="G269"/>
      <c r="H269"/>
      <c r="I269"/>
      <c r="J269"/>
      <c r="K269"/>
      <c r="L269"/>
      <c r="M269"/>
      <c r="O269"/>
      <c r="P269"/>
      <c r="Q269"/>
      <c r="R269"/>
      <c r="S269"/>
      <c r="T269"/>
      <c r="U269"/>
      <c r="V269"/>
      <c r="W269"/>
      <c r="X269"/>
    </row>
    <row r="270" s="43" customFormat="1" spans="1:24">
      <c r="A270"/>
      <c r="B270"/>
      <c r="C270"/>
      <c r="D270"/>
      <c r="E270"/>
      <c r="F270"/>
      <c r="G270"/>
      <c r="H270"/>
      <c r="I270"/>
      <c r="J270"/>
      <c r="K270"/>
      <c r="L270"/>
      <c r="M270"/>
      <c r="O270"/>
      <c r="P270"/>
      <c r="Q270"/>
      <c r="R270"/>
      <c r="S270"/>
      <c r="T270"/>
      <c r="U270"/>
      <c r="V270"/>
      <c r="W270"/>
      <c r="X270"/>
    </row>
    <row r="271" s="44" customFormat="1" spans="1:24">
      <c r="A271"/>
      <c r="B271"/>
      <c r="C271"/>
      <c r="D271"/>
      <c r="E271"/>
      <c r="F271"/>
      <c r="G271"/>
      <c r="H271"/>
      <c r="I271"/>
      <c r="J271"/>
      <c r="K271"/>
      <c r="L271"/>
      <c r="M271"/>
      <c r="O271"/>
      <c r="P271"/>
      <c r="Q271"/>
      <c r="R271"/>
      <c r="S271"/>
      <c r="T271"/>
      <c r="U271"/>
      <c r="V271"/>
      <c r="W271"/>
      <c r="X271"/>
    </row>
    <row r="272" s="44" customFormat="1" spans="1:24">
      <c r="A272"/>
      <c r="B272"/>
      <c r="C272"/>
      <c r="D272"/>
      <c r="E272"/>
      <c r="F272"/>
      <c r="G272"/>
      <c r="H272"/>
      <c r="I272"/>
      <c r="J272"/>
      <c r="K272"/>
      <c r="L272"/>
      <c r="M272"/>
      <c r="O272"/>
      <c r="P272"/>
      <c r="Q272"/>
      <c r="R272"/>
      <c r="S272"/>
      <c r="T272"/>
      <c r="U272"/>
      <c r="V272"/>
      <c r="W272"/>
      <c r="X272"/>
    </row>
    <row r="273" s="44" customFormat="1" spans="1:24">
      <c r="A273"/>
      <c r="B273"/>
      <c r="C273"/>
      <c r="D273"/>
      <c r="E273"/>
      <c r="F273"/>
      <c r="G273"/>
      <c r="H273"/>
      <c r="I273"/>
      <c r="J273"/>
      <c r="K273"/>
      <c r="L273"/>
      <c r="M273"/>
      <c r="O273"/>
      <c r="P273"/>
      <c r="Q273"/>
      <c r="R273"/>
      <c r="S273"/>
      <c r="T273"/>
      <c r="U273"/>
      <c r="V273"/>
      <c r="W273"/>
      <c r="X273"/>
    </row>
    <row r="274" s="44" customFormat="1" spans="1:24">
      <c r="A274"/>
      <c r="B274"/>
      <c r="C274"/>
      <c r="D274"/>
      <c r="E274"/>
      <c r="F274"/>
      <c r="G274"/>
      <c r="H274"/>
      <c r="I274"/>
      <c r="J274"/>
      <c r="K274"/>
      <c r="L274"/>
      <c r="M274"/>
      <c r="O274"/>
      <c r="P274"/>
      <c r="Q274"/>
      <c r="R274"/>
      <c r="S274"/>
      <c r="T274"/>
      <c r="U274"/>
      <c r="V274"/>
      <c r="W274"/>
      <c r="X274"/>
    </row>
    <row r="275" s="45" customFormat="1" spans="1:24">
      <c r="A275"/>
      <c r="B275"/>
      <c r="C275"/>
      <c r="D275"/>
      <c r="E275"/>
      <c r="F275"/>
      <c r="G275"/>
      <c r="H275"/>
      <c r="I275"/>
      <c r="J275"/>
      <c r="K275"/>
      <c r="L275"/>
      <c r="M275"/>
      <c r="O275"/>
      <c r="P275"/>
      <c r="Q275"/>
      <c r="R275"/>
      <c r="S275"/>
      <c r="T275"/>
      <c r="U275"/>
      <c r="V275"/>
      <c r="W275"/>
      <c r="X275"/>
    </row>
    <row r="276" s="45" customFormat="1" spans="1:24">
      <c r="A276"/>
      <c r="B276"/>
      <c r="C276"/>
      <c r="D276"/>
      <c r="E276"/>
      <c r="F276"/>
      <c r="G276"/>
      <c r="H276"/>
      <c r="I276"/>
      <c r="J276"/>
      <c r="K276"/>
      <c r="L276"/>
      <c r="M276"/>
      <c r="O276"/>
      <c r="P276"/>
      <c r="Q276"/>
      <c r="R276"/>
      <c r="S276"/>
      <c r="T276"/>
      <c r="U276"/>
      <c r="V276"/>
      <c r="W276"/>
      <c r="X276"/>
    </row>
    <row r="277" s="45" customFormat="1" spans="1:24">
      <c r="A277"/>
      <c r="B277"/>
      <c r="C277"/>
      <c r="D277"/>
      <c r="E277"/>
      <c r="F277"/>
      <c r="G277"/>
      <c r="H277"/>
      <c r="I277"/>
      <c r="J277"/>
      <c r="K277"/>
      <c r="L277"/>
      <c r="M277"/>
      <c r="O277"/>
      <c r="P277"/>
      <c r="Q277"/>
      <c r="R277"/>
      <c r="S277"/>
      <c r="T277"/>
      <c r="U277"/>
      <c r="V277"/>
      <c r="W277"/>
      <c r="X277"/>
    </row>
    <row r="278" s="45" customFormat="1" spans="1:24">
      <c r="A278"/>
      <c r="B278"/>
      <c r="C278"/>
      <c r="D278"/>
      <c r="E278"/>
      <c r="F278"/>
      <c r="G278"/>
      <c r="H278"/>
      <c r="I278"/>
      <c r="J278"/>
      <c r="K278"/>
      <c r="L278"/>
      <c r="M278"/>
      <c r="O278"/>
      <c r="P278"/>
      <c r="Q278"/>
      <c r="R278"/>
      <c r="S278"/>
      <c r="T278"/>
      <c r="U278"/>
      <c r="V278"/>
      <c r="W278"/>
      <c r="X278"/>
    </row>
    <row r="279" s="46" customFormat="1" spans="1:24">
      <c r="A279" s="94"/>
      <c r="B279" s="94"/>
      <c r="C279" s="94"/>
      <c r="D279" s="94"/>
      <c r="E279" s="94"/>
      <c r="F279" s="94"/>
      <c r="G279" s="94"/>
      <c r="H279" s="94"/>
      <c r="I279" s="94"/>
      <c r="J279" s="94"/>
      <c r="K279" s="94"/>
      <c r="L279" s="94"/>
      <c r="M279" s="94"/>
      <c r="O279" s="94"/>
      <c r="P279" s="94"/>
      <c r="Q279" s="94"/>
      <c r="R279" s="94"/>
      <c r="S279" s="94"/>
      <c r="T279" s="94"/>
      <c r="U279" s="94"/>
      <c r="V279" s="94"/>
      <c r="W279" s="94"/>
      <c r="X279" s="94"/>
    </row>
    <row r="280" s="46" customFormat="1" spans="1:24">
      <c r="A280" s="94"/>
      <c r="B280" s="94"/>
      <c r="C280" s="94"/>
      <c r="D280" s="94"/>
      <c r="E280" s="94"/>
      <c r="F280" s="94"/>
      <c r="G280" s="94"/>
      <c r="H280" s="94"/>
      <c r="I280" s="94"/>
      <c r="J280" s="94"/>
      <c r="K280" s="94"/>
      <c r="L280" s="94"/>
      <c r="M280" s="94"/>
      <c r="O280" s="94"/>
      <c r="P280" s="94"/>
      <c r="Q280" s="94"/>
      <c r="R280" s="94"/>
      <c r="S280" s="94"/>
      <c r="T280" s="94"/>
      <c r="U280" s="94"/>
      <c r="V280" s="94"/>
      <c r="W280" s="94"/>
      <c r="X280" s="94"/>
    </row>
    <row r="281" s="46" customFormat="1" spans="1:24">
      <c r="A281" s="94"/>
      <c r="B281" s="94"/>
      <c r="C281" s="94"/>
      <c r="D281" s="94"/>
      <c r="E281" s="94"/>
      <c r="F281" s="94"/>
      <c r="G281" s="94"/>
      <c r="H281" s="94"/>
      <c r="I281" s="94"/>
      <c r="J281" s="94"/>
      <c r="K281" s="94"/>
      <c r="L281" s="94"/>
      <c r="M281" s="94"/>
      <c r="O281" s="94"/>
      <c r="P281" s="94"/>
      <c r="Q281" s="94"/>
      <c r="R281" s="94"/>
      <c r="S281" s="94"/>
      <c r="T281" s="94"/>
      <c r="U281" s="94"/>
      <c r="V281" s="94"/>
      <c r="W281" s="94"/>
      <c r="X281" s="94"/>
    </row>
    <row r="282" s="46" customFormat="1" spans="1:24">
      <c r="A282" s="94"/>
      <c r="B282" s="94"/>
      <c r="C282" s="94"/>
      <c r="D282" s="94"/>
      <c r="E282" s="94"/>
      <c r="F282" s="94"/>
      <c r="G282" s="94"/>
      <c r="H282" s="94"/>
      <c r="I282" s="94"/>
      <c r="J282" s="94"/>
      <c r="K282" s="94"/>
      <c r="L282" s="94"/>
      <c r="M282" s="94"/>
      <c r="O282" s="94"/>
      <c r="P282" s="94"/>
      <c r="Q282" s="94"/>
      <c r="R282" s="94"/>
      <c r="S282" s="94"/>
      <c r="T282" s="94"/>
      <c r="U282" s="94"/>
      <c r="V282" s="94"/>
      <c r="W282" s="94"/>
      <c r="X282" s="94"/>
    </row>
    <row r="283" s="47" customFormat="1" spans="1:24">
      <c r="A283" s="95"/>
      <c r="B283" s="95"/>
      <c r="C283" s="95"/>
      <c r="D283" s="95"/>
      <c r="E283" s="95"/>
      <c r="F283" s="95"/>
      <c r="G283" s="95"/>
      <c r="H283" s="95"/>
      <c r="I283" s="95"/>
      <c r="J283" s="95"/>
      <c r="K283" s="95"/>
      <c r="L283" s="95"/>
      <c r="M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</row>
    <row r="284" s="47" customFormat="1" spans="1:24">
      <c r="A284" s="95"/>
      <c r="B284" s="95"/>
      <c r="C284" s="95"/>
      <c r="D284" s="95"/>
      <c r="E284" s="95"/>
      <c r="F284" s="95"/>
      <c r="G284" s="95"/>
      <c r="H284" s="95"/>
      <c r="I284" s="95"/>
      <c r="J284" s="95"/>
      <c r="K284" s="95"/>
      <c r="L284" s="95"/>
      <c r="M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</row>
    <row r="285" s="47" customFormat="1" spans="1:24">
      <c r="A285" s="95"/>
      <c r="B285" s="95"/>
      <c r="C285" s="95"/>
      <c r="D285" s="95"/>
      <c r="E285" s="95"/>
      <c r="F285" s="95"/>
      <c r="G285" s="95"/>
      <c r="H285" s="95"/>
      <c r="I285" s="95"/>
      <c r="J285" s="95"/>
      <c r="K285" s="95"/>
      <c r="L285" s="95"/>
      <c r="M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</row>
    <row r="286" s="47" customFormat="1" spans="1:24">
      <c r="A286" s="95"/>
      <c r="B286" s="95"/>
      <c r="C286" s="95"/>
      <c r="D286" s="95"/>
      <c r="E286" s="95"/>
      <c r="F286" s="95"/>
      <c r="G286" s="95"/>
      <c r="H286" s="95"/>
      <c r="I286" s="95"/>
      <c r="J286" s="95"/>
      <c r="K286" s="95"/>
      <c r="L286" s="95"/>
      <c r="M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</row>
    <row r="287" s="48" customFormat="1" spans="1:24">
      <c r="A287" s="95"/>
      <c r="B287" s="95"/>
      <c r="C287" s="95"/>
      <c r="D287" s="95"/>
      <c r="E287" s="95"/>
      <c r="F287" s="95"/>
      <c r="G287" s="95"/>
      <c r="H287" s="95"/>
      <c r="I287" s="95"/>
      <c r="J287" s="95"/>
      <c r="K287" s="95"/>
      <c r="L287" s="95"/>
      <c r="M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</row>
    <row r="288" s="48" customFormat="1" spans="1:24">
      <c r="A288" s="95"/>
      <c r="B288" s="95"/>
      <c r="C288" s="95"/>
      <c r="D288" s="95"/>
      <c r="E288" s="95"/>
      <c r="F288" s="95"/>
      <c r="G288" s="95"/>
      <c r="H288" s="95"/>
      <c r="I288" s="95"/>
      <c r="J288" s="95"/>
      <c r="K288" s="95"/>
      <c r="L288" s="95"/>
      <c r="M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</row>
    <row r="289" s="48" customFormat="1" spans="1:24">
      <c r="A289" s="95"/>
      <c r="B289" s="95"/>
      <c r="C289" s="95"/>
      <c r="D289" s="95"/>
      <c r="E289" s="95"/>
      <c r="F289" s="95"/>
      <c r="G289" s="95"/>
      <c r="H289" s="95"/>
      <c r="I289" s="95"/>
      <c r="J289" s="95"/>
      <c r="K289" s="95"/>
      <c r="L289" s="95"/>
      <c r="M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</row>
    <row r="290" s="48" customFormat="1" spans="1:24">
      <c r="A290" s="95"/>
      <c r="B290" s="95"/>
      <c r="C290" s="95"/>
      <c r="D290" s="95"/>
      <c r="E290" s="95"/>
      <c r="F290" s="95"/>
      <c r="G290" s="95"/>
      <c r="H290" s="95"/>
      <c r="I290" s="95"/>
      <c r="J290" s="95"/>
      <c r="K290" s="95"/>
      <c r="L290" s="95"/>
      <c r="M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</row>
    <row r="291" s="49" customFormat="1" spans="1:24">
      <c r="A291" s="95"/>
      <c r="B291" s="95"/>
      <c r="C291" s="95"/>
      <c r="D291" s="95"/>
      <c r="E291" s="95"/>
      <c r="F291" s="95"/>
      <c r="G291" s="95"/>
      <c r="H291" s="95"/>
      <c r="I291" s="95"/>
      <c r="J291" s="95"/>
      <c r="K291" s="95"/>
      <c r="L291" s="95"/>
      <c r="M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</row>
    <row r="292" s="49" customFormat="1" spans="1:24">
      <c r="A292" s="95"/>
      <c r="B292" s="95"/>
      <c r="C292" s="95"/>
      <c r="D292" s="95"/>
      <c r="E292" s="95"/>
      <c r="F292" s="95"/>
      <c r="G292" s="95"/>
      <c r="H292" s="95"/>
      <c r="I292" s="95"/>
      <c r="J292" s="95"/>
      <c r="K292" s="95"/>
      <c r="L292" s="95"/>
      <c r="M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</row>
    <row r="293" s="49" customFormat="1" spans="1:24">
      <c r="A293" s="95"/>
      <c r="B293" s="95"/>
      <c r="C293" s="95"/>
      <c r="D293" s="95"/>
      <c r="E293" s="95"/>
      <c r="F293" s="95"/>
      <c r="G293" s="95"/>
      <c r="H293" s="95"/>
      <c r="I293" s="95"/>
      <c r="J293" s="95"/>
      <c r="K293" s="95"/>
      <c r="L293" s="95"/>
      <c r="M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</row>
    <row r="294" s="49" customFormat="1" spans="1:24">
      <c r="A294" s="95"/>
      <c r="B294" s="95"/>
      <c r="C294" s="95"/>
      <c r="D294" s="95"/>
      <c r="E294" s="95"/>
      <c r="F294" s="95"/>
      <c r="G294" s="95"/>
      <c r="H294" s="95"/>
      <c r="I294" s="95"/>
      <c r="J294" s="95"/>
      <c r="K294" s="95"/>
      <c r="L294" s="95"/>
      <c r="M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</row>
    <row r="295" s="50" customFormat="1" spans="1:24">
      <c r="A295" s="95"/>
      <c r="B295" s="95"/>
      <c r="C295" s="95"/>
      <c r="D295" s="95"/>
      <c r="E295" s="95"/>
      <c r="F295" s="95"/>
      <c r="G295" s="95"/>
      <c r="H295" s="95"/>
      <c r="I295" s="95"/>
      <c r="J295" s="95"/>
      <c r="K295" s="95"/>
      <c r="L295" s="95"/>
      <c r="M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</row>
    <row r="296" s="50" customFormat="1" spans="1:24">
      <c r="A296" s="95"/>
      <c r="B296" s="95"/>
      <c r="C296" s="95"/>
      <c r="D296" s="95"/>
      <c r="E296" s="95"/>
      <c r="F296" s="95"/>
      <c r="G296" s="95"/>
      <c r="H296" s="95"/>
      <c r="I296" s="95"/>
      <c r="J296" s="95"/>
      <c r="K296" s="95"/>
      <c r="L296" s="95"/>
      <c r="M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</row>
    <row r="297" s="50" customFormat="1" spans="1:24">
      <c r="A297" s="95"/>
      <c r="B297" s="95"/>
      <c r="C297" s="95"/>
      <c r="D297" s="95"/>
      <c r="E297" s="95"/>
      <c r="F297" s="95"/>
      <c r="G297" s="95"/>
      <c r="H297" s="95"/>
      <c r="I297" s="95"/>
      <c r="J297" s="95"/>
      <c r="K297" s="95"/>
      <c r="L297" s="95"/>
      <c r="M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</row>
    <row r="298" s="50" customFormat="1" spans="1:24">
      <c r="A298" s="95"/>
      <c r="B298" s="95"/>
      <c r="C298" s="95"/>
      <c r="D298" s="95"/>
      <c r="E298" s="95"/>
      <c r="F298" s="95"/>
      <c r="G298" s="95"/>
      <c r="H298" s="95"/>
      <c r="I298" s="95"/>
      <c r="J298" s="95"/>
      <c r="K298" s="95"/>
      <c r="L298" s="95"/>
      <c r="M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</row>
    <row r="299" s="51" customFormat="1" spans="1:24">
      <c r="A299" s="95"/>
      <c r="B299" s="95"/>
      <c r="C299" s="95"/>
      <c r="D299" s="95"/>
      <c r="E299" s="95"/>
      <c r="F299" s="95"/>
      <c r="G299" s="95"/>
      <c r="H299" s="95"/>
      <c r="I299" s="95"/>
      <c r="J299" s="95"/>
      <c r="K299" s="95"/>
      <c r="L299" s="95"/>
      <c r="M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</row>
    <row r="300" s="51" customFormat="1" spans="1:24">
      <c r="A300" s="95"/>
      <c r="B300" s="95"/>
      <c r="C300" s="95"/>
      <c r="D300" s="95"/>
      <c r="E300" s="95"/>
      <c r="F300" s="95"/>
      <c r="G300" s="95"/>
      <c r="H300" s="95"/>
      <c r="I300" s="95"/>
      <c r="J300" s="95"/>
      <c r="K300" s="95"/>
      <c r="L300" s="95"/>
      <c r="M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</row>
    <row r="301" s="51" customFormat="1" spans="1:24">
      <c r="A301" s="95"/>
      <c r="B301" s="95"/>
      <c r="C301" s="95"/>
      <c r="D301" s="95"/>
      <c r="E301" s="95"/>
      <c r="F301" s="95"/>
      <c r="G301" s="95"/>
      <c r="H301" s="95"/>
      <c r="I301" s="95"/>
      <c r="J301" s="95"/>
      <c r="K301" s="95"/>
      <c r="L301" s="95"/>
      <c r="M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</row>
    <row r="302" s="51" customFormat="1" spans="1:24">
      <c r="A302" s="95"/>
      <c r="B302" s="95"/>
      <c r="C302" s="95"/>
      <c r="D302" s="95"/>
      <c r="E302" s="95"/>
      <c r="F302" s="95"/>
      <c r="G302" s="95"/>
      <c r="H302" s="95"/>
      <c r="I302" s="95"/>
      <c r="J302" s="95"/>
      <c r="K302" s="95"/>
      <c r="L302" s="95"/>
      <c r="M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</row>
    <row r="303" s="52" customFormat="1" spans="1:24">
      <c r="A303" s="95"/>
      <c r="B303" s="95"/>
      <c r="C303" s="95"/>
      <c r="D303" s="95"/>
      <c r="E303" s="95"/>
      <c r="F303" s="95"/>
      <c r="G303" s="95"/>
      <c r="H303" s="95"/>
      <c r="I303" s="95"/>
      <c r="J303" s="95"/>
      <c r="K303" s="95"/>
      <c r="L303" s="95"/>
      <c r="M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</row>
    <row r="304" s="52" customFormat="1" spans="1:24">
      <c r="A304" s="95"/>
      <c r="B304" s="95"/>
      <c r="C304" s="95"/>
      <c r="D304" s="95"/>
      <c r="E304" s="95"/>
      <c r="F304" s="95"/>
      <c r="G304" s="95"/>
      <c r="H304" s="95"/>
      <c r="I304" s="95"/>
      <c r="J304" s="95"/>
      <c r="K304" s="95"/>
      <c r="L304" s="95"/>
      <c r="M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</row>
    <row r="305" s="52" customFormat="1" spans="1:24">
      <c r="A305" s="95"/>
      <c r="B305" s="95"/>
      <c r="C305" s="95"/>
      <c r="D305" s="95"/>
      <c r="E305" s="95"/>
      <c r="F305" s="95"/>
      <c r="G305" s="95"/>
      <c r="H305" s="95"/>
      <c r="I305" s="95"/>
      <c r="J305" s="95"/>
      <c r="K305" s="95"/>
      <c r="L305" s="95"/>
      <c r="M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</row>
    <row r="306" s="52" customFormat="1" spans="1:24">
      <c r="A306" s="95"/>
      <c r="B306" s="95"/>
      <c r="C306" s="95"/>
      <c r="D306" s="95"/>
      <c r="E306" s="95"/>
      <c r="F306" s="95"/>
      <c r="G306" s="95"/>
      <c r="H306" s="95"/>
      <c r="I306" s="95"/>
      <c r="J306" s="95"/>
      <c r="K306" s="95"/>
      <c r="L306" s="95"/>
      <c r="M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</row>
    <row r="307" s="53" customFormat="1" spans="1:24">
      <c r="A307" s="95"/>
      <c r="B307" s="95"/>
      <c r="C307" s="95"/>
      <c r="D307" s="95"/>
      <c r="E307" s="95"/>
      <c r="F307" s="95"/>
      <c r="G307" s="95"/>
      <c r="H307" s="95"/>
      <c r="I307" s="95"/>
      <c r="J307" s="95"/>
      <c r="K307" s="95"/>
      <c r="L307" s="95"/>
      <c r="M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</row>
    <row r="308" s="53" customFormat="1" spans="1:24">
      <c r="A308" s="95"/>
      <c r="B308" s="95"/>
      <c r="C308" s="95"/>
      <c r="D308" s="95"/>
      <c r="E308" s="95"/>
      <c r="F308" s="95"/>
      <c r="G308" s="95"/>
      <c r="H308" s="95"/>
      <c r="I308" s="95"/>
      <c r="J308" s="95"/>
      <c r="K308" s="95"/>
      <c r="L308" s="95"/>
      <c r="M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</row>
    <row r="309" s="53" customFormat="1" spans="1:24">
      <c r="A309" s="95"/>
      <c r="B309" s="95"/>
      <c r="C309" s="95"/>
      <c r="D309" s="95"/>
      <c r="E309" s="95"/>
      <c r="F309" s="95"/>
      <c r="G309" s="95"/>
      <c r="H309" s="95"/>
      <c r="I309" s="95"/>
      <c r="J309" s="95"/>
      <c r="K309" s="95"/>
      <c r="L309" s="95"/>
      <c r="M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</row>
    <row r="310" s="53" customFormat="1" spans="1:24">
      <c r="A310" s="95"/>
      <c r="B310" s="95"/>
      <c r="C310" s="95"/>
      <c r="D310" s="95"/>
      <c r="E310" s="95"/>
      <c r="F310" s="95"/>
      <c r="G310" s="95"/>
      <c r="H310" s="95"/>
      <c r="I310" s="95"/>
      <c r="J310" s="95"/>
      <c r="K310" s="95"/>
      <c r="L310" s="95"/>
      <c r="M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</row>
    <row r="311" s="54" customFormat="1" spans="1:24">
      <c r="A311" s="95"/>
      <c r="B311" s="95"/>
      <c r="C311" s="95"/>
      <c r="D311" s="95"/>
      <c r="E311" s="95"/>
      <c r="F311" s="95"/>
      <c r="G311" s="95"/>
      <c r="H311" s="95"/>
      <c r="I311" s="95"/>
      <c r="J311" s="95"/>
      <c r="K311" s="95"/>
      <c r="L311" s="95"/>
      <c r="M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</row>
    <row r="312" s="54" customFormat="1" spans="1:24">
      <c r="A312" s="95"/>
      <c r="B312" s="95"/>
      <c r="C312" s="95"/>
      <c r="D312" s="95"/>
      <c r="E312" s="95"/>
      <c r="F312" s="95"/>
      <c r="G312" s="95"/>
      <c r="H312" s="95"/>
      <c r="I312" s="95"/>
      <c r="J312" s="95"/>
      <c r="K312" s="95"/>
      <c r="L312" s="95"/>
      <c r="M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</row>
    <row r="313" s="54" customFormat="1" spans="1:24">
      <c r="A313" s="95"/>
      <c r="B313" s="95"/>
      <c r="C313" s="95"/>
      <c r="D313" s="95"/>
      <c r="E313" s="95"/>
      <c r="F313" s="95"/>
      <c r="G313" s="95"/>
      <c r="H313" s="95"/>
      <c r="I313" s="95"/>
      <c r="J313" s="95"/>
      <c r="K313" s="95"/>
      <c r="L313" s="95"/>
      <c r="M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</row>
    <row r="314" s="54" customFormat="1" spans="1:24">
      <c r="A314" s="95"/>
      <c r="B314" s="95"/>
      <c r="C314" s="95"/>
      <c r="D314" s="95"/>
      <c r="E314" s="95"/>
      <c r="F314" s="95"/>
      <c r="G314" s="95"/>
      <c r="H314" s="95"/>
      <c r="I314" s="95"/>
      <c r="J314" s="95"/>
      <c r="K314" s="95"/>
      <c r="L314" s="95"/>
      <c r="M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</row>
    <row r="315" s="55" customFormat="1" spans="1:24">
      <c r="A315" s="95"/>
      <c r="B315" s="95"/>
      <c r="C315" s="95"/>
      <c r="D315" s="95"/>
      <c r="E315" s="95"/>
      <c r="F315" s="95"/>
      <c r="G315" s="95"/>
      <c r="H315" s="95"/>
      <c r="I315" s="95"/>
      <c r="J315" s="95"/>
      <c r="K315" s="95"/>
      <c r="L315" s="95"/>
      <c r="M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</row>
    <row r="316" s="55" customFormat="1" spans="1:24">
      <c r="A316" s="95"/>
      <c r="B316" s="95"/>
      <c r="C316" s="95"/>
      <c r="D316" s="95"/>
      <c r="E316" s="95"/>
      <c r="F316" s="95"/>
      <c r="G316" s="95"/>
      <c r="H316" s="95"/>
      <c r="I316" s="95"/>
      <c r="J316" s="95"/>
      <c r="K316" s="95"/>
      <c r="L316" s="95"/>
      <c r="M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</row>
    <row r="317" s="55" customFormat="1" spans="1:24">
      <c r="A317" s="95"/>
      <c r="B317" s="95"/>
      <c r="C317" s="95"/>
      <c r="D317" s="95"/>
      <c r="E317" s="95"/>
      <c r="F317" s="95"/>
      <c r="G317" s="95"/>
      <c r="H317" s="95"/>
      <c r="I317" s="95"/>
      <c r="J317" s="95"/>
      <c r="K317" s="95"/>
      <c r="L317" s="95"/>
      <c r="M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</row>
    <row r="318" s="55" customFormat="1" spans="1:24">
      <c r="A318" s="95"/>
      <c r="B318" s="95"/>
      <c r="C318" s="95"/>
      <c r="D318" s="95"/>
      <c r="E318" s="95"/>
      <c r="F318" s="95"/>
      <c r="G318" s="95"/>
      <c r="H318" s="95"/>
      <c r="I318" s="95"/>
      <c r="J318" s="95"/>
      <c r="K318" s="95"/>
      <c r="L318" s="95"/>
      <c r="M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</row>
    <row r="319" s="56" customFormat="1" spans="1:24">
      <c r="A319" s="95"/>
      <c r="B319" s="95"/>
      <c r="C319" s="95"/>
      <c r="D319" s="95"/>
      <c r="E319" s="95"/>
      <c r="F319" s="95"/>
      <c r="G319" s="95"/>
      <c r="H319" s="95"/>
      <c r="I319" s="95"/>
      <c r="J319" s="95"/>
      <c r="K319" s="95"/>
      <c r="L319" s="95"/>
      <c r="M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</row>
    <row r="320" s="56" customFormat="1" spans="1:24">
      <c r="A320" s="95"/>
      <c r="B320" s="95"/>
      <c r="C320" s="95"/>
      <c r="D320" s="95"/>
      <c r="E320" s="95"/>
      <c r="F320" s="95"/>
      <c r="G320" s="95"/>
      <c r="H320" s="95"/>
      <c r="I320" s="95"/>
      <c r="J320" s="95"/>
      <c r="K320" s="95"/>
      <c r="L320" s="95"/>
      <c r="M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</row>
    <row r="321" s="56" customFormat="1" spans="1:24">
      <c r="A321" s="95"/>
      <c r="B321" s="95"/>
      <c r="C321" s="95"/>
      <c r="D321" s="95"/>
      <c r="E321" s="95"/>
      <c r="F321" s="95"/>
      <c r="G321" s="95"/>
      <c r="H321" s="95"/>
      <c r="I321" s="95"/>
      <c r="J321" s="95"/>
      <c r="K321" s="95"/>
      <c r="L321" s="95"/>
      <c r="M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</row>
    <row r="322" s="56" customFormat="1" spans="1:24">
      <c r="A322" s="95"/>
      <c r="B322" s="95"/>
      <c r="C322" s="95"/>
      <c r="D322" s="95"/>
      <c r="E322" s="95"/>
      <c r="F322" s="95"/>
      <c r="G322" s="95"/>
      <c r="H322" s="95"/>
      <c r="I322" s="95"/>
      <c r="J322" s="95"/>
      <c r="K322" s="95"/>
      <c r="L322" s="95"/>
      <c r="M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</row>
    <row r="323" s="49" customFormat="1" spans="1:24">
      <c r="A323" s="95"/>
      <c r="B323" s="95"/>
      <c r="C323" s="95"/>
      <c r="D323" s="95"/>
      <c r="E323" s="95"/>
      <c r="F323" s="95"/>
      <c r="G323" s="95"/>
      <c r="H323" s="95"/>
      <c r="I323" s="95"/>
      <c r="J323" s="95"/>
      <c r="K323" s="95"/>
      <c r="L323" s="95"/>
      <c r="M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</row>
    <row r="324" s="49" customFormat="1" spans="1:24">
      <c r="A324" s="95"/>
      <c r="B324" s="95"/>
      <c r="C324" s="95"/>
      <c r="D324" s="95"/>
      <c r="E324" s="95"/>
      <c r="F324" s="95"/>
      <c r="G324" s="95"/>
      <c r="H324" s="95"/>
      <c r="I324" s="95"/>
      <c r="J324" s="95"/>
      <c r="K324" s="95"/>
      <c r="L324" s="95"/>
      <c r="M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</row>
    <row r="325" s="49" customFormat="1" spans="1:24">
      <c r="A325" s="95"/>
      <c r="B325" s="95"/>
      <c r="C325" s="95"/>
      <c r="D325" s="95"/>
      <c r="E325" s="95"/>
      <c r="F325" s="95"/>
      <c r="G325" s="95"/>
      <c r="H325" s="95"/>
      <c r="I325" s="95"/>
      <c r="J325" s="95"/>
      <c r="K325" s="95"/>
      <c r="L325" s="95"/>
      <c r="M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</row>
    <row r="326" s="49" customFormat="1" spans="1:24">
      <c r="A326" s="95"/>
      <c r="B326" s="95"/>
      <c r="C326" s="95"/>
      <c r="D326" s="95"/>
      <c r="E326" s="95"/>
      <c r="F326" s="95"/>
      <c r="G326" s="95"/>
      <c r="H326" s="95"/>
      <c r="I326" s="95"/>
      <c r="J326" s="95"/>
      <c r="K326" s="95"/>
      <c r="L326" s="95"/>
      <c r="M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</row>
    <row r="327" s="57" customFormat="1" spans="1:24">
      <c r="A327" s="95"/>
      <c r="B327" s="95"/>
      <c r="C327" s="95"/>
      <c r="D327" s="95"/>
      <c r="E327" s="95"/>
      <c r="F327" s="95"/>
      <c r="G327" s="95"/>
      <c r="H327" s="95"/>
      <c r="I327" s="95"/>
      <c r="J327" s="95"/>
      <c r="K327" s="95"/>
      <c r="L327" s="95"/>
      <c r="M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</row>
    <row r="328" s="57" customFormat="1" spans="1:24">
      <c r="A328" s="95"/>
      <c r="B328" s="95"/>
      <c r="C328" s="95"/>
      <c r="D328" s="95"/>
      <c r="E328" s="95"/>
      <c r="F328" s="95"/>
      <c r="G328" s="95"/>
      <c r="H328" s="95"/>
      <c r="I328" s="95"/>
      <c r="J328" s="95"/>
      <c r="K328" s="95"/>
      <c r="L328" s="95"/>
      <c r="M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</row>
    <row r="329" s="57" customFormat="1" spans="1:24">
      <c r="A329" s="95"/>
      <c r="B329" s="95"/>
      <c r="C329" s="95"/>
      <c r="D329" s="95"/>
      <c r="E329" s="95"/>
      <c r="F329" s="95"/>
      <c r="G329" s="95"/>
      <c r="H329" s="95"/>
      <c r="I329" s="95"/>
      <c r="J329" s="95"/>
      <c r="K329" s="95"/>
      <c r="L329" s="95"/>
      <c r="M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</row>
    <row r="330" s="57" customFormat="1" spans="1:24">
      <c r="A330" s="95"/>
      <c r="B330" s="95"/>
      <c r="C330" s="95"/>
      <c r="D330" s="95"/>
      <c r="E330" s="95"/>
      <c r="F330" s="95"/>
      <c r="G330" s="95"/>
      <c r="H330" s="95"/>
      <c r="I330" s="95"/>
      <c r="J330" s="95"/>
      <c r="K330" s="95"/>
      <c r="L330" s="95"/>
      <c r="M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</row>
    <row r="331" s="58" customFormat="1" spans="1:24">
      <c r="A331" s="95"/>
      <c r="B331" s="95"/>
      <c r="C331" s="95"/>
      <c r="D331" s="95"/>
      <c r="E331" s="95"/>
      <c r="F331" s="95"/>
      <c r="G331" s="95"/>
      <c r="H331" s="95"/>
      <c r="I331" s="95"/>
      <c r="J331" s="95"/>
      <c r="K331" s="95"/>
      <c r="L331" s="95"/>
      <c r="M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</row>
    <row r="332" s="58" customFormat="1" spans="1:24">
      <c r="A332" s="95"/>
      <c r="B332" s="95"/>
      <c r="C332" s="95"/>
      <c r="D332" s="95"/>
      <c r="E332" s="95"/>
      <c r="F332" s="95"/>
      <c r="G332" s="95"/>
      <c r="H332" s="95"/>
      <c r="I332" s="95"/>
      <c r="J332" s="95"/>
      <c r="K332" s="95"/>
      <c r="L332" s="95"/>
      <c r="M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</row>
    <row r="333" s="58" customFormat="1" spans="1:24">
      <c r="A333" s="95"/>
      <c r="B333" s="95"/>
      <c r="C333" s="95"/>
      <c r="D333" s="95"/>
      <c r="E333" s="95"/>
      <c r="F333" s="95"/>
      <c r="G333" s="95"/>
      <c r="H333" s="95"/>
      <c r="I333" s="95"/>
      <c r="J333" s="95"/>
      <c r="K333" s="95"/>
      <c r="L333" s="95"/>
      <c r="M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</row>
    <row r="334" s="58" customFormat="1" spans="1:24">
      <c r="A334" s="95"/>
      <c r="B334" s="95"/>
      <c r="C334" s="95"/>
      <c r="D334" s="95"/>
      <c r="E334" s="95"/>
      <c r="F334" s="95"/>
      <c r="G334" s="95"/>
      <c r="H334" s="95"/>
      <c r="I334" s="95"/>
      <c r="J334" s="95"/>
      <c r="K334" s="95"/>
      <c r="L334" s="95"/>
      <c r="M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</row>
    <row r="335" s="48" customFormat="1" spans="1:24">
      <c r="A335" s="95"/>
      <c r="B335" s="95"/>
      <c r="C335" s="95"/>
      <c r="D335" s="95"/>
      <c r="E335" s="95"/>
      <c r="F335" s="95"/>
      <c r="G335" s="95"/>
      <c r="H335" s="95"/>
      <c r="I335" s="95"/>
      <c r="J335" s="95"/>
      <c r="K335" s="95"/>
      <c r="L335" s="95"/>
      <c r="M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</row>
    <row r="336" s="48" customFormat="1" spans="1:24">
      <c r="A336" s="95"/>
      <c r="B336" s="95"/>
      <c r="C336" s="95"/>
      <c r="D336" s="95"/>
      <c r="E336" s="95"/>
      <c r="F336" s="95"/>
      <c r="G336" s="95"/>
      <c r="H336" s="95"/>
      <c r="I336" s="95"/>
      <c r="J336" s="95"/>
      <c r="K336" s="95"/>
      <c r="L336" s="95"/>
      <c r="M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</row>
    <row r="337" s="48" customFormat="1" spans="1:24">
      <c r="A337" s="95"/>
      <c r="B337" s="95"/>
      <c r="C337" s="95"/>
      <c r="D337" s="95"/>
      <c r="E337" s="95"/>
      <c r="F337" s="95"/>
      <c r="G337" s="95"/>
      <c r="H337" s="95"/>
      <c r="I337" s="95"/>
      <c r="J337" s="95"/>
      <c r="K337" s="95"/>
      <c r="L337" s="95"/>
      <c r="M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</row>
    <row r="338" s="48" customFormat="1" spans="1:24">
      <c r="A338" s="95"/>
      <c r="B338" s="95"/>
      <c r="C338" s="95"/>
      <c r="D338" s="95"/>
      <c r="E338" s="95"/>
      <c r="F338" s="95"/>
      <c r="G338" s="95"/>
      <c r="H338" s="95"/>
      <c r="I338" s="95"/>
      <c r="J338" s="95"/>
      <c r="K338" s="95"/>
      <c r="L338" s="95"/>
      <c r="M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</row>
    <row r="339" s="52" customFormat="1" spans="1:24">
      <c r="A339" s="95"/>
      <c r="B339" s="95"/>
      <c r="C339" s="95"/>
      <c r="D339" s="95"/>
      <c r="E339" s="95"/>
      <c r="F339" s="95"/>
      <c r="G339" s="95"/>
      <c r="H339" s="95"/>
      <c r="I339" s="95"/>
      <c r="J339" s="95"/>
      <c r="K339" s="95"/>
      <c r="L339" s="95"/>
      <c r="M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</row>
    <row r="340" s="52" customFormat="1" spans="1:24">
      <c r="A340" s="95"/>
      <c r="B340" s="95"/>
      <c r="C340" s="95"/>
      <c r="D340" s="95"/>
      <c r="E340" s="95"/>
      <c r="F340" s="95"/>
      <c r="G340" s="95"/>
      <c r="H340" s="95"/>
      <c r="I340" s="95"/>
      <c r="J340" s="95"/>
      <c r="K340" s="95"/>
      <c r="L340" s="95"/>
      <c r="M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</row>
    <row r="341" s="52" customFormat="1" spans="1:24">
      <c r="A341" s="95"/>
      <c r="B341" s="95"/>
      <c r="C341" s="95"/>
      <c r="D341" s="95"/>
      <c r="E341" s="95"/>
      <c r="F341" s="95"/>
      <c r="G341" s="95"/>
      <c r="H341" s="95"/>
      <c r="I341" s="95"/>
      <c r="J341" s="95"/>
      <c r="K341" s="95"/>
      <c r="L341" s="95"/>
      <c r="M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</row>
    <row r="342" s="52" customFormat="1" spans="1:24">
      <c r="A342" s="95"/>
      <c r="B342" s="95"/>
      <c r="C342" s="95"/>
      <c r="D342" s="95"/>
      <c r="E342" s="95"/>
      <c r="F342" s="95"/>
      <c r="G342" s="95"/>
      <c r="H342" s="95"/>
      <c r="I342" s="95"/>
      <c r="J342" s="95"/>
      <c r="K342" s="95"/>
      <c r="L342" s="95"/>
      <c r="M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</row>
    <row r="343" s="55" customFormat="1" spans="1:24">
      <c r="A343" s="95"/>
      <c r="B343" s="95"/>
      <c r="C343" s="95"/>
      <c r="D343" s="95"/>
      <c r="E343" s="95"/>
      <c r="F343" s="95"/>
      <c r="G343" s="95"/>
      <c r="H343" s="95"/>
      <c r="I343" s="95"/>
      <c r="J343" s="95"/>
      <c r="K343" s="95"/>
      <c r="L343" s="95"/>
      <c r="M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</row>
    <row r="344" s="55" customFormat="1" spans="1:24">
      <c r="A344" s="95"/>
      <c r="B344" s="95"/>
      <c r="C344" s="95"/>
      <c r="D344" s="95"/>
      <c r="E344" s="95"/>
      <c r="F344" s="95"/>
      <c r="G344" s="95"/>
      <c r="H344" s="95"/>
      <c r="I344" s="95"/>
      <c r="J344" s="95"/>
      <c r="K344" s="95"/>
      <c r="L344" s="95"/>
      <c r="M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</row>
    <row r="345" s="55" customFormat="1" spans="1:24">
      <c r="A345" s="95"/>
      <c r="B345" s="95"/>
      <c r="C345" s="95"/>
      <c r="D345" s="95"/>
      <c r="E345" s="95"/>
      <c r="F345" s="95"/>
      <c r="G345" s="95"/>
      <c r="H345" s="95"/>
      <c r="I345" s="95"/>
      <c r="J345" s="95"/>
      <c r="K345" s="95"/>
      <c r="L345" s="95"/>
      <c r="M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</row>
    <row r="346" s="55" customFormat="1" spans="1:24">
      <c r="A346" s="95"/>
      <c r="B346" s="95"/>
      <c r="C346" s="95"/>
      <c r="D346" s="95"/>
      <c r="E346" s="95"/>
      <c r="F346" s="95"/>
      <c r="G346" s="95"/>
      <c r="H346" s="95"/>
      <c r="I346" s="95"/>
      <c r="J346" s="95"/>
      <c r="K346" s="95"/>
      <c r="L346" s="95"/>
      <c r="M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</row>
    <row r="347" s="40" customFormat="1" spans="1:24">
      <c r="A347" s="95"/>
      <c r="B347"/>
      <c r="C347"/>
      <c r="D347"/>
      <c r="E347"/>
      <c r="F347"/>
      <c r="G347"/>
      <c r="H347"/>
      <c r="I347"/>
      <c r="J347"/>
      <c r="K347"/>
      <c r="L347"/>
      <c r="M347"/>
      <c r="O347"/>
      <c r="P347"/>
      <c r="Q347"/>
      <c r="R347"/>
      <c r="S347"/>
      <c r="T347"/>
      <c r="U347"/>
      <c r="V347"/>
      <c r="W347"/>
      <c r="X347"/>
    </row>
    <row r="348" s="40" customFormat="1" spans="1:24">
      <c r="A348" s="95"/>
      <c r="B348"/>
      <c r="C348"/>
      <c r="D348"/>
      <c r="E348"/>
      <c r="F348"/>
      <c r="G348"/>
      <c r="H348"/>
      <c r="I348"/>
      <c r="J348"/>
      <c r="K348"/>
      <c r="L348"/>
      <c r="M348"/>
      <c r="O348"/>
      <c r="P348"/>
      <c r="Q348"/>
      <c r="R348"/>
      <c r="S348"/>
      <c r="T348"/>
      <c r="U348"/>
      <c r="V348"/>
      <c r="W348"/>
      <c r="X348"/>
    </row>
    <row r="349" s="40" customFormat="1" spans="1:24">
      <c r="A349" s="95"/>
      <c r="B349"/>
      <c r="C349"/>
      <c r="D349"/>
      <c r="E349"/>
      <c r="F349"/>
      <c r="G349"/>
      <c r="H349"/>
      <c r="I349"/>
      <c r="J349"/>
      <c r="K349"/>
      <c r="L349"/>
      <c r="M349"/>
      <c r="O349"/>
      <c r="P349"/>
      <c r="Q349"/>
      <c r="R349"/>
      <c r="S349"/>
      <c r="T349"/>
      <c r="U349"/>
      <c r="V349"/>
      <c r="W349"/>
      <c r="X349"/>
    </row>
    <row r="350" s="40" customFormat="1" spans="1:24">
      <c r="A350" s="95"/>
      <c r="B350"/>
      <c r="C350"/>
      <c r="D350"/>
      <c r="E350"/>
      <c r="F350"/>
      <c r="G350"/>
      <c r="H350"/>
      <c r="I350"/>
      <c r="J350"/>
      <c r="K350"/>
      <c r="L350"/>
      <c r="M350"/>
      <c r="O350"/>
      <c r="P350"/>
      <c r="Q350"/>
      <c r="R350"/>
      <c r="S350"/>
      <c r="T350"/>
      <c r="U350"/>
      <c r="V350"/>
      <c r="W350"/>
      <c r="X350"/>
    </row>
    <row r="351" s="49" customFormat="1" spans="1:24">
      <c r="A351" s="95"/>
      <c r="B351" s="95"/>
      <c r="C351" s="95"/>
      <c r="D351" s="95"/>
      <c r="E351" s="95"/>
      <c r="F351" s="95"/>
      <c r="G351" s="95"/>
      <c r="H351" s="95"/>
      <c r="I351" s="95"/>
      <c r="J351" s="95"/>
      <c r="K351" s="95"/>
      <c r="L351" s="95"/>
      <c r="M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</row>
    <row r="352" s="49" customFormat="1" spans="1:24">
      <c r="A352" s="95"/>
      <c r="B352" s="95"/>
      <c r="C352" s="95"/>
      <c r="D352" s="95"/>
      <c r="E352" s="95"/>
      <c r="F352" s="95"/>
      <c r="G352" s="95"/>
      <c r="H352" s="95"/>
      <c r="I352" s="95"/>
      <c r="J352" s="95"/>
      <c r="K352" s="95"/>
      <c r="L352" s="95"/>
      <c r="M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</row>
    <row r="353" s="49" customFormat="1" spans="1:24">
      <c r="A353" s="95"/>
      <c r="B353" s="95"/>
      <c r="C353" s="95"/>
      <c r="D353" s="95"/>
      <c r="E353" s="95"/>
      <c r="F353" s="95"/>
      <c r="G353" s="95"/>
      <c r="H353" s="95"/>
      <c r="I353" s="95"/>
      <c r="J353" s="95"/>
      <c r="K353" s="95"/>
      <c r="L353" s="95"/>
      <c r="M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</row>
    <row r="354" s="49" customFormat="1" spans="1:24">
      <c r="A354" s="95"/>
      <c r="B354" s="95"/>
      <c r="C354" s="95"/>
      <c r="D354" s="95"/>
      <c r="E354" s="95"/>
      <c r="F354" s="95"/>
      <c r="G354" s="95"/>
      <c r="H354" s="95"/>
      <c r="I354" s="95"/>
      <c r="J354" s="95"/>
      <c r="K354" s="95"/>
      <c r="L354" s="95"/>
      <c r="M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</row>
    <row r="355" s="88" customFormat="1" spans="1:24">
      <c r="A355" s="95"/>
      <c r="B355" s="95"/>
      <c r="C355"/>
      <c r="D355" s="95"/>
      <c r="E355" s="95"/>
      <c r="F355" s="95"/>
      <c r="G355" s="95"/>
      <c r="H355" s="95"/>
      <c r="I355" s="95"/>
      <c r="J355"/>
      <c r="K355"/>
      <c r="L355"/>
      <c r="M355"/>
      <c r="O355" s="95"/>
      <c r="P355" s="95"/>
      <c r="Q355" s="95"/>
      <c r="R355" s="95"/>
      <c r="S355" s="95"/>
      <c r="T355" s="95"/>
      <c r="U355" s="95"/>
      <c r="V355"/>
      <c r="W355"/>
      <c r="X355"/>
    </row>
    <row r="356" s="88" customFormat="1" spans="1:24">
      <c r="A356" s="95"/>
      <c r="B356" s="95"/>
      <c r="C356"/>
      <c r="D356" s="95"/>
      <c r="E356" s="95"/>
      <c r="F356" s="95"/>
      <c r="G356"/>
      <c r="H356"/>
      <c r="I356" s="95"/>
      <c r="J356"/>
      <c r="K356"/>
      <c r="L356"/>
      <c r="M356"/>
      <c r="O356" s="95"/>
      <c r="P356" s="95"/>
      <c r="Q356" s="95"/>
      <c r="R356" s="95"/>
      <c r="S356" s="95"/>
      <c r="T356" s="95"/>
      <c r="U356" s="95"/>
      <c r="V356"/>
      <c r="W356"/>
      <c r="X356"/>
    </row>
    <row r="357" s="88" customFormat="1" spans="1:24">
      <c r="A357" s="95"/>
      <c r="B357" s="95"/>
      <c r="C357"/>
      <c r="D357" s="95"/>
      <c r="E357" s="95"/>
      <c r="F357" s="95"/>
      <c r="G357"/>
      <c r="H357"/>
      <c r="I357" s="95"/>
      <c r="J357"/>
      <c r="K357"/>
      <c r="L357"/>
      <c r="M357"/>
      <c r="O357" s="95"/>
      <c r="P357" s="95"/>
      <c r="Q357" s="95"/>
      <c r="R357" s="95"/>
      <c r="S357" s="95"/>
      <c r="T357" s="95"/>
      <c r="U357" s="95"/>
      <c r="V357"/>
      <c r="W357"/>
      <c r="X357"/>
    </row>
    <row r="358" s="88" customFormat="1" spans="1:24">
      <c r="A358" s="95"/>
      <c r="B358" s="95"/>
      <c r="C358"/>
      <c r="D358" s="95"/>
      <c r="E358" s="95"/>
      <c r="F358" s="95"/>
      <c r="G358"/>
      <c r="H358"/>
      <c r="I358" s="95"/>
      <c r="J358"/>
      <c r="K358"/>
      <c r="L358"/>
      <c r="M358"/>
      <c r="O358" s="95"/>
      <c r="P358" s="95"/>
      <c r="Q358" s="95"/>
      <c r="R358" s="95"/>
      <c r="S358" s="95"/>
      <c r="T358" s="95"/>
      <c r="U358" s="95"/>
      <c r="V358"/>
      <c r="W358"/>
      <c r="X358"/>
    </row>
    <row r="359" s="59" customFormat="1" spans="1:24">
      <c r="A359" s="95"/>
      <c r="B359"/>
      <c r="C359"/>
      <c r="D359"/>
      <c r="E359"/>
      <c r="F359"/>
      <c r="G359"/>
      <c r="H359"/>
      <c r="I359"/>
      <c r="J359"/>
      <c r="K359"/>
      <c r="L359"/>
      <c r="M359"/>
      <c r="O359"/>
      <c r="P359"/>
      <c r="Q359"/>
      <c r="R359"/>
      <c r="S359"/>
      <c r="T359"/>
      <c r="U359"/>
      <c r="V359"/>
      <c r="W359"/>
      <c r="X359"/>
    </row>
    <row r="360" s="59" customFormat="1" spans="1:24">
      <c r="A360" s="95"/>
      <c r="B360"/>
      <c r="C360"/>
      <c r="D360"/>
      <c r="E360"/>
      <c r="F360"/>
      <c r="G360"/>
      <c r="H360"/>
      <c r="I360"/>
      <c r="J360"/>
      <c r="K360"/>
      <c r="L360"/>
      <c r="M360"/>
      <c r="O360"/>
      <c r="P360"/>
      <c r="Q360"/>
      <c r="R360"/>
      <c r="S360"/>
      <c r="T360"/>
      <c r="U360"/>
      <c r="V360"/>
      <c r="W360"/>
      <c r="X360"/>
    </row>
    <row r="361" s="59" customFormat="1" spans="1:24">
      <c r="A361" s="95"/>
      <c r="B361"/>
      <c r="C361"/>
      <c r="D361"/>
      <c r="E361"/>
      <c r="F361"/>
      <c r="G361"/>
      <c r="H361"/>
      <c r="I361"/>
      <c r="J361"/>
      <c r="K361"/>
      <c r="L361"/>
      <c r="M361"/>
      <c r="O361"/>
      <c r="P361"/>
      <c r="Q361"/>
      <c r="R361"/>
      <c r="S361"/>
      <c r="T361"/>
      <c r="U361"/>
      <c r="V361"/>
      <c r="W361"/>
      <c r="X361"/>
    </row>
    <row r="362" s="59" customFormat="1" spans="1:24">
      <c r="A362" s="95"/>
      <c r="B362"/>
      <c r="C362"/>
      <c r="D362"/>
      <c r="E362"/>
      <c r="F362"/>
      <c r="G362"/>
      <c r="H362"/>
      <c r="I362"/>
      <c r="J362"/>
      <c r="K362"/>
      <c r="L362"/>
      <c r="M362"/>
      <c r="O362"/>
      <c r="P362"/>
      <c r="Q362"/>
      <c r="R362"/>
      <c r="S362"/>
      <c r="T362"/>
      <c r="U362"/>
      <c r="V362"/>
      <c r="W362"/>
      <c r="X362"/>
    </row>
    <row r="363" s="60" customFormat="1" spans="1:24">
      <c r="A363" s="95"/>
      <c r="B363"/>
      <c r="C363"/>
      <c r="D363"/>
      <c r="E363"/>
      <c r="F363"/>
      <c r="G363"/>
      <c r="H363"/>
      <c r="I363"/>
      <c r="J363"/>
      <c r="K363"/>
      <c r="L363"/>
      <c r="M363"/>
      <c r="O363"/>
      <c r="P363"/>
      <c r="Q363"/>
      <c r="R363"/>
      <c r="S363"/>
      <c r="T363"/>
      <c r="U363"/>
      <c r="V363"/>
      <c r="W363"/>
      <c r="X363"/>
    </row>
    <row r="364" s="60" customFormat="1" spans="1:24">
      <c r="A364" s="95"/>
      <c r="B364"/>
      <c r="C364"/>
      <c r="D364"/>
      <c r="E364"/>
      <c r="F364"/>
      <c r="G364"/>
      <c r="H364"/>
      <c r="I364"/>
      <c r="J364"/>
      <c r="K364"/>
      <c r="L364"/>
      <c r="M364"/>
      <c r="O364"/>
      <c r="P364"/>
      <c r="Q364"/>
      <c r="R364"/>
      <c r="S364"/>
      <c r="T364"/>
      <c r="U364"/>
      <c r="V364"/>
      <c r="W364"/>
      <c r="X364"/>
    </row>
    <row r="365" s="60" customFormat="1" spans="1:24">
      <c r="A365" s="95"/>
      <c r="B365"/>
      <c r="C365"/>
      <c r="D365"/>
      <c r="E365"/>
      <c r="F365"/>
      <c r="G365"/>
      <c r="H365"/>
      <c r="I365"/>
      <c r="J365"/>
      <c r="K365"/>
      <c r="L365"/>
      <c r="M365"/>
      <c r="O365"/>
      <c r="P365"/>
      <c r="Q365"/>
      <c r="R365"/>
      <c r="S365"/>
      <c r="T365"/>
      <c r="U365"/>
      <c r="V365"/>
      <c r="W365"/>
      <c r="X365"/>
    </row>
    <row r="366" s="60" customFormat="1" spans="1:24">
      <c r="A366" s="95"/>
      <c r="B366"/>
      <c r="C366"/>
      <c r="D366"/>
      <c r="E366"/>
      <c r="F366"/>
      <c r="G366"/>
      <c r="H366"/>
      <c r="I366"/>
      <c r="J366"/>
      <c r="K366"/>
      <c r="L366"/>
      <c r="M366"/>
      <c r="O366"/>
      <c r="P366"/>
      <c r="Q366"/>
      <c r="R366"/>
      <c r="S366"/>
      <c r="T366"/>
      <c r="U366"/>
      <c r="V366"/>
      <c r="W366"/>
      <c r="X366"/>
    </row>
    <row r="367" s="61" customFormat="1" spans="1:24">
      <c r="A367" s="95"/>
      <c r="B367"/>
      <c r="C367"/>
      <c r="D367"/>
      <c r="E367"/>
      <c r="F367"/>
      <c r="G367"/>
      <c r="H367"/>
      <c r="I367"/>
      <c r="J367"/>
      <c r="K367"/>
      <c r="L367"/>
      <c r="M367"/>
      <c r="O367"/>
      <c r="P367"/>
      <c r="Q367"/>
      <c r="R367"/>
      <c r="S367"/>
      <c r="T367"/>
      <c r="U367"/>
      <c r="V367"/>
      <c r="W367"/>
      <c r="X367"/>
    </row>
    <row r="368" s="61" customFormat="1" spans="1:24">
      <c r="A368" s="95"/>
      <c r="B368"/>
      <c r="C368"/>
      <c r="D368"/>
      <c r="E368"/>
      <c r="F368"/>
      <c r="G368"/>
      <c r="H368"/>
      <c r="I368"/>
      <c r="J368"/>
      <c r="K368"/>
      <c r="L368"/>
      <c r="M368"/>
      <c r="O368"/>
      <c r="P368"/>
      <c r="Q368"/>
      <c r="R368"/>
      <c r="S368"/>
      <c r="T368"/>
      <c r="U368"/>
      <c r="V368"/>
      <c r="W368"/>
      <c r="X368"/>
    </row>
    <row r="369" s="61" customFormat="1" spans="1:24">
      <c r="A369" s="95"/>
      <c r="B369"/>
      <c r="C369"/>
      <c r="D369"/>
      <c r="E369"/>
      <c r="F369"/>
      <c r="G369"/>
      <c r="H369"/>
      <c r="I369"/>
      <c r="J369"/>
      <c r="K369"/>
      <c r="L369"/>
      <c r="M369"/>
      <c r="O369"/>
      <c r="P369"/>
      <c r="Q369"/>
      <c r="R369"/>
      <c r="S369"/>
      <c r="T369"/>
      <c r="U369"/>
      <c r="V369"/>
      <c r="W369"/>
      <c r="X369"/>
    </row>
    <row r="370" s="61" customFormat="1" spans="1:24">
      <c r="A370" s="95"/>
      <c r="B370"/>
      <c r="C370"/>
      <c r="D370"/>
      <c r="E370"/>
      <c r="F370"/>
      <c r="G370"/>
      <c r="H370"/>
      <c r="I370"/>
      <c r="J370"/>
      <c r="K370"/>
      <c r="L370"/>
      <c r="M370"/>
      <c r="O370"/>
      <c r="P370"/>
      <c r="Q370"/>
      <c r="R370"/>
      <c r="S370"/>
      <c r="T370"/>
      <c r="U370"/>
      <c r="V370"/>
      <c r="W370"/>
      <c r="X370"/>
    </row>
    <row r="371" s="62" customFormat="1" spans="1:24">
      <c r="A371" s="95"/>
      <c r="B371"/>
      <c r="C371"/>
      <c r="D371"/>
      <c r="E371"/>
      <c r="F371"/>
      <c r="G371"/>
      <c r="H371"/>
      <c r="I371"/>
      <c r="J371"/>
      <c r="K371"/>
      <c r="L371"/>
      <c r="M371"/>
      <c r="O371"/>
      <c r="P371"/>
      <c r="Q371"/>
      <c r="R371"/>
      <c r="S371"/>
      <c r="T371"/>
      <c r="U371"/>
      <c r="V371"/>
      <c r="W371"/>
      <c r="X371"/>
    </row>
    <row r="372" s="62" customFormat="1" spans="1:24">
      <c r="A372" s="95"/>
      <c r="B372"/>
      <c r="C372"/>
      <c r="D372"/>
      <c r="E372"/>
      <c r="F372"/>
      <c r="G372"/>
      <c r="H372"/>
      <c r="I372"/>
      <c r="J372"/>
      <c r="K372"/>
      <c r="L372"/>
      <c r="M372"/>
      <c r="O372"/>
      <c r="P372"/>
      <c r="Q372"/>
      <c r="R372"/>
      <c r="S372"/>
      <c r="T372"/>
      <c r="U372"/>
      <c r="V372"/>
      <c r="W372"/>
      <c r="X372"/>
    </row>
    <row r="373" s="62" customFormat="1" spans="1:24">
      <c r="A373" s="95"/>
      <c r="B373"/>
      <c r="C373"/>
      <c r="D373"/>
      <c r="E373"/>
      <c r="F373"/>
      <c r="G373"/>
      <c r="H373"/>
      <c r="I373"/>
      <c r="J373"/>
      <c r="K373"/>
      <c r="L373"/>
      <c r="M373"/>
      <c r="O373"/>
      <c r="P373"/>
      <c r="Q373"/>
      <c r="R373"/>
      <c r="S373"/>
      <c r="T373"/>
      <c r="U373"/>
      <c r="V373"/>
      <c r="W373"/>
      <c r="X373"/>
    </row>
    <row r="374" s="62" customFormat="1" spans="1:24">
      <c r="A374" s="95"/>
      <c r="B374"/>
      <c r="C374"/>
      <c r="D374"/>
      <c r="E374"/>
      <c r="F374"/>
      <c r="G374"/>
      <c r="H374"/>
      <c r="I374"/>
      <c r="J374"/>
      <c r="K374"/>
      <c r="L374"/>
      <c r="M374"/>
      <c r="O374"/>
      <c r="P374"/>
      <c r="Q374"/>
      <c r="R374"/>
      <c r="S374"/>
      <c r="T374"/>
      <c r="U374"/>
      <c r="V374"/>
      <c r="W374"/>
      <c r="X374"/>
    </row>
    <row r="375" s="42" customFormat="1" spans="1:24">
      <c r="A375" s="95"/>
      <c r="B375"/>
      <c r="C375"/>
      <c r="D375" s="95"/>
      <c r="E375" s="95"/>
      <c r="F375" s="95"/>
      <c r="G375" s="95"/>
      <c r="H375" s="95"/>
      <c r="I375" s="95"/>
      <c r="J375"/>
      <c r="K375"/>
      <c r="L375"/>
      <c r="M375"/>
      <c r="O375" s="95"/>
      <c r="P375" s="95"/>
      <c r="Q375" s="95"/>
      <c r="R375" s="95"/>
      <c r="S375" s="95"/>
      <c r="T375" s="95"/>
      <c r="U375" s="95"/>
      <c r="V375"/>
      <c r="W375"/>
      <c r="X375"/>
    </row>
    <row r="376" s="42" customFormat="1" spans="1:24">
      <c r="A376" s="95"/>
      <c r="B376"/>
      <c r="C376"/>
      <c r="D376" s="95"/>
      <c r="E376" s="95"/>
      <c r="F376" s="95"/>
      <c r="G376"/>
      <c r="H376"/>
      <c r="I376" s="95"/>
      <c r="J376"/>
      <c r="K376"/>
      <c r="L376"/>
      <c r="M376"/>
      <c r="O376" s="95"/>
      <c r="P376" s="95"/>
      <c r="Q376" s="95"/>
      <c r="R376" s="95"/>
      <c r="S376" s="95"/>
      <c r="T376" s="95"/>
      <c r="U376" s="95"/>
      <c r="V376"/>
      <c r="W376"/>
      <c r="X376"/>
    </row>
    <row r="377" s="42" customFormat="1" spans="1:24">
      <c r="A377" s="95"/>
      <c r="B377"/>
      <c r="C377"/>
      <c r="D377" s="95"/>
      <c r="E377" s="95"/>
      <c r="F377" s="95"/>
      <c r="G377"/>
      <c r="H377"/>
      <c r="I377" s="95"/>
      <c r="J377"/>
      <c r="K377"/>
      <c r="L377"/>
      <c r="M377"/>
      <c r="O377" s="95"/>
      <c r="P377" s="95"/>
      <c r="Q377" s="95"/>
      <c r="R377" s="95"/>
      <c r="S377" s="95"/>
      <c r="T377" s="95"/>
      <c r="U377" s="95"/>
      <c r="V377"/>
      <c r="W377"/>
      <c r="X377"/>
    </row>
    <row r="378" s="42" customFormat="1" spans="1:24">
      <c r="A378" s="95"/>
      <c r="B378"/>
      <c r="C378"/>
      <c r="D378" s="95"/>
      <c r="E378" s="95"/>
      <c r="F378" s="95"/>
      <c r="G378"/>
      <c r="H378"/>
      <c r="I378" s="95"/>
      <c r="J378"/>
      <c r="K378"/>
      <c r="L378"/>
      <c r="M378"/>
      <c r="O378" s="95"/>
      <c r="P378" s="95"/>
      <c r="Q378" s="95"/>
      <c r="R378" s="95"/>
      <c r="S378" s="95"/>
      <c r="T378" s="95"/>
      <c r="U378" s="95"/>
      <c r="V378"/>
      <c r="W378"/>
      <c r="X378"/>
    </row>
    <row r="379" s="63" customFormat="1" spans="1:24">
      <c r="A379" s="95"/>
      <c r="B379"/>
      <c r="C379"/>
      <c r="D379" s="95"/>
      <c r="E379" s="95"/>
      <c r="F379" s="95"/>
      <c r="G379" s="95"/>
      <c r="H379" s="95"/>
      <c r="I379" s="95"/>
      <c r="J379"/>
      <c r="K379"/>
      <c r="L379"/>
      <c r="M379"/>
      <c r="O379" s="95"/>
      <c r="P379" s="95"/>
      <c r="Q379" s="95"/>
      <c r="R379" s="95"/>
      <c r="S379" s="95"/>
      <c r="T379" s="95"/>
      <c r="U379" s="95"/>
      <c r="V379"/>
      <c r="W379"/>
      <c r="X379"/>
    </row>
    <row r="380" s="63" customFormat="1" spans="1:24">
      <c r="A380" s="95"/>
      <c r="B380"/>
      <c r="C380"/>
      <c r="D380" s="95"/>
      <c r="E380" s="95"/>
      <c r="F380" s="95"/>
      <c r="G380"/>
      <c r="H380"/>
      <c r="I380" s="95"/>
      <c r="J380"/>
      <c r="K380"/>
      <c r="L380"/>
      <c r="M380"/>
      <c r="O380" s="95"/>
      <c r="P380" s="95"/>
      <c r="Q380" s="95"/>
      <c r="R380" s="95"/>
      <c r="S380" s="95"/>
      <c r="T380" s="95"/>
      <c r="U380" s="95"/>
      <c r="V380"/>
      <c r="W380"/>
      <c r="X380"/>
    </row>
    <row r="381" s="63" customFormat="1" spans="1:24">
      <c r="A381" s="95"/>
      <c r="B381"/>
      <c r="C381"/>
      <c r="D381" s="95"/>
      <c r="E381" s="95"/>
      <c r="F381" s="95"/>
      <c r="G381"/>
      <c r="H381"/>
      <c r="I381" s="95"/>
      <c r="J381"/>
      <c r="K381"/>
      <c r="L381"/>
      <c r="M381"/>
      <c r="O381" s="95"/>
      <c r="P381" s="95"/>
      <c r="Q381" s="95"/>
      <c r="R381" s="95"/>
      <c r="S381" s="95"/>
      <c r="T381" s="95"/>
      <c r="U381" s="95"/>
      <c r="V381"/>
      <c r="W381"/>
      <c r="X381"/>
    </row>
    <row r="382" s="63" customFormat="1" spans="1:24">
      <c r="A382" s="95"/>
      <c r="B382"/>
      <c r="C382"/>
      <c r="D382" s="95"/>
      <c r="E382" s="95"/>
      <c r="F382" s="95"/>
      <c r="G382"/>
      <c r="H382"/>
      <c r="I382" s="95"/>
      <c r="J382"/>
      <c r="K382"/>
      <c r="L382"/>
      <c r="M382"/>
      <c r="O382" s="95"/>
      <c r="P382" s="95"/>
      <c r="Q382" s="95"/>
      <c r="R382" s="95"/>
      <c r="S382" s="95"/>
      <c r="T382" s="95"/>
      <c r="U382" s="95"/>
      <c r="V382"/>
      <c r="W382"/>
      <c r="X382"/>
    </row>
    <row r="383" s="64" customFormat="1" spans="1:24">
      <c r="A383" s="95"/>
      <c r="B383"/>
      <c r="C383"/>
      <c r="D383" s="95"/>
      <c r="E383" s="95"/>
      <c r="F383" s="95"/>
      <c r="G383" s="95"/>
      <c r="H383" s="95"/>
      <c r="I383" s="95"/>
      <c r="J383"/>
      <c r="K383"/>
      <c r="L383"/>
      <c r="M383"/>
      <c r="O383" s="95"/>
      <c r="P383" s="95"/>
      <c r="Q383" s="95"/>
      <c r="R383" s="95"/>
      <c r="S383" s="95"/>
      <c r="T383" s="95"/>
      <c r="U383" s="95"/>
      <c r="V383"/>
      <c r="W383"/>
      <c r="X383"/>
    </row>
    <row r="384" s="64" customFormat="1" spans="1:24">
      <c r="A384" s="95"/>
      <c r="B384"/>
      <c r="C384"/>
      <c r="D384" s="95"/>
      <c r="E384" s="95"/>
      <c r="F384" s="95"/>
      <c r="G384"/>
      <c r="H384"/>
      <c r="I384" s="95"/>
      <c r="J384"/>
      <c r="K384"/>
      <c r="L384"/>
      <c r="M384"/>
      <c r="O384" s="95"/>
      <c r="P384" s="95"/>
      <c r="Q384" s="95"/>
      <c r="R384" s="95"/>
      <c r="S384" s="95"/>
      <c r="T384" s="95"/>
      <c r="U384" s="95"/>
      <c r="V384"/>
      <c r="W384"/>
      <c r="X384"/>
    </row>
    <row r="385" s="64" customFormat="1" spans="1:24">
      <c r="A385" s="95"/>
      <c r="B385"/>
      <c r="C385"/>
      <c r="D385" s="95"/>
      <c r="E385" s="95"/>
      <c r="F385" s="95"/>
      <c r="G385"/>
      <c r="H385"/>
      <c r="I385" s="95"/>
      <c r="J385"/>
      <c r="K385"/>
      <c r="L385"/>
      <c r="M385"/>
      <c r="O385" s="95"/>
      <c r="P385" s="95"/>
      <c r="Q385" s="95"/>
      <c r="R385" s="95"/>
      <c r="S385" s="95"/>
      <c r="T385" s="95"/>
      <c r="U385" s="95"/>
      <c r="V385"/>
      <c r="W385"/>
      <c r="X385"/>
    </row>
    <row r="386" s="64" customFormat="1" spans="1:24">
      <c r="A386" s="95"/>
      <c r="B386"/>
      <c r="C386"/>
      <c r="D386" s="95"/>
      <c r="E386" s="95"/>
      <c r="F386" s="95"/>
      <c r="G386"/>
      <c r="H386"/>
      <c r="I386" s="95"/>
      <c r="J386"/>
      <c r="K386"/>
      <c r="L386"/>
      <c r="M386"/>
      <c r="O386" s="95"/>
      <c r="P386" s="95"/>
      <c r="Q386" s="95"/>
      <c r="R386" s="95"/>
      <c r="S386" s="95"/>
      <c r="T386" s="95"/>
      <c r="U386" s="95"/>
      <c r="V386"/>
      <c r="W386"/>
      <c r="X386"/>
    </row>
    <row r="387" s="59" customFormat="1" spans="1:24">
      <c r="A387"/>
      <c r="B387"/>
      <c r="C387"/>
      <c r="D387" s="95"/>
      <c r="E387" s="95"/>
      <c r="F387" s="95"/>
      <c r="G387" s="95"/>
      <c r="H387" s="95"/>
      <c r="I387" s="95"/>
      <c r="J387"/>
      <c r="K387"/>
      <c r="L387"/>
      <c r="M387"/>
      <c r="O387" s="95"/>
      <c r="P387" s="95"/>
      <c r="Q387" s="95"/>
      <c r="R387" s="95"/>
      <c r="S387" s="95"/>
      <c r="T387" s="95"/>
      <c r="U387" s="95"/>
      <c r="V387"/>
      <c r="W387"/>
      <c r="X387"/>
    </row>
    <row r="388" s="59" customFormat="1" spans="1:24">
      <c r="A388"/>
      <c r="B388"/>
      <c r="C388"/>
      <c r="D388" s="95"/>
      <c r="E388" s="95"/>
      <c r="F388" s="95"/>
      <c r="G388"/>
      <c r="H388"/>
      <c r="I388" s="95"/>
      <c r="J388"/>
      <c r="K388"/>
      <c r="L388"/>
      <c r="M388"/>
      <c r="O388" s="95"/>
      <c r="P388" s="95"/>
      <c r="Q388" s="95"/>
      <c r="R388" s="95"/>
      <c r="S388" s="95"/>
      <c r="T388" s="95"/>
      <c r="U388" s="95"/>
      <c r="V388"/>
      <c r="W388"/>
      <c r="X388"/>
    </row>
    <row r="389" s="59" customFormat="1" spans="1:24">
      <c r="A389"/>
      <c r="B389"/>
      <c r="C389"/>
      <c r="D389" s="95"/>
      <c r="E389" s="95"/>
      <c r="F389" s="95"/>
      <c r="G389"/>
      <c r="H389"/>
      <c r="I389" s="95"/>
      <c r="J389"/>
      <c r="K389"/>
      <c r="L389"/>
      <c r="M389"/>
      <c r="O389" s="95"/>
      <c r="P389" s="95"/>
      <c r="Q389" s="95"/>
      <c r="R389" s="95"/>
      <c r="S389" s="95"/>
      <c r="T389" s="95"/>
      <c r="U389" s="95"/>
      <c r="V389"/>
      <c r="W389"/>
      <c r="X389"/>
    </row>
    <row r="390" s="59" customFormat="1" spans="1:24">
      <c r="A390"/>
      <c r="B390"/>
      <c r="C390"/>
      <c r="D390" s="95"/>
      <c r="E390" s="95"/>
      <c r="F390" s="95"/>
      <c r="G390"/>
      <c r="H390"/>
      <c r="I390" s="95"/>
      <c r="J390"/>
      <c r="K390"/>
      <c r="L390"/>
      <c r="M390"/>
      <c r="O390" s="95"/>
      <c r="P390" s="95"/>
      <c r="Q390" s="95"/>
      <c r="R390" s="95"/>
      <c r="S390" s="95"/>
      <c r="T390" s="95"/>
      <c r="U390" s="95"/>
      <c r="V390"/>
      <c r="W390"/>
      <c r="X390"/>
    </row>
    <row r="391" s="65" customFormat="1" spans="1:24">
      <c r="A391"/>
      <c r="B391"/>
      <c r="C391"/>
      <c r="D391" s="95"/>
      <c r="E391"/>
      <c r="F391"/>
      <c r="G391"/>
      <c r="H391"/>
      <c r="I391"/>
      <c r="J391"/>
      <c r="K391"/>
      <c r="L391"/>
      <c r="M391"/>
      <c r="O391" s="95"/>
      <c r="P391" s="95"/>
      <c r="Q391"/>
      <c r="R391"/>
      <c r="S391"/>
      <c r="T391"/>
      <c r="U391" s="95"/>
      <c r="V391"/>
      <c r="W391"/>
      <c r="X391"/>
    </row>
    <row r="392" s="65" customFormat="1" spans="1:24">
      <c r="A392"/>
      <c r="B392"/>
      <c r="C392"/>
      <c r="D392" s="95"/>
      <c r="E392" s="95"/>
      <c r="F392" s="95"/>
      <c r="G392"/>
      <c r="H392"/>
      <c r="I392" s="95"/>
      <c r="J392"/>
      <c r="K392"/>
      <c r="L392"/>
      <c r="M392"/>
      <c r="O392" s="95"/>
      <c r="P392" s="95"/>
      <c r="Q392"/>
      <c r="R392"/>
      <c r="S392"/>
      <c r="T392"/>
      <c r="U392" s="95"/>
      <c r="V392"/>
      <c r="W392"/>
      <c r="X392"/>
    </row>
    <row r="393" s="65" customFormat="1" spans="1:24">
      <c r="A393"/>
      <c r="B393"/>
      <c r="C393"/>
      <c r="D393" s="95"/>
      <c r="E393" s="95"/>
      <c r="F393" s="95"/>
      <c r="G393"/>
      <c r="H393"/>
      <c r="I393" s="95"/>
      <c r="J393"/>
      <c r="K393"/>
      <c r="L393"/>
      <c r="M393"/>
      <c r="O393" s="95"/>
      <c r="P393" s="95"/>
      <c r="Q393"/>
      <c r="R393"/>
      <c r="S393"/>
      <c r="T393"/>
      <c r="U393" s="95"/>
      <c r="V393"/>
      <c r="W393"/>
      <c r="X393"/>
    </row>
    <row r="394" s="65" customFormat="1" spans="1:24">
      <c r="A394"/>
      <c r="B394"/>
      <c r="C394"/>
      <c r="D394" s="95"/>
      <c r="E394" s="95"/>
      <c r="F394" s="95"/>
      <c r="G394"/>
      <c r="H394"/>
      <c r="I394" s="95"/>
      <c r="J394"/>
      <c r="K394"/>
      <c r="L394"/>
      <c r="M394"/>
      <c r="O394" s="95"/>
      <c r="P394" s="95"/>
      <c r="Q394"/>
      <c r="R394"/>
      <c r="S394"/>
      <c r="T394"/>
      <c r="U394" s="95"/>
      <c r="V394"/>
      <c r="W394"/>
      <c r="X394"/>
    </row>
    <row r="395" s="66" customFormat="1" spans="1:24">
      <c r="A395"/>
      <c r="B395"/>
      <c r="C395"/>
      <c r="D395" s="95"/>
      <c r="E395"/>
      <c r="F395"/>
      <c r="G395"/>
      <c r="H395"/>
      <c r="I395"/>
      <c r="J395"/>
      <c r="K395"/>
      <c r="L395"/>
      <c r="M395"/>
      <c r="O395" s="95"/>
      <c r="P395" s="95"/>
      <c r="Q395"/>
      <c r="R395"/>
      <c r="S395"/>
      <c r="T395"/>
      <c r="U395"/>
      <c r="V395"/>
      <c r="W395"/>
      <c r="X395"/>
    </row>
    <row r="396" s="66" customFormat="1" spans="1:24">
      <c r="A396"/>
      <c r="B396"/>
      <c r="C396"/>
      <c r="D396" s="95"/>
      <c r="E396" s="95"/>
      <c r="F396" s="95"/>
      <c r="G396"/>
      <c r="H396"/>
      <c r="I396" s="95"/>
      <c r="J396"/>
      <c r="K396"/>
      <c r="L396"/>
      <c r="M396"/>
      <c r="O396" s="95"/>
      <c r="P396" s="95"/>
      <c r="Q396"/>
      <c r="R396"/>
      <c r="S396"/>
      <c r="T396"/>
      <c r="U396"/>
      <c r="V396"/>
      <c r="W396"/>
      <c r="X396"/>
    </row>
    <row r="397" s="66" customFormat="1" spans="1:24">
      <c r="A397"/>
      <c r="B397"/>
      <c r="C397"/>
      <c r="D397" s="95"/>
      <c r="E397" s="95"/>
      <c r="F397" s="95"/>
      <c r="G397"/>
      <c r="H397"/>
      <c r="I397" s="95"/>
      <c r="J397"/>
      <c r="K397"/>
      <c r="L397"/>
      <c r="M397"/>
      <c r="O397" s="95"/>
      <c r="P397" s="95"/>
      <c r="Q397"/>
      <c r="R397"/>
      <c r="S397"/>
      <c r="T397"/>
      <c r="U397"/>
      <c r="V397"/>
      <c r="W397"/>
      <c r="X397"/>
    </row>
    <row r="398" s="66" customFormat="1" spans="1:24">
      <c r="A398"/>
      <c r="B398"/>
      <c r="C398"/>
      <c r="D398" s="95"/>
      <c r="E398" s="95"/>
      <c r="F398" s="95"/>
      <c r="G398"/>
      <c r="H398"/>
      <c r="I398" s="95"/>
      <c r="J398"/>
      <c r="K398"/>
      <c r="L398"/>
      <c r="M398"/>
      <c r="O398" s="95"/>
      <c r="P398" s="95"/>
      <c r="Q398"/>
      <c r="R398"/>
      <c r="S398"/>
      <c r="T398"/>
      <c r="U398"/>
      <c r="V398"/>
      <c r="W398"/>
      <c r="X398"/>
    </row>
    <row r="399" s="67" customFormat="1" spans="1:24">
      <c r="A399"/>
      <c r="B399"/>
      <c r="C399"/>
      <c r="D399" s="95"/>
      <c r="E399"/>
      <c r="F399"/>
      <c r="G399"/>
      <c r="H399"/>
      <c r="I399"/>
      <c r="J399"/>
      <c r="K399"/>
      <c r="L399"/>
      <c r="M399"/>
      <c r="O399" s="95"/>
      <c r="P399" s="95"/>
      <c r="Q399"/>
      <c r="R399"/>
      <c r="S399"/>
      <c r="T399"/>
      <c r="U399"/>
      <c r="V399"/>
      <c r="W399"/>
      <c r="X399"/>
    </row>
    <row r="400" s="67" customFormat="1" spans="1:24">
      <c r="A400"/>
      <c r="B400"/>
      <c r="C400"/>
      <c r="D400" s="95"/>
      <c r="E400" s="95"/>
      <c r="F400" s="95"/>
      <c r="G400"/>
      <c r="H400"/>
      <c r="I400" s="95"/>
      <c r="J400"/>
      <c r="K400"/>
      <c r="L400"/>
      <c r="M400"/>
      <c r="O400" s="95"/>
      <c r="P400" s="95"/>
      <c r="Q400"/>
      <c r="R400"/>
      <c r="S400"/>
      <c r="T400"/>
      <c r="U400"/>
      <c r="V400"/>
      <c r="W400"/>
      <c r="X400"/>
    </row>
    <row r="401" s="67" customFormat="1" spans="1:24">
      <c r="A401"/>
      <c r="B401"/>
      <c r="C401"/>
      <c r="D401" s="95"/>
      <c r="E401" s="95"/>
      <c r="F401" s="95"/>
      <c r="G401"/>
      <c r="H401"/>
      <c r="I401" s="95"/>
      <c r="J401"/>
      <c r="K401"/>
      <c r="L401"/>
      <c r="M401"/>
      <c r="O401" s="95"/>
      <c r="P401" s="95"/>
      <c r="Q401"/>
      <c r="R401"/>
      <c r="S401"/>
      <c r="T401"/>
      <c r="U401"/>
      <c r="V401"/>
      <c r="W401"/>
      <c r="X401"/>
    </row>
    <row r="402" s="67" customFormat="1" spans="1:24">
      <c r="A402"/>
      <c r="B402"/>
      <c r="C402"/>
      <c r="D402" s="95"/>
      <c r="E402" s="95"/>
      <c r="F402" s="95"/>
      <c r="G402"/>
      <c r="H402"/>
      <c r="I402" s="95"/>
      <c r="J402"/>
      <c r="K402"/>
      <c r="L402"/>
      <c r="M402"/>
      <c r="O402" s="95"/>
      <c r="P402" s="95"/>
      <c r="Q402"/>
      <c r="R402"/>
      <c r="S402"/>
      <c r="T402"/>
      <c r="U402"/>
      <c r="V402"/>
      <c r="W402"/>
      <c r="X402"/>
    </row>
    <row r="403" s="68" customFormat="1" spans="1:24">
      <c r="A403"/>
      <c r="B403"/>
      <c r="C403"/>
      <c r="D403"/>
      <c r="E403"/>
      <c r="F403"/>
      <c r="G403"/>
      <c r="H403"/>
      <c r="I403"/>
      <c r="J403"/>
      <c r="K403"/>
      <c r="L403"/>
      <c r="M403"/>
      <c r="O403" s="95"/>
      <c r="P403" s="95"/>
      <c r="Q403"/>
      <c r="R403"/>
      <c r="S403"/>
      <c r="T403"/>
      <c r="U403"/>
      <c r="V403"/>
      <c r="W403"/>
      <c r="X403"/>
    </row>
    <row r="404" s="68" customFormat="1" spans="1:24">
      <c r="A404"/>
      <c r="B404"/>
      <c r="C404"/>
      <c r="D404"/>
      <c r="E404" s="95"/>
      <c r="F404" s="95"/>
      <c r="G404"/>
      <c r="H404"/>
      <c r="I404" s="95"/>
      <c r="J404"/>
      <c r="K404"/>
      <c r="L404"/>
      <c r="M404"/>
      <c r="O404" s="95"/>
      <c r="P404" s="95"/>
      <c r="Q404"/>
      <c r="R404"/>
      <c r="S404"/>
      <c r="T404"/>
      <c r="U404"/>
      <c r="V404"/>
      <c r="W404"/>
      <c r="X404"/>
    </row>
    <row r="405" s="68" customFormat="1" spans="1:24">
      <c r="A405"/>
      <c r="B405"/>
      <c r="C405"/>
      <c r="D405"/>
      <c r="E405" s="95"/>
      <c r="F405" s="95"/>
      <c r="G405"/>
      <c r="H405"/>
      <c r="I405" s="95"/>
      <c r="J405"/>
      <c r="K405"/>
      <c r="L405"/>
      <c r="M405"/>
      <c r="O405" s="95"/>
      <c r="P405" s="95"/>
      <c r="Q405"/>
      <c r="R405"/>
      <c r="S405"/>
      <c r="T405"/>
      <c r="U405"/>
      <c r="V405"/>
      <c r="W405"/>
      <c r="X405"/>
    </row>
    <row r="406" s="68" customFormat="1" spans="1:24">
      <c r="A406"/>
      <c r="B406"/>
      <c r="C406"/>
      <c r="D406"/>
      <c r="E406" s="95"/>
      <c r="F406" s="95"/>
      <c r="G406"/>
      <c r="H406"/>
      <c r="I406" s="95"/>
      <c r="J406"/>
      <c r="K406"/>
      <c r="L406"/>
      <c r="M406"/>
      <c r="O406" s="95"/>
      <c r="P406" s="95"/>
      <c r="Q406"/>
      <c r="R406"/>
      <c r="S406"/>
      <c r="T406"/>
      <c r="U406"/>
      <c r="V406"/>
      <c r="W406"/>
      <c r="X406"/>
    </row>
    <row r="407" s="59" customFormat="1" spans="1:24">
      <c r="A407"/>
      <c r="B407"/>
      <c r="C407"/>
      <c r="D407" s="95"/>
      <c r="E407" s="95"/>
      <c r="F407" s="95"/>
      <c r="G407" s="95"/>
      <c r="H407" s="95"/>
      <c r="I407" s="95"/>
      <c r="J407"/>
      <c r="K407"/>
      <c r="L407"/>
      <c r="M407"/>
      <c r="O407" s="95"/>
      <c r="P407" s="95"/>
      <c r="Q407" s="95"/>
      <c r="R407" s="95"/>
      <c r="S407" s="95"/>
      <c r="T407" s="95"/>
      <c r="U407" s="95"/>
      <c r="V407"/>
      <c r="W407"/>
      <c r="X407"/>
    </row>
    <row r="408" s="59" customFormat="1" spans="1:24">
      <c r="A408"/>
      <c r="B408"/>
      <c r="C408"/>
      <c r="D408" s="95"/>
      <c r="E408" s="95"/>
      <c r="F408" s="95"/>
      <c r="G408"/>
      <c r="H408"/>
      <c r="I408" s="95"/>
      <c r="J408"/>
      <c r="K408"/>
      <c r="L408"/>
      <c r="M408"/>
      <c r="O408" s="95"/>
      <c r="P408" s="95"/>
      <c r="Q408" s="95"/>
      <c r="R408" s="95"/>
      <c r="S408" s="95"/>
      <c r="T408" s="95"/>
      <c r="U408" s="95"/>
      <c r="V408"/>
      <c r="W408"/>
      <c r="X408"/>
    </row>
    <row r="409" s="59" customFormat="1" spans="1:24">
      <c r="A409"/>
      <c r="B409"/>
      <c r="C409"/>
      <c r="D409" s="95"/>
      <c r="E409" s="95"/>
      <c r="F409" s="95"/>
      <c r="G409"/>
      <c r="H409"/>
      <c r="I409" s="95"/>
      <c r="J409"/>
      <c r="K409"/>
      <c r="L409"/>
      <c r="M409"/>
      <c r="O409" s="95"/>
      <c r="P409" s="95"/>
      <c r="Q409" s="95"/>
      <c r="R409" s="95"/>
      <c r="S409" s="95"/>
      <c r="T409" s="95"/>
      <c r="U409" s="95"/>
      <c r="V409"/>
      <c r="W409"/>
      <c r="X409"/>
    </row>
    <row r="410" s="59" customFormat="1" spans="1:24">
      <c r="A410"/>
      <c r="B410"/>
      <c r="C410"/>
      <c r="D410" s="95"/>
      <c r="E410" s="95"/>
      <c r="F410" s="95"/>
      <c r="G410"/>
      <c r="H410"/>
      <c r="I410" s="95"/>
      <c r="J410"/>
      <c r="K410"/>
      <c r="L410"/>
      <c r="M410"/>
      <c r="O410" s="95"/>
      <c r="P410" s="95"/>
      <c r="Q410" s="95"/>
      <c r="R410" s="95"/>
      <c r="S410" s="95"/>
      <c r="T410" s="95"/>
      <c r="U410" s="95"/>
      <c r="V410"/>
      <c r="W410"/>
      <c r="X410"/>
    </row>
    <row r="411" s="65" customFormat="1" spans="1:24">
      <c r="A411"/>
      <c r="B411"/>
      <c r="C411"/>
      <c r="D411" s="95"/>
      <c r="E411" s="95"/>
      <c r="F411" s="95"/>
      <c r="G411" s="95"/>
      <c r="H411" s="95"/>
      <c r="I411" s="95"/>
      <c r="J411"/>
      <c r="K411"/>
      <c r="L411"/>
      <c r="M411"/>
      <c r="O411" s="95"/>
      <c r="P411" s="95"/>
      <c r="Q411" s="95"/>
      <c r="R411" s="95"/>
      <c r="S411" s="95"/>
      <c r="T411" s="95"/>
      <c r="U411" s="95"/>
      <c r="V411"/>
      <c r="W411"/>
      <c r="X411"/>
    </row>
    <row r="412" s="65" customFormat="1" spans="1:24">
      <c r="A412"/>
      <c r="B412"/>
      <c r="C412"/>
      <c r="D412" s="95"/>
      <c r="E412" s="95"/>
      <c r="F412" s="95"/>
      <c r="G412"/>
      <c r="H412"/>
      <c r="I412" s="95"/>
      <c r="J412"/>
      <c r="K412"/>
      <c r="L412"/>
      <c r="M412"/>
      <c r="O412" s="95"/>
      <c r="P412" s="95"/>
      <c r="Q412" s="95"/>
      <c r="R412" s="95"/>
      <c r="S412" s="95"/>
      <c r="T412" s="95"/>
      <c r="U412" s="95"/>
      <c r="V412"/>
      <c r="W412"/>
      <c r="X412"/>
    </row>
    <row r="413" s="65" customFormat="1" spans="1:24">
      <c r="A413"/>
      <c r="B413"/>
      <c r="C413"/>
      <c r="D413" s="95"/>
      <c r="E413" s="95"/>
      <c r="F413" s="95"/>
      <c r="G413"/>
      <c r="H413"/>
      <c r="I413" s="95"/>
      <c r="J413"/>
      <c r="K413"/>
      <c r="L413"/>
      <c r="M413"/>
      <c r="O413" s="95"/>
      <c r="P413" s="95"/>
      <c r="Q413" s="95"/>
      <c r="R413" s="95"/>
      <c r="S413" s="95"/>
      <c r="T413" s="95"/>
      <c r="U413" s="95"/>
      <c r="V413"/>
      <c r="W413"/>
      <c r="X413"/>
    </row>
    <row r="414" s="65" customFormat="1" spans="1:24">
      <c r="A414"/>
      <c r="B414"/>
      <c r="C414"/>
      <c r="D414" s="95"/>
      <c r="E414" s="95"/>
      <c r="F414" s="95"/>
      <c r="G414"/>
      <c r="H414"/>
      <c r="I414" s="95"/>
      <c r="J414"/>
      <c r="K414"/>
      <c r="L414"/>
      <c r="M414"/>
      <c r="O414" s="95"/>
      <c r="P414" s="95"/>
      <c r="Q414" s="95"/>
      <c r="R414" s="95"/>
      <c r="S414" s="95"/>
      <c r="T414" s="95"/>
      <c r="U414" s="95"/>
      <c r="V414"/>
      <c r="W414"/>
      <c r="X414"/>
    </row>
    <row r="415" s="69" customFormat="1" spans="1:24">
      <c r="A415"/>
      <c r="B415"/>
      <c r="C415"/>
      <c r="D415" s="95"/>
      <c r="E415"/>
      <c r="F415"/>
      <c r="G415"/>
      <c r="H415"/>
      <c r="I415"/>
      <c r="J415"/>
      <c r="K415"/>
      <c r="L415"/>
      <c r="M415"/>
      <c r="O415" s="95"/>
      <c r="P415" s="95"/>
      <c r="Q415"/>
      <c r="R415"/>
      <c r="S415"/>
      <c r="T415"/>
      <c r="U415"/>
      <c r="V415"/>
      <c r="W415"/>
      <c r="X415"/>
    </row>
    <row r="416" s="69" customFormat="1" spans="1:24">
      <c r="A416"/>
      <c r="B416"/>
      <c r="C416"/>
      <c r="D416" s="95"/>
      <c r="E416" s="95"/>
      <c r="F416" s="95"/>
      <c r="G416"/>
      <c r="H416"/>
      <c r="I416" s="95"/>
      <c r="J416"/>
      <c r="K416"/>
      <c r="L416"/>
      <c r="M416"/>
      <c r="O416" s="95"/>
      <c r="P416" s="95"/>
      <c r="Q416"/>
      <c r="R416"/>
      <c r="S416"/>
      <c r="T416"/>
      <c r="U416"/>
      <c r="V416"/>
      <c r="W416"/>
      <c r="X416"/>
    </row>
    <row r="417" s="69" customFormat="1" spans="1:24">
      <c r="A417"/>
      <c r="B417"/>
      <c r="C417"/>
      <c r="D417" s="95"/>
      <c r="E417" s="95"/>
      <c r="F417" s="95"/>
      <c r="G417"/>
      <c r="H417"/>
      <c r="I417" s="95"/>
      <c r="J417"/>
      <c r="K417"/>
      <c r="L417"/>
      <c r="M417"/>
      <c r="O417" s="95"/>
      <c r="P417" s="95"/>
      <c r="Q417"/>
      <c r="R417"/>
      <c r="S417"/>
      <c r="T417"/>
      <c r="U417"/>
      <c r="V417"/>
      <c r="W417"/>
      <c r="X417"/>
    </row>
    <row r="418" s="69" customFormat="1" spans="1:24">
      <c r="A418"/>
      <c r="B418"/>
      <c r="C418"/>
      <c r="D418" s="95"/>
      <c r="E418" s="95"/>
      <c r="F418" s="95"/>
      <c r="G418"/>
      <c r="H418"/>
      <c r="I418" s="95"/>
      <c r="J418"/>
      <c r="K418"/>
      <c r="L418"/>
      <c r="M418"/>
      <c r="O418" s="95"/>
      <c r="P418" s="95"/>
      <c r="Q418"/>
      <c r="R418"/>
      <c r="S418"/>
      <c r="T418"/>
      <c r="U418"/>
      <c r="V418"/>
      <c r="W418"/>
      <c r="X418"/>
    </row>
    <row r="419" s="61" customFormat="1" spans="1:24">
      <c r="A419"/>
      <c r="B419"/>
      <c r="C419"/>
      <c r="D419" s="95"/>
      <c r="E419"/>
      <c r="F419"/>
      <c r="G419"/>
      <c r="H419"/>
      <c r="I419"/>
      <c r="J419"/>
      <c r="K419"/>
      <c r="L419"/>
      <c r="M419"/>
      <c r="O419" s="95"/>
      <c r="P419" s="95"/>
      <c r="Q419"/>
      <c r="R419"/>
      <c r="S419"/>
      <c r="T419"/>
      <c r="U419"/>
      <c r="V419"/>
      <c r="W419"/>
      <c r="X419"/>
    </row>
    <row r="420" s="61" customFormat="1" spans="1:24">
      <c r="A420"/>
      <c r="B420"/>
      <c r="C420"/>
      <c r="D420" s="95"/>
      <c r="E420" s="95"/>
      <c r="F420" s="95"/>
      <c r="G420"/>
      <c r="H420"/>
      <c r="I420" s="95"/>
      <c r="J420"/>
      <c r="K420"/>
      <c r="L420"/>
      <c r="M420"/>
      <c r="O420" s="95"/>
      <c r="P420" s="95"/>
      <c r="Q420"/>
      <c r="R420"/>
      <c r="S420"/>
      <c r="T420"/>
      <c r="U420"/>
      <c r="V420"/>
      <c r="W420"/>
      <c r="X420"/>
    </row>
    <row r="421" s="61" customFormat="1" spans="1:24">
      <c r="A421"/>
      <c r="B421"/>
      <c r="C421"/>
      <c r="D421" s="95"/>
      <c r="E421" s="95"/>
      <c r="F421" s="95"/>
      <c r="G421"/>
      <c r="H421"/>
      <c r="I421" s="95"/>
      <c r="J421"/>
      <c r="K421"/>
      <c r="L421"/>
      <c r="M421"/>
      <c r="O421" s="95"/>
      <c r="P421" s="95"/>
      <c r="Q421"/>
      <c r="R421"/>
      <c r="S421"/>
      <c r="T421"/>
      <c r="U421"/>
      <c r="V421"/>
      <c r="W421"/>
      <c r="X421"/>
    </row>
    <row r="422" s="61" customFormat="1" spans="1:24">
      <c r="A422"/>
      <c r="B422"/>
      <c r="C422"/>
      <c r="D422" s="95"/>
      <c r="E422" s="95"/>
      <c r="F422" s="95"/>
      <c r="G422"/>
      <c r="H422"/>
      <c r="I422" s="95"/>
      <c r="J422"/>
      <c r="K422"/>
      <c r="L422"/>
      <c r="M422"/>
      <c r="O422" s="95"/>
      <c r="P422" s="95"/>
      <c r="Q422"/>
      <c r="R422"/>
      <c r="S422"/>
      <c r="T422"/>
      <c r="U422"/>
      <c r="V422"/>
      <c r="W422"/>
      <c r="X422"/>
    </row>
    <row r="423" s="70" customFormat="1" spans="1:24">
      <c r="A423"/>
      <c r="B423"/>
      <c r="C423"/>
      <c r="D423" s="95"/>
      <c r="E423"/>
      <c r="F423"/>
      <c r="G423"/>
      <c r="H423"/>
      <c r="I423"/>
      <c r="J423"/>
      <c r="K423"/>
      <c r="L423"/>
      <c r="M423"/>
      <c r="O423" s="95"/>
      <c r="P423" s="95"/>
      <c r="Q423"/>
      <c r="R423"/>
      <c r="S423"/>
      <c r="T423"/>
      <c r="U423"/>
      <c r="V423"/>
      <c r="W423"/>
      <c r="X423"/>
    </row>
    <row r="424" s="70" customFormat="1" spans="1:24">
      <c r="A424"/>
      <c r="B424"/>
      <c r="C424"/>
      <c r="D424" s="95"/>
      <c r="E424" s="95"/>
      <c r="F424" s="95"/>
      <c r="G424"/>
      <c r="H424"/>
      <c r="I424" s="95"/>
      <c r="J424"/>
      <c r="K424"/>
      <c r="L424"/>
      <c r="M424"/>
      <c r="O424" s="95"/>
      <c r="P424" s="95"/>
      <c r="Q424"/>
      <c r="R424"/>
      <c r="S424"/>
      <c r="T424"/>
      <c r="U424"/>
      <c r="V424"/>
      <c r="W424"/>
      <c r="X424"/>
    </row>
    <row r="425" s="70" customFormat="1" spans="1:24">
      <c r="A425"/>
      <c r="B425"/>
      <c r="C425"/>
      <c r="D425" s="95"/>
      <c r="E425" s="95"/>
      <c r="F425" s="95"/>
      <c r="G425"/>
      <c r="H425"/>
      <c r="I425" s="95"/>
      <c r="J425"/>
      <c r="K425"/>
      <c r="L425"/>
      <c r="M425"/>
      <c r="O425" s="95"/>
      <c r="P425" s="95"/>
      <c r="Q425"/>
      <c r="R425"/>
      <c r="S425"/>
      <c r="T425"/>
      <c r="U425"/>
      <c r="V425"/>
      <c r="W425"/>
      <c r="X425"/>
    </row>
    <row r="426" s="70" customFormat="1" spans="1:24">
      <c r="A426"/>
      <c r="B426"/>
      <c r="C426"/>
      <c r="D426" s="95"/>
      <c r="E426" s="95"/>
      <c r="F426" s="95"/>
      <c r="G426"/>
      <c r="H426"/>
      <c r="I426" s="95"/>
      <c r="J426"/>
      <c r="K426"/>
      <c r="L426"/>
      <c r="M426"/>
      <c r="O426" s="95"/>
      <c r="P426" s="95"/>
      <c r="Q426"/>
      <c r="R426"/>
      <c r="S426"/>
      <c r="T426"/>
      <c r="U426"/>
      <c r="V426"/>
      <c r="W426"/>
      <c r="X426"/>
    </row>
    <row r="427" s="39" customFormat="1" spans="1:24">
      <c r="A427"/>
      <c r="B427"/>
      <c r="C427"/>
      <c r="D427" s="95"/>
      <c r="E427"/>
      <c r="F427"/>
      <c r="G427"/>
      <c r="H427"/>
      <c r="I427"/>
      <c r="J427"/>
      <c r="K427"/>
      <c r="L427"/>
      <c r="M427"/>
      <c r="O427" s="95"/>
      <c r="P427" s="95"/>
      <c r="Q427"/>
      <c r="R427"/>
      <c r="S427"/>
      <c r="T427"/>
      <c r="U427"/>
      <c r="V427"/>
      <c r="W427"/>
      <c r="X427"/>
    </row>
    <row r="428" s="39" customFormat="1" spans="1:24">
      <c r="A428"/>
      <c r="B428"/>
      <c r="C428"/>
      <c r="D428" s="95"/>
      <c r="E428" s="95"/>
      <c r="F428" s="95"/>
      <c r="G428"/>
      <c r="H428"/>
      <c r="I428" s="95"/>
      <c r="J428"/>
      <c r="K428"/>
      <c r="L428"/>
      <c r="M428"/>
      <c r="O428" s="95"/>
      <c r="P428" s="95"/>
      <c r="Q428"/>
      <c r="R428"/>
      <c r="S428"/>
      <c r="T428"/>
      <c r="U428"/>
      <c r="V428"/>
      <c r="W428"/>
      <c r="X428"/>
    </row>
    <row r="429" s="39" customFormat="1" spans="1:24">
      <c r="A429"/>
      <c r="B429"/>
      <c r="C429"/>
      <c r="D429" s="95"/>
      <c r="E429" s="95"/>
      <c r="F429" s="95"/>
      <c r="G429"/>
      <c r="H429"/>
      <c r="I429" s="95"/>
      <c r="J429"/>
      <c r="K429"/>
      <c r="L429"/>
      <c r="M429"/>
      <c r="O429" s="95"/>
      <c r="P429" s="95"/>
      <c r="Q429"/>
      <c r="R429"/>
      <c r="S429"/>
      <c r="T429"/>
      <c r="U429"/>
      <c r="V429"/>
      <c r="W429"/>
      <c r="X429"/>
    </row>
    <row r="430" s="39" customFormat="1" spans="1:24">
      <c r="A430"/>
      <c r="B430"/>
      <c r="C430"/>
      <c r="D430" s="95"/>
      <c r="E430" s="95"/>
      <c r="F430" s="95"/>
      <c r="G430"/>
      <c r="H430"/>
      <c r="I430" s="95"/>
      <c r="J430"/>
      <c r="K430"/>
      <c r="L430"/>
      <c r="M430"/>
      <c r="O430" s="95"/>
      <c r="P430" s="95"/>
      <c r="Q430"/>
      <c r="R430"/>
      <c r="S430"/>
      <c r="T430"/>
      <c r="U430"/>
      <c r="V430"/>
      <c r="W430"/>
      <c r="X430"/>
    </row>
    <row r="431" s="44" customFormat="1" spans="1:24">
      <c r="A431"/>
      <c r="B431"/>
      <c r="C431"/>
      <c r="D431" s="95"/>
      <c r="E431"/>
      <c r="F431"/>
      <c r="G431"/>
      <c r="H431"/>
      <c r="I431"/>
      <c r="J431"/>
      <c r="K431"/>
      <c r="L431"/>
      <c r="M431"/>
      <c r="O431" s="95"/>
      <c r="P431" s="95"/>
      <c r="Q431"/>
      <c r="R431"/>
      <c r="S431"/>
      <c r="T431"/>
      <c r="U431"/>
      <c r="V431"/>
      <c r="W431"/>
      <c r="X431"/>
    </row>
    <row r="432" s="44" customFormat="1" spans="1:24">
      <c r="A432"/>
      <c r="B432"/>
      <c r="C432"/>
      <c r="D432" s="95"/>
      <c r="E432" s="95"/>
      <c r="F432" s="95"/>
      <c r="G432"/>
      <c r="H432"/>
      <c r="I432" s="95"/>
      <c r="J432"/>
      <c r="K432"/>
      <c r="L432"/>
      <c r="M432"/>
      <c r="O432" s="95"/>
      <c r="P432" s="95"/>
      <c r="Q432"/>
      <c r="R432"/>
      <c r="S432"/>
      <c r="T432"/>
      <c r="U432"/>
      <c r="V432"/>
      <c r="W432"/>
      <c r="X432"/>
    </row>
    <row r="433" s="44" customFormat="1" spans="1:24">
      <c r="A433"/>
      <c r="B433"/>
      <c r="C433"/>
      <c r="D433" s="95"/>
      <c r="E433" s="95"/>
      <c r="F433" s="95"/>
      <c r="G433"/>
      <c r="H433"/>
      <c r="I433" s="95"/>
      <c r="J433"/>
      <c r="K433"/>
      <c r="L433"/>
      <c r="M433"/>
      <c r="O433" s="95"/>
      <c r="P433" s="95"/>
      <c r="Q433"/>
      <c r="R433"/>
      <c r="S433"/>
      <c r="T433"/>
      <c r="U433"/>
      <c r="V433"/>
      <c r="W433"/>
      <c r="X433"/>
    </row>
    <row r="434" s="44" customFormat="1" spans="1:24">
      <c r="A434"/>
      <c r="B434"/>
      <c r="C434"/>
      <c r="D434" s="95"/>
      <c r="E434" s="95"/>
      <c r="F434" s="95"/>
      <c r="G434"/>
      <c r="H434"/>
      <c r="I434" s="95"/>
      <c r="J434"/>
      <c r="K434"/>
      <c r="L434"/>
      <c r="M434"/>
      <c r="O434" s="95"/>
      <c r="P434" s="95"/>
      <c r="Q434"/>
      <c r="R434"/>
      <c r="S434"/>
      <c r="T434"/>
      <c r="U434"/>
      <c r="V434"/>
      <c r="W434"/>
      <c r="X434"/>
    </row>
    <row r="435" s="64" customFormat="1" spans="1:24">
      <c r="A435"/>
      <c r="B435"/>
      <c r="C435"/>
      <c r="D435" s="95"/>
      <c r="E435"/>
      <c r="F435"/>
      <c r="G435"/>
      <c r="H435"/>
      <c r="I435"/>
      <c r="J435"/>
      <c r="K435"/>
      <c r="L435"/>
      <c r="M435"/>
      <c r="O435" s="95"/>
      <c r="P435" s="95"/>
      <c r="Q435"/>
      <c r="R435"/>
      <c r="S435"/>
      <c r="T435"/>
      <c r="U435"/>
      <c r="V435"/>
      <c r="W435"/>
      <c r="X435"/>
    </row>
    <row r="436" s="64" customFormat="1" spans="1:24">
      <c r="A436"/>
      <c r="B436"/>
      <c r="C436"/>
      <c r="D436" s="95"/>
      <c r="E436" s="95"/>
      <c r="F436" s="95"/>
      <c r="G436"/>
      <c r="H436"/>
      <c r="I436" s="95"/>
      <c r="J436"/>
      <c r="K436"/>
      <c r="L436"/>
      <c r="M436"/>
      <c r="O436" s="95"/>
      <c r="P436" s="95"/>
      <c r="Q436"/>
      <c r="R436"/>
      <c r="S436"/>
      <c r="T436"/>
      <c r="U436"/>
      <c r="V436"/>
      <c r="W436"/>
      <c r="X436"/>
    </row>
    <row r="437" s="64" customFormat="1" spans="1:24">
      <c r="A437"/>
      <c r="B437"/>
      <c r="C437"/>
      <c r="D437" s="95"/>
      <c r="E437" s="95"/>
      <c r="F437" s="95"/>
      <c r="G437"/>
      <c r="H437"/>
      <c r="I437" s="95"/>
      <c r="J437"/>
      <c r="K437"/>
      <c r="L437"/>
      <c r="M437"/>
      <c r="O437" s="95"/>
      <c r="P437" s="95"/>
      <c r="Q437"/>
      <c r="R437"/>
      <c r="S437"/>
      <c r="T437"/>
      <c r="U437"/>
      <c r="V437"/>
      <c r="W437"/>
      <c r="X437"/>
    </row>
    <row r="438" s="64" customFormat="1" spans="1:24">
      <c r="A438"/>
      <c r="B438"/>
      <c r="C438"/>
      <c r="D438" s="95"/>
      <c r="E438" s="95"/>
      <c r="F438" s="95"/>
      <c r="G438"/>
      <c r="H438"/>
      <c r="I438" s="95"/>
      <c r="J438"/>
      <c r="K438"/>
      <c r="L438"/>
      <c r="M438"/>
      <c r="O438" s="95"/>
      <c r="P438" s="95"/>
      <c r="Q438"/>
      <c r="R438"/>
      <c r="S438"/>
      <c r="T438"/>
      <c r="U438"/>
      <c r="V438"/>
      <c r="W438"/>
      <c r="X438"/>
    </row>
    <row r="439" spans="15:16">
      <c r="O439" s="95"/>
      <c r="P439" s="95"/>
    </row>
    <row r="440" spans="15:16">
      <c r="O440" s="95"/>
      <c r="P440" s="95"/>
    </row>
    <row r="441" spans="15:16">
      <c r="O441" s="95"/>
      <c r="P441" s="95"/>
    </row>
    <row r="442" spans="15:16">
      <c r="O442" s="95"/>
      <c r="P442" s="95"/>
    </row>
    <row r="443" spans="15:16">
      <c r="O443" s="95"/>
      <c r="P443" s="95"/>
    </row>
    <row r="444" spans="15:16">
      <c r="O444" s="95"/>
      <c r="P444" s="95"/>
    </row>
    <row r="445" spans="15:16">
      <c r="O445" s="95"/>
      <c r="P445" s="95"/>
    </row>
    <row r="446" spans="15:16">
      <c r="O446" s="95"/>
      <c r="P446" s="95"/>
    </row>
    <row r="447" spans="15:16">
      <c r="O447" s="95"/>
      <c r="P447" s="95"/>
    </row>
    <row r="448" spans="15:16">
      <c r="O448" s="95"/>
      <c r="P448" s="95"/>
    </row>
    <row r="449" spans="15:16">
      <c r="O449" s="95"/>
      <c r="P449" s="95"/>
    </row>
    <row r="450" spans="15:16">
      <c r="O450" s="95"/>
      <c r="P450" s="95"/>
    </row>
    <row r="451" spans="15:16">
      <c r="O451" s="95"/>
      <c r="P451" s="95"/>
    </row>
    <row r="452" spans="15:16">
      <c r="O452" s="95"/>
      <c r="P452" s="95"/>
    </row>
    <row r="453" spans="15:16">
      <c r="O453" s="95"/>
      <c r="P453" s="95"/>
    </row>
    <row r="454" spans="15:16">
      <c r="O454" s="95"/>
      <c r="P454" s="95"/>
    </row>
    <row r="455" spans="15:16">
      <c r="O455" s="95"/>
      <c r="P455" s="95"/>
    </row>
    <row r="456" spans="15:16">
      <c r="O456" s="95"/>
      <c r="P456" s="95"/>
    </row>
    <row r="457" spans="15:16">
      <c r="O457" s="95"/>
      <c r="P457" s="95"/>
    </row>
    <row r="458" spans="15:16">
      <c r="O458" s="95"/>
      <c r="P458" s="95"/>
    </row>
    <row r="459" spans="15:16">
      <c r="O459" s="95"/>
      <c r="P459" s="95"/>
    </row>
    <row r="460" spans="15:16">
      <c r="O460" s="95"/>
      <c r="P460" s="95"/>
    </row>
    <row r="461" spans="15:16">
      <c r="O461" s="95"/>
      <c r="P461" s="95"/>
    </row>
    <row r="462" spans="15:16">
      <c r="O462" s="95"/>
      <c r="P462" s="95"/>
    </row>
    <row r="463" spans="15:16">
      <c r="O463" s="95"/>
      <c r="P463" s="95"/>
    </row>
    <row r="464" spans="15:16">
      <c r="O464" s="95"/>
      <c r="P464" s="95"/>
    </row>
    <row r="465" spans="15:16">
      <c r="O465" s="95"/>
      <c r="P465" s="95"/>
    </row>
    <row r="466" spans="15:16">
      <c r="O466" s="95"/>
      <c r="P466" s="95"/>
    </row>
    <row r="467" spans="15:16">
      <c r="O467" s="95"/>
      <c r="P467" s="95"/>
    </row>
    <row r="468" spans="15:16">
      <c r="O468" s="95"/>
      <c r="P468" s="95"/>
    </row>
    <row r="469" spans="15:16">
      <c r="O469" s="95"/>
      <c r="P469" s="95"/>
    </row>
    <row r="470" spans="15:16">
      <c r="O470" s="95"/>
      <c r="P470" s="95"/>
    </row>
    <row r="471" spans="15:16">
      <c r="O471" s="95"/>
      <c r="P471" s="95"/>
    </row>
    <row r="472" spans="15:16">
      <c r="O472" s="95"/>
      <c r="P472" s="95"/>
    </row>
    <row r="473" spans="15:16">
      <c r="O473" s="95"/>
      <c r="P473" s="95"/>
    </row>
    <row r="474" spans="15:16">
      <c r="O474" s="95"/>
      <c r="P474" s="95"/>
    </row>
    <row r="475" spans="15:16">
      <c r="O475" s="95"/>
      <c r="P475" s="95"/>
    </row>
    <row r="476" spans="15:16">
      <c r="O476" s="95"/>
      <c r="P476" s="95"/>
    </row>
    <row r="477" spans="15:16">
      <c r="O477" s="95"/>
      <c r="P477" s="95"/>
    </row>
    <row r="478" spans="15:16">
      <c r="O478" s="95"/>
      <c r="P478" s="95"/>
    </row>
    <row r="479" spans="15:16">
      <c r="O479" s="95"/>
      <c r="P479" s="95"/>
    </row>
    <row r="480" spans="15:16">
      <c r="O480" s="95"/>
      <c r="P480" s="95"/>
    </row>
    <row r="481" spans="15:16">
      <c r="O481" s="95"/>
      <c r="P481" s="95"/>
    </row>
    <row r="482" spans="15:16">
      <c r="O482" s="95"/>
      <c r="P482" s="95"/>
    </row>
    <row r="483" spans="15:16">
      <c r="O483" s="95"/>
      <c r="P483" s="95"/>
    </row>
    <row r="484" spans="15:16">
      <c r="O484" s="95"/>
      <c r="P484" s="95"/>
    </row>
    <row r="485" spans="15:16">
      <c r="O485" s="95"/>
      <c r="P485" s="95"/>
    </row>
    <row r="486" spans="15:16">
      <c r="O486" s="95"/>
      <c r="P486" s="95"/>
    </row>
    <row r="487" spans="15:16">
      <c r="O487" s="95"/>
      <c r="P487" s="95"/>
    </row>
    <row r="488" spans="15:16">
      <c r="O488" s="95"/>
      <c r="P488" s="95"/>
    </row>
    <row r="489" spans="15:16">
      <c r="O489" s="95"/>
      <c r="P489" s="95"/>
    </row>
    <row r="490" spans="15:16">
      <c r="O490" s="95"/>
      <c r="P490" s="95"/>
    </row>
    <row r="491" spans="15:16">
      <c r="O491" s="95"/>
      <c r="P491" s="95"/>
    </row>
    <row r="492" spans="15:16">
      <c r="O492" s="95"/>
      <c r="P492" s="95"/>
    </row>
    <row r="493" spans="15:16">
      <c r="O493" s="95"/>
      <c r="P493" s="95"/>
    </row>
    <row r="494" spans="15:16">
      <c r="O494" s="95"/>
      <c r="P494" s="95"/>
    </row>
    <row r="495" spans="15:16">
      <c r="O495" s="95"/>
      <c r="P495" s="95"/>
    </row>
    <row r="496" spans="15:16">
      <c r="O496" s="95"/>
      <c r="P496" s="95"/>
    </row>
    <row r="497" spans="15:16">
      <c r="O497" s="95"/>
      <c r="P497" s="95"/>
    </row>
    <row r="498" spans="15:16">
      <c r="O498" s="95"/>
      <c r="P498" s="95"/>
    </row>
    <row r="499" spans="15:16">
      <c r="O499" s="95"/>
      <c r="P499" s="95"/>
    </row>
    <row r="500" spans="15:16">
      <c r="O500" s="95"/>
      <c r="P500" s="95"/>
    </row>
    <row r="501" spans="15:16">
      <c r="O501" s="95"/>
      <c r="P501" s="95"/>
    </row>
    <row r="502" spans="15:16">
      <c r="O502" s="95"/>
      <c r="P502" s="95"/>
    </row>
    <row r="503" spans="15:16">
      <c r="O503" s="95"/>
      <c r="P503" s="95"/>
    </row>
    <row r="504" spans="15:16">
      <c r="O504" s="95"/>
      <c r="P504" s="95"/>
    </row>
    <row r="505" s="73" customFormat="1" spans="1:24">
      <c r="A505" s="96"/>
      <c r="B505" s="96"/>
      <c r="C505" s="96"/>
      <c r="D505" s="96"/>
      <c r="E505" s="96"/>
      <c r="F505" s="96"/>
      <c r="G505" s="96"/>
      <c r="H505" s="96"/>
      <c r="I505" s="96"/>
      <c r="J505" s="96"/>
      <c r="K505" s="96"/>
      <c r="L505" s="96"/>
      <c r="M505" s="96"/>
      <c r="O505" s="96"/>
      <c r="P505" s="96"/>
      <c r="Q505" s="96"/>
      <c r="R505" s="96"/>
      <c r="S505" s="96"/>
      <c r="T505" s="96"/>
      <c r="U505" s="96"/>
      <c r="V505" s="96"/>
      <c r="W505" s="96"/>
      <c r="X505" s="96"/>
    </row>
    <row r="506" s="73" customFormat="1" spans="1:24">
      <c r="A506" s="96"/>
      <c r="B506" s="96"/>
      <c r="C506" s="96"/>
      <c r="D506" s="96"/>
      <c r="E506" s="96"/>
      <c r="F506" s="96"/>
      <c r="G506" s="96"/>
      <c r="H506" s="96"/>
      <c r="I506" s="96"/>
      <c r="J506" s="96"/>
      <c r="K506" s="96"/>
      <c r="L506" s="96"/>
      <c r="M506" s="96"/>
      <c r="O506" s="96"/>
      <c r="P506" s="96"/>
      <c r="Q506" s="96"/>
      <c r="R506" s="96"/>
      <c r="S506" s="96"/>
      <c r="T506" s="96"/>
      <c r="U506" s="96"/>
      <c r="V506" s="96"/>
      <c r="W506" s="96"/>
      <c r="X506" s="96"/>
    </row>
    <row r="507" s="73" customFormat="1" spans="1:24">
      <c r="A507" s="96"/>
      <c r="B507" s="96"/>
      <c r="C507" s="96"/>
      <c r="D507" s="96"/>
      <c r="E507" s="96"/>
      <c r="F507" s="96"/>
      <c r="G507" s="96"/>
      <c r="H507" s="96"/>
      <c r="I507" s="96"/>
      <c r="J507" s="96"/>
      <c r="K507" s="96"/>
      <c r="L507" s="96"/>
      <c r="M507" s="96"/>
      <c r="O507" s="96"/>
      <c r="P507" s="96"/>
      <c r="Q507" s="96"/>
      <c r="R507" s="96"/>
      <c r="S507" s="96"/>
      <c r="T507" s="96"/>
      <c r="U507" s="96"/>
      <c r="V507" s="96"/>
      <c r="W507" s="96"/>
      <c r="X507" s="96"/>
    </row>
    <row r="508" s="73" customFormat="1" spans="1:24">
      <c r="A508" s="96"/>
      <c r="B508" s="96"/>
      <c r="C508" s="96"/>
      <c r="D508" s="96"/>
      <c r="E508" s="96"/>
      <c r="F508" s="96"/>
      <c r="G508" s="96"/>
      <c r="H508" s="96"/>
      <c r="I508" s="96"/>
      <c r="J508" s="96"/>
      <c r="K508" s="96"/>
      <c r="L508" s="96"/>
      <c r="M508" s="96"/>
      <c r="O508" s="96"/>
      <c r="P508" s="96"/>
      <c r="Q508" s="96"/>
      <c r="R508" s="96"/>
      <c r="S508" s="96"/>
      <c r="T508" s="96"/>
      <c r="U508" s="96"/>
      <c r="V508" s="96"/>
      <c r="W508" s="96"/>
      <c r="X508" s="96"/>
    </row>
    <row r="509" s="73" customFormat="1" spans="1:24">
      <c r="A509" s="96"/>
      <c r="B509" s="96"/>
      <c r="C509" s="96"/>
      <c r="D509" s="96"/>
      <c r="E509" s="96"/>
      <c r="F509" s="96"/>
      <c r="G509" s="96"/>
      <c r="H509" s="96"/>
      <c r="I509" s="96"/>
      <c r="J509" s="96"/>
      <c r="K509" s="96"/>
      <c r="L509" s="96"/>
      <c r="M509" s="96"/>
      <c r="O509" s="96"/>
      <c r="P509" s="96"/>
      <c r="Q509" s="96"/>
      <c r="R509" s="96"/>
      <c r="S509" s="96"/>
      <c r="T509" s="96"/>
      <c r="U509" s="96"/>
      <c r="V509" s="96"/>
      <c r="W509" s="96"/>
      <c r="X509" s="96"/>
    </row>
    <row r="510" s="74" customFormat="1" spans="1:24">
      <c r="A510" s="95"/>
      <c r="B510" s="95"/>
      <c r="C510" s="95"/>
      <c r="D510" s="95"/>
      <c r="E510" s="95"/>
      <c r="F510" s="95"/>
      <c r="G510" s="95"/>
      <c r="H510" s="95"/>
      <c r="I510" s="95"/>
      <c r="J510" s="95"/>
      <c r="K510" s="95"/>
      <c r="L510" s="95"/>
      <c r="M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</row>
    <row r="511" s="74" customFormat="1" spans="1:24">
      <c r="A511" s="95"/>
      <c r="B511" s="95"/>
      <c r="C511" s="95"/>
      <c r="D511" s="95"/>
      <c r="E511" s="95"/>
      <c r="F511" s="95"/>
      <c r="G511" s="95"/>
      <c r="H511" s="95"/>
      <c r="I511" s="95"/>
      <c r="J511" s="95"/>
      <c r="K511" s="95"/>
      <c r="L511" s="95"/>
      <c r="M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</row>
    <row r="512" s="74" customFormat="1" spans="1:24">
      <c r="A512" s="95"/>
      <c r="B512" s="95"/>
      <c r="C512" s="95"/>
      <c r="D512" s="95"/>
      <c r="E512" s="95"/>
      <c r="F512" s="95"/>
      <c r="G512" s="95"/>
      <c r="H512" s="95"/>
      <c r="I512" s="95"/>
      <c r="J512" s="95"/>
      <c r="K512" s="95"/>
      <c r="L512" s="95"/>
      <c r="M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</row>
    <row r="513" s="74" customFormat="1" spans="1:24">
      <c r="A513" s="95"/>
      <c r="B513" s="95"/>
      <c r="C513" s="95"/>
      <c r="D513" s="95"/>
      <c r="E513" s="95"/>
      <c r="F513" s="95"/>
      <c r="G513" s="95"/>
      <c r="H513" s="95"/>
      <c r="I513" s="95"/>
      <c r="J513" s="95"/>
      <c r="K513" s="95"/>
      <c r="L513" s="95"/>
      <c r="M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</row>
    <row r="514" s="74" customFormat="1" spans="1:24">
      <c r="A514" s="95"/>
      <c r="B514" s="95"/>
      <c r="C514" s="95"/>
      <c r="D514" s="95"/>
      <c r="E514" s="95"/>
      <c r="F514" s="95"/>
      <c r="G514" s="95"/>
      <c r="H514" s="95"/>
      <c r="I514" s="95"/>
      <c r="J514" s="95"/>
      <c r="K514" s="95"/>
      <c r="L514" s="95"/>
      <c r="M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</row>
    <row r="515" s="75" customFormat="1" spans="1:24">
      <c r="A515" s="95"/>
      <c r="B515" s="95"/>
      <c r="C515" s="95"/>
      <c r="D515" s="95"/>
      <c r="E515" s="95"/>
      <c r="F515" s="95"/>
      <c r="G515" s="95"/>
      <c r="H515" s="95"/>
      <c r="I515" s="95"/>
      <c r="J515" s="95"/>
      <c r="K515" s="95"/>
      <c r="L515" s="95"/>
      <c r="M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</row>
    <row r="516" s="75" customFormat="1" spans="1:24">
      <c r="A516" s="95"/>
      <c r="B516" s="95"/>
      <c r="C516" s="95"/>
      <c r="D516" s="95"/>
      <c r="E516" s="95"/>
      <c r="F516" s="95"/>
      <c r="G516" s="95"/>
      <c r="H516" s="95"/>
      <c r="I516" s="95"/>
      <c r="J516" s="95"/>
      <c r="K516" s="95"/>
      <c r="L516" s="95"/>
      <c r="M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</row>
    <row r="517" s="75" customFormat="1" spans="1:24">
      <c r="A517" s="95"/>
      <c r="B517" s="95"/>
      <c r="C517" s="95"/>
      <c r="D517" s="95"/>
      <c r="E517" s="95"/>
      <c r="F517" s="95"/>
      <c r="G517" s="95"/>
      <c r="H517" s="95"/>
      <c r="I517" s="95"/>
      <c r="J517" s="95"/>
      <c r="K517" s="95"/>
      <c r="L517" s="95"/>
      <c r="M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</row>
    <row r="518" s="75" customFormat="1" spans="1:24">
      <c r="A518" s="95"/>
      <c r="B518" s="95"/>
      <c r="C518" s="95"/>
      <c r="D518" s="95"/>
      <c r="E518" s="95"/>
      <c r="F518" s="95"/>
      <c r="G518" s="95"/>
      <c r="H518" s="95"/>
      <c r="I518" s="95"/>
      <c r="J518" s="95"/>
      <c r="K518" s="95"/>
      <c r="L518" s="95"/>
      <c r="M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</row>
    <row r="519" s="75" customFormat="1" spans="1:24">
      <c r="A519" s="95"/>
      <c r="B519" s="95"/>
      <c r="C519" s="95"/>
      <c r="D519" s="95"/>
      <c r="E519" s="95"/>
      <c r="F519" s="95"/>
      <c r="G519" s="95"/>
      <c r="H519" s="95"/>
      <c r="I519" s="95"/>
      <c r="J519" s="95"/>
      <c r="K519" s="95"/>
      <c r="L519" s="95"/>
      <c r="M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</row>
    <row r="520" s="40" customFormat="1" spans="1:24">
      <c r="A520" s="95"/>
      <c r="B520"/>
      <c r="C520"/>
      <c r="D520" s="95"/>
      <c r="E520"/>
      <c r="F520"/>
      <c r="G520"/>
      <c r="H520"/>
      <c r="I520"/>
      <c r="J520"/>
      <c r="K520"/>
      <c r="L520"/>
      <c r="M520"/>
      <c r="O520" s="95"/>
      <c r="P520" s="95"/>
      <c r="Q520"/>
      <c r="R520"/>
      <c r="S520"/>
      <c r="T520"/>
      <c r="U520"/>
      <c r="V520"/>
      <c r="W520"/>
      <c r="X520"/>
    </row>
    <row r="521" s="40" customFormat="1" spans="1:24">
      <c r="A521" s="95"/>
      <c r="B521"/>
      <c r="C521"/>
      <c r="D521" s="95"/>
      <c r="E521" s="95"/>
      <c r="F521" s="95"/>
      <c r="G521"/>
      <c r="H521"/>
      <c r="I521" s="95"/>
      <c r="J521"/>
      <c r="K521"/>
      <c r="L521"/>
      <c r="M521"/>
      <c r="O521" s="95"/>
      <c r="P521" s="95"/>
      <c r="Q521"/>
      <c r="R521"/>
      <c r="S521"/>
      <c r="T521"/>
      <c r="U521"/>
      <c r="V521"/>
      <c r="W521"/>
      <c r="X521"/>
    </row>
    <row r="522" s="40" customFormat="1" spans="1:24">
      <c r="A522" s="95"/>
      <c r="B522"/>
      <c r="C522"/>
      <c r="D522" s="95"/>
      <c r="E522" s="95"/>
      <c r="F522" s="95"/>
      <c r="G522"/>
      <c r="H522"/>
      <c r="I522" s="95"/>
      <c r="J522"/>
      <c r="K522"/>
      <c r="L522"/>
      <c r="M522"/>
      <c r="O522" s="95"/>
      <c r="P522" s="95"/>
      <c r="Q522"/>
      <c r="R522"/>
      <c r="S522"/>
      <c r="T522"/>
      <c r="U522"/>
      <c r="V522"/>
      <c r="W522"/>
      <c r="X522"/>
    </row>
    <row r="523" s="40" customFormat="1" spans="1:24">
      <c r="A523" s="95"/>
      <c r="B523"/>
      <c r="C523"/>
      <c r="D523" s="95"/>
      <c r="E523" s="95"/>
      <c r="F523" s="95"/>
      <c r="G523"/>
      <c r="H523"/>
      <c r="I523" s="95"/>
      <c r="J523"/>
      <c r="K523"/>
      <c r="L523"/>
      <c r="M523"/>
      <c r="O523" s="95"/>
      <c r="P523" s="95"/>
      <c r="Q523"/>
      <c r="R523"/>
      <c r="S523"/>
      <c r="T523"/>
      <c r="U523"/>
      <c r="V523"/>
      <c r="W523"/>
      <c r="X523"/>
    </row>
    <row r="524" s="40" customFormat="1" spans="1:24">
      <c r="A524" s="95"/>
      <c r="B524"/>
      <c r="C524"/>
      <c r="D524"/>
      <c r="E524"/>
      <c r="F524"/>
      <c r="G524"/>
      <c r="H524"/>
      <c r="I524"/>
      <c r="J524"/>
      <c r="K524"/>
      <c r="L524"/>
      <c r="M524"/>
      <c r="O524" s="95"/>
      <c r="P524" s="95"/>
      <c r="Q524"/>
      <c r="R524"/>
      <c r="S524"/>
      <c r="T524"/>
      <c r="U524"/>
      <c r="V524"/>
      <c r="W524"/>
      <c r="X524"/>
    </row>
    <row r="525" s="76" customFormat="1" spans="1:24">
      <c r="A525"/>
      <c r="B525"/>
      <c r="C525"/>
      <c r="D525" s="95"/>
      <c r="E525"/>
      <c r="F525"/>
      <c r="G525"/>
      <c r="H525"/>
      <c r="I525"/>
      <c r="J525"/>
      <c r="K525"/>
      <c r="L525"/>
      <c r="M525"/>
      <c r="O525" s="95"/>
      <c r="P525" s="95"/>
      <c r="Q525"/>
      <c r="R525"/>
      <c r="S525"/>
      <c r="T525"/>
      <c r="U525"/>
      <c r="V525"/>
      <c r="W525"/>
      <c r="X525"/>
    </row>
    <row r="526" s="76" customFormat="1" spans="1:24">
      <c r="A526"/>
      <c r="B526"/>
      <c r="C526"/>
      <c r="D526" s="95"/>
      <c r="E526" s="95"/>
      <c r="F526" s="95"/>
      <c r="G526"/>
      <c r="H526"/>
      <c r="I526" s="95"/>
      <c r="J526"/>
      <c r="K526"/>
      <c r="L526"/>
      <c r="M526"/>
      <c r="O526" s="95"/>
      <c r="P526" s="95"/>
      <c r="Q526"/>
      <c r="R526"/>
      <c r="S526"/>
      <c r="T526"/>
      <c r="U526"/>
      <c r="V526"/>
      <c r="W526"/>
      <c r="X526"/>
    </row>
    <row r="527" s="76" customFormat="1" spans="1:24">
      <c r="A527"/>
      <c r="B527"/>
      <c r="C527"/>
      <c r="D527" s="95"/>
      <c r="E527" s="95"/>
      <c r="F527" s="95"/>
      <c r="G527"/>
      <c r="H527"/>
      <c r="I527" s="95"/>
      <c r="J527"/>
      <c r="K527"/>
      <c r="L527"/>
      <c r="M527"/>
      <c r="O527" s="95"/>
      <c r="P527" s="95"/>
      <c r="Q527"/>
      <c r="R527"/>
      <c r="S527"/>
      <c r="T527"/>
      <c r="U527"/>
      <c r="V527"/>
      <c r="W527"/>
      <c r="X527"/>
    </row>
    <row r="528" s="76" customFormat="1" spans="1:24">
      <c r="A528"/>
      <c r="B528"/>
      <c r="C528"/>
      <c r="D528" s="95"/>
      <c r="E528" s="95"/>
      <c r="F528" s="95"/>
      <c r="G528"/>
      <c r="H528"/>
      <c r="I528" s="95"/>
      <c r="J528"/>
      <c r="K528"/>
      <c r="L528"/>
      <c r="M528"/>
      <c r="O528" s="95"/>
      <c r="P528" s="95"/>
      <c r="Q528"/>
      <c r="R528"/>
      <c r="S528"/>
      <c r="T528"/>
      <c r="U528"/>
      <c r="V528"/>
      <c r="W528"/>
      <c r="X528"/>
    </row>
    <row r="529" s="76" customFormat="1" spans="1:24">
      <c r="A529"/>
      <c r="B529"/>
      <c r="C529"/>
      <c r="D529"/>
      <c r="E529"/>
      <c r="F529"/>
      <c r="G529"/>
      <c r="H529"/>
      <c r="I529"/>
      <c r="J529"/>
      <c r="K529"/>
      <c r="L529"/>
      <c r="M529"/>
      <c r="O529" s="95"/>
      <c r="P529" s="95"/>
      <c r="Q529"/>
      <c r="R529"/>
      <c r="S529"/>
      <c r="T529"/>
      <c r="U529"/>
      <c r="V529"/>
      <c r="W529"/>
      <c r="X529"/>
    </row>
    <row r="530" s="77" customFormat="1" spans="1:24">
      <c r="A530" s="95"/>
      <c r="B530" s="95"/>
      <c r="C530" s="95"/>
      <c r="D530" s="95"/>
      <c r="E530" s="95"/>
      <c r="F530" s="95"/>
      <c r="G530" s="95"/>
      <c r="H530" s="95"/>
      <c r="I530" s="95"/>
      <c r="J530" s="95"/>
      <c r="K530" s="95"/>
      <c r="L530" s="95"/>
      <c r="M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</row>
    <row r="531" s="77" customFormat="1" spans="1:24">
      <c r="A531" s="95"/>
      <c r="B531" s="95"/>
      <c r="C531" s="95"/>
      <c r="D531" s="95"/>
      <c r="E531" s="95"/>
      <c r="F531" s="95"/>
      <c r="G531" s="95"/>
      <c r="H531" s="95"/>
      <c r="I531" s="95"/>
      <c r="J531" s="95"/>
      <c r="K531" s="95"/>
      <c r="L531" s="95"/>
      <c r="M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</row>
    <row r="532" s="77" customFormat="1" spans="1:24">
      <c r="A532" s="95"/>
      <c r="B532" s="95"/>
      <c r="C532" s="95"/>
      <c r="D532" s="95"/>
      <c r="E532" s="95"/>
      <c r="F532" s="95"/>
      <c r="G532" s="95"/>
      <c r="H532" s="95"/>
      <c r="I532" s="95"/>
      <c r="J532" s="95"/>
      <c r="K532" s="95"/>
      <c r="L532" s="95"/>
      <c r="M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</row>
    <row r="533" s="77" customFormat="1" spans="1:24">
      <c r="A533" s="95"/>
      <c r="B533" s="95"/>
      <c r="C533" s="95"/>
      <c r="D533" s="95"/>
      <c r="E533" s="95"/>
      <c r="F533" s="95"/>
      <c r="G533" s="95"/>
      <c r="H533" s="95"/>
      <c r="I533" s="95"/>
      <c r="J533" s="95"/>
      <c r="K533" s="95"/>
      <c r="L533" s="95"/>
      <c r="M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</row>
    <row r="534" s="77" customFormat="1" spans="1:24">
      <c r="A534" s="95"/>
      <c r="B534" s="95"/>
      <c r="C534" s="95"/>
      <c r="D534" s="95"/>
      <c r="E534" s="95"/>
      <c r="F534" s="95"/>
      <c r="G534" s="95"/>
      <c r="H534" s="95"/>
      <c r="I534" s="95"/>
      <c r="J534" s="95"/>
      <c r="K534" s="95"/>
      <c r="L534" s="95"/>
      <c r="M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</row>
    <row r="535" s="78" customFormat="1" spans="1:24">
      <c r="A535" s="95"/>
      <c r="B535" s="95"/>
      <c r="C535" s="95"/>
      <c r="D535" s="95"/>
      <c r="E535" s="95"/>
      <c r="F535" s="95"/>
      <c r="G535" s="95"/>
      <c r="H535" s="95"/>
      <c r="I535" s="95"/>
      <c r="J535" s="95"/>
      <c r="K535" s="95"/>
      <c r="L535" s="95"/>
      <c r="M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</row>
    <row r="536" s="78" customFormat="1" spans="1:24">
      <c r="A536" s="95"/>
      <c r="B536" s="95"/>
      <c r="C536" s="95"/>
      <c r="D536" s="95"/>
      <c r="E536" s="95"/>
      <c r="F536" s="95"/>
      <c r="G536" s="95"/>
      <c r="H536" s="95"/>
      <c r="I536" s="95"/>
      <c r="J536" s="95"/>
      <c r="K536" s="95"/>
      <c r="L536" s="95"/>
      <c r="M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</row>
    <row r="537" s="78" customFormat="1" spans="1:24">
      <c r="A537" s="95"/>
      <c r="B537" s="95"/>
      <c r="C537" s="95"/>
      <c r="D537" s="95"/>
      <c r="E537" s="95"/>
      <c r="F537" s="95"/>
      <c r="G537" s="95"/>
      <c r="H537" s="95"/>
      <c r="I537" s="95"/>
      <c r="J537" s="95"/>
      <c r="K537" s="95"/>
      <c r="L537" s="95"/>
      <c r="M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</row>
    <row r="538" s="78" customFormat="1" spans="1:24">
      <c r="A538" s="95"/>
      <c r="B538" s="95"/>
      <c r="C538" s="95"/>
      <c r="D538" s="95"/>
      <c r="E538" s="95"/>
      <c r="F538" s="95"/>
      <c r="G538" s="95"/>
      <c r="H538" s="95"/>
      <c r="I538" s="95"/>
      <c r="J538" s="95"/>
      <c r="K538" s="95"/>
      <c r="L538" s="95"/>
      <c r="M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</row>
    <row r="539" s="78" customFormat="1" spans="1:24">
      <c r="A539" s="95"/>
      <c r="B539" s="95"/>
      <c r="C539" s="95"/>
      <c r="D539" s="95"/>
      <c r="E539" s="95"/>
      <c r="F539" s="95"/>
      <c r="G539" s="95"/>
      <c r="H539" s="95"/>
      <c r="I539" s="95"/>
      <c r="J539" s="95"/>
      <c r="K539" s="95"/>
      <c r="L539" s="95"/>
      <c r="M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</row>
    <row r="540" s="79" customFormat="1" spans="1:24">
      <c r="A540" s="96"/>
      <c r="B540" s="96"/>
      <c r="C540" s="96"/>
      <c r="D540" s="96"/>
      <c r="E540" s="96"/>
      <c r="F540" s="96"/>
      <c r="G540" s="96"/>
      <c r="H540" s="96"/>
      <c r="I540" s="96"/>
      <c r="J540" s="96"/>
      <c r="K540" s="96"/>
      <c r="L540" s="96"/>
      <c r="M540" s="96"/>
      <c r="O540" s="96"/>
      <c r="P540" s="96"/>
      <c r="Q540" s="96"/>
      <c r="R540" s="96"/>
      <c r="S540" s="96"/>
      <c r="T540" s="96"/>
      <c r="U540" s="96"/>
      <c r="V540" s="96"/>
      <c r="W540" s="96"/>
      <c r="X540" s="96"/>
    </row>
    <row r="541" s="79" customFormat="1" spans="1:24">
      <c r="A541" s="96"/>
      <c r="B541" s="96"/>
      <c r="C541" s="96"/>
      <c r="D541" s="96"/>
      <c r="E541" s="96"/>
      <c r="F541" s="96"/>
      <c r="G541" s="96"/>
      <c r="H541" s="96"/>
      <c r="I541" s="96"/>
      <c r="J541" s="96"/>
      <c r="K541" s="96"/>
      <c r="L541" s="96"/>
      <c r="M541" s="96"/>
      <c r="O541" s="96"/>
      <c r="P541" s="96"/>
      <c r="Q541" s="96"/>
      <c r="R541" s="96"/>
      <c r="S541" s="96"/>
      <c r="T541" s="96"/>
      <c r="U541" s="96"/>
      <c r="V541" s="96"/>
      <c r="W541" s="96"/>
      <c r="X541" s="96"/>
    </row>
    <row r="542" s="79" customFormat="1" spans="1:24">
      <c r="A542" s="96"/>
      <c r="B542" s="96"/>
      <c r="C542" s="96"/>
      <c r="D542" s="96"/>
      <c r="E542" s="96"/>
      <c r="F542" s="96"/>
      <c r="G542" s="96"/>
      <c r="H542" s="96"/>
      <c r="I542" s="96"/>
      <c r="J542" s="96"/>
      <c r="K542" s="96"/>
      <c r="L542" s="96"/>
      <c r="M542" s="96"/>
      <c r="O542" s="96"/>
      <c r="P542" s="96"/>
      <c r="Q542" s="96"/>
      <c r="R542" s="96"/>
      <c r="S542" s="96"/>
      <c r="T542" s="96"/>
      <c r="U542" s="96"/>
      <c r="V542" s="96"/>
      <c r="W542" s="96"/>
      <c r="X542" s="96"/>
    </row>
    <row r="543" s="79" customFormat="1" spans="1:24">
      <c r="A543" s="96"/>
      <c r="B543" s="96"/>
      <c r="C543" s="96"/>
      <c r="D543" s="96"/>
      <c r="E543" s="96"/>
      <c r="F543" s="96"/>
      <c r="G543" s="96"/>
      <c r="H543" s="96"/>
      <c r="I543" s="96"/>
      <c r="J543" s="96"/>
      <c r="K543" s="96"/>
      <c r="L543" s="96"/>
      <c r="M543" s="96"/>
      <c r="O543" s="96"/>
      <c r="P543" s="96"/>
      <c r="Q543" s="96"/>
      <c r="R543" s="96"/>
      <c r="S543" s="96"/>
      <c r="T543" s="96"/>
      <c r="U543" s="96"/>
      <c r="V543" s="96"/>
      <c r="W543" s="96"/>
      <c r="X543" s="96"/>
    </row>
    <row r="544" s="79" customFormat="1" spans="1:24">
      <c r="A544" s="96"/>
      <c r="B544" s="96"/>
      <c r="C544" s="96"/>
      <c r="D544" s="96"/>
      <c r="E544" s="96"/>
      <c r="F544" s="96"/>
      <c r="G544" s="96"/>
      <c r="H544" s="96"/>
      <c r="I544" s="96"/>
      <c r="J544" s="96"/>
      <c r="K544" s="96"/>
      <c r="L544" s="96"/>
      <c r="M544" s="96"/>
      <c r="O544" s="96"/>
      <c r="P544" s="96"/>
      <c r="Q544" s="96"/>
      <c r="R544" s="96"/>
      <c r="S544" s="96"/>
      <c r="T544" s="96"/>
      <c r="U544" s="96"/>
      <c r="V544" s="96"/>
      <c r="W544" s="96"/>
      <c r="X544" s="96"/>
    </row>
    <row r="545" s="43" customFormat="1" spans="1:24">
      <c r="A545"/>
      <c r="B545"/>
      <c r="C545"/>
      <c r="D545"/>
      <c r="E545"/>
      <c r="F545"/>
      <c r="G545"/>
      <c r="H545"/>
      <c r="I545"/>
      <c r="J545"/>
      <c r="K545"/>
      <c r="L545"/>
      <c r="M545"/>
      <c r="O545"/>
      <c r="P545"/>
      <c r="Q545"/>
      <c r="R545"/>
      <c r="S545"/>
      <c r="T545"/>
      <c r="U545"/>
      <c r="V545"/>
      <c r="W545"/>
      <c r="X545"/>
    </row>
    <row r="546" s="43" customFormat="1" spans="1:24">
      <c r="A546"/>
      <c r="B546"/>
      <c r="C546"/>
      <c r="D546"/>
      <c r="E546"/>
      <c r="F546"/>
      <c r="G546"/>
      <c r="H546"/>
      <c r="I546"/>
      <c r="J546"/>
      <c r="K546"/>
      <c r="L546"/>
      <c r="M546"/>
      <c r="O546"/>
      <c r="P546"/>
      <c r="Q546"/>
      <c r="R546"/>
      <c r="S546"/>
      <c r="T546"/>
      <c r="U546"/>
      <c r="V546"/>
      <c r="W546"/>
      <c r="X546"/>
    </row>
    <row r="547" s="43" customFormat="1" spans="1:24">
      <c r="A547"/>
      <c r="B547"/>
      <c r="C547"/>
      <c r="D547"/>
      <c r="E547"/>
      <c r="F547"/>
      <c r="G547"/>
      <c r="H547"/>
      <c r="I547"/>
      <c r="J547"/>
      <c r="K547"/>
      <c r="L547"/>
      <c r="M547"/>
      <c r="O547"/>
      <c r="P547"/>
      <c r="Q547"/>
      <c r="R547"/>
      <c r="S547"/>
      <c r="T547"/>
      <c r="U547"/>
      <c r="V547"/>
      <c r="W547"/>
      <c r="X547"/>
    </row>
    <row r="548" s="43" customFormat="1" spans="1:24">
      <c r="A548"/>
      <c r="B548"/>
      <c r="C548"/>
      <c r="D548"/>
      <c r="E548"/>
      <c r="F548"/>
      <c r="G548"/>
      <c r="H548"/>
      <c r="I548"/>
      <c r="J548"/>
      <c r="K548"/>
      <c r="L548"/>
      <c r="M548"/>
      <c r="O548"/>
      <c r="P548"/>
      <c r="Q548"/>
      <c r="R548"/>
      <c r="S548"/>
      <c r="T548"/>
      <c r="U548"/>
      <c r="V548"/>
      <c r="W548"/>
      <c r="X548"/>
    </row>
    <row r="549" s="43" customFormat="1" spans="1:24">
      <c r="A549"/>
      <c r="B549"/>
      <c r="C549"/>
      <c r="D549"/>
      <c r="E549"/>
      <c r="F549"/>
      <c r="G549"/>
      <c r="H549"/>
      <c r="I549"/>
      <c r="J549"/>
      <c r="K549"/>
      <c r="L549"/>
      <c r="M549"/>
      <c r="O549" s="95"/>
      <c r="P549" s="95"/>
      <c r="Q549"/>
      <c r="R549"/>
      <c r="S549"/>
      <c r="T549"/>
      <c r="U549"/>
      <c r="V549"/>
      <c r="W549"/>
      <c r="X549"/>
    </row>
    <row r="550" s="40" customFormat="1" spans="1:24">
      <c r="A550"/>
      <c r="B550"/>
      <c r="C550"/>
      <c r="D550"/>
      <c r="E550"/>
      <c r="F550"/>
      <c r="G550"/>
      <c r="H550"/>
      <c r="I550"/>
      <c r="J550"/>
      <c r="K550"/>
      <c r="L550"/>
      <c r="M550"/>
      <c r="O550"/>
      <c r="P550"/>
      <c r="Q550"/>
      <c r="R550"/>
      <c r="S550"/>
      <c r="T550"/>
      <c r="U550"/>
      <c r="V550"/>
      <c r="W550"/>
      <c r="X550"/>
    </row>
    <row r="551" s="40" customFormat="1" spans="1:24">
      <c r="A551"/>
      <c r="B551"/>
      <c r="C551"/>
      <c r="D551"/>
      <c r="E551"/>
      <c r="F551"/>
      <c r="G551"/>
      <c r="H551"/>
      <c r="I551"/>
      <c r="J551"/>
      <c r="K551"/>
      <c r="L551"/>
      <c r="M551"/>
      <c r="O551"/>
      <c r="P551"/>
      <c r="Q551"/>
      <c r="R551"/>
      <c r="S551"/>
      <c r="T551"/>
      <c r="U551"/>
      <c r="V551"/>
      <c r="W551"/>
      <c r="X551"/>
    </row>
    <row r="552" s="40" customFormat="1" spans="1:24">
      <c r="A552"/>
      <c r="B552"/>
      <c r="C552"/>
      <c r="D552"/>
      <c r="E552"/>
      <c r="F552"/>
      <c r="G552"/>
      <c r="H552"/>
      <c r="I552"/>
      <c r="J552"/>
      <c r="K552"/>
      <c r="L552"/>
      <c r="M552"/>
      <c r="O552"/>
      <c r="P552"/>
      <c r="Q552"/>
      <c r="R552"/>
      <c r="S552"/>
      <c r="T552"/>
      <c r="U552"/>
      <c r="V552"/>
      <c r="W552"/>
      <c r="X552"/>
    </row>
    <row r="553" s="40" customFormat="1" spans="1:24">
      <c r="A553"/>
      <c r="B553"/>
      <c r="C553"/>
      <c r="D553"/>
      <c r="E553"/>
      <c r="F553"/>
      <c r="G553"/>
      <c r="H553"/>
      <c r="I553"/>
      <c r="J553"/>
      <c r="K553"/>
      <c r="L553"/>
      <c r="M553"/>
      <c r="O553"/>
      <c r="P553"/>
      <c r="Q553"/>
      <c r="R553"/>
      <c r="S553"/>
      <c r="T553"/>
      <c r="U553"/>
      <c r="V553"/>
      <c r="W553"/>
      <c r="X553"/>
    </row>
    <row r="554" s="40" customFormat="1" spans="1:24">
      <c r="A554"/>
      <c r="B554"/>
      <c r="C554"/>
      <c r="D554"/>
      <c r="E554"/>
      <c r="F554"/>
      <c r="G554"/>
      <c r="H554"/>
      <c r="I554"/>
      <c r="J554"/>
      <c r="K554"/>
      <c r="L554"/>
      <c r="M554"/>
      <c r="O554" s="95"/>
      <c r="P554" s="95"/>
      <c r="Q554"/>
      <c r="R554"/>
      <c r="S554"/>
      <c r="T554"/>
      <c r="U554"/>
      <c r="V554"/>
      <c r="W554"/>
      <c r="X554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8"/>
  <sheetViews>
    <sheetView workbookViewId="0">
      <selection activeCell="L8" sqref="L8"/>
    </sheetView>
  </sheetViews>
  <sheetFormatPr defaultColWidth="9" defaultRowHeight="14.1"/>
  <cols>
    <col min="6" max="6" width="12.6315789473684" customWidth="1"/>
    <col min="7" max="7" width="11.5" customWidth="1"/>
    <col min="8" max="8" width="14.8859649122807" customWidth="1"/>
    <col min="9" max="9" width="12.6315789473684" customWidth="1"/>
    <col min="10" max="10" width="17.1315789473684" customWidth="1"/>
    <col min="11" max="11" width="12.6315789473684" customWidth="1"/>
    <col min="12" max="12" width="14.8859649122807" customWidth="1"/>
    <col min="13" max="13" width="12.6315789473684" customWidth="1"/>
    <col min="14" max="14" width="8.13157894736842" customWidth="1"/>
    <col min="15" max="16" width="11" customWidth="1"/>
    <col min="17" max="17" width="7.13157894736842" customWidth="1"/>
    <col min="18" max="18" width="11" customWidth="1"/>
    <col min="19" max="19" width="7.13157894736842" customWidth="1"/>
    <col min="20" max="20" width="11" customWidth="1"/>
    <col min="21" max="21" width="7.13157894736842" customWidth="1"/>
  </cols>
  <sheetData>
    <row r="1" spans="2:13">
      <c r="B1" t="s">
        <v>3</v>
      </c>
      <c r="C1" t="s">
        <v>1</v>
      </c>
      <c r="D1" t="s">
        <v>2</v>
      </c>
      <c r="E1" t="s">
        <v>4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</row>
    <row r="2" spans="1:16">
      <c r="A2" t="s">
        <v>38</v>
      </c>
      <c r="B2" t="s">
        <v>39</v>
      </c>
      <c r="C2" t="s">
        <v>40</v>
      </c>
      <c r="D2" t="s">
        <v>41</v>
      </c>
      <c r="E2" t="s">
        <v>42</v>
      </c>
      <c r="F2">
        <f>VLOOKUP(D2,$O$2:$P$8,2,FALSE)</f>
        <v>5</v>
      </c>
      <c r="G2">
        <f>VLOOKUP(B2,$O$2:$P$8,2,FALSE)</f>
        <v>4</v>
      </c>
      <c r="H2">
        <f>VLOOKUP(E2,$O$2:$P$8,2,FALSE)</f>
        <v>7</v>
      </c>
      <c r="M2">
        <f>VLOOKUP(C2,$O$2:$P$8,2,FALSE)</f>
        <v>6</v>
      </c>
      <c r="O2" t="s">
        <v>43</v>
      </c>
      <c r="P2">
        <v>1</v>
      </c>
    </row>
    <row r="3" spans="1:16">
      <c r="A3" t="s">
        <v>44</v>
      </c>
      <c r="B3" t="s">
        <v>41</v>
      </c>
      <c r="C3" t="s">
        <v>41</v>
      </c>
      <c r="D3" t="s">
        <v>40</v>
      </c>
      <c r="E3" t="s">
        <v>40</v>
      </c>
      <c r="F3">
        <f t="shared" ref="F3:F34" si="0">VLOOKUP(D3,$O$2:$P$8,2,FALSE)</f>
        <v>6</v>
      </c>
      <c r="G3">
        <f t="shared" ref="G3:G34" si="1">VLOOKUP(B3,$O$2:$P$8,2,FALSE)</f>
        <v>5</v>
      </c>
      <c r="H3">
        <f t="shared" ref="H3:H34" si="2">VLOOKUP(E3,$O$2:$P$8,2,FALSE)</f>
        <v>6</v>
      </c>
      <c r="M3">
        <f t="shared" ref="M3:M34" si="3">VLOOKUP(C3,$O$2:$P$8,2,FALSE)</f>
        <v>5</v>
      </c>
      <c r="O3" t="s">
        <v>45</v>
      </c>
      <c r="P3">
        <v>2</v>
      </c>
    </row>
    <row r="4" spans="1:16">
      <c r="A4" t="s">
        <v>46</v>
      </c>
      <c r="B4" t="s">
        <v>47</v>
      </c>
      <c r="C4" t="s">
        <v>40</v>
      </c>
      <c r="D4" t="s">
        <v>41</v>
      </c>
      <c r="E4" t="s">
        <v>42</v>
      </c>
      <c r="F4">
        <f t="shared" si="0"/>
        <v>5</v>
      </c>
      <c r="G4">
        <f t="shared" si="1"/>
        <v>3</v>
      </c>
      <c r="H4">
        <f t="shared" si="2"/>
        <v>7</v>
      </c>
      <c r="M4">
        <f t="shared" si="3"/>
        <v>6</v>
      </c>
      <c r="O4" t="s">
        <v>47</v>
      </c>
      <c r="P4">
        <v>3</v>
      </c>
    </row>
    <row r="5" spans="1:16">
      <c r="A5" t="s">
        <v>48</v>
      </c>
      <c r="B5" t="s">
        <v>40</v>
      </c>
      <c r="C5" t="s">
        <v>41</v>
      </c>
      <c r="D5" t="s">
        <v>40</v>
      </c>
      <c r="E5" t="s">
        <v>41</v>
      </c>
      <c r="F5">
        <f t="shared" si="0"/>
        <v>6</v>
      </c>
      <c r="G5">
        <f t="shared" si="1"/>
        <v>6</v>
      </c>
      <c r="H5">
        <f t="shared" si="2"/>
        <v>5</v>
      </c>
      <c r="M5">
        <f t="shared" si="3"/>
        <v>5</v>
      </c>
      <c r="O5" t="s">
        <v>39</v>
      </c>
      <c r="P5">
        <v>4</v>
      </c>
    </row>
    <row r="6" spans="1:16">
      <c r="A6" t="s">
        <v>49</v>
      </c>
      <c r="B6" t="s">
        <v>42</v>
      </c>
      <c r="C6" t="s">
        <v>39</v>
      </c>
      <c r="D6" t="s">
        <v>42</v>
      </c>
      <c r="E6" t="s">
        <v>39</v>
      </c>
      <c r="F6">
        <f t="shared" si="0"/>
        <v>7</v>
      </c>
      <c r="G6">
        <f t="shared" si="1"/>
        <v>7</v>
      </c>
      <c r="H6">
        <f t="shared" si="2"/>
        <v>4</v>
      </c>
      <c r="J6" s="64">
        <v>1</v>
      </c>
      <c r="K6" s="64" t="s">
        <v>43</v>
      </c>
      <c r="L6" s="64">
        <v>1</v>
      </c>
      <c r="M6">
        <f t="shared" si="3"/>
        <v>4</v>
      </c>
      <c r="O6" t="s">
        <v>41</v>
      </c>
      <c r="P6">
        <v>5</v>
      </c>
    </row>
    <row r="7" spans="1:16">
      <c r="A7" t="s">
        <v>50</v>
      </c>
      <c r="B7" t="s">
        <v>42</v>
      </c>
      <c r="C7" t="s">
        <v>39</v>
      </c>
      <c r="D7" t="s">
        <v>40</v>
      </c>
      <c r="E7" t="s">
        <v>39</v>
      </c>
      <c r="F7">
        <f t="shared" si="0"/>
        <v>6</v>
      </c>
      <c r="G7">
        <f t="shared" si="1"/>
        <v>7</v>
      </c>
      <c r="H7">
        <f t="shared" si="2"/>
        <v>4</v>
      </c>
      <c r="J7" s="64">
        <v>2</v>
      </c>
      <c r="K7" s="64" t="s">
        <v>45</v>
      </c>
      <c r="L7" s="64">
        <v>2</v>
      </c>
      <c r="M7">
        <f t="shared" si="3"/>
        <v>4</v>
      </c>
      <c r="O7" t="s">
        <v>40</v>
      </c>
      <c r="P7">
        <v>6</v>
      </c>
    </row>
    <row r="8" spans="1:16">
      <c r="A8" t="s">
        <v>51</v>
      </c>
      <c r="B8" t="s">
        <v>42</v>
      </c>
      <c r="C8" t="s">
        <v>39</v>
      </c>
      <c r="D8" t="s">
        <v>42</v>
      </c>
      <c r="E8" t="s">
        <v>39</v>
      </c>
      <c r="F8">
        <f t="shared" si="0"/>
        <v>7</v>
      </c>
      <c r="G8">
        <f t="shared" si="1"/>
        <v>7</v>
      </c>
      <c r="H8">
        <f t="shared" si="2"/>
        <v>4</v>
      </c>
      <c r="J8" s="64">
        <v>3</v>
      </c>
      <c r="K8" s="64" t="s">
        <v>47</v>
      </c>
      <c r="L8" s="64">
        <v>3</v>
      </c>
      <c r="M8">
        <f t="shared" si="3"/>
        <v>4</v>
      </c>
      <c r="O8" t="s">
        <v>42</v>
      </c>
      <c r="P8">
        <v>7</v>
      </c>
    </row>
    <row r="9" spans="1:13">
      <c r="A9" t="s">
        <v>52</v>
      </c>
      <c r="B9" t="s">
        <v>41</v>
      </c>
      <c r="C9" t="s">
        <v>40</v>
      </c>
      <c r="D9" t="s">
        <v>41</v>
      </c>
      <c r="E9" t="s">
        <v>41</v>
      </c>
      <c r="F9">
        <f t="shared" si="0"/>
        <v>5</v>
      </c>
      <c r="G9">
        <f t="shared" si="1"/>
        <v>5</v>
      </c>
      <c r="H9">
        <f t="shared" si="2"/>
        <v>5</v>
      </c>
      <c r="J9" s="64">
        <v>4</v>
      </c>
      <c r="K9" s="64" t="s">
        <v>39</v>
      </c>
      <c r="L9" s="64">
        <v>4</v>
      </c>
      <c r="M9">
        <f t="shared" si="3"/>
        <v>6</v>
      </c>
    </row>
    <row r="10" spans="1:13">
      <c r="A10" t="s">
        <v>53</v>
      </c>
      <c r="B10" t="s">
        <v>40</v>
      </c>
      <c r="C10" t="s">
        <v>41</v>
      </c>
      <c r="D10" t="s">
        <v>41</v>
      </c>
      <c r="E10" t="s">
        <v>40</v>
      </c>
      <c r="F10">
        <f t="shared" si="0"/>
        <v>5</v>
      </c>
      <c r="G10">
        <f t="shared" si="1"/>
        <v>6</v>
      </c>
      <c r="H10">
        <f t="shared" si="2"/>
        <v>6</v>
      </c>
      <c r="J10" s="64">
        <v>5</v>
      </c>
      <c r="K10" s="64" t="s">
        <v>41</v>
      </c>
      <c r="L10" s="64">
        <v>5</v>
      </c>
      <c r="M10">
        <f t="shared" si="3"/>
        <v>5</v>
      </c>
    </row>
    <row r="11" spans="1:13">
      <c r="A11" t="s">
        <v>54</v>
      </c>
      <c r="B11" t="s">
        <v>42</v>
      </c>
      <c r="C11" t="s">
        <v>39</v>
      </c>
      <c r="D11" t="s">
        <v>42</v>
      </c>
      <c r="E11" t="s">
        <v>39</v>
      </c>
      <c r="F11">
        <f t="shared" si="0"/>
        <v>7</v>
      </c>
      <c r="G11">
        <f t="shared" si="1"/>
        <v>7</v>
      </c>
      <c r="H11">
        <f t="shared" si="2"/>
        <v>4</v>
      </c>
      <c r="J11" s="64">
        <v>6</v>
      </c>
      <c r="K11" s="64" t="s">
        <v>40</v>
      </c>
      <c r="L11" s="64">
        <v>6</v>
      </c>
      <c r="M11">
        <f t="shared" si="3"/>
        <v>4</v>
      </c>
    </row>
    <row r="12" spans="1:13">
      <c r="A12" t="s">
        <v>55</v>
      </c>
      <c r="B12" t="s">
        <v>41</v>
      </c>
      <c r="C12" t="s">
        <v>40</v>
      </c>
      <c r="D12" t="s">
        <v>41</v>
      </c>
      <c r="E12" t="s">
        <v>40</v>
      </c>
      <c r="F12">
        <f t="shared" si="0"/>
        <v>5</v>
      </c>
      <c r="G12">
        <f t="shared" si="1"/>
        <v>5</v>
      </c>
      <c r="H12">
        <f t="shared" si="2"/>
        <v>6</v>
      </c>
      <c r="J12" s="64">
        <v>7</v>
      </c>
      <c r="K12" s="64" t="s">
        <v>42</v>
      </c>
      <c r="L12" s="64">
        <v>7</v>
      </c>
      <c r="M12">
        <f t="shared" si="3"/>
        <v>6</v>
      </c>
    </row>
    <row r="13" spans="1:13">
      <c r="A13" t="s">
        <v>56</v>
      </c>
      <c r="B13" t="s">
        <v>40</v>
      </c>
      <c r="C13" t="s">
        <v>41</v>
      </c>
      <c r="D13" t="s">
        <v>41</v>
      </c>
      <c r="E13" t="s">
        <v>40</v>
      </c>
      <c r="F13">
        <f t="shared" si="0"/>
        <v>5</v>
      </c>
      <c r="G13">
        <f t="shared" si="1"/>
        <v>6</v>
      </c>
      <c r="H13">
        <f t="shared" si="2"/>
        <v>6</v>
      </c>
      <c r="J13" s="64">
        <v>8</v>
      </c>
      <c r="K13" s="64" t="s">
        <v>57</v>
      </c>
      <c r="L13" s="64">
        <v>8</v>
      </c>
      <c r="M13">
        <f t="shared" si="3"/>
        <v>5</v>
      </c>
    </row>
    <row r="14" spans="1:13">
      <c r="A14" t="s">
        <v>58</v>
      </c>
      <c r="B14" t="s">
        <v>40</v>
      </c>
      <c r="C14" t="s">
        <v>41</v>
      </c>
      <c r="D14" t="s">
        <v>39</v>
      </c>
      <c r="E14" t="s">
        <v>40</v>
      </c>
      <c r="F14">
        <f t="shared" si="0"/>
        <v>4</v>
      </c>
      <c r="G14">
        <f t="shared" si="1"/>
        <v>6</v>
      </c>
      <c r="H14">
        <f t="shared" si="2"/>
        <v>6</v>
      </c>
      <c r="M14">
        <f t="shared" si="3"/>
        <v>5</v>
      </c>
    </row>
    <row r="15" spans="1:21">
      <c r="A15" t="s">
        <v>59</v>
      </c>
      <c r="B15" t="s">
        <v>42</v>
      </c>
      <c r="C15" t="s">
        <v>39</v>
      </c>
      <c r="D15" t="s">
        <v>42</v>
      </c>
      <c r="E15" t="s">
        <v>39</v>
      </c>
      <c r="F15">
        <f t="shared" si="0"/>
        <v>7</v>
      </c>
      <c r="G15">
        <f t="shared" si="1"/>
        <v>7</v>
      </c>
      <c r="H15">
        <f t="shared" si="2"/>
        <v>4</v>
      </c>
      <c r="M15">
        <f t="shared" si="3"/>
        <v>4</v>
      </c>
      <c r="N15" s="87"/>
      <c r="O15" s="87"/>
      <c r="P15" s="87"/>
      <c r="Q15" s="87"/>
      <c r="R15" s="87"/>
      <c r="S15" s="87"/>
      <c r="T15" s="87"/>
      <c r="U15" s="87"/>
    </row>
    <row r="16" spans="1:21">
      <c r="A16" t="s">
        <v>60</v>
      </c>
      <c r="B16" t="s">
        <v>39</v>
      </c>
      <c r="C16" t="s">
        <v>40</v>
      </c>
      <c r="D16" t="s">
        <v>39</v>
      </c>
      <c r="E16" t="s">
        <v>42</v>
      </c>
      <c r="F16">
        <f t="shared" si="0"/>
        <v>4</v>
      </c>
      <c r="G16">
        <f t="shared" si="1"/>
        <v>4</v>
      </c>
      <c r="H16">
        <f t="shared" si="2"/>
        <v>7</v>
      </c>
      <c r="M16">
        <f t="shared" si="3"/>
        <v>6</v>
      </c>
      <c r="N16" s="87"/>
      <c r="O16" s="87"/>
      <c r="P16" s="87"/>
      <c r="Q16" s="87"/>
      <c r="R16" s="87"/>
      <c r="S16" s="87"/>
      <c r="T16" s="87"/>
      <c r="U16" s="87"/>
    </row>
    <row r="17" ht="15.3" spans="1:21">
      <c r="A17" t="s">
        <v>61</v>
      </c>
      <c r="B17" t="s">
        <v>42</v>
      </c>
      <c r="C17" t="s">
        <v>39</v>
      </c>
      <c r="D17" t="s">
        <v>42</v>
      </c>
      <c r="E17" t="s">
        <v>39</v>
      </c>
      <c r="F17">
        <f t="shared" si="0"/>
        <v>7</v>
      </c>
      <c r="G17">
        <f t="shared" si="1"/>
        <v>7</v>
      </c>
      <c r="H17">
        <f t="shared" si="2"/>
        <v>4</v>
      </c>
      <c r="I17" s="81" t="s">
        <v>2</v>
      </c>
      <c r="J17" s="81" t="s">
        <v>3</v>
      </c>
      <c r="K17" s="81" t="s">
        <v>4</v>
      </c>
      <c r="L17" s="81" t="s">
        <v>1</v>
      </c>
      <c r="N17" s="87"/>
      <c r="O17" s="87"/>
      <c r="P17" s="87"/>
      <c r="Q17" s="87"/>
      <c r="R17" s="87"/>
      <c r="S17" s="87"/>
      <c r="T17" s="87"/>
      <c r="U17" s="87"/>
    </row>
    <row r="18" spans="1:21">
      <c r="A18" t="s">
        <v>62</v>
      </c>
      <c r="B18" t="s">
        <v>42</v>
      </c>
      <c r="C18" t="s">
        <v>39</v>
      </c>
      <c r="D18" t="s">
        <v>42</v>
      </c>
      <c r="E18" t="s">
        <v>39</v>
      </c>
      <c r="F18">
        <f t="shared" si="0"/>
        <v>7</v>
      </c>
      <c r="G18">
        <f t="shared" si="1"/>
        <v>7</v>
      </c>
      <c r="H18">
        <f t="shared" si="2"/>
        <v>4</v>
      </c>
      <c r="I18" t="s">
        <v>40</v>
      </c>
      <c r="J18" t="s">
        <v>42</v>
      </c>
      <c r="K18" t="s">
        <v>39</v>
      </c>
      <c r="L18" t="s">
        <v>41</v>
      </c>
      <c r="N18" s="87"/>
      <c r="O18" s="87"/>
      <c r="P18" s="87"/>
      <c r="Q18" s="87"/>
      <c r="R18" s="87"/>
      <c r="S18" s="87"/>
      <c r="T18" s="87"/>
      <c r="U18" s="87"/>
    </row>
    <row r="19" spans="1:12">
      <c r="A19" t="s">
        <v>63</v>
      </c>
      <c r="B19" t="s">
        <v>42</v>
      </c>
      <c r="C19" t="s">
        <v>41</v>
      </c>
      <c r="D19" t="s">
        <v>40</v>
      </c>
      <c r="E19" t="s">
        <v>39</v>
      </c>
      <c r="F19">
        <f t="shared" si="0"/>
        <v>6</v>
      </c>
      <c r="G19">
        <f t="shared" si="1"/>
        <v>7</v>
      </c>
      <c r="H19">
        <f t="shared" si="2"/>
        <v>4</v>
      </c>
      <c r="I19">
        <v>6</v>
      </c>
      <c r="J19">
        <v>7</v>
      </c>
      <c r="K19">
        <v>4</v>
      </c>
      <c r="L19">
        <v>5</v>
      </c>
    </row>
    <row r="20" spans="1:13">
      <c r="A20" t="s">
        <v>64</v>
      </c>
      <c r="B20" t="s">
        <v>39</v>
      </c>
      <c r="C20" t="s">
        <v>40</v>
      </c>
      <c r="D20" t="s">
        <v>41</v>
      </c>
      <c r="E20" t="s">
        <v>42</v>
      </c>
      <c r="F20">
        <f t="shared" si="0"/>
        <v>5</v>
      </c>
      <c r="G20">
        <f t="shared" si="1"/>
        <v>4</v>
      </c>
      <c r="H20">
        <f t="shared" si="2"/>
        <v>7</v>
      </c>
      <c r="M20">
        <f t="shared" si="3"/>
        <v>6</v>
      </c>
    </row>
    <row r="21" spans="1:13">
      <c r="A21" t="s">
        <v>65</v>
      </c>
      <c r="B21" t="s">
        <v>40</v>
      </c>
      <c r="C21" t="s">
        <v>41</v>
      </c>
      <c r="D21" t="s">
        <v>41</v>
      </c>
      <c r="E21" t="s">
        <v>39</v>
      </c>
      <c r="F21">
        <f t="shared" si="0"/>
        <v>5</v>
      </c>
      <c r="G21">
        <f t="shared" si="1"/>
        <v>6</v>
      </c>
      <c r="H21">
        <f t="shared" si="2"/>
        <v>4</v>
      </c>
      <c r="M21">
        <f t="shared" si="3"/>
        <v>5</v>
      </c>
    </row>
    <row r="22" spans="1:13">
      <c r="A22" t="s">
        <v>66</v>
      </c>
      <c r="B22" t="s">
        <v>41</v>
      </c>
      <c r="C22" t="s">
        <v>40</v>
      </c>
      <c r="D22" t="s">
        <v>40</v>
      </c>
      <c r="E22" t="s">
        <v>41</v>
      </c>
      <c r="F22">
        <f t="shared" si="0"/>
        <v>6</v>
      </c>
      <c r="G22">
        <f t="shared" si="1"/>
        <v>5</v>
      </c>
      <c r="H22">
        <f t="shared" si="2"/>
        <v>5</v>
      </c>
      <c r="M22">
        <f t="shared" si="3"/>
        <v>6</v>
      </c>
    </row>
    <row r="23" spans="1:13">
      <c r="A23" t="s">
        <v>67</v>
      </c>
      <c r="B23" t="s">
        <v>39</v>
      </c>
      <c r="C23" t="s">
        <v>47</v>
      </c>
      <c r="D23" t="s">
        <v>39</v>
      </c>
      <c r="E23" t="s">
        <v>39</v>
      </c>
      <c r="F23">
        <f t="shared" si="0"/>
        <v>4</v>
      </c>
      <c r="G23">
        <f t="shared" si="1"/>
        <v>4</v>
      </c>
      <c r="H23">
        <f t="shared" si="2"/>
        <v>4</v>
      </c>
      <c r="I23" t="s">
        <v>41</v>
      </c>
      <c r="J23" t="s">
        <v>47</v>
      </c>
      <c r="K23" t="s">
        <v>39</v>
      </c>
      <c r="L23" t="s">
        <v>47</v>
      </c>
      <c r="M23">
        <f t="shared" si="3"/>
        <v>3</v>
      </c>
    </row>
    <row r="24" ht="15.3" spans="1:13">
      <c r="A24" t="s">
        <v>68</v>
      </c>
      <c r="B24" t="s">
        <v>42</v>
      </c>
      <c r="C24" t="s">
        <v>39</v>
      </c>
      <c r="D24" t="s">
        <v>42</v>
      </c>
      <c r="E24" t="s">
        <v>39</v>
      </c>
      <c r="F24">
        <f t="shared" si="0"/>
        <v>7</v>
      </c>
      <c r="G24">
        <f t="shared" si="1"/>
        <v>7</v>
      </c>
      <c r="H24">
        <f t="shared" si="2"/>
        <v>4</v>
      </c>
      <c r="I24" s="81" t="s">
        <v>3</v>
      </c>
      <c r="J24" s="81" t="s">
        <v>1</v>
      </c>
      <c r="K24" s="81" t="s">
        <v>2</v>
      </c>
      <c r="L24" s="81" t="s">
        <v>4</v>
      </c>
      <c r="M24">
        <f t="shared" si="3"/>
        <v>4</v>
      </c>
    </row>
    <row r="25" spans="1:13">
      <c r="A25" t="s">
        <v>69</v>
      </c>
      <c r="B25" t="s">
        <v>41</v>
      </c>
      <c r="C25" t="s">
        <v>40</v>
      </c>
      <c r="D25" t="s">
        <v>39</v>
      </c>
      <c r="E25" t="s">
        <v>41</v>
      </c>
      <c r="F25">
        <f t="shared" si="0"/>
        <v>4</v>
      </c>
      <c r="G25">
        <f t="shared" si="1"/>
        <v>5</v>
      </c>
      <c r="H25">
        <f t="shared" si="2"/>
        <v>5</v>
      </c>
      <c r="M25">
        <f t="shared" si="3"/>
        <v>6</v>
      </c>
    </row>
    <row r="26" spans="1:13">
      <c r="A26" t="s">
        <v>70</v>
      </c>
      <c r="B26" t="s">
        <v>40</v>
      </c>
      <c r="C26" t="s">
        <v>41</v>
      </c>
      <c r="D26" t="s">
        <v>40</v>
      </c>
      <c r="E26" t="s">
        <v>41</v>
      </c>
      <c r="F26">
        <f t="shared" si="0"/>
        <v>6</v>
      </c>
      <c r="G26">
        <f t="shared" si="1"/>
        <v>6</v>
      </c>
      <c r="H26">
        <f t="shared" si="2"/>
        <v>5</v>
      </c>
      <c r="I26" t="s">
        <v>47</v>
      </c>
      <c r="J26" t="s">
        <v>39</v>
      </c>
      <c r="K26" t="s">
        <v>47</v>
      </c>
      <c r="L26" t="s">
        <v>39</v>
      </c>
      <c r="M26">
        <f t="shared" si="3"/>
        <v>5</v>
      </c>
    </row>
    <row r="27" spans="1:13">
      <c r="A27" t="s">
        <v>71</v>
      </c>
      <c r="B27" t="s">
        <v>40</v>
      </c>
      <c r="C27" t="s">
        <v>41</v>
      </c>
      <c r="D27" t="s">
        <v>41</v>
      </c>
      <c r="E27" t="s">
        <v>40</v>
      </c>
      <c r="F27">
        <f t="shared" si="0"/>
        <v>5</v>
      </c>
      <c r="G27">
        <f t="shared" si="1"/>
        <v>6</v>
      </c>
      <c r="H27">
        <f t="shared" si="2"/>
        <v>6</v>
      </c>
      <c r="I27" t="s">
        <v>47</v>
      </c>
      <c r="J27" t="s">
        <v>39</v>
      </c>
      <c r="K27" t="s">
        <v>47</v>
      </c>
      <c r="L27" t="s">
        <v>39</v>
      </c>
      <c r="M27">
        <f t="shared" si="3"/>
        <v>5</v>
      </c>
    </row>
    <row r="28" spans="1:13">
      <c r="A28" t="s">
        <v>72</v>
      </c>
      <c r="B28" t="s">
        <v>39</v>
      </c>
      <c r="C28" t="s">
        <v>47</v>
      </c>
      <c r="D28" t="s">
        <v>39</v>
      </c>
      <c r="E28" t="s">
        <v>41</v>
      </c>
      <c r="F28">
        <f t="shared" si="0"/>
        <v>4</v>
      </c>
      <c r="G28">
        <f t="shared" si="1"/>
        <v>4</v>
      </c>
      <c r="H28">
        <f t="shared" si="2"/>
        <v>5</v>
      </c>
      <c r="I28" t="s">
        <v>47</v>
      </c>
      <c r="J28" t="s">
        <v>39</v>
      </c>
      <c r="K28" t="s">
        <v>47</v>
      </c>
      <c r="L28" t="s">
        <v>39</v>
      </c>
      <c r="M28">
        <f t="shared" si="3"/>
        <v>3</v>
      </c>
    </row>
    <row r="29" spans="1:13">
      <c r="A29" t="s">
        <v>73</v>
      </c>
      <c r="B29" t="s">
        <v>41</v>
      </c>
      <c r="C29" t="s">
        <v>47</v>
      </c>
      <c r="D29" t="s">
        <v>41</v>
      </c>
      <c r="E29" t="s">
        <v>47</v>
      </c>
      <c r="F29">
        <f t="shared" si="0"/>
        <v>5</v>
      </c>
      <c r="G29">
        <f t="shared" si="1"/>
        <v>5</v>
      </c>
      <c r="H29">
        <f t="shared" si="2"/>
        <v>3</v>
      </c>
      <c r="I29" t="s">
        <v>47</v>
      </c>
      <c r="J29" t="s">
        <v>39</v>
      </c>
      <c r="K29" t="s">
        <v>47</v>
      </c>
      <c r="L29" t="s">
        <v>39</v>
      </c>
      <c r="M29">
        <f t="shared" si="3"/>
        <v>3</v>
      </c>
    </row>
    <row r="30" spans="1:13">
      <c r="A30" t="s">
        <v>74</v>
      </c>
      <c r="B30" t="s">
        <v>41</v>
      </c>
      <c r="C30" t="s">
        <v>47</v>
      </c>
      <c r="D30" t="s">
        <v>47</v>
      </c>
      <c r="E30" t="s">
        <v>47</v>
      </c>
      <c r="F30">
        <f t="shared" si="0"/>
        <v>3</v>
      </c>
      <c r="G30">
        <f t="shared" si="1"/>
        <v>5</v>
      </c>
      <c r="H30">
        <f t="shared" si="2"/>
        <v>3</v>
      </c>
      <c r="M30">
        <f t="shared" si="3"/>
        <v>3</v>
      </c>
    </row>
    <row r="31" spans="1:13">
      <c r="A31" t="s">
        <v>75</v>
      </c>
      <c r="B31" t="s">
        <v>47</v>
      </c>
      <c r="C31" t="s">
        <v>39</v>
      </c>
      <c r="D31" t="s">
        <v>47</v>
      </c>
      <c r="E31" t="s">
        <v>41</v>
      </c>
      <c r="F31">
        <f t="shared" si="0"/>
        <v>3</v>
      </c>
      <c r="G31">
        <f t="shared" si="1"/>
        <v>3</v>
      </c>
      <c r="H31">
        <f t="shared" si="2"/>
        <v>5</v>
      </c>
      <c r="M31">
        <f t="shared" si="3"/>
        <v>4</v>
      </c>
    </row>
    <row r="32" spans="1:13">
      <c r="A32" t="s">
        <v>76</v>
      </c>
      <c r="B32" t="s">
        <v>39</v>
      </c>
      <c r="C32" t="s">
        <v>39</v>
      </c>
      <c r="D32" t="s">
        <v>47</v>
      </c>
      <c r="E32" t="s">
        <v>39</v>
      </c>
      <c r="F32">
        <f t="shared" si="0"/>
        <v>3</v>
      </c>
      <c r="G32">
        <f t="shared" si="1"/>
        <v>4</v>
      </c>
      <c r="H32">
        <f t="shared" si="2"/>
        <v>4</v>
      </c>
      <c r="M32">
        <f t="shared" si="3"/>
        <v>4</v>
      </c>
    </row>
    <row r="33" spans="1:13">
      <c r="A33" t="s">
        <v>77</v>
      </c>
      <c r="B33" t="s">
        <v>47</v>
      </c>
      <c r="C33" t="s">
        <v>39</v>
      </c>
      <c r="D33" t="s">
        <v>47</v>
      </c>
      <c r="E33" t="s">
        <v>39</v>
      </c>
      <c r="F33">
        <f t="shared" si="0"/>
        <v>3</v>
      </c>
      <c r="G33">
        <f t="shared" si="1"/>
        <v>3</v>
      </c>
      <c r="H33">
        <f t="shared" si="2"/>
        <v>4</v>
      </c>
      <c r="I33">
        <v>3</v>
      </c>
      <c r="J33">
        <v>3</v>
      </c>
      <c r="K33">
        <v>4</v>
      </c>
      <c r="L33">
        <v>4</v>
      </c>
      <c r="M33">
        <f t="shared" si="3"/>
        <v>4</v>
      </c>
    </row>
    <row r="34" spans="1:13">
      <c r="A34" t="s">
        <v>78</v>
      </c>
      <c r="B34" t="s">
        <v>41</v>
      </c>
      <c r="C34" t="s">
        <v>47</v>
      </c>
      <c r="D34" t="s">
        <v>41</v>
      </c>
      <c r="E34" t="s">
        <v>47</v>
      </c>
      <c r="F34">
        <f t="shared" si="0"/>
        <v>5</v>
      </c>
      <c r="G34">
        <f t="shared" si="1"/>
        <v>5</v>
      </c>
      <c r="H34">
        <f t="shared" si="2"/>
        <v>3</v>
      </c>
      <c r="M34">
        <f t="shared" si="3"/>
        <v>3</v>
      </c>
    </row>
    <row r="35" spans="1:13">
      <c r="A35" t="s">
        <v>79</v>
      </c>
      <c r="B35" t="s">
        <v>41</v>
      </c>
      <c r="C35" t="s">
        <v>47</v>
      </c>
      <c r="D35" t="s">
        <v>39</v>
      </c>
      <c r="E35" t="s">
        <v>39</v>
      </c>
      <c r="F35">
        <f t="shared" ref="F35:F53" si="4">VLOOKUP(D35,$O$2:$P$8,2,FALSE)</f>
        <v>4</v>
      </c>
      <c r="G35">
        <f t="shared" ref="G35:G53" si="5">VLOOKUP(B35,$O$2:$P$8,2,FALSE)</f>
        <v>5</v>
      </c>
      <c r="H35">
        <f t="shared" ref="H35:H53" si="6">VLOOKUP(E35,$O$2:$P$8,2,FALSE)</f>
        <v>4</v>
      </c>
      <c r="M35">
        <f t="shared" ref="M35:M53" si="7">VLOOKUP(C35,$O$2:$P$8,2,FALSE)</f>
        <v>3</v>
      </c>
    </row>
    <row r="36" spans="1:13">
      <c r="A36" t="s">
        <v>80</v>
      </c>
      <c r="B36" t="s">
        <v>47</v>
      </c>
      <c r="C36" t="s">
        <v>39</v>
      </c>
      <c r="D36" t="s">
        <v>47</v>
      </c>
      <c r="E36" t="s">
        <v>39</v>
      </c>
      <c r="F36">
        <f t="shared" si="4"/>
        <v>3</v>
      </c>
      <c r="G36">
        <f t="shared" si="5"/>
        <v>3</v>
      </c>
      <c r="H36">
        <f t="shared" si="6"/>
        <v>4</v>
      </c>
      <c r="M36">
        <f t="shared" si="7"/>
        <v>4</v>
      </c>
    </row>
    <row r="37" spans="1:13">
      <c r="A37" t="s">
        <v>81</v>
      </c>
      <c r="B37" t="s">
        <v>39</v>
      </c>
      <c r="C37" t="s">
        <v>47</v>
      </c>
      <c r="D37" t="s">
        <v>39</v>
      </c>
      <c r="E37" t="s">
        <v>39</v>
      </c>
      <c r="F37">
        <f t="shared" si="4"/>
        <v>4</v>
      </c>
      <c r="G37">
        <f t="shared" si="5"/>
        <v>4</v>
      </c>
      <c r="H37">
        <f t="shared" si="6"/>
        <v>4</v>
      </c>
      <c r="M37">
        <f t="shared" si="7"/>
        <v>3</v>
      </c>
    </row>
    <row r="38" spans="1:13">
      <c r="A38" t="s">
        <v>82</v>
      </c>
      <c r="B38" t="s">
        <v>40</v>
      </c>
      <c r="C38" t="s">
        <v>40</v>
      </c>
      <c r="D38" t="s">
        <v>40</v>
      </c>
      <c r="E38" t="s">
        <v>42</v>
      </c>
      <c r="F38">
        <f t="shared" si="4"/>
        <v>6</v>
      </c>
      <c r="G38">
        <f t="shared" si="5"/>
        <v>6</v>
      </c>
      <c r="H38">
        <f t="shared" si="6"/>
        <v>7</v>
      </c>
      <c r="M38">
        <f t="shared" si="7"/>
        <v>6</v>
      </c>
    </row>
    <row r="39" spans="1:13">
      <c r="A39" t="s">
        <v>83</v>
      </c>
      <c r="B39" t="s">
        <v>41</v>
      </c>
      <c r="C39" t="s">
        <v>40</v>
      </c>
      <c r="D39" t="s">
        <v>40</v>
      </c>
      <c r="E39" t="s">
        <v>42</v>
      </c>
      <c r="F39">
        <f t="shared" si="4"/>
        <v>6</v>
      </c>
      <c r="G39">
        <f t="shared" si="5"/>
        <v>5</v>
      </c>
      <c r="H39">
        <f t="shared" si="6"/>
        <v>7</v>
      </c>
      <c r="M39">
        <f t="shared" si="7"/>
        <v>6</v>
      </c>
    </row>
    <row r="40" spans="1:13">
      <c r="A40" t="s">
        <v>84</v>
      </c>
      <c r="B40" t="s">
        <v>42</v>
      </c>
      <c r="C40" t="s">
        <v>41</v>
      </c>
      <c r="D40" t="s">
        <v>42</v>
      </c>
      <c r="E40" t="s">
        <v>40</v>
      </c>
      <c r="F40">
        <f t="shared" si="4"/>
        <v>7</v>
      </c>
      <c r="G40">
        <f t="shared" si="5"/>
        <v>7</v>
      </c>
      <c r="H40">
        <f t="shared" si="6"/>
        <v>6</v>
      </c>
      <c r="M40">
        <f t="shared" si="7"/>
        <v>5</v>
      </c>
    </row>
    <row r="41" spans="1:13">
      <c r="A41" t="s">
        <v>85</v>
      </c>
      <c r="B41" t="s">
        <v>42</v>
      </c>
      <c r="C41" t="s">
        <v>39</v>
      </c>
      <c r="D41" t="s">
        <v>42</v>
      </c>
      <c r="E41" t="s">
        <v>40</v>
      </c>
      <c r="F41">
        <f t="shared" si="4"/>
        <v>7</v>
      </c>
      <c r="G41">
        <f t="shared" si="5"/>
        <v>7</v>
      </c>
      <c r="H41">
        <f t="shared" si="6"/>
        <v>6</v>
      </c>
      <c r="M41">
        <f t="shared" si="7"/>
        <v>4</v>
      </c>
    </row>
    <row r="42" spans="1:13">
      <c r="A42" t="s">
        <v>86</v>
      </c>
      <c r="B42" t="s">
        <v>40</v>
      </c>
      <c r="C42" t="s">
        <v>40</v>
      </c>
      <c r="D42" t="s">
        <v>40</v>
      </c>
      <c r="E42" t="s">
        <v>42</v>
      </c>
      <c r="F42">
        <f t="shared" si="4"/>
        <v>6</v>
      </c>
      <c r="G42">
        <f t="shared" si="5"/>
        <v>6</v>
      </c>
      <c r="H42">
        <f t="shared" si="6"/>
        <v>7</v>
      </c>
      <c r="M42">
        <f t="shared" si="7"/>
        <v>6</v>
      </c>
    </row>
    <row r="43" spans="1:13">
      <c r="A43" t="s">
        <v>87</v>
      </c>
      <c r="B43" t="s">
        <v>41</v>
      </c>
      <c r="C43" t="s">
        <v>40</v>
      </c>
      <c r="D43" t="s">
        <v>40</v>
      </c>
      <c r="E43" t="s">
        <v>42</v>
      </c>
      <c r="F43">
        <f t="shared" si="4"/>
        <v>6</v>
      </c>
      <c r="G43">
        <f t="shared" si="5"/>
        <v>5</v>
      </c>
      <c r="H43">
        <f t="shared" si="6"/>
        <v>7</v>
      </c>
      <c r="M43">
        <f t="shared" si="7"/>
        <v>6</v>
      </c>
    </row>
    <row r="44" spans="1:21">
      <c r="A44" t="s">
        <v>88</v>
      </c>
      <c r="B44" t="s">
        <v>42</v>
      </c>
      <c r="C44" t="s">
        <v>40</v>
      </c>
      <c r="D44" t="s">
        <v>40</v>
      </c>
      <c r="E44" t="s">
        <v>42</v>
      </c>
      <c r="F44">
        <f t="shared" si="4"/>
        <v>6</v>
      </c>
      <c r="G44">
        <f t="shared" si="5"/>
        <v>7</v>
      </c>
      <c r="H44">
        <f t="shared" si="6"/>
        <v>7</v>
      </c>
      <c r="M44">
        <f t="shared" si="7"/>
        <v>6</v>
      </c>
      <c r="N44" s="87"/>
      <c r="O44" s="87"/>
      <c r="P44" s="87"/>
      <c r="Q44" s="87"/>
      <c r="R44" s="87"/>
      <c r="S44" s="87"/>
      <c r="T44" s="87"/>
      <c r="U44" s="87"/>
    </row>
    <row r="45" spans="1:13">
      <c r="A45" t="s">
        <v>89</v>
      </c>
      <c r="B45" t="s">
        <v>41</v>
      </c>
      <c r="C45" t="s">
        <v>40</v>
      </c>
      <c r="D45" t="s">
        <v>40</v>
      </c>
      <c r="E45" t="s">
        <v>42</v>
      </c>
      <c r="F45">
        <f t="shared" si="4"/>
        <v>6</v>
      </c>
      <c r="G45">
        <f t="shared" si="5"/>
        <v>5</v>
      </c>
      <c r="H45">
        <f t="shared" si="6"/>
        <v>7</v>
      </c>
      <c r="M45">
        <f t="shared" si="7"/>
        <v>6</v>
      </c>
    </row>
    <row r="46" spans="1:13">
      <c r="A46" t="s">
        <v>90</v>
      </c>
      <c r="B46" t="s">
        <v>40</v>
      </c>
      <c r="C46" t="s">
        <v>40</v>
      </c>
      <c r="D46" t="s">
        <v>40</v>
      </c>
      <c r="E46" t="s">
        <v>42</v>
      </c>
      <c r="F46">
        <f t="shared" si="4"/>
        <v>6</v>
      </c>
      <c r="G46">
        <f t="shared" si="5"/>
        <v>6</v>
      </c>
      <c r="H46">
        <f t="shared" si="6"/>
        <v>7</v>
      </c>
      <c r="M46">
        <f t="shared" si="7"/>
        <v>6</v>
      </c>
    </row>
    <row r="47" spans="1:13">
      <c r="A47" t="s">
        <v>91</v>
      </c>
      <c r="B47" t="s">
        <v>41</v>
      </c>
      <c r="C47" t="s">
        <v>40</v>
      </c>
      <c r="D47" t="s">
        <v>40</v>
      </c>
      <c r="E47" t="s">
        <v>42</v>
      </c>
      <c r="F47">
        <f t="shared" si="4"/>
        <v>6</v>
      </c>
      <c r="G47">
        <f t="shared" si="5"/>
        <v>5</v>
      </c>
      <c r="H47">
        <f t="shared" si="6"/>
        <v>7</v>
      </c>
      <c r="M47">
        <f t="shared" si="7"/>
        <v>6</v>
      </c>
    </row>
    <row r="48" spans="1:13">
      <c r="A48" t="s">
        <v>92</v>
      </c>
      <c r="B48" t="s">
        <v>40</v>
      </c>
      <c r="C48" t="s">
        <v>40</v>
      </c>
      <c r="D48" t="s">
        <v>40</v>
      </c>
      <c r="E48" t="s">
        <v>42</v>
      </c>
      <c r="F48">
        <f t="shared" si="4"/>
        <v>6</v>
      </c>
      <c r="G48">
        <f t="shared" si="5"/>
        <v>6</v>
      </c>
      <c r="H48">
        <f t="shared" si="6"/>
        <v>7</v>
      </c>
      <c r="M48">
        <f t="shared" si="7"/>
        <v>6</v>
      </c>
    </row>
    <row r="49" spans="1:13">
      <c r="A49" t="s">
        <v>93</v>
      </c>
      <c r="B49" t="s">
        <v>40</v>
      </c>
      <c r="C49" t="s">
        <v>40</v>
      </c>
      <c r="D49" t="s">
        <v>40</v>
      </c>
      <c r="E49" t="s">
        <v>42</v>
      </c>
      <c r="F49">
        <f t="shared" si="4"/>
        <v>6</v>
      </c>
      <c r="G49">
        <f t="shared" si="5"/>
        <v>6</v>
      </c>
      <c r="H49">
        <f t="shared" si="6"/>
        <v>7</v>
      </c>
      <c r="M49">
        <f t="shared" si="7"/>
        <v>6</v>
      </c>
    </row>
    <row r="50" spans="1:13">
      <c r="A50" t="s">
        <v>94</v>
      </c>
      <c r="B50" t="s">
        <v>40</v>
      </c>
      <c r="C50" t="s">
        <v>40</v>
      </c>
      <c r="D50" t="s">
        <v>40</v>
      </c>
      <c r="E50" t="s">
        <v>42</v>
      </c>
      <c r="F50">
        <f t="shared" si="4"/>
        <v>6</v>
      </c>
      <c r="G50">
        <f t="shared" si="5"/>
        <v>6</v>
      </c>
      <c r="H50">
        <f t="shared" si="6"/>
        <v>7</v>
      </c>
      <c r="M50">
        <f t="shared" si="7"/>
        <v>6</v>
      </c>
    </row>
    <row r="51" spans="1:13">
      <c r="A51" t="s">
        <v>95</v>
      </c>
      <c r="B51" t="s">
        <v>41</v>
      </c>
      <c r="C51" t="s">
        <v>40</v>
      </c>
      <c r="D51" t="s">
        <v>40</v>
      </c>
      <c r="E51" t="s">
        <v>42</v>
      </c>
      <c r="F51">
        <f t="shared" si="4"/>
        <v>6</v>
      </c>
      <c r="G51">
        <f t="shared" si="5"/>
        <v>5</v>
      </c>
      <c r="H51">
        <f t="shared" si="6"/>
        <v>7</v>
      </c>
      <c r="M51">
        <f t="shared" si="7"/>
        <v>6</v>
      </c>
    </row>
    <row r="52" spans="1:13">
      <c r="A52" t="s">
        <v>96</v>
      </c>
      <c r="B52" t="s">
        <v>42</v>
      </c>
      <c r="C52" t="s">
        <v>41</v>
      </c>
      <c r="D52" t="s">
        <v>42</v>
      </c>
      <c r="E52" t="s">
        <v>42</v>
      </c>
      <c r="F52">
        <f t="shared" si="4"/>
        <v>7</v>
      </c>
      <c r="G52">
        <f t="shared" si="5"/>
        <v>7</v>
      </c>
      <c r="H52">
        <f t="shared" si="6"/>
        <v>7</v>
      </c>
      <c r="M52">
        <f t="shared" si="7"/>
        <v>5</v>
      </c>
    </row>
    <row r="53" spans="1:13">
      <c r="A53" t="s">
        <v>97</v>
      </c>
      <c r="B53" t="s">
        <v>42</v>
      </c>
      <c r="C53" t="s">
        <v>41</v>
      </c>
      <c r="D53" t="s">
        <v>42</v>
      </c>
      <c r="E53" t="s">
        <v>42</v>
      </c>
      <c r="F53">
        <f t="shared" si="4"/>
        <v>7</v>
      </c>
      <c r="G53">
        <f t="shared" si="5"/>
        <v>7</v>
      </c>
      <c r="H53">
        <f t="shared" si="6"/>
        <v>7</v>
      </c>
      <c r="M53">
        <f t="shared" si="7"/>
        <v>5</v>
      </c>
    </row>
    <row r="57" spans="1:12">
      <c r="A57" t="s">
        <v>39</v>
      </c>
      <c r="B57" s="80">
        <v>212009</v>
      </c>
      <c r="C57" s="86" t="s">
        <v>98</v>
      </c>
      <c r="E57" s="80">
        <v>213009</v>
      </c>
      <c r="F57" s="86" t="s">
        <v>99</v>
      </c>
      <c r="H57" s="80">
        <v>214009</v>
      </c>
      <c r="I57" s="86" t="s">
        <v>100</v>
      </c>
      <c r="K57" s="80">
        <v>215009</v>
      </c>
      <c r="L57" s="86" t="s">
        <v>101</v>
      </c>
    </row>
    <row r="58" spans="1:12">
      <c r="A58" t="s">
        <v>41</v>
      </c>
      <c r="B58" s="80">
        <v>212112</v>
      </c>
      <c r="C58" s="86" t="s">
        <v>102</v>
      </c>
      <c r="E58" s="80">
        <v>213112</v>
      </c>
      <c r="F58" s="86" t="s">
        <v>103</v>
      </c>
      <c r="H58" s="80">
        <v>214112</v>
      </c>
      <c r="I58" s="86" t="s">
        <v>104</v>
      </c>
      <c r="K58" s="80">
        <v>215112</v>
      </c>
      <c r="L58" s="86" t="s">
        <v>105</v>
      </c>
    </row>
    <row r="59" spans="1:12">
      <c r="A59" t="s">
        <v>40</v>
      </c>
      <c r="B59" s="80">
        <v>212113</v>
      </c>
      <c r="C59" s="86" t="s">
        <v>106</v>
      </c>
      <c r="E59" s="80">
        <v>213113</v>
      </c>
      <c r="F59" s="86" t="s">
        <v>107</v>
      </c>
      <c r="H59" s="80">
        <v>214113</v>
      </c>
      <c r="I59" s="86" t="s">
        <v>108</v>
      </c>
      <c r="K59" s="80">
        <v>215113</v>
      </c>
      <c r="L59" s="86" t="s">
        <v>109</v>
      </c>
    </row>
    <row r="60" spans="1:12">
      <c r="A60" t="s">
        <v>42</v>
      </c>
      <c r="B60" s="80">
        <v>212114</v>
      </c>
      <c r="C60" s="86" t="s">
        <v>110</v>
      </c>
      <c r="E60" s="80">
        <v>213114</v>
      </c>
      <c r="F60" s="86" t="s">
        <v>111</v>
      </c>
      <c r="H60" s="80">
        <v>214114</v>
      </c>
      <c r="I60" s="86" t="s">
        <v>112</v>
      </c>
      <c r="K60" s="80">
        <v>215114</v>
      </c>
      <c r="L60" s="86" t="s">
        <v>113</v>
      </c>
    </row>
    <row r="61" spans="1:12">
      <c r="A61" t="s">
        <v>57</v>
      </c>
      <c r="B61" s="80">
        <v>212111</v>
      </c>
      <c r="C61" s="86" t="s">
        <v>114</v>
      </c>
      <c r="E61" s="80">
        <v>213111</v>
      </c>
      <c r="F61" s="86" t="s">
        <v>115</v>
      </c>
      <c r="H61" s="80">
        <v>214111</v>
      </c>
      <c r="I61" s="86" t="s">
        <v>116</v>
      </c>
      <c r="K61" s="80">
        <v>215111</v>
      </c>
      <c r="L61" s="86" t="s">
        <v>117</v>
      </c>
    </row>
    <row r="66" spans="2:8">
      <c r="B66" s="86" t="s">
        <v>102</v>
      </c>
      <c r="D66" s="86" t="s">
        <v>104</v>
      </c>
      <c r="G66" s="86" t="s">
        <v>102</v>
      </c>
      <c r="H66" s="86" t="s">
        <v>104</v>
      </c>
    </row>
    <row r="67" spans="2:8">
      <c r="B67" s="86" t="s">
        <v>99</v>
      </c>
      <c r="D67" s="86" t="s">
        <v>101</v>
      </c>
      <c r="G67" s="86" t="s">
        <v>99</v>
      </c>
      <c r="H67" s="86" t="s">
        <v>101</v>
      </c>
    </row>
    <row r="68" spans="6:7">
      <c r="F68" s="86"/>
      <c r="G68" s="86"/>
    </row>
  </sheetData>
  <mergeCells count="4">
    <mergeCell ref="N15:Q15"/>
    <mergeCell ref="R15:U15"/>
    <mergeCell ref="N44:Q44"/>
    <mergeCell ref="R44:U44"/>
  </mergeCells>
  <conditionalFormatting sqref="K58">
    <cfRule type="duplicateValues" dxfId="0" priority="13"/>
    <cfRule type="duplicateValues" dxfId="0" priority="14"/>
    <cfRule type="duplicateValues" dxfId="0" priority="15"/>
    <cfRule type="duplicateValues" dxfId="0" priority="16"/>
  </conditionalFormatting>
  <conditionalFormatting sqref="K59">
    <cfRule type="duplicateValues" dxfId="0" priority="9"/>
    <cfRule type="duplicateValues" dxfId="0" priority="10"/>
    <cfRule type="duplicateValues" dxfId="0" priority="11"/>
    <cfRule type="duplicateValues" dxfId="0" priority="12"/>
  </conditionalFormatting>
  <conditionalFormatting sqref="K60">
    <cfRule type="duplicateValues" dxfId="0" priority="5"/>
    <cfRule type="duplicateValues" dxfId="0" priority="6"/>
    <cfRule type="duplicateValues" dxfId="0" priority="7"/>
    <cfRule type="duplicateValues" dxfId="0" priority="8"/>
  </conditionalFormatting>
  <conditionalFormatting sqref="B57:B61"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</conditionalFormatting>
  <conditionalFormatting sqref="E57:E61"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</conditionalFormatting>
  <conditionalFormatting sqref="H57:H61">
    <cfRule type="duplicateValues" dxfId="0" priority="21"/>
    <cfRule type="duplicateValues" dxfId="0" priority="22"/>
    <cfRule type="duplicateValues" dxfId="0" priority="23"/>
    <cfRule type="duplicateValues" dxfId="0" priority="24"/>
    <cfRule type="duplicateValues" dxfId="0" priority="25"/>
    <cfRule type="duplicateValues" dxfId="0" priority="26"/>
    <cfRule type="duplicateValues" dxfId="0" priority="27"/>
    <cfRule type="duplicateValues" dxfId="0" priority="28"/>
  </conditionalFormatting>
  <conditionalFormatting sqref="K57:K61">
    <cfRule type="duplicateValues" dxfId="0" priority="1"/>
    <cfRule type="duplicateValues" dxfId="0" priority="2"/>
    <cfRule type="duplicateValues" dxfId="0" priority="3"/>
    <cfRule type="duplicateValues" dxfId="0" priority="4"/>
    <cfRule type="duplicateValues" dxfId="0" priority="20"/>
  </conditionalFormatting>
  <conditionalFormatting sqref="K57 K61">
    <cfRule type="duplicateValues" dxfId="0" priority="17"/>
    <cfRule type="duplicateValues" dxfId="0" priority="18"/>
    <cfRule type="duplicateValues" dxfId="0" priority="19"/>
  </conditionalFormatting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O64"/>
  <sheetViews>
    <sheetView workbookViewId="0">
      <selection activeCell="D54" sqref="D54"/>
    </sheetView>
  </sheetViews>
  <sheetFormatPr defaultColWidth="9" defaultRowHeight="14.1"/>
  <sheetData>
    <row r="1" ht="15.3" spans="1:15">
      <c r="A1" s="80">
        <v>212009</v>
      </c>
      <c r="B1" s="80">
        <v>212112</v>
      </c>
      <c r="C1" s="80">
        <v>212113</v>
      </c>
      <c r="D1" s="80">
        <v>212114</v>
      </c>
      <c r="E1" s="80">
        <v>212111</v>
      </c>
      <c r="J1" s="82" t="s">
        <v>82</v>
      </c>
      <c r="K1" s="83" t="s">
        <v>118</v>
      </c>
      <c r="L1" s="84" t="s">
        <v>119</v>
      </c>
      <c r="M1" s="84" t="s">
        <v>120</v>
      </c>
      <c r="N1" s="85" t="s">
        <v>121</v>
      </c>
      <c r="O1" s="85" t="s">
        <v>122</v>
      </c>
    </row>
    <row r="2" ht="15.3" hidden="1" spans="1:15">
      <c r="A2" s="80">
        <v>213009</v>
      </c>
      <c r="B2" s="80">
        <v>213112</v>
      </c>
      <c r="C2" s="80">
        <v>213113</v>
      </c>
      <c r="D2" s="80">
        <v>213114</v>
      </c>
      <c r="E2" s="80">
        <v>213111</v>
      </c>
      <c r="J2" s="82" t="s">
        <v>83</v>
      </c>
      <c r="K2" s="83" t="s">
        <v>118</v>
      </c>
      <c r="L2" s="84" t="s">
        <v>120</v>
      </c>
      <c r="M2" s="84" t="s">
        <v>123</v>
      </c>
      <c r="N2" s="85" t="s">
        <v>124</v>
      </c>
      <c r="O2" s="85" t="s">
        <v>121</v>
      </c>
    </row>
    <row r="3" ht="15.3" hidden="1" spans="1:15">
      <c r="A3" s="80">
        <v>214009</v>
      </c>
      <c r="B3" s="80">
        <v>214112</v>
      </c>
      <c r="C3" s="80">
        <v>214113</v>
      </c>
      <c r="D3" s="80">
        <v>214114</v>
      </c>
      <c r="E3" s="80">
        <v>214111</v>
      </c>
      <c r="J3" s="82" t="s">
        <v>84</v>
      </c>
      <c r="K3" s="83" t="s">
        <v>118</v>
      </c>
      <c r="L3" s="84" t="s">
        <v>123</v>
      </c>
      <c r="M3" s="84" t="s">
        <v>125</v>
      </c>
      <c r="N3" s="85" t="s">
        <v>126</v>
      </c>
      <c r="O3" s="85" t="s">
        <v>124</v>
      </c>
    </row>
    <row r="4" ht="15.3" hidden="1" spans="1:15">
      <c r="A4" s="80">
        <v>215009</v>
      </c>
      <c r="B4" s="80">
        <v>215112</v>
      </c>
      <c r="C4" s="80">
        <v>215113</v>
      </c>
      <c r="D4" s="80">
        <v>215114</v>
      </c>
      <c r="E4" s="80">
        <v>215111</v>
      </c>
      <c r="J4" s="82" t="s">
        <v>85</v>
      </c>
      <c r="K4" s="83" t="s">
        <v>118</v>
      </c>
      <c r="L4" s="84" t="s">
        <v>125</v>
      </c>
      <c r="M4" s="84" t="s">
        <v>127</v>
      </c>
      <c r="N4" s="85" t="s">
        <v>128</v>
      </c>
      <c r="O4" s="85" t="s">
        <v>126</v>
      </c>
    </row>
    <row r="5" ht="15.3" spans="1:15">
      <c r="A5" s="80"/>
      <c r="B5" s="80"/>
      <c r="C5" s="80"/>
      <c r="D5" s="80"/>
      <c r="J5" s="82" t="s">
        <v>86</v>
      </c>
      <c r="K5" s="83" t="s">
        <v>118</v>
      </c>
      <c r="L5" s="84" t="s">
        <v>127</v>
      </c>
      <c r="M5" s="84" t="s">
        <v>119</v>
      </c>
      <c r="N5" s="85" t="s">
        <v>122</v>
      </c>
      <c r="O5" s="85" t="s">
        <v>128</v>
      </c>
    </row>
    <row r="6" ht="15.3" hidden="1" spans="10:15">
      <c r="J6" s="82" t="s">
        <v>87</v>
      </c>
      <c r="K6" s="83" t="s">
        <v>118</v>
      </c>
      <c r="L6" s="84" t="s">
        <v>119</v>
      </c>
      <c r="M6" s="84" t="s">
        <v>120</v>
      </c>
      <c r="N6" s="85" t="s">
        <v>121</v>
      </c>
      <c r="O6" s="85" t="s">
        <v>122</v>
      </c>
    </row>
    <row r="7" ht="15.3" hidden="1" spans="10:15">
      <c r="J7" s="82" t="s">
        <v>88</v>
      </c>
      <c r="K7" s="83" t="s">
        <v>118</v>
      </c>
      <c r="L7" s="84" t="s">
        <v>120</v>
      </c>
      <c r="M7" s="84" t="s">
        <v>123</v>
      </c>
      <c r="N7" s="85" t="s">
        <v>124</v>
      </c>
      <c r="O7" s="85" t="s">
        <v>121</v>
      </c>
    </row>
    <row r="8" ht="15.3" hidden="1" spans="10:15">
      <c r="J8" s="82" t="s">
        <v>89</v>
      </c>
      <c r="K8" s="83" t="s">
        <v>118</v>
      </c>
      <c r="L8" s="84" t="s">
        <v>123</v>
      </c>
      <c r="M8" s="84" t="s">
        <v>125</v>
      </c>
      <c r="N8" s="85" t="s">
        <v>126</v>
      </c>
      <c r="O8" s="85" t="s">
        <v>124</v>
      </c>
    </row>
    <row r="9" ht="15.3" hidden="1" spans="10:15">
      <c r="J9" s="82" t="s">
        <v>90</v>
      </c>
      <c r="K9" s="83" t="s">
        <v>118</v>
      </c>
      <c r="L9" s="84" t="s">
        <v>125</v>
      </c>
      <c r="M9" s="84" t="s">
        <v>127</v>
      </c>
      <c r="N9" s="85" t="s">
        <v>128</v>
      </c>
      <c r="O9" s="85" t="s">
        <v>126</v>
      </c>
    </row>
    <row r="10" ht="15.3" spans="10:15">
      <c r="J10" s="82" t="s">
        <v>91</v>
      </c>
      <c r="K10" s="83" t="s">
        <v>118</v>
      </c>
      <c r="L10" s="84" t="s">
        <v>127</v>
      </c>
      <c r="M10" s="84" t="s">
        <v>119</v>
      </c>
      <c r="N10" s="85" t="s">
        <v>122</v>
      </c>
      <c r="O10" s="85" t="s">
        <v>128</v>
      </c>
    </row>
    <row r="11" ht="15.3" hidden="1" spans="1:15">
      <c r="A11">
        <v>1001</v>
      </c>
      <c r="C11">
        <v>16</v>
      </c>
      <c r="J11" s="82" t="s">
        <v>94</v>
      </c>
      <c r="K11" s="83" t="s">
        <v>118</v>
      </c>
      <c r="L11" s="84" t="s">
        <v>119</v>
      </c>
      <c r="M11" s="84" t="s">
        <v>120</v>
      </c>
      <c r="N11" s="85" t="s">
        <v>121</v>
      </c>
      <c r="O11" s="85" t="s">
        <v>122</v>
      </c>
    </row>
    <row r="12" ht="15.3" hidden="1" spans="10:15">
      <c r="J12" s="82" t="s">
        <v>97</v>
      </c>
      <c r="K12" s="83" t="s">
        <v>118</v>
      </c>
      <c r="L12" s="84" t="s">
        <v>120</v>
      </c>
      <c r="M12" s="84" t="s">
        <v>123</v>
      </c>
      <c r="N12" s="85" t="s">
        <v>124</v>
      </c>
      <c r="O12" s="85" t="s">
        <v>121</v>
      </c>
    </row>
    <row r="13" ht="15.3" hidden="1" spans="10:15">
      <c r="J13" s="82" t="s">
        <v>95</v>
      </c>
      <c r="K13" s="83" t="s">
        <v>118</v>
      </c>
      <c r="L13" s="84" t="s">
        <v>123</v>
      </c>
      <c r="M13" s="84" t="s">
        <v>125</v>
      </c>
      <c r="N13" s="85" t="s">
        <v>126</v>
      </c>
      <c r="O13" s="85" t="s">
        <v>124</v>
      </c>
    </row>
    <row r="14" ht="15.3" hidden="1" spans="1:15">
      <c r="A14" t="str">
        <f>1001&amp;","&amp;E2&amp;","&amp;10&amp;";"&amp;1001&amp;","&amp;A2&amp;","&amp;10&amp;";"&amp;1001&amp;","&amp;E3&amp;","&amp;10&amp;";"&amp;1001&amp;","&amp;A3&amp;","&amp;10&amp;";"&amp;5&amp;","&amp;"0"&amp;","&amp;150000</f>
        <v>1001,213111,10;1001,213009,10;1001,214111,10;1001,214009,10;5,0,150000</v>
      </c>
      <c r="J14" s="82" t="s">
        <v>96</v>
      </c>
      <c r="K14" s="83" t="s">
        <v>118</v>
      </c>
      <c r="L14" s="84" t="s">
        <v>125</v>
      </c>
      <c r="M14" s="84" t="s">
        <v>127</v>
      </c>
      <c r="N14" s="85" t="s">
        <v>128</v>
      </c>
      <c r="O14" s="85" t="s">
        <v>126</v>
      </c>
    </row>
    <row r="15" ht="15.3" spans="10:15">
      <c r="J15" s="82" t="s">
        <v>129</v>
      </c>
      <c r="K15" s="83" t="s">
        <v>118</v>
      </c>
      <c r="L15" s="84" t="s">
        <v>127</v>
      </c>
      <c r="M15" s="84" t="s">
        <v>119</v>
      </c>
      <c r="N15" s="85" t="s">
        <v>122</v>
      </c>
      <c r="O15" s="85" t="s">
        <v>128</v>
      </c>
    </row>
    <row r="16" ht="15.3" hidden="1" spans="10:15">
      <c r="J16" s="82" t="s">
        <v>130</v>
      </c>
      <c r="K16" s="83" t="s">
        <v>118</v>
      </c>
      <c r="L16" s="84" t="s">
        <v>119</v>
      </c>
      <c r="M16" s="84" t="s">
        <v>120</v>
      </c>
      <c r="N16" s="85" t="s">
        <v>121</v>
      </c>
      <c r="O16" s="85" t="s">
        <v>122</v>
      </c>
    </row>
    <row r="17" ht="15.3" hidden="1" spans="10:15">
      <c r="J17" s="82" t="s">
        <v>131</v>
      </c>
      <c r="K17" s="83" t="s">
        <v>118</v>
      </c>
      <c r="L17" s="84" t="s">
        <v>120</v>
      </c>
      <c r="M17" s="84" t="s">
        <v>123</v>
      </c>
      <c r="N17" s="85" t="s">
        <v>124</v>
      </c>
      <c r="O17" s="85" t="s">
        <v>121</v>
      </c>
    </row>
    <row r="18" ht="15.3" hidden="1" spans="11:11">
      <c r="K18" s="82"/>
    </row>
    <row r="19" ht="15.3" hidden="1" spans="11:11">
      <c r="K19" s="82"/>
    </row>
    <row r="20" ht="15.3" hidden="1" spans="11:11">
      <c r="K20" s="82"/>
    </row>
    <row r="21" ht="15.3" hidden="1" spans="11:11">
      <c r="K21" s="82"/>
    </row>
    <row r="22" ht="15.3" hidden="1" spans="11:11">
      <c r="K22" s="82"/>
    </row>
    <row r="23" ht="15.3" hidden="1" spans="11:11">
      <c r="K23" s="82"/>
    </row>
    <row r="24" ht="15.3" hidden="1" spans="11:11">
      <c r="K24" s="82"/>
    </row>
    <row r="25" ht="15.3" hidden="1" spans="11:11">
      <c r="K25" s="82"/>
    </row>
    <row r="26" ht="15.3" hidden="1" spans="11:11">
      <c r="K26" s="82"/>
    </row>
    <row r="27" ht="15.3" hidden="1" spans="11:11">
      <c r="K27" s="82"/>
    </row>
    <row r="28" hidden="1"/>
    <row r="29" hidden="1"/>
    <row r="30" hidden="1"/>
    <row r="31" ht="15.3" hidden="1" spans="11:11">
      <c r="K31" s="82"/>
    </row>
    <row r="32" ht="15.3" hidden="1" spans="11:11">
      <c r="K32" s="82"/>
    </row>
    <row r="33" ht="15.3" hidden="1" spans="11:11">
      <c r="K33" s="82"/>
    </row>
    <row r="38" spans="8:9">
      <c r="H38" t="s">
        <v>43</v>
      </c>
      <c r="I38">
        <v>1</v>
      </c>
    </row>
    <row r="39" spans="8:15">
      <c r="H39" t="s">
        <v>45</v>
      </c>
      <c r="I39">
        <v>2</v>
      </c>
      <c r="L39" t="e">
        <f t="shared" ref="L39:O40" si="0">VLOOKUP(C45,$H$38:$I$45,2,0)</f>
        <v>#N/A</v>
      </c>
      <c r="M39" t="e">
        <f t="shared" si="0"/>
        <v>#N/A</v>
      </c>
      <c r="N39" t="e">
        <f t="shared" si="0"/>
        <v>#N/A</v>
      </c>
      <c r="O39" t="e">
        <f t="shared" si="0"/>
        <v>#N/A</v>
      </c>
    </row>
    <row r="40" spans="8:15">
      <c r="H40" t="s">
        <v>47</v>
      </c>
      <c r="I40">
        <v>3</v>
      </c>
      <c r="L40" t="e">
        <f t="shared" si="0"/>
        <v>#N/A</v>
      </c>
      <c r="M40" t="e">
        <f t="shared" si="0"/>
        <v>#N/A</v>
      </c>
      <c r="N40" t="e">
        <f t="shared" si="0"/>
        <v>#N/A</v>
      </c>
      <c r="O40" t="e">
        <f t="shared" si="0"/>
        <v>#N/A</v>
      </c>
    </row>
    <row r="41" spans="8:9">
      <c r="H41" t="s">
        <v>39</v>
      </c>
      <c r="I41">
        <v>4</v>
      </c>
    </row>
    <row r="42" spans="8:9">
      <c r="H42" t="s">
        <v>41</v>
      </c>
      <c r="I42">
        <v>5</v>
      </c>
    </row>
    <row r="43" spans="8:9">
      <c r="H43" t="s">
        <v>40</v>
      </c>
      <c r="I43">
        <v>6</v>
      </c>
    </row>
    <row r="44" ht="15.3" spans="3:9">
      <c r="C44" s="81" t="s">
        <v>2</v>
      </c>
      <c r="D44" s="81" t="s">
        <v>3</v>
      </c>
      <c r="E44" s="81" t="s">
        <v>4</v>
      </c>
      <c r="F44" s="81" t="s">
        <v>1</v>
      </c>
      <c r="H44" t="s">
        <v>42</v>
      </c>
      <c r="I44">
        <v>7</v>
      </c>
    </row>
    <row r="45" spans="2:9">
      <c r="B45" t="s">
        <v>132</v>
      </c>
      <c r="C45">
        <v>4</v>
      </c>
      <c r="D45">
        <v>6</v>
      </c>
      <c r="E45">
        <v>5</v>
      </c>
      <c r="F45">
        <v>6</v>
      </c>
      <c r="H45" t="s">
        <v>57</v>
      </c>
      <c r="I45">
        <v>8</v>
      </c>
    </row>
    <row r="46" spans="2:6">
      <c r="B46" t="s">
        <v>133</v>
      </c>
      <c r="C46">
        <v>5</v>
      </c>
      <c r="D46">
        <v>6</v>
      </c>
      <c r="E46">
        <v>4</v>
      </c>
      <c r="F46">
        <v>5</v>
      </c>
    </row>
    <row r="52" spans="7:10">
      <c r="G52">
        <v>36</v>
      </c>
      <c r="H52">
        <v>14</v>
      </c>
      <c r="I52">
        <v>273</v>
      </c>
      <c r="J52">
        <v>10</v>
      </c>
    </row>
    <row r="53" spans="7:10">
      <c r="G53">
        <v>104</v>
      </c>
      <c r="H53">
        <v>39</v>
      </c>
      <c r="I53">
        <v>780</v>
      </c>
      <c r="J53">
        <v>30</v>
      </c>
    </row>
    <row r="54" spans="7:10">
      <c r="G54">
        <f>G52+G53</f>
        <v>140</v>
      </c>
      <c r="H54">
        <f>H52+H53</f>
        <v>53</v>
      </c>
      <c r="I54">
        <f>I52+I53</f>
        <v>1053</v>
      </c>
      <c r="J54">
        <f>J52+J53</f>
        <v>40</v>
      </c>
    </row>
    <row r="56" spans="1:2">
      <c r="A56">
        <v>25</v>
      </c>
      <c r="B56" t="s">
        <v>47</v>
      </c>
    </row>
    <row r="57" spans="1:2">
      <c r="A57">
        <v>25</v>
      </c>
      <c r="B57" t="s">
        <v>39</v>
      </c>
    </row>
    <row r="58" spans="1:2">
      <c r="A58">
        <v>27</v>
      </c>
      <c r="B58" t="s">
        <v>41</v>
      </c>
    </row>
    <row r="59" spans="1:2">
      <c r="A59">
        <v>19</v>
      </c>
      <c r="B59" t="s">
        <v>40</v>
      </c>
    </row>
    <row r="61" spans="5:8">
      <c r="E61">
        <v>56</v>
      </c>
      <c r="F61">
        <v>21</v>
      </c>
      <c r="G61">
        <v>420</v>
      </c>
      <c r="H61">
        <v>15</v>
      </c>
    </row>
    <row r="62" spans="5:8">
      <c r="E62">
        <v>160</v>
      </c>
      <c r="F62">
        <v>60</v>
      </c>
      <c r="G62">
        <v>1200</v>
      </c>
      <c r="H62">
        <v>40</v>
      </c>
    </row>
    <row r="63" spans="5:8">
      <c r="E63">
        <f>E62-E61</f>
        <v>104</v>
      </c>
      <c r="F63">
        <f>F62-F61</f>
        <v>39</v>
      </c>
      <c r="G63">
        <f>G62-G61</f>
        <v>780</v>
      </c>
      <c r="H63">
        <f>H62-H61</f>
        <v>25</v>
      </c>
    </row>
    <row r="64" spans="5:8">
      <c r="E64">
        <f>E63+E62</f>
        <v>264</v>
      </c>
      <c r="F64">
        <f>F63+F62</f>
        <v>99</v>
      </c>
      <c r="G64">
        <f>G63+G62</f>
        <v>1980</v>
      </c>
      <c r="H64">
        <f>H63+H62</f>
        <v>65</v>
      </c>
    </row>
  </sheetData>
  <autoFilter ref="L1:L33">
    <filterColumn colId="0">
      <customFilters>
        <customFilter operator="equal" val="E2"/>
      </customFilters>
    </filterColumn>
    <extLst/>
  </autoFilter>
  <conditionalFormatting sqref="A1">
    <cfRule type="duplicateValues" dxfId="0" priority="163"/>
    <cfRule type="duplicateValues" dxfId="0" priority="162"/>
    <cfRule type="duplicateValues" dxfId="0" priority="161"/>
    <cfRule type="duplicateValues" dxfId="0" priority="160"/>
    <cfRule type="duplicateValues" dxfId="0" priority="159"/>
    <cfRule type="duplicateValues" dxfId="0" priority="158"/>
    <cfRule type="duplicateValues" dxfId="0" priority="157"/>
    <cfRule type="duplicateValues" dxfId="0" priority="156"/>
  </conditionalFormatting>
  <conditionalFormatting sqref="B1">
    <cfRule type="duplicateValues" dxfId="0" priority="155"/>
    <cfRule type="duplicateValues" dxfId="0" priority="154"/>
    <cfRule type="duplicateValues" dxfId="0" priority="153"/>
    <cfRule type="duplicateValues" dxfId="0" priority="152"/>
    <cfRule type="duplicateValues" dxfId="0" priority="151"/>
    <cfRule type="duplicateValues" dxfId="0" priority="150"/>
    <cfRule type="duplicateValues" dxfId="0" priority="149"/>
    <cfRule type="duplicateValues" dxfId="0" priority="148"/>
  </conditionalFormatting>
  <conditionalFormatting sqref="C1">
    <cfRule type="duplicateValues" dxfId="0" priority="147"/>
    <cfRule type="duplicateValues" dxfId="0" priority="146"/>
    <cfRule type="duplicateValues" dxfId="0" priority="145"/>
    <cfRule type="duplicateValues" dxfId="0" priority="144"/>
    <cfRule type="duplicateValues" dxfId="0" priority="143"/>
    <cfRule type="duplicateValues" dxfId="0" priority="142"/>
    <cfRule type="duplicateValues" dxfId="0" priority="141"/>
    <cfRule type="duplicateValues" dxfId="0" priority="140"/>
  </conditionalFormatting>
  <conditionalFormatting sqref="D1">
    <cfRule type="duplicateValues" dxfId="0" priority="139"/>
    <cfRule type="duplicateValues" dxfId="0" priority="138"/>
    <cfRule type="duplicateValues" dxfId="0" priority="137"/>
    <cfRule type="duplicateValues" dxfId="0" priority="136"/>
    <cfRule type="duplicateValues" dxfId="0" priority="135"/>
    <cfRule type="duplicateValues" dxfId="0" priority="134"/>
    <cfRule type="duplicateValues" dxfId="0" priority="133"/>
    <cfRule type="duplicateValues" dxfId="0" priority="132"/>
  </conditionalFormatting>
  <conditionalFormatting sqref="E1">
    <cfRule type="duplicateValues" dxfId="0" priority="131"/>
    <cfRule type="duplicateValues" dxfId="0" priority="130"/>
    <cfRule type="duplicateValues" dxfId="0" priority="129"/>
    <cfRule type="duplicateValues" dxfId="0" priority="128"/>
    <cfRule type="duplicateValues" dxfId="0" priority="127"/>
    <cfRule type="duplicateValues" dxfId="0" priority="126"/>
    <cfRule type="duplicateValues" dxfId="0" priority="125"/>
    <cfRule type="duplicateValues" dxfId="0" priority="124"/>
  </conditionalFormatting>
  <conditionalFormatting sqref="A2">
    <cfRule type="duplicateValues" dxfId="0" priority="123"/>
    <cfRule type="duplicateValues" dxfId="0" priority="122"/>
    <cfRule type="duplicateValues" dxfId="0" priority="121"/>
    <cfRule type="duplicateValues" dxfId="0" priority="120"/>
    <cfRule type="duplicateValues" dxfId="0" priority="119"/>
    <cfRule type="duplicateValues" dxfId="0" priority="118"/>
    <cfRule type="duplicateValues" dxfId="0" priority="117"/>
    <cfRule type="duplicateValues" dxfId="0" priority="116"/>
  </conditionalFormatting>
  <conditionalFormatting sqref="B2">
    <cfRule type="duplicateValues" dxfId="0" priority="115"/>
    <cfRule type="duplicateValues" dxfId="0" priority="114"/>
    <cfRule type="duplicateValues" dxfId="0" priority="113"/>
    <cfRule type="duplicateValues" dxfId="0" priority="112"/>
    <cfRule type="duplicateValues" dxfId="0" priority="111"/>
    <cfRule type="duplicateValues" dxfId="0" priority="110"/>
    <cfRule type="duplicateValues" dxfId="0" priority="109"/>
    <cfRule type="duplicateValues" dxfId="0" priority="108"/>
  </conditionalFormatting>
  <conditionalFormatting sqref="C2">
    <cfRule type="duplicateValues" dxfId="0" priority="107"/>
    <cfRule type="duplicateValues" dxfId="0" priority="106"/>
    <cfRule type="duplicateValues" dxfId="0" priority="105"/>
    <cfRule type="duplicateValues" dxfId="0" priority="104"/>
    <cfRule type="duplicateValues" dxfId="0" priority="103"/>
    <cfRule type="duplicateValues" dxfId="0" priority="102"/>
    <cfRule type="duplicateValues" dxfId="0" priority="101"/>
    <cfRule type="duplicateValues" dxfId="0" priority="100"/>
  </conditionalFormatting>
  <conditionalFormatting sqref="D2">
    <cfRule type="duplicateValues" dxfId="0" priority="99"/>
    <cfRule type="duplicateValues" dxfId="0" priority="98"/>
    <cfRule type="duplicateValues" dxfId="0" priority="97"/>
    <cfRule type="duplicateValues" dxfId="0" priority="96"/>
    <cfRule type="duplicateValues" dxfId="0" priority="95"/>
    <cfRule type="duplicateValues" dxfId="0" priority="94"/>
    <cfRule type="duplicateValues" dxfId="0" priority="93"/>
    <cfRule type="duplicateValues" dxfId="0" priority="92"/>
  </conditionalFormatting>
  <conditionalFormatting sqref="E2">
    <cfRule type="duplicateValues" dxfId="0" priority="91"/>
    <cfRule type="duplicateValues" dxfId="0" priority="90"/>
    <cfRule type="duplicateValues" dxfId="0" priority="89"/>
    <cfRule type="duplicateValues" dxfId="0" priority="88"/>
    <cfRule type="duplicateValues" dxfId="0" priority="87"/>
    <cfRule type="duplicateValues" dxfId="0" priority="86"/>
    <cfRule type="duplicateValues" dxfId="0" priority="85"/>
    <cfRule type="duplicateValues" dxfId="0" priority="84"/>
  </conditionalFormatting>
  <conditionalFormatting sqref="A3">
    <cfRule type="duplicateValues" dxfId="0" priority="83"/>
    <cfRule type="duplicateValues" dxfId="0" priority="82"/>
    <cfRule type="duplicateValues" dxfId="0" priority="81"/>
    <cfRule type="duplicateValues" dxfId="0" priority="80"/>
    <cfRule type="duplicateValues" dxfId="0" priority="79"/>
    <cfRule type="duplicateValues" dxfId="0" priority="78"/>
    <cfRule type="duplicateValues" dxfId="0" priority="77"/>
    <cfRule type="duplicateValues" dxfId="0" priority="76"/>
  </conditionalFormatting>
  <conditionalFormatting sqref="B3">
    <cfRule type="duplicateValues" dxfId="0" priority="75"/>
    <cfRule type="duplicateValues" dxfId="0" priority="74"/>
    <cfRule type="duplicateValues" dxfId="0" priority="73"/>
    <cfRule type="duplicateValues" dxfId="0" priority="72"/>
    <cfRule type="duplicateValues" dxfId="0" priority="71"/>
    <cfRule type="duplicateValues" dxfId="0" priority="70"/>
    <cfRule type="duplicateValues" dxfId="0" priority="69"/>
    <cfRule type="duplicateValues" dxfId="0" priority="68"/>
  </conditionalFormatting>
  <conditionalFormatting sqref="C3">
    <cfRule type="duplicateValues" dxfId="0" priority="67"/>
    <cfRule type="duplicateValues" dxfId="0" priority="66"/>
    <cfRule type="duplicateValues" dxfId="0" priority="65"/>
    <cfRule type="duplicateValues" dxfId="0" priority="64"/>
    <cfRule type="duplicateValues" dxfId="0" priority="63"/>
    <cfRule type="duplicateValues" dxfId="0" priority="62"/>
    <cfRule type="duplicateValues" dxfId="0" priority="61"/>
    <cfRule type="duplicateValues" dxfId="0" priority="60"/>
  </conditionalFormatting>
  <conditionalFormatting sqref="D3">
    <cfRule type="duplicateValues" dxfId="0" priority="59"/>
    <cfRule type="duplicateValues" dxfId="0" priority="58"/>
    <cfRule type="duplicateValues" dxfId="0" priority="57"/>
    <cfRule type="duplicateValues" dxfId="0" priority="56"/>
    <cfRule type="duplicateValues" dxfId="0" priority="55"/>
    <cfRule type="duplicateValues" dxfId="0" priority="54"/>
    <cfRule type="duplicateValues" dxfId="0" priority="53"/>
    <cfRule type="duplicateValues" dxfId="0" priority="52"/>
  </conditionalFormatting>
  <conditionalFormatting sqref="E3">
    <cfRule type="duplicateValues" dxfId="0" priority="51"/>
    <cfRule type="duplicateValues" dxfId="0" priority="50"/>
    <cfRule type="duplicateValues" dxfId="0" priority="49"/>
    <cfRule type="duplicateValues" dxfId="0" priority="48"/>
    <cfRule type="duplicateValues" dxfId="0" priority="47"/>
    <cfRule type="duplicateValues" dxfId="0" priority="46"/>
    <cfRule type="duplicateValues" dxfId="0" priority="45"/>
    <cfRule type="duplicateValues" dxfId="0" priority="44"/>
  </conditionalFormatting>
  <conditionalFormatting sqref="A4">
    <cfRule type="duplicateValues" dxfId="0" priority="43"/>
    <cfRule type="duplicateValues" dxfId="0" priority="42"/>
    <cfRule type="duplicateValues" dxfId="0" priority="41"/>
    <cfRule type="duplicateValues" dxfId="0" priority="40"/>
    <cfRule type="duplicateValues" dxfId="0" priority="39"/>
    <cfRule type="duplicateValues" dxfId="0" priority="38"/>
    <cfRule type="duplicateValues" dxfId="0" priority="37"/>
    <cfRule type="duplicateValues" dxfId="0" priority="36"/>
  </conditionalFormatting>
  <conditionalFormatting sqref="B4">
    <cfRule type="duplicateValues" dxfId="0" priority="35"/>
    <cfRule type="duplicateValues" dxfId="0" priority="34"/>
    <cfRule type="duplicateValues" dxfId="0" priority="33"/>
    <cfRule type="duplicateValues" dxfId="0" priority="32"/>
    <cfRule type="duplicateValues" dxfId="0" priority="31"/>
    <cfRule type="duplicateValues" dxfId="0" priority="30"/>
    <cfRule type="duplicateValues" dxfId="0" priority="29"/>
    <cfRule type="duplicateValues" dxfId="0" priority="28"/>
    <cfRule type="duplicateValues" dxfId="0" priority="27"/>
  </conditionalFormatting>
  <conditionalFormatting sqref="C4">
    <cfRule type="duplicateValues" dxfId="0" priority="26"/>
    <cfRule type="duplicateValues" dxfId="0" priority="25"/>
    <cfRule type="duplicateValues" dxfId="0" priority="24"/>
    <cfRule type="duplicateValues" dxfId="0" priority="23"/>
    <cfRule type="duplicateValues" dxfId="0" priority="22"/>
    <cfRule type="duplicateValues" dxfId="0" priority="21"/>
    <cfRule type="duplicateValues" dxfId="0" priority="20"/>
    <cfRule type="duplicateValues" dxfId="0" priority="19"/>
    <cfRule type="duplicateValues" dxfId="0" priority="18"/>
  </conditionalFormatting>
  <conditionalFormatting sqref="D4">
    <cfRule type="duplicateValues" dxfId="0" priority="17"/>
    <cfRule type="duplicateValues" dxfId="0" priority="16"/>
    <cfRule type="duplicateValues" dxfId="0" priority="15"/>
    <cfRule type="duplicateValues" dxfId="0" priority="14"/>
    <cfRule type="duplicateValues" dxfId="0" priority="13"/>
    <cfRule type="duplicateValues" dxfId="0" priority="12"/>
    <cfRule type="duplicateValues" dxfId="0" priority="11"/>
    <cfRule type="duplicateValues" dxfId="0" priority="10"/>
    <cfRule type="duplicateValues" dxfId="0" priority="9"/>
  </conditionalFormatting>
  <conditionalFormatting sqref="E4">
    <cfRule type="duplicateValues" dxfId="0" priority="8"/>
    <cfRule type="duplicateValues" dxfId="0" priority="7"/>
    <cfRule type="duplicateValues" dxfId="0" priority="6"/>
    <cfRule type="duplicateValues" dxfId="0" priority="5"/>
    <cfRule type="duplicateValues" dxfId="0" priority="4"/>
    <cfRule type="duplicateValues" dxfId="0" priority="3"/>
    <cfRule type="duplicateValues" dxfId="0" priority="2"/>
    <cfRule type="duplicateValues" dxfId="0" priority="1"/>
  </conditionalFormatting>
  <conditionalFormatting sqref="A5">
    <cfRule type="duplicateValues" dxfId="0" priority="207"/>
    <cfRule type="duplicateValues" dxfId="0" priority="206"/>
    <cfRule type="duplicateValues" dxfId="0" priority="205"/>
    <cfRule type="duplicateValues" dxfId="0" priority="204"/>
    <cfRule type="duplicateValues" dxfId="0" priority="203"/>
    <cfRule type="duplicateValues" dxfId="0" priority="202"/>
    <cfRule type="duplicateValues" dxfId="0" priority="201"/>
    <cfRule type="duplicateValues" dxfId="0" priority="200"/>
  </conditionalFormatting>
  <conditionalFormatting sqref="B5">
    <cfRule type="duplicateValues" dxfId="0" priority="199"/>
    <cfRule type="duplicateValues" dxfId="0" priority="198"/>
    <cfRule type="duplicateValues" dxfId="0" priority="197"/>
    <cfRule type="duplicateValues" dxfId="0" priority="196"/>
    <cfRule type="duplicateValues" dxfId="0" priority="195"/>
    <cfRule type="duplicateValues" dxfId="0" priority="194"/>
    <cfRule type="duplicateValues" dxfId="0" priority="193"/>
    <cfRule type="duplicateValues" dxfId="0" priority="192"/>
  </conditionalFormatting>
  <conditionalFormatting sqref="C5">
    <cfRule type="duplicateValues" dxfId="0" priority="191"/>
    <cfRule type="duplicateValues" dxfId="0" priority="190"/>
    <cfRule type="duplicateValues" dxfId="0" priority="189"/>
    <cfRule type="duplicateValues" dxfId="0" priority="188"/>
    <cfRule type="duplicateValues" dxfId="0" priority="187"/>
    <cfRule type="duplicateValues" dxfId="0" priority="186"/>
    <cfRule type="duplicateValues" dxfId="0" priority="185"/>
    <cfRule type="duplicateValues" dxfId="0" priority="184"/>
  </conditionalFormatting>
  <conditionalFormatting sqref="D5">
    <cfRule type="duplicateValues" dxfId="0" priority="182"/>
    <cfRule type="duplicateValues" dxfId="0" priority="181"/>
    <cfRule type="duplicateValues" dxfId="0" priority="180"/>
    <cfRule type="duplicateValues" dxfId="0" priority="183"/>
    <cfRule type="duplicateValues" dxfId="0" priority="167"/>
    <cfRule type="duplicateValues" dxfId="0" priority="166"/>
    <cfRule type="duplicateValues" dxfId="0" priority="165"/>
    <cfRule type="duplicateValues" dxfId="0" priority="164"/>
  </conditionalFormatting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E70"/>
  <sheetViews>
    <sheetView workbookViewId="0">
      <selection activeCell="A22" sqref="A22"/>
    </sheetView>
  </sheetViews>
  <sheetFormatPr defaultColWidth="9" defaultRowHeight="14.1"/>
  <sheetData>
    <row r="5" spans="2:31">
      <c r="B5" t="str">
        <f>S5&amp;";"&amp;V5&amp;";"&amp;Y5&amp;";"&amp;AB5&amp;";"&amp;AE5</f>
        <v>1001,214113,32;1001,215113,20;1001,215114,20;1001,216111,1;5,0,600000</v>
      </c>
      <c r="C5">
        <v>112028</v>
      </c>
      <c r="D5">
        <v>1001</v>
      </c>
      <c r="E5">
        <v>214113</v>
      </c>
      <c r="F5">
        <v>32</v>
      </c>
      <c r="G5">
        <v>1001</v>
      </c>
      <c r="H5">
        <v>215113</v>
      </c>
      <c r="I5">
        <v>20</v>
      </c>
      <c r="J5">
        <v>1001</v>
      </c>
      <c r="K5">
        <v>215114</v>
      </c>
      <c r="L5">
        <v>20</v>
      </c>
      <c r="M5">
        <v>1001</v>
      </c>
      <c r="N5">
        <v>216111</v>
      </c>
      <c r="O5">
        <v>1</v>
      </c>
      <c r="P5">
        <v>5</v>
      </c>
      <c r="Q5">
        <v>0</v>
      </c>
      <c r="R5">
        <v>600000</v>
      </c>
      <c r="S5" t="str">
        <f t="shared" ref="S5:V5" si="0">D5&amp;","&amp;E5&amp;","&amp;F5</f>
        <v>1001,214113,32</v>
      </c>
      <c r="V5" t="str">
        <f t="shared" si="0"/>
        <v>1001,215113,20</v>
      </c>
      <c r="Y5" t="str">
        <f>J5&amp;","&amp;K5&amp;","&amp;L5</f>
        <v>1001,215114,20</v>
      </c>
      <c r="AB5" t="str">
        <f>M5&amp;","&amp;N5&amp;","&amp;O5</f>
        <v>1001,216111,1</v>
      </c>
      <c r="AE5" t="str">
        <f>P5&amp;","&amp;Q5&amp;","&amp;R5</f>
        <v>5,0,600000</v>
      </c>
    </row>
    <row r="6" spans="2:31">
      <c r="B6" t="str">
        <f t="shared" ref="B6:B37" si="1">S6&amp;";"&amp;V6&amp;";"&amp;Y6&amp;";"&amp;AB6&amp;";"&amp;AE6</f>
        <v>1001,214009,32;1001,215009,20;1001,215112,20;1001,216111,1;5,0,600000</v>
      </c>
      <c r="C6">
        <v>113001</v>
      </c>
      <c r="D6">
        <v>1001</v>
      </c>
      <c r="E6">
        <v>214009</v>
      </c>
      <c r="F6">
        <v>32</v>
      </c>
      <c r="G6">
        <v>1001</v>
      </c>
      <c r="H6">
        <v>215009</v>
      </c>
      <c r="I6">
        <v>20</v>
      </c>
      <c r="J6">
        <v>1001</v>
      </c>
      <c r="K6">
        <v>215112</v>
      </c>
      <c r="L6">
        <v>20</v>
      </c>
      <c r="M6">
        <v>1001</v>
      </c>
      <c r="N6">
        <v>216111</v>
      </c>
      <c r="O6">
        <v>1</v>
      </c>
      <c r="P6">
        <v>5</v>
      </c>
      <c r="Q6">
        <v>0</v>
      </c>
      <c r="R6">
        <v>600000</v>
      </c>
      <c r="S6" t="str">
        <f t="shared" ref="S6:S37" si="2">D6&amp;","&amp;E6&amp;","&amp;F6</f>
        <v>1001,214009,32</v>
      </c>
      <c r="V6" t="str">
        <f t="shared" ref="V6:V37" si="3">G6&amp;","&amp;H6&amp;","&amp;I6</f>
        <v>1001,215009,20</v>
      </c>
      <c r="Y6" t="str">
        <f t="shared" ref="Y6:Y37" si="4">J6&amp;","&amp;K6&amp;","&amp;L6</f>
        <v>1001,215112,20</v>
      </c>
      <c r="AB6" t="str">
        <f t="shared" ref="AB6:AB37" si="5">M6&amp;","&amp;N6&amp;","&amp;O6</f>
        <v>1001,216111,1</v>
      </c>
      <c r="AE6" t="str">
        <f t="shared" ref="AE6:AE37" si="6">P6&amp;","&amp;Q6&amp;","&amp;R6</f>
        <v>5,0,600000</v>
      </c>
    </row>
    <row r="7" spans="2:31">
      <c r="B7" t="str">
        <f t="shared" si="1"/>
        <v>1001,214112,32;1001,215112,20;1001,214113,20;1001,216111,1;5,0,600000</v>
      </c>
      <c r="C7">
        <v>113002</v>
      </c>
      <c r="D7">
        <v>1001</v>
      </c>
      <c r="E7">
        <v>214112</v>
      </c>
      <c r="F7">
        <v>32</v>
      </c>
      <c r="G7">
        <v>1001</v>
      </c>
      <c r="H7">
        <v>215112</v>
      </c>
      <c r="I7">
        <v>20</v>
      </c>
      <c r="J7">
        <v>1001</v>
      </c>
      <c r="K7">
        <v>214113</v>
      </c>
      <c r="L7">
        <v>20</v>
      </c>
      <c r="M7">
        <v>1001</v>
      </c>
      <c r="N7">
        <v>216111</v>
      </c>
      <c r="O7">
        <v>1</v>
      </c>
      <c r="P7">
        <v>5</v>
      </c>
      <c r="Q7">
        <v>0</v>
      </c>
      <c r="R7">
        <v>600000</v>
      </c>
      <c r="S7" t="str">
        <f t="shared" si="2"/>
        <v>1001,214112,32</v>
      </c>
      <c r="V7" t="str">
        <f t="shared" si="3"/>
        <v>1001,215112,20</v>
      </c>
      <c r="Y7" t="str">
        <f t="shared" si="4"/>
        <v>1001,214113,20</v>
      </c>
      <c r="AB7" t="str">
        <f t="shared" si="5"/>
        <v>1001,216111,1</v>
      </c>
      <c r="AE7" t="str">
        <f t="shared" si="6"/>
        <v>5,0,600000</v>
      </c>
    </row>
    <row r="8" spans="2:31">
      <c r="B8" t="str">
        <f t="shared" si="1"/>
        <v>1001,214113,32;1001,215113,20;1001,215114,20;1001,216111,1;5,0,600000</v>
      </c>
      <c r="C8">
        <v>113003</v>
      </c>
      <c r="D8">
        <v>1001</v>
      </c>
      <c r="E8">
        <v>214113</v>
      </c>
      <c r="F8">
        <v>32</v>
      </c>
      <c r="G8">
        <v>1001</v>
      </c>
      <c r="H8">
        <v>215113</v>
      </c>
      <c r="I8">
        <v>20</v>
      </c>
      <c r="J8">
        <v>1001</v>
      </c>
      <c r="K8">
        <v>215114</v>
      </c>
      <c r="L8">
        <v>20</v>
      </c>
      <c r="M8">
        <v>1001</v>
      </c>
      <c r="N8">
        <v>216111</v>
      </c>
      <c r="O8">
        <v>1</v>
      </c>
      <c r="P8">
        <v>5</v>
      </c>
      <c r="Q8">
        <v>0</v>
      </c>
      <c r="R8">
        <v>600000</v>
      </c>
      <c r="S8" t="str">
        <f t="shared" si="2"/>
        <v>1001,214113,32</v>
      </c>
      <c r="V8" t="str">
        <f t="shared" si="3"/>
        <v>1001,215113,20</v>
      </c>
      <c r="Y8" t="str">
        <f t="shared" si="4"/>
        <v>1001,215114,20</v>
      </c>
      <c r="AB8" t="str">
        <f t="shared" si="5"/>
        <v>1001,216111,1</v>
      </c>
      <c r="AE8" t="str">
        <f t="shared" si="6"/>
        <v>5,0,600000</v>
      </c>
    </row>
    <row r="9" spans="2:31">
      <c r="B9" t="str">
        <f t="shared" si="1"/>
        <v>1001,214114,32;1001,215114,20;1001,215111,20;1001,216111,1;5,0,600000</v>
      </c>
      <c r="C9">
        <v>113004</v>
      </c>
      <c r="D9">
        <v>1001</v>
      </c>
      <c r="E9">
        <v>214114</v>
      </c>
      <c r="F9">
        <v>32</v>
      </c>
      <c r="G9">
        <v>1001</v>
      </c>
      <c r="H9">
        <v>215114</v>
      </c>
      <c r="I9">
        <v>20</v>
      </c>
      <c r="J9">
        <v>1001</v>
      </c>
      <c r="K9">
        <v>215111</v>
      </c>
      <c r="L9">
        <v>20</v>
      </c>
      <c r="M9">
        <v>1001</v>
      </c>
      <c r="N9">
        <v>216111</v>
      </c>
      <c r="O9">
        <v>1</v>
      </c>
      <c r="P9">
        <v>5</v>
      </c>
      <c r="Q9">
        <v>0</v>
      </c>
      <c r="R9">
        <v>600000</v>
      </c>
      <c r="S9" t="str">
        <f t="shared" si="2"/>
        <v>1001,214114,32</v>
      </c>
      <c r="V9" t="str">
        <f t="shared" si="3"/>
        <v>1001,215114,20</v>
      </c>
      <c r="Y9" t="str">
        <f t="shared" si="4"/>
        <v>1001,215111,20</v>
      </c>
      <c r="AB9" t="str">
        <f t="shared" si="5"/>
        <v>1001,216111,1</v>
      </c>
      <c r="AE9" t="str">
        <f t="shared" si="6"/>
        <v>5,0,600000</v>
      </c>
    </row>
    <row r="10" spans="2:31">
      <c r="B10" t="str">
        <f t="shared" si="1"/>
        <v>1001,214111,32;1001,215111,20;1001,215009,20;1001,216111,1;5,0,600000</v>
      </c>
      <c r="C10">
        <v>113005</v>
      </c>
      <c r="D10">
        <v>1001</v>
      </c>
      <c r="E10">
        <v>214111</v>
      </c>
      <c r="F10">
        <v>32</v>
      </c>
      <c r="G10">
        <v>1001</v>
      </c>
      <c r="H10">
        <v>215111</v>
      </c>
      <c r="I10">
        <v>20</v>
      </c>
      <c r="J10">
        <v>1001</v>
      </c>
      <c r="K10">
        <v>215009</v>
      </c>
      <c r="L10">
        <v>20</v>
      </c>
      <c r="M10">
        <v>1001</v>
      </c>
      <c r="N10">
        <v>216111</v>
      </c>
      <c r="O10">
        <v>1</v>
      </c>
      <c r="P10">
        <v>5</v>
      </c>
      <c r="Q10">
        <v>0</v>
      </c>
      <c r="R10">
        <v>600000</v>
      </c>
      <c r="S10" t="str">
        <f t="shared" si="2"/>
        <v>1001,214111,32</v>
      </c>
      <c r="V10" t="str">
        <f t="shared" si="3"/>
        <v>1001,215111,20</v>
      </c>
      <c r="Y10" t="str">
        <f t="shared" si="4"/>
        <v>1001,215009,20</v>
      </c>
      <c r="AB10" t="str">
        <f t="shared" si="5"/>
        <v>1001,216111,1</v>
      </c>
      <c r="AE10" t="str">
        <f t="shared" si="6"/>
        <v>5,0,600000</v>
      </c>
    </row>
    <row r="11" spans="2:31">
      <c r="B11" t="str">
        <f t="shared" si="1"/>
        <v>1001,214009,32;1001,215009,20;1001,215112,20;1001,216111,1;5,0,600000</v>
      </c>
      <c r="C11">
        <v>113006</v>
      </c>
      <c r="D11">
        <v>1001</v>
      </c>
      <c r="E11">
        <v>214009</v>
      </c>
      <c r="F11">
        <v>32</v>
      </c>
      <c r="G11">
        <v>1001</v>
      </c>
      <c r="H11">
        <v>215009</v>
      </c>
      <c r="I11">
        <v>20</v>
      </c>
      <c r="J11">
        <v>1001</v>
      </c>
      <c r="K11">
        <v>215112</v>
      </c>
      <c r="L11">
        <v>20</v>
      </c>
      <c r="M11">
        <v>1001</v>
      </c>
      <c r="N11">
        <v>216111</v>
      </c>
      <c r="O11">
        <v>1</v>
      </c>
      <c r="P11">
        <v>5</v>
      </c>
      <c r="Q11">
        <v>0</v>
      </c>
      <c r="R11">
        <v>600000</v>
      </c>
      <c r="S11" t="str">
        <f t="shared" si="2"/>
        <v>1001,214009,32</v>
      </c>
      <c r="V11" t="str">
        <f t="shared" si="3"/>
        <v>1001,215009,20</v>
      </c>
      <c r="Y11" t="str">
        <f t="shared" si="4"/>
        <v>1001,215112,20</v>
      </c>
      <c r="AB11" t="str">
        <f t="shared" si="5"/>
        <v>1001,216111,1</v>
      </c>
      <c r="AE11" t="str">
        <f t="shared" si="6"/>
        <v>5,0,600000</v>
      </c>
    </row>
    <row r="12" spans="2:31">
      <c r="B12" t="str">
        <f t="shared" si="1"/>
        <v>1001,214112,32;1001,215112,20;1001,214113,20;1001,216111,1;5,0,600000</v>
      </c>
      <c r="C12">
        <v>113007</v>
      </c>
      <c r="D12">
        <v>1001</v>
      </c>
      <c r="E12">
        <v>214112</v>
      </c>
      <c r="F12">
        <v>32</v>
      </c>
      <c r="G12">
        <v>1001</v>
      </c>
      <c r="H12">
        <v>215112</v>
      </c>
      <c r="I12">
        <v>20</v>
      </c>
      <c r="J12">
        <v>1001</v>
      </c>
      <c r="K12">
        <v>214113</v>
      </c>
      <c r="L12">
        <v>20</v>
      </c>
      <c r="M12">
        <v>1001</v>
      </c>
      <c r="N12">
        <v>216111</v>
      </c>
      <c r="O12">
        <v>1</v>
      </c>
      <c r="P12">
        <v>5</v>
      </c>
      <c r="Q12">
        <v>0</v>
      </c>
      <c r="R12">
        <v>600000</v>
      </c>
      <c r="S12" t="str">
        <f t="shared" si="2"/>
        <v>1001,214112,32</v>
      </c>
      <c r="V12" t="str">
        <f t="shared" si="3"/>
        <v>1001,215112,20</v>
      </c>
      <c r="Y12" t="str">
        <f t="shared" si="4"/>
        <v>1001,214113,20</v>
      </c>
      <c r="AB12" t="str">
        <f t="shared" si="5"/>
        <v>1001,216111,1</v>
      </c>
      <c r="AE12" t="str">
        <f t="shared" si="6"/>
        <v>5,0,600000</v>
      </c>
    </row>
    <row r="13" spans="2:31">
      <c r="B13" t="str">
        <f t="shared" si="1"/>
        <v>1001,214113,32;1001,215113,20;1001,215114,20;1001,216111,1;5,0,600000</v>
      </c>
      <c r="C13">
        <v>113008</v>
      </c>
      <c r="D13">
        <v>1001</v>
      </c>
      <c r="E13">
        <v>214113</v>
      </c>
      <c r="F13">
        <v>32</v>
      </c>
      <c r="G13">
        <v>1001</v>
      </c>
      <c r="H13">
        <v>215113</v>
      </c>
      <c r="I13">
        <v>20</v>
      </c>
      <c r="J13">
        <v>1001</v>
      </c>
      <c r="K13">
        <v>215114</v>
      </c>
      <c r="L13">
        <v>20</v>
      </c>
      <c r="M13">
        <v>1001</v>
      </c>
      <c r="N13">
        <v>216111</v>
      </c>
      <c r="O13">
        <v>1</v>
      </c>
      <c r="P13">
        <v>5</v>
      </c>
      <c r="Q13">
        <v>0</v>
      </c>
      <c r="R13">
        <v>600000</v>
      </c>
      <c r="S13" t="str">
        <f t="shared" si="2"/>
        <v>1001,214113,32</v>
      </c>
      <c r="V13" t="str">
        <f t="shared" si="3"/>
        <v>1001,215113,20</v>
      </c>
      <c r="Y13" t="str">
        <f t="shared" si="4"/>
        <v>1001,215114,20</v>
      </c>
      <c r="AB13" t="str">
        <f t="shared" si="5"/>
        <v>1001,216111,1</v>
      </c>
      <c r="AE13" t="str">
        <f t="shared" si="6"/>
        <v>5,0,600000</v>
      </c>
    </row>
    <row r="14" spans="2:31">
      <c r="B14" t="str">
        <f t="shared" si="1"/>
        <v>1001,214114,32;1001,215114,20;1001,215111,20;1001,216111,1;5,0,600000</v>
      </c>
      <c r="C14">
        <v>113009</v>
      </c>
      <c r="D14">
        <v>1001</v>
      </c>
      <c r="E14">
        <v>214114</v>
      </c>
      <c r="F14">
        <v>32</v>
      </c>
      <c r="G14">
        <v>1001</v>
      </c>
      <c r="H14">
        <v>215114</v>
      </c>
      <c r="I14">
        <v>20</v>
      </c>
      <c r="J14">
        <v>1001</v>
      </c>
      <c r="K14">
        <v>215111</v>
      </c>
      <c r="L14">
        <v>20</v>
      </c>
      <c r="M14">
        <v>1001</v>
      </c>
      <c r="N14">
        <v>216111</v>
      </c>
      <c r="O14">
        <v>1</v>
      </c>
      <c r="P14">
        <v>5</v>
      </c>
      <c r="Q14">
        <v>0</v>
      </c>
      <c r="R14">
        <v>600000</v>
      </c>
      <c r="S14" t="str">
        <f t="shared" si="2"/>
        <v>1001,214114,32</v>
      </c>
      <c r="V14" t="str">
        <f t="shared" si="3"/>
        <v>1001,215114,20</v>
      </c>
      <c r="Y14" t="str">
        <f t="shared" si="4"/>
        <v>1001,215111,20</v>
      </c>
      <c r="AB14" t="str">
        <f t="shared" si="5"/>
        <v>1001,216111,1</v>
      </c>
      <c r="AE14" t="str">
        <f t="shared" si="6"/>
        <v>5,0,600000</v>
      </c>
    </row>
    <row r="15" spans="2:31">
      <c r="B15" t="str">
        <f t="shared" si="1"/>
        <v>1001,214111,32;1001,215111,20;1001,215009,20;1001,216111,1;5,0,600000</v>
      </c>
      <c r="C15">
        <v>113010</v>
      </c>
      <c r="D15">
        <v>1001</v>
      </c>
      <c r="E15">
        <v>214111</v>
      </c>
      <c r="F15">
        <v>32</v>
      </c>
      <c r="G15">
        <v>1001</v>
      </c>
      <c r="H15">
        <v>215111</v>
      </c>
      <c r="I15">
        <v>20</v>
      </c>
      <c r="J15">
        <v>1001</v>
      </c>
      <c r="K15">
        <v>215009</v>
      </c>
      <c r="L15">
        <v>20</v>
      </c>
      <c r="M15">
        <v>1001</v>
      </c>
      <c r="N15">
        <v>216111</v>
      </c>
      <c r="O15">
        <v>1</v>
      </c>
      <c r="P15">
        <v>5</v>
      </c>
      <c r="Q15">
        <v>0</v>
      </c>
      <c r="R15">
        <v>600000</v>
      </c>
      <c r="S15" t="str">
        <f t="shared" si="2"/>
        <v>1001,214111,32</v>
      </c>
      <c r="V15" t="str">
        <f t="shared" si="3"/>
        <v>1001,215111,20</v>
      </c>
      <c r="Y15" t="str">
        <f t="shared" si="4"/>
        <v>1001,215009,20</v>
      </c>
      <c r="AB15" t="str">
        <f t="shared" si="5"/>
        <v>1001,216111,1</v>
      </c>
      <c r="AE15" t="str">
        <f t="shared" si="6"/>
        <v>5,0,600000</v>
      </c>
    </row>
    <row r="16" spans="2:31">
      <c r="B16" t="str">
        <f t="shared" si="1"/>
        <v>1001,214111,32;1001,215111,20;1001,215009,20;1001,216111,1;5,0,600000</v>
      </c>
      <c r="C16">
        <v>113011</v>
      </c>
      <c r="D16">
        <v>1001</v>
      </c>
      <c r="E16">
        <v>214111</v>
      </c>
      <c r="F16">
        <v>32</v>
      </c>
      <c r="G16">
        <v>1001</v>
      </c>
      <c r="H16">
        <v>215111</v>
      </c>
      <c r="I16">
        <v>20</v>
      </c>
      <c r="J16">
        <v>1001</v>
      </c>
      <c r="K16">
        <v>215009</v>
      </c>
      <c r="L16">
        <v>20</v>
      </c>
      <c r="M16">
        <v>1001</v>
      </c>
      <c r="N16">
        <v>216111</v>
      </c>
      <c r="O16">
        <v>1</v>
      </c>
      <c r="P16">
        <v>5</v>
      </c>
      <c r="Q16">
        <v>0</v>
      </c>
      <c r="R16">
        <v>600000</v>
      </c>
      <c r="S16" t="str">
        <f t="shared" si="2"/>
        <v>1001,214111,32</v>
      </c>
      <c r="V16" t="str">
        <f t="shared" si="3"/>
        <v>1001,215111,20</v>
      </c>
      <c r="Y16" t="str">
        <f t="shared" si="4"/>
        <v>1001,215009,20</v>
      </c>
      <c r="AB16" t="str">
        <f t="shared" si="5"/>
        <v>1001,216111,1</v>
      </c>
      <c r="AE16" t="str">
        <f t="shared" si="6"/>
        <v>5,0,600000</v>
      </c>
    </row>
    <row r="17" spans="2:31">
      <c r="B17" t="str">
        <f t="shared" si="1"/>
        <v>1001,214009,32;1001,215009,20;1001,215112,20;1001,216111,1;5,0,600000</v>
      </c>
      <c r="C17">
        <v>113012</v>
      </c>
      <c r="D17">
        <v>1001</v>
      </c>
      <c r="E17">
        <v>214009</v>
      </c>
      <c r="F17">
        <v>32</v>
      </c>
      <c r="G17">
        <v>1001</v>
      </c>
      <c r="H17">
        <v>215009</v>
      </c>
      <c r="I17">
        <v>20</v>
      </c>
      <c r="J17">
        <v>1001</v>
      </c>
      <c r="K17">
        <v>215112</v>
      </c>
      <c r="L17">
        <v>20</v>
      </c>
      <c r="M17">
        <v>1001</v>
      </c>
      <c r="N17">
        <v>216111</v>
      </c>
      <c r="O17">
        <v>1</v>
      </c>
      <c r="P17">
        <v>5</v>
      </c>
      <c r="Q17">
        <v>0</v>
      </c>
      <c r="R17">
        <v>600000</v>
      </c>
      <c r="S17" t="str">
        <f t="shared" si="2"/>
        <v>1001,214009,32</v>
      </c>
      <c r="V17" t="str">
        <f t="shared" si="3"/>
        <v>1001,215009,20</v>
      </c>
      <c r="Y17" t="str">
        <f t="shared" si="4"/>
        <v>1001,215112,20</v>
      </c>
      <c r="AB17" t="str">
        <f t="shared" si="5"/>
        <v>1001,216111,1</v>
      </c>
      <c r="AE17" t="str">
        <f t="shared" si="6"/>
        <v>5,0,600000</v>
      </c>
    </row>
    <row r="18" spans="2:31">
      <c r="B18" t="str">
        <f t="shared" si="1"/>
        <v>1001,214112,32;1001,215112,20;1001,214113,20;1001,216111,1;5,0,600000</v>
      </c>
      <c r="C18">
        <v>113013</v>
      </c>
      <c r="D18">
        <v>1001</v>
      </c>
      <c r="E18">
        <v>214112</v>
      </c>
      <c r="F18">
        <v>32</v>
      </c>
      <c r="G18">
        <v>1001</v>
      </c>
      <c r="H18">
        <v>215112</v>
      </c>
      <c r="I18">
        <v>20</v>
      </c>
      <c r="J18">
        <v>1001</v>
      </c>
      <c r="K18">
        <v>214113</v>
      </c>
      <c r="L18">
        <v>20</v>
      </c>
      <c r="M18">
        <v>1001</v>
      </c>
      <c r="N18">
        <v>216111</v>
      </c>
      <c r="O18">
        <v>1</v>
      </c>
      <c r="P18">
        <v>5</v>
      </c>
      <c r="Q18">
        <v>0</v>
      </c>
      <c r="R18">
        <v>600000</v>
      </c>
      <c r="S18" t="str">
        <f t="shared" si="2"/>
        <v>1001,214112,32</v>
      </c>
      <c r="V18" t="str">
        <f t="shared" si="3"/>
        <v>1001,215112,20</v>
      </c>
      <c r="Y18" t="str">
        <f t="shared" si="4"/>
        <v>1001,214113,20</v>
      </c>
      <c r="AB18" t="str">
        <f t="shared" si="5"/>
        <v>1001,216111,1</v>
      </c>
      <c r="AE18" t="str">
        <f t="shared" si="6"/>
        <v>5,0,600000</v>
      </c>
    </row>
    <row r="19" spans="2:31">
      <c r="B19" t="str">
        <f t="shared" si="1"/>
        <v>1001,214113,32;1001,215113,20;1001,215114,20;1001,216111,1;5,0,600000</v>
      </c>
      <c r="C19">
        <v>113014</v>
      </c>
      <c r="D19">
        <v>1001</v>
      </c>
      <c r="E19">
        <v>214113</v>
      </c>
      <c r="F19">
        <v>32</v>
      </c>
      <c r="G19">
        <v>1001</v>
      </c>
      <c r="H19">
        <v>215113</v>
      </c>
      <c r="I19">
        <v>20</v>
      </c>
      <c r="J19">
        <v>1001</v>
      </c>
      <c r="K19">
        <v>215114</v>
      </c>
      <c r="L19">
        <v>20</v>
      </c>
      <c r="M19">
        <v>1001</v>
      </c>
      <c r="N19">
        <v>216111</v>
      </c>
      <c r="O19">
        <v>1</v>
      </c>
      <c r="P19">
        <v>5</v>
      </c>
      <c r="Q19">
        <v>0</v>
      </c>
      <c r="R19">
        <v>600000</v>
      </c>
      <c r="S19" t="str">
        <f t="shared" si="2"/>
        <v>1001,214113,32</v>
      </c>
      <c r="V19" t="str">
        <f t="shared" si="3"/>
        <v>1001,215113,20</v>
      </c>
      <c r="Y19" t="str">
        <f t="shared" si="4"/>
        <v>1001,215114,20</v>
      </c>
      <c r="AB19" t="str">
        <f t="shared" si="5"/>
        <v>1001,216111,1</v>
      </c>
      <c r="AE19" t="str">
        <f t="shared" si="6"/>
        <v>5,0,600000</v>
      </c>
    </row>
    <row r="20" spans="2:31">
      <c r="B20" t="str">
        <f t="shared" si="1"/>
        <v>1001,214114,32;1001,215114,20;1001,215111,20;1001,216111,1;5,0,600000</v>
      </c>
      <c r="C20">
        <v>113015</v>
      </c>
      <c r="D20">
        <v>1001</v>
      </c>
      <c r="E20">
        <v>214114</v>
      </c>
      <c r="F20">
        <v>32</v>
      </c>
      <c r="G20">
        <v>1001</v>
      </c>
      <c r="H20">
        <v>215114</v>
      </c>
      <c r="I20">
        <v>20</v>
      </c>
      <c r="J20">
        <v>1001</v>
      </c>
      <c r="K20">
        <v>215111</v>
      </c>
      <c r="L20">
        <v>20</v>
      </c>
      <c r="M20">
        <v>1001</v>
      </c>
      <c r="N20">
        <v>216111</v>
      </c>
      <c r="O20">
        <v>1</v>
      </c>
      <c r="P20">
        <v>5</v>
      </c>
      <c r="Q20">
        <v>0</v>
      </c>
      <c r="R20">
        <v>600000</v>
      </c>
      <c r="S20" t="str">
        <f t="shared" si="2"/>
        <v>1001,214114,32</v>
      </c>
      <c r="V20" t="str">
        <f t="shared" si="3"/>
        <v>1001,215114,20</v>
      </c>
      <c r="Y20" t="str">
        <f t="shared" si="4"/>
        <v>1001,215111,20</v>
      </c>
      <c r="AB20" t="str">
        <f t="shared" si="5"/>
        <v>1001,216111,1</v>
      </c>
      <c r="AE20" t="str">
        <f t="shared" si="6"/>
        <v>5,0,600000</v>
      </c>
    </row>
    <row r="21" spans="2:31">
      <c r="B21" t="str">
        <f t="shared" si="1"/>
        <v>1001,214009,32;1001,215009,20;1001,215112,20;1001,216111,1;5,0,600000</v>
      </c>
      <c r="C21">
        <v>113016</v>
      </c>
      <c r="D21">
        <v>1001</v>
      </c>
      <c r="E21">
        <v>214009</v>
      </c>
      <c r="F21">
        <v>32</v>
      </c>
      <c r="G21">
        <v>1001</v>
      </c>
      <c r="H21">
        <v>215009</v>
      </c>
      <c r="I21">
        <v>20</v>
      </c>
      <c r="J21">
        <v>1001</v>
      </c>
      <c r="K21">
        <v>215112</v>
      </c>
      <c r="L21">
        <v>20</v>
      </c>
      <c r="M21">
        <v>1001</v>
      </c>
      <c r="N21">
        <v>216111</v>
      </c>
      <c r="O21">
        <v>1</v>
      </c>
      <c r="P21">
        <v>5</v>
      </c>
      <c r="Q21">
        <v>0</v>
      </c>
      <c r="R21">
        <v>600000</v>
      </c>
      <c r="S21" t="str">
        <f t="shared" si="2"/>
        <v>1001,214009,32</v>
      </c>
      <c r="V21" t="str">
        <f t="shared" si="3"/>
        <v>1001,215009,20</v>
      </c>
      <c r="Y21" t="str">
        <f t="shared" si="4"/>
        <v>1001,215112,20</v>
      </c>
      <c r="AB21" t="str">
        <f t="shared" si="5"/>
        <v>1001,216111,1</v>
      </c>
      <c r="AE21" t="str">
        <f t="shared" si="6"/>
        <v>5,0,600000</v>
      </c>
    </row>
    <row r="22" spans="2:31">
      <c r="B22" t="str">
        <f t="shared" si="1"/>
        <v>1001,214112,32;1001,214113,20;1001,215113,20;1001,216111,1;5,0,600000</v>
      </c>
      <c r="C22">
        <v>113017</v>
      </c>
      <c r="D22">
        <v>1001</v>
      </c>
      <c r="E22">
        <v>214112</v>
      </c>
      <c r="F22">
        <v>32</v>
      </c>
      <c r="G22">
        <v>1001</v>
      </c>
      <c r="H22">
        <v>214113</v>
      </c>
      <c r="I22">
        <v>20</v>
      </c>
      <c r="J22">
        <v>1001</v>
      </c>
      <c r="K22">
        <v>215113</v>
      </c>
      <c r="L22">
        <v>20</v>
      </c>
      <c r="M22">
        <v>1001</v>
      </c>
      <c r="N22">
        <v>216111</v>
      </c>
      <c r="O22">
        <v>1</v>
      </c>
      <c r="P22">
        <v>5</v>
      </c>
      <c r="Q22">
        <v>0</v>
      </c>
      <c r="R22">
        <v>600000</v>
      </c>
      <c r="S22" t="str">
        <f t="shared" si="2"/>
        <v>1001,214112,32</v>
      </c>
      <c r="V22" t="str">
        <f t="shared" si="3"/>
        <v>1001,214113,20</v>
      </c>
      <c r="Y22" t="str">
        <f t="shared" si="4"/>
        <v>1001,215113,20</v>
      </c>
      <c r="AB22" t="str">
        <f t="shared" si="5"/>
        <v>1001,216111,1</v>
      </c>
      <c r="AE22" t="str">
        <f t="shared" si="6"/>
        <v>5,0,600000</v>
      </c>
    </row>
    <row r="23" spans="2:31">
      <c r="B23" t="str">
        <f t="shared" si="1"/>
        <v>1001,214114,32;1001,215114,20;1001,215111,20;1001,216111,1;5,0,600000</v>
      </c>
      <c r="C23">
        <v>113018</v>
      </c>
      <c r="D23">
        <v>1001</v>
      </c>
      <c r="E23">
        <v>214114</v>
      </c>
      <c r="F23">
        <v>32</v>
      </c>
      <c r="G23">
        <v>1001</v>
      </c>
      <c r="H23">
        <v>215114</v>
      </c>
      <c r="I23">
        <v>20</v>
      </c>
      <c r="J23">
        <v>1001</v>
      </c>
      <c r="K23">
        <v>215111</v>
      </c>
      <c r="L23">
        <v>20</v>
      </c>
      <c r="M23">
        <v>1001</v>
      </c>
      <c r="N23">
        <v>216111</v>
      </c>
      <c r="O23">
        <v>1</v>
      </c>
      <c r="P23">
        <v>5</v>
      </c>
      <c r="Q23">
        <v>0</v>
      </c>
      <c r="R23">
        <v>600000</v>
      </c>
      <c r="S23" t="str">
        <f t="shared" si="2"/>
        <v>1001,214114,32</v>
      </c>
      <c r="V23" t="str">
        <f t="shared" si="3"/>
        <v>1001,215114,20</v>
      </c>
      <c r="Y23" t="str">
        <f t="shared" si="4"/>
        <v>1001,215111,20</v>
      </c>
      <c r="AB23" t="str">
        <f t="shared" si="5"/>
        <v>1001,216111,1</v>
      </c>
      <c r="AE23" t="str">
        <f t="shared" si="6"/>
        <v>5,0,600000</v>
      </c>
    </row>
    <row r="24" spans="2:31">
      <c r="B24" t="str">
        <f t="shared" si="1"/>
        <v>1001,214111,32;1001,215111,20;1001,215009,20;1001,216111,1;5,0,600000</v>
      </c>
      <c r="C24">
        <v>113019</v>
      </c>
      <c r="D24">
        <v>1001</v>
      </c>
      <c r="E24">
        <v>214111</v>
      </c>
      <c r="F24">
        <v>32</v>
      </c>
      <c r="G24">
        <v>1001</v>
      </c>
      <c r="H24">
        <v>215111</v>
      </c>
      <c r="I24">
        <v>20</v>
      </c>
      <c r="J24">
        <v>1001</v>
      </c>
      <c r="K24">
        <v>215009</v>
      </c>
      <c r="L24">
        <v>20</v>
      </c>
      <c r="M24">
        <v>1001</v>
      </c>
      <c r="N24">
        <v>216111</v>
      </c>
      <c r="O24">
        <v>1</v>
      </c>
      <c r="P24">
        <v>5</v>
      </c>
      <c r="Q24">
        <v>0</v>
      </c>
      <c r="R24">
        <v>600000</v>
      </c>
      <c r="S24" t="str">
        <f t="shared" si="2"/>
        <v>1001,214111,32</v>
      </c>
      <c r="V24" t="str">
        <f t="shared" si="3"/>
        <v>1001,215111,20</v>
      </c>
      <c r="Y24" t="str">
        <f t="shared" si="4"/>
        <v>1001,215009,20</v>
      </c>
      <c r="AB24" t="str">
        <f t="shared" si="5"/>
        <v>1001,216111,1</v>
      </c>
      <c r="AE24" t="str">
        <f t="shared" si="6"/>
        <v>5,0,600000</v>
      </c>
    </row>
    <row r="25" spans="2:31">
      <c r="B25" t="str">
        <f t="shared" si="1"/>
        <v>1001,214113,32;1001,215113,20;1001,215114,20;1001,216111,1;5,0,600000</v>
      </c>
      <c r="C25">
        <v>113020</v>
      </c>
      <c r="D25">
        <v>1001</v>
      </c>
      <c r="E25">
        <v>214113</v>
      </c>
      <c r="F25">
        <v>32</v>
      </c>
      <c r="G25">
        <v>1001</v>
      </c>
      <c r="H25">
        <v>215113</v>
      </c>
      <c r="I25">
        <v>20</v>
      </c>
      <c r="J25">
        <v>1001</v>
      </c>
      <c r="K25">
        <v>215114</v>
      </c>
      <c r="L25">
        <v>20</v>
      </c>
      <c r="M25">
        <v>1001</v>
      </c>
      <c r="N25">
        <v>216111</v>
      </c>
      <c r="O25">
        <v>1</v>
      </c>
      <c r="P25">
        <v>5</v>
      </c>
      <c r="Q25">
        <v>0</v>
      </c>
      <c r="R25">
        <v>600000</v>
      </c>
      <c r="S25" t="str">
        <f t="shared" si="2"/>
        <v>1001,214113,32</v>
      </c>
      <c r="V25" t="str">
        <f t="shared" si="3"/>
        <v>1001,215113,20</v>
      </c>
      <c r="Y25" t="str">
        <f t="shared" si="4"/>
        <v>1001,215114,20</v>
      </c>
      <c r="AB25" t="str">
        <f t="shared" si="5"/>
        <v>1001,216111,1</v>
      </c>
      <c r="AE25" t="str">
        <f t="shared" si="6"/>
        <v>5,0,600000</v>
      </c>
    </row>
    <row r="26" spans="2:31">
      <c r="B26" t="str">
        <f t="shared" si="1"/>
        <v>1001,214112,32;1001,214113,20;1001,215113,20;1001,216111,1;5,0,600000</v>
      </c>
      <c r="C26">
        <v>113021</v>
      </c>
      <c r="D26">
        <v>1001</v>
      </c>
      <c r="E26">
        <v>214112</v>
      </c>
      <c r="F26">
        <v>32</v>
      </c>
      <c r="G26">
        <v>1001</v>
      </c>
      <c r="H26">
        <v>214113</v>
      </c>
      <c r="I26">
        <v>20</v>
      </c>
      <c r="J26">
        <v>1001</v>
      </c>
      <c r="K26">
        <v>215113</v>
      </c>
      <c r="L26">
        <v>20</v>
      </c>
      <c r="M26">
        <v>1001</v>
      </c>
      <c r="N26">
        <v>216111</v>
      </c>
      <c r="O26">
        <v>1</v>
      </c>
      <c r="P26">
        <v>5</v>
      </c>
      <c r="Q26">
        <v>0</v>
      </c>
      <c r="R26">
        <v>600000</v>
      </c>
      <c r="S26" t="str">
        <f t="shared" si="2"/>
        <v>1001,214112,32</v>
      </c>
      <c r="V26" t="str">
        <f t="shared" si="3"/>
        <v>1001,214113,20</v>
      </c>
      <c r="Y26" t="str">
        <f t="shared" si="4"/>
        <v>1001,215113,20</v>
      </c>
      <c r="AB26" t="str">
        <f t="shared" si="5"/>
        <v>1001,216111,1</v>
      </c>
      <c r="AE26" t="str">
        <f t="shared" si="6"/>
        <v>5,0,600000</v>
      </c>
    </row>
    <row r="27" spans="2:31">
      <c r="B27" t="str">
        <f t="shared" si="1"/>
        <v>1001,214114,32;1001,215114,20;1001,215111,20;1001,216111,1;5,0,600000</v>
      </c>
      <c r="C27">
        <v>113022</v>
      </c>
      <c r="D27">
        <v>1001</v>
      </c>
      <c r="E27">
        <v>214114</v>
      </c>
      <c r="F27">
        <v>32</v>
      </c>
      <c r="G27">
        <v>1001</v>
      </c>
      <c r="H27">
        <v>215114</v>
      </c>
      <c r="I27">
        <v>20</v>
      </c>
      <c r="J27">
        <v>1001</v>
      </c>
      <c r="K27">
        <v>215111</v>
      </c>
      <c r="L27">
        <v>20</v>
      </c>
      <c r="M27">
        <v>1001</v>
      </c>
      <c r="N27">
        <v>216111</v>
      </c>
      <c r="O27">
        <v>1</v>
      </c>
      <c r="P27">
        <v>5</v>
      </c>
      <c r="Q27">
        <v>0</v>
      </c>
      <c r="R27">
        <v>600000</v>
      </c>
      <c r="S27" t="str">
        <f t="shared" si="2"/>
        <v>1001,214114,32</v>
      </c>
      <c r="V27" t="str">
        <f t="shared" si="3"/>
        <v>1001,215114,20</v>
      </c>
      <c r="Y27" t="str">
        <f t="shared" si="4"/>
        <v>1001,215111,20</v>
      </c>
      <c r="AB27" t="str">
        <f t="shared" si="5"/>
        <v>1001,216111,1</v>
      </c>
      <c r="AE27" t="str">
        <f t="shared" si="6"/>
        <v>5,0,600000</v>
      </c>
    </row>
    <row r="28" spans="2:31">
      <c r="B28" t="str">
        <f t="shared" si="1"/>
        <v>1001,214009,32;1001,215009,20;1001,215112,20;1001,216111,1;5,0,600000</v>
      </c>
      <c r="C28">
        <v>113023</v>
      </c>
      <c r="D28">
        <v>1001</v>
      </c>
      <c r="E28">
        <v>214009</v>
      </c>
      <c r="F28">
        <v>32</v>
      </c>
      <c r="G28">
        <v>1001</v>
      </c>
      <c r="H28">
        <v>215009</v>
      </c>
      <c r="I28">
        <v>20</v>
      </c>
      <c r="J28">
        <v>1001</v>
      </c>
      <c r="K28">
        <v>215112</v>
      </c>
      <c r="L28">
        <v>20</v>
      </c>
      <c r="M28">
        <v>1001</v>
      </c>
      <c r="N28">
        <v>216111</v>
      </c>
      <c r="O28">
        <v>1</v>
      </c>
      <c r="P28">
        <v>5</v>
      </c>
      <c r="Q28">
        <v>0</v>
      </c>
      <c r="R28">
        <v>600000</v>
      </c>
      <c r="S28" t="str">
        <f t="shared" si="2"/>
        <v>1001,214009,32</v>
      </c>
      <c r="V28" t="str">
        <f t="shared" si="3"/>
        <v>1001,215009,20</v>
      </c>
      <c r="Y28" t="str">
        <f t="shared" si="4"/>
        <v>1001,215112,20</v>
      </c>
      <c r="AB28" t="str">
        <f t="shared" si="5"/>
        <v>1001,216111,1</v>
      </c>
      <c r="AE28" t="str">
        <f t="shared" si="6"/>
        <v>5,0,600000</v>
      </c>
    </row>
    <row r="29" spans="2:31">
      <c r="B29" t="str">
        <f t="shared" si="1"/>
        <v>1001,214111,32;1001,215111,20;1001,215009,20;1001,216111,1;5,0,600000</v>
      </c>
      <c r="C29">
        <v>113024</v>
      </c>
      <c r="D29">
        <v>1001</v>
      </c>
      <c r="E29">
        <v>214111</v>
      </c>
      <c r="F29">
        <v>32</v>
      </c>
      <c r="G29">
        <v>1001</v>
      </c>
      <c r="H29">
        <v>215111</v>
      </c>
      <c r="I29">
        <v>20</v>
      </c>
      <c r="J29">
        <v>1001</v>
      </c>
      <c r="K29">
        <v>215009</v>
      </c>
      <c r="L29">
        <v>20</v>
      </c>
      <c r="M29">
        <v>1001</v>
      </c>
      <c r="N29">
        <v>216111</v>
      </c>
      <c r="O29">
        <v>1</v>
      </c>
      <c r="P29">
        <v>5</v>
      </c>
      <c r="Q29">
        <v>0</v>
      </c>
      <c r="R29">
        <v>600000</v>
      </c>
      <c r="S29" t="str">
        <f t="shared" si="2"/>
        <v>1001,214111,32</v>
      </c>
      <c r="V29" t="str">
        <f t="shared" si="3"/>
        <v>1001,215111,20</v>
      </c>
      <c r="Y29" t="str">
        <f t="shared" si="4"/>
        <v>1001,215009,20</v>
      </c>
      <c r="AB29" t="str">
        <f t="shared" si="5"/>
        <v>1001,216111,1</v>
      </c>
      <c r="AE29" t="str">
        <f t="shared" si="6"/>
        <v>5,0,600000</v>
      </c>
    </row>
    <row r="30" spans="2:31">
      <c r="B30" t="str">
        <f t="shared" si="1"/>
        <v>1001,214112,32;1001,214113,20;1001,215113,20;1001,216111,1;5,0,600000</v>
      </c>
      <c r="C30">
        <v>113025</v>
      </c>
      <c r="D30">
        <v>1001</v>
      </c>
      <c r="E30">
        <v>214112</v>
      </c>
      <c r="F30">
        <v>32</v>
      </c>
      <c r="G30">
        <v>1001</v>
      </c>
      <c r="H30">
        <v>214113</v>
      </c>
      <c r="I30">
        <v>20</v>
      </c>
      <c r="J30">
        <v>1001</v>
      </c>
      <c r="K30">
        <v>215113</v>
      </c>
      <c r="L30">
        <v>20</v>
      </c>
      <c r="M30">
        <v>1001</v>
      </c>
      <c r="N30">
        <v>216111</v>
      </c>
      <c r="O30">
        <v>1</v>
      </c>
      <c r="P30">
        <v>5</v>
      </c>
      <c r="Q30">
        <v>0</v>
      </c>
      <c r="R30">
        <v>600000</v>
      </c>
      <c r="S30" t="str">
        <f t="shared" si="2"/>
        <v>1001,214112,32</v>
      </c>
      <c r="V30" t="str">
        <f t="shared" si="3"/>
        <v>1001,214113,20</v>
      </c>
      <c r="Y30" t="str">
        <f t="shared" si="4"/>
        <v>1001,215113,20</v>
      </c>
      <c r="AB30" t="str">
        <f t="shared" si="5"/>
        <v>1001,216111,1</v>
      </c>
      <c r="AE30" t="str">
        <f t="shared" si="6"/>
        <v>5,0,600000</v>
      </c>
    </row>
    <row r="31" spans="2:31">
      <c r="B31" t="str">
        <f t="shared" si="1"/>
        <v>1001,214009,32;1001,215009,20;1001,215112,20;1001,216111,1;5,0,600000</v>
      </c>
      <c r="C31">
        <v>113026</v>
      </c>
      <c r="D31">
        <v>1001</v>
      </c>
      <c r="E31">
        <v>214009</v>
      </c>
      <c r="F31">
        <v>32</v>
      </c>
      <c r="G31">
        <v>1001</v>
      </c>
      <c r="H31">
        <v>215009</v>
      </c>
      <c r="I31">
        <v>20</v>
      </c>
      <c r="J31">
        <v>1001</v>
      </c>
      <c r="K31">
        <v>215112</v>
      </c>
      <c r="L31">
        <v>20</v>
      </c>
      <c r="M31">
        <v>1001</v>
      </c>
      <c r="N31">
        <v>216111</v>
      </c>
      <c r="O31">
        <v>1</v>
      </c>
      <c r="P31">
        <v>5</v>
      </c>
      <c r="Q31">
        <v>0</v>
      </c>
      <c r="R31">
        <v>600000</v>
      </c>
      <c r="S31" t="str">
        <f t="shared" si="2"/>
        <v>1001,214009,32</v>
      </c>
      <c r="V31" t="str">
        <f t="shared" si="3"/>
        <v>1001,215009,20</v>
      </c>
      <c r="Y31" t="str">
        <f t="shared" si="4"/>
        <v>1001,215112,20</v>
      </c>
      <c r="AB31" t="str">
        <f t="shared" si="5"/>
        <v>1001,216111,1</v>
      </c>
      <c r="AE31" t="str">
        <f t="shared" si="6"/>
        <v>5,0,600000</v>
      </c>
    </row>
    <row r="32" spans="2:31">
      <c r="B32" t="str">
        <f t="shared" si="1"/>
        <v>1001,214113,32;1001,215113,20;1001,215114,20;1001,216111,1;5,0,600000</v>
      </c>
      <c r="C32">
        <v>113027</v>
      </c>
      <c r="D32">
        <v>1001</v>
      </c>
      <c r="E32">
        <v>214113</v>
      </c>
      <c r="F32">
        <v>32</v>
      </c>
      <c r="G32">
        <v>1001</v>
      </c>
      <c r="H32">
        <v>215113</v>
      </c>
      <c r="I32">
        <v>20</v>
      </c>
      <c r="J32">
        <v>1001</v>
      </c>
      <c r="K32">
        <v>215114</v>
      </c>
      <c r="L32">
        <v>20</v>
      </c>
      <c r="M32">
        <v>1001</v>
      </c>
      <c r="N32">
        <v>216111</v>
      </c>
      <c r="O32">
        <v>1</v>
      </c>
      <c r="P32">
        <v>5</v>
      </c>
      <c r="Q32">
        <v>0</v>
      </c>
      <c r="R32">
        <v>600000</v>
      </c>
      <c r="S32" t="str">
        <f t="shared" si="2"/>
        <v>1001,214113,32</v>
      </c>
      <c r="V32" t="str">
        <f t="shared" si="3"/>
        <v>1001,215113,20</v>
      </c>
      <c r="Y32" t="str">
        <f t="shared" si="4"/>
        <v>1001,215114,20</v>
      </c>
      <c r="AB32" t="str">
        <f t="shared" si="5"/>
        <v>1001,216111,1</v>
      </c>
      <c r="AE32" t="str">
        <f t="shared" si="6"/>
        <v>5,0,600000</v>
      </c>
    </row>
    <row r="33" spans="2:31">
      <c r="B33" t="str">
        <f t="shared" si="1"/>
        <v>1001,214114,32;1001,215114,20;1001,215111,20;1001,216111,1;5,0,600000</v>
      </c>
      <c r="C33">
        <v>113028</v>
      </c>
      <c r="D33">
        <v>1001</v>
      </c>
      <c r="E33">
        <v>214114</v>
      </c>
      <c r="F33">
        <v>32</v>
      </c>
      <c r="G33">
        <v>1001</v>
      </c>
      <c r="H33">
        <v>215114</v>
      </c>
      <c r="I33">
        <v>20</v>
      </c>
      <c r="J33">
        <v>1001</v>
      </c>
      <c r="K33">
        <v>215111</v>
      </c>
      <c r="L33">
        <v>20</v>
      </c>
      <c r="M33">
        <v>1001</v>
      </c>
      <c r="N33">
        <v>216111</v>
      </c>
      <c r="O33">
        <v>1</v>
      </c>
      <c r="P33">
        <v>5</v>
      </c>
      <c r="Q33">
        <v>0</v>
      </c>
      <c r="R33">
        <v>600000</v>
      </c>
      <c r="S33" t="str">
        <f t="shared" si="2"/>
        <v>1001,214114,32</v>
      </c>
      <c r="V33" t="str">
        <f t="shared" si="3"/>
        <v>1001,215114,20</v>
      </c>
      <c r="Y33" t="str">
        <f t="shared" si="4"/>
        <v>1001,215111,20</v>
      </c>
      <c r="AB33" t="str">
        <f t="shared" si="5"/>
        <v>1001,216111,1</v>
      </c>
      <c r="AE33" t="str">
        <f t="shared" si="6"/>
        <v>5,0,600000</v>
      </c>
    </row>
    <row r="34" spans="2:31">
      <c r="B34" t="str">
        <f t="shared" si="1"/>
        <v>1001,214009,32;1001,215009,20;1001,215112,20;1001,216111,1;5,0,600000</v>
      </c>
      <c r="C34">
        <v>113029</v>
      </c>
      <c r="D34">
        <v>1001</v>
      </c>
      <c r="E34">
        <v>214009</v>
      </c>
      <c r="F34">
        <v>32</v>
      </c>
      <c r="G34">
        <v>1001</v>
      </c>
      <c r="H34">
        <v>215009</v>
      </c>
      <c r="I34">
        <v>20</v>
      </c>
      <c r="J34">
        <v>1001</v>
      </c>
      <c r="K34">
        <v>215112</v>
      </c>
      <c r="L34">
        <v>20</v>
      </c>
      <c r="M34">
        <v>1001</v>
      </c>
      <c r="N34">
        <v>216111</v>
      </c>
      <c r="O34">
        <v>1</v>
      </c>
      <c r="P34">
        <v>5</v>
      </c>
      <c r="Q34">
        <v>0</v>
      </c>
      <c r="R34">
        <v>600000</v>
      </c>
      <c r="S34" t="str">
        <f t="shared" si="2"/>
        <v>1001,214009,32</v>
      </c>
      <c r="V34" t="str">
        <f t="shared" si="3"/>
        <v>1001,215009,20</v>
      </c>
      <c r="Y34" t="str">
        <f t="shared" si="4"/>
        <v>1001,215112,20</v>
      </c>
      <c r="AB34" t="str">
        <f t="shared" si="5"/>
        <v>1001,216111,1</v>
      </c>
      <c r="AE34" t="str">
        <f t="shared" si="6"/>
        <v>5,0,600000</v>
      </c>
    </row>
    <row r="35" spans="2:31">
      <c r="B35" t="str">
        <f t="shared" si="1"/>
        <v>1001,214111,32;1001,215111,20;1001,215009,20;1001,216111,1;5,0,600000</v>
      </c>
      <c r="C35">
        <v>113030</v>
      </c>
      <c r="D35">
        <v>1001</v>
      </c>
      <c r="E35">
        <v>214111</v>
      </c>
      <c r="F35">
        <v>32</v>
      </c>
      <c r="G35">
        <v>1001</v>
      </c>
      <c r="H35">
        <v>215111</v>
      </c>
      <c r="I35">
        <v>20</v>
      </c>
      <c r="J35">
        <v>1001</v>
      </c>
      <c r="K35">
        <v>215009</v>
      </c>
      <c r="L35">
        <v>20</v>
      </c>
      <c r="M35">
        <v>1001</v>
      </c>
      <c r="N35">
        <v>216111</v>
      </c>
      <c r="O35">
        <v>1</v>
      </c>
      <c r="P35">
        <v>5</v>
      </c>
      <c r="Q35">
        <v>0</v>
      </c>
      <c r="R35">
        <v>600000</v>
      </c>
      <c r="S35" t="str">
        <f t="shared" si="2"/>
        <v>1001,214111,32</v>
      </c>
      <c r="V35" t="str">
        <f t="shared" si="3"/>
        <v>1001,215111,20</v>
      </c>
      <c r="Y35" t="str">
        <f t="shared" si="4"/>
        <v>1001,215009,20</v>
      </c>
      <c r="AB35" t="str">
        <f t="shared" si="5"/>
        <v>1001,216111,1</v>
      </c>
      <c r="AE35" t="str">
        <f t="shared" si="6"/>
        <v>5,0,600000</v>
      </c>
    </row>
    <row r="36" spans="2:31">
      <c r="B36" t="str">
        <f t="shared" si="1"/>
        <v>1001,214112,32;1001,214113,20;1001,215113,20;1001,216111,1;5,0,600000</v>
      </c>
      <c r="C36">
        <v>113031</v>
      </c>
      <c r="D36">
        <v>1001</v>
      </c>
      <c r="E36">
        <v>214112</v>
      </c>
      <c r="F36">
        <v>32</v>
      </c>
      <c r="G36">
        <v>1001</v>
      </c>
      <c r="H36">
        <v>214113</v>
      </c>
      <c r="I36">
        <v>20</v>
      </c>
      <c r="J36">
        <v>1001</v>
      </c>
      <c r="K36">
        <v>215113</v>
      </c>
      <c r="L36">
        <v>20</v>
      </c>
      <c r="M36">
        <v>1001</v>
      </c>
      <c r="N36">
        <v>216111</v>
      </c>
      <c r="O36">
        <v>1</v>
      </c>
      <c r="P36">
        <v>5</v>
      </c>
      <c r="Q36">
        <v>0</v>
      </c>
      <c r="R36">
        <v>600000</v>
      </c>
      <c r="S36" t="str">
        <f t="shared" si="2"/>
        <v>1001,214112,32</v>
      </c>
      <c r="V36" t="str">
        <f t="shared" si="3"/>
        <v>1001,214113,20</v>
      </c>
      <c r="Y36" t="str">
        <f t="shared" si="4"/>
        <v>1001,215113,20</v>
      </c>
      <c r="AB36" t="str">
        <f t="shared" si="5"/>
        <v>1001,216111,1</v>
      </c>
      <c r="AE36" t="str">
        <f t="shared" si="6"/>
        <v>5,0,600000</v>
      </c>
    </row>
    <row r="37" spans="2:31">
      <c r="B37" t="str">
        <f t="shared" si="1"/>
        <v>1001,214113,32;1001,215113,20;1001,215114,20;1001,216111,1;5,0,600000</v>
      </c>
      <c r="C37">
        <v>113032</v>
      </c>
      <c r="D37">
        <v>1001</v>
      </c>
      <c r="E37">
        <v>214113</v>
      </c>
      <c r="F37">
        <v>32</v>
      </c>
      <c r="G37">
        <v>1001</v>
      </c>
      <c r="H37">
        <v>215113</v>
      </c>
      <c r="I37">
        <v>20</v>
      </c>
      <c r="J37">
        <v>1001</v>
      </c>
      <c r="K37">
        <v>215114</v>
      </c>
      <c r="L37">
        <v>20</v>
      </c>
      <c r="M37">
        <v>1001</v>
      </c>
      <c r="N37">
        <v>216111</v>
      </c>
      <c r="O37">
        <v>1</v>
      </c>
      <c r="P37">
        <v>5</v>
      </c>
      <c r="Q37">
        <v>0</v>
      </c>
      <c r="R37">
        <v>600000</v>
      </c>
      <c r="S37" t="str">
        <f t="shared" si="2"/>
        <v>1001,214113,32</v>
      </c>
      <c r="V37" t="str">
        <f t="shared" si="3"/>
        <v>1001,215113,20</v>
      </c>
      <c r="Y37" t="str">
        <f t="shared" si="4"/>
        <v>1001,215114,20</v>
      </c>
      <c r="AB37" t="str">
        <f t="shared" si="5"/>
        <v>1001,216111,1</v>
      </c>
      <c r="AE37" t="str">
        <f t="shared" si="6"/>
        <v>5,0,600000</v>
      </c>
    </row>
    <row r="38" spans="2:31">
      <c r="B38" t="str">
        <f t="shared" ref="B38:B70" si="7">S38&amp;";"&amp;V38&amp;";"&amp;Y38&amp;";"&amp;AB38&amp;";"&amp;AE38</f>
        <v>1001,214114,32;1001,215114,20;1001,215111,20;1001,216111,1;5,0,600000</v>
      </c>
      <c r="C38">
        <v>113033</v>
      </c>
      <c r="D38">
        <v>1001</v>
      </c>
      <c r="E38">
        <v>214114</v>
      </c>
      <c r="F38">
        <v>32</v>
      </c>
      <c r="G38">
        <v>1001</v>
      </c>
      <c r="H38">
        <v>215114</v>
      </c>
      <c r="I38">
        <v>20</v>
      </c>
      <c r="J38">
        <v>1001</v>
      </c>
      <c r="K38">
        <v>215111</v>
      </c>
      <c r="L38">
        <v>20</v>
      </c>
      <c r="M38">
        <v>1001</v>
      </c>
      <c r="N38">
        <v>216111</v>
      </c>
      <c r="O38">
        <v>1</v>
      </c>
      <c r="P38">
        <v>5</v>
      </c>
      <c r="Q38">
        <v>0</v>
      </c>
      <c r="R38">
        <v>600000</v>
      </c>
      <c r="S38" t="str">
        <f t="shared" ref="S38:S70" si="8">D38&amp;","&amp;E38&amp;","&amp;F38</f>
        <v>1001,214114,32</v>
      </c>
      <c r="V38" t="str">
        <f t="shared" ref="V38:V70" si="9">G38&amp;","&amp;H38&amp;","&amp;I38</f>
        <v>1001,215114,20</v>
      </c>
      <c r="Y38" t="str">
        <f t="shared" ref="Y38:Y70" si="10">J38&amp;","&amp;K38&amp;","&amp;L38</f>
        <v>1001,215111,20</v>
      </c>
      <c r="AB38" t="str">
        <f t="shared" ref="AB38:AB70" si="11">M38&amp;","&amp;N38&amp;","&amp;O38</f>
        <v>1001,216111,1</v>
      </c>
      <c r="AE38" t="str">
        <f t="shared" ref="AE38:AE70" si="12">P38&amp;","&amp;Q38&amp;","&amp;R38</f>
        <v>5,0,600000</v>
      </c>
    </row>
    <row r="39" spans="2:31">
      <c r="B39" t="str">
        <f t="shared" si="7"/>
        <v>1001,214009,32;1001,215009,20;1001,215112,20;1001,216111,1;5,0,600000</v>
      </c>
      <c r="C39">
        <v>113034</v>
      </c>
      <c r="D39">
        <v>1001</v>
      </c>
      <c r="E39">
        <v>214009</v>
      </c>
      <c r="F39">
        <v>32</v>
      </c>
      <c r="G39">
        <v>1001</v>
      </c>
      <c r="H39">
        <v>215009</v>
      </c>
      <c r="I39">
        <v>20</v>
      </c>
      <c r="J39">
        <v>1001</v>
      </c>
      <c r="K39">
        <v>215112</v>
      </c>
      <c r="L39">
        <v>20</v>
      </c>
      <c r="M39">
        <v>1001</v>
      </c>
      <c r="N39">
        <v>216111</v>
      </c>
      <c r="O39">
        <v>1</v>
      </c>
      <c r="P39">
        <v>5</v>
      </c>
      <c r="Q39">
        <v>0</v>
      </c>
      <c r="R39">
        <v>600000</v>
      </c>
      <c r="S39" t="str">
        <f t="shared" si="8"/>
        <v>1001,214009,32</v>
      </c>
      <c r="V39" t="str">
        <f t="shared" si="9"/>
        <v>1001,215009,20</v>
      </c>
      <c r="Y39" t="str">
        <f t="shared" si="10"/>
        <v>1001,215112,20</v>
      </c>
      <c r="AB39" t="str">
        <f t="shared" si="11"/>
        <v>1001,216111,1</v>
      </c>
      <c r="AE39" t="str">
        <f t="shared" si="12"/>
        <v>5,0,600000</v>
      </c>
    </row>
    <row r="40" spans="2:31">
      <c r="B40" t="str">
        <f t="shared" si="7"/>
        <v>1001,214113,32;1001,215113,20;1001,215114,20;1001,216111,1;5,0,600000</v>
      </c>
      <c r="C40">
        <v>113035</v>
      </c>
      <c r="D40">
        <v>1001</v>
      </c>
      <c r="E40">
        <v>214113</v>
      </c>
      <c r="F40">
        <v>32</v>
      </c>
      <c r="G40">
        <v>1001</v>
      </c>
      <c r="H40">
        <v>215113</v>
      </c>
      <c r="I40">
        <v>20</v>
      </c>
      <c r="J40">
        <v>1001</v>
      </c>
      <c r="K40">
        <v>215114</v>
      </c>
      <c r="L40">
        <v>20</v>
      </c>
      <c r="M40">
        <v>1001</v>
      </c>
      <c r="N40">
        <v>216111</v>
      </c>
      <c r="O40">
        <v>1</v>
      </c>
      <c r="P40">
        <v>5</v>
      </c>
      <c r="Q40">
        <v>0</v>
      </c>
      <c r="R40">
        <v>600000</v>
      </c>
      <c r="S40" t="str">
        <f t="shared" si="8"/>
        <v>1001,214113,32</v>
      </c>
      <c r="V40" t="str">
        <f t="shared" si="9"/>
        <v>1001,215113,20</v>
      </c>
      <c r="Y40" t="str">
        <f t="shared" si="10"/>
        <v>1001,215114,20</v>
      </c>
      <c r="AB40" t="str">
        <f t="shared" si="11"/>
        <v>1001,216111,1</v>
      </c>
      <c r="AE40" t="str">
        <f t="shared" si="12"/>
        <v>5,0,600000</v>
      </c>
    </row>
    <row r="41" spans="2:31">
      <c r="B41" t="str">
        <f t="shared" si="7"/>
        <v>1001,214114,32;1001,215114,20;1001,215111,20;1001,216111,1;5,0,600000</v>
      </c>
      <c r="C41">
        <v>113036</v>
      </c>
      <c r="D41">
        <v>1001</v>
      </c>
      <c r="E41">
        <v>214114</v>
      </c>
      <c r="F41">
        <v>32</v>
      </c>
      <c r="G41">
        <v>1001</v>
      </c>
      <c r="H41">
        <v>215114</v>
      </c>
      <c r="I41">
        <v>20</v>
      </c>
      <c r="J41">
        <v>1001</v>
      </c>
      <c r="K41">
        <v>215111</v>
      </c>
      <c r="L41">
        <v>20</v>
      </c>
      <c r="M41">
        <v>1001</v>
      </c>
      <c r="N41">
        <v>216111</v>
      </c>
      <c r="O41">
        <v>1</v>
      </c>
      <c r="P41">
        <v>5</v>
      </c>
      <c r="Q41">
        <v>0</v>
      </c>
      <c r="R41">
        <v>600000</v>
      </c>
      <c r="S41" t="str">
        <f t="shared" si="8"/>
        <v>1001,214114,32</v>
      </c>
      <c r="V41" t="str">
        <f t="shared" si="9"/>
        <v>1001,215114,20</v>
      </c>
      <c r="Y41" t="str">
        <f t="shared" si="10"/>
        <v>1001,215111,20</v>
      </c>
      <c r="AB41" t="str">
        <f t="shared" si="11"/>
        <v>1001,216111,1</v>
      </c>
      <c r="AE41" t="str">
        <f t="shared" si="12"/>
        <v>5,0,600000</v>
      </c>
    </row>
    <row r="42" spans="2:31">
      <c r="B42" t="str">
        <f t="shared" si="7"/>
        <v>1001,214111,32;1001,215111,20;1001,215009,20;1001,216111,1;5,0,600000</v>
      </c>
      <c r="C42">
        <v>113037</v>
      </c>
      <c r="D42">
        <v>1001</v>
      </c>
      <c r="E42">
        <v>214111</v>
      </c>
      <c r="F42">
        <v>32</v>
      </c>
      <c r="G42">
        <v>1001</v>
      </c>
      <c r="H42">
        <v>215111</v>
      </c>
      <c r="I42">
        <v>20</v>
      </c>
      <c r="J42">
        <v>1001</v>
      </c>
      <c r="K42">
        <v>215009</v>
      </c>
      <c r="L42">
        <v>20</v>
      </c>
      <c r="M42">
        <v>1001</v>
      </c>
      <c r="N42">
        <v>216111</v>
      </c>
      <c r="O42">
        <v>1</v>
      </c>
      <c r="P42">
        <v>5</v>
      </c>
      <c r="Q42">
        <v>0</v>
      </c>
      <c r="R42">
        <v>600000</v>
      </c>
      <c r="S42" t="str">
        <f t="shared" si="8"/>
        <v>1001,214111,32</v>
      </c>
      <c r="V42" t="str">
        <f t="shared" si="9"/>
        <v>1001,215111,20</v>
      </c>
      <c r="Y42" t="str">
        <f t="shared" si="10"/>
        <v>1001,215009,20</v>
      </c>
      <c r="AB42" t="str">
        <f t="shared" si="11"/>
        <v>1001,216111,1</v>
      </c>
      <c r="AE42" t="str">
        <f t="shared" si="12"/>
        <v>5,0,600000</v>
      </c>
    </row>
    <row r="43" spans="2:31">
      <c r="B43" t="str">
        <f t="shared" si="7"/>
        <v>1001,214009,32;1001,215009,20;1001,215112,20;1001,216111,1;5,0,600000</v>
      </c>
      <c r="C43">
        <v>113038</v>
      </c>
      <c r="D43">
        <v>1001</v>
      </c>
      <c r="E43">
        <v>214009</v>
      </c>
      <c r="F43">
        <v>32</v>
      </c>
      <c r="G43">
        <v>1001</v>
      </c>
      <c r="H43">
        <v>215009</v>
      </c>
      <c r="I43">
        <v>20</v>
      </c>
      <c r="J43">
        <v>1001</v>
      </c>
      <c r="K43">
        <v>215112</v>
      </c>
      <c r="L43">
        <v>20</v>
      </c>
      <c r="M43">
        <v>1001</v>
      </c>
      <c r="N43">
        <v>216111</v>
      </c>
      <c r="O43">
        <v>1</v>
      </c>
      <c r="P43">
        <v>5</v>
      </c>
      <c r="Q43">
        <v>0</v>
      </c>
      <c r="R43">
        <v>600000</v>
      </c>
      <c r="S43" t="str">
        <f t="shared" si="8"/>
        <v>1001,214009,32</v>
      </c>
      <c r="V43" t="str">
        <f t="shared" si="9"/>
        <v>1001,215009,20</v>
      </c>
      <c r="Y43" t="str">
        <f t="shared" si="10"/>
        <v>1001,215112,20</v>
      </c>
      <c r="AB43" t="str">
        <f t="shared" si="11"/>
        <v>1001,216111,1</v>
      </c>
      <c r="AE43" t="str">
        <f t="shared" si="12"/>
        <v>5,0,600000</v>
      </c>
    </row>
    <row r="44" spans="2:31">
      <c r="B44" t="str">
        <f t="shared" si="7"/>
        <v>1001,214112,32;1001,214113,20;1001,215113,20;1001,216111,1;5,0,600000</v>
      </c>
      <c r="C44">
        <v>113039</v>
      </c>
      <c r="D44">
        <v>1001</v>
      </c>
      <c r="E44">
        <v>214112</v>
      </c>
      <c r="F44">
        <v>32</v>
      </c>
      <c r="G44">
        <v>1001</v>
      </c>
      <c r="H44">
        <v>214113</v>
      </c>
      <c r="I44">
        <v>20</v>
      </c>
      <c r="J44">
        <v>1001</v>
      </c>
      <c r="K44">
        <v>215113</v>
      </c>
      <c r="L44">
        <v>20</v>
      </c>
      <c r="M44">
        <v>1001</v>
      </c>
      <c r="N44">
        <v>216111</v>
      </c>
      <c r="O44">
        <v>1</v>
      </c>
      <c r="P44">
        <v>5</v>
      </c>
      <c r="Q44">
        <v>0</v>
      </c>
      <c r="R44">
        <v>600000</v>
      </c>
      <c r="S44" t="str">
        <f t="shared" si="8"/>
        <v>1001,214112,32</v>
      </c>
      <c r="V44" t="str">
        <f t="shared" si="9"/>
        <v>1001,214113,20</v>
      </c>
      <c r="Y44" t="str">
        <f t="shared" si="10"/>
        <v>1001,215113,20</v>
      </c>
      <c r="AB44" t="str">
        <f t="shared" si="11"/>
        <v>1001,216111,1</v>
      </c>
      <c r="AE44" t="str">
        <f t="shared" si="12"/>
        <v>5,0,600000</v>
      </c>
    </row>
    <row r="45" spans="2:31">
      <c r="B45" t="str">
        <f t="shared" si="7"/>
        <v>1001,214112,32;1001,214113,20;1001,215113,20;1001,216111,1;5,0,600000</v>
      </c>
      <c r="C45">
        <v>113040</v>
      </c>
      <c r="D45">
        <v>1001</v>
      </c>
      <c r="E45">
        <v>214112</v>
      </c>
      <c r="F45">
        <v>32</v>
      </c>
      <c r="G45">
        <v>1001</v>
      </c>
      <c r="H45">
        <v>214113</v>
      </c>
      <c r="I45">
        <v>20</v>
      </c>
      <c r="J45">
        <v>1001</v>
      </c>
      <c r="K45">
        <v>215113</v>
      </c>
      <c r="L45">
        <v>20</v>
      </c>
      <c r="M45">
        <v>1001</v>
      </c>
      <c r="N45">
        <v>216111</v>
      </c>
      <c r="O45">
        <v>1</v>
      </c>
      <c r="P45">
        <v>5</v>
      </c>
      <c r="Q45">
        <v>0</v>
      </c>
      <c r="R45">
        <v>600000</v>
      </c>
      <c r="S45" t="str">
        <f t="shared" si="8"/>
        <v>1001,214112,32</v>
      </c>
      <c r="V45" t="str">
        <f t="shared" si="9"/>
        <v>1001,214113,20</v>
      </c>
      <c r="Y45" t="str">
        <f t="shared" si="10"/>
        <v>1001,215113,20</v>
      </c>
      <c r="AB45" t="str">
        <f t="shared" si="11"/>
        <v>1001,216111,1</v>
      </c>
      <c r="AE45" t="str">
        <f t="shared" si="12"/>
        <v>5,0,600000</v>
      </c>
    </row>
    <row r="46" spans="2:31">
      <c r="B46" t="str">
        <f t="shared" si="7"/>
        <v>1001,214111,32;1001,215111,20;1001,215009,20;1001,216111,1;5,0,600000</v>
      </c>
      <c r="C46">
        <v>113041</v>
      </c>
      <c r="D46">
        <v>1001</v>
      </c>
      <c r="E46">
        <v>214111</v>
      </c>
      <c r="F46">
        <v>32</v>
      </c>
      <c r="G46">
        <v>1001</v>
      </c>
      <c r="H46">
        <v>215111</v>
      </c>
      <c r="I46">
        <v>20</v>
      </c>
      <c r="J46">
        <v>1001</v>
      </c>
      <c r="K46">
        <v>215009</v>
      </c>
      <c r="L46">
        <v>20</v>
      </c>
      <c r="M46">
        <v>1001</v>
      </c>
      <c r="N46">
        <v>216111</v>
      </c>
      <c r="O46">
        <v>1</v>
      </c>
      <c r="P46">
        <v>5</v>
      </c>
      <c r="Q46">
        <v>0</v>
      </c>
      <c r="R46">
        <v>600000</v>
      </c>
      <c r="S46" t="str">
        <f t="shared" si="8"/>
        <v>1001,214111,32</v>
      </c>
      <c r="V46" t="str">
        <f t="shared" si="9"/>
        <v>1001,215111,20</v>
      </c>
      <c r="Y46" t="str">
        <f t="shared" si="10"/>
        <v>1001,215009,20</v>
      </c>
      <c r="AB46" t="str">
        <f t="shared" si="11"/>
        <v>1001,216111,1</v>
      </c>
      <c r="AE46" t="str">
        <f t="shared" si="12"/>
        <v>5,0,600000</v>
      </c>
    </row>
    <row r="47" spans="2:31">
      <c r="B47" t="str">
        <f t="shared" si="7"/>
        <v>1001,214113,32;1001,215113,20;1001,215114,20;1001,216111,1;5,0,600000</v>
      </c>
      <c r="C47">
        <v>113042</v>
      </c>
      <c r="D47">
        <v>1001</v>
      </c>
      <c r="E47">
        <v>214113</v>
      </c>
      <c r="F47">
        <v>32</v>
      </c>
      <c r="G47">
        <v>1001</v>
      </c>
      <c r="H47">
        <v>215113</v>
      </c>
      <c r="I47">
        <v>20</v>
      </c>
      <c r="J47">
        <v>1001</v>
      </c>
      <c r="K47">
        <v>215114</v>
      </c>
      <c r="L47">
        <v>20</v>
      </c>
      <c r="M47">
        <v>1001</v>
      </c>
      <c r="N47">
        <v>216111</v>
      </c>
      <c r="O47">
        <v>1</v>
      </c>
      <c r="P47">
        <v>5</v>
      </c>
      <c r="Q47">
        <v>0</v>
      </c>
      <c r="R47">
        <v>600000</v>
      </c>
      <c r="S47" t="str">
        <f t="shared" si="8"/>
        <v>1001,214113,32</v>
      </c>
      <c r="V47" t="str">
        <f t="shared" si="9"/>
        <v>1001,215113,20</v>
      </c>
      <c r="Y47" t="str">
        <f t="shared" si="10"/>
        <v>1001,215114,20</v>
      </c>
      <c r="AB47" t="str">
        <f t="shared" si="11"/>
        <v>1001,216111,1</v>
      </c>
      <c r="AE47" t="str">
        <f t="shared" si="12"/>
        <v>5,0,600000</v>
      </c>
    </row>
    <row r="48" spans="2:31">
      <c r="B48" t="str">
        <f t="shared" si="7"/>
        <v>1001,214111,32;1001,215111,20;1001,215009,20;1001,216111,1;5,0,600000</v>
      </c>
      <c r="C48">
        <v>113043</v>
      </c>
      <c r="D48">
        <v>1001</v>
      </c>
      <c r="E48">
        <v>214111</v>
      </c>
      <c r="F48">
        <v>32</v>
      </c>
      <c r="G48">
        <v>1001</v>
      </c>
      <c r="H48">
        <v>215111</v>
      </c>
      <c r="I48">
        <v>20</v>
      </c>
      <c r="J48">
        <v>1001</v>
      </c>
      <c r="K48">
        <v>215009</v>
      </c>
      <c r="L48">
        <v>20</v>
      </c>
      <c r="M48">
        <v>1001</v>
      </c>
      <c r="N48">
        <v>216111</v>
      </c>
      <c r="O48">
        <v>1</v>
      </c>
      <c r="P48">
        <v>5</v>
      </c>
      <c r="Q48">
        <v>0</v>
      </c>
      <c r="R48">
        <v>600000</v>
      </c>
      <c r="S48" t="str">
        <f t="shared" si="8"/>
        <v>1001,214111,32</v>
      </c>
      <c r="V48" t="str">
        <f t="shared" si="9"/>
        <v>1001,215111,20</v>
      </c>
      <c r="Y48" t="str">
        <f t="shared" si="10"/>
        <v>1001,215009,20</v>
      </c>
      <c r="AB48" t="str">
        <f t="shared" si="11"/>
        <v>1001,216111,1</v>
      </c>
      <c r="AE48" t="str">
        <f t="shared" si="12"/>
        <v>5,0,600000</v>
      </c>
    </row>
    <row r="49" spans="2:31">
      <c r="B49" t="str">
        <f t="shared" si="7"/>
        <v>1001,214114,32;1001,215114,20;1001,215111,20;1001,216111,1;5,0,600000</v>
      </c>
      <c r="C49">
        <v>113044</v>
      </c>
      <c r="D49">
        <v>1001</v>
      </c>
      <c r="E49">
        <v>214114</v>
      </c>
      <c r="F49">
        <v>32</v>
      </c>
      <c r="G49">
        <v>1001</v>
      </c>
      <c r="H49">
        <v>215114</v>
      </c>
      <c r="I49">
        <v>20</v>
      </c>
      <c r="J49">
        <v>1001</v>
      </c>
      <c r="K49">
        <v>215111</v>
      </c>
      <c r="L49">
        <v>20</v>
      </c>
      <c r="M49">
        <v>1001</v>
      </c>
      <c r="N49">
        <v>216111</v>
      </c>
      <c r="O49">
        <v>1</v>
      </c>
      <c r="P49">
        <v>5</v>
      </c>
      <c r="Q49">
        <v>0</v>
      </c>
      <c r="R49">
        <v>600000</v>
      </c>
      <c r="S49" t="str">
        <f t="shared" si="8"/>
        <v>1001,214114,32</v>
      </c>
      <c r="V49" t="str">
        <f t="shared" si="9"/>
        <v>1001,215114,20</v>
      </c>
      <c r="Y49" t="str">
        <f t="shared" si="10"/>
        <v>1001,215111,20</v>
      </c>
      <c r="AB49" t="str">
        <f t="shared" si="11"/>
        <v>1001,216111,1</v>
      </c>
      <c r="AE49" t="str">
        <f t="shared" si="12"/>
        <v>5,0,600000</v>
      </c>
    </row>
    <row r="50" spans="2:31">
      <c r="B50" t="str">
        <f t="shared" si="7"/>
        <v>1001,214009,32;1001,215009,20;1001,215112,20;1001,216111,1;5,0,600000</v>
      </c>
      <c r="C50">
        <v>113045</v>
      </c>
      <c r="D50">
        <v>1001</v>
      </c>
      <c r="E50">
        <v>214009</v>
      </c>
      <c r="F50">
        <v>32</v>
      </c>
      <c r="G50">
        <v>1001</v>
      </c>
      <c r="H50">
        <v>215009</v>
      </c>
      <c r="I50">
        <v>20</v>
      </c>
      <c r="J50">
        <v>1001</v>
      </c>
      <c r="K50">
        <v>215112</v>
      </c>
      <c r="L50">
        <v>20</v>
      </c>
      <c r="M50">
        <v>1001</v>
      </c>
      <c r="N50">
        <v>216111</v>
      </c>
      <c r="O50">
        <v>1</v>
      </c>
      <c r="P50">
        <v>5</v>
      </c>
      <c r="Q50">
        <v>0</v>
      </c>
      <c r="R50">
        <v>600000</v>
      </c>
      <c r="S50" t="str">
        <f t="shared" si="8"/>
        <v>1001,214009,32</v>
      </c>
      <c r="V50" t="str">
        <f t="shared" si="9"/>
        <v>1001,215009,20</v>
      </c>
      <c r="Y50" t="str">
        <f t="shared" si="10"/>
        <v>1001,215112,20</v>
      </c>
      <c r="AB50" t="str">
        <f t="shared" si="11"/>
        <v>1001,216111,1</v>
      </c>
      <c r="AE50" t="str">
        <f t="shared" si="12"/>
        <v>5,0,600000</v>
      </c>
    </row>
    <row r="51" spans="2:31">
      <c r="B51" t="str">
        <f t="shared" si="7"/>
        <v>1001,214112,32;1001,214113,20;1001,215113,20;1001,216111,1;5,0,600000</v>
      </c>
      <c r="C51">
        <v>113047</v>
      </c>
      <c r="D51">
        <v>1001</v>
      </c>
      <c r="E51">
        <v>214112</v>
      </c>
      <c r="F51">
        <v>32</v>
      </c>
      <c r="G51">
        <v>1001</v>
      </c>
      <c r="H51">
        <v>214113</v>
      </c>
      <c r="I51">
        <v>20</v>
      </c>
      <c r="J51">
        <v>1001</v>
      </c>
      <c r="K51">
        <v>215113</v>
      </c>
      <c r="L51">
        <v>20</v>
      </c>
      <c r="M51">
        <v>1001</v>
      </c>
      <c r="N51">
        <v>216111</v>
      </c>
      <c r="O51">
        <v>1</v>
      </c>
      <c r="P51">
        <v>5</v>
      </c>
      <c r="Q51">
        <v>0</v>
      </c>
      <c r="R51">
        <v>600000</v>
      </c>
      <c r="S51" t="str">
        <f t="shared" si="8"/>
        <v>1001,214112,32</v>
      </c>
      <c r="V51" t="str">
        <f t="shared" si="9"/>
        <v>1001,214113,20</v>
      </c>
      <c r="Y51" t="str">
        <f t="shared" si="10"/>
        <v>1001,215113,20</v>
      </c>
      <c r="AB51" t="str">
        <f t="shared" si="11"/>
        <v>1001,216111,1</v>
      </c>
      <c r="AE51" t="str">
        <f t="shared" si="12"/>
        <v>5,0,600000</v>
      </c>
    </row>
    <row r="52" spans="2:31">
      <c r="B52" t="str">
        <f t="shared" si="7"/>
        <v>1001,214113,32;1001,215113,20;1001,215114,20;1001,216111,1;5,0,600000</v>
      </c>
      <c r="C52">
        <v>113046</v>
      </c>
      <c r="D52">
        <v>1001</v>
      </c>
      <c r="E52">
        <v>214113</v>
      </c>
      <c r="F52">
        <v>32</v>
      </c>
      <c r="G52">
        <v>1001</v>
      </c>
      <c r="H52">
        <v>215113</v>
      </c>
      <c r="I52">
        <v>20</v>
      </c>
      <c r="J52">
        <v>1001</v>
      </c>
      <c r="K52">
        <v>215114</v>
      </c>
      <c r="L52">
        <v>20</v>
      </c>
      <c r="M52">
        <v>1001</v>
      </c>
      <c r="N52">
        <v>216111</v>
      </c>
      <c r="O52">
        <v>1</v>
      </c>
      <c r="P52">
        <v>5</v>
      </c>
      <c r="Q52">
        <v>0</v>
      </c>
      <c r="R52">
        <v>600000</v>
      </c>
      <c r="S52" t="str">
        <f t="shared" si="8"/>
        <v>1001,214113,32</v>
      </c>
      <c r="V52" t="str">
        <f t="shared" si="9"/>
        <v>1001,215113,20</v>
      </c>
      <c r="Y52" t="str">
        <f t="shared" si="10"/>
        <v>1001,215114,20</v>
      </c>
      <c r="AB52" t="str">
        <f t="shared" si="11"/>
        <v>1001,216111,1</v>
      </c>
      <c r="AE52" t="str">
        <f t="shared" si="12"/>
        <v>5,0,600000</v>
      </c>
    </row>
    <row r="53" spans="2:31">
      <c r="B53" t="str">
        <f t="shared" si="7"/>
        <v>1001,214114,32;1001,215114,20;1001,215111,20;1001,216111,1;5,0,600000</v>
      </c>
      <c r="C53">
        <v>113049</v>
      </c>
      <c r="D53">
        <v>1001</v>
      </c>
      <c r="E53">
        <v>214114</v>
      </c>
      <c r="F53">
        <v>32</v>
      </c>
      <c r="G53">
        <v>1001</v>
      </c>
      <c r="H53">
        <v>215114</v>
      </c>
      <c r="I53">
        <v>20</v>
      </c>
      <c r="J53">
        <v>1001</v>
      </c>
      <c r="K53">
        <v>215111</v>
      </c>
      <c r="L53">
        <v>20</v>
      </c>
      <c r="M53">
        <v>1001</v>
      </c>
      <c r="N53">
        <v>216111</v>
      </c>
      <c r="O53">
        <v>1</v>
      </c>
      <c r="P53">
        <v>5</v>
      </c>
      <c r="Q53">
        <v>0</v>
      </c>
      <c r="R53">
        <v>600000</v>
      </c>
      <c r="S53" t="str">
        <f t="shared" si="8"/>
        <v>1001,214114,32</v>
      </c>
      <c r="V53" t="str">
        <f t="shared" si="9"/>
        <v>1001,215114,20</v>
      </c>
      <c r="Y53" t="str">
        <f t="shared" si="10"/>
        <v>1001,215111,20</v>
      </c>
      <c r="AB53" t="str">
        <f t="shared" si="11"/>
        <v>1001,216111,1</v>
      </c>
      <c r="AE53" t="str">
        <f t="shared" si="12"/>
        <v>5,0,600000</v>
      </c>
    </row>
    <row r="54" spans="2:31">
      <c r="B54" t="str">
        <f t="shared" si="7"/>
        <v>1001,214111,32;1001,215111,20;1001,215009,20;1001,216111,1;5,0,600000</v>
      </c>
      <c r="C54">
        <v>113050</v>
      </c>
      <c r="D54">
        <v>1001</v>
      </c>
      <c r="E54">
        <v>214111</v>
      </c>
      <c r="F54">
        <v>32</v>
      </c>
      <c r="G54">
        <v>1001</v>
      </c>
      <c r="H54">
        <v>215111</v>
      </c>
      <c r="I54">
        <v>20</v>
      </c>
      <c r="J54">
        <v>1001</v>
      </c>
      <c r="K54">
        <v>215009</v>
      </c>
      <c r="L54">
        <v>20</v>
      </c>
      <c r="M54">
        <v>1001</v>
      </c>
      <c r="N54">
        <v>216111</v>
      </c>
      <c r="O54">
        <v>1</v>
      </c>
      <c r="P54">
        <v>5</v>
      </c>
      <c r="Q54">
        <v>0</v>
      </c>
      <c r="R54">
        <v>600000</v>
      </c>
      <c r="S54" t="str">
        <f t="shared" si="8"/>
        <v>1001,214111,32</v>
      </c>
      <c r="V54" t="str">
        <f t="shared" si="9"/>
        <v>1001,215111,20</v>
      </c>
      <c r="Y54" t="str">
        <f t="shared" si="10"/>
        <v>1001,215009,20</v>
      </c>
      <c r="AB54" t="str">
        <f t="shared" si="11"/>
        <v>1001,216111,1</v>
      </c>
      <c r="AE54" t="str">
        <f t="shared" si="12"/>
        <v>5,0,600000</v>
      </c>
    </row>
    <row r="55" spans="2:31">
      <c r="B55" t="str">
        <f t="shared" si="7"/>
        <v>1001,214009,32;1001,215009,20;1001,215112,20;1001,216111,1;5,0,600000</v>
      </c>
      <c r="C55">
        <v>113051</v>
      </c>
      <c r="D55">
        <v>1001</v>
      </c>
      <c r="E55">
        <v>214009</v>
      </c>
      <c r="F55">
        <v>32</v>
      </c>
      <c r="G55">
        <v>1001</v>
      </c>
      <c r="H55">
        <v>215009</v>
      </c>
      <c r="I55">
        <v>20</v>
      </c>
      <c r="J55">
        <v>1001</v>
      </c>
      <c r="K55">
        <v>215112</v>
      </c>
      <c r="L55">
        <v>20</v>
      </c>
      <c r="M55">
        <v>1001</v>
      </c>
      <c r="N55">
        <v>216111</v>
      </c>
      <c r="O55">
        <v>1</v>
      </c>
      <c r="P55">
        <v>5</v>
      </c>
      <c r="Q55">
        <v>0</v>
      </c>
      <c r="R55">
        <v>600000</v>
      </c>
      <c r="S55" t="str">
        <f t="shared" si="8"/>
        <v>1001,214009,32</v>
      </c>
      <c r="V55" t="str">
        <f t="shared" si="9"/>
        <v>1001,215009,20</v>
      </c>
      <c r="Y55" t="str">
        <f t="shared" si="10"/>
        <v>1001,215112,20</v>
      </c>
      <c r="AB55" t="str">
        <f t="shared" si="11"/>
        <v>1001,216111,1</v>
      </c>
      <c r="AE55" t="str">
        <f t="shared" si="12"/>
        <v>5,0,600000</v>
      </c>
    </row>
    <row r="56" spans="2:31">
      <c r="B56" t="str">
        <f t="shared" si="7"/>
        <v>1001,214112,32;1001,214113,20;1001,215113,20;1001,216111,1;5,0,600000</v>
      </c>
      <c r="C56">
        <v>113052</v>
      </c>
      <c r="D56">
        <v>1001</v>
      </c>
      <c r="E56">
        <v>214112</v>
      </c>
      <c r="F56">
        <v>32</v>
      </c>
      <c r="G56">
        <v>1001</v>
      </c>
      <c r="H56">
        <v>214113</v>
      </c>
      <c r="I56">
        <v>20</v>
      </c>
      <c r="J56">
        <v>1001</v>
      </c>
      <c r="K56">
        <v>215113</v>
      </c>
      <c r="L56">
        <v>20</v>
      </c>
      <c r="M56">
        <v>1001</v>
      </c>
      <c r="N56">
        <v>216111</v>
      </c>
      <c r="O56">
        <v>1</v>
      </c>
      <c r="P56">
        <v>5</v>
      </c>
      <c r="Q56">
        <v>0</v>
      </c>
      <c r="R56">
        <v>600000</v>
      </c>
      <c r="S56" t="str">
        <f t="shared" si="8"/>
        <v>1001,214112,32</v>
      </c>
      <c r="V56" t="str">
        <f t="shared" si="9"/>
        <v>1001,214113,20</v>
      </c>
      <c r="Y56" t="str">
        <f t="shared" si="10"/>
        <v>1001,215113,20</v>
      </c>
      <c r="AB56" t="str">
        <f t="shared" si="11"/>
        <v>1001,216111,1</v>
      </c>
      <c r="AE56" t="str">
        <f t="shared" si="12"/>
        <v>5,0,600000</v>
      </c>
    </row>
    <row r="57" spans="2:31">
      <c r="B57" t="str">
        <f t="shared" si="7"/>
        <v>1001,214114,32;1001,215114,20;1001,215111,20;1001,216111,1;5,0,600000</v>
      </c>
      <c r="C57">
        <v>113053</v>
      </c>
      <c r="D57">
        <v>1001</v>
      </c>
      <c r="E57">
        <v>214114</v>
      </c>
      <c r="F57">
        <v>32</v>
      </c>
      <c r="G57">
        <v>1001</v>
      </c>
      <c r="H57">
        <v>215114</v>
      </c>
      <c r="I57">
        <v>20</v>
      </c>
      <c r="J57">
        <v>1001</v>
      </c>
      <c r="K57">
        <v>215111</v>
      </c>
      <c r="L57">
        <v>20</v>
      </c>
      <c r="M57">
        <v>1001</v>
      </c>
      <c r="N57">
        <v>216111</v>
      </c>
      <c r="O57">
        <v>1</v>
      </c>
      <c r="P57">
        <v>5</v>
      </c>
      <c r="Q57">
        <v>0</v>
      </c>
      <c r="R57">
        <v>600000</v>
      </c>
      <c r="S57" t="str">
        <f t="shared" si="8"/>
        <v>1001,214114,32</v>
      </c>
      <c r="V57" t="str">
        <f t="shared" si="9"/>
        <v>1001,215114,20</v>
      </c>
      <c r="Y57" t="str">
        <f t="shared" si="10"/>
        <v>1001,215111,20</v>
      </c>
      <c r="AB57" t="str">
        <f t="shared" si="11"/>
        <v>1001,216111,1</v>
      </c>
      <c r="AE57" t="str">
        <f t="shared" si="12"/>
        <v>5,0,600000</v>
      </c>
    </row>
    <row r="58" spans="2:31">
      <c r="B58" t="str">
        <f t="shared" si="7"/>
        <v>1001,214113,32;1001,215113,20;1001,215114,20;1001,216111,1;5,0,600000</v>
      </c>
      <c r="C58">
        <v>113054</v>
      </c>
      <c r="D58">
        <v>1001</v>
      </c>
      <c r="E58">
        <v>214113</v>
      </c>
      <c r="F58">
        <v>32</v>
      </c>
      <c r="G58">
        <v>1001</v>
      </c>
      <c r="H58">
        <v>215113</v>
      </c>
      <c r="I58">
        <v>20</v>
      </c>
      <c r="J58">
        <v>1001</v>
      </c>
      <c r="K58">
        <v>215114</v>
      </c>
      <c r="L58">
        <v>20</v>
      </c>
      <c r="M58">
        <v>1001</v>
      </c>
      <c r="N58">
        <v>216111</v>
      </c>
      <c r="O58">
        <v>1</v>
      </c>
      <c r="P58">
        <v>5</v>
      </c>
      <c r="Q58">
        <v>0</v>
      </c>
      <c r="R58">
        <v>600000</v>
      </c>
      <c r="S58" t="str">
        <f t="shared" si="8"/>
        <v>1001,214113,32</v>
      </c>
      <c r="V58" t="str">
        <f t="shared" si="9"/>
        <v>1001,215113,20</v>
      </c>
      <c r="Y58" t="str">
        <f t="shared" si="10"/>
        <v>1001,215114,20</v>
      </c>
      <c r="AB58" t="str">
        <f t="shared" si="11"/>
        <v>1001,216111,1</v>
      </c>
      <c r="AE58" t="str">
        <f t="shared" si="12"/>
        <v>5,0,600000</v>
      </c>
    </row>
    <row r="59" spans="2:31">
      <c r="B59" t="str">
        <f t="shared" si="7"/>
        <v>1001,214111,32;1001,215111,20;1001,215009,20;1001,216111,1;5,0,600000</v>
      </c>
      <c r="C59">
        <v>113055</v>
      </c>
      <c r="D59">
        <v>1001</v>
      </c>
      <c r="E59">
        <v>214111</v>
      </c>
      <c r="F59">
        <v>32</v>
      </c>
      <c r="G59">
        <v>1001</v>
      </c>
      <c r="H59">
        <v>215111</v>
      </c>
      <c r="I59">
        <v>20</v>
      </c>
      <c r="J59">
        <v>1001</v>
      </c>
      <c r="K59">
        <v>215009</v>
      </c>
      <c r="L59">
        <v>20</v>
      </c>
      <c r="M59">
        <v>1001</v>
      </c>
      <c r="N59">
        <v>216111</v>
      </c>
      <c r="O59">
        <v>1</v>
      </c>
      <c r="P59">
        <v>5</v>
      </c>
      <c r="Q59">
        <v>0</v>
      </c>
      <c r="R59">
        <v>600000</v>
      </c>
      <c r="S59" t="str">
        <f t="shared" si="8"/>
        <v>1001,214111,32</v>
      </c>
      <c r="V59" t="str">
        <f t="shared" si="9"/>
        <v>1001,215111,20</v>
      </c>
      <c r="Y59" t="str">
        <f t="shared" si="10"/>
        <v>1001,215009,20</v>
      </c>
      <c r="AB59" t="str">
        <f t="shared" si="11"/>
        <v>1001,216111,1</v>
      </c>
      <c r="AE59" t="str">
        <f t="shared" si="12"/>
        <v>5,0,600000</v>
      </c>
    </row>
    <row r="60" spans="2:31">
      <c r="B60" t="str">
        <f t="shared" si="7"/>
        <v>1001,214009,32;1001,215009,20;1001,215112,20;1001,216111,1;5,0,600000</v>
      </c>
      <c r="C60">
        <v>113056</v>
      </c>
      <c r="D60">
        <v>1001</v>
      </c>
      <c r="E60">
        <v>214009</v>
      </c>
      <c r="F60">
        <v>32</v>
      </c>
      <c r="G60">
        <v>1001</v>
      </c>
      <c r="H60">
        <v>215009</v>
      </c>
      <c r="I60">
        <v>20</v>
      </c>
      <c r="J60">
        <v>1001</v>
      </c>
      <c r="K60">
        <v>215112</v>
      </c>
      <c r="L60">
        <v>20</v>
      </c>
      <c r="M60">
        <v>1001</v>
      </c>
      <c r="N60">
        <v>216111</v>
      </c>
      <c r="O60">
        <v>1</v>
      </c>
      <c r="P60">
        <v>5</v>
      </c>
      <c r="Q60">
        <v>0</v>
      </c>
      <c r="R60">
        <v>600000</v>
      </c>
      <c r="S60" t="str">
        <f t="shared" si="8"/>
        <v>1001,214009,32</v>
      </c>
      <c r="V60" t="str">
        <f t="shared" si="9"/>
        <v>1001,215009,20</v>
      </c>
      <c r="Y60" t="str">
        <f t="shared" si="10"/>
        <v>1001,215112,20</v>
      </c>
      <c r="AB60" t="str">
        <f t="shared" si="11"/>
        <v>1001,216111,1</v>
      </c>
      <c r="AE60" t="str">
        <f t="shared" si="12"/>
        <v>5,0,600000</v>
      </c>
    </row>
    <row r="61" spans="2:31">
      <c r="B61" t="str">
        <f t="shared" si="7"/>
        <v>1001,214112,32;1001,214113,20;1001,215113,20;1001,216111,1;5,0,600000</v>
      </c>
      <c r="C61">
        <v>113058</v>
      </c>
      <c r="D61">
        <v>1001</v>
      </c>
      <c r="E61">
        <v>214112</v>
      </c>
      <c r="F61">
        <v>32</v>
      </c>
      <c r="G61">
        <v>1001</v>
      </c>
      <c r="H61">
        <v>214113</v>
      </c>
      <c r="I61">
        <v>20</v>
      </c>
      <c r="J61">
        <v>1001</v>
      </c>
      <c r="K61">
        <v>215113</v>
      </c>
      <c r="L61">
        <v>20</v>
      </c>
      <c r="M61">
        <v>1001</v>
      </c>
      <c r="N61">
        <v>216111</v>
      </c>
      <c r="O61">
        <v>1</v>
      </c>
      <c r="P61">
        <v>5</v>
      </c>
      <c r="Q61">
        <v>0</v>
      </c>
      <c r="R61">
        <v>600000</v>
      </c>
      <c r="S61" t="str">
        <f t="shared" si="8"/>
        <v>1001,214112,32</v>
      </c>
      <c r="V61" t="str">
        <f t="shared" si="9"/>
        <v>1001,214113,20</v>
      </c>
      <c r="Y61" t="str">
        <f t="shared" si="10"/>
        <v>1001,215113,20</v>
      </c>
      <c r="AB61" t="str">
        <f t="shared" si="11"/>
        <v>1001,216111,1</v>
      </c>
      <c r="AE61" t="str">
        <f t="shared" si="12"/>
        <v>5,0,600000</v>
      </c>
    </row>
    <row r="62" spans="2:31">
      <c r="B62" t="str">
        <f t="shared" si="7"/>
        <v>1001,214113,32;1001,215113,20;1001,215114,20;1001,216111,1;5,0,600000</v>
      </c>
      <c r="C62">
        <v>113057</v>
      </c>
      <c r="D62">
        <v>1001</v>
      </c>
      <c r="E62">
        <v>214113</v>
      </c>
      <c r="F62">
        <v>32</v>
      </c>
      <c r="G62">
        <v>1001</v>
      </c>
      <c r="H62">
        <v>215113</v>
      </c>
      <c r="I62">
        <v>20</v>
      </c>
      <c r="J62">
        <v>1001</v>
      </c>
      <c r="K62">
        <v>215114</v>
      </c>
      <c r="L62">
        <v>20</v>
      </c>
      <c r="M62">
        <v>1001</v>
      </c>
      <c r="N62">
        <v>216111</v>
      </c>
      <c r="O62">
        <v>1</v>
      </c>
      <c r="P62">
        <v>5</v>
      </c>
      <c r="Q62">
        <v>0</v>
      </c>
      <c r="R62">
        <v>600000</v>
      </c>
      <c r="S62" t="str">
        <f t="shared" si="8"/>
        <v>1001,214113,32</v>
      </c>
      <c r="V62" t="str">
        <f t="shared" si="9"/>
        <v>1001,215113,20</v>
      </c>
      <c r="Y62" t="str">
        <f t="shared" si="10"/>
        <v>1001,215114,20</v>
      </c>
      <c r="AB62" t="str">
        <f t="shared" si="11"/>
        <v>1001,216111,1</v>
      </c>
      <c r="AE62" t="str">
        <f t="shared" si="12"/>
        <v>5,0,600000</v>
      </c>
    </row>
    <row r="63" spans="2:31">
      <c r="B63" t="str">
        <f t="shared" si="7"/>
        <v>1001,214114,32;1001,215114,20;1001,215111,20;1001,216111,1;5,0,600000</v>
      </c>
      <c r="C63">
        <v>113059</v>
      </c>
      <c r="D63">
        <v>1001</v>
      </c>
      <c r="E63">
        <v>214114</v>
      </c>
      <c r="F63">
        <v>32</v>
      </c>
      <c r="G63">
        <v>1001</v>
      </c>
      <c r="H63">
        <v>215114</v>
      </c>
      <c r="I63">
        <v>20</v>
      </c>
      <c r="J63">
        <v>1001</v>
      </c>
      <c r="K63">
        <v>215111</v>
      </c>
      <c r="L63">
        <v>20</v>
      </c>
      <c r="M63">
        <v>1001</v>
      </c>
      <c r="N63">
        <v>216111</v>
      </c>
      <c r="O63">
        <v>1</v>
      </c>
      <c r="P63">
        <v>5</v>
      </c>
      <c r="Q63">
        <v>0</v>
      </c>
      <c r="R63">
        <v>600000</v>
      </c>
      <c r="S63" t="str">
        <f t="shared" si="8"/>
        <v>1001,214114,32</v>
      </c>
      <c r="V63" t="str">
        <f t="shared" si="9"/>
        <v>1001,215114,20</v>
      </c>
      <c r="Y63" t="str">
        <f t="shared" si="10"/>
        <v>1001,215111,20</v>
      </c>
      <c r="AB63" t="str">
        <f t="shared" si="11"/>
        <v>1001,216111,1</v>
      </c>
      <c r="AE63" t="str">
        <f t="shared" si="12"/>
        <v>5,0,600000</v>
      </c>
    </row>
    <row r="64" spans="2:31">
      <c r="B64" t="str">
        <f t="shared" si="7"/>
        <v>1001,214111,32;1001,215111,20;1001,215009,20;1001,216111,1;5,0,600000</v>
      </c>
      <c r="C64">
        <v>113060</v>
      </c>
      <c r="D64">
        <v>1001</v>
      </c>
      <c r="E64">
        <v>214111</v>
      </c>
      <c r="F64">
        <v>32</v>
      </c>
      <c r="G64">
        <v>1001</v>
      </c>
      <c r="H64">
        <v>215111</v>
      </c>
      <c r="I64">
        <v>20</v>
      </c>
      <c r="J64">
        <v>1001</v>
      </c>
      <c r="K64">
        <v>215009</v>
      </c>
      <c r="L64">
        <v>20</v>
      </c>
      <c r="M64">
        <v>1001</v>
      </c>
      <c r="N64">
        <v>216111</v>
      </c>
      <c r="O64">
        <v>1</v>
      </c>
      <c r="P64">
        <v>5</v>
      </c>
      <c r="Q64">
        <v>0</v>
      </c>
      <c r="R64">
        <v>600000</v>
      </c>
      <c r="S64" t="str">
        <f t="shared" si="8"/>
        <v>1001,214111,32</v>
      </c>
      <c r="V64" t="str">
        <f t="shared" si="9"/>
        <v>1001,215111,20</v>
      </c>
      <c r="Y64" t="str">
        <f t="shared" si="10"/>
        <v>1001,215009,20</v>
      </c>
      <c r="AB64" t="str">
        <f t="shared" si="11"/>
        <v>1001,216111,1</v>
      </c>
      <c r="AE64" t="str">
        <f t="shared" si="12"/>
        <v>5,0,600000</v>
      </c>
    </row>
    <row r="65" spans="2:31">
      <c r="B65" t="str">
        <f t="shared" si="7"/>
        <v>1001,214009,32;1001,215009,20;1001,215112,20;1001,216111,1;5,0,600000</v>
      </c>
      <c r="C65">
        <v>113061</v>
      </c>
      <c r="D65">
        <v>1001</v>
      </c>
      <c r="E65">
        <v>214009</v>
      </c>
      <c r="F65">
        <v>32</v>
      </c>
      <c r="G65">
        <v>1001</v>
      </c>
      <c r="H65">
        <v>215009</v>
      </c>
      <c r="I65">
        <v>20</v>
      </c>
      <c r="J65">
        <v>1001</v>
      </c>
      <c r="K65">
        <v>215112</v>
      </c>
      <c r="L65">
        <v>20</v>
      </c>
      <c r="M65">
        <v>1001</v>
      </c>
      <c r="N65">
        <v>216111</v>
      </c>
      <c r="O65">
        <v>1</v>
      </c>
      <c r="P65">
        <v>5</v>
      </c>
      <c r="Q65">
        <v>0</v>
      </c>
      <c r="R65">
        <v>600000</v>
      </c>
      <c r="S65" t="str">
        <f t="shared" si="8"/>
        <v>1001,214009,32</v>
      </c>
      <c r="V65" t="str">
        <f t="shared" si="9"/>
        <v>1001,215009,20</v>
      </c>
      <c r="Y65" t="str">
        <f t="shared" si="10"/>
        <v>1001,215112,20</v>
      </c>
      <c r="AB65" t="str">
        <f t="shared" si="11"/>
        <v>1001,216111,1</v>
      </c>
      <c r="AE65" t="str">
        <f t="shared" si="12"/>
        <v>5,0,600000</v>
      </c>
    </row>
    <row r="66" spans="2:31">
      <c r="B66" t="str">
        <f t="shared" si="7"/>
        <v>1001,214112,32;1001,214113,20;1001,215113,20;1001,216111,1;5,0,600000</v>
      </c>
      <c r="C66">
        <v>113062</v>
      </c>
      <c r="D66">
        <v>1001</v>
      </c>
      <c r="E66">
        <v>214112</v>
      </c>
      <c r="F66">
        <v>32</v>
      </c>
      <c r="G66">
        <v>1001</v>
      </c>
      <c r="H66">
        <v>214113</v>
      </c>
      <c r="I66">
        <v>20</v>
      </c>
      <c r="J66">
        <v>1001</v>
      </c>
      <c r="K66">
        <v>215113</v>
      </c>
      <c r="L66">
        <v>20</v>
      </c>
      <c r="M66">
        <v>1001</v>
      </c>
      <c r="N66">
        <v>216111</v>
      </c>
      <c r="O66">
        <v>1</v>
      </c>
      <c r="P66">
        <v>5</v>
      </c>
      <c r="Q66">
        <v>0</v>
      </c>
      <c r="R66">
        <v>600000</v>
      </c>
      <c r="S66" t="str">
        <f t="shared" si="8"/>
        <v>1001,214112,32</v>
      </c>
      <c r="V66" t="str">
        <f t="shared" si="9"/>
        <v>1001,214113,20</v>
      </c>
      <c r="Y66" t="str">
        <f t="shared" si="10"/>
        <v>1001,215113,20</v>
      </c>
      <c r="AB66" t="str">
        <f t="shared" si="11"/>
        <v>1001,216111,1</v>
      </c>
      <c r="AE66" t="str">
        <f t="shared" si="12"/>
        <v>5,0,600000</v>
      </c>
    </row>
    <row r="67" spans="2:31">
      <c r="B67" t="str">
        <f t="shared" si="7"/>
        <v>1001,214113,32;1001,215113,20;1001,215114,20;1001,216111,1;5,0,600000</v>
      </c>
      <c r="C67">
        <v>113063</v>
      </c>
      <c r="D67">
        <v>1001</v>
      </c>
      <c r="E67">
        <v>214113</v>
      </c>
      <c r="F67">
        <v>32</v>
      </c>
      <c r="G67">
        <v>1001</v>
      </c>
      <c r="H67">
        <v>215113</v>
      </c>
      <c r="I67">
        <v>20</v>
      </c>
      <c r="J67">
        <v>1001</v>
      </c>
      <c r="K67">
        <v>215114</v>
      </c>
      <c r="L67">
        <v>20</v>
      </c>
      <c r="M67">
        <v>1001</v>
      </c>
      <c r="N67">
        <v>216111</v>
      </c>
      <c r="O67">
        <v>1</v>
      </c>
      <c r="P67">
        <v>5</v>
      </c>
      <c r="Q67">
        <v>0</v>
      </c>
      <c r="R67">
        <v>600000</v>
      </c>
      <c r="S67" t="str">
        <f t="shared" si="8"/>
        <v>1001,214113,32</v>
      </c>
      <c r="V67" t="str">
        <f t="shared" si="9"/>
        <v>1001,215113,20</v>
      </c>
      <c r="Y67" t="str">
        <f t="shared" si="10"/>
        <v>1001,215114,20</v>
      </c>
      <c r="AB67" t="str">
        <f t="shared" si="11"/>
        <v>1001,216111,1</v>
      </c>
      <c r="AE67" t="str">
        <f t="shared" si="12"/>
        <v>5,0,600000</v>
      </c>
    </row>
    <row r="68" spans="2:31">
      <c r="B68" t="str">
        <f t="shared" si="7"/>
        <v>1001,214114,32;1001,215114,20;1001,215111,20;1001,216111,1;5,0,600000</v>
      </c>
      <c r="C68">
        <v>113064</v>
      </c>
      <c r="D68">
        <v>1001</v>
      </c>
      <c r="E68">
        <v>214114</v>
      </c>
      <c r="F68">
        <v>32</v>
      </c>
      <c r="G68">
        <v>1001</v>
      </c>
      <c r="H68">
        <v>215114</v>
      </c>
      <c r="I68">
        <v>20</v>
      </c>
      <c r="J68">
        <v>1001</v>
      </c>
      <c r="K68">
        <v>215111</v>
      </c>
      <c r="L68">
        <v>20</v>
      </c>
      <c r="M68">
        <v>1001</v>
      </c>
      <c r="N68">
        <v>216111</v>
      </c>
      <c r="O68">
        <v>1</v>
      </c>
      <c r="P68">
        <v>5</v>
      </c>
      <c r="Q68">
        <v>0</v>
      </c>
      <c r="R68">
        <v>600000</v>
      </c>
      <c r="S68" t="str">
        <f t="shared" si="8"/>
        <v>1001,214114,32</v>
      </c>
      <c r="V68" t="str">
        <f t="shared" si="9"/>
        <v>1001,215114,20</v>
      </c>
      <c r="Y68" t="str">
        <f t="shared" si="10"/>
        <v>1001,215111,20</v>
      </c>
      <c r="AB68" t="str">
        <f t="shared" si="11"/>
        <v>1001,216111,1</v>
      </c>
      <c r="AE68" t="str">
        <f t="shared" si="12"/>
        <v>5,0,600000</v>
      </c>
    </row>
    <row r="69" spans="2:31">
      <c r="B69" t="str">
        <f t="shared" si="7"/>
        <v>1001,214111,32;1001,215111,20;1001,215009,20;1001,216111,1;5,0,600000</v>
      </c>
      <c r="C69">
        <v>113065</v>
      </c>
      <c r="D69">
        <v>1001</v>
      </c>
      <c r="E69">
        <v>214111</v>
      </c>
      <c r="F69">
        <v>32</v>
      </c>
      <c r="G69">
        <v>1001</v>
      </c>
      <c r="H69">
        <v>215111</v>
      </c>
      <c r="I69">
        <v>20</v>
      </c>
      <c r="J69">
        <v>1001</v>
      </c>
      <c r="K69">
        <v>215009</v>
      </c>
      <c r="L69">
        <v>20</v>
      </c>
      <c r="M69">
        <v>1001</v>
      </c>
      <c r="N69">
        <v>216111</v>
      </c>
      <c r="O69">
        <v>1</v>
      </c>
      <c r="P69">
        <v>5</v>
      </c>
      <c r="Q69">
        <v>0</v>
      </c>
      <c r="R69">
        <v>600000</v>
      </c>
      <c r="S69" t="str">
        <f t="shared" si="8"/>
        <v>1001,214111,32</v>
      </c>
      <c r="V69" t="str">
        <f t="shared" si="9"/>
        <v>1001,215111,20</v>
      </c>
      <c r="Y69" t="str">
        <f t="shared" si="10"/>
        <v>1001,215009,20</v>
      </c>
      <c r="AB69" t="str">
        <f t="shared" si="11"/>
        <v>1001,216111,1</v>
      </c>
      <c r="AE69" t="str">
        <f t="shared" si="12"/>
        <v>5,0,600000</v>
      </c>
    </row>
    <row r="70" spans="2:31">
      <c r="B70" t="str">
        <f t="shared" si="7"/>
        <v>1001,214009,16;1001,215009,16;1001,215112,20;1001,216111,1;5,0,600000</v>
      </c>
      <c r="C70">
        <v>113066</v>
      </c>
      <c r="D70">
        <v>1001</v>
      </c>
      <c r="E70">
        <v>214009</v>
      </c>
      <c r="F70">
        <v>16</v>
      </c>
      <c r="G70">
        <v>1001</v>
      </c>
      <c r="H70">
        <v>215009</v>
      </c>
      <c r="I70">
        <v>16</v>
      </c>
      <c r="J70">
        <v>1001</v>
      </c>
      <c r="K70">
        <v>215112</v>
      </c>
      <c r="L70">
        <v>20</v>
      </c>
      <c r="M70">
        <v>1001</v>
      </c>
      <c r="N70">
        <v>216111</v>
      </c>
      <c r="O70">
        <v>1</v>
      </c>
      <c r="P70">
        <v>5</v>
      </c>
      <c r="Q70">
        <v>0</v>
      </c>
      <c r="R70">
        <v>600000</v>
      </c>
      <c r="S70" t="str">
        <f t="shared" si="8"/>
        <v>1001,214009,16</v>
      </c>
      <c r="V70" t="str">
        <f t="shared" si="9"/>
        <v>1001,215009,16</v>
      </c>
      <c r="Y70" t="str">
        <f t="shared" si="10"/>
        <v>1001,215112,20</v>
      </c>
      <c r="AB70" t="str">
        <f t="shared" si="11"/>
        <v>1001,216111,1</v>
      </c>
      <c r="AE70" t="str">
        <f t="shared" si="12"/>
        <v>5,0,600000</v>
      </c>
    </row>
  </sheetData>
  <autoFilter ref="C4:R70">
    <extLst/>
  </autoFilter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156"/>
  <sheetViews>
    <sheetView topLeftCell="Y131" workbookViewId="0">
      <selection activeCell="AR150" sqref="AR150:AV154"/>
    </sheetView>
  </sheetViews>
  <sheetFormatPr defaultColWidth="9" defaultRowHeight="14.1"/>
  <cols>
    <col min="12" max="12" width="2.62280701754386" style="1" customWidth="1"/>
    <col min="13" max="13" width="5.12280701754386" customWidth="1"/>
    <col min="23" max="23" width="2.62280701754386" style="1" customWidth="1"/>
    <col min="24" max="24" width="7.37719298245614" customWidth="1"/>
    <col min="25" max="25" width="5.12280701754386" customWidth="1"/>
    <col min="26" max="26" width="8.87719298245614" customWidth="1"/>
    <col min="27" max="27" width="6.5" customWidth="1"/>
    <col min="28" max="32" width="7.37719298245614" customWidth="1"/>
    <col min="33" max="34" width="10.1228070175439" customWidth="1"/>
    <col min="35" max="42" width="5.12280701754386" customWidth="1"/>
    <col min="43" max="43" width="7.37719298245614" customWidth="1"/>
    <col min="44" max="44" width="12.1228070175439" customWidth="1"/>
  </cols>
  <sheetData>
    <row r="1" ht="19.05" spans="1:48">
      <c r="A1" s="2" t="s">
        <v>134</v>
      </c>
      <c r="M1" t="s">
        <v>135</v>
      </c>
      <c r="N1" t="s">
        <v>136</v>
      </c>
      <c r="O1" s="31" t="s">
        <v>137</v>
      </c>
      <c r="P1" s="31" t="s">
        <v>138</v>
      </c>
      <c r="Q1" s="31" t="s">
        <v>139</v>
      </c>
      <c r="R1" s="31" t="s">
        <v>140</v>
      </c>
      <c r="S1" s="31" t="s">
        <v>141</v>
      </c>
      <c r="T1" s="31" t="s">
        <v>142</v>
      </c>
      <c r="U1" s="71" t="s">
        <v>143</v>
      </c>
      <c r="V1" s="71" t="s">
        <v>144</v>
      </c>
      <c r="X1" t="s">
        <v>136</v>
      </c>
      <c r="Y1" t="s">
        <v>135</v>
      </c>
      <c r="Z1" t="s">
        <v>145</v>
      </c>
      <c r="AA1" s="31" t="s">
        <v>137</v>
      </c>
      <c r="AB1" s="31" t="s">
        <v>138</v>
      </c>
      <c r="AC1" s="31" t="s">
        <v>139</v>
      </c>
      <c r="AD1" s="31" t="s">
        <v>140</v>
      </c>
      <c r="AE1" s="31" t="s">
        <v>141</v>
      </c>
      <c r="AF1" s="31" t="s">
        <v>142</v>
      </c>
      <c r="AG1" s="71" t="s">
        <v>143</v>
      </c>
      <c r="AH1" s="71" t="s">
        <v>144</v>
      </c>
      <c r="AI1" t="s">
        <v>146</v>
      </c>
      <c r="AJ1" t="s">
        <v>146</v>
      </c>
      <c r="AK1" t="s">
        <v>146</v>
      </c>
      <c r="AL1" t="s">
        <v>146</v>
      </c>
      <c r="AM1" t="s">
        <v>146</v>
      </c>
      <c r="AN1" t="s">
        <v>146</v>
      </c>
      <c r="AO1" t="s">
        <v>146</v>
      </c>
      <c r="AP1" t="s">
        <v>146</v>
      </c>
      <c r="AQ1" t="s">
        <v>147</v>
      </c>
      <c r="AR1" t="s">
        <v>148</v>
      </c>
      <c r="AS1" t="s">
        <v>1</v>
      </c>
      <c r="AT1" t="s">
        <v>2</v>
      </c>
      <c r="AU1" t="s">
        <v>149</v>
      </c>
      <c r="AV1" t="s">
        <v>4</v>
      </c>
    </row>
    <row r="2" ht="18.3" spans="1:48">
      <c r="A2" s="3" t="s">
        <v>135</v>
      </c>
      <c r="B2" s="3" t="s">
        <v>145</v>
      </c>
      <c r="C2" s="4" t="s">
        <v>137</v>
      </c>
      <c r="D2" s="4" t="s">
        <v>138</v>
      </c>
      <c r="E2" s="4" t="s">
        <v>139</v>
      </c>
      <c r="F2" s="4" t="s">
        <v>140</v>
      </c>
      <c r="G2" s="4" t="s">
        <v>141</v>
      </c>
      <c r="H2" s="4" t="s">
        <v>142</v>
      </c>
      <c r="I2" s="4" t="s">
        <v>143</v>
      </c>
      <c r="J2" s="32" t="s">
        <v>144</v>
      </c>
      <c r="K2" s="32" t="s">
        <v>147</v>
      </c>
      <c r="M2">
        <v>3</v>
      </c>
      <c r="N2">
        <v>113001</v>
      </c>
      <c r="O2">
        <v>213112</v>
      </c>
      <c r="P2">
        <v>213112</v>
      </c>
      <c r="Q2">
        <v>214112</v>
      </c>
      <c r="R2">
        <v>214009</v>
      </c>
      <c r="S2">
        <v>215112</v>
      </c>
      <c r="T2">
        <v>215009</v>
      </c>
      <c r="U2">
        <v>216111</v>
      </c>
      <c r="V2">
        <v>216112</v>
      </c>
      <c r="X2">
        <v>113001</v>
      </c>
      <c r="Y2">
        <f>INDEX(M:M,MATCH(X2,N:N,0))</f>
        <v>3</v>
      </c>
      <c r="Z2">
        <v>5</v>
      </c>
      <c r="AA2" s="72" t="str">
        <f t="shared" ref="AA2:AH2" si="0">IF(AI2=0,"",INDEX($N$1:$V$76,MATCH($X2,$N$1:$N$76,0),MATCH(AA$1,$N$1:$V$1,0)))</f>
        <v/>
      </c>
      <c r="AB2" s="72" t="str">
        <f t="shared" si="0"/>
        <v/>
      </c>
      <c r="AC2" s="72" t="str">
        <f t="shared" si="0"/>
        <v/>
      </c>
      <c r="AD2" s="72">
        <f t="shared" si="0"/>
        <v>214009</v>
      </c>
      <c r="AE2" s="72">
        <f t="shared" si="0"/>
        <v>215112</v>
      </c>
      <c r="AF2" s="72">
        <f t="shared" si="0"/>
        <v>215009</v>
      </c>
      <c r="AG2" s="72">
        <f t="shared" si="0"/>
        <v>216111</v>
      </c>
      <c r="AH2" s="72" t="str">
        <f t="shared" si="0"/>
        <v/>
      </c>
      <c r="AI2" s="72">
        <f t="array" ref="AI2">INDEX($C$4:$J$16,MATCH($Y2&amp;$Z2,$A$4:$A$16&amp;$B$4:$B$16,0),MATCH(AA$1,$C$2:$J$2,0))</f>
        <v>0</v>
      </c>
      <c r="AJ2" s="72">
        <f t="array" ref="AJ2">INDEX($C$4:$J$16,MATCH($Y2&amp;$Z2,$A$4:$A$16&amp;$B$4:$B$16,0),MATCH(AB$1,$C$2:$J$2,0))</f>
        <v>0</v>
      </c>
      <c r="AK2" s="72">
        <f t="array" ref="AK2">INDEX($C$4:$J$16,MATCH($Y2&amp;$Z2,$A$4:$A$16&amp;$B$4:$B$16,0),MATCH(AC$1,$C$2:$J$2,0))</f>
        <v>0</v>
      </c>
      <c r="AL2" s="72">
        <f t="array" ref="AL2">INDEX($C$4:$J$16,MATCH($Y2&amp;$Z2,$A$4:$A$16&amp;$B$4:$B$16,0),MATCH(AD$1,$C$2:$J$2,0))</f>
        <v>48</v>
      </c>
      <c r="AM2" s="72">
        <f t="array" ref="AM2">INDEX($C$4:$J$16,MATCH($Y2&amp;$Z2,$A$4:$A$16&amp;$B$4:$B$16,0),MATCH(AE$1,$C$2:$J$2,0))</f>
        <v>24</v>
      </c>
      <c r="AN2" s="72">
        <f t="array" ref="AN2">INDEX($C$4:$J$16,MATCH($Y2&amp;$Z2,$A$4:$A$16&amp;$B$4:$B$16,0),MATCH(AF$1,$C$2:$J$2,0))</f>
        <v>24</v>
      </c>
      <c r="AO2" s="72">
        <f t="array" ref="AO2">INDEX($C$4:$J$16,MATCH($Y2&amp;$Z2,$A$4:$A$16&amp;$B$4:$B$16,0),MATCH(AG$1,$C$2:$J$2,0))</f>
        <v>3</v>
      </c>
      <c r="AP2" s="72">
        <f t="array" ref="AP2">INDEX($C$4:$J$16,MATCH($Y2&amp;$Z2,$A$4:$A$16&amp;$B$4:$B$16,0),MATCH(AH$1,$C$2:$J$2,0))</f>
        <v>0</v>
      </c>
      <c r="AQ2" s="72">
        <f t="array" ref="AQ2">INDEX($K$2:$K$16,MATCH(Y2&amp;Z2,$A$2:$A$16&amp;$B$2:$B$16,0))</f>
        <v>750000</v>
      </c>
      <c r="AR2" s="42" t="str">
        <f t="array" ref="AR2">_xlfn.TEXTJOIN(";",1,IF($AA2:$AH2&lt;&gt;"","1001,"&amp;$AA2:$AH2&amp;","&amp;$AI2:$AP2,""))&amp;IF(AQ2=0,"",";"&amp;"5,0,"&amp;AQ2)</f>
        <v>1001,214009,48;1001,215112,24;1001,215009,24;1001,216111,3;5,0,750000</v>
      </c>
      <c r="AS2" s="42">
        <f t="array" ref="AS2">INDEX($A$19:$F$33,MATCH($Y2&amp;$Z2,$A$19:$A$33&amp;$B$19:$B$33,0),MATCH(AS$1,$A$19:$F$19,0))</f>
        <v>984</v>
      </c>
      <c r="AT2" s="42">
        <f t="array" ref="AT2">INDEX($A$19:$F$33,MATCH($Y2&amp;$Z2,$A$19:$A$33&amp;$B$19:$B$33,0),MATCH(AT$1,$A$19:$F$19,0))</f>
        <v>393.6</v>
      </c>
      <c r="AU2" s="42">
        <f t="array" ref="AU2">INDEX($A$19:$F$33,MATCH($Y2&amp;$Z2,$A$19:$A$33&amp;$B$19:$B$33,0),MATCH(AU$1,$A$19:$F$19,0))</f>
        <v>7872</v>
      </c>
      <c r="AV2" s="42">
        <f t="array" ref="AV2">INDEX($A$19:$F$33,MATCH($Y2&amp;$Z2,$A$19:$A$33&amp;$B$19:$B$33,0),MATCH(AV$1,$A$19:$F$19,0))</f>
        <v>110</v>
      </c>
    </row>
    <row r="3" ht="15.3" spans="1:48">
      <c r="A3" s="5">
        <v>3</v>
      </c>
      <c r="B3" s="6">
        <v>0</v>
      </c>
      <c r="J3" s="33"/>
      <c r="M3">
        <v>3</v>
      </c>
      <c r="N3">
        <v>113002</v>
      </c>
      <c r="O3">
        <v>213113</v>
      </c>
      <c r="P3">
        <v>213113</v>
      </c>
      <c r="Q3">
        <v>214113</v>
      </c>
      <c r="R3">
        <v>214112</v>
      </c>
      <c r="S3">
        <v>215113</v>
      </c>
      <c r="T3">
        <v>215112</v>
      </c>
      <c r="U3">
        <v>216111</v>
      </c>
      <c r="V3">
        <v>216112</v>
      </c>
      <c r="X3">
        <v>113002</v>
      </c>
      <c r="Y3">
        <f>INDEX(M:M,MATCH(X3,N:N,0))</f>
        <v>3</v>
      </c>
      <c r="Z3">
        <v>5</v>
      </c>
      <c r="AA3" s="72" t="str">
        <f t="shared" ref="AA3:AH3" si="1">IF(AI3=0,"",INDEX($N$1:$V$76,MATCH($X3,$N$1:$N$76,0),MATCH(AA$1,$N$1:$V$1,0)))</f>
        <v/>
      </c>
      <c r="AB3" s="72" t="str">
        <f t="shared" si="1"/>
        <v/>
      </c>
      <c r="AC3" s="72" t="str">
        <f t="shared" si="1"/>
        <v/>
      </c>
      <c r="AD3" s="72">
        <f t="shared" si="1"/>
        <v>214112</v>
      </c>
      <c r="AE3" s="72">
        <f t="shared" si="1"/>
        <v>215113</v>
      </c>
      <c r="AF3" s="72">
        <f t="shared" si="1"/>
        <v>215112</v>
      </c>
      <c r="AG3" s="72">
        <f t="shared" si="1"/>
        <v>216111</v>
      </c>
      <c r="AH3" s="72" t="str">
        <f t="shared" si="1"/>
        <v/>
      </c>
      <c r="AI3" s="72">
        <f t="array" ref="AI3">INDEX($C$4:$J$16,MATCH($Y3&amp;$Z3,$A$4:$A$16&amp;$B$4:$B$16,0),MATCH(AA$1,$C$2:$J$2,0))</f>
        <v>0</v>
      </c>
      <c r="AJ3" s="72">
        <f t="array" ref="AJ3">INDEX($C$4:$J$16,MATCH($Y3&amp;$Z3,$A$4:$A$16&amp;$B$4:$B$16,0),MATCH(AB$1,$C$2:$J$2,0))</f>
        <v>0</v>
      </c>
      <c r="AK3" s="72">
        <f t="array" ref="AK3">INDEX($C$4:$J$16,MATCH($Y3&amp;$Z3,$A$4:$A$16&amp;$B$4:$B$16,0),MATCH(AC$1,$C$2:$J$2,0))</f>
        <v>0</v>
      </c>
      <c r="AL3" s="72">
        <f t="array" ref="AL3">INDEX($C$4:$J$16,MATCH($Y3&amp;$Z3,$A$4:$A$16&amp;$B$4:$B$16,0),MATCH(AD$1,$C$2:$J$2,0))</f>
        <v>48</v>
      </c>
      <c r="AM3" s="72">
        <f t="array" ref="AM3">INDEX($C$4:$J$16,MATCH($Y3&amp;$Z3,$A$4:$A$16&amp;$B$4:$B$16,0),MATCH(AE$1,$C$2:$J$2,0))</f>
        <v>24</v>
      </c>
      <c r="AN3" s="72">
        <f t="array" ref="AN3">INDEX($C$4:$J$16,MATCH($Y3&amp;$Z3,$A$4:$A$16&amp;$B$4:$B$16,0),MATCH(AF$1,$C$2:$J$2,0))</f>
        <v>24</v>
      </c>
      <c r="AO3" s="72">
        <f t="array" ref="AO3">INDEX($C$4:$J$16,MATCH($Y3&amp;$Z3,$A$4:$A$16&amp;$B$4:$B$16,0),MATCH(AG$1,$C$2:$J$2,0))</f>
        <v>3</v>
      </c>
      <c r="AP3" s="72">
        <f t="array" ref="AP3">INDEX($C$4:$J$16,MATCH($Y3&amp;$Z3,$A$4:$A$16&amp;$B$4:$B$16,0),MATCH(AH$1,$C$2:$J$2,0))</f>
        <v>0</v>
      </c>
      <c r="AQ3" s="72">
        <f t="array" ref="AQ3">INDEX($K$2:$K$16,MATCH(Y3&amp;Z3,$A$2:$A$16&amp;$B$2:$B$16,0))</f>
        <v>750000</v>
      </c>
      <c r="AR3" s="42" t="str">
        <f t="array" ref="AR3">_xlfn.TEXTJOIN(";",1,IF($AA3:$AH3&lt;&gt;"","1001,"&amp;$AA3:$AH3&amp;","&amp;$AI3:$AP3,""))&amp;IF(AQ3=0,"",";"&amp;"5,0,"&amp;AQ3)</f>
        <v>1001,214112,48;1001,215113,24;1001,215112,24;1001,216111,3;5,0,750000</v>
      </c>
      <c r="AS3" s="42">
        <f t="array" ref="AS3">INDEX($A$19:$F$33,MATCH($Y3&amp;$Z3,$A$19:$A$33&amp;$B$19:$B$33,0),MATCH(AS$1,$A$19:$F$19,0))</f>
        <v>984</v>
      </c>
      <c r="AT3" s="42">
        <f t="array" ref="AT3">INDEX($A$19:$F$33,MATCH($Y3&amp;$Z3,$A$19:$A$33&amp;$B$19:$B$33,0),MATCH(AT$1,$A$19:$F$19,0))</f>
        <v>393.6</v>
      </c>
      <c r="AU3" s="42">
        <f t="array" ref="AU3">INDEX($A$19:$F$33,MATCH($Y3&amp;$Z3,$A$19:$A$33&amp;$B$19:$B$33,0),MATCH(AU$1,$A$19:$F$19,0))</f>
        <v>7872</v>
      </c>
      <c r="AV3" s="42">
        <f t="array" ref="AV3">INDEX($A$19:$F$33,MATCH($Y3&amp;$Z3,$A$19:$A$33&amp;$B$19:$B$33,0),MATCH(AV$1,$A$19:$F$19,0))</f>
        <v>110</v>
      </c>
    </row>
    <row r="4" ht="15.3" spans="1:48">
      <c r="A4" s="5">
        <v>3</v>
      </c>
      <c r="B4" s="6">
        <v>1</v>
      </c>
      <c r="C4" s="6">
        <v>7</v>
      </c>
      <c r="D4" s="6"/>
      <c r="E4" s="6">
        <v>7</v>
      </c>
      <c r="F4" s="6">
        <v>7</v>
      </c>
      <c r="G4" s="6"/>
      <c r="H4" s="6">
        <v>7</v>
      </c>
      <c r="I4" s="6"/>
      <c r="J4" s="33"/>
      <c r="K4" s="33">
        <v>150000</v>
      </c>
      <c r="M4">
        <v>3</v>
      </c>
      <c r="N4">
        <v>113003</v>
      </c>
      <c r="O4">
        <v>213114</v>
      </c>
      <c r="P4">
        <v>213114</v>
      </c>
      <c r="Q4">
        <v>214114</v>
      </c>
      <c r="R4">
        <v>214113</v>
      </c>
      <c r="S4">
        <v>215114</v>
      </c>
      <c r="T4">
        <v>215113</v>
      </c>
      <c r="U4">
        <v>216111</v>
      </c>
      <c r="V4">
        <v>216112</v>
      </c>
      <c r="X4">
        <v>113003</v>
      </c>
      <c r="Y4">
        <f>INDEX(M:M,MATCH(X4,N:N,0))</f>
        <v>3</v>
      </c>
      <c r="Z4">
        <v>5</v>
      </c>
      <c r="AA4" s="72" t="str">
        <f t="shared" ref="AA4:AH4" si="2">IF(AI4=0,"",INDEX($N$1:$V$76,MATCH($X4,$N$1:$N$76,0),MATCH(AA$1,$N$1:$V$1,0)))</f>
        <v/>
      </c>
      <c r="AB4" s="72" t="str">
        <f t="shared" si="2"/>
        <v/>
      </c>
      <c r="AC4" s="72" t="str">
        <f t="shared" si="2"/>
        <v/>
      </c>
      <c r="AD4" s="72">
        <f t="shared" si="2"/>
        <v>214113</v>
      </c>
      <c r="AE4" s="72">
        <f t="shared" si="2"/>
        <v>215114</v>
      </c>
      <c r="AF4" s="72">
        <f t="shared" si="2"/>
        <v>215113</v>
      </c>
      <c r="AG4" s="72">
        <f t="shared" si="2"/>
        <v>216111</v>
      </c>
      <c r="AH4" s="72" t="str">
        <f t="shared" si="2"/>
        <v/>
      </c>
      <c r="AI4" s="72">
        <f t="array" ref="AI4">INDEX($C$4:$J$16,MATCH($Y4&amp;$Z4,$A$4:$A$16&amp;$B$4:$B$16,0),MATCH(AA$1,$C$2:$J$2,0))</f>
        <v>0</v>
      </c>
      <c r="AJ4" s="72">
        <f t="array" ref="AJ4">INDEX($C$4:$J$16,MATCH($Y4&amp;$Z4,$A$4:$A$16&amp;$B$4:$B$16,0),MATCH(AB$1,$C$2:$J$2,0))</f>
        <v>0</v>
      </c>
      <c r="AK4" s="72">
        <f t="array" ref="AK4">INDEX($C$4:$J$16,MATCH($Y4&amp;$Z4,$A$4:$A$16&amp;$B$4:$B$16,0),MATCH(AC$1,$C$2:$J$2,0))</f>
        <v>0</v>
      </c>
      <c r="AL4" s="72">
        <f t="array" ref="AL4">INDEX($C$4:$J$16,MATCH($Y4&amp;$Z4,$A$4:$A$16&amp;$B$4:$B$16,0),MATCH(AD$1,$C$2:$J$2,0))</f>
        <v>48</v>
      </c>
      <c r="AM4" s="72">
        <f t="array" ref="AM4">INDEX($C$4:$J$16,MATCH($Y4&amp;$Z4,$A$4:$A$16&amp;$B$4:$B$16,0),MATCH(AE$1,$C$2:$J$2,0))</f>
        <v>24</v>
      </c>
      <c r="AN4" s="72">
        <f t="array" ref="AN4">INDEX($C$4:$J$16,MATCH($Y4&amp;$Z4,$A$4:$A$16&amp;$B$4:$B$16,0),MATCH(AF$1,$C$2:$J$2,0))</f>
        <v>24</v>
      </c>
      <c r="AO4" s="72">
        <f t="array" ref="AO4">INDEX($C$4:$J$16,MATCH($Y4&amp;$Z4,$A$4:$A$16&amp;$B$4:$B$16,0),MATCH(AG$1,$C$2:$J$2,0))</f>
        <v>3</v>
      </c>
      <c r="AP4" s="72">
        <f t="array" ref="AP4">INDEX($C$4:$J$16,MATCH($Y4&amp;$Z4,$A$4:$A$16&amp;$B$4:$B$16,0),MATCH(AH$1,$C$2:$J$2,0))</f>
        <v>0</v>
      </c>
      <c r="AQ4" s="72">
        <f t="array" ref="AQ4">INDEX($K$2:$K$16,MATCH(Y4&amp;Z4,$A$2:$A$16&amp;$B$2:$B$16,0))</f>
        <v>750000</v>
      </c>
      <c r="AR4" s="42" t="str">
        <f t="array" ref="AR4">_xlfn.TEXTJOIN(";",1,IF($AA4:$AH4&lt;&gt;"","1001,"&amp;$AA4:$AH4&amp;","&amp;$AI4:$AP4,""))&amp;IF(AQ4=0,"",";"&amp;"5,0,"&amp;AQ4)</f>
        <v>1001,214113,48;1001,215114,24;1001,215113,24;1001,216111,3;5,0,750000</v>
      </c>
      <c r="AS4" s="42">
        <f t="array" ref="AS4">INDEX($A$19:$F$33,MATCH($Y4&amp;$Z4,$A$19:$A$33&amp;$B$19:$B$33,0),MATCH(AS$1,$A$19:$F$19,0))</f>
        <v>984</v>
      </c>
      <c r="AT4" s="42">
        <f t="array" ref="AT4">INDEX($A$19:$F$33,MATCH($Y4&amp;$Z4,$A$19:$A$33&amp;$B$19:$B$33,0),MATCH(AT$1,$A$19:$F$19,0))</f>
        <v>393.6</v>
      </c>
      <c r="AU4" s="42">
        <f t="array" ref="AU4">INDEX($A$19:$F$33,MATCH($Y4&amp;$Z4,$A$19:$A$33&amp;$B$19:$B$33,0),MATCH(AU$1,$A$19:$F$19,0))</f>
        <v>7872</v>
      </c>
      <c r="AV4" s="42">
        <f t="array" ref="AV4">INDEX($A$19:$F$33,MATCH($Y4&amp;$Z4,$A$19:$A$33&amp;$B$19:$B$33,0),MATCH(AV$1,$A$19:$F$19,0))</f>
        <v>110</v>
      </c>
    </row>
    <row r="5" ht="15.3" spans="1:48">
      <c r="A5" s="5">
        <v>3</v>
      </c>
      <c r="B5" s="6">
        <v>2</v>
      </c>
      <c r="C5" s="6"/>
      <c r="D5" s="6">
        <v>8</v>
      </c>
      <c r="E5" s="6">
        <v>8</v>
      </c>
      <c r="F5" s="6"/>
      <c r="G5" s="6">
        <v>8</v>
      </c>
      <c r="H5" s="6">
        <v>8</v>
      </c>
      <c r="I5" s="6"/>
      <c r="J5" s="33"/>
      <c r="K5" s="33">
        <v>300000</v>
      </c>
      <c r="M5">
        <v>3</v>
      </c>
      <c r="N5">
        <v>113004</v>
      </c>
      <c r="O5">
        <v>213111</v>
      </c>
      <c r="P5">
        <v>213111</v>
      </c>
      <c r="Q5">
        <v>214111</v>
      </c>
      <c r="R5">
        <v>214114</v>
      </c>
      <c r="S5">
        <v>215111</v>
      </c>
      <c r="T5">
        <v>215114</v>
      </c>
      <c r="U5">
        <v>216111</v>
      </c>
      <c r="V5">
        <v>216112</v>
      </c>
      <c r="X5">
        <v>113004</v>
      </c>
      <c r="Y5">
        <f>INDEX(M:M,MATCH(X5,N:N,0))</f>
        <v>3</v>
      </c>
      <c r="Z5">
        <v>5</v>
      </c>
      <c r="AA5" s="72" t="str">
        <f t="shared" ref="AA5:AH5" si="3">IF(AI5=0,"",INDEX($N$1:$V$76,MATCH($X5,$N$1:$N$76,0),MATCH(AA$1,$N$1:$V$1,0)))</f>
        <v/>
      </c>
      <c r="AB5" s="72" t="str">
        <f t="shared" si="3"/>
        <v/>
      </c>
      <c r="AC5" s="72" t="str">
        <f t="shared" si="3"/>
        <v/>
      </c>
      <c r="AD5" s="72">
        <f t="shared" si="3"/>
        <v>214114</v>
      </c>
      <c r="AE5" s="72">
        <f t="shared" si="3"/>
        <v>215111</v>
      </c>
      <c r="AF5" s="72">
        <f t="shared" si="3"/>
        <v>215114</v>
      </c>
      <c r="AG5" s="72">
        <f t="shared" si="3"/>
        <v>216111</v>
      </c>
      <c r="AH5" s="72" t="str">
        <f t="shared" si="3"/>
        <v/>
      </c>
      <c r="AI5" s="72">
        <f t="array" ref="AI5">INDEX($C$4:$J$16,MATCH($Y5&amp;$Z5,$A$4:$A$16&amp;$B$4:$B$16,0),MATCH(AA$1,$C$2:$J$2,0))</f>
        <v>0</v>
      </c>
      <c r="AJ5" s="72">
        <f t="array" ref="AJ5">INDEX($C$4:$J$16,MATCH($Y5&amp;$Z5,$A$4:$A$16&amp;$B$4:$B$16,0),MATCH(AB$1,$C$2:$J$2,0))</f>
        <v>0</v>
      </c>
      <c r="AK5" s="72">
        <f t="array" ref="AK5">INDEX($C$4:$J$16,MATCH($Y5&amp;$Z5,$A$4:$A$16&amp;$B$4:$B$16,0),MATCH(AC$1,$C$2:$J$2,0))</f>
        <v>0</v>
      </c>
      <c r="AL5" s="72">
        <f t="array" ref="AL5">INDEX($C$4:$J$16,MATCH($Y5&amp;$Z5,$A$4:$A$16&amp;$B$4:$B$16,0),MATCH(AD$1,$C$2:$J$2,0))</f>
        <v>48</v>
      </c>
      <c r="AM5" s="72">
        <f t="array" ref="AM5">INDEX($C$4:$J$16,MATCH($Y5&amp;$Z5,$A$4:$A$16&amp;$B$4:$B$16,0),MATCH(AE$1,$C$2:$J$2,0))</f>
        <v>24</v>
      </c>
      <c r="AN5" s="72">
        <f t="array" ref="AN5">INDEX($C$4:$J$16,MATCH($Y5&amp;$Z5,$A$4:$A$16&amp;$B$4:$B$16,0),MATCH(AF$1,$C$2:$J$2,0))</f>
        <v>24</v>
      </c>
      <c r="AO5" s="72">
        <f t="array" ref="AO5">INDEX($C$4:$J$16,MATCH($Y5&amp;$Z5,$A$4:$A$16&amp;$B$4:$B$16,0),MATCH(AG$1,$C$2:$J$2,0))</f>
        <v>3</v>
      </c>
      <c r="AP5" s="72">
        <f t="array" ref="AP5">INDEX($C$4:$J$16,MATCH($Y5&amp;$Z5,$A$4:$A$16&amp;$B$4:$B$16,0),MATCH(AH$1,$C$2:$J$2,0))</f>
        <v>0</v>
      </c>
      <c r="AQ5" s="72">
        <f t="array" ref="AQ5">INDEX($K$2:$K$16,MATCH(Y5&amp;Z5,$A$2:$A$16&amp;$B$2:$B$16,0))</f>
        <v>750000</v>
      </c>
      <c r="AR5" s="42" t="str">
        <f t="array" ref="AR5">_xlfn.TEXTJOIN(";",1,IF($AA5:$AH5&lt;&gt;"","1001,"&amp;$AA5:$AH5&amp;","&amp;$AI5:$AP5,""))&amp;IF(AQ5=0,"",";"&amp;"5,0,"&amp;AQ5)</f>
        <v>1001,214114,48;1001,215111,24;1001,215114,24;1001,216111,3;5,0,750000</v>
      </c>
      <c r="AS5" s="42">
        <f t="array" ref="AS5">INDEX($A$19:$F$33,MATCH($Y5&amp;$Z5,$A$19:$A$33&amp;$B$19:$B$33,0),MATCH(AS$1,$A$19:$F$19,0))</f>
        <v>984</v>
      </c>
      <c r="AT5" s="42">
        <f t="array" ref="AT5">INDEX($A$19:$F$33,MATCH($Y5&amp;$Z5,$A$19:$A$33&amp;$B$19:$B$33,0),MATCH(AT$1,$A$19:$F$19,0))</f>
        <v>393.6</v>
      </c>
      <c r="AU5" s="42">
        <f t="array" ref="AU5">INDEX($A$19:$F$33,MATCH($Y5&amp;$Z5,$A$19:$A$33&amp;$B$19:$B$33,0),MATCH(AU$1,$A$19:$F$19,0))</f>
        <v>7872</v>
      </c>
      <c r="AV5" s="42">
        <f t="array" ref="AV5">INDEX($A$19:$F$33,MATCH($Y5&amp;$Z5,$A$19:$A$33&amp;$B$19:$B$33,0),MATCH(AV$1,$A$19:$F$19,0))</f>
        <v>110</v>
      </c>
    </row>
    <row r="6" ht="15.3" spans="1:48">
      <c r="A6" s="5">
        <v>3</v>
      </c>
      <c r="B6" s="6">
        <v>3</v>
      </c>
      <c r="C6" s="6"/>
      <c r="D6" s="6"/>
      <c r="E6" s="6">
        <v>16</v>
      </c>
      <c r="F6" s="6">
        <v>16</v>
      </c>
      <c r="G6" s="6">
        <v>16</v>
      </c>
      <c r="H6" s="6">
        <v>16</v>
      </c>
      <c r="I6" s="6"/>
      <c r="J6" s="33"/>
      <c r="K6" s="33">
        <v>450000</v>
      </c>
      <c r="M6">
        <v>3</v>
      </c>
      <c r="N6">
        <v>113005</v>
      </c>
      <c r="O6">
        <v>213009</v>
      </c>
      <c r="P6">
        <v>213111</v>
      </c>
      <c r="Q6">
        <v>214009</v>
      </c>
      <c r="R6">
        <v>214111</v>
      </c>
      <c r="S6">
        <v>215009</v>
      </c>
      <c r="T6">
        <v>215111</v>
      </c>
      <c r="U6">
        <v>216111</v>
      </c>
      <c r="V6">
        <v>216112</v>
      </c>
      <c r="X6">
        <v>113005</v>
      </c>
      <c r="Y6">
        <f>INDEX(M:M,MATCH(X6,N:N,0))</f>
        <v>3</v>
      </c>
      <c r="Z6">
        <v>5</v>
      </c>
      <c r="AA6" s="72" t="str">
        <f t="shared" ref="AA6:AH6" si="4">IF(AI6=0,"",INDEX($N$1:$V$76,MATCH($X6,$N$1:$N$76,0),MATCH(AA$1,$N$1:$V$1,0)))</f>
        <v/>
      </c>
      <c r="AB6" s="72" t="str">
        <f t="shared" si="4"/>
        <v/>
      </c>
      <c r="AC6" s="72" t="str">
        <f t="shared" si="4"/>
        <v/>
      </c>
      <c r="AD6" s="72">
        <f t="shared" si="4"/>
        <v>214111</v>
      </c>
      <c r="AE6" s="72">
        <f t="shared" si="4"/>
        <v>215009</v>
      </c>
      <c r="AF6" s="72">
        <f t="shared" si="4"/>
        <v>215111</v>
      </c>
      <c r="AG6" s="72">
        <f t="shared" si="4"/>
        <v>216111</v>
      </c>
      <c r="AH6" s="72" t="str">
        <f t="shared" si="4"/>
        <v/>
      </c>
      <c r="AI6" s="72">
        <f t="array" ref="AI6">INDEX($C$4:$J$16,MATCH($Y6&amp;$Z6,$A$4:$A$16&amp;$B$4:$B$16,0),MATCH(AA$1,$C$2:$J$2,0))</f>
        <v>0</v>
      </c>
      <c r="AJ6" s="72">
        <f t="array" ref="AJ6">INDEX($C$4:$J$16,MATCH($Y6&amp;$Z6,$A$4:$A$16&amp;$B$4:$B$16,0),MATCH(AB$1,$C$2:$J$2,0))</f>
        <v>0</v>
      </c>
      <c r="AK6" s="72">
        <f t="array" ref="AK6">INDEX($C$4:$J$16,MATCH($Y6&amp;$Z6,$A$4:$A$16&amp;$B$4:$B$16,0),MATCH(AC$1,$C$2:$J$2,0))</f>
        <v>0</v>
      </c>
      <c r="AL6" s="72">
        <f t="array" ref="AL6">INDEX($C$4:$J$16,MATCH($Y6&amp;$Z6,$A$4:$A$16&amp;$B$4:$B$16,0),MATCH(AD$1,$C$2:$J$2,0))</f>
        <v>48</v>
      </c>
      <c r="AM6" s="72">
        <f t="array" ref="AM6">INDEX($C$4:$J$16,MATCH($Y6&amp;$Z6,$A$4:$A$16&amp;$B$4:$B$16,0),MATCH(AE$1,$C$2:$J$2,0))</f>
        <v>24</v>
      </c>
      <c r="AN6" s="72">
        <f t="array" ref="AN6">INDEX($C$4:$J$16,MATCH($Y6&amp;$Z6,$A$4:$A$16&amp;$B$4:$B$16,0),MATCH(AF$1,$C$2:$J$2,0))</f>
        <v>24</v>
      </c>
      <c r="AO6" s="72">
        <f t="array" ref="AO6">INDEX($C$4:$J$16,MATCH($Y6&amp;$Z6,$A$4:$A$16&amp;$B$4:$B$16,0),MATCH(AG$1,$C$2:$J$2,0))</f>
        <v>3</v>
      </c>
      <c r="AP6" s="72">
        <f t="array" ref="AP6">INDEX($C$4:$J$16,MATCH($Y6&amp;$Z6,$A$4:$A$16&amp;$B$4:$B$16,0),MATCH(AH$1,$C$2:$J$2,0))</f>
        <v>0</v>
      </c>
      <c r="AQ6" s="72">
        <f t="array" ref="AQ6">INDEX($K$2:$K$16,MATCH(Y6&amp;Z6,$A$2:$A$16&amp;$B$2:$B$16,0))</f>
        <v>750000</v>
      </c>
      <c r="AR6" s="42" t="str">
        <f t="array" ref="AR6">_xlfn.TEXTJOIN(";",1,IF($AA6:$AH6&lt;&gt;"","1001,"&amp;$AA6:$AH6&amp;","&amp;$AI6:$AP6,""))&amp;IF(AQ6=0,"",";"&amp;"5,0,"&amp;AQ6)</f>
        <v>1001,214111,48;1001,215009,24;1001,215111,24;1001,216111,3;5,0,750000</v>
      </c>
      <c r="AS6" s="42">
        <f t="array" ref="AS6">INDEX($A$19:$F$33,MATCH($Y6&amp;$Z6,$A$19:$A$33&amp;$B$19:$B$33,0),MATCH(AS$1,$A$19:$F$19,0))</f>
        <v>984</v>
      </c>
      <c r="AT6" s="42">
        <f t="array" ref="AT6">INDEX($A$19:$F$33,MATCH($Y6&amp;$Z6,$A$19:$A$33&amp;$B$19:$B$33,0),MATCH(AT$1,$A$19:$F$19,0))</f>
        <v>393.6</v>
      </c>
      <c r="AU6" s="42">
        <f t="array" ref="AU6">INDEX($A$19:$F$33,MATCH($Y6&amp;$Z6,$A$19:$A$33&amp;$B$19:$B$33,0),MATCH(AU$1,$A$19:$F$19,0))</f>
        <v>7872</v>
      </c>
      <c r="AV6" s="42">
        <f t="array" ref="AV6">INDEX($A$19:$F$33,MATCH($Y6&amp;$Z6,$A$19:$A$33&amp;$B$19:$B$33,0),MATCH(AV$1,$A$19:$F$19,0))</f>
        <v>110</v>
      </c>
    </row>
    <row r="7" ht="15.3" spans="1:48">
      <c r="A7" s="5">
        <v>3</v>
      </c>
      <c r="B7" s="6">
        <v>4</v>
      </c>
      <c r="C7" s="6"/>
      <c r="D7" s="6"/>
      <c r="E7" s="6">
        <v>32</v>
      </c>
      <c r="F7" s="6"/>
      <c r="G7" s="6">
        <v>20</v>
      </c>
      <c r="H7" s="6">
        <v>20</v>
      </c>
      <c r="I7" s="6">
        <v>1</v>
      </c>
      <c r="J7" s="33"/>
      <c r="K7" s="33">
        <v>600000</v>
      </c>
      <c r="M7">
        <v>3</v>
      </c>
      <c r="N7">
        <v>113006</v>
      </c>
      <c r="O7">
        <v>213112</v>
      </c>
      <c r="P7">
        <v>213009</v>
      </c>
      <c r="Q7">
        <v>214112</v>
      </c>
      <c r="R7">
        <v>214009</v>
      </c>
      <c r="S7">
        <v>215112</v>
      </c>
      <c r="T7">
        <v>215009</v>
      </c>
      <c r="U7">
        <v>216111</v>
      </c>
      <c r="V7">
        <v>216112</v>
      </c>
      <c r="X7">
        <v>113006</v>
      </c>
      <c r="Y7">
        <f>INDEX(M:M,MATCH(X7,N:N,0))</f>
        <v>3</v>
      </c>
      <c r="Z7">
        <v>5</v>
      </c>
      <c r="AA7" s="72" t="str">
        <f t="shared" ref="AA7:AH7" si="5">IF(AI7=0,"",INDEX($N$1:$V$76,MATCH($X7,$N$1:$N$76,0),MATCH(AA$1,$N$1:$V$1,0)))</f>
        <v/>
      </c>
      <c r="AB7" s="72" t="str">
        <f t="shared" si="5"/>
        <v/>
      </c>
      <c r="AC7" s="72" t="str">
        <f t="shared" si="5"/>
        <v/>
      </c>
      <c r="AD7" s="72">
        <f t="shared" si="5"/>
        <v>214009</v>
      </c>
      <c r="AE7" s="72">
        <f t="shared" si="5"/>
        <v>215112</v>
      </c>
      <c r="AF7" s="72">
        <f t="shared" si="5"/>
        <v>215009</v>
      </c>
      <c r="AG7" s="72">
        <f t="shared" si="5"/>
        <v>216111</v>
      </c>
      <c r="AH7" s="72" t="str">
        <f t="shared" si="5"/>
        <v/>
      </c>
      <c r="AI7" s="72">
        <f t="array" ref="AI7">INDEX($C$4:$J$16,MATCH($Y7&amp;$Z7,$A$4:$A$16&amp;$B$4:$B$16,0),MATCH(AA$1,$C$2:$J$2,0))</f>
        <v>0</v>
      </c>
      <c r="AJ7" s="72">
        <f t="array" ref="AJ7">INDEX($C$4:$J$16,MATCH($Y7&amp;$Z7,$A$4:$A$16&amp;$B$4:$B$16,0),MATCH(AB$1,$C$2:$J$2,0))</f>
        <v>0</v>
      </c>
      <c r="AK7" s="72">
        <f t="array" ref="AK7">INDEX($C$4:$J$16,MATCH($Y7&amp;$Z7,$A$4:$A$16&amp;$B$4:$B$16,0),MATCH(AC$1,$C$2:$J$2,0))</f>
        <v>0</v>
      </c>
      <c r="AL7" s="72">
        <f t="array" ref="AL7">INDEX($C$4:$J$16,MATCH($Y7&amp;$Z7,$A$4:$A$16&amp;$B$4:$B$16,0),MATCH(AD$1,$C$2:$J$2,0))</f>
        <v>48</v>
      </c>
      <c r="AM7" s="72">
        <f t="array" ref="AM7">INDEX($C$4:$J$16,MATCH($Y7&amp;$Z7,$A$4:$A$16&amp;$B$4:$B$16,0),MATCH(AE$1,$C$2:$J$2,0))</f>
        <v>24</v>
      </c>
      <c r="AN7" s="72">
        <f t="array" ref="AN7">INDEX($C$4:$J$16,MATCH($Y7&amp;$Z7,$A$4:$A$16&amp;$B$4:$B$16,0),MATCH(AF$1,$C$2:$J$2,0))</f>
        <v>24</v>
      </c>
      <c r="AO7" s="72">
        <f t="array" ref="AO7">INDEX($C$4:$J$16,MATCH($Y7&amp;$Z7,$A$4:$A$16&amp;$B$4:$B$16,0),MATCH(AG$1,$C$2:$J$2,0))</f>
        <v>3</v>
      </c>
      <c r="AP7" s="72">
        <f t="array" ref="AP7">INDEX($C$4:$J$16,MATCH($Y7&amp;$Z7,$A$4:$A$16&amp;$B$4:$B$16,0),MATCH(AH$1,$C$2:$J$2,0))</f>
        <v>0</v>
      </c>
      <c r="AQ7" s="72">
        <f t="array" ref="AQ7">INDEX($K$2:$K$16,MATCH(Y7&amp;Z7,$A$2:$A$16&amp;$B$2:$B$16,0))</f>
        <v>750000</v>
      </c>
      <c r="AR7" s="42" t="str">
        <f t="array" ref="AR7">_xlfn.TEXTJOIN(";",1,IF($AA7:$AH7&lt;&gt;"","1001,"&amp;$AA7:$AH7&amp;","&amp;$AI7:$AP7,""))&amp;IF(AQ7=0,"",";"&amp;"5,0,"&amp;AQ7)</f>
        <v>1001,214009,48;1001,215112,24;1001,215009,24;1001,216111,3;5,0,750000</v>
      </c>
      <c r="AS7" s="42">
        <f t="array" ref="AS7">INDEX($A$19:$F$33,MATCH($Y7&amp;$Z7,$A$19:$A$33&amp;$B$19:$B$33,0),MATCH(AS$1,$A$19:$F$19,0))</f>
        <v>984</v>
      </c>
      <c r="AT7" s="42">
        <f t="array" ref="AT7">INDEX($A$19:$F$33,MATCH($Y7&amp;$Z7,$A$19:$A$33&amp;$B$19:$B$33,0),MATCH(AT$1,$A$19:$F$19,0))</f>
        <v>393.6</v>
      </c>
      <c r="AU7" s="42">
        <f t="array" ref="AU7">INDEX($A$19:$F$33,MATCH($Y7&amp;$Z7,$A$19:$A$33&amp;$B$19:$B$33,0),MATCH(AU$1,$A$19:$F$19,0))</f>
        <v>7872</v>
      </c>
      <c r="AV7" s="42">
        <f t="array" ref="AV7">INDEX($A$19:$F$33,MATCH($Y7&amp;$Z7,$A$19:$A$33&amp;$B$19:$B$33,0),MATCH(AV$1,$A$19:$F$19,0))</f>
        <v>110</v>
      </c>
    </row>
    <row r="8" ht="15.3" spans="1:48">
      <c r="A8" s="5">
        <v>3</v>
      </c>
      <c r="B8" s="6">
        <v>5</v>
      </c>
      <c r="C8" s="6"/>
      <c r="D8" s="6"/>
      <c r="E8" s="6"/>
      <c r="F8" s="6">
        <v>48</v>
      </c>
      <c r="G8" s="6">
        <v>24</v>
      </c>
      <c r="H8" s="6">
        <v>24</v>
      </c>
      <c r="I8" s="6">
        <v>3</v>
      </c>
      <c r="J8" s="33"/>
      <c r="K8" s="33">
        <v>750000</v>
      </c>
      <c r="M8">
        <v>3</v>
      </c>
      <c r="N8">
        <v>113007</v>
      </c>
      <c r="O8">
        <v>213113</v>
      </c>
      <c r="P8">
        <v>213112</v>
      </c>
      <c r="Q8">
        <v>214113</v>
      </c>
      <c r="R8">
        <v>214112</v>
      </c>
      <c r="S8">
        <v>215113</v>
      </c>
      <c r="T8">
        <v>215112</v>
      </c>
      <c r="U8">
        <v>216111</v>
      </c>
      <c r="V8">
        <v>216112</v>
      </c>
      <c r="X8">
        <v>113007</v>
      </c>
      <c r="Y8">
        <f>INDEX(M:M,MATCH(X8,N:N,0))</f>
        <v>3</v>
      </c>
      <c r="Z8">
        <v>5</v>
      </c>
      <c r="AA8" s="72" t="str">
        <f t="shared" ref="AA8:AH8" si="6">IF(AI8=0,"",INDEX($N$1:$V$76,MATCH($X8,$N$1:$N$76,0),MATCH(AA$1,$N$1:$V$1,0)))</f>
        <v/>
      </c>
      <c r="AB8" s="72" t="str">
        <f t="shared" si="6"/>
        <v/>
      </c>
      <c r="AC8" s="72" t="str">
        <f t="shared" si="6"/>
        <v/>
      </c>
      <c r="AD8" s="72">
        <f t="shared" si="6"/>
        <v>214112</v>
      </c>
      <c r="AE8" s="72">
        <f t="shared" si="6"/>
        <v>215113</v>
      </c>
      <c r="AF8" s="72">
        <f t="shared" si="6"/>
        <v>215112</v>
      </c>
      <c r="AG8" s="72">
        <f t="shared" si="6"/>
        <v>216111</v>
      </c>
      <c r="AH8" s="72" t="str">
        <f t="shared" si="6"/>
        <v/>
      </c>
      <c r="AI8" s="72">
        <f t="array" ref="AI8">INDEX($C$4:$J$16,MATCH($Y8&amp;$Z8,$A$4:$A$16&amp;$B$4:$B$16,0),MATCH(AA$1,$C$2:$J$2,0))</f>
        <v>0</v>
      </c>
      <c r="AJ8" s="72">
        <f t="array" ref="AJ8">INDEX($C$4:$J$16,MATCH($Y8&amp;$Z8,$A$4:$A$16&amp;$B$4:$B$16,0),MATCH(AB$1,$C$2:$J$2,0))</f>
        <v>0</v>
      </c>
      <c r="AK8" s="72">
        <f t="array" ref="AK8">INDEX($C$4:$J$16,MATCH($Y8&amp;$Z8,$A$4:$A$16&amp;$B$4:$B$16,0),MATCH(AC$1,$C$2:$J$2,0))</f>
        <v>0</v>
      </c>
      <c r="AL8" s="72">
        <f t="array" ref="AL8">INDEX($C$4:$J$16,MATCH($Y8&amp;$Z8,$A$4:$A$16&amp;$B$4:$B$16,0),MATCH(AD$1,$C$2:$J$2,0))</f>
        <v>48</v>
      </c>
      <c r="AM8" s="72">
        <f t="array" ref="AM8">INDEX($C$4:$J$16,MATCH($Y8&amp;$Z8,$A$4:$A$16&amp;$B$4:$B$16,0),MATCH(AE$1,$C$2:$J$2,0))</f>
        <v>24</v>
      </c>
      <c r="AN8" s="72">
        <f t="array" ref="AN8">INDEX($C$4:$J$16,MATCH($Y8&amp;$Z8,$A$4:$A$16&amp;$B$4:$B$16,0),MATCH(AF$1,$C$2:$J$2,0))</f>
        <v>24</v>
      </c>
      <c r="AO8" s="72">
        <f t="array" ref="AO8">INDEX($C$4:$J$16,MATCH($Y8&amp;$Z8,$A$4:$A$16&amp;$B$4:$B$16,0),MATCH(AG$1,$C$2:$J$2,0))</f>
        <v>3</v>
      </c>
      <c r="AP8" s="72">
        <f t="array" ref="AP8">INDEX($C$4:$J$16,MATCH($Y8&amp;$Z8,$A$4:$A$16&amp;$B$4:$B$16,0),MATCH(AH$1,$C$2:$J$2,0))</f>
        <v>0</v>
      </c>
      <c r="AQ8" s="72">
        <f t="array" ref="AQ8">INDEX($K$2:$K$16,MATCH(Y8&amp;Z8,$A$2:$A$16&amp;$B$2:$B$16,0))</f>
        <v>750000</v>
      </c>
      <c r="AR8" s="42" t="str">
        <f t="array" ref="AR8">_xlfn.TEXTJOIN(";",1,IF($AA8:$AH8&lt;&gt;"","1001,"&amp;$AA8:$AH8&amp;","&amp;$AI8:$AP8,""))&amp;IF(AQ8=0,"",";"&amp;"5,0,"&amp;AQ8)</f>
        <v>1001,214112,48;1001,215113,24;1001,215112,24;1001,216111,3;5,0,750000</v>
      </c>
      <c r="AS8" s="42">
        <f t="array" ref="AS8">INDEX($A$19:$F$33,MATCH($Y8&amp;$Z8,$A$19:$A$33&amp;$B$19:$B$33,0),MATCH(AS$1,$A$19:$F$19,0))</f>
        <v>984</v>
      </c>
      <c r="AT8" s="42">
        <f t="array" ref="AT8">INDEX($A$19:$F$33,MATCH($Y8&amp;$Z8,$A$19:$A$33&amp;$B$19:$B$33,0),MATCH(AT$1,$A$19:$F$19,0))</f>
        <v>393.6</v>
      </c>
      <c r="AU8" s="42">
        <f t="array" ref="AU8">INDEX($A$19:$F$33,MATCH($Y8&amp;$Z8,$A$19:$A$33&amp;$B$19:$B$33,0),MATCH(AU$1,$A$19:$F$19,0))</f>
        <v>7872</v>
      </c>
      <c r="AV8" s="42">
        <f t="array" ref="AV8">INDEX($A$19:$F$33,MATCH($Y8&amp;$Z8,$A$19:$A$33&amp;$B$19:$B$33,0),MATCH(AV$1,$A$19:$F$19,0))</f>
        <v>110</v>
      </c>
    </row>
    <row r="9" ht="15.3" spans="1:48">
      <c r="A9" s="7">
        <v>3</v>
      </c>
      <c r="B9" s="8">
        <v>6</v>
      </c>
      <c r="C9" s="8"/>
      <c r="D9" s="8"/>
      <c r="E9" s="8">
        <v>48</v>
      </c>
      <c r="F9" s="8"/>
      <c r="G9" s="8">
        <v>28</v>
      </c>
      <c r="H9" s="8">
        <v>28</v>
      </c>
      <c r="I9" s="8">
        <v>5</v>
      </c>
      <c r="J9" s="34"/>
      <c r="K9" s="33">
        <v>900000</v>
      </c>
      <c r="M9">
        <v>3</v>
      </c>
      <c r="N9">
        <v>113008</v>
      </c>
      <c r="O9">
        <v>213114</v>
      </c>
      <c r="P9">
        <v>213113</v>
      </c>
      <c r="Q9">
        <v>214114</v>
      </c>
      <c r="R9">
        <v>214113</v>
      </c>
      <c r="S9">
        <v>215114</v>
      </c>
      <c r="T9">
        <v>215113</v>
      </c>
      <c r="U9">
        <v>216111</v>
      </c>
      <c r="V9">
        <v>216112</v>
      </c>
      <c r="X9">
        <v>113008</v>
      </c>
      <c r="Y9">
        <f>INDEX(M:M,MATCH(X9,N:N,0))</f>
        <v>3</v>
      </c>
      <c r="Z9">
        <v>5</v>
      </c>
      <c r="AA9" s="72" t="str">
        <f t="shared" ref="AA9:AH9" si="7">IF(AI9=0,"",INDEX($N$1:$V$76,MATCH($X9,$N$1:$N$76,0),MATCH(AA$1,$N$1:$V$1,0)))</f>
        <v/>
      </c>
      <c r="AB9" s="72" t="str">
        <f t="shared" si="7"/>
        <v/>
      </c>
      <c r="AC9" s="72" t="str">
        <f t="shared" si="7"/>
        <v/>
      </c>
      <c r="AD9" s="72">
        <f t="shared" si="7"/>
        <v>214113</v>
      </c>
      <c r="AE9" s="72">
        <f t="shared" si="7"/>
        <v>215114</v>
      </c>
      <c r="AF9" s="72">
        <f t="shared" si="7"/>
        <v>215113</v>
      </c>
      <c r="AG9" s="72">
        <f t="shared" si="7"/>
        <v>216111</v>
      </c>
      <c r="AH9" s="72" t="str">
        <f t="shared" si="7"/>
        <v/>
      </c>
      <c r="AI9" s="72">
        <f t="array" ref="AI9">INDEX($C$4:$J$16,MATCH($Y9&amp;$Z9,$A$4:$A$16&amp;$B$4:$B$16,0),MATCH(AA$1,$C$2:$J$2,0))</f>
        <v>0</v>
      </c>
      <c r="AJ9" s="72">
        <f t="array" ref="AJ9">INDEX($C$4:$J$16,MATCH($Y9&amp;$Z9,$A$4:$A$16&amp;$B$4:$B$16,0),MATCH(AB$1,$C$2:$J$2,0))</f>
        <v>0</v>
      </c>
      <c r="AK9" s="72">
        <f t="array" ref="AK9">INDEX($C$4:$J$16,MATCH($Y9&amp;$Z9,$A$4:$A$16&amp;$B$4:$B$16,0),MATCH(AC$1,$C$2:$J$2,0))</f>
        <v>0</v>
      </c>
      <c r="AL9" s="72">
        <f t="array" ref="AL9">INDEX($C$4:$J$16,MATCH($Y9&amp;$Z9,$A$4:$A$16&amp;$B$4:$B$16,0),MATCH(AD$1,$C$2:$J$2,0))</f>
        <v>48</v>
      </c>
      <c r="AM9" s="72">
        <f t="array" ref="AM9">INDEX($C$4:$J$16,MATCH($Y9&amp;$Z9,$A$4:$A$16&amp;$B$4:$B$16,0),MATCH(AE$1,$C$2:$J$2,0))</f>
        <v>24</v>
      </c>
      <c r="AN9" s="72">
        <f t="array" ref="AN9">INDEX($C$4:$J$16,MATCH($Y9&amp;$Z9,$A$4:$A$16&amp;$B$4:$B$16,0),MATCH(AF$1,$C$2:$J$2,0))</f>
        <v>24</v>
      </c>
      <c r="AO9" s="72">
        <f t="array" ref="AO9">INDEX($C$4:$J$16,MATCH($Y9&amp;$Z9,$A$4:$A$16&amp;$B$4:$B$16,0),MATCH(AG$1,$C$2:$J$2,0))</f>
        <v>3</v>
      </c>
      <c r="AP9" s="72">
        <f t="array" ref="AP9">INDEX($C$4:$J$16,MATCH($Y9&amp;$Z9,$A$4:$A$16&amp;$B$4:$B$16,0),MATCH(AH$1,$C$2:$J$2,0))</f>
        <v>0</v>
      </c>
      <c r="AQ9" s="72">
        <f t="array" ref="AQ9">INDEX($K$2:$K$16,MATCH(Y9&amp;Z9,$A$2:$A$16&amp;$B$2:$B$16,0))</f>
        <v>750000</v>
      </c>
      <c r="AR9" s="42" t="str">
        <f t="array" ref="AR9">_xlfn.TEXTJOIN(";",1,IF($AA9:$AH9&lt;&gt;"","1001,"&amp;$AA9:$AH9&amp;","&amp;$AI9:$AP9,""))&amp;IF(AQ9=0,"",";"&amp;"5,0,"&amp;AQ9)</f>
        <v>1001,214113,48;1001,215114,24;1001,215113,24;1001,216111,3;5,0,750000</v>
      </c>
      <c r="AS9" s="42">
        <f t="array" ref="AS9">INDEX($A$19:$F$33,MATCH($Y9&amp;$Z9,$A$19:$A$33&amp;$B$19:$B$33,0),MATCH(AS$1,$A$19:$F$19,0))</f>
        <v>984</v>
      </c>
      <c r="AT9" s="42">
        <f t="array" ref="AT9">INDEX($A$19:$F$33,MATCH($Y9&amp;$Z9,$A$19:$A$33&amp;$B$19:$B$33,0),MATCH(AT$1,$A$19:$F$19,0))</f>
        <v>393.6</v>
      </c>
      <c r="AU9" s="42">
        <f t="array" ref="AU9">INDEX($A$19:$F$33,MATCH($Y9&amp;$Z9,$A$19:$A$33&amp;$B$19:$B$33,0),MATCH(AU$1,$A$19:$F$19,0))</f>
        <v>7872</v>
      </c>
      <c r="AV9" s="42">
        <f t="array" ref="AV9">INDEX($A$19:$F$33,MATCH($Y9&amp;$Z9,$A$19:$A$33&amp;$B$19:$B$33,0),MATCH(AV$1,$A$19:$F$19,0))</f>
        <v>110</v>
      </c>
    </row>
    <row r="10" ht="15.3" spans="1:48">
      <c r="A10" s="5">
        <v>4</v>
      </c>
      <c r="B10" s="6">
        <v>0</v>
      </c>
      <c r="J10" s="35"/>
      <c r="M10">
        <v>3</v>
      </c>
      <c r="N10">
        <v>113009</v>
      </c>
      <c r="O10">
        <v>213111</v>
      </c>
      <c r="P10">
        <v>213114</v>
      </c>
      <c r="Q10">
        <v>214111</v>
      </c>
      <c r="R10">
        <v>214114</v>
      </c>
      <c r="S10">
        <v>215111</v>
      </c>
      <c r="T10">
        <v>215114</v>
      </c>
      <c r="U10">
        <v>216111</v>
      </c>
      <c r="V10">
        <v>216112</v>
      </c>
      <c r="X10">
        <v>113009</v>
      </c>
      <c r="Y10">
        <f>INDEX(M:M,MATCH(X10,N:N,0))</f>
        <v>3</v>
      </c>
      <c r="Z10">
        <v>5</v>
      </c>
      <c r="AA10" s="72" t="str">
        <f t="shared" ref="AA10:AH10" si="8">IF(AI10=0,"",INDEX($N$1:$V$76,MATCH($X10,$N$1:$N$76,0),MATCH(AA$1,$N$1:$V$1,0)))</f>
        <v/>
      </c>
      <c r="AB10" s="72" t="str">
        <f t="shared" si="8"/>
        <v/>
      </c>
      <c r="AC10" s="72" t="str">
        <f t="shared" si="8"/>
        <v/>
      </c>
      <c r="AD10" s="72">
        <f t="shared" si="8"/>
        <v>214114</v>
      </c>
      <c r="AE10" s="72">
        <f t="shared" si="8"/>
        <v>215111</v>
      </c>
      <c r="AF10" s="72">
        <f t="shared" si="8"/>
        <v>215114</v>
      </c>
      <c r="AG10" s="72">
        <f t="shared" si="8"/>
        <v>216111</v>
      </c>
      <c r="AH10" s="72" t="str">
        <f t="shared" si="8"/>
        <v/>
      </c>
      <c r="AI10" s="72">
        <f t="array" ref="AI10">INDEX($C$4:$J$16,MATCH($Y10&amp;$Z10,$A$4:$A$16&amp;$B$4:$B$16,0),MATCH(AA$1,$C$2:$J$2,0))</f>
        <v>0</v>
      </c>
      <c r="AJ10" s="72">
        <f t="array" ref="AJ10">INDEX($C$4:$J$16,MATCH($Y10&amp;$Z10,$A$4:$A$16&amp;$B$4:$B$16,0),MATCH(AB$1,$C$2:$J$2,0))</f>
        <v>0</v>
      </c>
      <c r="AK10" s="72">
        <f t="array" ref="AK10">INDEX($C$4:$J$16,MATCH($Y10&amp;$Z10,$A$4:$A$16&amp;$B$4:$B$16,0),MATCH(AC$1,$C$2:$J$2,0))</f>
        <v>0</v>
      </c>
      <c r="AL10" s="72">
        <f t="array" ref="AL10">INDEX($C$4:$J$16,MATCH($Y10&amp;$Z10,$A$4:$A$16&amp;$B$4:$B$16,0),MATCH(AD$1,$C$2:$J$2,0))</f>
        <v>48</v>
      </c>
      <c r="AM10" s="72">
        <f t="array" ref="AM10">INDEX($C$4:$J$16,MATCH($Y10&amp;$Z10,$A$4:$A$16&amp;$B$4:$B$16,0),MATCH(AE$1,$C$2:$J$2,0))</f>
        <v>24</v>
      </c>
      <c r="AN10" s="72">
        <f t="array" ref="AN10">INDEX($C$4:$J$16,MATCH($Y10&amp;$Z10,$A$4:$A$16&amp;$B$4:$B$16,0),MATCH(AF$1,$C$2:$J$2,0))</f>
        <v>24</v>
      </c>
      <c r="AO10" s="72">
        <f t="array" ref="AO10">INDEX($C$4:$J$16,MATCH($Y10&amp;$Z10,$A$4:$A$16&amp;$B$4:$B$16,0),MATCH(AG$1,$C$2:$J$2,0))</f>
        <v>3</v>
      </c>
      <c r="AP10" s="72">
        <f t="array" ref="AP10">INDEX($C$4:$J$16,MATCH($Y10&amp;$Z10,$A$4:$A$16&amp;$B$4:$B$16,0),MATCH(AH$1,$C$2:$J$2,0))</f>
        <v>0</v>
      </c>
      <c r="AQ10" s="72">
        <f t="array" ref="AQ10">INDEX($K$2:$K$16,MATCH(Y10&amp;Z10,$A$2:$A$16&amp;$B$2:$B$16,0))</f>
        <v>750000</v>
      </c>
      <c r="AR10" s="42" t="str">
        <f t="array" ref="AR10">_xlfn.TEXTJOIN(";",1,IF($AA10:$AH10&lt;&gt;"","1001,"&amp;$AA10:$AH10&amp;","&amp;$AI10:$AP10,""))&amp;IF(AQ10=0,"",";"&amp;"5,0,"&amp;AQ10)</f>
        <v>1001,214114,48;1001,215111,24;1001,215114,24;1001,216111,3;5,0,750000</v>
      </c>
      <c r="AS10" s="42">
        <f t="array" ref="AS10">INDEX($A$19:$F$33,MATCH($Y10&amp;$Z10,$A$19:$A$33&amp;$B$19:$B$33,0),MATCH(AS$1,$A$19:$F$19,0))</f>
        <v>984</v>
      </c>
      <c r="AT10" s="42">
        <f t="array" ref="AT10">INDEX($A$19:$F$33,MATCH($Y10&amp;$Z10,$A$19:$A$33&amp;$B$19:$B$33,0),MATCH(AT$1,$A$19:$F$19,0))</f>
        <v>393.6</v>
      </c>
      <c r="AU10" s="42">
        <f t="array" ref="AU10">INDEX($A$19:$F$33,MATCH($Y10&amp;$Z10,$A$19:$A$33&amp;$B$19:$B$33,0),MATCH(AU$1,$A$19:$F$19,0))</f>
        <v>7872</v>
      </c>
      <c r="AV10" s="42">
        <f t="array" ref="AV10">INDEX($A$19:$F$33,MATCH($Y10&amp;$Z10,$A$19:$A$33&amp;$B$19:$B$33,0),MATCH(AV$1,$A$19:$F$19,0))</f>
        <v>110</v>
      </c>
    </row>
    <row r="11" ht="15.3" spans="1:48">
      <c r="A11" s="5">
        <v>4</v>
      </c>
      <c r="B11" s="6">
        <v>1</v>
      </c>
      <c r="C11" s="6">
        <v>7</v>
      </c>
      <c r="D11" s="6"/>
      <c r="E11" s="6">
        <v>7</v>
      </c>
      <c r="F11" s="6">
        <v>7</v>
      </c>
      <c r="G11" s="6"/>
      <c r="H11" s="6">
        <v>7</v>
      </c>
      <c r="I11" s="6"/>
      <c r="J11" s="35"/>
      <c r="K11" s="33">
        <v>150000</v>
      </c>
      <c r="M11">
        <v>3</v>
      </c>
      <c r="N11">
        <v>113010</v>
      </c>
      <c r="O11">
        <v>213009</v>
      </c>
      <c r="P11">
        <v>213111</v>
      </c>
      <c r="Q11">
        <v>214009</v>
      </c>
      <c r="R11">
        <v>214111</v>
      </c>
      <c r="S11">
        <v>215009</v>
      </c>
      <c r="T11">
        <v>215111</v>
      </c>
      <c r="U11">
        <v>216111</v>
      </c>
      <c r="V11">
        <v>216112</v>
      </c>
      <c r="X11">
        <v>113010</v>
      </c>
      <c r="Y11">
        <f>INDEX(M:M,MATCH(X11,N:N,0))</f>
        <v>3</v>
      </c>
      <c r="Z11">
        <v>5</v>
      </c>
      <c r="AA11" s="72" t="str">
        <f t="shared" ref="AA11:AH11" si="9">IF(AI11=0,"",INDEX($N$1:$V$76,MATCH($X11,$N$1:$N$76,0),MATCH(AA$1,$N$1:$V$1,0)))</f>
        <v/>
      </c>
      <c r="AB11" s="72" t="str">
        <f t="shared" si="9"/>
        <v/>
      </c>
      <c r="AC11" s="72" t="str">
        <f t="shared" si="9"/>
        <v/>
      </c>
      <c r="AD11" s="72">
        <f t="shared" si="9"/>
        <v>214111</v>
      </c>
      <c r="AE11" s="72">
        <f t="shared" si="9"/>
        <v>215009</v>
      </c>
      <c r="AF11" s="72">
        <f t="shared" si="9"/>
        <v>215111</v>
      </c>
      <c r="AG11" s="72">
        <f t="shared" si="9"/>
        <v>216111</v>
      </c>
      <c r="AH11" s="72" t="str">
        <f t="shared" si="9"/>
        <v/>
      </c>
      <c r="AI11" s="72">
        <f t="array" ref="AI11">INDEX($C$4:$J$16,MATCH($Y11&amp;$Z11,$A$4:$A$16&amp;$B$4:$B$16,0),MATCH(AA$1,$C$2:$J$2,0))</f>
        <v>0</v>
      </c>
      <c r="AJ11" s="72">
        <f t="array" ref="AJ11">INDEX($C$4:$J$16,MATCH($Y11&amp;$Z11,$A$4:$A$16&amp;$B$4:$B$16,0),MATCH(AB$1,$C$2:$J$2,0))</f>
        <v>0</v>
      </c>
      <c r="AK11" s="72">
        <f t="array" ref="AK11">INDEX($C$4:$J$16,MATCH($Y11&amp;$Z11,$A$4:$A$16&amp;$B$4:$B$16,0),MATCH(AC$1,$C$2:$J$2,0))</f>
        <v>0</v>
      </c>
      <c r="AL11" s="72">
        <f t="array" ref="AL11">INDEX($C$4:$J$16,MATCH($Y11&amp;$Z11,$A$4:$A$16&amp;$B$4:$B$16,0),MATCH(AD$1,$C$2:$J$2,0))</f>
        <v>48</v>
      </c>
      <c r="AM11" s="72">
        <f t="array" ref="AM11">INDEX($C$4:$J$16,MATCH($Y11&amp;$Z11,$A$4:$A$16&amp;$B$4:$B$16,0),MATCH(AE$1,$C$2:$J$2,0))</f>
        <v>24</v>
      </c>
      <c r="AN11" s="72">
        <f t="array" ref="AN11">INDEX($C$4:$J$16,MATCH($Y11&amp;$Z11,$A$4:$A$16&amp;$B$4:$B$16,0),MATCH(AF$1,$C$2:$J$2,0))</f>
        <v>24</v>
      </c>
      <c r="AO11" s="72">
        <f t="array" ref="AO11">INDEX($C$4:$J$16,MATCH($Y11&amp;$Z11,$A$4:$A$16&amp;$B$4:$B$16,0),MATCH(AG$1,$C$2:$J$2,0))</f>
        <v>3</v>
      </c>
      <c r="AP11" s="72">
        <f t="array" ref="AP11">INDEX($C$4:$J$16,MATCH($Y11&amp;$Z11,$A$4:$A$16&amp;$B$4:$B$16,0),MATCH(AH$1,$C$2:$J$2,0))</f>
        <v>0</v>
      </c>
      <c r="AQ11" s="72">
        <f t="array" ref="AQ11">INDEX($K$2:$K$16,MATCH(Y11&amp;Z11,$A$2:$A$16&amp;$B$2:$B$16,0))</f>
        <v>750000</v>
      </c>
      <c r="AR11" s="42" t="str">
        <f t="array" ref="AR11">_xlfn.TEXTJOIN(";",1,IF($AA11:$AH11&lt;&gt;"","1001,"&amp;$AA11:$AH11&amp;","&amp;$AI11:$AP11,""))&amp;IF(AQ11=0,"",";"&amp;"5,0,"&amp;AQ11)</f>
        <v>1001,214111,48;1001,215009,24;1001,215111,24;1001,216111,3;5,0,750000</v>
      </c>
      <c r="AS11" s="42">
        <f t="array" ref="AS11">INDEX($A$19:$F$33,MATCH($Y11&amp;$Z11,$A$19:$A$33&amp;$B$19:$B$33,0),MATCH(AS$1,$A$19:$F$19,0))</f>
        <v>984</v>
      </c>
      <c r="AT11" s="42">
        <f t="array" ref="AT11">INDEX($A$19:$F$33,MATCH($Y11&amp;$Z11,$A$19:$A$33&amp;$B$19:$B$33,0),MATCH(AT$1,$A$19:$F$19,0))</f>
        <v>393.6</v>
      </c>
      <c r="AU11" s="42">
        <f t="array" ref="AU11">INDEX($A$19:$F$33,MATCH($Y11&amp;$Z11,$A$19:$A$33&amp;$B$19:$B$33,0),MATCH(AU$1,$A$19:$F$19,0))</f>
        <v>7872</v>
      </c>
      <c r="AV11" s="42">
        <f t="array" ref="AV11">INDEX($A$19:$F$33,MATCH($Y11&amp;$Z11,$A$19:$A$33&amp;$B$19:$B$33,0),MATCH(AV$1,$A$19:$F$19,0))</f>
        <v>110</v>
      </c>
    </row>
    <row r="12" ht="15.3" spans="1:48">
      <c r="A12" s="5">
        <v>4</v>
      </c>
      <c r="B12" s="6">
        <v>2</v>
      </c>
      <c r="C12" s="6"/>
      <c r="D12" s="6">
        <v>8</v>
      </c>
      <c r="E12" s="6">
        <v>8</v>
      </c>
      <c r="F12" s="6"/>
      <c r="G12" s="6">
        <v>8</v>
      </c>
      <c r="H12" s="6">
        <v>8</v>
      </c>
      <c r="I12" s="6"/>
      <c r="J12" s="35"/>
      <c r="K12" s="33">
        <v>300000</v>
      </c>
      <c r="M12">
        <v>3</v>
      </c>
      <c r="N12">
        <v>113011</v>
      </c>
      <c r="O12">
        <v>213009</v>
      </c>
      <c r="P12">
        <v>213111</v>
      </c>
      <c r="Q12">
        <v>214009</v>
      </c>
      <c r="R12">
        <v>214111</v>
      </c>
      <c r="S12">
        <v>215009</v>
      </c>
      <c r="T12">
        <v>215111</v>
      </c>
      <c r="U12">
        <v>216111</v>
      </c>
      <c r="V12">
        <v>216112</v>
      </c>
      <c r="X12">
        <v>113011</v>
      </c>
      <c r="Y12">
        <f>INDEX(M:M,MATCH(X12,N:N,0))</f>
        <v>3</v>
      </c>
      <c r="Z12">
        <v>5</v>
      </c>
      <c r="AA12" s="72" t="str">
        <f t="shared" ref="AA12:AH12" si="10">IF(AI12=0,"",INDEX($N$1:$V$76,MATCH($X12,$N$1:$N$76,0),MATCH(AA$1,$N$1:$V$1,0)))</f>
        <v/>
      </c>
      <c r="AB12" s="72" t="str">
        <f t="shared" si="10"/>
        <v/>
      </c>
      <c r="AC12" s="72" t="str">
        <f t="shared" si="10"/>
        <v/>
      </c>
      <c r="AD12" s="72">
        <f t="shared" si="10"/>
        <v>214111</v>
      </c>
      <c r="AE12" s="72">
        <f t="shared" si="10"/>
        <v>215009</v>
      </c>
      <c r="AF12" s="72">
        <f t="shared" si="10"/>
        <v>215111</v>
      </c>
      <c r="AG12" s="72">
        <f t="shared" si="10"/>
        <v>216111</v>
      </c>
      <c r="AH12" s="72" t="str">
        <f t="shared" si="10"/>
        <v/>
      </c>
      <c r="AI12" s="72">
        <f t="array" ref="AI12">INDEX($C$4:$J$16,MATCH($Y12&amp;$Z12,$A$4:$A$16&amp;$B$4:$B$16,0),MATCH(AA$1,$C$2:$J$2,0))</f>
        <v>0</v>
      </c>
      <c r="AJ12" s="72">
        <f t="array" ref="AJ12">INDEX($C$4:$J$16,MATCH($Y12&amp;$Z12,$A$4:$A$16&amp;$B$4:$B$16,0),MATCH(AB$1,$C$2:$J$2,0))</f>
        <v>0</v>
      </c>
      <c r="AK12" s="72">
        <f t="array" ref="AK12">INDEX($C$4:$J$16,MATCH($Y12&amp;$Z12,$A$4:$A$16&amp;$B$4:$B$16,0),MATCH(AC$1,$C$2:$J$2,0))</f>
        <v>0</v>
      </c>
      <c r="AL12" s="72">
        <f t="array" ref="AL12">INDEX($C$4:$J$16,MATCH($Y12&amp;$Z12,$A$4:$A$16&amp;$B$4:$B$16,0),MATCH(AD$1,$C$2:$J$2,0))</f>
        <v>48</v>
      </c>
      <c r="AM12" s="72">
        <f t="array" ref="AM12">INDEX($C$4:$J$16,MATCH($Y12&amp;$Z12,$A$4:$A$16&amp;$B$4:$B$16,0),MATCH(AE$1,$C$2:$J$2,0))</f>
        <v>24</v>
      </c>
      <c r="AN12" s="72">
        <f t="array" ref="AN12">INDEX($C$4:$J$16,MATCH($Y12&amp;$Z12,$A$4:$A$16&amp;$B$4:$B$16,0),MATCH(AF$1,$C$2:$J$2,0))</f>
        <v>24</v>
      </c>
      <c r="AO12" s="72">
        <f t="array" ref="AO12">INDEX($C$4:$J$16,MATCH($Y12&amp;$Z12,$A$4:$A$16&amp;$B$4:$B$16,0),MATCH(AG$1,$C$2:$J$2,0))</f>
        <v>3</v>
      </c>
      <c r="AP12" s="72">
        <f t="array" ref="AP12">INDEX($C$4:$J$16,MATCH($Y12&amp;$Z12,$A$4:$A$16&amp;$B$4:$B$16,0),MATCH(AH$1,$C$2:$J$2,0))</f>
        <v>0</v>
      </c>
      <c r="AQ12" s="72">
        <f t="array" ref="AQ12">INDEX($K$2:$K$16,MATCH(Y12&amp;Z12,$A$2:$A$16&amp;$B$2:$B$16,0))</f>
        <v>750000</v>
      </c>
      <c r="AR12" s="42" t="str">
        <f t="array" ref="AR12">_xlfn.TEXTJOIN(";",1,IF($AA12:$AH12&lt;&gt;"","1001,"&amp;$AA12:$AH12&amp;","&amp;$AI12:$AP12,""))&amp;IF(AQ12=0,"",";"&amp;"5,0,"&amp;AQ12)</f>
        <v>1001,214111,48;1001,215009,24;1001,215111,24;1001,216111,3;5,0,750000</v>
      </c>
      <c r="AS12" s="42">
        <f t="array" ref="AS12">INDEX($A$19:$F$33,MATCH($Y12&amp;$Z12,$A$19:$A$33&amp;$B$19:$B$33,0),MATCH(AS$1,$A$19:$F$19,0))</f>
        <v>984</v>
      </c>
      <c r="AT12" s="42">
        <f t="array" ref="AT12">INDEX($A$19:$F$33,MATCH($Y12&amp;$Z12,$A$19:$A$33&amp;$B$19:$B$33,0),MATCH(AT$1,$A$19:$F$19,0))</f>
        <v>393.6</v>
      </c>
      <c r="AU12" s="42">
        <f t="array" ref="AU12">INDEX($A$19:$F$33,MATCH($Y12&amp;$Z12,$A$19:$A$33&amp;$B$19:$B$33,0),MATCH(AU$1,$A$19:$F$19,0))</f>
        <v>7872</v>
      </c>
      <c r="AV12" s="42">
        <f t="array" ref="AV12">INDEX($A$19:$F$33,MATCH($Y12&amp;$Z12,$A$19:$A$33&amp;$B$19:$B$33,0),MATCH(AV$1,$A$19:$F$19,0))</f>
        <v>110</v>
      </c>
    </row>
    <row r="13" ht="15.3" spans="1:48">
      <c r="A13" s="5">
        <v>4</v>
      </c>
      <c r="B13" s="6">
        <v>3</v>
      </c>
      <c r="C13" s="6"/>
      <c r="D13" s="6"/>
      <c r="E13" s="6"/>
      <c r="F13" s="6">
        <v>32</v>
      </c>
      <c r="G13" s="6">
        <v>16</v>
      </c>
      <c r="H13" s="6">
        <v>16</v>
      </c>
      <c r="I13" s="6">
        <v>1</v>
      </c>
      <c r="J13" s="35"/>
      <c r="K13" s="33">
        <v>450000</v>
      </c>
      <c r="M13">
        <v>3</v>
      </c>
      <c r="N13">
        <v>113012</v>
      </c>
      <c r="O13">
        <v>213112</v>
      </c>
      <c r="P13">
        <v>213009</v>
      </c>
      <c r="Q13">
        <v>214112</v>
      </c>
      <c r="R13">
        <v>214009</v>
      </c>
      <c r="S13">
        <v>215112</v>
      </c>
      <c r="T13">
        <v>215009</v>
      </c>
      <c r="U13">
        <v>216111</v>
      </c>
      <c r="V13">
        <v>216112</v>
      </c>
      <c r="X13">
        <v>113012</v>
      </c>
      <c r="Y13">
        <f>INDEX(M:M,MATCH(X13,N:N,0))</f>
        <v>3</v>
      </c>
      <c r="Z13">
        <v>5</v>
      </c>
      <c r="AA13" s="72" t="str">
        <f t="shared" ref="AA13:AH13" si="11">IF(AI13=0,"",INDEX($N$1:$V$76,MATCH($X13,$N$1:$N$76,0),MATCH(AA$1,$N$1:$V$1,0)))</f>
        <v/>
      </c>
      <c r="AB13" s="72" t="str">
        <f t="shared" si="11"/>
        <v/>
      </c>
      <c r="AC13" s="72" t="str">
        <f t="shared" si="11"/>
        <v/>
      </c>
      <c r="AD13" s="72">
        <f t="shared" si="11"/>
        <v>214009</v>
      </c>
      <c r="AE13" s="72">
        <f t="shared" si="11"/>
        <v>215112</v>
      </c>
      <c r="AF13" s="72">
        <f t="shared" si="11"/>
        <v>215009</v>
      </c>
      <c r="AG13" s="72">
        <f t="shared" si="11"/>
        <v>216111</v>
      </c>
      <c r="AH13" s="72" t="str">
        <f t="shared" si="11"/>
        <v/>
      </c>
      <c r="AI13" s="72">
        <f t="array" ref="AI13">INDEX($C$4:$J$16,MATCH($Y13&amp;$Z13,$A$4:$A$16&amp;$B$4:$B$16,0),MATCH(AA$1,$C$2:$J$2,0))</f>
        <v>0</v>
      </c>
      <c r="AJ13" s="72">
        <f t="array" ref="AJ13">INDEX($C$4:$J$16,MATCH($Y13&amp;$Z13,$A$4:$A$16&amp;$B$4:$B$16,0),MATCH(AB$1,$C$2:$J$2,0))</f>
        <v>0</v>
      </c>
      <c r="AK13" s="72">
        <f t="array" ref="AK13">INDEX($C$4:$J$16,MATCH($Y13&amp;$Z13,$A$4:$A$16&amp;$B$4:$B$16,0),MATCH(AC$1,$C$2:$J$2,0))</f>
        <v>0</v>
      </c>
      <c r="AL13" s="72">
        <f t="array" ref="AL13">INDEX($C$4:$J$16,MATCH($Y13&amp;$Z13,$A$4:$A$16&amp;$B$4:$B$16,0),MATCH(AD$1,$C$2:$J$2,0))</f>
        <v>48</v>
      </c>
      <c r="AM13" s="72">
        <f t="array" ref="AM13">INDEX($C$4:$J$16,MATCH($Y13&amp;$Z13,$A$4:$A$16&amp;$B$4:$B$16,0),MATCH(AE$1,$C$2:$J$2,0))</f>
        <v>24</v>
      </c>
      <c r="AN13" s="72">
        <f t="array" ref="AN13">INDEX($C$4:$J$16,MATCH($Y13&amp;$Z13,$A$4:$A$16&amp;$B$4:$B$16,0),MATCH(AF$1,$C$2:$J$2,0))</f>
        <v>24</v>
      </c>
      <c r="AO13" s="72">
        <f t="array" ref="AO13">INDEX($C$4:$J$16,MATCH($Y13&amp;$Z13,$A$4:$A$16&amp;$B$4:$B$16,0),MATCH(AG$1,$C$2:$J$2,0))</f>
        <v>3</v>
      </c>
      <c r="AP13" s="72">
        <f t="array" ref="AP13">INDEX($C$4:$J$16,MATCH($Y13&amp;$Z13,$A$4:$A$16&amp;$B$4:$B$16,0),MATCH(AH$1,$C$2:$J$2,0))</f>
        <v>0</v>
      </c>
      <c r="AQ13" s="72">
        <f t="array" ref="AQ13">INDEX($K$2:$K$16,MATCH(Y13&amp;Z13,$A$2:$A$16&amp;$B$2:$B$16,0))</f>
        <v>750000</v>
      </c>
      <c r="AR13" s="42" t="str">
        <f t="array" ref="AR13">_xlfn.TEXTJOIN(";",1,IF($AA13:$AH13&lt;&gt;"","1001,"&amp;$AA13:$AH13&amp;","&amp;$AI13:$AP13,""))&amp;IF(AQ13=0,"",";"&amp;"5,0,"&amp;AQ13)</f>
        <v>1001,214009,48;1001,215112,24;1001,215009,24;1001,216111,3;5,0,750000</v>
      </c>
      <c r="AS13" s="42">
        <f t="array" ref="AS13">INDEX($A$19:$F$33,MATCH($Y13&amp;$Z13,$A$19:$A$33&amp;$B$19:$B$33,0),MATCH(AS$1,$A$19:$F$19,0))</f>
        <v>984</v>
      </c>
      <c r="AT13" s="42">
        <f t="array" ref="AT13">INDEX($A$19:$F$33,MATCH($Y13&amp;$Z13,$A$19:$A$33&amp;$B$19:$B$33,0),MATCH(AT$1,$A$19:$F$19,0))</f>
        <v>393.6</v>
      </c>
      <c r="AU13" s="42">
        <f t="array" ref="AU13">INDEX($A$19:$F$33,MATCH($Y13&amp;$Z13,$A$19:$A$33&amp;$B$19:$B$33,0),MATCH(AU$1,$A$19:$F$19,0))</f>
        <v>7872</v>
      </c>
      <c r="AV13" s="42">
        <f t="array" ref="AV13">INDEX($A$19:$F$33,MATCH($Y13&amp;$Z13,$A$19:$A$33&amp;$B$19:$B$33,0),MATCH(AV$1,$A$19:$F$19,0))</f>
        <v>110</v>
      </c>
    </row>
    <row r="14" ht="15.3" spans="1:48">
      <c r="A14" s="5">
        <v>4</v>
      </c>
      <c r="B14" s="6">
        <v>4</v>
      </c>
      <c r="C14" s="6"/>
      <c r="D14" s="6"/>
      <c r="E14" s="6">
        <v>32</v>
      </c>
      <c r="F14" s="6"/>
      <c r="G14" s="6">
        <v>20</v>
      </c>
      <c r="H14" s="6">
        <v>20</v>
      </c>
      <c r="I14" s="6">
        <v>3</v>
      </c>
      <c r="J14" s="35"/>
      <c r="K14" s="33">
        <v>600000</v>
      </c>
      <c r="M14">
        <v>3</v>
      </c>
      <c r="N14">
        <v>113013</v>
      </c>
      <c r="O14">
        <v>213113</v>
      </c>
      <c r="P14">
        <v>213113</v>
      </c>
      <c r="Q14">
        <v>214113</v>
      </c>
      <c r="R14">
        <v>214112</v>
      </c>
      <c r="S14">
        <v>215113</v>
      </c>
      <c r="T14">
        <v>215112</v>
      </c>
      <c r="U14">
        <v>216111</v>
      </c>
      <c r="V14">
        <v>216112</v>
      </c>
      <c r="X14">
        <v>113013</v>
      </c>
      <c r="Y14">
        <f>INDEX(M:M,MATCH(X14,N:N,0))</f>
        <v>3</v>
      </c>
      <c r="Z14">
        <v>5</v>
      </c>
      <c r="AA14" s="72" t="str">
        <f t="shared" ref="AA14:AH14" si="12">IF(AI14=0,"",INDEX($N$1:$V$76,MATCH($X14,$N$1:$N$76,0),MATCH(AA$1,$N$1:$V$1,0)))</f>
        <v/>
      </c>
      <c r="AB14" s="72" t="str">
        <f t="shared" si="12"/>
        <v/>
      </c>
      <c r="AC14" s="72" t="str">
        <f t="shared" si="12"/>
        <v/>
      </c>
      <c r="AD14" s="72">
        <f t="shared" si="12"/>
        <v>214112</v>
      </c>
      <c r="AE14" s="72">
        <f t="shared" si="12"/>
        <v>215113</v>
      </c>
      <c r="AF14" s="72">
        <f t="shared" si="12"/>
        <v>215112</v>
      </c>
      <c r="AG14" s="72">
        <f t="shared" si="12"/>
        <v>216111</v>
      </c>
      <c r="AH14" s="72" t="str">
        <f t="shared" si="12"/>
        <v/>
      </c>
      <c r="AI14" s="72">
        <f t="array" ref="AI14">INDEX($C$4:$J$16,MATCH($Y14&amp;$Z14,$A$4:$A$16&amp;$B$4:$B$16,0),MATCH(AA$1,$C$2:$J$2,0))</f>
        <v>0</v>
      </c>
      <c r="AJ14" s="72">
        <f t="array" ref="AJ14">INDEX($C$4:$J$16,MATCH($Y14&amp;$Z14,$A$4:$A$16&amp;$B$4:$B$16,0),MATCH(AB$1,$C$2:$J$2,0))</f>
        <v>0</v>
      </c>
      <c r="AK14" s="72">
        <f t="array" ref="AK14">INDEX($C$4:$J$16,MATCH($Y14&amp;$Z14,$A$4:$A$16&amp;$B$4:$B$16,0),MATCH(AC$1,$C$2:$J$2,0))</f>
        <v>0</v>
      </c>
      <c r="AL14" s="72">
        <f t="array" ref="AL14">INDEX($C$4:$J$16,MATCH($Y14&amp;$Z14,$A$4:$A$16&amp;$B$4:$B$16,0),MATCH(AD$1,$C$2:$J$2,0))</f>
        <v>48</v>
      </c>
      <c r="AM14" s="72">
        <f t="array" ref="AM14">INDEX($C$4:$J$16,MATCH($Y14&amp;$Z14,$A$4:$A$16&amp;$B$4:$B$16,0),MATCH(AE$1,$C$2:$J$2,0))</f>
        <v>24</v>
      </c>
      <c r="AN14" s="72">
        <f t="array" ref="AN14">INDEX($C$4:$J$16,MATCH($Y14&amp;$Z14,$A$4:$A$16&amp;$B$4:$B$16,0),MATCH(AF$1,$C$2:$J$2,0))</f>
        <v>24</v>
      </c>
      <c r="AO14" s="72">
        <f t="array" ref="AO14">INDEX($C$4:$J$16,MATCH($Y14&amp;$Z14,$A$4:$A$16&amp;$B$4:$B$16,0),MATCH(AG$1,$C$2:$J$2,0))</f>
        <v>3</v>
      </c>
      <c r="AP14" s="72">
        <f t="array" ref="AP14">INDEX($C$4:$J$16,MATCH($Y14&amp;$Z14,$A$4:$A$16&amp;$B$4:$B$16,0),MATCH(AH$1,$C$2:$J$2,0))</f>
        <v>0</v>
      </c>
      <c r="AQ14" s="72">
        <f t="array" ref="AQ14">INDEX($K$2:$K$16,MATCH(Y14&amp;Z14,$A$2:$A$16&amp;$B$2:$B$16,0))</f>
        <v>750000</v>
      </c>
      <c r="AR14" s="42" t="str">
        <f t="array" ref="AR14">_xlfn.TEXTJOIN(";",1,IF($AA14:$AH14&lt;&gt;"","1001,"&amp;$AA14:$AH14&amp;","&amp;$AI14:$AP14,""))&amp;IF(AQ14=0,"",";"&amp;"5,0,"&amp;AQ14)</f>
        <v>1001,214112,48;1001,215113,24;1001,215112,24;1001,216111,3;5,0,750000</v>
      </c>
      <c r="AS14" s="42">
        <f t="array" ref="AS14">INDEX($A$19:$F$33,MATCH($Y14&amp;$Z14,$A$19:$A$33&amp;$B$19:$B$33,0),MATCH(AS$1,$A$19:$F$19,0))</f>
        <v>984</v>
      </c>
      <c r="AT14" s="42">
        <f t="array" ref="AT14">INDEX($A$19:$F$33,MATCH($Y14&amp;$Z14,$A$19:$A$33&amp;$B$19:$B$33,0),MATCH(AT$1,$A$19:$F$19,0))</f>
        <v>393.6</v>
      </c>
      <c r="AU14" s="42">
        <f t="array" ref="AU14">INDEX($A$19:$F$33,MATCH($Y14&amp;$Z14,$A$19:$A$33&amp;$B$19:$B$33,0),MATCH(AU$1,$A$19:$F$19,0))</f>
        <v>7872</v>
      </c>
      <c r="AV14" s="42">
        <f t="array" ref="AV14">INDEX($A$19:$F$33,MATCH($Y14&amp;$Z14,$A$19:$A$33&amp;$B$19:$B$33,0),MATCH(AV$1,$A$19:$F$19,0))</f>
        <v>110</v>
      </c>
    </row>
    <row r="15" ht="15.3" spans="1:48">
      <c r="A15" s="5">
        <v>4</v>
      </c>
      <c r="B15" s="6">
        <v>5</v>
      </c>
      <c r="C15" s="6"/>
      <c r="D15" s="6"/>
      <c r="E15" s="6"/>
      <c r="F15" s="6">
        <v>48</v>
      </c>
      <c r="G15" s="6">
        <v>24</v>
      </c>
      <c r="H15" s="6">
        <v>24</v>
      </c>
      <c r="I15" s="6"/>
      <c r="J15" s="35">
        <v>3</v>
      </c>
      <c r="K15" s="33">
        <v>750000</v>
      </c>
      <c r="M15">
        <v>3</v>
      </c>
      <c r="N15">
        <v>113014</v>
      </c>
      <c r="O15">
        <v>213114</v>
      </c>
      <c r="P15">
        <v>213114</v>
      </c>
      <c r="Q15">
        <v>214114</v>
      </c>
      <c r="R15">
        <v>214113</v>
      </c>
      <c r="S15">
        <v>215114</v>
      </c>
      <c r="T15">
        <v>215113</v>
      </c>
      <c r="U15">
        <v>216111</v>
      </c>
      <c r="V15">
        <v>216112</v>
      </c>
      <c r="X15">
        <v>113014</v>
      </c>
      <c r="Y15">
        <f>INDEX(M:M,MATCH(X15,N:N,0))</f>
        <v>3</v>
      </c>
      <c r="Z15">
        <v>5</v>
      </c>
      <c r="AA15" s="72" t="str">
        <f t="shared" ref="AA15:AH15" si="13">IF(AI15=0,"",INDEX($N$1:$V$76,MATCH($X15,$N$1:$N$76,0),MATCH(AA$1,$N$1:$V$1,0)))</f>
        <v/>
      </c>
      <c r="AB15" s="72" t="str">
        <f t="shared" si="13"/>
        <v/>
      </c>
      <c r="AC15" s="72" t="str">
        <f t="shared" si="13"/>
        <v/>
      </c>
      <c r="AD15" s="72">
        <f t="shared" si="13"/>
        <v>214113</v>
      </c>
      <c r="AE15" s="72">
        <f t="shared" si="13"/>
        <v>215114</v>
      </c>
      <c r="AF15" s="72">
        <f t="shared" si="13"/>
        <v>215113</v>
      </c>
      <c r="AG15" s="72">
        <f t="shared" si="13"/>
        <v>216111</v>
      </c>
      <c r="AH15" s="72" t="str">
        <f t="shared" si="13"/>
        <v/>
      </c>
      <c r="AI15" s="72">
        <f t="array" ref="AI15">INDEX($C$4:$J$16,MATCH($Y15&amp;$Z15,$A$4:$A$16&amp;$B$4:$B$16,0),MATCH(AA$1,$C$2:$J$2,0))</f>
        <v>0</v>
      </c>
      <c r="AJ15" s="72">
        <f t="array" ref="AJ15">INDEX($C$4:$J$16,MATCH($Y15&amp;$Z15,$A$4:$A$16&amp;$B$4:$B$16,0),MATCH(AB$1,$C$2:$J$2,0))</f>
        <v>0</v>
      </c>
      <c r="AK15" s="72">
        <f t="array" ref="AK15">INDEX($C$4:$J$16,MATCH($Y15&amp;$Z15,$A$4:$A$16&amp;$B$4:$B$16,0),MATCH(AC$1,$C$2:$J$2,0))</f>
        <v>0</v>
      </c>
      <c r="AL15" s="72">
        <f t="array" ref="AL15">INDEX($C$4:$J$16,MATCH($Y15&amp;$Z15,$A$4:$A$16&amp;$B$4:$B$16,0),MATCH(AD$1,$C$2:$J$2,0))</f>
        <v>48</v>
      </c>
      <c r="AM15" s="72">
        <f t="array" ref="AM15">INDEX($C$4:$J$16,MATCH($Y15&amp;$Z15,$A$4:$A$16&amp;$B$4:$B$16,0),MATCH(AE$1,$C$2:$J$2,0))</f>
        <v>24</v>
      </c>
      <c r="AN15" s="72">
        <f t="array" ref="AN15">INDEX($C$4:$J$16,MATCH($Y15&amp;$Z15,$A$4:$A$16&amp;$B$4:$B$16,0),MATCH(AF$1,$C$2:$J$2,0))</f>
        <v>24</v>
      </c>
      <c r="AO15" s="72">
        <f t="array" ref="AO15">INDEX($C$4:$J$16,MATCH($Y15&amp;$Z15,$A$4:$A$16&amp;$B$4:$B$16,0),MATCH(AG$1,$C$2:$J$2,0))</f>
        <v>3</v>
      </c>
      <c r="AP15" s="72">
        <f t="array" ref="AP15">INDEX($C$4:$J$16,MATCH($Y15&amp;$Z15,$A$4:$A$16&amp;$B$4:$B$16,0),MATCH(AH$1,$C$2:$J$2,0))</f>
        <v>0</v>
      </c>
      <c r="AQ15" s="72">
        <f t="array" ref="AQ15">INDEX($K$2:$K$16,MATCH(Y15&amp;Z15,$A$2:$A$16&amp;$B$2:$B$16,0))</f>
        <v>750000</v>
      </c>
      <c r="AR15" s="42" t="str">
        <f t="array" ref="AR15">_xlfn.TEXTJOIN(";",1,IF($AA15:$AH15&lt;&gt;"","1001,"&amp;$AA15:$AH15&amp;","&amp;$AI15:$AP15,""))&amp;IF(AQ15=0,"",";"&amp;"5,0,"&amp;AQ15)</f>
        <v>1001,214113,48;1001,215114,24;1001,215113,24;1001,216111,3;5,0,750000</v>
      </c>
      <c r="AS15" s="42">
        <f t="array" ref="AS15">INDEX($A$19:$F$33,MATCH($Y15&amp;$Z15,$A$19:$A$33&amp;$B$19:$B$33,0),MATCH(AS$1,$A$19:$F$19,0))</f>
        <v>984</v>
      </c>
      <c r="AT15" s="42">
        <f t="array" ref="AT15">INDEX($A$19:$F$33,MATCH($Y15&amp;$Z15,$A$19:$A$33&amp;$B$19:$B$33,0),MATCH(AT$1,$A$19:$F$19,0))</f>
        <v>393.6</v>
      </c>
      <c r="AU15" s="42">
        <f t="array" ref="AU15">INDEX($A$19:$F$33,MATCH($Y15&amp;$Z15,$A$19:$A$33&amp;$B$19:$B$33,0),MATCH(AU$1,$A$19:$F$19,0))</f>
        <v>7872</v>
      </c>
      <c r="AV15" s="42">
        <f t="array" ref="AV15">INDEX($A$19:$F$33,MATCH($Y15&amp;$Z15,$A$19:$A$33&amp;$B$19:$B$33,0),MATCH(AV$1,$A$19:$F$19,0))</f>
        <v>110</v>
      </c>
    </row>
    <row r="16" ht="16.05" spans="1:48">
      <c r="A16" s="9">
        <v>4</v>
      </c>
      <c r="B16" s="10">
        <v>6</v>
      </c>
      <c r="C16" s="10"/>
      <c r="D16" s="10"/>
      <c r="E16" s="10">
        <v>48</v>
      </c>
      <c r="F16" s="10"/>
      <c r="G16" s="10">
        <v>28</v>
      </c>
      <c r="H16" s="10">
        <v>28</v>
      </c>
      <c r="I16" s="10"/>
      <c r="J16" s="36">
        <v>5</v>
      </c>
      <c r="K16" s="37">
        <v>900000</v>
      </c>
      <c r="M16">
        <v>3</v>
      </c>
      <c r="N16">
        <v>113015</v>
      </c>
      <c r="O16">
        <v>213111</v>
      </c>
      <c r="P16">
        <v>213111</v>
      </c>
      <c r="Q16">
        <v>214111</v>
      </c>
      <c r="R16">
        <v>214114</v>
      </c>
      <c r="S16">
        <v>215111</v>
      </c>
      <c r="T16">
        <v>215114</v>
      </c>
      <c r="U16">
        <v>216111</v>
      </c>
      <c r="V16">
        <v>216112</v>
      </c>
      <c r="X16">
        <v>113015</v>
      </c>
      <c r="Y16">
        <f>INDEX(M:M,MATCH(X16,N:N,0))</f>
        <v>3</v>
      </c>
      <c r="Z16">
        <v>5</v>
      </c>
      <c r="AA16" s="72" t="str">
        <f t="shared" ref="AA16:AH16" si="14">IF(AI16=0,"",INDEX($N$1:$V$76,MATCH($X16,$N$1:$N$76,0),MATCH(AA$1,$N$1:$V$1,0)))</f>
        <v/>
      </c>
      <c r="AB16" s="72" t="str">
        <f t="shared" si="14"/>
        <v/>
      </c>
      <c r="AC16" s="72" t="str">
        <f t="shared" si="14"/>
        <v/>
      </c>
      <c r="AD16" s="72">
        <f t="shared" si="14"/>
        <v>214114</v>
      </c>
      <c r="AE16" s="72">
        <f t="shared" si="14"/>
        <v>215111</v>
      </c>
      <c r="AF16" s="72">
        <f t="shared" si="14"/>
        <v>215114</v>
      </c>
      <c r="AG16" s="72">
        <f t="shared" si="14"/>
        <v>216111</v>
      </c>
      <c r="AH16" s="72" t="str">
        <f t="shared" si="14"/>
        <v/>
      </c>
      <c r="AI16" s="72">
        <f t="array" ref="AI16">INDEX($C$4:$J$16,MATCH($Y16&amp;$Z16,$A$4:$A$16&amp;$B$4:$B$16,0),MATCH(AA$1,$C$2:$J$2,0))</f>
        <v>0</v>
      </c>
      <c r="AJ16" s="72">
        <f t="array" ref="AJ16">INDEX($C$4:$J$16,MATCH($Y16&amp;$Z16,$A$4:$A$16&amp;$B$4:$B$16,0),MATCH(AB$1,$C$2:$J$2,0))</f>
        <v>0</v>
      </c>
      <c r="AK16" s="72">
        <f t="array" ref="AK16">INDEX($C$4:$J$16,MATCH($Y16&amp;$Z16,$A$4:$A$16&amp;$B$4:$B$16,0),MATCH(AC$1,$C$2:$J$2,0))</f>
        <v>0</v>
      </c>
      <c r="AL16" s="72">
        <f t="array" ref="AL16">INDEX($C$4:$J$16,MATCH($Y16&amp;$Z16,$A$4:$A$16&amp;$B$4:$B$16,0),MATCH(AD$1,$C$2:$J$2,0))</f>
        <v>48</v>
      </c>
      <c r="AM16" s="72">
        <f t="array" ref="AM16">INDEX($C$4:$J$16,MATCH($Y16&amp;$Z16,$A$4:$A$16&amp;$B$4:$B$16,0),MATCH(AE$1,$C$2:$J$2,0))</f>
        <v>24</v>
      </c>
      <c r="AN16" s="72">
        <f t="array" ref="AN16">INDEX($C$4:$J$16,MATCH($Y16&amp;$Z16,$A$4:$A$16&amp;$B$4:$B$16,0),MATCH(AF$1,$C$2:$J$2,0))</f>
        <v>24</v>
      </c>
      <c r="AO16" s="72">
        <f t="array" ref="AO16">INDEX($C$4:$J$16,MATCH($Y16&amp;$Z16,$A$4:$A$16&amp;$B$4:$B$16,0),MATCH(AG$1,$C$2:$J$2,0))</f>
        <v>3</v>
      </c>
      <c r="AP16" s="72">
        <f t="array" ref="AP16">INDEX($C$4:$J$16,MATCH($Y16&amp;$Z16,$A$4:$A$16&amp;$B$4:$B$16,0),MATCH(AH$1,$C$2:$J$2,0))</f>
        <v>0</v>
      </c>
      <c r="AQ16" s="72">
        <f t="array" ref="AQ16">INDEX($K$2:$K$16,MATCH(Y16&amp;Z16,$A$2:$A$16&amp;$B$2:$B$16,0))</f>
        <v>750000</v>
      </c>
      <c r="AR16" s="42" t="str">
        <f t="array" ref="AR16">_xlfn.TEXTJOIN(";",1,IF($AA16:$AH16&lt;&gt;"","1001,"&amp;$AA16:$AH16&amp;","&amp;$AI16:$AP16,""))&amp;IF(AQ16=0,"",";"&amp;"5,0,"&amp;AQ16)</f>
        <v>1001,214114,48;1001,215111,24;1001,215114,24;1001,216111,3;5,0,750000</v>
      </c>
      <c r="AS16" s="42">
        <f t="array" ref="AS16">INDEX($A$19:$F$33,MATCH($Y16&amp;$Z16,$A$19:$A$33&amp;$B$19:$B$33,0),MATCH(AS$1,$A$19:$F$19,0))</f>
        <v>984</v>
      </c>
      <c r="AT16" s="42">
        <f t="array" ref="AT16">INDEX($A$19:$F$33,MATCH($Y16&amp;$Z16,$A$19:$A$33&amp;$B$19:$B$33,0),MATCH(AT$1,$A$19:$F$19,0))</f>
        <v>393.6</v>
      </c>
      <c r="AU16" s="42">
        <f t="array" ref="AU16">INDEX($A$19:$F$33,MATCH($Y16&amp;$Z16,$A$19:$A$33&amp;$B$19:$B$33,0),MATCH(AU$1,$A$19:$F$19,0))</f>
        <v>7872</v>
      </c>
      <c r="AV16" s="42">
        <f t="array" ref="AV16">INDEX($A$19:$F$33,MATCH($Y16&amp;$Z16,$A$19:$A$33&amp;$B$19:$B$33,0),MATCH(AV$1,$A$19:$F$19,0))</f>
        <v>110</v>
      </c>
    </row>
    <row r="17" spans="13:48">
      <c r="M17">
        <v>3</v>
      </c>
      <c r="N17" s="38">
        <v>112028</v>
      </c>
      <c r="O17">
        <v>213114</v>
      </c>
      <c r="P17">
        <v>213114</v>
      </c>
      <c r="Q17">
        <v>214114</v>
      </c>
      <c r="R17">
        <v>214113</v>
      </c>
      <c r="S17">
        <v>215114</v>
      </c>
      <c r="T17">
        <v>215113</v>
      </c>
      <c r="U17">
        <v>216111</v>
      </c>
      <c r="V17">
        <v>216112</v>
      </c>
      <c r="X17" s="38">
        <v>112028</v>
      </c>
      <c r="Y17">
        <f>INDEX(M:M,MATCH(X17,N:N,0))</f>
        <v>3</v>
      </c>
      <c r="Z17">
        <v>5</v>
      </c>
      <c r="AA17" s="72" t="str">
        <f t="shared" ref="AA17:AH17" si="15">IF(AI17=0,"",INDEX($N$1:$V$76,MATCH($X17,$N$1:$N$76,0),MATCH(AA$1,$N$1:$V$1,0)))</f>
        <v/>
      </c>
      <c r="AB17" s="72" t="str">
        <f t="shared" si="15"/>
        <v/>
      </c>
      <c r="AC17" s="72" t="str">
        <f t="shared" si="15"/>
        <v/>
      </c>
      <c r="AD17" s="72">
        <f t="shared" si="15"/>
        <v>214113</v>
      </c>
      <c r="AE17" s="72">
        <f t="shared" si="15"/>
        <v>215114</v>
      </c>
      <c r="AF17" s="72">
        <f t="shared" si="15"/>
        <v>215113</v>
      </c>
      <c r="AG17" s="72">
        <f t="shared" si="15"/>
        <v>216111</v>
      </c>
      <c r="AH17" s="72" t="str">
        <f t="shared" si="15"/>
        <v/>
      </c>
      <c r="AI17" s="72">
        <f t="array" ref="AI17">INDEX($C$4:$J$16,MATCH($Y17&amp;$Z17,$A$4:$A$16&amp;$B$4:$B$16,0),MATCH(AA$1,$C$2:$J$2,0))</f>
        <v>0</v>
      </c>
      <c r="AJ17" s="72">
        <f t="array" ref="AJ17">INDEX($C$4:$J$16,MATCH($Y17&amp;$Z17,$A$4:$A$16&amp;$B$4:$B$16,0),MATCH(AB$1,$C$2:$J$2,0))</f>
        <v>0</v>
      </c>
      <c r="AK17" s="72">
        <f t="array" ref="AK17">INDEX($C$4:$J$16,MATCH($Y17&amp;$Z17,$A$4:$A$16&amp;$B$4:$B$16,0),MATCH(AC$1,$C$2:$J$2,0))</f>
        <v>0</v>
      </c>
      <c r="AL17" s="72">
        <f t="array" ref="AL17">INDEX($C$4:$J$16,MATCH($Y17&amp;$Z17,$A$4:$A$16&amp;$B$4:$B$16,0),MATCH(AD$1,$C$2:$J$2,0))</f>
        <v>48</v>
      </c>
      <c r="AM17" s="72">
        <f t="array" ref="AM17">INDEX($C$4:$J$16,MATCH($Y17&amp;$Z17,$A$4:$A$16&amp;$B$4:$B$16,0),MATCH(AE$1,$C$2:$J$2,0))</f>
        <v>24</v>
      </c>
      <c r="AN17" s="72">
        <f t="array" ref="AN17">INDEX($C$4:$J$16,MATCH($Y17&amp;$Z17,$A$4:$A$16&amp;$B$4:$B$16,0),MATCH(AF$1,$C$2:$J$2,0))</f>
        <v>24</v>
      </c>
      <c r="AO17" s="72">
        <f t="array" ref="AO17">INDEX($C$4:$J$16,MATCH($Y17&amp;$Z17,$A$4:$A$16&amp;$B$4:$B$16,0),MATCH(AG$1,$C$2:$J$2,0))</f>
        <v>3</v>
      </c>
      <c r="AP17" s="72">
        <f t="array" ref="AP17">INDEX($C$4:$J$16,MATCH($Y17&amp;$Z17,$A$4:$A$16&amp;$B$4:$B$16,0),MATCH(AH$1,$C$2:$J$2,0))</f>
        <v>0</v>
      </c>
      <c r="AQ17" s="72">
        <f t="array" ref="AQ17">INDEX($K$2:$K$16,MATCH(Y17&amp;Z17,$A$2:$A$16&amp;$B$2:$B$16,0))</f>
        <v>750000</v>
      </c>
      <c r="AR17" s="42" t="str">
        <f t="array" ref="AR17">_xlfn.TEXTJOIN(";",1,IF($AA17:$AH17&lt;&gt;"","1001,"&amp;$AA17:$AH17&amp;","&amp;$AI17:$AP17,""))&amp;IF(AQ17=0,"",";"&amp;"5,0,"&amp;AQ17)</f>
        <v>1001,214113,48;1001,215114,24;1001,215113,24;1001,216111,3;5,0,750000</v>
      </c>
      <c r="AS17" s="42">
        <f t="array" ref="AS17">INDEX($A$19:$F$33,MATCH($Y17&amp;$Z17,$A$19:$A$33&amp;$B$19:$B$33,0),MATCH(AS$1,$A$19:$F$19,0))</f>
        <v>984</v>
      </c>
      <c r="AT17" s="42">
        <f t="array" ref="AT17">INDEX($A$19:$F$33,MATCH($Y17&amp;$Z17,$A$19:$A$33&amp;$B$19:$B$33,0),MATCH(AT$1,$A$19:$F$19,0))</f>
        <v>393.6</v>
      </c>
      <c r="AU17" s="42">
        <f t="array" ref="AU17">INDEX($A$19:$F$33,MATCH($Y17&amp;$Z17,$A$19:$A$33&amp;$B$19:$B$33,0),MATCH(AU$1,$A$19:$F$19,0))</f>
        <v>7872</v>
      </c>
      <c r="AV17" s="42">
        <f t="array" ref="AV17">INDEX($A$19:$F$33,MATCH($Y17&amp;$Z17,$A$19:$A$33&amp;$B$19:$B$33,0),MATCH(AV$1,$A$19:$F$19,0))</f>
        <v>110</v>
      </c>
    </row>
    <row r="18" ht="14.85" spans="13:48">
      <c r="M18">
        <v>3</v>
      </c>
      <c r="N18">
        <v>113016</v>
      </c>
      <c r="O18">
        <v>213112</v>
      </c>
      <c r="P18">
        <v>213112</v>
      </c>
      <c r="Q18">
        <v>214112</v>
      </c>
      <c r="R18">
        <v>214009</v>
      </c>
      <c r="S18">
        <v>215112</v>
      </c>
      <c r="T18">
        <v>215009</v>
      </c>
      <c r="U18">
        <v>216111</v>
      </c>
      <c r="V18">
        <v>216112</v>
      </c>
      <c r="X18">
        <v>113016</v>
      </c>
      <c r="Y18">
        <f>INDEX(M:M,MATCH(X18,N:N,0))</f>
        <v>3</v>
      </c>
      <c r="Z18">
        <v>5</v>
      </c>
      <c r="AA18" s="72" t="str">
        <f t="shared" ref="AA18:AH18" si="16">IF(AI18=0,"",INDEX($N$1:$V$76,MATCH($X18,$N$1:$N$76,0),MATCH(AA$1,$N$1:$V$1,0)))</f>
        <v/>
      </c>
      <c r="AB18" s="72" t="str">
        <f t="shared" si="16"/>
        <v/>
      </c>
      <c r="AC18" s="72" t="str">
        <f t="shared" si="16"/>
        <v/>
      </c>
      <c r="AD18" s="72">
        <f t="shared" si="16"/>
        <v>214009</v>
      </c>
      <c r="AE18" s="72">
        <f t="shared" si="16"/>
        <v>215112</v>
      </c>
      <c r="AF18" s="72">
        <f t="shared" si="16"/>
        <v>215009</v>
      </c>
      <c r="AG18" s="72">
        <f t="shared" si="16"/>
        <v>216111</v>
      </c>
      <c r="AH18" s="72" t="str">
        <f t="shared" si="16"/>
        <v/>
      </c>
      <c r="AI18" s="72">
        <f t="array" ref="AI18">INDEX($C$4:$J$16,MATCH($Y18&amp;$Z18,$A$4:$A$16&amp;$B$4:$B$16,0),MATCH(AA$1,$C$2:$J$2,0))</f>
        <v>0</v>
      </c>
      <c r="AJ18" s="72">
        <f t="array" ref="AJ18">INDEX($C$4:$J$16,MATCH($Y18&amp;$Z18,$A$4:$A$16&amp;$B$4:$B$16,0),MATCH(AB$1,$C$2:$J$2,0))</f>
        <v>0</v>
      </c>
      <c r="AK18" s="72">
        <f t="array" ref="AK18">INDEX($C$4:$J$16,MATCH($Y18&amp;$Z18,$A$4:$A$16&amp;$B$4:$B$16,0),MATCH(AC$1,$C$2:$J$2,0))</f>
        <v>0</v>
      </c>
      <c r="AL18" s="72">
        <f t="array" ref="AL18">INDEX($C$4:$J$16,MATCH($Y18&amp;$Z18,$A$4:$A$16&amp;$B$4:$B$16,0),MATCH(AD$1,$C$2:$J$2,0))</f>
        <v>48</v>
      </c>
      <c r="AM18" s="72">
        <f t="array" ref="AM18">INDEX($C$4:$J$16,MATCH($Y18&amp;$Z18,$A$4:$A$16&amp;$B$4:$B$16,0),MATCH(AE$1,$C$2:$J$2,0))</f>
        <v>24</v>
      </c>
      <c r="AN18" s="72">
        <f t="array" ref="AN18">INDEX($C$4:$J$16,MATCH($Y18&amp;$Z18,$A$4:$A$16&amp;$B$4:$B$16,0),MATCH(AF$1,$C$2:$J$2,0))</f>
        <v>24</v>
      </c>
      <c r="AO18" s="72">
        <f t="array" ref="AO18">INDEX($C$4:$J$16,MATCH($Y18&amp;$Z18,$A$4:$A$16&amp;$B$4:$B$16,0),MATCH(AG$1,$C$2:$J$2,0))</f>
        <v>3</v>
      </c>
      <c r="AP18" s="72">
        <f t="array" ref="AP18">INDEX($C$4:$J$16,MATCH($Y18&amp;$Z18,$A$4:$A$16&amp;$B$4:$B$16,0),MATCH(AH$1,$C$2:$J$2,0))</f>
        <v>0</v>
      </c>
      <c r="AQ18" s="72">
        <f t="array" ref="AQ18">INDEX($K$2:$K$16,MATCH(Y18&amp;Z18,$A$2:$A$16&amp;$B$2:$B$16,0))</f>
        <v>750000</v>
      </c>
      <c r="AR18" s="42" t="str">
        <f t="array" ref="AR18">_xlfn.TEXTJOIN(";",1,IF($AA18:$AH18&lt;&gt;"","1001,"&amp;$AA18:$AH18&amp;","&amp;$AI18:$AP18,""))&amp;IF(AQ18=0,"",";"&amp;"5,0,"&amp;AQ18)</f>
        <v>1001,214009,48;1001,215112,24;1001,215009,24;1001,216111,3;5,0,750000</v>
      </c>
      <c r="AS18" s="42">
        <f t="array" ref="AS18">INDEX($A$19:$F$33,MATCH($Y18&amp;$Z18,$A$19:$A$33&amp;$B$19:$B$33,0),MATCH(AS$1,$A$19:$F$19,0))</f>
        <v>984</v>
      </c>
      <c r="AT18" s="42">
        <f t="array" ref="AT18">INDEX($A$19:$F$33,MATCH($Y18&amp;$Z18,$A$19:$A$33&amp;$B$19:$B$33,0),MATCH(AT$1,$A$19:$F$19,0))</f>
        <v>393.6</v>
      </c>
      <c r="AU18" s="42">
        <f t="array" ref="AU18">INDEX($A$19:$F$33,MATCH($Y18&amp;$Z18,$A$19:$A$33&amp;$B$19:$B$33,0),MATCH(AU$1,$A$19:$F$19,0))</f>
        <v>7872</v>
      </c>
      <c r="AV18" s="42">
        <f t="array" ref="AV18">INDEX($A$19:$F$33,MATCH($Y18&amp;$Z18,$A$19:$A$33&amp;$B$19:$B$33,0),MATCH(AV$1,$A$19:$F$19,0))</f>
        <v>110</v>
      </c>
    </row>
    <row r="19" ht="16.2" spans="1:48">
      <c r="A19" s="11" t="s">
        <v>135</v>
      </c>
      <c r="B19" s="12" t="s">
        <v>150</v>
      </c>
      <c r="C19" s="4" t="s">
        <v>1</v>
      </c>
      <c r="D19" s="4" t="s">
        <v>2</v>
      </c>
      <c r="E19" s="4" t="s">
        <v>149</v>
      </c>
      <c r="F19" s="13" t="s">
        <v>4</v>
      </c>
      <c r="M19">
        <v>3</v>
      </c>
      <c r="N19">
        <v>113017</v>
      </c>
      <c r="O19">
        <v>213113</v>
      </c>
      <c r="P19">
        <v>213112</v>
      </c>
      <c r="Q19">
        <v>214113</v>
      </c>
      <c r="R19">
        <v>214112</v>
      </c>
      <c r="S19">
        <v>215113</v>
      </c>
      <c r="T19">
        <v>215112</v>
      </c>
      <c r="U19">
        <v>216111</v>
      </c>
      <c r="V19">
        <v>216112</v>
      </c>
      <c r="X19">
        <v>113017</v>
      </c>
      <c r="Y19">
        <f>INDEX(M:M,MATCH(X19,N:N,0))</f>
        <v>3</v>
      </c>
      <c r="Z19">
        <v>5</v>
      </c>
      <c r="AA19" s="72" t="str">
        <f t="shared" ref="AA19:AH19" si="17">IF(AI19=0,"",INDEX($N$1:$V$76,MATCH($X19,$N$1:$N$76,0),MATCH(AA$1,$N$1:$V$1,0)))</f>
        <v/>
      </c>
      <c r="AB19" s="72" t="str">
        <f t="shared" si="17"/>
        <v/>
      </c>
      <c r="AC19" s="72" t="str">
        <f t="shared" si="17"/>
        <v/>
      </c>
      <c r="AD19" s="72">
        <f t="shared" si="17"/>
        <v>214112</v>
      </c>
      <c r="AE19" s="72">
        <f t="shared" si="17"/>
        <v>215113</v>
      </c>
      <c r="AF19" s="72">
        <f t="shared" si="17"/>
        <v>215112</v>
      </c>
      <c r="AG19" s="72">
        <f t="shared" si="17"/>
        <v>216111</v>
      </c>
      <c r="AH19" s="72" t="str">
        <f t="shared" si="17"/>
        <v/>
      </c>
      <c r="AI19" s="72">
        <f t="array" ref="AI19">INDEX($C$4:$J$16,MATCH($Y19&amp;$Z19,$A$4:$A$16&amp;$B$4:$B$16,0),MATCH(AA$1,$C$2:$J$2,0))</f>
        <v>0</v>
      </c>
      <c r="AJ19" s="72">
        <f t="array" ref="AJ19">INDEX($C$4:$J$16,MATCH($Y19&amp;$Z19,$A$4:$A$16&amp;$B$4:$B$16,0),MATCH(AB$1,$C$2:$J$2,0))</f>
        <v>0</v>
      </c>
      <c r="AK19" s="72">
        <f t="array" ref="AK19">INDEX($C$4:$J$16,MATCH($Y19&amp;$Z19,$A$4:$A$16&amp;$B$4:$B$16,0),MATCH(AC$1,$C$2:$J$2,0))</f>
        <v>0</v>
      </c>
      <c r="AL19" s="72">
        <f t="array" ref="AL19">INDEX($C$4:$J$16,MATCH($Y19&amp;$Z19,$A$4:$A$16&amp;$B$4:$B$16,0),MATCH(AD$1,$C$2:$J$2,0))</f>
        <v>48</v>
      </c>
      <c r="AM19" s="72">
        <f t="array" ref="AM19">INDEX($C$4:$J$16,MATCH($Y19&amp;$Z19,$A$4:$A$16&amp;$B$4:$B$16,0),MATCH(AE$1,$C$2:$J$2,0))</f>
        <v>24</v>
      </c>
      <c r="AN19" s="72">
        <f t="array" ref="AN19">INDEX($C$4:$J$16,MATCH($Y19&amp;$Z19,$A$4:$A$16&amp;$B$4:$B$16,0),MATCH(AF$1,$C$2:$J$2,0))</f>
        <v>24</v>
      </c>
      <c r="AO19" s="72">
        <f t="array" ref="AO19">INDEX($C$4:$J$16,MATCH($Y19&amp;$Z19,$A$4:$A$16&amp;$B$4:$B$16,0),MATCH(AG$1,$C$2:$J$2,0))</f>
        <v>3</v>
      </c>
      <c r="AP19" s="72">
        <f t="array" ref="AP19">INDEX($C$4:$J$16,MATCH($Y19&amp;$Z19,$A$4:$A$16&amp;$B$4:$B$16,0),MATCH(AH$1,$C$2:$J$2,0))</f>
        <v>0</v>
      </c>
      <c r="AQ19" s="72">
        <f t="array" ref="AQ19">INDEX($K$2:$K$16,MATCH(Y19&amp;Z19,$A$2:$A$16&amp;$B$2:$B$16,0))</f>
        <v>750000</v>
      </c>
      <c r="AR19" s="42" t="str">
        <f t="array" ref="AR19">_xlfn.TEXTJOIN(";",1,IF($AA19:$AH19&lt;&gt;"","1001,"&amp;$AA19:$AH19&amp;","&amp;$AI19:$AP19,""))&amp;IF(AQ19=0,"",";"&amp;"5,0,"&amp;AQ19)</f>
        <v>1001,214112,48;1001,215113,24;1001,215112,24;1001,216111,3;5,0,750000</v>
      </c>
      <c r="AS19" s="42">
        <f t="array" ref="AS19">INDEX($A$19:$F$33,MATCH($Y19&amp;$Z19,$A$19:$A$33&amp;$B$19:$B$33,0),MATCH(AS$1,$A$19:$F$19,0))</f>
        <v>984</v>
      </c>
      <c r="AT19" s="42">
        <f t="array" ref="AT19">INDEX($A$19:$F$33,MATCH($Y19&amp;$Z19,$A$19:$A$33&amp;$B$19:$B$33,0),MATCH(AT$1,$A$19:$F$19,0))</f>
        <v>393.6</v>
      </c>
      <c r="AU19" s="42">
        <f t="array" ref="AU19">INDEX($A$19:$F$33,MATCH($Y19&amp;$Z19,$A$19:$A$33&amp;$B$19:$B$33,0),MATCH(AU$1,$A$19:$F$19,0))</f>
        <v>7872</v>
      </c>
      <c r="AV19" s="42">
        <f t="array" ref="AV19">INDEX($A$19:$F$33,MATCH($Y19&amp;$Z19,$A$19:$A$33&amp;$B$19:$B$33,0),MATCH(AV$1,$A$19:$F$19,0))</f>
        <v>110</v>
      </c>
    </row>
    <row r="20" ht="15.3" spans="1:48">
      <c r="A20" s="14">
        <v>3</v>
      </c>
      <c r="B20" s="15">
        <v>0</v>
      </c>
      <c r="C20" s="16"/>
      <c r="D20" s="16"/>
      <c r="E20" s="16"/>
      <c r="F20" s="17"/>
      <c r="M20">
        <v>3</v>
      </c>
      <c r="N20" s="39">
        <v>113018</v>
      </c>
      <c r="O20">
        <v>213111</v>
      </c>
      <c r="P20">
        <v>213111</v>
      </c>
      <c r="Q20">
        <v>214111</v>
      </c>
      <c r="R20">
        <v>214114</v>
      </c>
      <c r="S20">
        <v>215111</v>
      </c>
      <c r="T20">
        <v>215114</v>
      </c>
      <c r="U20">
        <v>216111</v>
      </c>
      <c r="V20">
        <v>216112</v>
      </c>
      <c r="X20" s="39">
        <v>113018</v>
      </c>
      <c r="Y20">
        <f>INDEX(M:M,MATCH(X20,N:N,0))</f>
        <v>3</v>
      </c>
      <c r="Z20">
        <v>5</v>
      </c>
      <c r="AA20" s="72" t="str">
        <f t="shared" ref="AA20:AH20" si="18">IF(AI20=0,"",INDEX($N$1:$V$76,MATCH($X20,$N$1:$N$76,0),MATCH(AA$1,$N$1:$V$1,0)))</f>
        <v/>
      </c>
      <c r="AB20" s="72" t="str">
        <f t="shared" si="18"/>
        <v/>
      </c>
      <c r="AC20" s="72" t="str">
        <f t="shared" si="18"/>
        <v/>
      </c>
      <c r="AD20" s="72">
        <f t="shared" si="18"/>
        <v>214114</v>
      </c>
      <c r="AE20" s="72">
        <f t="shared" si="18"/>
        <v>215111</v>
      </c>
      <c r="AF20" s="72">
        <f t="shared" si="18"/>
        <v>215114</v>
      </c>
      <c r="AG20" s="72">
        <f t="shared" si="18"/>
        <v>216111</v>
      </c>
      <c r="AH20" s="72" t="str">
        <f t="shared" si="18"/>
        <v/>
      </c>
      <c r="AI20" s="72">
        <f t="array" ref="AI20">INDEX($C$4:$J$16,MATCH($Y20&amp;$Z20,$A$4:$A$16&amp;$B$4:$B$16,0),MATCH(AA$1,$C$2:$J$2,0))</f>
        <v>0</v>
      </c>
      <c r="AJ20" s="72">
        <f t="array" ref="AJ20">INDEX($C$4:$J$16,MATCH($Y20&amp;$Z20,$A$4:$A$16&amp;$B$4:$B$16,0),MATCH(AB$1,$C$2:$J$2,0))</f>
        <v>0</v>
      </c>
      <c r="AK20" s="72">
        <f t="array" ref="AK20">INDEX($C$4:$J$16,MATCH($Y20&amp;$Z20,$A$4:$A$16&amp;$B$4:$B$16,0),MATCH(AC$1,$C$2:$J$2,0))</f>
        <v>0</v>
      </c>
      <c r="AL20" s="72">
        <f t="array" ref="AL20">INDEX($C$4:$J$16,MATCH($Y20&amp;$Z20,$A$4:$A$16&amp;$B$4:$B$16,0),MATCH(AD$1,$C$2:$J$2,0))</f>
        <v>48</v>
      </c>
      <c r="AM20" s="72">
        <f t="array" ref="AM20">INDEX($C$4:$J$16,MATCH($Y20&amp;$Z20,$A$4:$A$16&amp;$B$4:$B$16,0),MATCH(AE$1,$C$2:$J$2,0))</f>
        <v>24</v>
      </c>
      <c r="AN20" s="72">
        <f t="array" ref="AN20">INDEX($C$4:$J$16,MATCH($Y20&amp;$Z20,$A$4:$A$16&amp;$B$4:$B$16,0),MATCH(AF$1,$C$2:$J$2,0))</f>
        <v>24</v>
      </c>
      <c r="AO20" s="72">
        <f t="array" ref="AO20">INDEX($C$4:$J$16,MATCH($Y20&amp;$Z20,$A$4:$A$16&amp;$B$4:$B$16,0),MATCH(AG$1,$C$2:$J$2,0))</f>
        <v>3</v>
      </c>
      <c r="AP20" s="72">
        <f t="array" ref="AP20">INDEX($C$4:$J$16,MATCH($Y20&amp;$Z20,$A$4:$A$16&amp;$B$4:$B$16,0),MATCH(AH$1,$C$2:$J$2,0))</f>
        <v>0</v>
      </c>
      <c r="AQ20" s="72">
        <f t="array" ref="AQ20">INDEX($K$2:$K$16,MATCH(Y20&amp;Z20,$A$2:$A$16&amp;$B$2:$B$16,0))</f>
        <v>750000</v>
      </c>
      <c r="AR20" s="42" t="str">
        <f t="array" ref="AR20">_xlfn.TEXTJOIN(";",1,IF($AA20:$AH20&lt;&gt;"","1001,"&amp;$AA20:$AH20&amp;","&amp;$AI20:$AP20,""))&amp;IF(AQ20=0,"",";"&amp;"5,0,"&amp;AQ20)</f>
        <v>1001,214114,48;1001,215111,24;1001,215114,24;1001,216111,3;5,0,750000</v>
      </c>
      <c r="AS20" s="42">
        <f t="array" ref="AS20">INDEX($A$19:$F$33,MATCH($Y20&amp;$Z20,$A$19:$A$33&amp;$B$19:$B$33,0),MATCH(AS$1,$A$19:$F$19,0))</f>
        <v>984</v>
      </c>
      <c r="AT20" s="42">
        <f t="array" ref="AT20">INDEX($A$19:$F$33,MATCH($Y20&amp;$Z20,$A$19:$A$33&amp;$B$19:$B$33,0),MATCH(AT$1,$A$19:$F$19,0))</f>
        <v>393.6</v>
      </c>
      <c r="AU20" s="42">
        <f t="array" ref="AU20">INDEX($A$19:$F$33,MATCH($Y20&amp;$Z20,$A$19:$A$33&amp;$B$19:$B$33,0),MATCH(AU$1,$A$19:$F$19,0))</f>
        <v>7872</v>
      </c>
      <c r="AV20" s="42">
        <f t="array" ref="AV20">INDEX($A$19:$F$33,MATCH($Y20&amp;$Z20,$A$19:$A$33&amp;$B$19:$B$33,0),MATCH(AV$1,$A$19:$F$19,0))</f>
        <v>110</v>
      </c>
    </row>
    <row r="21" ht="15.3" spans="1:48">
      <c r="A21" s="14">
        <v>3</v>
      </c>
      <c r="B21" s="15">
        <v>1</v>
      </c>
      <c r="C21" s="16">
        <v>84</v>
      </c>
      <c r="D21" s="16">
        <v>34</v>
      </c>
      <c r="E21" s="16">
        <v>672</v>
      </c>
      <c r="F21" s="17">
        <v>20</v>
      </c>
      <c r="M21">
        <v>3</v>
      </c>
      <c r="N21" s="40">
        <v>113019</v>
      </c>
      <c r="O21">
        <v>213009</v>
      </c>
      <c r="P21">
        <v>213111</v>
      </c>
      <c r="Q21">
        <v>214009</v>
      </c>
      <c r="R21">
        <v>214111</v>
      </c>
      <c r="S21">
        <v>215009</v>
      </c>
      <c r="T21">
        <v>215111</v>
      </c>
      <c r="U21">
        <v>216111</v>
      </c>
      <c r="V21">
        <v>216112</v>
      </c>
      <c r="X21" s="40">
        <v>113019</v>
      </c>
      <c r="Y21">
        <f>INDEX(M:M,MATCH(X21,N:N,0))</f>
        <v>3</v>
      </c>
      <c r="Z21">
        <v>5</v>
      </c>
      <c r="AA21" s="72" t="str">
        <f t="shared" ref="AA21:AH21" si="19">IF(AI21=0,"",INDEX($N$1:$V$76,MATCH($X21,$N$1:$N$76,0),MATCH(AA$1,$N$1:$V$1,0)))</f>
        <v/>
      </c>
      <c r="AB21" s="72" t="str">
        <f t="shared" si="19"/>
        <v/>
      </c>
      <c r="AC21" s="72" t="str">
        <f t="shared" si="19"/>
        <v/>
      </c>
      <c r="AD21" s="72">
        <f t="shared" si="19"/>
        <v>214111</v>
      </c>
      <c r="AE21" s="72">
        <f t="shared" si="19"/>
        <v>215009</v>
      </c>
      <c r="AF21" s="72">
        <f t="shared" si="19"/>
        <v>215111</v>
      </c>
      <c r="AG21" s="72">
        <f t="shared" si="19"/>
        <v>216111</v>
      </c>
      <c r="AH21" s="72" t="str">
        <f t="shared" si="19"/>
        <v/>
      </c>
      <c r="AI21" s="72">
        <f t="array" ref="AI21">INDEX($C$4:$J$16,MATCH($Y21&amp;$Z21,$A$4:$A$16&amp;$B$4:$B$16,0),MATCH(AA$1,$C$2:$J$2,0))</f>
        <v>0</v>
      </c>
      <c r="AJ21" s="72">
        <f t="array" ref="AJ21">INDEX($C$4:$J$16,MATCH($Y21&amp;$Z21,$A$4:$A$16&amp;$B$4:$B$16,0),MATCH(AB$1,$C$2:$J$2,0))</f>
        <v>0</v>
      </c>
      <c r="AK21" s="72">
        <f t="array" ref="AK21">INDEX($C$4:$J$16,MATCH($Y21&amp;$Z21,$A$4:$A$16&amp;$B$4:$B$16,0),MATCH(AC$1,$C$2:$J$2,0))</f>
        <v>0</v>
      </c>
      <c r="AL21" s="72">
        <f t="array" ref="AL21">INDEX($C$4:$J$16,MATCH($Y21&amp;$Z21,$A$4:$A$16&amp;$B$4:$B$16,0),MATCH(AD$1,$C$2:$J$2,0))</f>
        <v>48</v>
      </c>
      <c r="AM21" s="72">
        <f t="array" ref="AM21">INDEX($C$4:$J$16,MATCH($Y21&amp;$Z21,$A$4:$A$16&amp;$B$4:$B$16,0),MATCH(AE$1,$C$2:$J$2,0))</f>
        <v>24</v>
      </c>
      <c r="AN21" s="72">
        <f t="array" ref="AN21">INDEX($C$4:$J$16,MATCH($Y21&amp;$Z21,$A$4:$A$16&amp;$B$4:$B$16,0),MATCH(AF$1,$C$2:$J$2,0))</f>
        <v>24</v>
      </c>
      <c r="AO21" s="72">
        <f t="array" ref="AO21">INDEX($C$4:$J$16,MATCH($Y21&amp;$Z21,$A$4:$A$16&amp;$B$4:$B$16,0),MATCH(AG$1,$C$2:$J$2,0))</f>
        <v>3</v>
      </c>
      <c r="AP21" s="72">
        <f t="array" ref="AP21">INDEX($C$4:$J$16,MATCH($Y21&amp;$Z21,$A$4:$A$16&amp;$B$4:$B$16,0),MATCH(AH$1,$C$2:$J$2,0))</f>
        <v>0</v>
      </c>
      <c r="AQ21" s="72">
        <f t="array" ref="AQ21">INDEX($K$2:$K$16,MATCH(Y21&amp;Z21,$A$2:$A$16&amp;$B$2:$B$16,0))</f>
        <v>750000</v>
      </c>
      <c r="AR21" s="42" t="str">
        <f t="array" ref="AR21">_xlfn.TEXTJOIN(";",1,IF($AA21:$AH21&lt;&gt;"","1001,"&amp;$AA21:$AH21&amp;","&amp;$AI21:$AP21,""))&amp;IF(AQ21=0,"",";"&amp;"5,0,"&amp;AQ21)</f>
        <v>1001,214111,48;1001,215009,24;1001,215111,24;1001,216111,3;5,0,750000</v>
      </c>
      <c r="AS21" s="42">
        <f t="array" ref="AS21">INDEX($A$19:$F$33,MATCH($Y21&amp;$Z21,$A$19:$A$33&amp;$B$19:$B$33,0),MATCH(AS$1,$A$19:$F$19,0))</f>
        <v>984</v>
      </c>
      <c r="AT21" s="42">
        <f t="array" ref="AT21">INDEX($A$19:$F$33,MATCH($Y21&amp;$Z21,$A$19:$A$33&amp;$B$19:$B$33,0),MATCH(AT$1,$A$19:$F$19,0))</f>
        <v>393.6</v>
      </c>
      <c r="AU21" s="42">
        <f t="array" ref="AU21">INDEX($A$19:$F$33,MATCH($Y21&amp;$Z21,$A$19:$A$33&amp;$B$19:$B$33,0),MATCH(AU$1,$A$19:$F$19,0))</f>
        <v>7872</v>
      </c>
      <c r="AV21" s="42">
        <f t="array" ref="AV21">INDEX($A$19:$F$33,MATCH($Y21&amp;$Z21,$A$19:$A$33&amp;$B$19:$B$33,0),MATCH(AV$1,$A$19:$F$19,0))</f>
        <v>110</v>
      </c>
    </row>
    <row r="22" ht="15.3" spans="1:48">
      <c r="A22" s="14">
        <v>3</v>
      </c>
      <c r="B22" s="15">
        <v>2</v>
      </c>
      <c r="C22" s="16">
        <v>240</v>
      </c>
      <c r="D22" s="16">
        <v>96</v>
      </c>
      <c r="E22" s="16">
        <v>1920</v>
      </c>
      <c r="F22" s="17">
        <v>50</v>
      </c>
      <c r="M22">
        <v>3</v>
      </c>
      <c r="N22" s="41">
        <v>113020</v>
      </c>
      <c r="O22">
        <v>213114</v>
      </c>
      <c r="P22">
        <v>213114</v>
      </c>
      <c r="Q22">
        <v>214114</v>
      </c>
      <c r="R22">
        <v>214113</v>
      </c>
      <c r="S22">
        <v>215114</v>
      </c>
      <c r="T22">
        <v>215113</v>
      </c>
      <c r="U22">
        <v>216111</v>
      </c>
      <c r="V22">
        <v>216112</v>
      </c>
      <c r="X22" s="41">
        <v>113020</v>
      </c>
      <c r="Y22">
        <f>INDEX(M:M,MATCH(X22,N:N,0))</f>
        <v>3</v>
      </c>
      <c r="Z22">
        <v>5</v>
      </c>
      <c r="AA22" s="72" t="str">
        <f t="shared" ref="AA22:AH22" si="20">IF(AI22=0,"",INDEX($N$1:$V$76,MATCH($X22,$N$1:$N$76,0),MATCH(AA$1,$N$1:$V$1,0)))</f>
        <v/>
      </c>
      <c r="AB22" s="72" t="str">
        <f t="shared" si="20"/>
        <v/>
      </c>
      <c r="AC22" s="72" t="str">
        <f t="shared" si="20"/>
        <v/>
      </c>
      <c r="AD22" s="72">
        <f t="shared" si="20"/>
        <v>214113</v>
      </c>
      <c r="AE22" s="72">
        <f t="shared" si="20"/>
        <v>215114</v>
      </c>
      <c r="AF22" s="72">
        <f t="shared" si="20"/>
        <v>215113</v>
      </c>
      <c r="AG22" s="72">
        <f t="shared" si="20"/>
        <v>216111</v>
      </c>
      <c r="AH22" s="72" t="str">
        <f t="shared" si="20"/>
        <v/>
      </c>
      <c r="AI22" s="72">
        <f t="array" ref="AI22">INDEX($C$4:$J$16,MATCH($Y22&amp;$Z22,$A$4:$A$16&amp;$B$4:$B$16,0),MATCH(AA$1,$C$2:$J$2,0))</f>
        <v>0</v>
      </c>
      <c r="AJ22" s="72">
        <f t="array" ref="AJ22">INDEX($C$4:$J$16,MATCH($Y22&amp;$Z22,$A$4:$A$16&amp;$B$4:$B$16,0),MATCH(AB$1,$C$2:$J$2,0))</f>
        <v>0</v>
      </c>
      <c r="AK22" s="72">
        <f t="array" ref="AK22">INDEX($C$4:$J$16,MATCH($Y22&amp;$Z22,$A$4:$A$16&amp;$B$4:$B$16,0),MATCH(AC$1,$C$2:$J$2,0))</f>
        <v>0</v>
      </c>
      <c r="AL22" s="72">
        <f t="array" ref="AL22">INDEX($C$4:$J$16,MATCH($Y22&amp;$Z22,$A$4:$A$16&amp;$B$4:$B$16,0),MATCH(AD$1,$C$2:$J$2,0))</f>
        <v>48</v>
      </c>
      <c r="AM22" s="72">
        <f t="array" ref="AM22">INDEX($C$4:$J$16,MATCH($Y22&amp;$Z22,$A$4:$A$16&amp;$B$4:$B$16,0),MATCH(AE$1,$C$2:$J$2,0))</f>
        <v>24</v>
      </c>
      <c r="AN22" s="72">
        <f t="array" ref="AN22">INDEX($C$4:$J$16,MATCH($Y22&amp;$Z22,$A$4:$A$16&amp;$B$4:$B$16,0),MATCH(AF$1,$C$2:$J$2,0))</f>
        <v>24</v>
      </c>
      <c r="AO22" s="72">
        <f t="array" ref="AO22">INDEX($C$4:$J$16,MATCH($Y22&amp;$Z22,$A$4:$A$16&amp;$B$4:$B$16,0),MATCH(AG$1,$C$2:$J$2,0))</f>
        <v>3</v>
      </c>
      <c r="AP22" s="72">
        <f t="array" ref="AP22">INDEX($C$4:$J$16,MATCH($Y22&amp;$Z22,$A$4:$A$16&amp;$B$4:$B$16,0),MATCH(AH$1,$C$2:$J$2,0))</f>
        <v>0</v>
      </c>
      <c r="AQ22" s="72">
        <f t="array" ref="AQ22">INDEX($K$2:$K$16,MATCH(Y22&amp;Z22,$A$2:$A$16&amp;$B$2:$B$16,0))</f>
        <v>750000</v>
      </c>
      <c r="AR22" s="42" t="str">
        <f t="array" ref="AR22">_xlfn.TEXTJOIN(";",1,IF($AA22:$AH22&lt;&gt;"","1001,"&amp;$AA22:$AH22&amp;","&amp;$AI22:$AP22,""))&amp;IF(AQ22=0,"",";"&amp;"5,0,"&amp;AQ22)</f>
        <v>1001,214113,48;1001,215114,24;1001,215113,24;1001,216111,3;5,0,750000</v>
      </c>
      <c r="AS22" s="42">
        <f t="array" ref="AS22">INDEX($A$19:$F$33,MATCH($Y22&amp;$Z22,$A$19:$A$33&amp;$B$19:$B$33,0),MATCH(AS$1,$A$19:$F$19,0))</f>
        <v>984</v>
      </c>
      <c r="AT22" s="42">
        <f t="array" ref="AT22">INDEX($A$19:$F$33,MATCH($Y22&amp;$Z22,$A$19:$A$33&amp;$B$19:$B$33,0),MATCH(AT$1,$A$19:$F$19,0))</f>
        <v>393.6</v>
      </c>
      <c r="AU22" s="42">
        <f t="array" ref="AU22">INDEX($A$19:$F$33,MATCH($Y22&amp;$Z22,$A$19:$A$33&amp;$B$19:$B$33,0),MATCH(AU$1,$A$19:$F$19,0))</f>
        <v>7872</v>
      </c>
      <c r="AV22" s="42">
        <f t="array" ref="AV22">INDEX($A$19:$F$33,MATCH($Y22&amp;$Z22,$A$19:$A$33&amp;$B$19:$B$33,0),MATCH(AV$1,$A$19:$F$19,0))</f>
        <v>110</v>
      </c>
    </row>
    <row r="23" ht="15.3" spans="1:48">
      <c r="A23" s="14">
        <v>3</v>
      </c>
      <c r="B23" s="15">
        <v>3</v>
      </c>
      <c r="C23" s="16">
        <v>396</v>
      </c>
      <c r="D23" s="16">
        <v>158</v>
      </c>
      <c r="E23" s="16">
        <v>3168</v>
      </c>
      <c r="F23" s="17">
        <v>80</v>
      </c>
      <c r="M23">
        <v>3</v>
      </c>
      <c r="N23" s="42">
        <v>113021</v>
      </c>
      <c r="O23">
        <v>213113</v>
      </c>
      <c r="P23">
        <v>213112</v>
      </c>
      <c r="Q23">
        <v>214113</v>
      </c>
      <c r="R23">
        <v>214112</v>
      </c>
      <c r="S23">
        <v>215113</v>
      </c>
      <c r="T23">
        <v>215112</v>
      </c>
      <c r="U23">
        <v>216111</v>
      </c>
      <c r="V23">
        <v>216112</v>
      </c>
      <c r="X23" s="42">
        <v>113021</v>
      </c>
      <c r="Y23">
        <f>INDEX(M:M,MATCH(X23,N:N,0))</f>
        <v>3</v>
      </c>
      <c r="Z23">
        <v>5</v>
      </c>
      <c r="AA23" s="72" t="str">
        <f t="shared" ref="AA23:AH23" si="21">IF(AI23=0,"",INDEX($N$1:$V$76,MATCH($X23,$N$1:$N$76,0),MATCH(AA$1,$N$1:$V$1,0)))</f>
        <v/>
      </c>
      <c r="AB23" s="72" t="str">
        <f t="shared" si="21"/>
        <v/>
      </c>
      <c r="AC23" s="72" t="str">
        <f t="shared" si="21"/>
        <v/>
      </c>
      <c r="AD23" s="72">
        <f t="shared" si="21"/>
        <v>214112</v>
      </c>
      <c r="AE23" s="72">
        <f t="shared" si="21"/>
        <v>215113</v>
      </c>
      <c r="AF23" s="72">
        <f t="shared" si="21"/>
        <v>215112</v>
      </c>
      <c r="AG23" s="72">
        <f t="shared" si="21"/>
        <v>216111</v>
      </c>
      <c r="AH23" s="72" t="str">
        <f t="shared" si="21"/>
        <v/>
      </c>
      <c r="AI23" s="72">
        <f t="array" ref="AI23">INDEX($C$4:$J$16,MATCH($Y23&amp;$Z23,$A$4:$A$16&amp;$B$4:$B$16,0),MATCH(AA$1,$C$2:$J$2,0))</f>
        <v>0</v>
      </c>
      <c r="AJ23" s="72">
        <f t="array" ref="AJ23">INDEX($C$4:$J$16,MATCH($Y23&amp;$Z23,$A$4:$A$16&amp;$B$4:$B$16,0),MATCH(AB$1,$C$2:$J$2,0))</f>
        <v>0</v>
      </c>
      <c r="AK23" s="72">
        <f t="array" ref="AK23">INDEX($C$4:$J$16,MATCH($Y23&amp;$Z23,$A$4:$A$16&amp;$B$4:$B$16,0),MATCH(AC$1,$C$2:$J$2,0))</f>
        <v>0</v>
      </c>
      <c r="AL23" s="72">
        <f t="array" ref="AL23">INDEX($C$4:$J$16,MATCH($Y23&amp;$Z23,$A$4:$A$16&amp;$B$4:$B$16,0),MATCH(AD$1,$C$2:$J$2,0))</f>
        <v>48</v>
      </c>
      <c r="AM23" s="72">
        <f t="array" ref="AM23">INDEX($C$4:$J$16,MATCH($Y23&amp;$Z23,$A$4:$A$16&amp;$B$4:$B$16,0),MATCH(AE$1,$C$2:$J$2,0))</f>
        <v>24</v>
      </c>
      <c r="AN23" s="72">
        <f t="array" ref="AN23">INDEX($C$4:$J$16,MATCH($Y23&amp;$Z23,$A$4:$A$16&amp;$B$4:$B$16,0),MATCH(AF$1,$C$2:$J$2,0))</f>
        <v>24</v>
      </c>
      <c r="AO23" s="72">
        <f t="array" ref="AO23">INDEX($C$4:$J$16,MATCH($Y23&amp;$Z23,$A$4:$A$16&amp;$B$4:$B$16,0),MATCH(AG$1,$C$2:$J$2,0))</f>
        <v>3</v>
      </c>
      <c r="AP23" s="72">
        <f t="array" ref="AP23">INDEX($C$4:$J$16,MATCH($Y23&amp;$Z23,$A$4:$A$16&amp;$B$4:$B$16,0),MATCH(AH$1,$C$2:$J$2,0))</f>
        <v>0</v>
      </c>
      <c r="AQ23" s="72">
        <f t="array" ref="AQ23">INDEX($K$2:$K$16,MATCH(Y23&amp;Z23,$A$2:$A$16&amp;$B$2:$B$16,0))</f>
        <v>750000</v>
      </c>
      <c r="AR23" s="42" t="str">
        <f t="array" ref="AR23">_xlfn.TEXTJOIN(";",1,IF($AA23:$AH23&lt;&gt;"","1001,"&amp;$AA23:$AH23&amp;","&amp;$AI23:$AP23,""))&amp;IF(AQ23=0,"",";"&amp;"5,0,"&amp;AQ23)</f>
        <v>1001,214112,48;1001,215113,24;1001,215112,24;1001,216111,3;5,0,750000</v>
      </c>
      <c r="AS23" s="42">
        <f t="array" ref="AS23">INDEX($A$19:$F$33,MATCH($Y23&amp;$Z23,$A$19:$A$33&amp;$B$19:$B$33,0),MATCH(AS$1,$A$19:$F$19,0))</f>
        <v>984</v>
      </c>
      <c r="AT23" s="42">
        <f t="array" ref="AT23">INDEX($A$19:$F$33,MATCH($Y23&amp;$Z23,$A$19:$A$33&amp;$B$19:$B$33,0),MATCH(AT$1,$A$19:$F$19,0))</f>
        <v>393.6</v>
      </c>
      <c r="AU23" s="42">
        <f t="array" ref="AU23">INDEX($A$19:$F$33,MATCH($Y23&amp;$Z23,$A$19:$A$33&amp;$B$19:$B$33,0),MATCH(AU$1,$A$19:$F$19,0))</f>
        <v>7872</v>
      </c>
      <c r="AV23" s="42">
        <f t="array" ref="AV23">INDEX($A$19:$F$33,MATCH($Y23&amp;$Z23,$A$19:$A$33&amp;$B$19:$B$33,0),MATCH(AV$1,$A$19:$F$19,0))</f>
        <v>110</v>
      </c>
    </row>
    <row r="24" ht="15.3" spans="1:48">
      <c r="A24" s="18">
        <v>3</v>
      </c>
      <c r="B24" s="19">
        <v>4</v>
      </c>
      <c r="C24" s="20">
        <v>672</v>
      </c>
      <c r="D24" s="20">
        <v>269</v>
      </c>
      <c r="E24" s="20">
        <v>5376</v>
      </c>
      <c r="F24" s="21">
        <v>100</v>
      </c>
      <c r="M24">
        <v>3</v>
      </c>
      <c r="N24" s="41">
        <v>113022</v>
      </c>
      <c r="O24">
        <v>213111</v>
      </c>
      <c r="P24">
        <v>213111</v>
      </c>
      <c r="Q24">
        <v>214111</v>
      </c>
      <c r="R24">
        <v>214114</v>
      </c>
      <c r="S24">
        <v>215111</v>
      </c>
      <c r="T24">
        <v>215114</v>
      </c>
      <c r="U24">
        <v>216111</v>
      </c>
      <c r="V24">
        <v>216112</v>
      </c>
      <c r="X24" s="41">
        <v>113022</v>
      </c>
      <c r="Y24">
        <f>INDEX(M:M,MATCH(X24,N:N,0))</f>
        <v>3</v>
      </c>
      <c r="Z24">
        <v>5</v>
      </c>
      <c r="AA24" s="72" t="str">
        <f t="shared" ref="AA24:AH24" si="22">IF(AI24=0,"",INDEX($N$1:$V$76,MATCH($X24,$N$1:$N$76,0),MATCH(AA$1,$N$1:$V$1,0)))</f>
        <v/>
      </c>
      <c r="AB24" s="72" t="str">
        <f t="shared" si="22"/>
        <v/>
      </c>
      <c r="AC24" s="72" t="str">
        <f t="shared" si="22"/>
        <v/>
      </c>
      <c r="AD24" s="72">
        <f t="shared" si="22"/>
        <v>214114</v>
      </c>
      <c r="AE24" s="72">
        <f t="shared" si="22"/>
        <v>215111</v>
      </c>
      <c r="AF24" s="72">
        <f t="shared" si="22"/>
        <v>215114</v>
      </c>
      <c r="AG24" s="72">
        <f t="shared" si="22"/>
        <v>216111</v>
      </c>
      <c r="AH24" s="72" t="str">
        <f t="shared" si="22"/>
        <v/>
      </c>
      <c r="AI24" s="72">
        <f t="array" ref="AI24">INDEX($C$4:$J$16,MATCH($Y24&amp;$Z24,$A$4:$A$16&amp;$B$4:$B$16,0),MATCH(AA$1,$C$2:$J$2,0))</f>
        <v>0</v>
      </c>
      <c r="AJ24" s="72">
        <f t="array" ref="AJ24">INDEX($C$4:$J$16,MATCH($Y24&amp;$Z24,$A$4:$A$16&amp;$B$4:$B$16,0),MATCH(AB$1,$C$2:$J$2,0))</f>
        <v>0</v>
      </c>
      <c r="AK24" s="72">
        <f t="array" ref="AK24">INDEX($C$4:$J$16,MATCH($Y24&amp;$Z24,$A$4:$A$16&amp;$B$4:$B$16,0),MATCH(AC$1,$C$2:$J$2,0))</f>
        <v>0</v>
      </c>
      <c r="AL24" s="72">
        <f t="array" ref="AL24">INDEX($C$4:$J$16,MATCH($Y24&amp;$Z24,$A$4:$A$16&amp;$B$4:$B$16,0),MATCH(AD$1,$C$2:$J$2,0))</f>
        <v>48</v>
      </c>
      <c r="AM24" s="72">
        <f t="array" ref="AM24">INDEX($C$4:$J$16,MATCH($Y24&amp;$Z24,$A$4:$A$16&amp;$B$4:$B$16,0),MATCH(AE$1,$C$2:$J$2,0))</f>
        <v>24</v>
      </c>
      <c r="AN24" s="72">
        <f t="array" ref="AN24">INDEX($C$4:$J$16,MATCH($Y24&amp;$Z24,$A$4:$A$16&amp;$B$4:$B$16,0),MATCH(AF$1,$C$2:$J$2,0))</f>
        <v>24</v>
      </c>
      <c r="AO24" s="72">
        <f t="array" ref="AO24">INDEX($C$4:$J$16,MATCH($Y24&amp;$Z24,$A$4:$A$16&amp;$B$4:$B$16,0),MATCH(AG$1,$C$2:$J$2,0))</f>
        <v>3</v>
      </c>
      <c r="AP24" s="72">
        <f t="array" ref="AP24">INDEX($C$4:$J$16,MATCH($Y24&amp;$Z24,$A$4:$A$16&amp;$B$4:$B$16,0),MATCH(AH$1,$C$2:$J$2,0))</f>
        <v>0</v>
      </c>
      <c r="AQ24" s="72">
        <f t="array" ref="AQ24">INDEX($K$2:$K$16,MATCH(Y24&amp;Z24,$A$2:$A$16&amp;$B$2:$B$16,0))</f>
        <v>750000</v>
      </c>
      <c r="AR24" s="42" t="str">
        <f t="array" ref="AR24">_xlfn.TEXTJOIN(";",1,IF($AA24:$AH24&lt;&gt;"","1001,"&amp;$AA24:$AH24&amp;","&amp;$AI24:$AP24,""))&amp;IF(AQ24=0,"",";"&amp;"5,0,"&amp;AQ24)</f>
        <v>1001,214114,48;1001,215111,24;1001,215114,24;1001,216111,3;5,0,750000</v>
      </c>
      <c r="AS24" s="42">
        <f t="array" ref="AS24">INDEX($A$19:$F$33,MATCH($Y24&amp;$Z24,$A$19:$A$33&amp;$B$19:$B$33,0),MATCH(AS$1,$A$19:$F$19,0))</f>
        <v>984</v>
      </c>
      <c r="AT24" s="42">
        <f t="array" ref="AT24">INDEX($A$19:$F$33,MATCH($Y24&amp;$Z24,$A$19:$A$33&amp;$B$19:$B$33,0),MATCH(AT$1,$A$19:$F$19,0))</f>
        <v>393.6</v>
      </c>
      <c r="AU24" s="42">
        <f t="array" ref="AU24">INDEX($A$19:$F$33,MATCH($Y24&amp;$Z24,$A$19:$A$33&amp;$B$19:$B$33,0),MATCH(AU$1,$A$19:$F$19,0))</f>
        <v>7872</v>
      </c>
      <c r="AV24" s="42">
        <f t="array" ref="AV24">INDEX($A$19:$F$33,MATCH($Y24&amp;$Z24,$A$19:$A$33&amp;$B$19:$B$33,0),MATCH(AV$1,$A$19:$F$19,0))</f>
        <v>110</v>
      </c>
    </row>
    <row r="25" ht="16.05" spans="1:48">
      <c r="A25" s="14">
        <v>3</v>
      </c>
      <c r="B25" s="15">
        <v>5</v>
      </c>
      <c r="C25" s="16">
        <v>984</v>
      </c>
      <c r="D25" s="16">
        <v>393.6</v>
      </c>
      <c r="E25" s="16">
        <v>7872</v>
      </c>
      <c r="F25" s="17">
        <v>110</v>
      </c>
      <c r="M25">
        <v>3</v>
      </c>
      <c r="N25" s="38">
        <v>113023</v>
      </c>
      <c r="O25">
        <v>213112</v>
      </c>
      <c r="P25">
        <v>213112</v>
      </c>
      <c r="Q25">
        <v>214112</v>
      </c>
      <c r="R25">
        <v>214009</v>
      </c>
      <c r="S25">
        <v>215112</v>
      </c>
      <c r="T25">
        <v>215009</v>
      </c>
      <c r="U25">
        <v>216111</v>
      </c>
      <c r="V25">
        <v>216112</v>
      </c>
      <c r="X25" s="38">
        <v>113023</v>
      </c>
      <c r="Y25">
        <f>INDEX(M:M,MATCH(X25,N:N,0))</f>
        <v>3</v>
      </c>
      <c r="Z25">
        <v>5</v>
      </c>
      <c r="AA25" s="72" t="str">
        <f t="shared" ref="AA25:AH25" si="23">IF(AI25=0,"",INDEX($N$1:$V$76,MATCH($X25,$N$1:$N$76,0),MATCH(AA$1,$N$1:$V$1,0)))</f>
        <v/>
      </c>
      <c r="AB25" s="72" t="str">
        <f t="shared" si="23"/>
        <v/>
      </c>
      <c r="AC25" s="72" t="str">
        <f t="shared" si="23"/>
        <v/>
      </c>
      <c r="AD25" s="72">
        <f t="shared" si="23"/>
        <v>214009</v>
      </c>
      <c r="AE25" s="72">
        <f t="shared" si="23"/>
        <v>215112</v>
      </c>
      <c r="AF25" s="72">
        <f t="shared" si="23"/>
        <v>215009</v>
      </c>
      <c r="AG25" s="72">
        <f t="shared" si="23"/>
        <v>216111</v>
      </c>
      <c r="AH25" s="72" t="str">
        <f t="shared" si="23"/>
        <v/>
      </c>
      <c r="AI25" s="72">
        <f t="array" ref="AI25">INDEX($C$4:$J$16,MATCH($Y25&amp;$Z25,$A$4:$A$16&amp;$B$4:$B$16,0),MATCH(AA$1,$C$2:$J$2,0))</f>
        <v>0</v>
      </c>
      <c r="AJ25" s="72">
        <f t="array" ref="AJ25">INDEX($C$4:$J$16,MATCH($Y25&amp;$Z25,$A$4:$A$16&amp;$B$4:$B$16,0),MATCH(AB$1,$C$2:$J$2,0))</f>
        <v>0</v>
      </c>
      <c r="AK25" s="72">
        <f t="array" ref="AK25">INDEX($C$4:$J$16,MATCH($Y25&amp;$Z25,$A$4:$A$16&amp;$B$4:$B$16,0),MATCH(AC$1,$C$2:$J$2,0))</f>
        <v>0</v>
      </c>
      <c r="AL25" s="72">
        <f t="array" ref="AL25">INDEX($C$4:$J$16,MATCH($Y25&amp;$Z25,$A$4:$A$16&amp;$B$4:$B$16,0),MATCH(AD$1,$C$2:$J$2,0))</f>
        <v>48</v>
      </c>
      <c r="AM25" s="72">
        <f t="array" ref="AM25">INDEX($C$4:$J$16,MATCH($Y25&amp;$Z25,$A$4:$A$16&amp;$B$4:$B$16,0),MATCH(AE$1,$C$2:$J$2,0))</f>
        <v>24</v>
      </c>
      <c r="AN25" s="72">
        <f t="array" ref="AN25">INDEX($C$4:$J$16,MATCH($Y25&amp;$Z25,$A$4:$A$16&amp;$B$4:$B$16,0),MATCH(AF$1,$C$2:$J$2,0))</f>
        <v>24</v>
      </c>
      <c r="AO25" s="72">
        <f t="array" ref="AO25">INDEX($C$4:$J$16,MATCH($Y25&amp;$Z25,$A$4:$A$16&amp;$B$4:$B$16,0),MATCH(AG$1,$C$2:$J$2,0))</f>
        <v>3</v>
      </c>
      <c r="AP25" s="72">
        <f t="array" ref="AP25">INDEX($C$4:$J$16,MATCH($Y25&amp;$Z25,$A$4:$A$16&amp;$B$4:$B$16,0),MATCH(AH$1,$C$2:$J$2,0))</f>
        <v>0</v>
      </c>
      <c r="AQ25" s="72">
        <f t="array" ref="AQ25">INDEX($K$2:$K$16,MATCH(Y25&amp;Z25,$A$2:$A$16&amp;$B$2:$B$16,0))</f>
        <v>750000</v>
      </c>
      <c r="AR25" s="42" t="str">
        <f t="array" ref="AR25">_xlfn.TEXTJOIN(";",1,IF($AA25:$AH25&lt;&gt;"","1001,"&amp;$AA25:$AH25&amp;","&amp;$AI25:$AP25,""))&amp;IF(AQ25=0,"",";"&amp;"5,0,"&amp;AQ25)</f>
        <v>1001,214009,48;1001,215112,24;1001,215009,24;1001,216111,3;5,0,750000</v>
      </c>
      <c r="AS25" s="42">
        <f t="array" ref="AS25">INDEX($A$19:$F$33,MATCH($Y25&amp;$Z25,$A$19:$A$33&amp;$B$19:$B$33,0),MATCH(AS$1,$A$19:$F$19,0))</f>
        <v>984</v>
      </c>
      <c r="AT25" s="42">
        <f t="array" ref="AT25">INDEX($A$19:$F$33,MATCH($Y25&amp;$Z25,$A$19:$A$33&amp;$B$19:$B$33,0),MATCH(AT$1,$A$19:$F$19,0))</f>
        <v>393.6</v>
      </c>
      <c r="AU25" s="42">
        <f t="array" ref="AU25">INDEX($A$19:$F$33,MATCH($Y25&amp;$Z25,$A$19:$A$33&amp;$B$19:$B$33,0),MATCH(AU$1,$A$19:$F$19,0))</f>
        <v>7872</v>
      </c>
      <c r="AV25" s="42">
        <f t="array" ref="AV25">INDEX($A$19:$F$33,MATCH($Y25&amp;$Z25,$A$19:$A$33&amp;$B$19:$B$33,0),MATCH(AV$1,$A$19:$F$19,0))</f>
        <v>110</v>
      </c>
    </row>
    <row r="26" ht="16.05" spans="1:48">
      <c r="A26" s="22">
        <v>3</v>
      </c>
      <c r="B26" s="23">
        <v>6</v>
      </c>
      <c r="C26" s="24">
        <v>1296</v>
      </c>
      <c r="D26" s="24">
        <v>518.4</v>
      </c>
      <c r="E26" s="24">
        <v>10368</v>
      </c>
      <c r="F26" s="25">
        <v>120</v>
      </c>
      <c r="G26" s="26" t="s">
        <v>151</v>
      </c>
      <c r="M26">
        <v>3</v>
      </c>
      <c r="N26" s="43">
        <v>113024</v>
      </c>
      <c r="O26">
        <v>213009</v>
      </c>
      <c r="P26">
        <v>213111</v>
      </c>
      <c r="Q26">
        <v>214009</v>
      </c>
      <c r="R26">
        <v>214111</v>
      </c>
      <c r="S26">
        <v>215009</v>
      </c>
      <c r="T26">
        <v>215111</v>
      </c>
      <c r="U26">
        <v>216111</v>
      </c>
      <c r="V26">
        <v>216112</v>
      </c>
      <c r="X26" s="43">
        <v>113024</v>
      </c>
      <c r="Y26">
        <f>INDEX(M:M,MATCH(X26,N:N,0))</f>
        <v>3</v>
      </c>
      <c r="Z26">
        <v>5</v>
      </c>
      <c r="AA26" s="72" t="str">
        <f t="shared" ref="AA26:AH26" si="24">IF(AI26=0,"",INDEX($N$1:$V$76,MATCH($X26,$N$1:$N$76,0),MATCH(AA$1,$N$1:$V$1,0)))</f>
        <v/>
      </c>
      <c r="AB26" s="72" t="str">
        <f t="shared" si="24"/>
        <v/>
      </c>
      <c r="AC26" s="72" t="str">
        <f t="shared" si="24"/>
        <v/>
      </c>
      <c r="AD26" s="72">
        <f t="shared" si="24"/>
        <v>214111</v>
      </c>
      <c r="AE26" s="72">
        <f t="shared" si="24"/>
        <v>215009</v>
      </c>
      <c r="AF26" s="72">
        <f t="shared" si="24"/>
        <v>215111</v>
      </c>
      <c r="AG26" s="72">
        <f t="shared" si="24"/>
        <v>216111</v>
      </c>
      <c r="AH26" s="72" t="str">
        <f t="shared" si="24"/>
        <v/>
      </c>
      <c r="AI26" s="72">
        <f t="array" ref="AI26">INDEX($C$4:$J$16,MATCH($Y26&amp;$Z26,$A$4:$A$16&amp;$B$4:$B$16,0),MATCH(AA$1,$C$2:$J$2,0))</f>
        <v>0</v>
      </c>
      <c r="AJ26" s="72">
        <f t="array" ref="AJ26">INDEX($C$4:$J$16,MATCH($Y26&amp;$Z26,$A$4:$A$16&amp;$B$4:$B$16,0),MATCH(AB$1,$C$2:$J$2,0))</f>
        <v>0</v>
      </c>
      <c r="AK26" s="72">
        <f t="array" ref="AK26">INDEX($C$4:$J$16,MATCH($Y26&amp;$Z26,$A$4:$A$16&amp;$B$4:$B$16,0),MATCH(AC$1,$C$2:$J$2,0))</f>
        <v>0</v>
      </c>
      <c r="AL26" s="72">
        <f t="array" ref="AL26">INDEX($C$4:$J$16,MATCH($Y26&amp;$Z26,$A$4:$A$16&amp;$B$4:$B$16,0),MATCH(AD$1,$C$2:$J$2,0))</f>
        <v>48</v>
      </c>
      <c r="AM26" s="72">
        <f t="array" ref="AM26">INDEX($C$4:$J$16,MATCH($Y26&amp;$Z26,$A$4:$A$16&amp;$B$4:$B$16,0),MATCH(AE$1,$C$2:$J$2,0))</f>
        <v>24</v>
      </c>
      <c r="AN26" s="72">
        <f t="array" ref="AN26">INDEX($C$4:$J$16,MATCH($Y26&amp;$Z26,$A$4:$A$16&amp;$B$4:$B$16,0),MATCH(AF$1,$C$2:$J$2,0))</f>
        <v>24</v>
      </c>
      <c r="AO26" s="72">
        <f t="array" ref="AO26">INDEX($C$4:$J$16,MATCH($Y26&amp;$Z26,$A$4:$A$16&amp;$B$4:$B$16,0),MATCH(AG$1,$C$2:$J$2,0))</f>
        <v>3</v>
      </c>
      <c r="AP26" s="72">
        <f t="array" ref="AP26">INDEX($C$4:$J$16,MATCH($Y26&amp;$Z26,$A$4:$A$16&amp;$B$4:$B$16,0),MATCH(AH$1,$C$2:$J$2,0))</f>
        <v>0</v>
      </c>
      <c r="AQ26" s="72">
        <f t="array" ref="AQ26">INDEX($K$2:$K$16,MATCH(Y26&amp;Z26,$A$2:$A$16&amp;$B$2:$B$16,0))</f>
        <v>750000</v>
      </c>
      <c r="AR26" s="42" t="str">
        <f t="array" ref="AR26">_xlfn.TEXTJOIN(";",1,IF($AA26:$AH26&lt;&gt;"","1001,"&amp;$AA26:$AH26&amp;","&amp;$AI26:$AP26,""))&amp;IF(AQ26=0,"",";"&amp;"5,0,"&amp;AQ26)</f>
        <v>1001,214111,48;1001,215009,24;1001,215111,24;1001,216111,3;5,0,750000</v>
      </c>
      <c r="AS26" s="42">
        <f t="array" ref="AS26">INDEX($A$19:$F$33,MATCH($Y26&amp;$Z26,$A$19:$A$33&amp;$B$19:$B$33,0),MATCH(AS$1,$A$19:$F$19,0))</f>
        <v>984</v>
      </c>
      <c r="AT26" s="42">
        <f t="array" ref="AT26">INDEX($A$19:$F$33,MATCH($Y26&amp;$Z26,$A$19:$A$33&amp;$B$19:$B$33,0),MATCH(AT$1,$A$19:$F$19,0))</f>
        <v>393.6</v>
      </c>
      <c r="AU26" s="42">
        <f t="array" ref="AU26">INDEX($A$19:$F$33,MATCH($Y26&amp;$Z26,$A$19:$A$33&amp;$B$19:$B$33,0),MATCH(AU$1,$A$19:$F$19,0))</f>
        <v>7872</v>
      </c>
      <c r="AV26" s="42">
        <f t="array" ref="AV26">INDEX($A$19:$F$33,MATCH($Y26&amp;$Z26,$A$19:$A$33&amp;$B$19:$B$33,0),MATCH(AV$1,$A$19:$F$19,0))</f>
        <v>110</v>
      </c>
    </row>
    <row r="27" ht="15.3" spans="1:48">
      <c r="A27" s="14">
        <v>4</v>
      </c>
      <c r="B27" s="15">
        <v>0</v>
      </c>
      <c r="C27" s="16"/>
      <c r="D27" s="16"/>
      <c r="E27" s="16"/>
      <c r="F27" s="17"/>
      <c r="G27" s="27"/>
      <c r="M27">
        <v>3</v>
      </c>
      <c r="N27" s="44">
        <v>113025</v>
      </c>
      <c r="O27">
        <v>213113</v>
      </c>
      <c r="P27">
        <v>213112</v>
      </c>
      <c r="Q27">
        <v>214113</v>
      </c>
      <c r="R27">
        <v>214112</v>
      </c>
      <c r="S27">
        <v>215113</v>
      </c>
      <c r="T27">
        <v>215112</v>
      </c>
      <c r="U27">
        <v>216111</v>
      </c>
      <c r="V27">
        <v>216112</v>
      </c>
      <c r="X27" s="44">
        <v>113025</v>
      </c>
      <c r="Y27">
        <f>INDEX(M:M,MATCH(X27,N:N,0))</f>
        <v>3</v>
      </c>
      <c r="Z27">
        <v>5</v>
      </c>
      <c r="AA27" s="72" t="str">
        <f t="shared" ref="AA27:AH27" si="25">IF(AI27=0,"",INDEX($N$1:$V$76,MATCH($X27,$N$1:$N$76,0),MATCH(AA$1,$N$1:$V$1,0)))</f>
        <v/>
      </c>
      <c r="AB27" s="72" t="str">
        <f t="shared" si="25"/>
        <v/>
      </c>
      <c r="AC27" s="72" t="str">
        <f t="shared" si="25"/>
        <v/>
      </c>
      <c r="AD27" s="72">
        <f t="shared" si="25"/>
        <v>214112</v>
      </c>
      <c r="AE27" s="72">
        <f t="shared" si="25"/>
        <v>215113</v>
      </c>
      <c r="AF27" s="72">
        <f t="shared" si="25"/>
        <v>215112</v>
      </c>
      <c r="AG27" s="72">
        <f t="shared" si="25"/>
        <v>216111</v>
      </c>
      <c r="AH27" s="72" t="str">
        <f t="shared" si="25"/>
        <v/>
      </c>
      <c r="AI27" s="72">
        <f t="array" ref="AI27">INDEX($C$4:$J$16,MATCH($Y27&amp;$Z27,$A$4:$A$16&amp;$B$4:$B$16,0),MATCH(AA$1,$C$2:$J$2,0))</f>
        <v>0</v>
      </c>
      <c r="AJ27" s="72">
        <f t="array" ref="AJ27">INDEX($C$4:$J$16,MATCH($Y27&amp;$Z27,$A$4:$A$16&amp;$B$4:$B$16,0),MATCH(AB$1,$C$2:$J$2,0))</f>
        <v>0</v>
      </c>
      <c r="AK27" s="72">
        <f t="array" ref="AK27">INDEX($C$4:$J$16,MATCH($Y27&amp;$Z27,$A$4:$A$16&amp;$B$4:$B$16,0),MATCH(AC$1,$C$2:$J$2,0))</f>
        <v>0</v>
      </c>
      <c r="AL27" s="72">
        <f t="array" ref="AL27">INDEX($C$4:$J$16,MATCH($Y27&amp;$Z27,$A$4:$A$16&amp;$B$4:$B$16,0),MATCH(AD$1,$C$2:$J$2,0))</f>
        <v>48</v>
      </c>
      <c r="AM27" s="72">
        <f t="array" ref="AM27">INDEX($C$4:$J$16,MATCH($Y27&amp;$Z27,$A$4:$A$16&amp;$B$4:$B$16,0),MATCH(AE$1,$C$2:$J$2,0))</f>
        <v>24</v>
      </c>
      <c r="AN27" s="72">
        <f t="array" ref="AN27">INDEX($C$4:$J$16,MATCH($Y27&amp;$Z27,$A$4:$A$16&amp;$B$4:$B$16,0),MATCH(AF$1,$C$2:$J$2,0))</f>
        <v>24</v>
      </c>
      <c r="AO27" s="72">
        <f t="array" ref="AO27">INDEX($C$4:$J$16,MATCH($Y27&amp;$Z27,$A$4:$A$16&amp;$B$4:$B$16,0),MATCH(AG$1,$C$2:$J$2,0))</f>
        <v>3</v>
      </c>
      <c r="AP27" s="72">
        <f t="array" ref="AP27">INDEX($C$4:$J$16,MATCH($Y27&amp;$Z27,$A$4:$A$16&amp;$B$4:$B$16,0),MATCH(AH$1,$C$2:$J$2,0))</f>
        <v>0</v>
      </c>
      <c r="AQ27" s="72">
        <f t="array" ref="AQ27">INDEX($K$2:$K$16,MATCH(Y27&amp;Z27,$A$2:$A$16&amp;$B$2:$B$16,0))</f>
        <v>750000</v>
      </c>
      <c r="AR27" s="42" t="str">
        <f t="array" ref="AR27">_xlfn.TEXTJOIN(";",1,IF($AA27:$AH27&lt;&gt;"","1001,"&amp;$AA27:$AH27&amp;","&amp;$AI27:$AP27,""))&amp;IF(AQ27=0,"",";"&amp;"5,0,"&amp;AQ27)</f>
        <v>1001,214112,48;1001,215113,24;1001,215112,24;1001,216111,3;5,0,750000</v>
      </c>
      <c r="AS27" s="42">
        <f t="array" ref="AS27">INDEX($A$19:$F$33,MATCH($Y27&amp;$Z27,$A$19:$A$33&amp;$B$19:$B$33,0),MATCH(AS$1,$A$19:$F$19,0))</f>
        <v>984</v>
      </c>
      <c r="AT27" s="42">
        <f t="array" ref="AT27">INDEX($A$19:$F$33,MATCH($Y27&amp;$Z27,$A$19:$A$33&amp;$B$19:$B$33,0),MATCH(AT$1,$A$19:$F$19,0))</f>
        <v>393.6</v>
      </c>
      <c r="AU27" s="42">
        <f t="array" ref="AU27">INDEX($A$19:$F$33,MATCH($Y27&amp;$Z27,$A$19:$A$33&amp;$B$19:$B$33,0),MATCH(AU$1,$A$19:$F$19,0))</f>
        <v>7872</v>
      </c>
      <c r="AV27" s="42">
        <f t="array" ref="AV27">INDEX($A$19:$F$33,MATCH($Y27&amp;$Z27,$A$19:$A$33&amp;$B$19:$B$33,0),MATCH(AV$1,$A$19:$F$19,0))</f>
        <v>110</v>
      </c>
    </row>
    <row r="28" ht="15.3" spans="1:48">
      <c r="A28" s="14">
        <v>4</v>
      </c>
      <c r="B28" s="15">
        <v>1</v>
      </c>
      <c r="C28" s="16">
        <v>84</v>
      </c>
      <c r="D28" s="16">
        <v>34</v>
      </c>
      <c r="E28" s="16">
        <v>672</v>
      </c>
      <c r="F28" s="17">
        <v>20</v>
      </c>
      <c r="G28" s="27"/>
      <c r="M28">
        <v>3</v>
      </c>
      <c r="N28" s="45">
        <v>113026</v>
      </c>
      <c r="O28">
        <v>213112</v>
      </c>
      <c r="P28">
        <v>213112</v>
      </c>
      <c r="Q28">
        <v>214112</v>
      </c>
      <c r="R28">
        <v>214009</v>
      </c>
      <c r="S28">
        <v>215112</v>
      </c>
      <c r="T28">
        <v>215009</v>
      </c>
      <c r="U28">
        <v>216111</v>
      </c>
      <c r="V28">
        <v>216112</v>
      </c>
      <c r="X28" s="45">
        <v>113026</v>
      </c>
      <c r="Y28">
        <f>INDEX(M:M,MATCH(X28,N:N,0))</f>
        <v>3</v>
      </c>
      <c r="Z28">
        <v>5</v>
      </c>
      <c r="AA28" s="72" t="str">
        <f t="shared" ref="AA28:AH28" si="26">IF(AI28=0,"",INDEX($N$1:$V$76,MATCH($X28,$N$1:$N$76,0),MATCH(AA$1,$N$1:$V$1,0)))</f>
        <v/>
      </c>
      <c r="AB28" s="72" t="str">
        <f t="shared" si="26"/>
        <v/>
      </c>
      <c r="AC28" s="72" t="str">
        <f t="shared" si="26"/>
        <v/>
      </c>
      <c r="AD28" s="72">
        <f t="shared" si="26"/>
        <v>214009</v>
      </c>
      <c r="AE28" s="72">
        <f t="shared" si="26"/>
        <v>215112</v>
      </c>
      <c r="AF28" s="72">
        <f t="shared" si="26"/>
        <v>215009</v>
      </c>
      <c r="AG28" s="72">
        <f t="shared" si="26"/>
        <v>216111</v>
      </c>
      <c r="AH28" s="72" t="str">
        <f t="shared" si="26"/>
        <v/>
      </c>
      <c r="AI28" s="72">
        <f t="array" ref="AI28">INDEX($C$4:$J$16,MATCH($Y28&amp;$Z28,$A$4:$A$16&amp;$B$4:$B$16,0),MATCH(AA$1,$C$2:$J$2,0))</f>
        <v>0</v>
      </c>
      <c r="AJ28" s="72">
        <f t="array" ref="AJ28">INDEX($C$4:$J$16,MATCH($Y28&amp;$Z28,$A$4:$A$16&amp;$B$4:$B$16,0),MATCH(AB$1,$C$2:$J$2,0))</f>
        <v>0</v>
      </c>
      <c r="AK28" s="72">
        <f t="array" ref="AK28">INDEX($C$4:$J$16,MATCH($Y28&amp;$Z28,$A$4:$A$16&amp;$B$4:$B$16,0),MATCH(AC$1,$C$2:$J$2,0))</f>
        <v>0</v>
      </c>
      <c r="AL28" s="72">
        <f t="array" ref="AL28">INDEX($C$4:$J$16,MATCH($Y28&amp;$Z28,$A$4:$A$16&amp;$B$4:$B$16,0),MATCH(AD$1,$C$2:$J$2,0))</f>
        <v>48</v>
      </c>
      <c r="AM28" s="72">
        <f t="array" ref="AM28">INDEX($C$4:$J$16,MATCH($Y28&amp;$Z28,$A$4:$A$16&amp;$B$4:$B$16,0),MATCH(AE$1,$C$2:$J$2,0))</f>
        <v>24</v>
      </c>
      <c r="AN28" s="72">
        <f t="array" ref="AN28">INDEX($C$4:$J$16,MATCH($Y28&amp;$Z28,$A$4:$A$16&amp;$B$4:$B$16,0),MATCH(AF$1,$C$2:$J$2,0))</f>
        <v>24</v>
      </c>
      <c r="AO28" s="72">
        <f t="array" ref="AO28">INDEX($C$4:$J$16,MATCH($Y28&amp;$Z28,$A$4:$A$16&amp;$B$4:$B$16,0),MATCH(AG$1,$C$2:$J$2,0))</f>
        <v>3</v>
      </c>
      <c r="AP28" s="72">
        <f t="array" ref="AP28">INDEX($C$4:$J$16,MATCH($Y28&amp;$Z28,$A$4:$A$16&amp;$B$4:$B$16,0),MATCH(AH$1,$C$2:$J$2,0))</f>
        <v>0</v>
      </c>
      <c r="AQ28" s="72">
        <f t="array" ref="AQ28">INDEX($K$2:$K$16,MATCH(Y28&amp;Z28,$A$2:$A$16&amp;$B$2:$B$16,0))</f>
        <v>750000</v>
      </c>
      <c r="AR28" s="42" t="str">
        <f t="array" ref="AR28">_xlfn.TEXTJOIN(";",1,IF($AA28:$AH28&lt;&gt;"","1001,"&amp;$AA28:$AH28&amp;","&amp;$AI28:$AP28,""))&amp;IF(AQ28=0,"",";"&amp;"5,0,"&amp;AQ28)</f>
        <v>1001,214009,48;1001,215112,24;1001,215009,24;1001,216111,3;5,0,750000</v>
      </c>
      <c r="AS28" s="42">
        <f t="array" ref="AS28">INDEX($A$19:$F$33,MATCH($Y28&amp;$Z28,$A$19:$A$33&amp;$B$19:$B$33,0),MATCH(AS$1,$A$19:$F$19,0))</f>
        <v>984</v>
      </c>
      <c r="AT28" s="42">
        <f t="array" ref="AT28">INDEX($A$19:$F$33,MATCH($Y28&amp;$Z28,$A$19:$A$33&amp;$B$19:$B$33,0),MATCH(AT$1,$A$19:$F$19,0))</f>
        <v>393.6</v>
      </c>
      <c r="AU28" s="42">
        <f t="array" ref="AU28">INDEX($A$19:$F$33,MATCH($Y28&amp;$Z28,$A$19:$A$33&amp;$B$19:$B$33,0),MATCH(AU$1,$A$19:$F$19,0))</f>
        <v>7872</v>
      </c>
      <c r="AV28" s="42">
        <f t="array" ref="AV28">INDEX($A$19:$F$33,MATCH($Y28&amp;$Z28,$A$19:$A$33&amp;$B$19:$B$33,0),MATCH(AV$1,$A$19:$F$19,0))</f>
        <v>110</v>
      </c>
    </row>
    <row r="29" ht="15.3" spans="1:48">
      <c r="A29" s="14">
        <v>4</v>
      </c>
      <c r="B29" s="15">
        <v>2</v>
      </c>
      <c r="C29" s="16">
        <v>240</v>
      </c>
      <c r="D29" s="16">
        <v>96</v>
      </c>
      <c r="E29" s="16">
        <v>1920</v>
      </c>
      <c r="F29" s="17">
        <v>50</v>
      </c>
      <c r="G29" s="27">
        <v>156</v>
      </c>
      <c r="M29">
        <v>3</v>
      </c>
      <c r="N29" s="46">
        <v>113027</v>
      </c>
      <c r="O29">
        <v>213114</v>
      </c>
      <c r="P29">
        <v>213114</v>
      </c>
      <c r="Q29">
        <v>214114</v>
      </c>
      <c r="R29">
        <v>214113</v>
      </c>
      <c r="S29">
        <v>215114</v>
      </c>
      <c r="T29">
        <v>215113</v>
      </c>
      <c r="U29">
        <v>216111</v>
      </c>
      <c r="V29">
        <v>216112</v>
      </c>
      <c r="X29" s="46">
        <v>113027</v>
      </c>
      <c r="Y29">
        <f>INDEX(M:M,MATCH(X29,N:N,0))</f>
        <v>3</v>
      </c>
      <c r="Z29">
        <v>5</v>
      </c>
      <c r="AA29" s="72" t="str">
        <f t="shared" ref="AA29:AH29" si="27">IF(AI29=0,"",INDEX($N$1:$V$76,MATCH($X29,$N$1:$N$76,0),MATCH(AA$1,$N$1:$V$1,0)))</f>
        <v/>
      </c>
      <c r="AB29" s="72" t="str">
        <f t="shared" si="27"/>
        <v/>
      </c>
      <c r="AC29" s="72" t="str">
        <f t="shared" si="27"/>
        <v/>
      </c>
      <c r="AD29" s="72">
        <f t="shared" si="27"/>
        <v>214113</v>
      </c>
      <c r="AE29" s="72">
        <f t="shared" si="27"/>
        <v>215114</v>
      </c>
      <c r="AF29" s="72">
        <f t="shared" si="27"/>
        <v>215113</v>
      </c>
      <c r="AG29" s="72">
        <f t="shared" si="27"/>
        <v>216111</v>
      </c>
      <c r="AH29" s="72" t="str">
        <f t="shared" si="27"/>
        <v/>
      </c>
      <c r="AI29" s="72">
        <f t="array" ref="AI29">INDEX($C$4:$J$16,MATCH($Y29&amp;$Z29,$A$4:$A$16&amp;$B$4:$B$16,0),MATCH(AA$1,$C$2:$J$2,0))</f>
        <v>0</v>
      </c>
      <c r="AJ29" s="72">
        <f t="array" ref="AJ29">INDEX($C$4:$J$16,MATCH($Y29&amp;$Z29,$A$4:$A$16&amp;$B$4:$B$16,0),MATCH(AB$1,$C$2:$J$2,0))</f>
        <v>0</v>
      </c>
      <c r="AK29" s="72">
        <f t="array" ref="AK29">INDEX($C$4:$J$16,MATCH($Y29&amp;$Z29,$A$4:$A$16&amp;$B$4:$B$16,0),MATCH(AC$1,$C$2:$J$2,0))</f>
        <v>0</v>
      </c>
      <c r="AL29" s="72">
        <f t="array" ref="AL29">INDEX($C$4:$J$16,MATCH($Y29&amp;$Z29,$A$4:$A$16&amp;$B$4:$B$16,0),MATCH(AD$1,$C$2:$J$2,0))</f>
        <v>48</v>
      </c>
      <c r="AM29" s="72">
        <f t="array" ref="AM29">INDEX($C$4:$J$16,MATCH($Y29&amp;$Z29,$A$4:$A$16&amp;$B$4:$B$16,0),MATCH(AE$1,$C$2:$J$2,0))</f>
        <v>24</v>
      </c>
      <c r="AN29" s="72">
        <f t="array" ref="AN29">INDEX($C$4:$J$16,MATCH($Y29&amp;$Z29,$A$4:$A$16&amp;$B$4:$B$16,0),MATCH(AF$1,$C$2:$J$2,0))</f>
        <v>24</v>
      </c>
      <c r="AO29" s="72">
        <f t="array" ref="AO29">INDEX($C$4:$J$16,MATCH($Y29&amp;$Z29,$A$4:$A$16&amp;$B$4:$B$16,0),MATCH(AG$1,$C$2:$J$2,0))</f>
        <v>3</v>
      </c>
      <c r="AP29" s="72">
        <f t="array" ref="AP29">INDEX($C$4:$J$16,MATCH($Y29&amp;$Z29,$A$4:$A$16&amp;$B$4:$B$16,0),MATCH(AH$1,$C$2:$J$2,0))</f>
        <v>0</v>
      </c>
      <c r="AQ29" s="72">
        <f t="array" ref="AQ29">INDEX($K$2:$K$16,MATCH(Y29&amp;Z29,$A$2:$A$16&amp;$B$2:$B$16,0))</f>
        <v>750000</v>
      </c>
      <c r="AR29" s="42" t="str">
        <f t="array" ref="AR29">_xlfn.TEXTJOIN(";",1,IF($AA29:$AH29&lt;&gt;"","1001,"&amp;$AA29:$AH29&amp;","&amp;$AI29:$AP29,""))&amp;IF(AQ29=0,"",";"&amp;"5,0,"&amp;AQ29)</f>
        <v>1001,214113,48;1001,215114,24;1001,215113,24;1001,216111,3;5,0,750000</v>
      </c>
      <c r="AS29" s="42">
        <f t="array" ref="AS29">INDEX($A$19:$F$33,MATCH($Y29&amp;$Z29,$A$19:$A$33&amp;$B$19:$B$33,0),MATCH(AS$1,$A$19:$F$19,0))</f>
        <v>984</v>
      </c>
      <c r="AT29" s="42">
        <f t="array" ref="AT29">INDEX($A$19:$F$33,MATCH($Y29&amp;$Z29,$A$19:$A$33&amp;$B$19:$B$33,0),MATCH(AT$1,$A$19:$F$19,0))</f>
        <v>393.6</v>
      </c>
      <c r="AU29" s="42">
        <f t="array" ref="AU29">INDEX($A$19:$F$33,MATCH($Y29&amp;$Z29,$A$19:$A$33&amp;$B$19:$B$33,0),MATCH(AU$1,$A$19:$F$19,0))</f>
        <v>7872</v>
      </c>
      <c r="AV29" s="42">
        <f t="array" ref="AV29">INDEX($A$19:$F$33,MATCH($Y29&amp;$Z29,$A$19:$A$33&amp;$B$19:$B$33,0),MATCH(AV$1,$A$19:$F$19,0))</f>
        <v>110</v>
      </c>
    </row>
    <row r="30" ht="15.3" spans="1:48">
      <c r="A30" s="14">
        <v>4</v>
      </c>
      <c r="B30" s="15">
        <v>3</v>
      </c>
      <c r="C30" s="16">
        <v>396</v>
      </c>
      <c r="D30" s="16">
        <v>158</v>
      </c>
      <c r="E30" s="16">
        <v>3168</v>
      </c>
      <c r="F30" s="17">
        <v>80</v>
      </c>
      <c r="G30" s="27">
        <v>156</v>
      </c>
      <c r="M30">
        <v>3</v>
      </c>
      <c r="N30" s="47">
        <v>113028</v>
      </c>
      <c r="O30">
        <v>213111</v>
      </c>
      <c r="P30">
        <v>213111</v>
      </c>
      <c r="Q30">
        <v>214111</v>
      </c>
      <c r="R30">
        <v>214114</v>
      </c>
      <c r="S30">
        <v>215111</v>
      </c>
      <c r="T30">
        <v>215114</v>
      </c>
      <c r="U30">
        <v>216111</v>
      </c>
      <c r="V30">
        <v>216112</v>
      </c>
      <c r="X30" s="47">
        <v>113028</v>
      </c>
      <c r="Y30">
        <f>INDEX(M:M,MATCH(X30,N:N,0))</f>
        <v>3</v>
      </c>
      <c r="Z30">
        <v>5</v>
      </c>
      <c r="AA30" s="72" t="str">
        <f t="shared" ref="AA30:AH30" si="28">IF(AI30=0,"",INDEX($N$1:$V$76,MATCH($X30,$N$1:$N$76,0),MATCH(AA$1,$N$1:$V$1,0)))</f>
        <v/>
      </c>
      <c r="AB30" s="72" t="str">
        <f t="shared" si="28"/>
        <v/>
      </c>
      <c r="AC30" s="72" t="str">
        <f t="shared" si="28"/>
        <v/>
      </c>
      <c r="AD30" s="72">
        <f t="shared" si="28"/>
        <v>214114</v>
      </c>
      <c r="AE30" s="72">
        <f t="shared" si="28"/>
        <v>215111</v>
      </c>
      <c r="AF30" s="72">
        <f t="shared" si="28"/>
        <v>215114</v>
      </c>
      <c r="AG30" s="72">
        <f t="shared" si="28"/>
        <v>216111</v>
      </c>
      <c r="AH30" s="72" t="str">
        <f t="shared" si="28"/>
        <v/>
      </c>
      <c r="AI30" s="72">
        <f t="array" ref="AI30">INDEX($C$4:$J$16,MATCH($Y30&amp;$Z30,$A$4:$A$16&amp;$B$4:$B$16,0),MATCH(AA$1,$C$2:$J$2,0))</f>
        <v>0</v>
      </c>
      <c r="AJ30" s="72">
        <f t="array" ref="AJ30">INDEX($C$4:$J$16,MATCH($Y30&amp;$Z30,$A$4:$A$16&amp;$B$4:$B$16,0),MATCH(AB$1,$C$2:$J$2,0))</f>
        <v>0</v>
      </c>
      <c r="AK30" s="72">
        <f t="array" ref="AK30">INDEX($C$4:$J$16,MATCH($Y30&amp;$Z30,$A$4:$A$16&amp;$B$4:$B$16,0),MATCH(AC$1,$C$2:$J$2,0))</f>
        <v>0</v>
      </c>
      <c r="AL30" s="72">
        <f t="array" ref="AL30">INDEX($C$4:$J$16,MATCH($Y30&amp;$Z30,$A$4:$A$16&amp;$B$4:$B$16,0),MATCH(AD$1,$C$2:$J$2,0))</f>
        <v>48</v>
      </c>
      <c r="AM30" s="72">
        <f t="array" ref="AM30">INDEX($C$4:$J$16,MATCH($Y30&amp;$Z30,$A$4:$A$16&amp;$B$4:$B$16,0),MATCH(AE$1,$C$2:$J$2,0))</f>
        <v>24</v>
      </c>
      <c r="AN30" s="72">
        <f t="array" ref="AN30">INDEX($C$4:$J$16,MATCH($Y30&amp;$Z30,$A$4:$A$16&amp;$B$4:$B$16,0),MATCH(AF$1,$C$2:$J$2,0))</f>
        <v>24</v>
      </c>
      <c r="AO30" s="72">
        <f t="array" ref="AO30">INDEX($C$4:$J$16,MATCH($Y30&amp;$Z30,$A$4:$A$16&amp;$B$4:$B$16,0),MATCH(AG$1,$C$2:$J$2,0))</f>
        <v>3</v>
      </c>
      <c r="AP30" s="72">
        <f t="array" ref="AP30">INDEX($C$4:$J$16,MATCH($Y30&amp;$Z30,$A$4:$A$16&amp;$B$4:$B$16,0),MATCH(AH$1,$C$2:$J$2,0))</f>
        <v>0</v>
      </c>
      <c r="AQ30" s="72">
        <f t="array" ref="AQ30">INDEX($K$2:$K$16,MATCH(Y30&amp;Z30,$A$2:$A$16&amp;$B$2:$B$16,0))</f>
        <v>750000</v>
      </c>
      <c r="AR30" s="42" t="str">
        <f t="array" ref="AR30">_xlfn.TEXTJOIN(";",1,IF($AA30:$AH30&lt;&gt;"","1001,"&amp;$AA30:$AH30&amp;","&amp;$AI30:$AP30,""))&amp;IF(AQ30=0,"",";"&amp;"5,0,"&amp;AQ30)</f>
        <v>1001,214114,48;1001,215111,24;1001,215114,24;1001,216111,3;5,0,750000</v>
      </c>
      <c r="AS30" s="42">
        <f t="array" ref="AS30">INDEX($A$19:$F$33,MATCH($Y30&amp;$Z30,$A$19:$A$33&amp;$B$19:$B$33,0),MATCH(AS$1,$A$19:$F$19,0))</f>
        <v>984</v>
      </c>
      <c r="AT30" s="42">
        <f t="array" ref="AT30">INDEX($A$19:$F$33,MATCH($Y30&amp;$Z30,$A$19:$A$33&amp;$B$19:$B$33,0),MATCH(AT$1,$A$19:$F$19,0))</f>
        <v>393.6</v>
      </c>
      <c r="AU30" s="42">
        <f t="array" ref="AU30">INDEX($A$19:$F$33,MATCH($Y30&amp;$Z30,$A$19:$A$33&amp;$B$19:$B$33,0),MATCH(AU$1,$A$19:$F$19,0))</f>
        <v>7872</v>
      </c>
      <c r="AV30" s="42">
        <f t="array" ref="AV30">INDEX($A$19:$F$33,MATCH($Y30&amp;$Z30,$A$19:$A$33&amp;$B$19:$B$33,0),MATCH(AV$1,$A$19:$F$19,0))</f>
        <v>110</v>
      </c>
    </row>
    <row r="31" ht="15.3" spans="1:48">
      <c r="A31" s="14">
        <v>4</v>
      </c>
      <c r="B31" s="15">
        <v>4</v>
      </c>
      <c r="C31" s="16">
        <v>672</v>
      </c>
      <c r="D31" s="16">
        <v>269</v>
      </c>
      <c r="E31" s="16">
        <v>5376</v>
      </c>
      <c r="F31" s="17">
        <v>100</v>
      </c>
      <c r="G31" s="27">
        <v>276</v>
      </c>
      <c r="M31">
        <v>3</v>
      </c>
      <c r="N31" s="48">
        <v>113029</v>
      </c>
      <c r="O31">
        <v>213112</v>
      </c>
      <c r="P31">
        <v>213112</v>
      </c>
      <c r="Q31">
        <v>214112</v>
      </c>
      <c r="R31">
        <v>214009</v>
      </c>
      <c r="S31">
        <v>215112</v>
      </c>
      <c r="T31">
        <v>215009</v>
      </c>
      <c r="U31">
        <v>216111</v>
      </c>
      <c r="V31">
        <v>216112</v>
      </c>
      <c r="X31" s="48">
        <v>113029</v>
      </c>
      <c r="Y31">
        <f>INDEX(M:M,MATCH(X31,N:N,0))</f>
        <v>3</v>
      </c>
      <c r="Z31">
        <v>5</v>
      </c>
      <c r="AA31" s="72" t="str">
        <f t="shared" ref="AA31:AH31" si="29">IF(AI31=0,"",INDEX($N$1:$V$76,MATCH($X31,$N$1:$N$76,0),MATCH(AA$1,$N$1:$V$1,0)))</f>
        <v/>
      </c>
      <c r="AB31" s="72" t="str">
        <f t="shared" si="29"/>
        <v/>
      </c>
      <c r="AC31" s="72" t="str">
        <f t="shared" si="29"/>
        <v/>
      </c>
      <c r="AD31" s="72">
        <f t="shared" si="29"/>
        <v>214009</v>
      </c>
      <c r="AE31" s="72">
        <f t="shared" si="29"/>
        <v>215112</v>
      </c>
      <c r="AF31" s="72">
        <f t="shared" si="29"/>
        <v>215009</v>
      </c>
      <c r="AG31" s="72">
        <f t="shared" si="29"/>
        <v>216111</v>
      </c>
      <c r="AH31" s="72" t="str">
        <f t="shared" si="29"/>
        <v/>
      </c>
      <c r="AI31" s="72">
        <f t="array" ref="AI31">INDEX($C$4:$J$16,MATCH($Y31&amp;$Z31,$A$4:$A$16&amp;$B$4:$B$16,0),MATCH(AA$1,$C$2:$J$2,0))</f>
        <v>0</v>
      </c>
      <c r="AJ31" s="72">
        <f t="array" ref="AJ31">INDEX($C$4:$J$16,MATCH($Y31&amp;$Z31,$A$4:$A$16&amp;$B$4:$B$16,0),MATCH(AB$1,$C$2:$J$2,0))</f>
        <v>0</v>
      </c>
      <c r="AK31" s="72">
        <f t="array" ref="AK31">INDEX($C$4:$J$16,MATCH($Y31&amp;$Z31,$A$4:$A$16&amp;$B$4:$B$16,0),MATCH(AC$1,$C$2:$J$2,0))</f>
        <v>0</v>
      </c>
      <c r="AL31" s="72">
        <f t="array" ref="AL31">INDEX($C$4:$J$16,MATCH($Y31&amp;$Z31,$A$4:$A$16&amp;$B$4:$B$16,0),MATCH(AD$1,$C$2:$J$2,0))</f>
        <v>48</v>
      </c>
      <c r="AM31" s="72">
        <f t="array" ref="AM31">INDEX($C$4:$J$16,MATCH($Y31&amp;$Z31,$A$4:$A$16&amp;$B$4:$B$16,0),MATCH(AE$1,$C$2:$J$2,0))</f>
        <v>24</v>
      </c>
      <c r="AN31" s="72">
        <f t="array" ref="AN31">INDEX($C$4:$J$16,MATCH($Y31&amp;$Z31,$A$4:$A$16&amp;$B$4:$B$16,0),MATCH(AF$1,$C$2:$J$2,0))</f>
        <v>24</v>
      </c>
      <c r="AO31" s="72">
        <f t="array" ref="AO31">INDEX($C$4:$J$16,MATCH($Y31&amp;$Z31,$A$4:$A$16&amp;$B$4:$B$16,0),MATCH(AG$1,$C$2:$J$2,0))</f>
        <v>3</v>
      </c>
      <c r="AP31" s="72">
        <f t="array" ref="AP31">INDEX($C$4:$J$16,MATCH($Y31&amp;$Z31,$A$4:$A$16&amp;$B$4:$B$16,0),MATCH(AH$1,$C$2:$J$2,0))</f>
        <v>0</v>
      </c>
      <c r="AQ31" s="72">
        <f t="array" ref="AQ31">INDEX($K$2:$K$16,MATCH(Y31&amp;Z31,$A$2:$A$16&amp;$B$2:$B$16,0))</f>
        <v>750000</v>
      </c>
      <c r="AR31" s="42" t="str">
        <f t="array" ref="AR31">_xlfn.TEXTJOIN(";",1,IF($AA31:$AH31&lt;&gt;"","1001,"&amp;$AA31:$AH31&amp;","&amp;$AI31:$AP31,""))&amp;IF(AQ31=0,"",";"&amp;"5,0,"&amp;AQ31)</f>
        <v>1001,214009,48;1001,215112,24;1001,215009,24;1001,216111,3;5,0,750000</v>
      </c>
      <c r="AS31" s="42">
        <f t="array" ref="AS31">INDEX($A$19:$F$33,MATCH($Y31&amp;$Z31,$A$19:$A$33&amp;$B$19:$B$33,0),MATCH(AS$1,$A$19:$F$19,0))</f>
        <v>984</v>
      </c>
      <c r="AT31" s="42">
        <f t="array" ref="AT31">INDEX($A$19:$F$33,MATCH($Y31&amp;$Z31,$A$19:$A$33&amp;$B$19:$B$33,0),MATCH(AT$1,$A$19:$F$19,0))</f>
        <v>393.6</v>
      </c>
      <c r="AU31" s="42">
        <f t="array" ref="AU31">INDEX($A$19:$F$33,MATCH($Y31&amp;$Z31,$A$19:$A$33&amp;$B$19:$B$33,0),MATCH(AU$1,$A$19:$F$19,0))</f>
        <v>7872</v>
      </c>
      <c r="AV31" s="42">
        <f t="array" ref="AV31">INDEX($A$19:$F$33,MATCH($Y31&amp;$Z31,$A$19:$A$33&amp;$B$19:$B$33,0),MATCH(AV$1,$A$19:$F$19,0))</f>
        <v>110</v>
      </c>
    </row>
    <row r="32" ht="15.3" spans="1:48">
      <c r="A32" s="14">
        <v>4</v>
      </c>
      <c r="B32" s="15">
        <v>5</v>
      </c>
      <c r="C32" s="16">
        <v>984</v>
      </c>
      <c r="D32" s="16">
        <v>393.6</v>
      </c>
      <c r="E32" s="16">
        <v>7872</v>
      </c>
      <c r="F32" s="17">
        <v>110</v>
      </c>
      <c r="G32" s="28">
        <v>312</v>
      </c>
      <c r="M32">
        <v>3</v>
      </c>
      <c r="N32" s="49">
        <v>113030</v>
      </c>
      <c r="O32">
        <v>213009</v>
      </c>
      <c r="P32">
        <v>213111</v>
      </c>
      <c r="Q32">
        <v>214009</v>
      </c>
      <c r="R32">
        <v>214111</v>
      </c>
      <c r="S32">
        <v>215009</v>
      </c>
      <c r="T32">
        <v>215111</v>
      </c>
      <c r="U32">
        <v>216111</v>
      </c>
      <c r="V32">
        <v>216112</v>
      </c>
      <c r="X32" s="49">
        <v>113030</v>
      </c>
      <c r="Y32">
        <f>INDEX(M:M,MATCH(X32,N:N,0))</f>
        <v>3</v>
      </c>
      <c r="Z32">
        <v>5</v>
      </c>
      <c r="AA32" s="72" t="str">
        <f t="shared" ref="AA32:AH32" si="30">IF(AI32=0,"",INDEX($N$1:$V$76,MATCH($X32,$N$1:$N$76,0),MATCH(AA$1,$N$1:$V$1,0)))</f>
        <v/>
      </c>
      <c r="AB32" s="72" t="str">
        <f t="shared" si="30"/>
        <v/>
      </c>
      <c r="AC32" s="72" t="str">
        <f t="shared" si="30"/>
        <v/>
      </c>
      <c r="AD32" s="72">
        <f t="shared" si="30"/>
        <v>214111</v>
      </c>
      <c r="AE32" s="72">
        <f t="shared" si="30"/>
        <v>215009</v>
      </c>
      <c r="AF32" s="72">
        <f t="shared" si="30"/>
        <v>215111</v>
      </c>
      <c r="AG32" s="72">
        <f t="shared" si="30"/>
        <v>216111</v>
      </c>
      <c r="AH32" s="72" t="str">
        <f t="shared" si="30"/>
        <v/>
      </c>
      <c r="AI32" s="72">
        <f t="array" ref="AI32">INDEX($C$4:$J$16,MATCH($Y32&amp;$Z32,$A$4:$A$16&amp;$B$4:$B$16,0),MATCH(AA$1,$C$2:$J$2,0))</f>
        <v>0</v>
      </c>
      <c r="AJ32" s="72">
        <f t="array" ref="AJ32">INDEX($C$4:$J$16,MATCH($Y32&amp;$Z32,$A$4:$A$16&amp;$B$4:$B$16,0),MATCH(AB$1,$C$2:$J$2,0))</f>
        <v>0</v>
      </c>
      <c r="AK32" s="72">
        <f t="array" ref="AK32">INDEX($C$4:$J$16,MATCH($Y32&amp;$Z32,$A$4:$A$16&amp;$B$4:$B$16,0),MATCH(AC$1,$C$2:$J$2,0))</f>
        <v>0</v>
      </c>
      <c r="AL32" s="72">
        <f t="array" ref="AL32">INDEX($C$4:$J$16,MATCH($Y32&amp;$Z32,$A$4:$A$16&amp;$B$4:$B$16,0),MATCH(AD$1,$C$2:$J$2,0))</f>
        <v>48</v>
      </c>
      <c r="AM32" s="72">
        <f t="array" ref="AM32">INDEX($C$4:$J$16,MATCH($Y32&amp;$Z32,$A$4:$A$16&amp;$B$4:$B$16,0),MATCH(AE$1,$C$2:$J$2,0))</f>
        <v>24</v>
      </c>
      <c r="AN32" s="72">
        <f t="array" ref="AN32">INDEX($C$4:$J$16,MATCH($Y32&amp;$Z32,$A$4:$A$16&amp;$B$4:$B$16,0),MATCH(AF$1,$C$2:$J$2,0))</f>
        <v>24</v>
      </c>
      <c r="AO32" s="72">
        <f t="array" ref="AO32">INDEX($C$4:$J$16,MATCH($Y32&amp;$Z32,$A$4:$A$16&amp;$B$4:$B$16,0),MATCH(AG$1,$C$2:$J$2,0))</f>
        <v>3</v>
      </c>
      <c r="AP32" s="72">
        <f t="array" ref="AP32">INDEX($C$4:$J$16,MATCH($Y32&amp;$Z32,$A$4:$A$16&amp;$B$4:$B$16,0),MATCH(AH$1,$C$2:$J$2,0))</f>
        <v>0</v>
      </c>
      <c r="AQ32" s="72">
        <f t="array" ref="AQ32">INDEX($K$2:$K$16,MATCH(Y32&amp;Z32,$A$2:$A$16&amp;$B$2:$B$16,0))</f>
        <v>750000</v>
      </c>
      <c r="AR32" s="42" t="str">
        <f t="array" ref="AR32">_xlfn.TEXTJOIN(";",1,IF($AA32:$AH32&lt;&gt;"","1001,"&amp;$AA32:$AH32&amp;","&amp;$AI32:$AP32,""))&amp;IF(AQ32=0,"",";"&amp;"5,0,"&amp;AQ32)</f>
        <v>1001,214111,48;1001,215009,24;1001,215111,24;1001,216111,3;5,0,750000</v>
      </c>
      <c r="AS32" s="42">
        <f t="array" ref="AS32">INDEX($A$19:$F$33,MATCH($Y32&amp;$Z32,$A$19:$A$33&amp;$B$19:$B$33,0),MATCH(AS$1,$A$19:$F$19,0))</f>
        <v>984</v>
      </c>
      <c r="AT32" s="42">
        <f t="array" ref="AT32">INDEX($A$19:$F$33,MATCH($Y32&amp;$Z32,$A$19:$A$33&amp;$B$19:$B$33,0),MATCH(AT$1,$A$19:$F$19,0))</f>
        <v>393.6</v>
      </c>
      <c r="AU32" s="42">
        <f t="array" ref="AU32">INDEX($A$19:$F$33,MATCH($Y32&amp;$Z32,$A$19:$A$33&amp;$B$19:$B$33,0),MATCH(AU$1,$A$19:$F$19,0))</f>
        <v>7872</v>
      </c>
      <c r="AV32" s="42">
        <f t="array" ref="AV32">INDEX($A$19:$F$33,MATCH($Y32&amp;$Z32,$A$19:$A$33&amp;$B$19:$B$33,0),MATCH(AV$1,$A$19:$F$19,0))</f>
        <v>110</v>
      </c>
    </row>
    <row r="33" ht="16.05" spans="1:48">
      <c r="A33" s="22">
        <v>4</v>
      </c>
      <c r="B33" s="23">
        <v>6</v>
      </c>
      <c r="C33" s="24">
        <v>1296</v>
      </c>
      <c r="D33" s="24">
        <v>518.4</v>
      </c>
      <c r="E33" s="24">
        <v>10368</v>
      </c>
      <c r="F33" s="25">
        <v>120</v>
      </c>
      <c r="G33" s="29">
        <v>312</v>
      </c>
      <c r="M33">
        <v>3</v>
      </c>
      <c r="N33" s="50">
        <v>113031</v>
      </c>
      <c r="O33">
        <v>213113</v>
      </c>
      <c r="P33">
        <v>213112</v>
      </c>
      <c r="Q33">
        <v>214113</v>
      </c>
      <c r="R33">
        <v>214112</v>
      </c>
      <c r="S33">
        <v>215113</v>
      </c>
      <c r="T33">
        <v>215112</v>
      </c>
      <c r="U33">
        <v>216111</v>
      </c>
      <c r="V33">
        <v>216112</v>
      </c>
      <c r="X33" s="50">
        <v>113031</v>
      </c>
      <c r="Y33">
        <f>INDEX(M:M,MATCH(X33,N:N,0))</f>
        <v>3</v>
      </c>
      <c r="Z33">
        <v>5</v>
      </c>
      <c r="AA33" s="72" t="str">
        <f t="shared" ref="AA33:AH33" si="31">IF(AI33=0,"",INDEX($N$1:$V$76,MATCH($X33,$N$1:$N$76,0),MATCH(AA$1,$N$1:$V$1,0)))</f>
        <v/>
      </c>
      <c r="AB33" s="72" t="str">
        <f t="shared" si="31"/>
        <v/>
      </c>
      <c r="AC33" s="72" t="str">
        <f t="shared" si="31"/>
        <v/>
      </c>
      <c r="AD33" s="72">
        <f t="shared" si="31"/>
        <v>214112</v>
      </c>
      <c r="AE33" s="72">
        <f t="shared" si="31"/>
        <v>215113</v>
      </c>
      <c r="AF33" s="72">
        <f t="shared" si="31"/>
        <v>215112</v>
      </c>
      <c r="AG33" s="72">
        <f t="shared" si="31"/>
        <v>216111</v>
      </c>
      <c r="AH33" s="72" t="str">
        <f t="shared" si="31"/>
        <v/>
      </c>
      <c r="AI33" s="72">
        <f t="array" ref="AI33">INDEX($C$4:$J$16,MATCH($Y33&amp;$Z33,$A$4:$A$16&amp;$B$4:$B$16,0),MATCH(AA$1,$C$2:$J$2,0))</f>
        <v>0</v>
      </c>
      <c r="AJ33" s="72">
        <f t="array" ref="AJ33">INDEX($C$4:$J$16,MATCH($Y33&amp;$Z33,$A$4:$A$16&amp;$B$4:$B$16,0),MATCH(AB$1,$C$2:$J$2,0))</f>
        <v>0</v>
      </c>
      <c r="AK33" s="72">
        <f t="array" ref="AK33">INDEX($C$4:$J$16,MATCH($Y33&amp;$Z33,$A$4:$A$16&amp;$B$4:$B$16,0),MATCH(AC$1,$C$2:$J$2,0))</f>
        <v>0</v>
      </c>
      <c r="AL33" s="72">
        <f t="array" ref="AL33">INDEX($C$4:$J$16,MATCH($Y33&amp;$Z33,$A$4:$A$16&amp;$B$4:$B$16,0),MATCH(AD$1,$C$2:$J$2,0))</f>
        <v>48</v>
      </c>
      <c r="AM33" s="72">
        <f t="array" ref="AM33">INDEX($C$4:$J$16,MATCH($Y33&amp;$Z33,$A$4:$A$16&amp;$B$4:$B$16,0),MATCH(AE$1,$C$2:$J$2,0))</f>
        <v>24</v>
      </c>
      <c r="AN33" s="72">
        <f t="array" ref="AN33">INDEX($C$4:$J$16,MATCH($Y33&amp;$Z33,$A$4:$A$16&amp;$B$4:$B$16,0),MATCH(AF$1,$C$2:$J$2,0))</f>
        <v>24</v>
      </c>
      <c r="AO33" s="72">
        <f t="array" ref="AO33">INDEX($C$4:$J$16,MATCH($Y33&amp;$Z33,$A$4:$A$16&amp;$B$4:$B$16,0),MATCH(AG$1,$C$2:$J$2,0))</f>
        <v>3</v>
      </c>
      <c r="AP33" s="72">
        <f t="array" ref="AP33">INDEX($C$4:$J$16,MATCH($Y33&amp;$Z33,$A$4:$A$16&amp;$B$4:$B$16,0),MATCH(AH$1,$C$2:$J$2,0))</f>
        <v>0</v>
      </c>
      <c r="AQ33" s="72">
        <f t="array" ref="AQ33">INDEX($K$2:$K$16,MATCH(Y33&amp;Z33,$A$2:$A$16&amp;$B$2:$B$16,0))</f>
        <v>750000</v>
      </c>
      <c r="AR33" s="42" t="str">
        <f t="array" ref="AR33">_xlfn.TEXTJOIN(";",1,IF($AA33:$AH33&lt;&gt;"","1001,"&amp;$AA33:$AH33&amp;","&amp;$AI33:$AP33,""))&amp;IF(AQ33=0,"",";"&amp;"5,0,"&amp;AQ33)</f>
        <v>1001,214112,48;1001,215113,24;1001,215112,24;1001,216111,3;5,0,750000</v>
      </c>
      <c r="AS33" s="42">
        <f t="array" ref="AS33">INDEX($A$19:$F$33,MATCH($Y33&amp;$Z33,$A$19:$A$33&amp;$B$19:$B$33,0),MATCH(AS$1,$A$19:$F$19,0))</f>
        <v>984</v>
      </c>
      <c r="AT33" s="42">
        <f t="array" ref="AT33">INDEX($A$19:$F$33,MATCH($Y33&amp;$Z33,$A$19:$A$33&amp;$B$19:$B$33,0),MATCH(AT$1,$A$19:$F$19,0))</f>
        <v>393.6</v>
      </c>
      <c r="AU33" s="42">
        <f t="array" ref="AU33">INDEX($A$19:$F$33,MATCH($Y33&amp;$Z33,$A$19:$A$33&amp;$B$19:$B$33,0),MATCH(AU$1,$A$19:$F$19,0))</f>
        <v>7872</v>
      </c>
      <c r="AV33" s="42">
        <f t="array" ref="AV33">INDEX($A$19:$F$33,MATCH($Y33&amp;$Z33,$A$19:$A$33&amp;$B$19:$B$33,0),MATCH(AV$1,$A$19:$F$19,0))</f>
        <v>110</v>
      </c>
    </row>
    <row r="34" spans="13:48">
      <c r="M34">
        <v>3</v>
      </c>
      <c r="N34" s="51">
        <v>113032</v>
      </c>
      <c r="O34">
        <v>213114</v>
      </c>
      <c r="P34">
        <v>213114</v>
      </c>
      <c r="Q34">
        <v>214114</v>
      </c>
      <c r="R34">
        <v>214113</v>
      </c>
      <c r="S34">
        <v>215114</v>
      </c>
      <c r="T34">
        <v>215113</v>
      </c>
      <c r="U34">
        <v>216111</v>
      </c>
      <c r="V34">
        <v>216112</v>
      </c>
      <c r="X34" s="51">
        <v>113032</v>
      </c>
      <c r="Y34">
        <f>INDEX(M:M,MATCH(X34,N:N,0))</f>
        <v>3</v>
      </c>
      <c r="Z34">
        <v>5</v>
      </c>
      <c r="AA34" s="72" t="str">
        <f t="shared" ref="AA34:AH34" si="32">IF(AI34=0,"",INDEX($N$1:$V$76,MATCH($X34,$N$1:$N$76,0),MATCH(AA$1,$N$1:$V$1,0)))</f>
        <v/>
      </c>
      <c r="AB34" s="72" t="str">
        <f t="shared" si="32"/>
        <v/>
      </c>
      <c r="AC34" s="72" t="str">
        <f t="shared" si="32"/>
        <v/>
      </c>
      <c r="AD34" s="72">
        <f t="shared" si="32"/>
        <v>214113</v>
      </c>
      <c r="AE34" s="72">
        <f t="shared" si="32"/>
        <v>215114</v>
      </c>
      <c r="AF34" s="72">
        <f t="shared" si="32"/>
        <v>215113</v>
      </c>
      <c r="AG34" s="72">
        <f t="shared" si="32"/>
        <v>216111</v>
      </c>
      <c r="AH34" s="72" t="str">
        <f t="shared" si="32"/>
        <v/>
      </c>
      <c r="AI34" s="72">
        <f t="array" ref="AI34">INDEX($C$4:$J$16,MATCH($Y34&amp;$Z34,$A$4:$A$16&amp;$B$4:$B$16,0),MATCH(AA$1,$C$2:$J$2,0))</f>
        <v>0</v>
      </c>
      <c r="AJ34" s="72">
        <f t="array" ref="AJ34">INDEX($C$4:$J$16,MATCH($Y34&amp;$Z34,$A$4:$A$16&amp;$B$4:$B$16,0),MATCH(AB$1,$C$2:$J$2,0))</f>
        <v>0</v>
      </c>
      <c r="AK34" s="72">
        <f t="array" ref="AK34">INDEX($C$4:$J$16,MATCH($Y34&amp;$Z34,$A$4:$A$16&amp;$B$4:$B$16,0),MATCH(AC$1,$C$2:$J$2,0))</f>
        <v>0</v>
      </c>
      <c r="AL34" s="72">
        <f t="array" ref="AL34">INDEX($C$4:$J$16,MATCH($Y34&amp;$Z34,$A$4:$A$16&amp;$B$4:$B$16,0),MATCH(AD$1,$C$2:$J$2,0))</f>
        <v>48</v>
      </c>
      <c r="AM34" s="72">
        <f t="array" ref="AM34">INDEX($C$4:$J$16,MATCH($Y34&amp;$Z34,$A$4:$A$16&amp;$B$4:$B$16,0),MATCH(AE$1,$C$2:$J$2,0))</f>
        <v>24</v>
      </c>
      <c r="AN34" s="72">
        <f t="array" ref="AN34">INDEX($C$4:$J$16,MATCH($Y34&amp;$Z34,$A$4:$A$16&amp;$B$4:$B$16,0),MATCH(AF$1,$C$2:$J$2,0))</f>
        <v>24</v>
      </c>
      <c r="AO34" s="72">
        <f t="array" ref="AO34">INDEX($C$4:$J$16,MATCH($Y34&amp;$Z34,$A$4:$A$16&amp;$B$4:$B$16,0),MATCH(AG$1,$C$2:$J$2,0))</f>
        <v>3</v>
      </c>
      <c r="AP34" s="72">
        <f t="array" ref="AP34">INDEX($C$4:$J$16,MATCH($Y34&amp;$Z34,$A$4:$A$16&amp;$B$4:$B$16,0),MATCH(AH$1,$C$2:$J$2,0))</f>
        <v>0</v>
      </c>
      <c r="AQ34" s="72">
        <f t="array" ref="AQ34">INDEX($K$2:$K$16,MATCH(Y34&amp;Z34,$A$2:$A$16&amp;$B$2:$B$16,0))</f>
        <v>750000</v>
      </c>
      <c r="AR34" s="42" t="str">
        <f t="array" ref="AR34">_xlfn.TEXTJOIN(";",1,IF($AA34:$AH34&lt;&gt;"","1001,"&amp;$AA34:$AH34&amp;","&amp;$AI34:$AP34,""))&amp;IF(AQ34=0,"",";"&amp;"5,0,"&amp;AQ34)</f>
        <v>1001,214113,48;1001,215114,24;1001,215113,24;1001,216111,3;5,0,750000</v>
      </c>
      <c r="AS34" s="42">
        <f t="array" ref="AS34">INDEX($A$19:$F$33,MATCH($Y34&amp;$Z34,$A$19:$A$33&amp;$B$19:$B$33,0),MATCH(AS$1,$A$19:$F$19,0))</f>
        <v>984</v>
      </c>
      <c r="AT34" s="42">
        <f t="array" ref="AT34">INDEX($A$19:$F$33,MATCH($Y34&amp;$Z34,$A$19:$A$33&amp;$B$19:$B$33,0),MATCH(AT$1,$A$19:$F$19,0))</f>
        <v>393.6</v>
      </c>
      <c r="AU34" s="42">
        <f t="array" ref="AU34">INDEX($A$19:$F$33,MATCH($Y34&amp;$Z34,$A$19:$A$33&amp;$B$19:$B$33,0),MATCH(AU$1,$A$19:$F$19,0))</f>
        <v>7872</v>
      </c>
      <c r="AV34" s="42">
        <f t="array" ref="AV34">INDEX($A$19:$F$33,MATCH($Y34&amp;$Z34,$A$19:$A$33&amp;$B$19:$B$33,0),MATCH(AV$1,$A$19:$F$19,0))</f>
        <v>110</v>
      </c>
    </row>
    <row r="35" ht="15.3" spans="1:48">
      <c r="A35" s="16"/>
      <c r="B35" s="16"/>
      <c r="C35" s="16"/>
      <c r="D35" s="16"/>
      <c r="E35" s="16"/>
      <c r="F35" s="16"/>
      <c r="M35">
        <v>3</v>
      </c>
      <c r="N35" s="52">
        <v>113033</v>
      </c>
      <c r="O35">
        <v>213111</v>
      </c>
      <c r="P35">
        <v>213111</v>
      </c>
      <c r="Q35">
        <v>214111</v>
      </c>
      <c r="R35">
        <v>214114</v>
      </c>
      <c r="S35">
        <v>215111</v>
      </c>
      <c r="T35">
        <v>215114</v>
      </c>
      <c r="U35">
        <v>216111</v>
      </c>
      <c r="V35">
        <v>216112</v>
      </c>
      <c r="X35" s="52">
        <v>113033</v>
      </c>
      <c r="Y35">
        <f>INDEX(M:M,MATCH(X35,N:N,0))</f>
        <v>3</v>
      </c>
      <c r="Z35">
        <v>5</v>
      </c>
      <c r="AA35" s="72" t="str">
        <f t="shared" ref="AA35:AH35" si="33">IF(AI35=0,"",INDEX($N$1:$V$76,MATCH($X35,$N$1:$N$76,0),MATCH(AA$1,$N$1:$V$1,0)))</f>
        <v/>
      </c>
      <c r="AB35" s="72" t="str">
        <f t="shared" si="33"/>
        <v/>
      </c>
      <c r="AC35" s="72" t="str">
        <f t="shared" si="33"/>
        <v/>
      </c>
      <c r="AD35" s="72">
        <f t="shared" si="33"/>
        <v>214114</v>
      </c>
      <c r="AE35" s="72">
        <f t="shared" si="33"/>
        <v>215111</v>
      </c>
      <c r="AF35" s="72">
        <f t="shared" si="33"/>
        <v>215114</v>
      </c>
      <c r="AG35" s="72">
        <f t="shared" si="33"/>
        <v>216111</v>
      </c>
      <c r="AH35" s="72" t="str">
        <f t="shared" si="33"/>
        <v/>
      </c>
      <c r="AI35" s="72">
        <f t="array" ref="AI35">INDEX($C$4:$J$16,MATCH($Y35&amp;$Z35,$A$4:$A$16&amp;$B$4:$B$16,0),MATCH(AA$1,$C$2:$J$2,0))</f>
        <v>0</v>
      </c>
      <c r="AJ35" s="72">
        <f t="array" ref="AJ35">INDEX($C$4:$J$16,MATCH($Y35&amp;$Z35,$A$4:$A$16&amp;$B$4:$B$16,0),MATCH(AB$1,$C$2:$J$2,0))</f>
        <v>0</v>
      </c>
      <c r="AK35" s="72">
        <f t="array" ref="AK35">INDEX($C$4:$J$16,MATCH($Y35&amp;$Z35,$A$4:$A$16&amp;$B$4:$B$16,0),MATCH(AC$1,$C$2:$J$2,0))</f>
        <v>0</v>
      </c>
      <c r="AL35" s="72">
        <f t="array" ref="AL35">INDEX($C$4:$J$16,MATCH($Y35&amp;$Z35,$A$4:$A$16&amp;$B$4:$B$16,0),MATCH(AD$1,$C$2:$J$2,0))</f>
        <v>48</v>
      </c>
      <c r="AM35" s="72">
        <f t="array" ref="AM35">INDEX($C$4:$J$16,MATCH($Y35&amp;$Z35,$A$4:$A$16&amp;$B$4:$B$16,0),MATCH(AE$1,$C$2:$J$2,0))</f>
        <v>24</v>
      </c>
      <c r="AN35" s="72">
        <f t="array" ref="AN35">INDEX($C$4:$J$16,MATCH($Y35&amp;$Z35,$A$4:$A$16&amp;$B$4:$B$16,0),MATCH(AF$1,$C$2:$J$2,0))</f>
        <v>24</v>
      </c>
      <c r="AO35" s="72">
        <f t="array" ref="AO35">INDEX($C$4:$J$16,MATCH($Y35&amp;$Z35,$A$4:$A$16&amp;$B$4:$B$16,0),MATCH(AG$1,$C$2:$J$2,0))</f>
        <v>3</v>
      </c>
      <c r="AP35" s="72">
        <f t="array" ref="AP35">INDEX($C$4:$J$16,MATCH($Y35&amp;$Z35,$A$4:$A$16&amp;$B$4:$B$16,0),MATCH(AH$1,$C$2:$J$2,0))</f>
        <v>0</v>
      </c>
      <c r="AQ35" s="72">
        <f t="array" ref="AQ35">INDEX($K$2:$K$16,MATCH(Y35&amp;Z35,$A$2:$A$16&amp;$B$2:$B$16,0))</f>
        <v>750000</v>
      </c>
      <c r="AR35" s="42" t="str">
        <f t="array" ref="AR35">_xlfn.TEXTJOIN(";",1,IF($AA35:$AH35&lt;&gt;"","1001,"&amp;$AA35:$AH35&amp;","&amp;$AI35:$AP35,""))&amp;IF(AQ35=0,"",";"&amp;"5,0,"&amp;AQ35)</f>
        <v>1001,214114,48;1001,215111,24;1001,215114,24;1001,216111,3;5,0,750000</v>
      </c>
      <c r="AS35" s="42">
        <f t="array" ref="AS35">INDEX($A$19:$F$33,MATCH($Y35&amp;$Z35,$A$19:$A$33&amp;$B$19:$B$33,0),MATCH(AS$1,$A$19:$F$19,0))</f>
        <v>984</v>
      </c>
      <c r="AT35" s="42">
        <f t="array" ref="AT35">INDEX($A$19:$F$33,MATCH($Y35&amp;$Z35,$A$19:$A$33&amp;$B$19:$B$33,0),MATCH(AT$1,$A$19:$F$19,0))</f>
        <v>393.6</v>
      </c>
      <c r="AU35" s="42">
        <f t="array" ref="AU35">INDEX($A$19:$F$33,MATCH($Y35&amp;$Z35,$A$19:$A$33&amp;$B$19:$B$33,0),MATCH(AU$1,$A$19:$F$19,0))</f>
        <v>7872</v>
      </c>
      <c r="AV35" s="42">
        <f t="array" ref="AV35">INDEX($A$19:$F$33,MATCH($Y35&amp;$Z35,$A$19:$A$33&amp;$B$19:$B$33,0),MATCH(AV$1,$A$19:$F$19,0))</f>
        <v>110</v>
      </c>
    </row>
    <row r="36" ht="15.3" spans="1:48">
      <c r="A36" s="16"/>
      <c r="B36" s="16"/>
      <c r="C36" s="16"/>
      <c r="D36" s="16"/>
      <c r="E36" s="16"/>
      <c r="F36" s="16"/>
      <c r="M36">
        <v>3</v>
      </c>
      <c r="N36" s="53">
        <v>113034</v>
      </c>
      <c r="O36">
        <v>213112</v>
      </c>
      <c r="P36">
        <v>213112</v>
      </c>
      <c r="Q36">
        <v>214112</v>
      </c>
      <c r="R36">
        <v>214009</v>
      </c>
      <c r="S36">
        <v>215112</v>
      </c>
      <c r="T36">
        <v>215009</v>
      </c>
      <c r="U36">
        <v>216111</v>
      </c>
      <c r="V36">
        <v>216112</v>
      </c>
      <c r="X36" s="53">
        <v>113034</v>
      </c>
      <c r="Y36">
        <f>INDEX(M:M,MATCH(X36,N:N,0))</f>
        <v>3</v>
      </c>
      <c r="Z36">
        <v>5</v>
      </c>
      <c r="AA36" s="72" t="str">
        <f t="shared" ref="AA36:AH36" si="34">IF(AI36=0,"",INDEX($N$1:$V$76,MATCH($X36,$N$1:$N$76,0),MATCH(AA$1,$N$1:$V$1,0)))</f>
        <v/>
      </c>
      <c r="AB36" s="72" t="str">
        <f t="shared" si="34"/>
        <v/>
      </c>
      <c r="AC36" s="72" t="str">
        <f t="shared" si="34"/>
        <v/>
      </c>
      <c r="AD36" s="72">
        <f t="shared" si="34"/>
        <v>214009</v>
      </c>
      <c r="AE36" s="72">
        <f t="shared" si="34"/>
        <v>215112</v>
      </c>
      <c r="AF36" s="72">
        <f t="shared" si="34"/>
        <v>215009</v>
      </c>
      <c r="AG36" s="72">
        <f t="shared" si="34"/>
        <v>216111</v>
      </c>
      <c r="AH36" s="72" t="str">
        <f t="shared" si="34"/>
        <v/>
      </c>
      <c r="AI36" s="72">
        <f t="array" ref="AI36">INDEX($C$4:$J$16,MATCH($Y36&amp;$Z36,$A$4:$A$16&amp;$B$4:$B$16,0),MATCH(AA$1,$C$2:$J$2,0))</f>
        <v>0</v>
      </c>
      <c r="AJ36" s="72">
        <f t="array" ref="AJ36">INDEX($C$4:$J$16,MATCH($Y36&amp;$Z36,$A$4:$A$16&amp;$B$4:$B$16,0),MATCH(AB$1,$C$2:$J$2,0))</f>
        <v>0</v>
      </c>
      <c r="AK36" s="72">
        <f t="array" ref="AK36">INDEX($C$4:$J$16,MATCH($Y36&amp;$Z36,$A$4:$A$16&amp;$B$4:$B$16,0),MATCH(AC$1,$C$2:$J$2,0))</f>
        <v>0</v>
      </c>
      <c r="AL36" s="72">
        <f t="array" ref="AL36">INDEX($C$4:$J$16,MATCH($Y36&amp;$Z36,$A$4:$A$16&amp;$B$4:$B$16,0),MATCH(AD$1,$C$2:$J$2,0))</f>
        <v>48</v>
      </c>
      <c r="AM36" s="72">
        <f t="array" ref="AM36">INDEX($C$4:$J$16,MATCH($Y36&amp;$Z36,$A$4:$A$16&amp;$B$4:$B$16,0),MATCH(AE$1,$C$2:$J$2,0))</f>
        <v>24</v>
      </c>
      <c r="AN36" s="72">
        <f t="array" ref="AN36">INDEX($C$4:$J$16,MATCH($Y36&amp;$Z36,$A$4:$A$16&amp;$B$4:$B$16,0),MATCH(AF$1,$C$2:$J$2,0))</f>
        <v>24</v>
      </c>
      <c r="AO36" s="72">
        <f t="array" ref="AO36">INDEX($C$4:$J$16,MATCH($Y36&amp;$Z36,$A$4:$A$16&amp;$B$4:$B$16,0),MATCH(AG$1,$C$2:$J$2,0))</f>
        <v>3</v>
      </c>
      <c r="AP36" s="72">
        <f t="array" ref="AP36">INDEX($C$4:$J$16,MATCH($Y36&amp;$Z36,$A$4:$A$16&amp;$B$4:$B$16,0),MATCH(AH$1,$C$2:$J$2,0))</f>
        <v>0</v>
      </c>
      <c r="AQ36" s="72">
        <f t="array" ref="AQ36">INDEX($K$2:$K$16,MATCH(Y36&amp;Z36,$A$2:$A$16&amp;$B$2:$B$16,0))</f>
        <v>750000</v>
      </c>
      <c r="AR36" s="42" t="str">
        <f t="array" ref="AR36">_xlfn.TEXTJOIN(";",1,IF($AA36:$AH36&lt;&gt;"","1001,"&amp;$AA36:$AH36&amp;","&amp;$AI36:$AP36,""))&amp;IF(AQ36=0,"",";"&amp;"5,0,"&amp;AQ36)</f>
        <v>1001,214009,48;1001,215112,24;1001,215009,24;1001,216111,3;5,0,750000</v>
      </c>
      <c r="AS36" s="42">
        <f t="array" ref="AS36">INDEX($A$19:$F$33,MATCH($Y36&amp;$Z36,$A$19:$A$33&amp;$B$19:$B$33,0),MATCH(AS$1,$A$19:$F$19,0))</f>
        <v>984</v>
      </c>
      <c r="AT36" s="42">
        <f t="array" ref="AT36">INDEX($A$19:$F$33,MATCH($Y36&amp;$Z36,$A$19:$A$33&amp;$B$19:$B$33,0),MATCH(AT$1,$A$19:$F$19,0))</f>
        <v>393.6</v>
      </c>
      <c r="AU36" s="42">
        <f t="array" ref="AU36">INDEX($A$19:$F$33,MATCH($Y36&amp;$Z36,$A$19:$A$33&amp;$B$19:$B$33,0),MATCH(AU$1,$A$19:$F$19,0))</f>
        <v>7872</v>
      </c>
      <c r="AV36" s="42">
        <f t="array" ref="AV36">INDEX($A$19:$F$33,MATCH($Y36&amp;$Z36,$A$19:$A$33&amp;$B$19:$B$33,0),MATCH(AV$1,$A$19:$F$19,0))</f>
        <v>110</v>
      </c>
    </row>
    <row r="37" ht="15.3" spans="1:48">
      <c r="A37" s="16"/>
      <c r="B37" s="16"/>
      <c r="C37" s="16"/>
      <c r="D37" s="16"/>
      <c r="E37" s="16"/>
      <c r="F37" s="16"/>
      <c r="M37">
        <v>3</v>
      </c>
      <c r="N37" s="54">
        <v>113035</v>
      </c>
      <c r="O37">
        <v>213114</v>
      </c>
      <c r="P37">
        <v>213114</v>
      </c>
      <c r="Q37">
        <v>214114</v>
      </c>
      <c r="R37">
        <v>214113</v>
      </c>
      <c r="S37">
        <v>215114</v>
      </c>
      <c r="T37">
        <v>215113</v>
      </c>
      <c r="U37">
        <v>216111</v>
      </c>
      <c r="V37">
        <v>216112</v>
      </c>
      <c r="X37" s="54">
        <v>113035</v>
      </c>
      <c r="Y37">
        <f>INDEX(M:M,MATCH(X37,N:N,0))</f>
        <v>3</v>
      </c>
      <c r="Z37">
        <v>5</v>
      </c>
      <c r="AA37" s="72" t="str">
        <f t="shared" ref="AA37:AH37" si="35">IF(AI37=0,"",INDEX($N$1:$V$76,MATCH($X37,$N$1:$N$76,0),MATCH(AA$1,$N$1:$V$1,0)))</f>
        <v/>
      </c>
      <c r="AB37" s="72" t="str">
        <f t="shared" si="35"/>
        <v/>
      </c>
      <c r="AC37" s="72" t="str">
        <f t="shared" si="35"/>
        <v/>
      </c>
      <c r="AD37" s="72">
        <f t="shared" si="35"/>
        <v>214113</v>
      </c>
      <c r="AE37" s="72">
        <f t="shared" si="35"/>
        <v>215114</v>
      </c>
      <c r="AF37" s="72">
        <f t="shared" si="35"/>
        <v>215113</v>
      </c>
      <c r="AG37" s="72">
        <f t="shared" si="35"/>
        <v>216111</v>
      </c>
      <c r="AH37" s="72" t="str">
        <f t="shared" si="35"/>
        <v/>
      </c>
      <c r="AI37" s="72">
        <f t="array" ref="AI37">INDEX($C$4:$J$16,MATCH($Y37&amp;$Z37,$A$4:$A$16&amp;$B$4:$B$16,0),MATCH(AA$1,$C$2:$J$2,0))</f>
        <v>0</v>
      </c>
      <c r="AJ37" s="72">
        <f t="array" ref="AJ37">INDEX($C$4:$J$16,MATCH($Y37&amp;$Z37,$A$4:$A$16&amp;$B$4:$B$16,0),MATCH(AB$1,$C$2:$J$2,0))</f>
        <v>0</v>
      </c>
      <c r="AK37" s="72">
        <f t="array" ref="AK37">INDEX($C$4:$J$16,MATCH($Y37&amp;$Z37,$A$4:$A$16&amp;$B$4:$B$16,0),MATCH(AC$1,$C$2:$J$2,0))</f>
        <v>0</v>
      </c>
      <c r="AL37" s="72">
        <f t="array" ref="AL37">INDEX($C$4:$J$16,MATCH($Y37&amp;$Z37,$A$4:$A$16&amp;$B$4:$B$16,0),MATCH(AD$1,$C$2:$J$2,0))</f>
        <v>48</v>
      </c>
      <c r="AM37" s="72">
        <f t="array" ref="AM37">INDEX($C$4:$J$16,MATCH($Y37&amp;$Z37,$A$4:$A$16&amp;$B$4:$B$16,0),MATCH(AE$1,$C$2:$J$2,0))</f>
        <v>24</v>
      </c>
      <c r="AN37" s="72">
        <f t="array" ref="AN37">INDEX($C$4:$J$16,MATCH($Y37&amp;$Z37,$A$4:$A$16&amp;$B$4:$B$16,0),MATCH(AF$1,$C$2:$J$2,0))</f>
        <v>24</v>
      </c>
      <c r="AO37" s="72">
        <f t="array" ref="AO37">INDEX($C$4:$J$16,MATCH($Y37&amp;$Z37,$A$4:$A$16&amp;$B$4:$B$16,0),MATCH(AG$1,$C$2:$J$2,0))</f>
        <v>3</v>
      </c>
      <c r="AP37" s="72">
        <f t="array" ref="AP37">INDEX($C$4:$J$16,MATCH($Y37&amp;$Z37,$A$4:$A$16&amp;$B$4:$B$16,0),MATCH(AH$1,$C$2:$J$2,0))</f>
        <v>0</v>
      </c>
      <c r="AQ37" s="72">
        <f t="array" ref="AQ37">INDEX($K$2:$K$16,MATCH(Y37&amp;Z37,$A$2:$A$16&amp;$B$2:$B$16,0))</f>
        <v>750000</v>
      </c>
      <c r="AR37" s="42" t="str">
        <f t="array" ref="AR37">_xlfn.TEXTJOIN(";",1,IF($AA37:$AH37&lt;&gt;"","1001,"&amp;$AA37:$AH37&amp;","&amp;$AI37:$AP37,""))&amp;IF(AQ37=0,"",";"&amp;"5,0,"&amp;AQ37)</f>
        <v>1001,214113,48;1001,215114,24;1001,215113,24;1001,216111,3;5,0,750000</v>
      </c>
      <c r="AS37" s="42">
        <f t="array" ref="AS37">INDEX($A$19:$F$33,MATCH($Y37&amp;$Z37,$A$19:$A$33&amp;$B$19:$B$33,0),MATCH(AS$1,$A$19:$F$19,0))</f>
        <v>984</v>
      </c>
      <c r="AT37" s="42">
        <f t="array" ref="AT37">INDEX($A$19:$F$33,MATCH($Y37&amp;$Z37,$A$19:$A$33&amp;$B$19:$B$33,0),MATCH(AT$1,$A$19:$F$19,0))</f>
        <v>393.6</v>
      </c>
      <c r="AU37" s="42">
        <f t="array" ref="AU37">INDEX($A$19:$F$33,MATCH($Y37&amp;$Z37,$A$19:$A$33&amp;$B$19:$B$33,0),MATCH(AU$1,$A$19:$F$19,0))</f>
        <v>7872</v>
      </c>
      <c r="AV37" s="42">
        <f t="array" ref="AV37">INDEX($A$19:$F$33,MATCH($Y37&amp;$Z37,$A$19:$A$33&amp;$B$19:$B$33,0),MATCH(AV$1,$A$19:$F$19,0))</f>
        <v>110</v>
      </c>
    </row>
    <row r="38" ht="15.3" spans="1:48">
      <c r="A38" s="16"/>
      <c r="B38" s="16"/>
      <c r="C38" s="16"/>
      <c r="D38" s="16"/>
      <c r="E38" s="16"/>
      <c r="F38" s="16"/>
      <c r="M38">
        <v>3</v>
      </c>
      <c r="N38" s="55">
        <v>113036</v>
      </c>
      <c r="O38">
        <v>213111</v>
      </c>
      <c r="P38">
        <v>213111</v>
      </c>
      <c r="Q38">
        <v>214111</v>
      </c>
      <c r="R38">
        <v>214114</v>
      </c>
      <c r="S38">
        <v>215111</v>
      </c>
      <c r="T38">
        <v>215114</v>
      </c>
      <c r="U38">
        <v>216111</v>
      </c>
      <c r="V38">
        <v>216112</v>
      </c>
      <c r="X38" s="55">
        <v>113036</v>
      </c>
      <c r="Y38">
        <f>INDEX(M:M,MATCH(X38,N:N,0))</f>
        <v>3</v>
      </c>
      <c r="Z38">
        <v>5</v>
      </c>
      <c r="AA38" s="72" t="str">
        <f t="shared" ref="AA38:AH38" si="36">IF(AI38=0,"",INDEX($N$1:$V$76,MATCH($X38,$N$1:$N$76,0),MATCH(AA$1,$N$1:$V$1,0)))</f>
        <v/>
      </c>
      <c r="AB38" s="72" t="str">
        <f t="shared" si="36"/>
        <v/>
      </c>
      <c r="AC38" s="72" t="str">
        <f t="shared" si="36"/>
        <v/>
      </c>
      <c r="AD38" s="72">
        <f t="shared" si="36"/>
        <v>214114</v>
      </c>
      <c r="AE38" s="72">
        <f t="shared" si="36"/>
        <v>215111</v>
      </c>
      <c r="AF38" s="72">
        <f t="shared" si="36"/>
        <v>215114</v>
      </c>
      <c r="AG38" s="72">
        <f t="shared" si="36"/>
        <v>216111</v>
      </c>
      <c r="AH38" s="72" t="str">
        <f t="shared" si="36"/>
        <v/>
      </c>
      <c r="AI38" s="72">
        <f t="array" ref="AI38">INDEX($C$4:$J$16,MATCH($Y38&amp;$Z38,$A$4:$A$16&amp;$B$4:$B$16,0),MATCH(AA$1,$C$2:$J$2,0))</f>
        <v>0</v>
      </c>
      <c r="AJ38" s="72">
        <f t="array" ref="AJ38">INDEX($C$4:$J$16,MATCH($Y38&amp;$Z38,$A$4:$A$16&amp;$B$4:$B$16,0),MATCH(AB$1,$C$2:$J$2,0))</f>
        <v>0</v>
      </c>
      <c r="AK38" s="72">
        <f t="array" ref="AK38">INDEX($C$4:$J$16,MATCH($Y38&amp;$Z38,$A$4:$A$16&amp;$B$4:$B$16,0),MATCH(AC$1,$C$2:$J$2,0))</f>
        <v>0</v>
      </c>
      <c r="AL38" s="72">
        <f t="array" ref="AL38">INDEX($C$4:$J$16,MATCH($Y38&amp;$Z38,$A$4:$A$16&amp;$B$4:$B$16,0),MATCH(AD$1,$C$2:$J$2,0))</f>
        <v>48</v>
      </c>
      <c r="AM38" s="72">
        <f t="array" ref="AM38">INDEX($C$4:$J$16,MATCH($Y38&amp;$Z38,$A$4:$A$16&amp;$B$4:$B$16,0),MATCH(AE$1,$C$2:$J$2,0))</f>
        <v>24</v>
      </c>
      <c r="AN38" s="72">
        <f t="array" ref="AN38">INDEX($C$4:$J$16,MATCH($Y38&amp;$Z38,$A$4:$A$16&amp;$B$4:$B$16,0),MATCH(AF$1,$C$2:$J$2,0))</f>
        <v>24</v>
      </c>
      <c r="AO38" s="72">
        <f t="array" ref="AO38">INDEX($C$4:$J$16,MATCH($Y38&amp;$Z38,$A$4:$A$16&amp;$B$4:$B$16,0),MATCH(AG$1,$C$2:$J$2,0))</f>
        <v>3</v>
      </c>
      <c r="AP38" s="72">
        <f t="array" ref="AP38">INDEX($C$4:$J$16,MATCH($Y38&amp;$Z38,$A$4:$A$16&amp;$B$4:$B$16,0),MATCH(AH$1,$C$2:$J$2,0))</f>
        <v>0</v>
      </c>
      <c r="AQ38" s="72">
        <f t="array" ref="AQ38">INDEX($K$2:$K$16,MATCH(Y38&amp;Z38,$A$2:$A$16&amp;$B$2:$B$16,0))</f>
        <v>750000</v>
      </c>
      <c r="AR38" s="42" t="str">
        <f t="array" ref="AR38">_xlfn.TEXTJOIN(";",1,IF($AA38:$AH38&lt;&gt;"","1001,"&amp;$AA38:$AH38&amp;","&amp;$AI38:$AP38,""))&amp;IF(AQ38=0,"",";"&amp;"5,0,"&amp;AQ38)</f>
        <v>1001,214114,48;1001,215111,24;1001,215114,24;1001,216111,3;5,0,750000</v>
      </c>
      <c r="AS38" s="42">
        <f t="array" ref="AS38">INDEX($A$19:$F$33,MATCH($Y38&amp;$Z38,$A$19:$A$33&amp;$B$19:$B$33,0),MATCH(AS$1,$A$19:$F$19,0))</f>
        <v>984</v>
      </c>
      <c r="AT38" s="42">
        <f t="array" ref="AT38">INDEX($A$19:$F$33,MATCH($Y38&amp;$Z38,$A$19:$A$33&amp;$B$19:$B$33,0),MATCH(AT$1,$A$19:$F$19,0))</f>
        <v>393.6</v>
      </c>
      <c r="AU38" s="42">
        <f t="array" ref="AU38">INDEX($A$19:$F$33,MATCH($Y38&amp;$Z38,$A$19:$A$33&amp;$B$19:$B$33,0),MATCH(AU$1,$A$19:$F$19,0))</f>
        <v>7872</v>
      </c>
      <c r="AV38" s="42">
        <f t="array" ref="AV38">INDEX($A$19:$F$33,MATCH($Y38&amp;$Z38,$A$19:$A$33&amp;$B$19:$B$33,0),MATCH(AV$1,$A$19:$F$19,0))</f>
        <v>110</v>
      </c>
    </row>
    <row r="39" ht="15.3" spans="1:48">
      <c r="A39" s="16"/>
      <c r="B39" s="16"/>
      <c r="C39" s="16"/>
      <c r="D39" s="16"/>
      <c r="E39" s="16"/>
      <c r="F39" s="16"/>
      <c r="M39">
        <v>3</v>
      </c>
      <c r="N39" s="56">
        <v>113037</v>
      </c>
      <c r="O39">
        <v>213009</v>
      </c>
      <c r="P39">
        <v>213111</v>
      </c>
      <c r="Q39">
        <v>214009</v>
      </c>
      <c r="R39">
        <v>214111</v>
      </c>
      <c r="S39">
        <v>215009</v>
      </c>
      <c r="T39">
        <v>215111</v>
      </c>
      <c r="U39">
        <v>216111</v>
      </c>
      <c r="V39">
        <v>216112</v>
      </c>
      <c r="X39" s="56">
        <v>113037</v>
      </c>
      <c r="Y39">
        <f>INDEX(M:M,MATCH(X39,N:N,0))</f>
        <v>3</v>
      </c>
      <c r="Z39">
        <v>5</v>
      </c>
      <c r="AA39" s="72" t="str">
        <f t="shared" ref="AA39:AH39" si="37">IF(AI39=0,"",INDEX($N$1:$V$76,MATCH($X39,$N$1:$N$76,0),MATCH(AA$1,$N$1:$V$1,0)))</f>
        <v/>
      </c>
      <c r="AB39" s="72" t="str">
        <f t="shared" si="37"/>
        <v/>
      </c>
      <c r="AC39" s="72" t="str">
        <f t="shared" si="37"/>
        <v/>
      </c>
      <c r="AD39" s="72">
        <f t="shared" si="37"/>
        <v>214111</v>
      </c>
      <c r="AE39" s="72">
        <f t="shared" si="37"/>
        <v>215009</v>
      </c>
      <c r="AF39" s="72">
        <f t="shared" si="37"/>
        <v>215111</v>
      </c>
      <c r="AG39" s="72">
        <f t="shared" si="37"/>
        <v>216111</v>
      </c>
      <c r="AH39" s="72" t="str">
        <f t="shared" si="37"/>
        <v/>
      </c>
      <c r="AI39" s="72">
        <f t="array" ref="AI39">INDEX($C$4:$J$16,MATCH($Y39&amp;$Z39,$A$4:$A$16&amp;$B$4:$B$16,0),MATCH(AA$1,$C$2:$J$2,0))</f>
        <v>0</v>
      </c>
      <c r="AJ39" s="72">
        <f t="array" ref="AJ39">INDEX($C$4:$J$16,MATCH($Y39&amp;$Z39,$A$4:$A$16&amp;$B$4:$B$16,0),MATCH(AB$1,$C$2:$J$2,0))</f>
        <v>0</v>
      </c>
      <c r="AK39" s="72">
        <f t="array" ref="AK39">INDEX($C$4:$J$16,MATCH($Y39&amp;$Z39,$A$4:$A$16&amp;$B$4:$B$16,0),MATCH(AC$1,$C$2:$J$2,0))</f>
        <v>0</v>
      </c>
      <c r="AL39" s="72">
        <f t="array" ref="AL39">INDEX($C$4:$J$16,MATCH($Y39&amp;$Z39,$A$4:$A$16&amp;$B$4:$B$16,0),MATCH(AD$1,$C$2:$J$2,0))</f>
        <v>48</v>
      </c>
      <c r="AM39" s="72">
        <f t="array" ref="AM39">INDEX($C$4:$J$16,MATCH($Y39&amp;$Z39,$A$4:$A$16&amp;$B$4:$B$16,0),MATCH(AE$1,$C$2:$J$2,0))</f>
        <v>24</v>
      </c>
      <c r="AN39" s="72">
        <f t="array" ref="AN39">INDEX($C$4:$J$16,MATCH($Y39&amp;$Z39,$A$4:$A$16&amp;$B$4:$B$16,0),MATCH(AF$1,$C$2:$J$2,0))</f>
        <v>24</v>
      </c>
      <c r="AO39" s="72">
        <f t="array" ref="AO39">INDEX($C$4:$J$16,MATCH($Y39&amp;$Z39,$A$4:$A$16&amp;$B$4:$B$16,0),MATCH(AG$1,$C$2:$J$2,0))</f>
        <v>3</v>
      </c>
      <c r="AP39" s="72">
        <f t="array" ref="AP39">INDEX($C$4:$J$16,MATCH($Y39&amp;$Z39,$A$4:$A$16&amp;$B$4:$B$16,0),MATCH(AH$1,$C$2:$J$2,0))</f>
        <v>0</v>
      </c>
      <c r="AQ39" s="72">
        <f t="array" ref="AQ39">INDEX($K$2:$K$16,MATCH(Y39&amp;Z39,$A$2:$A$16&amp;$B$2:$B$16,0))</f>
        <v>750000</v>
      </c>
      <c r="AR39" s="42" t="str">
        <f t="array" ref="AR39">_xlfn.TEXTJOIN(";",1,IF($AA39:$AH39&lt;&gt;"","1001,"&amp;$AA39:$AH39&amp;","&amp;$AI39:$AP39,""))&amp;IF(AQ39=0,"",";"&amp;"5,0,"&amp;AQ39)</f>
        <v>1001,214111,48;1001,215009,24;1001,215111,24;1001,216111,3;5,0,750000</v>
      </c>
      <c r="AS39" s="42">
        <f t="array" ref="AS39">INDEX($A$19:$F$33,MATCH($Y39&amp;$Z39,$A$19:$A$33&amp;$B$19:$B$33,0),MATCH(AS$1,$A$19:$F$19,0))</f>
        <v>984</v>
      </c>
      <c r="AT39" s="42">
        <f t="array" ref="AT39">INDEX($A$19:$F$33,MATCH($Y39&amp;$Z39,$A$19:$A$33&amp;$B$19:$B$33,0),MATCH(AT$1,$A$19:$F$19,0))</f>
        <v>393.6</v>
      </c>
      <c r="AU39" s="42">
        <f t="array" ref="AU39">INDEX($A$19:$F$33,MATCH($Y39&amp;$Z39,$A$19:$A$33&amp;$B$19:$B$33,0),MATCH(AU$1,$A$19:$F$19,0))</f>
        <v>7872</v>
      </c>
      <c r="AV39" s="42">
        <f t="array" ref="AV39">INDEX($A$19:$F$33,MATCH($Y39&amp;$Z39,$A$19:$A$33&amp;$B$19:$B$33,0),MATCH(AV$1,$A$19:$F$19,0))</f>
        <v>110</v>
      </c>
    </row>
    <row r="40" ht="15.3" spans="1:48">
      <c r="A40" s="16"/>
      <c r="B40" s="16"/>
      <c r="C40" s="16"/>
      <c r="D40" s="16"/>
      <c r="E40" s="16"/>
      <c r="F40" s="30"/>
      <c r="M40">
        <v>3</v>
      </c>
      <c r="N40" s="49">
        <v>113038</v>
      </c>
      <c r="O40">
        <v>213112</v>
      </c>
      <c r="P40">
        <v>213112</v>
      </c>
      <c r="Q40">
        <v>214112</v>
      </c>
      <c r="R40">
        <v>214009</v>
      </c>
      <c r="S40">
        <v>215112</v>
      </c>
      <c r="T40">
        <v>215009</v>
      </c>
      <c r="U40">
        <v>216111</v>
      </c>
      <c r="V40">
        <v>216112</v>
      </c>
      <c r="X40" s="49">
        <v>113038</v>
      </c>
      <c r="Y40">
        <f>INDEX(M:M,MATCH(X40,N:N,0))</f>
        <v>3</v>
      </c>
      <c r="Z40">
        <v>5</v>
      </c>
      <c r="AA40" s="72" t="str">
        <f t="shared" ref="AA40:AH40" si="38">IF(AI40=0,"",INDEX($N$1:$V$76,MATCH($X40,$N$1:$N$76,0),MATCH(AA$1,$N$1:$V$1,0)))</f>
        <v/>
      </c>
      <c r="AB40" s="72" t="str">
        <f t="shared" si="38"/>
        <v/>
      </c>
      <c r="AC40" s="72" t="str">
        <f t="shared" si="38"/>
        <v/>
      </c>
      <c r="AD40" s="72">
        <f t="shared" si="38"/>
        <v>214009</v>
      </c>
      <c r="AE40" s="72">
        <f t="shared" si="38"/>
        <v>215112</v>
      </c>
      <c r="AF40" s="72">
        <f t="shared" si="38"/>
        <v>215009</v>
      </c>
      <c r="AG40" s="72">
        <f t="shared" si="38"/>
        <v>216111</v>
      </c>
      <c r="AH40" s="72" t="str">
        <f t="shared" si="38"/>
        <v/>
      </c>
      <c r="AI40" s="72">
        <f t="array" ref="AI40">INDEX($C$4:$J$16,MATCH($Y40&amp;$Z40,$A$4:$A$16&amp;$B$4:$B$16,0),MATCH(AA$1,$C$2:$J$2,0))</f>
        <v>0</v>
      </c>
      <c r="AJ40" s="72">
        <f t="array" ref="AJ40">INDEX($C$4:$J$16,MATCH($Y40&amp;$Z40,$A$4:$A$16&amp;$B$4:$B$16,0),MATCH(AB$1,$C$2:$J$2,0))</f>
        <v>0</v>
      </c>
      <c r="AK40" s="72">
        <f t="array" ref="AK40">INDEX($C$4:$J$16,MATCH($Y40&amp;$Z40,$A$4:$A$16&amp;$B$4:$B$16,0),MATCH(AC$1,$C$2:$J$2,0))</f>
        <v>0</v>
      </c>
      <c r="AL40" s="72">
        <f t="array" ref="AL40">INDEX($C$4:$J$16,MATCH($Y40&amp;$Z40,$A$4:$A$16&amp;$B$4:$B$16,0),MATCH(AD$1,$C$2:$J$2,0))</f>
        <v>48</v>
      </c>
      <c r="AM40" s="72">
        <f t="array" ref="AM40">INDEX($C$4:$J$16,MATCH($Y40&amp;$Z40,$A$4:$A$16&amp;$B$4:$B$16,0),MATCH(AE$1,$C$2:$J$2,0))</f>
        <v>24</v>
      </c>
      <c r="AN40" s="72">
        <f t="array" ref="AN40">INDEX($C$4:$J$16,MATCH($Y40&amp;$Z40,$A$4:$A$16&amp;$B$4:$B$16,0),MATCH(AF$1,$C$2:$J$2,0))</f>
        <v>24</v>
      </c>
      <c r="AO40" s="72">
        <f t="array" ref="AO40">INDEX($C$4:$J$16,MATCH($Y40&amp;$Z40,$A$4:$A$16&amp;$B$4:$B$16,0),MATCH(AG$1,$C$2:$J$2,0))</f>
        <v>3</v>
      </c>
      <c r="AP40" s="72">
        <f t="array" ref="AP40">INDEX($C$4:$J$16,MATCH($Y40&amp;$Z40,$A$4:$A$16&amp;$B$4:$B$16,0),MATCH(AH$1,$C$2:$J$2,0))</f>
        <v>0</v>
      </c>
      <c r="AQ40" s="72">
        <f t="array" ref="AQ40">INDEX($K$2:$K$16,MATCH(Y40&amp;Z40,$A$2:$A$16&amp;$B$2:$B$16,0))</f>
        <v>750000</v>
      </c>
      <c r="AR40" s="42" t="str">
        <f t="array" ref="AR40">_xlfn.TEXTJOIN(";",1,IF($AA40:$AH40&lt;&gt;"","1001,"&amp;$AA40:$AH40&amp;","&amp;$AI40:$AP40,""))&amp;IF(AQ40=0,"",";"&amp;"5,0,"&amp;AQ40)</f>
        <v>1001,214009,48;1001,215112,24;1001,215009,24;1001,216111,3;5,0,750000</v>
      </c>
      <c r="AS40" s="42">
        <f t="array" ref="AS40">INDEX($A$19:$F$33,MATCH($Y40&amp;$Z40,$A$19:$A$33&amp;$B$19:$B$33,0),MATCH(AS$1,$A$19:$F$19,0))</f>
        <v>984</v>
      </c>
      <c r="AT40" s="42">
        <f t="array" ref="AT40">INDEX($A$19:$F$33,MATCH($Y40&amp;$Z40,$A$19:$A$33&amp;$B$19:$B$33,0),MATCH(AT$1,$A$19:$F$19,0))</f>
        <v>393.6</v>
      </c>
      <c r="AU40" s="42">
        <f t="array" ref="AU40">INDEX($A$19:$F$33,MATCH($Y40&amp;$Z40,$A$19:$A$33&amp;$B$19:$B$33,0),MATCH(AU$1,$A$19:$F$19,0))</f>
        <v>7872</v>
      </c>
      <c r="AV40" s="42">
        <f t="array" ref="AV40">INDEX($A$19:$F$33,MATCH($Y40&amp;$Z40,$A$19:$A$33&amp;$B$19:$B$33,0),MATCH(AV$1,$A$19:$F$19,0))</f>
        <v>110</v>
      </c>
    </row>
    <row r="41" ht="15.3" spans="1:48">
      <c r="A41" s="16"/>
      <c r="B41" s="16"/>
      <c r="C41" s="16"/>
      <c r="D41" s="16"/>
      <c r="E41" s="16"/>
      <c r="F41" s="30"/>
      <c r="M41">
        <v>3</v>
      </c>
      <c r="N41" s="57">
        <v>113039</v>
      </c>
      <c r="O41">
        <v>213113</v>
      </c>
      <c r="P41">
        <v>213112</v>
      </c>
      <c r="Q41">
        <v>214113</v>
      </c>
      <c r="R41">
        <v>214112</v>
      </c>
      <c r="S41">
        <v>215113</v>
      </c>
      <c r="T41">
        <v>215112</v>
      </c>
      <c r="U41">
        <v>216111</v>
      </c>
      <c r="V41">
        <v>216112</v>
      </c>
      <c r="X41" s="57">
        <v>113039</v>
      </c>
      <c r="Y41">
        <f>INDEX(M:M,MATCH(X41,N:N,0))</f>
        <v>3</v>
      </c>
      <c r="Z41">
        <v>5</v>
      </c>
      <c r="AA41" s="72" t="str">
        <f t="shared" ref="AA41:AH41" si="39">IF(AI41=0,"",INDEX($N$1:$V$76,MATCH($X41,$N$1:$N$76,0),MATCH(AA$1,$N$1:$V$1,0)))</f>
        <v/>
      </c>
      <c r="AB41" s="72" t="str">
        <f t="shared" si="39"/>
        <v/>
      </c>
      <c r="AC41" s="72" t="str">
        <f t="shared" si="39"/>
        <v/>
      </c>
      <c r="AD41" s="72">
        <f t="shared" si="39"/>
        <v>214112</v>
      </c>
      <c r="AE41" s="72">
        <f t="shared" si="39"/>
        <v>215113</v>
      </c>
      <c r="AF41" s="72">
        <f t="shared" si="39"/>
        <v>215112</v>
      </c>
      <c r="AG41" s="72">
        <f t="shared" si="39"/>
        <v>216111</v>
      </c>
      <c r="AH41" s="72" t="str">
        <f t="shared" si="39"/>
        <v/>
      </c>
      <c r="AI41" s="72">
        <f t="array" ref="AI41">INDEX($C$4:$J$16,MATCH($Y41&amp;$Z41,$A$4:$A$16&amp;$B$4:$B$16,0),MATCH(AA$1,$C$2:$J$2,0))</f>
        <v>0</v>
      </c>
      <c r="AJ41" s="72">
        <f t="array" ref="AJ41">INDEX($C$4:$J$16,MATCH($Y41&amp;$Z41,$A$4:$A$16&amp;$B$4:$B$16,0),MATCH(AB$1,$C$2:$J$2,0))</f>
        <v>0</v>
      </c>
      <c r="AK41" s="72">
        <f t="array" ref="AK41">INDEX($C$4:$J$16,MATCH($Y41&amp;$Z41,$A$4:$A$16&amp;$B$4:$B$16,0),MATCH(AC$1,$C$2:$J$2,0))</f>
        <v>0</v>
      </c>
      <c r="AL41" s="72">
        <f t="array" ref="AL41">INDEX($C$4:$J$16,MATCH($Y41&amp;$Z41,$A$4:$A$16&amp;$B$4:$B$16,0),MATCH(AD$1,$C$2:$J$2,0))</f>
        <v>48</v>
      </c>
      <c r="AM41" s="72">
        <f t="array" ref="AM41">INDEX($C$4:$J$16,MATCH($Y41&amp;$Z41,$A$4:$A$16&amp;$B$4:$B$16,0),MATCH(AE$1,$C$2:$J$2,0))</f>
        <v>24</v>
      </c>
      <c r="AN41" s="72">
        <f t="array" ref="AN41">INDEX($C$4:$J$16,MATCH($Y41&amp;$Z41,$A$4:$A$16&amp;$B$4:$B$16,0),MATCH(AF$1,$C$2:$J$2,0))</f>
        <v>24</v>
      </c>
      <c r="AO41" s="72">
        <f t="array" ref="AO41">INDEX($C$4:$J$16,MATCH($Y41&amp;$Z41,$A$4:$A$16&amp;$B$4:$B$16,0),MATCH(AG$1,$C$2:$J$2,0))</f>
        <v>3</v>
      </c>
      <c r="AP41" s="72">
        <f t="array" ref="AP41">INDEX($C$4:$J$16,MATCH($Y41&amp;$Z41,$A$4:$A$16&amp;$B$4:$B$16,0),MATCH(AH$1,$C$2:$J$2,0))</f>
        <v>0</v>
      </c>
      <c r="AQ41" s="72">
        <f t="array" ref="AQ41">INDEX($K$2:$K$16,MATCH(Y41&amp;Z41,$A$2:$A$16&amp;$B$2:$B$16,0))</f>
        <v>750000</v>
      </c>
      <c r="AR41" s="42" t="str">
        <f t="array" ref="AR41">_xlfn.TEXTJOIN(";",1,IF($AA41:$AH41&lt;&gt;"","1001,"&amp;$AA41:$AH41&amp;","&amp;$AI41:$AP41,""))&amp;IF(AQ41=0,"",";"&amp;"5,0,"&amp;AQ41)</f>
        <v>1001,214112,48;1001,215113,24;1001,215112,24;1001,216111,3;5,0,750000</v>
      </c>
      <c r="AS41" s="42">
        <f t="array" ref="AS41">INDEX($A$19:$F$33,MATCH($Y41&amp;$Z41,$A$19:$A$33&amp;$B$19:$B$33,0),MATCH(AS$1,$A$19:$F$19,0))</f>
        <v>984</v>
      </c>
      <c r="AT41" s="42">
        <f t="array" ref="AT41">INDEX($A$19:$F$33,MATCH($Y41&amp;$Z41,$A$19:$A$33&amp;$B$19:$B$33,0),MATCH(AT$1,$A$19:$F$19,0))</f>
        <v>393.6</v>
      </c>
      <c r="AU41" s="42">
        <f t="array" ref="AU41">INDEX($A$19:$F$33,MATCH($Y41&amp;$Z41,$A$19:$A$33&amp;$B$19:$B$33,0),MATCH(AU$1,$A$19:$F$19,0))</f>
        <v>7872</v>
      </c>
      <c r="AV41" s="42">
        <f t="array" ref="AV41">INDEX($A$19:$F$33,MATCH($Y41&amp;$Z41,$A$19:$A$33&amp;$B$19:$B$33,0),MATCH(AV$1,$A$19:$F$19,0))</f>
        <v>110</v>
      </c>
    </row>
    <row r="42" spans="13:48">
      <c r="M42">
        <v>3</v>
      </c>
      <c r="N42" s="58">
        <v>113040</v>
      </c>
      <c r="O42">
        <v>213113</v>
      </c>
      <c r="P42">
        <v>213112</v>
      </c>
      <c r="Q42">
        <v>214113</v>
      </c>
      <c r="R42">
        <v>214112</v>
      </c>
      <c r="S42">
        <v>215113</v>
      </c>
      <c r="T42">
        <v>215112</v>
      </c>
      <c r="U42">
        <v>216111</v>
      </c>
      <c r="V42">
        <v>216112</v>
      </c>
      <c r="X42" s="58">
        <v>113040</v>
      </c>
      <c r="Y42">
        <f>INDEX(M:M,MATCH(X42,N:N,0))</f>
        <v>3</v>
      </c>
      <c r="Z42">
        <v>5</v>
      </c>
      <c r="AA42" s="72" t="str">
        <f t="shared" ref="AA42:AH42" si="40">IF(AI42=0,"",INDEX($N$1:$V$76,MATCH($X42,$N$1:$N$76,0),MATCH(AA$1,$N$1:$V$1,0)))</f>
        <v/>
      </c>
      <c r="AB42" s="72" t="str">
        <f t="shared" si="40"/>
        <v/>
      </c>
      <c r="AC42" s="72" t="str">
        <f t="shared" si="40"/>
        <v/>
      </c>
      <c r="AD42" s="72">
        <f t="shared" si="40"/>
        <v>214112</v>
      </c>
      <c r="AE42" s="72">
        <f t="shared" si="40"/>
        <v>215113</v>
      </c>
      <c r="AF42" s="72">
        <f t="shared" si="40"/>
        <v>215112</v>
      </c>
      <c r="AG42" s="72">
        <f t="shared" si="40"/>
        <v>216111</v>
      </c>
      <c r="AH42" s="72" t="str">
        <f t="shared" si="40"/>
        <v/>
      </c>
      <c r="AI42" s="72">
        <f t="array" ref="AI42">INDEX($C$4:$J$16,MATCH($Y42&amp;$Z42,$A$4:$A$16&amp;$B$4:$B$16,0),MATCH(AA$1,$C$2:$J$2,0))</f>
        <v>0</v>
      </c>
      <c r="AJ42" s="72">
        <f t="array" ref="AJ42">INDEX($C$4:$J$16,MATCH($Y42&amp;$Z42,$A$4:$A$16&amp;$B$4:$B$16,0),MATCH(AB$1,$C$2:$J$2,0))</f>
        <v>0</v>
      </c>
      <c r="AK42" s="72">
        <f t="array" ref="AK42">INDEX($C$4:$J$16,MATCH($Y42&amp;$Z42,$A$4:$A$16&amp;$B$4:$B$16,0),MATCH(AC$1,$C$2:$J$2,0))</f>
        <v>0</v>
      </c>
      <c r="AL42" s="72">
        <f t="array" ref="AL42">INDEX($C$4:$J$16,MATCH($Y42&amp;$Z42,$A$4:$A$16&amp;$B$4:$B$16,0),MATCH(AD$1,$C$2:$J$2,0))</f>
        <v>48</v>
      </c>
      <c r="AM42" s="72">
        <f t="array" ref="AM42">INDEX($C$4:$J$16,MATCH($Y42&amp;$Z42,$A$4:$A$16&amp;$B$4:$B$16,0),MATCH(AE$1,$C$2:$J$2,0))</f>
        <v>24</v>
      </c>
      <c r="AN42" s="72">
        <f t="array" ref="AN42">INDEX($C$4:$J$16,MATCH($Y42&amp;$Z42,$A$4:$A$16&amp;$B$4:$B$16,0),MATCH(AF$1,$C$2:$J$2,0))</f>
        <v>24</v>
      </c>
      <c r="AO42" s="72">
        <f t="array" ref="AO42">INDEX($C$4:$J$16,MATCH($Y42&amp;$Z42,$A$4:$A$16&amp;$B$4:$B$16,0),MATCH(AG$1,$C$2:$J$2,0))</f>
        <v>3</v>
      </c>
      <c r="AP42" s="72">
        <f t="array" ref="AP42">INDEX($C$4:$J$16,MATCH($Y42&amp;$Z42,$A$4:$A$16&amp;$B$4:$B$16,0),MATCH(AH$1,$C$2:$J$2,0))</f>
        <v>0</v>
      </c>
      <c r="AQ42" s="72">
        <f t="array" ref="AQ42">INDEX($K$2:$K$16,MATCH(Y42&amp;Z42,$A$2:$A$16&amp;$B$2:$B$16,0))</f>
        <v>750000</v>
      </c>
      <c r="AR42" s="42" t="str">
        <f t="array" ref="AR42">_xlfn.TEXTJOIN(";",1,IF($AA42:$AH42&lt;&gt;"","1001,"&amp;$AA42:$AH42&amp;","&amp;$AI42:$AP42,""))&amp;IF(AQ42=0,"",";"&amp;"5,0,"&amp;AQ42)</f>
        <v>1001,214112,48;1001,215113,24;1001,215112,24;1001,216111,3;5,0,750000</v>
      </c>
      <c r="AS42" s="42">
        <f t="array" ref="AS42">INDEX($A$19:$F$33,MATCH($Y42&amp;$Z42,$A$19:$A$33&amp;$B$19:$B$33,0),MATCH(AS$1,$A$19:$F$19,0))</f>
        <v>984</v>
      </c>
      <c r="AT42" s="42">
        <f t="array" ref="AT42">INDEX($A$19:$F$33,MATCH($Y42&amp;$Z42,$A$19:$A$33&amp;$B$19:$B$33,0),MATCH(AT$1,$A$19:$F$19,0))</f>
        <v>393.6</v>
      </c>
      <c r="AU42" s="42">
        <f t="array" ref="AU42">INDEX($A$19:$F$33,MATCH($Y42&amp;$Z42,$A$19:$A$33&amp;$B$19:$B$33,0),MATCH(AU$1,$A$19:$F$19,0))</f>
        <v>7872</v>
      </c>
      <c r="AV42" s="42">
        <f t="array" ref="AV42">INDEX($A$19:$F$33,MATCH($Y42&amp;$Z42,$A$19:$A$33&amp;$B$19:$B$33,0),MATCH(AV$1,$A$19:$F$19,0))</f>
        <v>110</v>
      </c>
    </row>
    <row r="43" spans="13:48">
      <c r="M43">
        <v>3</v>
      </c>
      <c r="N43" s="48">
        <v>113041</v>
      </c>
      <c r="O43">
        <v>213009</v>
      </c>
      <c r="P43">
        <v>213111</v>
      </c>
      <c r="Q43">
        <v>214009</v>
      </c>
      <c r="R43">
        <v>214111</v>
      </c>
      <c r="S43">
        <v>215009</v>
      </c>
      <c r="T43">
        <v>215111</v>
      </c>
      <c r="U43">
        <v>216111</v>
      </c>
      <c r="V43">
        <v>216112</v>
      </c>
      <c r="X43" s="48">
        <v>113041</v>
      </c>
      <c r="Y43">
        <f>INDEX(M:M,MATCH(X43,N:N,0))</f>
        <v>3</v>
      </c>
      <c r="Z43">
        <v>5</v>
      </c>
      <c r="AA43" s="72" t="str">
        <f t="shared" ref="AA43:AH43" si="41">IF(AI43=0,"",INDEX($N$1:$V$76,MATCH($X43,$N$1:$N$76,0),MATCH(AA$1,$N$1:$V$1,0)))</f>
        <v/>
      </c>
      <c r="AB43" s="72" t="str">
        <f t="shared" si="41"/>
        <v/>
      </c>
      <c r="AC43" s="72" t="str">
        <f t="shared" si="41"/>
        <v/>
      </c>
      <c r="AD43" s="72">
        <f t="shared" si="41"/>
        <v>214111</v>
      </c>
      <c r="AE43" s="72">
        <f t="shared" si="41"/>
        <v>215009</v>
      </c>
      <c r="AF43" s="72">
        <f t="shared" si="41"/>
        <v>215111</v>
      </c>
      <c r="AG43" s="72">
        <f t="shared" si="41"/>
        <v>216111</v>
      </c>
      <c r="AH43" s="72" t="str">
        <f t="shared" si="41"/>
        <v/>
      </c>
      <c r="AI43" s="72">
        <f t="array" ref="AI43">INDEX($C$4:$J$16,MATCH($Y43&amp;$Z43,$A$4:$A$16&amp;$B$4:$B$16,0),MATCH(AA$1,$C$2:$J$2,0))</f>
        <v>0</v>
      </c>
      <c r="AJ43" s="72">
        <f t="array" ref="AJ43">INDEX($C$4:$J$16,MATCH($Y43&amp;$Z43,$A$4:$A$16&amp;$B$4:$B$16,0),MATCH(AB$1,$C$2:$J$2,0))</f>
        <v>0</v>
      </c>
      <c r="AK43" s="72">
        <f t="array" ref="AK43">INDEX($C$4:$J$16,MATCH($Y43&amp;$Z43,$A$4:$A$16&amp;$B$4:$B$16,0),MATCH(AC$1,$C$2:$J$2,0))</f>
        <v>0</v>
      </c>
      <c r="AL43" s="72">
        <f t="array" ref="AL43">INDEX($C$4:$J$16,MATCH($Y43&amp;$Z43,$A$4:$A$16&amp;$B$4:$B$16,0),MATCH(AD$1,$C$2:$J$2,0))</f>
        <v>48</v>
      </c>
      <c r="AM43" s="72">
        <f t="array" ref="AM43">INDEX($C$4:$J$16,MATCH($Y43&amp;$Z43,$A$4:$A$16&amp;$B$4:$B$16,0),MATCH(AE$1,$C$2:$J$2,0))</f>
        <v>24</v>
      </c>
      <c r="AN43" s="72">
        <f t="array" ref="AN43">INDEX($C$4:$J$16,MATCH($Y43&amp;$Z43,$A$4:$A$16&amp;$B$4:$B$16,0),MATCH(AF$1,$C$2:$J$2,0))</f>
        <v>24</v>
      </c>
      <c r="AO43" s="72">
        <f t="array" ref="AO43">INDEX($C$4:$J$16,MATCH($Y43&amp;$Z43,$A$4:$A$16&amp;$B$4:$B$16,0),MATCH(AG$1,$C$2:$J$2,0))</f>
        <v>3</v>
      </c>
      <c r="AP43" s="72">
        <f t="array" ref="AP43">INDEX($C$4:$J$16,MATCH($Y43&amp;$Z43,$A$4:$A$16&amp;$B$4:$B$16,0),MATCH(AH$1,$C$2:$J$2,0))</f>
        <v>0</v>
      </c>
      <c r="AQ43" s="72">
        <f t="array" ref="AQ43">INDEX($K$2:$K$16,MATCH(Y43&amp;Z43,$A$2:$A$16&amp;$B$2:$B$16,0))</f>
        <v>750000</v>
      </c>
      <c r="AR43" s="42" t="str">
        <f t="array" ref="AR43">_xlfn.TEXTJOIN(";",1,IF($AA43:$AH43&lt;&gt;"","1001,"&amp;$AA43:$AH43&amp;","&amp;$AI43:$AP43,""))&amp;IF(AQ43=0,"",";"&amp;"5,0,"&amp;AQ43)</f>
        <v>1001,214111,48;1001,215009,24;1001,215111,24;1001,216111,3;5,0,750000</v>
      </c>
      <c r="AS43" s="42">
        <f t="array" ref="AS43">INDEX($A$19:$F$33,MATCH($Y43&amp;$Z43,$A$19:$A$33&amp;$B$19:$B$33,0),MATCH(AS$1,$A$19:$F$19,0))</f>
        <v>984</v>
      </c>
      <c r="AT43" s="42">
        <f t="array" ref="AT43">INDEX($A$19:$F$33,MATCH($Y43&amp;$Z43,$A$19:$A$33&amp;$B$19:$B$33,0),MATCH(AT$1,$A$19:$F$19,0))</f>
        <v>393.6</v>
      </c>
      <c r="AU43" s="42">
        <f t="array" ref="AU43">INDEX($A$19:$F$33,MATCH($Y43&amp;$Z43,$A$19:$A$33&amp;$B$19:$B$33,0),MATCH(AU$1,$A$19:$F$19,0))</f>
        <v>7872</v>
      </c>
      <c r="AV43" s="42">
        <f t="array" ref="AV43">INDEX($A$19:$F$33,MATCH($Y43&amp;$Z43,$A$19:$A$33&amp;$B$19:$B$33,0),MATCH(AV$1,$A$19:$F$19,0))</f>
        <v>110</v>
      </c>
    </row>
    <row r="44" spans="13:48">
      <c r="M44">
        <v>3</v>
      </c>
      <c r="N44" s="52">
        <v>113042</v>
      </c>
      <c r="O44">
        <v>213114</v>
      </c>
      <c r="P44">
        <v>213114</v>
      </c>
      <c r="Q44">
        <v>214114</v>
      </c>
      <c r="R44">
        <v>214113</v>
      </c>
      <c r="S44">
        <v>215114</v>
      </c>
      <c r="T44">
        <v>215113</v>
      </c>
      <c r="U44">
        <v>216111</v>
      </c>
      <c r="V44">
        <v>216112</v>
      </c>
      <c r="X44" s="52">
        <v>113042</v>
      </c>
      <c r="Y44">
        <f>INDEX(M:M,MATCH(X44,N:N,0))</f>
        <v>3</v>
      </c>
      <c r="Z44">
        <v>5</v>
      </c>
      <c r="AA44" s="72" t="str">
        <f t="shared" ref="AA44:AH44" si="42">IF(AI44=0,"",INDEX($N$1:$V$76,MATCH($X44,$N$1:$N$76,0),MATCH(AA$1,$N$1:$V$1,0)))</f>
        <v/>
      </c>
      <c r="AB44" s="72" t="str">
        <f t="shared" si="42"/>
        <v/>
      </c>
      <c r="AC44" s="72" t="str">
        <f t="shared" si="42"/>
        <v/>
      </c>
      <c r="AD44" s="72">
        <f t="shared" si="42"/>
        <v>214113</v>
      </c>
      <c r="AE44" s="72">
        <f t="shared" si="42"/>
        <v>215114</v>
      </c>
      <c r="AF44" s="72">
        <f t="shared" si="42"/>
        <v>215113</v>
      </c>
      <c r="AG44" s="72">
        <f t="shared" si="42"/>
        <v>216111</v>
      </c>
      <c r="AH44" s="72" t="str">
        <f t="shared" si="42"/>
        <v/>
      </c>
      <c r="AI44" s="72">
        <f t="array" ref="AI44">INDEX($C$4:$J$16,MATCH($Y44&amp;$Z44,$A$4:$A$16&amp;$B$4:$B$16,0),MATCH(AA$1,$C$2:$J$2,0))</f>
        <v>0</v>
      </c>
      <c r="AJ44" s="72">
        <f t="array" ref="AJ44">INDEX($C$4:$J$16,MATCH($Y44&amp;$Z44,$A$4:$A$16&amp;$B$4:$B$16,0),MATCH(AB$1,$C$2:$J$2,0))</f>
        <v>0</v>
      </c>
      <c r="AK44" s="72">
        <f t="array" ref="AK44">INDEX($C$4:$J$16,MATCH($Y44&amp;$Z44,$A$4:$A$16&amp;$B$4:$B$16,0),MATCH(AC$1,$C$2:$J$2,0))</f>
        <v>0</v>
      </c>
      <c r="AL44" s="72">
        <f t="array" ref="AL44">INDEX($C$4:$J$16,MATCH($Y44&amp;$Z44,$A$4:$A$16&amp;$B$4:$B$16,0),MATCH(AD$1,$C$2:$J$2,0))</f>
        <v>48</v>
      </c>
      <c r="AM44" s="72">
        <f t="array" ref="AM44">INDEX($C$4:$J$16,MATCH($Y44&amp;$Z44,$A$4:$A$16&amp;$B$4:$B$16,0),MATCH(AE$1,$C$2:$J$2,0))</f>
        <v>24</v>
      </c>
      <c r="AN44" s="72">
        <f t="array" ref="AN44">INDEX($C$4:$J$16,MATCH($Y44&amp;$Z44,$A$4:$A$16&amp;$B$4:$B$16,0),MATCH(AF$1,$C$2:$J$2,0))</f>
        <v>24</v>
      </c>
      <c r="AO44" s="72">
        <f t="array" ref="AO44">INDEX($C$4:$J$16,MATCH($Y44&amp;$Z44,$A$4:$A$16&amp;$B$4:$B$16,0),MATCH(AG$1,$C$2:$J$2,0))</f>
        <v>3</v>
      </c>
      <c r="AP44" s="72">
        <f t="array" ref="AP44">INDEX($C$4:$J$16,MATCH($Y44&amp;$Z44,$A$4:$A$16&amp;$B$4:$B$16,0),MATCH(AH$1,$C$2:$J$2,0))</f>
        <v>0</v>
      </c>
      <c r="AQ44" s="72">
        <f t="array" ref="AQ44">INDEX($K$2:$K$16,MATCH(Y44&amp;Z44,$A$2:$A$16&amp;$B$2:$B$16,0))</f>
        <v>750000</v>
      </c>
      <c r="AR44" s="42" t="str">
        <f t="array" ref="AR44">_xlfn.TEXTJOIN(";",1,IF($AA44:$AH44&lt;&gt;"","1001,"&amp;$AA44:$AH44&amp;","&amp;$AI44:$AP44,""))&amp;IF(AQ44=0,"",";"&amp;"5,0,"&amp;AQ44)</f>
        <v>1001,214113,48;1001,215114,24;1001,215113,24;1001,216111,3;5,0,750000</v>
      </c>
      <c r="AS44" s="42">
        <f t="array" ref="AS44">INDEX($A$19:$F$33,MATCH($Y44&amp;$Z44,$A$19:$A$33&amp;$B$19:$B$33,0),MATCH(AS$1,$A$19:$F$19,0))</f>
        <v>984</v>
      </c>
      <c r="AT44" s="42">
        <f t="array" ref="AT44">INDEX($A$19:$F$33,MATCH($Y44&amp;$Z44,$A$19:$A$33&amp;$B$19:$B$33,0),MATCH(AT$1,$A$19:$F$19,0))</f>
        <v>393.6</v>
      </c>
      <c r="AU44" s="42">
        <f t="array" ref="AU44">INDEX($A$19:$F$33,MATCH($Y44&amp;$Z44,$A$19:$A$33&amp;$B$19:$B$33,0),MATCH(AU$1,$A$19:$F$19,0))</f>
        <v>7872</v>
      </c>
      <c r="AV44" s="42">
        <f t="array" ref="AV44">INDEX($A$19:$F$33,MATCH($Y44&amp;$Z44,$A$19:$A$33&amp;$B$19:$B$33,0),MATCH(AV$1,$A$19:$F$19,0))</f>
        <v>110</v>
      </c>
    </row>
    <row r="45" spans="13:48">
      <c r="M45">
        <v>3</v>
      </c>
      <c r="N45" s="55">
        <v>113043</v>
      </c>
      <c r="O45">
        <v>213009</v>
      </c>
      <c r="P45">
        <v>213111</v>
      </c>
      <c r="Q45">
        <v>214009</v>
      </c>
      <c r="R45">
        <v>214111</v>
      </c>
      <c r="S45">
        <v>215009</v>
      </c>
      <c r="T45">
        <v>215111</v>
      </c>
      <c r="U45">
        <v>216111</v>
      </c>
      <c r="V45">
        <v>216112</v>
      </c>
      <c r="X45" s="55">
        <v>113043</v>
      </c>
      <c r="Y45">
        <f>INDEX(M:M,MATCH(X45,N:N,0))</f>
        <v>3</v>
      </c>
      <c r="Z45">
        <v>5</v>
      </c>
      <c r="AA45" s="72" t="str">
        <f t="shared" ref="AA45:AH45" si="43">IF(AI45=0,"",INDEX($N$1:$V$76,MATCH($X45,$N$1:$N$76,0),MATCH(AA$1,$N$1:$V$1,0)))</f>
        <v/>
      </c>
      <c r="AB45" s="72" t="str">
        <f t="shared" si="43"/>
        <v/>
      </c>
      <c r="AC45" s="72" t="str">
        <f t="shared" si="43"/>
        <v/>
      </c>
      <c r="AD45" s="72">
        <f t="shared" si="43"/>
        <v>214111</v>
      </c>
      <c r="AE45" s="72">
        <f t="shared" si="43"/>
        <v>215009</v>
      </c>
      <c r="AF45" s="72">
        <f t="shared" si="43"/>
        <v>215111</v>
      </c>
      <c r="AG45" s="72">
        <f t="shared" si="43"/>
        <v>216111</v>
      </c>
      <c r="AH45" s="72" t="str">
        <f t="shared" si="43"/>
        <v/>
      </c>
      <c r="AI45" s="72">
        <f t="array" ref="AI45">INDEX($C$4:$J$16,MATCH($Y45&amp;$Z45,$A$4:$A$16&amp;$B$4:$B$16,0),MATCH(AA$1,$C$2:$J$2,0))</f>
        <v>0</v>
      </c>
      <c r="AJ45" s="72">
        <f t="array" ref="AJ45">INDEX($C$4:$J$16,MATCH($Y45&amp;$Z45,$A$4:$A$16&amp;$B$4:$B$16,0),MATCH(AB$1,$C$2:$J$2,0))</f>
        <v>0</v>
      </c>
      <c r="AK45" s="72">
        <f t="array" ref="AK45">INDEX($C$4:$J$16,MATCH($Y45&amp;$Z45,$A$4:$A$16&amp;$B$4:$B$16,0),MATCH(AC$1,$C$2:$J$2,0))</f>
        <v>0</v>
      </c>
      <c r="AL45" s="72">
        <f t="array" ref="AL45">INDEX($C$4:$J$16,MATCH($Y45&amp;$Z45,$A$4:$A$16&amp;$B$4:$B$16,0),MATCH(AD$1,$C$2:$J$2,0))</f>
        <v>48</v>
      </c>
      <c r="AM45" s="72">
        <f t="array" ref="AM45">INDEX($C$4:$J$16,MATCH($Y45&amp;$Z45,$A$4:$A$16&amp;$B$4:$B$16,0),MATCH(AE$1,$C$2:$J$2,0))</f>
        <v>24</v>
      </c>
      <c r="AN45" s="72">
        <f t="array" ref="AN45">INDEX($C$4:$J$16,MATCH($Y45&amp;$Z45,$A$4:$A$16&amp;$B$4:$B$16,0),MATCH(AF$1,$C$2:$J$2,0))</f>
        <v>24</v>
      </c>
      <c r="AO45" s="72">
        <f t="array" ref="AO45">INDEX($C$4:$J$16,MATCH($Y45&amp;$Z45,$A$4:$A$16&amp;$B$4:$B$16,0),MATCH(AG$1,$C$2:$J$2,0))</f>
        <v>3</v>
      </c>
      <c r="AP45" s="72">
        <f t="array" ref="AP45">INDEX($C$4:$J$16,MATCH($Y45&amp;$Z45,$A$4:$A$16&amp;$B$4:$B$16,0),MATCH(AH$1,$C$2:$J$2,0))</f>
        <v>0</v>
      </c>
      <c r="AQ45" s="72">
        <f t="array" ref="AQ45">INDEX($K$2:$K$16,MATCH(Y45&amp;Z45,$A$2:$A$16&amp;$B$2:$B$16,0))</f>
        <v>750000</v>
      </c>
      <c r="AR45" s="42" t="str">
        <f t="array" ref="AR45">_xlfn.TEXTJOIN(";",1,IF($AA45:$AH45&lt;&gt;"","1001,"&amp;$AA45:$AH45&amp;","&amp;$AI45:$AP45,""))&amp;IF(AQ45=0,"",";"&amp;"5,0,"&amp;AQ45)</f>
        <v>1001,214111,48;1001,215009,24;1001,215111,24;1001,216111,3;5,0,750000</v>
      </c>
      <c r="AS45" s="42">
        <f t="array" ref="AS45">INDEX($A$19:$F$33,MATCH($Y45&amp;$Z45,$A$19:$A$33&amp;$B$19:$B$33,0),MATCH(AS$1,$A$19:$F$19,0))</f>
        <v>984</v>
      </c>
      <c r="AT45" s="42">
        <f t="array" ref="AT45">INDEX($A$19:$F$33,MATCH($Y45&amp;$Z45,$A$19:$A$33&amp;$B$19:$B$33,0),MATCH(AT$1,$A$19:$F$19,0))</f>
        <v>393.6</v>
      </c>
      <c r="AU45" s="42">
        <f t="array" ref="AU45">INDEX($A$19:$F$33,MATCH($Y45&amp;$Z45,$A$19:$A$33&amp;$B$19:$B$33,0),MATCH(AU$1,$A$19:$F$19,0))</f>
        <v>7872</v>
      </c>
      <c r="AV45" s="42">
        <f t="array" ref="AV45">INDEX($A$19:$F$33,MATCH($Y45&amp;$Z45,$A$19:$A$33&amp;$B$19:$B$33,0),MATCH(AV$1,$A$19:$F$19,0))</f>
        <v>110</v>
      </c>
    </row>
    <row r="46" spans="13:48">
      <c r="M46">
        <v>3</v>
      </c>
      <c r="N46" s="49">
        <v>113044</v>
      </c>
      <c r="O46">
        <v>213111</v>
      </c>
      <c r="P46">
        <v>213111</v>
      </c>
      <c r="Q46">
        <v>214111</v>
      </c>
      <c r="R46">
        <v>214114</v>
      </c>
      <c r="S46">
        <v>215111</v>
      </c>
      <c r="T46">
        <v>215114</v>
      </c>
      <c r="U46">
        <v>216111</v>
      </c>
      <c r="V46">
        <v>216112</v>
      </c>
      <c r="X46" s="49">
        <v>113044</v>
      </c>
      <c r="Y46">
        <f>INDEX(M:M,MATCH(X46,N:N,0))</f>
        <v>3</v>
      </c>
      <c r="Z46">
        <v>5</v>
      </c>
      <c r="AA46" s="72" t="str">
        <f t="shared" ref="AA46:AH46" si="44">IF(AI46=0,"",INDEX($N$1:$V$76,MATCH($X46,$N$1:$N$76,0),MATCH(AA$1,$N$1:$V$1,0)))</f>
        <v/>
      </c>
      <c r="AB46" s="72" t="str">
        <f t="shared" si="44"/>
        <v/>
      </c>
      <c r="AC46" s="72" t="str">
        <f t="shared" si="44"/>
        <v/>
      </c>
      <c r="AD46" s="72">
        <f t="shared" si="44"/>
        <v>214114</v>
      </c>
      <c r="AE46" s="72">
        <f t="shared" si="44"/>
        <v>215111</v>
      </c>
      <c r="AF46" s="72">
        <f t="shared" si="44"/>
        <v>215114</v>
      </c>
      <c r="AG46" s="72">
        <f t="shared" si="44"/>
        <v>216111</v>
      </c>
      <c r="AH46" s="72" t="str">
        <f t="shared" si="44"/>
        <v/>
      </c>
      <c r="AI46" s="72">
        <f t="array" ref="AI46">INDEX($C$4:$J$16,MATCH($Y46&amp;$Z46,$A$4:$A$16&amp;$B$4:$B$16,0),MATCH(AA$1,$C$2:$J$2,0))</f>
        <v>0</v>
      </c>
      <c r="AJ46" s="72">
        <f t="array" ref="AJ46">INDEX($C$4:$J$16,MATCH($Y46&amp;$Z46,$A$4:$A$16&amp;$B$4:$B$16,0),MATCH(AB$1,$C$2:$J$2,0))</f>
        <v>0</v>
      </c>
      <c r="AK46" s="72">
        <f t="array" ref="AK46">INDEX($C$4:$J$16,MATCH($Y46&amp;$Z46,$A$4:$A$16&amp;$B$4:$B$16,0),MATCH(AC$1,$C$2:$J$2,0))</f>
        <v>0</v>
      </c>
      <c r="AL46" s="72">
        <f t="array" ref="AL46">INDEX($C$4:$J$16,MATCH($Y46&amp;$Z46,$A$4:$A$16&amp;$B$4:$B$16,0),MATCH(AD$1,$C$2:$J$2,0))</f>
        <v>48</v>
      </c>
      <c r="AM46" s="72">
        <f t="array" ref="AM46">INDEX($C$4:$J$16,MATCH($Y46&amp;$Z46,$A$4:$A$16&amp;$B$4:$B$16,0),MATCH(AE$1,$C$2:$J$2,0))</f>
        <v>24</v>
      </c>
      <c r="AN46" s="72">
        <f t="array" ref="AN46">INDEX($C$4:$J$16,MATCH($Y46&amp;$Z46,$A$4:$A$16&amp;$B$4:$B$16,0),MATCH(AF$1,$C$2:$J$2,0))</f>
        <v>24</v>
      </c>
      <c r="AO46" s="72">
        <f t="array" ref="AO46">INDEX($C$4:$J$16,MATCH($Y46&amp;$Z46,$A$4:$A$16&amp;$B$4:$B$16,0),MATCH(AG$1,$C$2:$J$2,0))</f>
        <v>3</v>
      </c>
      <c r="AP46" s="72">
        <f t="array" ref="AP46">INDEX($C$4:$J$16,MATCH($Y46&amp;$Z46,$A$4:$A$16&amp;$B$4:$B$16,0),MATCH(AH$1,$C$2:$J$2,0))</f>
        <v>0</v>
      </c>
      <c r="AQ46" s="72">
        <f t="array" ref="AQ46">INDEX($K$2:$K$16,MATCH(Y46&amp;Z46,$A$2:$A$16&amp;$B$2:$B$16,0))</f>
        <v>750000</v>
      </c>
      <c r="AR46" s="42" t="str">
        <f t="array" ref="AR46">_xlfn.TEXTJOIN(";",1,IF($AA46:$AH46&lt;&gt;"","1001,"&amp;$AA46:$AH46&amp;","&amp;$AI46:$AP46,""))&amp;IF(AQ46=0,"",";"&amp;"5,0,"&amp;AQ46)</f>
        <v>1001,214114,48;1001,215111,24;1001,215114,24;1001,216111,3;5,0,750000</v>
      </c>
      <c r="AS46" s="42">
        <f t="array" ref="AS46">INDEX($A$19:$F$33,MATCH($Y46&amp;$Z46,$A$19:$A$33&amp;$B$19:$B$33,0),MATCH(AS$1,$A$19:$F$19,0))</f>
        <v>984</v>
      </c>
      <c r="AT46" s="42">
        <f t="array" ref="AT46">INDEX($A$19:$F$33,MATCH($Y46&amp;$Z46,$A$19:$A$33&amp;$B$19:$B$33,0),MATCH(AT$1,$A$19:$F$19,0))</f>
        <v>393.6</v>
      </c>
      <c r="AU46" s="42">
        <f t="array" ref="AU46">INDEX($A$19:$F$33,MATCH($Y46&amp;$Z46,$A$19:$A$33&amp;$B$19:$B$33,0),MATCH(AU$1,$A$19:$F$19,0))</f>
        <v>7872</v>
      </c>
      <c r="AV46" s="42">
        <f t="array" ref="AV46">INDEX($A$19:$F$33,MATCH($Y46&amp;$Z46,$A$19:$A$33&amp;$B$19:$B$33,0),MATCH(AV$1,$A$19:$F$19,0))</f>
        <v>110</v>
      </c>
    </row>
    <row r="47" spans="13:48">
      <c r="M47">
        <v>3</v>
      </c>
      <c r="N47" s="48">
        <v>113045</v>
      </c>
      <c r="O47">
        <v>213112</v>
      </c>
      <c r="P47">
        <v>213112</v>
      </c>
      <c r="Q47">
        <v>214112</v>
      </c>
      <c r="R47">
        <v>214009</v>
      </c>
      <c r="S47">
        <v>215112</v>
      </c>
      <c r="T47">
        <v>215009</v>
      </c>
      <c r="U47">
        <v>216111</v>
      </c>
      <c r="V47">
        <v>216112</v>
      </c>
      <c r="X47" s="48">
        <v>113045</v>
      </c>
      <c r="Y47">
        <f>INDEX(M:M,MATCH(X47,N:N,0))</f>
        <v>3</v>
      </c>
      <c r="Z47">
        <v>5</v>
      </c>
      <c r="AA47" s="72" t="str">
        <f t="shared" ref="AA47:AH47" si="45">IF(AI47=0,"",INDEX($N$1:$V$76,MATCH($X47,$N$1:$N$76,0),MATCH(AA$1,$N$1:$V$1,0)))</f>
        <v/>
      </c>
      <c r="AB47" s="72" t="str">
        <f t="shared" si="45"/>
        <v/>
      </c>
      <c r="AC47" s="72" t="str">
        <f t="shared" si="45"/>
        <v/>
      </c>
      <c r="AD47" s="72">
        <f t="shared" si="45"/>
        <v>214009</v>
      </c>
      <c r="AE47" s="72">
        <f t="shared" si="45"/>
        <v>215112</v>
      </c>
      <c r="AF47" s="72">
        <f t="shared" si="45"/>
        <v>215009</v>
      </c>
      <c r="AG47" s="72">
        <f t="shared" si="45"/>
        <v>216111</v>
      </c>
      <c r="AH47" s="72" t="str">
        <f t="shared" si="45"/>
        <v/>
      </c>
      <c r="AI47" s="72">
        <f t="array" ref="AI47">INDEX($C$4:$J$16,MATCH($Y47&amp;$Z47,$A$4:$A$16&amp;$B$4:$B$16,0),MATCH(AA$1,$C$2:$J$2,0))</f>
        <v>0</v>
      </c>
      <c r="AJ47" s="72">
        <f t="array" ref="AJ47">INDEX($C$4:$J$16,MATCH($Y47&amp;$Z47,$A$4:$A$16&amp;$B$4:$B$16,0),MATCH(AB$1,$C$2:$J$2,0))</f>
        <v>0</v>
      </c>
      <c r="AK47" s="72">
        <f t="array" ref="AK47">INDEX($C$4:$J$16,MATCH($Y47&amp;$Z47,$A$4:$A$16&amp;$B$4:$B$16,0),MATCH(AC$1,$C$2:$J$2,0))</f>
        <v>0</v>
      </c>
      <c r="AL47" s="72">
        <f t="array" ref="AL47">INDEX($C$4:$J$16,MATCH($Y47&amp;$Z47,$A$4:$A$16&amp;$B$4:$B$16,0),MATCH(AD$1,$C$2:$J$2,0))</f>
        <v>48</v>
      </c>
      <c r="AM47" s="72">
        <f t="array" ref="AM47">INDEX($C$4:$J$16,MATCH($Y47&amp;$Z47,$A$4:$A$16&amp;$B$4:$B$16,0),MATCH(AE$1,$C$2:$J$2,0))</f>
        <v>24</v>
      </c>
      <c r="AN47" s="72">
        <f t="array" ref="AN47">INDEX($C$4:$J$16,MATCH($Y47&amp;$Z47,$A$4:$A$16&amp;$B$4:$B$16,0),MATCH(AF$1,$C$2:$J$2,0))</f>
        <v>24</v>
      </c>
      <c r="AO47" s="72">
        <f t="array" ref="AO47">INDEX($C$4:$J$16,MATCH($Y47&amp;$Z47,$A$4:$A$16&amp;$B$4:$B$16,0),MATCH(AG$1,$C$2:$J$2,0))</f>
        <v>3</v>
      </c>
      <c r="AP47" s="72">
        <f t="array" ref="AP47">INDEX($C$4:$J$16,MATCH($Y47&amp;$Z47,$A$4:$A$16&amp;$B$4:$B$16,0),MATCH(AH$1,$C$2:$J$2,0))</f>
        <v>0</v>
      </c>
      <c r="AQ47" s="72">
        <f t="array" ref="AQ47">INDEX($K$2:$K$16,MATCH(Y47&amp;Z47,$A$2:$A$16&amp;$B$2:$B$16,0))</f>
        <v>750000</v>
      </c>
      <c r="AR47" s="42" t="str">
        <f t="array" ref="AR47">_xlfn.TEXTJOIN(";",1,IF($AA47:$AH47&lt;&gt;"","1001,"&amp;$AA47:$AH47&amp;","&amp;$AI47:$AP47,""))&amp;IF(AQ47=0,"",";"&amp;"5,0,"&amp;AQ47)</f>
        <v>1001,214009,48;1001,215112,24;1001,215009,24;1001,216111,3;5,0,750000</v>
      </c>
      <c r="AS47" s="42">
        <f t="array" ref="AS47">INDEX($A$19:$F$33,MATCH($Y47&amp;$Z47,$A$19:$A$33&amp;$B$19:$B$33,0),MATCH(AS$1,$A$19:$F$19,0))</f>
        <v>984</v>
      </c>
      <c r="AT47" s="42">
        <f t="array" ref="AT47">INDEX($A$19:$F$33,MATCH($Y47&amp;$Z47,$A$19:$A$33&amp;$B$19:$B$33,0),MATCH(AT$1,$A$19:$F$19,0))</f>
        <v>393.6</v>
      </c>
      <c r="AU47" s="42">
        <f t="array" ref="AU47">INDEX($A$19:$F$33,MATCH($Y47&amp;$Z47,$A$19:$A$33&amp;$B$19:$B$33,0),MATCH(AU$1,$A$19:$F$19,0))</f>
        <v>7872</v>
      </c>
      <c r="AV47" s="42">
        <f t="array" ref="AV47">INDEX($A$19:$F$33,MATCH($Y47&amp;$Z47,$A$19:$A$33&amp;$B$19:$B$33,0),MATCH(AV$1,$A$19:$F$19,0))</f>
        <v>110</v>
      </c>
    </row>
    <row r="48" spans="13:48">
      <c r="M48">
        <v>3</v>
      </c>
      <c r="N48" s="59">
        <v>113047</v>
      </c>
      <c r="O48">
        <v>213113</v>
      </c>
      <c r="P48">
        <v>213112</v>
      </c>
      <c r="Q48">
        <v>214113</v>
      </c>
      <c r="R48">
        <v>214112</v>
      </c>
      <c r="S48">
        <v>215113</v>
      </c>
      <c r="T48">
        <v>215112</v>
      </c>
      <c r="U48">
        <v>216111</v>
      </c>
      <c r="V48">
        <v>216112</v>
      </c>
      <c r="X48" s="59">
        <v>113047</v>
      </c>
      <c r="Y48">
        <f>INDEX(M:M,MATCH(X48,N:N,0))</f>
        <v>3</v>
      </c>
      <c r="Z48">
        <v>5</v>
      </c>
      <c r="AA48" s="72" t="str">
        <f t="shared" ref="AA48:AH48" si="46">IF(AI48=0,"",INDEX($N$1:$V$76,MATCH($X48,$N$1:$N$76,0),MATCH(AA$1,$N$1:$V$1,0)))</f>
        <v/>
      </c>
      <c r="AB48" s="72" t="str">
        <f t="shared" si="46"/>
        <v/>
      </c>
      <c r="AC48" s="72" t="str">
        <f t="shared" si="46"/>
        <v/>
      </c>
      <c r="AD48" s="72">
        <f t="shared" si="46"/>
        <v>214112</v>
      </c>
      <c r="AE48" s="72">
        <f t="shared" si="46"/>
        <v>215113</v>
      </c>
      <c r="AF48" s="72">
        <f t="shared" si="46"/>
        <v>215112</v>
      </c>
      <c r="AG48" s="72">
        <f t="shared" si="46"/>
        <v>216111</v>
      </c>
      <c r="AH48" s="72" t="str">
        <f t="shared" si="46"/>
        <v/>
      </c>
      <c r="AI48" s="72">
        <f t="array" ref="AI48">INDEX($C$4:$J$16,MATCH($Y48&amp;$Z48,$A$4:$A$16&amp;$B$4:$B$16,0),MATCH(AA$1,$C$2:$J$2,0))</f>
        <v>0</v>
      </c>
      <c r="AJ48" s="72">
        <f t="array" ref="AJ48">INDEX($C$4:$J$16,MATCH($Y48&amp;$Z48,$A$4:$A$16&amp;$B$4:$B$16,0),MATCH(AB$1,$C$2:$J$2,0))</f>
        <v>0</v>
      </c>
      <c r="AK48" s="72">
        <f t="array" ref="AK48">INDEX($C$4:$J$16,MATCH($Y48&amp;$Z48,$A$4:$A$16&amp;$B$4:$B$16,0),MATCH(AC$1,$C$2:$J$2,0))</f>
        <v>0</v>
      </c>
      <c r="AL48" s="72">
        <f t="array" ref="AL48">INDEX($C$4:$J$16,MATCH($Y48&amp;$Z48,$A$4:$A$16&amp;$B$4:$B$16,0),MATCH(AD$1,$C$2:$J$2,0))</f>
        <v>48</v>
      </c>
      <c r="AM48" s="72">
        <f t="array" ref="AM48">INDEX($C$4:$J$16,MATCH($Y48&amp;$Z48,$A$4:$A$16&amp;$B$4:$B$16,0),MATCH(AE$1,$C$2:$J$2,0))</f>
        <v>24</v>
      </c>
      <c r="AN48" s="72">
        <f t="array" ref="AN48">INDEX($C$4:$J$16,MATCH($Y48&amp;$Z48,$A$4:$A$16&amp;$B$4:$B$16,0),MATCH(AF$1,$C$2:$J$2,0))</f>
        <v>24</v>
      </c>
      <c r="AO48" s="72">
        <f t="array" ref="AO48">INDEX($C$4:$J$16,MATCH($Y48&amp;$Z48,$A$4:$A$16&amp;$B$4:$B$16,0),MATCH(AG$1,$C$2:$J$2,0))</f>
        <v>3</v>
      </c>
      <c r="AP48" s="72">
        <f t="array" ref="AP48">INDEX($C$4:$J$16,MATCH($Y48&amp;$Z48,$A$4:$A$16&amp;$B$4:$B$16,0),MATCH(AH$1,$C$2:$J$2,0))</f>
        <v>0</v>
      </c>
      <c r="AQ48" s="72">
        <f t="array" ref="AQ48">INDEX($K$2:$K$16,MATCH(Y48&amp;Z48,$A$2:$A$16&amp;$B$2:$B$16,0))</f>
        <v>750000</v>
      </c>
      <c r="AR48" s="42" t="str">
        <f t="array" ref="AR48">_xlfn.TEXTJOIN(";",1,IF($AA48:$AH48&lt;&gt;"","1001,"&amp;$AA48:$AH48&amp;","&amp;$AI48:$AP48,""))&amp;IF(AQ48=0,"",";"&amp;"5,0,"&amp;AQ48)</f>
        <v>1001,214112,48;1001,215113,24;1001,215112,24;1001,216111,3;5,0,750000</v>
      </c>
      <c r="AS48" s="42">
        <f t="array" ref="AS48">INDEX($A$19:$F$33,MATCH($Y48&amp;$Z48,$A$19:$A$33&amp;$B$19:$B$33,0),MATCH(AS$1,$A$19:$F$19,0))</f>
        <v>984</v>
      </c>
      <c r="AT48" s="42">
        <f t="array" ref="AT48">INDEX($A$19:$F$33,MATCH($Y48&amp;$Z48,$A$19:$A$33&amp;$B$19:$B$33,0),MATCH(AT$1,$A$19:$F$19,0))</f>
        <v>393.6</v>
      </c>
      <c r="AU48" s="42">
        <f t="array" ref="AU48">INDEX($A$19:$F$33,MATCH($Y48&amp;$Z48,$A$19:$A$33&amp;$B$19:$B$33,0),MATCH(AU$1,$A$19:$F$19,0))</f>
        <v>7872</v>
      </c>
      <c r="AV48" s="42">
        <f t="array" ref="AV48">INDEX($A$19:$F$33,MATCH($Y48&amp;$Z48,$A$19:$A$33&amp;$B$19:$B$33,0),MATCH(AV$1,$A$19:$F$19,0))</f>
        <v>110</v>
      </c>
    </row>
    <row r="49" spans="13:48">
      <c r="M49">
        <v>3</v>
      </c>
      <c r="N49" s="60">
        <v>113046</v>
      </c>
      <c r="O49">
        <v>213114</v>
      </c>
      <c r="P49">
        <v>213114</v>
      </c>
      <c r="Q49">
        <v>214114</v>
      </c>
      <c r="R49">
        <v>214113</v>
      </c>
      <c r="S49">
        <v>215114</v>
      </c>
      <c r="T49">
        <v>215113</v>
      </c>
      <c r="U49">
        <v>216111</v>
      </c>
      <c r="V49">
        <v>216112</v>
      </c>
      <c r="X49" s="60">
        <v>113046</v>
      </c>
      <c r="Y49">
        <f>INDEX(M:M,MATCH(X49,N:N,0))</f>
        <v>3</v>
      </c>
      <c r="Z49">
        <v>5</v>
      </c>
      <c r="AA49" s="72" t="str">
        <f t="shared" ref="AA49:AH49" si="47">IF(AI49=0,"",INDEX($N$1:$V$76,MATCH($X49,$N$1:$N$76,0),MATCH(AA$1,$N$1:$V$1,0)))</f>
        <v/>
      </c>
      <c r="AB49" s="72" t="str">
        <f t="shared" si="47"/>
        <v/>
      </c>
      <c r="AC49" s="72" t="str">
        <f t="shared" si="47"/>
        <v/>
      </c>
      <c r="AD49" s="72">
        <f t="shared" si="47"/>
        <v>214113</v>
      </c>
      <c r="AE49" s="72">
        <f t="shared" si="47"/>
        <v>215114</v>
      </c>
      <c r="AF49" s="72">
        <f t="shared" si="47"/>
        <v>215113</v>
      </c>
      <c r="AG49" s="72">
        <f t="shared" si="47"/>
        <v>216111</v>
      </c>
      <c r="AH49" s="72" t="str">
        <f t="shared" si="47"/>
        <v/>
      </c>
      <c r="AI49" s="72">
        <f t="array" ref="AI49">INDEX($C$4:$J$16,MATCH($Y49&amp;$Z49,$A$4:$A$16&amp;$B$4:$B$16,0),MATCH(AA$1,$C$2:$J$2,0))</f>
        <v>0</v>
      </c>
      <c r="AJ49" s="72">
        <f t="array" ref="AJ49">INDEX($C$4:$J$16,MATCH($Y49&amp;$Z49,$A$4:$A$16&amp;$B$4:$B$16,0),MATCH(AB$1,$C$2:$J$2,0))</f>
        <v>0</v>
      </c>
      <c r="AK49" s="72">
        <f t="array" ref="AK49">INDEX($C$4:$J$16,MATCH($Y49&amp;$Z49,$A$4:$A$16&amp;$B$4:$B$16,0),MATCH(AC$1,$C$2:$J$2,0))</f>
        <v>0</v>
      </c>
      <c r="AL49" s="72">
        <f t="array" ref="AL49">INDEX($C$4:$J$16,MATCH($Y49&amp;$Z49,$A$4:$A$16&amp;$B$4:$B$16,0),MATCH(AD$1,$C$2:$J$2,0))</f>
        <v>48</v>
      </c>
      <c r="AM49" s="72">
        <f t="array" ref="AM49">INDEX($C$4:$J$16,MATCH($Y49&amp;$Z49,$A$4:$A$16&amp;$B$4:$B$16,0),MATCH(AE$1,$C$2:$J$2,0))</f>
        <v>24</v>
      </c>
      <c r="AN49" s="72">
        <f t="array" ref="AN49">INDEX($C$4:$J$16,MATCH($Y49&amp;$Z49,$A$4:$A$16&amp;$B$4:$B$16,0),MATCH(AF$1,$C$2:$J$2,0))</f>
        <v>24</v>
      </c>
      <c r="AO49" s="72">
        <f t="array" ref="AO49">INDEX($C$4:$J$16,MATCH($Y49&amp;$Z49,$A$4:$A$16&amp;$B$4:$B$16,0),MATCH(AG$1,$C$2:$J$2,0))</f>
        <v>3</v>
      </c>
      <c r="AP49" s="72">
        <f t="array" ref="AP49">INDEX($C$4:$J$16,MATCH($Y49&amp;$Z49,$A$4:$A$16&amp;$B$4:$B$16,0),MATCH(AH$1,$C$2:$J$2,0))</f>
        <v>0</v>
      </c>
      <c r="AQ49" s="72">
        <f t="array" ref="AQ49">INDEX($K$2:$K$16,MATCH(Y49&amp;Z49,$A$2:$A$16&amp;$B$2:$B$16,0))</f>
        <v>750000</v>
      </c>
      <c r="AR49" s="42" t="str">
        <f t="array" ref="AR49">_xlfn.TEXTJOIN(";",1,IF($AA49:$AH49&lt;&gt;"","1001,"&amp;$AA49:$AH49&amp;","&amp;$AI49:$AP49,""))&amp;IF(AQ49=0,"",";"&amp;"5,0,"&amp;AQ49)</f>
        <v>1001,214113,48;1001,215114,24;1001,215113,24;1001,216111,3;5,0,750000</v>
      </c>
      <c r="AS49" s="42">
        <f t="array" ref="AS49">INDEX($A$19:$F$33,MATCH($Y49&amp;$Z49,$A$19:$A$33&amp;$B$19:$B$33,0),MATCH(AS$1,$A$19:$F$19,0))</f>
        <v>984</v>
      </c>
      <c r="AT49" s="42">
        <f t="array" ref="AT49">INDEX($A$19:$F$33,MATCH($Y49&amp;$Z49,$A$19:$A$33&amp;$B$19:$B$33,0),MATCH(AT$1,$A$19:$F$19,0))</f>
        <v>393.6</v>
      </c>
      <c r="AU49" s="42">
        <f t="array" ref="AU49">INDEX($A$19:$F$33,MATCH($Y49&amp;$Z49,$A$19:$A$33&amp;$B$19:$B$33,0),MATCH(AU$1,$A$19:$F$19,0))</f>
        <v>7872</v>
      </c>
      <c r="AV49" s="42">
        <f t="array" ref="AV49">INDEX($A$19:$F$33,MATCH($Y49&amp;$Z49,$A$19:$A$33&amp;$B$19:$B$33,0),MATCH(AV$1,$A$19:$F$19,0))</f>
        <v>110</v>
      </c>
    </row>
    <row r="50" spans="13:48">
      <c r="M50">
        <v>3</v>
      </c>
      <c r="N50" s="61">
        <v>113049</v>
      </c>
      <c r="O50">
        <v>213111</v>
      </c>
      <c r="P50">
        <v>213111</v>
      </c>
      <c r="Q50">
        <v>214111</v>
      </c>
      <c r="R50">
        <v>214114</v>
      </c>
      <c r="S50">
        <v>215111</v>
      </c>
      <c r="T50">
        <v>215114</v>
      </c>
      <c r="U50">
        <v>216111</v>
      </c>
      <c r="V50">
        <v>216112</v>
      </c>
      <c r="X50" s="61">
        <v>113049</v>
      </c>
      <c r="Y50">
        <f>INDEX(M:M,MATCH(X50,N:N,0))</f>
        <v>3</v>
      </c>
      <c r="Z50">
        <v>5</v>
      </c>
      <c r="AA50" s="72" t="str">
        <f t="shared" ref="AA50:AH50" si="48">IF(AI50=0,"",INDEX($N$1:$V$76,MATCH($X50,$N$1:$N$76,0),MATCH(AA$1,$N$1:$V$1,0)))</f>
        <v/>
      </c>
      <c r="AB50" s="72" t="str">
        <f t="shared" si="48"/>
        <v/>
      </c>
      <c r="AC50" s="72" t="str">
        <f t="shared" si="48"/>
        <v/>
      </c>
      <c r="AD50" s="72">
        <f t="shared" si="48"/>
        <v>214114</v>
      </c>
      <c r="AE50" s="72">
        <f t="shared" si="48"/>
        <v>215111</v>
      </c>
      <c r="AF50" s="72">
        <f t="shared" si="48"/>
        <v>215114</v>
      </c>
      <c r="AG50" s="72">
        <f t="shared" si="48"/>
        <v>216111</v>
      </c>
      <c r="AH50" s="72" t="str">
        <f t="shared" si="48"/>
        <v/>
      </c>
      <c r="AI50" s="72">
        <f t="array" ref="AI50">INDEX($C$4:$J$16,MATCH($Y50&amp;$Z50,$A$4:$A$16&amp;$B$4:$B$16,0),MATCH(AA$1,$C$2:$J$2,0))</f>
        <v>0</v>
      </c>
      <c r="AJ50" s="72">
        <f t="array" ref="AJ50">INDEX($C$4:$J$16,MATCH($Y50&amp;$Z50,$A$4:$A$16&amp;$B$4:$B$16,0),MATCH(AB$1,$C$2:$J$2,0))</f>
        <v>0</v>
      </c>
      <c r="AK50" s="72">
        <f t="array" ref="AK50">INDEX($C$4:$J$16,MATCH($Y50&amp;$Z50,$A$4:$A$16&amp;$B$4:$B$16,0),MATCH(AC$1,$C$2:$J$2,0))</f>
        <v>0</v>
      </c>
      <c r="AL50" s="72">
        <f t="array" ref="AL50">INDEX($C$4:$J$16,MATCH($Y50&amp;$Z50,$A$4:$A$16&amp;$B$4:$B$16,0),MATCH(AD$1,$C$2:$J$2,0))</f>
        <v>48</v>
      </c>
      <c r="AM50" s="72">
        <f t="array" ref="AM50">INDEX($C$4:$J$16,MATCH($Y50&amp;$Z50,$A$4:$A$16&amp;$B$4:$B$16,0),MATCH(AE$1,$C$2:$J$2,0))</f>
        <v>24</v>
      </c>
      <c r="AN50" s="72">
        <f t="array" ref="AN50">INDEX($C$4:$J$16,MATCH($Y50&amp;$Z50,$A$4:$A$16&amp;$B$4:$B$16,0),MATCH(AF$1,$C$2:$J$2,0))</f>
        <v>24</v>
      </c>
      <c r="AO50" s="72">
        <f t="array" ref="AO50">INDEX($C$4:$J$16,MATCH($Y50&amp;$Z50,$A$4:$A$16&amp;$B$4:$B$16,0),MATCH(AG$1,$C$2:$J$2,0))</f>
        <v>3</v>
      </c>
      <c r="AP50" s="72">
        <f t="array" ref="AP50">INDEX($C$4:$J$16,MATCH($Y50&amp;$Z50,$A$4:$A$16&amp;$B$4:$B$16,0),MATCH(AH$1,$C$2:$J$2,0))</f>
        <v>0</v>
      </c>
      <c r="AQ50" s="72">
        <f t="array" ref="AQ50">INDEX($K$2:$K$16,MATCH(Y50&amp;Z50,$A$2:$A$16&amp;$B$2:$B$16,0))</f>
        <v>750000</v>
      </c>
      <c r="AR50" s="42" t="str">
        <f t="array" ref="AR50">_xlfn.TEXTJOIN(";",1,IF($AA50:$AH50&lt;&gt;"","1001,"&amp;$AA50:$AH50&amp;","&amp;$AI50:$AP50,""))&amp;IF(AQ50=0,"",";"&amp;"5,0,"&amp;AQ50)</f>
        <v>1001,214114,48;1001,215111,24;1001,215114,24;1001,216111,3;5,0,750000</v>
      </c>
      <c r="AS50" s="42">
        <f t="array" ref="AS50">INDEX($A$19:$F$33,MATCH($Y50&amp;$Z50,$A$19:$A$33&amp;$B$19:$B$33,0),MATCH(AS$1,$A$19:$F$19,0))</f>
        <v>984</v>
      </c>
      <c r="AT50" s="42">
        <f t="array" ref="AT50">INDEX($A$19:$F$33,MATCH($Y50&amp;$Z50,$A$19:$A$33&amp;$B$19:$B$33,0),MATCH(AT$1,$A$19:$F$19,0))</f>
        <v>393.6</v>
      </c>
      <c r="AU50" s="42">
        <f t="array" ref="AU50">INDEX($A$19:$F$33,MATCH($Y50&amp;$Z50,$A$19:$A$33&amp;$B$19:$B$33,0),MATCH(AU$1,$A$19:$F$19,0))</f>
        <v>7872</v>
      </c>
      <c r="AV50" s="42">
        <f t="array" ref="AV50">INDEX($A$19:$F$33,MATCH($Y50&amp;$Z50,$A$19:$A$33&amp;$B$19:$B$33,0),MATCH(AV$1,$A$19:$F$19,0))</f>
        <v>110</v>
      </c>
    </row>
    <row r="51" spans="13:48">
      <c r="M51">
        <v>3</v>
      </c>
      <c r="N51" s="62">
        <v>113050</v>
      </c>
      <c r="O51">
        <v>213009</v>
      </c>
      <c r="P51">
        <v>213111</v>
      </c>
      <c r="Q51">
        <v>214009</v>
      </c>
      <c r="R51">
        <v>214111</v>
      </c>
      <c r="S51">
        <v>215009</v>
      </c>
      <c r="T51">
        <v>215111</v>
      </c>
      <c r="U51">
        <v>216111</v>
      </c>
      <c r="V51">
        <v>216112</v>
      </c>
      <c r="X51" s="62">
        <v>113050</v>
      </c>
      <c r="Y51">
        <f>INDEX(M:M,MATCH(X51,N:N,0))</f>
        <v>3</v>
      </c>
      <c r="Z51">
        <v>5</v>
      </c>
      <c r="AA51" s="72" t="str">
        <f t="shared" ref="AA51:AH51" si="49">IF(AI51=0,"",INDEX($N$1:$V$76,MATCH($X51,$N$1:$N$76,0),MATCH(AA$1,$N$1:$V$1,0)))</f>
        <v/>
      </c>
      <c r="AB51" s="72" t="str">
        <f t="shared" si="49"/>
        <v/>
      </c>
      <c r="AC51" s="72" t="str">
        <f t="shared" si="49"/>
        <v/>
      </c>
      <c r="AD51" s="72">
        <f t="shared" si="49"/>
        <v>214111</v>
      </c>
      <c r="AE51" s="72">
        <f t="shared" si="49"/>
        <v>215009</v>
      </c>
      <c r="AF51" s="72">
        <f t="shared" si="49"/>
        <v>215111</v>
      </c>
      <c r="AG51" s="72">
        <f t="shared" si="49"/>
        <v>216111</v>
      </c>
      <c r="AH51" s="72" t="str">
        <f t="shared" si="49"/>
        <v/>
      </c>
      <c r="AI51" s="72">
        <f t="array" ref="AI51">INDEX($C$4:$J$16,MATCH($Y51&amp;$Z51,$A$4:$A$16&amp;$B$4:$B$16,0),MATCH(AA$1,$C$2:$J$2,0))</f>
        <v>0</v>
      </c>
      <c r="AJ51" s="72">
        <f t="array" ref="AJ51">INDEX($C$4:$J$16,MATCH($Y51&amp;$Z51,$A$4:$A$16&amp;$B$4:$B$16,0),MATCH(AB$1,$C$2:$J$2,0))</f>
        <v>0</v>
      </c>
      <c r="AK51" s="72">
        <f t="array" ref="AK51">INDEX($C$4:$J$16,MATCH($Y51&amp;$Z51,$A$4:$A$16&amp;$B$4:$B$16,0),MATCH(AC$1,$C$2:$J$2,0))</f>
        <v>0</v>
      </c>
      <c r="AL51" s="72">
        <f t="array" ref="AL51">INDEX($C$4:$J$16,MATCH($Y51&amp;$Z51,$A$4:$A$16&amp;$B$4:$B$16,0),MATCH(AD$1,$C$2:$J$2,0))</f>
        <v>48</v>
      </c>
      <c r="AM51" s="72">
        <f t="array" ref="AM51">INDEX($C$4:$J$16,MATCH($Y51&amp;$Z51,$A$4:$A$16&amp;$B$4:$B$16,0),MATCH(AE$1,$C$2:$J$2,0))</f>
        <v>24</v>
      </c>
      <c r="AN51" s="72">
        <f t="array" ref="AN51">INDEX($C$4:$J$16,MATCH($Y51&amp;$Z51,$A$4:$A$16&amp;$B$4:$B$16,0),MATCH(AF$1,$C$2:$J$2,0))</f>
        <v>24</v>
      </c>
      <c r="AO51" s="72">
        <f t="array" ref="AO51">INDEX($C$4:$J$16,MATCH($Y51&amp;$Z51,$A$4:$A$16&amp;$B$4:$B$16,0),MATCH(AG$1,$C$2:$J$2,0))</f>
        <v>3</v>
      </c>
      <c r="AP51" s="72">
        <f t="array" ref="AP51">INDEX($C$4:$J$16,MATCH($Y51&amp;$Z51,$A$4:$A$16&amp;$B$4:$B$16,0),MATCH(AH$1,$C$2:$J$2,0))</f>
        <v>0</v>
      </c>
      <c r="AQ51" s="72">
        <f t="array" ref="AQ51">INDEX($K$2:$K$16,MATCH(Y51&amp;Z51,$A$2:$A$16&amp;$B$2:$B$16,0))</f>
        <v>750000</v>
      </c>
      <c r="AR51" s="42" t="str">
        <f t="array" ref="AR51">_xlfn.TEXTJOIN(";",1,IF($AA51:$AH51&lt;&gt;"","1001,"&amp;$AA51:$AH51&amp;","&amp;$AI51:$AP51,""))&amp;IF(AQ51=0,"",";"&amp;"5,0,"&amp;AQ51)</f>
        <v>1001,214111,48;1001,215009,24;1001,215111,24;1001,216111,3;5,0,750000</v>
      </c>
      <c r="AS51" s="42">
        <f t="array" ref="AS51">INDEX($A$19:$F$33,MATCH($Y51&amp;$Z51,$A$19:$A$33&amp;$B$19:$B$33,0),MATCH(AS$1,$A$19:$F$19,0))</f>
        <v>984</v>
      </c>
      <c r="AT51" s="42">
        <f t="array" ref="AT51">INDEX($A$19:$F$33,MATCH($Y51&amp;$Z51,$A$19:$A$33&amp;$B$19:$B$33,0),MATCH(AT$1,$A$19:$F$19,0))</f>
        <v>393.6</v>
      </c>
      <c r="AU51" s="42">
        <f t="array" ref="AU51">INDEX($A$19:$F$33,MATCH($Y51&amp;$Z51,$A$19:$A$33&amp;$B$19:$B$33,0),MATCH(AU$1,$A$19:$F$19,0))</f>
        <v>7872</v>
      </c>
      <c r="AV51" s="42">
        <f t="array" ref="AV51">INDEX($A$19:$F$33,MATCH($Y51&amp;$Z51,$A$19:$A$33&amp;$B$19:$B$33,0),MATCH(AV$1,$A$19:$F$19,0))</f>
        <v>110</v>
      </c>
    </row>
    <row r="52" spans="13:48">
      <c r="M52">
        <v>3</v>
      </c>
      <c r="N52" s="42">
        <v>113051</v>
      </c>
      <c r="O52">
        <v>213112</v>
      </c>
      <c r="P52">
        <v>213112</v>
      </c>
      <c r="Q52">
        <v>214112</v>
      </c>
      <c r="R52">
        <v>214009</v>
      </c>
      <c r="S52">
        <v>215112</v>
      </c>
      <c r="T52">
        <v>215009</v>
      </c>
      <c r="U52">
        <v>216111</v>
      </c>
      <c r="V52">
        <v>216112</v>
      </c>
      <c r="X52" s="42">
        <v>113051</v>
      </c>
      <c r="Y52">
        <f>INDEX(M:M,MATCH(X52,N:N,0))</f>
        <v>3</v>
      </c>
      <c r="Z52">
        <v>5</v>
      </c>
      <c r="AA52" s="72" t="str">
        <f t="shared" ref="AA52:AH52" si="50">IF(AI52=0,"",INDEX($N$1:$V$76,MATCH($X52,$N$1:$N$76,0),MATCH(AA$1,$N$1:$V$1,0)))</f>
        <v/>
      </c>
      <c r="AB52" s="72" t="str">
        <f t="shared" si="50"/>
        <v/>
      </c>
      <c r="AC52" s="72" t="str">
        <f t="shared" si="50"/>
        <v/>
      </c>
      <c r="AD52" s="72">
        <f t="shared" si="50"/>
        <v>214009</v>
      </c>
      <c r="AE52" s="72">
        <f t="shared" si="50"/>
        <v>215112</v>
      </c>
      <c r="AF52" s="72">
        <f t="shared" si="50"/>
        <v>215009</v>
      </c>
      <c r="AG52" s="72">
        <f t="shared" si="50"/>
        <v>216111</v>
      </c>
      <c r="AH52" s="72" t="str">
        <f t="shared" si="50"/>
        <v/>
      </c>
      <c r="AI52" s="72">
        <f t="array" ref="AI52">INDEX($C$4:$J$16,MATCH($Y52&amp;$Z52,$A$4:$A$16&amp;$B$4:$B$16,0),MATCH(AA$1,$C$2:$J$2,0))</f>
        <v>0</v>
      </c>
      <c r="AJ52" s="72">
        <f t="array" ref="AJ52">INDEX($C$4:$J$16,MATCH($Y52&amp;$Z52,$A$4:$A$16&amp;$B$4:$B$16,0),MATCH(AB$1,$C$2:$J$2,0))</f>
        <v>0</v>
      </c>
      <c r="AK52" s="72">
        <f t="array" ref="AK52">INDEX($C$4:$J$16,MATCH($Y52&amp;$Z52,$A$4:$A$16&amp;$B$4:$B$16,0),MATCH(AC$1,$C$2:$J$2,0))</f>
        <v>0</v>
      </c>
      <c r="AL52" s="72">
        <f t="array" ref="AL52">INDEX($C$4:$J$16,MATCH($Y52&amp;$Z52,$A$4:$A$16&amp;$B$4:$B$16,0),MATCH(AD$1,$C$2:$J$2,0))</f>
        <v>48</v>
      </c>
      <c r="AM52" s="72">
        <f t="array" ref="AM52">INDEX($C$4:$J$16,MATCH($Y52&amp;$Z52,$A$4:$A$16&amp;$B$4:$B$16,0),MATCH(AE$1,$C$2:$J$2,0))</f>
        <v>24</v>
      </c>
      <c r="AN52" s="72">
        <f t="array" ref="AN52">INDEX($C$4:$J$16,MATCH($Y52&amp;$Z52,$A$4:$A$16&amp;$B$4:$B$16,0),MATCH(AF$1,$C$2:$J$2,0))</f>
        <v>24</v>
      </c>
      <c r="AO52" s="72">
        <f t="array" ref="AO52">INDEX($C$4:$J$16,MATCH($Y52&amp;$Z52,$A$4:$A$16&amp;$B$4:$B$16,0),MATCH(AG$1,$C$2:$J$2,0))</f>
        <v>3</v>
      </c>
      <c r="AP52" s="72">
        <f t="array" ref="AP52">INDEX($C$4:$J$16,MATCH($Y52&amp;$Z52,$A$4:$A$16&amp;$B$4:$B$16,0),MATCH(AH$1,$C$2:$J$2,0))</f>
        <v>0</v>
      </c>
      <c r="AQ52" s="72">
        <f t="array" ref="AQ52">INDEX($K$2:$K$16,MATCH(Y52&amp;Z52,$A$2:$A$16&amp;$B$2:$B$16,0))</f>
        <v>750000</v>
      </c>
      <c r="AR52" s="42" t="str">
        <f t="array" ref="AR52">_xlfn.TEXTJOIN(";",1,IF($AA52:$AH52&lt;&gt;"","1001,"&amp;$AA52:$AH52&amp;","&amp;$AI52:$AP52,""))&amp;IF(AQ52=0,"",";"&amp;"5,0,"&amp;AQ52)</f>
        <v>1001,214009,48;1001,215112,24;1001,215009,24;1001,216111,3;5,0,750000</v>
      </c>
      <c r="AS52" s="42">
        <f t="array" ref="AS52">INDEX($A$19:$F$33,MATCH($Y52&amp;$Z52,$A$19:$A$33&amp;$B$19:$B$33,0),MATCH(AS$1,$A$19:$F$19,0))</f>
        <v>984</v>
      </c>
      <c r="AT52" s="42">
        <f t="array" ref="AT52">INDEX($A$19:$F$33,MATCH($Y52&amp;$Z52,$A$19:$A$33&amp;$B$19:$B$33,0),MATCH(AT$1,$A$19:$F$19,0))</f>
        <v>393.6</v>
      </c>
      <c r="AU52" s="42">
        <f t="array" ref="AU52">INDEX($A$19:$F$33,MATCH($Y52&amp;$Z52,$A$19:$A$33&amp;$B$19:$B$33,0),MATCH(AU$1,$A$19:$F$19,0))</f>
        <v>7872</v>
      </c>
      <c r="AV52" s="42">
        <f t="array" ref="AV52">INDEX($A$19:$F$33,MATCH($Y52&amp;$Z52,$A$19:$A$33&amp;$B$19:$B$33,0),MATCH(AV$1,$A$19:$F$19,0))</f>
        <v>110</v>
      </c>
    </row>
    <row r="53" spans="13:48">
      <c r="M53">
        <v>3</v>
      </c>
      <c r="N53" s="63">
        <v>113052</v>
      </c>
      <c r="O53">
        <v>213113</v>
      </c>
      <c r="P53">
        <v>213112</v>
      </c>
      <c r="Q53">
        <v>214113</v>
      </c>
      <c r="R53">
        <v>214112</v>
      </c>
      <c r="S53">
        <v>215113</v>
      </c>
      <c r="T53">
        <v>215112</v>
      </c>
      <c r="U53">
        <v>216111</v>
      </c>
      <c r="V53">
        <v>216112</v>
      </c>
      <c r="X53" s="63">
        <v>113052</v>
      </c>
      <c r="Y53">
        <f>INDEX(M:M,MATCH(X53,N:N,0))</f>
        <v>3</v>
      </c>
      <c r="Z53">
        <v>5</v>
      </c>
      <c r="AA53" s="72" t="str">
        <f t="shared" ref="AA53:AH53" si="51">IF(AI53=0,"",INDEX($N$1:$V$76,MATCH($X53,$N$1:$N$76,0),MATCH(AA$1,$N$1:$V$1,0)))</f>
        <v/>
      </c>
      <c r="AB53" s="72" t="str">
        <f t="shared" si="51"/>
        <v/>
      </c>
      <c r="AC53" s="72" t="str">
        <f t="shared" si="51"/>
        <v/>
      </c>
      <c r="AD53" s="72">
        <f t="shared" si="51"/>
        <v>214112</v>
      </c>
      <c r="AE53" s="72">
        <f t="shared" si="51"/>
        <v>215113</v>
      </c>
      <c r="AF53" s="72">
        <f t="shared" si="51"/>
        <v>215112</v>
      </c>
      <c r="AG53" s="72">
        <f t="shared" si="51"/>
        <v>216111</v>
      </c>
      <c r="AH53" s="72" t="str">
        <f t="shared" si="51"/>
        <v/>
      </c>
      <c r="AI53" s="72">
        <f t="array" ref="AI53">INDEX($C$4:$J$16,MATCH($Y53&amp;$Z53,$A$4:$A$16&amp;$B$4:$B$16,0),MATCH(AA$1,$C$2:$J$2,0))</f>
        <v>0</v>
      </c>
      <c r="AJ53" s="72">
        <f t="array" ref="AJ53">INDEX($C$4:$J$16,MATCH($Y53&amp;$Z53,$A$4:$A$16&amp;$B$4:$B$16,0),MATCH(AB$1,$C$2:$J$2,0))</f>
        <v>0</v>
      </c>
      <c r="AK53" s="72">
        <f t="array" ref="AK53">INDEX($C$4:$J$16,MATCH($Y53&amp;$Z53,$A$4:$A$16&amp;$B$4:$B$16,0),MATCH(AC$1,$C$2:$J$2,0))</f>
        <v>0</v>
      </c>
      <c r="AL53" s="72">
        <f t="array" ref="AL53">INDEX($C$4:$J$16,MATCH($Y53&amp;$Z53,$A$4:$A$16&amp;$B$4:$B$16,0),MATCH(AD$1,$C$2:$J$2,0))</f>
        <v>48</v>
      </c>
      <c r="AM53" s="72">
        <f t="array" ref="AM53">INDEX($C$4:$J$16,MATCH($Y53&amp;$Z53,$A$4:$A$16&amp;$B$4:$B$16,0),MATCH(AE$1,$C$2:$J$2,0))</f>
        <v>24</v>
      </c>
      <c r="AN53" s="72">
        <f t="array" ref="AN53">INDEX($C$4:$J$16,MATCH($Y53&amp;$Z53,$A$4:$A$16&amp;$B$4:$B$16,0),MATCH(AF$1,$C$2:$J$2,0))</f>
        <v>24</v>
      </c>
      <c r="AO53" s="72">
        <f t="array" ref="AO53">INDEX($C$4:$J$16,MATCH($Y53&amp;$Z53,$A$4:$A$16&amp;$B$4:$B$16,0),MATCH(AG$1,$C$2:$J$2,0))</f>
        <v>3</v>
      </c>
      <c r="AP53" s="72">
        <f t="array" ref="AP53">INDEX($C$4:$J$16,MATCH($Y53&amp;$Z53,$A$4:$A$16&amp;$B$4:$B$16,0),MATCH(AH$1,$C$2:$J$2,0))</f>
        <v>0</v>
      </c>
      <c r="AQ53" s="72">
        <f t="array" ref="AQ53">INDEX($K$2:$K$16,MATCH(Y53&amp;Z53,$A$2:$A$16&amp;$B$2:$B$16,0))</f>
        <v>750000</v>
      </c>
      <c r="AR53" s="42" t="str">
        <f t="array" ref="AR53">_xlfn.TEXTJOIN(";",1,IF($AA53:$AH53&lt;&gt;"","1001,"&amp;$AA53:$AH53&amp;","&amp;$AI53:$AP53,""))&amp;IF(AQ53=0,"",";"&amp;"5,0,"&amp;AQ53)</f>
        <v>1001,214112,48;1001,215113,24;1001,215112,24;1001,216111,3;5,0,750000</v>
      </c>
      <c r="AS53" s="42">
        <f t="array" ref="AS53">INDEX($A$19:$F$33,MATCH($Y53&amp;$Z53,$A$19:$A$33&amp;$B$19:$B$33,0),MATCH(AS$1,$A$19:$F$19,0))</f>
        <v>984</v>
      </c>
      <c r="AT53" s="42">
        <f t="array" ref="AT53">INDEX($A$19:$F$33,MATCH($Y53&amp;$Z53,$A$19:$A$33&amp;$B$19:$B$33,0),MATCH(AT$1,$A$19:$F$19,0))</f>
        <v>393.6</v>
      </c>
      <c r="AU53" s="42">
        <f t="array" ref="AU53">INDEX($A$19:$F$33,MATCH($Y53&amp;$Z53,$A$19:$A$33&amp;$B$19:$B$33,0),MATCH(AU$1,$A$19:$F$19,0))</f>
        <v>7872</v>
      </c>
      <c r="AV53" s="42">
        <f t="array" ref="AV53">INDEX($A$19:$F$33,MATCH($Y53&amp;$Z53,$A$19:$A$33&amp;$B$19:$B$33,0),MATCH(AV$1,$A$19:$F$19,0))</f>
        <v>110</v>
      </c>
    </row>
    <row r="54" spans="13:48">
      <c r="M54">
        <v>3</v>
      </c>
      <c r="N54" s="64">
        <v>113053</v>
      </c>
      <c r="O54">
        <v>213111</v>
      </c>
      <c r="P54">
        <v>213111</v>
      </c>
      <c r="Q54">
        <v>214111</v>
      </c>
      <c r="R54">
        <v>214114</v>
      </c>
      <c r="S54">
        <v>215111</v>
      </c>
      <c r="T54">
        <v>215114</v>
      </c>
      <c r="U54">
        <v>216111</v>
      </c>
      <c r="V54">
        <v>216112</v>
      </c>
      <c r="X54" s="64">
        <v>113053</v>
      </c>
      <c r="Y54">
        <f>INDEX(M:M,MATCH(X54,N:N,0))</f>
        <v>3</v>
      </c>
      <c r="Z54">
        <v>5</v>
      </c>
      <c r="AA54" s="72" t="str">
        <f t="shared" ref="AA54:AH54" si="52">IF(AI54=0,"",INDEX($N$1:$V$76,MATCH($X54,$N$1:$N$76,0),MATCH(AA$1,$N$1:$V$1,0)))</f>
        <v/>
      </c>
      <c r="AB54" s="72" t="str">
        <f t="shared" si="52"/>
        <v/>
      </c>
      <c r="AC54" s="72" t="str">
        <f t="shared" si="52"/>
        <v/>
      </c>
      <c r="AD54" s="72">
        <f t="shared" si="52"/>
        <v>214114</v>
      </c>
      <c r="AE54" s="72">
        <f t="shared" si="52"/>
        <v>215111</v>
      </c>
      <c r="AF54" s="72">
        <f t="shared" si="52"/>
        <v>215114</v>
      </c>
      <c r="AG54" s="72">
        <f t="shared" si="52"/>
        <v>216111</v>
      </c>
      <c r="AH54" s="72" t="str">
        <f t="shared" si="52"/>
        <v/>
      </c>
      <c r="AI54" s="72">
        <f t="array" ref="AI54">INDEX($C$4:$J$16,MATCH($Y54&amp;$Z54,$A$4:$A$16&amp;$B$4:$B$16,0),MATCH(AA$1,$C$2:$J$2,0))</f>
        <v>0</v>
      </c>
      <c r="AJ54" s="72">
        <f t="array" ref="AJ54">INDEX($C$4:$J$16,MATCH($Y54&amp;$Z54,$A$4:$A$16&amp;$B$4:$B$16,0),MATCH(AB$1,$C$2:$J$2,0))</f>
        <v>0</v>
      </c>
      <c r="AK54" s="72">
        <f t="array" ref="AK54">INDEX($C$4:$J$16,MATCH($Y54&amp;$Z54,$A$4:$A$16&amp;$B$4:$B$16,0),MATCH(AC$1,$C$2:$J$2,0))</f>
        <v>0</v>
      </c>
      <c r="AL54" s="72">
        <f t="array" ref="AL54">INDEX($C$4:$J$16,MATCH($Y54&amp;$Z54,$A$4:$A$16&amp;$B$4:$B$16,0),MATCH(AD$1,$C$2:$J$2,0))</f>
        <v>48</v>
      </c>
      <c r="AM54" s="72">
        <f t="array" ref="AM54">INDEX($C$4:$J$16,MATCH($Y54&amp;$Z54,$A$4:$A$16&amp;$B$4:$B$16,0),MATCH(AE$1,$C$2:$J$2,0))</f>
        <v>24</v>
      </c>
      <c r="AN54" s="72">
        <f t="array" ref="AN54">INDEX($C$4:$J$16,MATCH($Y54&amp;$Z54,$A$4:$A$16&amp;$B$4:$B$16,0),MATCH(AF$1,$C$2:$J$2,0))</f>
        <v>24</v>
      </c>
      <c r="AO54" s="72">
        <f t="array" ref="AO54">INDEX($C$4:$J$16,MATCH($Y54&amp;$Z54,$A$4:$A$16&amp;$B$4:$B$16,0),MATCH(AG$1,$C$2:$J$2,0))</f>
        <v>3</v>
      </c>
      <c r="AP54" s="72">
        <f t="array" ref="AP54">INDEX($C$4:$J$16,MATCH($Y54&amp;$Z54,$A$4:$A$16&amp;$B$4:$B$16,0),MATCH(AH$1,$C$2:$J$2,0))</f>
        <v>0</v>
      </c>
      <c r="AQ54" s="72">
        <f t="array" ref="AQ54">INDEX($K$2:$K$16,MATCH(Y54&amp;Z54,$A$2:$A$16&amp;$B$2:$B$16,0))</f>
        <v>750000</v>
      </c>
      <c r="AR54" s="42" t="str">
        <f t="array" ref="AR54">_xlfn.TEXTJOIN(";",1,IF($AA54:$AH54&lt;&gt;"","1001,"&amp;$AA54:$AH54&amp;","&amp;$AI54:$AP54,""))&amp;IF(AQ54=0,"",";"&amp;"5,0,"&amp;AQ54)</f>
        <v>1001,214114,48;1001,215111,24;1001,215114,24;1001,216111,3;5,0,750000</v>
      </c>
      <c r="AS54" s="42">
        <f t="array" ref="AS54">INDEX($A$19:$F$33,MATCH($Y54&amp;$Z54,$A$19:$A$33&amp;$B$19:$B$33,0),MATCH(AS$1,$A$19:$F$19,0))</f>
        <v>984</v>
      </c>
      <c r="AT54" s="42">
        <f t="array" ref="AT54">INDEX($A$19:$F$33,MATCH($Y54&amp;$Z54,$A$19:$A$33&amp;$B$19:$B$33,0),MATCH(AT$1,$A$19:$F$19,0))</f>
        <v>393.6</v>
      </c>
      <c r="AU54" s="42">
        <f t="array" ref="AU54">INDEX($A$19:$F$33,MATCH($Y54&amp;$Z54,$A$19:$A$33&amp;$B$19:$B$33,0),MATCH(AU$1,$A$19:$F$19,0))</f>
        <v>7872</v>
      </c>
      <c r="AV54" s="42">
        <f t="array" ref="AV54">INDEX($A$19:$F$33,MATCH($Y54&amp;$Z54,$A$19:$A$33&amp;$B$19:$B$33,0),MATCH(AV$1,$A$19:$F$19,0))</f>
        <v>110</v>
      </c>
    </row>
    <row r="55" spans="13:48">
      <c r="M55">
        <v>3</v>
      </c>
      <c r="N55" s="59">
        <v>113054</v>
      </c>
      <c r="O55">
        <v>213114</v>
      </c>
      <c r="P55">
        <v>213114</v>
      </c>
      <c r="Q55">
        <v>214114</v>
      </c>
      <c r="R55">
        <v>214113</v>
      </c>
      <c r="S55">
        <v>215114</v>
      </c>
      <c r="T55">
        <v>215113</v>
      </c>
      <c r="U55">
        <v>216111</v>
      </c>
      <c r="V55">
        <v>216112</v>
      </c>
      <c r="X55" s="59">
        <v>113054</v>
      </c>
      <c r="Y55">
        <f>INDEX(M:M,MATCH(X55,N:N,0))</f>
        <v>3</v>
      </c>
      <c r="Z55">
        <v>5</v>
      </c>
      <c r="AA55" s="72" t="str">
        <f t="shared" ref="AA55:AH55" si="53">IF(AI55=0,"",INDEX($N$1:$V$76,MATCH($X55,$N$1:$N$76,0),MATCH(AA$1,$N$1:$V$1,0)))</f>
        <v/>
      </c>
      <c r="AB55" s="72" t="str">
        <f t="shared" si="53"/>
        <v/>
      </c>
      <c r="AC55" s="72" t="str">
        <f t="shared" si="53"/>
        <v/>
      </c>
      <c r="AD55" s="72">
        <f t="shared" si="53"/>
        <v>214113</v>
      </c>
      <c r="AE55" s="72">
        <f t="shared" si="53"/>
        <v>215114</v>
      </c>
      <c r="AF55" s="72">
        <f t="shared" si="53"/>
        <v>215113</v>
      </c>
      <c r="AG55" s="72">
        <f t="shared" si="53"/>
        <v>216111</v>
      </c>
      <c r="AH55" s="72" t="str">
        <f t="shared" si="53"/>
        <v/>
      </c>
      <c r="AI55" s="72">
        <f t="array" ref="AI55">INDEX($C$4:$J$16,MATCH($Y55&amp;$Z55,$A$4:$A$16&amp;$B$4:$B$16,0),MATCH(AA$1,$C$2:$J$2,0))</f>
        <v>0</v>
      </c>
      <c r="AJ55" s="72">
        <f t="array" ref="AJ55">INDEX($C$4:$J$16,MATCH($Y55&amp;$Z55,$A$4:$A$16&amp;$B$4:$B$16,0),MATCH(AB$1,$C$2:$J$2,0))</f>
        <v>0</v>
      </c>
      <c r="AK55" s="72">
        <f t="array" ref="AK55">INDEX($C$4:$J$16,MATCH($Y55&amp;$Z55,$A$4:$A$16&amp;$B$4:$B$16,0),MATCH(AC$1,$C$2:$J$2,0))</f>
        <v>0</v>
      </c>
      <c r="AL55" s="72">
        <f t="array" ref="AL55">INDEX($C$4:$J$16,MATCH($Y55&amp;$Z55,$A$4:$A$16&amp;$B$4:$B$16,0),MATCH(AD$1,$C$2:$J$2,0))</f>
        <v>48</v>
      </c>
      <c r="AM55" s="72">
        <f t="array" ref="AM55">INDEX($C$4:$J$16,MATCH($Y55&amp;$Z55,$A$4:$A$16&amp;$B$4:$B$16,0),MATCH(AE$1,$C$2:$J$2,0))</f>
        <v>24</v>
      </c>
      <c r="AN55" s="72">
        <f t="array" ref="AN55">INDEX($C$4:$J$16,MATCH($Y55&amp;$Z55,$A$4:$A$16&amp;$B$4:$B$16,0),MATCH(AF$1,$C$2:$J$2,0))</f>
        <v>24</v>
      </c>
      <c r="AO55" s="72">
        <f t="array" ref="AO55">INDEX($C$4:$J$16,MATCH($Y55&amp;$Z55,$A$4:$A$16&amp;$B$4:$B$16,0),MATCH(AG$1,$C$2:$J$2,0))</f>
        <v>3</v>
      </c>
      <c r="AP55" s="72">
        <f t="array" ref="AP55">INDEX($C$4:$J$16,MATCH($Y55&amp;$Z55,$A$4:$A$16&amp;$B$4:$B$16,0),MATCH(AH$1,$C$2:$J$2,0))</f>
        <v>0</v>
      </c>
      <c r="AQ55" s="72">
        <f t="array" ref="AQ55">INDEX($K$2:$K$16,MATCH(Y55&amp;Z55,$A$2:$A$16&amp;$B$2:$B$16,0))</f>
        <v>750000</v>
      </c>
      <c r="AR55" s="42" t="str">
        <f t="array" ref="AR55">_xlfn.TEXTJOIN(";",1,IF($AA55:$AH55&lt;&gt;"","1001,"&amp;$AA55:$AH55&amp;","&amp;$AI55:$AP55,""))&amp;IF(AQ55=0,"",";"&amp;"5,0,"&amp;AQ55)</f>
        <v>1001,214113,48;1001,215114,24;1001,215113,24;1001,216111,3;5,0,750000</v>
      </c>
      <c r="AS55" s="42">
        <f t="array" ref="AS55">INDEX($A$19:$F$33,MATCH($Y55&amp;$Z55,$A$19:$A$33&amp;$B$19:$B$33,0),MATCH(AS$1,$A$19:$F$19,0))</f>
        <v>984</v>
      </c>
      <c r="AT55" s="42">
        <f t="array" ref="AT55">INDEX($A$19:$F$33,MATCH($Y55&amp;$Z55,$A$19:$A$33&amp;$B$19:$B$33,0),MATCH(AT$1,$A$19:$F$19,0))</f>
        <v>393.6</v>
      </c>
      <c r="AU55" s="42">
        <f t="array" ref="AU55">INDEX($A$19:$F$33,MATCH($Y55&amp;$Z55,$A$19:$A$33&amp;$B$19:$B$33,0),MATCH(AU$1,$A$19:$F$19,0))</f>
        <v>7872</v>
      </c>
      <c r="AV55" s="42">
        <f t="array" ref="AV55">INDEX($A$19:$F$33,MATCH($Y55&amp;$Z55,$A$19:$A$33&amp;$B$19:$B$33,0),MATCH(AV$1,$A$19:$F$19,0))</f>
        <v>110</v>
      </c>
    </row>
    <row r="56" spans="13:48">
      <c r="M56">
        <v>3</v>
      </c>
      <c r="N56" s="65">
        <v>113055</v>
      </c>
      <c r="O56">
        <v>213009</v>
      </c>
      <c r="P56">
        <v>213111</v>
      </c>
      <c r="Q56">
        <v>214009</v>
      </c>
      <c r="R56">
        <v>214111</v>
      </c>
      <c r="S56">
        <v>215009</v>
      </c>
      <c r="T56">
        <v>215111</v>
      </c>
      <c r="U56">
        <v>216111</v>
      </c>
      <c r="V56">
        <v>216112</v>
      </c>
      <c r="X56" s="65">
        <v>113055</v>
      </c>
      <c r="Y56">
        <f>INDEX(M:M,MATCH(X56,N:N,0))</f>
        <v>3</v>
      </c>
      <c r="Z56">
        <v>5</v>
      </c>
      <c r="AA56" s="72" t="str">
        <f t="shared" ref="AA56:AH56" si="54">IF(AI56=0,"",INDEX($N$1:$V$76,MATCH($X56,$N$1:$N$76,0),MATCH(AA$1,$N$1:$V$1,0)))</f>
        <v/>
      </c>
      <c r="AB56" s="72" t="str">
        <f t="shared" si="54"/>
        <v/>
      </c>
      <c r="AC56" s="72" t="str">
        <f t="shared" si="54"/>
        <v/>
      </c>
      <c r="AD56" s="72">
        <f t="shared" si="54"/>
        <v>214111</v>
      </c>
      <c r="AE56" s="72">
        <f t="shared" si="54"/>
        <v>215009</v>
      </c>
      <c r="AF56" s="72">
        <f t="shared" si="54"/>
        <v>215111</v>
      </c>
      <c r="AG56" s="72">
        <f t="shared" si="54"/>
        <v>216111</v>
      </c>
      <c r="AH56" s="72" t="str">
        <f t="shared" si="54"/>
        <v/>
      </c>
      <c r="AI56" s="72">
        <f t="array" ref="AI56">INDEX($C$4:$J$16,MATCH($Y56&amp;$Z56,$A$4:$A$16&amp;$B$4:$B$16,0),MATCH(AA$1,$C$2:$J$2,0))</f>
        <v>0</v>
      </c>
      <c r="AJ56" s="72">
        <f t="array" ref="AJ56">INDEX($C$4:$J$16,MATCH($Y56&amp;$Z56,$A$4:$A$16&amp;$B$4:$B$16,0),MATCH(AB$1,$C$2:$J$2,0))</f>
        <v>0</v>
      </c>
      <c r="AK56" s="72">
        <f t="array" ref="AK56">INDEX($C$4:$J$16,MATCH($Y56&amp;$Z56,$A$4:$A$16&amp;$B$4:$B$16,0),MATCH(AC$1,$C$2:$J$2,0))</f>
        <v>0</v>
      </c>
      <c r="AL56" s="72">
        <f t="array" ref="AL56">INDEX($C$4:$J$16,MATCH($Y56&amp;$Z56,$A$4:$A$16&amp;$B$4:$B$16,0),MATCH(AD$1,$C$2:$J$2,0))</f>
        <v>48</v>
      </c>
      <c r="AM56" s="72">
        <f t="array" ref="AM56">INDEX($C$4:$J$16,MATCH($Y56&amp;$Z56,$A$4:$A$16&amp;$B$4:$B$16,0),MATCH(AE$1,$C$2:$J$2,0))</f>
        <v>24</v>
      </c>
      <c r="AN56" s="72">
        <f t="array" ref="AN56">INDEX($C$4:$J$16,MATCH($Y56&amp;$Z56,$A$4:$A$16&amp;$B$4:$B$16,0),MATCH(AF$1,$C$2:$J$2,0))</f>
        <v>24</v>
      </c>
      <c r="AO56" s="72">
        <f t="array" ref="AO56">INDEX($C$4:$J$16,MATCH($Y56&amp;$Z56,$A$4:$A$16&amp;$B$4:$B$16,0),MATCH(AG$1,$C$2:$J$2,0))</f>
        <v>3</v>
      </c>
      <c r="AP56" s="72">
        <f t="array" ref="AP56">INDEX($C$4:$J$16,MATCH($Y56&amp;$Z56,$A$4:$A$16&amp;$B$4:$B$16,0),MATCH(AH$1,$C$2:$J$2,0))</f>
        <v>0</v>
      </c>
      <c r="AQ56" s="72">
        <f t="array" ref="AQ56">INDEX($K$2:$K$16,MATCH(Y56&amp;Z56,$A$2:$A$16&amp;$B$2:$B$16,0))</f>
        <v>750000</v>
      </c>
      <c r="AR56" s="42" t="str">
        <f t="array" ref="AR56">_xlfn.TEXTJOIN(";",1,IF($AA56:$AH56&lt;&gt;"","1001,"&amp;$AA56:$AH56&amp;","&amp;$AI56:$AP56,""))&amp;IF(AQ56=0,"",";"&amp;"5,0,"&amp;AQ56)</f>
        <v>1001,214111,48;1001,215009,24;1001,215111,24;1001,216111,3;5,0,750000</v>
      </c>
      <c r="AS56" s="42">
        <f t="array" ref="AS56">INDEX($A$19:$F$33,MATCH($Y56&amp;$Z56,$A$19:$A$33&amp;$B$19:$B$33,0),MATCH(AS$1,$A$19:$F$19,0))</f>
        <v>984</v>
      </c>
      <c r="AT56" s="42">
        <f t="array" ref="AT56">INDEX($A$19:$F$33,MATCH($Y56&amp;$Z56,$A$19:$A$33&amp;$B$19:$B$33,0),MATCH(AT$1,$A$19:$F$19,0))</f>
        <v>393.6</v>
      </c>
      <c r="AU56" s="42">
        <f t="array" ref="AU56">INDEX($A$19:$F$33,MATCH($Y56&amp;$Z56,$A$19:$A$33&amp;$B$19:$B$33,0),MATCH(AU$1,$A$19:$F$19,0))</f>
        <v>7872</v>
      </c>
      <c r="AV56" s="42">
        <f t="array" ref="AV56">INDEX($A$19:$F$33,MATCH($Y56&amp;$Z56,$A$19:$A$33&amp;$B$19:$B$33,0),MATCH(AV$1,$A$19:$F$19,0))</f>
        <v>110</v>
      </c>
    </row>
    <row r="57" spans="13:48">
      <c r="M57">
        <v>3</v>
      </c>
      <c r="N57" s="66">
        <v>113056</v>
      </c>
      <c r="O57">
        <v>213112</v>
      </c>
      <c r="P57">
        <v>213112</v>
      </c>
      <c r="Q57">
        <v>214112</v>
      </c>
      <c r="R57">
        <v>214009</v>
      </c>
      <c r="S57">
        <v>215112</v>
      </c>
      <c r="T57">
        <v>215009</v>
      </c>
      <c r="U57">
        <v>216111</v>
      </c>
      <c r="V57">
        <v>216112</v>
      </c>
      <c r="X57" s="66">
        <v>113056</v>
      </c>
      <c r="Y57">
        <f>INDEX(M:M,MATCH(X57,N:N,0))</f>
        <v>3</v>
      </c>
      <c r="Z57">
        <v>5</v>
      </c>
      <c r="AA57" s="72" t="str">
        <f t="shared" ref="AA57:AH57" si="55">IF(AI57=0,"",INDEX($N$1:$V$76,MATCH($X57,$N$1:$N$76,0),MATCH(AA$1,$N$1:$V$1,0)))</f>
        <v/>
      </c>
      <c r="AB57" s="72" t="str">
        <f t="shared" si="55"/>
        <v/>
      </c>
      <c r="AC57" s="72" t="str">
        <f t="shared" si="55"/>
        <v/>
      </c>
      <c r="AD57" s="72">
        <f t="shared" si="55"/>
        <v>214009</v>
      </c>
      <c r="AE57" s="72">
        <f t="shared" si="55"/>
        <v>215112</v>
      </c>
      <c r="AF57" s="72">
        <f t="shared" si="55"/>
        <v>215009</v>
      </c>
      <c r="AG57" s="72">
        <f t="shared" si="55"/>
        <v>216111</v>
      </c>
      <c r="AH57" s="72" t="str">
        <f t="shared" si="55"/>
        <v/>
      </c>
      <c r="AI57" s="72">
        <f t="array" ref="AI57">INDEX($C$4:$J$16,MATCH($Y57&amp;$Z57,$A$4:$A$16&amp;$B$4:$B$16,0),MATCH(AA$1,$C$2:$J$2,0))</f>
        <v>0</v>
      </c>
      <c r="AJ57" s="72">
        <f t="array" ref="AJ57">INDEX($C$4:$J$16,MATCH($Y57&amp;$Z57,$A$4:$A$16&amp;$B$4:$B$16,0),MATCH(AB$1,$C$2:$J$2,0))</f>
        <v>0</v>
      </c>
      <c r="AK57" s="72">
        <f t="array" ref="AK57">INDEX($C$4:$J$16,MATCH($Y57&amp;$Z57,$A$4:$A$16&amp;$B$4:$B$16,0),MATCH(AC$1,$C$2:$J$2,0))</f>
        <v>0</v>
      </c>
      <c r="AL57" s="72">
        <f t="array" ref="AL57">INDEX($C$4:$J$16,MATCH($Y57&amp;$Z57,$A$4:$A$16&amp;$B$4:$B$16,0),MATCH(AD$1,$C$2:$J$2,0))</f>
        <v>48</v>
      </c>
      <c r="AM57" s="72">
        <f t="array" ref="AM57">INDEX($C$4:$J$16,MATCH($Y57&amp;$Z57,$A$4:$A$16&amp;$B$4:$B$16,0),MATCH(AE$1,$C$2:$J$2,0))</f>
        <v>24</v>
      </c>
      <c r="AN57" s="72">
        <f t="array" ref="AN57">INDEX($C$4:$J$16,MATCH($Y57&amp;$Z57,$A$4:$A$16&amp;$B$4:$B$16,0),MATCH(AF$1,$C$2:$J$2,0))</f>
        <v>24</v>
      </c>
      <c r="AO57" s="72">
        <f t="array" ref="AO57">INDEX($C$4:$J$16,MATCH($Y57&amp;$Z57,$A$4:$A$16&amp;$B$4:$B$16,0),MATCH(AG$1,$C$2:$J$2,0))</f>
        <v>3</v>
      </c>
      <c r="AP57" s="72">
        <f t="array" ref="AP57">INDEX($C$4:$J$16,MATCH($Y57&amp;$Z57,$A$4:$A$16&amp;$B$4:$B$16,0),MATCH(AH$1,$C$2:$J$2,0))</f>
        <v>0</v>
      </c>
      <c r="AQ57" s="72">
        <f t="array" ref="AQ57">INDEX($K$2:$K$16,MATCH(Y57&amp;Z57,$A$2:$A$16&amp;$B$2:$B$16,0))</f>
        <v>750000</v>
      </c>
      <c r="AR57" s="42" t="str">
        <f t="array" ref="AR57">_xlfn.TEXTJOIN(";",1,IF($AA57:$AH57&lt;&gt;"","1001,"&amp;$AA57:$AH57&amp;","&amp;$AI57:$AP57,""))&amp;IF(AQ57=0,"",";"&amp;"5,0,"&amp;AQ57)</f>
        <v>1001,214009,48;1001,215112,24;1001,215009,24;1001,216111,3;5,0,750000</v>
      </c>
      <c r="AS57" s="42">
        <f t="array" ref="AS57">INDEX($A$19:$F$33,MATCH($Y57&amp;$Z57,$A$19:$A$33&amp;$B$19:$B$33,0),MATCH(AS$1,$A$19:$F$19,0))</f>
        <v>984</v>
      </c>
      <c r="AT57" s="42">
        <f t="array" ref="AT57">INDEX($A$19:$F$33,MATCH($Y57&amp;$Z57,$A$19:$A$33&amp;$B$19:$B$33,0),MATCH(AT$1,$A$19:$F$19,0))</f>
        <v>393.6</v>
      </c>
      <c r="AU57" s="42">
        <f t="array" ref="AU57">INDEX($A$19:$F$33,MATCH($Y57&amp;$Z57,$A$19:$A$33&amp;$B$19:$B$33,0),MATCH(AU$1,$A$19:$F$19,0))</f>
        <v>7872</v>
      </c>
      <c r="AV57" s="42">
        <f t="array" ref="AV57">INDEX($A$19:$F$33,MATCH($Y57&amp;$Z57,$A$19:$A$33&amp;$B$19:$B$33,0),MATCH(AV$1,$A$19:$F$19,0))</f>
        <v>110</v>
      </c>
    </row>
    <row r="58" spans="13:48">
      <c r="M58">
        <v>3</v>
      </c>
      <c r="N58" s="67">
        <v>113058</v>
      </c>
      <c r="O58">
        <v>213113</v>
      </c>
      <c r="P58">
        <v>213112</v>
      </c>
      <c r="Q58">
        <v>214113</v>
      </c>
      <c r="R58">
        <v>214112</v>
      </c>
      <c r="S58">
        <v>215113</v>
      </c>
      <c r="T58">
        <v>215112</v>
      </c>
      <c r="U58">
        <v>216111</v>
      </c>
      <c r="V58">
        <v>216112</v>
      </c>
      <c r="X58" s="67">
        <v>113058</v>
      </c>
      <c r="Y58">
        <f>INDEX(M:M,MATCH(X58,N:N,0))</f>
        <v>3</v>
      </c>
      <c r="Z58">
        <v>5</v>
      </c>
      <c r="AA58" s="72" t="str">
        <f t="shared" ref="AA58:AH58" si="56">IF(AI58=0,"",INDEX($N$1:$V$76,MATCH($X58,$N$1:$N$76,0),MATCH(AA$1,$N$1:$V$1,0)))</f>
        <v/>
      </c>
      <c r="AB58" s="72" t="str">
        <f t="shared" si="56"/>
        <v/>
      </c>
      <c r="AC58" s="72" t="str">
        <f t="shared" si="56"/>
        <v/>
      </c>
      <c r="AD58" s="72">
        <f t="shared" si="56"/>
        <v>214112</v>
      </c>
      <c r="AE58" s="72">
        <f t="shared" si="56"/>
        <v>215113</v>
      </c>
      <c r="AF58" s="72">
        <f t="shared" si="56"/>
        <v>215112</v>
      </c>
      <c r="AG58" s="72">
        <f t="shared" si="56"/>
        <v>216111</v>
      </c>
      <c r="AH58" s="72" t="str">
        <f t="shared" si="56"/>
        <v/>
      </c>
      <c r="AI58" s="72">
        <f t="array" ref="AI58">INDEX($C$4:$J$16,MATCH($Y58&amp;$Z58,$A$4:$A$16&amp;$B$4:$B$16,0),MATCH(AA$1,$C$2:$J$2,0))</f>
        <v>0</v>
      </c>
      <c r="AJ58" s="72">
        <f t="array" ref="AJ58">INDEX($C$4:$J$16,MATCH($Y58&amp;$Z58,$A$4:$A$16&amp;$B$4:$B$16,0),MATCH(AB$1,$C$2:$J$2,0))</f>
        <v>0</v>
      </c>
      <c r="AK58" s="72">
        <f t="array" ref="AK58">INDEX($C$4:$J$16,MATCH($Y58&amp;$Z58,$A$4:$A$16&amp;$B$4:$B$16,0),MATCH(AC$1,$C$2:$J$2,0))</f>
        <v>0</v>
      </c>
      <c r="AL58" s="72">
        <f t="array" ref="AL58">INDEX($C$4:$J$16,MATCH($Y58&amp;$Z58,$A$4:$A$16&amp;$B$4:$B$16,0),MATCH(AD$1,$C$2:$J$2,0))</f>
        <v>48</v>
      </c>
      <c r="AM58" s="72">
        <f t="array" ref="AM58">INDEX($C$4:$J$16,MATCH($Y58&amp;$Z58,$A$4:$A$16&amp;$B$4:$B$16,0),MATCH(AE$1,$C$2:$J$2,0))</f>
        <v>24</v>
      </c>
      <c r="AN58" s="72">
        <f t="array" ref="AN58">INDEX($C$4:$J$16,MATCH($Y58&amp;$Z58,$A$4:$A$16&amp;$B$4:$B$16,0),MATCH(AF$1,$C$2:$J$2,0))</f>
        <v>24</v>
      </c>
      <c r="AO58" s="72">
        <f t="array" ref="AO58">INDEX($C$4:$J$16,MATCH($Y58&amp;$Z58,$A$4:$A$16&amp;$B$4:$B$16,0),MATCH(AG$1,$C$2:$J$2,0))</f>
        <v>3</v>
      </c>
      <c r="AP58" s="72">
        <f t="array" ref="AP58">INDEX($C$4:$J$16,MATCH($Y58&amp;$Z58,$A$4:$A$16&amp;$B$4:$B$16,0),MATCH(AH$1,$C$2:$J$2,0))</f>
        <v>0</v>
      </c>
      <c r="AQ58" s="72">
        <f t="array" ref="AQ58">INDEX($K$2:$K$16,MATCH(Y58&amp;Z58,$A$2:$A$16&amp;$B$2:$B$16,0))</f>
        <v>750000</v>
      </c>
      <c r="AR58" s="42" t="str">
        <f t="array" ref="AR58">_xlfn.TEXTJOIN(";",1,IF($AA58:$AH58&lt;&gt;"","1001,"&amp;$AA58:$AH58&amp;","&amp;$AI58:$AP58,""))&amp;IF(AQ58=0,"",";"&amp;"5,0,"&amp;AQ58)</f>
        <v>1001,214112,48;1001,215113,24;1001,215112,24;1001,216111,3;5,0,750000</v>
      </c>
      <c r="AS58" s="42">
        <f t="array" ref="AS58">INDEX($A$19:$F$33,MATCH($Y58&amp;$Z58,$A$19:$A$33&amp;$B$19:$B$33,0),MATCH(AS$1,$A$19:$F$19,0))</f>
        <v>984</v>
      </c>
      <c r="AT58" s="42">
        <f t="array" ref="AT58">INDEX($A$19:$F$33,MATCH($Y58&amp;$Z58,$A$19:$A$33&amp;$B$19:$B$33,0),MATCH(AT$1,$A$19:$F$19,0))</f>
        <v>393.6</v>
      </c>
      <c r="AU58" s="42">
        <f t="array" ref="AU58">INDEX($A$19:$F$33,MATCH($Y58&amp;$Z58,$A$19:$A$33&amp;$B$19:$B$33,0),MATCH(AU$1,$A$19:$F$19,0))</f>
        <v>7872</v>
      </c>
      <c r="AV58" s="42">
        <f t="array" ref="AV58">INDEX($A$19:$F$33,MATCH($Y58&amp;$Z58,$A$19:$A$33&amp;$B$19:$B$33,0),MATCH(AV$1,$A$19:$F$19,0))</f>
        <v>110</v>
      </c>
    </row>
    <row r="59" spans="13:48">
      <c r="M59">
        <v>3</v>
      </c>
      <c r="N59" s="68">
        <v>113057</v>
      </c>
      <c r="O59">
        <v>213114</v>
      </c>
      <c r="P59">
        <v>213114</v>
      </c>
      <c r="Q59">
        <v>214114</v>
      </c>
      <c r="R59">
        <v>214113</v>
      </c>
      <c r="S59">
        <v>215114</v>
      </c>
      <c r="T59">
        <v>215113</v>
      </c>
      <c r="U59">
        <v>216111</v>
      </c>
      <c r="V59">
        <v>216112</v>
      </c>
      <c r="X59" s="68">
        <v>113057</v>
      </c>
      <c r="Y59">
        <f>INDEX(M:M,MATCH(X59,N:N,0))</f>
        <v>3</v>
      </c>
      <c r="Z59">
        <v>5</v>
      </c>
      <c r="AA59" s="72" t="str">
        <f t="shared" ref="AA59:AH59" si="57">IF(AI59=0,"",INDEX($N$1:$V$76,MATCH($X59,$N$1:$N$76,0),MATCH(AA$1,$N$1:$V$1,0)))</f>
        <v/>
      </c>
      <c r="AB59" s="72" t="str">
        <f t="shared" si="57"/>
        <v/>
      </c>
      <c r="AC59" s="72" t="str">
        <f t="shared" si="57"/>
        <v/>
      </c>
      <c r="AD59" s="72">
        <f t="shared" si="57"/>
        <v>214113</v>
      </c>
      <c r="AE59" s="72">
        <f t="shared" si="57"/>
        <v>215114</v>
      </c>
      <c r="AF59" s="72">
        <f t="shared" si="57"/>
        <v>215113</v>
      </c>
      <c r="AG59" s="72">
        <f t="shared" si="57"/>
        <v>216111</v>
      </c>
      <c r="AH59" s="72" t="str">
        <f t="shared" si="57"/>
        <v/>
      </c>
      <c r="AI59" s="72">
        <f t="array" ref="AI59">INDEX($C$4:$J$16,MATCH($Y59&amp;$Z59,$A$4:$A$16&amp;$B$4:$B$16,0),MATCH(AA$1,$C$2:$J$2,0))</f>
        <v>0</v>
      </c>
      <c r="AJ59" s="72">
        <f t="array" ref="AJ59">INDEX($C$4:$J$16,MATCH($Y59&amp;$Z59,$A$4:$A$16&amp;$B$4:$B$16,0),MATCH(AB$1,$C$2:$J$2,0))</f>
        <v>0</v>
      </c>
      <c r="AK59" s="72">
        <f t="array" ref="AK59">INDEX($C$4:$J$16,MATCH($Y59&amp;$Z59,$A$4:$A$16&amp;$B$4:$B$16,0),MATCH(AC$1,$C$2:$J$2,0))</f>
        <v>0</v>
      </c>
      <c r="AL59" s="72">
        <f t="array" ref="AL59">INDEX($C$4:$J$16,MATCH($Y59&amp;$Z59,$A$4:$A$16&amp;$B$4:$B$16,0),MATCH(AD$1,$C$2:$J$2,0))</f>
        <v>48</v>
      </c>
      <c r="AM59" s="72">
        <f t="array" ref="AM59">INDEX($C$4:$J$16,MATCH($Y59&amp;$Z59,$A$4:$A$16&amp;$B$4:$B$16,0),MATCH(AE$1,$C$2:$J$2,0))</f>
        <v>24</v>
      </c>
      <c r="AN59" s="72">
        <f t="array" ref="AN59">INDEX($C$4:$J$16,MATCH($Y59&amp;$Z59,$A$4:$A$16&amp;$B$4:$B$16,0),MATCH(AF$1,$C$2:$J$2,0))</f>
        <v>24</v>
      </c>
      <c r="AO59" s="72">
        <f t="array" ref="AO59">INDEX($C$4:$J$16,MATCH($Y59&amp;$Z59,$A$4:$A$16&amp;$B$4:$B$16,0),MATCH(AG$1,$C$2:$J$2,0))</f>
        <v>3</v>
      </c>
      <c r="AP59" s="72">
        <f t="array" ref="AP59">INDEX($C$4:$J$16,MATCH($Y59&amp;$Z59,$A$4:$A$16&amp;$B$4:$B$16,0),MATCH(AH$1,$C$2:$J$2,0))</f>
        <v>0</v>
      </c>
      <c r="AQ59" s="72">
        <f t="array" ref="AQ59">INDEX($K$2:$K$16,MATCH(Y59&amp;Z59,$A$2:$A$16&amp;$B$2:$B$16,0))</f>
        <v>750000</v>
      </c>
      <c r="AR59" s="42" t="str">
        <f t="array" ref="AR59">_xlfn.TEXTJOIN(";",1,IF($AA59:$AH59&lt;&gt;"","1001,"&amp;$AA59:$AH59&amp;","&amp;$AI59:$AP59,""))&amp;IF(AQ59=0,"",";"&amp;"5,0,"&amp;AQ59)</f>
        <v>1001,214113,48;1001,215114,24;1001,215113,24;1001,216111,3;5,0,750000</v>
      </c>
      <c r="AS59" s="42">
        <f t="array" ref="AS59">INDEX($A$19:$F$33,MATCH($Y59&amp;$Z59,$A$19:$A$33&amp;$B$19:$B$33,0),MATCH(AS$1,$A$19:$F$19,0))</f>
        <v>984</v>
      </c>
      <c r="AT59" s="42">
        <f t="array" ref="AT59">INDEX($A$19:$F$33,MATCH($Y59&amp;$Z59,$A$19:$A$33&amp;$B$19:$B$33,0),MATCH(AT$1,$A$19:$F$19,0))</f>
        <v>393.6</v>
      </c>
      <c r="AU59" s="42">
        <f t="array" ref="AU59">INDEX($A$19:$F$33,MATCH($Y59&amp;$Z59,$A$19:$A$33&amp;$B$19:$B$33,0),MATCH(AU$1,$A$19:$F$19,0))</f>
        <v>7872</v>
      </c>
      <c r="AV59" s="42">
        <f t="array" ref="AV59">INDEX($A$19:$F$33,MATCH($Y59&amp;$Z59,$A$19:$A$33&amp;$B$19:$B$33,0),MATCH(AV$1,$A$19:$F$19,0))</f>
        <v>110</v>
      </c>
    </row>
    <row r="60" spans="13:48">
      <c r="M60">
        <v>3</v>
      </c>
      <c r="N60" s="59">
        <v>113059</v>
      </c>
      <c r="O60">
        <v>213111</v>
      </c>
      <c r="P60">
        <v>213111</v>
      </c>
      <c r="Q60">
        <v>214111</v>
      </c>
      <c r="R60">
        <v>214114</v>
      </c>
      <c r="S60">
        <v>215111</v>
      </c>
      <c r="T60">
        <v>215114</v>
      </c>
      <c r="U60">
        <v>216111</v>
      </c>
      <c r="V60">
        <v>216112</v>
      </c>
      <c r="X60" s="59">
        <v>113059</v>
      </c>
      <c r="Y60">
        <f>INDEX(M:M,MATCH(X60,N:N,0))</f>
        <v>3</v>
      </c>
      <c r="Z60">
        <v>5</v>
      </c>
      <c r="AA60" s="72" t="str">
        <f t="shared" ref="AA60:AH60" si="58">IF(AI60=0,"",INDEX($N$1:$V$76,MATCH($X60,$N$1:$N$76,0),MATCH(AA$1,$N$1:$V$1,0)))</f>
        <v/>
      </c>
      <c r="AB60" s="72" t="str">
        <f t="shared" si="58"/>
        <v/>
      </c>
      <c r="AC60" s="72" t="str">
        <f t="shared" si="58"/>
        <v/>
      </c>
      <c r="AD60" s="72">
        <f t="shared" si="58"/>
        <v>214114</v>
      </c>
      <c r="AE60" s="72">
        <f t="shared" si="58"/>
        <v>215111</v>
      </c>
      <c r="AF60" s="72">
        <f t="shared" si="58"/>
        <v>215114</v>
      </c>
      <c r="AG60" s="72">
        <f t="shared" si="58"/>
        <v>216111</v>
      </c>
      <c r="AH60" s="72" t="str">
        <f t="shared" si="58"/>
        <v/>
      </c>
      <c r="AI60" s="72">
        <f t="array" ref="AI60">INDEX($C$4:$J$16,MATCH($Y60&amp;$Z60,$A$4:$A$16&amp;$B$4:$B$16,0),MATCH(AA$1,$C$2:$J$2,0))</f>
        <v>0</v>
      </c>
      <c r="AJ60" s="72">
        <f t="array" ref="AJ60">INDEX($C$4:$J$16,MATCH($Y60&amp;$Z60,$A$4:$A$16&amp;$B$4:$B$16,0),MATCH(AB$1,$C$2:$J$2,0))</f>
        <v>0</v>
      </c>
      <c r="AK60" s="72">
        <f t="array" ref="AK60">INDEX($C$4:$J$16,MATCH($Y60&amp;$Z60,$A$4:$A$16&amp;$B$4:$B$16,0),MATCH(AC$1,$C$2:$J$2,0))</f>
        <v>0</v>
      </c>
      <c r="AL60" s="72">
        <f t="array" ref="AL60">INDEX($C$4:$J$16,MATCH($Y60&amp;$Z60,$A$4:$A$16&amp;$B$4:$B$16,0),MATCH(AD$1,$C$2:$J$2,0))</f>
        <v>48</v>
      </c>
      <c r="AM60" s="72">
        <f t="array" ref="AM60">INDEX($C$4:$J$16,MATCH($Y60&amp;$Z60,$A$4:$A$16&amp;$B$4:$B$16,0),MATCH(AE$1,$C$2:$J$2,0))</f>
        <v>24</v>
      </c>
      <c r="AN60" s="72">
        <f t="array" ref="AN60">INDEX($C$4:$J$16,MATCH($Y60&amp;$Z60,$A$4:$A$16&amp;$B$4:$B$16,0),MATCH(AF$1,$C$2:$J$2,0))</f>
        <v>24</v>
      </c>
      <c r="AO60" s="72">
        <f t="array" ref="AO60">INDEX($C$4:$J$16,MATCH($Y60&amp;$Z60,$A$4:$A$16&amp;$B$4:$B$16,0),MATCH(AG$1,$C$2:$J$2,0))</f>
        <v>3</v>
      </c>
      <c r="AP60" s="72">
        <f t="array" ref="AP60">INDEX($C$4:$J$16,MATCH($Y60&amp;$Z60,$A$4:$A$16&amp;$B$4:$B$16,0),MATCH(AH$1,$C$2:$J$2,0))</f>
        <v>0</v>
      </c>
      <c r="AQ60" s="72">
        <f t="array" ref="AQ60">INDEX($K$2:$K$16,MATCH(Y60&amp;Z60,$A$2:$A$16&amp;$B$2:$B$16,0))</f>
        <v>750000</v>
      </c>
      <c r="AR60" s="42" t="str">
        <f t="array" ref="AR60">_xlfn.TEXTJOIN(";",1,IF($AA60:$AH60&lt;&gt;"","1001,"&amp;$AA60:$AH60&amp;","&amp;$AI60:$AP60,""))&amp;IF(AQ60=0,"",";"&amp;"5,0,"&amp;AQ60)</f>
        <v>1001,214114,48;1001,215111,24;1001,215114,24;1001,216111,3;5,0,750000</v>
      </c>
      <c r="AS60" s="42">
        <f t="array" ref="AS60">INDEX($A$19:$F$33,MATCH($Y60&amp;$Z60,$A$19:$A$33&amp;$B$19:$B$33,0),MATCH(AS$1,$A$19:$F$19,0))</f>
        <v>984</v>
      </c>
      <c r="AT60" s="42">
        <f t="array" ref="AT60">INDEX($A$19:$F$33,MATCH($Y60&amp;$Z60,$A$19:$A$33&amp;$B$19:$B$33,0),MATCH(AT$1,$A$19:$F$19,0))</f>
        <v>393.6</v>
      </c>
      <c r="AU60" s="42">
        <f t="array" ref="AU60">INDEX($A$19:$F$33,MATCH($Y60&amp;$Z60,$A$19:$A$33&amp;$B$19:$B$33,0),MATCH(AU$1,$A$19:$F$19,0))</f>
        <v>7872</v>
      </c>
      <c r="AV60" s="42">
        <f t="array" ref="AV60">INDEX($A$19:$F$33,MATCH($Y60&amp;$Z60,$A$19:$A$33&amp;$B$19:$B$33,0),MATCH(AV$1,$A$19:$F$19,0))</f>
        <v>110</v>
      </c>
    </row>
    <row r="61" spans="13:48">
      <c r="M61">
        <v>3</v>
      </c>
      <c r="N61" s="65">
        <v>113060</v>
      </c>
      <c r="O61">
        <v>213009</v>
      </c>
      <c r="P61">
        <v>213111</v>
      </c>
      <c r="Q61">
        <v>214009</v>
      </c>
      <c r="R61">
        <v>214111</v>
      </c>
      <c r="S61">
        <v>215009</v>
      </c>
      <c r="T61">
        <v>215111</v>
      </c>
      <c r="U61">
        <v>216111</v>
      </c>
      <c r="V61">
        <v>216112</v>
      </c>
      <c r="X61" s="65">
        <v>113060</v>
      </c>
      <c r="Y61">
        <f>INDEX(M:M,MATCH(X61,N:N,0))</f>
        <v>3</v>
      </c>
      <c r="Z61">
        <v>5</v>
      </c>
      <c r="AA61" s="72" t="str">
        <f t="shared" ref="AA61:AH61" si="59">IF(AI61=0,"",INDEX($N$1:$V$76,MATCH($X61,$N$1:$N$76,0),MATCH(AA$1,$N$1:$V$1,0)))</f>
        <v/>
      </c>
      <c r="AB61" s="72" t="str">
        <f t="shared" si="59"/>
        <v/>
      </c>
      <c r="AC61" s="72" t="str">
        <f t="shared" si="59"/>
        <v/>
      </c>
      <c r="AD61" s="72">
        <f t="shared" si="59"/>
        <v>214111</v>
      </c>
      <c r="AE61" s="72">
        <f t="shared" si="59"/>
        <v>215009</v>
      </c>
      <c r="AF61" s="72">
        <f t="shared" si="59"/>
        <v>215111</v>
      </c>
      <c r="AG61" s="72">
        <f t="shared" si="59"/>
        <v>216111</v>
      </c>
      <c r="AH61" s="72" t="str">
        <f t="shared" si="59"/>
        <v/>
      </c>
      <c r="AI61" s="72">
        <f t="array" ref="AI61">INDEX($C$4:$J$16,MATCH($Y61&amp;$Z61,$A$4:$A$16&amp;$B$4:$B$16,0),MATCH(AA$1,$C$2:$J$2,0))</f>
        <v>0</v>
      </c>
      <c r="AJ61" s="72">
        <f t="array" ref="AJ61">INDEX($C$4:$J$16,MATCH($Y61&amp;$Z61,$A$4:$A$16&amp;$B$4:$B$16,0),MATCH(AB$1,$C$2:$J$2,0))</f>
        <v>0</v>
      </c>
      <c r="AK61" s="72">
        <f t="array" ref="AK61">INDEX($C$4:$J$16,MATCH($Y61&amp;$Z61,$A$4:$A$16&amp;$B$4:$B$16,0),MATCH(AC$1,$C$2:$J$2,0))</f>
        <v>0</v>
      </c>
      <c r="AL61" s="72">
        <f t="array" ref="AL61">INDEX($C$4:$J$16,MATCH($Y61&amp;$Z61,$A$4:$A$16&amp;$B$4:$B$16,0),MATCH(AD$1,$C$2:$J$2,0))</f>
        <v>48</v>
      </c>
      <c r="AM61" s="72">
        <f t="array" ref="AM61">INDEX($C$4:$J$16,MATCH($Y61&amp;$Z61,$A$4:$A$16&amp;$B$4:$B$16,0),MATCH(AE$1,$C$2:$J$2,0))</f>
        <v>24</v>
      </c>
      <c r="AN61" s="72">
        <f t="array" ref="AN61">INDEX($C$4:$J$16,MATCH($Y61&amp;$Z61,$A$4:$A$16&amp;$B$4:$B$16,0),MATCH(AF$1,$C$2:$J$2,0))</f>
        <v>24</v>
      </c>
      <c r="AO61" s="72">
        <f t="array" ref="AO61">INDEX($C$4:$J$16,MATCH($Y61&amp;$Z61,$A$4:$A$16&amp;$B$4:$B$16,0),MATCH(AG$1,$C$2:$J$2,0))</f>
        <v>3</v>
      </c>
      <c r="AP61" s="72">
        <f t="array" ref="AP61">INDEX($C$4:$J$16,MATCH($Y61&amp;$Z61,$A$4:$A$16&amp;$B$4:$B$16,0),MATCH(AH$1,$C$2:$J$2,0))</f>
        <v>0</v>
      </c>
      <c r="AQ61" s="72">
        <f t="array" ref="AQ61">INDEX($K$2:$K$16,MATCH(Y61&amp;Z61,$A$2:$A$16&amp;$B$2:$B$16,0))</f>
        <v>750000</v>
      </c>
      <c r="AR61" s="42" t="str">
        <f t="array" ref="AR61">_xlfn.TEXTJOIN(";",1,IF($AA61:$AH61&lt;&gt;"","1001,"&amp;$AA61:$AH61&amp;","&amp;$AI61:$AP61,""))&amp;IF(AQ61=0,"",";"&amp;"5,0,"&amp;AQ61)</f>
        <v>1001,214111,48;1001,215009,24;1001,215111,24;1001,216111,3;5,0,750000</v>
      </c>
      <c r="AS61" s="42">
        <f t="array" ref="AS61">INDEX($A$19:$F$33,MATCH($Y61&amp;$Z61,$A$19:$A$33&amp;$B$19:$B$33,0),MATCH(AS$1,$A$19:$F$19,0))</f>
        <v>984</v>
      </c>
      <c r="AT61" s="42">
        <f t="array" ref="AT61">INDEX($A$19:$F$33,MATCH($Y61&amp;$Z61,$A$19:$A$33&amp;$B$19:$B$33,0),MATCH(AT$1,$A$19:$F$19,0))</f>
        <v>393.6</v>
      </c>
      <c r="AU61" s="42">
        <f t="array" ref="AU61">INDEX($A$19:$F$33,MATCH($Y61&amp;$Z61,$A$19:$A$33&amp;$B$19:$B$33,0),MATCH(AU$1,$A$19:$F$19,0))</f>
        <v>7872</v>
      </c>
      <c r="AV61" s="42">
        <f t="array" ref="AV61">INDEX($A$19:$F$33,MATCH($Y61&amp;$Z61,$A$19:$A$33&amp;$B$19:$B$33,0),MATCH(AV$1,$A$19:$F$19,0))</f>
        <v>110</v>
      </c>
    </row>
    <row r="62" spans="13:48">
      <c r="M62">
        <v>3</v>
      </c>
      <c r="N62" s="69">
        <v>113061</v>
      </c>
      <c r="O62">
        <v>213112</v>
      </c>
      <c r="P62">
        <v>213112</v>
      </c>
      <c r="Q62">
        <v>214112</v>
      </c>
      <c r="R62">
        <v>214009</v>
      </c>
      <c r="S62">
        <v>215112</v>
      </c>
      <c r="T62">
        <v>215009</v>
      </c>
      <c r="U62">
        <v>216111</v>
      </c>
      <c r="V62">
        <v>216112</v>
      </c>
      <c r="X62" s="69">
        <v>113061</v>
      </c>
      <c r="Y62">
        <f>INDEX(M:M,MATCH(X62,N:N,0))</f>
        <v>3</v>
      </c>
      <c r="Z62">
        <v>5</v>
      </c>
      <c r="AA62" s="72" t="str">
        <f t="shared" ref="AA62:AH62" si="60">IF(AI62=0,"",INDEX($N$1:$V$76,MATCH($X62,$N$1:$N$76,0),MATCH(AA$1,$N$1:$V$1,0)))</f>
        <v/>
      </c>
      <c r="AB62" s="72" t="str">
        <f t="shared" si="60"/>
        <v/>
      </c>
      <c r="AC62" s="72" t="str">
        <f t="shared" si="60"/>
        <v/>
      </c>
      <c r="AD62" s="72">
        <f t="shared" si="60"/>
        <v>214009</v>
      </c>
      <c r="AE62" s="72">
        <f t="shared" si="60"/>
        <v>215112</v>
      </c>
      <c r="AF62" s="72">
        <f t="shared" si="60"/>
        <v>215009</v>
      </c>
      <c r="AG62" s="72">
        <f t="shared" si="60"/>
        <v>216111</v>
      </c>
      <c r="AH62" s="72" t="str">
        <f t="shared" si="60"/>
        <v/>
      </c>
      <c r="AI62" s="72">
        <f t="array" ref="AI62">INDEX($C$4:$J$16,MATCH($Y62&amp;$Z62,$A$4:$A$16&amp;$B$4:$B$16,0),MATCH(AA$1,$C$2:$J$2,0))</f>
        <v>0</v>
      </c>
      <c r="AJ62" s="72">
        <f t="array" ref="AJ62">INDEX($C$4:$J$16,MATCH($Y62&amp;$Z62,$A$4:$A$16&amp;$B$4:$B$16,0),MATCH(AB$1,$C$2:$J$2,0))</f>
        <v>0</v>
      </c>
      <c r="AK62" s="72">
        <f t="array" ref="AK62">INDEX($C$4:$J$16,MATCH($Y62&amp;$Z62,$A$4:$A$16&amp;$B$4:$B$16,0),MATCH(AC$1,$C$2:$J$2,0))</f>
        <v>0</v>
      </c>
      <c r="AL62" s="72">
        <f t="array" ref="AL62">INDEX($C$4:$J$16,MATCH($Y62&amp;$Z62,$A$4:$A$16&amp;$B$4:$B$16,0),MATCH(AD$1,$C$2:$J$2,0))</f>
        <v>48</v>
      </c>
      <c r="AM62" s="72">
        <f t="array" ref="AM62">INDEX($C$4:$J$16,MATCH($Y62&amp;$Z62,$A$4:$A$16&amp;$B$4:$B$16,0),MATCH(AE$1,$C$2:$J$2,0))</f>
        <v>24</v>
      </c>
      <c r="AN62" s="72">
        <f t="array" ref="AN62">INDEX($C$4:$J$16,MATCH($Y62&amp;$Z62,$A$4:$A$16&amp;$B$4:$B$16,0),MATCH(AF$1,$C$2:$J$2,0))</f>
        <v>24</v>
      </c>
      <c r="AO62" s="72">
        <f t="array" ref="AO62">INDEX($C$4:$J$16,MATCH($Y62&amp;$Z62,$A$4:$A$16&amp;$B$4:$B$16,0),MATCH(AG$1,$C$2:$J$2,0))</f>
        <v>3</v>
      </c>
      <c r="AP62" s="72">
        <f t="array" ref="AP62">INDEX($C$4:$J$16,MATCH($Y62&amp;$Z62,$A$4:$A$16&amp;$B$4:$B$16,0),MATCH(AH$1,$C$2:$J$2,0))</f>
        <v>0</v>
      </c>
      <c r="AQ62" s="72">
        <f t="array" ref="AQ62">INDEX($K$2:$K$16,MATCH(Y62&amp;Z62,$A$2:$A$16&amp;$B$2:$B$16,0))</f>
        <v>750000</v>
      </c>
      <c r="AR62" s="42" t="str">
        <f t="array" ref="AR62">_xlfn.TEXTJOIN(";",1,IF($AA62:$AH62&lt;&gt;"","1001,"&amp;$AA62:$AH62&amp;","&amp;$AI62:$AP62,""))&amp;IF(AQ62=0,"",";"&amp;"5,0,"&amp;AQ62)</f>
        <v>1001,214009,48;1001,215112,24;1001,215009,24;1001,216111,3;5,0,750000</v>
      </c>
      <c r="AS62" s="42">
        <f t="array" ref="AS62">INDEX($A$19:$F$33,MATCH($Y62&amp;$Z62,$A$19:$A$33&amp;$B$19:$B$33,0),MATCH(AS$1,$A$19:$F$19,0))</f>
        <v>984</v>
      </c>
      <c r="AT62" s="42">
        <f t="array" ref="AT62">INDEX($A$19:$F$33,MATCH($Y62&amp;$Z62,$A$19:$A$33&amp;$B$19:$B$33,0),MATCH(AT$1,$A$19:$F$19,0))</f>
        <v>393.6</v>
      </c>
      <c r="AU62" s="42">
        <f t="array" ref="AU62">INDEX($A$19:$F$33,MATCH($Y62&amp;$Z62,$A$19:$A$33&amp;$B$19:$B$33,0),MATCH(AU$1,$A$19:$F$19,0))</f>
        <v>7872</v>
      </c>
      <c r="AV62" s="42">
        <f t="array" ref="AV62">INDEX($A$19:$F$33,MATCH($Y62&amp;$Z62,$A$19:$A$33&amp;$B$19:$B$33,0),MATCH(AV$1,$A$19:$F$19,0))</f>
        <v>110</v>
      </c>
    </row>
    <row r="63" spans="13:48">
      <c r="M63">
        <v>3</v>
      </c>
      <c r="N63" s="61">
        <v>113062</v>
      </c>
      <c r="O63">
        <v>213113</v>
      </c>
      <c r="P63">
        <v>213112</v>
      </c>
      <c r="Q63">
        <v>214113</v>
      </c>
      <c r="R63">
        <v>214112</v>
      </c>
      <c r="S63">
        <v>215113</v>
      </c>
      <c r="T63">
        <v>215112</v>
      </c>
      <c r="U63">
        <v>216111</v>
      </c>
      <c r="V63">
        <v>216112</v>
      </c>
      <c r="X63" s="61">
        <v>113062</v>
      </c>
      <c r="Y63">
        <f>INDEX(M:M,MATCH(X63,N:N,0))</f>
        <v>3</v>
      </c>
      <c r="Z63">
        <v>5</v>
      </c>
      <c r="AA63" s="72" t="str">
        <f t="shared" ref="AA63:AH63" si="61">IF(AI63=0,"",INDEX($N$1:$V$76,MATCH($X63,$N$1:$N$76,0),MATCH(AA$1,$N$1:$V$1,0)))</f>
        <v/>
      </c>
      <c r="AB63" s="72" t="str">
        <f t="shared" si="61"/>
        <v/>
      </c>
      <c r="AC63" s="72" t="str">
        <f t="shared" si="61"/>
        <v/>
      </c>
      <c r="AD63" s="72">
        <f t="shared" si="61"/>
        <v>214112</v>
      </c>
      <c r="AE63" s="72">
        <f t="shared" si="61"/>
        <v>215113</v>
      </c>
      <c r="AF63" s="72">
        <f t="shared" si="61"/>
        <v>215112</v>
      </c>
      <c r="AG63" s="72">
        <f t="shared" si="61"/>
        <v>216111</v>
      </c>
      <c r="AH63" s="72" t="str">
        <f t="shared" si="61"/>
        <v/>
      </c>
      <c r="AI63" s="72">
        <f t="array" ref="AI63">INDEX($C$4:$J$16,MATCH($Y63&amp;$Z63,$A$4:$A$16&amp;$B$4:$B$16,0),MATCH(AA$1,$C$2:$J$2,0))</f>
        <v>0</v>
      </c>
      <c r="AJ63" s="72">
        <f t="array" ref="AJ63">INDEX($C$4:$J$16,MATCH($Y63&amp;$Z63,$A$4:$A$16&amp;$B$4:$B$16,0),MATCH(AB$1,$C$2:$J$2,0))</f>
        <v>0</v>
      </c>
      <c r="AK63" s="72">
        <f t="array" ref="AK63">INDEX($C$4:$J$16,MATCH($Y63&amp;$Z63,$A$4:$A$16&amp;$B$4:$B$16,0),MATCH(AC$1,$C$2:$J$2,0))</f>
        <v>0</v>
      </c>
      <c r="AL63" s="72">
        <f t="array" ref="AL63">INDEX($C$4:$J$16,MATCH($Y63&amp;$Z63,$A$4:$A$16&amp;$B$4:$B$16,0),MATCH(AD$1,$C$2:$J$2,0))</f>
        <v>48</v>
      </c>
      <c r="AM63" s="72">
        <f t="array" ref="AM63">INDEX($C$4:$J$16,MATCH($Y63&amp;$Z63,$A$4:$A$16&amp;$B$4:$B$16,0),MATCH(AE$1,$C$2:$J$2,0))</f>
        <v>24</v>
      </c>
      <c r="AN63" s="72">
        <f t="array" ref="AN63">INDEX($C$4:$J$16,MATCH($Y63&amp;$Z63,$A$4:$A$16&amp;$B$4:$B$16,0),MATCH(AF$1,$C$2:$J$2,0))</f>
        <v>24</v>
      </c>
      <c r="AO63" s="72">
        <f t="array" ref="AO63">INDEX($C$4:$J$16,MATCH($Y63&amp;$Z63,$A$4:$A$16&amp;$B$4:$B$16,0),MATCH(AG$1,$C$2:$J$2,0))</f>
        <v>3</v>
      </c>
      <c r="AP63" s="72">
        <f t="array" ref="AP63">INDEX($C$4:$J$16,MATCH($Y63&amp;$Z63,$A$4:$A$16&amp;$B$4:$B$16,0),MATCH(AH$1,$C$2:$J$2,0))</f>
        <v>0</v>
      </c>
      <c r="AQ63" s="72">
        <f t="array" ref="AQ63">INDEX($K$2:$K$16,MATCH(Y63&amp;Z63,$A$2:$A$16&amp;$B$2:$B$16,0))</f>
        <v>750000</v>
      </c>
      <c r="AR63" s="42" t="str">
        <f t="array" ref="AR63">_xlfn.TEXTJOIN(";",1,IF($AA63:$AH63&lt;&gt;"","1001,"&amp;$AA63:$AH63&amp;","&amp;$AI63:$AP63,""))&amp;IF(AQ63=0,"",";"&amp;"5,0,"&amp;AQ63)</f>
        <v>1001,214112,48;1001,215113,24;1001,215112,24;1001,216111,3;5,0,750000</v>
      </c>
      <c r="AS63" s="42">
        <f t="array" ref="AS63">INDEX($A$19:$F$33,MATCH($Y63&amp;$Z63,$A$19:$A$33&amp;$B$19:$B$33,0),MATCH(AS$1,$A$19:$F$19,0))</f>
        <v>984</v>
      </c>
      <c r="AT63" s="42">
        <f t="array" ref="AT63">INDEX($A$19:$F$33,MATCH($Y63&amp;$Z63,$A$19:$A$33&amp;$B$19:$B$33,0),MATCH(AT$1,$A$19:$F$19,0))</f>
        <v>393.6</v>
      </c>
      <c r="AU63" s="42">
        <f t="array" ref="AU63">INDEX($A$19:$F$33,MATCH($Y63&amp;$Z63,$A$19:$A$33&amp;$B$19:$B$33,0),MATCH(AU$1,$A$19:$F$19,0))</f>
        <v>7872</v>
      </c>
      <c r="AV63" s="42">
        <f t="array" ref="AV63">INDEX($A$19:$F$33,MATCH($Y63&amp;$Z63,$A$19:$A$33&amp;$B$19:$B$33,0),MATCH(AV$1,$A$19:$F$19,0))</f>
        <v>110</v>
      </c>
    </row>
    <row r="64" spans="13:48">
      <c r="M64">
        <v>3</v>
      </c>
      <c r="N64" s="70">
        <v>113063</v>
      </c>
      <c r="O64">
        <v>213114</v>
      </c>
      <c r="P64">
        <v>213114</v>
      </c>
      <c r="Q64">
        <v>214114</v>
      </c>
      <c r="R64">
        <v>214113</v>
      </c>
      <c r="S64">
        <v>215114</v>
      </c>
      <c r="T64">
        <v>215113</v>
      </c>
      <c r="U64">
        <v>216111</v>
      </c>
      <c r="V64">
        <v>216112</v>
      </c>
      <c r="X64" s="70">
        <v>113063</v>
      </c>
      <c r="Y64">
        <f>INDEX(M:M,MATCH(X64,N:N,0))</f>
        <v>3</v>
      </c>
      <c r="Z64">
        <v>5</v>
      </c>
      <c r="AA64" s="72" t="str">
        <f t="shared" ref="AA64:AH64" si="62">IF(AI64=0,"",INDEX($N$1:$V$76,MATCH($X64,$N$1:$N$76,0),MATCH(AA$1,$N$1:$V$1,0)))</f>
        <v/>
      </c>
      <c r="AB64" s="72" t="str">
        <f t="shared" si="62"/>
        <v/>
      </c>
      <c r="AC64" s="72" t="str">
        <f t="shared" si="62"/>
        <v/>
      </c>
      <c r="AD64" s="72">
        <f t="shared" si="62"/>
        <v>214113</v>
      </c>
      <c r="AE64" s="72">
        <f t="shared" si="62"/>
        <v>215114</v>
      </c>
      <c r="AF64" s="72">
        <f t="shared" si="62"/>
        <v>215113</v>
      </c>
      <c r="AG64" s="72">
        <f t="shared" si="62"/>
        <v>216111</v>
      </c>
      <c r="AH64" s="72" t="str">
        <f t="shared" si="62"/>
        <v/>
      </c>
      <c r="AI64" s="72">
        <f t="array" ref="AI64">INDEX($C$4:$J$16,MATCH($Y64&amp;$Z64,$A$4:$A$16&amp;$B$4:$B$16,0),MATCH(AA$1,$C$2:$J$2,0))</f>
        <v>0</v>
      </c>
      <c r="AJ64" s="72">
        <f t="array" ref="AJ64">INDEX($C$4:$J$16,MATCH($Y64&amp;$Z64,$A$4:$A$16&amp;$B$4:$B$16,0),MATCH(AB$1,$C$2:$J$2,0))</f>
        <v>0</v>
      </c>
      <c r="AK64" s="72">
        <f t="array" ref="AK64">INDEX($C$4:$J$16,MATCH($Y64&amp;$Z64,$A$4:$A$16&amp;$B$4:$B$16,0),MATCH(AC$1,$C$2:$J$2,0))</f>
        <v>0</v>
      </c>
      <c r="AL64" s="72">
        <f t="array" ref="AL64">INDEX($C$4:$J$16,MATCH($Y64&amp;$Z64,$A$4:$A$16&amp;$B$4:$B$16,0),MATCH(AD$1,$C$2:$J$2,0))</f>
        <v>48</v>
      </c>
      <c r="AM64" s="72">
        <f t="array" ref="AM64">INDEX($C$4:$J$16,MATCH($Y64&amp;$Z64,$A$4:$A$16&amp;$B$4:$B$16,0),MATCH(AE$1,$C$2:$J$2,0))</f>
        <v>24</v>
      </c>
      <c r="AN64" s="72">
        <f t="array" ref="AN64">INDEX($C$4:$J$16,MATCH($Y64&amp;$Z64,$A$4:$A$16&amp;$B$4:$B$16,0),MATCH(AF$1,$C$2:$J$2,0))</f>
        <v>24</v>
      </c>
      <c r="AO64" s="72">
        <f t="array" ref="AO64">INDEX($C$4:$J$16,MATCH($Y64&amp;$Z64,$A$4:$A$16&amp;$B$4:$B$16,0),MATCH(AG$1,$C$2:$J$2,0))</f>
        <v>3</v>
      </c>
      <c r="AP64" s="72">
        <f t="array" ref="AP64">INDEX($C$4:$J$16,MATCH($Y64&amp;$Z64,$A$4:$A$16&amp;$B$4:$B$16,0),MATCH(AH$1,$C$2:$J$2,0))</f>
        <v>0</v>
      </c>
      <c r="AQ64" s="72">
        <f t="array" ref="AQ64">INDEX($K$2:$K$16,MATCH(Y64&amp;Z64,$A$2:$A$16&amp;$B$2:$B$16,0))</f>
        <v>750000</v>
      </c>
      <c r="AR64" s="42" t="str">
        <f t="array" ref="AR64">_xlfn.TEXTJOIN(";",1,IF($AA64:$AH64&lt;&gt;"","1001,"&amp;$AA64:$AH64&amp;","&amp;$AI64:$AP64,""))&amp;IF(AQ64=0,"",";"&amp;"5,0,"&amp;AQ64)</f>
        <v>1001,214113,48;1001,215114,24;1001,215113,24;1001,216111,3;5,0,750000</v>
      </c>
      <c r="AS64" s="42">
        <f t="array" ref="AS64">INDEX($A$19:$F$33,MATCH($Y64&amp;$Z64,$A$19:$A$33&amp;$B$19:$B$33,0),MATCH(AS$1,$A$19:$F$19,0))</f>
        <v>984</v>
      </c>
      <c r="AT64" s="42">
        <f t="array" ref="AT64">INDEX($A$19:$F$33,MATCH($Y64&amp;$Z64,$A$19:$A$33&amp;$B$19:$B$33,0),MATCH(AT$1,$A$19:$F$19,0))</f>
        <v>393.6</v>
      </c>
      <c r="AU64" s="42">
        <f t="array" ref="AU64">INDEX($A$19:$F$33,MATCH($Y64&amp;$Z64,$A$19:$A$33&amp;$B$19:$B$33,0),MATCH(AU$1,$A$19:$F$19,0))</f>
        <v>7872</v>
      </c>
      <c r="AV64" s="42">
        <f t="array" ref="AV64">INDEX($A$19:$F$33,MATCH($Y64&amp;$Z64,$A$19:$A$33&amp;$B$19:$B$33,0),MATCH(AV$1,$A$19:$F$19,0))</f>
        <v>110</v>
      </c>
    </row>
    <row r="65" spans="13:48">
      <c r="M65">
        <v>3</v>
      </c>
      <c r="N65" s="39">
        <v>113064</v>
      </c>
      <c r="O65">
        <v>213111</v>
      </c>
      <c r="P65">
        <v>213111</v>
      </c>
      <c r="Q65">
        <v>214111</v>
      </c>
      <c r="R65">
        <v>214114</v>
      </c>
      <c r="S65">
        <v>215111</v>
      </c>
      <c r="T65">
        <v>215114</v>
      </c>
      <c r="U65">
        <v>216111</v>
      </c>
      <c r="V65">
        <v>216112</v>
      </c>
      <c r="X65" s="39">
        <v>113064</v>
      </c>
      <c r="Y65">
        <f>INDEX(M:M,MATCH(X65,N:N,0))</f>
        <v>3</v>
      </c>
      <c r="Z65">
        <v>5</v>
      </c>
      <c r="AA65" s="72" t="str">
        <f t="shared" ref="AA65:AH65" si="63">IF(AI65=0,"",INDEX($N$1:$V$76,MATCH($X65,$N$1:$N$76,0),MATCH(AA$1,$N$1:$V$1,0)))</f>
        <v/>
      </c>
      <c r="AB65" s="72" t="str">
        <f t="shared" si="63"/>
        <v/>
      </c>
      <c r="AC65" s="72" t="str">
        <f t="shared" si="63"/>
        <v/>
      </c>
      <c r="AD65" s="72">
        <f t="shared" si="63"/>
        <v>214114</v>
      </c>
      <c r="AE65" s="72">
        <f t="shared" si="63"/>
        <v>215111</v>
      </c>
      <c r="AF65" s="72">
        <f t="shared" si="63"/>
        <v>215114</v>
      </c>
      <c r="AG65" s="72">
        <f t="shared" si="63"/>
        <v>216111</v>
      </c>
      <c r="AH65" s="72" t="str">
        <f t="shared" si="63"/>
        <v/>
      </c>
      <c r="AI65" s="72">
        <f t="array" ref="AI65">INDEX($C$4:$J$16,MATCH($Y65&amp;$Z65,$A$4:$A$16&amp;$B$4:$B$16,0),MATCH(AA$1,$C$2:$J$2,0))</f>
        <v>0</v>
      </c>
      <c r="AJ65" s="72">
        <f t="array" ref="AJ65">INDEX($C$4:$J$16,MATCH($Y65&amp;$Z65,$A$4:$A$16&amp;$B$4:$B$16,0),MATCH(AB$1,$C$2:$J$2,0))</f>
        <v>0</v>
      </c>
      <c r="AK65" s="72">
        <f t="array" ref="AK65">INDEX($C$4:$J$16,MATCH($Y65&amp;$Z65,$A$4:$A$16&amp;$B$4:$B$16,0),MATCH(AC$1,$C$2:$J$2,0))</f>
        <v>0</v>
      </c>
      <c r="AL65" s="72">
        <f t="array" ref="AL65">INDEX($C$4:$J$16,MATCH($Y65&amp;$Z65,$A$4:$A$16&amp;$B$4:$B$16,0),MATCH(AD$1,$C$2:$J$2,0))</f>
        <v>48</v>
      </c>
      <c r="AM65" s="72">
        <f t="array" ref="AM65">INDEX($C$4:$J$16,MATCH($Y65&amp;$Z65,$A$4:$A$16&amp;$B$4:$B$16,0),MATCH(AE$1,$C$2:$J$2,0))</f>
        <v>24</v>
      </c>
      <c r="AN65" s="72">
        <f t="array" ref="AN65">INDEX($C$4:$J$16,MATCH($Y65&amp;$Z65,$A$4:$A$16&amp;$B$4:$B$16,0),MATCH(AF$1,$C$2:$J$2,0))</f>
        <v>24</v>
      </c>
      <c r="AO65" s="72">
        <f t="array" ref="AO65">INDEX($C$4:$J$16,MATCH($Y65&amp;$Z65,$A$4:$A$16&amp;$B$4:$B$16,0),MATCH(AG$1,$C$2:$J$2,0))</f>
        <v>3</v>
      </c>
      <c r="AP65" s="72">
        <f t="array" ref="AP65">INDEX($C$4:$J$16,MATCH($Y65&amp;$Z65,$A$4:$A$16&amp;$B$4:$B$16,0),MATCH(AH$1,$C$2:$J$2,0))</f>
        <v>0</v>
      </c>
      <c r="AQ65" s="72">
        <f t="array" ref="AQ65">INDEX($K$2:$K$16,MATCH(Y65&amp;Z65,$A$2:$A$16&amp;$B$2:$B$16,0))</f>
        <v>750000</v>
      </c>
      <c r="AR65" s="42" t="str">
        <f t="array" ref="AR65">_xlfn.TEXTJOIN(";",1,IF($AA65:$AH65&lt;&gt;"","1001,"&amp;$AA65:$AH65&amp;","&amp;$AI65:$AP65,""))&amp;IF(AQ65=0,"",";"&amp;"5,0,"&amp;AQ65)</f>
        <v>1001,214114,48;1001,215111,24;1001,215114,24;1001,216111,3;5,0,750000</v>
      </c>
      <c r="AS65" s="42">
        <f t="array" ref="AS65">INDEX($A$19:$F$33,MATCH($Y65&amp;$Z65,$A$19:$A$33&amp;$B$19:$B$33,0),MATCH(AS$1,$A$19:$F$19,0))</f>
        <v>984</v>
      </c>
      <c r="AT65" s="42">
        <f t="array" ref="AT65">INDEX($A$19:$F$33,MATCH($Y65&amp;$Z65,$A$19:$A$33&amp;$B$19:$B$33,0),MATCH(AT$1,$A$19:$F$19,0))</f>
        <v>393.6</v>
      </c>
      <c r="AU65" s="42">
        <f t="array" ref="AU65">INDEX($A$19:$F$33,MATCH($Y65&amp;$Z65,$A$19:$A$33&amp;$B$19:$B$33,0),MATCH(AU$1,$A$19:$F$19,0))</f>
        <v>7872</v>
      </c>
      <c r="AV65" s="42">
        <f t="array" ref="AV65">INDEX($A$19:$F$33,MATCH($Y65&amp;$Z65,$A$19:$A$33&amp;$B$19:$B$33,0),MATCH(AV$1,$A$19:$F$19,0))</f>
        <v>110</v>
      </c>
    </row>
    <row r="66" spans="13:48">
      <c r="M66">
        <v>3</v>
      </c>
      <c r="N66" s="44">
        <v>113065</v>
      </c>
      <c r="O66">
        <v>213009</v>
      </c>
      <c r="P66">
        <v>213111</v>
      </c>
      <c r="Q66">
        <v>214009</v>
      </c>
      <c r="R66">
        <v>214111</v>
      </c>
      <c r="S66">
        <v>215009</v>
      </c>
      <c r="T66">
        <v>215111</v>
      </c>
      <c r="U66">
        <v>216111</v>
      </c>
      <c r="V66">
        <v>216112</v>
      </c>
      <c r="X66" s="44">
        <v>113065</v>
      </c>
      <c r="Y66">
        <f>INDEX(M:M,MATCH(X66,N:N,0))</f>
        <v>3</v>
      </c>
      <c r="Z66">
        <v>5</v>
      </c>
      <c r="AA66" s="72" t="str">
        <f t="shared" ref="AA66:AH66" si="64">IF(AI66=0,"",INDEX($N$1:$V$76,MATCH($X66,$N$1:$N$76,0),MATCH(AA$1,$N$1:$V$1,0)))</f>
        <v/>
      </c>
      <c r="AB66" s="72" t="str">
        <f t="shared" si="64"/>
        <v/>
      </c>
      <c r="AC66" s="72" t="str">
        <f t="shared" si="64"/>
        <v/>
      </c>
      <c r="AD66" s="72">
        <f t="shared" si="64"/>
        <v>214111</v>
      </c>
      <c r="AE66" s="72">
        <f t="shared" si="64"/>
        <v>215009</v>
      </c>
      <c r="AF66" s="72">
        <f t="shared" si="64"/>
        <v>215111</v>
      </c>
      <c r="AG66" s="72">
        <f t="shared" si="64"/>
        <v>216111</v>
      </c>
      <c r="AH66" s="72" t="str">
        <f t="shared" si="64"/>
        <v/>
      </c>
      <c r="AI66" s="72">
        <f t="array" ref="AI66">INDEX($C$4:$J$16,MATCH($Y66&amp;$Z66,$A$4:$A$16&amp;$B$4:$B$16,0),MATCH(AA$1,$C$2:$J$2,0))</f>
        <v>0</v>
      </c>
      <c r="AJ66" s="72">
        <f t="array" ref="AJ66">INDEX($C$4:$J$16,MATCH($Y66&amp;$Z66,$A$4:$A$16&amp;$B$4:$B$16,0),MATCH(AB$1,$C$2:$J$2,0))</f>
        <v>0</v>
      </c>
      <c r="AK66" s="72">
        <f t="array" ref="AK66">INDEX($C$4:$J$16,MATCH($Y66&amp;$Z66,$A$4:$A$16&amp;$B$4:$B$16,0),MATCH(AC$1,$C$2:$J$2,0))</f>
        <v>0</v>
      </c>
      <c r="AL66" s="72">
        <f t="array" ref="AL66">INDEX($C$4:$J$16,MATCH($Y66&amp;$Z66,$A$4:$A$16&amp;$B$4:$B$16,0),MATCH(AD$1,$C$2:$J$2,0))</f>
        <v>48</v>
      </c>
      <c r="AM66" s="72">
        <f t="array" ref="AM66">INDEX($C$4:$J$16,MATCH($Y66&amp;$Z66,$A$4:$A$16&amp;$B$4:$B$16,0),MATCH(AE$1,$C$2:$J$2,0))</f>
        <v>24</v>
      </c>
      <c r="AN66" s="72">
        <f t="array" ref="AN66">INDEX($C$4:$J$16,MATCH($Y66&amp;$Z66,$A$4:$A$16&amp;$B$4:$B$16,0),MATCH(AF$1,$C$2:$J$2,0))</f>
        <v>24</v>
      </c>
      <c r="AO66" s="72">
        <f t="array" ref="AO66">INDEX($C$4:$J$16,MATCH($Y66&amp;$Z66,$A$4:$A$16&amp;$B$4:$B$16,0),MATCH(AG$1,$C$2:$J$2,0))</f>
        <v>3</v>
      </c>
      <c r="AP66" s="72">
        <f t="array" ref="AP66">INDEX($C$4:$J$16,MATCH($Y66&amp;$Z66,$A$4:$A$16&amp;$B$4:$B$16,0),MATCH(AH$1,$C$2:$J$2,0))</f>
        <v>0</v>
      </c>
      <c r="AQ66" s="72">
        <f t="array" ref="AQ66">INDEX($K$2:$K$16,MATCH(Y66&amp;Z66,$A$2:$A$16&amp;$B$2:$B$16,0))</f>
        <v>750000</v>
      </c>
      <c r="AR66" s="42" t="str">
        <f t="array" ref="AR66">_xlfn.TEXTJOIN(";",1,IF($AA66:$AH66&lt;&gt;"","1001,"&amp;$AA66:$AH66&amp;","&amp;$AI66:$AP66,""))&amp;IF(AQ66=0,"",";"&amp;"5,0,"&amp;AQ66)</f>
        <v>1001,214111,48;1001,215009,24;1001,215111,24;1001,216111,3;5,0,750000</v>
      </c>
      <c r="AS66" s="42">
        <f t="array" ref="AS66">INDEX($A$19:$F$33,MATCH($Y66&amp;$Z66,$A$19:$A$33&amp;$B$19:$B$33,0),MATCH(AS$1,$A$19:$F$19,0))</f>
        <v>984</v>
      </c>
      <c r="AT66" s="42">
        <f t="array" ref="AT66">INDEX($A$19:$F$33,MATCH($Y66&amp;$Z66,$A$19:$A$33&amp;$B$19:$B$33,0),MATCH(AT$1,$A$19:$F$19,0))</f>
        <v>393.6</v>
      </c>
      <c r="AU66" s="42">
        <f t="array" ref="AU66">INDEX($A$19:$F$33,MATCH($Y66&amp;$Z66,$A$19:$A$33&amp;$B$19:$B$33,0),MATCH(AU$1,$A$19:$F$19,0))</f>
        <v>7872</v>
      </c>
      <c r="AV66" s="42">
        <f t="array" ref="AV66">INDEX($A$19:$F$33,MATCH($Y66&amp;$Z66,$A$19:$A$33&amp;$B$19:$B$33,0),MATCH(AV$1,$A$19:$F$19,0))</f>
        <v>110</v>
      </c>
    </row>
    <row r="67" spans="13:48">
      <c r="M67">
        <v>3</v>
      </c>
      <c r="N67" s="64">
        <v>113066</v>
      </c>
      <c r="O67">
        <v>213112</v>
      </c>
      <c r="P67">
        <v>213112</v>
      </c>
      <c r="Q67">
        <v>214112</v>
      </c>
      <c r="R67">
        <v>214009</v>
      </c>
      <c r="S67">
        <v>215112</v>
      </c>
      <c r="T67">
        <v>215009</v>
      </c>
      <c r="U67">
        <v>216111</v>
      </c>
      <c r="V67">
        <v>216112</v>
      </c>
      <c r="X67" s="64">
        <v>113066</v>
      </c>
      <c r="Y67">
        <f>INDEX(M:M,MATCH(X67,N:N,0))</f>
        <v>3</v>
      </c>
      <c r="Z67">
        <v>5</v>
      </c>
      <c r="AA67" s="72" t="str">
        <f t="shared" ref="AA67:AH67" si="65">IF(AI67=0,"",INDEX($N$1:$V$76,MATCH($X67,$N$1:$N$76,0),MATCH(AA$1,$N$1:$V$1,0)))</f>
        <v/>
      </c>
      <c r="AB67" s="72" t="str">
        <f t="shared" si="65"/>
        <v/>
      </c>
      <c r="AC67" s="72" t="str">
        <f t="shared" si="65"/>
        <v/>
      </c>
      <c r="AD67" s="72">
        <f t="shared" si="65"/>
        <v>214009</v>
      </c>
      <c r="AE67" s="72">
        <f t="shared" si="65"/>
        <v>215112</v>
      </c>
      <c r="AF67" s="72">
        <f t="shared" si="65"/>
        <v>215009</v>
      </c>
      <c r="AG67" s="72">
        <f t="shared" si="65"/>
        <v>216111</v>
      </c>
      <c r="AH67" s="72" t="str">
        <f t="shared" si="65"/>
        <v/>
      </c>
      <c r="AI67" s="72">
        <f t="array" ref="AI67">INDEX($C$4:$J$16,MATCH($Y67&amp;$Z67,$A$4:$A$16&amp;$B$4:$B$16,0),MATCH(AA$1,$C$2:$J$2,0))</f>
        <v>0</v>
      </c>
      <c r="AJ67" s="72">
        <f t="array" ref="AJ67">INDEX($C$4:$J$16,MATCH($Y67&amp;$Z67,$A$4:$A$16&amp;$B$4:$B$16,0),MATCH(AB$1,$C$2:$J$2,0))</f>
        <v>0</v>
      </c>
      <c r="AK67" s="72">
        <f t="array" ref="AK67">INDEX($C$4:$J$16,MATCH($Y67&amp;$Z67,$A$4:$A$16&amp;$B$4:$B$16,0),MATCH(AC$1,$C$2:$J$2,0))</f>
        <v>0</v>
      </c>
      <c r="AL67" s="72">
        <f t="array" ref="AL67">INDEX($C$4:$J$16,MATCH($Y67&amp;$Z67,$A$4:$A$16&amp;$B$4:$B$16,0),MATCH(AD$1,$C$2:$J$2,0))</f>
        <v>48</v>
      </c>
      <c r="AM67" s="72">
        <f t="array" ref="AM67">INDEX($C$4:$J$16,MATCH($Y67&amp;$Z67,$A$4:$A$16&amp;$B$4:$B$16,0),MATCH(AE$1,$C$2:$J$2,0))</f>
        <v>24</v>
      </c>
      <c r="AN67" s="72">
        <f t="array" ref="AN67">INDEX($C$4:$J$16,MATCH($Y67&amp;$Z67,$A$4:$A$16&amp;$B$4:$B$16,0),MATCH(AF$1,$C$2:$J$2,0))</f>
        <v>24</v>
      </c>
      <c r="AO67" s="72">
        <f t="array" ref="AO67">INDEX($C$4:$J$16,MATCH($Y67&amp;$Z67,$A$4:$A$16&amp;$B$4:$B$16,0),MATCH(AG$1,$C$2:$J$2,0))</f>
        <v>3</v>
      </c>
      <c r="AP67" s="72">
        <f t="array" ref="AP67">INDEX($C$4:$J$16,MATCH($Y67&amp;$Z67,$A$4:$A$16&amp;$B$4:$B$16,0),MATCH(AH$1,$C$2:$J$2,0))</f>
        <v>0</v>
      </c>
      <c r="AQ67" s="72">
        <f t="array" ref="AQ67">INDEX($K$2:$K$16,MATCH(Y67&amp;Z67,$A$2:$A$16&amp;$B$2:$B$16,0))</f>
        <v>750000</v>
      </c>
      <c r="AR67" s="42" t="str">
        <f t="array" ref="AR67">_xlfn.TEXTJOIN(";",1,IF($AA67:$AH67&lt;&gt;"","1001,"&amp;$AA67:$AH67&amp;","&amp;$AI67:$AP67,""))&amp;IF(AQ67=0,"",";"&amp;"5,0,"&amp;AQ67)</f>
        <v>1001,214009,48;1001,215112,24;1001,215009,24;1001,216111,3;5,0,750000</v>
      </c>
      <c r="AS67" s="42">
        <f t="array" ref="AS67">INDEX($A$19:$F$33,MATCH($Y67&amp;$Z67,$A$19:$A$33&amp;$B$19:$B$33,0),MATCH(AS$1,$A$19:$F$19,0))</f>
        <v>984</v>
      </c>
      <c r="AT67" s="42">
        <f t="array" ref="AT67">INDEX($A$19:$F$33,MATCH($Y67&amp;$Z67,$A$19:$A$33&amp;$B$19:$B$33,0),MATCH(AT$1,$A$19:$F$19,0))</f>
        <v>393.6</v>
      </c>
      <c r="AU67" s="42">
        <f t="array" ref="AU67">INDEX($A$19:$F$33,MATCH($Y67&amp;$Z67,$A$19:$A$33&amp;$B$19:$B$33,0),MATCH(AU$1,$A$19:$F$19,0))</f>
        <v>7872</v>
      </c>
      <c r="AV67" s="42">
        <f t="array" ref="AV67">INDEX($A$19:$F$33,MATCH($Y67&amp;$Z67,$A$19:$A$33&amp;$B$19:$B$33,0),MATCH(AV$1,$A$19:$F$19,0))</f>
        <v>110</v>
      </c>
    </row>
    <row r="68" spans="13:48">
      <c r="M68">
        <v>3</v>
      </c>
      <c r="N68" s="73">
        <v>113067</v>
      </c>
      <c r="O68">
        <v>213113</v>
      </c>
      <c r="P68">
        <v>213112</v>
      </c>
      <c r="Q68">
        <v>214113</v>
      </c>
      <c r="R68">
        <v>214112</v>
      </c>
      <c r="S68">
        <v>215113</v>
      </c>
      <c r="T68">
        <v>215112</v>
      </c>
      <c r="U68">
        <v>216111</v>
      </c>
      <c r="V68">
        <v>216112</v>
      </c>
      <c r="X68" s="73">
        <v>113067</v>
      </c>
      <c r="Y68">
        <f>INDEX(M:M,MATCH(X68,N:N,0))</f>
        <v>3</v>
      </c>
      <c r="Z68">
        <v>5</v>
      </c>
      <c r="AA68" s="72" t="str">
        <f t="shared" ref="AA68:AH68" si="66">IF(AI68=0,"",INDEX($N$1:$V$76,MATCH($X68,$N$1:$N$76,0),MATCH(AA$1,$N$1:$V$1,0)))</f>
        <v/>
      </c>
      <c r="AB68" s="72" t="str">
        <f t="shared" si="66"/>
        <v/>
      </c>
      <c r="AC68" s="72" t="str">
        <f t="shared" si="66"/>
        <v/>
      </c>
      <c r="AD68" s="72">
        <f t="shared" si="66"/>
        <v>214112</v>
      </c>
      <c r="AE68" s="72">
        <f t="shared" si="66"/>
        <v>215113</v>
      </c>
      <c r="AF68" s="72">
        <f t="shared" si="66"/>
        <v>215112</v>
      </c>
      <c r="AG68" s="72">
        <f t="shared" si="66"/>
        <v>216111</v>
      </c>
      <c r="AH68" s="72" t="str">
        <f t="shared" si="66"/>
        <v/>
      </c>
      <c r="AI68" s="72">
        <f t="array" ref="AI68">INDEX($C$4:$J$16,MATCH($Y68&amp;$Z68,$A$4:$A$16&amp;$B$4:$B$16,0),MATCH(AA$1,$C$2:$J$2,0))</f>
        <v>0</v>
      </c>
      <c r="AJ68" s="72">
        <f t="array" ref="AJ68">INDEX($C$4:$J$16,MATCH($Y68&amp;$Z68,$A$4:$A$16&amp;$B$4:$B$16,0),MATCH(AB$1,$C$2:$J$2,0))</f>
        <v>0</v>
      </c>
      <c r="AK68" s="72">
        <f t="array" ref="AK68">INDEX($C$4:$J$16,MATCH($Y68&amp;$Z68,$A$4:$A$16&amp;$B$4:$B$16,0),MATCH(AC$1,$C$2:$J$2,0))</f>
        <v>0</v>
      </c>
      <c r="AL68" s="72">
        <f t="array" ref="AL68">INDEX($C$4:$J$16,MATCH($Y68&amp;$Z68,$A$4:$A$16&amp;$B$4:$B$16,0),MATCH(AD$1,$C$2:$J$2,0))</f>
        <v>48</v>
      </c>
      <c r="AM68" s="72">
        <f t="array" ref="AM68">INDEX($C$4:$J$16,MATCH($Y68&amp;$Z68,$A$4:$A$16&amp;$B$4:$B$16,0),MATCH(AE$1,$C$2:$J$2,0))</f>
        <v>24</v>
      </c>
      <c r="AN68" s="72">
        <f t="array" ref="AN68">INDEX($C$4:$J$16,MATCH($Y68&amp;$Z68,$A$4:$A$16&amp;$B$4:$B$16,0),MATCH(AF$1,$C$2:$J$2,0))</f>
        <v>24</v>
      </c>
      <c r="AO68" s="72">
        <f t="array" ref="AO68">INDEX($C$4:$J$16,MATCH($Y68&amp;$Z68,$A$4:$A$16&amp;$B$4:$B$16,0),MATCH(AG$1,$C$2:$J$2,0))</f>
        <v>3</v>
      </c>
      <c r="AP68" s="72">
        <f t="array" ref="AP68">INDEX($C$4:$J$16,MATCH($Y68&amp;$Z68,$A$4:$A$16&amp;$B$4:$B$16,0),MATCH(AH$1,$C$2:$J$2,0))</f>
        <v>0</v>
      </c>
      <c r="AQ68" s="72">
        <f t="array" ref="AQ68">INDEX($K$2:$K$16,MATCH(Y68&amp;Z68,$A$2:$A$16&amp;$B$2:$B$16,0))</f>
        <v>750000</v>
      </c>
      <c r="AR68" s="42" t="str">
        <f t="array" ref="AR68">_xlfn.TEXTJOIN(";",1,IF($AA68:$AH68&lt;&gt;"","1001,"&amp;$AA68:$AH68&amp;","&amp;$AI68:$AP68,""))&amp;IF(AQ68=0,"",";"&amp;"5,0,"&amp;AQ68)</f>
        <v>1001,214112,48;1001,215113,24;1001,215112,24;1001,216111,3;5,0,750000</v>
      </c>
      <c r="AS68" s="42">
        <f t="array" ref="AS68">INDEX($A$19:$F$33,MATCH($Y68&amp;$Z68,$A$19:$A$33&amp;$B$19:$B$33,0),MATCH(AS$1,$A$19:$F$19,0))</f>
        <v>984</v>
      </c>
      <c r="AT68" s="42">
        <f t="array" ref="AT68">INDEX($A$19:$F$33,MATCH($Y68&amp;$Z68,$A$19:$A$33&amp;$B$19:$B$33,0),MATCH(AT$1,$A$19:$F$19,0))</f>
        <v>393.6</v>
      </c>
      <c r="AU68" s="42">
        <f t="array" ref="AU68">INDEX($A$19:$F$33,MATCH($Y68&amp;$Z68,$A$19:$A$33&amp;$B$19:$B$33,0),MATCH(AU$1,$A$19:$F$19,0))</f>
        <v>7872</v>
      </c>
      <c r="AV68" s="42">
        <f t="array" ref="AV68">INDEX($A$19:$F$33,MATCH($Y68&amp;$Z68,$A$19:$A$33&amp;$B$19:$B$33,0),MATCH(AV$1,$A$19:$F$19,0))</f>
        <v>110</v>
      </c>
    </row>
    <row r="69" spans="13:48">
      <c r="M69">
        <v>3</v>
      </c>
      <c r="N69" s="74">
        <v>113068</v>
      </c>
      <c r="O69">
        <v>213114</v>
      </c>
      <c r="P69">
        <v>213114</v>
      </c>
      <c r="Q69">
        <v>214114</v>
      </c>
      <c r="R69">
        <v>214113</v>
      </c>
      <c r="S69">
        <v>215114</v>
      </c>
      <c r="T69">
        <v>215113</v>
      </c>
      <c r="U69">
        <v>216111</v>
      </c>
      <c r="V69">
        <v>216112</v>
      </c>
      <c r="X69" s="74">
        <v>113068</v>
      </c>
      <c r="Y69">
        <f>INDEX(M:M,MATCH(X69,N:N,0))</f>
        <v>3</v>
      </c>
      <c r="Z69">
        <v>5</v>
      </c>
      <c r="AA69" s="72" t="str">
        <f t="shared" ref="AA69:AH69" si="67">IF(AI69=0,"",INDEX($N$1:$V$76,MATCH($X69,$N$1:$N$76,0),MATCH(AA$1,$N$1:$V$1,0)))</f>
        <v/>
      </c>
      <c r="AB69" s="72" t="str">
        <f t="shared" si="67"/>
        <v/>
      </c>
      <c r="AC69" s="72" t="str">
        <f t="shared" si="67"/>
        <v/>
      </c>
      <c r="AD69" s="72">
        <f t="shared" si="67"/>
        <v>214113</v>
      </c>
      <c r="AE69" s="72">
        <f t="shared" si="67"/>
        <v>215114</v>
      </c>
      <c r="AF69" s="72">
        <f t="shared" si="67"/>
        <v>215113</v>
      </c>
      <c r="AG69" s="72">
        <f t="shared" si="67"/>
        <v>216111</v>
      </c>
      <c r="AH69" s="72" t="str">
        <f t="shared" si="67"/>
        <v/>
      </c>
      <c r="AI69" s="72">
        <f t="array" ref="AI69">INDEX($C$4:$J$16,MATCH($Y69&amp;$Z69,$A$4:$A$16&amp;$B$4:$B$16,0),MATCH(AA$1,$C$2:$J$2,0))</f>
        <v>0</v>
      </c>
      <c r="AJ69" s="72">
        <f t="array" ref="AJ69">INDEX($C$4:$J$16,MATCH($Y69&amp;$Z69,$A$4:$A$16&amp;$B$4:$B$16,0),MATCH(AB$1,$C$2:$J$2,0))</f>
        <v>0</v>
      </c>
      <c r="AK69" s="72">
        <f t="array" ref="AK69">INDEX($C$4:$J$16,MATCH($Y69&amp;$Z69,$A$4:$A$16&amp;$B$4:$B$16,0),MATCH(AC$1,$C$2:$J$2,0))</f>
        <v>0</v>
      </c>
      <c r="AL69" s="72">
        <f t="array" ref="AL69">INDEX($C$4:$J$16,MATCH($Y69&amp;$Z69,$A$4:$A$16&amp;$B$4:$B$16,0),MATCH(AD$1,$C$2:$J$2,0))</f>
        <v>48</v>
      </c>
      <c r="AM69" s="72">
        <f t="array" ref="AM69">INDEX($C$4:$J$16,MATCH($Y69&amp;$Z69,$A$4:$A$16&amp;$B$4:$B$16,0),MATCH(AE$1,$C$2:$J$2,0))</f>
        <v>24</v>
      </c>
      <c r="AN69" s="72">
        <f t="array" ref="AN69">INDEX($C$4:$J$16,MATCH($Y69&amp;$Z69,$A$4:$A$16&amp;$B$4:$B$16,0),MATCH(AF$1,$C$2:$J$2,0))</f>
        <v>24</v>
      </c>
      <c r="AO69" s="72">
        <f t="array" ref="AO69">INDEX($C$4:$J$16,MATCH($Y69&amp;$Z69,$A$4:$A$16&amp;$B$4:$B$16,0),MATCH(AG$1,$C$2:$J$2,0))</f>
        <v>3</v>
      </c>
      <c r="AP69" s="72">
        <f t="array" ref="AP69">INDEX($C$4:$J$16,MATCH($Y69&amp;$Z69,$A$4:$A$16&amp;$B$4:$B$16,0),MATCH(AH$1,$C$2:$J$2,0))</f>
        <v>0</v>
      </c>
      <c r="AQ69" s="72">
        <f t="array" ref="AQ69">INDEX($K$2:$K$16,MATCH(Y69&amp;Z69,$A$2:$A$16&amp;$B$2:$B$16,0))</f>
        <v>750000</v>
      </c>
      <c r="AR69" s="42" t="str">
        <f t="array" ref="AR69">_xlfn.TEXTJOIN(";",1,IF($AA69:$AH69&lt;&gt;"","1001,"&amp;$AA69:$AH69&amp;","&amp;$AI69:$AP69,""))&amp;IF(AQ69=0,"",";"&amp;"5,0,"&amp;AQ69)</f>
        <v>1001,214113,48;1001,215114,24;1001,215113,24;1001,216111,3;5,0,750000</v>
      </c>
      <c r="AS69" s="42">
        <f t="array" ref="AS69">INDEX($A$19:$F$33,MATCH($Y69&amp;$Z69,$A$19:$A$33&amp;$B$19:$B$33,0),MATCH(AS$1,$A$19:$F$19,0))</f>
        <v>984</v>
      </c>
      <c r="AT69" s="42">
        <f t="array" ref="AT69">INDEX($A$19:$F$33,MATCH($Y69&amp;$Z69,$A$19:$A$33&amp;$B$19:$B$33,0),MATCH(AT$1,$A$19:$F$19,0))</f>
        <v>393.6</v>
      </c>
      <c r="AU69" s="42">
        <f t="array" ref="AU69">INDEX($A$19:$F$33,MATCH($Y69&amp;$Z69,$A$19:$A$33&amp;$B$19:$B$33,0),MATCH(AU$1,$A$19:$F$19,0))</f>
        <v>7872</v>
      </c>
      <c r="AV69" s="42">
        <f t="array" ref="AV69">INDEX($A$19:$F$33,MATCH($Y69&amp;$Z69,$A$19:$A$33&amp;$B$19:$B$33,0),MATCH(AV$1,$A$19:$F$19,0))</f>
        <v>110</v>
      </c>
    </row>
    <row r="70" spans="13:48">
      <c r="M70">
        <v>3</v>
      </c>
      <c r="N70" s="75">
        <v>113069</v>
      </c>
      <c r="O70">
        <v>213111</v>
      </c>
      <c r="P70">
        <v>213111</v>
      </c>
      <c r="Q70">
        <v>214111</v>
      </c>
      <c r="R70">
        <v>214114</v>
      </c>
      <c r="S70">
        <v>215111</v>
      </c>
      <c r="T70">
        <v>215114</v>
      </c>
      <c r="U70">
        <v>216111</v>
      </c>
      <c r="V70">
        <v>216112</v>
      </c>
      <c r="X70" s="75">
        <v>113069</v>
      </c>
      <c r="Y70">
        <f>INDEX(M:M,MATCH(X70,N:N,0))</f>
        <v>3</v>
      </c>
      <c r="Z70">
        <v>5</v>
      </c>
      <c r="AA70" s="72" t="str">
        <f t="shared" ref="AA70:AH70" si="68">IF(AI70=0,"",INDEX($N$1:$V$76,MATCH($X70,$N$1:$N$76,0),MATCH(AA$1,$N$1:$V$1,0)))</f>
        <v/>
      </c>
      <c r="AB70" s="72" t="str">
        <f t="shared" si="68"/>
        <v/>
      </c>
      <c r="AC70" s="72" t="str">
        <f t="shared" si="68"/>
        <v/>
      </c>
      <c r="AD70" s="72">
        <f t="shared" si="68"/>
        <v>214114</v>
      </c>
      <c r="AE70" s="72">
        <f t="shared" si="68"/>
        <v>215111</v>
      </c>
      <c r="AF70" s="72">
        <f t="shared" si="68"/>
        <v>215114</v>
      </c>
      <c r="AG70" s="72">
        <f t="shared" si="68"/>
        <v>216111</v>
      </c>
      <c r="AH70" s="72" t="str">
        <f t="shared" si="68"/>
        <v/>
      </c>
      <c r="AI70" s="72">
        <f t="array" ref="AI70">INDEX($C$4:$J$16,MATCH($Y70&amp;$Z70,$A$4:$A$16&amp;$B$4:$B$16,0),MATCH(AA$1,$C$2:$J$2,0))</f>
        <v>0</v>
      </c>
      <c r="AJ70" s="72">
        <f t="array" ref="AJ70">INDEX($C$4:$J$16,MATCH($Y70&amp;$Z70,$A$4:$A$16&amp;$B$4:$B$16,0),MATCH(AB$1,$C$2:$J$2,0))</f>
        <v>0</v>
      </c>
      <c r="AK70" s="72">
        <f t="array" ref="AK70">INDEX($C$4:$J$16,MATCH($Y70&amp;$Z70,$A$4:$A$16&amp;$B$4:$B$16,0),MATCH(AC$1,$C$2:$J$2,0))</f>
        <v>0</v>
      </c>
      <c r="AL70" s="72">
        <f t="array" ref="AL70">INDEX($C$4:$J$16,MATCH($Y70&amp;$Z70,$A$4:$A$16&amp;$B$4:$B$16,0),MATCH(AD$1,$C$2:$J$2,0))</f>
        <v>48</v>
      </c>
      <c r="AM70" s="72">
        <f t="array" ref="AM70">INDEX($C$4:$J$16,MATCH($Y70&amp;$Z70,$A$4:$A$16&amp;$B$4:$B$16,0),MATCH(AE$1,$C$2:$J$2,0))</f>
        <v>24</v>
      </c>
      <c r="AN70" s="72">
        <f t="array" ref="AN70">INDEX($C$4:$J$16,MATCH($Y70&amp;$Z70,$A$4:$A$16&amp;$B$4:$B$16,0),MATCH(AF$1,$C$2:$J$2,0))</f>
        <v>24</v>
      </c>
      <c r="AO70" s="72">
        <f t="array" ref="AO70">INDEX($C$4:$J$16,MATCH($Y70&amp;$Z70,$A$4:$A$16&amp;$B$4:$B$16,0),MATCH(AG$1,$C$2:$J$2,0))</f>
        <v>3</v>
      </c>
      <c r="AP70" s="72">
        <f t="array" ref="AP70">INDEX($C$4:$J$16,MATCH($Y70&amp;$Z70,$A$4:$A$16&amp;$B$4:$B$16,0),MATCH(AH$1,$C$2:$J$2,0))</f>
        <v>0</v>
      </c>
      <c r="AQ70" s="72">
        <f t="array" ref="AQ70">INDEX($K$2:$K$16,MATCH(Y70&amp;Z70,$A$2:$A$16&amp;$B$2:$B$16,0))</f>
        <v>750000</v>
      </c>
      <c r="AR70" s="42" t="str">
        <f t="array" ref="AR70">_xlfn.TEXTJOIN(";",1,IF($AA70:$AH70&lt;&gt;"","1001,"&amp;$AA70:$AH70&amp;","&amp;$AI70:$AP70,""))&amp;IF(AQ70=0,"",";"&amp;"5,0,"&amp;AQ70)</f>
        <v>1001,214114,48;1001,215111,24;1001,215114,24;1001,216111,3;5,0,750000</v>
      </c>
      <c r="AS70" s="42">
        <f t="array" ref="AS70">INDEX($A$19:$F$33,MATCH($Y70&amp;$Z70,$A$19:$A$33&amp;$B$19:$B$33,0),MATCH(AS$1,$A$19:$F$19,0))</f>
        <v>984</v>
      </c>
      <c r="AT70" s="42">
        <f t="array" ref="AT70">INDEX($A$19:$F$33,MATCH($Y70&amp;$Z70,$A$19:$A$33&amp;$B$19:$B$33,0),MATCH(AT$1,$A$19:$F$19,0))</f>
        <v>393.6</v>
      </c>
      <c r="AU70" s="42">
        <f t="array" ref="AU70">INDEX($A$19:$F$33,MATCH($Y70&amp;$Z70,$A$19:$A$33&amp;$B$19:$B$33,0),MATCH(AU$1,$A$19:$F$19,0))</f>
        <v>7872</v>
      </c>
      <c r="AV70" s="42">
        <f t="array" ref="AV70">INDEX($A$19:$F$33,MATCH($Y70&amp;$Z70,$A$19:$A$33&amp;$B$19:$B$33,0),MATCH(AV$1,$A$19:$F$19,0))</f>
        <v>110</v>
      </c>
    </row>
    <row r="71" spans="13:48">
      <c r="M71">
        <v>3</v>
      </c>
      <c r="N71" s="40">
        <v>113070</v>
      </c>
      <c r="O71">
        <v>213009</v>
      </c>
      <c r="P71">
        <v>213111</v>
      </c>
      <c r="Q71">
        <v>214009</v>
      </c>
      <c r="R71">
        <v>214111</v>
      </c>
      <c r="S71">
        <v>215009</v>
      </c>
      <c r="T71">
        <v>215111</v>
      </c>
      <c r="U71">
        <v>216111</v>
      </c>
      <c r="V71">
        <v>216112</v>
      </c>
      <c r="X71" s="40">
        <v>113070</v>
      </c>
      <c r="Y71">
        <f>INDEX(M:M,MATCH(X71,N:N,0))</f>
        <v>3</v>
      </c>
      <c r="Z71">
        <v>5</v>
      </c>
      <c r="AA71" s="72" t="str">
        <f t="shared" ref="AA71:AH71" si="69">IF(AI71=0,"",INDEX($N$1:$V$76,MATCH($X71,$N$1:$N$76,0),MATCH(AA$1,$N$1:$V$1,0)))</f>
        <v/>
      </c>
      <c r="AB71" s="72" t="str">
        <f t="shared" si="69"/>
        <v/>
      </c>
      <c r="AC71" s="72" t="str">
        <f t="shared" si="69"/>
        <v/>
      </c>
      <c r="AD71" s="72">
        <f t="shared" si="69"/>
        <v>214111</v>
      </c>
      <c r="AE71" s="72">
        <f t="shared" si="69"/>
        <v>215009</v>
      </c>
      <c r="AF71" s="72">
        <f t="shared" si="69"/>
        <v>215111</v>
      </c>
      <c r="AG71" s="72">
        <f t="shared" si="69"/>
        <v>216111</v>
      </c>
      <c r="AH71" s="72" t="str">
        <f t="shared" si="69"/>
        <v/>
      </c>
      <c r="AI71" s="72">
        <f t="array" ref="AI71">INDEX($C$4:$J$16,MATCH($Y71&amp;$Z71,$A$4:$A$16&amp;$B$4:$B$16,0),MATCH(AA$1,$C$2:$J$2,0))</f>
        <v>0</v>
      </c>
      <c r="AJ71" s="72">
        <f t="array" ref="AJ71">INDEX($C$4:$J$16,MATCH($Y71&amp;$Z71,$A$4:$A$16&amp;$B$4:$B$16,0),MATCH(AB$1,$C$2:$J$2,0))</f>
        <v>0</v>
      </c>
      <c r="AK71" s="72">
        <f t="array" ref="AK71">INDEX($C$4:$J$16,MATCH($Y71&amp;$Z71,$A$4:$A$16&amp;$B$4:$B$16,0),MATCH(AC$1,$C$2:$J$2,0))</f>
        <v>0</v>
      </c>
      <c r="AL71" s="72">
        <f t="array" ref="AL71">INDEX($C$4:$J$16,MATCH($Y71&amp;$Z71,$A$4:$A$16&amp;$B$4:$B$16,0),MATCH(AD$1,$C$2:$J$2,0))</f>
        <v>48</v>
      </c>
      <c r="AM71" s="72">
        <f t="array" ref="AM71">INDEX($C$4:$J$16,MATCH($Y71&amp;$Z71,$A$4:$A$16&amp;$B$4:$B$16,0),MATCH(AE$1,$C$2:$J$2,0))</f>
        <v>24</v>
      </c>
      <c r="AN71" s="72">
        <f t="array" ref="AN71">INDEX($C$4:$J$16,MATCH($Y71&amp;$Z71,$A$4:$A$16&amp;$B$4:$B$16,0),MATCH(AF$1,$C$2:$J$2,0))</f>
        <v>24</v>
      </c>
      <c r="AO71" s="72">
        <f t="array" ref="AO71">INDEX($C$4:$J$16,MATCH($Y71&amp;$Z71,$A$4:$A$16&amp;$B$4:$B$16,0),MATCH(AG$1,$C$2:$J$2,0))</f>
        <v>3</v>
      </c>
      <c r="AP71" s="72">
        <f t="array" ref="AP71">INDEX($C$4:$J$16,MATCH($Y71&amp;$Z71,$A$4:$A$16&amp;$B$4:$B$16,0),MATCH(AH$1,$C$2:$J$2,0))</f>
        <v>0</v>
      </c>
      <c r="AQ71" s="72">
        <f t="array" ref="AQ71">INDEX($K$2:$K$16,MATCH(Y71&amp;Z71,$A$2:$A$16&amp;$B$2:$B$16,0))</f>
        <v>750000</v>
      </c>
      <c r="AR71" s="42" t="str">
        <f t="array" ref="AR71">_xlfn.TEXTJOIN(";",1,IF($AA71:$AH71&lt;&gt;"","1001,"&amp;$AA71:$AH71&amp;","&amp;$AI71:$AP71,""))&amp;IF(AQ71=0,"",";"&amp;"5,0,"&amp;AQ71)</f>
        <v>1001,214111,48;1001,215009,24;1001,215111,24;1001,216111,3;5,0,750000</v>
      </c>
      <c r="AS71" s="42">
        <f t="array" ref="AS71">INDEX($A$19:$F$33,MATCH($Y71&amp;$Z71,$A$19:$A$33&amp;$B$19:$B$33,0),MATCH(AS$1,$A$19:$F$19,0))</f>
        <v>984</v>
      </c>
      <c r="AT71" s="42">
        <f t="array" ref="AT71">INDEX($A$19:$F$33,MATCH($Y71&amp;$Z71,$A$19:$A$33&amp;$B$19:$B$33,0),MATCH(AT$1,$A$19:$F$19,0))</f>
        <v>393.6</v>
      </c>
      <c r="AU71" s="42">
        <f t="array" ref="AU71">INDEX($A$19:$F$33,MATCH($Y71&amp;$Z71,$A$19:$A$33&amp;$B$19:$B$33,0),MATCH(AU$1,$A$19:$F$19,0))</f>
        <v>7872</v>
      </c>
      <c r="AV71" s="42">
        <f t="array" ref="AV71">INDEX($A$19:$F$33,MATCH($Y71&amp;$Z71,$A$19:$A$33&amp;$B$19:$B$33,0),MATCH(AV$1,$A$19:$F$19,0))</f>
        <v>110</v>
      </c>
    </row>
    <row r="72" spans="13:48">
      <c r="M72">
        <v>3</v>
      </c>
      <c r="N72" s="76">
        <v>113071</v>
      </c>
      <c r="O72">
        <v>213112</v>
      </c>
      <c r="P72">
        <v>213112</v>
      </c>
      <c r="Q72">
        <v>214112</v>
      </c>
      <c r="R72">
        <v>214009</v>
      </c>
      <c r="S72">
        <v>215112</v>
      </c>
      <c r="T72">
        <v>215009</v>
      </c>
      <c r="U72">
        <v>216111</v>
      </c>
      <c r="V72">
        <v>216112</v>
      </c>
      <c r="X72" s="76">
        <v>113071</v>
      </c>
      <c r="Y72">
        <f>INDEX(M:M,MATCH(X72,N:N,0))</f>
        <v>3</v>
      </c>
      <c r="Z72">
        <v>5</v>
      </c>
      <c r="AA72" s="72" t="str">
        <f t="shared" ref="AA72:AH72" si="70">IF(AI72=0,"",INDEX($N$1:$V$76,MATCH($X72,$N$1:$N$76,0),MATCH(AA$1,$N$1:$V$1,0)))</f>
        <v/>
      </c>
      <c r="AB72" s="72" t="str">
        <f t="shared" si="70"/>
        <v/>
      </c>
      <c r="AC72" s="72" t="str">
        <f t="shared" si="70"/>
        <v/>
      </c>
      <c r="AD72" s="72">
        <f t="shared" si="70"/>
        <v>214009</v>
      </c>
      <c r="AE72" s="72">
        <f t="shared" si="70"/>
        <v>215112</v>
      </c>
      <c r="AF72" s="72">
        <f t="shared" si="70"/>
        <v>215009</v>
      </c>
      <c r="AG72" s="72">
        <f t="shared" si="70"/>
        <v>216111</v>
      </c>
      <c r="AH72" s="72" t="str">
        <f t="shared" si="70"/>
        <v/>
      </c>
      <c r="AI72" s="72">
        <f t="array" ref="AI72">INDEX($C$4:$J$16,MATCH($Y72&amp;$Z72,$A$4:$A$16&amp;$B$4:$B$16,0),MATCH(AA$1,$C$2:$J$2,0))</f>
        <v>0</v>
      </c>
      <c r="AJ72" s="72">
        <f t="array" ref="AJ72">INDEX($C$4:$J$16,MATCH($Y72&amp;$Z72,$A$4:$A$16&amp;$B$4:$B$16,0),MATCH(AB$1,$C$2:$J$2,0))</f>
        <v>0</v>
      </c>
      <c r="AK72" s="72">
        <f t="array" ref="AK72">INDEX($C$4:$J$16,MATCH($Y72&amp;$Z72,$A$4:$A$16&amp;$B$4:$B$16,0),MATCH(AC$1,$C$2:$J$2,0))</f>
        <v>0</v>
      </c>
      <c r="AL72" s="72">
        <f t="array" ref="AL72">INDEX($C$4:$J$16,MATCH($Y72&amp;$Z72,$A$4:$A$16&amp;$B$4:$B$16,0),MATCH(AD$1,$C$2:$J$2,0))</f>
        <v>48</v>
      </c>
      <c r="AM72" s="72">
        <f t="array" ref="AM72">INDEX($C$4:$J$16,MATCH($Y72&amp;$Z72,$A$4:$A$16&amp;$B$4:$B$16,0),MATCH(AE$1,$C$2:$J$2,0))</f>
        <v>24</v>
      </c>
      <c r="AN72" s="72">
        <f t="array" ref="AN72">INDEX($C$4:$J$16,MATCH($Y72&amp;$Z72,$A$4:$A$16&amp;$B$4:$B$16,0),MATCH(AF$1,$C$2:$J$2,0))</f>
        <v>24</v>
      </c>
      <c r="AO72" s="72">
        <f t="array" ref="AO72">INDEX($C$4:$J$16,MATCH($Y72&amp;$Z72,$A$4:$A$16&amp;$B$4:$B$16,0),MATCH(AG$1,$C$2:$J$2,0))</f>
        <v>3</v>
      </c>
      <c r="AP72" s="72">
        <f t="array" ref="AP72">INDEX($C$4:$J$16,MATCH($Y72&amp;$Z72,$A$4:$A$16&amp;$B$4:$B$16,0),MATCH(AH$1,$C$2:$J$2,0))</f>
        <v>0</v>
      </c>
      <c r="AQ72" s="72">
        <f t="array" ref="AQ72">INDEX($K$2:$K$16,MATCH(Y72&amp;Z72,$A$2:$A$16&amp;$B$2:$B$16,0))</f>
        <v>750000</v>
      </c>
      <c r="AR72" s="42" t="str">
        <f t="array" ref="AR72">_xlfn.TEXTJOIN(";",1,IF($AA72:$AH72&lt;&gt;"","1001,"&amp;$AA72:$AH72&amp;","&amp;$AI72:$AP72,""))&amp;IF(AQ72=0,"",";"&amp;"5,0,"&amp;AQ72)</f>
        <v>1001,214009,48;1001,215112,24;1001,215009,24;1001,216111,3;5,0,750000</v>
      </c>
      <c r="AS72" s="42">
        <f t="array" ref="AS72">INDEX($A$19:$F$33,MATCH($Y72&amp;$Z72,$A$19:$A$33&amp;$B$19:$B$33,0),MATCH(AS$1,$A$19:$F$19,0))</f>
        <v>984</v>
      </c>
      <c r="AT72" s="42">
        <f t="array" ref="AT72">INDEX($A$19:$F$33,MATCH($Y72&amp;$Z72,$A$19:$A$33&amp;$B$19:$B$33,0),MATCH(AT$1,$A$19:$F$19,0))</f>
        <v>393.6</v>
      </c>
      <c r="AU72" s="42">
        <f t="array" ref="AU72">INDEX($A$19:$F$33,MATCH($Y72&amp;$Z72,$A$19:$A$33&amp;$B$19:$B$33,0),MATCH(AU$1,$A$19:$F$19,0))</f>
        <v>7872</v>
      </c>
      <c r="AV72" s="42">
        <f t="array" ref="AV72">INDEX($A$19:$F$33,MATCH($Y72&amp;$Z72,$A$19:$A$33&amp;$B$19:$B$33,0),MATCH(AV$1,$A$19:$F$19,0))</f>
        <v>110</v>
      </c>
    </row>
    <row r="73" spans="13:48">
      <c r="M73">
        <v>3</v>
      </c>
      <c r="N73" s="77">
        <v>113072</v>
      </c>
      <c r="O73">
        <v>213113</v>
      </c>
      <c r="P73">
        <v>213112</v>
      </c>
      <c r="Q73">
        <v>214113</v>
      </c>
      <c r="R73">
        <v>214112</v>
      </c>
      <c r="S73">
        <v>215113</v>
      </c>
      <c r="T73">
        <v>215112</v>
      </c>
      <c r="U73">
        <v>216111</v>
      </c>
      <c r="V73">
        <v>216112</v>
      </c>
      <c r="X73" s="77">
        <v>113072</v>
      </c>
      <c r="Y73">
        <f>INDEX(M:M,MATCH(X73,N:N,0))</f>
        <v>3</v>
      </c>
      <c r="Z73">
        <v>5</v>
      </c>
      <c r="AA73" s="72" t="str">
        <f t="shared" ref="AA73:AH73" si="71">IF(AI73=0,"",INDEX($N$1:$V$76,MATCH($X73,$N$1:$N$76,0),MATCH(AA$1,$N$1:$V$1,0)))</f>
        <v/>
      </c>
      <c r="AB73" s="72" t="str">
        <f t="shared" si="71"/>
        <v/>
      </c>
      <c r="AC73" s="72" t="str">
        <f t="shared" si="71"/>
        <v/>
      </c>
      <c r="AD73" s="72">
        <f t="shared" si="71"/>
        <v>214112</v>
      </c>
      <c r="AE73" s="72">
        <f t="shared" si="71"/>
        <v>215113</v>
      </c>
      <c r="AF73" s="72">
        <f t="shared" si="71"/>
        <v>215112</v>
      </c>
      <c r="AG73" s="72">
        <f t="shared" si="71"/>
        <v>216111</v>
      </c>
      <c r="AH73" s="72" t="str">
        <f t="shared" si="71"/>
        <v/>
      </c>
      <c r="AI73" s="72">
        <f t="array" ref="AI73">INDEX($C$4:$J$16,MATCH($Y73&amp;$Z73,$A$4:$A$16&amp;$B$4:$B$16,0),MATCH(AA$1,$C$2:$J$2,0))</f>
        <v>0</v>
      </c>
      <c r="AJ73" s="72">
        <f t="array" ref="AJ73">INDEX($C$4:$J$16,MATCH($Y73&amp;$Z73,$A$4:$A$16&amp;$B$4:$B$16,0),MATCH(AB$1,$C$2:$J$2,0))</f>
        <v>0</v>
      </c>
      <c r="AK73" s="72">
        <f t="array" ref="AK73">INDEX($C$4:$J$16,MATCH($Y73&amp;$Z73,$A$4:$A$16&amp;$B$4:$B$16,0),MATCH(AC$1,$C$2:$J$2,0))</f>
        <v>0</v>
      </c>
      <c r="AL73" s="72">
        <f t="array" ref="AL73">INDEX($C$4:$J$16,MATCH($Y73&amp;$Z73,$A$4:$A$16&amp;$B$4:$B$16,0),MATCH(AD$1,$C$2:$J$2,0))</f>
        <v>48</v>
      </c>
      <c r="AM73" s="72">
        <f t="array" ref="AM73">INDEX($C$4:$J$16,MATCH($Y73&amp;$Z73,$A$4:$A$16&amp;$B$4:$B$16,0),MATCH(AE$1,$C$2:$J$2,0))</f>
        <v>24</v>
      </c>
      <c r="AN73" s="72">
        <f t="array" ref="AN73">INDEX($C$4:$J$16,MATCH($Y73&amp;$Z73,$A$4:$A$16&amp;$B$4:$B$16,0),MATCH(AF$1,$C$2:$J$2,0))</f>
        <v>24</v>
      </c>
      <c r="AO73" s="72">
        <f t="array" ref="AO73">INDEX($C$4:$J$16,MATCH($Y73&amp;$Z73,$A$4:$A$16&amp;$B$4:$B$16,0),MATCH(AG$1,$C$2:$J$2,0))</f>
        <v>3</v>
      </c>
      <c r="AP73" s="72">
        <f t="array" ref="AP73">INDEX($C$4:$J$16,MATCH($Y73&amp;$Z73,$A$4:$A$16&amp;$B$4:$B$16,0),MATCH(AH$1,$C$2:$J$2,0))</f>
        <v>0</v>
      </c>
      <c r="AQ73" s="72">
        <f t="array" ref="AQ73">INDEX($K$2:$K$16,MATCH(Y73&amp;Z73,$A$2:$A$16&amp;$B$2:$B$16,0))</f>
        <v>750000</v>
      </c>
      <c r="AR73" s="42" t="str">
        <f t="array" ref="AR73">_xlfn.TEXTJOIN(";",1,IF($AA73:$AH73&lt;&gt;"","1001,"&amp;$AA73:$AH73&amp;","&amp;$AI73:$AP73,""))&amp;IF(AQ73=0,"",";"&amp;"5,0,"&amp;AQ73)</f>
        <v>1001,214112,48;1001,215113,24;1001,215112,24;1001,216111,3;5,0,750000</v>
      </c>
      <c r="AS73" s="42">
        <f t="array" ref="AS73">INDEX($A$19:$F$33,MATCH($Y73&amp;$Z73,$A$19:$A$33&amp;$B$19:$B$33,0),MATCH(AS$1,$A$19:$F$19,0))</f>
        <v>984</v>
      </c>
      <c r="AT73" s="42">
        <f t="array" ref="AT73">INDEX($A$19:$F$33,MATCH($Y73&amp;$Z73,$A$19:$A$33&amp;$B$19:$B$33,0),MATCH(AT$1,$A$19:$F$19,0))</f>
        <v>393.6</v>
      </c>
      <c r="AU73" s="42">
        <f t="array" ref="AU73">INDEX($A$19:$F$33,MATCH($Y73&amp;$Z73,$A$19:$A$33&amp;$B$19:$B$33,0),MATCH(AU$1,$A$19:$F$19,0))</f>
        <v>7872</v>
      </c>
      <c r="AV73" s="42">
        <f t="array" ref="AV73">INDEX($A$19:$F$33,MATCH($Y73&amp;$Z73,$A$19:$A$33&amp;$B$19:$B$33,0),MATCH(AV$1,$A$19:$F$19,0))</f>
        <v>110</v>
      </c>
    </row>
    <row r="74" spans="13:48">
      <c r="M74">
        <v>3</v>
      </c>
      <c r="N74" s="78">
        <v>113073</v>
      </c>
      <c r="O74">
        <v>213114</v>
      </c>
      <c r="P74">
        <v>213114</v>
      </c>
      <c r="Q74">
        <v>214114</v>
      </c>
      <c r="R74">
        <v>214113</v>
      </c>
      <c r="S74">
        <v>215114</v>
      </c>
      <c r="T74">
        <v>215113</v>
      </c>
      <c r="U74">
        <v>216111</v>
      </c>
      <c r="V74">
        <v>216112</v>
      </c>
      <c r="X74" s="78">
        <v>113073</v>
      </c>
      <c r="Y74">
        <f>INDEX(M:M,MATCH(X74,N:N,0))</f>
        <v>3</v>
      </c>
      <c r="Z74">
        <v>5</v>
      </c>
      <c r="AA74" s="72" t="str">
        <f t="shared" ref="AA74:AH74" si="72">IF(AI74=0,"",INDEX($N$1:$V$76,MATCH($X74,$N$1:$N$76,0),MATCH(AA$1,$N$1:$V$1,0)))</f>
        <v/>
      </c>
      <c r="AB74" s="72" t="str">
        <f t="shared" si="72"/>
        <v/>
      </c>
      <c r="AC74" s="72" t="str">
        <f t="shared" si="72"/>
        <v/>
      </c>
      <c r="AD74" s="72">
        <f t="shared" si="72"/>
        <v>214113</v>
      </c>
      <c r="AE74" s="72">
        <f t="shared" si="72"/>
        <v>215114</v>
      </c>
      <c r="AF74" s="72">
        <f t="shared" si="72"/>
        <v>215113</v>
      </c>
      <c r="AG74" s="72">
        <f t="shared" si="72"/>
        <v>216111</v>
      </c>
      <c r="AH74" s="72" t="str">
        <f t="shared" si="72"/>
        <v/>
      </c>
      <c r="AI74" s="72">
        <f t="array" ref="AI74">INDEX($C$4:$J$16,MATCH($Y74&amp;$Z74,$A$4:$A$16&amp;$B$4:$B$16,0),MATCH(AA$1,$C$2:$J$2,0))</f>
        <v>0</v>
      </c>
      <c r="AJ74" s="72">
        <f t="array" ref="AJ74">INDEX($C$4:$J$16,MATCH($Y74&amp;$Z74,$A$4:$A$16&amp;$B$4:$B$16,0),MATCH(AB$1,$C$2:$J$2,0))</f>
        <v>0</v>
      </c>
      <c r="AK74" s="72">
        <f t="array" ref="AK74">INDEX($C$4:$J$16,MATCH($Y74&amp;$Z74,$A$4:$A$16&amp;$B$4:$B$16,0),MATCH(AC$1,$C$2:$J$2,0))</f>
        <v>0</v>
      </c>
      <c r="AL74" s="72">
        <f t="array" ref="AL74">INDEX($C$4:$J$16,MATCH($Y74&amp;$Z74,$A$4:$A$16&amp;$B$4:$B$16,0),MATCH(AD$1,$C$2:$J$2,0))</f>
        <v>48</v>
      </c>
      <c r="AM74" s="72">
        <f t="array" ref="AM74">INDEX($C$4:$J$16,MATCH($Y74&amp;$Z74,$A$4:$A$16&amp;$B$4:$B$16,0),MATCH(AE$1,$C$2:$J$2,0))</f>
        <v>24</v>
      </c>
      <c r="AN74" s="72">
        <f t="array" ref="AN74">INDEX($C$4:$J$16,MATCH($Y74&amp;$Z74,$A$4:$A$16&amp;$B$4:$B$16,0),MATCH(AF$1,$C$2:$J$2,0))</f>
        <v>24</v>
      </c>
      <c r="AO74" s="72">
        <f t="array" ref="AO74">INDEX($C$4:$J$16,MATCH($Y74&amp;$Z74,$A$4:$A$16&amp;$B$4:$B$16,0),MATCH(AG$1,$C$2:$J$2,0))</f>
        <v>3</v>
      </c>
      <c r="AP74" s="72">
        <f t="array" ref="AP74">INDEX($C$4:$J$16,MATCH($Y74&amp;$Z74,$A$4:$A$16&amp;$B$4:$B$16,0),MATCH(AH$1,$C$2:$J$2,0))</f>
        <v>0</v>
      </c>
      <c r="AQ74" s="72">
        <f t="array" ref="AQ74">INDEX($K$2:$K$16,MATCH(Y74&amp;Z74,$A$2:$A$16&amp;$B$2:$B$16,0))</f>
        <v>750000</v>
      </c>
      <c r="AR74" s="42" t="str">
        <f t="array" ref="AR74">_xlfn.TEXTJOIN(";",1,IF($AA74:$AH74&lt;&gt;"","1001,"&amp;$AA74:$AH74&amp;","&amp;$AI74:$AP74,""))&amp;IF(AQ74=0,"",";"&amp;"5,0,"&amp;AQ74)</f>
        <v>1001,214113,48;1001,215114,24;1001,215113,24;1001,216111,3;5,0,750000</v>
      </c>
      <c r="AS74" s="42">
        <f t="array" ref="AS74">INDEX($A$19:$F$33,MATCH($Y74&amp;$Z74,$A$19:$A$33&amp;$B$19:$B$33,0),MATCH(AS$1,$A$19:$F$19,0))</f>
        <v>984</v>
      </c>
      <c r="AT74" s="42">
        <f t="array" ref="AT74">INDEX($A$19:$F$33,MATCH($Y74&amp;$Z74,$A$19:$A$33&amp;$B$19:$B$33,0),MATCH(AT$1,$A$19:$F$19,0))</f>
        <v>393.6</v>
      </c>
      <c r="AU74" s="42">
        <f t="array" ref="AU74">INDEX($A$19:$F$33,MATCH($Y74&amp;$Z74,$A$19:$A$33&amp;$B$19:$B$33,0),MATCH(AU$1,$A$19:$F$19,0))</f>
        <v>7872</v>
      </c>
      <c r="AV74" s="42">
        <f t="array" ref="AV74">INDEX($A$19:$F$33,MATCH($Y74&amp;$Z74,$A$19:$A$33&amp;$B$19:$B$33,0),MATCH(AV$1,$A$19:$F$19,0))</f>
        <v>110</v>
      </c>
    </row>
    <row r="75" spans="13:48">
      <c r="M75">
        <v>3</v>
      </c>
      <c r="N75" s="79">
        <v>113076</v>
      </c>
      <c r="O75">
        <v>213111</v>
      </c>
      <c r="P75">
        <v>213111</v>
      </c>
      <c r="Q75">
        <v>214111</v>
      </c>
      <c r="R75">
        <v>214114</v>
      </c>
      <c r="S75">
        <v>215111</v>
      </c>
      <c r="T75">
        <v>215114</v>
      </c>
      <c r="U75">
        <v>216111</v>
      </c>
      <c r="V75">
        <v>216112</v>
      </c>
      <c r="X75" s="79">
        <v>113076</v>
      </c>
      <c r="Y75">
        <f>INDEX(M:M,MATCH(X75,N:N,0))</f>
        <v>3</v>
      </c>
      <c r="Z75">
        <v>5</v>
      </c>
      <c r="AA75" s="72" t="str">
        <f t="shared" ref="AA75:AH75" si="73">IF(AI75=0,"",INDEX($N$1:$V$76,MATCH($X75,$N$1:$N$76,0),MATCH(AA$1,$N$1:$V$1,0)))</f>
        <v/>
      </c>
      <c r="AB75" s="72" t="str">
        <f t="shared" si="73"/>
        <v/>
      </c>
      <c r="AC75" s="72" t="str">
        <f t="shared" si="73"/>
        <v/>
      </c>
      <c r="AD75" s="72">
        <f t="shared" si="73"/>
        <v>214114</v>
      </c>
      <c r="AE75" s="72">
        <f t="shared" si="73"/>
        <v>215111</v>
      </c>
      <c r="AF75" s="72">
        <f t="shared" si="73"/>
        <v>215114</v>
      </c>
      <c r="AG75" s="72">
        <f t="shared" si="73"/>
        <v>216111</v>
      </c>
      <c r="AH75" s="72" t="str">
        <f t="shared" si="73"/>
        <v/>
      </c>
      <c r="AI75" s="72">
        <f t="array" ref="AI75">INDEX($C$4:$J$16,MATCH($Y75&amp;$Z75,$A$4:$A$16&amp;$B$4:$B$16,0),MATCH(AA$1,$C$2:$J$2,0))</f>
        <v>0</v>
      </c>
      <c r="AJ75" s="72">
        <f t="array" ref="AJ75">INDEX($C$4:$J$16,MATCH($Y75&amp;$Z75,$A$4:$A$16&amp;$B$4:$B$16,0),MATCH(AB$1,$C$2:$J$2,0))</f>
        <v>0</v>
      </c>
      <c r="AK75" s="72">
        <f t="array" ref="AK75">INDEX($C$4:$J$16,MATCH($Y75&amp;$Z75,$A$4:$A$16&amp;$B$4:$B$16,0),MATCH(AC$1,$C$2:$J$2,0))</f>
        <v>0</v>
      </c>
      <c r="AL75" s="72">
        <f t="array" ref="AL75">INDEX($C$4:$J$16,MATCH($Y75&amp;$Z75,$A$4:$A$16&amp;$B$4:$B$16,0),MATCH(AD$1,$C$2:$J$2,0))</f>
        <v>48</v>
      </c>
      <c r="AM75" s="72">
        <f t="array" ref="AM75">INDEX($C$4:$J$16,MATCH($Y75&amp;$Z75,$A$4:$A$16&amp;$B$4:$B$16,0),MATCH(AE$1,$C$2:$J$2,0))</f>
        <v>24</v>
      </c>
      <c r="AN75" s="72">
        <f t="array" ref="AN75">INDEX($C$4:$J$16,MATCH($Y75&amp;$Z75,$A$4:$A$16&amp;$B$4:$B$16,0),MATCH(AF$1,$C$2:$J$2,0))</f>
        <v>24</v>
      </c>
      <c r="AO75" s="72">
        <f t="array" ref="AO75">INDEX($C$4:$J$16,MATCH($Y75&amp;$Z75,$A$4:$A$16&amp;$B$4:$B$16,0),MATCH(AG$1,$C$2:$J$2,0))</f>
        <v>3</v>
      </c>
      <c r="AP75" s="72">
        <f t="array" ref="AP75">INDEX($C$4:$J$16,MATCH($Y75&amp;$Z75,$A$4:$A$16&amp;$B$4:$B$16,0),MATCH(AH$1,$C$2:$J$2,0))</f>
        <v>0</v>
      </c>
      <c r="AQ75" s="72">
        <f t="array" ref="AQ75">INDEX($K$2:$K$16,MATCH(Y75&amp;Z75,$A$2:$A$16&amp;$B$2:$B$16,0))</f>
        <v>750000</v>
      </c>
      <c r="AR75" s="42" t="str">
        <f t="array" ref="AR75">_xlfn.TEXTJOIN(";",1,IF($AA75:$AH75&lt;&gt;"","1001,"&amp;$AA75:$AH75&amp;","&amp;$AI75:$AP75,""))&amp;IF(AQ75=0,"",";"&amp;"5,0,"&amp;AQ75)</f>
        <v>1001,214114,48;1001,215111,24;1001,215114,24;1001,216111,3;5,0,750000</v>
      </c>
      <c r="AS75" s="42">
        <f t="array" ref="AS75">INDEX($A$19:$F$33,MATCH($Y75&amp;$Z75,$A$19:$A$33&amp;$B$19:$B$33,0),MATCH(AS$1,$A$19:$F$19,0))</f>
        <v>984</v>
      </c>
      <c r="AT75" s="42">
        <f t="array" ref="AT75">INDEX($A$19:$F$33,MATCH($Y75&amp;$Z75,$A$19:$A$33&amp;$B$19:$B$33,0),MATCH(AT$1,$A$19:$F$19,0))</f>
        <v>393.6</v>
      </c>
      <c r="AU75" s="42">
        <f t="array" ref="AU75">INDEX($A$19:$F$33,MATCH($Y75&amp;$Z75,$A$19:$A$33&amp;$B$19:$B$33,0),MATCH(AU$1,$A$19:$F$19,0))</f>
        <v>7872</v>
      </c>
      <c r="AV75" s="42">
        <f t="array" ref="AV75">INDEX($A$19:$F$33,MATCH($Y75&amp;$Z75,$A$19:$A$33&amp;$B$19:$B$33,0),MATCH(AV$1,$A$19:$F$19,0))</f>
        <v>110</v>
      </c>
    </row>
    <row r="76" spans="13:48">
      <c r="M76">
        <v>4</v>
      </c>
      <c r="N76">
        <v>113077</v>
      </c>
      <c r="O76">
        <v>213113</v>
      </c>
      <c r="P76">
        <v>213112</v>
      </c>
      <c r="Q76">
        <v>214113</v>
      </c>
      <c r="R76">
        <v>214112</v>
      </c>
      <c r="S76">
        <v>215113</v>
      </c>
      <c r="T76">
        <v>215112</v>
      </c>
      <c r="U76">
        <v>216111</v>
      </c>
      <c r="V76">
        <v>216112</v>
      </c>
      <c r="X76">
        <v>113001</v>
      </c>
      <c r="Y76">
        <f>INDEX(M:M,MATCH(X76,N:N,0))</f>
        <v>3</v>
      </c>
      <c r="Z76">
        <v>6</v>
      </c>
      <c r="AA76" s="72" t="str">
        <f t="shared" ref="AA76:AH76" si="74">IF(AI76=0,"",INDEX($N$1:$V$76,MATCH($X76,$N$1:$N$76,0),MATCH(AA$1,$N$1:$V$1,0)))</f>
        <v/>
      </c>
      <c r="AB76" s="72" t="str">
        <f t="shared" si="74"/>
        <v/>
      </c>
      <c r="AC76" s="72">
        <f t="shared" si="74"/>
        <v>214112</v>
      </c>
      <c r="AD76" s="72" t="str">
        <f t="shared" si="74"/>
        <v/>
      </c>
      <c r="AE76" s="72">
        <f t="shared" si="74"/>
        <v>215112</v>
      </c>
      <c r="AF76" s="72">
        <f t="shared" si="74"/>
        <v>215009</v>
      </c>
      <c r="AG76" s="72">
        <f t="shared" si="74"/>
        <v>216111</v>
      </c>
      <c r="AH76" s="72" t="str">
        <f t="shared" si="74"/>
        <v/>
      </c>
      <c r="AI76" s="72">
        <f t="array" ref="AI76">INDEX($C$4:$J$16,MATCH($Y76&amp;$Z76,$A$4:$A$16&amp;$B$4:$B$16,0),MATCH(AA$1,$C$2:$J$2,0))</f>
        <v>0</v>
      </c>
      <c r="AJ76" s="72">
        <f t="array" ref="AJ76">INDEX($C$4:$J$16,MATCH($Y76&amp;$Z76,$A$4:$A$16&amp;$B$4:$B$16,0),MATCH(AB$1,$C$2:$J$2,0))</f>
        <v>0</v>
      </c>
      <c r="AK76" s="72">
        <f t="array" ref="AK76">INDEX($C$4:$J$16,MATCH($Y76&amp;$Z76,$A$4:$A$16&amp;$B$4:$B$16,0),MATCH(AC$1,$C$2:$J$2,0))</f>
        <v>48</v>
      </c>
      <c r="AL76" s="72">
        <f t="array" ref="AL76">INDEX($C$4:$J$16,MATCH($Y76&amp;$Z76,$A$4:$A$16&amp;$B$4:$B$16,0),MATCH(AD$1,$C$2:$J$2,0))</f>
        <v>0</v>
      </c>
      <c r="AM76" s="72">
        <f t="array" ref="AM76">INDEX($C$4:$J$16,MATCH($Y76&amp;$Z76,$A$4:$A$16&amp;$B$4:$B$16,0),MATCH(AE$1,$C$2:$J$2,0))</f>
        <v>28</v>
      </c>
      <c r="AN76" s="72">
        <f t="array" ref="AN76">INDEX($C$4:$J$16,MATCH($Y76&amp;$Z76,$A$4:$A$16&amp;$B$4:$B$16,0),MATCH(AF$1,$C$2:$J$2,0))</f>
        <v>28</v>
      </c>
      <c r="AO76" s="72">
        <f t="array" ref="AO76">INDEX($C$4:$J$16,MATCH($Y76&amp;$Z76,$A$4:$A$16&amp;$B$4:$B$16,0),MATCH(AG$1,$C$2:$J$2,0))</f>
        <v>5</v>
      </c>
      <c r="AP76" s="72">
        <f t="array" ref="AP76">INDEX($C$4:$J$16,MATCH($Y76&amp;$Z76,$A$4:$A$16&amp;$B$4:$B$16,0),MATCH(AH$1,$C$2:$J$2,0))</f>
        <v>0</v>
      </c>
      <c r="AQ76" s="72">
        <f t="array" ref="AQ76">INDEX($K$2:$K$16,MATCH(Y76&amp;Z76,$A$2:$A$16&amp;$B$2:$B$16,0))</f>
        <v>900000</v>
      </c>
      <c r="AR76" s="42" t="str">
        <f t="array" ref="AR76">_xlfn.TEXTJOIN(";",1,IF($AA76:$AH76&lt;&gt;"","1001,"&amp;$AA76:$AH76&amp;","&amp;$AI76:$AP76,""))&amp;IF(AQ76=0,"",";"&amp;"5,0,"&amp;AQ76)</f>
        <v>1001,214112,48;1001,215112,28;1001,215009,28;1001,216111,5;5,0,900000</v>
      </c>
      <c r="AS76" s="42">
        <f t="array" ref="AS76">INDEX($A$19:$F$33,MATCH($Y76&amp;$Z76,$A$19:$A$33&amp;$B$19:$B$33,0),MATCH(AS$1,$A$19:$F$19,0))</f>
        <v>1296</v>
      </c>
      <c r="AT76" s="42">
        <f t="array" ref="AT76">INDEX($A$19:$F$33,MATCH($Y76&amp;$Z76,$A$19:$A$33&amp;$B$19:$B$33,0),MATCH(AT$1,$A$19:$F$19,0))</f>
        <v>518.4</v>
      </c>
      <c r="AU76" s="42">
        <f t="array" ref="AU76">INDEX($A$19:$F$33,MATCH($Y76&amp;$Z76,$A$19:$A$33&amp;$B$19:$B$33,0),MATCH(AU$1,$A$19:$F$19,0))</f>
        <v>10368</v>
      </c>
      <c r="AV76" s="42">
        <f t="array" ref="AV76">INDEX($A$19:$F$33,MATCH($Y76&amp;$Z76,$A$19:$A$33&amp;$B$19:$B$33,0),MATCH(AV$1,$A$19:$F$19,0))</f>
        <v>120</v>
      </c>
    </row>
    <row r="77" spans="24:48">
      <c r="X77">
        <v>113002</v>
      </c>
      <c r="Y77">
        <f>INDEX(M:M,MATCH(X77,N:N,0))</f>
        <v>3</v>
      </c>
      <c r="Z77">
        <v>6</v>
      </c>
      <c r="AA77" s="72" t="str">
        <f t="shared" ref="AA77:AH77" si="75">IF(AI77=0,"",INDEX($N$1:$V$76,MATCH($X77,$N$1:$N$76,0),MATCH(AA$1,$N$1:$V$1,0)))</f>
        <v/>
      </c>
      <c r="AB77" s="72" t="str">
        <f t="shared" si="75"/>
        <v/>
      </c>
      <c r="AC77" s="72">
        <f t="shared" si="75"/>
        <v>214113</v>
      </c>
      <c r="AD77" s="72" t="str">
        <f t="shared" si="75"/>
        <v/>
      </c>
      <c r="AE77" s="72">
        <f t="shared" si="75"/>
        <v>215113</v>
      </c>
      <c r="AF77" s="72">
        <f t="shared" si="75"/>
        <v>215112</v>
      </c>
      <c r="AG77" s="72">
        <f t="shared" si="75"/>
        <v>216111</v>
      </c>
      <c r="AH77" s="72" t="str">
        <f t="shared" si="75"/>
        <v/>
      </c>
      <c r="AI77" s="72">
        <f t="array" ref="AI77">INDEX($C$4:$J$16,MATCH($Y77&amp;$Z77,$A$4:$A$16&amp;$B$4:$B$16,0),MATCH(AA$1,$C$2:$J$2,0))</f>
        <v>0</v>
      </c>
      <c r="AJ77" s="72">
        <f t="array" ref="AJ77">INDEX($C$4:$J$16,MATCH($Y77&amp;$Z77,$A$4:$A$16&amp;$B$4:$B$16,0),MATCH(AB$1,$C$2:$J$2,0))</f>
        <v>0</v>
      </c>
      <c r="AK77" s="72">
        <f t="array" ref="AK77">INDEX($C$4:$J$16,MATCH($Y77&amp;$Z77,$A$4:$A$16&amp;$B$4:$B$16,0),MATCH(AC$1,$C$2:$J$2,0))</f>
        <v>48</v>
      </c>
      <c r="AL77" s="72">
        <f t="array" ref="AL77">INDEX($C$4:$J$16,MATCH($Y77&amp;$Z77,$A$4:$A$16&amp;$B$4:$B$16,0),MATCH(AD$1,$C$2:$J$2,0))</f>
        <v>0</v>
      </c>
      <c r="AM77" s="72">
        <f t="array" ref="AM77">INDEX($C$4:$J$16,MATCH($Y77&amp;$Z77,$A$4:$A$16&amp;$B$4:$B$16,0),MATCH(AE$1,$C$2:$J$2,0))</f>
        <v>28</v>
      </c>
      <c r="AN77" s="72">
        <f t="array" ref="AN77">INDEX($C$4:$J$16,MATCH($Y77&amp;$Z77,$A$4:$A$16&amp;$B$4:$B$16,0),MATCH(AF$1,$C$2:$J$2,0))</f>
        <v>28</v>
      </c>
      <c r="AO77" s="72">
        <f t="array" ref="AO77">INDEX($C$4:$J$16,MATCH($Y77&amp;$Z77,$A$4:$A$16&amp;$B$4:$B$16,0),MATCH(AG$1,$C$2:$J$2,0))</f>
        <v>5</v>
      </c>
      <c r="AP77" s="72">
        <f t="array" ref="AP77">INDEX($C$4:$J$16,MATCH($Y77&amp;$Z77,$A$4:$A$16&amp;$B$4:$B$16,0),MATCH(AH$1,$C$2:$J$2,0))</f>
        <v>0</v>
      </c>
      <c r="AQ77" s="72">
        <f t="array" ref="AQ77">INDEX($K$2:$K$16,MATCH(Y77&amp;Z77,$A$2:$A$16&amp;$B$2:$B$16,0))</f>
        <v>900000</v>
      </c>
      <c r="AR77" s="42" t="str">
        <f t="array" ref="AR77">_xlfn.TEXTJOIN(";",1,IF($AA77:$AH77&lt;&gt;"","1001,"&amp;$AA77:$AH77&amp;","&amp;$AI77:$AP77,""))&amp;IF(AQ77=0,"",";"&amp;"5,0,"&amp;AQ77)</f>
        <v>1001,214113,48;1001,215113,28;1001,215112,28;1001,216111,5;5,0,900000</v>
      </c>
      <c r="AS77" s="42">
        <f t="array" ref="AS77">INDEX($A$19:$F$33,MATCH($Y77&amp;$Z77,$A$19:$A$33&amp;$B$19:$B$33,0),MATCH(AS$1,$A$19:$F$19,0))</f>
        <v>1296</v>
      </c>
      <c r="AT77" s="42">
        <f t="array" ref="AT77">INDEX($A$19:$F$33,MATCH($Y77&amp;$Z77,$A$19:$A$33&amp;$B$19:$B$33,0),MATCH(AT$1,$A$19:$F$19,0))</f>
        <v>518.4</v>
      </c>
      <c r="AU77" s="42">
        <f t="array" ref="AU77">INDEX($A$19:$F$33,MATCH($Y77&amp;$Z77,$A$19:$A$33&amp;$B$19:$B$33,0),MATCH(AU$1,$A$19:$F$19,0))</f>
        <v>10368</v>
      </c>
      <c r="AV77" s="42">
        <f t="array" ref="AV77">INDEX($A$19:$F$33,MATCH($Y77&amp;$Z77,$A$19:$A$33&amp;$B$19:$B$33,0),MATCH(AV$1,$A$19:$F$19,0))</f>
        <v>120</v>
      </c>
    </row>
    <row r="78" spans="24:48">
      <c r="X78">
        <v>113003</v>
      </c>
      <c r="Y78">
        <f>INDEX(M:M,MATCH(X78,N:N,0))</f>
        <v>3</v>
      </c>
      <c r="Z78">
        <v>6</v>
      </c>
      <c r="AA78" s="72" t="str">
        <f t="shared" ref="AA78:AH78" si="76">IF(AI78=0,"",INDEX($N$1:$V$76,MATCH($X78,$N$1:$N$76,0),MATCH(AA$1,$N$1:$V$1,0)))</f>
        <v/>
      </c>
      <c r="AB78" s="72" t="str">
        <f t="shared" si="76"/>
        <v/>
      </c>
      <c r="AC78" s="72">
        <f t="shared" si="76"/>
        <v>214114</v>
      </c>
      <c r="AD78" s="72" t="str">
        <f t="shared" si="76"/>
        <v/>
      </c>
      <c r="AE78" s="72">
        <f t="shared" si="76"/>
        <v>215114</v>
      </c>
      <c r="AF78" s="72">
        <f t="shared" si="76"/>
        <v>215113</v>
      </c>
      <c r="AG78" s="72">
        <f t="shared" si="76"/>
        <v>216111</v>
      </c>
      <c r="AH78" s="72" t="str">
        <f t="shared" si="76"/>
        <v/>
      </c>
      <c r="AI78" s="72">
        <f t="array" ref="AI78">INDEX($C$4:$J$16,MATCH($Y78&amp;$Z78,$A$4:$A$16&amp;$B$4:$B$16,0),MATCH(AA$1,$C$2:$J$2,0))</f>
        <v>0</v>
      </c>
      <c r="AJ78" s="72">
        <f t="array" ref="AJ78">INDEX($C$4:$J$16,MATCH($Y78&amp;$Z78,$A$4:$A$16&amp;$B$4:$B$16,0),MATCH(AB$1,$C$2:$J$2,0))</f>
        <v>0</v>
      </c>
      <c r="AK78" s="72">
        <f t="array" ref="AK78">INDEX($C$4:$J$16,MATCH($Y78&amp;$Z78,$A$4:$A$16&amp;$B$4:$B$16,0),MATCH(AC$1,$C$2:$J$2,0))</f>
        <v>48</v>
      </c>
      <c r="AL78" s="72">
        <f t="array" ref="AL78">INDEX($C$4:$J$16,MATCH($Y78&amp;$Z78,$A$4:$A$16&amp;$B$4:$B$16,0),MATCH(AD$1,$C$2:$J$2,0))</f>
        <v>0</v>
      </c>
      <c r="AM78" s="72">
        <f t="array" ref="AM78">INDEX($C$4:$J$16,MATCH($Y78&amp;$Z78,$A$4:$A$16&amp;$B$4:$B$16,0),MATCH(AE$1,$C$2:$J$2,0))</f>
        <v>28</v>
      </c>
      <c r="AN78" s="72">
        <f t="array" ref="AN78">INDEX($C$4:$J$16,MATCH($Y78&amp;$Z78,$A$4:$A$16&amp;$B$4:$B$16,0),MATCH(AF$1,$C$2:$J$2,0))</f>
        <v>28</v>
      </c>
      <c r="AO78" s="72">
        <f t="array" ref="AO78">INDEX($C$4:$J$16,MATCH($Y78&amp;$Z78,$A$4:$A$16&amp;$B$4:$B$16,0),MATCH(AG$1,$C$2:$J$2,0))</f>
        <v>5</v>
      </c>
      <c r="AP78" s="72">
        <f t="array" ref="AP78">INDEX($C$4:$J$16,MATCH($Y78&amp;$Z78,$A$4:$A$16&amp;$B$4:$B$16,0),MATCH(AH$1,$C$2:$J$2,0))</f>
        <v>0</v>
      </c>
      <c r="AQ78" s="72">
        <f t="array" ref="AQ78">INDEX($K$2:$K$16,MATCH(Y78&amp;Z78,$A$2:$A$16&amp;$B$2:$B$16,0))</f>
        <v>900000</v>
      </c>
      <c r="AR78" s="42" t="str">
        <f t="array" ref="AR78">_xlfn.TEXTJOIN(";",1,IF($AA78:$AH78&lt;&gt;"","1001,"&amp;$AA78:$AH78&amp;","&amp;$AI78:$AP78,""))&amp;IF(AQ78=0,"",";"&amp;"5,0,"&amp;AQ78)</f>
        <v>1001,214114,48;1001,215114,28;1001,215113,28;1001,216111,5;5,0,900000</v>
      </c>
      <c r="AS78" s="42">
        <f t="array" ref="AS78">INDEX($A$19:$F$33,MATCH($Y78&amp;$Z78,$A$19:$A$33&amp;$B$19:$B$33,0),MATCH(AS$1,$A$19:$F$19,0))</f>
        <v>1296</v>
      </c>
      <c r="AT78" s="42">
        <f t="array" ref="AT78">INDEX($A$19:$F$33,MATCH($Y78&amp;$Z78,$A$19:$A$33&amp;$B$19:$B$33,0),MATCH(AT$1,$A$19:$F$19,0))</f>
        <v>518.4</v>
      </c>
      <c r="AU78" s="42">
        <f t="array" ref="AU78">INDEX($A$19:$F$33,MATCH($Y78&amp;$Z78,$A$19:$A$33&amp;$B$19:$B$33,0),MATCH(AU$1,$A$19:$F$19,0))</f>
        <v>10368</v>
      </c>
      <c r="AV78" s="42">
        <f t="array" ref="AV78">INDEX($A$19:$F$33,MATCH($Y78&amp;$Z78,$A$19:$A$33&amp;$B$19:$B$33,0),MATCH(AV$1,$A$19:$F$19,0))</f>
        <v>120</v>
      </c>
    </row>
    <row r="79" spans="24:48">
      <c r="X79">
        <v>113004</v>
      </c>
      <c r="Y79">
        <f>INDEX(M:M,MATCH(X79,N:N,0))</f>
        <v>3</v>
      </c>
      <c r="Z79">
        <v>6</v>
      </c>
      <c r="AA79" s="72" t="str">
        <f t="shared" ref="AA79:AH79" si="77">IF(AI79=0,"",INDEX($N$1:$V$76,MATCH($X79,$N$1:$N$76,0),MATCH(AA$1,$N$1:$V$1,0)))</f>
        <v/>
      </c>
      <c r="AB79" s="72" t="str">
        <f t="shared" si="77"/>
        <v/>
      </c>
      <c r="AC79" s="72">
        <f t="shared" si="77"/>
        <v>214111</v>
      </c>
      <c r="AD79" s="72" t="str">
        <f t="shared" si="77"/>
        <v/>
      </c>
      <c r="AE79" s="72">
        <f t="shared" si="77"/>
        <v>215111</v>
      </c>
      <c r="AF79" s="72">
        <f t="shared" si="77"/>
        <v>215114</v>
      </c>
      <c r="AG79" s="72">
        <f t="shared" si="77"/>
        <v>216111</v>
      </c>
      <c r="AH79" s="72" t="str">
        <f t="shared" si="77"/>
        <v/>
      </c>
      <c r="AI79" s="72">
        <f t="array" ref="AI79">INDEX($C$4:$J$16,MATCH($Y79&amp;$Z79,$A$4:$A$16&amp;$B$4:$B$16,0),MATCH(AA$1,$C$2:$J$2,0))</f>
        <v>0</v>
      </c>
      <c r="AJ79" s="72">
        <f t="array" ref="AJ79">INDEX($C$4:$J$16,MATCH($Y79&amp;$Z79,$A$4:$A$16&amp;$B$4:$B$16,0),MATCH(AB$1,$C$2:$J$2,0))</f>
        <v>0</v>
      </c>
      <c r="AK79" s="72">
        <f t="array" ref="AK79">INDEX($C$4:$J$16,MATCH($Y79&amp;$Z79,$A$4:$A$16&amp;$B$4:$B$16,0),MATCH(AC$1,$C$2:$J$2,0))</f>
        <v>48</v>
      </c>
      <c r="AL79" s="72">
        <f t="array" ref="AL79">INDEX($C$4:$J$16,MATCH($Y79&amp;$Z79,$A$4:$A$16&amp;$B$4:$B$16,0),MATCH(AD$1,$C$2:$J$2,0))</f>
        <v>0</v>
      </c>
      <c r="AM79" s="72">
        <f t="array" ref="AM79">INDEX($C$4:$J$16,MATCH($Y79&amp;$Z79,$A$4:$A$16&amp;$B$4:$B$16,0),MATCH(AE$1,$C$2:$J$2,0))</f>
        <v>28</v>
      </c>
      <c r="AN79" s="72">
        <f t="array" ref="AN79">INDEX($C$4:$J$16,MATCH($Y79&amp;$Z79,$A$4:$A$16&amp;$B$4:$B$16,0),MATCH(AF$1,$C$2:$J$2,0))</f>
        <v>28</v>
      </c>
      <c r="AO79" s="72">
        <f t="array" ref="AO79">INDEX($C$4:$J$16,MATCH($Y79&amp;$Z79,$A$4:$A$16&amp;$B$4:$B$16,0),MATCH(AG$1,$C$2:$J$2,0))</f>
        <v>5</v>
      </c>
      <c r="AP79" s="72">
        <f t="array" ref="AP79">INDEX($C$4:$J$16,MATCH($Y79&amp;$Z79,$A$4:$A$16&amp;$B$4:$B$16,0),MATCH(AH$1,$C$2:$J$2,0))</f>
        <v>0</v>
      </c>
      <c r="AQ79" s="72">
        <f t="array" ref="AQ79">INDEX($K$2:$K$16,MATCH(Y79&amp;Z79,$A$2:$A$16&amp;$B$2:$B$16,0))</f>
        <v>900000</v>
      </c>
      <c r="AR79" s="42" t="str">
        <f t="array" ref="AR79">_xlfn.TEXTJOIN(";",1,IF($AA79:$AH79&lt;&gt;"","1001,"&amp;$AA79:$AH79&amp;","&amp;$AI79:$AP79,""))&amp;IF(AQ79=0,"",";"&amp;"5,0,"&amp;AQ79)</f>
        <v>1001,214111,48;1001,215111,28;1001,215114,28;1001,216111,5;5,0,900000</v>
      </c>
      <c r="AS79" s="42">
        <f t="array" ref="AS79">INDEX($A$19:$F$33,MATCH($Y79&amp;$Z79,$A$19:$A$33&amp;$B$19:$B$33,0),MATCH(AS$1,$A$19:$F$19,0))</f>
        <v>1296</v>
      </c>
      <c r="AT79" s="42">
        <f t="array" ref="AT79">INDEX($A$19:$F$33,MATCH($Y79&amp;$Z79,$A$19:$A$33&amp;$B$19:$B$33,0),MATCH(AT$1,$A$19:$F$19,0))</f>
        <v>518.4</v>
      </c>
      <c r="AU79" s="42">
        <f t="array" ref="AU79">INDEX($A$19:$F$33,MATCH($Y79&amp;$Z79,$A$19:$A$33&amp;$B$19:$B$33,0),MATCH(AU$1,$A$19:$F$19,0))</f>
        <v>10368</v>
      </c>
      <c r="AV79" s="42">
        <f t="array" ref="AV79">INDEX($A$19:$F$33,MATCH($Y79&amp;$Z79,$A$19:$A$33&amp;$B$19:$B$33,0),MATCH(AV$1,$A$19:$F$19,0))</f>
        <v>120</v>
      </c>
    </row>
    <row r="80" spans="24:48">
      <c r="X80">
        <v>113005</v>
      </c>
      <c r="Y80">
        <f>INDEX(M:M,MATCH(X80,N:N,0))</f>
        <v>3</v>
      </c>
      <c r="Z80">
        <v>6</v>
      </c>
      <c r="AA80" s="72" t="str">
        <f t="shared" ref="AA80:AH80" si="78">IF(AI80=0,"",INDEX($N$1:$V$76,MATCH($X80,$N$1:$N$76,0),MATCH(AA$1,$N$1:$V$1,0)))</f>
        <v/>
      </c>
      <c r="AB80" s="72" t="str">
        <f t="shared" si="78"/>
        <v/>
      </c>
      <c r="AC80" s="72">
        <f t="shared" si="78"/>
        <v>214009</v>
      </c>
      <c r="AD80" s="72" t="str">
        <f t="shared" si="78"/>
        <v/>
      </c>
      <c r="AE80" s="72">
        <f t="shared" si="78"/>
        <v>215009</v>
      </c>
      <c r="AF80" s="72">
        <f t="shared" si="78"/>
        <v>215111</v>
      </c>
      <c r="AG80" s="72">
        <f t="shared" si="78"/>
        <v>216111</v>
      </c>
      <c r="AH80" s="72" t="str">
        <f t="shared" si="78"/>
        <v/>
      </c>
      <c r="AI80" s="72">
        <f t="array" ref="AI80">INDEX($C$4:$J$16,MATCH($Y80&amp;$Z80,$A$4:$A$16&amp;$B$4:$B$16,0),MATCH(AA$1,$C$2:$J$2,0))</f>
        <v>0</v>
      </c>
      <c r="AJ80" s="72">
        <f t="array" ref="AJ80">INDEX($C$4:$J$16,MATCH($Y80&amp;$Z80,$A$4:$A$16&amp;$B$4:$B$16,0),MATCH(AB$1,$C$2:$J$2,0))</f>
        <v>0</v>
      </c>
      <c r="AK80" s="72">
        <f t="array" ref="AK80">INDEX($C$4:$J$16,MATCH($Y80&amp;$Z80,$A$4:$A$16&amp;$B$4:$B$16,0),MATCH(AC$1,$C$2:$J$2,0))</f>
        <v>48</v>
      </c>
      <c r="AL80" s="72">
        <f t="array" ref="AL80">INDEX($C$4:$J$16,MATCH($Y80&amp;$Z80,$A$4:$A$16&amp;$B$4:$B$16,0),MATCH(AD$1,$C$2:$J$2,0))</f>
        <v>0</v>
      </c>
      <c r="AM80" s="72">
        <f t="array" ref="AM80">INDEX($C$4:$J$16,MATCH($Y80&amp;$Z80,$A$4:$A$16&amp;$B$4:$B$16,0),MATCH(AE$1,$C$2:$J$2,0))</f>
        <v>28</v>
      </c>
      <c r="AN80" s="72">
        <f t="array" ref="AN80">INDEX($C$4:$J$16,MATCH($Y80&amp;$Z80,$A$4:$A$16&amp;$B$4:$B$16,0),MATCH(AF$1,$C$2:$J$2,0))</f>
        <v>28</v>
      </c>
      <c r="AO80" s="72">
        <f t="array" ref="AO80">INDEX($C$4:$J$16,MATCH($Y80&amp;$Z80,$A$4:$A$16&amp;$B$4:$B$16,0),MATCH(AG$1,$C$2:$J$2,0))</f>
        <v>5</v>
      </c>
      <c r="AP80" s="72">
        <f t="array" ref="AP80">INDEX($C$4:$J$16,MATCH($Y80&amp;$Z80,$A$4:$A$16&amp;$B$4:$B$16,0),MATCH(AH$1,$C$2:$J$2,0))</f>
        <v>0</v>
      </c>
      <c r="AQ80" s="72">
        <f t="array" ref="AQ80">INDEX($K$2:$K$16,MATCH(Y80&amp;Z80,$A$2:$A$16&amp;$B$2:$B$16,0))</f>
        <v>900000</v>
      </c>
      <c r="AR80" s="42" t="str">
        <f t="array" ref="AR80">_xlfn.TEXTJOIN(";",1,IF($AA80:$AH80&lt;&gt;"","1001,"&amp;$AA80:$AH80&amp;","&amp;$AI80:$AP80,""))&amp;IF(AQ80=0,"",";"&amp;"5,0,"&amp;AQ80)</f>
        <v>1001,214009,48;1001,215009,28;1001,215111,28;1001,216111,5;5,0,900000</v>
      </c>
      <c r="AS80" s="42">
        <f t="array" ref="AS80">INDEX($A$19:$F$33,MATCH($Y80&amp;$Z80,$A$19:$A$33&amp;$B$19:$B$33,0),MATCH(AS$1,$A$19:$F$19,0))</f>
        <v>1296</v>
      </c>
      <c r="AT80" s="42">
        <f t="array" ref="AT80">INDEX($A$19:$F$33,MATCH($Y80&amp;$Z80,$A$19:$A$33&amp;$B$19:$B$33,0),MATCH(AT$1,$A$19:$F$19,0))</f>
        <v>518.4</v>
      </c>
      <c r="AU80" s="42">
        <f t="array" ref="AU80">INDEX($A$19:$F$33,MATCH($Y80&amp;$Z80,$A$19:$A$33&amp;$B$19:$B$33,0),MATCH(AU$1,$A$19:$F$19,0))</f>
        <v>10368</v>
      </c>
      <c r="AV80" s="42">
        <f t="array" ref="AV80">INDEX($A$19:$F$33,MATCH($Y80&amp;$Z80,$A$19:$A$33&amp;$B$19:$B$33,0),MATCH(AV$1,$A$19:$F$19,0))</f>
        <v>120</v>
      </c>
    </row>
    <row r="81" spans="24:48">
      <c r="X81">
        <v>113006</v>
      </c>
      <c r="Y81">
        <f>INDEX(M:M,MATCH(X81,N:N,0))</f>
        <v>3</v>
      </c>
      <c r="Z81">
        <v>6</v>
      </c>
      <c r="AA81" s="72" t="str">
        <f t="shared" ref="AA81:AH81" si="79">IF(AI81=0,"",INDEX($N$1:$V$76,MATCH($X81,$N$1:$N$76,0),MATCH(AA$1,$N$1:$V$1,0)))</f>
        <v/>
      </c>
      <c r="AB81" s="72" t="str">
        <f t="shared" si="79"/>
        <v/>
      </c>
      <c r="AC81" s="72">
        <f t="shared" si="79"/>
        <v>214112</v>
      </c>
      <c r="AD81" s="72" t="str">
        <f t="shared" si="79"/>
        <v/>
      </c>
      <c r="AE81" s="72">
        <f t="shared" si="79"/>
        <v>215112</v>
      </c>
      <c r="AF81" s="72">
        <f t="shared" si="79"/>
        <v>215009</v>
      </c>
      <c r="AG81" s="72">
        <f t="shared" si="79"/>
        <v>216111</v>
      </c>
      <c r="AH81" s="72" t="str">
        <f t="shared" si="79"/>
        <v/>
      </c>
      <c r="AI81" s="72">
        <f t="array" ref="AI81">INDEX($C$4:$J$16,MATCH($Y81&amp;$Z81,$A$4:$A$16&amp;$B$4:$B$16,0),MATCH(AA$1,$C$2:$J$2,0))</f>
        <v>0</v>
      </c>
      <c r="AJ81" s="72">
        <f t="array" ref="AJ81">INDEX($C$4:$J$16,MATCH($Y81&amp;$Z81,$A$4:$A$16&amp;$B$4:$B$16,0),MATCH(AB$1,$C$2:$J$2,0))</f>
        <v>0</v>
      </c>
      <c r="AK81" s="72">
        <f t="array" ref="AK81">INDEX($C$4:$J$16,MATCH($Y81&amp;$Z81,$A$4:$A$16&amp;$B$4:$B$16,0),MATCH(AC$1,$C$2:$J$2,0))</f>
        <v>48</v>
      </c>
      <c r="AL81" s="72">
        <f t="array" ref="AL81">INDEX($C$4:$J$16,MATCH($Y81&amp;$Z81,$A$4:$A$16&amp;$B$4:$B$16,0),MATCH(AD$1,$C$2:$J$2,0))</f>
        <v>0</v>
      </c>
      <c r="AM81" s="72">
        <f t="array" ref="AM81">INDEX($C$4:$J$16,MATCH($Y81&amp;$Z81,$A$4:$A$16&amp;$B$4:$B$16,0),MATCH(AE$1,$C$2:$J$2,0))</f>
        <v>28</v>
      </c>
      <c r="AN81" s="72">
        <f t="array" ref="AN81">INDEX($C$4:$J$16,MATCH($Y81&amp;$Z81,$A$4:$A$16&amp;$B$4:$B$16,0),MATCH(AF$1,$C$2:$J$2,0))</f>
        <v>28</v>
      </c>
      <c r="AO81" s="72">
        <f t="array" ref="AO81">INDEX($C$4:$J$16,MATCH($Y81&amp;$Z81,$A$4:$A$16&amp;$B$4:$B$16,0),MATCH(AG$1,$C$2:$J$2,0))</f>
        <v>5</v>
      </c>
      <c r="AP81" s="72">
        <f t="array" ref="AP81">INDEX($C$4:$J$16,MATCH($Y81&amp;$Z81,$A$4:$A$16&amp;$B$4:$B$16,0),MATCH(AH$1,$C$2:$J$2,0))</f>
        <v>0</v>
      </c>
      <c r="AQ81" s="72">
        <f t="array" ref="AQ81">INDEX($K$2:$K$16,MATCH(Y81&amp;Z81,$A$2:$A$16&amp;$B$2:$B$16,0))</f>
        <v>900000</v>
      </c>
      <c r="AR81" s="42" t="str">
        <f t="array" ref="AR81">_xlfn.TEXTJOIN(";",1,IF($AA81:$AH81&lt;&gt;"","1001,"&amp;$AA81:$AH81&amp;","&amp;$AI81:$AP81,""))&amp;IF(AQ81=0,"",";"&amp;"5,0,"&amp;AQ81)</f>
        <v>1001,214112,48;1001,215112,28;1001,215009,28;1001,216111,5;5,0,900000</v>
      </c>
      <c r="AS81" s="42">
        <f t="array" ref="AS81">INDEX($A$19:$F$33,MATCH($Y81&amp;$Z81,$A$19:$A$33&amp;$B$19:$B$33,0),MATCH(AS$1,$A$19:$F$19,0))</f>
        <v>1296</v>
      </c>
      <c r="AT81" s="42">
        <f t="array" ref="AT81">INDEX($A$19:$F$33,MATCH($Y81&amp;$Z81,$A$19:$A$33&amp;$B$19:$B$33,0),MATCH(AT$1,$A$19:$F$19,0))</f>
        <v>518.4</v>
      </c>
      <c r="AU81" s="42">
        <f t="array" ref="AU81">INDEX($A$19:$F$33,MATCH($Y81&amp;$Z81,$A$19:$A$33&amp;$B$19:$B$33,0),MATCH(AU$1,$A$19:$F$19,0))</f>
        <v>10368</v>
      </c>
      <c r="AV81" s="42">
        <f t="array" ref="AV81">INDEX($A$19:$F$33,MATCH($Y81&amp;$Z81,$A$19:$A$33&amp;$B$19:$B$33,0),MATCH(AV$1,$A$19:$F$19,0))</f>
        <v>120</v>
      </c>
    </row>
    <row r="82" spans="24:48">
      <c r="X82">
        <v>113007</v>
      </c>
      <c r="Y82">
        <f>INDEX(M:M,MATCH(X82,N:N,0))</f>
        <v>3</v>
      </c>
      <c r="Z82">
        <v>6</v>
      </c>
      <c r="AA82" s="72" t="str">
        <f t="shared" ref="AA82:AH82" si="80">IF(AI82=0,"",INDEX($N$1:$V$76,MATCH($X82,$N$1:$N$76,0),MATCH(AA$1,$N$1:$V$1,0)))</f>
        <v/>
      </c>
      <c r="AB82" s="72" t="str">
        <f t="shared" si="80"/>
        <v/>
      </c>
      <c r="AC82" s="72">
        <f t="shared" si="80"/>
        <v>214113</v>
      </c>
      <c r="AD82" s="72" t="str">
        <f t="shared" si="80"/>
        <v/>
      </c>
      <c r="AE82" s="72">
        <f t="shared" si="80"/>
        <v>215113</v>
      </c>
      <c r="AF82" s="72">
        <f t="shared" si="80"/>
        <v>215112</v>
      </c>
      <c r="AG82" s="72">
        <f t="shared" si="80"/>
        <v>216111</v>
      </c>
      <c r="AH82" s="72" t="str">
        <f t="shared" si="80"/>
        <v/>
      </c>
      <c r="AI82" s="72">
        <f t="array" ref="AI82">INDEX($C$4:$J$16,MATCH($Y82&amp;$Z82,$A$4:$A$16&amp;$B$4:$B$16,0),MATCH(AA$1,$C$2:$J$2,0))</f>
        <v>0</v>
      </c>
      <c r="AJ82" s="72">
        <f t="array" ref="AJ82">INDEX($C$4:$J$16,MATCH($Y82&amp;$Z82,$A$4:$A$16&amp;$B$4:$B$16,0),MATCH(AB$1,$C$2:$J$2,0))</f>
        <v>0</v>
      </c>
      <c r="AK82" s="72">
        <f t="array" ref="AK82">INDEX($C$4:$J$16,MATCH($Y82&amp;$Z82,$A$4:$A$16&amp;$B$4:$B$16,0),MATCH(AC$1,$C$2:$J$2,0))</f>
        <v>48</v>
      </c>
      <c r="AL82" s="72">
        <f t="array" ref="AL82">INDEX($C$4:$J$16,MATCH($Y82&amp;$Z82,$A$4:$A$16&amp;$B$4:$B$16,0),MATCH(AD$1,$C$2:$J$2,0))</f>
        <v>0</v>
      </c>
      <c r="AM82" s="72">
        <f t="array" ref="AM82">INDEX($C$4:$J$16,MATCH($Y82&amp;$Z82,$A$4:$A$16&amp;$B$4:$B$16,0),MATCH(AE$1,$C$2:$J$2,0))</f>
        <v>28</v>
      </c>
      <c r="AN82" s="72">
        <f t="array" ref="AN82">INDEX($C$4:$J$16,MATCH($Y82&amp;$Z82,$A$4:$A$16&amp;$B$4:$B$16,0),MATCH(AF$1,$C$2:$J$2,0))</f>
        <v>28</v>
      </c>
      <c r="AO82" s="72">
        <f t="array" ref="AO82">INDEX($C$4:$J$16,MATCH($Y82&amp;$Z82,$A$4:$A$16&amp;$B$4:$B$16,0),MATCH(AG$1,$C$2:$J$2,0))</f>
        <v>5</v>
      </c>
      <c r="AP82" s="72">
        <f t="array" ref="AP82">INDEX($C$4:$J$16,MATCH($Y82&amp;$Z82,$A$4:$A$16&amp;$B$4:$B$16,0),MATCH(AH$1,$C$2:$J$2,0))</f>
        <v>0</v>
      </c>
      <c r="AQ82" s="72">
        <f t="array" ref="AQ82">INDEX($K$2:$K$16,MATCH(Y82&amp;Z82,$A$2:$A$16&amp;$B$2:$B$16,0))</f>
        <v>900000</v>
      </c>
      <c r="AR82" s="42" t="str">
        <f t="array" ref="AR82">_xlfn.TEXTJOIN(";",1,IF($AA82:$AH82&lt;&gt;"","1001,"&amp;$AA82:$AH82&amp;","&amp;$AI82:$AP82,""))&amp;IF(AQ82=0,"",";"&amp;"5,0,"&amp;AQ82)</f>
        <v>1001,214113,48;1001,215113,28;1001,215112,28;1001,216111,5;5,0,900000</v>
      </c>
      <c r="AS82" s="42">
        <f t="array" ref="AS82">INDEX($A$19:$F$33,MATCH($Y82&amp;$Z82,$A$19:$A$33&amp;$B$19:$B$33,0),MATCH(AS$1,$A$19:$F$19,0))</f>
        <v>1296</v>
      </c>
      <c r="AT82" s="42">
        <f t="array" ref="AT82">INDEX($A$19:$F$33,MATCH($Y82&amp;$Z82,$A$19:$A$33&amp;$B$19:$B$33,0),MATCH(AT$1,$A$19:$F$19,0))</f>
        <v>518.4</v>
      </c>
      <c r="AU82" s="42">
        <f t="array" ref="AU82">INDEX($A$19:$F$33,MATCH($Y82&amp;$Z82,$A$19:$A$33&amp;$B$19:$B$33,0),MATCH(AU$1,$A$19:$F$19,0))</f>
        <v>10368</v>
      </c>
      <c r="AV82" s="42">
        <f t="array" ref="AV82">INDEX($A$19:$F$33,MATCH($Y82&amp;$Z82,$A$19:$A$33&amp;$B$19:$B$33,0),MATCH(AV$1,$A$19:$F$19,0))</f>
        <v>120</v>
      </c>
    </row>
    <row r="83" spans="24:48">
      <c r="X83">
        <v>113008</v>
      </c>
      <c r="Y83">
        <f>INDEX(M:M,MATCH(X83,N:N,0))</f>
        <v>3</v>
      </c>
      <c r="Z83">
        <v>6</v>
      </c>
      <c r="AA83" s="72" t="str">
        <f t="shared" ref="AA83:AH83" si="81">IF(AI83=0,"",INDEX($N$1:$V$76,MATCH($X83,$N$1:$N$76,0),MATCH(AA$1,$N$1:$V$1,0)))</f>
        <v/>
      </c>
      <c r="AB83" s="72" t="str">
        <f t="shared" si="81"/>
        <v/>
      </c>
      <c r="AC83" s="72">
        <f t="shared" si="81"/>
        <v>214114</v>
      </c>
      <c r="AD83" s="72" t="str">
        <f t="shared" si="81"/>
        <v/>
      </c>
      <c r="AE83" s="72">
        <f t="shared" si="81"/>
        <v>215114</v>
      </c>
      <c r="AF83" s="72">
        <f t="shared" si="81"/>
        <v>215113</v>
      </c>
      <c r="AG83" s="72">
        <f t="shared" si="81"/>
        <v>216111</v>
      </c>
      <c r="AH83" s="72" t="str">
        <f t="shared" si="81"/>
        <v/>
      </c>
      <c r="AI83" s="72">
        <f t="array" ref="AI83">INDEX($C$4:$J$16,MATCH($Y83&amp;$Z83,$A$4:$A$16&amp;$B$4:$B$16,0),MATCH(AA$1,$C$2:$J$2,0))</f>
        <v>0</v>
      </c>
      <c r="AJ83" s="72">
        <f t="array" ref="AJ83">INDEX($C$4:$J$16,MATCH($Y83&amp;$Z83,$A$4:$A$16&amp;$B$4:$B$16,0),MATCH(AB$1,$C$2:$J$2,0))</f>
        <v>0</v>
      </c>
      <c r="AK83" s="72">
        <f t="array" ref="AK83">INDEX($C$4:$J$16,MATCH($Y83&amp;$Z83,$A$4:$A$16&amp;$B$4:$B$16,0),MATCH(AC$1,$C$2:$J$2,0))</f>
        <v>48</v>
      </c>
      <c r="AL83" s="72">
        <f t="array" ref="AL83">INDEX($C$4:$J$16,MATCH($Y83&amp;$Z83,$A$4:$A$16&amp;$B$4:$B$16,0),MATCH(AD$1,$C$2:$J$2,0))</f>
        <v>0</v>
      </c>
      <c r="AM83" s="72">
        <f t="array" ref="AM83">INDEX($C$4:$J$16,MATCH($Y83&amp;$Z83,$A$4:$A$16&amp;$B$4:$B$16,0),MATCH(AE$1,$C$2:$J$2,0))</f>
        <v>28</v>
      </c>
      <c r="AN83" s="72">
        <f t="array" ref="AN83">INDEX($C$4:$J$16,MATCH($Y83&amp;$Z83,$A$4:$A$16&amp;$B$4:$B$16,0),MATCH(AF$1,$C$2:$J$2,0))</f>
        <v>28</v>
      </c>
      <c r="AO83" s="72">
        <f t="array" ref="AO83">INDEX($C$4:$J$16,MATCH($Y83&amp;$Z83,$A$4:$A$16&amp;$B$4:$B$16,0),MATCH(AG$1,$C$2:$J$2,0))</f>
        <v>5</v>
      </c>
      <c r="AP83" s="72">
        <f t="array" ref="AP83">INDEX($C$4:$J$16,MATCH($Y83&amp;$Z83,$A$4:$A$16&amp;$B$4:$B$16,0),MATCH(AH$1,$C$2:$J$2,0))</f>
        <v>0</v>
      </c>
      <c r="AQ83" s="72">
        <f t="array" ref="AQ83">INDEX($K$2:$K$16,MATCH(Y83&amp;Z83,$A$2:$A$16&amp;$B$2:$B$16,0))</f>
        <v>900000</v>
      </c>
      <c r="AR83" s="42" t="str">
        <f t="array" ref="AR83">_xlfn.TEXTJOIN(";",1,IF($AA83:$AH83&lt;&gt;"","1001,"&amp;$AA83:$AH83&amp;","&amp;$AI83:$AP83,""))&amp;IF(AQ83=0,"",";"&amp;"5,0,"&amp;AQ83)</f>
        <v>1001,214114,48;1001,215114,28;1001,215113,28;1001,216111,5;5,0,900000</v>
      </c>
      <c r="AS83" s="42">
        <f t="array" ref="AS83">INDEX($A$19:$F$33,MATCH($Y83&amp;$Z83,$A$19:$A$33&amp;$B$19:$B$33,0),MATCH(AS$1,$A$19:$F$19,0))</f>
        <v>1296</v>
      </c>
      <c r="AT83" s="42">
        <f t="array" ref="AT83">INDEX($A$19:$F$33,MATCH($Y83&amp;$Z83,$A$19:$A$33&amp;$B$19:$B$33,0),MATCH(AT$1,$A$19:$F$19,0))</f>
        <v>518.4</v>
      </c>
      <c r="AU83" s="42">
        <f t="array" ref="AU83">INDEX($A$19:$F$33,MATCH($Y83&amp;$Z83,$A$19:$A$33&amp;$B$19:$B$33,0),MATCH(AU$1,$A$19:$F$19,0))</f>
        <v>10368</v>
      </c>
      <c r="AV83" s="42">
        <f t="array" ref="AV83">INDEX($A$19:$F$33,MATCH($Y83&amp;$Z83,$A$19:$A$33&amp;$B$19:$B$33,0),MATCH(AV$1,$A$19:$F$19,0))</f>
        <v>120</v>
      </c>
    </row>
    <row r="84" spans="24:48">
      <c r="X84">
        <v>113009</v>
      </c>
      <c r="Y84">
        <f>INDEX(M:M,MATCH(X84,N:N,0))</f>
        <v>3</v>
      </c>
      <c r="Z84">
        <v>6</v>
      </c>
      <c r="AA84" s="72" t="str">
        <f t="shared" ref="AA84:AH84" si="82">IF(AI84=0,"",INDEX($N$1:$V$76,MATCH($X84,$N$1:$N$76,0),MATCH(AA$1,$N$1:$V$1,0)))</f>
        <v/>
      </c>
      <c r="AB84" s="72" t="str">
        <f t="shared" si="82"/>
        <v/>
      </c>
      <c r="AC84" s="72">
        <f t="shared" si="82"/>
        <v>214111</v>
      </c>
      <c r="AD84" s="72" t="str">
        <f t="shared" si="82"/>
        <v/>
      </c>
      <c r="AE84" s="72">
        <f t="shared" si="82"/>
        <v>215111</v>
      </c>
      <c r="AF84" s="72">
        <f t="shared" si="82"/>
        <v>215114</v>
      </c>
      <c r="AG84" s="72">
        <f t="shared" si="82"/>
        <v>216111</v>
      </c>
      <c r="AH84" s="72" t="str">
        <f t="shared" si="82"/>
        <v/>
      </c>
      <c r="AI84" s="72">
        <f t="array" ref="AI84">INDEX($C$4:$J$16,MATCH($Y84&amp;$Z84,$A$4:$A$16&amp;$B$4:$B$16,0),MATCH(AA$1,$C$2:$J$2,0))</f>
        <v>0</v>
      </c>
      <c r="AJ84" s="72">
        <f t="array" ref="AJ84">INDEX($C$4:$J$16,MATCH($Y84&amp;$Z84,$A$4:$A$16&amp;$B$4:$B$16,0),MATCH(AB$1,$C$2:$J$2,0))</f>
        <v>0</v>
      </c>
      <c r="AK84" s="72">
        <f t="array" ref="AK84">INDEX($C$4:$J$16,MATCH($Y84&amp;$Z84,$A$4:$A$16&amp;$B$4:$B$16,0),MATCH(AC$1,$C$2:$J$2,0))</f>
        <v>48</v>
      </c>
      <c r="AL84" s="72">
        <f t="array" ref="AL84">INDEX($C$4:$J$16,MATCH($Y84&amp;$Z84,$A$4:$A$16&amp;$B$4:$B$16,0),MATCH(AD$1,$C$2:$J$2,0))</f>
        <v>0</v>
      </c>
      <c r="AM84" s="72">
        <f t="array" ref="AM84">INDEX($C$4:$J$16,MATCH($Y84&amp;$Z84,$A$4:$A$16&amp;$B$4:$B$16,0),MATCH(AE$1,$C$2:$J$2,0))</f>
        <v>28</v>
      </c>
      <c r="AN84" s="72">
        <f t="array" ref="AN84">INDEX($C$4:$J$16,MATCH($Y84&amp;$Z84,$A$4:$A$16&amp;$B$4:$B$16,0),MATCH(AF$1,$C$2:$J$2,0))</f>
        <v>28</v>
      </c>
      <c r="AO84" s="72">
        <f t="array" ref="AO84">INDEX($C$4:$J$16,MATCH($Y84&amp;$Z84,$A$4:$A$16&amp;$B$4:$B$16,0),MATCH(AG$1,$C$2:$J$2,0))</f>
        <v>5</v>
      </c>
      <c r="AP84" s="72">
        <f t="array" ref="AP84">INDEX($C$4:$J$16,MATCH($Y84&amp;$Z84,$A$4:$A$16&amp;$B$4:$B$16,0),MATCH(AH$1,$C$2:$J$2,0))</f>
        <v>0</v>
      </c>
      <c r="AQ84" s="72">
        <f t="array" ref="AQ84">INDEX($K$2:$K$16,MATCH(Y84&amp;Z84,$A$2:$A$16&amp;$B$2:$B$16,0))</f>
        <v>900000</v>
      </c>
      <c r="AR84" s="42" t="str">
        <f t="array" ref="AR84">_xlfn.TEXTJOIN(";",1,IF($AA84:$AH84&lt;&gt;"","1001,"&amp;$AA84:$AH84&amp;","&amp;$AI84:$AP84,""))&amp;IF(AQ84=0,"",";"&amp;"5,0,"&amp;AQ84)</f>
        <v>1001,214111,48;1001,215111,28;1001,215114,28;1001,216111,5;5,0,900000</v>
      </c>
      <c r="AS84" s="42">
        <f t="array" ref="AS84">INDEX($A$19:$F$33,MATCH($Y84&amp;$Z84,$A$19:$A$33&amp;$B$19:$B$33,0),MATCH(AS$1,$A$19:$F$19,0))</f>
        <v>1296</v>
      </c>
      <c r="AT84" s="42">
        <f t="array" ref="AT84">INDEX($A$19:$F$33,MATCH($Y84&amp;$Z84,$A$19:$A$33&amp;$B$19:$B$33,0),MATCH(AT$1,$A$19:$F$19,0))</f>
        <v>518.4</v>
      </c>
      <c r="AU84" s="42">
        <f t="array" ref="AU84">INDEX($A$19:$F$33,MATCH($Y84&amp;$Z84,$A$19:$A$33&amp;$B$19:$B$33,0),MATCH(AU$1,$A$19:$F$19,0))</f>
        <v>10368</v>
      </c>
      <c r="AV84" s="42">
        <f t="array" ref="AV84">INDEX($A$19:$F$33,MATCH($Y84&amp;$Z84,$A$19:$A$33&amp;$B$19:$B$33,0),MATCH(AV$1,$A$19:$F$19,0))</f>
        <v>120</v>
      </c>
    </row>
    <row r="85" spans="24:48">
      <c r="X85">
        <v>113010</v>
      </c>
      <c r="Y85">
        <f>INDEX(M:M,MATCH(X85,N:N,0))</f>
        <v>3</v>
      </c>
      <c r="Z85">
        <v>6</v>
      </c>
      <c r="AA85" s="72" t="str">
        <f t="shared" ref="AA85:AH85" si="83">IF(AI85=0,"",INDEX($N$1:$V$76,MATCH($X85,$N$1:$N$76,0),MATCH(AA$1,$N$1:$V$1,0)))</f>
        <v/>
      </c>
      <c r="AB85" s="72" t="str">
        <f t="shared" si="83"/>
        <v/>
      </c>
      <c r="AC85" s="72">
        <f t="shared" si="83"/>
        <v>214009</v>
      </c>
      <c r="AD85" s="72" t="str">
        <f t="shared" si="83"/>
        <v/>
      </c>
      <c r="AE85" s="72">
        <f t="shared" si="83"/>
        <v>215009</v>
      </c>
      <c r="AF85" s="72">
        <f t="shared" si="83"/>
        <v>215111</v>
      </c>
      <c r="AG85" s="72">
        <f t="shared" si="83"/>
        <v>216111</v>
      </c>
      <c r="AH85" s="72" t="str">
        <f t="shared" si="83"/>
        <v/>
      </c>
      <c r="AI85" s="72">
        <f t="array" ref="AI85">INDEX($C$4:$J$16,MATCH($Y85&amp;$Z85,$A$4:$A$16&amp;$B$4:$B$16,0),MATCH(AA$1,$C$2:$J$2,0))</f>
        <v>0</v>
      </c>
      <c r="AJ85" s="72">
        <f t="array" ref="AJ85">INDEX($C$4:$J$16,MATCH($Y85&amp;$Z85,$A$4:$A$16&amp;$B$4:$B$16,0),MATCH(AB$1,$C$2:$J$2,0))</f>
        <v>0</v>
      </c>
      <c r="AK85" s="72">
        <f t="array" ref="AK85">INDEX($C$4:$J$16,MATCH($Y85&amp;$Z85,$A$4:$A$16&amp;$B$4:$B$16,0),MATCH(AC$1,$C$2:$J$2,0))</f>
        <v>48</v>
      </c>
      <c r="AL85" s="72">
        <f t="array" ref="AL85">INDEX($C$4:$J$16,MATCH($Y85&amp;$Z85,$A$4:$A$16&amp;$B$4:$B$16,0),MATCH(AD$1,$C$2:$J$2,0))</f>
        <v>0</v>
      </c>
      <c r="AM85" s="72">
        <f t="array" ref="AM85">INDEX($C$4:$J$16,MATCH($Y85&amp;$Z85,$A$4:$A$16&amp;$B$4:$B$16,0),MATCH(AE$1,$C$2:$J$2,0))</f>
        <v>28</v>
      </c>
      <c r="AN85" s="72">
        <f t="array" ref="AN85">INDEX($C$4:$J$16,MATCH($Y85&amp;$Z85,$A$4:$A$16&amp;$B$4:$B$16,0),MATCH(AF$1,$C$2:$J$2,0))</f>
        <v>28</v>
      </c>
      <c r="AO85" s="72">
        <f t="array" ref="AO85">INDEX($C$4:$J$16,MATCH($Y85&amp;$Z85,$A$4:$A$16&amp;$B$4:$B$16,0),MATCH(AG$1,$C$2:$J$2,0))</f>
        <v>5</v>
      </c>
      <c r="AP85" s="72">
        <f t="array" ref="AP85">INDEX($C$4:$J$16,MATCH($Y85&amp;$Z85,$A$4:$A$16&amp;$B$4:$B$16,0),MATCH(AH$1,$C$2:$J$2,0))</f>
        <v>0</v>
      </c>
      <c r="AQ85" s="72">
        <f t="array" ref="AQ85">INDEX($K$2:$K$16,MATCH(Y85&amp;Z85,$A$2:$A$16&amp;$B$2:$B$16,0))</f>
        <v>900000</v>
      </c>
      <c r="AR85" s="42" t="str">
        <f t="array" ref="AR85">_xlfn.TEXTJOIN(";",1,IF($AA85:$AH85&lt;&gt;"","1001,"&amp;$AA85:$AH85&amp;","&amp;$AI85:$AP85,""))&amp;IF(AQ85=0,"",";"&amp;"5,0,"&amp;AQ85)</f>
        <v>1001,214009,48;1001,215009,28;1001,215111,28;1001,216111,5;5,0,900000</v>
      </c>
      <c r="AS85" s="42">
        <f t="array" ref="AS85">INDEX($A$19:$F$33,MATCH($Y85&amp;$Z85,$A$19:$A$33&amp;$B$19:$B$33,0),MATCH(AS$1,$A$19:$F$19,0))</f>
        <v>1296</v>
      </c>
      <c r="AT85" s="42">
        <f t="array" ref="AT85">INDEX($A$19:$F$33,MATCH($Y85&amp;$Z85,$A$19:$A$33&amp;$B$19:$B$33,0),MATCH(AT$1,$A$19:$F$19,0))</f>
        <v>518.4</v>
      </c>
      <c r="AU85" s="42">
        <f t="array" ref="AU85">INDEX($A$19:$F$33,MATCH($Y85&amp;$Z85,$A$19:$A$33&amp;$B$19:$B$33,0),MATCH(AU$1,$A$19:$F$19,0))</f>
        <v>10368</v>
      </c>
      <c r="AV85" s="42">
        <f t="array" ref="AV85">INDEX($A$19:$F$33,MATCH($Y85&amp;$Z85,$A$19:$A$33&amp;$B$19:$B$33,0),MATCH(AV$1,$A$19:$F$19,0))</f>
        <v>120</v>
      </c>
    </row>
    <row r="86" spans="24:48">
      <c r="X86">
        <v>113011</v>
      </c>
      <c r="Y86">
        <f>INDEX(M:M,MATCH(X86,N:N,0))</f>
        <v>3</v>
      </c>
      <c r="Z86">
        <v>6</v>
      </c>
      <c r="AA86" s="72" t="str">
        <f t="shared" ref="AA86:AH86" si="84">IF(AI86=0,"",INDEX($N$1:$V$76,MATCH($X86,$N$1:$N$76,0),MATCH(AA$1,$N$1:$V$1,0)))</f>
        <v/>
      </c>
      <c r="AB86" s="72" t="str">
        <f t="shared" si="84"/>
        <v/>
      </c>
      <c r="AC86" s="72">
        <f t="shared" si="84"/>
        <v>214009</v>
      </c>
      <c r="AD86" s="72" t="str">
        <f t="shared" si="84"/>
        <v/>
      </c>
      <c r="AE86" s="72">
        <f t="shared" si="84"/>
        <v>215009</v>
      </c>
      <c r="AF86" s="72">
        <f t="shared" si="84"/>
        <v>215111</v>
      </c>
      <c r="AG86" s="72">
        <f t="shared" si="84"/>
        <v>216111</v>
      </c>
      <c r="AH86" s="72" t="str">
        <f t="shared" si="84"/>
        <v/>
      </c>
      <c r="AI86" s="72">
        <f t="array" ref="AI86">INDEX($C$4:$J$16,MATCH($Y86&amp;$Z86,$A$4:$A$16&amp;$B$4:$B$16,0),MATCH(AA$1,$C$2:$J$2,0))</f>
        <v>0</v>
      </c>
      <c r="AJ86" s="72">
        <f t="array" ref="AJ86">INDEX($C$4:$J$16,MATCH($Y86&amp;$Z86,$A$4:$A$16&amp;$B$4:$B$16,0),MATCH(AB$1,$C$2:$J$2,0))</f>
        <v>0</v>
      </c>
      <c r="AK86" s="72">
        <f t="array" ref="AK86">INDEX($C$4:$J$16,MATCH($Y86&amp;$Z86,$A$4:$A$16&amp;$B$4:$B$16,0),MATCH(AC$1,$C$2:$J$2,0))</f>
        <v>48</v>
      </c>
      <c r="AL86" s="72">
        <f t="array" ref="AL86">INDEX($C$4:$J$16,MATCH($Y86&amp;$Z86,$A$4:$A$16&amp;$B$4:$B$16,0),MATCH(AD$1,$C$2:$J$2,0))</f>
        <v>0</v>
      </c>
      <c r="AM86" s="72">
        <f t="array" ref="AM86">INDEX($C$4:$J$16,MATCH($Y86&amp;$Z86,$A$4:$A$16&amp;$B$4:$B$16,0),MATCH(AE$1,$C$2:$J$2,0))</f>
        <v>28</v>
      </c>
      <c r="AN86" s="72">
        <f t="array" ref="AN86">INDEX($C$4:$J$16,MATCH($Y86&amp;$Z86,$A$4:$A$16&amp;$B$4:$B$16,0),MATCH(AF$1,$C$2:$J$2,0))</f>
        <v>28</v>
      </c>
      <c r="AO86" s="72">
        <f t="array" ref="AO86">INDEX($C$4:$J$16,MATCH($Y86&amp;$Z86,$A$4:$A$16&amp;$B$4:$B$16,0),MATCH(AG$1,$C$2:$J$2,0))</f>
        <v>5</v>
      </c>
      <c r="AP86" s="72">
        <f t="array" ref="AP86">INDEX($C$4:$J$16,MATCH($Y86&amp;$Z86,$A$4:$A$16&amp;$B$4:$B$16,0),MATCH(AH$1,$C$2:$J$2,0))</f>
        <v>0</v>
      </c>
      <c r="AQ86" s="72">
        <f t="array" ref="AQ86">INDEX($K$2:$K$16,MATCH(Y86&amp;Z86,$A$2:$A$16&amp;$B$2:$B$16,0))</f>
        <v>900000</v>
      </c>
      <c r="AR86" s="42" t="str">
        <f t="array" ref="AR86">_xlfn.TEXTJOIN(";",1,IF($AA86:$AH86&lt;&gt;"","1001,"&amp;$AA86:$AH86&amp;","&amp;$AI86:$AP86,""))&amp;IF(AQ86=0,"",";"&amp;"5,0,"&amp;AQ86)</f>
        <v>1001,214009,48;1001,215009,28;1001,215111,28;1001,216111,5;5,0,900000</v>
      </c>
      <c r="AS86" s="42">
        <f t="array" ref="AS86">INDEX($A$19:$F$33,MATCH($Y86&amp;$Z86,$A$19:$A$33&amp;$B$19:$B$33,0),MATCH(AS$1,$A$19:$F$19,0))</f>
        <v>1296</v>
      </c>
      <c r="AT86" s="42">
        <f t="array" ref="AT86">INDEX($A$19:$F$33,MATCH($Y86&amp;$Z86,$A$19:$A$33&amp;$B$19:$B$33,0),MATCH(AT$1,$A$19:$F$19,0))</f>
        <v>518.4</v>
      </c>
      <c r="AU86" s="42">
        <f t="array" ref="AU86">INDEX($A$19:$F$33,MATCH($Y86&amp;$Z86,$A$19:$A$33&amp;$B$19:$B$33,0),MATCH(AU$1,$A$19:$F$19,0))</f>
        <v>10368</v>
      </c>
      <c r="AV86" s="42">
        <f t="array" ref="AV86">INDEX($A$19:$F$33,MATCH($Y86&amp;$Z86,$A$19:$A$33&amp;$B$19:$B$33,0),MATCH(AV$1,$A$19:$F$19,0))</f>
        <v>120</v>
      </c>
    </row>
    <row r="87" spans="24:48">
      <c r="X87">
        <v>113012</v>
      </c>
      <c r="Y87">
        <f>INDEX(M:M,MATCH(X87,N:N,0))</f>
        <v>3</v>
      </c>
      <c r="Z87">
        <v>6</v>
      </c>
      <c r="AA87" s="72" t="str">
        <f t="shared" ref="AA87:AH87" si="85">IF(AI87=0,"",INDEX($N$1:$V$76,MATCH($X87,$N$1:$N$76,0),MATCH(AA$1,$N$1:$V$1,0)))</f>
        <v/>
      </c>
      <c r="AB87" s="72" t="str">
        <f t="shared" si="85"/>
        <v/>
      </c>
      <c r="AC87" s="72">
        <f t="shared" si="85"/>
        <v>214112</v>
      </c>
      <c r="AD87" s="72" t="str">
        <f t="shared" si="85"/>
        <v/>
      </c>
      <c r="AE87" s="72">
        <f t="shared" si="85"/>
        <v>215112</v>
      </c>
      <c r="AF87" s="72">
        <f t="shared" si="85"/>
        <v>215009</v>
      </c>
      <c r="AG87" s="72">
        <f t="shared" si="85"/>
        <v>216111</v>
      </c>
      <c r="AH87" s="72" t="str">
        <f t="shared" si="85"/>
        <v/>
      </c>
      <c r="AI87" s="72">
        <f t="array" ref="AI87">INDEX($C$4:$J$16,MATCH($Y87&amp;$Z87,$A$4:$A$16&amp;$B$4:$B$16,0),MATCH(AA$1,$C$2:$J$2,0))</f>
        <v>0</v>
      </c>
      <c r="AJ87" s="72">
        <f t="array" ref="AJ87">INDEX($C$4:$J$16,MATCH($Y87&amp;$Z87,$A$4:$A$16&amp;$B$4:$B$16,0),MATCH(AB$1,$C$2:$J$2,0))</f>
        <v>0</v>
      </c>
      <c r="AK87" s="72">
        <f t="array" ref="AK87">INDEX($C$4:$J$16,MATCH($Y87&amp;$Z87,$A$4:$A$16&amp;$B$4:$B$16,0),MATCH(AC$1,$C$2:$J$2,0))</f>
        <v>48</v>
      </c>
      <c r="AL87" s="72">
        <f t="array" ref="AL87">INDEX($C$4:$J$16,MATCH($Y87&amp;$Z87,$A$4:$A$16&amp;$B$4:$B$16,0),MATCH(AD$1,$C$2:$J$2,0))</f>
        <v>0</v>
      </c>
      <c r="AM87" s="72">
        <f t="array" ref="AM87">INDEX($C$4:$J$16,MATCH($Y87&amp;$Z87,$A$4:$A$16&amp;$B$4:$B$16,0),MATCH(AE$1,$C$2:$J$2,0))</f>
        <v>28</v>
      </c>
      <c r="AN87" s="72">
        <f t="array" ref="AN87">INDEX($C$4:$J$16,MATCH($Y87&amp;$Z87,$A$4:$A$16&amp;$B$4:$B$16,0),MATCH(AF$1,$C$2:$J$2,0))</f>
        <v>28</v>
      </c>
      <c r="AO87" s="72">
        <f t="array" ref="AO87">INDEX($C$4:$J$16,MATCH($Y87&amp;$Z87,$A$4:$A$16&amp;$B$4:$B$16,0),MATCH(AG$1,$C$2:$J$2,0))</f>
        <v>5</v>
      </c>
      <c r="AP87" s="72">
        <f t="array" ref="AP87">INDEX($C$4:$J$16,MATCH($Y87&amp;$Z87,$A$4:$A$16&amp;$B$4:$B$16,0),MATCH(AH$1,$C$2:$J$2,0))</f>
        <v>0</v>
      </c>
      <c r="AQ87" s="72">
        <f t="array" ref="AQ87">INDEX($K$2:$K$16,MATCH(Y87&amp;Z87,$A$2:$A$16&amp;$B$2:$B$16,0))</f>
        <v>900000</v>
      </c>
      <c r="AR87" s="42" t="str">
        <f t="array" ref="AR87">_xlfn.TEXTJOIN(";",1,IF($AA87:$AH87&lt;&gt;"","1001,"&amp;$AA87:$AH87&amp;","&amp;$AI87:$AP87,""))&amp;IF(AQ87=0,"",";"&amp;"5,0,"&amp;AQ87)</f>
        <v>1001,214112,48;1001,215112,28;1001,215009,28;1001,216111,5;5,0,900000</v>
      </c>
      <c r="AS87" s="42">
        <f t="array" ref="AS87">INDEX($A$19:$F$33,MATCH($Y87&amp;$Z87,$A$19:$A$33&amp;$B$19:$B$33,0),MATCH(AS$1,$A$19:$F$19,0))</f>
        <v>1296</v>
      </c>
      <c r="AT87" s="42">
        <f t="array" ref="AT87">INDEX($A$19:$F$33,MATCH($Y87&amp;$Z87,$A$19:$A$33&amp;$B$19:$B$33,0),MATCH(AT$1,$A$19:$F$19,0))</f>
        <v>518.4</v>
      </c>
      <c r="AU87" s="42">
        <f t="array" ref="AU87">INDEX($A$19:$F$33,MATCH($Y87&amp;$Z87,$A$19:$A$33&amp;$B$19:$B$33,0),MATCH(AU$1,$A$19:$F$19,0))</f>
        <v>10368</v>
      </c>
      <c r="AV87" s="42">
        <f t="array" ref="AV87">INDEX($A$19:$F$33,MATCH($Y87&amp;$Z87,$A$19:$A$33&amp;$B$19:$B$33,0),MATCH(AV$1,$A$19:$F$19,0))</f>
        <v>120</v>
      </c>
    </row>
    <row r="88" spans="24:48">
      <c r="X88">
        <v>113013</v>
      </c>
      <c r="Y88">
        <f>INDEX(M:M,MATCH(X88,N:N,0))</f>
        <v>3</v>
      </c>
      <c r="Z88">
        <v>6</v>
      </c>
      <c r="AA88" s="72" t="str">
        <f t="shared" ref="AA88:AH88" si="86">IF(AI88=0,"",INDEX($N$1:$V$76,MATCH($X88,$N$1:$N$76,0),MATCH(AA$1,$N$1:$V$1,0)))</f>
        <v/>
      </c>
      <c r="AB88" s="72" t="str">
        <f t="shared" si="86"/>
        <v/>
      </c>
      <c r="AC88" s="72">
        <f t="shared" si="86"/>
        <v>214113</v>
      </c>
      <c r="AD88" s="72" t="str">
        <f t="shared" si="86"/>
        <v/>
      </c>
      <c r="AE88" s="72">
        <f t="shared" si="86"/>
        <v>215113</v>
      </c>
      <c r="AF88" s="72">
        <f t="shared" si="86"/>
        <v>215112</v>
      </c>
      <c r="AG88" s="72">
        <f t="shared" si="86"/>
        <v>216111</v>
      </c>
      <c r="AH88" s="72" t="str">
        <f t="shared" si="86"/>
        <v/>
      </c>
      <c r="AI88" s="72">
        <f t="array" ref="AI88">INDEX($C$4:$J$16,MATCH($Y88&amp;$Z88,$A$4:$A$16&amp;$B$4:$B$16,0),MATCH(AA$1,$C$2:$J$2,0))</f>
        <v>0</v>
      </c>
      <c r="AJ88" s="72">
        <f t="array" ref="AJ88">INDEX($C$4:$J$16,MATCH($Y88&amp;$Z88,$A$4:$A$16&amp;$B$4:$B$16,0),MATCH(AB$1,$C$2:$J$2,0))</f>
        <v>0</v>
      </c>
      <c r="AK88" s="72">
        <f t="array" ref="AK88">INDEX($C$4:$J$16,MATCH($Y88&amp;$Z88,$A$4:$A$16&amp;$B$4:$B$16,0),MATCH(AC$1,$C$2:$J$2,0))</f>
        <v>48</v>
      </c>
      <c r="AL88" s="72">
        <f t="array" ref="AL88">INDEX($C$4:$J$16,MATCH($Y88&amp;$Z88,$A$4:$A$16&amp;$B$4:$B$16,0),MATCH(AD$1,$C$2:$J$2,0))</f>
        <v>0</v>
      </c>
      <c r="AM88" s="72">
        <f t="array" ref="AM88">INDEX($C$4:$J$16,MATCH($Y88&amp;$Z88,$A$4:$A$16&amp;$B$4:$B$16,0),MATCH(AE$1,$C$2:$J$2,0))</f>
        <v>28</v>
      </c>
      <c r="AN88" s="72">
        <f t="array" ref="AN88">INDEX($C$4:$J$16,MATCH($Y88&amp;$Z88,$A$4:$A$16&amp;$B$4:$B$16,0),MATCH(AF$1,$C$2:$J$2,0))</f>
        <v>28</v>
      </c>
      <c r="AO88" s="72">
        <f t="array" ref="AO88">INDEX($C$4:$J$16,MATCH($Y88&amp;$Z88,$A$4:$A$16&amp;$B$4:$B$16,0),MATCH(AG$1,$C$2:$J$2,0))</f>
        <v>5</v>
      </c>
      <c r="AP88" s="72">
        <f t="array" ref="AP88">INDEX($C$4:$J$16,MATCH($Y88&amp;$Z88,$A$4:$A$16&amp;$B$4:$B$16,0),MATCH(AH$1,$C$2:$J$2,0))</f>
        <v>0</v>
      </c>
      <c r="AQ88" s="72">
        <f t="array" ref="AQ88">INDEX($K$2:$K$16,MATCH(Y88&amp;Z88,$A$2:$A$16&amp;$B$2:$B$16,0))</f>
        <v>900000</v>
      </c>
      <c r="AR88" s="42" t="str">
        <f t="array" ref="AR88">_xlfn.TEXTJOIN(";",1,IF($AA88:$AH88&lt;&gt;"","1001,"&amp;$AA88:$AH88&amp;","&amp;$AI88:$AP88,""))&amp;IF(AQ88=0,"",";"&amp;"5,0,"&amp;AQ88)</f>
        <v>1001,214113,48;1001,215113,28;1001,215112,28;1001,216111,5;5,0,900000</v>
      </c>
      <c r="AS88" s="42">
        <f t="array" ref="AS88">INDEX($A$19:$F$33,MATCH($Y88&amp;$Z88,$A$19:$A$33&amp;$B$19:$B$33,0),MATCH(AS$1,$A$19:$F$19,0))</f>
        <v>1296</v>
      </c>
      <c r="AT88" s="42">
        <f t="array" ref="AT88">INDEX($A$19:$F$33,MATCH($Y88&amp;$Z88,$A$19:$A$33&amp;$B$19:$B$33,0),MATCH(AT$1,$A$19:$F$19,0))</f>
        <v>518.4</v>
      </c>
      <c r="AU88" s="42">
        <f t="array" ref="AU88">INDEX($A$19:$F$33,MATCH($Y88&amp;$Z88,$A$19:$A$33&amp;$B$19:$B$33,0),MATCH(AU$1,$A$19:$F$19,0))</f>
        <v>10368</v>
      </c>
      <c r="AV88" s="42">
        <f t="array" ref="AV88">INDEX($A$19:$F$33,MATCH($Y88&amp;$Z88,$A$19:$A$33&amp;$B$19:$B$33,0),MATCH(AV$1,$A$19:$F$19,0))</f>
        <v>120</v>
      </c>
    </row>
    <row r="89" spans="24:48">
      <c r="X89">
        <v>113014</v>
      </c>
      <c r="Y89">
        <f>INDEX(M:M,MATCH(X89,N:N,0))</f>
        <v>3</v>
      </c>
      <c r="Z89">
        <v>6</v>
      </c>
      <c r="AA89" s="72" t="str">
        <f t="shared" ref="AA89:AH89" si="87">IF(AI89=0,"",INDEX($N$1:$V$76,MATCH($X89,$N$1:$N$76,0),MATCH(AA$1,$N$1:$V$1,0)))</f>
        <v/>
      </c>
      <c r="AB89" s="72" t="str">
        <f t="shared" si="87"/>
        <v/>
      </c>
      <c r="AC89" s="72">
        <f t="shared" si="87"/>
        <v>214114</v>
      </c>
      <c r="AD89" s="72" t="str">
        <f t="shared" si="87"/>
        <v/>
      </c>
      <c r="AE89" s="72">
        <f t="shared" si="87"/>
        <v>215114</v>
      </c>
      <c r="AF89" s="72">
        <f t="shared" si="87"/>
        <v>215113</v>
      </c>
      <c r="AG89" s="72">
        <f t="shared" si="87"/>
        <v>216111</v>
      </c>
      <c r="AH89" s="72" t="str">
        <f t="shared" si="87"/>
        <v/>
      </c>
      <c r="AI89" s="72">
        <f t="array" ref="AI89">INDEX($C$4:$J$16,MATCH($Y89&amp;$Z89,$A$4:$A$16&amp;$B$4:$B$16,0),MATCH(AA$1,$C$2:$J$2,0))</f>
        <v>0</v>
      </c>
      <c r="AJ89" s="72">
        <f t="array" ref="AJ89">INDEX($C$4:$J$16,MATCH($Y89&amp;$Z89,$A$4:$A$16&amp;$B$4:$B$16,0),MATCH(AB$1,$C$2:$J$2,0))</f>
        <v>0</v>
      </c>
      <c r="AK89" s="72">
        <f t="array" ref="AK89">INDEX($C$4:$J$16,MATCH($Y89&amp;$Z89,$A$4:$A$16&amp;$B$4:$B$16,0),MATCH(AC$1,$C$2:$J$2,0))</f>
        <v>48</v>
      </c>
      <c r="AL89" s="72">
        <f t="array" ref="AL89">INDEX($C$4:$J$16,MATCH($Y89&amp;$Z89,$A$4:$A$16&amp;$B$4:$B$16,0),MATCH(AD$1,$C$2:$J$2,0))</f>
        <v>0</v>
      </c>
      <c r="AM89" s="72">
        <f t="array" ref="AM89">INDEX($C$4:$J$16,MATCH($Y89&amp;$Z89,$A$4:$A$16&amp;$B$4:$B$16,0),MATCH(AE$1,$C$2:$J$2,0))</f>
        <v>28</v>
      </c>
      <c r="AN89" s="72">
        <f t="array" ref="AN89">INDEX($C$4:$J$16,MATCH($Y89&amp;$Z89,$A$4:$A$16&amp;$B$4:$B$16,0),MATCH(AF$1,$C$2:$J$2,0))</f>
        <v>28</v>
      </c>
      <c r="AO89" s="72">
        <f t="array" ref="AO89">INDEX($C$4:$J$16,MATCH($Y89&amp;$Z89,$A$4:$A$16&amp;$B$4:$B$16,0),MATCH(AG$1,$C$2:$J$2,0))</f>
        <v>5</v>
      </c>
      <c r="AP89" s="72">
        <f t="array" ref="AP89">INDEX($C$4:$J$16,MATCH($Y89&amp;$Z89,$A$4:$A$16&amp;$B$4:$B$16,0),MATCH(AH$1,$C$2:$J$2,0))</f>
        <v>0</v>
      </c>
      <c r="AQ89" s="72">
        <f t="array" ref="AQ89">INDEX($K$2:$K$16,MATCH(Y89&amp;Z89,$A$2:$A$16&amp;$B$2:$B$16,0))</f>
        <v>900000</v>
      </c>
      <c r="AR89" s="42" t="str">
        <f t="array" ref="AR89">_xlfn.TEXTJOIN(";",1,IF($AA89:$AH89&lt;&gt;"","1001,"&amp;$AA89:$AH89&amp;","&amp;$AI89:$AP89,""))&amp;IF(AQ89=0,"",";"&amp;"5,0,"&amp;AQ89)</f>
        <v>1001,214114,48;1001,215114,28;1001,215113,28;1001,216111,5;5,0,900000</v>
      </c>
      <c r="AS89" s="42">
        <f t="array" ref="AS89">INDEX($A$19:$F$33,MATCH($Y89&amp;$Z89,$A$19:$A$33&amp;$B$19:$B$33,0),MATCH(AS$1,$A$19:$F$19,0))</f>
        <v>1296</v>
      </c>
      <c r="AT89" s="42">
        <f t="array" ref="AT89">INDEX($A$19:$F$33,MATCH($Y89&amp;$Z89,$A$19:$A$33&amp;$B$19:$B$33,0),MATCH(AT$1,$A$19:$F$19,0))</f>
        <v>518.4</v>
      </c>
      <c r="AU89" s="42">
        <f t="array" ref="AU89">INDEX($A$19:$F$33,MATCH($Y89&amp;$Z89,$A$19:$A$33&amp;$B$19:$B$33,0),MATCH(AU$1,$A$19:$F$19,0))</f>
        <v>10368</v>
      </c>
      <c r="AV89" s="42">
        <f t="array" ref="AV89">INDEX($A$19:$F$33,MATCH($Y89&amp;$Z89,$A$19:$A$33&amp;$B$19:$B$33,0),MATCH(AV$1,$A$19:$F$19,0))</f>
        <v>120</v>
      </c>
    </row>
    <row r="90" spans="24:48">
      <c r="X90">
        <v>113015</v>
      </c>
      <c r="Y90">
        <f>INDEX(M:M,MATCH(X90,N:N,0))</f>
        <v>3</v>
      </c>
      <c r="Z90">
        <v>6</v>
      </c>
      <c r="AA90" s="72" t="str">
        <f t="shared" ref="AA90:AH90" si="88">IF(AI90=0,"",INDEX($N$1:$V$76,MATCH($X90,$N$1:$N$76,0),MATCH(AA$1,$N$1:$V$1,0)))</f>
        <v/>
      </c>
      <c r="AB90" s="72" t="str">
        <f t="shared" si="88"/>
        <v/>
      </c>
      <c r="AC90" s="72">
        <f t="shared" si="88"/>
        <v>214111</v>
      </c>
      <c r="AD90" s="72" t="str">
        <f t="shared" si="88"/>
        <v/>
      </c>
      <c r="AE90" s="72">
        <f t="shared" si="88"/>
        <v>215111</v>
      </c>
      <c r="AF90" s="72">
        <f t="shared" si="88"/>
        <v>215114</v>
      </c>
      <c r="AG90" s="72">
        <f t="shared" si="88"/>
        <v>216111</v>
      </c>
      <c r="AH90" s="72" t="str">
        <f t="shared" si="88"/>
        <v/>
      </c>
      <c r="AI90" s="72">
        <f t="array" ref="AI90">INDEX($C$4:$J$16,MATCH($Y90&amp;$Z90,$A$4:$A$16&amp;$B$4:$B$16,0),MATCH(AA$1,$C$2:$J$2,0))</f>
        <v>0</v>
      </c>
      <c r="AJ90" s="72">
        <f t="array" ref="AJ90">INDEX($C$4:$J$16,MATCH($Y90&amp;$Z90,$A$4:$A$16&amp;$B$4:$B$16,0),MATCH(AB$1,$C$2:$J$2,0))</f>
        <v>0</v>
      </c>
      <c r="AK90" s="72">
        <f t="array" ref="AK90">INDEX($C$4:$J$16,MATCH($Y90&amp;$Z90,$A$4:$A$16&amp;$B$4:$B$16,0),MATCH(AC$1,$C$2:$J$2,0))</f>
        <v>48</v>
      </c>
      <c r="AL90" s="72">
        <f t="array" ref="AL90">INDEX($C$4:$J$16,MATCH($Y90&amp;$Z90,$A$4:$A$16&amp;$B$4:$B$16,0),MATCH(AD$1,$C$2:$J$2,0))</f>
        <v>0</v>
      </c>
      <c r="AM90" s="72">
        <f t="array" ref="AM90">INDEX($C$4:$J$16,MATCH($Y90&amp;$Z90,$A$4:$A$16&amp;$B$4:$B$16,0),MATCH(AE$1,$C$2:$J$2,0))</f>
        <v>28</v>
      </c>
      <c r="AN90" s="72">
        <f t="array" ref="AN90">INDEX($C$4:$J$16,MATCH($Y90&amp;$Z90,$A$4:$A$16&amp;$B$4:$B$16,0),MATCH(AF$1,$C$2:$J$2,0))</f>
        <v>28</v>
      </c>
      <c r="AO90" s="72">
        <f t="array" ref="AO90">INDEX($C$4:$J$16,MATCH($Y90&amp;$Z90,$A$4:$A$16&amp;$B$4:$B$16,0),MATCH(AG$1,$C$2:$J$2,0))</f>
        <v>5</v>
      </c>
      <c r="AP90" s="72">
        <f t="array" ref="AP90">INDEX($C$4:$J$16,MATCH($Y90&amp;$Z90,$A$4:$A$16&amp;$B$4:$B$16,0),MATCH(AH$1,$C$2:$J$2,0))</f>
        <v>0</v>
      </c>
      <c r="AQ90" s="72">
        <f t="array" ref="AQ90">INDEX($K$2:$K$16,MATCH(Y90&amp;Z90,$A$2:$A$16&amp;$B$2:$B$16,0))</f>
        <v>900000</v>
      </c>
      <c r="AR90" s="42" t="str">
        <f t="array" ref="AR90">_xlfn.TEXTJOIN(";",1,IF($AA90:$AH90&lt;&gt;"","1001,"&amp;$AA90:$AH90&amp;","&amp;$AI90:$AP90,""))&amp;IF(AQ90=0,"",";"&amp;"5,0,"&amp;AQ90)</f>
        <v>1001,214111,48;1001,215111,28;1001,215114,28;1001,216111,5;5,0,900000</v>
      </c>
      <c r="AS90" s="42">
        <f t="array" ref="AS90">INDEX($A$19:$F$33,MATCH($Y90&amp;$Z90,$A$19:$A$33&amp;$B$19:$B$33,0),MATCH(AS$1,$A$19:$F$19,0))</f>
        <v>1296</v>
      </c>
      <c r="AT90" s="42">
        <f t="array" ref="AT90">INDEX($A$19:$F$33,MATCH($Y90&amp;$Z90,$A$19:$A$33&amp;$B$19:$B$33,0),MATCH(AT$1,$A$19:$F$19,0))</f>
        <v>518.4</v>
      </c>
      <c r="AU90" s="42">
        <f t="array" ref="AU90">INDEX($A$19:$F$33,MATCH($Y90&amp;$Z90,$A$19:$A$33&amp;$B$19:$B$33,0),MATCH(AU$1,$A$19:$F$19,0))</f>
        <v>10368</v>
      </c>
      <c r="AV90" s="42">
        <f t="array" ref="AV90">INDEX($A$19:$F$33,MATCH($Y90&amp;$Z90,$A$19:$A$33&amp;$B$19:$B$33,0),MATCH(AV$1,$A$19:$F$19,0))</f>
        <v>120</v>
      </c>
    </row>
    <row r="91" spans="24:48">
      <c r="X91" s="38">
        <v>112028</v>
      </c>
      <c r="Y91">
        <f>INDEX(M:M,MATCH(X91,N:N,0))</f>
        <v>3</v>
      </c>
      <c r="Z91">
        <v>6</v>
      </c>
      <c r="AA91" s="72" t="str">
        <f t="shared" ref="AA91:AH91" si="89">IF(AI91=0,"",INDEX($N$1:$V$76,MATCH($X91,$N$1:$N$76,0),MATCH(AA$1,$N$1:$V$1,0)))</f>
        <v/>
      </c>
      <c r="AB91" s="72" t="str">
        <f t="shared" si="89"/>
        <v/>
      </c>
      <c r="AC91" s="72">
        <f t="shared" si="89"/>
        <v>214114</v>
      </c>
      <c r="AD91" s="72" t="str">
        <f t="shared" si="89"/>
        <v/>
      </c>
      <c r="AE91" s="72">
        <f t="shared" si="89"/>
        <v>215114</v>
      </c>
      <c r="AF91" s="72">
        <f t="shared" si="89"/>
        <v>215113</v>
      </c>
      <c r="AG91" s="72">
        <f t="shared" si="89"/>
        <v>216111</v>
      </c>
      <c r="AH91" s="72" t="str">
        <f t="shared" si="89"/>
        <v/>
      </c>
      <c r="AI91" s="72">
        <f t="array" ref="AI91">INDEX($C$4:$J$16,MATCH($Y91&amp;$Z91,$A$4:$A$16&amp;$B$4:$B$16,0),MATCH(AA$1,$C$2:$J$2,0))</f>
        <v>0</v>
      </c>
      <c r="AJ91" s="72">
        <f t="array" ref="AJ91">INDEX($C$4:$J$16,MATCH($Y91&amp;$Z91,$A$4:$A$16&amp;$B$4:$B$16,0),MATCH(AB$1,$C$2:$J$2,0))</f>
        <v>0</v>
      </c>
      <c r="AK91" s="72">
        <f t="array" ref="AK91">INDEX($C$4:$J$16,MATCH($Y91&amp;$Z91,$A$4:$A$16&amp;$B$4:$B$16,0),MATCH(AC$1,$C$2:$J$2,0))</f>
        <v>48</v>
      </c>
      <c r="AL91" s="72">
        <f t="array" ref="AL91">INDEX($C$4:$J$16,MATCH($Y91&amp;$Z91,$A$4:$A$16&amp;$B$4:$B$16,0),MATCH(AD$1,$C$2:$J$2,0))</f>
        <v>0</v>
      </c>
      <c r="AM91" s="72">
        <f t="array" ref="AM91">INDEX($C$4:$J$16,MATCH($Y91&amp;$Z91,$A$4:$A$16&amp;$B$4:$B$16,0),MATCH(AE$1,$C$2:$J$2,0))</f>
        <v>28</v>
      </c>
      <c r="AN91" s="72">
        <f t="array" ref="AN91">INDEX($C$4:$J$16,MATCH($Y91&amp;$Z91,$A$4:$A$16&amp;$B$4:$B$16,0),MATCH(AF$1,$C$2:$J$2,0))</f>
        <v>28</v>
      </c>
      <c r="AO91" s="72">
        <f t="array" ref="AO91">INDEX($C$4:$J$16,MATCH($Y91&amp;$Z91,$A$4:$A$16&amp;$B$4:$B$16,0),MATCH(AG$1,$C$2:$J$2,0))</f>
        <v>5</v>
      </c>
      <c r="AP91" s="72">
        <f t="array" ref="AP91">INDEX($C$4:$J$16,MATCH($Y91&amp;$Z91,$A$4:$A$16&amp;$B$4:$B$16,0),MATCH(AH$1,$C$2:$J$2,0))</f>
        <v>0</v>
      </c>
      <c r="AQ91" s="72">
        <f t="array" ref="AQ91">INDEX($K$2:$K$16,MATCH(Y91&amp;Z91,$A$2:$A$16&amp;$B$2:$B$16,0))</f>
        <v>900000</v>
      </c>
      <c r="AR91" s="42" t="str">
        <f t="array" ref="AR91">_xlfn.TEXTJOIN(";",1,IF($AA91:$AH91&lt;&gt;"","1001,"&amp;$AA91:$AH91&amp;","&amp;$AI91:$AP91,""))&amp;IF(AQ91=0,"",";"&amp;"5,0,"&amp;AQ91)</f>
        <v>1001,214114,48;1001,215114,28;1001,215113,28;1001,216111,5;5,0,900000</v>
      </c>
      <c r="AS91" s="42">
        <f t="array" ref="AS91">INDEX($A$19:$F$33,MATCH($Y91&amp;$Z91,$A$19:$A$33&amp;$B$19:$B$33,0),MATCH(AS$1,$A$19:$F$19,0))</f>
        <v>1296</v>
      </c>
      <c r="AT91" s="42">
        <f t="array" ref="AT91">INDEX($A$19:$F$33,MATCH($Y91&amp;$Z91,$A$19:$A$33&amp;$B$19:$B$33,0),MATCH(AT$1,$A$19:$F$19,0))</f>
        <v>518.4</v>
      </c>
      <c r="AU91" s="42">
        <f t="array" ref="AU91">INDEX($A$19:$F$33,MATCH($Y91&amp;$Z91,$A$19:$A$33&amp;$B$19:$B$33,0),MATCH(AU$1,$A$19:$F$19,0))</f>
        <v>10368</v>
      </c>
      <c r="AV91" s="42">
        <f t="array" ref="AV91">INDEX($A$19:$F$33,MATCH($Y91&amp;$Z91,$A$19:$A$33&amp;$B$19:$B$33,0),MATCH(AV$1,$A$19:$F$19,0))</f>
        <v>120</v>
      </c>
    </row>
    <row r="92" spans="24:48">
      <c r="X92">
        <v>113016</v>
      </c>
      <c r="Y92">
        <f>INDEX(M:M,MATCH(X92,N:N,0))</f>
        <v>3</v>
      </c>
      <c r="Z92">
        <v>6</v>
      </c>
      <c r="AA92" s="72" t="str">
        <f t="shared" ref="AA92:AH92" si="90">IF(AI92=0,"",INDEX($N$1:$V$76,MATCH($X92,$N$1:$N$76,0),MATCH(AA$1,$N$1:$V$1,0)))</f>
        <v/>
      </c>
      <c r="AB92" s="72" t="str">
        <f t="shared" si="90"/>
        <v/>
      </c>
      <c r="AC92" s="72">
        <f t="shared" si="90"/>
        <v>214112</v>
      </c>
      <c r="AD92" s="72" t="str">
        <f t="shared" si="90"/>
        <v/>
      </c>
      <c r="AE92" s="72">
        <f t="shared" si="90"/>
        <v>215112</v>
      </c>
      <c r="AF92" s="72">
        <f t="shared" si="90"/>
        <v>215009</v>
      </c>
      <c r="AG92" s="72">
        <f t="shared" si="90"/>
        <v>216111</v>
      </c>
      <c r="AH92" s="72" t="str">
        <f t="shared" si="90"/>
        <v/>
      </c>
      <c r="AI92" s="72">
        <f t="array" ref="AI92">INDEX($C$4:$J$16,MATCH($Y92&amp;$Z92,$A$4:$A$16&amp;$B$4:$B$16,0),MATCH(AA$1,$C$2:$J$2,0))</f>
        <v>0</v>
      </c>
      <c r="AJ92" s="72">
        <f t="array" ref="AJ92">INDEX($C$4:$J$16,MATCH($Y92&amp;$Z92,$A$4:$A$16&amp;$B$4:$B$16,0),MATCH(AB$1,$C$2:$J$2,0))</f>
        <v>0</v>
      </c>
      <c r="AK92" s="72">
        <f t="array" ref="AK92">INDEX($C$4:$J$16,MATCH($Y92&amp;$Z92,$A$4:$A$16&amp;$B$4:$B$16,0),MATCH(AC$1,$C$2:$J$2,0))</f>
        <v>48</v>
      </c>
      <c r="AL92" s="72">
        <f t="array" ref="AL92">INDEX($C$4:$J$16,MATCH($Y92&amp;$Z92,$A$4:$A$16&amp;$B$4:$B$16,0),MATCH(AD$1,$C$2:$J$2,0))</f>
        <v>0</v>
      </c>
      <c r="AM92" s="72">
        <f t="array" ref="AM92">INDEX($C$4:$J$16,MATCH($Y92&amp;$Z92,$A$4:$A$16&amp;$B$4:$B$16,0),MATCH(AE$1,$C$2:$J$2,0))</f>
        <v>28</v>
      </c>
      <c r="AN92" s="72">
        <f t="array" ref="AN92">INDEX($C$4:$J$16,MATCH($Y92&amp;$Z92,$A$4:$A$16&amp;$B$4:$B$16,0),MATCH(AF$1,$C$2:$J$2,0))</f>
        <v>28</v>
      </c>
      <c r="AO92" s="72">
        <f t="array" ref="AO92">INDEX($C$4:$J$16,MATCH($Y92&amp;$Z92,$A$4:$A$16&amp;$B$4:$B$16,0),MATCH(AG$1,$C$2:$J$2,0))</f>
        <v>5</v>
      </c>
      <c r="AP92" s="72">
        <f t="array" ref="AP92">INDEX($C$4:$J$16,MATCH($Y92&amp;$Z92,$A$4:$A$16&amp;$B$4:$B$16,0),MATCH(AH$1,$C$2:$J$2,0))</f>
        <v>0</v>
      </c>
      <c r="AQ92" s="72">
        <f t="array" ref="AQ92">INDEX($K$2:$K$16,MATCH(Y92&amp;Z92,$A$2:$A$16&amp;$B$2:$B$16,0))</f>
        <v>900000</v>
      </c>
      <c r="AR92" s="42" t="str">
        <f t="array" ref="AR92">_xlfn.TEXTJOIN(";",1,IF($AA92:$AH92&lt;&gt;"","1001,"&amp;$AA92:$AH92&amp;","&amp;$AI92:$AP92,""))&amp;IF(AQ92=0,"",";"&amp;"5,0,"&amp;AQ92)</f>
        <v>1001,214112,48;1001,215112,28;1001,215009,28;1001,216111,5;5,0,900000</v>
      </c>
      <c r="AS92" s="42">
        <f t="array" ref="AS92">INDEX($A$19:$F$33,MATCH($Y92&amp;$Z92,$A$19:$A$33&amp;$B$19:$B$33,0),MATCH(AS$1,$A$19:$F$19,0))</f>
        <v>1296</v>
      </c>
      <c r="AT92" s="42">
        <f t="array" ref="AT92">INDEX($A$19:$F$33,MATCH($Y92&amp;$Z92,$A$19:$A$33&amp;$B$19:$B$33,0),MATCH(AT$1,$A$19:$F$19,0))</f>
        <v>518.4</v>
      </c>
      <c r="AU92" s="42">
        <f t="array" ref="AU92">INDEX($A$19:$F$33,MATCH($Y92&amp;$Z92,$A$19:$A$33&amp;$B$19:$B$33,0),MATCH(AU$1,$A$19:$F$19,0))</f>
        <v>10368</v>
      </c>
      <c r="AV92" s="42">
        <f t="array" ref="AV92">INDEX($A$19:$F$33,MATCH($Y92&amp;$Z92,$A$19:$A$33&amp;$B$19:$B$33,0),MATCH(AV$1,$A$19:$F$19,0))</f>
        <v>120</v>
      </c>
    </row>
    <row r="93" spans="24:48">
      <c r="X93">
        <v>113017</v>
      </c>
      <c r="Y93">
        <f>INDEX(M:M,MATCH(X93,N:N,0))</f>
        <v>3</v>
      </c>
      <c r="Z93">
        <v>6</v>
      </c>
      <c r="AA93" s="72" t="str">
        <f t="shared" ref="AA93:AH93" si="91">IF(AI93=0,"",INDEX($N$1:$V$76,MATCH($X93,$N$1:$N$76,0),MATCH(AA$1,$N$1:$V$1,0)))</f>
        <v/>
      </c>
      <c r="AB93" s="72" t="str">
        <f t="shared" si="91"/>
        <v/>
      </c>
      <c r="AC93" s="72">
        <f t="shared" si="91"/>
        <v>214113</v>
      </c>
      <c r="AD93" s="72" t="str">
        <f t="shared" si="91"/>
        <v/>
      </c>
      <c r="AE93" s="72">
        <f t="shared" si="91"/>
        <v>215113</v>
      </c>
      <c r="AF93" s="72">
        <f t="shared" si="91"/>
        <v>215112</v>
      </c>
      <c r="AG93" s="72">
        <f t="shared" si="91"/>
        <v>216111</v>
      </c>
      <c r="AH93" s="72" t="str">
        <f t="shared" si="91"/>
        <v/>
      </c>
      <c r="AI93" s="72">
        <f t="array" ref="AI93">INDEX($C$4:$J$16,MATCH($Y93&amp;$Z93,$A$4:$A$16&amp;$B$4:$B$16,0),MATCH(AA$1,$C$2:$J$2,0))</f>
        <v>0</v>
      </c>
      <c r="AJ93" s="72">
        <f t="array" ref="AJ93">INDEX($C$4:$J$16,MATCH($Y93&amp;$Z93,$A$4:$A$16&amp;$B$4:$B$16,0),MATCH(AB$1,$C$2:$J$2,0))</f>
        <v>0</v>
      </c>
      <c r="AK93" s="72">
        <f t="array" ref="AK93">INDEX($C$4:$J$16,MATCH($Y93&amp;$Z93,$A$4:$A$16&amp;$B$4:$B$16,0),MATCH(AC$1,$C$2:$J$2,0))</f>
        <v>48</v>
      </c>
      <c r="AL93" s="72">
        <f t="array" ref="AL93">INDEX($C$4:$J$16,MATCH($Y93&amp;$Z93,$A$4:$A$16&amp;$B$4:$B$16,0),MATCH(AD$1,$C$2:$J$2,0))</f>
        <v>0</v>
      </c>
      <c r="AM93" s="72">
        <f t="array" ref="AM93">INDEX($C$4:$J$16,MATCH($Y93&amp;$Z93,$A$4:$A$16&amp;$B$4:$B$16,0),MATCH(AE$1,$C$2:$J$2,0))</f>
        <v>28</v>
      </c>
      <c r="AN93" s="72">
        <f t="array" ref="AN93">INDEX($C$4:$J$16,MATCH($Y93&amp;$Z93,$A$4:$A$16&amp;$B$4:$B$16,0),MATCH(AF$1,$C$2:$J$2,0))</f>
        <v>28</v>
      </c>
      <c r="AO93" s="72">
        <f t="array" ref="AO93">INDEX($C$4:$J$16,MATCH($Y93&amp;$Z93,$A$4:$A$16&amp;$B$4:$B$16,0),MATCH(AG$1,$C$2:$J$2,0))</f>
        <v>5</v>
      </c>
      <c r="AP93" s="72">
        <f t="array" ref="AP93">INDEX($C$4:$J$16,MATCH($Y93&amp;$Z93,$A$4:$A$16&amp;$B$4:$B$16,0),MATCH(AH$1,$C$2:$J$2,0))</f>
        <v>0</v>
      </c>
      <c r="AQ93" s="72">
        <f t="array" ref="AQ93">INDEX($K$2:$K$16,MATCH(Y93&amp;Z93,$A$2:$A$16&amp;$B$2:$B$16,0))</f>
        <v>900000</v>
      </c>
      <c r="AR93" s="42" t="str">
        <f t="array" ref="AR93">_xlfn.TEXTJOIN(";",1,IF($AA93:$AH93&lt;&gt;"","1001,"&amp;$AA93:$AH93&amp;","&amp;$AI93:$AP93,""))&amp;IF(AQ93=0,"",";"&amp;"5,0,"&amp;AQ93)</f>
        <v>1001,214113,48;1001,215113,28;1001,215112,28;1001,216111,5;5,0,900000</v>
      </c>
      <c r="AS93" s="42">
        <f t="array" ref="AS93">INDEX($A$19:$F$33,MATCH($Y93&amp;$Z93,$A$19:$A$33&amp;$B$19:$B$33,0),MATCH(AS$1,$A$19:$F$19,0))</f>
        <v>1296</v>
      </c>
      <c r="AT93" s="42">
        <f t="array" ref="AT93">INDEX($A$19:$F$33,MATCH($Y93&amp;$Z93,$A$19:$A$33&amp;$B$19:$B$33,0),MATCH(AT$1,$A$19:$F$19,0))</f>
        <v>518.4</v>
      </c>
      <c r="AU93" s="42">
        <f t="array" ref="AU93">INDEX($A$19:$F$33,MATCH($Y93&amp;$Z93,$A$19:$A$33&amp;$B$19:$B$33,0),MATCH(AU$1,$A$19:$F$19,0))</f>
        <v>10368</v>
      </c>
      <c r="AV93" s="42">
        <f t="array" ref="AV93">INDEX($A$19:$F$33,MATCH($Y93&amp;$Z93,$A$19:$A$33&amp;$B$19:$B$33,0),MATCH(AV$1,$A$19:$F$19,0))</f>
        <v>120</v>
      </c>
    </row>
    <row r="94" spans="24:48">
      <c r="X94" s="39">
        <v>113018</v>
      </c>
      <c r="Y94">
        <f>INDEX(M:M,MATCH(X94,N:N,0))</f>
        <v>3</v>
      </c>
      <c r="Z94">
        <v>6</v>
      </c>
      <c r="AA94" s="72" t="str">
        <f t="shared" ref="AA94:AH94" si="92">IF(AI94=0,"",INDEX($N$1:$V$76,MATCH($X94,$N$1:$N$76,0),MATCH(AA$1,$N$1:$V$1,0)))</f>
        <v/>
      </c>
      <c r="AB94" s="72" t="str">
        <f t="shared" si="92"/>
        <v/>
      </c>
      <c r="AC94" s="72">
        <f t="shared" si="92"/>
        <v>214111</v>
      </c>
      <c r="AD94" s="72" t="str">
        <f t="shared" si="92"/>
        <v/>
      </c>
      <c r="AE94" s="72">
        <f t="shared" si="92"/>
        <v>215111</v>
      </c>
      <c r="AF94" s="72">
        <f t="shared" si="92"/>
        <v>215114</v>
      </c>
      <c r="AG94" s="72">
        <f t="shared" si="92"/>
        <v>216111</v>
      </c>
      <c r="AH94" s="72" t="str">
        <f t="shared" si="92"/>
        <v/>
      </c>
      <c r="AI94" s="72">
        <f t="array" ref="AI94">INDEX($C$4:$J$16,MATCH($Y94&amp;$Z94,$A$4:$A$16&amp;$B$4:$B$16,0),MATCH(AA$1,$C$2:$J$2,0))</f>
        <v>0</v>
      </c>
      <c r="AJ94" s="72">
        <f t="array" ref="AJ94">INDEX($C$4:$J$16,MATCH($Y94&amp;$Z94,$A$4:$A$16&amp;$B$4:$B$16,0),MATCH(AB$1,$C$2:$J$2,0))</f>
        <v>0</v>
      </c>
      <c r="AK94" s="72">
        <f t="array" ref="AK94">INDEX($C$4:$J$16,MATCH($Y94&amp;$Z94,$A$4:$A$16&amp;$B$4:$B$16,0),MATCH(AC$1,$C$2:$J$2,0))</f>
        <v>48</v>
      </c>
      <c r="AL94" s="72">
        <f t="array" ref="AL94">INDEX($C$4:$J$16,MATCH($Y94&amp;$Z94,$A$4:$A$16&amp;$B$4:$B$16,0),MATCH(AD$1,$C$2:$J$2,0))</f>
        <v>0</v>
      </c>
      <c r="AM94" s="72">
        <f t="array" ref="AM94">INDEX($C$4:$J$16,MATCH($Y94&amp;$Z94,$A$4:$A$16&amp;$B$4:$B$16,0),MATCH(AE$1,$C$2:$J$2,0))</f>
        <v>28</v>
      </c>
      <c r="AN94" s="72">
        <f t="array" ref="AN94">INDEX($C$4:$J$16,MATCH($Y94&amp;$Z94,$A$4:$A$16&amp;$B$4:$B$16,0),MATCH(AF$1,$C$2:$J$2,0))</f>
        <v>28</v>
      </c>
      <c r="AO94" s="72">
        <f t="array" ref="AO94">INDEX($C$4:$J$16,MATCH($Y94&amp;$Z94,$A$4:$A$16&amp;$B$4:$B$16,0),MATCH(AG$1,$C$2:$J$2,0))</f>
        <v>5</v>
      </c>
      <c r="AP94" s="72">
        <f t="array" ref="AP94">INDEX($C$4:$J$16,MATCH($Y94&amp;$Z94,$A$4:$A$16&amp;$B$4:$B$16,0),MATCH(AH$1,$C$2:$J$2,0))</f>
        <v>0</v>
      </c>
      <c r="AQ94" s="72">
        <f t="array" ref="AQ94">INDEX($K$2:$K$16,MATCH(Y94&amp;Z94,$A$2:$A$16&amp;$B$2:$B$16,0))</f>
        <v>900000</v>
      </c>
      <c r="AR94" s="42" t="str">
        <f t="array" ref="AR94">_xlfn.TEXTJOIN(";",1,IF($AA94:$AH94&lt;&gt;"","1001,"&amp;$AA94:$AH94&amp;","&amp;$AI94:$AP94,""))&amp;IF(AQ94=0,"",";"&amp;"5,0,"&amp;AQ94)</f>
        <v>1001,214111,48;1001,215111,28;1001,215114,28;1001,216111,5;5,0,900000</v>
      </c>
      <c r="AS94" s="42">
        <f t="array" ref="AS94">INDEX($A$19:$F$33,MATCH($Y94&amp;$Z94,$A$19:$A$33&amp;$B$19:$B$33,0),MATCH(AS$1,$A$19:$F$19,0))</f>
        <v>1296</v>
      </c>
      <c r="AT94" s="42">
        <f t="array" ref="AT94">INDEX($A$19:$F$33,MATCH($Y94&amp;$Z94,$A$19:$A$33&amp;$B$19:$B$33,0),MATCH(AT$1,$A$19:$F$19,0))</f>
        <v>518.4</v>
      </c>
      <c r="AU94" s="42">
        <f t="array" ref="AU94">INDEX($A$19:$F$33,MATCH($Y94&amp;$Z94,$A$19:$A$33&amp;$B$19:$B$33,0),MATCH(AU$1,$A$19:$F$19,0))</f>
        <v>10368</v>
      </c>
      <c r="AV94" s="42">
        <f t="array" ref="AV94">INDEX($A$19:$F$33,MATCH($Y94&amp;$Z94,$A$19:$A$33&amp;$B$19:$B$33,0),MATCH(AV$1,$A$19:$F$19,0))</f>
        <v>120</v>
      </c>
    </row>
    <row r="95" spans="24:48">
      <c r="X95" s="40">
        <v>113019</v>
      </c>
      <c r="Y95">
        <f>INDEX(M:M,MATCH(X95,N:N,0))</f>
        <v>3</v>
      </c>
      <c r="Z95">
        <v>6</v>
      </c>
      <c r="AA95" s="72" t="str">
        <f t="shared" ref="AA95:AH95" si="93">IF(AI95=0,"",INDEX($N$1:$V$76,MATCH($X95,$N$1:$N$76,0),MATCH(AA$1,$N$1:$V$1,0)))</f>
        <v/>
      </c>
      <c r="AB95" s="72" t="str">
        <f t="shared" si="93"/>
        <v/>
      </c>
      <c r="AC95" s="72">
        <f t="shared" si="93"/>
        <v>214009</v>
      </c>
      <c r="AD95" s="72" t="str">
        <f t="shared" si="93"/>
        <v/>
      </c>
      <c r="AE95" s="72">
        <f t="shared" si="93"/>
        <v>215009</v>
      </c>
      <c r="AF95" s="72">
        <f t="shared" si="93"/>
        <v>215111</v>
      </c>
      <c r="AG95" s="72">
        <f t="shared" si="93"/>
        <v>216111</v>
      </c>
      <c r="AH95" s="72" t="str">
        <f t="shared" si="93"/>
        <v/>
      </c>
      <c r="AI95" s="72">
        <f t="array" ref="AI95">INDEX($C$4:$J$16,MATCH($Y95&amp;$Z95,$A$4:$A$16&amp;$B$4:$B$16,0),MATCH(AA$1,$C$2:$J$2,0))</f>
        <v>0</v>
      </c>
      <c r="AJ95" s="72">
        <f t="array" ref="AJ95">INDEX($C$4:$J$16,MATCH($Y95&amp;$Z95,$A$4:$A$16&amp;$B$4:$B$16,0),MATCH(AB$1,$C$2:$J$2,0))</f>
        <v>0</v>
      </c>
      <c r="AK95" s="72">
        <f t="array" ref="AK95">INDEX($C$4:$J$16,MATCH($Y95&amp;$Z95,$A$4:$A$16&amp;$B$4:$B$16,0),MATCH(AC$1,$C$2:$J$2,0))</f>
        <v>48</v>
      </c>
      <c r="AL95" s="72">
        <f t="array" ref="AL95">INDEX($C$4:$J$16,MATCH($Y95&amp;$Z95,$A$4:$A$16&amp;$B$4:$B$16,0),MATCH(AD$1,$C$2:$J$2,0))</f>
        <v>0</v>
      </c>
      <c r="AM95" s="72">
        <f t="array" ref="AM95">INDEX($C$4:$J$16,MATCH($Y95&amp;$Z95,$A$4:$A$16&amp;$B$4:$B$16,0),MATCH(AE$1,$C$2:$J$2,0))</f>
        <v>28</v>
      </c>
      <c r="AN95" s="72">
        <f t="array" ref="AN95">INDEX($C$4:$J$16,MATCH($Y95&amp;$Z95,$A$4:$A$16&amp;$B$4:$B$16,0),MATCH(AF$1,$C$2:$J$2,0))</f>
        <v>28</v>
      </c>
      <c r="AO95" s="72">
        <f t="array" ref="AO95">INDEX($C$4:$J$16,MATCH($Y95&amp;$Z95,$A$4:$A$16&amp;$B$4:$B$16,0),MATCH(AG$1,$C$2:$J$2,0))</f>
        <v>5</v>
      </c>
      <c r="AP95" s="72">
        <f t="array" ref="AP95">INDEX($C$4:$J$16,MATCH($Y95&amp;$Z95,$A$4:$A$16&amp;$B$4:$B$16,0),MATCH(AH$1,$C$2:$J$2,0))</f>
        <v>0</v>
      </c>
      <c r="AQ95" s="72">
        <f t="array" ref="AQ95">INDEX($K$2:$K$16,MATCH(Y95&amp;Z95,$A$2:$A$16&amp;$B$2:$B$16,0))</f>
        <v>900000</v>
      </c>
      <c r="AR95" s="42" t="str">
        <f t="array" ref="AR95">_xlfn.TEXTJOIN(";",1,IF($AA95:$AH95&lt;&gt;"","1001,"&amp;$AA95:$AH95&amp;","&amp;$AI95:$AP95,""))&amp;IF(AQ95=0,"",";"&amp;"5,0,"&amp;AQ95)</f>
        <v>1001,214009,48;1001,215009,28;1001,215111,28;1001,216111,5;5,0,900000</v>
      </c>
      <c r="AS95" s="42">
        <f t="array" ref="AS95">INDEX($A$19:$F$33,MATCH($Y95&amp;$Z95,$A$19:$A$33&amp;$B$19:$B$33,0),MATCH(AS$1,$A$19:$F$19,0))</f>
        <v>1296</v>
      </c>
      <c r="AT95" s="42">
        <f t="array" ref="AT95">INDEX($A$19:$F$33,MATCH($Y95&amp;$Z95,$A$19:$A$33&amp;$B$19:$B$33,0),MATCH(AT$1,$A$19:$F$19,0))</f>
        <v>518.4</v>
      </c>
      <c r="AU95" s="42">
        <f t="array" ref="AU95">INDEX($A$19:$F$33,MATCH($Y95&amp;$Z95,$A$19:$A$33&amp;$B$19:$B$33,0),MATCH(AU$1,$A$19:$F$19,0))</f>
        <v>10368</v>
      </c>
      <c r="AV95" s="42">
        <f t="array" ref="AV95">INDEX($A$19:$F$33,MATCH($Y95&amp;$Z95,$A$19:$A$33&amp;$B$19:$B$33,0),MATCH(AV$1,$A$19:$F$19,0))</f>
        <v>120</v>
      </c>
    </row>
    <row r="96" spans="24:48">
      <c r="X96" s="41">
        <v>113020</v>
      </c>
      <c r="Y96">
        <f>INDEX(M:M,MATCH(X96,N:N,0))</f>
        <v>3</v>
      </c>
      <c r="Z96">
        <v>6</v>
      </c>
      <c r="AA96" s="72" t="str">
        <f t="shared" ref="AA96:AH96" si="94">IF(AI96=0,"",INDEX($N$1:$V$76,MATCH($X96,$N$1:$N$76,0),MATCH(AA$1,$N$1:$V$1,0)))</f>
        <v/>
      </c>
      <c r="AB96" s="72" t="str">
        <f t="shared" si="94"/>
        <v/>
      </c>
      <c r="AC96" s="72">
        <f t="shared" si="94"/>
        <v>214114</v>
      </c>
      <c r="AD96" s="72" t="str">
        <f t="shared" si="94"/>
        <v/>
      </c>
      <c r="AE96" s="72">
        <f t="shared" si="94"/>
        <v>215114</v>
      </c>
      <c r="AF96" s="72">
        <f t="shared" si="94"/>
        <v>215113</v>
      </c>
      <c r="AG96" s="72">
        <f t="shared" si="94"/>
        <v>216111</v>
      </c>
      <c r="AH96" s="72" t="str">
        <f t="shared" si="94"/>
        <v/>
      </c>
      <c r="AI96" s="72">
        <f t="array" ref="AI96">INDEX($C$4:$J$16,MATCH($Y96&amp;$Z96,$A$4:$A$16&amp;$B$4:$B$16,0),MATCH(AA$1,$C$2:$J$2,0))</f>
        <v>0</v>
      </c>
      <c r="AJ96" s="72">
        <f t="array" ref="AJ96">INDEX($C$4:$J$16,MATCH($Y96&amp;$Z96,$A$4:$A$16&amp;$B$4:$B$16,0),MATCH(AB$1,$C$2:$J$2,0))</f>
        <v>0</v>
      </c>
      <c r="AK96" s="72">
        <f t="array" ref="AK96">INDEX($C$4:$J$16,MATCH($Y96&amp;$Z96,$A$4:$A$16&amp;$B$4:$B$16,0),MATCH(AC$1,$C$2:$J$2,0))</f>
        <v>48</v>
      </c>
      <c r="AL96" s="72">
        <f t="array" ref="AL96">INDEX($C$4:$J$16,MATCH($Y96&amp;$Z96,$A$4:$A$16&amp;$B$4:$B$16,0),MATCH(AD$1,$C$2:$J$2,0))</f>
        <v>0</v>
      </c>
      <c r="AM96" s="72">
        <f t="array" ref="AM96">INDEX($C$4:$J$16,MATCH($Y96&amp;$Z96,$A$4:$A$16&amp;$B$4:$B$16,0),MATCH(AE$1,$C$2:$J$2,0))</f>
        <v>28</v>
      </c>
      <c r="AN96" s="72">
        <f t="array" ref="AN96">INDEX($C$4:$J$16,MATCH($Y96&amp;$Z96,$A$4:$A$16&amp;$B$4:$B$16,0),MATCH(AF$1,$C$2:$J$2,0))</f>
        <v>28</v>
      </c>
      <c r="AO96" s="72">
        <f t="array" ref="AO96">INDEX($C$4:$J$16,MATCH($Y96&amp;$Z96,$A$4:$A$16&amp;$B$4:$B$16,0),MATCH(AG$1,$C$2:$J$2,0))</f>
        <v>5</v>
      </c>
      <c r="AP96" s="72">
        <f t="array" ref="AP96">INDEX($C$4:$J$16,MATCH($Y96&amp;$Z96,$A$4:$A$16&amp;$B$4:$B$16,0),MATCH(AH$1,$C$2:$J$2,0))</f>
        <v>0</v>
      </c>
      <c r="AQ96" s="72">
        <f t="array" ref="AQ96">INDEX($K$2:$K$16,MATCH(Y96&amp;Z96,$A$2:$A$16&amp;$B$2:$B$16,0))</f>
        <v>900000</v>
      </c>
      <c r="AR96" s="42" t="str">
        <f t="array" ref="AR96">_xlfn.TEXTJOIN(";",1,IF($AA96:$AH96&lt;&gt;"","1001,"&amp;$AA96:$AH96&amp;","&amp;$AI96:$AP96,""))&amp;IF(AQ96=0,"",";"&amp;"5,0,"&amp;AQ96)</f>
        <v>1001,214114,48;1001,215114,28;1001,215113,28;1001,216111,5;5,0,900000</v>
      </c>
      <c r="AS96" s="42">
        <f t="array" ref="AS96">INDEX($A$19:$F$33,MATCH($Y96&amp;$Z96,$A$19:$A$33&amp;$B$19:$B$33,0),MATCH(AS$1,$A$19:$F$19,0))</f>
        <v>1296</v>
      </c>
      <c r="AT96" s="42">
        <f t="array" ref="AT96">INDEX($A$19:$F$33,MATCH($Y96&amp;$Z96,$A$19:$A$33&amp;$B$19:$B$33,0),MATCH(AT$1,$A$19:$F$19,0))</f>
        <v>518.4</v>
      </c>
      <c r="AU96" s="42">
        <f t="array" ref="AU96">INDEX($A$19:$F$33,MATCH($Y96&amp;$Z96,$A$19:$A$33&amp;$B$19:$B$33,0),MATCH(AU$1,$A$19:$F$19,0))</f>
        <v>10368</v>
      </c>
      <c r="AV96" s="42">
        <f t="array" ref="AV96">INDEX($A$19:$F$33,MATCH($Y96&amp;$Z96,$A$19:$A$33&amp;$B$19:$B$33,0),MATCH(AV$1,$A$19:$F$19,0))</f>
        <v>120</v>
      </c>
    </row>
    <row r="97" spans="24:48">
      <c r="X97" s="42">
        <v>113021</v>
      </c>
      <c r="Y97">
        <f>INDEX(M:M,MATCH(X97,N:N,0))</f>
        <v>3</v>
      </c>
      <c r="Z97">
        <v>6</v>
      </c>
      <c r="AA97" s="72" t="str">
        <f t="shared" ref="AA97:AH97" si="95">IF(AI97=0,"",INDEX($N$1:$V$76,MATCH($X97,$N$1:$N$76,0),MATCH(AA$1,$N$1:$V$1,0)))</f>
        <v/>
      </c>
      <c r="AB97" s="72" t="str">
        <f t="shared" si="95"/>
        <v/>
      </c>
      <c r="AC97" s="72">
        <f t="shared" si="95"/>
        <v>214113</v>
      </c>
      <c r="AD97" s="72" t="str">
        <f t="shared" si="95"/>
        <v/>
      </c>
      <c r="AE97" s="72">
        <f t="shared" si="95"/>
        <v>215113</v>
      </c>
      <c r="AF97" s="72">
        <f t="shared" si="95"/>
        <v>215112</v>
      </c>
      <c r="AG97" s="72">
        <f t="shared" si="95"/>
        <v>216111</v>
      </c>
      <c r="AH97" s="72" t="str">
        <f t="shared" si="95"/>
        <v/>
      </c>
      <c r="AI97" s="72">
        <f t="array" ref="AI97">INDEX($C$4:$J$16,MATCH($Y97&amp;$Z97,$A$4:$A$16&amp;$B$4:$B$16,0),MATCH(AA$1,$C$2:$J$2,0))</f>
        <v>0</v>
      </c>
      <c r="AJ97" s="72">
        <f t="array" ref="AJ97">INDEX($C$4:$J$16,MATCH($Y97&amp;$Z97,$A$4:$A$16&amp;$B$4:$B$16,0),MATCH(AB$1,$C$2:$J$2,0))</f>
        <v>0</v>
      </c>
      <c r="AK97" s="72">
        <f t="array" ref="AK97">INDEX($C$4:$J$16,MATCH($Y97&amp;$Z97,$A$4:$A$16&amp;$B$4:$B$16,0),MATCH(AC$1,$C$2:$J$2,0))</f>
        <v>48</v>
      </c>
      <c r="AL97" s="72">
        <f t="array" ref="AL97">INDEX($C$4:$J$16,MATCH($Y97&amp;$Z97,$A$4:$A$16&amp;$B$4:$B$16,0),MATCH(AD$1,$C$2:$J$2,0))</f>
        <v>0</v>
      </c>
      <c r="AM97" s="72">
        <f t="array" ref="AM97">INDEX($C$4:$J$16,MATCH($Y97&amp;$Z97,$A$4:$A$16&amp;$B$4:$B$16,0),MATCH(AE$1,$C$2:$J$2,0))</f>
        <v>28</v>
      </c>
      <c r="AN97" s="72">
        <f t="array" ref="AN97">INDEX($C$4:$J$16,MATCH($Y97&amp;$Z97,$A$4:$A$16&amp;$B$4:$B$16,0),MATCH(AF$1,$C$2:$J$2,0))</f>
        <v>28</v>
      </c>
      <c r="AO97" s="72">
        <f t="array" ref="AO97">INDEX($C$4:$J$16,MATCH($Y97&amp;$Z97,$A$4:$A$16&amp;$B$4:$B$16,0),MATCH(AG$1,$C$2:$J$2,0))</f>
        <v>5</v>
      </c>
      <c r="AP97" s="72">
        <f t="array" ref="AP97">INDEX($C$4:$J$16,MATCH($Y97&amp;$Z97,$A$4:$A$16&amp;$B$4:$B$16,0),MATCH(AH$1,$C$2:$J$2,0))</f>
        <v>0</v>
      </c>
      <c r="AQ97" s="72">
        <f t="array" ref="AQ97">INDEX($K$2:$K$16,MATCH(Y97&amp;Z97,$A$2:$A$16&amp;$B$2:$B$16,0))</f>
        <v>900000</v>
      </c>
      <c r="AR97" s="42" t="str">
        <f t="array" ref="AR97">_xlfn.TEXTJOIN(";",1,IF($AA97:$AH97&lt;&gt;"","1001,"&amp;$AA97:$AH97&amp;","&amp;$AI97:$AP97,""))&amp;IF(AQ97=0,"",";"&amp;"5,0,"&amp;AQ97)</f>
        <v>1001,214113,48;1001,215113,28;1001,215112,28;1001,216111,5;5,0,900000</v>
      </c>
      <c r="AS97" s="42">
        <f t="array" ref="AS97">INDEX($A$19:$F$33,MATCH($Y97&amp;$Z97,$A$19:$A$33&amp;$B$19:$B$33,0),MATCH(AS$1,$A$19:$F$19,0))</f>
        <v>1296</v>
      </c>
      <c r="AT97" s="42">
        <f t="array" ref="AT97">INDEX($A$19:$F$33,MATCH($Y97&amp;$Z97,$A$19:$A$33&amp;$B$19:$B$33,0),MATCH(AT$1,$A$19:$F$19,0))</f>
        <v>518.4</v>
      </c>
      <c r="AU97" s="42">
        <f t="array" ref="AU97">INDEX($A$19:$F$33,MATCH($Y97&amp;$Z97,$A$19:$A$33&amp;$B$19:$B$33,0),MATCH(AU$1,$A$19:$F$19,0))</f>
        <v>10368</v>
      </c>
      <c r="AV97" s="42">
        <f t="array" ref="AV97">INDEX($A$19:$F$33,MATCH($Y97&amp;$Z97,$A$19:$A$33&amp;$B$19:$B$33,0),MATCH(AV$1,$A$19:$F$19,0))</f>
        <v>120</v>
      </c>
    </row>
    <row r="98" spans="24:48">
      <c r="X98" s="41">
        <v>113022</v>
      </c>
      <c r="Y98">
        <f>INDEX(M:M,MATCH(X98,N:N,0))</f>
        <v>3</v>
      </c>
      <c r="Z98">
        <v>6</v>
      </c>
      <c r="AA98" s="72" t="str">
        <f t="shared" ref="AA98:AH98" si="96">IF(AI98=0,"",INDEX($N$1:$V$76,MATCH($X98,$N$1:$N$76,0),MATCH(AA$1,$N$1:$V$1,0)))</f>
        <v/>
      </c>
      <c r="AB98" s="72" t="str">
        <f t="shared" si="96"/>
        <v/>
      </c>
      <c r="AC98" s="72">
        <f t="shared" si="96"/>
        <v>214111</v>
      </c>
      <c r="AD98" s="72" t="str">
        <f t="shared" si="96"/>
        <v/>
      </c>
      <c r="AE98" s="72">
        <f t="shared" si="96"/>
        <v>215111</v>
      </c>
      <c r="AF98" s="72">
        <f t="shared" si="96"/>
        <v>215114</v>
      </c>
      <c r="AG98" s="72">
        <f t="shared" si="96"/>
        <v>216111</v>
      </c>
      <c r="AH98" s="72" t="str">
        <f t="shared" si="96"/>
        <v/>
      </c>
      <c r="AI98" s="72">
        <f t="array" ref="AI98">INDEX($C$4:$J$16,MATCH($Y98&amp;$Z98,$A$4:$A$16&amp;$B$4:$B$16,0),MATCH(AA$1,$C$2:$J$2,0))</f>
        <v>0</v>
      </c>
      <c r="AJ98" s="72">
        <f t="array" ref="AJ98">INDEX($C$4:$J$16,MATCH($Y98&amp;$Z98,$A$4:$A$16&amp;$B$4:$B$16,0),MATCH(AB$1,$C$2:$J$2,0))</f>
        <v>0</v>
      </c>
      <c r="AK98" s="72">
        <f t="array" ref="AK98">INDEX($C$4:$J$16,MATCH($Y98&amp;$Z98,$A$4:$A$16&amp;$B$4:$B$16,0),MATCH(AC$1,$C$2:$J$2,0))</f>
        <v>48</v>
      </c>
      <c r="AL98" s="72">
        <f t="array" ref="AL98">INDEX($C$4:$J$16,MATCH($Y98&amp;$Z98,$A$4:$A$16&amp;$B$4:$B$16,0),MATCH(AD$1,$C$2:$J$2,0))</f>
        <v>0</v>
      </c>
      <c r="AM98" s="72">
        <f t="array" ref="AM98">INDEX($C$4:$J$16,MATCH($Y98&amp;$Z98,$A$4:$A$16&amp;$B$4:$B$16,0),MATCH(AE$1,$C$2:$J$2,0))</f>
        <v>28</v>
      </c>
      <c r="AN98" s="72">
        <f t="array" ref="AN98">INDEX($C$4:$J$16,MATCH($Y98&amp;$Z98,$A$4:$A$16&amp;$B$4:$B$16,0),MATCH(AF$1,$C$2:$J$2,0))</f>
        <v>28</v>
      </c>
      <c r="AO98" s="72">
        <f t="array" ref="AO98">INDEX($C$4:$J$16,MATCH($Y98&amp;$Z98,$A$4:$A$16&amp;$B$4:$B$16,0),MATCH(AG$1,$C$2:$J$2,0))</f>
        <v>5</v>
      </c>
      <c r="AP98" s="72">
        <f t="array" ref="AP98">INDEX($C$4:$J$16,MATCH($Y98&amp;$Z98,$A$4:$A$16&amp;$B$4:$B$16,0),MATCH(AH$1,$C$2:$J$2,0))</f>
        <v>0</v>
      </c>
      <c r="AQ98" s="72">
        <f t="array" ref="AQ98">INDEX($K$2:$K$16,MATCH(Y98&amp;Z98,$A$2:$A$16&amp;$B$2:$B$16,0))</f>
        <v>900000</v>
      </c>
      <c r="AR98" s="42" t="str">
        <f t="array" ref="AR98">_xlfn.TEXTJOIN(";",1,IF($AA98:$AH98&lt;&gt;"","1001,"&amp;$AA98:$AH98&amp;","&amp;$AI98:$AP98,""))&amp;IF(AQ98=0,"",";"&amp;"5,0,"&amp;AQ98)</f>
        <v>1001,214111,48;1001,215111,28;1001,215114,28;1001,216111,5;5,0,900000</v>
      </c>
      <c r="AS98" s="42">
        <f t="array" ref="AS98">INDEX($A$19:$F$33,MATCH($Y98&amp;$Z98,$A$19:$A$33&amp;$B$19:$B$33,0),MATCH(AS$1,$A$19:$F$19,0))</f>
        <v>1296</v>
      </c>
      <c r="AT98" s="42">
        <f t="array" ref="AT98">INDEX($A$19:$F$33,MATCH($Y98&amp;$Z98,$A$19:$A$33&amp;$B$19:$B$33,0),MATCH(AT$1,$A$19:$F$19,0))</f>
        <v>518.4</v>
      </c>
      <c r="AU98" s="42">
        <f t="array" ref="AU98">INDEX($A$19:$F$33,MATCH($Y98&amp;$Z98,$A$19:$A$33&amp;$B$19:$B$33,0),MATCH(AU$1,$A$19:$F$19,0))</f>
        <v>10368</v>
      </c>
      <c r="AV98" s="42">
        <f t="array" ref="AV98">INDEX($A$19:$F$33,MATCH($Y98&amp;$Z98,$A$19:$A$33&amp;$B$19:$B$33,0),MATCH(AV$1,$A$19:$F$19,0))</f>
        <v>120</v>
      </c>
    </row>
    <row r="99" spans="24:48">
      <c r="X99" s="38">
        <v>113023</v>
      </c>
      <c r="Y99">
        <f>INDEX(M:M,MATCH(X99,N:N,0))</f>
        <v>3</v>
      </c>
      <c r="Z99">
        <v>6</v>
      </c>
      <c r="AA99" s="72" t="str">
        <f t="shared" ref="AA99:AH99" si="97">IF(AI99=0,"",INDEX($N$1:$V$76,MATCH($X99,$N$1:$N$76,0),MATCH(AA$1,$N$1:$V$1,0)))</f>
        <v/>
      </c>
      <c r="AB99" s="72" t="str">
        <f t="shared" si="97"/>
        <v/>
      </c>
      <c r="AC99" s="72">
        <f t="shared" si="97"/>
        <v>214112</v>
      </c>
      <c r="AD99" s="72" t="str">
        <f t="shared" si="97"/>
        <v/>
      </c>
      <c r="AE99" s="72">
        <f t="shared" si="97"/>
        <v>215112</v>
      </c>
      <c r="AF99" s="72">
        <f t="shared" si="97"/>
        <v>215009</v>
      </c>
      <c r="AG99" s="72">
        <f t="shared" si="97"/>
        <v>216111</v>
      </c>
      <c r="AH99" s="72" t="str">
        <f t="shared" si="97"/>
        <v/>
      </c>
      <c r="AI99" s="72">
        <f t="array" ref="AI99">INDEX($C$4:$J$16,MATCH($Y99&amp;$Z99,$A$4:$A$16&amp;$B$4:$B$16,0),MATCH(AA$1,$C$2:$J$2,0))</f>
        <v>0</v>
      </c>
      <c r="AJ99" s="72">
        <f t="array" ref="AJ99">INDEX($C$4:$J$16,MATCH($Y99&amp;$Z99,$A$4:$A$16&amp;$B$4:$B$16,0),MATCH(AB$1,$C$2:$J$2,0))</f>
        <v>0</v>
      </c>
      <c r="AK99" s="72">
        <f t="array" ref="AK99">INDEX($C$4:$J$16,MATCH($Y99&amp;$Z99,$A$4:$A$16&amp;$B$4:$B$16,0),MATCH(AC$1,$C$2:$J$2,0))</f>
        <v>48</v>
      </c>
      <c r="AL99" s="72">
        <f t="array" ref="AL99">INDEX($C$4:$J$16,MATCH($Y99&amp;$Z99,$A$4:$A$16&amp;$B$4:$B$16,0),MATCH(AD$1,$C$2:$J$2,0))</f>
        <v>0</v>
      </c>
      <c r="AM99" s="72">
        <f t="array" ref="AM99">INDEX($C$4:$J$16,MATCH($Y99&amp;$Z99,$A$4:$A$16&amp;$B$4:$B$16,0),MATCH(AE$1,$C$2:$J$2,0))</f>
        <v>28</v>
      </c>
      <c r="AN99" s="72">
        <f t="array" ref="AN99">INDEX($C$4:$J$16,MATCH($Y99&amp;$Z99,$A$4:$A$16&amp;$B$4:$B$16,0),MATCH(AF$1,$C$2:$J$2,0))</f>
        <v>28</v>
      </c>
      <c r="AO99" s="72">
        <f t="array" ref="AO99">INDEX($C$4:$J$16,MATCH($Y99&amp;$Z99,$A$4:$A$16&amp;$B$4:$B$16,0),MATCH(AG$1,$C$2:$J$2,0))</f>
        <v>5</v>
      </c>
      <c r="AP99" s="72">
        <f t="array" ref="AP99">INDEX($C$4:$J$16,MATCH($Y99&amp;$Z99,$A$4:$A$16&amp;$B$4:$B$16,0),MATCH(AH$1,$C$2:$J$2,0))</f>
        <v>0</v>
      </c>
      <c r="AQ99" s="72">
        <f t="array" ref="AQ99">INDEX($K$2:$K$16,MATCH(Y99&amp;Z99,$A$2:$A$16&amp;$B$2:$B$16,0))</f>
        <v>900000</v>
      </c>
      <c r="AR99" s="42" t="str">
        <f t="array" ref="AR99">_xlfn.TEXTJOIN(";",1,IF($AA99:$AH99&lt;&gt;"","1001,"&amp;$AA99:$AH99&amp;","&amp;$AI99:$AP99,""))&amp;IF(AQ99=0,"",";"&amp;"5,0,"&amp;AQ99)</f>
        <v>1001,214112,48;1001,215112,28;1001,215009,28;1001,216111,5;5,0,900000</v>
      </c>
      <c r="AS99" s="42">
        <f t="array" ref="AS99">INDEX($A$19:$F$33,MATCH($Y99&amp;$Z99,$A$19:$A$33&amp;$B$19:$B$33,0),MATCH(AS$1,$A$19:$F$19,0))</f>
        <v>1296</v>
      </c>
      <c r="AT99" s="42">
        <f t="array" ref="AT99">INDEX($A$19:$F$33,MATCH($Y99&amp;$Z99,$A$19:$A$33&amp;$B$19:$B$33,0),MATCH(AT$1,$A$19:$F$19,0))</f>
        <v>518.4</v>
      </c>
      <c r="AU99" s="42">
        <f t="array" ref="AU99">INDEX($A$19:$F$33,MATCH($Y99&amp;$Z99,$A$19:$A$33&amp;$B$19:$B$33,0),MATCH(AU$1,$A$19:$F$19,0))</f>
        <v>10368</v>
      </c>
      <c r="AV99" s="42">
        <f t="array" ref="AV99">INDEX($A$19:$F$33,MATCH($Y99&amp;$Z99,$A$19:$A$33&amp;$B$19:$B$33,0),MATCH(AV$1,$A$19:$F$19,0))</f>
        <v>120</v>
      </c>
    </row>
    <row r="100" spans="24:48">
      <c r="X100" s="43">
        <v>113024</v>
      </c>
      <c r="Y100">
        <f>INDEX(M:M,MATCH(X100,N:N,0))</f>
        <v>3</v>
      </c>
      <c r="Z100">
        <v>6</v>
      </c>
      <c r="AA100" s="72" t="str">
        <f t="shared" ref="AA100:AH100" si="98">IF(AI100=0,"",INDEX($N$1:$V$76,MATCH($X100,$N$1:$N$76,0),MATCH(AA$1,$N$1:$V$1,0)))</f>
        <v/>
      </c>
      <c r="AB100" s="72" t="str">
        <f t="shared" si="98"/>
        <v/>
      </c>
      <c r="AC100" s="72">
        <f t="shared" si="98"/>
        <v>214009</v>
      </c>
      <c r="AD100" s="72" t="str">
        <f t="shared" si="98"/>
        <v/>
      </c>
      <c r="AE100" s="72">
        <f t="shared" si="98"/>
        <v>215009</v>
      </c>
      <c r="AF100" s="72">
        <f t="shared" si="98"/>
        <v>215111</v>
      </c>
      <c r="AG100" s="72">
        <f t="shared" si="98"/>
        <v>216111</v>
      </c>
      <c r="AH100" s="72" t="str">
        <f t="shared" si="98"/>
        <v/>
      </c>
      <c r="AI100" s="72">
        <f t="array" ref="AI100">INDEX($C$4:$J$16,MATCH($Y100&amp;$Z100,$A$4:$A$16&amp;$B$4:$B$16,0),MATCH(AA$1,$C$2:$J$2,0))</f>
        <v>0</v>
      </c>
      <c r="AJ100" s="72">
        <f t="array" ref="AJ100">INDEX($C$4:$J$16,MATCH($Y100&amp;$Z100,$A$4:$A$16&amp;$B$4:$B$16,0),MATCH(AB$1,$C$2:$J$2,0))</f>
        <v>0</v>
      </c>
      <c r="AK100" s="72">
        <f t="array" ref="AK100">INDEX($C$4:$J$16,MATCH($Y100&amp;$Z100,$A$4:$A$16&amp;$B$4:$B$16,0),MATCH(AC$1,$C$2:$J$2,0))</f>
        <v>48</v>
      </c>
      <c r="AL100" s="72">
        <f t="array" ref="AL100">INDEX($C$4:$J$16,MATCH($Y100&amp;$Z100,$A$4:$A$16&amp;$B$4:$B$16,0),MATCH(AD$1,$C$2:$J$2,0))</f>
        <v>0</v>
      </c>
      <c r="AM100" s="72">
        <f t="array" ref="AM100">INDEX($C$4:$J$16,MATCH($Y100&amp;$Z100,$A$4:$A$16&amp;$B$4:$B$16,0),MATCH(AE$1,$C$2:$J$2,0))</f>
        <v>28</v>
      </c>
      <c r="AN100" s="72">
        <f t="array" ref="AN100">INDEX($C$4:$J$16,MATCH($Y100&amp;$Z100,$A$4:$A$16&amp;$B$4:$B$16,0),MATCH(AF$1,$C$2:$J$2,0))</f>
        <v>28</v>
      </c>
      <c r="AO100" s="72">
        <f t="array" ref="AO100">INDEX($C$4:$J$16,MATCH($Y100&amp;$Z100,$A$4:$A$16&amp;$B$4:$B$16,0),MATCH(AG$1,$C$2:$J$2,0))</f>
        <v>5</v>
      </c>
      <c r="AP100" s="72">
        <f t="array" ref="AP100">INDEX($C$4:$J$16,MATCH($Y100&amp;$Z100,$A$4:$A$16&amp;$B$4:$B$16,0),MATCH(AH$1,$C$2:$J$2,0))</f>
        <v>0</v>
      </c>
      <c r="AQ100" s="72">
        <f t="array" ref="AQ100">INDEX($K$2:$K$16,MATCH(Y100&amp;Z100,$A$2:$A$16&amp;$B$2:$B$16,0))</f>
        <v>900000</v>
      </c>
      <c r="AR100" s="42" t="str">
        <f t="array" ref="AR100">_xlfn.TEXTJOIN(";",1,IF($AA100:$AH100&lt;&gt;"","1001,"&amp;$AA100:$AH100&amp;","&amp;$AI100:$AP100,""))&amp;IF(AQ100=0,"",";"&amp;"5,0,"&amp;AQ100)</f>
        <v>1001,214009,48;1001,215009,28;1001,215111,28;1001,216111,5;5,0,900000</v>
      </c>
      <c r="AS100" s="42">
        <f t="array" ref="AS100">INDEX($A$19:$F$33,MATCH($Y100&amp;$Z100,$A$19:$A$33&amp;$B$19:$B$33,0),MATCH(AS$1,$A$19:$F$19,0))</f>
        <v>1296</v>
      </c>
      <c r="AT100" s="42">
        <f t="array" ref="AT100">INDEX($A$19:$F$33,MATCH($Y100&amp;$Z100,$A$19:$A$33&amp;$B$19:$B$33,0),MATCH(AT$1,$A$19:$F$19,0))</f>
        <v>518.4</v>
      </c>
      <c r="AU100" s="42">
        <f t="array" ref="AU100">INDEX($A$19:$F$33,MATCH($Y100&amp;$Z100,$A$19:$A$33&amp;$B$19:$B$33,0),MATCH(AU$1,$A$19:$F$19,0))</f>
        <v>10368</v>
      </c>
      <c r="AV100" s="42">
        <f t="array" ref="AV100">INDEX($A$19:$F$33,MATCH($Y100&amp;$Z100,$A$19:$A$33&amp;$B$19:$B$33,0),MATCH(AV$1,$A$19:$F$19,0))</f>
        <v>120</v>
      </c>
    </row>
    <row r="101" spans="24:48">
      <c r="X101" s="44">
        <v>113025</v>
      </c>
      <c r="Y101">
        <f>INDEX(M:M,MATCH(X101,N:N,0))</f>
        <v>3</v>
      </c>
      <c r="Z101">
        <v>6</v>
      </c>
      <c r="AA101" s="72" t="str">
        <f t="shared" ref="AA101:AH101" si="99">IF(AI101=0,"",INDEX($N$1:$V$76,MATCH($X101,$N$1:$N$76,0),MATCH(AA$1,$N$1:$V$1,0)))</f>
        <v/>
      </c>
      <c r="AB101" s="72" t="str">
        <f t="shared" si="99"/>
        <v/>
      </c>
      <c r="AC101" s="72">
        <f t="shared" si="99"/>
        <v>214113</v>
      </c>
      <c r="AD101" s="72" t="str">
        <f t="shared" si="99"/>
        <v/>
      </c>
      <c r="AE101" s="72">
        <f t="shared" si="99"/>
        <v>215113</v>
      </c>
      <c r="AF101" s="72">
        <f t="shared" si="99"/>
        <v>215112</v>
      </c>
      <c r="AG101" s="72">
        <f t="shared" si="99"/>
        <v>216111</v>
      </c>
      <c r="AH101" s="72" t="str">
        <f t="shared" si="99"/>
        <v/>
      </c>
      <c r="AI101" s="72">
        <f t="array" ref="AI101">INDEX($C$4:$J$16,MATCH($Y101&amp;$Z101,$A$4:$A$16&amp;$B$4:$B$16,0),MATCH(AA$1,$C$2:$J$2,0))</f>
        <v>0</v>
      </c>
      <c r="AJ101" s="72">
        <f t="array" ref="AJ101">INDEX($C$4:$J$16,MATCH($Y101&amp;$Z101,$A$4:$A$16&amp;$B$4:$B$16,0),MATCH(AB$1,$C$2:$J$2,0))</f>
        <v>0</v>
      </c>
      <c r="AK101" s="72">
        <f t="array" ref="AK101">INDEX($C$4:$J$16,MATCH($Y101&amp;$Z101,$A$4:$A$16&amp;$B$4:$B$16,0),MATCH(AC$1,$C$2:$J$2,0))</f>
        <v>48</v>
      </c>
      <c r="AL101" s="72">
        <f t="array" ref="AL101">INDEX($C$4:$J$16,MATCH($Y101&amp;$Z101,$A$4:$A$16&amp;$B$4:$B$16,0),MATCH(AD$1,$C$2:$J$2,0))</f>
        <v>0</v>
      </c>
      <c r="AM101" s="72">
        <f t="array" ref="AM101">INDEX($C$4:$J$16,MATCH($Y101&amp;$Z101,$A$4:$A$16&amp;$B$4:$B$16,0),MATCH(AE$1,$C$2:$J$2,0))</f>
        <v>28</v>
      </c>
      <c r="AN101" s="72">
        <f t="array" ref="AN101">INDEX($C$4:$J$16,MATCH($Y101&amp;$Z101,$A$4:$A$16&amp;$B$4:$B$16,0),MATCH(AF$1,$C$2:$J$2,0))</f>
        <v>28</v>
      </c>
      <c r="AO101" s="72">
        <f t="array" ref="AO101">INDEX($C$4:$J$16,MATCH($Y101&amp;$Z101,$A$4:$A$16&amp;$B$4:$B$16,0),MATCH(AG$1,$C$2:$J$2,0))</f>
        <v>5</v>
      </c>
      <c r="AP101" s="72">
        <f t="array" ref="AP101">INDEX($C$4:$J$16,MATCH($Y101&amp;$Z101,$A$4:$A$16&amp;$B$4:$B$16,0),MATCH(AH$1,$C$2:$J$2,0))</f>
        <v>0</v>
      </c>
      <c r="AQ101" s="72">
        <f t="array" ref="AQ101">INDEX($K$2:$K$16,MATCH(Y101&amp;Z101,$A$2:$A$16&amp;$B$2:$B$16,0))</f>
        <v>900000</v>
      </c>
      <c r="AR101" s="42" t="str">
        <f t="array" ref="AR101">_xlfn.TEXTJOIN(";",1,IF($AA101:$AH101&lt;&gt;"","1001,"&amp;$AA101:$AH101&amp;","&amp;$AI101:$AP101,""))&amp;IF(AQ101=0,"",";"&amp;"5,0,"&amp;AQ101)</f>
        <v>1001,214113,48;1001,215113,28;1001,215112,28;1001,216111,5;5,0,900000</v>
      </c>
      <c r="AS101" s="42">
        <f t="array" ref="AS101">INDEX($A$19:$F$33,MATCH($Y101&amp;$Z101,$A$19:$A$33&amp;$B$19:$B$33,0),MATCH(AS$1,$A$19:$F$19,0))</f>
        <v>1296</v>
      </c>
      <c r="AT101" s="42">
        <f t="array" ref="AT101">INDEX($A$19:$F$33,MATCH($Y101&amp;$Z101,$A$19:$A$33&amp;$B$19:$B$33,0),MATCH(AT$1,$A$19:$F$19,0))</f>
        <v>518.4</v>
      </c>
      <c r="AU101" s="42">
        <f t="array" ref="AU101">INDEX($A$19:$F$33,MATCH($Y101&amp;$Z101,$A$19:$A$33&amp;$B$19:$B$33,0),MATCH(AU$1,$A$19:$F$19,0))</f>
        <v>10368</v>
      </c>
      <c r="AV101" s="42">
        <f t="array" ref="AV101">INDEX($A$19:$F$33,MATCH($Y101&amp;$Z101,$A$19:$A$33&amp;$B$19:$B$33,0),MATCH(AV$1,$A$19:$F$19,0))</f>
        <v>120</v>
      </c>
    </row>
    <row r="102" spans="24:48">
      <c r="X102" s="45">
        <v>113026</v>
      </c>
      <c r="Y102">
        <f>INDEX(M:M,MATCH(X102,N:N,0))</f>
        <v>3</v>
      </c>
      <c r="Z102">
        <v>6</v>
      </c>
      <c r="AA102" s="72" t="str">
        <f t="shared" ref="AA102:AH102" si="100">IF(AI102=0,"",INDEX($N$1:$V$76,MATCH($X102,$N$1:$N$76,0),MATCH(AA$1,$N$1:$V$1,0)))</f>
        <v/>
      </c>
      <c r="AB102" s="72" t="str">
        <f t="shared" si="100"/>
        <v/>
      </c>
      <c r="AC102" s="72">
        <f t="shared" si="100"/>
        <v>214112</v>
      </c>
      <c r="AD102" s="72" t="str">
        <f t="shared" si="100"/>
        <v/>
      </c>
      <c r="AE102" s="72">
        <f t="shared" si="100"/>
        <v>215112</v>
      </c>
      <c r="AF102" s="72">
        <f t="shared" si="100"/>
        <v>215009</v>
      </c>
      <c r="AG102" s="72">
        <f t="shared" si="100"/>
        <v>216111</v>
      </c>
      <c r="AH102" s="72" t="str">
        <f t="shared" si="100"/>
        <v/>
      </c>
      <c r="AI102" s="72">
        <f t="array" ref="AI102">INDEX($C$4:$J$16,MATCH($Y102&amp;$Z102,$A$4:$A$16&amp;$B$4:$B$16,0),MATCH(AA$1,$C$2:$J$2,0))</f>
        <v>0</v>
      </c>
      <c r="AJ102" s="72">
        <f t="array" ref="AJ102">INDEX($C$4:$J$16,MATCH($Y102&amp;$Z102,$A$4:$A$16&amp;$B$4:$B$16,0),MATCH(AB$1,$C$2:$J$2,0))</f>
        <v>0</v>
      </c>
      <c r="AK102" s="72">
        <f t="array" ref="AK102">INDEX($C$4:$J$16,MATCH($Y102&amp;$Z102,$A$4:$A$16&amp;$B$4:$B$16,0),MATCH(AC$1,$C$2:$J$2,0))</f>
        <v>48</v>
      </c>
      <c r="AL102" s="72">
        <f t="array" ref="AL102">INDEX($C$4:$J$16,MATCH($Y102&amp;$Z102,$A$4:$A$16&amp;$B$4:$B$16,0),MATCH(AD$1,$C$2:$J$2,0))</f>
        <v>0</v>
      </c>
      <c r="AM102" s="72">
        <f t="array" ref="AM102">INDEX($C$4:$J$16,MATCH($Y102&amp;$Z102,$A$4:$A$16&amp;$B$4:$B$16,0),MATCH(AE$1,$C$2:$J$2,0))</f>
        <v>28</v>
      </c>
      <c r="AN102" s="72">
        <f t="array" ref="AN102">INDEX($C$4:$J$16,MATCH($Y102&amp;$Z102,$A$4:$A$16&amp;$B$4:$B$16,0),MATCH(AF$1,$C$2:$J$2,0))</f>
        <v>28</v>
      </c>
      <c r="AO102" s="72">
        <f t="array" ref="AO102">INDEX($C$4:$J$16,MATCH($Y102&amp;$Z102,$A$4:$A$16&amp;$B$4:$B$16,0),MATCH(AG$1,$C$2:$J$2,0))</f>
        <v>5</v>
      </c>
      <c r="AP102" s="72">
        <f t="array" ref="AP102">INDEX($C$4:$J$16,MATCH($Y102&amp;$Z102,$A$4:$A$16&amp;$B$4:$B$16,0),MATCH(AH$1,$C$2:$J$2,0))</f>
        <v>0</v>
      </c>
      <c r="AQ102" s="72">
        <f t="array" ref="AQ102">INDEX($K$2:$K$16,MATCH(Y102&amp;Z102,$A$2:$A$16&amp;$B$2:$B$16,0))</f>
        <v>900000</v>
      </c>
      <c r="AR102" s="42" t="str">
        <f t="array" ref="AR102">_xlfn.TEXTJOIN(";",1,IF($AA102:$AH102&lt;&gt;"","1001,"&amp;$AA102:$AH102&amp;","&amp;$AI102:$AP102,""))&amp;IF(AQ102=0,"",";"&amp;"5,0,"&amp;AQ102)</f>
        <v>1001,214112,48;1001,215112,28;1001,215009,28;1001,216111,5;5,0,900000</v>
      </c>
      <c r="AS102" s="42">
        <f t="array" ref="AS102">INDEX($A$19:$F$33,MATCH($Y102&amp;$Z102,$A$19:$A$33&amp;$B$19:$B$33,0),MATCH(AS$1,$A$19:$F$19,0))</f>
        <v>1296</v>
      </c>
      <c r="AT102" s="42">
        <f t="array" ref="AT102">INDEX($A$19:$F$33,MATCH($Y102&amp;$Z102,$A$19:$A$33&amp;$B$19:$B$33,0),MATCH(AT$1,$A$19:$F$19,0))</f>
        <v>518.4</v>
      </c>
      <c r="AU102" s="42">
        <f t="array" ref="AU102">INDEX($A$19:$F$33,MATCH($Y102&amp;$Z102,$A$19:$A$33&amp;$B$19:$B$33,0),MATCH(AU$1,$A$19:$F$19,0))</f>
        <v>10368</v>
      </c>
      <c r="AV102" s="42">
        <f t="array" ref="AV102">INDEX($A$19:$F$33,MATCH($Y102&amp;$Z102,$A$19:$A$33&amp;$B$19:$B$33,0),MATCH(AV$1,$A$19:$F$19,0))</f>
        <v>120</v>
      </c>
    </row>
    <row r="103" spans="24:48">
      <c r="X103" s="46">
        <v>113027</v>
      </c>
      <c r="Y103">
        <f>INDEX(M:M,MATCH(X103,N:N,0))</f>
        <v>3</v>
      </c>
      <c r="Z103">
        <v>6</v>
      </c>
      <c r="AA103" s="72" t="str">
        <f t="shared" ref="AA103:AH103" si="101">IF(AI103=0,"",INDEX($N$1:$V$76,MATCH($X103,$N$1:$N$76,0),MATCH(AA$1,$N$1:$V$1,0)))</f>
        <v/>
      </c>
      <c r="AB103" s="72" t="str">
        <f t="shared" si="101"/>
        <v/>
      </c>
      <c r="AC103" s="72">
        <f t="shared" si="101"/>
        <v>214114</v>
      </c>
      <c r="AD103" s="72" t="str">
        <f t="shared" si="101"/>
        <v/>
      </c>
      <c r="AE103" s="72">
        <f t="shared" si="101"/>
        <v>215114</v>
      </c>
      <c r="AF103" s="72">
        <f t="shared" si="101"/>
        <v>215113</v>
      </c>
      <c r="AG103" s="72">
        <f t="shared" si="101"/>
        <v>216111</v>
      </c>
      <c r="AH103" s="72" t="str">
        <f t="shared" si="101"/>
        <v/>
      </c>
      <c r="AI103" s="72">
        <f t="array" ref="AI103">INDEX($C$4:$J$16,MATCH($Y103&amp;$Z103,$A$4:$A$16&amp;$B$4:$B$16,0),MATCH(AA$1,$C$2:$J$2,0))</f>
        <v>0</v>
      </c>
      <c r="AJ103" s="72">
        <f t="array" ref="AJ103">INDEX($C$4:$J$16,MATCH($Y103&amp;$Z103,$A$4:$A$16&amp;$B$4:$B$16,0),MATCH(AB$1,$C$2:$J$2,0))</f>
        <v>0</v>
      </c>
      <c r="AK103" s="72">
        <f t="array" ref="AK103">INDEX($C$4:$J$16,MATCH($Y103&amp;$Z103,$A$4:$A$16&amp;$B$4:$B$16,0),MATCH(AC$1,$C$2:$J$2,0))</f>
        <v>48</v>
      </c>
      <c r="AL103" s="72">
        <f t="array" ref="AL103">INDEX($C$4:$J$16,MATCH($Y103&amp;$Z103,$A$4:$A$16&amp;$B$4:$B$16,0),MATCH(AD$1,$C$2:$J$2,0))</f>
        <v>0</v>
      </c>
      <c r="AM103" s="72">
        <f t="array" ref="AM103">INDEX($C$4:$J$16,MATCH($Y103&amp;$Z103,$A$4:$A$16&amp;$B$4:$B$16,0),MATCH(AE$1,$C$2:$J$2,0))</f>
        <v>28</v>
      </c>
      <c r="AN103" s="72">
        <f t="array" ref="AN103">INDEX($C$4:$J$16,MATCH($Y103&amp;$Z103,$A$4:$A$16&amp;$B$4:$B$16,0),MATCH(AF$1,$C$2:$J$2,0))</f>
        <v>28</v>
      </c>
      <c r="AO103" s="72">
        <f t="array" ref="AO103">INDEX($C$4:$J$16,MATCH($Y103&amp;$Z103,$A$4:$A$16&amp;$B$4:$B$16,0),MATCH(AG$1,$C$2:$J$2,0))</f>
        <v>5</v>
      </c>
      <c r="AP103" s="72">
        <f t="array" ref="AP103">INDEX($C$4:$J$16,MATCH($Y103&amp;$Z103,$A$4:$A$16&amp;$B$4:$B$16,0),MATCH(AH$1,$C$2:$J$2,0))</f>
        <v>0</v>
      </c>
      <c r="AQ103" s="72">
        <f t="array" ref="AQ103">INDEX($K$2:$K$16,MATCH(Y103&amp;Z103,$A$2:$A$16&amp;$B$2:$B$16,0))</f>
        <v>900000</v>
      </c>
      <c r="AR103" s="42" t="str">
        <f t="array" ref="AR103">_xlfn.TEXTJOIN(";",1,IF($AA103:$AH103&lt;&gt;"","1001,"&amp;$AA103:$AH103&amp;","&amp;$AI103:$AP103,""))&amp;IF(AQ103=0,"",";"&amp;"5,0,"&amp;AQ103)</f>
        <v>1001,214114,48;1001,215114,28;1001,215113,28;1001,216111,5;5,0,900000</v>
      </c>
      <c r="AS103" s="42">
        <f t="array" ref="AS103">INDEX($A$19:$F$33,MATCH($Y103&amp;$Z103,$A$19:$A$33&amp;$B$19:$B$33,0),MATCH(AS$1,$A$19:$F$19,0))</f>
        <v>1296</v>
      </c>
      <c r="AT103" s="42">
        <f t="array" ref="AT103">INDEX($A$19:$F$33,MATCH($Y103&amp;$Z103,$A$19:$A$33&amp;$B$19:$B$33,0),MATCH(AT$1,$A$19:$F$19,0))</f>
        <v>518.4</v>
      </c>
      <c r="AU103" s="42">
        <f t="array" ref="AU103">INDEX($A$19:$F$33,MATCH($Y103&amp;$Z103,$A$19:$A$33&amp;$B$19:$B$33,0),MATCH(AU$1,$A$19:$F$19,0))</f>
        <v>10368</v>
      </c>
      <c r="AV103" s="42">
        <f t="array" ref="AV103">INDEX($A$19:$F$33,MATCH($Y103&amp;$Z103,$A$19:$A$33&amp;$B$19:$B$33,0),MATCH(AV$1,$A$19:$F$19,0))</f>
        <v>120</v>
      </c>
    </row>
    <row r="104" spans="24:48">
      <c r="X104" s="47">
        <v>113028</v>
      </c>
      <c r="Y104">
        <f>INDEX(M:M,MATCH(X104,N:N,0))</f>
        <v>3</v>
      </c>
      <c r="Z104">
        <v>6</v>
      </c>
      <c r="AA104" s="72" t="str">
        <f t="shared" ref="AA104:AH104" si="102">IF(AI104=0,"",INDEX($N$1:$V$76,MATCH($X104,$N$1:$N$76,0),MATCH(AA$1,$N$1:$V$1,0)))</f>
        <v/>
      </c>
      <c r="AB104" s="72" t="str">
        <f t="shared" si="102"/>
        <v/>
      </c>
      <c r="AC104" s="72">
        <f t="shared" si="102"/>
        <v>214111</v>
      </c>
      <c r="AD104" s="72" t="str">
        <f t="shared" si="102"/>
        <v/>
      </c>
      <c r="AE104" s="72">
        <f t="shared" si="102"/>
        <v>215111</v>
      </c>
      <c r="AF104" s="72">
        <f t="shared" si="102"/>
        <v>215114</v>
      </c>
      <c r="AG104" s="72">
        <f t="shared" si="102"/>
        <v>216111</v>
      </c>
      <c r="AH104" s="72" t="str">
        <f t="shared" si="102"/>
        <v/>
      </c>
      <c r="AI104" s="72">
        <f t="array" ref="AI104">INDEX($C$4:$J$16,MATCH($Y104&amp;$Z104,$A$4:$A$16&amp;$B$4:$B$16,0),MATCH(AA$1,$C$2:$J$2,0))</f>
        <v>0</v>
      </c>
      <c r="AJ104" s="72">
        <f t="array" ref="AJ104">INDEX($C$4:$J$16,MATCH($Y104&amp;$Z104,$A$4:$A$16&amp;$B$4:$B$16,0),MATCH(AB$1,$C$2:$J$2,0))</f>
        <v>0</v>
      </c>
      <c r="AK104" s="72">
        <f t="array" ref="AK104">INDEX($C$4:$J$16,MATCH($Y104&amp;$Z104,$A$4:$A$16&amp;$B$4:$B$16,0),MATCH(AC$1,$C$2:$J$2,0))</f>
        <v>48</v>
      </c>
      <c r="AL104" s="72">
        <f t="array" ref="AL104">INDEX($C$4:$J$16,MATCH($Y104&amp;$Z104,$A$4:$A$16&amp;$B$4:$B$16,0),MATCH(AD$1,$C$2:$J$2,0))</f>
        <v>0</v>
      </c>
      <c r="AM104" s="72">
        <f t="array" ref="AM104">INDEX($C$4:$J$16,MATCH($Y104&amp;$Z104,$A$4:$A$16&amp;$B$4:$B$16,0),MATCH(AE$1,$C$2:$J$2,0))</f>
        <v>28</v>
      </c>
      <c r="AN104" s="72">
        <f t="array" ref="AN104">INDEX($C$4:$J$16,MATCH($Y104&amp;$Z104,$A$4:$A$16&amp;$B$4:$B$16,0),MATCH(AF$1,$C$2:$J$2,0))</f>
        <v>28</v>
      </c>
      <c r="AO104" s="72">
        <f t="array" ref="AO104">INDEX($C$4:$J$16,MATCH($Y104&amp;$Z104,$A$4:$A$16&amp;$B$4:$B$16,0),MATCH(AG$1,$C$2:$J$2,0))</f>
        <v>5</v>
      </c>
      <c r="AP104" s="72">
        <f t="array" ref="AP104">INDEX($C$4:$J$16,MATCH($Y104&amp;$Z104,$A$4:$A$16&amp;$B$4:$B$16,0),MATCH(AH$1,$C$2:$J$2,0))</f>
        <v>0</v>
      </c>
      <c r="AQ104" s="72">
        <f t="array" ref="AQ104">INDEX($K$2:$K$16,MATCH(Y104&amp;Z104,$A$2:$A$16&amp;$B$2:$B$16,0))</f>
        <v>900000</v>
      </c>
      <c r="AR104" s="42" t="str">
        <f t="array" ref="AR104">_xlfn.TEXTJOIN(";",1,IF($AA104:$AH104&lt;&gt;"","1001,"&amp;$AA104:$AH104&amp;","&amp;$AI104:$AP104,""))&amp;IF(AQ104=0,"",";"&amp;"5,0,"&amp;AQ104)</f>
        <v>1001,214111,48;1001,215111,28;1001,215114,28;1001,216111,5;5,0,900000</v>
      </c>
      <c r="AS104" s="42">
        <f t="array" ref="AS104">INDEX($A$19:$F$33,MATCH($Y104&amp;$Z104,$A$19:$A$33&amp;$B$19:$B$33,0),MATCH(AS$1,$A$19:$F$19,0))</f>
        <v>1296</v>
      </c>
      <c r="AT104" s="42">
        <f t="array" ref="AT104">INDEX($A$19:$F$33,MATCH($Y104&amp;$Z104,$A$19:$A$33&amp;$B$19:$B$33,0),MATCH(AT$1,$A$19:$F$19,0))</f>
        <v>518.4</v>
      </c>
      <c r="AU104" s="42">
        <f t="array" ref="AU104">INDEX($A$19:$F$33,MATCH($Y104&amp;$Z104,$A$19:$A$33&amp;$B$19:$B$33,0),MATCH(AU$1,$A$19:$F$19,0))</f>
        <v>10368</v>
      </c>
      <c r="AV104" s="42">
        <f t="array" ref="AV104">INDEX($A$19:$F$33,MATCH($Y104&amp;$Z104,$A$19:$A$33&amp;$B$19:$B$33,0),MATCH(AV$1,$A$19:$F$19,0))</f>
        <v>120</v>
      </c>
    </row>
    <row r="105" spans="24:48">
      <c r="X105" s="48">
        <v>113029</v>
      </c>
      <c r="Y105">
        <f>INDEX(M:M,MATCH(X105,N:N,0))</f>
        <v>3</v>
      </c>
      <c r="Z105">
        <v>6</v>
      </c>
      <c r="AA105" s="72" t="str">
        <f t="shared" ref="AA105:AH105" si="103">IF(AI105=0,"",INDEX($N$1:$V$76,MATCH($X105,$N$1:$N$76,0),MATCH(AA$1,$N$1:$V$1,0)))</f>
        <v/>
      </c>
      <c r="AB105" s="72" t="str">
        <f t="shared" si="103"/>
        <v/>
      </c>
      <c r="AC105" s="72">
        <f t="shared" si="103"/>
        <v>214112</v>
      </c>
      <c r="AD105" s="72" t="str">
        <f t="shared" si="103"/>
        <v/>
      </c>
      <c r="AE105" s="72">
        <f t="shared" si="103"/>
        <v>215112</v>
      </c>
      <c r="AF105" s="72">
        <f t="shared" si="103"/>
        <v>215009</v>
      </c>
      <c r="AG105" s="72">
        <f t="shared" si="103"/>
        <v>216111</v>
      </c>
      <c r="AH105" s="72" t="str">
        <f t="shared" si="103"/>
        <v/>
      </c>
      <c r="AI105" s="72">
        <f t="array" ref="AI105">INDEX($C$4:$J$16,MATCH($Y105&amp;$Z105,$A$4:$A$16&amp;$B$4:$B$16,0),MATCH(AA$1,$C$2:$J$2,0))</f>
        <v>0</v>
      </c>
      <c r="AJ105" s="72">
        <f t="array" ref="AJ105">INDEX($C$4:$J$16,MATCH($Y105&amp;$Z105,$A$4:$A$16&amp;$B$4:$B$16,0),MATCH(AB$1,$C$2:$J$2,0))</f>
        <v>0</v>
      </c>
      <c r="AK105" s="72">
        <f t="array" ref="AK105">INDEX($C$4:$J$16,MATCH($Y105&amp;$Z105,$A$4:$A$16&amp;$B$4:$B$16,0),MATCH(AC$1,$C$2:$J$2,0))</f>
        <v>48</v>
      </c>
      <c r="AL105" s="72">
        <f t="array" ref="AL105">INDEX($C$4:$J$16,MATCH($Y105&amp;$Z105,$A$4:$A$16&amp;$B$4:$B$16,0),MATCH(AD$1,$C$2:$J$2,0))</f>
        <v>0</v>
      </c>
      <c r="AM105" s="72">
        <f t="array" ref="AM105">INDEX($C$4:$J$16,MATCH($Y105&amp;$Z105,$A$4:$A$16&amp;$B$4:$B$16,0),MATCH(AE$1,$C$2:$J$2,0))</f>
        <v>28</v>
      </c>
      <c r="AN105" s="72">
        <f t="array" ref="AN105">INDEX($C$4:$J$16,MATCH($Y105&amp;$Z105,$A$4:$A$16&amp;$B$4:$B$16,0),MATCH(AF$1,$C$2:$J$2,0))</f>
        <v>28</v>
      </c>
      <c r="AO105" s="72">
        <f t="array" ref="AO105">INDEX($C$4:$J$16,MATCH($Y105&amp;$Z105,$A$4:$A$16&amp;$B$4:$B$16,0),MATCH(AG$1,$C$2:$J$2,0))</f>
        <v>5</v>
      </c>
      <c r="AP105" s="72">
        <f t="array" ref="AP105">INDEX($C$4:$J$16,MATCH($Y105&amp;$Z105,$A$4:$A$16&amp;$B$4:$B$16,0),MATCH(AH$1,$C$2:$J$2,0))</f>
        <v>0</v>
      </c>
      <c r="AQ105" s="72">
        <f t="array" ref="AQ105">INDEX($K$2:$K$16,MATCH(Y105&amp;Z105,$A$2:$A$16&amp;$B$2:$B$16,0))</f>
        <v>900000</v>
      </c>
      <c r="AR105" s="42" t="str">
        <f t="array" ref="AR105">_xlfn.TEXTJOIN(";",1,IF($AA105:$AH105&lt;&gt;"","1001,"&amp;$AA105:$AH105&amp;","&amp;$AI105:$AP105,""))&amp;IF(AQ105=0,"",";"&amp;"5,0,"&amp;AQ105)</f>
        <v>1001,214112,48;1001,215112,28;1001,215009,28;1001,216111,5;5,0,900000</v>
      </c>
      <c r="AS105" s="42">
        <f t="array" ref="AS105">INDEX($A$19:$F$33,MATCH($Y105&amp;$Z105,$A$19:$A$33&amp;$B$19:$B$33,0),MATCH(AS$1,$A$19:$F$19,0))</f>
        <v>1296</v>
      </c>
      <c r="AT105" s="42">
        <f t="array" ref="AT105">INDEX($A$19:$F$33,MATCH($Y105&amp;$Z105,$A$19:$A$33&amp;$B$19:$B$33,0),MATCH(AT$1,$A$19:$F$19,0))</f>
        <v>518.4</v>
      </c>
      <c r="AU105" s="42">
        <f t="array" ref="AU105">INDEX($A$19:$F$33,MATCH($Y105&amp;$Z105,$A$19:$A$33&amp;$B$19:$B$33,0),MATCH(AU$1,$A$19:$F$19,0))</f>
        <v>10368</v>
      </c>
      <c r="AV105" s="42">
        <f t="array" ref="AV105">INDEX($A$19:$F$33,MATCH($Y105&amp;$Z105,$A$19:$A$33&amp;$B$19:$B$33,0),MATCH(AV$1,$A$19:$F$19,0))</f>
        <v>120</v>
      </c>
    </row>
    <row r="106" spans="24:48">
      <c r="X106" s="49">
        <v>113030</v>
      </c>
      <c r="Y106">
        <f>INDEX(M:M,MATCH(X106,N:N,0))</f>
        <v>3</v>
      </c>
      <c r="Z106">
        <v>6</v>
      </c>
      <c r="AA106" s="72" t="str">
        <f t="shared" ref="AA106:AH106" si="104">IF(AI106=0,"",INDEX($N$1:$V$76,MATCH($X106,$N$1:$N$76,0),MATCH(AA$1,$N$1:$V$1,0)))</f>
        <v/>
      </c>
      <c r="AB106" s="72" t="str">
        <f t="shared" si="104"/>
        <v/>
      </c>
      <c r="AC106" s="72">
        <f t="shared" si="104"/>
        <v>214009</v>
      </c>
      <c r="AD106" s="72" t="str">
        <f t="shared" si="104"/>
        <v/>
      </c>
      <c r="AE106" s="72">
        <f t="shared" si="104"/>
        <v>215009</v>
      </c>
      <c r="AF106" s="72">
        <f t="shared" si="104"/>
        <v>215111</v>
      </c>
      <c r="AG106" s="72">
        <f t="shared" si="104"/>
        <v>216111</v>
      </c>
      <c r="AH106" s="72" t="str">
        <f t="shared" si="104"/>
        <v/>
      </c>
      <c r="AI106" s="72">
        <f t="array" ref="AI106">INDEX($C$4:$J$16,MATCH($Y106&amp;$Z106,$A$4:$A$16&amp;$B$4:$B$16,0),MATCH(AA$1,$C$2:$J$2,0))</f>
        <v>0</v>
      </c>
      <c r="AJ106" s="72">
        <f t="array" ref="AJ106">INDEX($C$4:$J$16,MATCH($Y106&amp;$Z106,$A$4:$A$16&amp;$B$4:$B$16,0),MATCH(AB$1,$C$2:$J$2,0))</f>
        <v>0</v>
      </c>
      <c r="AK106" s="72">
        <f t="array" ref="AK106">INDEX($C$4:$J$16,MATCH($Y106&amp;$Z106,$A$4:$A$16&amp;$B$4:$B$16,0),MATCH(AC$1,$C$2:$J$2,0))</f>
        <v>48</v>
      </c>
      <c r="AL106" s="72">
        <f t="array" ref="AL106">INDEX($C$4:$J$16,MATCH($Y106&amp;$Z106,$A$4:$A$16&amp;$B$4:$B$16,0),MATCH(AD$1,$C$2:$J$2,0))</f>
        <v>0</v>
      </c>
      <c r="AM106" s="72">
        <f t="array" ref="AM106">INDEX($C$4:$J$16,MATCH($Y106&amp;$Z106,$A$4:$A$16&amp;$B$4:$B$16,0),MATCH(AE$1,$C$2:$J$2,0))</f>
        <v>28</v>
      </c>
      <c r="AN106" s="72">
        <f t="array" ref="AN106">INDEX($C$4:$J$16,MATCH($Y106&amp;$Z106,$A$4:$A$16&amp;$B$4:$B$16,0),MATCH(AF$1,$C$2:$J$2,0))</f>
        <v>28</v>
      </c>
      <c r="AO106" s="72">
        <f t="array" ref="AO106">INDEX($C$4:$J$16,MATCH($Y106&amp;$Z106,$A$4:$A$16&amp;$B$4:$B$16,0),MATCH(AG$1,$C$2:$J$2,0))</f>
        <v>5</v>
      </c>
      <c r="AP106" s="72">
        <f t="array" ref="AP106">INDEX($C$4:$J$16,MATCH($Y106&amp;$Z106,$A$4:$A$16&amp;$B$4:$B$16,0),MATCH(AH$1,$C$2:$J$2,0))</f>
        <v>0</v>
      </c>
      <c r="AQ106" s="72">
        <f t="array" ref="AQ106">INDEX($K$2:$K$16,MATCH(Y106&amp;Z106,$A$2:$A$16&amp;$B$2:$B$16,0))</f>
        <v>900000</v>
      </c>
      <c r="AR106" s="42" t="str">
        <f t="array" ref="AR106">_xlfn.TEXTJOIN(";",1,IF($AA106:$AH106&lt;&gt;"","1001,"&amp;$AA106:$AH106&amp;","&amp;$AI106:$AP106,""))&amp;IF(AQ106=0,"",";"&amp;"5,0,"&amp;AQ106)</f>
        <v>1001,214009,48;1001,215009,28;1001,215111,28;1001,216111,5;5,0,900000</v>
      </c>
      <c r="AS106" s="42">
        <f t="array" ref="AS106">INDEX($A$19:$F$33,MATCH($Y106&amp;$Z106,$A$19:$A$33&amp;$B$19:$B$33,0),MATCH(AS$1,$A$19:$F$19,0))</f>
        <v>1296</v>
      </c>
      <c r="AT106" s="42">
        <f t="array" ref="AT106">INDEX($A$19:$F$33,MATCH($Y106&amp;$Z106,$A$19:$A$33&amp;$B$19:$B$33,0),MATCH(AT$1,$A$19:$F$19,0))</f>
        <v>518.4</v>
      </c>
      <c r="AU106" s="42">
        <f t="array" ref="AU106">INDEX($A$19:$F$33,MATCH($Y106&amp;$Z106,$A$19:$A$33&amp;$B$19:$B$33,0),MATCH(AU$1,$A$19:$F$19,0))</f>
        <v>10368</v>
      </c>
      <c r="AV106" s="42">
        <f t="array" ref="AV106">INDEX($A$19:$F$33,MATCH($Y106&amp;$Z106,$A$19:$A$33&amp;$B$19:$B$33,0),MATCH(AV$1,$A$19:$F$19,0))</f>
        <v>120</v>
      </c>
    </row>
    <row r="107" spans="24:48">
      <c r="X107" s="50">
        <v>113031</v>
      </c>
      <c r="Y107">
        <f>INDEX(M:M,MATCH(X107,N:N,0))</f>
        <v>3</v>
      </c>
      <c r="Z107">
        <v>6</v>
      </c>
      <c r="AA107" s="72" t="str">
        <f t="shared" ref="AA107:AH107" si="105">IF(AI107=0,"",INDEX($N$1:$V$76,MATCH($X107,$N$1:$N$76,0),MATCH(AA$1,$N$1:$V$1,0)))</f>
        <v/>
      </c>
      <c r="AB107" s="72" t="str">
        <f t="shared" si="105"/>
        <v/>
      </c>
      <c r="AC107" s="72">
        <f t="shared" si="105"/>
        <v>214113</v>
      </c>
      <c r="AD107" s="72" t="str">
        <f t="shared" si="105"/>
        <v/>
      </c>
      <c r="AE107" s="72">
        <f t="shared" si="105"/>
        <v>215113</v>
      </c>
      <c r="AF107" s="72">
        <f t="shared" si="105"/>
        <v>215112</v>
      </c>
      <c r="AG107" s="72">
        <f t="shared" si="105"/>
        <v>216111</v>
      </c>
      <c r="AH107" s="72" t="str">
        <f t="shared" si="105"/>
        <v/>
      </c>
      <c r="AI107" s="72">
        <f t="array" ref="AI107">INDEX($C$4:$J$16,MATCH($Y107&amp;$Z107,$A$4:$A$16&amp;$B$4:$B$16,0),MATCH(AA$1,$C$2:$J$2,0))</f>
        <v>0</v>
      </c>
      <c r="AJ107" s="72">
        <f t="array" ref="AJ107">INDEX($C$4:$J$16,MATCH($Y107&amp;$Z107,$A$4:$A$16&amp;$B$4:$B$16,0),MATCH(AB$1,$C$2:$J$2,0))</f>
        <v>0</v>
      </c>
      <c r="AK107" s="72">
        <f t="array" ref="AK107">INDEX($C$4:$J$16,MATCH($Y107&amp;$Z107,$A$4:$A$16&amp;$B$4:$B$16,0),MATCH(AC$1,$C$2:$J$2,0))</f>
        <v>48</v>
      </c>
      <c r="AL107" s="72">
        <f t="array" ref="AL107">INDEX($C$4:$J$16,MATCH($Y107&amp;$Z107,$A$4:$A$16&amp;$B$4:$B$16,0),MATCH(AD$1,$C$2:$J$2,0))</f>
        <v>0</v>
      </c>
      <c r="AM107" s="72">
        <f t="array" ref="AM107">INDEX($C$4:$J$16,MATCH($Y107&amp;$Z107,$A$4:$A$16&amp;$B$4:$B$16,0),MATCH(AE$1,$C$2:$J$2,0))</f>
        <v>28</v>
      </c>
      <c r="AN107" s="72">
        <f t="array" ref="AN107">INDEX($C$4:$J$16,MATCH($Y107&amp;$Z107,$A$4:$A$16&amp;$B$4:$B$16,0),MATCH(AF$1,$C$2:$J$2,0))</f>
        <v>28</v>
      </c>
      <c r="AO107" s="72">
        <f t="array" ref="AO107">INDEX($C$4:$J$16,MATCH($Y107&amp;$Z107,$A$4:$A$16&amp;$B$4:$B$16,0),MATCH(AG$1,$C$2:$J$2,0))</f>
        <v>5</v>
      </c>
      <c r="AP107" s="72">
        <f t="array" ref="AP107">INDEX($C$4:$J$16,MATCH($Y107&amp;$Z107,$A$4:$A$16&amp;$B$4:$B$16,0),MATCH(AH$1,$C$2:$J$2,0))</f>
        <v>0</v>
      </c>
      <c r="AQ107" s="72">
        <f t="array" ref="AQ107">INDEX($K$2:$K$16,MATCH(Y107&amp;Z107,$A$2:$A$16&amp;$B$2:$B$16,0))</f>
        <v>900000</v>
      </c>
      <c r="AR107" s="42" t="str">
        <f t="array" ref="AR107">_xlfn.TEXTJOIN(";",1,IF($AA107:$AH107&lt;&gt;"","1001,"&amp;$AA107:$AH107&amp;","&amp;$AI107:$AP107,""))&amp;IF(AQ107=0,"",";"&amp;"5,0,"&amp;AQ107)</f>
        <v>1001,214113,48;1001,215113,28;1001,215112,28;1001,216111,5;5,0,900000</v>
      </c>
      <c r="AS107" s="42">
        <f t="array" ref="AS107">INDEX($A$19:$F$33,MATCH($Y107&amp;$Z107,$A$19:$A$33&amp;$B$19:$B$33,0),MATCH(AS$1,$A$19:$F$19,0))</f>
        <v>1296</v>
      </c>
      <c r="AT107" s="42">
        <f t="array" ref="AT107">INDEX($A$19:$F$33,MATCH($Y107&amp;$Z107,$A$19:$A$33&amp;$B$19:$B$33,0),MATCH(AT$1,$A$19:$F$19,0))</f>
        <v>518.4</v>
      </c>
      <c r="AU107" s="42">
        <f t="array" ref="AU107">INDEX($A$19:$F$33,MATCH($Y107&amp;$Z107,$A$19:$A$33&amp;$B$19:$B$33,0),MATCH(AU$1,$A$19:$F$19,0))</f>
        <v>10368</v>
      </c>
      <c r="AV107" s="42">
        <f t="array" ref="AV107">INDEX($A$19:$F$33,MATCH($Y107&amp;$Z107,$A$19:$A$33&amp;$B$19:$B$33,0),MATCH(AV$1,$A$19:$F$19,0))</f>
        <v>120</v>
      </c>
    </row>
    <row r="108" spans="24:48">
      <c r="X108" s="51">
        <v>113032</v>
      </c>
      <c r="Y108">
        <f>INDEX(M:M,MATCH(X108,N:N,0))</f>
        <v>3</v>
      </c>
      <c r="Z108">
        <v>6</v>
      </c>
      <c r="AA108" s="72" t="str">
        <f t="shared" ref="AA108:AH108" si="106">IF(AI108=0,"",INDEX($N$1:$V$76,MATCH($X108,$N$1:$N$76,0),MATCH(AA$1,$N$1:$V$1,0)))</f>
        <v/>
      </c>
      <c r="AB108" s="72" t="str">
        <f t="shared" si="106"/>
        <v/>
      </c>
      <c r="AC108" s="72">
        <f t="shared" si="106"/>
        <v>214114</v>
      </c>
      <c r="AD108" s="72" t="str">
        <f t="shared" si="106"/>
        <v/>
      </c>
      <c r="AE108" s="72">
        <f t="shared" si="106"/>
        <v>215114</v>
      </c>
      <c r="AF108" s="72">
        <f t="shared" si="106"/>
        <v>215113</v>
      </c>
      <c r="AG108" s="72">
        <f t="shared" si="106"/>
        <v>216111</v>
      </c>
      <c r="AH108" s="72" t="str">
        <f t="shared" si="106"/>
        <v/>
      </c>
      <c r="AI108" s="72">
        <f t="array" ref="AI108">INDEX($C$4:$J$16,MATCH($Y108&amp;$Z108,$A$4:$A$16&amp;$B$4:$B$16,0),MATCH(AA$1,$C$2:$J$2,0))</f>
        <v>0</v>
      </c>
      <c r="AJ108" s="72">
        <f t="array" ref="AJ108">INDEX($C$4:$J$16,MATCH($Y108&amp;$Z108,$A$4:$A$16&amp;$B$4:$B$16,0),MATCH(AB$1,$C$2:$J$2,0))</f>
        <v>0</v>
      </c>
      <c r="AK108" s="72">
        <f t="array" ref="AK108">INDEX($C$4:$J$16,MATCH($Y108&amp;$Z108,$A$4:$A$16&amp;$B$4:$B$16,0),MATCH(AC$1,$C$2:$J$2,0))</f>
        <v>48</v>
      </c>
      <c r="AL108" s="72">
        <f t="array" ref="AL108">INDEX($C$4:$J$16,MATCH($Y108&amp;$Z108,$A$4:$A$16&amp;$B$4:$B$16,0),MATCH(AD$1,$C$2:$J$2,0))</f>
        <v>0</v>
      </c>
      <c r="AM108" s="72">
        <f t="array" ref="AM108">INDEX($C$4:$J$16,MATCH($Y108&amp;$Z108,$A$4:$A$16&amp;$B$4:$B$16,0),MATCH(AE$1,$C$2:$J$2,0))</f>
        <v>28</v>
      </c>
      <c r="AN108" s="72">
        <f t="array" ref="AN108">INDEX($C$4:$J$16,MATCH($Y108&amp;$Z108,$A$4:$A$16&amp;$B$4:$B$16,0),MATCH(AF$1,$C$2:$J$2,0))</f>
        <v>28</v>
      </c>
      <c r="AO108" s="72">
        <f t="array" ref="AO108">INDEX($C$4:$J$16,MATCH($Y108&amp;$Z108,$A$4:$A$16&amp;$B$4:$B$16,0),MATCH(AG$1,$C$2:$J$2,0))</f>
        <v>5</v>
      </c>
      <c r="AP108" s="72">
        <f t="array" ref="AP108">INDEX($C$4:$J$16,MATCH($Y108&amp;$Z108,$A$4:$A$16&amp;$B$4:$B$16,0),MATCH(AH$1,$C$2:$J$2,0))</f>
        <v>0</v>
      </c>
      <c r="AQ108" s="72">
        <f t="array" ref="AQ108">INDEX($K$2:$K$16,MATCH(Y108&amp;Z108,$A$2:$A$16&amp;$B$2:$B$16,0))</f>
        <v>900000</v>
      </c>
      <c r="AR108" s="42" t="str">
        <f t="array" ref="AR108">_xlfn.TEXTJOIN(";",1,IF($AA108:$AH108&lt;&gt;"","1001,"&amp;$AA108:$AH108&amp;","&amp;$AI108:$AP108,""))&amp;IF(AQ108=0,"",";"&amp;"5,0,"&amp;AQ108)</f>
        <v>1001,214114,48;1001,215114,28;1001,215113,28;1001,216111,5;5,0,900000</v>
      </c>
      <c r="AS108" s="42">
        <f t="array" ref="AS108">INDEX($A$19:$F$33,MATCH($Y108&amp;$Z108,$A$19:$A$33&amp;$B$19:$B$33,0),MATCH(AS$1,$A$19:$F$19,0))</f>
        <v>1296</v>
      </c>
      <c r="AT108" s="42">
        <f t="array" ref="AT108">INDEX($A$19:$F$33,MATCH($Y108&amp;$Z108,$A$19:$A$33&amp;$B$19:$B$33,0),MATCH(AT$1,$A$19:$F$19,0))</f>
        <v>518.4</v>
      </c>
      <c r="AU108" s="42">
        <f t="array" ref="AU108">INDEX($A$19:$F$33,MATCH($Y108&amp;$Z108,$A$19:$A$33&amp;$B$19:$B$33,0),MATCH(AU$1,$A$19:$F$19,0))</f>
        <v>10368</v>
      </c>
      <c r="AV108" s="42">
        <f t="array" ref="AV108">INDEX($A$19:$F$33,MATCH($Y108&amp;$Z108,$A$19:$A$33&amp;$B$19:$B$33,0),MATCH(AV$1,$A$19:$F$19,0))</f>
        <v>120</v>
      </c>
    </row>
    <row r="109" spans="24:48">
      <c r="X109" s="52">
        <v>113033</v>
      </c>
      <c r="Y109">
        <f>INDEX(M:M,MATCH(X109,N:N,0))</f>
        <v>3</v>
      </c>
      <c r="Z109">
        <v>6</v>
      </c>
      <c r="AA109" s="72" t="str">
        <f t="shared" ref="AA109:AH109" si="107">IF(AI109=0,"",INDEX($N$1:$V$76,MATCH($X109,$N$1:$N$76,0),MATCH(AA$1,$N$1:$V$1,0)))</f>
        <v/>
      </c>
      <c r="AB109" s="72" t="str">
        <f t="shared" si="107"/>
        <v/>
      </c>
      <c r="AC109" s="72">
        <f t="shared" si="107"/>
        <v>214111</v>
      </c>
      <c r="AD109" s="72" t="str">
        <f t="shared" si="107"/>
        <v/>
      </c>
      <c r="AE109" s="72">
        <f t="shared" si="107"/>
        <v>215111</v>
      </c>
      <c r="AF109" s="72">
        <f t="shared" si="107"/>
        <v>215114</v>
      </c>
      <c r="AG109" s="72">
        <f t="shared" si="107"/>
        <v>216111</v>
      </c>
      <c r="AH109" s="72" t="str">
        <f t="shared" si="107"/>
        <v/>
      </c>
      <c r="AI109" s="72">
        <f t="array" ref="AI109">INDEX($C$4:$J$16,MATCH($Y109&amp;$Z109,$A$4:$A$16&amp;$B$4:$B$16,0),MATCH(AA$1,$C$2:$J$2,0))</f>
        <v>0</v>
      </c>
      <c r="AJ109" s="72">
        <f t="array" ref="AJ109">INDEX($C$4:$J$16,MATCH($Y109&amp;$Z109,$A$4:$A$16&amp;$B$4:$B$16,0),MATCH(AB$1,$C$2:$J$2,0))</f>
        <v>0</v>
      </c>
      <c r="AK109" s="72">
        <f t="array" ref="AK109">INDEX($C$4:$J$16,MATCH($Y109&amp;$Z109,$A$4:$A$16&amp;$B$4:$B$16,0),MATCH(AC$1,$C$2:$J$2,0))</f>
        <v>48</v>
      </c>
      <c r="AL109" s="72">
        <f t="array" ref="AL109">INDEX($C$4:$J$16,MATCH($Y109&amp;$Z109,$A$4:$A$16&amp;$B$4:$B$16,0),MATCH(AD$1,$C$2:$J$2,0))</f>
        <v>0</v>
      </c>
      <c r="AM109" s="72">
        <f t="array" ref="AM109">INDEX($C$4:$J$16,MATCH($Y109&amp;$Z109,$A$4:$A$16&amp;$B$4:$B$16,0),MATCH(AE$1,$C$2:$J$2,0))</f>
        <v>28</v>
      </c>
      <c r="AN109" s="72">
        <f t="array" ref="AN109">INDEX($C$4:$J$16,MATCH($Y109&amp;$Z109,$A$4:$A$16&amp;$B$4:$B$16,0),MATCH(AF$1,$C$2:$J$2,0))</f>
        <v>28</v>
      </c>
      <c r="AO109" s="72">
        <f t="array" ref="AO109">INDEX($C$4:$J$16,MATCH($Y109&amp;$Z109,$A$4:$A$16&amp;$B$4:$B$16,0),MATCH(AG$1,$C$2:$J$2,0))</f>
        <v>5</v>
      </c>
      <c r="AP109" s="72">
        <f t="array" ref="AP109">INDEX($C$4:$J$16,MATCH($Y109&amp;$Z109,$A$4:$A$16&amp;$B$4:$B$16,0),MATCH(AH$1,$C$2:$J$2,0))</f>
        <v>0</v>
      </c>
      <c r="AQ109" s="72">
        <f t="array" ref="AQ109">INDEX($K$2:$K$16,MATCH(Y109&amp;Z109,$A$2:$A$16&amp;$B$2:$B$16,0))</f>
        <v>900000</v>
      </c>
      <c r="AR109" s="42" t="str">
        <f t="array" ref="AR109">_xlfn.TEXTJOIN(";",1,IF($AA109:$AH109&lt;&gt;"","1001,"&amp;$AA109:$AH109&amp;","&amp;$AI109:$AP109,""))&amp;IF(AQ109=0,"",";"&amp;"5,0,"&amp;AQ109)</f>
        <v>1001,214111,48;1001,215111,28;1001,215114,28;1001,216111,5;5,0,900000</v>
      </c>
      <c r="AS109" s="42">
        <f t="array" ref="AS109">INDEX($A$19:$F$33,MATCH($Y109&amp;$Z109,$A$19:$A$33&amp;$B$19:$B$33,0),MATCH(AS$1,$A$19:$F$19,0))</f>
        <v>1296</v>
      </c>
      <c r="AT109" s="42">
        <f t="array" ref="AT109">INDEX($A$19:$F$33,MATCH($Y109&amp;$Z109,$A$19:$A$33&amp;$B$19:$B$33,0),MATCH(AT$1,$A$19:$F$19,0))</f>
        <v>518.4</v>
      </c>
      <c r="AU109" s="42">
        <f t="array" ref="AU109">INDEX($A$19:$F$33,MATCH($Y109&amp;$Z109,$A$19:$A$33&amp;$B$19:$B$33,0),MATCH(AU$1,$A$19:$F$19,0))</f>
        <v>10368</v>
      </c>
      <c r="AV109" s="42">
        <f t="array" ref="AV109">INDEX($A$19:$F$33,MATCH($Y109&amp;$Z109,$A$19:$A$33&amp;$B$19:$B$33,0),MATCH(AV$1,$A$19:$F$19,0))</f>
        <v>120</v>
      </c>
    </row>
    <row r="110" spans="24:48">
      <c r="X110" s="53">
        <v>113034</v>
      </c>
      <c r="Y110">
        <f>INDEX(M:M,MATCH(X110,N:N,0))</f>
        <v>3</v>
      </c>
      <c r="Z110">
        <v>6</v>
      </c>
      <c r="AA110" s="72" t="str">
        <f t="shared" ref="AA110:AH110" si="108">IF(AI110=0,"",INDEX($N$1:$V$76,MATCH($X110,$N$1:$N$76,0),MATCH(AA$1,$N$1:$V$1,0)))</f>
        <v/>
      </c>
      <c r="AB110" s="72" t="str">
        <f t="shared" si="108"/>
        <v/>
      </c>
      <c r="AC110" s="72">
        <f t="shared" si="108"/>
        <v>214112</v>
      </c>
      <c r="AD110" s="72" t="str">
        <f t="shared" si="108"/>
        <v/>
      </c>
      <c r="AE110" s="72">
        <f t="shared" si="108"/>
        <v>215112</v>
      </c>
      <c r="AF110" s="72">
        <f t="shared" si="108"/>
        <v>215009</v>
      </c>
      <c r="AG110" s="72">
        <f t="shared" si="108"/>
        <v>216111</v>
      </c>
      <c r="AH110" s="72" t="str">
        <f t="shared" si="108"/>
        <v/>
      </c>
      <c r="AI110" s="72">
        <f t="array" ref="AI110">INDEX($C$4:$J$16,MATCH($Y110&amp;$Z110,$A$4:$A$16&amp;$B$4:$B$16,0),MATCH(AA$1,$C$2:$J$2,0))</f>
        <v>0</v>
      </c>
      <c r="AJ110" s="72">
        <f t="array" ref="AJ110">INDEX($C$4:$J$16,MATCH($Y110&amp;$Z110,$A$4:$A$16&amp;$B$4:$B$16,0),MATCH(AB$1,$C$2:$J$2,0))</f>
        <v>0</v>
      </c>
      <c r="AK110" s="72">
        <f t="array" ref="AK110">INDEX($C$4:$J$16,MATCH($Y110&amp;$Z110,$A$4:$A$16&amp;$B$4:$B$16,0),MATCH(AC$1,$C$2:$J$2,0))</f>
        <v>48</v>
      </c>
      <c r="AL110" s="72">
        <f t="array" ref="AL110">INDEX($C$4:$J$16,MATCH($Y110&amp;$Z110,$A$4:$A$16&amp;$B$4:$B$16,0),MATCH(AD$1,$C$2:$J$2,0))</f>
        <v>0</v>
      </c>
      <c r="AM110" s="72">
        <f t="array" ref="AM110">INDEX($C$4:$J$16,MATCH($Y110&amp;$Z110,$A$4:$A$16&amp;$B$4:$B$16,0),MATCH(AE$1,$C$2:$J$2,0))</f>
        <v>28</v>
      </c>
      <c r="AN110" s="72">
        <f t="array" ref="AN110">INDEX($C$4:$J$16,MATCH($Y110&amp;$Z110,$A$4:$A$16&amp;$B$4:$B$16,0),MATCH(AF$1,$C$2:$J$2,0))</f>
        <v>28</v>
      </c>
      <c r="AO110" s="72">
        <f t="array" ref="AO110">INDEX($C$4:$J$16,MATCH($Y110&amp;$Z110,$A$4:$A$16&amp;$B$4:$B$16,0),MATCH(AG$1,$C$2:$J$2,0))</f>
        <v>5</v>
      </c>
      <c r="AP110" s="72">
        <f t="array" ref="AP110">INDEX($C$4:$J$16,MATCH($Y110&amp;$Z110,$A$4:$A$16&amp;$B$4:$B$16,0),MATCH(AH$1,$C$2:$J$2,0))</f>
        <v>0</v>
      </c>
      <c r="AQ110" s="72">
        <f t="array" ref="AQ110">INDEX($K$2:$K$16,MATCH(Y110&amp;Z110,$A$2:$A$16&amp;$B$2:$B$16,0))</f>
        <v>900000</v>
      </c>
      <c r="AR110" s="42" t="str">
        <f t="array" ref="AR110">_xlfn.TEXTJOIN(";",1,IF($AA110:$AH110&lt;&gt;"","1001,"&amp;$AA110:$AH110&amp;","&amp;$AI110:$AP110,""))&amp;IF(AQ110=0,"",";"&amp;"5,0,"&amp;AQ110)</f>
        <v>1001,214112,48;1001,215112,28;1001,215009,28;1001,216111,5;5,0,900000</v>
      </c>
      <c r="AS110" s="42">
        <f t="array" ref="AS110">INDEX($A$19:$F$33,MATCH($Y110&amp;$Z110,$A$19:$A$33&amp;$B$19:$B$33,0),MATCH(AS$1,$A$19:$F$19,0))</f>
        <v>1296</v>
      </c>
      <c r="AT110" s="42">
        <f t="array" ref="AT110">INDEX($A$19:$F$33,MATCH($Y110&amp;$Z110,$A$19:$A$33&amp;$B$19:$B$33,0),MATCH(AT$1,$A$19:$F$19,0))</f>
        <v>518.4</v>
      </c>
      <c r="AU110" s="42">
        <f t="array" ref="AU110">INDEX($A$19:$F$33,MATCH($Y110&amp;$Z110,$A$19:$A$33&amp;$B$19:$B$33,0),MATCH(AU$1,$A$19:$F$19,0))</f>
        <v>10368</v>
      </c>
      <c r="AV110" s="42">
        <f t="array" ref="AV110">INDEX($A$19:$F$33,MATCH($Y110&amp;$Z110,$A$19:$A$33&amp;$B$19:$B$33,0),MATCH(AV$1,$A$19:$F$19,0))</f>
        <v>120</v>
      </c>
    </row>
    <row r="111" spans="24:48">
      <c r="X111" s="54">
        <v>113035</v>
      </c>
      <c r="Y111">
        <f>INDEX(M:M,MATCH(X111,N:N,0))</f>
        <v>3</v>
      </c>
      <c r="Z111">
        <v>6</v>
      </c>
      <c r="AA111" s="72" t="str">
        <f t="shared" ref="AA111:AH111" si="109">IF(AI111=0,"",INDEX($N$1:$V$76,MATCH($X111,$N$1:$N$76,0),MATCH(AA$1,$N$1:$V$1,0)))</f>
        <v/>
      </c>
      <c r="AB111" s="72" t="str">
        <f t="shared" si="109"/>
        <v/>
      </c>
      <c r="AC111" s="72">
        <f t="shared" si="109"/>
        <v>214114</v>
      </c>
      <c r="AD111" s="72" t="str">
        <f t="shared" si="109"/>
        <v/>
      </c>
      <c r="AE111" s="72">
        <f t="shared" si="109"/>
        <v>215114</v>
      </c>
      <c r="AF111" s="72">
        <f t="shared" si="109"/>
        <v>215113</v>
      </c>
      <c r="AG111" s="72">
        <f t="shared" si="109"/>
        <v>216111</v>
      </c>
      <c r="AH111" s="72" t="str">
        <f t="shared" si="109"/>
        <v/>
      </c>
      <c r="AI111" s="72">
        <f t="array" ref="AI111">INDEX($C$4:$J$16,MATCH($Y111&amp;$Z111,$A$4:$A$16&amp;$B$4:$B$16,0),MATCH(AA$1,$C$2:$J$2,0))</f>
        <v>0</v>
      </c>
      <c r="AJ111" s="72">
        <f t="array" ref="AJ111">INDEX($C$4:$J$16,MATCH($Y111&amp;$Z111,$A$4:$A$16&amp;$B$4:$B$16,0),MATCH(AB$1,$C$2:$J$2,0))</f>
        <v>0</v>
      </c>
      <c r="AK111" s="72">
        <f t="array" ref="AK111">INDEX($C$4:$J$16,MATCH($Y111&amp;$Z111,$A$4:$A$16&amp;$B$4:$B$16,0),MATCH(AC$1,$C$2:$J$2,0))</f>
        <v>48</v>
      </c>
      <c r="AL111" s="72">
        <f t="array" ref="AL111">INDEX($C$4:$J$16,MATCH($Y111&amp;$Z111,$A$4:$A$16&amp;$B$4:$B$16,0),MATCH(AD$1,$C$2:$J$2,0))</f>
        <v>0</v>
      </c>
      <c r="AM111" s="72">
        <f t="array" ref="AM111">INDEX($C$4:$J$16,MATCH($Y111&amp;$Z111,$A$4:$A$16&amp;$B$4:$B$16,0),MATCH(AE$1,$C$2:$J$2,0))</f>
        <v>28</v>
      </c>
      <c r="AN111" s="72">
        <f t="array" ref="AN111">INDEX($C$4:$J$16,MATCH($Y111&amp;$Z111,$A$4:$A$16&amp;$B$4:$B$16,0),MATCH(AF$1,$C$2:$J$2,0))</f>
        <v>28</v>
      </c>
      <c r="AO111" s="72">
        <f t="array" ref="AO111">INDEX($C$4:$J$16,MATCH($Y111&amp;$Z111,$A$4:$A$16&amp;$B$4:$B$16,0),MATCH(AG$1,$C$2:$J$2,0))</f>
        <v>5</v>
      </c>
      <c r="AP111" s="72">
        <f t="array" ref="AP111">INDEX($C$4:$J$16,MATCH($Y111&amp;$Z111,$A$4:$A$16&amp;$B$4:$B$16,0),MATCH(AH$1,$C$2:$J$2,0))</f>
        <v>0</v>
      </c>
      <c r="AQ111" s="72">
        <f t="array" ref="AQ111">INDEX($K$2:$K$16,MATCH(Y111&amp;Z111,$A$2:$A$16&amp;$B$2:$B$16,0))</f>
        <v>900000</v>
      </c>
      <c r="AR111" s="42" t="str">
        <f t="array" ref="AR111">_xlfn.TEXTJOIN(";",1,IF($AA111:$AH111&lt;&gt;"","1001,"&amp;$AA111:$AH111&amp;","&amp;$AI111:$AP111,""))&amp;IF(AQ111=0,"",";"&amp;"5,0,"&amp;AQ111)</f>
        <v>1001,214114,48;1001,215114,28;1001,215113,28;1001,216111,5;5,0,900000</v>
      </c>
      <c r="AS111" s="42">
        <f t="array" ref="AS111">INDEX($A$19:$F$33,MATCH($Y111&amp;$Z111,$A$19:$A$33&amp;$B$19:$B$33,0),MATCH(AS$1,$A$19:$F$19,0))</f>
        <v>1296</v>
      </c>
      <c r="AT111" s="42">
        <f t="array" ref="AT111">INDEX($A$19:$F$33,MATCH($Y111&amp;$Z111,$A$19:$A$33&amp;$B$19:$B$33,0),MATCH(AT$1,$A$19:$F$19,0))</f>
        <v>518.4</v>
      </c>
      <c r="AU111" s="42">
        <f t="array" ref="AU111">INDEX($A$19:$F$33,MATCH($Y111&amp;$Z111,$A$19:$A$33&amp;$B$19:$B$33,0),MATCH(AU$1,$A$19:$F$19,0))</f>
        <v>10368</v>
      </c>
      <c r="AV111" s="42">
        <f t="array" ref="AV111">INDEX($A$19:$F$33,MATCH($Y111&amp;$Z111,$A$19:$A$33&amp;$B$19:$B$33,0),MATCH(AV$1,$A$19:$F$19,0))</f>
        <v>120</v>
      </c>
    </row>
    <row r="112" spans="24:48">
      <c r="X112" s="55">
        <v>113036</v>
      </c>
      <c r="Y112">
        <f>INDEX(M:M,MATCH(X112,N:N,0))</f>
        <v>3</v>
      </c>
      <c r="Z112">
        <v>6</v>
      </c>
      <c r="AA112" s="72" t="str">
        <f t="shared" ref="AA112:AH112" si="110">IF(AI112=0,"",INDEX($N$1:$V$76,MATCH($X112,$N$1:$N$76,0),MATCH(AA$1,$N$1:$V$1,0)))</f>
        <v/>
      </c>
      <c r="AB112" s="72" t="str">
        <f t="shared" si="110"/>
        <v/>
      </c>
      <c r="AC112" s="72">
        <f t="shared" si="110"/>
        <v>214111</v>
      </c>
      <c r="AD112" s="72" t="str">
        <f t="shared" si="110"/>
        <v/>
      </c>
      <c r="AE112" s="72">
        <f t="shared" si="110"/>
        <v>215111</v>
      </c>
      <c r="AF112" s="72">
        <f t="shared" si="110"/>
        <v>215114</v>
      </c>
      <c r="AG112" s="72">
        <f t="shared" si="110"/>
        <v>216111</v>
      </c>
      <c r="AH112" s="72" t="str">
        <f t="shared" si="110"/>
        <v/>
      </c>
      <c r="AI112" s="72">
        <f t="array" ref="AI112">INDEX($C$4:$J$16,MATCH($Y112&amp;$Z112,$A$4:$A$16&amp;$B$4:$B$16,0),MATCH(AA$1,$C$2:$J$2,0))</f>
        <v>0</v>
      </c>
      <c r="AJ112" s="72">
        <f t="array" ref="AJ112">INDEX($C$4:$J$16,MATCH($Y112&amp;$Z112,$A$4:$A$16&amp;$B$4:$B$16,0),MATCH(AB$1,$C$2:$J$2,0))</f>
        <v>0</v>
      </c>
      <c r="AK112" s="72">
        <f t="array" ref="AK112">INDEX($C$4:$J$16,MATCH($Y112&amp;$Z112,$A$4:$A$16&amp;$B$4:$B$16,0),MATCH(AC$1,$C$2:$J$2,0))</f>
        <v>48</v>
      </c>
      <c r="AL112" s="72">
        <f t="array" ref="AL112">INDEX($C$4:$J$16,MATCH($Y112&amp;$Z112,$A$4:$A$16&amp;$B$4:$B$16,0),MATCH(AD$1,$C$2:$J$2,0))</f>
        <v>0</v>
      </c>
      <c r="AM112" s="72">
        <f t="array" ref="AM112">INDEX($C$4:$J$16,MATCH($Y112&amp;$Z112,$A$4:$A$16&amp;$B$4:$B$16,0),MATCH(AE$1,$C$2:$J$2,0))</f>
        <v>28</v>
      </c>
      <c r="AN112" s="72">
        <f t="array" ref="AN112">INDEX($C$4:$J$16,MATCH($Y112&amp;$Z112,$A$4:$A$16&amp;$B$4:$B$16,0),MATCH(AF$1,$C$2:$J$2,0))</f>
        <v>28</v>
      </c>
      <c r="AO112" s="72">
        <f t="array" ref="AO112">INDEX($C$4:$J$16,MATCH($Y112&amp;$Z112,$A$4:$A$16&amp;$B$4:$B$16,0),MATCH(AG$1,$C$2:$J$2,0))</f>
        <v>5</v>
      </c>
      <c r="AP112" s="72">
        <f t="array" ref="AP112">INDEX($C$4:$J$16,MATCH($Y112&amp;$Z112,$A$4:$A$16&amp;$B$4:$B$16,0),MATCH(AH$1,$C$2:$J$2,0))</f>
        <v>0</v>
      </c>
      <c r="AQ112" s="72">
        <f t="array" ref="AQ112">INDEX($K$2:$K$16,MATCH(Y112&amp;Z112,$A$2:$A$16&amp;$B$2:$B$16,0))</f>
        <v>900000</v>
      </c>
      <c r="AR112" s="42" t="str">
        <f t="array" ref="AR112">_xlfn.TEXTJOIN(";",1,IF($AA112:$AH112&lt;&gt;"","1001,"&amp;$AA112:$AH112&amp;","&amp;$AI112:$AP112,""))&amp;IF(AQ112=0,"",";"&amp;"5,0,"&amp;AQ112)</f>
        <v>1001,214111,48;1001,215111,28;1001,215114,28;1001,216111,5;5,0,900000</v>
      </c>
      <c r="AS112" s="42">
        <f t="array" ref="AS112">INDEX($A$19:$F$33,MATCH($Y112&amp;$Z112,$A$19:$A$33&amp;$B$19:$B$33,0),MATCH(AS$1,$A$19:$F$19,0))</f>
        <v>1296</v>
      </c>
      <c r="AT112" s="42">
        <f t="array" ref="AT112">INDEX($A$19:$F$33,MATCH($Y112&amp;$Z112,$A$19:$A$33&amp;$B$19:$B$33,0),MATCH(AT$1,$A$19:$F$19,0))</f>
        <v>518.4</v>
      </c>
      <c r="AU112" s="42">
        <f t="array" ref="AU112">INDEX($A$19:$F$33,MATCH($Y112&amp;$Z112,$A$19:$A$33&amp;$B$19:$B$33,0),MATCH(AU$1,$A$19:$F$19,0))</f>
        <v>10368</v>
      </c>
      <c r="AV112" s="42">
        <f t="array" ref="AV112">INDEX($A$19:$F$33,MATCH($Y112&amp;$Z112,$A$19:$A$33&amp;$B$19:$B$33,0),MATCH(AV$1,$A$19:$F$19,0))</f>
        <v>120</v>
      </c>
    </row>
    <row r="113" spans="24:48">
      <c r="X113" s="56">
        <v>113037</v>
      </c>
      <c r="Y113">
        <f>INDEX(M:M,MATCH(X113,N:N,0))</f>
        <v>3</v>
      </c>
      <c r="Z113">
        <v>6</v>
      </c>
      <c r="AA113" s="72" t="str">
        <f t="shared" ref="AA113:AH113" si="111">IF(AI113=0,"",INDEX($N$1:$V$76,MATCH($X113,$N$1:$N$76,0),MATCH(AA$1,$N$1:$V$1,0)))</f>
        <v/>
      </c>
      <c r="AB113" s="72" t="str">
        <f t="shared" si="111"/>
        <v/>
      </c>
      <c r="AC113" s="72">
        <f t="shared" si="111"/>
        <v>214009</v>
      </c>
      <c r="AD113" s="72" t="str">
        <f t="shared" si="111"/>
        <v/>
      </c>
      <c r="AE113" s="72">
        <f t="shared" si="111"/>
        <v>215009</v>
      </c>
      <c r="AF113" s="72">
        <f t="shared" si="111"/>
        <v>215111</v>
      </c>
      <c r="AG113" s="72">
        <f t="shared" si="111"/>
        <v>216111</v>
      </c>
      <c r="AH113" s="72" t="str">
        <f t="shared" si="111"/>
        <v/>
      </c>
      <c r="AI113" s="72">
        <f t="array" ref="AI113">INDEX($C$4:$J$16,MATCH($Y113&amp;$Z113,$A$4:$A$16&amp;$B$4:$B$16,0),MATCH(AA$1,$C$2:$J$2,0))</f>
        <v>0</v>
      </c>
      <c r="AJ113" s="72">
        <f t="array" ref="AJ113">INDEX($C$4:$J$16,MATCH($Y113&amp;$Z113,$A$4:$A$16&amp;$B$4:$B$16,0),MATCH(AB$1,$C$2:$J$2,0))</f>
        <v>0</v>
      </c>
      <c r="AK113" s="72">
        <f t="array" ref="AK113">INDEX($C$4:$J$16,MATCH($Y113&amp;$Z113,$A$4:$A$16&amp;$B$4:$B$16,0),MATCH(AC$1,$C$2:$J$2,0))</f>
        <v>48</v>
      </c>
      <c r="AL113" s="72">
        <f t="array" ref="AL113">INDEX($C$4:$J$16,MATCH($Y113&amp;$Z113,$A$4:$A$16&amp;$B$4:$B$16,0),MATCH(AD$1,$C$2:$J$2,0))</f>
        <v>0</v>
      </c>
      <c r="AM113" s="72">
        <f t="array" ref="AM113">INDEX($C$4:$J$16,MATCH($Y113&amp;$Z113,$A$4:$A$16&amp;$B$4:$B$16,0),MATCH(AE$1,$C$2:$J$2,0))</f>
        <v>28</v>
      </c>
      <c r="AN113" s="72">
        <f t="array" ref="AN113">INDEX($C$4:$J$16,MATCH($Y113&amp;$Z113,$A$4:$A$16&amp;$B$4:$B$16,0),MATCH(AF$1,$C$2:$J$2,0))</f>
        <v>28</v>
      </c>
      <c r="AO113" s="72">
        <f t="array" ref="AO113">INDEX($C$4:$J$16,MATCH($Y113&amp;$Z113,$A$4:$A$16&amp;$B$4:$B$16,0),MATCH(AG$1,$C$2:$J$2,0))</f>
        <v>5</v>
      </c>
      <c r="AP113" s="72">
        <f t="array" ref="AP113">INDEX($C$4:$J$16,MATCH($Y113&amp;$Z113,$A$4:$A$16&amp;$B$4:$B$16,0),MATCH(AH$1,$C$2:$J$2,0))</f>
        <v>0</v>
      </c>
      <c r="AQ113" s="72">
        <f t="array" ref="AQ113">INDEX($K$2:$K$16,MATCH(Y113&amp;Z113,$A$2:$A$16&amp;$B$2:$B$16,0))</f>
        <v>900000</v>
      </c>
      <c r="AR113" s="42" t="str">
        <f t="array" ref="AR113">_xlfn.TEXTJOIN(";",1,IF($AA113:$AH113&lt;&gt;"","1001,"&amp;$AA113:$AH113&amp;","&amp;$AI113:$AP113,""))&amp;IF(AQ113=0,"",";"&amp;"5,0,"&amp;AQ113)</f>
        <v>1001,214009,48;1001,215009,28;1001,215111,28;1001,216111,5;5,0,900000</v>
      </c>
      <c r="AS113" s="42">
        <f t="array" ref="AS113">INDEX($A$19:$F$33,MATCH($Y113&amp;$Z113,$A$19:$A$33&amp;$B$19:$B$33,0),MATCH(AS$1,$A$19:$F$19,0))</f>
        <v>1296</v>
      </c>
      <c r="AT113" s="42">
        <f t="array" ref="AT113">INDEX($A$19:$F$33,MATCH($Y113&amp;$Z113,$A$19:$A$33&amp;$B$19:$B$33,0),MATCH(AT$1,$A$19:$F$19,0))</f>
        <v>518.4</v>
      </c>
      <c r="AU113" s="42">
        <f t="array" ref="AU113">INDEX($A$19:$F$33,MATCH($Y113&amp;$Z113,$A$19:$A$33&amp;$B$19:$B$33,0),MATCH(AU$1,$A$19:$F$19,0))</f>
        <v>10368</v>
      </c>
      <c r="AV113" s="42">
        <f t="array" ref="AV113">INDEX($A$19:$F$33,MATCH($Y113&amp;$Z113,$A$19:$A$33&amp;$B$19:$B$33,0),MATCH(AV$1,$A$19:$F$19,0))</f>
        <v>120</v>
      </c>
    </row>
    <row r="114" spans="24:48">
      <c r="X114" s="49">
        <v>113038</v>
      </c>
      <c r="Y114">
        <f>INDEX(M:M,MATCH(X114,N:N,0))</f>
        <v>3</v>
      </c>
      <c r="Z114">
        <v>6</v>
      </c>
      <c r="AA114" s="72" t="str">
        <f t="shared" ref="AA114:AH114" si="112">IF(AI114=0,"",INDEX($N$1:$V$76,MATCH($X114,$N$1:$N$76,0),MATCH(AA$1,$N$1:$V$1,0)))</f>
        <v/>
      </c>
      <c r="AB114" s="72" t="str">
        <f t="shared" si="112"/>
        <v/>
      </c>
      <c r="AC114" s="72">
        <f t="shared" si="112"/>
        <v>214112</v>
      </c>
      <c r="AD114" s="72" t="str">
        <f t="shared" si="112"/>
        <v/>
      </c>
      <c r="AE114" s="72">
        <f t="shared" si="112"/>
        <v>215112</v>
      </c>
      <c r="AF114" s="72">
        <f t="shared" si="112"/>
        <v>215009</v>
      </c>
      <c r="AG114" s="72">
        <f t="shared" si="112"/>
        <v>216111</v>
      </c>
      <c r="AH114" s="72" t="str">
        <f t="shared" si="112"/>
        <v/>
      </c>
      <c r="AI114" s="72">
        <f t="array" ref="AI114">INDEX($C$4:$J$16,MATCH($Y114&amp;$Z114,$A$4:$A$16&amp;$B$4:$B$16,0),MATCH(AA$1,$C$2:$J$2,0))</f>
        <v>0</v>
      </c>
      <c r="AJ114" s="72">
        <f t="array" ref="AJ114">INDEX($C$4:$J$16,MATCH($Y114&amp;$Z114,$A$4:$A$16&amp;$B$4:$B$16,0),MATCH(AB$1,$C$2:$J$2,0))</f>
        <v>0</v>
      </c>
      <c r="AK114" s="72">
        <f t="array" ref="AK114">INDEX($C$4:$J$16,MATCH($Y114&amp;$Z114,$A$4:$A$16&amp;$B$4:$B$16,0),MATCH(AC$1,$C$2:$J$2,0))</f>
        <v>48</v>
      </c>
      <c r="AL114" s="72">
        <f t="array" ref="AL114">INDEX($C$4:$J$16,MATCH($Y114&amp;$Z114,$A$4:$A$16&amp;$B$4:$B$16,0),MATCH(AD$1,$C$2:$J$2,0))</f>
        <v>0</v>
      </c>
      <c r="AM114" s="72">
        <f t="array" ref="AM114">INDEX($C$4:$J$16,MATCH($Y114&amp;$Z114,$A$4:$A$16&amp;$B$4:$B$16,0),MATCH(AE$1,$C$2:$J$2,0))</f>
        <v>28</v>
      </c>
      <c r="AN114" s="72">
        <f t="array" ref="AN114">INDEX($C$4:$J$16,MATCH($Y114&amp;$Z114,$A$4:$A$16&amp;$B$4:$B$16,0),MATCH(AF$1,$C$2:$J$2,0))</f>
        <v>28</v>
      </c>
      <c r="AO114" s="72">
        <f t="array" ref="AO114">INDEX($C$4:$J$16,MATCH($Y114&amp;$Z114,$A$4:$A$16&amp;$B$4:$B$16,0),MATCH(AG$1,$C$2:$J$2,0))</f>
        <v>5</v>
      </c>
      <c r="AP114" s="72">
        <f t="array" ref="AP114">INDEX($C$4:$J$16,MATCH($Y114&amp;$Z114,$A$4:$A$16&amp;$B$4:$B$16,0),MATCH(AH$1,$C$2:$J$2,0))</f>
        <v>0</v>
      </c>
      <c r="AQ114" s="72">
        <f t="array" ref="AQ114">INDEX($K$2:$K$16,MATCH(Y114&amp;Z114,$A$2:$A$16&amp;$B$2:$B$16,0))</f>
        <v>900000</v>
      </c>
      <c r="AR114" s="42" t="str">
        <f t="array" ref="AR114">_xlfn.TEXTJOIN(";",1,IF($AA114:$AH114&lt;&gt;"","1001,"&amp;$AA114:$AH114&amp;","&amp;$AI114:$AP114,""))&amp;IF(AQ114=0,"",";"&amp;"5,0,"&amp;AQ114)</f>
        <v>1001,214112,48;1001,215112,28;1001,215009,28;1001,216111,5;5,0,900000</v>
      </c>
      <c r="AS114" s="42">
        <f t="array" ref="AS114">INDEX($A$19:$F$33,MATCH($Y114&amp;$Z114,$A$19:$A$33&amp;$B$19:$B$33,0),MATCH(AS$1,$A$19:$F$19,0))</f>
        <v>1296</v>
      </c>
      <c r="AT114" s="42">
        <f t="array" ref="AT114">INDEX($A$19:$F$33,MATCH($Y114&amp;$Z114,$A$19:$A$33&amp;$B$19:$B$33,0),MATCH(AT$1,$A$19:$F$19,0))</f>
        <v>518.4</v>
      </c>
      <c r="AU114" s="42">
        <f t="array" ref="AU114">INDEX($A$19:$F$33,MATCH($Y114&amp;$Z114,$A$19:$A$33&amp;$B$19:$B$33,0),MATCH(AU$1,$A$19:$F$19,0))</f>
        <v>10368</v>
      </c>
      <c r="AV114" s="42">
        <f t="array" ref="AV114">INDEX($A$19:$F$33,MATCH($Y114&amp;$Z114,$A$19:$A$33&amp;$B$19:$B$33,0),MATCH(AV$1,$A$19:$F$19,0))</f>
        <v>120</v>
      </c>
    </row>
    <row r="115" spans="24:48">
      <c r="X115" s="57">
        <v>113039</v>
      </c>
      <c r="Y115">
        <f>INDEX(M:M,MATCH(X115,N:N,0))</f>
        <v>3</v>
      </c>
      <c r="Z115">
        <v>6</v>
      </c>
      <c r="AA115" s="72" t="str">
        <f t="shared" ref="AA115:AH115" si="113">IF(AI115=0,"",INDEX($N$1:$V$76,MATCH($X115,$N$1:$N$76,0),MATCH(AA$1,$N$1:$V$1,0)))</f>
        <v/>
      </c>
      <c r="AB115" s="72" t="str">
        <f t="shared" si="113"/>
        <v/>
      </c>
      <c r="AC115" s="72">
        <f t="shared" si="113"/>
        <v>214113</v>
      </c>
      <c r="AD115" s="72" t="str">
        <f t="shared" si="113"/>
        <v/>
      </c>
      <c r="AE115" s="72">
        <f t="shared" si="113"/>
        <v>215113</v>
      </c>
      <c r="AF115" s="72">
        <f t="shared" si="113"/>
        <v>215112</v>
      </c>
      <c r="AG115" s="72">
        <f t="shared" si="113"/>
        <v>216111</v>
      </c>
      <c r="AH115" s="72" t="str">
        <f t="shared" si="113"/>
        <v/>
      </c>
      <c r="AI115" s="72">
        <f t="array" ref="AI115">INDEX($C$4:$J$16,MATCH($Y115&amp;$Z115,$A$4:$A$16&amp;$B$4:$B$16,0),MATCH(AA$1,$C$2:$J$2,0))</f>
        <v>0</v>
      </c>
      <c r="AJ115" s="72">
        <f t="array" ref="AJ115">INDEX($C$4:$J$16,MATCH($Y115&amp;$Z115,$A$4:$A$16&amp;$B$4:$B$16,0),MATCH(AB$1,$C$2:$J$2,0))</f>
        <v>0</v>
      </c>
      <c r="AK115" s="72">
        <f t="array" ref="AK115">INDEX($C$4:$J$16,MATCH($Y115&amp;$Z115,$A$4:$A$16&amp;$B$4:$B$16,0),MATCH(AC$1,$C$2:$J$2,0))</f>
        <v>48</v>
      </c>
      <c r="AL115" s="72">
        <f t="array" ref="AL115">INDEX($C$4:$J$16,MATCH($Y115&amp;$Z115,$A$4:$A$16&amp;$B$4:$B$16,0),MATCH(AD$1,$C$2:$J$2,0))</f>
        <v>0</v>
      </c>
      <c r="AM115" s="72">
        <f t="array" ref="AM115">INDEX($C$4:$J$16,MATCH($Y115&amp;$Z115,$A$4:$A$16&amp;$B$4:$B$16,0),MATCH(AE$1,$C$2:$J$2,0))</f>
        <v>28</v>
      </c>
      <c r="AN115" s="72">
        <f t="array" ref="AN115">INDEX($C$4:$J$16,MATCH($Y115&amp;$Z115,$A$4:$A$16&amp;$B$4:$B$16,0),MATCH(AF$1,$C$2:$J$2,0))</f>
        <v>28</v>
      </c>
      <c r="AO115" s="72">
        <f t="array" ref="AO115">INDEX($C$4:$J$16,MATCH($Y115&amp;$Z115,$A$4:$A$16&amp;$B$4:$B$16,0),MATCH(AG$1,$C$2:$J$2,0))</f>
        <v>5</v>
      </c>
      <c r="AP115" s="72">
        <f t="array" ref="AP115">INDEX($C$4:$J$16,MATCH($Y115&amp;$Z115,$A$4:$A$16&amp;$B$4:$B$16,0),MATCH(AH$1,$C$2:$J$2,0))</f>
        <v>0</v>
      </c>
      <c r="AQ115" s="72">
        <f t="array" ref="AQ115">INDEX($K$2:$K$16,MATCH(Y115&amp;Z115,$A$2:$A$16&amp;$B$2:$B$16,0))</f>
        <v>900000</v>
      </c>
      <c r="AR115" s="42" t="str">
        <f t="array" ref="AR115">_xlfn.TEXTJOIN(";",1,IF($AA115:$AH115&lt;&gt;"","1001,"&amp;$AA115:$AH115&amp;","&amp;$AI115:$AP115,""))&amp;IF(AQ115=0,"",";"&amp;"5,0,"&amp;AQ115)</f>
        <v>1001,214113,48;1001,215113,28;1001,215112,28;1001,216111,5;5,0,900000</v>
      </c>
      <c r="AS115" s="42">
        <f t="array" ref="AS115">INDEX($A$19:$F$33,MATCH($Y115&amp;$Z115,$A$19:$A$33&amp;$B$19:$B$33,0),MATCH(AS$1,$A$19:$F$19,0))</f>
        <v>1296</v>
      </c>
      <c r="AT115" s="42">
        <f t="array" ref="AT115">INDEX($A$19:$F$33,MATCH($Y115&amp;$Z115,$A$19:$A$33&amp;$B$19:$B$33,0),MATCH(AT$1,$A$19:$F$19,0))</f>
        <v>518.4</v>
      </c>
      <c r="AU115" s="42">
        <f t="array" ref="AU115">INDEX($A$19:$F$33,MATCH($Y115&amp;$Z115,$A$19:$A$33&amp;$B$19:$B$33,0),MATCH(AU$1,$A$19:$F$19,0))</f>
        <v>10368</v>
      </c>
      <c r="AV115" s="42">
        <f t="array" ref="AV115">INDEX($A$19:$F$33,MATCH($Y115&amp;$Z115,$A$19:$A$33&amp;$B$19:$B$33,0),MATCH(AV$1,$A$19:$F$19,0))</f>
        <v>120</v>
      </c>
    </row>
    <row r="116" spans="24:48">
      <c r="X116" s="58">
        <v>113040</v>
      </c>
      <c r="Y116">
        <f>INDEX(M:M,MATCH(X116,N:N,0))</f>
        <v>3</v>
      </c>
      <c r="Z116">
        <v>6</v>
      </c>
      <c r="AA116" s="72" t="str">
        <f t="shared" ref="AA116:AH116" si="114">IF(AI116=0,"",INDEX($N$1:$V$76,MATCH($X116,$N$1:$N$76,0),MATCH(AA$1,$N$1:$V$1,0)))</f>
        <v/>
      </c>
      <c r="AB116" s="72" t="str">
        <f t="shared" si="114"/>
        <v/>
      </c>
      <c r="AC116" s="72">
        <f t="shared" si="114"/>
        <v>214113</v>
      </c>
      <c r="AD116" s="72" t="str">
        <f t="shared" si="114"/>
        <v/>
      </c>
      <c r="AE116" s="72">
        <f t="shared" si="114"/>
        <v>215113</v>
      </c>
      <c r="AF116" s="72">
        <f t="shared" si="114"/>
        <v>215112</v>
      </c>
      <c r="AG116" s="72">
        <f t="shared" si="114"/>
        <v>216111</v>
      </c>
      <c r="AH116" s="72" t="str">
        <f t="shared" si="114"/>
        <v/>
      </c>
      <c r="AI116" s="72">
        <f t="array" ref="AI116">INDEX($C$4:$J$16,MATCH($Y116&amp;$Z116,$A$4:$A$16&amp;$B$4:$B$16,0),MATCH(AA$1,$C$2:$J$2,0))</f>
        <v>0</v>
      </c>
      <c r="AJ116" s="72">
        <f t="array" ref="AJ116">INDEX($C$4:$J$16,MATCH($Y116&amp;$Z116,$A$4:$A$16&amp;$B$4:$B$16,0),MATCH(AB$1,$C$2:$J$2,0))</f>
        <v>0</v>
      </c>
      <c r="AK116" s="72">
        <f t="array" ref="AK116">INDEX($C$4:$J$16,MATCH($Y116&amp;$Z116,$A$4:$A$16&amp;$B$4:$B$16,0),MATCH(AC$1,$C$2:$J$2,0))</f>
        <v>48</v>
      </c>
      <c r="AL116" s="72">
        <f t="array" ref="AL116">INDEX($C$4:$J$16,MATCH($Y116&amp;$Z116,$A$4:$A$16&amp;$B$4:$B$16,0),MATCH(AD$1,$C$2:$J$2,0))</f>
        <v>0</v>
      </c>
      <c r="AM116" s="72">
        <f t="array" ref="AM116">INDEX($C$4:$J$16,MATCH($Y116&amp;$Z116,$A$4:$A$16&amp;$B$4:$B$16,0),MATCH(AE$1,$C$2:$J$2,0))</f>
        <v>28</v>
      </c>
      <c r="AN116" s="72">
        <f t="array" ref="AN116">INDEX($C$4:$J$16,MATCH($Y116&amp;$Z116,$A$4:$A$16&amp;$B$4:$B$16,0),MATCH(AF$1,$C$2:$J$2,0))</f>
        <v>28</v>
      </c>
      <c r="AO116" s="72">
        <f t="array" ref="AO116">INDEX($C$4:$J$16,MATCH($Y116&amp;$Z116,$A$4:$A$16&amp;$B$4:$B$16,0),MATCH(AG$1,$C$2:$J$2,0))</f>
        <v>5</v>
      </c>
      <c r="AP116" s="72">
        <f t="array" ref="AP116">INDEX($C$4:$J$16,MATCH($Y116&amp;$Z116,$A$4:$A$16&amp;$B$4:$B$16,0),MATCH(AH$1,$C$2:$J$2,0))</f>
        <v>0</v>
      </c>
      <c r="AQ116" s="72">
        <f t="array" ref="AQ116">INDEX($K$2:$K$16,MATCH(Y116&amp;Z116,$A$2:$A$16&amp;$B$2:$B$16,0))</f>
        <v>900000</v>
      </c>
      <c r="AR116" s="42" t="str">
        <f t="array" ref="AR116">_xlfn.TEXTJOIN(";",1,IF($AA116:$AH116&lt;&gt;"","1001,"&amp;$AA116:$AH116&amp;","&amp;$AI116:$AP116,""))&amp;IF(AQ116=0,"",";"&amp;"5,0,"&amp;AQ116)</f>
        <v>1001,214113,48;1001,215113,28;1001,215112,28;1001,216111,5;5,0,900000</v>
      </c>
      <c r="AS116" s="42">
        <f t="array" ref="AS116">INDEX($A$19:$F$33,MATCH($Y116&amp;$Z116,$A$19:$A$33&amp;$B$19:$B$33,0),MATCH(AS$1,$A$19:$F$19,0))</f>
        <v>1296</v>
      </c>
      <c r="AT116" s="42">
        <f t="array" ref="AT116">INDEX($A$19:$F$33,MATCH($Y116&amp;$Z116,$A$19:$A$33&amp;$B$19:$B$33,0),MATCH(AT$1,$A$19:$F$19,0))</f>
        <v>518.4</v>
      </c>
      <c r="AU116" s="42">
        <f t="array" ref="AU116">INDEX($A$19:$F$33,MATCH($Y116&amp;$Z116,$A$19:$A$33&amp;$B$19:$B$33,0),MATCH(AU$1,$A$19:$F$19,0))</f>
        <v>10368</v>
      </c>
      <c r="AV116" s="42">
        <f t="array" ref="AV116">INDEX($A$19:$F$33,MATCH($Y116&amp;$Z116,$A$19:$A$33&amp;$B$19:$B$33,0),MATCH(AV$1,$A$19:$F$19,0))</f>
        <v>120</v>
      </c>
    </row>
    <row r="117" spans="24:48">
      <c r="X117" s="48">
        <v>113041</v>
      </c>
      <c r="Y117">
        <f>INDEX(M:M,MATCH(X117,N:N,0))</f>
        <v>3</v>
      </c>
      <c r="Z117">
        <v>6</v>
      </c>
      <c r="AA117" s="72" t="str">
        <f t="shared" ref="AA117:AH117" si="115">IF(AI117=0,"",INDEX($N$1:$V$76,MATCH($X117,$N$1:$N$76,0),MATCH(AA$1,$N$1:$V$1,0)))</f>
        <v/>
      </c>
      <c r="AB117" s="72" t="str">
        <f t="shared" si="115"/>
        <v/>
      </c>
      <c r="AC117" s="72">
        <f t="shared" si="115"/>
        <v>214009</v>
      </c>
      <c r="AD117" s="72" t="str">
        <f t="shared" si="115"/>
        <v/>
      </c>
      <c r="AE117" s="72">
        <f t="shared" si="115"/>
        <v>215009</v>
      </c>
      <c r="AF117" s="72">
        <f t="shared" si="115"/>
        <v>215111</v>
      </c>
      <c r="AG117" s="72">
        <f t="shared" si="115"/>
        <v>216111</v>
      </c>
      <c r="AH117" s="72" t="str">
        <f t="shared" si="115"/>
        <v/>
      </c>
      <c r="AI117" s="72">
        <f t="array" ref="AI117">INDEX($C$4:$J$16,MATCH($Y117&amp;$Z117,$A$4:$A$16&amp;$B$4:$B$16,0),MATCH(AA$1,$C$2:$J$2,0))</f>
        <v>0</v>
      </c>
      <c r="AJ117" s="72">
        <f t="array" ref="AJ117">INDEX($C$4:$J$16,MATCH($Y117&amp;$Z117,$A$4:$A$16&amp;$B$4:$B$16,0),MATCH(AB$1,$C$2:$J$2,0))</f>
        <v>0</v>
      </c>
      <c r="AK117" s="72">
        <f t="array" ref="AK117">INDEX($C$4:$J$16,MATCH($Y117&amp;$Z117,$A$4:$A$16&amp;$B$4:$B$16,0),MATCH(AC$1,$C$2:$J$2,0))</f>
        <v>48</v>
      </c>
      <c r="AL117" s="72">
        <f t="array" ref="AL117">INDEX($C$4:$J$16,MATCH($Y117&amp;$Z117,$A$4:$A$16&amp;$B$4:$B$16,0),MATCH(AD$1,$C$2:$J$2,0))</f>
        <v>0</v>
      </c>
      <c r="AM117" s="72">
        <f t="array" ref="AM117">INDEX($C$4:$J$16,MATCH($Y117&amp;$Z117,$A$4:$A$16&amp;$B$4:$B$16,0),MATCH(AE$1,$C$2:$J$2,0))</f>
        <v>28</v>
      </c>
      <c r="AN117" s="72">
        <f t="array" ref="AN117">INDEX($C$4:$J$16,MATCH($Y117&amp;$Z117,$A$4:$A$16&amp;$B$4:$B$16,0),MATCH(AF$1,$C$2:$J$2,0))</f>
        <v>28</v>
      </c>
      <c r="AO117" s="72">
        <f t="array" ref="AO117">INDEX($C$4:$J$16,MATCH($Y117&amp;$Z117,$A$4:$A$16&amp;$B$4:$B$16,0),MATCH(AG$1,$C$2:$J$2,0))</f>
        <v>5</v>
      </c>
      <c r="AP117" s="72">
        <f t="array" ref="AP117">INDEX($C$4:$J$16,MATCH($Y117&amp;$Z117,$A$4:$A$16&amp;$B$4:$B$16,0),MATCH(AH$1,$C$2:$J$2,0))</f>
        <v>0</v>
      </c>
      <c r="AQ117" s="72">
        <f t="array" ref="AQ117">INDEX($K$2:$K$16,MATCH(Y117&amp;Z117,$A$2:$A$16&amp;$B$2:$B$16,0))</f>
        <v>900000</v>
      </c>
      <c r="AR117" s="42" t="str">
        <f t="array" ref="AR117">_xlfn.TEXTJOIN(";",1,IF($AA117:$AH117&lt;&gt;"","1001,"&amp;$AA117:$AH117&amp;","&amp;$AI117:$AP117,""))&amp;IF(AQ117=0,"",";"&amp;"5,0,"&amp;AQ117)</f>
        <v>1001,214009,48;1001,215009,28;1001,215111,28;1001,216111,5;5,0,900000</v>
      </c>
      <c r="AS117" s="42">
        <f t="array" ref="AS117">INDEX($A$19:$F$33,MATCH($Y117&amp;$Z117,$A$19:$A$33&amp;$B$19:$B$33,0),MATCH(AS$1,$A$19:$F$19,0))</f>
        <v>1296</v>
      </c>
      <c r="AT117" s="42">
        <f t="array" ref="AT117">INDEX($A$19:$F$33,MATCH($Y117&amp;$Z117,$A$19:$A$33&amp;$B$19:$B$33,0),MATCH(AT$1,$A$19:$F$19,0))</f>
        <v>518.4</v>
      </c>
      <c r="AU117" s="42">
        <f t="array" ref="AU117">INDEX($A$19:$F$33,MATCH($Y117&amp;$Z117,$A$19:$A$33&amp;$B$19:$B$33,0),MATCH(AU$1,$A$19:$F$19,0))</f>
        <v>10368</v>
      </c>
      <c r="AV117" s="42">
        <f t="array" ref="AV117">INDEX($A$19:$F$33,MATCH($Y117&amp;$Z117,$A$19:$A$33&amp;$B$19:$B$33,0),MATCH(AV$1,$A$19:$F$19,0))</f>
        <v>120</v>
      </c>
    </row>
    <row r="118" spans="24:48">
      <c r="X118" s="52">
        <v>113042</v>
      </c>
      <c r="Y118">
        <f>INDEX(M:M,MATCH(X118,N:N,0))</f>
        <v>3</v>
      </c>
      <c r="Z118">
        <v>6</v>
      </c>
      <c r="AA118" s="72" t="str">
        <f t="shared" ref="AA118:AH118" si="116">IF(AI118=0,"",INDEX($N$1:$V$76,MATCH($X118,$N$1:$N$76,0),MATCH(AA$1,$N$1:$V$1,0)))</f>
        <v/>
      </c>
      <c r="AB118" s="72" t="str">
        <f t="shared" si="116"/>
        <v/>
      </c>
      <c r="AC118" s="72">
        <f t="shared" si="116"/>
        <v>214114</v>
      </c>
      <c r="AD118" s="72" t="str">
        <f t="shared" si="116"/>
        <v/>
      </c>
      <c r="AE118" s="72">
        <f t="shared" si="116"/>
        <v>215114</v>
      </c>
      <c r="AF118" s="72">
        <f t="shared" si="116"/>
        <v>215113</v>
      </c>
      <c r="AG118" s="72">
        <f t="shared" si="116"/>
        <v>216111</v>
      </c>
      <c r="AH118" s="72" t="str">
        <f t="shared" si="116"/>
        <v/>
      </c>
      <c r="AI118" s="72">
        <f t="array" ref="AI118">INDEX($C$4:$J$16,MATCH($Y118&amp;$Z118,$A$4:$A$16&amp;$B$4:$B$16,0),MATCH(AA$1,$C$2:$J$2,0))</f>
        <v>0</v>
      </c>
      <c r="AJ118" s="72">
        <f t="array" ref="AJ118">INDEX($C$4:$J$16,MATCH($Y118&amp;$Z118,$A$4:$A$16&amp;$B$4:$B$16,0),MATCH(AB$1,$C$2:$J$2,0))</f>
        <v>0</v>
      </c>
      <c r="AK118" s="72">
        <f t="array" ref="AK118">INDEX($C$4:$J$16,MATCH($Y118&amp;$Z118,$A$4:$A$16&amp;$B$4:$B$16,0),MATCH(AC$1,$C$2:$J$2,0))</f>
        <v>48</v>
      </c>
      <c r="AL118" s="72">
        <f t="array" ref="AL118">INDEX($C$4:$J$16,MATCH($Y118&amp;$Z118,$A$4:$A$16&amp;$B$4:$B$16,0),MATCH(AD$1,$C$2:$J$2,0))</f>
        <v>0</v>
      </c>
      <c r="AM118" s="72">
        <f t="array" ref="AM118">INDEX($C$4:$J$16,MATCH($Y118&amp;$Z118,$A$4:$A$16&amp;$B$4:$B$16,0),MATCH(AE$1,$C$2:$J$2,0))</f>
        <v>28</v>
      </c>
      <c r="AN118" s="72">
        <f t="array" ref="AN118">INDEX($C$4:$J$16,MATCH($Y118&amp;$Z118,$A$4:$A$16&amp;$B$4:$B$16,0),MATCH(AF$1,$C$2:$J$2,0))</f>
        <v>28</v>
      </c>
      <c r="AO118" s="72">
        <f t="array" ref="AO118">INDEX($C$4:$J$16,MATCH($Y118&amp;$Z118,$A$4:$A$16&amp;$B$4:$B$16,0),MATCH(AG$1,$C$2:$J$2,0))</f>
        <v>5</v>
      </c>
      <c r="AP118" s="72">
        <f t="array" ref="AP118">INDEX($C$4:$J$16,MATCH($Y118&amp;$Z118,$A$4:$A$16&amp;$B$4:$B$16,0),MATCH(AH$1,$C$2:$J$2,0))</f>
        <v>0</v>
      </c>
      <c r="AQ118" s="72">
        <f t="array" ref="AQ118">INDEX($K$2:$K$16,MATCH(Y118&amp;Z118,$A$2:$A$16&amp;$B$2:$B$16,0))</f>
        <v>900000</v>
      </c>
      <c r="AR118" s="42" t="str">
        <f t="array" ref="AR118">_xlfn.TEXTJOIN(";",1,IF($AA118:$AH118&lt;&gt;"","1001,"&amp;$AA118:$AH118&amp;","&amp;$AI118:$AP118,""))&amp;IF(AQ118=0,"",";"&amp;"5,0,"&amp;AQ118)</f>
        <v>1001,214114,48;1001,215114,28;1001,215113,28;1001,216111,5;5,0,900000</v>
      </c>
      <c r="AS118" s="42">
        <f t="array" ref="AS118">INDEX($A$19:$F$33,MATCH($Y118&amp;$Z118,$A$19:$A$33&amp;$B$19:$B$33,0),MATCH(AS$1,$A$19:$F$19,0))</f>
        <v>1296</v>
      </c>
      <c r="AT118" s="42">
        <f t="array" ref="AT118">INDEX($A$19:$F$33,MATCH($Y118&amp;$Z118,$A$19:$A$33&amp;$B$19:$B$33,0),MATCH(AT$1,$A$19:$F$19,0))</f>
        <v>518.4</v>
      </c>
      <c r="AU118" s="42">
        <f t="array" ref="AU118">INDEX($A$19:$F$33,MATCH($Y118&amp;$Z118,$A$19:$A$33&amp;$B$19:$B$33,0),MATCH(AU$1,$A$19:$F$19,0))</f>
        <v>10368</v>
      </c>
      <c r="AV118" s="42">
        <f t="array" ref="AV118">INDEX($A$19:$F$33,MATCH($Y118&amp;$Z118,$A$19:$A$33&amp;$B$19:$B$33,0),MATCH(AV$1,$A$19:$F$19,0))</f>
        <v>120</v>
      </c>
    </row>
    <row r="119" spans="24:48">
      <c r="X119" s="55">
        <v>113043</v>
      </c>
      <c r="Y119">
        <f>INDEX(M:M,MATCH(X119,N:N,0))</f>
        <v>3</v>
      </c>
      <c r="Z119">
        <v>6</v>
      </c>
      <c r="AA119" s="72" t="str">
        <f t="shared" ref="AA119:AH119" si="117">IF(AI119=0,"",INDEX($N$1:$V$76,MATCH($X119,$N$1:$N$76,0),MATCH(AA$1,$N$1:$V$1,0)))</f>
        <v/>
      </c>
      <c r="AB119" s="72" t="str">
        <f t="shared" si="117"/>
        <v/>
      </c>
      <c r="AC119" s="72">
        <f t="shared" si="117"/>
        <v>214009</v>
      </c>
      <c r="AD119" s="72" t="str">
        <f t="shared" si="117"/>
        <v/>
      </c>
      <c r="AE119" s="72">
        <f t="shared" si="117"/>
        <v>215009</v>
      </c>
      <c r="AF119" s="72">
        <f t="shared" si="117"/>
        <v>215111</v>
      </c>
      <c r="AG119" s="72">
        <f t="shared" si="117"/>
        <v>216111</v>
      </c>
      <c r="AH119" s="72" t="str">
        <f t="shared" si="117"/>
        <v/>
      </c>
      <c r="AI119" s="72">
        <f t="array" ref="AI119">INDEX($C$4:$J$16,MATCH($Y119&amp;$Z119,$A$4:$A$16&amp;$B$4:$B$16,0),MATCH(AA$1,$C$2:$J$2,0))</f>
        <v>0</v>
      </c>
      <c r="AJ119" s="72">
        <f t="array" ref="AJ119">INDEX($C$4:$J$16,MATCH($Y119&amp;$Z119,$A$4:$A$16&amp;$B$4:$B$16,0),MATCH(AB$1,$C$2:$J$2,0))</f>
        <v>0</v>
      </c>
      <c r="AK119" s="72">
        <f t="array" ref="AK119">INDEX($C$4:$J$16,MATCH($Y119&amp;$Z119,$A$4:$A$16&amp;$B$4:$B$16,0),MATCH(AC$1,$C$2:$J$2,0))</f>
        <v>48</v>
      </c>
      <c r="AL119" s="72">
        <f t="array" ref="AL119">INDEX($C$4:$J$16,MATCH($Y119&amp;$Z119,$A$4:$A$16&amp;$B$4:$B$16,0),MATCH(AD$1,$C$2:$J$2,0))</f>
        <v>0</v>
      </c>
      <c r="AM119" s="72">
        <f t="array" ref="AM119">INDEX($C$4:$J$16,MATCH($Y119&amp;$Z119,$A$4:$A$16&amp;$B$4:$B$16,0),MATCH(AE$1,$C$2:$J$2,0))</f>
        <v>28</v>
      </c>
      <c r="AN119" s="72">
        <f t="array" ref="AN119">INDEX($C$4:$J$16,MATCH($Y119&amp;$Z119,$A$4:$A$16&amp;$B$4:$B$16,0),MATCH(AF$1,$C$2:$J$2,0))</f>
        <v>28</v>
      </c>
      <c r="AO119" s="72">
        <f t="array" ref="AO119">INDEX($C$4:$J$16,MATCH($Y119&amp;$Z119,$A$4:$A$16&amp;$B$4:$B$16,0),MATCH(AG$1,$C$2:$J$2,0))</f>
        <v>5</v>
      </c>
      <c r="AP119" s="72">
        <f t="array" ref="AP119">INDEX($C$4:$J$16,MATCH($Y119&amp;$Z119,$A$4:$A$16&amp;$B$4:$B$16,0),MATCH(AH$1,$C$2:$J$2,0))</f>
        <v>0</v>
      </c>
      <c r="AQ119" s="72">
        <f t="array" ref="AQ119">INDEX($K$2:$K$16,MATCH(Y119&amp;Z119,$A$2:$A$16&amp;$B$2:$B$16,0))</f>
        <v>900000</v>
      </c>
      <c r="AR119" s="42" t="str">
        <f t="array" ref="AR119">_xlfn.TEXTJOIN(";",1,IF($AA119:$AH119&lt;&gt;"","1001,"&amp;$AA119:$AH119&amp;","&amp;$AI119:$AP119,""))&amp;IF(AQ119=0,"",";"&amp;"5,0,"&amp;AQ119)</f>
        <v>1001,214009,48;1001,215009,28;1001,215111,28;1001,216111,5;5,0,900000</v>
      </c>
      <c r="AS119" s="42">
        <f t="array" ref="AS119">INDEX($A$19:$F$33,MATCH($Y119&amp;$Z119,$A$19:$A$33&amp;$B$19:$B$33,0),MATCH(AS$1,$A$19:$F$19,0))</f>
        <v>1296</v>
      </c>
      <c r="AT119" s="42">
        <f t="array" ref="AT119">INDEX($A$19:$F$33,MATCH($Y119&amp;$Z119,$A$19:$A$33&amp;$B$19:$B$33,0),MATCH(AT$1,$A$19:$F$19,0))</f>
        <v>518.4</v>
      </c>
      <c r="AU119" s="42">
        <f t="array" ref="AU119">INDEX($A$19:$F$33,MATCH($Y119&amp;$Z119,$A$19:$A$33&amp;$B$19:$B$33,0),MATCH(AU$1,$A$19:$F$19,0))</f>
        <v>10368</v>
      </c>
      <c r="AV119" s="42">
        <f t="array" ref="AV119">INDEX($A$19:$F$33,MATCH($Y119&amp;$Z119,$A$19:$A$33&amp;$B$19:$B$33,0),MATCH(AV$1,$A$19:$F$19,0))</f>
        <v>120</v>
      </c>
    </row>
    <row r="120" spans="24:48">
      <c r="X120" s="49">
        <v>113044</v>
      </c>
      <c r="Y120">
        <f>INDEX(M:M,MATCH(X120,N:N,0))</f>
        <v>3</v>
      </c>
      <c r="Z120">
        <v>6</v>
      </c>
      <c r="AA120" s="72" t="str">
        <f t="shared" ref="AA120:AH120" si="118">IF(AI120=0,"",INDEX($N$1:$V$76,MATCH($X120,$N$1:$N$76,0),MATCH(AA$1,$N$1:$V$1,0)))</f>
        <v/>
      </c>
      <c r="AB120" s="72" t="str">
        <f t="shared" si="118"/>
        <v/>
      </c>
      <c r="AC120" s="72">
        <f t="shared" si="118"/>
        <v>214111</v>
      </c>
      <c r="AD120" s="72" t="str">
        <f t="shared" si="118"/>
        <v/>
      </c>
      <c r="AE120" s="72">
        <f t="shared" si="118"/>
        <v>215111</v>
      </c>
      <c r="AF120" s="72">
        <f t="shared" si="118"/>
        <v>215114</v>
      </c>
      <c r="AG120" s="72">
        <f t="shared" si="118"/>
        <v>216111</v>
      </c>
      <c r="AH120" s="72" t="str">
        <f t="shared" si="118"/>
        <v/>
      </c>
      <c r="AI120" s="72">
        <f t="array" ref="AI120">INDEX($C$4:$J$16,MATCH($Y120&amp;$Z120,$A$4:$A$16&amp;$B$4:$B$16,0),MATCH(AA$1,$C$2:$J$2,0))</f>
        <v>0</v>
      </c>
      <c r="AJ120" s="72">
        <f t="array" ref="AJ120">INDEX($C$4:$J$16,MATCH($Y120&amp;$Z120,$A$4:$A$16&amp;$B$4:$B$16,0),MATCH(AB$1,$C$2:$J$2,0))</f>
        <v>0</v>
      </c>
      <c r="AK120" s="72">
        <f t="array" ref="AK120">INDEX($C$4:$J$16,MATCH($Y120&amp;$Z120,$A$4:$A$16&amp;$B$4:$B$16,0),MATCH(AC$1,$C$2:$J$2,0))</f>
        <v>48</v>
      </c>
      <c r="AL120" s="72">
        <f t="array" ref="AL120">INDEX($C$4:$J$16,MATCH($Y120&amp;$Z120,$A$4:$A$16&amp;$B$4:$B$16,0),MATCH(AD$1,$C$2:$J$2,0))</f>
        <v>0</v>
      </c>
      <c r="AM120" s="72">
        <f t="array" ref="AM120">INDEX($C$4:$J$16,MATCH($Y120&amp;$Z120,$A$4:$A$16&amp;$B$4:$B$16,0),MATCH(AE$1,$C$2:$J$2,0))</f>
        <v>28</v>
      </c>
      <c r="AN120" s="72">
        <f t="array" ref="AN120">INDEX($C$4:$J$16,MATCH($Y120&amp;$Z120,$A$4:$A$16&amp;$B$4:$B$16,0),MATCH(AF$1,$C$2:$J$2,0))</f>
        <v>28</v>
      </c>
      <c r="AO120" s="72">
        <f t="array" ref="AO120">INDEX($C$4:$J$16,MATCH($Y120&amp;$Z120,$A$4:$A$16&amp;$B$4:$B$16,0),MATCH(AG$1,$C$2:$J$2,0))</f>
        <v>5</v>
      </c>
      <c r="AP120" s="72">
        <f t="array" ref="AP120">INDEX($C$4:$J$16,MATCH($Y120&amp;$Z120,$A$4:$A$16&amp;$B$4:$B$16,0),MATCH(AH$1,$C$2:$J$2,0))</f>
        <v>0</v>
      </c>
      <c r="AQ120" s="72">
        <f t="array" ref="AQ120">INDEX($K$2:$K$16,MATCH(Y120&amp;Z120,$A$2:$A$16&amp;$B$2:$B$16,0))</f>
        <v>900000</v>
      </c>
      <c r="AR120" s="42" t="str">
        <f t="array" ref="AR120">_xlfn.TEXTJOIN(";",1,IF($AA120:$AH120&lt;&gt;"","1001,"&amp;$AA120:$AH120&amp;","&amp;$AI120:$AP120,""))&amp;IF(AQ120=0,"",";"&amp;"5,0,"&amp;AQ120)</f>
        <v>1001,214111,48;1001,215111,28;1001,215114,28;1001,216111,5;5,0,900000</v>
      </c>
      <c r="AS120" s="42">
        <f t="array" ref="AS120">INDEX($A$19:$F$33,MATCH($Y120&amp;$Z120,$A$19:$A$33&amp;$B$19:$B$33,0),MATCH(AS$1,$A$19:$F$19,0))</f>
        <v>1296</v>
      </c>
      <c r="AT120" s="42">
        <f t="array" ref="AT120">INDEX($A$19:$F$33,MATCH($Y120&amp;$Z120,$A$19:$A$33&amp;$B$19:$B$33,0),MATCH(AT$1,$A$19:$F$19,0))</f>
        <v>518.4</v>
      </c>
      <c r="AU120" s="42">
        <f t="array" ref="AU120">INDEX($A$19:$F$33,MATCH($Y120&amp;$Z120,$A$19:$A$33&amp;$B$19:$B$33,0),MATCH(AU$1,$A$19:$F$19,0))</f>
        <v>10368</v>
      </c>
      <c r="AV120" s="42">
        <f t="array" ref="AV120">INDEX($A$19:$F$33,MATCH($Y120&amp;$Z120,$A$19:$A$33&amp;$B$19:$B$33,0),MATCH(AV$1,$A$19:$F$19,0))</f>
        <v>120</v>
      </c>
    </row>
    <row r="121" spans="24:48">
      <c r="X121" s="48">
        <v>113045</v>
      </c>
      <c r="Y121">
        <f>INDEX(M:M,MATCH(X121,N:N,0))</f>
        <v>3</v>
      </c>
      <c r="Z121">
        <v>6</v>
      </c>
      <c r="AA121" s="72" t="str">
        <f t="shared" ref="AA121:AH121" si="119">IF(AI121=0,"",INDEX($N$1:$V$76,MATCH($X121,$N$1:$N$76,0),MATCH(AA$1,$N$1:$V$1,0)))</f>
        <v/>
      </c>
      <c r="AB121" s="72" t="str">
        <f t="shared" si="119"/>
        <v/>
      </c>
      <c r="AC121" s="72">
        <f t="shared" si="119"/>
        <v>214112</v>
      </c>
      <c r="AD121" s="72" t="str">
        <f t="shared" si="119"/>
        <v/>
      </c>
      <c r="AE121" s="72">
        <f t="shared" si="119"/>
        <v>215112</v>
      </c>
      <c r="AF121" s="72">
        <f t="shared" si="119"/>
        <v>215009</v>
      </c>
      <c r="AG121" s="72">
        <f t="shared" si="119"/>
        <v>216111</v>
      </c>
      <c r="AH121" s="72" t="str">
        <f t="shared" si="119"/>
        <v/>
      </c>
      <c r="AI121" s="72">
        <f t="array" ref="AI121">INDEX($C$4:$J$16,MATCH($Y121&amp;$Z121,$A$4:$A$16&amp;$B$4:$B$16,0),MATCH(AA$1,$C$2:$J$2,0))</f>
        <v>0</v>
      </c>
      <c r="AJ121" s="72">
        <f t="array" ref="AJ121">INDEX($C$4:$J$16,MATCH($Y121&amp;$Z121,$A$4:$A$16&amp;$B$4:$B$16,0),MATCH(AB$1,$C$2:$J$2,0))</f>
        <v>0</v>
      </c>
      <c r="AK121" s="72">
        <f t="array" ref="AK121">INDEX($C$4:$J$16,MATCH($Y121&amp;$Z121,$A$4:$A$16&amp;$B$4:$B$16,0),MATCH(AC$1,$C$2:$J$2,0))</f>
        <v>48</v>
      </c>
      <c r="AL121" s="72">
        <f t="array" ref="AL121">INDEX($C$4:$J$16,MATCH($Y121&amp;$Z121,$A$4:$A$16&amp;$B$4:$B$16,0),MATCH(AD$1,$C$2:$J$2,0))</f>
        <v>0</v>
      </c>
      <c r="AM121" s="72">
        <f t="array" ref="AM121">INDEX($C$4:$J$16,MATCH($Y121&amp;$Z121,$A$4:$A$16&amp;$B$4:$B$16,0),MATCH(AE$1,$C$2:$J$2,0))</f>
        <v>28</v>
      </c>
      <c r="AN121" s="72">
        <f t="array" ref="AN121">INDEX($C$4:$J$16,MATCH($Y121&amp;$Z121,$A$4:$A$16&amp;$B$4:$B$16,0),MATCH(AF$1,$C$2:$J$2,0))</f>
        <v>28</v>
      </c>
      <c r="AO121" s="72">
        <f t="array" ref="AO121">INDEX($C$4:$J$16,MATCH($Y121&amp;$Z121,$A$4:$A$16&amp;$B$4:$B$16,0),MATCH(AG$1,$C$2:$J$2,0))</f>
        <v>5</v>
      </c>
      <c r="AP121" s="72">
        <f t="array" ref="AP121">INDEX($C$4:$J$16,MATCH($Y121&amp;$Z121,$A$4:$A$16&amp;$B$4:$B$16,0),MATCH(AH$1,$C$2:$J$2,0))</f>
        <v>0</v>
      </c>
      <c r="AQ121" s="72">
        <f t="array" ref="AQ121">INDEX($K$2:$K$16,MATCH(Y121&amp;Z121,$A$2:$A$16&amp;$B$2:$B$16,0))</f>
        <v>900000</v>
      </c>
      <c r="AR121" s="42" t="str">
        <f t="array" ref="AR121">_xlfn.TEXTJOIN(";",1,IF($AA121:$AH121&lt;&gt;"","1001,"&amp;$AA121:$AH121&amp;","&amp;$AI121:$AP121,""))&amp;IF(AQ121=0,"",";"&amp;"5,0,"&amp;AQ121)</f>
        <v>1001,214112,48;1001,215112,28;1001,215009,28;1001,216111,5;5,0,900000</v>
      </c>
      <c r="AS121" s="42">
        <f t="array" ref="AS121">INDEX($A$19:$F$33,MATCH($Y121&amp;$Z121,$A$19:$A$33&amp;$B$19:$B$33,0),MATCH(AS$1,$A$19:$F$19,0))</f>
        <v>1296</v>
      </c>
      <c r="AT121" s="42">
        <f t="array" ref="AT121">INDEX($A$19:$F$33,MATCH($Y121&amp;$Z121,$A$19:$A$33&amp;$B$19:$B$33,0),MATCH(AT$1,$A$19:$F$19,0))</f>
        <v>518.4</v>
      </c>
      <c r="AU121" s="42">
        <f t="array" ref="AU121">INDEX($A$19:$F$33,MATCH($Y121&amp;$Z121,$A$19:$A$33&amp;$B$19:$B$33,0),MATCH(AU$1,$A$19:$F$19,0))</f>
        <v>10368</v>
      </c>
      <c r="AV121" s="42">
        <f t="array" ref="AV121">INDEX($A$19:$F$33,MATCH($Y121&amp;$Z121,$A$19:$A$33&amp;$B$19:$B$33,0),MATCH(AV$1,$A$19:$F$19,0))</f>
        <v>120</v>
      </c>
    </row>
    <row r="122" spans="24:48">
      <c r="X122" s="59">
        <v>113047</v>
      </c>
      <c r="Y122">
        <f>INDEX(M:M,MATCH(X122,N:N,0))</f>
        <v>3</v>
      </c>
      <c r="Z122">
        <v>6</v>
      </c>
      <c r="AA122" s="72" t="str">
        <f t="shared" ref="AA122:AH122" si="120">IF(AI122=0,"",INDEX($N$1:$V$76,MATCH($X122,$N$1:$N$76,0),MATCH(AA$1,$N$1:$V$1,0)))</f>
        <v/>
      </c>
      <c r="AB122" s="72" t="str">
        <f t="shared" si="120"/>
        <v/>
      </c>
      <c r="AC122" s="72">
        <f t="shared" si="120"/>
        <v>214113</v>
      </c>
      <c r="AD122" s="72" t="str">
        <f t="shared" si="120"/>
        <v/>
      </c>
      <c r="AE122" s="72">
        <f t="shared" si="120"/>
        <v>215113</v>
      </c>
      <c r="AF122" s="72">
        <f t="shared" si="120"/>
        <v>215112</v>
      </c>
      <c r="AG122" s="72">
        <f t="shared" si="120"/>
        <v>216111</v>
      </c>
      <c r="AH122" s="72" t="str">
        <f t="shared" si="120"/>
        <v/>
      </c>
      <c r="AI122" s="72">
        <f t="array" ref="AI122">INDEX($C$4:$J$16,MATCH($Y122&amp;$Z122,$A$4:$A$16&amp;$B$4:$B$16,0),MATCH(AA$1,$C$2:$J$2,0))</f>
        <v>0</v>
      </c>
      <c r="AJ122" s="72">
        <f t="array" ref="AJ122">INDEX($C$4:$J$16,MATCH($Y122&amp;$Z122,$A$4:$A$16&amp;$B$4:$B$16,0),MATCH(AB$1,$C$2:$J$2,0))</f>
        <v>0</v>
      </c>
      <c r="AK122" s="72">
        <f t="array" ref="AK122">INDEX($C$4:$J$16,MATCH($Y122&amp;$Z122,$A$4:$A$16&amp;$B$4:$B$16,0),MATCH(AC$1,$C$2:$J$2,0))</f>
        <v>48</v>
      </c>
      <c r="AL122" s="72">
        <f t="array" ref="AL122">INDEX($C$4:$J$16,MATCH($Y122&amp;$Z122,$A$4:$A$16&amp;$B$4:$B$16,0),MATCH(AD$1,$C$2:$J$2,0))</f>
        <v>0</v>
      </c>
      <c r="AM122" s="72">
        <f t="array" ref="AM122">INDEX($C$4:$J$16,MATCH($Y122&amp;$Z122,$A$4:$A$16&amp;$B$4:$B$16,0),MATCH(AE$1,$C$2:$J$2,0))</f>
        <v>28</v>
      </c>
      <c r="AN122" s="72">
        <f t="array" ref="AN122">INDEX($C$4:$J$16,MATCH($Y122&amp;$Z122,$A$4:$A$16&amp;$B$4:$B$16,0),MATCH(AF$1,$C$2:$J$2,0))</f>
        <v>28</v>
      </c>
      <c r="AO122" s="72">
        <f t="array" ref="AO122">INDEX($C$4:$J$16,MATCH($Y122&amp;$Z122,$A$4:$A$16&amp;$B$4:$B$16,0),MATCH(AG$1,$C$2:$J$2,0))</f>
        <v>5</v>
      </c>
      <c r="AP122" s="72">
        <f t="array" ref="AP122">INDEX($C$4:$J$16,MATCH($Y122&amp;$Z122,$A$4:$A$16&amp;$B$4:$B$16,0),MATCH(AH$1,$C$2:$J$2,0))</f>
        <v>0</v>
      </c>
      <c r="AQ122" s="72">
        <f t="array" ref="AQ122">INDEX($K$2:$K$16,MATCH(Y122&amp;Z122,$A$2:$A$16&amp;$B$2:$B$16,0))</f>
        <v>900000</v>
      </c>
      <c r="AR122" s="42" t="str">
        <f t="array" ref="AR122">_xlfn.TEXTJOIN(";",1,IF($AA122:$AH122&lt;&gt;"","1001,"&amp;$AA122:$AH122&amp;","&amp;$AI122:$AP122,""))&amp;IF(AQ122=0,"",";"&amp;"5,0,"&amp;AQ122)</f>
        <v>1001,214113,48;1001,215113,28;1001,215112,28;1001,216111,5;5,0,900000</v>
      </c>
      <c r="AS122" s="42">
        <f t="array" ref="AS122">INDEX($A$19:$F$33,MATCH($Y122&amp;$Z122,$A$19:$A$33&amp;$B$19:$B$33,0),MATCH(AS$1,$A$19:$F$19,0))</f>
        <v>1296</v>
      </c>
      <c r="AT122" s="42">
        <f t="array" ref="AT122">INDEX($A$19:$F$33,MATCH($Y122&amp;$Z122,$A$19:$A$33&amp;$B$19:$B$33,0),MATCH(AT$1,$A$19:$F$19,0))</f>
        <v>518.4</v>
      </c>
      <c r="AU122" s="42">
        <f t="array" ref="AU122">INDEX($A$19:$F$33,MATCH($Y122&amp;$Z122,$A$19:$A$33&amp;$B$19:$B$33,0),MATCH(AU$1,$A$19:$F$19,0))</f>
        <v>10368</v>
      </c>
      <c r="AV122" s="42">
        <f t="array" ref="AV122">INDEX($A$19:$F$33,MATCH($Y122&amp;$Z122,$A$19:$A$33&amp;$B$19:$B$33,0),MATCH(AV$1,$A$19:$F$19,0))</f>
        <v>120</v>
      </c>
    </row>
    <row r="123" spans="24:48">
      <c r="X123" s="60">
        <v>113046</v>
      </c>
      <c r="Y123">
        <f>INDEX(M:M,MATCH(X123,N:N,0))</f>
        <v>3</v>
      </c>
      <c r="Z123">
        <v>6</v>
      </c>
      <c r="AA123" s="72" t="str">
        <f t="shared" ref="AA123:AH123" si="121">IF(AI123=0,"",INDEX($N$1:$V$76,MATCH($X123,$N$1:$N$76,0),MATCH(AA$1,$N$1:$V$1,0)))</f>
        <v/>
      </c>
      <c r="AB123" s="72" t="str">
        <f t="shared" si="121"/>
        <v/>
      </c>
      <c r="AC123" s="72">
        <f t="shared" si="121"/>
        <v>214114</v>
      </c>
      <c r="AD123" s="72" t="str">
        <f t="shared" si="121"/>
        <v/>
      </c>
      <c r="AE123" s="72">
        <f t="shared" si="121"/>
        <v>215114</v>
      </c>
      <c r="AF123" s="72">
        <f t="shared" si="121"/>
        <v>215113</v>
      </c>
      <c r="AG123" s="72">
        <f t="shared" si="121"/>
        <v>216111</v>
      </c>
      <c r="AH123" s="72" t="str">
        <f t="shared" si="121"/>
        <v/>
      </c>
      <c r="AI123" s="72">
        <f t="array" ref="AI123">INDEX($C$4:$J$16,MATCH($Y123&amp;$Z123,$A$4:$A$16&amp;$B$4:$B$16,0),MATCH(AA$1,$C$2:$J$2,0))</f>
        <v>0</v>
      </c>
      <c r="AJ123" s="72">
        <f t="array" ref="AJ123">INDEX($C$4:$J$16,MATCH($Y123&amp;$Z123,$A$4:$A$16&amp;$B$4:$B$16,0),MATCH(AB$1,$C$2:$J$2,0))</f>
        <v>0</v>
      </c>
      <c r="AK123" s="72">
        <f t="array" ref="AK123">INDEX($C$4:$J$16,MATCH($Y123&amp;$Z123,$A$4:$A$16&amp;$B$4:$B$16,0),MATCH(AC$1,$C$2:$J$2,0))</f>
        <v>48</v>
      </c>
      <c r="AL123" s="72">
        <f t="array" ref="AL123">INDEX($C$4:$J$16,MATCH($Y123&amp;$Z123,$A$4:$A$16&amp;$B$4:$B$16,0),MATCH(AD$1,$C$2:$J$2,0))</f>
        <v>0</v>
      </c>
      <c r="AM123" s="72">
        <f t="array" ref="AM123">INDEX($C$4:$J$16,MATCH($Y123&amp;$Z123,$A$4:$A$16&amp;$B$4:$B$16,0),MATCH(AE$1,$C$2:$J$2,0))</f>
        <v>28</v>
      </c>
      <c r="AN123" s="72">
        <f t="array" ref="AN123">INDEX($C$4:$J$16,MATCH($Y123&amp;$Z123,$A$4:$A$16&amp;$B$4:$B$16,0),MATCH(AF$1,$C$2:$J$2,0))</f>
        <v>28</v>
      </c>
      <c r="AO123" s="72">
        <f t="array" ref="AO123">INDEX($C$4:$J$16,MATCH($Y123&amp;$Z123,$A$4:$A$16&amp;$B$4:$B$16,0),MATCH(AG$1,$C$2:$J$2,0))</f>
        <v>5</v>
      </c>
      <c r="AP123" s="72">
        <f t="array" ref="AP123">INDEX($C$4:$J$16,MATCH($Y123&amp;$Z123,$A$4:$A$16&amp;$B$4:$B$16,0),MATCH(AH$1,$C$2:$J$2,0))</f>
        <v>0</v>
      </c>
      <c r="AQ123" s="72">
        <f t="array" ref="AQ123">INDEX($K$2:$K$16,MATCH(Y123&amp;Z123,$A$2:$A$16&amp;$B$2:$B$16,0))</f>
        <v>900000</v>
      </c>
      <c r="AR123" s="42" t="str">
        <f t="array" ref="AR123">_xlfn.TEXTJOIN(";",1,IF($AA123:$AH123&lt;&gt;"","1001,"&amp;$AA123:$AH123&amp;","&amp;$AI123:$AP123,""))&amp;IF(AQ123=0,"",";"&amp;"5,0,"&amp;AQ123)</f>
        <v>1001,214114,48;1001,215114,28;1001,215113,28;1001,216111,5;5,0,900000</v>
      </c>
      <c r="AS123" s="42">
        <f t="array" ref="AS123">INDEX($A$19:$F$33,MATCH($Y123&amp;$Z123,$A$19:$A$33&amp;$B$19:$B$33,0),MATCH(AS$1,$A$19:$F$19,0))</f>
        <v>1296</v>
      </c>
      <c r="AT123" s="42">
        <f t="array" ref="AT123">INDEX($A$19:$F$33,MATCH($Y123&amp;$Z123,$A$19:$A$33&amp;$B$19:$B$33,0),MATCH(AT$1,$A$19:$F$19,0))</f>
        <v>518.4</v>
      </c>
      <c r="AU123" s="42">
        <f t="array" ref="AU123">INDEX($A$19:$F$33,MATCH($Y123&amp;$Z123,$A$19:$A$33&amp;$B$19:$B$33,0),MATCH(AU$1,$A$19:$F$19,0))</f>
        <v>10368</v>
      </c>
      <c r="AV123" s="42">
        <f t="array" ref="AV123">INDEX($A$19:$F$33,MATCH($Y123&amp;$Z123,$A$19:$A$33&amp;$B$19:$B$33,0),MATCH(AV$1,$A$19:$F$19,0))</f>
        <v>120</v>
      </c>
    </row>
    <row r="124" spans="24:48">
      <c r="X124" s="61">
        <v>113049</v>
      </c>
      <c r="Y124">
        <f>INDEX(M:M,MATCH(X124,N:N,0))</f>
        <v>3</v>
      </c>
      <c r="Z124">
        <v>6</v>
      </c>
      <c r="AA124" s="72" t="str">
        <f t="shared" ref="AA124:AH124" si="122">IF(AI124=0,"",INDEX($N$1:$V$76,MATCH($X124,$N$1:$N$76,0),MATCH(AA$1,$N$1:$V$1,0)))</f>
        <v/>
      </c>
      <c r="AB124" s="72" t="str">
        <f t="shared" si="122"/>
        <v/>
      </c>
      <c r="AC124" s="72">
        <f t="shared" si="122"/>
        <v>214111</v>
      </c>
      <c r="AD124" s="72" t="str">
        <f t="shared" si="122"/>
        <v/>
      </c>
      <c r="AE124" s="72">
        <f t="shared" si="122"/>
        <v>215111</v>
      </c>
      <c r="AF124" s="72">
        <f t="shared" si="122"/>
        <v>215114</v>
      </c>
      <c r="AG124" s="72">
        <f t="shared" si="122"/>
        <v>216111</v>
      </c>
      <c r="AH124" s="72" t="str">
        <f t="shared" si="122"/>
        <v/>
      </c>
      <c r="AI124" s="72">
        <f t="array" ref="AI124">INDEX($C$4:$J$16,MATCH($Y124&amp;$Z124,$A$4:$A$16&amp;$B$4:$B$16,0),MATCH(AA$1,$C$2:$J$2,0))</f>
        <v>0</v>
      </c>
      <c r="AJ124" s="72">
        <f t="array" ref="AJ124">INDEX($C$4:$J$16,MATCH($Y124&amp;$Z124,$A$4:$A$16&amp;$B$4:$B$16,0),MATCH(AB$1,$C$2:$J$2,0))</f>
        <v>0</v>
      </c>
      <c r="AK124" s="72">
        <f t="array" ref="AK124">INDEX($C$4:$J$16,MATCH($Y124&amp;$Z124,$A$4:$A$16&amp;$B$4:$B$16,0),MATCH(AC$1,$C$2:$J$2,0))</f>
        <v>48</v>
      </c>
      <c r="AL124" s="72">
        <f t="array" ref="AL124">INDEX($C$4:$J$16,MATCH($Y124&amp;$Z124,$A$4:$A$16&amp;$B$4:$B$16,0),MATCH(AD$1,$C$2:$J$2,0))</f>
        <v>0</v>
      </c>
      <c r="AM124" s="72">
        <f t="array" ref="AM124">INDEX($C$4:$J$16,MATCH($Y124&amp;$Z124,$A$4:$A$16&amp;$B$4:$B$16,0),MATCH(AE$1,$C$2:$J$2,0))</f>
        <v>28</v>
      </c>
      <c r="AN124" s="72">
        <f t="array" ref="AN124">INDEX($C$4:$J$16,MATCH($Y124&amp;$Z124,$A$4:$A$16&amp;$B$4:$B$16,0),MATCH(AF$1,$C$2:$J$2,0))</f>
        <v>28</v>
      </c>
      <c r="AO124" s="72">
        <f t="array" ref="AO124">INDEX($C$4:$J$16,MATCH($Y124&amp;$Z124,$A$4:$A$16&amp;$B$4:$B$16,0),MATCH(AG$1,$C$2:$J$2,0))</f>
        <v>5</v>
      </c>
      <c r="AP124" s="72">
        <f t="array" ref="AP124">INDEX($C$4:$J$16,MATCH($Y124&amp;$Z124,$A$4:$A$16&amp;$B$4:$B$16,0),MATCH(AH$1,$C$2:$J$2,0))</f>
        <v>0</v>
      </c>
      <c r="AQ124" s="72">
        <f t="array" ref="AQ124">INDEX($K$2:$K$16,MATCH(Y124&amp;Z124,$A$2:$A$16&amp;$B$2:$B$16,0))</f>
        <v>900000</v>
      </c>
      <c r="AR124" s="42" t="str">
        <f t="array" ref="AR124">_xlfn.TEXTJOIN(";",1,IF($AA124:$AH124&lt;&gt;"","1001,"&amp;$AA124:$AH124&amp;","&amp;$AI124:$AP124,""))&amp;IF(AQ124=0,"",";"&amp;"5,0,"&amp;AQ124)</f>
        <v>1001,214111,48;1001,215111,28;1001,215114,28;1001,216111,5;5,0,900000</v>
      </c>
      <c r="AS124" s="42">
        <f t="array" ref="AS124">INDEX($A$19:$F$33,MATCH($Y124&amp;$Z124,$A$19:$A$33&amp;$B$19:$B$33,0),MATCH(AS$1,$A$19:$F$19,0))</f>
        <v>1296</v>
      </c>
      <c r="AT124" s="42">
        <f t="array" ref="AT124">INDEX($A$19:$F$33,MATCH($Y124&amp;$Z124,$A$19:$A$33&amp;$B$19:$B$33,0),MATCH(AT$1,$A$19:$F$19,0))</f>
        <v>518.4</v>
      </c>
      <c r="AU124" s="42">
        <f t="array" ref="AU124">INDEX($A$19:$F$33,MATCH($Y124&amp;$Z124,$A$19:$A$33&amp;$B$19:$B$33,0),MATCH(AU$1,$A$19:$F$19,0))</f>
        <v>10368</v>
      </c>
      <c r="AV124" s="42">
        <f t="array" ref="AV124">INDEX($A$19:$F$33,MATCH($Y124&amp;$Z124,$A$19:$A$33&amp;$B$19:$B$33,0),MATCH(AV$1,$A$19:$F$19,0))</f>
        <v>120</v>
      </c>
    </row>
    <row r="125" spans="24:48">
      <c r="X125" s="62">
        <v>113050</v>
      </c>
      <c r="Y125">
        <f>INDEX(M:M,MATCH(X125,N:N,0))</f>
        <v>3</v>
      </c>
      <c r="Z125">
        <v>6</v>
      </c>
      <c r="AA125" s="72" t="str">
        <f t="shared" ref="AA125:AH125" si="123">IF(AI125=0,"",INDEX($N$1:$V$76,MATCH($X125,$N$1:$N$76,0),MATCH(AA$1,$N$1:$V$1,0)))</f>
        <v/>
      </c>
      <c r="AB125" s="72" t="str">
        <f t="shared" si="123"/>
        <v/>
      </c>
      <c r="AC125" s="72">
        <f t="shared" si="123"/>
        <v>214009</v>
      </c>
      <c r="AD125" s="72" t="str">
        <f t="shared" si="123"/>
        <v/>
      </c>
      <c r="AE125" s="72">
        <f t="shared" si="123"/>
        <v>215009</v>
      </c>
      <c r="AF125" s="72">
        <f t="shared" si="123"/>
        <v>215111</v>
      </c>
      <c r="AG125" s="72">
        <f t="shared" si="123"/>
        <v>216111</v>
      </c>
      <c r="AH125" s="72" t="str">
        <f t="shared" si="123"/>
        <v/>
      </c>
      <c r="AI125" s="72">
        <f t="array" ref="AI125">INDEX($C$4:$J$16,MATCH($Y125&amp;$Z125,$A$4:$A$16&amp;$B$4:$B$16,0),MATCH(AA$1,$C$2:$J$2,0))</f>
        <v>0</v>
      </c>
      <c r="AJ125" s="72">
        <f t="array" ref="AJ125">INDEX($C$4:$J$16,MATCH($Y125&amp;$Z125,$A$4:$A$16&amp;$B$4:$B$16,0),MATCH(AB$1,$C$2:$J$2,0))</f>
        <v>0</v>
      </c>
      <c r="AK125" s="72">
        <f t="array" ref="AK125">INDEX($C$4:$J$16,MATCH($Y125&amp;$Z125,$A$4:$A$16&amp;$B$4:$B$16,0),MATCH(AC$1,$C$2:$J$2,0))</f>
        <v>48</v>
      </c>
      <c r="AL125" s="72">
        <f t="array" ref="AL125">INDEX($C$4:$J$16,MATCH($Y125&amp;$Z125,$A$4:$A$16&amp;$B$4:$B$16,0),MATCH(AD$1,$C$2:$J$2,0))</f>
        <v>0</v>
      </c>
      <c r="AM125" s="72">
        <f t="array" ref="AM125">INDEX($C$4:$J$16,MATCH($Y125&amp;$Z125,$A$4:$A$16&amp;$B$4:$B$16,0),MATCH(AE$1,$C$2:$J$2,0))</f>
        <v>28</v>
      </c>
      <c r="AN125" s="72">
        <f t="array" ref="AN125">INDEX($C$4:$J$16,MATCH($Y125&amp;$Z125,$A$4:$A$16&amp;$B$4:$B$16,0),MATCH(AF$1,$C$2:$J$2,0))</f>
        <v>28</v>
      </c>
      <c r="AO125" s="72">
        <f t="array" ref="AO125">INDEX($C$4:$J$16,MATCH($Y125&amp;$Z125,$A$4:$A$16&amp;$B$4:$B$16,0),MATCH(AG$1,$C$2:$J$2,0))</f>
        <v>5</v>
      </c>
      <c r="AP125" s="72">
        <f t="array" ref="AP125">INDEX($C$4:$J$16,MATCH($Y125&amp;$Z125,$A$4:$A$16&amp;$B$4:$B$16,0),MATCH(AH$1,$C$2:$J$2,0))</f>
        <v>0</v>
      </c>
      <c r="AQ125" s="72">
        <f t="array" ref="AQ125">INDEX($K$2:$K$16,MATCH(Y125&amp;Z125,$A$2:$A$16&amp;$B$2:$B$16,0))</f>
        <v>900000</v>
      </c>
      <c r="AR125" s="42" t="str">
        <f t="array" ref="AR125">_xlfn.TEXTJOIN(";",1,IF($AA125:$AH125&lt;&gt;"","1001,"&amp;$AA125:$AH125&amp;","&amp;$AI125:$AP125,""))&amp;IF(AQ125=0,"",";"&amp;"5,0,"&amp;AQ125)</f>
        <v>1001,214009,48;1001,215009,28;1001,215111,28;1001,216111,5;5,0,900000</v>
      </c>
      <c r="AS125" s="42">
        <f t="array" ref="AS125">INDEX($A$19:$F$33,MATCH($Y125&amp;$Z125,$A$19:$A$33&amp;$B$19:$B$33,0),MATCH(AS$1,$A$19:$F$19,0))</f>
        <v>1296</v>
      </c>
      <c r="AT125" s="42">
        <f t="array" ref="AT125">INDEX($A$19:$F$33,MATCH($Y125&amp;$Z125,$A$19:$A$33&amp;$B$19:$B$33,0),MATCH(AT$1,$A$19:$F$19,0))</f>
        <v>518.4</v>
      </c>
      <c r="AU125" s="42">
        <f t="array" ref="AU125">INDEX($A$19:$F$33,MATCH($Y125&amp;$Z125,$A$19:$A$33&amp;$B$19:$B$33,0),MATCH(AU$1,$A$19:$F$19,0))</f>
        <v>10368</v>
      </c>
      <c r="AV125" s="42">
        <f t="array" ref="AV125">INDEX($A$19:$F$33,MATCH($Y125&amp;$Z125,$A$19:$A$33&amp;$B$19:$B$33,0),MATCH(AV$1,$A$19:$F$19,0))</f>
        <v>120</v>
      </c>
    </row>
    <row r="126" spans="24:48">
      <c r="X126" s="42">
        <v>113051</v>
      </c>
      <c r="Y126">
        <f>INDEX(M:M,MATCH(X126,N:N,0))</f>
        <v>3</v>
      </c>
      <c r="Z126">
        <v>6</v>
      </c>
      <c r="AA126" s="72" t="str">
        <f t="shared" ref="AA126:AH126" si="124">IF(AI126=0,"",INDEX($N$1:$V$76,MATCH($X126,$N$1:$N$76,0),MATCH(AA$1,$N$1:$V$1,0)))</f>
        <v/>
      </c>
      <c r="AB126" s="72" t="str">
        <f t="shared" si="124"/>
        <v/>
      </c>
      <c r="AC126" s="72">
        <f t="shared" si="124"/>
        <v>214112</v>
      </c>
      <c r="AD126" s="72" t="str">
        <f t="shared" si="124"/>
        <v/>
      </c>
      <c r="AE126" s="72">
        <f t="shared" si="124"/>
        <v>215112</v>
      </c>
      <c r="AF126" s="72">
        <f t="shared" si="124"/>
        <v>215009</v>
      </c>
      <c r="AG126" s="72">
        <f t="shared" si="124"/>
        <v>216111</v>
      </c>
      <c r="AH126" s="72" t="str">
        <f t="shared" si="124"/>
        <v/>
      </c>
      <c r="AI126" s="72">
        <f t="array" ref="AI126">INDEX($C$4:$J$16,MATCH($Y126&amp;$Z126,$A$4:$A$16&amp;$B$4:$B$16,0),MATCH(AA$1,$C$2:$J$2,0))</f>
        <v>0</v>
      </c>
      <c r="AJ126" s="72">
        <f t="array" ref="AJ126">INDEX($C$4:$J$16,MATCH($Y126&amp;$Z126,$A$4:$A$16&amp;$B$4:$B$16,0),MATCH(AB$1,$C$2:$J$2,0))</f>
        <v>0</v>
      </c>
      <c r="AK126" s="72">
        <f t="array" ref="AK126">INDEX($C$4:$J$16,MATCH($Y126&amp;$Z126,$A$4:$A$16&amp;$B$4:$B$16,0),MATCH(AC$1,$C$2:$J$2,0))</f>
        <v>48</v>
      </c>
      <c r="AL126" s="72">
        <f t="array" ref="AL126">INDEX($C$4:$J$16,MATCH($Y126&amp;$Z126,$A$4:$A$16&amp;$B$4:$B$16,0),MATCH(AD$1,$C$2:$J$2,0))</f>
        <v>0</v>
      </c>
      <c r="AM126" s="72">
        <f t="array" ref="AM126">INDEX($C$4:$J$16,MATCH($Y126&amp;$Z126,$A$4:$A$16&amp;$B$4:$B$16,0),MATCH(AE$1,$C$2:$J$2,0))</f>
        <v>28</v>
      </c>
      <c r="AN126" s="72">
        <f t="array" ref="AN126">INDEX($C$4:$J$16,MATCH($Y126&amp;$Z126,$A$4:$A$16&amp;$B$4:$B$16,0),MATCH(AF$1,$C$2:$J$2,0))</f>
        <v>28</v>
      </c>
      <c r="AO126" s="72">
        <f t="array" ref="AO126">INDEX($C$4:$J$16,MATCH($Y126&amp;$Z126,$A$4:$A$16&amp;$B$4:$B$16,0),MATCH(AG$1,$C$2:$J$2,0))</f>
        <v>5</v>
      </c>
      <c r="AP126" s="72">
        <f t="array" ref="AP126">INDEX($C$4:$J$16,MATCH($Y126&amp;$Z126,$A$4:$A$16&amp;$B$4:$B$16,0),MATCH(AH$1,$C$2:$J$2,0))</f>
        <v>0</v>
      </c>
      <c r="AQ126" s="72">
        <f t="array" ref="AQ126">INDEX($K$2:$K$16,MATCH(Y126&amp;Z126,$A$2:$A$16&amp;$B$2:$B$16,0))</f>
        <v>900000</v>
      </c>
      <c r="AR126" s="42" t="str">
        <f t="array" ref="AR126">_xlfn.TEXTJOIN(";",1,IF($AA126:$AH126&lt;&gt;"","1001,"&amp;$AA126:$AH126&amp;","&amp;$AI126:$AP126,""))&amp;IF(AQ126=0,"",";"&amp;"5,0,"&amp;AQ126)</f>
        <v>1001,214112,48;1001,215112,28;1001,215009,28;1001,216111,5;5,0,900000</v>
      </c>
      <c r="AS126" s="42">
        <f t="array" ref="AS126">INDEX($A$19:$F$33,MATCH($Y126&amp;$Z126,$A$19:$A$33&amp;$B$19:$B$33,0),MATCH(AS$1,$A$19:$F$19,0))</f>
        <v>1296</v>
      </c>
      <c r="AT126" s="42">
        <f t="array" ref="AT126">INDEX($A$19:$F$33,MATCH($Y126&amp;$Z126,$A$19:$A$33&amp;$B$19:$B$33,0),MATCH(AT$1,$A$19:$F$19,0))</f>
        <v>518.4</v>
      </c>
      <c r="AU126" s="42">
        <f t="array" ref="AU126">INDEX($A$19:$F$33,MATCH($Y126&amp;$Z126,$A$19:$A$33&amp;$B$19:$B$33,0),MATCH(AU$1,$A$19:$F$19,0))</f>
        <v>10368</v>
      </c>
      <c r="AV126" s="42">
        <f t="array" ref="AV126">INDEX($A$19:$F$33,MATCH($Y126&amp;$Z126,$A$19:$A$33&amp;$B$19:$B$33,0),MATCH(AV$1,$A$19:$F$19,0))</f>
        <v>120</v>
      </c>
    </row>
    <row r="127" spans="24:48">
      <c r="X127" s="63">
        <v>113052</v>
      </c>
      <c r="Y127">
        <f>INDEX(M:M,MATCH(X127,N:N,0))</f>
        <v>3</v>
      </c>
      <c r="Z127">
        <v>6</v>
      </c>
      <c r="AA127" s="72" t="str">
        <f t="shared" ref="AA127:AH127" si="125">IF(AI127=0,"",INDEX($N$1:$V$76,MATCH($X127,$N$1:$N$76,0),MATCH(AA$1,$N$1:$V$1,0)))</f>
        <v/>
      </c>
      <c r="AB127" s="72" t="str">
        <f t="shared" si="125"/>
        <v/>
      </c>
      <c r="AC127" s="72">
        <f t="shared" si="125"/>
        <v>214113</v>
      </c>
      <c r="AD127" s="72" t="str">
        <f t="shared" si="125"/>
        <v/>
      </c>
      <c r="AE127" s="72">
        <f t="shared" si="125"/>
        <v>215113</v>
      </c>
      <c r="AF127" s="72">
        <f t="shared" si="125"/>
        <v>215112</v>
      </c>
      <c r="AG127" s="72">
        <f t="shared" si="125"/>
        <v>216111</v>
      </c>
      <c r="AH127" s="72" t="str">
        <f t="shared" si="125"/>
        <v/>
      </c>
      <c r="AI127" s="72">
        <f t="array" ref="AI127">INDEX($C$4:$J$16,MATCH($Y127&amp;$Z127,$A$4:$A$16&amp;$B$4:$B$16,0),MATCH(AA$1,$C$2:$J$2,0))</f>
        <v>0</v>
      </c>
      <c r="AJ127" s="72">
        <f t="array" ref="AJ127">INDEX($C$4:$J$16,MATCH($Y127&amp;$Z127,$A$4:$A$16&amp;$B$4:$B$16,0),MATCH(AB$1,$C$2:$J$2,0))</f>
        <v>0</v>
      </c>
      <c r="AK127" s="72">
        <f t="array" ref="AK127">INDEX($C$4:$J$16,MATCH($Y127&amp;$Z127,$A$4:$A$16&amp;$B$4:$B$16,0),MATCH(AC$1,$C$2:$J$2,0))</f>
        <v>48</v>
      </c>
      <c r="AL127" s="72">
        <f t="array" ref="AL127">INDEX($C$4:$J$16,MATCH($Y127&amp;$Z127,$A$4:$A$16&amp;$B$4:$B$16,0),MATCH(AD$1,$C$2:$J$2,0))</f>
        <v>0</v>
      </c>
      <c r="AM127" s="72">
        <f t="array" ref="AM127">INDEX($C$4:$J$16,MATCH($Y127&amp;$Z127,$A$4:$A$16&amp;$B$4:$B$16,0),MATCH(AE$1,$C$2:$J$2,0))</f>
        <v>28</v>
      </c>
      <c r="AN127" s="72">
        <f t="array" ref="AN127">INDEX($C$4:$J$16,MATCH($Y127&amp;$Z127,$A$4:$A$16&amp;$B$4:$B$16,0),MATCH(AF$1,$C$2:$J$2,0))</f>
        <v>28</v>
      </c>
      <c r="AO127" s="72">
        <f t="array" ref="AO127">INDEX($C$4:$J$16,MATCH($Y127&amp;$Z127,$A$4:$A$16&amp;$B$4:$B$16,0),MATCH(AG$1,$C$2:$J$2,0))</f>
        <v>5</v>
      </c>
      <c r="AP127" s="72">
        <f t="array" ref="AP127">INDEX($C$4:$J$16,MATCH($Y127&amp;$Z127,$A$4:$A$16&amp;$B$4:$B$16,0),MATCH(AH$1,$C$2:$J$2,0))</f>
        <v>0</v>
      </c>
      <c r="AQ127" s="72">
        <f t="array" ref="AQ127">INDEX($K$2:$K$16,MATCH(Y127&amp;Z127,$A$2:$A$16&amp;$B$2:$B$16,0))</f>
        <v>900000</v>
      </c>
      <c r="AR127" s="42" t="str">
        <f t="array" ref="AR127">_xlfn.TEXTJOIN(";",1,IF($AA127:$AH127&lt;&gt;"","1001,"&amp;$AA127:$AH127&amp;","&amp;$AI127:$AP127,""))&amp;IF(AQ127=0,"",";"&amp;"5,0,"&amp;AQ127)</f>
        <v>1001,214113,48;1001,215113,28;1001,215112,28;1001,216111,5;5,0,900000</v>
      </c>
      <c r="AS127" s="42">
        <f t="array" ref="AS127">INDEX($A$19:$F$33,MATCH($Y127&amp;$Z127,$A$19:$A$33&amp;$B$19:$B$33,0),MATCH(AS$1,$A$19:$F$19,0))</f>
        <v>1296</v>
      </c>
      <c r="AT127" s="42">
        <f t="array" ref="AT127">INDEX($A$19:$F$33,MATCH($Y127&amp;$Z127,$A$19:$A$33&amp;$B$19:$B$33,0),MATCH(AT$1,$A$19:$F$19,0))</f>
        <v>518.4</v>
      </c>
      <c r="AU127" s="42">
        <f t="array" ref="AU127">INDEX($A$19:$F$33,MATCH($Y127&amp;$Z127,$A$19:$A$33&amp;$B$19:$B$33,0),MATCH(AU$1,$A$19:$F$19,0))</f>
        <v>10368</v>
      </c>
      <c r="AV127" s="42">
        <f t="array" ref="AV127">INDEX($A$19:$F$33,MATCH($Y127&amp;$Z127,$A$19:$A$33&amp;$B$19:$B$33,0),MATCH(AV$1,$A$19:$F$19,0))</f>
        <v>120</v>
      </c>
    </row>
    <row r="128" spans="24:48">
      <c r="X128" s="64">
        <v>113053</v>
      </c>
      <c r="Y128">
        <f>INDEX(M:M,MATCH(X128,N:N,0))</f>
        <v>3</v>
      </c>
      <c r="Z128">
        <v>6</v>
      </c>
      <c r="AA128" s="72" t="str">
        <f t="shared" ref="AA128:AH128" si="126">IF(AI128=0,"",INDEX($N$1:$V$76,MATCH($X128,$N$1:$N$76,0),MATCH(AA$1,$N$1:$V$1,0)))</f>
        <v/>
      </c>
      <c r="AB128" s="72" t="str">
        <f t="shared" si="126"/>
        <v/>
      </c>
      <c r="AC128" s="72">
        <f t="shared" si="126"/>
        <v>214111</v>
      </c>
      <c r="AD128" s="72" t="str">
        <f t="shared" si="126"/>
        <v/>
      </c>
      <c r="AE128" s="72">
        <f t="shared" si="126"/>
        <v>215111</v>
      </c>
      <c r="AF128" s="72">
        <f t="shared" si="126"/>
        <v>215114</v>
      </c>
      <c r="AG128" s="72">
        <f t="shared" si="126"/>
        <v>216111</v>
      </c>
      <c r="AH128" s="72" t="str">
        <f t="shared" si="126"/>
        <v/>
      </c>
      <c r="AI128" s="72">
        <f t="array" ref="AI128">INDEX($C$4:$J$16,MATCH($Y128&amp;$Z128,$A$4:$A$16&amp;$B$4:$B$16,0),MATCH(AA$1,$C$2:$J$2,0))</f>
        <v>0</v>
      </c>
      <c r="AJ128" s="72">
        <f t="array" ref="AJ128">INDEX($C$4:$J$16,MATCH($Y128&amp;$Z128,$A$4:$A$16&amp;$B$4:$B$16,0),MATCH(AB$1,$C$2:$J$2,0))</f>
        <v>0</v>
      </c>
      <c r="AK128" s="72">
        <f t="array" ref="AK128">INDEX($C$4:$J$16,MATCH($Y128&amp;$Z128,$A$4:$A$16&amp;$B$4:$B$16,0),MATCH(AC$1,$C$2:$J$2,0))</f>
        <v>48</v>
      </c>
      <c r="AL128" s="72">
        <f t="array" ref="AL128">INDEX($C$4:$J$16,MATCH($Y128&amp;$Z128,$A$4:$A$16&amp;$B$4:$B$16,0),MATCH(AD$1,$C$2:$J$2,0))</f>
        <v>0</v>
      </c>
      <c r="AM128" s="72">
        <f t="array" ref="AM128">INDEX($C$4:$J$16,MATCH($Y128&amp;$Z128,$A$4:$A$16&amp;$B$4:$B$16,0),MATCH(AE$1,$C$2:$J$2,0))</f>
        <v>28</v>
      </c>
      <c r="AN128" s="72">
        <f t="array" ref="AN128">INDEX($C$4:$J$16,MATCH($Y128&amp;$Z128,$A$4:$A$16&amp;$B$4:$B$16,0),MATCH(AF$1,$C$2:$J$2,0))</f>
        <v>28</v>
      </c>
      <c r="AO128" s="72">
        <f t="array" ref="AO128">INDEX($C$4:$J$16,MATCH($Y128&amp;$Z128,$A$4:$A$16&amp;$B$4:$B$16,0),MATCH(AG$1,$C$2:$J$2,0))</f>
        <v>5</v>
      </c>
      <c r="AP128" s="72">
        <f t="array" ref="AP128">INDEX($C$4:$J$16,MATCH($Y128&amp;$Z128,$A$4:$A$16&amp;$B$4:$B$16,0),MATCH(AH$1,$C$2:$J$2,0))</f>
        <v>0</v>
      </c>
      <c r="AQ128" s="72">
        <f t="array" ref="AQ128">INDEX($K$2:$K$16,MATCH(Y128&amp;Z128,$A$2:$A$16&amp;$B$2:$B$16,0))</f>
        <v>900000</v>
      </c>
      <c r="AR128" s="42" t="str">
        <f t="array" ref="AR128">_xlfn.TEXTJOIN(";",1,IF($AA128:$AH128&lt;&gt;"","1001,"&amp;$AA128:$AH128&amp;","&amp;$AI128:$AP128,""))&amp;IF(AQ128=0,"",";"&amp;"5,0,"&amp;AQ128)</f>
        <v>1001,214111,48;1001,215111,28;1001,215114,28;1001,216111,5;5,0,900000</v>
      </c>
      <c r="AS128" s="42">
        <f t="array" ref="AS128">INDEX($A$19:$F$33,MATCH($Y128&amp;$Z128,$A$19:$A$33&amp;$B$19:$B$33,0),MATCH(AS$1,$A$19:$F$19,0))</f>
        <v>1296</v>
      </c>
      <c r="AT128" s="42">
        <f t="array" ref="AT128">INDEX($A$19:$F$33,MATCH($Y128&amp;$Z128,$A$19:$A$33&amp;$B$19:$B$33,0),MATCH(AT$1,$A$19:$F$19,0))</f>
        <v>518.4</v>
      </c>
      <c r="AU128" s="42">
        <f t="array" ref="AU128">INDEX($A$19:$F$33,MATCH($Y128&amp;$Z128,$A$19:$A$33&amp;$B$19:$B$33,0),MATCH(AU$1,$A$19:$F$19,0))</f>
        <v>10368</v>
      </c>
      <c r="AV128" s="42">
        <f t="array" ref="AV128">INDEX($A$19:$F$33,MATCH($Y128&amp;$Z128,$A$19:$A$33&amp;$B$19:$B$33,0),MATCH(AV$1,$A$19:$F$19,0))</f>
        <v>120</v>
      </c>
    </row>
    <row r="129" spans="24:48">
      <c r="X129" s="59">
        <v>113054</v>
      </c>
      <c r="Y129">
        <f>INDEX(M:M,MATCH(X129,N:N,0))</f>
        <v>3</v>
      </c>
      <c r="Z129">
        <v>6</v>
      </c>
      <c r="AA129" s="72" t="str">
        <f t="shared" ref="AA129:AH129" si="127">IF(AI129=0,"",INDEX($N$1:$V$76,MATCH($X129,$N$1:$N$76,0),MATCH(AA$1,$N$1:$V$1,0)))</f>
        <v/>
      </c>
      <c r="AB129" s="72" t="str">
        <f t="shared" si="127"/>
        <v/>
      </c>
      <c r="AC129" s="72">
        <f t="shared" si="127"/>
        <v>214114</v>
      </c>
      <c r="AD129" s="72" t="str">
        <f t="shared" si="127"/>
        <v/>
      </c>
      <c r="AE129" s="72">
        <f t="shared" si="127"/>
        <v>215114</v>
      </c>
      <c r="AF129" s="72">
        <f t="shared" si="127"/>
        <v>215113</v>
      </c>
      <c r="AG129" s="72">
        <f t="shared" si="127"/>
        <v>216111</v>
      </c>
      <c r="AH129" s="72" t="str">
        <f t="shared" si="127"/>
        <v/>
      </c>
      <c r="AI129" s="72">
        <f t="array" ref="AI129">INDEX($C$4:$J$16,MATCH($Y129&amp;$Z129,$A$4:$A$16&amp;$B$4:$B$16,0),MATCH(AA$1,$C$2:$J$2,0))</f>
        <v>0</v>
      </c>
      <c r="AJ129" s="72">
        <f t="array" ref="AJ129">INDEX($C$4:$J$16,MATCH($Y129&amp;$Z129,$A$4:$A$16&amp;$B$4:$B$16,0),MATCH(AB$1,$C$2:$J$2,0))</f>
        <v>0</v>
      </c>
      <c r="AK129" s="72">
        <f t="array" ref="AK129">INDEX($C$4:$J$16,MATCH($Y129&amp;$Z129,$A$4:$A$16&amp;$B$4:$B$16,0),MATCH(AC$1,$C$2:$J$2,0))</f>
        <v>48</v>
      </c>
      <c r="AL129" s="72">
        <f t="array" ref="AL129">INDEX($C$4:$J$16,MATCH($Y129&amp;$Z129,$A$4:$A$16&amp;$B$4:$B$16,0),MATCH(AD$1,$C$2:$J$2,0))</f>
        <v>0</v>
      </c>
      <c r="AM129" s="72">
        <f t="array" ref="AM129">INDEX($C$4:$J$16,MATCH($Y129&amp;$Z129,$A$4:$A$16&amp;$B$4:$B$16,0),MATCH(AE$1,$C$2:$J$2,0))</f>
        <v>28</v>
      </c>
      <c r="AN129" s="72">
        <f t="array" ref="AN129">INDEX($C$4:$J$16,MATCH($Y129&amp;$Z129,$A$4:$A$16&amp;$B$4:$B$16,0),MATCH(AF$1,$C$2:$J$2,0))</f>
        <v>28</v>
      </c>
      <c r="AO129" s="72">
        <f t="array" ref="AO129">INDEX($C$4:$J$16,MATCH($Y129&amp;$Z129,$A$4:$A$16&amp;$B$4:$B$16,0),MATCH(AG$1,$C$2:$J$2,0))</f>
        <v>5</v>
      </c>
      <c r="AP129" s="72">
        <f t="array" ref="AP129">INDEX($C$4:$J$16,MATCH($Y129&amp;$Z129,$A$4:$A$16&amp;$B$4:$B$16,0),MATCH(AH$1,$C$2:$J$2,0))</f>
        <v>0</v>
      </c>
      <c r="AQ129" s="72">
        <f t="array" ref="AQ129">INDEX($K$2:$K$16,MATCH(Y129&amp;Z129,$A$2:$A$16&amp;$B$2:$B$16,0))</f>
        <v>900000</v>
      </c>
      <c r="AR129" s="42" t="str">
        <f t="array" ref="AR129">_xlfn.TEXTJOIN(";",1,IF($AA129:$AH129&lt;&gt;"","1001,"&amp;$AA129:$AH129&amp;","&amp;$AI129:$AP129,""))&amp;IF(AQ129=0,"",";"&amp;"5,0,"&amp;AQ129)</f>
        <v>1001,214114,48;1001,215114,28;1001,215113,28;1001,216111,5;5,0,900000</v>
      </c>
      <c r="AS129" s="42">
        <f t="array" ref="AS129">INDEX($A$19:$F$33,MATCH($Y129&amp;$Z129,$A$19:$A$33&amp;$B$19:$B$33,0),MATCH(AS$1,$A$19:$F$19,0))</f>
        <v>1296</v>
      </c>
      <c r="AT129" s="42">
        <f t="array" ref="AT129">INDEX($A$19:$F$33,MATCH($Y129&amp;$Z129,$A$19:$A$33&amp;$B$19:$B$33,0),MATCH(AT$1,$A$19:$F$19,0))</f>
        <v>518.4</v>
      </c>
      <c r="AU129" s="42">
        <f t="array" ref="AU129">INDEX($A$19:$F$33,MATCH($Y129&amp;$Z129,$A$19:$A$33&amp;$B$19:$B$33,0),MATCH(AU$1,$A$19:$F$19,0))</f>
        <v>10368</v>
      </c>
      <c r="AV129" s="42">
        <f t="array" ref="AV129">INDEX($A$19:$F$33,MATCH($Y129&amp;$Z129,$A$19:$A$33&amp;$B$19:$B$33,0),MATCH(AV$1,$A$19:$F$19,0))</f>
        <v>120</v>
      </c>
    </row>
    <row r="130" spans="24:48">
      <c r="X130" s="65">
        <v>113055</v>
      </c>
      <c r="Y130">
        <f>INDEX(M:M,MATCH(X130,N:N,0))</f>
        <v>3</v>
      </c>
      <c r="Z130">
        <v>6</v>
      </c>
      <c r="AA130" s="72" t="str">
        <f t="shared" ref="AA130:AH130" si="128">IF(AI130=0,"",INDEX($N$1:$V$76,MATCH($X130,$N$1:$N$76,0),MATCH(AA$1,$N$1:$V$1,0)))</f>
        <v/>
      </c>
      <c r="AB130" s="72" t="str">
        <f t="shared" si="128"/>
        <v/>
      </c>
      <c r="AC130" s="72">
        <f t="shared" si="128"/>
        <v>214009</v>
      </c>
      <c r="AD130" s="72" t="str">
        <f t="shared" si="128"/>
        <v/>
      </c>
      <c r="AE130" s="72">
        <f t="shared" si="128"/>
        <v>215009</v>
      </c>
      <c r="AF130" s="72">
        <f t="shared" si="128"/>
        <v>215111</v>
      </c>
      <c r="AG130" s="72">
        <f t="shared" si="128"/>
        <v>216111</v>
      </c>
      <c r="AH130" s="72" t="str">
        <f t="shared" si="128"/>
        <v/>
      </c>
      <c r="AI130" s="72">
        <f t="array" ref="AI130">INDEX($C$4:$J$16,MATCH($Y130&amp;$Z130,$A$4:$A$16&amp;$B$4:$B$16,0),MATCH(AA$1,$C$2:$J$2,0))</f>
        <v>0</v>
      </c>
      <c r="AJ130" s="72">
        <f t="array" ref="AJ130">INDEX($C$4:$J$16,MATCH($Y130&amp;$Z130,$A$4:$A$16&amp;$B$4:$B$16,0),MATCH(AB$1,$C$2:$J$2,0))</f>
        <v>0</v>
      </c>
      <c r="AK130" s="72">
        <f t="array" ref="AK130">INDEX($C$4:$J$16,MATCH($Y130&amp;$Z130,$A$4:$A$16&amp;$B$4:$B$16,0),MATCH(AC$1,$C$2:$J$2,0))</f>
        <v>48</v>
      </c>
      <c r="AL130" s="72">
        <f t="array" ref="AL130">INDEX($C$4:$J$16,MATCH($Y130&amp;$Z130,$A$4:$A$16&amp;$B$4:$B$16,0),MATCH(AD$1,$C$2:$J$2,0))</f>
        <v>0</v>
      </c>
      <c r="AM130" s="72">
        <f t="array" ref="AM130">INDEX($C$4:$J$16,MATCH($Y130&amp;$Z130,$A$4:$A$16&amp;$B$4:$B$16,0),MATCH(AE$1,$C$2:$J$2,0))</f>
        <v>28</v>
      </c>
      <c r="AN130" s="72">
        <f t="array" ref="AN130">INDEX($C$4:$J$16,MATCH($Y130&amp;$Z130,$A$4:$A$16&amp;$B$4:$B$16,0),MATCH(AF$1,$C$2:$J$2,0))</f>
        <v>28</v>
      </c>
      <c r="AO130" s="72">
        <f t="array" ref="AO130">INDEX($C$4:$J$16,MATCH($Y130&amp;$Z130,$A$4:$A$16&amp;$B$4:$B$16,0),MATCH(AG$1,$C$2:$J$2,0))</f>
        <v>5</v>
      </c>
      <c r="AP130" s="72">
        <f t="array" ref="AP130">INDEX($C$4:$J$16,MATCH($Y130&amp;$Z130,$A$4:$A$16&amp;$B$4:$B$16,0),MATCH(AH$1,$C$2:$J$2,0))</f>
        <v>0</v>
      </c>
      <c r="AQ130" s="72">
        <f t="array" ref="AQ130">INDEX($K$2:$K$16,MATCH(Y130&amp;Z130,$A$2:$A$16&amp;$B$2:$B$16,0))</f>
        <v>900000</v>
      </c>
      <c r="AR130" s="42" t="str">
        <f t="array" ref="AR130">_xlfn.TEXTJOIN(";",1,IF($AA130:$AH130&lt;&gt;"","1001,"&amp;$AA130:$AH130&amp;","&amp;$AI130:$AP130,""))&amp;IF(AQ130=0,"",";"&amp;"5,0,"&amp;AQ130)</f>
        <v>1001,214009,48;1001,215009,28;1001,215111,28;1001,216111,5;5,0,900000</v>
      </c>
      <c r="AS130" s="42">
        <f t="array" ref="AS130">INDEX($A$19:$F$33,MATCH($Y130&amp;$Z130,$A$19:$A$33&amp;$B$19:$B$33,0),MATCH(AS$1,$A$19:$F$19,0))</f>
        <v>1296</v>
      </c>
      <c r="AT130" s="42">
        <f t="array" ref="AT130">INDEX($A$19:$F$33,MATCH($Y130&amp;$Z130,$A$19:$A$33&amp;$B$19:$B$33,0),MATCH(AT$1,$A$19:$F$19,0))</f>
        <v>518.4</v>
      </c>
      <c r="AU130" s="42">
        <f t="array" ref="AU130">INDEX($A$19:$F$33,MATCH($Y130&amp;$Z130,$A$19:$A$33&amp;$B$19:$B$33,0),MATCH(AU$1,$A$19:$F$19,0))</f>
        <v>10368</v>
      </c>
      <c r="AV130" s="42">
        <f t="array" ref="AV130">INDEX($A$19:$F$33,MATCH($Y130&amp;$Z130,$A$19:$A$33&amp;$B$19:$B$33,0),MATCH(AV$1,$A$19:$F$19,0))</f>
        <v>120</v>
      </c>
    </row>
    <row r="131" spans="24:48">
      <c r="X131" s="66">
        <v>113056</v>
      </c>
      <c r="Y131">
        <f>INDEX(M:M,MATCH(X131,N:N,0))</f>
        <v>3</v>
      </c>
      <c r="Z131">
        <v>6</v>
      </c>
      <c r="AA131" s="72" t="str">
        <f t="shared" ref="AA131:AH131" si="129">IF(AI131=0,"",INDEX($N$1:$V$76,MATCH($X131,$N$1:$N$76,0),MATCH(AA$1,$N$1:$V$1,0)))</f>
        <v/>
      </c>
      <c r="AB131" s="72" t="str">
        <f t="shared" si="129"/>
        <v/>
      </c>
      <c r="AC131" s="72">
        <f t="shared" si="129"/>
        <v>214112</v>
      </c>
      <c r="AD131" s="72" t="str">
        <f t="shared" si="129"/>
        <v/>
      </c>
      <c r="AE131" s="72">
        <f t="shared" si="129"/>
        <v>215112</v>
      </c>
      <c r="AF131" s="72">
        <f t="shared" si="129"/>
        <v>215009</v>
      </c>
      <c r="AG131" s="72">
        <f t="shared" si="129"/>
        <v>216111</v>
      </c>
      <c r="AH131" s="72" t="str">
        <f t="shared" si="129"/>
        <v/>
      </c>
      <c r="AI131" s="72">
        <f t="array" ref="AI131">INDEX($C$4:$J$16,MATCH($Y131&amp;$Z131,$A$4:$A$16&amp;$B$4:$B$16,0),MATCH(AA$1,$C$2:$J$2,0))</f>
        <v>0</v>
      </c>
      <c r="AJ131" s="72">
        <f t="array" ref="AJ131">INDEX($C$4:$J$16,MATCH($Y131&amp;$Z131,$A$4:$A$16&amp;$B$4:$B$16,0),MATCH(AB$1,$C$2:$J$2,0))</f>
        <v>0</v>
      </c>
      <c r="AK131" s="72">
        <f t="array" ref="AK131">INDEX($C$4:$J$16,MATCH($Y131&amp;$Z131,$A$4:$A$16&amp;$B$4:$B$16,0),MATCH(AC$1,$C$2:$J$2,0))</f>
        <v>48</v>
      </c>
      <c r="AL131" s="72">
        <f t="array" ref="AL131">INDEX($C$4:$J$16,MATCH($Y131&amp;$Z131,$A$4:$A$16&amp;$B$4:$B$16,0),MATCH(AD$1,$C$2:$J$2,0))</f>
        <v>0</v>
      </c>
      <c r="AM131" s="72">
        <f t="array" ref="AM131">INDEX($C$4:$J$16,MATCH($Y131&amp;$Z131,$A$4:$A$16&amp;$B$4:$B$16,0),MATCH(AE$1,$C$2:$J$2,0))</f>
        <v>28</v>
      </c>
      <c r="AN131" s="72">
        <f t="array" ref="AN131">INDEX($C$4:$J$16,MATCH($Y131&amp;$Z131,$A$4:$A$16&amp;$B$4:$B$16,0),MATCH(AF$1,$C$2:$J$2,0))</f>
        <v>28</v>
      </c>
      <c r="AO131" s="72">
        <f t="array" ref="AO131">INDEX($C$4:$J$16,MATCH($Y131&amp;$Z131,$A$4:$A$16&amp;$B$4:$B$16,0),MATCH(AG$1,$C$2:$J$2,0))</f>
        <v>5</v>
      </c>
      <c r="AP131" s="72">
        <f t="array" ref="AP131">INDEX($C$4:$J$16,MATCH($Y131&amp;$Z131,$A$4:$A$16&amp;$B$4:$B$16,0),MATCH(AH$1,$C$2:$J$2,0))</f>
        <v>0</v>
      </c>
      <c r="AQ131" s="72">
        <f t="array" ref="AQ131">INDEX($K$2:$K$16,MATCH(Y131&amp;Z131,$A$2:$A$16&amp;$B$2:$B$16,0))</f>
        <v>900000</v>
      </c>
      <c r="AR131" s="42" t="str">
        <f t="array" ref="AR131">_xlfn.TEXTJOIN(";",1,IF($AA131:$AH131&lt;&gt;"","1001,"&amp;$AA131:$AH131&amp;","&amp;$AI131:$AP131,""))&amp;IF(AQ131=0,"",";"&amp;"5,0,"&amp;AQ131)</f>
        <v>1001,214112,48;1001,215112,28;1001,215009,28;1001,216111,5;5,0,900000</v>
      </c>
      <c r="AS131" s="42">
        <f t="array" ref="AS131">INDEX($A$19:$F$33,MATCH($Y131&amp;$Z131,$A$19:$A$33&amp;$B$19:$B$33,0),MATCH(AS$1,$A$19:$F$19,0))</f>
        <v>1296</v>
      </c>
      <c r="AT131" s="42">
        <f t="array" ref="AT131">INDEX($A$19:$F$33,MATCH($Y131&amp;$Z131,$A$19:$A$33&amp;$B$19:$B$33,0),MATCH(AT$1,$A$19:$F$19,0))</f>
        <v>518.4</v>
      </c>
      <c r="AU131" s="42">
        <f t="array" ref="AU131">INDEX($A$19:$F$33,MATCH($Y131&amp;$Z131,$A$19:$A$33&amp;$B$19:$B$33,0),MATCH(AU$1,$A$19:$F$19,0))</f>
        <v>10368</v>
      </c>
      <c r="AV131" s="42">
        <f t="array" ref="AV131">INDEX($A$19:$F$33,MATCH($Y131&amp;$Z131,$A$19:$A$33&amp;$B$19:$B$33,0),MATCH(AV$1,$A$19:$F$19,0))</f>
        <v>120</v>
      </c>
    </row>
    <row r="132" spans="24:48">
      <c r="X132" s="67">
        <v>113058</v>
      </c>
      <c r="Y132">
        <f>INDEX(M:M,MATCH(X132,N:N,0))</f>
        <v>3</v>
      </c>
      <c r="Z132">
        <v>6</v>
      </c>
      <c r="AA132" s="72" t="str">
        <f t="shared" ref="AA132:AH132" si="130">IF(AI132=0,"",INDEX($N$1:$V$76,MATCH($X132,$N$1:$N$76,0),MATCH(AA$1,$N$1:$V$1,0)))</f>
        <v/>
      </c>
      <c r="AB132" s="72" t="str">
        <f t="shared" si="130"/>
        <v/>
      </c>
      <c r="AC132" s="72">
        <f t="shared" si="130"/>
        <v>214113</v>
      </c>
      <c r="AD132" s="72" t="str">
        <f t="shared" si="130"/>
        <v/>
      </c>
      <c r="AE132" s="72">
        <f t="shared" si="130"/>
        <v>215113</v>
      </c>
      <c r="AF132" s="72">
        <f t="shared" si="130"/>
        <v>215112</v>
      </c>
      <c r="AG132" s="72">
        <f t="shared" si="130"/>
        <v>216111</v>
      </c>
      <c r="AH132" s="72" t="str">
        <f t="shared" si="130"/>
        <v/>
      </c>
      <c r="AI132" s="72">
        <f t="array" ref="AI132">INDEX($C$4:$J$16,MATCH($Y132&amp;$Z132,$A$4:$A$16&amp;$B$4:$B$16,0),MATCH(AA$1,$C$2:$J$2,0))</f>
        <v>0</v>
      </c>
      <c r="AJ132" s="72">
        <f t="array" ref="AJ132">INDEX($C$4:$J$16,MATCH($Y132&amp;$Z132,$A$4:$A$16&amp;$B$4:$B$16,0),MATCH(AB$1,$C$2:$J$2,0))</f>
        <v>0</v>
      </c>
      <c r="AK132" s="72">
        <f t="array" ref="AK132">INDEX($C$4:$J$16,MATCH($Y132&amp;$Z132,$A$4:$A$16&amp;$B$4:$B$16,0),MATCH(AC$1,$C$2:$J$2,0))</f>
        <v>48</v>
      </c>
      <c r="AL132" s="72">
        <f t="array" ref="AL132">INDEX($C$4:$J$16,MATCH($Y132&amp;$Z132,$A$4:$A$16&amp;$B$4:$B$16,0),MATCH(AD$1,$C$2:$J$2,0))</f>
        <v>0</v>
      </c>
      <c r="AM132" s="72">
        <f t="array" ref="AM132">INDEX($C$4:$J$16,MATCH($Y132&amp;$Z132,$A$4:$A$16&amp;$B$4:$B$16,0),MATCH(AE$1,$C$2:$J$2,0))</f>
        <v>28</v>
      </c>
      <c r="AN132" s="72">
        <f t="array" ref="AN132">INDEX($C$4:$J$16,MATCH($Y132&amp;$Z132,$A$4:$A$16&amp;$B$4:$B$16,0),MATCH(AF$1,$C$2:$J$2,0))</f>
        <v>28</v>
      </c>
      <c r="AO132" s="72">
        <f t="array" ref="AO132">INDEX($C$4:$J$16,MATCH($Y132&amp;$Z132,$A$4:$A$16&amp;$B$4:$B$16,0),MATCH(AG$1,$C$2:$J$2,0))</f>
        <v>5</v>
      </c>
      <c r="AP132" s="72">
        <f t="array" ref="AP132">INDEX($C$4:$J$16,MATCH($Y132&amp;$Z132,$A$4:$A$16&amp;$B$4:$B$16,0),MATCH(AH$1,$C$2:$J$2,0))</f>
        <v>0</v>
      </c>
      <c r="AQ132" s="72">
        <f t="array" ref="AQ132">INDEX($K$2:$K$16,MATCH(Y132&amp;Z132,$A$2:$A$16&amp;$B$2:$B$16,0))</f>
        <v>900000</v>
      </c>
      <c r="AR132" s="42" t="str">
        <f t="array" ref="AR132">_xlfn.TEXTJOIN(";",1,IF($AA132:$AH132&lt;&gt;"","1001,"&amp;$AA132:$AH132&amp;","&amp;$AI132:$AP132,""))&amp;IF(AQ132=0,"",";"&amp;"5,0,"&amp;AQ132)</f>
        <v>1001,214113,48;1001,215113,28;1001,215112,28;1001,216111,5;5,0,900000</v>
      </c>
      <c r="AS132" s="42">
        <f t="array" ref="AS132">INDEX($A$19:$F$33,MATCH($Y132&amp;$Z132,$A$19:$A$33&amp;$B$19:$B$33,0),MATCH(AS$1,$A$19:$F$19,0))</f>
        <v>1296</v>
      </c>
      <c r="AT132" s="42">
        <f t="array" ref="AT132">INDEX($A$19:$F$33,MATCH($Y132&amp;$Z132,$A$19:$A$33&amp;$B$19:$B$33,0),MATCH(AT$1,$A$19:$F$19,0))</f>
        <v>518.4</v>
      </c>
      <c r="AU132" s="42">
        <f t="array" ref="AU132">INDEX($A$19:$F$33,MATCH($Y132&amp;$Z132,$A$19:$A$33&amp;$B$19:$B$33,0),MATCH(AU$1,$A$19:$F$19,0))</f>
        <v>10368</v>
      </c>
      <c r="AV132" s="42">
        <f t="array" ref="AV132">INDEX($A$19:$F$33,MATCH($Y132&amp;$Z132,$A$19:$A$33&amp;$B$19:$B$33,0),MATCH(AV$1,$A$19:$F$19,0))</f>
        <v>120</v>
      </c>
    </row>
    <row r="133" spans="24:48">
      <c r="X133" s="68">
        <v>113057</v>
      </c>
      <c r="Y133">
        <f>INDEX(M:M,MATCH(X133,N:N,0))</f>
        <v>3</v>
      </c>
      <c r="Z133">
        <v>6</v>
      </c>
      <c r="AA133" s="72" t="str">
        <f t="shared" ref="AA133:AH133" si="131">IF(AI133=0,"",INDEX($N$1:$V$76,MATCH($X133,$N$1:$N$76,0),MATCH(AA$1,$N$1:$V$1,0)))</f>
        <v/>
      </c>
      <c r="AB133" s="72" t="str">
        <f t="shared" si="131"/>
        <v/>
      </c>
      <c r="AC133" s="72">
        <f t="shared" si="131"/>
        <v>214114</v>
      </c>
      <c r="AD133" s="72" t="str">
        <f t="shared" si="131"/>
        <v/>
      </c>
      <c r="AE133" s="72">
        <f t="shared" si="131"/>
        <v>215114</v>
      </c>
      <c r="AF133" s="72">
        <f t="shared" si="131"/>
        <v>215113</v>
      </c>
      <c r="AG133" s="72">
        <f t="shared" si="131"/>
        <v>216111</v>
      </c>
      <c r="AH133" s="72" t="str">
        <f t="shared" si="131"/>
        <v/>
      </c>
      <c r="AI133" s="72">
        <f t="array" ref="AI133">INDEX($C$4:$J$16,MATCH($Y133&amp;$Z133,$A$4:$A$16&amp;$B$4:$B$16,0),MATCH(AA$1,$C$2:$J$2,0))</f>
        <v>0</v>
      </c>
      <c r="AJ133" s="72">
        <f t="array" ref="AJ133">INDEX($C$4:$J$16,MATCH($Y133&amp;$Z133,$A$4:$A$16&amp;$B$4:$B$16,0),MATCH(AB$1,$C$2:$J$2,0))</f>
        <v>0</v>
      </c>
      <c r="AK133" s="72">
        <f t="array" ref="AK133">INDEX($C$4:$J$16,MATCH($Y133&amp;$Z133,$A$4:$A$16&amp;$B$4:$B$16,0),MATCH(AC$1,$C$2:$J$2,0))</f>
        <v>48</v>
      </c>
      <c r="AL133" s="72">
        <f t="array" ref="AL133">INDEX($C$4:$J$16,MATCH($Y133&amp;$Z133,$A$4:$A$16&amp;$B$4:$B$16,0),MATCH(AD$1,$C$2:$J$2,0))</f>
        <v>0</v>
      </c>
      <c r="AM133" s="72">
        <f t="array" ref="AM133">INDEX($C$4:$J$16,MATCH($Y133&amp;$Z133,$A$4:$A$16&amp;$B$4:$B$16,0),MATCH(AE$1,$C$2:$J$2,0))</f>
        <v>28</v>
      </c>
      <c r="AN133" s="72">
        <f t="array" ref="AN133">INDEX($C$4:$J$16,MATCH($Y133&amp;$Z133,$A$4:$A$16&amp;$B$4:$B$16,0),MATCH(AF$1,$C$2:$J$2,0))</f>
        <v>28</v>
      </c>
      <c r="AO133" s="72">
        <f t="array" ref="AO133">INDEX($C$4:$J$16,MATCH($Y133&amp;$Z133,$A$4:$A$16&amp;$B$4:$B$16,0),MATCH(AG$1,$C$2:$J$2,0))</f>
        <v>5</v>
      </c>
      <c r="AP133" s="72">
        <f t="array" ref="AP133">INDEX($C$4:$J$16,MATCH($Y133&amp;$Z133,$A$4:$A$16&amp;$B$4:$B$16,0),MATCH(AH$1,$C$2:$J$2,0))</f>
        <v>0</v>
      </c>
      <c r="AQ133" s="72">
        <f t="array" ref="AQ133">INDEX($K$2:$K$16,MATCH(Y133&amp;Z133,$A$2:$A$16&amp;$B$2:$B$16,0))</f>
        <v>900000</v>
      </c>
      <c r="AR133" s="42" t="str">
        <f t="array" ref="AR133">_xlfn.TEXTJOIN(";",1,IF($AA133:$AH133&lt;&gt;"","1001,"&amp;$AA133:$AH133&amp;","&amp;$AI133:$AP133,""))&amp;IF(AQ133=0,"",";"&amp;"5,0,"&amp;AQ133)</f>
        <v>1001,214114,48;1001,215114,28;1001,215113,28;1001,216111,5;5,0,900000</v>
      </c>
      <c r="AS133" s="42">
        <f t="array" ref="AS133">INDEX($A$19:$F$33,MATCH($Y133&amp;$Z133,$A$19:$A$33&amp;$B$19:$B$33,0),MATCH(AS$1,$A$19:$F$19,0))</f>
        <v>1296</v>
      </c>
      <c r="AT133" s="42">
        <f t="array" ref="AT133">INDEX($A$19:$F$33,MATCH($Y133&amp;$Z133,$A$19:$A$33&amp;$B$19:$B$33,0),MATCH(AT$1,$A$19:$F$19,0))</f>
        <v>518.4</v>
      </c>
      <c r="AU133" s="42">
        <f t="array" ref="AU133">INDEX($A$19:$F$33,MATCH($Y133&amp;$Z133,$A$19:$A$33&amp;$B$19:$B$33,0),MATCH(AU$1,$A$19:$F$19,0))</f>
        <v>10368</v>
      </c>
      <c r="AV133" s="42">
        <f t="array" ref="AV133">INDEX($A$19:$F$33,MATCH($Y133&amp;$Z133,$A$19:$A$33&amp;$B$19:$B$33,0),MATCH(AV$1,$A$19:$F$19,0))</f>
        <v>120</v>
      </c>
    </row>
    <row r="134" spans="24:48">
      <c r="X134" s="59">
        <v>113059</v>
      </c>
      <c r="Y134">
        <f>INDEX(M:M,MATCH(X134,N:N,0))</f>
        <v>3</v>
      </c>
      <c r="Z134">
        <v>6</v>
      </c>
      <c r="AA134" s="72" t="str">
        <f t="shared" ref="AA134:AH134" si="132">IF(AI134=0,"",INDEX($N$1:$V$76,MATCH($X134,$N$1:$N$76,0),MATCH(AA$1,$N$1:$V$1,0)))</f>
        <v/>
      </c>
      <c r="AB134" s="72" t="str">
        <f t="shared" si="132"/>
        <v/>
      </c>
      <c r="AC134" s="72">
        <f t="shared" si="132"/>
        <v>214111</v>
      </c>
      <c r="AD134" s="72" t="str">
        <f t="shared" si="132"/>
        <v/>
      </c>
      <c r="AE134" s="72">
        <f t="shared" si="132"/>
        <v>215111</v>
      </c>
      <c r="AF134" s="72">
        <f t="shared" si="132"/>
        <v>215114</v>
      </c>
      <c r="AG134" s="72">
        <f t="shared" si="132"/>
        <v>216111</v>
      </c>
      <c r="AH134" s="72" t="str">
        <f t="shared" si="132"/>
        <v/>
      </c>
      <c r="AI134" s="72">
        <f t="array" ref="AI134">INDEX($C$4:$J$16,MATCH($Y134&amp;$Z134,$A$4:$A$16&amp;$B$4:$B$16,0),MATCH(AA$1,$C$2:$J$2,0))</f>
        <v>0</v>
      </c>
      <c r="AJ134" s="72">
        <f t="array" ref="AJ134">INDEX($C$4:$J$16,MATCH($Y134&amp;$Z134,$A$4:$A$16&amp;$B$4:$B$16,0),MATCH(AB$1,$C$2:$J$2,0))</f>
        <v>0</v>
      </c>
      <c r="AK134" s="72">
        <f t="array" ref="AK134">INDEX($C$4:$J$16,MATCH($Y134&amp;$Z134,$A$4:$A$16&amp;$B$4:$B$16,0),MATCH(AC$1,$C$2:$J$2,0))</f>
        <v>48</v>
      </c>
      <c r="AL134" s="72">
        <f t="array" ref="AL134">INDEX($C$4:$J$16,MATCH($Y134&amp;$Z134,$A$4:$A$16&amp;$B$4:$B$16,0),MATCH(AD$1,$C$2:$J$2,0))</f>
        <v>0</v>
      </c>
      <c r="AM134" s="72">
        <f t="array" ref="AM134">INDEX($C$4:$J$16,MATCH($Y134&amp;$Z134,$A$4:$A$16&amp;$B$4:$B$16,0),MATCH(AE$1,$C$2:$J$2,0))</f>
        <v>28</v>
      </c>
      <c r="AN134" s="72">
        <f t="array" ref="AN134">INDEX($C$4:$J$16,MATCH($Y134&amp;$Z134,$A$4:$A$16&amp;$B$4:$B$16,0),MATCH(AF$1,$C$2:$J$2,0))</f>
        <v>28</v>
      </c>
      <c r="AO134" s="72">
        <f t="array" ref="AO134">INDEX($C$4:$J$16,MATCH($Y134&amp;$Z134,$A$4:$A$16&amp;$B$4:$B$16,0),MATCH(AG$1,$C$2:$J$2,0))</f>
        <v>5</v>
      </c>
      <c r="AP134" s="72">
        <f t="array" ref="AP134">INDEX($C$4:$J$16,MATCH($Y134&amp;$Z134,$A$4:$A$16&amp;$B$4:$B$16,0),MATCH(AH$1,$C$2:$J$2,0))</f>
        <v>0</v>
      </c>
      <c r="AQ134" s="72">
        <f t="array" ref="AQ134">INDEX($K$2:$K$16,MATCH(Y134&amp;Z134,$A$2:$A$16&amp;$B$2:$B$16,0))</f>
        <v>900000</v>
      </c>
      <c r="AR134" s="42" t="str">
        <f t="array" ref="AR134">_xlfn.TEXTJOIN(";",1,IF($AA134:$AH134&lt;&gt;"","1001,"&amp;$AA134:$AH134&amp;","&amp;$AI134:$AP134,""))&amp;IF(AQ134=0,"",";"&amp;"5,0,"&amp;AQ134)</f>
        <v>1001,214111,48;1001,215111,28;1001,215114,28;1001,216111,5;5,0,900000</v>
      </c>
      <c r="AS134" s="42">
        <f t="array" ref="AS134">INDEX($A$19:$F$33,MATCH($Y134&amp;$Z134,$A$19:$A$33&amp;$B$19:$B$33,0),MATCH(AS$1,$A$19:$F$19,0))</f>
        <v>1296</v>
      </c>
      <c r="AT134" s="42">
        <f t="array" ref="AT134">INDEX($A$19:$F$33,MATCH($Y134&amp;$Z134,$A$19:$A$33&amp;$B$19:$B$33,0),MATCH(AT$1,$A$19:$F$19,0))</f>
        <v>518.4</v>
      </c>
      <c r="AU134" s="42">
        <f t="array" ref="AU134">INDEX($A$19:$F$33,MATCH($Y134&amp;$Z134,$A$19:$A$33&amp;$B$19:$B$33,0),MATCH(AU$1,$A$19:$F$19,0))</f>
        <v>10368</v>
      </c>
      <c r="AV134" s="42">
        <f t="array" ref="AV134">INDEX($A$19:$F$33,MATCH($Y134&amp;$Z134,$A$19:$A$33&amp;$B$19:$B$33,0),MATCH(AV$1,$A$19:$F$19,0))</f>
        <v>120</v>
      </c>
    </row>
    <row r="135" spans="24:48">
      <c r="X135" s="65">
        <v>113060</v>
      </c>
      <c r="Y135">
        <f>INDEX(M:M,MATCH(X135,N:N,0))</f>
        <v>3</v>
      </c>
      <c r="Z135">
        <v>6</v>
      </c>
      <c r="AA135" s="72" t="str">
        <f t="shared" ref="AA135:AH135" si="133">IF(AI135=0,"",INDEX($N$1:$V$76,MATCH($X135,$N$1:$N$76,0),MATCH(AA$1,$N$1:$V$1,0)))</f>
        <v/>
      </c>
      <c r="AB135" s="72" t="str">
        <f t="shared" si="133"/>
        <v/>
      </c>
      <c r="AC135" s="72">
        <f t="shared" si="133"/>
        <v>214009</v>
      </c>
      <c r="AD135" s="72" t="str">
        <f t="shared" si="133"/>
        <v/>
      </c>
      <c r="AE135" s="72">
        <f t="shared" si="133"/>
        <v>215009</v>
      </c>
      <c r="AF135" s="72">
        <f t="shared" si="133"/>
        <v>215111</v>
      </c>
      <c r="AG135" s="72">
        <f t="shared" si="133"/>
        <v>216111</v>
      </c>
      <c r="AH135" s="72" t="str">
        <f t="shared" si="133"/>
        <v/>
      </c>
      <c r="AI135" s="72">
        <f t="array" ref="AI135">INDEX($C$4:$J$16,MATCH($Y135&amp;$Z135,$A$4:$A$16&amp;$B$4:$B$16,0),MATCH(AA$1,$C$2:$J$2,0))</f>
        <v>0</v>
      </c>
      <c r="AJ135" s="72">
        <f t="array" ref="AJ135">INDEX($C$4:$J$16,MATCH($Y135&amp;$Z135,$A$4:$A$16&amp;$B$4:$B$16,0),MATCH(AB$1,$C$2:$J$2,0))</f>
        <v>0</v>
      </c>
      <c r="AK135" s="72">
        <f t="array" ref="AK135">INDEX($C$4:$J$16,MATCH($Y135&amp;$Z135,$A$4:$A$16&amp;$B$4:$B$16,0),MATCH(AC$1,$C$2:$J$2,0))</f>
        <v>48</v>
      </c>
      <c r="AL135" s="72">
        <f t="array" ref="AL135">INDEX($C$4:$J$16,MATCH($Y135&amp;$Z135,$A$4:$A$16&amp;$B$4:$B$16,0),MATCH(AD$1,$C$2:$J$2,0))</f>
        <v>0</v>
      </c>
      <c r="AM135" s="72">
        <f t="array" ref="AM135">INDEX($C$4:$J$16,MATCH($Y135&amp;$Z135,$A$4:$A$16&amp;$B$4:$B$16,0),MATCH(AE$1,$C$2:$J$2,0))</f>
        <v>28</v>
      </c>
      <c r="AN135" s="72">
        <f t="array" ref="AN135">INDEX($C$4:$J$16,MATCH($Y135&amp;$Z135,$A$4:$A$16&amp;$B$4:$B$16,0),MATCH(AF$1,$C$2:$J$2,0))</f>
        <v>28</v>
      </c>
      <c r="AO135" s="72">
        <f t="array" ref="AO135">INDEX($C$4:$J$16,MATCH($Y135&amp;$Z135,$A$4:$A$16&amp;$B$4:$B$16,0),MATCH(AG$1,$C$2:$J$2,0))</f>
        <v>5</v>
      </c>
      <c r="AP135" s="72">
        <f t="array" ref="AP135">INDEX($C$4:$J$16,MATCH($Y135&amp;$Z135,$A$4:$A$16&amp;$B$4:$B$16,0),MATCH(AH$1,$C$2:$J$2,0))</f>
        <v>0</v>
      </c>
      <c r="AQ135" s="72">
        <f t="array" ref="AQ135">INDEX($K$2:$K$16,MATCH(Y135&amp;Z135,$A$2:$A$16&amp;$B$2:$B$16,0))</f>
        <v>900000</v>
      </c>
      <c r="AR135" s="42" t="str">
        <f t="array" ref="AR135">_xlfn.TEXTJOIN(";",1,IF($AA135:$AH135&lt;&gt;"","1001,"&amp;$AA135:$AH135&amp;","&amp;$AI135:$AP135,""))&amp;IF(AQ135=0,"",";"&amp;"5,0,"&amp;AQ135)</f>
        <v>1001,214009,48;1001,215009,28;1001,215111,28;1001,216111,5;5,0,900000</v>
      </c>
      <c r="AS135" s="42">
        <f t="array" ref="AS135">INDEX($A$19:$F$33,MATCH($Y135&amp;$Z135,$A$19:$A$33&amp;$B$19:$B$33,0),MATCH(AS$1,$A$19:$F$19,0))</f>
        <v>1296</v>
      </c>
      <c r="AT135" s="42">
        <f t="array" ref="AT135">INDEX($A$19:$F$33,MATCH($Y135&amp;$Z135,$A$19:$A$33&amp;$B$19:$B$33,0),MATCH(AT$1,$A$19:$F$19,0))</f>
        <v>518.4</v>
      </c>
      <c r="AU135" s="42">
        <f t="array" ref="AU135">INDEX($A$19:$F$33,MATCH($Y135&amp;$Z135,$A$19:$A$33&amp;$B$19:$B$33,0),MATCH(AU$1,$A$19:$F$19,0))</f>
        <v>10368</v>
      </c>
      <c r="AV135" s="42">
        <f t="array" ref="AV135">INDEX($A$19:$F$33,MATCH($Y135&amp;$Z135,$A$19:$A$33&amp;$B$19:$B$33,0),MATCH(AV$1,$A$19:$F$19,0))</f>
        <v>120</v>
      </c>
    </row>
    <row r="136" spans="24:48">
      <c r="X136" s="69">
        <v>113061</v>
      </c>
      <c r="Y136">
        <f>INDEX(M:M,MATCH(X136,N:N,0))</f>
        <v>3</v>
      </c>
      <c r="Z136">
        <v>6</v>
      </c>
      <c r="AA136" s="72" t="str">
        <f t="shared" ref="AA136:AH136" si="134">IF(AI136=0,"",INDEX($N$1:$V$76,MATCH($X136,$N$1:$N$76,0),MATCH(AA$1,$N$1:$V$1,0)))</f>
        <v/>
      </c>
      <c r="AB136" s="72" t="str">
        <f t="shared" si="134"/>
        <v/>
      </c>
      <c r="AC136" s="72">
        <f t="shared" si="134"/>
        <v>214112</v>
      </c>
      <c r="AD136" s="72" t="str">
        <f t="shared" si="134"/>
        <v/>
      </c>
      <c r="AE136" s="72">
        <f t="shared" si="134"/>
        <v>215112</v>
      </c>
      <c r="AF136" s="72">
        <f t="shared" si="134"/>
        <v>215009</v>
      </c>
      <c r="AG136" s="72">
        <f t="shared" si="134"/>
        <v>216111</v>
      </c>
      <c r="AH136" s="72" t="str">
        <f t="shared" si="134"/>
        <v/>
      </c>
      <c r="AI136" s="72">
        <f t="array" ref="AI136">INDEX($C$4:$J$16,MATCH($Y136&amp;$Z136,$A$4:$A$16&amp;$B$4:$B$16,0),MATCH(AA$1,$C$2:$J$2,0))</f>
        <v>0</v>
      </c>
      <c r="AJ136" s="72">
        <f t="array" ref="AJ136">INDEX($C$4:$J$16,MATCH($Y136&amp;$Z136,$A$4:$A$16&amp;$B$4:$B$16,0),MATCH(AB$1,$C$2:$J$2,0))</f>
        <v>0</v>
      </c>
      <c r="AK136" s="72">
        <f t="array" ref="AK136">INDEX($C$4:$J$16,MATCH($Y136&amp;$Z136,$A$4:$A$16&amp;$B$4:$B$16,0),MATCH(AC$1,$C$2:$J$2,0))</f>
        <v>48</v>
      </c>
      <c r="AL136" s="72">
        <f t="array" ref="AL136">INDEX($C$4:$J$16,MATCH($Y136&amp;$Z136,$A$4:$A$16&amp;$B$4:$B$16,0),MATCH(AD$1,$C$2:$J$2,0))</f>
        <v>0</v>
      </c>
      <c r="AM136" s="72">
        <f t="array" ref="AM136">INDEX($C$4:$J$16,MATCH($Y136&amp;$Z136,$A$4:$A$16&amp;$B$4:$B$16,0),MATCH(AE$1,$C$2:$J$2,0))</f>
        <v>28</v>
      </c>
      <c r="AN136" s="72">
        <f t="array" ref="AN136">INDEX($C$4:$J$16,MATCH($Y136&amp;$Z136,$A$4:$A$16&amp;$B$4:$B$16,0),MATCH(AF$1,$C$2:$J$2,0))</f>
        <v>28</v>
      </c>
      <c r="AO136" s="72">
        <f t="array" ref="AO136">INDEX($C$4:$J$16,MATCH($Y136&amp;$Z136,$A$4:$A$16&amp;$B$4:$B$16,0),MATCH(AG$1,$C$2:$J$2,0))</f>
        <v>5</v>
      </c>
      <c r="AP136" s="72">
        <f t="array" ref="AP136">INDEX($C$4:$J$16,MATCH($Y136&amp;$Z136,$A$4:$A$16&amp;$B$4:$B$16,0),MATCH(AH$1,$C$2:$J$2,0))</f>
        <v>0</v>
      </c>
      <c r="AQ136" s="72">
        <f t="array" ref="AQ136">INDEX($K$2:$K$16,MATCH(Y136&amp;Z136,$A$2:$A$16&amp;$B$2:$B$16,0))</f>
        <v>900000</v>
      </c>
      <c r="AR136" s="42" t="str">
        <f t="array" ref="AR136">_xlfn.TEXTJOIN(";",1,IF($AA136:$AH136&lt;&gt;"","1001,"&amp;$AA136:$AH136&amp;","&amp;$AI136:$AP136,""))&amp;IF(AQ136=0,"",";"&amp;"5,0,"&amp;AQ136)</f>
        <v>1001,214112,48;1001,215112,28;1001,215009,28;1001,216111,5;5,0,900000</v>
      </c>
      <c r="AS136" s="42">
        <f t="array" ref="AS136">INDEX($A$19:$F$33,MATCH($Y136&amp;$Z136,$A$19:$A$33&amp;$B$19:$B$33,0),MATCH(AS$1,$A$19:$F$19,0))</f>
        <v>1296</v>
      </c>
      <c r="AT136" s="42">
        <f t="array" ref="AT136">INDEX($A$19:$F$33,MATCH($Y136&amp;$Z136,$A$19:$A$33&amp;$B$19:$B$33,0),MATCH(AT$1,$A$19:$F$19,0))</f>
        <v>518.4</v>
      </c>
      <c r="AU136" s="42">
        <f t="array" ref="AU136">INDEX($A$19:$F$33,MATCH($Y136&amp;$Z136,$A$19:$A$33&amp;$B$19:$B$33,0),MATCH(AU$1,$A$19:$F$19,0))</f>
        <v>10368</v>
      </c>
      <c r="AV136" s="42">
        <f t="array" ref="AV136">INDEX($A$19:$F$33,MATCH($Y136&amp;$Z136,$A$19:$A$33&amp;$B$19:$B$33,0),MATCH(AV$1,$A$19:$F$19,0))</f>
        <v>120</v>
      </c>
    </row>
    <row r="137" spans="24:48">
      <c r="X137" s="61">
        <v>113062</v>
      </c>
      <c r="Y137">
        <f>INDEX(M:M,MATCH(X137,N:N,0))</f>
        <v>3</v>
      </c>
      <c r="Z137">
        <v>6</v>
      </c>
      <c r="AA137" s="72" t="str">
        <f t="shared" ref="AA137:AH137" si="135">IF(AI137=0,"",INDEX($N$1:$V$76,MATCH($X137,$N$1:$N$76,0),MATCH(AA$1,$N$1:$V$1,0)))</f>
        <v/>
      </c>
      <c r="AB137" s="72" t="str">
        <f t="shared" si="135"/>
        <v/>
      </c>
      <c r="AC137" s="72">
        <f t="shared" si="135"/>
        <v>214113</v>
      </c>
      <c r="AD137" s="72" t="str">
        <f t="shared" si="135"/>
        <v/>
      </c>
      <c r="AE137" s="72">
        <f t="shared" si="135"/>
        <v>215113</v>
      </c>
      <c r="AF137" s="72">
        <f t="shared" si="135"/>
        <v>215112</v>
      </c>
      <c r="AG137" s="72">
        <f t="shared" si="135"/>
        <v>216111</v>
      </c>
      <c r="AH137" s="72" t="str">
        <f t="shared" si="135"/>
        <v/>
      </c>
      <c r="AI137" s="72">
        <f t="array" ref="AI137">INDEX($C$4:$J$16,MATCH($Y137&amp;$Z137,$A$4:$A$16&amp;$B$4:$B$16,0),MATCH(AA$1,$C$2:$J$2,0))</f>
        <v>0</v>
      </c>
      <c r="AJ137" s="72">
        <f t="array" ref="AJ137">INDEX($C$4:$J$16,MATCH($Y137&amp;$Z137,$A$4:$A$16&amp;$B$4:$B$16,0),MATCH(AB$1,$C$2:$J$2,0))</f>
        <v>0</v>
      </c>
      <c r="AK137" s="72">
        <f t="array" ref="AK137">INDEX($C$4:$J$16,MATCH($Y137&amp;$Z137,$A$4:$A$16&amp;$B$4:$B$16,0),MATCH(AC$1,$C$2:$J$2,0))</f>
        <v>48</v>
      </c>
      <c r="AL137" s="72">
        <f t="array" ref="AL137">INDEX($C$4:$J$16,MATCH($Y137&amp;$Z137,$A$4:$A$16&amp;$B$4:$B$16,0),MATCH(AD$1,$C$2:$J$2,0))</f>
        <v>0</v>
      </c>
      <c r="AM137" s="72">
        <f t="array" ref="AM137">INDEX($C$4:$J$16,MATCH($Y137&amp;$Z137,$A$4:$A$16&amp;$B$4:$B$16,0),MATCH(AE$1,$C$2:$J$2,0))</f>
        <v>28</v>
      </c>
      <c r="AN137" s="72">
        <f t="array" ref="AN137">INDEX($C$4:$J$16,MATCH($Y137&amp;$Z137,$A$4:$A$16&amp;$B$4:$B$16,0),MATCH(AF$1,$C$2:$J$2,0))</f>
        <v>28</v>
      </c>
      <c r="AO137" s="72">
        <f t="array" ref="AO137">INDEX($C$4:$J$16,MATCH($Y137&amp;$Z137,$A$4:$A$16&amp;$B$4:$B$16,0),MATCH(AG$1,$C$2:$J$2,0))</f>
        <v>5</v>
      </c>
      <c r="AP137" s="72">
        <f t="array" ref="AP137">INDEX($C$4:$J$16,MATCH($Y137&amp;$Z137,$A$4:$A$16&amp;$B$4:$B$16,0),MATCH(AH$1,$C$2:$J$2,0))</f>
        <v>0</v>
      </c>
      <c r="AQ137" s="72">
        <f t="array" ref="AQ137">INDEX($K$2:$K$16,MATCH(Y137&amp;Z137,$A$2:$A$16&amp;$B$2:$B$16,0))</f>
        <v>900000</v>
      </c>
      <c r="AR137" s="42" t="str">
        <f t="array" ref="AR137">_xlfn.TEXTJOIN(";",1,IF($AA137:$AH137&lt;&gt;"","1001,"&amp;$AA137:$AH137&amp;","&amp;$AI137:$AP137,""))&amp;IF(AQ137=0,"",";"&amp;"5,0,"&amp;AQ137)</f>
        <v>1001,214113,48;1001,215113,28;1001,215112,28;1001,216111,5;5,0,900000</v>
      </c>
      <c r="AS137" s="42">
        <f t="array" ref="AS137">INDEX($A$19:$F$33,MATCH($Y137&amp;$Z137,$A$19:$A$33&amp;$B$19:$B$33,0),MATCH(AS$1,$A$19:$F$19,0))</f>
        <v>1296</v>
      </c>
      <c r="AT137" s="42">
        <f t="array" ref="AT137">INDEX($A$19:$F$33,MATCH($Y137&amp;$Z137,$A$19:$A$33&amp;$B$19:$B$33,0),MATCH(AT$1,$A$19:$F$19,0))</f>
        <v>518.4</v>
      </c>
      <c r="AU137" s="42">
        <f t="array" ref="AU137">INDEX($A$19:$F$33,MATCH($Y137&amp;$Z137,$A$19:$A$33&amp;$B$19:$B$33,0),MATCH(AU$1,$A$19:$F$19,0))</f>
        <v>10368</v>
      </c>
      <c r="AV137" s="42">
        <f t="array" ref="AV137">INDEX($A$19:$F$33,MATCH($Y137&amp;$Z137,$A$19:$A$33&amp;$B$19:$B$33,0),MATCH(AV$1,$A$19:$F$19,0))</f>
        <v>120</v>
      </c>
    </row>
    <row r="138" spans="24:48">
      <c r="X138" s="70">
        <v>113063</v>
      </c>
      <c r="Y138">
        <f>INDEX(M:M,MATCH(X138,N:N,0))</f>
        <v>3</v>
      </c>
      <c r="Z138">
        <v>6</v>
      </c>
      <c r="AA138" s="72" t="str">
        <f t="shared" ref="AA138:AH138" si="136">IF(AI138=0,"",INDEX($N$1:$V$76,MATCH($X138,$N$1:$N$76,0),MATCH(AA$1,$N$1:$V$1,0)))</f>
        <v/>
      </c>
      <c r="AB138" s="72" t="str">
        <f t="shared" si="136"/>
        <v/>
      </c>
      <c r="AC138" s="72">
        <f t="shared" si="136"/>
        <v>214114</v>
      </c>
      <c r="AD138" s="72" t="str">
        <f t="shared" si="136"/>
        <v/>
      </c>
      <c r="AE138" s="72">
        <f t="shared" si="136"/>
        <v>215114</v>
      </c>
      <c r="AF138" s="72">
        <f t="shared" si="136"/>
        <v>215113</v>
      </c>
      <c r="AG138" s="72">
        <f t="shared" si="136"/>
        <v>216111</v>
      </c>
      <c r="AH138" s="72" t="str">
        <f t="shared" si="136"/>
        <v/>
      </c>
      <c r="AI138" s="72">
        <f t="array" ref="AI138">INDEX($C$4:$J$16,MATCH($Y138&amp;$Z138,$A$4:$A$16&amp;$B$4:$B$16,0),MATCH(AA$1,$C$2:$J$2,0))</f>
        <v>0</v>
      </c>
      <c r="AJ138" s="72">
        <f t="array" ref="AJ138">INDEX($C$4:$J$16,MATCH($Y138&amp;$Z138,$A$4:$A$16&amp;$B$4:$B$16,0),MATCH(AB$1,$C$2:$J$2,0))</f>
        <v>0</v>
      </c>
      <c r="AK138" s="72">
        <f t="array" ref="AK138">INDEX($C$4:$J$16,MATCH($Y138&amp;$Z138,$A$4:$A$16&amp;$B$4:$B$16,0),MATCH(AC$1,$C$2:$J$2,0))</f>
        <v>48</v>
      </c>
      <c r="AL138" s="72">
        <f t="array" ref="AL138">INDEX($C$4:$J$16,MATCH($Y138&amp;$Z138,$A$4:$A$16&amp;$B$4:$B$16,0),MATCH(AD$1,$C$2:$J$2,0))</f>
        <v>0</v>
      </c>
      <c r="AM138" s="72">
        <f t="array" ref="AM138">INDEX($C$4:$J$16,MATCH($Y138&amp;$Z138,$A$4:$A$16&amp;$B$4:$B$16,0),MATCH(AE$1,$C$2:$J$2,0))</f>
        <v>28</v>
      </c>
      <c r="AN138" s="72">
        <f t="array" ref="AN138">INDEX($C$4:$J$16,MATCH($Y138&amp;$Z138,$A$4:$A$16&amp;$B$4:$B$16,0),MATCH(AF$1,$C$2:$J$2,0))</f>
        <v>28</v>
      </c>
      <c r="AO138" s="72">
        <f t="array" ref="AO138">INDEX($C$4:$J$16,MATCH($Y138&amp;$Z138,$A$4:$A$16&amp;$B$4:$B$16,0),MATCH(AG$1,$C$2:$J$2,0))</f>
        <v>5</v>
      </c>
      <c r="AP138" s="72">
        <f t="array" ref="AP138">INDEX($C$4:$J$16,MATCH($Y138&amp;$Z138,$A$4:$A$16&amp;$B$4:$B$16,0),MATCH(AH$1,$C$2:$J$2,0))</f>
        <v>0</v>
      </c>
      <c r="AQ138" s="72">
        <f t="array" ref="AQ138">INDEX($K$2:$K$16,MATCH(Y138&amp;Z138,$A$2:$A$16&amp;$B$2:$B$16,0))</f>
        <v>900000</v>
      </c>
      <c r="AR138" s="42" t="str">
        <f t="array" ref="AR138">_xlfn.TEXTJOIN(";",1,IF($AA138:$AH138&lt;&gt;"","1001,"&amp;$AA138:$AH138&amp;","&amp;$AI138:$AP138,""))&amp;IF(AQ138=0,"",";"&amp;"5,0,"&amp;AQ138)</f>
        <v>1001,214114,48;1001,215114,28;1001,215113,28;1001,216111,5;5,0,900000</v>
      </c>
      <c r="AS138" s="42">
        <f t="array" ref="AS138">INDEX($A$19:$F$33,MATCH($Y138&amp;$Z138,$A$19:$A$33&amp;$B$19:$B$33,0),MATCH(AS$1,$A$19:$F$19,0))</f>
        <v>1296</v>
      </c>
      <c r="AT138" s="42">
        <f t="array" ref="AT138">INDEX($A$19:$F$33,MATCH($Y138&amp;$Z138,$A$19:$A$33&amp;$B$19:$B$33,0),MATCH(AT$1,$A$19:$F$19,0))</f>
        <v>518.4</v>
      </c>
      <c r="AU138" s="42">
        <f t="array" ref="AU138">INDEX($A$19:$F$33,MATCH($Y138&amp;$Z138,$A$19:$A$33&amp;$B$19:$B$33,0),MATCH(AU$1,$A$19:$F$19,0))</f>
        <v>10368</v>
      </c>
      <c r="AV138" s="42">
        <f t="array" ref="AV138">INDEX($A$19:$F$33,MATCH($Y138&amp;$Z138,$A$19:$A$33&amp;$B$19:$B$33,0),MATCH(AV$1,$A$19:$F$19,0))</f>
        <v>120</v>
      </c>
    </row>
    <row r="139" spans="24:48">
      <c r="X139" s="39">
        <v>113064</v>
      </c>
      <c r="Y139">
        <f>INDEX(M:M,MATCH(X139,N:N,0))</f>
        <v>3</v>
      </c>
      <c r="Z139">
        <v>6</v>
      </c>
      <c r="AA139" s="72" t="str">
        <f t="shared" ref="AA139:AH139" si="137">IF(AI139=0,"",INDEX($N$1:$V$76,MATCH($X139,$N$1:$N$76,0),MATCH(AA$1,$N$1:$V$1,0)))</f>
        <v/>
      </c>
      <c r="AB139" s="72" t="str">
        <f t="shared" si="137"/>
        <v/>
      </c>
      <c r="AC139" s="72">
        <f t="shared" si="137"/>
        <v>214111</v>
      </c>
      <c r="AD139" s="72" t="str">
        <f t="shared" si="137"/>
        <v/>
      </c>
      <c r="AE139" s="72">
        <f t="shared" si="137"/>
        <v>215111</v>
      </c>
      <c r="AF139" s="72">
        <f t="shared" si="137"/>
        <v>215114</v>
      </c>
      <c r="AG139" s="72">
        <f t="shared" si="137"/>
        <v>216111</v>
      </c>
      <c r="AH139" s="72" t="str">
        <f t="shared" si="137"/>
        <v/>
      </c>
      <c r="AI139" s="72">
        <f t="array" ref="AI139">INDEX($C$4:$J$16,MATCH($Y139&amp;$Z139,$A$4:$A$16&amp;$B$4:$B$16,0),MATCH(AA$1,$C$2:$J$2,0))</f>
        <v>0</v>
      </c>
      <c r="AJ139" s="72">
        <f t="array" ref="AJ139">INDEX($C$4:$J$16,MATCH($Y139&amp;$Z139,$A$4:$A$16&amp;$B$4:$B$16,0),MATCH(AB$1,$C$2:$J$2,0))</f>
        <v>0</v>
      </c>
      <c r="AK139" s="72">
        <f t="array" ref="AK139">INDEX($C$4:$J$16,MATCH($Y139&amp;$Z139,$A$4:$A$16&amp;$B$4:$B$16,0),MATCH(AC$1,$C$2:$J$2,0))</f>
        <v>48</v>
      </c>
      <c r="AL139" s="72">
        <f t="array" ref="AL139">INDEX($C$4:$J$16,MATCH($Y139&amp;$Z139,$A$4:$A$16&amp;$B$4:$B$16,0),MATCH(AD$1,$C$2:$J$2,0))</f>
        <v>0</v>
      </c>
      <c r="AM139" s="72">
        <f t="array" ref="AM139">INDEX($C$4:$J$16,MATCH($Y139&amp;$Z139,$A$4:$A$16&amp;$B$4:$B$16,0),MATCH(AE$1,$C$2:$J$2,0))</f>
        <v>28</v>
      </c>
      <c r="AN139" s="72">
        <f t="array" ref="AN139">INDEX($C$4:$J$16,MATCH($Y139&amp;$Z139,$A$4:$A$16&amp;$B$4:$B$16,0),MATCH(AF$1,$C$2:$J$2,0))</f>
        <v>28</v>
      </c>
      <c r="AO139" s="72">
        <f t="array" ref="AO139">INDEX($C$4:$J$16,MATCH($Y139&amp;$Z139,$A$4:$A$16&amp;$B$4:$B$16,0),MATCH(AG$1,$C$2:$J$2,0))</f>
        <v>5</v>
      </c>
      <c r="AP139" s="72">
        <f t="array" ref="AP139">INDEX($C$4:$J$16,MATCH($Y139&amp;$Z139,$A$4:$A$16&amp;$B$4:$B$16,0),MATCH(AH$1,$C$2:$J$2,0))</f>
        <v>0</v>
      </c>
      <c r="AQ139" s="72">
        <f t="array" ref="AQ139">INDEX($K$2:$K$16,MATCH(Y139&amp;Z139,$A$2:$A$16&amp;$B$2:$B$16,0))</f>
        <v>900000</v>
      </c>
      <c r="AR139" s="42" t="str">
        <f t="array" ref="AR139">_xlfn.TEXTJOIN(";",1,IF($AA139:$AH139&lt;&gt;"","1001,"&amp;$AA139:$AH139&amp;","&amp;$AI139:$AP139,""))&amp;IF(AQ139=0,"",";"&amp;"5,0,"&amp;AQ139)</f>
        <v>1001,214111,48;1001,215111,28;1001,215114,28;1001,216111,5;5,0,900000</v>
      </c>
      <c r="AS139" s="42">
        <f t="array" ref="AS139">INDEX($A$19:$F$33,MATCH($Y139&amp;$Z139,$A$19:$A$33&amp;$B$19:$B$33,0),MATCH(AS$1,$A$19:$F$19,0))</f>
        <v>1296</v>
      </c>
      <c r="AT139" s="42">
        <f t="array" ref="AT139">INDEX($A$19:$F$33,MATCH($Y139&amp;$Z139,$A$19:$A$33&amp;$B$19:$B$33,0),MATCH(AT$1,$A$19:$F$19,0))</f>
        <v>518.4</v>
      </c>
      <c r="AU139" s="42">
        <f t="array" ref="AU139">INDEX($A$19:$F$33,MATCH($Y139&amp;$Z139,$A$19:$A$33&amp;$B$19:$B$33,0),MATCH(AU$1,$A$19:$F$19,0))</f>
        <v>10368</v>
      </c>
      <c r="AV139" s="42">
        <f t="array" ref="AV139">INDEX($A$19:$F$33,MATCH($Y139&amp;$Z139,$A$19:$A$33&amp;$B$19:$B$33,0),MATCH(AV$1,$A$19:$F$19,0))</f>
        <v>120</v>
      </c>
    </row>
    <row r="140" spans="24:48">
      <c r="X140" s="44">
        <v>113065</v>
      </c>
      <c r="Y140">
        <f>INDEX(M:M,MATCH(X140,N:N,0))</f>
        <v>3</v>
      </c>
      <c r="Z140">
        <v>6</v>
      </c>
      <c r="AA140" s="72" t="str">
        <f t="shared" ref="AA140:AH140" si="138">IF(AI140=0,"",INDEX($N$1:$V$76,MATCH($X140,$N$1:$N$76,0),MATCH(AA$1,$N$1:$V$1,0)))</f>
        <v/>
      </c>
      <c r="AB140" s="72" t="str">
        <f t="shared" si="138"/>
        <v/>
      </c>
      <c r="AC140" s="72">
        <f t="shared" si="138"/>
        <v>214009</v>
      </c>
      <c r="AD140" s="72" t="str">
        <f t="shared" si="138"/>
        <v/>
      </c>
      <c r="AE140" s="72">
        <f t="shared" si="138"/>
        <v>215009</v>
      </c>
      <c r="AF140" s="72">
        <f t="shared" si="138"/>
        <v>215111</v>
      </c>
      <c r="AG140" s="72">
        <f t="shared" si="138"/>
        <v>216111</v>
      </c>
      <c r="AH140" s="72" t="str">
        <f t="shared" si="138"/>
        <v/>
      </c>
      <c r="AI140" s="72">
        <f t="array" ref="AI140">INDEX($C$4:$J$16,MATCH($Y140&amp;$Z140,$A$4:$A$16&amp;$B$4:$B$16,0),MATCH(AA$1,$C$2:$J$2,0))</f>
        <v>0</v>
      </c>
      <c r="AJ140" s="72">
        <f t="array" ref="AJ140">INDEX($C$4:$J$16,MATCH($Y140&amp;$Z140,$A$4:$A$16&amp;$B$4:$B$16,0),MATCH(AB$1,$C$2:$J$2,0))</f>
        <v>0</v>
      </c>
      <c r="AK140" s="72">
        <f t="array" ref="AK140">INDEX($C$4:$J$16,MATCH($Y140&amp;$Z140,$A$4:$A$16&amp;$B$4:$B$16,0),MATCH(AC$1,$C$2:$J$2,0))</f>
        <v>48</v>
      </c>
      <c r="AL140" s="72">
        <f t="array" ref="AL140">INDEX($C$4:$J$16,MATCH($Y140&amp;$Z140,$A$4:$A$16&amp;$B$4:$B$16,0),MATCH(AD$1,$C$2:$J$2,0))</f>
        <v>0</v>
      </c>
      <c r="AM140" s="72">
        <f t="array" ref="AM140">INDEX($C$4:$J$16,MATCH($Y140&amp;$Z140,$A$4:$A$16&amp;$B$4:$B$16,0),MATCH(AE$1,$C$2:$J$2,0))</f>
        <v>28</v>
      </c>
      <c r="AN140" s="72">
        <f t="array" ref="AN140">INDEX($C$4:$J$16,MATCH($Y140&amp;$Z140,$A$4:$A$16&amp;$B$4:$B$16,0),MATCH(AF$1,$C$2:$J$2,0))</f>
        <v>28</v>
      </c>
      <c r="AO140" s="72">
        <f t="array" ref="AO140">INDEX($C$4:$J$16,MATCH($Y140&amp;$Z140,$A$4:$A$16&amp;$B$4:$B$16,0),MATCH(AG$1,$C$2:$J$2,0))</f>
        <v>5</v>
      </c>
      <c r="AP140" s="72">
        <f t="array" ref="AP140">INDEX($C$4:$J$16,MATCH($Y140&amp;$Z140,$A$4:$A$16&amp;$B$4:$B$16,0),MATCH(AH$1,$C$2:$J$2,0))</f>
        <v>0</v>
      </c>
      <c r="AQ140" s="72">
        <f t="array" ref="AQ140">INDEX($K$2:$K$16,MATCH(Y140&amp;Z140,$A$2:$A$16&amp;$B$2:$B$16,0))</f>
        <v>900000</v>
      </c>
      <c r="AR140" s="42" t="str">
        <f t="array" ref="AR140">_xlfn.TEXTJOIN(";",1,IF($AA140:$AH140&lt;&gt;"","1001,"&amp;$AA140:$AH140&amp;","&amp;$AI140:$AP140,""))&amp;IF(AQ140=0,"",";"&amp;"5,0,"&amp;AQ140)</f>
        <v>1001,214009,48;1001,215009,28;1001,215111,28;1001,216111,5;5,0,900000</v>
      </c>
      <c r="AS140" s="42">
        <f t="array" ref="AS140">INDEX($A$19:$F$33,MATCH($Y140&amp;$Z140,$A$19:$A$33&amp;$B$19:$B$33,0),MATCH(AS$1,$A$19:$F$19,0))</f>
        <v>1296</v>
      </c>
      <c r="AT140" s="42">
        <f t="array" ref="AT140">INDEX($A$19:$F$33,MATCH($Y140&amp;$Z140,$A$19:$A$33&amp;$B$19:$B$33,0),MATCH(AT$1,$A$19:$F$19,0))</f>
        <v>518.4</v>
      </c>
      <c r="AU140" s="42">
        <f t="array" ref="AU140">INDEX($A$19:$F$33,MATCH($Y140&amp;$Z140,$A$19:$A$33&amp;$B$19:$B$33,0),MATCH(AU$1,$A$19:$F$19,0))</f>
        <v>10368</v>
      </c>
      <c r="AV140" s="42">
        <f t="array" ref="AV140">INDEX($A$19:$F$33,MATCH($Y140&amp;$Z140,$A$19:$A$33&amp;$B$19:$B$33,0),MATCH(AV$1,$A$19:$F$19,0))</f>
        <v>120</v>
      </c>
    </row>
    <row r="141" spans="24:48">
      <c r="X141" s="64">
        <v>113066</v>
      </c>
      <c r="Y141">
        <f>INDEX(M:M,MATCH(X141,N:N,0))</f>
        <v>3</v>
      </c>
      <c r="Z141">
        <v>6</v>
      </c>
      <c r="AA141" s="72" t="str">
        <f t="shared" ref="AA141:AH141" si="139">IF(AI141=0,"",INDEX($N$1:$V$76,MATCH($X141,$N$1:$N$76,0),MATCH(AA$1,$N$1:$V$1,0)))</f>
        <v/>
      </c>
      <c r="AB141" s="72" t="str">
        <f t="shared" si="139"/>
        <v/>
      </c>
      <c r="AC141" s="72">
        <f t="shared" si="139"/>
        <v>214112</v>
      </c>
      <c r="AD141" s="72" t="str">
        <f t="shared" si="139"/>
        <v/>
      </c>
      <c r="AE141" s="72">
        <f t="shared" si="139"/>
        <v>215112</v>
      </c>
      <c r="AF141" s="72">
        <f t="shared" si="139"/>
        <v>215009</v>
      </c>
      <c r="AG141" s="72">
        <f t="shared" si="139"/>
        <v>216111</v>
      </c>
      <c r="AH141" s="72" t="str">
        <f t="shared" si="139"/>
        <v/>
      </c>
      <c r="AI141" s="72">
        <f t="array" ref="AI141">INDEX($C$4:$J$16,MATCH($Y141&amp;$Z141,$A$4:$A$16&amp;$B$4:$B$16,0),MATCH(AA$1,$C$2:$J$2,0))</f>
        <v>0</v>
      </c>
      <c r="AJ141" s="72">
        <f t="array" ref="AJ141">INDEX($C$4:$J$16,MATCH($Y141&amp;$Z141,$A$4:$A$16&amp;$B$4:$B$16,0),MATCH(AB$1,$C$2:$J$2,0))</f>
        <v>0</v>
      </c>
      <c r="AK141" s="72">
        <f t="array" ref="AK141">INDEX($C$4:$J$16,MATCH($Y141&amp;$Z141,$A$4:$A$16&amp;$B$4:$B$16,0),MATCH(AC$1,$C$2:$J$2,0))</f>
        <v>48</v>
      </c>
      <c r="AL141" s="72">
        <f t="array" ref="AL141">INDEX($C$4:$J$16,MATCH($Y141&amp;$Z141,$A$4:$A$16&amp;$B$4:$B$16,0),MATCH(AD$1,$C$2:$J$2,0))</f>
        <v>0</v>
      </c>
      <c r="AM141" s="72">
        <f t="array" ref="AM141">INDEX($C$4:$J$16,MATCH($Y141&amp;$Z141,$A$4:$A$16&amp;$B$4:$B$16,0),MATCH(AE$1,$C$2:$J$2,0))</f>
        <v>28</v>
      </c>
      <c r="AN141" s="72">
        <f t="array" ref="AN141">INDEX($C$4:$J$16,MATCH($Y141&amp;$Z141,$A$4:$A$16&amp;$B$4:$B$16,0),MATCH(AF$1,$C$2:$J$2,0))</f>
        <v>28</v>
      </c>
      <c r="AO141" s="72">
        <f t="array" ref="AO141">INDEX($C$4:$J$16,MATCH($Y141&amp;$Z141,$A$4:$A$16&amp;$B$4:$B$16,0),MATCH(AG$1,$C$2:$J$2,0))</f>
        <v>5</v>
      </c>
      <c r="AP141" s="72">
        <f t="array" ref="AP141">INDEX($C$4:$J$16,MATCH($Y141&amp;$Z141,$A$4:$A$16&amp;$B$4:$B$16,0),MATCH(AH$1,$C$2:$J$2,0))</f>
        <v>0</v>
      </c>
      <c r="AQ141" s="72">
        <f t="array" ref="AQ141">INDEX($K$2:$K$16,MATCH(Y141&amp;Z141,$A$2:$A$16&amp;$B$2:$B$16,0))</f>
        <v>900000</v>
      </c>
      <c r="AR141" s="42" t="str">
        <f t="array" ref="AR141">_xlfn.TEXTJOIN(";",1,IF($AA141:$AH141&lt;&gt;"","1001,"&amp;$AA141:$AH141&amp;","&amp;$AI141:$AP141,""))&amp;IF(AQ141=0,"",";"&amp;"5,0,"&amp;AQ141)</f>
        <v>1001,214112,48;1001,215112,28;1001,215009,28;1001,216111,5;5,0,900000</v>
      </c>
      <c r="AS141" s="42">
        <f t="array" ref="AS141">INDEX($A$19:$F$33,MATCH($Y141&amp;$Z141,$A$19:$A$33&amp;$B$19:$B$33,0),MATCH(AS$1,$A$19:$F$19,0))</f>
        <v>1296</v>
      </c>
      <c r="AT141" s="42">
        <f t="array" ref="AT141">INDEX($A$19:$F$33,MATCH($Y141&amp;$Z141,$A$19:$A$33&amp;$B$19:$B$33,0),MATCH(AT$1,$A$19:$F$19,0))</f>
        <v>518.4</v>
      </c>
      <c r="AU141" s="42">
        <f t="array" ref="AU141">INDEX($A$19:$F$33,MATCH($Y141&amp;$Z141,$A$19:$A$33&amp;$B$19:$B$33,0),MATCH(AU$1,$A$19:$F$19,0))</f>
        <v>10368</v>
      </c>
      <c r="AV141" s="42">
        <f t="array" ref="AV141">INDEX($A$19:$F$33,MATCH($Y141&amp;$Z141,$A$19:$A$33&amp;$B$19:$B$33,0),MATCH(AV$1,$A$19:$F$19,0))</f>
        <v>120</v>
      </c>
    </row>
    <row r="142" spans="24:48">
      <c r="X142" s="73">
        <v>113067</v>
      </c>
      <c r="Y142">
        <f>INDEX(M:M,MATCH(X142,N:N,0))</f>
        <v>3</v>
      </c>
      <c r="Z142">
        <v>6</v>
      </c>
      <c r="AA142" s="72" t="str">
        <f t="shared" ref="AA142:AH142" si="140">IF(AI142=0,"",INDEX($N$1:$V$76,MATCH($X142,$N$1:$N$76,0),MATCH(AA$1,$N$1:$V$1,0)))</f>
        <v/>
      </c>
      <c r="AB142" s="72" t="str">
        <f t="shared" si="140"/>
        <v/>
      </c>
      <c r="AC142" s="72">
        <f t="shared" si="140"/>
        <v>214113</v>
      </c>
      <c r="AD142" s="72" t="str">
        <f t="shared" si="140"/>
        <v/>
      </c>
      <c r="AE142" s="72">
        <f t="shared" si="140"/>
        <v>215113</v>
      </c>
      <c r="AF142" s="72">
        <f t="shared" si="140"/>
        <v>215112</v>
      </c>
      <c r="AG142" s="72">
        <f t="shared" si="140"/>
        <v>216111</v>
      </c>
      <c r="AH142" s="72" t="str">
        <f t="shared" si="140"/>
        <v/>
      </c>
      <c r="AI142" s="72">
        <f t="array" ref="AI142">INDEX($C$4:$J$16,MATCH($Y142&amp;$Z142,$A$4:$A$16&amp;$B$4:$B$16,0),MATCH(AA$1,$C$2:$J$2,0))</f>
        <v>0</v>
      </c>
      <c r="AJ142" s="72">
        <f t="array" ref="AJ142">INDEX($C$4:$J$16,MATCH($Y142&amp;$Z142,$A$4:$A$16&amp;$B$4:$B$16,0),MATCH(AB$1,$C$2:$J$2,0))</f>
        <v>0</v>
      </c>
      <c r="AK142" s="72">
        <f t="array" ref="AK142">INDEX($C$4:$J$16,MATCH($Y142&amp;$Z142,$A$4:$A$16&amp;$B$4:$B$16,0),MATCH(AC$1,$C$2:$J$2,0))</f>
        <v>48</v>
      </c>
      <c r="AL142" s="72">
        <f t="array" ref="AL142">INDEX($C$4:$J$16,MATCH($Y142&amp;$Z142,$A$4:$A$16&amp;$B$4:$B$16,0),MATCH(AD$1,$C$2:$J$2,0))</f>
        <v>0</v>
      </c>
      <c r="AM142" s="72">
        <f t="array" ref="AM142">INDEX($C$4:$J$16,MATCH($Y142&amp;$Z142,$A$4:$A$16&amp;$B$4:$B$16,0),MATCH(AE$1,$C$2:$J$2,0))</f>
        <v>28</v>
      </c>
      <c r="AN142" s="72">
        <f t="array" ref="AN142">INDEX($C$4:$J$16,MATCH($Y142&amp;$Z142,$A$4:$A$16&amp;$B$4:$B$16,0),MATCH(AF$1,$C$2:$J$2,0))</f>
        <v>28</v>
      </c>
      <c r="AO142" s="72">
        <f t="array" ref="AO142">INDEX($C$4:$J$16,MATCH($Y142&amp;$Z142,$A$4:$A$16&amp;$B$4:$B$16,0),MATCH(AG$1,$C$2:$J$2,0))</f>
        <v>5</v>
      </c>
      <c r="AP142" s="72">
        <f t="array" ref="AP142">INDEX($C$4:$J$16,MATCH($Y142&amp;$Z142,$A$4:$A$16&amp;$B$4:$B$16,0),MATCH(AH$1,$C$2:$J$2,0))</f>
        <v>0</v>
      </c>
      <c r="AQ142" s="72">
        <f t="array" ref="AQ142">INDEX($K$2:$K$16,MATCH(Y142&amp;Z142,$A$2:$A$16&amp;$B$2:$B$16,0))</f>
        <v>900000</v>
      </c>
      <c r="AR142" s="42" t="str">
        <f t="array" ref="AR142">_xlfn.TEXTJOIN(";",1,IF($AA142:$AH142&lt;&gt;"","1001,"&amp;$AA142:$AH142&amp;","&amp;$AI142:$AP142,""))&amp;IF(AQ142=0,"",";"&amp;"5,0,"&amp;AQ142)</f>
        <v>1001,214113,48;1001,215113,28;1001,215112,28;1001,216111,5;5,0,900000</v>
      </c>
      <c r="AS142" s="42">
        <f t="array" ref="AS142">INDEX($A$19:$F$33,MATCH($Y142&amp;$Z142,$A$19:$A$33&amp;$B$19:$B$33,0),MATCH(AS$1,$A$19:$F$19,0))</f>
        <v>1296</v>
      </c>
      <c r="AT142" s="42">
        <f t="array" ref="AT142">INDEX($A$19:$F$33,MATCH($Y142&amp;$Z142,$A$19:$A$33&amp;$B$19:$B$33,0),MATCH(AT$1,$A$19:$F$19,0))</f>
        <v>518.4</v>
      </c>
      <c r="AU142" s="42">
        <f t="array" ref="AU142">INDEX($A$19:$F$33,MATCH($Y142&amp;$Z142,$A$19:$A$33&amp;$B$19:$B$33,0),MATCH(AU$1,$A$19:$F$19,0))</f>
        <v>10368</v>
      </c>
      <c r="AV142" s="42">
        <f t="array" ref="AV142">INDEX($A$19:$F$33,MATCH($Y142&amp;$Z142,$A$19:$A$33&amp;$B$19:$B$33,0),MATCH(AV$1,$A$19:$F$19,0))</f>
        <v>120</v>
      </c>
    </row>
    <row r="143" spans="24:48">
      <c r="X143" s="74">
        <v>113068</v>
      </c>
      <c r="Y143">
        <f>INDEX(M:M,MATCH(X143,N:N,0))</f>
        <v>3</v>
      </c>
      <c r="Z143">
        <v>6</v>
      </c>
      <c r="AA143" s="72" t="str">
        <f t="shared" ref="AA143:AH143" si="141">IF(AI143=0,"",INDEX($N$1:$V$76,MATCH($X143,$N$1:$N$76,0),MATCH(AA$1,$N$1:$V$1,0)))</f>
        <v/>
      </c>
      <c r="AB143" s="72" t="str">
        <f t="shared" si="141"/>
        <v/>
      </c>
      <c r="AC143" s="72">
        <f t="shared" si="141"/>
        <v>214114</v>
      </c>
      <c r="AD143" s="72" t="str">
        <f t="shared" si="141"/>
        <v/>
      </c>
      <c r="AE143" s="72">
        <f t="shared" si="141"/>
        <v>215114</v>
      </c>
      <c r="AF143" s="72">
        <f t="shared" si="141"/>
        <v>215113</v>
      </c>
      <c r="AG143" s="72">
        <f t="shared" si="141"/>
        <v>216111</v>
      </c>
      <c r="AH143" s="72" t="str">
        <f t="shared" si="141"/>
        <v/>
      </c>
      <c r="AI143" s="72">
        <f t="array" ref="AI143">INDEX($C$4:$J$16,MATCH($Y143&amp;$Z143,$A$4:$A$16&amp;$B$4:$B$16,0),MATCH(AA$1,$C$2:$J$2,0))</f>
        <v>0</v>
      </c>
      <c r="AJ143" s="72">
        <f t="array" ref="AJ143">INDEX($C$4:$J$16,MATCH($Y143&amp;$Z143,$A$4:$A$16&amp;$B$4:$B$16,0),MATCH(AB$1,$C$2:$J$2,0))</f>
        <v>0</v>
      </c>
      <c r="AK143" s="72">
        <f t="array" ref="AK143">INDEX($C$4:$J$16,MATCH($Y143&amp;$Z143,$A$4:$A$16&amp;$B$4:$B$16,0),MATCH(AC$1,$C$2:$J$2,0))</f>
        <v>48</v>
      </c>
      <c r="AL143" s="72">
        <f t="array" ref="AL143">INDEX($C$4:$J$16,MATCH($Y143&amp;$Z143,$A$4:$A$16&amp;$B$4:$B$16,0),MATCH(AD$1,$C$2:$J$2,0))</f>
        <v>0</v>
      </c>
      <c r="AM143" s="72">
        <f t="array" ref="AM143">INDEX($C$4:$J$16,MATCH($Y143&amp;$Z143,$A$4:$A$16&amp;$B$4:$B$16,0),MATCH(AE$1,$C$2:$J$2,0))</f>
        <v>28</v>
      </c>
      <c r="AN143" s="72">
        <f t="array" ref="AN143">INDEX($C$4:$J$16,MATCH($Y143&amp;$Z143,$A$4:$A$16&amp;$B$4:$B$16,0),MATCH(AF$1,$C$2:$J$2,0))</f>
        <v>28</v>
      </c>
      <c r="AO143" s="72">
        <f t="array" ref="AO143">INDEX($C$4:$J$16,MATCH($Y143&amp;$Z143,$A$4:$A$16&amp;$B$4:$B$16,0),MATCH(AG$1,$C$2:$J$2,0))</f>
        <v>5</v>
      </c>
      <c r="AP143" s="72">
        <f t="array" ref="AP143">INDEX($C$4:$J$16,MATCH($Y143&amp;$Z143,$A$4:$A$16&amp;$B$4:$B$16,0),MATCH(AH$1,$C$2:$J$2,0))</f>
        <v>0</v>
      </c>
      <c r="AQ143" s="72">
        <f t="array" ref="AQ143">INDEX($K$2:$K$16,MATCH(Y143&amp;Z143,$A$2:$A$16&amp;$B$2:$B$16,0))</f>
        <v>900000</v>
      </c>
      <c r="AR143" s="42" t="str">
        <f t="array" ref="AR143">_xlfn.TEXTJOIN(";",1,IF($AA143:$AH143&lt;&gt;"","1001,"&amp;$AA143:$AH143&amp;","&amp;$AI143:$AP143,""))&amp;IF(AQ143=0,"",";"&amp;"5,0,"&amp;AQ143)</f>
        <v>1001,214114,48;1001,215114,28;1001,215113,28;1001,216111,5;5,0,900000</v>
      </c>
      <c r="AS143" s="42">
        <f t="array" ref="AS143">INDEX($A$19:$F$33,MATCH($Y143&amp;$Z143,$A$19:$A$33&amp;$B$19:$B$33,0),MATCH(AS$1,$A$19:$F$19,0))</f>
        <v>1296</v>
      </c>
      <c r="AT143" s="42">
        <f t="array" ref="AT143">INDEX($A$19:$F$33,MATCH($Y143&amp;$Z143,$A$19:$A$33&amp;$B$19:$B$33,0),MATCH(AT$1,$A$19:$F$19,0))</f>
        <v>518.4</v>
      </c>
      <c r="AU143" s="42">
        <f t="array" ref="AU143">INDEX($A$19:$F$33,MATCH($Y143&amp;$Z143,$A$19:$A$33&amp;$B$19:$B$33,0),MATCH(AU$1,$A$19:$F$19,0))</f>
        <v>10368</v>
      </c>
      <c r="AV143" s="42">
        <f t="array" ref="AV143">INDEX($A$19:$F$33,MATCH($Y143&amp;$Z143,$A$19:$A$33&amp;$B$19:$B$33,0),MATCH(AV$1,$A$19:$F$19,0))</f>
        <v>120</v>
      </c>
    </row>
    <row r="144" spans="24:48">
      <c r="X144" s="75">
        <v>113069</v>
      </c>
      <c r="Y144">
        <f>INDEX(M:M,MATCH(X144,N:N,0))</f>
        <v>3</v>
      </c>
      <c r="Z144">
        <v>6</v>
      </c>
      <c r="AA144" s="72" t="str">
        <f t="shared" ref="AA144:AH144" si="142">IF(AI144=0,"",INDEX($N$1:$V$76,MATCH($X144,$N$1:$N$76,0),MATCH(AA$1,$N$1:$V$1,0)))</f>
        <v/>
      </c>
      <c r="AB144" s="72" t="str">
        <f t="shared" si="142"/>
        <v/>
      </c>
      <c r="AC144" s="72">
        <f t="shared" si="142"/>
        <v>214111</v>
      </c>
      <c r="AD144" s="72" t="str">
        <f t="shared" si="142"/>
        <v/>
      </c>
      <c r="AE144" s="72">
        <f t="shared" si="142"/>
        <v>215111</v>
      </c>
      <c r="AF144" s="72">
        <f t="shared" si="142"/>
        <v>215114</v>
      </c>
      <c r="AG144" s="72">
        <f t="shared" si="142"/>
        <v>216111</v>
      </c>
      <c r="AH144" s="72" t="str">
        <f t="shared" si="142"/>
        <v/>
      </c>
      <c r="AI144" s="72">
        <f t="array" ref="AI144">INDEX($C$4:$J$16,MATCH($Y144&amp;$Z144,$A$4:$A$16&amp;$B$4:$B$16,0),MATCH(AA$1,$C$2:$J$2,0))</f>
        <v>0</v>
      </c>
      <c r="AJ144" s="72">
        <f t="array" ref="AJ144">INDEX($C$4:$J$16,MATCH($Y144&amp;$Z144,$A$4:$A$16&amp;$B$4:$B$16,0),MATCH(AB$1,$C$2:$J$2,0))</f>
        <v>0</v>
      </c>
      <c r="AK144" s="72">
        <f t="array" ref="AK144">INDEX($C$4:$J$16,MATCH($Y144&amp;$Z144,$A$4:$A$16&amp;$B$4:$B$16,0),MATCH(AC$1,$C$2:$J$2,0))</f>
        <v>48</v>
      </c>
      <c r="AL144" s="72">
        <f t="array" ref="AL144">INDEX($C$4:$J$16,MATCH($Y144&amp;$Z144,$A$4:$A$16&amp;$B$4:$B$16,0),MATCH(AD$1,$C$2:$J$2,0))</f>
        <v>0</v>
      </c>
      <c r="AM144" s="72">
        <f t="array" ref="AM144">INDEX($C$4:$J$16,MATCH($Y144&amp;$Z144,$A$4:$A$16&amp;$B$4:$B$16,0),MATCH(AE$1,$C$2:$J$2,0))</f>
        <v>28</v>
      </c>
      <c r="AN144" s="72">
        <f t="array" ref="AN144">INDEX($C$4:$J$16,MATCH($Y144&amp;$Z144,$A$4:$A$16&amp;$B$4:$B$16,0),MATCH(AF$1,$C$2:$J$2,0))</f>
        <v>28</v>
      </c>
      <c r="AO144" s="72">
        <f t="array" ref="AO144">INDEX($C$4:$J$16,MATCH($Y144&amp;$Z144,$A$4:$A$16&amp;$B$4:$B$16,0),MATCH(AG$1,$C$2:$J$2,0))</f>
        <v>5</v>
      </c>
      <c r="AP144" s="72">
        <f t="array" ref="AP144">INDEX($C$4:$J$16,MATCH($Y144&amp;$Z144,$A$4:$A$16&amp;$B$4:$B$16,0),MATCH(AH$1,$C$2:$J$2,0))</f>
        <v>0</v>
      </c>
      <c r="AQ144" s="72">
        <f t="array" ref="AQ144">INDEX($K$2:$K$16,MATCH(Y144&amp;Z144,$A$2:$A$16&amp;$B$2:$B$16,0))</f>
        <v>900000</v>
      </c>
      <c r="AR144" s="42" t="str">
        <f t="array" ref="AR144">_xlfn.TEXTJOIN(";",1,IF($AA144:$AH144&lt;&gt;"","1001,"&amp;$AA144:$AH144&amp;","&amp;$AI144:$AP144,""))&amp;IF(AQ144=0,"",";"&amp;"5,0,"&amp;AQ144)</f>
        <v>1001,214111,48;1001,215111,28;1001,215114,28;1001,216111,5;5,0,900000</v>
      </c>
      <c r="AS144" s="42">
        <f t="array" ref="AS144">INDEX($A$19:$F$33,MATCH($Y144&amp;$Z144,$A$19:$A$33&amp;$B$19:$B$33,0),MATCH(AS$1,$A$19:$F$19,0))</f>
        <v>1296</v>
      </c>
      <c r="AT144" s="42">
        <f t="array" ref="AT144">INDEX($A$19:$F$33,MATCH($Y144&amp;$Z144,$A$19:$A$33&amp;$B$19:$B$33,0),MATCH(AT$1,$A$19:$F$19,0))</f>
        <v>518.4</v>
      </c>
      <c r="AU144" s="42">
        <f t="array" ref="AU144">INDEX($A$19:$F$33,MATCH($Y144&amp;$Z144,$A$19:$A$33&amp;$B$19:$B$33,0),MATCH(AU$1,$A$19:$F$19,0))</f>
        <v>10368</v>
      </c>
      <c r="AV144" s="42">
        <f t="array" ref="AV144">INDEX($A$19:$F$33,MATCH($Y144&amp;$Z144,$A$19:$A$33&amp;$B$19:$B$33,0),MATCH(AV$1,$A$19:$F$19,0))</f>
        <v>120</v>
      </c>
    </row>
    <row r="145" spans="24:48">
      <c r="X145" s="40">
        <v>113070</v>
      </c>
      <c r="Y145">
        <f>INDEX(M:M,MATCH(X145,N:N,0))</f>
        <v>3</v>
      </c>
      <c r="Z145">
        <v>6</v>
      </c>
      <c r="AA145" s="72" t="str">
        <f t="shared" ref="AA145:AH145" si="143">IF(AI145=0,"",INDEX($N$1:$V$76,MATCH($X145,$N$1:$N$76,0),MATCH(AA$1,$N$1:$V$1,0)))</f>
        <v/>
      </c>
      <c r="AB145" s="72" t="str">
        <f t="shared" si="143"/>
        <v/>
      </c>
      <c r="AC145" s="72">
        <f t="shared" si="143"/>
        <v>214009</v>
      </c>
      <c r="AD145" s="72" t="str">
        <f t="shared" si="143"/>
        <v/>
      </c>
      <c r="AE145" s="72">
        <f t="shared" si="143"/>
        <v>215009</v>
      </c>
      <c r="AF145" s="72">
        <f t="shared" si="143"/>
        <v>215111</v>
      </c>
      <c r="AG145" s="72">
        <f t="shared" si="143"/>
        <v>216111</v>
      </c>
      <c r="AH145" s="72" t="str">
        <f t="shared" si="143"/>
        <v/>
      </c>
      <c r="AI145" s="72">
        <f t="array" ref="AI145">INDEX($C$4:$J$16,MATCH($Y145&amp;$Z145,$A$4:$A$16&amp;$B$4:$B$16,0),MATCH(AA$1,$C$2:$J$2,0))</f>
        <v>0</v>
      </c>
      <c r="AJ145" s="72">
        <f t="array" ref="AJ145">INDEX($C$4:$J$16,MATCH($Y145&amp;$Z145,$A$4:$A$16&amp;$B$4:$B$16,0),MATCH(AB$1,$C$2:$J$2,0))</f>
        <v>0</v>
      </c>
      <c r="AK145" s="72">
        <f t="array" ref="AK145">INDEX($C$4:$J$16,MATCH($Y145&amp;$Z145,$A$4:$A$16&amp;$B$4:$B$16,0),MATCH(AC$1,$C$2:$J$2,0))</f>
        <v>48</v>
      </c>
      <c r="AL145" s="72">
        <f t="array" ref="AL145">INDEX($C$4:$J$16,MATCH($Y145&amp;$Z145,$A$4:$A$16&amp;$B$4:$B$16,0),MATCH(AD$1,$C$2:$J$2,0))</f>
        <v>0</v>
      </c>
      <c r="AM145" s="72">
        <f t="array" ref="AM145">INDEX($C$4:$J$16,MATCH($Y145&amp;$Z145,$A$4:$A$16&amp;$B$4:$B$16,0),MATCH(AE$1,$C$2:$J$2,0))</f>
        <v>28</v>
      </c>
      <c r="AN145" s="72">
        <f t="array" ref="AN145">INDEX($C$4:$J$16,MATCH($Y145&amp;$Z145,$A$4:$A$16&amp;$B$4:$B$16,0),MATCH(AF$1,$C$2:$J$2,0))</f>
        <v>28</v>
      </c>
      <c r="AO145" s="72">
        <f t="array" ref="AO145">INDEX($C$4:$J$16,MATCH($Y145&amp;$Z145,$A$4:$A$16&amp;$B$4:$B$16,0),MATCH(AG$1,$C$2:$J$2,0))</f>
        <v>5</v>
      </c>
      <c r="AP145" s="72">
        <f t="array" ref="AP145">INDEX($C$4:$J$16,MATCH($Y145&amp;$Z145,$A$4:$A$16&amp;$B$4:$B$16,0),MATCH(AH$1,$C$2:$J$2,0))</f>
        <v>0</v>
      </c>
      <c r="AQ145" s="72">
        <f t="array" ref="AQ145">INDEX($K$2:$K$16,MATCH(Y145&amp;Z145,$A$2:$A$16&amp;$B$2:$B$16,0))</f>
        <v>900000</v>
      </c>
      <c r="AR145" s="42" t="str">
        <f t="array" ref="AR145">_xlfn.TEXTJOIN(";",1,IF($AA145:$AH145&lt;&gt;"","1001,"&amp;$AA145:$AH145&amp;","&amp;$AI145:$AP145,""))&amp;IF(AQ145=0,"",";"&amp;"5,0,"&amp;AQ145)</f>
        <v>1001,214009,48;1001,215009,28;1001,215111,28;1001,216111,5;5,0,900000</v>
      </c>
      <c r="AS145" s="42">
        <f t="array" ref="AS145">INDEX($A$19:$F$33,MATCH($Y145&amp;$Z145,$A$19:$A$33&amp;$B$19:$B$33,0),MATCH(AS$1,$A$19:$F$19,0))</f>
        <v>1296</v>
      </c>
      <c r="AT145" s="42">
        <f t="array" ref="AT145">INDEX($A$19:$F$33,MATCH($Y145&amp;$Z145,$A$19:$A$33&amp;$B$19:$B$33,0),MATCH(AT$1,$A$19:$F$19,0))</f>
        <v>518.4</v>
      </c>
      <c r="AU145" s="42">
        <f t="array" ref="AU145">INDEX($A$19:$F$33,MATCH($Y145&amp;$Z145,$A$19:$A$33&amp;$B$19:$B$33,0),MATCH(AU$1,$A$19:$F$19,0))</f>
        <v>10368</v>
      </c>
      <c r="AV145" s="42">
        <f t="array" ref="AV145">INDEX($A$19:$F$33,MATCH($Y145&amp;$Z145,$A$19:$A$33&amp;$B$19:$B$33,0),MATCH(AV$1,$A$19:$F$19,0))</f>
        <v>120</v>
      </c>
    </row>
    <row r="146" spans="24:48">
      <c r="X146" s="76">
        <v>113071</v>
      </c>
      <c r="Y146">
        <f>INDEX(M:M,MATCH(X146,N:N,0))</f>
        <v>3</v>
      </c>
      <c r="Z146">
        <v>6</v>
      </c>
      <c r="AA146" s="72" t="str">
        <f t="shared" ref="AA146:AH146" si="144">IF(AI146=0,"",INDEX($N$1:$V$76,MATCH($X146,$N$1:$N$76,0),MATCH(AA$1,$N$1:$V$1,0)))</f>
        <v/>
      </c>
      <c r="AB146" s="72" t="str">
        <f t="shared" si="144"/>
        <v/>
      </c>
      <c r="AC146" s="72">
        <f t="shared" si="144"/>
        <v>214112</v>
      </c>
      <c r="AD146" s="72" t="str">
        <f t="shared" si="144"/>
        <v/>
      </c>
      <c r="AE146" s="72">
        <f t="shared" si="144"/>
        <v>215112</v>
      </c>
      <c r="AF146" s="72">
        <f t="shared" si="144"/>
        <v>215009</v>
      </c>
      <c r="AG146" s="72">
        <f t="shared" si="144"/>
        <v>216111</v>
      </c>
      <c r="AH146" s="72" t="str">
        <f t="shared" si="144"/>
        <v/>
      </c>
      <c r="AI146" s="72">
        <f t="array" ref="AI146">INDEX($C$4:$J$16,MATCH($Y146&amp;$Z146,$A$4:$A$16&amp;$B$4:$B$16,0),MATCH(AA$1,$C$2:$J$2,0))</f>
        <v>0</v>
      </c>
      <c r="AJ146" s="72">
        <f t="array" ref="AJ146">INDEX($C$4:$J$16,MATCH($Y146&amp;$Z146,$A$4:$A$16&amp;$B$4:$B$16,0),MATCH(AB$1,$C$2:$J$2,0))</f>
        <v>0</v>
      </c>
      <c r="AK146" s="72">
        <f t="array" ref="AK146">INDEX($C$4:$J$16,MATCH($Y146&amp;$Z146,$A$4:$A$16&amp;$B$4:$B$16,0),MATCH(AC$1,$C$2:$J$2,0))</f>
        <v>48</v>
      </c>
      <c r="AL146" s="72">
        <f t="array" ref="AL146">INDEX($C$4:$J$16,MATCH($Y146&amp;$Z146,$A$4:$A$16&amp;$B$4:$B$16,0),MATCH(AD$1,$C$2:$J$2,0))</f>
        <v>0</v>
      </c>
      <c r="AM146" s="72">
        <f t="array" ref="AM146">INDEX($C$4:$J$16,MATCH($Y146&amp;$Z146,$A$4:$A$16&amp;$B$4:$B$16,0),MATCH(AE$1,$C$2:$J$2,0))</f>
        <v>28</v>
      </c>
      <c r="AN146" s="72">
        <f t="array" ref="AN146">INDEX($C$4:$J$16,MATCH($Y146&amp;$Z146,$A$4:$A$16&amp;$B$4:$B$16,0),MATCH(AF$1,$C$2:$J$2,0))</f>
        <v>28</v>
      </c>
      <c r="AO146" s="72">
        <f t="array" ref="AO146">INDEX($C$4:$J$16,MATCH($Y146&amp;$Z146,$A$4:$A$16&amp;$B$4:$B$16,0),MATCH(AG$1,$C$2:$J$2,0))</f>
        <v>5</v>
      </c>
      <c r="AP146" s="72">
        <f t="array" ref="AP146">INDEX($C$4:$J$16,MATCH($Y146&amp;$Z146,$A$4:$A$16&amp;$B$4:$B$16,0),MATCH(AH$1,$C$2:$J$2,0))</f>
        <v>0</v>
      </c>
      <c r="AQ146" s="72">
        <f t="array" ref="AQ146">INDEX($K$2:$K$16,MATCH(Y146&amp;Z146,$A$2:$A$16&amp;$B$2:$B$16,0))</f>
        <v>900000</v>
      </c>
      <c r="AR146" s="42" t="str">
        <f t="array" ref="AR146">_xlfn.TEXTJOIN(";",1,IF($AA146:$AH146&lt;&gt;"","1001,"&amp;$AA146:$AH146&amp;","&amp;$AI146:$AP146,""))&amp;IF(AQ146=0,"",";"&amp;"5,0,"&amp;AQ146)</f>
        <v>1001,214112,48;1001,215112,28;1001,215009,28;1001,216111,5;5,0,900000</v>
      </c>
      <c r="AS146" s="42">
        <f t="array" ref="AS146">INDEX($A$19:$F$33,MATCH($Y146&amp;$Z146,$A$19:$A$33&amp;$B$19:$B$33,0),MATCH(AS$1,$A$19:$F$19,0))</f>
        <v>1296</v>
      </c>
      <c r="AT146" s="42">
        <f t="array" ref="AT146">INDEX($A$19:$F$33,MATCH($Y146&amp;$Z146,$A$19:$A$33&amp;$B$19:$B$33,0),MATCH(AT$1,$A$19:$F$19,0))</f>
        <v>518.4</v>
      </c>
      <c r="AU146" s="42">
        <f t="array" ref="AU146">INDEX($A$19:$F$33,MATCH($Y146&amp;$Z146,$A$19:$A$33&amp;$B$19:$B$33,0),MATCH(AU$1,$A$19:$F$19,0))</f>
        <v>10368</v>
      </c>
      <c r="AV146" s="42">
        <f t="array" ref="AV146">INDEX($A$19:$F$33,MATCH($Y146&amp;$Z146,$A$19:$A$33&amp;$B$19:$B$33,0),MATCH(AV$1,$A$19:$F$19,0))</f>
        <v>120</v>
      </c>
    </row>
    <row r="147" spans="24:48">
      <c r="X147" s="77">
        <v>113072</v>
      </c>
      <c r="Y147">
        <f>INDEX(M:M,MATCH(X147,N:N,0))</f>
        <v>3</v>
      </c>
      <c r="Z147">
        <v>6</v>
      </c>
      <c r="AA147" s="72" t="str">
        <f t="shared" ref="AA147:AH147" si="145">IF(AI147=0,"",INDEX($N$1:$V$76,MATCH($X147,$N$1:$N$76,0),MATCH(AA$1,$N$1:$V$1,0)))</f>
        <v/>
      </c>
      <c r="AB147" s="72" t="str">
        <f t="shared" si="145"/>
        <v/>
      </c>
      <c r="AC147" s="72">
        <f t="shared" si="145"/>
        <v>214113</v>
      </c>
      <c r="AD147" s="72" t="str">
        <f t="shared" si="145"/>
        <v/>
      </c>
      <c r="AE147" s="72">
        <f t="shared" si="145"/>
        <v>215113</v>
      </c>
      <c r="AF147" s="72">
        <f t="shared" si="145"/>
        <v>215112</v>
      </c>
      <c r="AG147" s="72">
        <f t="shared" si="145"/>
        <v>216111</v>
      </c>
      <c r="AH147" s="72" t="str">
        <f t="shared" si="145"/>
        <v/>
      </c>
      <c r="AI147" s="72">
        <f t="array" ref="AI147">INDEX($C$4:$J$16,MATCH($Y147&amp;$Z147,$A$4:$A$16&amp;$B$4:$B$16,0),MATCH(AA$1,$C$2:$J$2,0))</f>
        <v>0</v>
      </c>
      <c r="AJ147" s="72">
        <f t="array" ref="AJ147">INDEX($C$4:$J$16,MATCH($Y147&amp;$Z147,$A$4:$A$16&amp;$B$4:$B$16,0),MATCH(AB$1,$C$2:$J$2,0))</f>
        <v>0</v>
      </c>
      <c r="AK147" s="72">
        <f t="array" ref="AK147">INDEX($C$4:$J$16,MATCH($Y147&amp;$Z147,$A$4:$A$16&amp;$B$4:$B$16,0),MATCH(AC$1,$C$2:$J$2,0))</f>
        <v>48</v>
      </c>
      <c r="AL147" s="72">
        <f t="array" ref="AL147">INDEX($C$4:$J$16,MATCH($Y147&amp;$Z147,$A$4:$A$16&amp;$B$4:$B$16,0),MATCH(AD$1,$C$2:$J$2,0))</f>
        <v>0</v>
      </c>
      <c r="AM147" s="72">
        <f t="array" ref="AM147">INDEX($C$4:$J$16,MATCH($Y147&amp;$Z147,$A$4:$A$16&amp;$B$4:$B$16,0),MATCH(AE$1,$C$2:$J$2,0))</f>
        <v>28</v>
      </c>
      <c r="AN147" s="72">
        <f t="array" ref="AN147">INDEX($C$4:$J$16,MATCH($Y147&amp;$Z147,$A$4:$A$16&amp;$B$4:$B$16,0),MATCH(AF$1,$C$2:$J$2,0))</f>
        <v>28</v>
      </c>
      <c r="AO147" s="72">
        <f t="array" ref="AO147">INDEX($C$4:$J$16,MATCH($Y147&amp;$Z147,$A$4:$A$16&amp;$B$4:$B$16,0),MATCH(AG$1,$C$2:$J$2,0))</f>
        <v>5</v>
      </c>
      <c r="AP147" s="72">
        <f t="array" ref="AP147">INDEX($C$4:$J$16,MATCH($Y147&amp;$Z147,$A$4:$A$16&amp;$B$4:$B$16,0),MATCH(AH$1,$C$2:$J$2,0))</f>
        <v>0</v>
      </c>
      <c r="AQ147" s="72">
        <f t="array" ref="AQ147">INDEX($K$2:$K$16,MATCH(Y147&amp;Z147,$A$2:$A$16&amp;$B$2:$B$16,0))</f>
        <v>900000</v>
      </c>
      <c r="AR147" s="42" t="str">
        <f t="array" ref="AR147">_xlfn.TEXTJOIN(";",1,IF($AA147:$AH147&lt;&gt;"","1001,"&amp;$AA147:$AH147&amp;","&amp;$AI147:$AP147,""))&amp;IF(AQ147=0,"",";"&amp;"5,0,"&amp;AQ147)</f>
        <v>1001,214113,48;1001,215113,28;1001,215112,28;1001,216111,5;5,0,900000</v>
      </c>
      <c r="AS147" s="42">
        <f t="array" ref="AS147">INDEX($A$19:$F$33,MATCH($Y147&amp;$Z147,$A$19:$A$33&amp;$B$19:$B$33,0),MATCH(AS$1,$A$19:$F$19,0))</f>
        <v>1296</v>
      </c>
      <c r="AT147" s="42">
        <f t="array" ref="AT147">INDEX($A$19:$F$33,MATCH($Y147&amp;$Z147,$A$19:$A$33&amp;$B$19:$B$33,0),MATCH(AT$1,$A$19:$F$19,0))</f>
        <v>518.4</v>
      </c>
      <c r="AU147" s="42">
        <f t="array" ref="AU147">INDEX($A$19:$F$33,MATCH($Y147&amp;$Z147,$A$19:$A$33&amp;$B$19:$B$33,0),MATCH(AU$1,$A$19:$F$19,0))</f>
        <v>10368</v>
      </c>
      <c r="AV147" s="42">
        <f t="array" ref="AV147">INDEX($A$19:$F$33,MATCH($Y147&amp;$Z147,$A$19:$A$33&amp;$B$19:$B$33,0),MATCH(AV$1,$A$19:$F$19,0))</f>
        <v>120</v>
      </c>
    </row>
    <row r="148" spans="24:48">
      <c r="X148" s="78">
        <v>113073</v>
      </c>
      <c r="Y148">
        <f>INDEX(M:M,MATCH(X148,N:N,0))</f>
        <v>3</v>
      </c>
      <c r="Z148">
        <v>6</v>
      </c>
      <c r="AA148" s="72" t="str">
        <f t="shared" ref="AA148:AH148" si="146">IF(AI148=0,"",INDEX($N$1:$V$76,MATCH($X148,$N$1:$N$76,0),MATCH(AA$1,$N$1:$V$1,0)))</f>
        <v/>
      </c>
      <c r="AB148" s="72" t="str">
        <f t="shared" si="146"/>
        <v/>
      </c>
      <c r="AC148" s="72">
        <f t="shared" si="146"/>
        <v>214114</v>
      </c>
      <c r="AD148" s="72" t="str">
        <f t="shared" si="146"/>
        <v/>
      </c>
      <c r="AE148" s="72">
        <f t="shared" si="146"/>
        <v>215114</v>
      </c>
      <c r="AF148" s="72">
        <f t="shared" si="146"/>
        <v>215113</v>
      </c>
      <c r="AG148" s="72">
        <f t="shared" si="146"/>
        <v>216111</v>
      </c>
      <c r="AH148" s="72" t="str">
        <f t="shared" si="146"/>
        <v/>
      </c>
      <c r="AI148" s="72">
        <f t="array" ref="AI148">INDEX($C$4:$J$16,MATCH($Y148&amp;$Z148,$A$4:$A$16&amp;$B$4:$B$16,0),MATCH(AA$1,$C$2:$J$2,0))</f>
        <v>0</v>
      </c>
      <c r="AJ148" s="72">
        <f t="array" ref="AJ148">INDEX($C$4:$J$16,MATCH($Y148&amp;$Z148,$A$4:$A$16&amp;$B$4:$B$16,0),MATCH(AB$1,$C$2:$J$2,0))</f>
        <v>0</v>
      </c>
      <c r="AK148" s="72">
        <f t="array" ref="AK148">INDEX($C$4:$J$16,MATCH($Y148&amp;$Z148,$A$4:$A$16&amp;$B$4:$B$16,0),MATCH(AC$1,$C$2:$J$2,0))</f>
        <v>48</v>
      </c>
      <c r="AL148" s="72">
        <f t="array" ref="AL148">INDEX($C$4:$J$16,MATCH($Y148&amp;$Z148,$A$4:$A$16&amp;$B$4:$B$16,0),MATCH(AD$1,$C$2:$J$2,0))</f>
        <v>0</v>
      </c>
      <c r="AM148" s="72">
        <f t="array" ref="AM148">INDEX($C$4:$J$16,MATCH($Y148&amp;$Z148,$A$4:$A$16&amp;$B$4:$B$16,0),MATCH(AE$1,$C$2:$J$2,0))</f>
        <v>28</v>
      </c>
      <c r="AN148" s="72">
        <f t="array" ref="AN148">INDEX($C$4:$J$16,MATCH($Y148&amp;$Z148,$A$4:$A$16&amp;$B$4:$B$16,0),MATCH(AF$1,$C$2:$J$2,0))</f>
        <v>28</v>
      </c>
      <c r="AO148" s="72">
        <f t="array" ref="AO148">INDEX($C$4:$J$16,MATCH($Y148&amp;$Z148,$A$4:$A$16&amp;$B$4:$B$16,0),MATCH(AG$1,$C$2:$J$2,0))</f>
        <v>5</v>
      </c>
      <c r="AP148" s="72">
        <f t="array" ref="AP148">INDEX($C$4:$J$16,MATCH($Y148&amp;$Z148,$A$4:$A$16&amp;$B$4:$B$16,0),MATCH(AH$1,$C$2:$J$2,0))</f>
        <v>0</v>
      </c>
      <c r="AQ148" s="72">
        <f t="array" ref="AQ148">INDEX($K$2:$K$16,MATCH(Y148&amp;Z148,$A$2:$A$16&amp;$B$2:$B$16,0))</f>
        <v>900000</v>
      </c>
      <c r="AR148" s="42" t="str">
        <f t="array" ref="AR148">_xlfn.TEXTJOIN(";",1,IF($AA148:$AH148&lt;&gt;"","1001,"&amp;$AA148:$AH148&amp;","&amp;$AI148:$AP148,""))&amp;IF(AQ148=0,"",";"&amp;"5,0,"&amp;AQ148)</f>
        <v>1001,214114,48;1001,215114,28;1001,215113,28;1001,216111,5;5,0,900000</v>
      </c>
      <c r="AS148" s="42">
        <f t="array" ref="AS148">INDEX($A$19:$F$33,MATCH($Y148&amp;$Z148,$A$19:$A$33&amp;$B$19:$B$33,0),MATCH(AS$1,$A$19:$F$19,0))</f>
        <v>1296</v>
      </c>
      <c r="AT148" s="42">
        <f t="array" ref="AT148">INDEX($A$19:$F$33,MATCH($Y148&amp;$Z148,$A$19:$A$33&amp;$B$19:$B$33,0),MATCH(AT$1,$A$19:$F$19,0))</f>
        <v>518.4</v>
      </c>
      <c r="AU148" s="42">
        <f t="array" ref="AU148">INDEX($A$19:$F$33,MATCH($Y148&amp;$Z148,$A$19:$A$33&amp;$B$19:$B$33,0),MATCH(AU$1,$A$19:$F$19,0))</f>
        <v>10368</v>
      </c>
      <c r="AV148" s="42">
        <f t="array" ref="AV148">INDEX($A$19:$F$33,MATCH($Y148&amp;$Z148,$A$19:$A$33&amp;$B$19:$B$33,0),MATCH(AV$1,$A$19:$F$19,0))</f>
        <v>120</v>
      </c>
    </row>
    <row r="149" spans="24:48">
      <c r="X149" s="79">
        <v>113076</v>
      </c>
      <c r="Y149">
        <f>INDEX(M:M,MATCH(X149,N:N,0))</f>
        <v>3</v>
      </c>
      <c r="Z149">
        <v>6</v>
      </c>
      <c r="AA149" s="72" t="str">
        <f t="shared" ref="AA149:AH149" si="147">IF(AI149=0,"",INDEX($N$1:$V$76,MATCH($X149,$N$1:$N$76,0),MATCH(AA$1,$N$1:$V$1,0)))</f>
        <v/>
      </c>
      <c r="AB149" s="72" t="str">
        <f t="shared" si="147"/>
        <v/>
      </c>
      <c r="AC149" s="72">
        <f t="shared" si="147"/>
        <v>214111</v>
      </c>
      <c r="AD149" s="72" t="str">
        <f t="shared" si="147"/>
        <v/>
      </c>
      <c r="AE149" s="72">
        <f t="shared" si="147"/>
        <v>215111</v>
      </c>
      <c r="AF149" s="72">
        <f t="shared" si="147"/>
        <v>215114</v>
      </c>
      <c r="AG149" s="72">
        <f t="shared" si="147"/>
        <v>216111</v>
      </c>
      <c r="AH149" s="72" t="str">
        <f t="shared" si="147"/>
        <v/>
      </c>
      <c r="AI149" s="72">
        <f t="array" ref="AI149">INDEX($C$4:$J$16,MATCH($Y149&amp;$Z149,$A$4:$A$16&amp;$B$4:$B$16,0),MATCH(AA$1,$C$2:$J$2,0))</f>
        <v>0</v>
      </c>
      <c r="AJ149" s="72">
        <f t="array" ref="AJ149">INDEX($C$4:$J$16,MATCH($Y149&amp;$Z149,$A$4:$A$16&amp;$B$4:$B$16,0),MATCH(AB$1,$C$2:$J$2,0))</f>
        <v>0</v>
      </c>
      <c r="AK149" s="72">
        <f t="array" ref="AK149">INDEX($C$4:$J$16,MATCH($Y149&amp;$Z149,$A$4:$A$16&amp;$B$4:$B$16,0),MATCH(AC$1,$C$2:$J$2,0))</f>
        <v>48</v>
      </c>
      <c r="AL149" s="72">
        <f t="array" ref="AL149">INDEX($C$4:$J$16,MATCH($Y149&amp;$Z149,$A$4:$A$16&amp;$B$4:$B$16,0),MATCH(AD$1,$C$2:$J$2,0))</f>
        <v>0</v>
      </c>
      <c r="AM149" s="72">
        <f t="array" ref="AM149">INDEX($C$4:$J$16,MATCH($Y149&amp;$Z149,$A$4:$A$16&amp;$B$4:$B$16,0),MATCH(AE$1,$C$2:$J$2,0))</f>
        <v>28</v>
      </c>
      <c r="AN149" s="72">
        <f t="array" ref="AN149">INDEX($C$4:$J$16,MATCH($Y149&amp;$Z149,$A$4:$A$16&amp;$B$4:$B$16,0),MATCH(AF$1,$C$2:$J$2,0))</f>
        <v>28</v>
      </c>
      <c r="AO149" s="72">
        <f t="array" ref="AO149">INDEX($C$4:$J$16,MATCH($Y149&amp;$Z149,$A$4:$A$16&amp;$B$4:$B$16,0),MATCH(AG$1,$C$2:$J$2,0))</f>
        <v>5</v>
      </c>
      <c r="AP149" s="72">
        <f t="array" ref="AP149">INDEX($C$4:$J$16,MATCH($Y149&amp;$Z149,$A$4:$A$16&amp;$B$4:$B$16,0),MATCH(AH$1,$C$2:$J$2,0))</f>
        <v>0</v>
      </c>
      <c r="AQ149" s="72">
        <f t="array" ref="AQ149">INDEX($K$2:$K$16,MATCH(Y149&amp;Z149,$A$2:$A$16&amp;$B$2:$B$16,0))</f>
        <v>900000</v>
      </c>
      <c r="AR149" s="42" t="str">
        <f t="array" ref="AR149">_xlfn.TEXTJOIN(";",1,IF($AA149:$AH149&lt;&gt;"","1001,"&amp;$AA149:$AH149&amp;","&amp;$AI149:$AP149,""))&amp;IF(AQ149=0,"",";"&amp;"5,0,"&amp;AQ149)</f>
        <v>1001,214111,48;1001,215111,28;1001,215114,28;1001,216111,5;5,0,900000</v>
      </c>
      <c r="AS149" s="42">
        <f t="array" ref="AS149">INDEX($A$19:$F$33,MATCH($Y149&amp;$Z149,$A$19:$A$33&amp;$B$19:$B$33,0),MATCH(AS$1,$A$19:$F$19,0))</f>
        <v>1296</v>
      </c>
      <c r="AT149" s="42">
        <f t="array" ref="AT149">INDEX($A$19:$F$33,MATCH($Y149&amp;$Z149,$A$19:$A$33&amp;$B$19:$B$33,0),MATCH(AT$1,$A$19:$F$19,0))</f>
        <v>518.4</v>
      </c>
      <c r="AU149" s="42">
        <f t="array" ref="AU149">INDEX($A$19:$F$33,MATCH($Y149&amp;$Z149,$A$19:$A$33&amp;$B$19:$B$33,0),MATCH(AU$1,$A$19:$F$19,0))</f>
        <v>10368</v>
      </c>
      <c r="AV149" s="42">
        <f t="array" ref="AV149">INDEX($A$19:$F$33,MATCH($Y149&amp;$Z149,$A$19:$A$33&amp;$B$19:$B$33,0),MATCH(AV$1,$A$19:$F$19,0))</f>
        <v>120</v>
      </c>
    </row>
    <row r="150" spans="24:48">
      <c r="X150">
        <v>113077</v>
      </c>
      <c r="Y150">
        <v>4</v>
      </c>
      <c r="Z150">
        <v>0</v>
      </c>
      <c r="AA150" s="72" t="str">
        <f t="shared" ref="AA150:AH150" si="148">IF(AI150=0,"",INDEX($N$1:$V$76,MATCH($X150,$N$1:$N$76,0),MATCH(AA$1,$N$1:$V$1,0)))</f>
        <v/>
      </c>
      <c r="AB150" s="72" t="str">
        <f t="shared" si="148"/>
        <v/>
      </c>
      <c r="AC150" s="72" t="str">
        <f t="shared" si="148"/>
        <v/>
      </c>
      <c r="AD150" s="72" t="str">
        <f t="shared" si="148"/>
        <v/>
      </c>
      <c r="AE150" s="72" t="str">
        <f t="shared" si="148"/>
        <v/>
      </c>
      <c r="AF150" s="72" t="str">
        <f t="shared" si="148"/>
        <v/>
      </c>
      <c r="AG150" s="72" t="str">
        <f t="shared" si="148"/>
        <v/>
      </c>
      <c r="AH150" s="72" t="str">
        <f t="shared" si="148"/>
        <v/>
      </c>
      <c r="AI150" s="72">
        <f t="array" ref="AI150">INDEX($C$4:$J$16,MATCH($Y150&amp;$Z150,$A$4:$A$16&amp;$B$4:$B$16,0),MATCH(AA$1,$C$2:$J$2,0))</f>
        <v>0</v>
      </c>
      <c r="AJ150" s="72">
        <f t="array" ref="AJ150">INDEX($C$4:$J$16,MATCH($Y150&amp;$Z150,$A$4:$A$16&amp;$B$4:$B$16,0),MATCH(AB$1,$C$2:$J$2,0))</f>
        <v>0</v>
      </c>
      <c r="AK150" s="72">
        <f t="array" ref="AK150">INDEX($C$4:$J$16,MATCH($Y150&amp;$Z150,$A$4:$A$16&amp;$B$4:$B$16,0),MATCH(AC$1,$C$2:$J$2,0))</f>
        <v>0</v>
      </c>
      <c r="AL150" s="72">
        <f t="array" ref="AL150">INDEX($C$4:$J$16,MATCH($Y150&amp;$Z150,$A$4:$A$16&amp;$B$4:$B$16,0),MATCH(AD$1,$C$2:$J$2,0))</f>
        <v>0</v>
      </c>
      <c r="AM150" s="72">
        <f t="array" ref="AM150">INDEX($C$4:$J$16,MATCH($Y150&amp;$Z150,$A$4:$A$16&amp;$B$4:$B$16,0),MATCH(AE$1,$C$2:$J$2,0))</f>
        <v>0</v>
      </c>
      <c r="AN150" s="72">
        <f t="array" ref="AN150">INDEX($C$4:$J$16,MATCH($Y150&amp;$Z150,$A$4:$A$16&amp;$B$4:$B$16,0),MATCH(AF$1,$C$2:$J$2,0))</f>
        <v>0</v>
      </c>
      <c r="AO150" s="72">
        <f t="array" ref="AO150">INDEX($C$4:$J$16,MATCH($Y150&amp;$Z150,$A$4:$A$16&amp;$B$4:$B$16,0),MATCH(AG$1,$C$2:$J$2,0))</f>
        <v>0</v>
      </c>
      <c r="AP150" s="72">
        <f t="array" ref="AP150">INDEX($C$4:$J$16,MATCH($Y150&amp;$Z150,$A$4:$A$16&amp;$B$4:$B$16,0),MATCH(AH$1,$C$2:$J$2,0))</f>
        <v>0</v>
      </c>
      <c r="AQ150" s="72">
        <f t="array" ref="AQ150">INDEX($K$2:$K$16,MATCH(Y150&amp;Z150,$A$2:$A$16&amp;$B$2:$B$16,0))</f>
        <v>0</v>
      </c>
      <c r="AR150" s="42" t="str">
        <f t="array" ref="AR150">_xlfn.TEXTJOIN(";",1,IF($AA150:$AH150&lt;&gt;"","1001,"&amp;$AA150:$AH150&amp;","&amp;$AI150:$AP150,""))&amp;IF(AQ150=0,"",";"&amp;"5,0,"&amp;AQ150)</f>
        <v/>
      </c>
      <c r="AS150" s="42">
        <f t="array" ref="AS150">INDEX($A$19:$F$33,MATCH($Y150&amp;$Z150,$A$19:$A$33&amp;$B$19:$B$33,0),MATCH(AS$1,$A$19:$F$19,0))</f>
        <v>0</v>
      </c>
      <c r="AT150" s="42">
        <f t="array" ref="AT150">INDEX($A$19:$F$33,MATCH($Y150&amp;$Z150,$A$19:$A$33&amp;$B$19:$B$33,0),MATCH(AT$1,$A$19:$F$19,0))</f>
        <v>0</v>
      </c>
      <c r="AU150" s="42">
        <f t="array" ref="AU150">INDEX($A$19:$F$33,MATCH($Y150&amp;$Z150,$A$19:$A$33&amp;$B$19:$B$33,0),MATCH(AU$1,$A$19:$F$19,0))</f>
        <v>0</v>
      </c>
      <c r="AV150" s="42">
        <f t="array" ref="AV150">INDEX($A$19:$F$33,MATCH($Y150&amp;$Z150,$A$19:$A$33&amp;$B$19:$B$33,0),MATCH(AV$1,$A$19:$F$19,0))</f>
        <v>0</v>
      </c>
    </row>
    <row r="151" spans="24:48">
      <c r="X151">
        <v>113077</v>
      </c>
      <c r="Y151">
        <v>4</v>
      </c>
      <c r="Z151">
        <v>1</v>
      </c>
      <c r="AA151" s="72">
        <f t="shared" ref="AA151:AH151" si="149">IF(AI151=0,"",INDEX($N$1:$V$76,MATCH($X151,$N$1:$N$76,0),MATCH(AA$1,$N$1:$V$1,0)))</f>
        <v>213113</v>
      </c>
      <c r="AB151" s="72" t="str">
        <f t="shared" si="149"/>
        <v/>
      </c>
      <c r="AC151" s="72">
        <f t="shared" si="149"/>
        <v>214113</v>
      </c>
      <c r="AD151" s="72">
        <f t="shared" si="149"/>
        <v>214112</v>
      </c>
      <c r="AE151" s="72" t="str">
        <f t="shared" si="149"/>
        <v/>
      </c>
      <c r="AF151" s="72">
        <f t="shared" si="149"/>
        <v>215112</v>
      </c>
      <c r="AG151" s="72" t="str">
        <f t="shared" si="149"/>
        <v/>
      </c>
      <c r="AH151" s="72" t="str">
        <f t="shared" si="149"/>
        <v/>
      </c>
      <c r="AI151" s="72">
        <f t="array" ref="AI151">INDEX($C$4:$J$16,MATCH($Y151&amp;$Z151,$A$4:$A$16&amp;$B$4:$B$16,0),MATCH(AA$1,$C$2:$J$2,0))</f>
        <v>7</v>
      </c>
      <c r="AJ151" s="72">
        <f t="array" ref="AJ151">INDEX($C$4:$J$16,MATCH($Y151&amp;$Z151,$A$4:$A$16&amp;$B$4:$B$16,0),MATCH(AB$1,$C$2:$J$2,0))</f>
        <v>0</v>
      </c>
      <c r="AK151" s="72">
        <f t="array" ref="AK151">INDEX($C$4:$J$16,MATCH($Y151&amp;$Z151,$A$4:$A$16&amp;$B$4:$B$16,0),MATCH(AC$1,$C$2:$J$2,0))</f>
        <v>7</v>
      </c>
      <c r="AL151" s="72">
        <f t="array" ref="AL151">INDEX($C$4:$J$16,MATCH($Y151&amp;$Z151,$A$4:$A$16&amp;$B$4:$B$16,0),MATCH(AD$1,$C$2:$J$2,0))</f>
        <v>7</v>
      </c>
      <c r="AM151" s="72">
        <f t="array" ref="AM151">INDEX($C$4:$J$16,MATCH($Y151&amp;$Z151,$A$4:$A$16&amp;$B$4:$B$16,0),MATCH(AE$1,$C$2:$J$2,0))</f>
        <v>0</v>
      </c>
      <c r="AN151" s="72">
        <f t="array" ref="AN151">INDEX($C$4:$J$16,MATCH($Y151&amp;$Z151,$A$4:$A$16&amp;$B$4:$B$16,0),MATCH(AF$1,$C$2:$J$2,0))</f>
        <v>7</v>
      </c>
      <c r="AO151" s="72">
        <f t="array" ref="AO151">INDEX($C$4:$J$16,MATCH($Y151&amp;$Z151,$A$4:$A$16&amp;$B$4:$B$16,0),MATCH(AG$1,$C$2:$J$2,0))</f>
        <v>0</v>
      </c>
      <c r="AP151" s="72">
        <f t="array" ref="AP151">INDEX($C$4:$J$16,MATCH($Y151&amp;$Z151,$A$4:$A$16&amp;$B$4:$B$16,0),MATCH(AH$1,$C$2:$J$2,0))</f>
        <v>0</v>
      </c>
      <c r="AQ151" s="72">
        <f t="array" ref="AQ151">INDEX($K$2:$K$16,MATCH(Y151&amp;Z151,$A$2:$A$16&amp;$B$2:$B$16,0))</f>
        <v>150000</v>
      </c>
      <c r="AR151" s="42" t="str">
        <f t="array" ref="AR151">_xlfn.TEXTJOIN(";",1,IF($AA151:$AH151&lt;&gt;"","1001,"&amp;$AA151:$AH151&amp;","&amp;$AI151:$AP151,""))&amp;IF(AQ151=0,"",";"&amp;"5,0,"&amp;AQ151)</f>
        <v>1001,213113,7;1001,214113,7;1001,214112,7;1001,215112,7;5,0,150000</v>
      </c>
      <c r="AS151" s="42">
        <f t="array" ref="AS151">INDEX($A$19:$F$33,MATCH($Y151&amp;$Z151,$A$19:$A$33&amp;$B$19:$B$33,0),MATCH(AS$1,$A$19:$F$19,0))</f>
        <v>84</v>
      </c>
      <c r="AT151" s="42">
        <f t="array" ref="AT151">INDEX($A$19:$F$33,MATCH($Y151&amp;$Z151,$A$19:$A$33&amp;$B$19:$B$33,0),MATCH(AT$1,$A$19:$F$19,0))</f>
        <v>34</v>
      </c>
      <c r="AU151" s="42">
        <f t="array" ref="AU151">INDEX($A$19:$F$33,MATCH($Y151&amp;$Z151,$A$19:$A$33&amp;$B$19:$B$33,0),MATCH(AU$1,$A$19:$F$19,0))</f>
        <v>672</v>
      </c>
      <c r="AV151" s="42">
        <f t="array" ref="AV151">INDEX($A$19:$F$33,MATCH($Y151&amp;$Z151,$A$19:$A$33&amp;$B$19:$B$33,0),MATCH(AV$1,$A$19:$F$19,0))</f>
        <v>20</v>
      </c>
    </row>
    <row r="152" spans="24:48">
      <c r="X152">
        <v>113077</v>
      </c>
      <c r="Y152">
        <v>4</v>
      </c>
      <c r="Z152">
        <v>2</v>
      </c>
      <c r="AA152" s="72" t="str">
        <f t="shared" ref="AA152:AH152" si="150">IF(AI152=0,"",INDEX($N$1:$V$76,MATCH($X152,$N$1:$N$76,0),MATCH(AA$1,$N$1:$V$1,0)))</f>
        <v/>
      </c>
      <c r="AB152" s="72">
        <f t="shared" si="150"/>
        <v>213112</v>
      </c>
      <c r="AC152" s="72">
        <f t="shared" si="150"/>
        <v>214113</v>
      </c>
      <c r="AD152" s="72" t="str">
        <f t="shared" si="150"/>
        <v/>
      </c>
      <c r="AE152" s="72">
        <f t="shared" si="150"/>
        <v>215113</v>
      </c>
      <c r="AF152" s="72">
        <f t="shared" si="150"/>
        <v>215112</v>
      </c>
      <c r="AG152" s="72" t="str">
        <f t="shared" si="150"/>
        <v/>
      </c>
      <c r="AH152" s="72" t="str">
        <f t="shared" si="150"/>
        <v/>
      </c>
      <c r="AI152" s="72">
        <f t="array" ref="AI152">INDEX($C$4:$J$16,MATCH($Y152&amp;$Z152,$A$4:$A$16&amp;$B$4:$B$16,0),MATCH(AA$1,$C$2:$J$2,0))</f>
        <v>0</v>
      </c>
      <c r="AJ152" s="72">
        <f t="array" ref="AJ152">INDEX($C$4:$J$16,MATCH($Y152&amp;$Z152,$A$4:$A$16&amp;$B$4:$B$16,0),MATCH(AB$1,$C$2:$J$2,0))</f>
        <v>8</v>
      </c>
      <c r="AK152" s="72">
        <f t="array" ref="AK152">INDEX($C$4:$J$16,MATCH($Y152&amp;$Z152,$A$4:$A$16&amp;$B$4:$B$16,0),MATCH(AC$1,$C$2:$J$2,0))</f>
        <v>8</v>
      </c>
      <c r="AL152" s="72">
        <f t="array" ref="AL152">INDEX($C$4:$J$16,MATCH($Y152&amp;$Z152,$A$4:$A$16&amp;$B$4:$B$16,0),MATCH(AD$1,$C$2:$J$2,0))</f>
        <v>0</v>
      </c>
      <c r="AM152" s="72">
        <f t="array" ref="AM152">INDEX($C$4:$J$16,MATCH($Y152&amp;$Z152,$A$4:$A$16&amp;$B$4:$B$16,0),MATCH(AE$1,$C$2:$J$2,0))</f>
        <v>8</v>
      </c>
      <c r="AN152" s="72">
        <f t="array" ref="AN152">INDEX($C$4:$J$16,MATCH($Y152&amp;$Z152,$A$4:$A$16&amp;$B$4:$B$16,0),MATCH(AF$1,$C$2:$J$2,0))</f>
        <v>8</v>
      </c>
      <c r="AO152" s="72">
        <f t="array" ref="AO152">INDEX($C$4:$J$16,MATCH($Y152&amp;$Z152,$A$4:$A$16&amp;$B$4:$B$16,0),MATCH(AG$1,$C$2:$J$2,0))</f>
        <v>0</v>
      </c>
      <c r="AP152" s="72">
        <f t="array" ref="AP152">INDEX($C$4:$J$16,MATCH($Y152&amp;$Z152,$A$4:$A$16&amp;$B$4:$B$16,0),MATCH(AH$1,$C$2:$J$2,0))</f>
        <v>0</v>
      </c>
      <c r="AQ152" s="72">
        <f t="array" ref="AQ152">INDEX($K$2:$K$16,MATCH(Y152&amp;Z152,$A$2:$A$16&amp;$B$2:$B$16,0))</f>
        <v>300000</v>
      </c>
      <c r="AR152" s="42" t="str">
        <f t="array" ref="AR152">_xlfn.TEXTJOIN(";",1,IF($AA152:$AH152&lt;&gt;"","1001,"&amp;$AA152:$AH152&amp;","&amp;$AI152:$AP152,""))&amp;IF(AQ152=0,"",";"&amp;"5,0,"&amp;AQ152)</f>
        <v>1001,213112,8;1001,214113,8;1001,215113,8;1001,215112,8;5,0,300000</v>
      </c>
      <c r="AS152" s="42">
        <f t="array" ref="AS152">INDEX($A$19:$F$33,MATCH($Y152&amp;$Z152,$A$19:$A$33&amp;$B$19:$B$33,0),MATCH(AS$1,$A$19:$F$19,0))</f>
        <v>240</v>
      </c>
      <c r="AT152" s="42">
        <f t="array" ref="AT152">INDEX($A$19:$F$33,MATCH($Y152&amp;$Z152,$A$19:$A$33&amp;$B$19:$B$33,0),MATCH(AT$1,$A$19:$F$19,0))</f>
        <v>96</v>
      </c>
      <c r="AU152" s="42">
        <f t="array" ref="AU152">INDEX($A$19:$F$33,MATCH($Y152&amp;$Z152,$A$19:$A$33&amp;$B$19:$B$33,0),MATCH(AU$1,$A$19:$F$19,0))</f>
        <v>1920</v>
      </c>
      <c r="AV152" s="42">
        <f t="array" ref="AV152">INDEX($A$19:$F$33,MATCH($Y152&amp;$Z152,$A$19:$A$33&amp;$B$19:$B$33,0),MATCH(AV$1,$A$19:$F$19,0))</f>
        <v>50</v>
      </c>
    </row>
    <row r="153" spans="24:48">
      <c r="X153">
        <v>113077</v>
      </c>
      <c r="Y153">
        <v>4</v>
      </c>
      <c r="Z153">
        <v>3</v>
      </c>
      <c r="AA153" s="72" t="str">
        <f t="shared" ref="AA153:AH153" si="151">IF(AI153=0,"",INDEX($N$1:$V$76,MATCH($X153,$N$1:$N$76,0),MATCH(AA$1,$N$1:$V$1,0)))</f>
        <v/>
      </c>
      <c r="AB153" s="72" t="str">
        <f t="shared" si="151"/>
        <v/>
      </c>
      <c r="AC153" s="72" t="str">
        <f t="shared" si="151"/>
        <v/>
      </c>
      <c r="AD153" s="72">
        <f t="shared" si="151"/>
        <v>214112</v>
      </c>
      <c r="AE153" s="72">
        <f t="shared" si="151"/>
        <v>215113</v>
      </c>
      <c r="AF153" s="72">
        <f t="shared" si="151"/>
        <v>215112</v>
      </c>
      <c r="AG153" s="72">
        <f t="shared" si="151"/>
        <v>216111</v>
      </c>
      <c r="AH153" s="72" t="str">
        <f t="shared" si="151"/>
        <v/>
      </c>
      <c r="AI153" s="72">
        <f t="array" ref="AI153">INDEX($C$4:$J$16,MATCH($Y153&amp;$Z153,$A$4:$A$16&amp;$B$4:$B$16,0),MATCH(AA$1,$C$2:$J$2,0))</f>
        <v>0</v>
      </c>
      <c r="AJ153" s="72">
        <f t="array" ref="AJ153">INDEX($C$4:$J$16,MATCH($Y153&amp;$Z153,$A$4:$A$16&amp;$B$4:$B$16,0),MATCH(AB$1,$C$2:$J$2,0))</f>
        <v>0</v>
      </c>
      <c r="AK153" s="72">
        <f t="array" ref="AK153">INDEX($C$4:$J$16,MATCH($Y153&amp;$Z153,$A$4:$A$16&amp;$B$4:$B$16,0),MATCH(AC$1,$C$2:$J$2,0))</f>
        <v>0</v>
      </c>
      <c r="AL153" s="72">
        <f t="array" ref="AL153">INDEX($C$4:$J$16,MATCH($Y153&amp;$Z153,$A$4:$A$16&amp;$B$4:$B$16,0),MATCH(AD$1,$C$2:$J$2,0))</f>
        <v>32</v>
      </c>
      <c r="AM153" s="72">
        <f t="array" ref="AM153">INDEX($C$4:$J$16,MATCH($Y153&amp;$Z153,$A$4:$A$16&amp;$B$4:$B$16,0),MATCH(AE$1,$C$2:$J$2,0))</f>
        <v>16</v>
      </c>
      <c r="AN153" s="72">
        <f t="array" ref="AN153">INDEX($C$4:$J$16,MATCH($Y153&amp;$Z153,$A$4:$A$16&amp;$B$4:$B$16,0),MATCH(AF$1,$C$2:$J$2,0))</f>
        <v>16</v>
      </c>
      <c r="AO153" s="72">
        <f t="array" ref="AO153">INDEX($C$4:$J$16,MATCH($Y153&amp;$Z153,$A$4:$A$16&amp;$B$4:$B$16,0),MATCH(AG$1,$C$2:$J$2,0))</f>
        <v>1</v>
      </c>
      <c r="AP153" s="72">
        <f t="array" ref="AP153">INDEX($C$4:$J$16,MATCH($Y153&amp;$Z153,$A$4:$A$16&amp;$B$4:$B$16,0),MATCH(AH$1,$C$2:$J$2,0))</f>
        <v>0</v>
      </c>
      <c r="AQ153" s="72">
        <f t="array" ref="AQ153">INDEX($K$2:$K$16,MATCH(Y153&amp;Z153,$A$2:$A$16&amp;$B$2:$B$16,0))</f>
        <v>450000</v>
      </c>
      <c r="AR153" s="42" t="str">
        <f t="array" ref="AR153">_xlfn.TEXTJOIN(";",1,IF($AA153:$AH153&lt;&gt;"","1001,"&amp;$AA153:$AH153&amp;","&amp;$AI153:$AP153,""))&amp;IF(AQ153=0,"",";"&amp;"5,0,"&amp;AQ153)</f>
        <v>1001,214112,32;1001,215113,16;1001,215112,16;1001,216111,1;5,0,450000</v>
      </c>
      <c r="AS153" s="42">
        <f t="array" ref="AS153">INDEX($A$19:$F$33,MATCH($Y153&amp;$Z153,$A$19:$A$33&amp;$B$19:$B$33,0),MATCH(AS$1,$A$19:$F$19,0))</f>
        <v>396</v>
      </c>
      <c r="AT153" s="42">
        <f t="array" ref="AT153">INDEX($A$19:$F$33,MATCH($Y153&amp;$Z153,$A$19:$A$33&amp;$B$19:$B$33,0),MATCH(AT$1,$A$19:$F$19,0))</f>
        <v>158</v>
      </c>
      <c r="AU153" s="42">
        <f t="array" ref="AU153">INDEX($A$19:$F$33,MATCH($Y153&amp;$Z153,$A$19:$A$33&amp;$B$19:$B$33,0),MATCH(AU$1,$A$19:$F$19,0))</f>
        <v>3168</v>
      </c>
      <c r="AV153" s="42">
        <f t="array" ref="AV153">INDEX($A$19:$F$33,MATCH($Y153&amp;$Z153,$A$19:$A$33&amp;$B$19:$B$33,0),MATCH(AV$1,$A$19:$F$19,0))</f>
        <v>80</v>
      </c>
    </row>
    <row r="154" spans="24:48">
      <c r="X154">
        <v>113077</v>
      </c>
      <c r="Y154">
        <v>4</v>
      </c>
      <c r="Z154">
        <v>4</v>
      </c>
      <c r="AA154" s="72" t="str">
        <f t="shared" ref="AA154:AH154" si="152">IF(AI154=0,"",INDEX($N$1:$V$76,MATCH($X154,$N$1:$N$76,0),MATCH(AA$1,$N$1:$V$1,0)))</f>
        <v/>
      </c>
      <c r="AB154" s="72" t="str">
        <f t="shared" si="152"/>
        <v/>
      </c>
      <c r="AC154" s="72">
        <f t="shared" si="152"/>
        <v>214113</v>
      </c>
      <c r="AD154" s="72" t="str">
        <f t="shared" si="152"/>
        <v/>
      </c>
      <c r="AE154" s="72">
        <f t="shared" si="152"/>
        <v>215113</v>
      </c>
      <c r="AF154" s="72">
        <f t="shared" si="152"/>
        <v>215112</v>
      </c>
      <c r="AG154" s="72">
        <f t="shared" si="152"/>
        <v>216111</v>
      </c>
      <c r="AH154" s="72" t="str">
        <f t="shared" si="152"/>
        <v/>
      </c>
      <c r="AI154" s="72">
        <f t="array" ref="AI154">INDEX($C$4:$J$16,MATCH($Y154&amp;$Z154,$A$4:$A$16&amp;$B$4:$B$16,0),MATCH(AA$1,$C$2:$J$2,0))</f>
        <v>0</v>
      </c>
      <c r="AJ154" s="72">
        <f t="array" ref="AJ154">INDEX($C$4:$J$16,MATCH($Y154&amp;$Z154,$A$4:$A$16&amp;$B$4:$B$16,0),MATCH(AB$1,$C$2:$J$2,0))</f>
        <v>0</v>
      </c>
      <c r="AK154" s="72">
        <f t="array" ref="AK154">INDEX($C$4:$J$16,MATCH($Y154&amp;$Z154,$A$4:$A$16&amp;$B$4:$B$16,0),MATCH(AC$1,$C$2:$J$2,0))</f>
        <v>32</v>
      </c>
      <c r="AL154" s="72">
        <f t="array" ref="AL154">INDEX($C$4:$J$16,MATCH($Y154&amp;$Z154,$A$4:$A$16&amp;$B$4:$B$16,0),MATCH(AD$1,$C$2:$J$2,0))</f>
        <v>0</v>
      </c>
      <c r="AM154" s="72">
        <f t="array" ref="AM154">INDEX($C$4:$J$16,MATCH($Y154&amp;$Z154,$A$4:$A$16&amp;$B$4:$B$16,0),MATCH(AE$1,$C$2:$J$2,0))</f>
        <v>20</v>
      </c>
      <c r="AN154" s="72">
        <f t="array" ref="AN154">INDEX($C$4:$J$16,MATCH($Y154&amp;$Z154,$A$4:$A$16&amp;$B$4:$B$16,0),MATCH(AF$1,$C$2:$J$2,0))</f>
        <v>20</v>
      </c>
      <c r="AO154" s="72">
        <f t="array" ref="AO154">INDEX($C$4:$J$16,MATCH($Y154&amp;$Z154,$A$4:$A$16&amp;$B$4:$B$16,0),MATCH(AG$1,$C$2:$J$2,0))</f>
        <v>3</v>
      </c>
      <c r="AP154" s="72">
        <f t="array" ref="AP154">INDEX($C$4:$J$16,MATCH($Y154&amp;$Z154,$A$4:$A$16&amp;$B$4:$B$16,0),MATCH(AH$1,$C$2:$J$2,0))</f>
        <v>0</v>
      </c>
      <c r="AQ154" s="72">
        <f t="array" ref="AQ154">INDEX($K$2:$K$16,MATCH(Y154&amp;Z154,$A$2:$A$16&amp;$B$2:$B$16,0))</f>
        <v>600000</v>
      </c>
      <c r="AR154" s="42" t="str">
        <f t="array" ref="AR154">_xlfn.TEXTJOIN(";",1,IF($AA154:$AH154&lt;&gt;"","1001,"&amp;$AA154:$AH154&amp;","&amp;$AI154:$AP154,""))&amp;IF(AQ154=0,"",";"&amp;"5,0,"&amp;AQ154)</f>
        <v>1001,214113,32;1001,215113,20;1001,215112,20;1001,216111,3;5,0,600000</v>
      </c>
      <c r="AS154" s="42">
        <f t="array" ref="AS154">INDEX($A$19:$F$33,MATCH($Y154&amp;$Z154,$A$19:$A$33&amp;$B$19:$B$33,0),MATCH(AS$1,$A$19:$F$19,0))</f>
        <v>672</v>
      </c>
      <c r="AT154" s="42">
        <f t="array" ref="AT154">INDEX($A$19:$F$33,MATCH($Y154&amp;$Z154,$A$19:$A$33&amp;$B$19:$B$33,0),MATCH(AT$1,$A$19:$F$19,0))</f>
        <v>269</v>
      </c>
      <c r="AU154" s="42">
        <f t="array" ref="AU154">INDEX($A$19:$F$33,MATCH($Y154&amp;$Z154,$A$19:$A$33&amp;$B$19:$B$33,0),MATCH(AU$1,$A$19:$F$19,0))</f>
        <v>5376</v>
      </c>
      <c r="AV154" s="42">
        <f t="array" ref="AV154">INDEX($A$19:$F$33,MATCH($Y154&amp;$Z154,$A$19:$A$33&amp;$B$19:$B$33,0),MATCH(AV$1,$A$19:$F$19,0))</f>
        <v>100</v>
      </c>
    </row>
    <row r="155" spans="24:48">
      <c r="X155">
        <v>113077</v>
      </c>
      <c r="Y155">
        <v>4</v>
      </c>
      <c r="Z155">
        <v>5</v>
      </c>
      <c r="AA155" s="72" t="str">
        <f t="shared" ref="AA155:AH155" si="153">IF(AI155=0,"",INDEX($N$1:$V$76,MATCH($X155,$N$1:$N$76,0),MATCH(AA$1,$N$1:$V$1,0)))</f>
        <v/>
      </c>
      <c r="AB155" s="72" t="str">
        <f t="shared" si="153"/>
        <v/>
      </c>
      <c r="AC155" s="72" t="str">
        <f t="shared" si="153"/>
        <v/>
      </c>
      <c r="AD155" s="72">
        <f t="shared" si="153"/>
        <v>214112</v>
      </c>
      <c r="AE155" s="72">
        <f t="shared" si="153"/>
        <v>215113</v>
      </c>
      <c r="AF155" s="72">
        <f t="shared" si="153"/>
        <v>215112</v>
      </c>
      <c r="AG155" s="72" t="str">
        <f t="shared" si="153"/>
        <v/>
      </c>
      <c r="AH155" s="72">
        <f t="shared" si="153"/>
        <v>216112</v>
      </c>
      <c r="AI155" s="72">
        <f t="array" ref="AI155">INDEX($C$4:$J$16,MATCH($Y155&amp;$Z155,$A$4:$A$16&amp;$B$4:$B$16,0),MATCH(AA$1,$C$2:$J$2,0))</f>
        <v>0</v>
      </c>
      <c r="AJ155" s="72">
        <f t="array" ref="AJ155">INDEX($C$4:$J$16,MATCH($Y155&amp;$Z155,$A$4:$A$16&amp;$B$4:$B$16,0),MATCH(AB$1,$C$2:$J$2,0))</f>
        <v>0</v>
      </c>
      <c r="AK155" s="72">
        <f t="array" ref="AK155">INDEX($C$4:$J$16,MATCH($Y155&amp;$Z155,$A$4:$A$16&amp;$B$4:$B$16,0),MATCH(AC$1,$C$2:$J$2,0))</f>
        <v>0</v>
      </c>
      <c r="AL155" s="72">
        <f t="array" ref="AL155">INDEX($C$4:$J$16,MATCH($Y155&amp;$Z155,$A$4:$A$16&amp;$B$4:$B$16,0),MATCH(AD$1,$C$2:$J$2,0))</f>
        <v>48</v>
      </c>
      <c r="AM155" s="72">
        <f t="array" ref="AM155">INDEX($C$4:$J$16,MATCH($Y155&amp;$Z155,$A$4:$A$16&amp;$B$4:$B$16,0),MATCH(AE$1,$C$2:$J$2,0))</f>
        <v>24</v>
      </c>
      <c r="AN155" s="72">
        <f t="array" ref="AN155">INDEX($C$4:$J$16,MATCH($Y155&amp;$Z155,$A$4:$A$16&amp;$B$4:$B$16,0),MATCH(AF$1,$C$2:$J$2,0))</f>
        <v>24</v>
      </c>
      <c r="AO155" s="72">
        <f t="array" ref="AO155">INDEX($C$4:$J$16,MATCH($Y155&amp;$Z155,$A$4:$A$16&amp;$B$4:$B$16,0),MATCH(AG$1,$C$2:$J$2,0))</f>
        <v>0</v>
      </c>
      <c r="AP155" s="72">
        <f t="array" ref="AP155">INDEX($C$4:$J$16,MATCH($Y155&amp;$Z155,$A$4:$A$16&amp;$B$4:$B$16,0),MATCH(AH$1,$C$2:$J$2,0))</f>
        <v>3</v>
      </c>
      <c r="AQ155" s="72">
        <f t="array" ref="AQ155">INDEX($K$2:$K$16,MATCH(Y155&amp;Z155,$A$2:$A$16&amp;$B$2:$B$16,0))</f>
        <v>750000</v>
      </c>
      <c r="AR155" s="42" t="str">
        <f t="array" ref="AR155">_xlfn.TEXTJOIN(";",1,IF($AA155:$AH155&lt;&gt;"","1001,"&amp;$AA155:$AH155&amp;","&amp;$AI155:$AP155,""))&amp;IF(AQ155=0,"",";"&amp;"5,0,"&amp;AQ155)</f>
        <v>1001,214112,48;1001,215113,24;1001,215112,24;1001,216112,3;5,0,750000</v>
      </c>
      <c r="AS155" s="42">
        <f t="array" ref="AS155">INDEX($A$19:$F$33,MATCH($Y155&amp;$Z155,$A$19:$A$33&amp;$B$19:$B$33,0),MATCH(AS$1,$A$19:$F$19,0))</f>
        <v>984</v>
      </c>
      <c r="AT155" s="42">
        <f t="array" ref="AT155">INDEX($A$19:$F$33,MATCH($Y155&amp;$Z155,$A$19:$A$33&amp;$B$19:$B$33,0),MATCH(AT$1,$A$19:$F$19,0))</f>
        <v>393.6</v>
      </c>
      <c r="AU155" s="42">
        <f t="array" ref="AU155">INDEX($A$19:$F$33,MATCH($Y155&amp;$Z155,$A$19:$A$33&amp;$B$19:$B$33,0),MATCH(AU$1,$A$19:$F$19,0))</f>
        <v>7872</v>
      </c>
      <c r="AV155" s="42">
        <f t="array" ref="AV155">INDEX($A$19:$F$33,MATCH($Y155&amp;$Z155,$A$19:$A$33&amp;$B$19:$B$33,0),MATCH(AV$1,$A$19:$F$19,0))</f>
        <v>110</v>
      </c>
    </row>
    <row r="156" spans="24:48">
      <c r="X156">
        <v>113077</v>
      </c>
      <c r="Y156">
        <v>4</v>
      </c>
      <c r="Z156">
        <v>6</v>
      </c>
      <c r="AA156" s="72" t="str">
        <f t="shared" ref="AA156:AH156" si="154">IF(AI156=0,"",INDEX($N$1:$V$76,MATCH($X156,$N$1:$N$76,0),MATCH(AA$1,$N$1:$V$1,0)))</f>
        <v/>
      </c>
      <c r="AB156" s="72" t="str">
        <f t="shared" si="154"/>
        <v/>
      </c>
      <c r="AC156" s="72">
        <f t="shared" si="154"/>
        <v>214113</v>
      </c>
      <c r="AD156" s="72" t="str">
        <f t="shared" si="154"/>
        <v/>
      </c>
      <c r="AE156" s="72">
        <f t="shared" si="154"/>
        <v>215113</v>
      </c>
      <c r="AF156" s="72">
        <f t="shared" si="154"/>
        <v>215112</v>
      </c>
      <c r="AG156" s="72" t="str">
        <f t="shared" si="154"/>
        <v/>
      </c>
      <c r="AH156" s="72">
        <f t="shared" si="154"/>
        <v>216112</v>
      </c>
      <c r="AI156" s="72">
        <f t="array" ref="AI156">INDEX($C$4:$J$16,MATCH($Y156&amp;$Z156,$A$4:$A$16&amp;$B$4:$B$16,0),MATCH(AA$1,$C$2:$J$2,0))</f>
        <v>0</v>
      </c>
      <c r="AJ156" s="72">
        <f t="array" ref="AJ156">INDEX($C$4:$J$16,MATCH($Y156&amp;$Z156,$A$4:$A$16&amp;$B$4:$B$16,0),MATCH(AB$1,$C$2:$J$2,0))</f>
        <v>0</v>
      </c>
      <c r="AK156" s="72">
        <f t="array" ref="AK156">INDEX($C$4:$J$16,MATCH($Y156&amp;$Z156,$A$4:$A$16&amp;$B$4:$B$16,0),MATCH(AC$1,$C$2:$J$2,0))</f>
        <v>48</v>
      </c>
      <c r="AL156" s="72">
        <f t="array" ref="AL156">INDEX($C$4:$J$16,MATCH($Y156&amp;$Z156,$A$4:$A$16&amp;$B$4:$B$16,0),MATCH(AD$1,$C$2:$J$2,0))</f>
        <v>0</v>
      </c>
      <c r="AM156" s="72">
        <f t="array" ref="AM156">INDEX($C$4:$J$16,MATCH($Y156&amp;$Z156,$A$4:$A$16&amp;$B$4:$B$16,0),MATCH(AE$1,$C$2:$J$2,0))</f>
        <v>28</v>
      </c>
      <c r="AN156" s="72">
        <f t="array" ref="AN156">INDEX($C$4:$J$16,MATCH($Y156&amp;$Z156,$A$4:$A$16&amp;$B$4:$B$16,0),MATCH(AF$1,$C$2:$J$2,0))</f>
        <v>28</v>
      </c>
      <c r="AO156" s="72">
        <f t="array" ref="AO156">INDEX($C$4:$J$16,MATCH($Y156&amp;$Z156,$A$4:$A$16&amp;$B$4:$B$16,0),MATCH(AG$1,$C$2:$J$2,0))</f>
        <v>0</v>
      </c>
      <c r="AP156" s="72">
        <f t="array" ref="AP156">INDEX($C$4:$J$16,MATCH($Y156&amp;$Z156,$A$4:$A$16&amp;$B$4:$B$16,0),MATCH(AH$1,$C$2:$J$2,0))</f>
        <v>5</v>
      </c>
      <c r="AQ156" s="72">
        <f t="array" ref="AQ156">INDEX($K$2:$K$16,MATCH(Y156&amp;Z156,$A$2:$A$16&amp;$B$2:$B$16,0))</f>
        <v>900000</v>
      </c>
      <c r="AR156" s="42" t="str">
        <f t="array" ref="AR156">_xlfn.TEXTJOIN(";",1,IF($AA156:$AH156&lt;&gt;"","1001,"&amp;$AA156:$AH156&amp;","&amp;$AI156:$AP156,""))&amp;IF(AQ156=0,"",";"&amp;"5,0,"&amp;AQ156)</f>
        <v>1001,214113,48;1001,215113,28;1001,215112,28;1001,216112,5;5,0,900000</v>
      </c>
      <c r="AS156" s="42">
        <f t="array" ref="AS156">INDEX($A$19:$F$33,MATCH($Y156&amp;$Z156,$A$19:$A$33&amp;$B$19:$B$33,0),MATCH(AS$1,$A$19:$F$19,0))</f>
        <v>1296</v>
      </c>
      <c r="AT156" s="42">
        <f t="array" ref="AT156">INDEX($A$19:$F$33,MATCH($Y156&amp;$Z156,$A$19:$A$33&amp;$B$19:$B$33,0),MATCH(AT$1,$A$19:$F$19,0))</f>
        <v>518.4</v>
      </c>
      <c r="AU156" s="42">
        <f t="array" ref="AU156">INDEX($A$19:$F$33,MATCH($Y156&amp;$Z156,$A$19:$A$33&amp;$B$19:$B$33,0),MATCH(AU$1,$A$19:$F$19,0))</f>
        <v>10368</v>
      </c>
      <c r="AV156" s="42">
        <f t="array" ref="AV156">INDEX($A$19:$F$33,MATCH($Y156&amp;$Z156,$A$19:$A$33&amp;$B$19:$B$33,0),MATCH(AV$1,$A$19:$F$19,0))</f>
        <v>120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制作表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2025-03-14T09:09:19Z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E68399B0BE7646289928A2F1D7D27DAD</vt:lpwstr>
  </property>
</Properties>
</file>