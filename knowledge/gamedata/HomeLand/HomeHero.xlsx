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  <sheet name="Sheet4" sheetId="4" r:id="rId4"/>
  </sheets>
  <calcPr calcId="144525" iterate="1" iterateCount="100" iterateDelta="0.001" concurrentCalc="0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等线"/>
            <scheme val="minor"/>
            <charset val="0"/>
          </rPr>
          <t>Administrator:</t>
        </r>
        <r>
          <rPr>
            <sz val="9"/>
            <rFont val="等线"/>
            <scheme val="minor"/>
            <charset val="0"/>
          </rPr>
          <t xml:space="preserve">
格式为：
skillId,条件类型,数值;skillId,条件类型,数值
例如：
1,0,70;2,1,8
其中类型含义为
0：等级
1：星级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等线"/>
            <scheme val="minor"/>
            <charset val="0"/>
          </rPr>
          <t>Administrator:</t>
        </r>
        <r>
          <rPr>
            <sz val="9"/>
            <rFont val="等线"/>
            <scheme val="minor"/>
            <charset val="0"/>
          </rPr>
          <t xml:space="preserve">
格式为：
skillId,条件类型,数值;skillId,条件类型,数值
例如：
1,0,70;2,1,8
其中类型含义为
0：等级
1：星级</t>
        </r>
      </text>
    </comment>
  </commentList>
</comments>
</file>

<file path=xl/sharedStrings.xml><?xml version="1.0" encoding="utf-8"?>
<sst xmlns="http://schemas.openxmlformats.org/spreadsheetml/2006/main" count="1392" uniqueCount="698">
  <si>
    <t>英雄id</t>
  </si>
  <si>
    <t>体力上限</t>
  </si>
  <si>
    <t>技能</t>
  </si>
  <si>
    <t>heroId</t>
  </si>
  <si>
    <t>maxEnergy</t>
  </si>
  <si>
    <t>skills</t>
  </si>
  <si>
    <t>int</t>
  </si>
  <si>
    <t>string</t>
  </si>
  <si>
    <t>primary</t>
  </si>
  <si>
    <t>none</t>
  </si>
  <si>
    <t>59,0,1</t>
  </si>
  <si>
    <t>战桃丸</t>
  </si>
  <si>
    <t>生产钻石时，工作进度提升20%</t>
  </si>
  <si>
    <t>8,0,1</t>
  </si>
  <si>
    <t>鳄鱼</t>
  </si>
  <si>
    <t>生产钻石时，工作进度提升25%</t>
  </si>
  <si>
    <t>66,0,1</t>
  </si>
  <si>
    <t>艾尼路</t>
  </si>
  <si>
    <t>生产钻石时，工作进度提升30%</t>
  </si>
  <si>
    <t>57,0,1;65,1,6</t>
  </si>
  <si>
    <t>青雉</t>
  </si>
  <si>
    <t>生产钻石时，工作进度提升35%</t>
  </si>
  <si>
    <t>37,0,1;82,1,6</t>
  </si>
  <si>
    <t>卡普</t>
  </si>
  <si>
    <t>生产钻石时，工作进度提升40%</t>
  </si>
  <si>
    <t>108,0,1</t>
  </si>
  <si>
    <t>莫利亚</t>
  </si>
  <si>
    <t>生产钻石时，工作进度提升45%</t>
  </si>
  <si>
    <t>30,0,1</t>
  </si>
  <si>
    <t>大熊</t>
  </si>
  <si>
    <t>生产钻石时，工作进度提升50%</t>
  </si>
  <si>
    <t>黄猿</t>
  </si>
  <si>
    <t>生产宝石时，工作进度提升20%</t>
  </si>
  <si>
    <t>2,0,1;73,0,60</t>
  </si>
  <si>
    <t>艾斯</t>
  </si>
  <si>
    <t>生产宝石时，工作进度提升25%</t>
  </si>
  <si>
    <t>赤犬</t>
  </si>
  <si>
    <t>生产宝石时，工作进度提升30%</t>
  </si>
  <si>
    <t>17,0,1</t>
  </si>
  <si>
    <t>鹰眼</t>
  </si>
  <si>
    <t>生产宝石时，工作进度提升35%</t>
  </si>
  <si>
    <t>74,0,1;83,1,7</t>
  </si>
  <si>
    <t>甚平</t>
  </si>
  <si>
    <t>生产宝石时，工作进度提升40%</t>
  </si>
  <si>
    <t>109,0,1;110,1,6</t>
  </si>
  <si>
    <t>女帝</t>
  </si>
  <si>
    <t>生产宝石时，工作进度提升45%</t>
  </si>
  <si>
    <t>58,0,1;78,0,80</t>
  </si>
  <si>
    <t>罗</t>
  </si>
  <si>
    <t>生产宝石时，工作进度提升50%</t>
  </si>
  <si>
    <t>38,0,1</t>
  </si>
  <si>
    <t>基德</t>
  </si>
  <si>
    <t>生产精炼石时，工作进度提升20%</t>
  </si>
  <si>
    <t>45,0,1</t>
  </si>
  <si>
    <t>战国</t>
  </si>
  <si>
    <t>生产精炼石时，工作进度提升25%</t>
  </si>
  <si>
    <t>24,0,1</t>
  </si>
  <si>
    <t>雷利</t>
  </si>
  <si>
    <t>生产精炼石时，工作进度提升30%</t>
  </si>
  <si>
    <t>37,0,1</t>
  </si>
  <si>
    <t>麦哲伦</t>
  </si>
  <si>
    <t>生产精炼石时，工作进度提升35%</t>
  </si>
  <si>
    <t>58,0,1;75,1,6</t>
  </si>
  <si>
    <t>人妖王</t>
  </si>
  <si>
    <t>生产精炼石时，工作进度提升40%</t>
  </si>
  <si>
    <t>3,0,1;81,1,6</t>
  </si>
  <si>
    <t>乔兹</t>
  </si>
  <si>
    <t>生产精炼石时，工作进度提升45%</t>
  </si>
  <si>
    <t>37,0,1;79,0,80</t>
  </si>
  <si>
    <t>马尔高</t>
  </si>
  <si>
    <t>生产精炼石时，工作进度提升50%</t>
  </si>
  <si>
    <t>白胡子</t>
  </si>
  <si>
    <t>生产英雄之石时，工作进度提升20%</t>
  </si>
  <si>
    <t>31,0,1</t>
  </si>
  <si>
    <t>比斯塔</t>
  </si>
  <si>
    <t>生产英雄之石时，工作进度提升25%</t>
  </si>
  <si>
    <t>红发</t>
  </si>
  <si>
    <t>生产英雄之石时，工作进度提升30%</t>
  </si>
  <si>
    <t>新世界索隆</t>
  </si>
  <si>
    <t>生产英雄之石时，工作进度提升35%</t>
  </si>
  <si>
    <t>新世界乌索普</t>
  </si>
  <si>
    <t>生产英雄之石时，工作进度提升40%</t>
  </si>
  <si>
    <t>83,0,1</t>
  </si>
  <si>
    <t>黑胡子</t>
  </si>
  <si>
    <t>生产英雄之石时，工作进度提升45%</t>
  </si>
  <si>
    <t>9,0,1</t>
  </si>
  <si>
    <t>新世界娜美</t>
  </si>
  <si>
    <t>生产英雄之石时，工作进度提升50%</t>
  </si>
  <si>
    <t>1,0,1</t>
  </si>
  <si>
    <t>明哥</t>
  </si>
  <si>
    <t>生产古铜锭、锡铁锭、精金锭时，工作进度提升20%</t>
  </si>
  <si>
    <t>新世界罗宾</t>
  </si>
  <si>
    <t>生产古铜锭、锡铁锭、精金锭时，工作进度提升25%</t>
  </si>
  <si>
    <t>65,0,1</t>
  </si>
  <si>
    <t>新世界路飞</t>
  </si>
  <si>
    <t>生产古铜锭、锡铁锭、精金锭时，工作进度提升30%</t>
  </si>
  <si>
    <t>43,0,1</t>
  </si>
  <si>
    <t>路飞</t>
  </si>
  <si>
    <t>生产古铜锭、锡铁锭、精金锭时，工作进度提升35%</t>
  </si>
  <si>
    <t>111,0,1</t>
  </si>
  <si>
    <t>索隆</t>
  </si>
  <si>
    <t>生产古铜锭、锡铁锭、精金锭时，工作进度提升40%</t>
  </si>
  <si>
    <t>36,0,1</t>
  </si>
  <si>
    <t>弗兰奇</t>
  </si>
  <si>
    <t>生产古铜锭、锡铁锭、精金锭时，工作进度提升45%</t>
  </si>
  <si>
    <t>112,0,1</t>
  </si>
  <si>
    <t>娜美</t>
  </si>
  <si>
    <t>生产古铜锭、锡铁锭、精金锭时，工作进度提升50%</t>
  </si>
  <si>
    <t>57,0,1</t>
  </si>
  <si>
    <t>山治</t>
  </si>
  <si>
    <t>在精炼厂工作时，工作进度提升20%</t>
  </si>
  <si>
    <t>113,0,1</t>
  </si>
  <si>
    <t>乌索普</t>
  </si>
  <si>
    <t>在精炼厂工作时，工作进度提升25%</t>
  </si>
  <si>
    <t>64,0,1</t>
  </si>
  <si>
    <t>布鲁克</t>
  </si>
  <si>
    <t>在精炼厂工作时，工作进度提升30%</t>
  </si>
  <si>
    <t>57,0,1;73,0,50</t>
  </si>
  <si>
    <t>乔巴</t>
  </si>
  <si>
    <t>在精炼厂工作时，工作进度提升35%</t>
  </si>
  <si>
    <t>114,0,1</t>
  </si>
  <si>
    <t>罗宾</t>
  </si>
  <si>
    <t>在精炼厂工作时，工作进度提升40%</t>
  </si>
  <si>
    <t>1,0,1;81,1,5</t>
  </si>
  <si>
    <t>巴基</t>
  </si>
  <si>
    <t>在精炼厂工作时，工作进度提升45%</t>
  </si>
  <si>
    <t>115,0,1</t>
  </si>
  <si>
    <t>烟鬼</t>
  </si>
  <si>
    <t>在精炼厂工作时，工作进度提升50%</t>
  </si>
  <si>
    <t>塔西琪</t>
  </si>
  <si>
    <t>生产经验书时，工作进度提升20%</t>
  </si>
  <si>
    <t>Mr.1</t>
  </si>
  <si>
    <t>生产经验书时，工作进度提升25%</t>
  </si>
  <si>
    <t>116,0,1</t>
  </si>
  <si>
    <t>Mr.2</t>
  </si>
  <si>
    <t>生产经验书时，工作进度提升30%</t>
  </si>
  <si>
    <t>85,0,1</t>
  </si>
  <si>
    <t>Mr.3</t>
  </si>
  <si>
    <t>生产经验书时，工作进度提升35%</t>
  </si>
  <si>
    <t>109,0,1;80,1,5</t>
  </si>
  <si>
    <t>Ms.双手指</t>
  </si>
  <si>
    <t>生产经验书时，工作进度提升40%</t>
  </si>
  <si>
    <t>117,0,1</t>
  </si>
  <si>
    <t>贝拉米</t>
  </si>
  <si>
    <t>生产经验书时，工作进度提升45%</t>
  </si>
  <si>
    <t>杰布拉</t>
  </si>
  <si>
    <t>生产经验书时，工作进度提升50%</t>
  </si>
  <si>
    <t>118,0,1</t>
  </si>
  <si>
    <t>佳妮法</t>
  </si>
  <si>
    <t>生产训练书时，工作进度提升20%</t>
  </si>
  <si>
    <t>15,0,1</t>
  </si>
  <si>
    <t>卡古</t>
  </si>
  <si>
    <t>生产训练书时，工作进度提升25%</t>
  </si>
  <si>
    <t>22,0,1</t>
  </si>
  <si>
    <t>罗布</t>
  </si>
  <si>
    <t>生产训练书时，工作进度提升30%</t>
  </si>
  <si>
    <t>阿布萨罗姆</t>
  </si>
  <si>
    <t>生产训练书时，工作进度提升35%</t>
  </si>
  <si>
    <t>119,0,1;77,0,50</t>
  </si>
  <si>
    <t>豪格巴克</t>
  </si>
  <si>
    <t>生产训练书时，工作进度提升40%</t>
  </si>
  <si>
    <t>120,0,1</t>
  </si>
  <si>
    <t>佩罗娜</t>
  </si>
  <si>
    <t>生产训练书时，工作进度提升45%</t>
  </si>
  <si>
    <t>109,0,1;82,1,6</t>
  </si>
  <si>
    <t>龙马</t>
  </si>
  <si>
    <t>生产训练书时，工作进度提升50%</t>
  </si>
  <si>
    <t>121,0,1</t>
  </si>
  <si>
    <t>培波</t>
  </si>
  <si>
    <t>在图书馆工作时，工作进度提升20%</t>
  </si>
  <si>
    <t>可比（幼年）</t>
  </si>
  <si>
    <t>在图书馆工作时，工作进度提升25%</t>
  </si>
  <si>
    <t>摩根</t>
  </si>
  <si>
    <t>在图书馆工作时，工作进度提升30%</t>
  </si>
  <si>
    <t>卡巴奇</t>
  </si>
  <si>
    <t>在图书馆工作时，工作进度提升35%</t>
  </si>
  <si>
    <t>克洛</t>
  </si>
  <si>
    <t>在图书馆工作时，工作进度提升40%</t>
  </si>
  <si>
    <t>132,0,1</t>
  </si>
  <si>
    <t>强高</t>
  </si>
  <si>
    <t>在图书馆工作时，工作进度提升45%</t>
  </si>
  <si>
    <t>110,0,1</t>
  </si>
  <si>
    <t>首领·克里克</t>
  </si>
  <si>
    <t>在图书馆工作时，工作进度提升50%</t>
  </si>
  <si>
    <t>阿金</t>
  </si>
  <si>
    <t>生产附魂卷时，工作进度提升20%</t>
  </si>
  <si>
    <t>帕鲁</t>
  </si>
  <si>
    <t>生产附魂卷时，工作进度提升25%</t>
  </si>
  <si>
    <t>133,0,1</t>
  </si>
  <si>
    <t>阿龙</t>
  </si>
  <si>
    <t>生产附魂卷时，工作进度提升30%</t>
  </si>
  <si>
    <t>阿八</t>
  </si>
  <si>
    <t>生产附魂卷时，工作进度提升35%</t>
  </si>
  <si>
    <t>125,0,1</t>
  </si>
  <si>
    <t>约撒</t>
  </si>
  <si>
    <t>生产附魂卷时，工作进度提升38%</t>
  </si>
  <si>
    <t>124,0,1</t>
  </si>
  <si>
    <t>Miss.黄金周</t>
  </si>
  <si>
    <t>生产附魂卷时，工作进度提升40%</t>
  </si>
  <si>
    <t>134,0,1</t>
  </si>
  <si>
    <t>薇薇</t>
  </si>
  <si>
    <t>生产附魂卷时，工作进度提升42%</t>
  </si>
  <si>
    <t>135,0,1</t>
  </si>
  <si>
    <t>瓦波尔</t>
  </si>
  <si>
    <t>生产附魂卷时，工作进度提升45%</t>
  </si>
  <si>
    <t>136,0,1</t>
  </si>
  <si>
    <t>Mr.4</t>
  </si>
  <si>
    <t>生产附魂卷时，工作进度提升50%</t>
  </si>
  <si>
    <t>Mr.5</t>
  </si>
  <si>
    <t>入住宿舍，体力恢复速度提升12%</t>
  </si>
  <si>
    <t>新世界山治</t>
  </si>
  <si>
    <t>入住宿舍，体力恢复速度提升16%</t>
  </si>
  <si>
    <t>57,0,1;76,0,80</t>
  </si>
  <si>
    <t>新世界乔巴</t>
  </si>
  <si>
    <t>在宿舍时，加快宿舍内角色体力恢复速度15%</t>
  </si>
  <si>
    <t>126,0,1</t>
  </si>
  <si>
    <t>新世界烟鬼</t>
  </si>
  <si>
    <t>在宿舍时，加快宿舍内角色体力恢复速度20%</t>
  </si>
  <si>
    <t>新世界塔希米</t>
  </si>
  <si>
    <t>生产时，体力消耗减少10%</t>
  </si>
  <si>
    <t>锦卫门</t>
  </si>
  <si>
    <t>生产时，体力消耗减少15%</t>
  </si>
  <si>
    <t>23,0,1</t>
  </si>
  <si>
    <t>新世界弗兰奇</t>
  </si>
  <si>
    <t>生产时，体力消耗减少20%</t>
  </si>
  <si>
    <t>新世界布鲁克</t>
  </si>
  <si>
    <t>生产精华时，生产效率提升5%</t>
  </si>
  <si>
    <t>59,0,1;79,0,80</t>
  </si>
  <si>
    <t>新世界罗</t>
  </si>
  <si>
    <t>生产精华时，生产效率提升10%</t>
  </si>
  <si>
    <t>藤虎</t>
  </si>
  <si>
    <t>生产精华时，生产效率提升15%</t>
  </si>
  <si>
    <t>58,0,1</t>
  </si>
  <si>
    <t>Baby5</t>
  </si>
  <si>
    <t>生产精华时，生产效率提升20%</t>
  </si>
  <si>
    <t>31,0,1;130,1,6</t>
  </si>
  <si>
    <t>卡塔库栗</t>
  </si>
  <si>
    <t>生产精华时，生产效率提升25%</t>
  </si>
  <si>
    <t>萨波</t>
  </si>
  <si>
    <t>在图书馆工作时，工作进度提升15%</t>
  </si>
  <si>
    <t>65,0,1;75,0,80</t>
  </si>
  <si>
    <t>夏洛特·玲玲</t>
  </si>
  <si>
    <t>宝石加工生产力增加5%（装扮用）</t>
  </si>
  <si>
    <t>克力架</t>
  </si>
  <si>
    <t>观景台保护精华10个</t>
  </si>
  <si>
    <t>58,0,1;131,0,80</t>
  </si>
  <si>
    <t>斯慕吉</t>
  </si>
  <si>
    <t>大喷泉全部体力恢复+3%</t>
  </si>
  <si>
    <t>凯撒</t>
  </si>
  <si>
    <t>精致喷泉全部体力恢复+5%</t>
  </si>
  <si>
    <t>37,0,1;59,0,80</t>
  </si>
  <si>
    <t>凯多</t>
  </si>
  <si>
    <t>精致座椅部体力恢复+2%</t>
  </si>
  <si>
    <t>2年后青雉</t>
  </si>
  <si>
    <t>木质休闲长廊全部体力消耗-3%</t>
  </si>
  <si>
    <t>2年后赤犬</t>
  </si>
  <si>
    <t>精致休闲长廊全部体力消耗-5%</t>
  </si>
  <si>
    <t>蕾玖</t>
  </si>
  <si>
    <t>2,0,1</t>
  </si>
  <si>
    <t>2年后路奇</t>
  </si>
  <si>
    <t>1,0,1;120,0,1</t>
  </si>
  <si>
    <t>推进城汉库珂</t>
  </si>
  <si>
    <t>生产蓝钻+20%，生产宝石+15%</t>
  </si>
  <si>
    <t>37,0,1;77,0,1</t>
  </si>
  <si>
    <t>巴托洛米奥</t>
  </si>
  <si>
    <t>38,0,1;79,0,1</t>
  </si>
  <si>
    <t>新世界马尔高</t>
  </si>
  <si>
    <t>在研究所工作时+30%，生产时体力消耗-20%</t>
  </si>
  <si>
    <t>17,0,1;131,0,1</t>
  </si>
  <si>
    <t>新世界米霍克</t>
  </si>
  <si>
    <t>生产精炼石时，工作进度提升30%；全部体力消耗-5%</t>
  </si>
  <si>
    <t>2,0,1;137,0,1</t>
  </si>
  <si>
    <t>糖糖</t>
  </si>
  <si>
    <t>生产蓝钻+25%，在宿舍时全体体力恢复+10%</t>
  </si>
  <si>
    <t>凯文迪修</t>
  </si>
  <si>
    <t>光月御殿</t>
  </si>
  <si>
    <t>在精炼厂工作时，工作进度提升30%；体力消耗-20%</t>
  </si>
  <si>
    <t>年轻雷利</t>
  </si>
  <si>
    <t>65,0,1;130,0,1</t>
  </si>
  <si>
    <t>凯罗特</t>
  </si>
  <si>
    <t>生产附魂卷时+25%；在宿舍中体力恢复20%</t>
  </si>
  <si>
    <t>阿菊</t>
  </si>
  <si>
    <t>生产附魂卷时+30%</t>
  </si>
  <si>
    <t>15,0,1;43,0,1</t>
  </si>
  <si>
    <t>baby5</t>
  </si>
  <si>
    <t>精炼石+20%；经验书+20%</t>
  </si>
  <si>
    <t>年轻白胡子</t>
  </si>
  <si>
    <t>109,0,1;8,0,1</t>
  </si>
  <si>
    <t>新世界佩罗娜</t>
  </si>
  <si>
    <t>生产蓝钻+15%，生产宝石+20%</t>
  </si>
  <si>
    <t>2,0,1;38,0,1</t>
  </si>
  <si>
    <t>英雄戈普</t>
  </si>
  <si>
    <t>生产蓝钻+25%，精炼厂+30%</t>
  </si>
  <si>
    <t>77,0,1;83,0,1</t>
  </si>
  <si>
    <t>四皇黑胡子</t>
  </si>
  <si>
    <t>1.生产时体力消耗-10%  2.生产精华加速20%</t>
  </si>
  <si>
    <t>37,0,1;66,0,1</t>
  </si>
  <si>
    <t>犬岚</t>
  </si>
  <si>
    <t>锻造+25%；附魂卷+30%</t>
  </si>
  <si>
    <t>9,0,1;45,0,1</t>
  </si>
  <si>
    <t>猫蝮蛇</t>
  </si>
  <si>
    <t>宝石+25%；经验+30%</t>
  </si>
  <si>
    <t>45,0,1;22,0,1</t>
  </si>
  <si>
    <t>布玲</t>
  </si>
  <si>
    <t>生产经验书时，工作进度提升30%，生产英雄之石时，工作进度提升20%</t>
  </si>
  <si>
    <t>8,0,1;36,0,1</t>
  </si>
  <si>
    <t>霍金斯</t>
  </si>
  <si>
    <t>宝石+20%，锻造+20%</t>
  </si>
  <si>
    <t>109,0,1;22,0,1</t>
  </si>
  <si>
    <t>德雷克</t>
  </si>
  <si>
    <t>钻石+15%，英雄之石+20%</t>
  </si>
  <si>
    <t>8,0,1;45,0,1</t>
  </si>
  <si>
    <t>雨之希流</t>
  </si>
  <si>
    <t>宝石+20%，经验+30%</t>
  </si>
  <si>
    <t>24,0,1;66,0,1</t>
  </si>
  <si>
    <t>大将战国</t>
  </si>
  <si>
    <t>英雄之石+30%，附魂卷+30%</t>
  </si>
  <si>
    <t>66,0,1;138,0,1</t>
  </si>
  <si>
    <t>龙人凯多</t>
  </si>
  <si>
    <t>附魂卷+30%；生产精华加速30%</t>
  </si>
  <si>
    <t>22,0,1;45,0,1</t>
  </si>
  <si>
    <t>杰克</t>
  </si>
  <si>
    <t>英雄之石+20%，经验+30%</t>
  </si>
  <si>
    <t>昆因</t>
  </si>
  <si>
    <t>生产精华加速20%</t>
  </si>
  <si>
    <t>38,0,1;130,0,1</t>
  </si>
  <si>
    <t>大和</t>
  </si>
  <si>
    <t>在研究所工作时+30%，在宿舍中体力恢复20%</t>
  </si>
  <si>
    <t>66,0,1;83,0,1</t>
  </si>
  <si>
    <t>乌塔</t>
  </si>
  <si>
    <t>17,0,1;45,0,1</t>
  </si>
  <si>
    <t>润媞</t>
  </si>
  <si>
    <t>2,0,1;59,0,1</t>
  </si>
  <si>
    <t>烬</t>
  </si>
  <si>
    <t>生产蓝钻+25%，在图书馆工作时，工作进度提升30%</t>
  </si>
  <si>
    <t>24,0,1;64,0,1</t>
  </si>
  <si>
    <t>佩吉旺</t>
  </si>
  <si>
    <t>9,0,1;24,0,1</t>
  </si>
  <si>
    <t>基拉</t>
  </si>
  <si>
    <t>宝石+25%；英雄之石+30%</t>
  </si>
  <si>
    <t>36,0,1;66,0,1</t>
  </si>
  <si>
    <t>新世界基德</t>
  </si>
  <si>
    <t>锻造+20%；附魂卷+30%</t>
  </si>
  <si>
    <t>和之国罗</t>
  </si>
  <si>
    <t>10,0,1;138,0,1</t>
  </si>
  <si>
    <t>花魁阿玲</t>
  </si>
  <si>
    <t>宝石+30%，生产精华加速30%</t>
  </si>
  <si>
    <t>1,0,1;17,0,1</t>
  </si>
  <si>
    <t>和之国路飞</t>
  </si>
  <si>
    <t>生产蓝钻+20%，生产精炼石30%</t>
  </si>
  <si>
    <t>3,0,1;64,0,1</t>
  </si>
  <si>
    <t>和之国罗宾</t>
  </si>
  <si>
    <t>钻石+30%；附魂卷+20%</t>
  </si>
  <si>
    <t>31,0,1;43,0,1</t>
  </si>
  <si>
    <t>和之国山智</t>
  </si>
  <si>
    <t>生产各种锭30%；经验书20%</t>
  </si>
  <si>
    <t>66,0,1;130,0,1</t>
  </si>
  <si>
    <t>和之国佐罗</t>
  </si>
  <si>
    <t>附魂卷+30%;在宿舍中体力恢复20%</t>
  </si>
  <si>
    <t>36,0,1;24,0,1</t>
  </si>
  <si>
    <t>和之国乔巴</t>
  </si>
  <si>
    <t>锻造+20%；英雄之石+30%</t>
  </si>
  <si>
    <t>和之国撒谎布</t>
  </si>
  <si>
    <t>和之国奈美</t>
  </si>
  <si>
    <t>和之国弗兰奇</t>
  </si>
  <si>
    <t>和之国布鲁克</t>
  </si>
  <si>
    <t>和之国甚平</t>
  </si>
  <si>
    <t>黑色玛利亚</t>
  </si>
  <si>
    <t>66,0,1;24,0,1</t>
  </si>
  <si>
    <t>罗杰</t>
  </si>
  <si>
    <t>附魂卷+30%；英雄之石+30%</t>
  </si>
  <si>
    <t>金狮子西奇</t>
  </si>
  <si>
    <t>荞麦假面</t>
  </si>
  <si>
    <t>绿牛</t>
  </si>
  <si>
    <t>大口真神大和</t>
  </si>
  <si>
    <t>基德&amp;罗</t>
  </si>
  <si>
    <t>邦妮</t>
  </si>
  <si>
    <t>S-老鹰</t>
  </si>
  <si>
    <t>S-蛇女</t>
  </si>
  <si>
    <t>未来岛卡古</t>
  </si>
  <si>
    <t>5档路飞</t>
  </si>
  <si>
    <t>未来岛鲁兹</t>
  </si>
  <si>
    <t>未来岛斯图西</t>
  </si>
  <si>
    <t>S-小熊</t>
  </si>
  <si>
    <t>未来岛黑胡子</t>
  </si>
  <si>
    <t>生产时体力消耗-10%，生产精华加速20%</t>
  </si>
  <si>
    <t>技能ID</t>
  </si>
  <si>
    <t>出现次数</t>
  </si>
  <si>
    <t>钻石+20%，经验+20%</t>
  </si>
  <si>
    <t>技能id</t>
  </si>
  <si>
    <t>buff列表</t>
  </si>
  <si>
    <t>技能名</t>
  </si>
  <si>
    <t>技能图标</t>
  </si>
  <si>
    <t>技能描述</t>
  </si>
  <si>
    <t>类型</t>
  </si>
  <si>
    <t>skillId</t>
  </si>
  <si>
    <t>buffs</t>
  </si>
  <si>
    <t>skillName</t>
  </si>
  <si>
    <t>skillIcon</t>
  </si>
  <si>
    <t>skillDescription</t>
  </si>
  <si>
    <t>切割学II</t>
  </si>
  <si>
    <t>jy_Diamond2</t>
  </si>
  <si>
    <t>生产蓝钻时，工作进度提升20%</t>
  </si>
  <si>
    <t>钻石</t>
  </si>
  <si>
    <t>钻石工艺I</t>
  </si>
  <si>
    <t>jy_Diamond3</t>
  </si>
  <si>
    <t>生产蓝钻时，工作进度提升25%</t>
  </si>
  <si>
    <t>钻石工艺II</t>
  </si>
  <si>
    <t>生产蓝钻时，工作进度提升30%</t>
  </si>
  <si>
    <t>生产蓝钻时，工作进度提升35%</t>
  </si>
  <si>
    <t>生产蓝钻时，工作进度提升40%</t>
  </si>
  <si>
    <t>生产蓝钻时，工作进度提升45%</t>
  </si>
  <si>
    <t>钻石工艺III</t>
  </si>
  <si>
    <t>生产蓝钻时，工作进度提升50%</t>
  </si>
  <si>
    <t>宝石工匠I</t>
  </si>
  <si>
    <t>jy_gemstone3</t>
  </si>
  <si>
    <t>宝石</t>
  </si>
  <si>
    <t>10202,10209,10216</t>
  </si>
  <si>
    <t>宝石工匠II</t>
  </si>
  <si>
    <t>10203,10210,10217</t>
  </si>
  <si>
    <t>能工巧匠I</t>
  </si>
  <si>
    <t>jy_gemstone2</t>
  </si>
  <si>
    <t>10204,10211,10218</t>
  </si>
  <si>
    <t>能工巧匠II</t>
  </si>
  <si>
    <t>10205,10212,10219</t>
  </si>
  <si>
    <t>10206,10213,10220</t>
  </si>
  <si>
    <t>10207,10214,10221</t>
  </si>
  <si>
    <t>宝石工匠III</t>
  </si>
  <si>
    <t>标准化I</t>
  </si>
  <si>
    <t>jy_stone4</t>
  </si>
  <si>
    <t>装备工坊</t>
  </si>
  <si>
    <t>标准化II</t>
  </si>
  <si>
    <t>标准化V</t>
  </si>
  <si>
    <t>标准化III</t>
  </si>
  <si>
    <t>工艺指导II</t>
  </si>
  <si>
    <t>jy_stone5</t>
  </si>
  <si>
    <t>工艺指导III</t>
  </si>
  <si>
    <t>工艺指导IV</t>
  </si>
  <si>
    <t>工艺指导V</t>
  </si>
  <si>
    <t>10401,10501,10601</t>
  </si>
  <si>
    <t>冶金学I</t>
  </si>
  <si>
    <t>jy_stone6</t>
  </si>
  <si>
    <t>10402,10502,10602</t>
  </si>
  <si>
    <t>冶金学II</t>
  </si>
  <si>
    <t>10403,10503,10603</t>
  </si>
  <si>
    <t>冶金学III</t>
  </si>
  <si>
    <t>10404,10504,10604</t>
  </si>
  <si>
    <t>10405,10505,10605</t>
  </si>
  <si>
    <t>10406,10506,10606</t>
  </si>
  <si>
    <t>冶金学VI</t>
  </si>
  <si>
    <t>10407,10507,10607</t>
  </si>
  <si>
    <t>冶金学VII</t>
  </si>
  <si>
    <t>10301,10701,10401,10501,10601</t>
  </si>
  <si>
    <t>实用主义I</t>
  </si>
  <si>
    <t>jy_stone2</t>
  </si>
  <si>
    <t>10302,10702,10402,10502,10602</t>
  </si>
  <si>
    <t>实用主义II</t>
  </si>
  <si>
    <t>10303,10703,10403,10503,10603</t>
  </si>
  <si>
    <t>实用主义III</t>
  </si>
  <si>
    <t>10304,10704,10404,10504,10604</t>
  </si>
  <si>
    <t>10305,10705,10405,10505,10605</t>
  </si>
  <si>
    <t>科技前沿I</t>
  </si>
  <si>
    <t>jy_stone3</t>
  </si>
  <si>
    <t>10306,10706,10406,10506,10606</t>
  </si>
  <si>
    <t>科技前沿II</t>
  </si>
  <si>
    <t>10307,10707,10407,10507,10607</t>
  </si>
  <si>
    <t>研究员I</t>
  </si>
  <si>
    <t>jy_book2</t>
  </si>
  <si>
    <t>图书馆</t>
  </si>
  <si>
    <t>学者II</t>
  </si>
  <si>
    <t>jy_book</t>
  </si>
  <si>
    <t>研究员II</t>
  </si>
  <si>
    <t>心理学I</t>
  </si>
  <si>
    <t>jy_book3</t>
  </si>
  <si>
    <t>心理学II</t>
  </si>
  <si>
    <t>教官I</t>
  </si>
  <si>
    <t>jy_train</t>
  </si>
  <si>
    <t>体能教练I</t>
  </si>
  <si>
    <t>jy_train2</t>
  </si>
  <si>
    <t>教官III</t>
  </si>
  <si>
    <t>体能教练II</t>
  </si>
  <si>
    <t>体能教练III</t>
  </si>
  <si>
    <t>教官II</t>
  </si>
  <si>
    <t>10801,10901</t>
  </si>
  <si>
    <t>管理员II</t>
  </si>
  <si>
    <t>jy_knowledge</t>
  </si>
  <si>
    <t>10802,10902</t>
  </si>
  <si>
    <t>馆长I</t>
  </si>
  <si>
    <t>jy_knowledge2</t>
  </si>
  <si>
    <t>10803,10903</t>
  </si>
  <si>
    <t>馆长II</t>
  </si>
  <si>
    <t>10804,10904</t>
  </si>
  <si>
    <t>10805,10905</t>
  </si>
  <si>
    <t>学者III</t>
  </si>
  <si>
    <t>10806,10906</t>
  </si>
  <si>
    <t>10807,10907</t>
  </si>
  <si>
    <t>占卜术III</t>
  </si>
  <si>
    <t>jy_soul2</t>
  </si>
  <si>
    <t>附魂殿</t>
  </si>
  <si>
    <t>附魂专精III</t>
  </si>
  <si>
    <t>jy_soul3</t>
  </si>
  <si>
    <t>附魂专精IV</t>
  </si>
  <si>
    <t>占卜术II</t>
  </si>
  <si>
    <t>附魂专精I</t>
  </si>
  <si>
    <t>附魂专精II</t>
  </si>
  <si>
    <t>附魂专家I</t>
  </si>
  <si>
    <t>jy_soul4</t>
  </si>
  <si>
    <t>附魂专家II</t>
  </si>
  <si>
    <t>独处I</t>
  </si>
  <si>
    <t>jy_healthy</t>
  </si>
  <si>
    <t>独处II</t>
  </si>
  <si>
    <t>烘培</t>
  </si>
  <si>
    <t>jy_healthy2</t>
  </si>
  <si>
    <t>和谐</t>
  </si>
  <si>
    <t>jy_healthy3</t>
  </si>
  <si>
    <t>设备维护II</t>
  </si>
  <si>
    <t>jy_reduce</t>
  </si>
  <si>
    <t>供应管理</t>
  </si>
  <si>
    <t>jy_reduce2</t>
  </si>
  <si>
    <t>默契</t>
  </si>
  <si>
    <t>jy_reduce3</t>
  </si>
  <si>
    <t>收集者</t>
  </si>
  <si>
    <t>jy_Essence</t>
  </si>
  <si>
    <t>精华</t>
  </si>
  <si>
    <t>工匠I</t>
  </si>
  <si>
    <t>jy_Essence2</t>
  </si>
  <si>
    <t>工匠II</t>
  </si>
  <si>
    <t>地质学家I</t>
  </si>
  <si>
    <t>jy_Essence3</t>
  </si>
  <si>
    <t>地质学家II</t>
  </si>
  <si>
    <t>10808,10908</t>
  </si>
  <si>
    <t>管理员I</t>
  </si>
  <si>
    <t>10208,10215,10222</t>
  </si>
  <si>
    <t>宝石出口</t>
  </si>
  <si>
    <t>宝石工坊生产宝石时，工作进度提升5%。</t>
  </si>
  <si>
    <t>贸易港口</t>
  </si>
  <si>
    <t>瞭望台</t>
  </si>
  <si>
    <t>jy_Dress5</t>
  </si>
  <si>
    <t>防御家园失败时，损失的精华数量减少10个。</t>
  </si>
  <si>
    <t>观景台左</t>
  </si>
  <si>
    <t>休闲广场</t>
  </si>
  <si>
    <t>角色在宿舍休息时，体力恢复速度提高3%。</t>
  </si>
  <si>
    <t>大喷泉</t>
  </si>
  <si>
    <t>体能恢复</t>
  </si>
  <si>
    <t>角色在宿舍休息时，体力恢复速度提高5%。</t>
  </si>
  <si>
    <t>精致喷泉</t>
  </si>
  <si>
    <t>下午茶</t>
  </si>
  <si>
    <t>角色在宿舍休息时，体力恢复速度提高2%。</t>
  </si>
  <si>
    <t>精致座椅</t>
  </si>
  <si>
    <t>休闲区</t>
  </si>
  <si>
    <t>角色在工作时，体力消耗减少3%。</t>
  </si>
  <si>
    <t>木质休闲长廊</t>
  </si>
  <si>
    <t>精致生活</t>
  </si>
  <si>
    <t>角色在工作时，体力消耗减少5%。</t>
  </si>
  <si>
    <t>精致休闲长廊</t>
  </si>
  <si>
    <t>70101</t>
  </si>
  <si>
    <t>侦查所</t>
  </si>
  <si>
    <t>jy_Dress4</t>
  </si>
  <si>
    <t>成功掠夺对手家园后，抢夺的精华数量增加10个。</t>
  </si>
  <si>
    <t>观景台（右）</t>
  </si>
  <si>
    <t>70002</t>
  </si>
  <si>
    <t>防御通道</t>
  </si>
  <si>
    <t>jy_Dress1</t>
  </si>
  <si>
    <t>防御家园失败时，损失的精华数量减少15个。</t>
  </si>
  <si>
    <t>风锦桥</t>
  </si>
  <si>
    <t>70102</t>
  </si>
  <si>
    <t>战术通道</t>
  </si>
  <si>
    <t>jy_Dress3</t>
  </si>
  <si>
    <t>成功掠夺对手家园后，抢夺的精华数量增加15个。</t>
  </si>
  <si>
    <t>月枕桥</t>
  </si>
  <si>
    <t>10111</t>
  </si>
  <si>
    <t>钻石加工</t>
  </si>
  <si>
    <t>蓝钻工坊生产道具时，工作进度提升5%。</t>
  </si>
  <si>
    <t>素业茶苑</t>
  </si>
  <si>
    <t>40206</t>
  </si>
  <si>
    <t>茶友会</t>
  </si>
  <si>
    <t>角色在宿舍休息时，体力恢复速度提高8%。</t>
  </si>
  <si>
    <t>挽风凉亭</t>
  </si>
  <si>
    <t>11010</t>
  </si>
  <si>
    <t>祈魂</t>
  </si>
  <si>
    <t>附魂殿生产搜魂券时，工作进度提升10%。</t>
  </si>
  <si>
    <t>神树1</t>
  </si>
  <si>
    <t>60106</t>
  </si>
  <si>
    <t>精华增幅</t>
  </si>
  <si>
    <t>精华收集器收集精华效率提升5%。</t>
  </si>
  <si>
    <t>神树2</t>
  </si>
  <si>
    <t>10708</t>
  </si>
  <si>
    <t>英灵阁</t>
  </si>
  <si>
    <t>jy_Adventurer</t>
  </si>
  <si>
    <t>精炼厂生产英雄之石时，工作进度提升10%。</t>
  </si>
  <si>
    <t>五重塔</t>
  </si>
  <si>
    <t>10108,10208,10308,10708,10408,10508,10608,10809,10909,11010,10215,10222</t>
  </si>
  <si>
    <t>樱花祭</t>
  </si>
  <si>
    <t>所有生产建筑在生产道具时，工作进度提升10%。</t>
  </si>
  <si>
    <t>樱花祭1</t>
  </si>
  <si>
    <t>10809,10909</t>
  </si>
  <si>
    <t>书友会</t>
  </si>
  <si>
    <t>图书馆生产道具时，工作进度提升10%。</t>
  </si>
  <si>
    <t>竹林小憩</t>
  </si>
  <si>
    <t>巨鲸守护</t>
  </si>
  <si>
    <t>jy_Dress6</t>
  </si>
  <si>
    <t>家园掠夺战中，队友死亡,给己方恢复25怒气。</t>
  </si>
  <si>
    <t>灯塔守卫</t>
  </si>
  <si>
    <t>jy_medical2</t>
  </si>
  <si>
    <t>家园掠夺战中，每回合恢复己方一个血量最低角色15%生命值。</t>
  </si>
  <si>
    <t>开启副岛</t>
  </si>
  <si>
    <t>jy_Diamond</t>
  </si>
  <si>
    <t>开启家园副岛屿，增加四块建筑土地。</t>
  </si>
  <si>
    <t>初级采药员</t>
  </si>
  <si>
    <t>jy_medical</t>
  </si>
  <si>
    <t>开启家园采药岛屿</t>
  </si>
  <si>
    <t>高级采药员</t>
  </si>
  <si>
    <t>jy_medical3</t>
  </si>
  <si>
    <t>11011</t>
  </si>
  <si>
    <t>jy_soul</t>
  </si>
  <si>
    <t>生产附魂卷时，工作进度提升22%</t>
  </si>
  <si>
    <t>10109</t>
  </si>
  <si>
    <t>切割学I</t>
  </si>
  <si>
    <t>生产蓝钻时，工作进度提升15%</t>
  </si>
  <si>
    <t>10223,10224,10225</t>
  </si>
  <si>
    <t>技巧理论II</t>
  </si>
  <si>
    <t>jy_gemstone</t>
  </si>
  <si>
    <t>生产宝石时，工作进度提升10%</t>
  </si>
  <si>
    <t>10409,10509,10609</t>
  </si>
  <si>
    <t>生产古铜锭、锡铁锭、精金锭时，工作进度提升10%</t>
  </si>
  <si>
    <t>10226,10227,10228</t>
  </si>
  <si>
    <t>能工巧匠III</t>
  </si>
  <si>
    <t>生产宝石时，工作进度提升18%</t>
  </si>
  <si>
    <t>10309,10709,10410,10510,10610</t>
  </si>
  <si>
    <t>工程学II</t>
  </si>
  <si>
    <t>jy_stone</t>
  </si>
  <si>
    <t>在精炼厂工作时，工作进度提升15%</t>
  </si>
  <si>
    <t>10229,10230,10231</t>
  </si>
  <si>
    <t>生产宝石时，工作进度提升16%</t>
  </si>
  <si>
    <t>11012</t>
  </si>
  <si>
    <t>生产附魂卷时，工作进度提升18%</t>
  </si>
  <si>
    <t>11013</t>
  </si>
  <si>
    <t>占卜术I</t>
  </si>
  <si>
    <t>生产附魂卷时，工作进度提升15%</t>
  </si>
  <si>
    <t>10310,10710,10409,10509,10609</t>
  </si>
  <si>
    <t>工程学I</t>
  </si>
  <si>
    <t>在精炼厂工作时，工作进度提升10%</t>
  </si>
  <si>
    <t>10810,10910</t>
  </si>
  <si>
    <t>在图书馆工作时，工作进度提升10%</t>
  </si>
  <si>
    <t>10811,10911</t>
  </si>
  <si>
    <t>在图书馆工作时，工作进度提升12%</t>
  </si>
  <si>
    <t>10232,10233,10234</t>
  </si>
  <si>
    <t>生产宝石时，工作进度提升15%</t>
  </si>
  <si>
    <t>11014</t>
  </si>
  <si>
    <t>附魂师III</t>
  </si>
  <si>
    <t>生产附魂卷时，工作进度提升12%</t>
  </si>
  <si>
    <t>10235,10236,10237</t>
  </si>
  <si>
    <t>技巧理论III</t>
  </si>
  <si>
    <t>生产宝石时，工作进度提升12%</t>
  </si>
  <si>
    <t>10908</t>
  </si>
  <si>
    <t>生产训练书时，工作进度提升15%</t>
  </si>
  <si>
    <t>10110</t>
  </si>
  <si>
    <t>手工技艺II</t>
  </si>
  <si>
    <t>生产蓝钻时，工作进度提升10%</t>
  </si>
  <si>
    <t>11015</t>
  </si>
  <si>
    <t>附魂师II</t>
  </si>
  <si>
    <t>生产附魂卷时，工作进度提升10%</t>
  </si>
  <si>
    <t>11016</t>
  </si>
  <si>
    <t>生产附魂卷时，工作进度提升23%</t>
  </si>
  <si>
    <t>神圣的祈福</t>
  </si>
  <si>
    <t>家园掠夺战中，战斗开始己方全员获得一个20%生命的护盾</t>
  </si>
  <si>
    <t>神树3</t>
  </si>
  <si>
    <t>防御塔</t>
  </si>
  <si>
    <t>家园掠夺防御战中，己方受到技能伤害降低15%</t>
  </si>
  <si>
    <t>樱花祭奠</t>
  </si>
  <si>
    <t>樱花祭2</t>
  </si>
  <si>
    <t>40105</t>
  </si>
  <si>
    <t>独处III</t>
  </si>
  <si>
    <t>入住宿舍，体力恢复速度提升20%</t>
  </si>
  <si>
    <t>20104</t>
  </si>
  <si>
    <t>设备维护I</t>
  </si>
  <si>
    <t>生产时，体力消耗减少5%</t>
  </si>
  <si>
    <t>10710</t>
  </si>
  <si>
    <t>工艺指导I</t>
  </si>
  <si>
    <t>生产英雄之石时，工作进度提升10%</t>
  </si>
  <si>
    <t>10812,10912</t>
  </si>
  <si>
    <t>学者I</t>
  </si>
  <si>
    <t>在图书馆工作时，工作进度提升5%</t>
  </si>
  <si>
    <t>10112</t>
  </si>
  <si>
    <t>手工技艺I</t>
  </si>
  <si>
    <t>生产蓝钻时，工作进度提升5%</t>
  </si>
  <si>
    <t>11017</t>
  </si>
  <si>
    <t>附魂师I</t>
  </si>
  <si>
    <t>生产附魂卷时，工作进度提升5%</t>
  </si>
  <si>
    <t>10238,10239,10240</t>
  </si>
  <si>
    <t>技巧理论I</t>
  </si>
  <si>
    <t>生产宝石时，工作进度提升5%</t>
  </si>
  <si>
    <t>40207</t>
  </si>
  <si>
    <t>休闲</t>
  </si>
  <si>
    <t>在宿舍时，加快宿舍内角色体力恢复速度10%</t>
  </si>
  <si>
    <t>60107</t>
  </si>
  <si>
    <t>地质学家III</t>
  </si>
  <si>
    <t>生产精华时，生产效率提升30%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</si>
</sst>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</font>
    <font>
      <sz val="9"/>
      <color indexed="8"/>
      <name val="微软雅黑"/>
      <charset val="134"/>
    </font>
    <font>
      <sz val="11"/>
      <color indexed="8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等线"/>
      <charset val="0"/>
      <scheme val="minor"/>
    </font>
    <font>
      <sz val="9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6" applyNumberFormat="0" applyAlignment="0" applyProtection="0">
      <alignment vertical="center"/>
    </xf>
    <xf numFmtId="0" fontId="15" fillId="10" borderId="5" applyNumberFormat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49" fontId="1" fillId="2" borderId="0" xfId="0" applyNumberFormat="1" applyFont="1" applyFill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/>
    <xf numFmtId="0" fontId="1" fillId="4" borderId="0" xfId="0" applyFont="1" applyFill="1" applyAlignment="1">
      <alignment vertical="center"/>
    </xf>
    <xf numFmtId="0" fontId="3" fillId="5" borderId="1" xfId="0" applyFont="1" applyFill="1" applyBorder="1"/>
    <xf numFmtId="0" fontId="1" fillId="6" borderId="0" xfId="0" applyFont="1" applyFill="1" applyAlignment="1">
      <alignment vertical="center"/>
    </xf>
    <xf numFmtId="0" fontId="3" fillId="7" borderId="1" xfId="0" applyFont="1" applyFill="1" applyBorder="1"/>
    <xf numFmtId="0" fontId="1" fillId="0" borderId="0" xfId="0" applyFont="1" applyFill="1" applyBorder="1" applyAlignment="1">
      <alignment vertical="center"/>
    </xf>
    <xf numFmtId="0" fontId="4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676275</xdr:colOff>
      <xdr:row>9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5763875" cy="1628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0"/>
  <sheetViews>
    <sheetView tabSelected="1" topLeftCell="A131" workbookViewId="0">
      <selection activeCell="O160" sqref="O160"/>
    </sheetView>
  </sheetViews>
  <sheetFormatPr defaultColWidth="9" defaultRowHeight="14.25"/>
  <cols>
    <col min="1" max="1" width="8.5" customWidth="1"/>
    <col min="2" max="2" width="10.5" customWidth="1"/>
    <col min="3" max="3" width="17.25" customWidth="1"/>
    <col min="4" max="4" width="2.75" customWidth="1"/>
    <col min="9" max="9" width="13.875" customWidth="1"/>
    <col min="14" max="14" width="4.5" customWidth="1"/>
    <col min="15" max="15" width="69.375" customWidth="1"/>
  </cols>
  <sheetData>
    <row r="1" spans="1:15">
      <c r="A1" s="1">
        <v>7</v>
      </c>
      <c r="B1" s="1">
        <v>1</v>
      </c>
      <c r="C1" s="1">
        <v>9999</v>
      </c>
      <c r="D1" s="1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1" t="s">
        <v>3</v>
      </c>
      <c r="B3" s="1" t="s">
        <v>4</v>
      </c>
      <c r="C3" s="1" t="s">
        <v>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>
      <c r="A4" s="1" t="s">
        <v>6</v>
      </c>
      <c r="B4" s="1" t="s">
        <v>6</v>
      </c>
      <c r="C4" s="1" t="s">
        <v>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>
      <c r="A5" s="1" t="s">
        <v>8</v>
      </c>
      <c r="B5" s="1" t="s">
        <v>9</v>
      </c>
      <c r="C5" s="1" t="s">
        <v>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>
      <c r="A6" s="1" t="s">
        <v>3</v>
      </c>
      <c r="B6" s="1" t="s">
        <v>4</v>
      </c>
      <c r="C6" s="1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6.5" spans="1:15">
      <c r="A7" s="6">
        <v>112028</v>
      </c>
      <c r="B7" s="1">
        <v>480</v>
      </c>
      <c r="C7" s="1" t="s">
        <v>10</v>
      </c>
      <c r="D7" s="7"/>
      <c r="E7" s="13"/>
      <c r="F7" s="1"/>
      <c r="G7" s="1"/>
      <c r="H7" s="1"/>
      <c r="I7" s="8" t="s">
        <v>11</v>
      </c>
      <c r="J7" s="1"/>
      <c r="K7" s="1"/>
      <c r="L7" s="1"/>
      <c r="M7" s="1"/>
      <c r="N7" s="1">
        <v>1</v>
      </c>
      <c r="O7" s="1" t="s">
        <v>12</v>
      </c>
    </row>
    <row r="8" ht="16.5" spans="1:15">
      <c r="A8" s="6">
        <v>113001</v>
      </c>
      <c r="B8" s="1">
        <v>360</v>
      </c>
      <c r="C8" s="1" t="s">
        <v>13</v>
      </c>
      <c r="D8" s="7"/>
      <c r="E8" s="13"/>
      <c r="F8" s="1"/>
      <c r="G8" s="1"/>
      <c r="H8" s="1"/>
      <c r="I8" s="8" t="s">
        <v>14</v>
      </c>
      <c r="J8" s="1"/>
      <c r="K8" s="1"/>
      <c r="L8" s="1"/>
      <c r="M8" s="1"/>
      <c r="N8" s="1">
        <v>2</v>
      </c>
      <c r="O8" s="1" t="s">
        <v>15</v>
      </c>
    </row>
    <row r="9" ht="16.5" spans="1:15">
      <c r="A9" s="6">
        <v>113002</v>
      </c>
      <c r="B9" s="1">
        <v>360</v>
      </c>
      <c r="C9" s="1" t="s">
        <v>16</v>
      </c>
      <c r="D9" s="7"/>
      <c r="E9" s="13"/>
      <c r="F9" s="1"/>
      <c r="G9" s="1"/>
      <c r="H9" s="1"/>
      <c r="I9" s="8" t="s">
        <v>17</v>
      </c>
      <c r="J9" s="1"/>
      <c r="K9" s="1"/>
      <c r="L9" s="1"/>
      <c r="M9" s="1"/>
      <c r="N9" s="1">
        <v>3</v>
      </c>
      <c r="O9" s="1" t="s">
        <v>18</v>
      </c>
    </row>
    <row r="10" ht="16.5" spans="1:15">
      <c r="A10" s="6">
        <v>113003</v>
      </c>
      <c r="B10" s="1">
        <v>360</v>
      </c>
      <c r="C10" s="1" t="s">
        <v>19</v>
      </c>
      <c r="D10" s="7"/>
      <c r="E10" s="13"/>
      <c r="F10" s="1"/>
      <c r="G10" s="1"/>
      <c r="H10" s="1"/>
      <c r="I10" s="8" t="s">
        <v>20</v>
      </c>
      <c r="J10" s="1"/>
      <c r="K10" s="1"/>
      <c r="L10" s="1"/>
      <c r="M10" s="1"/>
      <c r="N10" s="1">
        <v>4</v>
      </c>
      <c r="O10" s="1" t="s">
        <v>21</v>
      </c>
    </row>
    <row r="11" ht="16.5" spans="1:15">
      <c r="A11" s="6">
        <v>113004</v>
      </c>
      <c r="B11" s="1">
        <v>480</v>
      </c>
      <c r="C11" s="1" t="s">
        <v>22</v>
      </c>
      <c r="D11" s="7"/>
      <c r="E11" s="13"/>
      <c r="F11" s="1"/>
      <c r="G11" s="1"/>
      <c r="H11" s="1"/>
      <c r="I11" s="8" t="s">
        <v>23</v>
      </c>
      <c r="J11" s="1"/>
      <c r="K11" s="1"/>
      <c r="L11" s="1"/>
      <c r="M11" s="1"/>
      <c r="N11" s="1">
        <v>5</v>
      </c>
      <c r="O11" s="1" t="s">
        <v>24</v>
      </c>
    </row>
    <row r="12" ht="16.5" spans="1:15">
      <c r="A12" s="6">
        <v>113005</v>
      </c>
      <c r="B12" s="1">
        <v>360</v>
      </c>
      <c r="C12" s="1" t="s">
        <v>25</v>
      </c>
      <c r="D12" s="7"/>
      <c r="E12" s="13"/>
      <c r="F12" s="1"/>
      <c r="G12" s="1"/>
      <c r="H12" s="1"/>
      <c r="I12" s="8" t="s">
        <v>26</v>
      </c>
      <c r="J12" s="1"/>
      <c r="K12" s="1"/>
      <c r="L12" s="1"/>
      <c r="M12" s="1"/>
      <c r="N12" s="1">
        <v>6</v>
      </c>
      <c r="O12" s="1" t="s">
        <v>27</v>
      </c>
    </row>
    <row r="13" ht="16.5" spans="1:15">
      <c r="A13" s="6">
        <v>113006</v>
      </c>
      <c r="B13" s="1">
        <v>480</v>
      </c>
      <c r="C13" s="1" t="s">
        <v>28</v>
      </c>
      <c r="D13" s="7"/>
      <c r="E13" s="13"/>
      <c r="F13" s="1"/>
      <c r="G13" s="1"/>
      <c r="H13" s="1"/>
      <c r="I13" s="8" t="s">
        <v>29</v>
      </c>
      <c r="J13" s="1"/>
      <c r="K13" s="1"/>
      <c r="L13" s="1"/>
      <c r="M13" s="1"/>
      <c r="N13" s="1">
        <v>7</v>
      </c>
      <c r="O13" s="1" t="s">
        <v>30</v>
      </c>
    </row>
    <row r="14" ht="16.5" spans="1:15">
      <c r="A14" s="6">
        <v>113007</v>
      </c>
      <c r="B14" s="1">
        <v>240</v>
      </c>
      <c r="C14" s="1" t="s">
        <v>13</v>
      </c>
      <c r="D14" s="7"/>
      <c r="E14" s="13"/>
      <c r="F14" s="1"/>
      <c r="G14" s="1"/>
      <c r="H14" s="1"/>
      <c r="I14" s="8" t="s">
        <v>31</v>
      </c>
      <c r="J14" s="1"/>
      <c r="K14" s="1"/>
      <c r="L14" s="1"/>
      <c r="M14" s="1"/>
      <c r="N14" s="10">
        <v>8</v>
      </c>
      <c r="O14" s="10" t="s">
        <v>32</v>
      </c>
    </row>
    <row r="15" ht="16.5" spans="1:15">
      <c r="A15" s="6">
        <v>113008</v>
      </c>
      <c r="B15" s="1">
        <v>240</v>
      </c>
      <c r="C15" s="1" t="s">
        <v>33</v>
      </c>
      <c r="D15" s="7"/>
      <c r="E15" s="13"/>
      <c r="F15" s="1"/>
      <c r="G15" s="1"/>
      <c r="H15" s="1"/>
      <c r="I15" s="8" t="s">
        <v>34</v>
      </c>
      <c r="J15" s="1"/>
      <c r="K15" s="1"/>
      <c r="L15" s="1"/>
      <c r="M15" s="1"/>
      <c r="N15" s="1">
        <v>9</v>
      </c>
      <c r="O15" s="1" t="s">
        <v>35</v>
      </c>
    </row>
    <row r="16" ht="16.5" spans="1:15">
      <c r="A16" s="6">
        <v>113009</v>
      </c>
      <c r="B16" s="1">
        <v>360</v>
      </c>
      <c r="C16" s="1" t="s">
        <v>10</v>
      </c>
      <c r="D16" s="7"/>
      <c r="E16" s="13"/>
      <c r="F16" s="1"/>
      <c r="G16" s="1"/>
      <c r="H16" s="1"/>
      <c r="I16" s="8" t="s">
        <v>36</v>
      </c>
      <c r="J16" s="1"/>
      <c r="K16" s="1"/>
      <c r="L16" s="1"/>
      <c r="M16" s="1"/>
      <c r="N16" s="1">
        <v>10</v>
      </c>
      <c r="O16" s="1" t="s">
        <v>37</v>
      </c>
    </row>
    <row r="17" ht="16.5" spans="1:15">
      <c r="A17" s="6">
        <v>113010</v>
      </c>
      <c r="B17" s="1">
        <v>360</v>
      </c>
      <c r="C17" s="1" t="s">
        <v>38</v>
      </c>
      <c r="D17" s="7"/>
      <c r="E17" s="13"/>
      <c r="F17" s="1"/>
      <c r="G17" s="1"/>
      <c r="H17" s="1"/>
      <c r="I17" s="8" t="s">
        <v>39</v>
      </c>
      <c r="J17" s="1"/>
      <c r="K17" s="1"/>
      <c r="L17" s="1"/>
      <c r="M17" s="1"/>
      <c r="N17" s="1">
        <v>11</v>
      </c>
      <c r="O17" s="1" t="s">
        <v>40</v>
      </c>
    </row>
    <row r="18" ht="16.5" spans="1:15">
      <c r="A18" s="6">
        <v>113012</v>
      </c>
      <c r="B18" s="1">
        <v>480</v>
      </c>
      <c r="C18" s="1" t="s">
        <v>41</v>
      </c>
      <c r="D18" s="7"/>
      <c r="E18" s="13"/>
      <c r="F18" s="1"/>
      <c r="G18" s="1"/>
      <c r="H18" s="1"/>
      <c r="I18" s="8" t="s">
        <v>42</v>
      </c>
      <c r="J18" s="1"/>
      <c r="K18" s="1"/>
      <c r="L18" s="1"/>
      <c r="M18" s="1"/>
      <c r="N18" s="1">
        <v>12</v>
      </c>
      <c r="O18" s="1" t="s">
        <v>43</v>
      </c>
    </row>
    <row r="19" ht="16.5" spans="1:15">
      <c r="A19" s="6">
        <v>113013</v>
      </c>
      <c r="B19" s="1">
        <v>480</v>
      </c>
      <c r="C19" s="1" t="s">
        <v>44</v>
      </c>
      <c r="D19" s="7"/>
      <c r="E19" s="13"/>
      <c r="F19" s="1"/>
      <c r="G19" s="1"/>
      <c r="H19" s="1"/>
      <c r="I19" s="8" t="s">
        <v>45</v>
      </c>
      <c r="J19" s="1"/>
      <c r="K19" s="1"/>
      <c r="L19" s="1"/>
      <c r="M19" s="1"/>
      <c r="N19" s="1">
        <v>13</v>
      </c>
      <c r="O19" s="1" t="s">
        <v>46</v>
      </c>
    </row>
    <row r="20" ht="16.5" spans="1:15">
      <c r="A20" s="6">
        <v>113014</v>
      </c>
      <c r="B20" s="1">
        <v>240</v>
      </c>
      <c r="C20" s="1" t="s">
        <v>47</v>
      </c>
      <c r="D20" s="7"/>
      <c r="E20" s="13"/>
      <c r="F20" s="1"/>
      <c r="G20" s="1"/>
      <c r="H20" s="1"/>
      <c r="I20" s="8" t="s">
        <v>48</v>
      </c>
      <c r="J20" s="1"/>
      <c r="K20" s="1"/>
      <c r="L20" s="1"/>
      <c r="M20" s="1"/>
      <c r="N20" s="1">
        <v>14</v>
      </c>
      <c r="O20" s="1" t="s">
        <v>49</v>
      </c>
    </row>
    <row r="21" ht="16.5" spans="1:15">
      <c r="A21" s="6">
        <v>113015</v>
      </c>
      <c r="B21" s="1">
        <v>360</v>
      </c>
      <c r="C21" s="1" t="s">
        <v>50</v>
      </c>
      <c r="D21" s="7"/>
      <c r="E21" s="13"/>
      <c r="F21" s="1"/>
      <c r="G21" s="1"/>
      <c r="H21" s="1"/>
      <c r="I21" s="8" t="s">
        <v>51</v>
      </c>
      <c r="J21" s="1"/>
      <c r="K21" s="1"/>
      <c r="L21" s="1"/>
      <c r="M21" s="1"/>
      <c r="N21" s="10">
        <v>15</v>
      </c>
      <c r="O21" s="10" t="s">
        <v>52</v>
      </c>
    </row>
    <row r="22" ht="16.5" spans="1:15">
      <c r="A22" s="6">
        <v>113017</v>
      </c>
      <c r="B22" s="1">
        <v>360</v>
      </c>
      <c r="C22" s="1" t="s">
        <v>53</v>
      </c>
      <c r="D22" s="7"/>
      <c r="E22" s="13"/>
      <c r="F22" s="1"/>
      <c r="G22" s="1"/>
      <c r="H22" s="1"/>
      <c r="I22" s="8" t="s">
        <v>54</v>
      </c>
      <c r="J22" s="1"/>
      <c r="K22" s="1"/>
      <c r="L22" s="1"/>
      <c r="M22" s="1"/>
      <c r="N22" s="10">
        <v>16</v>
      </c>
      <c r="O22" s="10" t="s">
        <v>55</v>
      </c>
    </row>
    <row r="23" ht="16.5" spans="1:15">
      <c r="A23" s="6">
        <v>113016</v>
      </c>
      <c r="B23" s="1">
        <v>240</v>
      </c>
      <c r="C23" s="1" t="s">
        <v>56</v>
      </c>
      <c r="D23" s="7"/>
      <c r="E23" s="13"/>
      <c r="F23" s="1"/>
      <c r="G23" s="1"/>
      <c r="H23" s="1"/>
      <c r="I23" s="8" t="s">
        <v>57</v>
      </c>
      <c r="J23" s="1"/>
      <c r="K23" s="1"/>
      <c r="L23" s="1"/>
      <c r="M23" s="1"/>
      <c r="N23" s="10">
        <v>17</v>
      </c>
      <c r="O23" s="10" t="s">
        <v>58</v>
      </c>
    </row>
    <row r="24" ht="16.5" spans="1:15">
      <c r="A24" s="6">
        <v>113018</v>
      </c>
      <c r="B24" s="1">
        <v>360</v>
      </c>
      <c r="C24" s="1" t="s">
        <v>59</v>
      </c>
      <c r="D24" s="7"/>
      <c r="E24" s="13"/>
      <c r="F24" s="1"/>
      <c r="G24" s="1"/>
      <c r="H24" s="1"/>
      <c r="I24" s="8" t="s">
        <v>60</v>
      </c>
      <c r="J24" s="1"/>
      <c r="K24" s="1"/>
      <c r="L24" s="1"/>
      <c r="M24" s="1"/>
      <c r="N24" s="1">
        <v>18</v>
      </c>
      <c r="O24" s="1" t="s">
        <v>61</v>
      </c>
    </row>
    <row r="25" ht="16.5" spans="1:15">
      <c r="A25" s="6">
        <v>113019</v>
      </c>
      <c r="B25" s="1">
        <v>480</v>
      </c>
      <c r="C25" s="1" t="s">
        <v>62</v>
      </c>
      <c r="D25" s="7"/>
      <c r="E25" s="13"/>
      <c r="F25" s="1"/>
      <c r="G25" s="1"/>
      <c r="H25" s="1"/>
      <c r="I25" s="8" t="s">
        <v>63</v>
      </c>
      <c r="J25" s="1"/>
      <c r="K25" s="1"/>
      <c r="L25" s="1"/>
      <c r="M25" s="1"/>
      <c r="N25" s="10">
        <v>19</v>
      </c>
      <c r="O25" s="10" t="s">
        <v>64</v>
      </c>
    </row>
    <row r="26" ht="16.5" spans="1:15">
      <c r="A26" s="6">
        <v>113020</v>
      </c>
      <c r="B26" s="1">
        <v>360</v>
      </c>
      <c r="C26" s="1" t="s">
        <v>65</v>
      </c>
      <c r="D26" s="7"/>
      <c r="E26" s="13"/>
      <c r="F26" s="1"/>
      <c r="G26" s="1"/>
      <c r="H26" s="1"/>
      <c r="I26" s="8" t="s">
        <v>66</v>
      </c>
      <c r="J26" s="1"/>
      <c r="K26" s="1"/>
      <c r="L26" s="1"/>
      <c r="M26" s="1"/>
      <c r="N26" s="1">
        <v>20</v>
      </c>
      <c r="O26" s="1" t="s">
        <v>67</v>
      </c>
    </row>
    <row r="27" ht="16.5" spans="1:15">
      <c r="A27" s="6">
        <v>113022</v>
      </c>
      <c r="B27" s="1">
        <v>360</v>
      </c>
      <c r="C27" s="1" t="s">
        <v>68</v>
      </c>
      <c r="D27" s="7"/>
      <c r="E27" s="13"/>
      <c r="F27" s="1"/>
      <c r="G27" s="1"/>
      <c r="H27" s="1"/>
      <c r="I27" s="8" t="s">
        <v>69</v>
      </c>
      <c r="J27" s="1"/>
      <c r="K27" s="1"/>
      <c r="L27" s="1"/>
      <c r="M27" s="1"/>
      <c r="N27" s="1">
        <v>21</v>
      </c>
      <c r="O27" s="1" t="s">
        <v>70</v>
      </c>
    </row>
    <row r="28" ht="16.5" spans="1:15">
      <c r="A28" s="6">
        <v>113021</v>
      </c>
      <c r="B28" s="1">
        <v>480</v>
      </c>
      <c r="C28" s="1" t="s">
        <v>10</v>
      </c>
      <c r="D28" s="7"/>
      <c r="E28" s="13"/>
      <c r="F28" s="1"/>
      <c r="G28" s="1"/>
      <c r="H28" s="1"/>
      <c r="I28" s="8" t="s">
        <v>71</v>
      </c>
      <c r="J28" s="1"/>
      <c r="K28" s="1"/>
      <c r="L28" s="1"/>
      <c r="M28" s="1"/>
      <c r="N28" s="10">
        <v>22</v>
      </c>
      <c r="O28" s="10" t="s">
        <v>72</v>
      </c>
    </row>
    <row r="29" ht="16.5" spans="1:15">
      <c r="A29" s="6">
        <v>113023</v>
      </c>
      <c r="B29" s="1">
        <v>480</v>
      </c>
      <c r="C29" s="1" t="s">
        <v>73</v>
      </c>
      <c r="D29" s="7"/>
      <c r="E29" s="13"/>
      <c r="F29" s="1"/>
      <c r="G29" s="1"/>
      <c r="H29" s="1"/>
      <c r="I29" s="8" t="s">
        <v>74</v>
      </c>
      <c r="J29" s="1"/>
      <c r="K29" s="1"/>
      <c r="L29" s="1"/>
      <c r="M29" s="1"/>
      <c r="N29" s="10">
        <v>23</v>
      </c>
      <c r="O29" s="10" t="s">
        <v>75</v>
      </c>
    </row>
    <row r="30" ht="16.5" spans="1:15">
      <c r="A30" s="6">
        <v>113024</v>
      </c>
      <c r="B30" s="1">
        <v>480</v>
      </c>
      <c r="C30" s="1" t="s">
        <v>16</v>
      </c>
      <c r="D30" s="7"/>
      <c r="E30" s="13"/>
      <c r="F30" s="1"/>
      <c r="G30" s="1"/>
      <c r="H30" s="1"/>
      <c r="I30" s="8" t="s">
        <v>76</v>
      </c>
      <c r="J30" s="1"/>
      <c r="K30" s="1"/>
      <c r="L30" s="1"/>
      <c r="M30" s="1"/>
      <c r="N30" s="1">
        <v>24</v>
      </c>
      <c r="O30" s="1" t="s">
        <v>77</v>
      </c>
    </row>
    <row r="31" ht="16.5" spans="1:15">
      <c r="A31" s="6">
        <v>113026</v>
      </c>
      <c r="B31" s="1">
        <v>360</v>
      </c>
      <c r="C31" s="1" t="s">
        <v>38</v>
      </c>
      <c r="D31" s="7"/>
      <c r="E31" s="13"/>
      <c r="F31" s="1"/>
      <c r="G31" s="1"/>
      <c r="H31" s="1"/>
      <c r="I31" s="8" t="s">
        <v>78</v>
      </c>
      <c r="J31" s="1"/>
      <c r="K31" s="1"/>
      <c r="L31" s="1"/>
      <c r="M31" s="1"/>
      <c r="N31" s="1">
        <v>25</v>
      </c>
      <c r="O31" s="1" t="s">
        <v>79</v>
      </c>
    </row>
    <row r="32" ht="16.5" spans="1:15">
      <c r="A32" s="6">
        <v>113025</v>
      </c>
      <c r="B32" s="1">
        <v>360</v>
      </c>
      <c r="C32" s="1" t="s">
        <v>50</v>
      </c>
      <c r="D32" s="7"/>
      <c r="E32" s="13"/>
      <c r="F32" s="1"/>
      <c r="G32" s="1"/>
      <c r="H32" s="1"/>
      <c r="I32" s="8" t="s">
        <v>80</v>
      </c>
      <c r="J32" s="1"/>
      <c r="K32" s="1"/>
      <c r="L32" s="1"/>
      <c r="M32" s="1"/>
      <c r="N32" s="10">
        <v>26</v>
      </c>
      <c r="O32" s="10" t="s">
        <v>81</v>
      </c>
    </row>
    <row r="33" ht="16.5" spans="1:15">
      <c r="A33" s="6">
        <v>113027</v>
      </c>
      <c r="B33" s="1">
        <v>360</v>
      </c>
      <c r="C33" s="1" t="s">
        <v>82</v>
      </c>
      <c r="D33" s="7"/>
      <c r="E33" s="13"/>
      <c r="F33" s="1"/>
      <c r="G33" s="1"/>
      <c r="H33" s="1"/>
      <c r="I33" s="8" t="s">
        <v>83</v>
      </c>
      <c r="J33" s="1"/>
      <c r="K33" s="1"/>
      <c r="L33" s="1"/>
      <c r="M33" s="1"/>
      <c r="N33" s="1">
        <v>27</v>
      </c>
      <c r="O33" s="1" t="s">
        <v>84</v>
      </c>
    </row>
    <row r="34" ht="16.5" spans="1:15">
      <c r="A34" s="6">
        <v>113028</v>
      </c>
      <c r="B34" s="1">
        <v>240</v>
      </c>
      <c r="C34" s="1" t="s">
        <v>85</v>
      </c>
      <c r="D34" s="7"/>
      <c r="E34" s="13"/>
      <c r="F34" s="1"/>
      <c r="G34" s="1"/>
      <c r="H34" s="1"/>
      <c r="I34" s="8" t="s">
        <v>86</v>
      </c>
      <c r="J34" s="1"/>
      <c r="K34" s="1"/>
      <c r="L34" s="1"/>
      <c r="M34" s="1"/>
      <c r="N34" s="1">
        <v>28</v>
      </c>
      <c r="O34" s="1" t="s">
        <v>87</v>
      </c>
    </row>
    <row r="35" ht="16.5" spans="1:15">
      <c r="A35" s="6">
        <v>113030</v>
      </c>
      <c r="B35" s="1">
        <v>480</v>
      </c>
      <c r="C35" s="1" t="s">
        <v>88</v>
      </c>
      <c r="D35" s="7"/>
      <c r="E35" s="13"/>
      <c r="F35" s="1"/>
      <c r="G35" s="1"/>
      <c r="H35" s="1"/>
      <c r="I35" s="8" t="s">
        <v>89</v>
      </c>
      <c r="J35" s="1"/>
      <c r="K35" s="1"/>
      <c r="L35" s="1"/>
      <c r="M35" s="1"/>
      <c r="N35" s="10">
        <v>29</v>
      </c>
      <c r="O35" s="10" t="s">
        <v>90</v>
      </c>
    </row>
    <row r="36" ht="16.5" spans="1:15">
      <c r="A36" s="6">
        <v>113029</v>
      </c>
      <c r="B36" s="1">
        <v>240</v>
      </c>
      <c r="C36" s="1" t="s">
        <v>85</v>
      </c>
      <c r="D36" s="7"/>
      <c r="E36" s="13"/>
      <c r="F36" s="1"/>
      <c r="G36" s="1"/>
      <c r="H36" s="1"/>
      <c r="I36" s="8" t="s">
        <v>91</v>
      </c>
      <c r="J36" s="1"/>
      <c r="K36" s="1"/>
      <c r="L36" s="1"/>
      <c r="M36" s="1"/>
      <c r="N36" s="1">
        <v>30</v>
      </c>
      <c r="O36" s="1" t="s">
        <v>92</v>
      </c>
    </row>
    <row r="37" ht="16.5" spans="1:15">
      <c r="A37" s="6">
        <v>113031</v>
      </c>
      <c r="B37" s="1">
        <v>360</v>
      </c>
      <c r="C37" s="1" t="s">
        <v>93</v>
      </c>
      <c r="D37" s="7"/>
      <c r="E37" s="13"/>
      <c r="F37" s="1"/>
      <c r="G37" s="1"/>
      <c r="H37" s="1"/>
      <c r="I37" s="8" t="s">
        <v>94</v>
      </c>
      <c r="J37" s="1"/>
      <c r="K37" s="1"/>
      <c r="L37" s="1"/>
      <c r="M37" s="1"/>
      <c r="N37" s="10">
        <v>31</v>
      </c>
      <c r="O37" s="10" t="s">
        <v>95</v>
      </c>
    </row>
    <row r="38" ht="16.5" spans="1:15">
      <c r="A38" s="6">
        <v>112001</v>
      </c>
      <c r="B38" s="1">
        <v>360</v>
      </c>
      <c r="C38" s="1" t="s">
        <v>96</v>
      </c>
      <c r="D38" s="7"/>
      <c r="E38" s="13"/>
      <c r="F38" s="1"/>
      <c r="G38" s="1"/>
      <c r="H38" s="1"/>
      <c r="I38" s="8" t="s">
        <v>97</v>
      </c>
      <c r="J38" s="1"/>
      <c r="K38" s="1"/>
      <c r="L38" s="1"/>
      <c r="M38" s="1"/>
      <c r="N38" s="1">
        <v>32</v>
      </c>
      <c r="O38" s="1" t="s">
        <v>98</v>
      </c>
    </row>
    <row r="39" ht="16.5" spans="1:15">
      <c r="A39" s="6">
        <v>112002</v>
      </c>
      <c r="B39" s="1">
        <v>360</v>
      </c>
      <c r="C39" s="1" t="s">
        <v>99</v>
      </c>
      <c r="D39" s="7"/>
      <c r="E39" s="13"/>
      <c r="F39" s="1"/>
      <c r="G39" s="1"/>
      <c r="H39" s="1"/>
      <c r="I39" s="8" t="s">
        <v>100</v>
      </c>
      <c r="J39" s="1"/>
      <c r="K39" s="1"/>
      <c r="L39" s="1"/>
      <c r="M39" s="1"/>
      <c r="N39" s="1">
        <v>33</v>
      </c>
      <c r="O39" s="1" t="s">
        <v>101</v>
      </c>
    </row>
    <row r="40" ht="16.5" spans="1:15">
      <c r="A40" s="6">
        <v>112008</v>
      </c>
      <c r="B40" s="1">
        <v>480</v>
      </c>
      <c r="C40" s="1" t="s">
        <v>102</v>
      </c>
      <c r="D40" s="7"/>
      <c r="E40" s="13"/>
      <c r="F40" s="1"/>
      <c r="G40" s="1"/>
      <c r="H40" s="1"/>
      <c r="I40" s="8" t="s">
        <v>103</v>
      </c>
      <c r="J40" s="1"/>
      <c r="K40" s="1"/>
      <c r="L40" s="1"/>
      <c r="M40" s="1"/>
      <c r="N40" s="10">
        <v>34</v>
      </c>
      <c r="O40" s="10" t="s">
        <v>104</v>
      </c>
    </row>
    <row r="41" ht="16.5" spans="1:15">
      <c r="A41" s="6">
        <v>112003</v>
      </c>
      <c r="B41" s="1">
        <v>240</v>
      </c>
      <c r="C41" s="1" t="s">
        <v>105</v>
      </c>
      <c r="D41" s="7"/>
      <c r="E41" s="13"/>
      <c r="F41" s="1"/>
      <c r="G41" s="1"/>
      <c r="H41" s="1"/>
      <c r="I41" s="8" t="s">
        <v>106</v>
      </c>
      <c r="J41" s="1"/>
      <c r="K41" s="1"/>
      <c r="L41" s="1"/>
      <c r="M41" s="1"/>
      <c r="N41" s="10">
        <v>35</v>
      </c>
      <c r="O41" s="10" t="s">
        <v>107</v>
      </c>
    </row>
    <row r="42" ht="16.5" spans="1:15">
      <c r="A42" s="6">
        <v>112005</v>
      </c>
      <c r="B42" s="1">
        <v>240</v>
      </c>
      <c r="C42" s="1" t="s">
        <v>108</v>
      </c>
      <c r="D42" s="7"/>
      <c r="E42" s="13"/>
      <c r="F42" s="1"/>
      <c r="G42" s="1"/>
      <c r="H42" s="1"/>
      <c r="I42" s="8" t="s">
        <v>109</v>
      </c>
      <c r="J42" s="1"/>
      <c r="K42" s="1"/>
      <c r="L42" s="1"/>
      <c r="M42" s="1"/>
      <c r="N42" s="1">
        <v>36</v>
      </c>
      <c r="O42" s="1" t="s">
        <v>110</v>
      </c>
    </row>
    <row r="43" ht="16.5" spans="1:15">
      <c r="A43" s="6">
        <v>112004</v>
      </c>
      <c r="B43" s="1">
        <v>360</v>
      </c>
      <c r="C43" s="1" t="s">
        <v>111</v>
      </c>
      <c r="D43" s="7"/>
      <c r="E43" s="13"/>
      <c r="F43" s="1"/>
      <c r="G43" s="1"/>
      <c r="H43" s="1"/>
      <c r="I43" s="8" t="s">
        <v>112</v>
      </c>
      <c r="J43" s="1"/>
      <c r="K43" s="1"/>
      <c r="L43" s="1"/>
      <c r="M43" s="1"/>
      <c r="N43" s="1">
        <v>37</v>
      </c>
      <c r="O43" s="1" t="s">
        <v>113</v>
      </c>
    </row>
    <row r="44" ht="16.5" spans="1:15">
      <c r="A44" s="6">
        <v>112009</v>
      </c>
      <c r="B44" s="1">
        <v>240</v>
      </c>
      <c r="C44" s="1" t="s">
        <v>114</v>
      </c>
      <c r="D44" s="7"/>
      <c r="E44" s="13"/>
      <c r="F44" s="1"/>
      <c r="G44" s="1"/>
      <c r="H44" s="1"/>
      <c r="I44" s="8" t="s">
        <v>115</v>
      </c>
      <c r="J44" s="1"/>
      <c r="K44" s="1"/>
      <c r="L44" s="1"/>
      <c r="M44" s="1"/>
      <c r="N44" s="1">
        <v>38</v>
      </c>
      <c r="O44" s="1" t="s">
        <v>116</v>
      </c>
    </row>
    <row r="45" ht="16.5" spans="1:15">
      <c r="A45" s="6">
        <v>112006</v>
      </c>
      <c r="B45" s="1">
        <v>240</v>
      </c>
      <c r="C45" s="1" t="s">
        <v>117</v>
      </c>
      <c r="D45" s="7"/>
      <c r="E45" s="13"/>
      <c r="F45" s="1"/>
      <c r="G45" s="1"/>
      <c r="H45" s="1"/>
      <c r="I45" s="8" t="s">
        <v>118</v>
      </c>
      <c r="J45" s="1"/>
      <c r="K45" s="1"/>
      <c r="L45" s="1"/>
      <c r="M45" s="1"/>
      <c r="N45" s="1">
        <v>39</v>
      </c>
      <c r="O45" s="1" t="s">
        <v>119</v>
      </c>
    </row>
    <row r="46" ht="16.5" spans="1:15">
      <c r="A46" s="6">
        <v>112007</v>
      </c>
      <c r="B46" s="1">
        <v>240</v>
      </c>
      <c r="C46" s="1" t="s">
        <v>120</v>
      </c>
      <c r="D46" s="9"/>
      <c r="E46" s="13"/>
      <c r="F46" s="1"/>
      <c r="G46" s="1"/>
      <c r="H46" s="1"/>
      <c r="I46" s="8" t="s">
        <v>121</v>
      </c>
      <c r="J46" s="1"/>
      <c r="K46" s="1"/>
      <c r="L46" s="1"/>
      <c r="M46" s="1"/>
      <c r="N46" s="1">
        <v>40</v>
      </c>
      <c r="O46" s="1" t="s">
        <v>122</v>
      </c>
    </row>
    <row r="47" ht="16.5" spans="1:15">
      <c r="A47" s="6">
        <v>112010</v>
      </c>
      <c r="B47" s="1">
        <v>360</v>
      </c>
      <c r="C47" s="1" t="s">
        <v>123</v>
      </c>
      <c r="D47" s="9"/>
      <c r="E47" s="13"/>
      <c r="F47" s="1"/>
      <c r="G47" s="1"/>
      <c r="H47" s="1"/>
      <c r="I47" s="8" t="s">
        <v>124</v>
      </c>
      <c r="J47" s="1"/>
      <c r="K47" s="1"/>
      <c r="L47" s="1"/>
      <c r="M47" s="1"/>
      <c r="N47" s="1">
        <v>41</v>
      </c>
      <c r="O47" s="1" t="s">
        <v>125</v>
      </c>
    </row>
    <row r="48" ht="16.5" spans="1:15">
      <c r="A48" s="6">
        <v>112011</v>
      </c>
      <c r="B48" s="1">
        <v>360</v>
      </c>
      <c r="C48" s="1" t="s">
        <v>126</v>
      </c>
      <c r="D48" s="9"/>
      <c r="E48" s="13"/>
      <c r="F48" s="1"/>
      <c r="G48" s="1"/>
      <c r="H48" s="1"/>
      <c r="I48" s="8" t="s">
        <v>127</v>
      </c>
      <c r="J48" s="1"/>
      <c r="K48" s="1"/>
      <c r="L48" s="1"/>
      <c r="M48" s="1"/>
      <c r="N48" s="10">
        <v>42</v>
      </c>
      <c r="O48" s="10" t="s">
        <v>128</v>
      </c>
    </row>
    <row r="49" ht="16.5" spans="1:15">
      <c r="A49" s="6">
        <v>112012</v>
      </c>
      <c r="B49" s="1">
        <v>240</v>
      </c>
      <c r="C49" s="1" t="s">
        <v>96</v>
      </c>
      <c r="D49" s="9"/>
      <c r="E49" s="13"/>
      <c r="F49" s="1"/>
      <c r="G49" s="1"/>
      <c r="H49" s="1"/>
      <c r="I49" s="8" t="s">
        <v>129</v>
      </c>
      <c r="J49" s="1"/>
      <c r="K49" s="1"/>
      <c r="L49" s="1"/>
      <c r="M49" s="1"/>
      <c r="N49" s="10">
        <v>43</v>
      </c>
      <c r="O49" s="10" t="s">
        <v>130</v>
      </c>
    </row>
    <row r="50" ht="16.5" spans="1:15">
      <c r="A50" s="6">
        <v>112013</v>
      </c>
      <c r="B50" s="1">
        <v>360</v>
      </c>
      <c r="C50" s="1" t="s">
        <v>111</v>
      </c>
      <c r="D50" s="9"/>
      <c r="E50" s="13"/>
      <c r="F50" s="1"/>
      <c r="G50" s="1"/>
      <c r="H50" s="1"/>
      <c r="I50" s="8" t="s">
        <v>131</v>
      </c>
      <c r="J50" s="1"/>
      <c r="K50" s="1"/>
      <c r="L50" s="1"/>
      <c r="M50" s="1"/>
      <c r="N50" s="10">
        <v>44</v>
      </c>
      <c r="O50" s="10" t="s">
        <v>132</v>
      </c>
    </row>
    <row r="51" ht="16.5" spans="1:15">
      <c r="A51" s="6">
        <v>112014</v>
      </c>
      <c r="B51" s="1">
        <v>360</v>
      </c>
      <c r="C51" s="1" t="s">
        <v>133</v>
      </c>
      <c r="D51" s="9"/>
      <c r="E51" s="13"/>
      <c r="F51" s="1"/>
      <c r="G51" s="1"/>
      <c r="H51" s="1"/>
      <c r="I51" s="8" t="s">
        <v>134</v>
      </c>
      <c r="J51" s="1"/>
      <c r="K51" s="1"/>
      <c r="L51" s="1"/>
      <c r="M51" s="1"/>
      <c r="N51" s="1">
        <v>45</v>
      </c>
      <c r="O51" s="1" t="s">
        <v>135</v>
      </c>
    </row>
    <row r="52" ht="16.5" spans="1:15">
      <c r="A52" s="6">
        <v>112015</v>
      </c>
      <c r="B52" s="1">
        <v>240</v>
      </c>
      <c r="C52" s="1" t="s">
        <v>136</v>
      </c>
      <c r="D52" s="9"/>
      <c r="E52" s="13"/>
      <c r="F52" s="1"/>
      <c r="G52" s="1"/>
      <c r="H52" s="1"/>
      <c r="I52" s="8" t="s">
        <v>137</v>
      </c>
      <c r="J52" s="1"/>
      <c r="K52" s="1"/>
      <c r="L52" s="1"/>
      <c r="M52" s="1"/>
      <c r="N52" s="1">
        <v>46</v>
      </c>
      <c r="O52" s="1" t="s">
        <v>138</v>
      </c>
    </row>
    <row r="53" ht="16.5" spans="1:15">
      <c r="A53" s="6">
        <v>112016</v>
      </c>
      <c r="B53" s="1">
        <v>480</v>
      </c>
      <c r="C53" s="1" t="s">
        <v>139</v>
      </c>
      <c r="D53" s="9"/>
      <c r="E53" s="13"/>
      <c r="F53" s="1"/>
      <c r="G53" s="1"/>
      <c r="H53" s="1"/>
      <c r="I53" s="8" t="s">
        <v>140</v>
      </c>
      <c r="J53" s="1"/>
      <c r="K53" s="1"/>
      <c r="L53" s="1"/>
      <c r="M53" s="1"/>
      <c r="N53" s="1">
        <v>47</v>
      </c>
      <c r="O53" s="1" t="s">
        <v>141</v>
      </c>
    </row>
    <row r="54" ht="16.5" spans="1:15">
      <c r="A54" s="6">
        <v>112017</v>
      </c>
      <c r="B54" s="1">
        <v>360</v>
      </c>
      <c r="C54" s="1" t="s">
        <v>142</v>
      </c>
      <c r="D54" s="9"/>
      <c r="E54" s="13"/>
      <c r="F54" s="1"/>
      <c r="G54" s="1"/>
      <c r="H54" s="1"/>
      <c r="I54" s="8" t="s">
        <v>143</v>
      </c>
      <c r="J54" s="1"/>
      <c r="K54" s="1"/>
      <c r="L54" s="1"/>
      <c r="M54" s="1"/>
      <c r="N54" s="10">
        <v>48</v>
      </c>
      <c r="O54" s="10" t="s">
        <v>144</v>
      </c>
    </row>
    <row r="55" ht="16.5" spans="1:15">
      <c r="A55" s="6">
        <v>112019</v>
      </c>
      <c r="B55" s="1">
        <v>360</v>
      </c>
      <c r="C55" s="1" t="s">
        <v>108</v>
      </c>
      <c r="D55" s="9"/>
      <c r="E55" s="13"/>
      <c r="F55" s="1"/>
      <c r="G55" s="1"/>
      <c r="H55" s="1"/>
      <c r="I55" s="8" t="s">
        <v>145</v>
      </c>
      <c r="J55" s="1"/>
      <c r="K55" s="1"/>
      <c r="L55" s="1"/>
      <c r="M55" s="1"/>
      <c r="N55" s="1">
        <v>49</v>
      </c>
      <c r="O55" s="1" t="s">
        <v>146</v>
      </c>
    </row>
    <row r="56" ht="16.5" spans="1:15">
      <c r="A56" s="6">
        <v>112020</v>
      </c>
      <c r="B56" s="1">
        <v>240</v>
      </c>
      <c r="C56" s="1" t="s">
        <v>147</v>
      </c>
      <c r="D56" s="9"/>
      <c r="E56" s="13"/>
      <c r="F56" s="1"/>
      <c r="G56" s="1"/>
      <c r="H56" s="1"/>
      <c r="I56" s="8" t="s">
        <v>148</v>
      </c>
      <c r="J56" s="1"/>
      <c r="K56" s="1"/>
      <c r="L56" s="1"/>
      <c r="M56" s="1"/>
      <c r="N56" s="10">
        <v>50</v>
      </c>
      <c r="O56" s="10" t="s">
        <v>149</v>
      </c>
    </row>
    <row r="57" ht="16.5" spans="1:15">
      <c r="A57" s="6">
        <v>112021</v>
      </c>
      <c r="B57" s="1">
        <v>360</v>
      </c>
      <c r="C57" s="1" t="s">
        <v>150</v>
      </c>
      <c r="D57" s="9"/>
      <c r="E57" s="13"/>
      <c r="F57" s="1"/>
      <c r="G57" s="1"/>
      <c r="H57" s="1"/>
      <c r="I57" s="8" t="s">
        <v>151</v>
      </c>
      <c r="J57" s="1"/>
      <c r="K57" s="1"/>
      <c r="L57" s="1"/>
      <c r="M57" s="1"/>
      <c r="N57" s="1">
        <v>51</v>
      </c>
      <c r="O57" s="1" t="s">
        <v>152</v>
      </c>
    </row>
    <row r="58" ht="16.5" spans="1:15">
      <c r="A58" s="6">
        <v>113011</v>
      </c>
      <c r="B58" s="1">
        <v>480</v>
      </c>
      <c r="C58" s="1" t="s">
        <v>153</v>
      </c>
      <c r="D58" s="9"/>
      <c r="E58" s="13"/>
      <c r="F58" s="1"/>
      <c r="G58" s="1"/>
      <c r="H58" s="1"/>
      <c r="I58" s="8" t="s">
        <v>154</v>
      </c>
      <c r="J58" s="1"/>
      <c r="K58" s="1"/>
      <c r="L58" s="1"/>
      <c r="M58" s="1"/>
      <c r="N58" s="10">
        <v>52</v>
      </c>
      <c r="O58" s="10" t="s">
        <v>155</v>
      </c>
    </row>
    <row r="59" ht="16.5" spans="1:15">
      <c r="A59" s="6">
        <v>112023</v>
      </c>
      <c r="B59" s="1">
        <v>240</v>
      </c>
      <c r="C59" s="1" t="s">
        <v>133</v>
      </c>
      <c r="D59" s="9"/>
      <c r="E59" s="13"/>
      <c r="F59" s="1"/>
      <c r="G59" s="1"/>
      <c r="H59" s="1"/>
      <c r="I59" s="8" t="s">
        <v>156</v>
      </c>
      <c r="J59" s="1"/>
      <c r="K59" s="1"/>
      <c r="L59" s="1"/>
      <c r="M59" s="1"/>
      <c r="N59" s="1">
        <v>53</v>
      </c>
      <c r="O59" s="1" t="s">
        <v>157</v>
      </c>
    </row>
    <row r="60" ht="16.5" spans="1:15">
      <c r="A60" s="6">
        <v>112024</v>
      </c>
      <c r="B60" s="1">
        <v>240</v>
      </c>
      <c r="C60" s="1" t="s">
        <v>158</v>
      </c>
      <c r="D60" s="9"/>
      <c r="E60" s="13"/>
      <c r="F60" s="1"/>
      <c r="G60" s="1"/>
      <c r="H60" s="1"/>
      <c r="I60" s="8" t="s">
        <v>159</v>
      </c>
      <c r="J60" s="1"/>
      <c r="K60" s="1"/>
      <c r="L60" s="1"/>
      <c r="M60" s="1"/>
      <c r="N60" s="1">
        <v>54</v>
      </c>
      <c r="O60" s="1" t="s">
        <v>160</v>
      </c>
    </row>
    <row r="61" ht="16.5" spans="1:15">
      <c r="A61" s="6">
        <v>112025</v>
      </c>
      <c r="B61" s="1">
        <v>240</v>
      </c>
      <c r="C61" s="1" t="s">
        <v>161</v>
      </c>
      <c r="D61" s="9"/>
      <c r="E61" s="13"/>
      <c r="F61" s="1"/>
      <c r="G61" s="1"/>
      <c r="H61" s="1"/>
      <c r="I61" s="8" t="s">
        <v>162</v>
      </c>
      <c r="J61" s="1"/>
      <c r="K61" s="1"/>
      <c r="L61" s="1"/>
      <c r="M61" s="1"/>
      <c r="N61" s="10">
        <v>55</v>
      </c>
      <c r="O61" s="10" t="s">
        <v>163</v>
      </c>
    </row>
    <row r="62" ht="16.5" spans="1:15">
      <c r="A62" s="6">
        <v>112026</v>
      </c>
      <c r="B62" s="1">
        <v>480</v>
      </c>
      <c r="C62" s="1" t="s">
        <v>164</v>
      </c>
      <c r="D62" s="9"/>
      <c r="E62" s="13"/>
      <c r="F62" s="1"/>
      <c r="G62" s="1"/>
      <c r="H62" s="1"/>
      <c r="I62" s="8" t="s">
        <v>165</v>
      </c>
      <c r="J62" s="1"/>
      <c r="K62" s="1"/>
      <c r="L62" s="1"/>
      <c r="M62" s="1"/>
      <c r="N62" s="1">
        <v>56</v>
      </c>
      <c r="O62" s="1" t="s">
        <v>166</v>
      </c>
    </row>
    <row r="63" ht="16.5" spans="1:15">
      <c r="A63" s="6">
        <v>112027</v>
      </c>
      <c r="B63" s="1">
        <v>360</v>
      </c>
      <c r="C63" s="1" t="s">
        <v>167</v>
      </c>
      <c r="D63" s="9"/>
      <c r="E63" s="13"/>
      <c r="F63" s="1"/>
      <c r="G63" s="1"/>
      <c r="H63" s="1"/>
      <c r="I63" s="8" t="s">
        <v>168</v>
      </c>
      <c r="J63" s="1"/>
      <c r="K63" s="1"/>
      <c r="L63" s="1"/>
      <c r="M63" s="1"/>
      <c r="N63" s="1">
        <v>57</v>
      </c>
      <c r="O63" s="1" t="s">
        <v>169</v>
      </c>
    </row>
    <row r="64" ht="16.5" spans="1:15">
      <c r="A64" s="6">
        <v>111001</v>
      </c>
      <c r="B64" s="1">
        <v>360</v>
      </c>
      <c r="C64" s="1" t="s">
        <v>133</v>
      </c>
      <c r="D64" s="9"/>
      <c r="E64" s="13"/>
      <c r="F64" s="1"/>
      <c r="G64" s="1"/>
      <c r="H64" s="1"/>
      <c r="I64" s="8" t="s">
        <v>170</v>
      </c>
      <c r="J64" s="1"/>
      <c r="K64" s="1"/>
      <c r="L64" s="1"/>
      <c r="M64" s="1"/>
      <c r="N64" s="1">
        <v>58</v>
      </c>
      <c r="O64" s="1" t="s">
        <v>171</v>
      </c>
    </row>
    <row r="65" ht="16.5" spans="1:15">
      <c r="A65" s="6">
        <v>111002</v>
      </c>
      <c r="B65" s="1">
        <v>240</v>
      </c>
      <c r="C65" s="1" t="s">
        <v>142</v>
      </c>
      <c r="D65" s="9"/>
      <c r="E65" s="13"/>
      <c r="F65" s="1"/>
      <c r="G65" s="1"/>
      <c r="H65" s="1"/>
      <c r="I65" s="8" t="s">
        <v>172</v>
      </c>
      <c r="J65" s="1"/>
      <c r="K65" s="1"/>
      <c r="L65" s="1"/>
      <c r="M65" s="1"/>
      <c r="N65" s="1">
        <v>59</v>
      </c>
      <c r="O65" s="1" t="s">
        <v>173</v>
      </c>
    </row>
    <row r="66" ht="16.5" spans="1:15">
      <c r="A66" s="6">
        <v>111003</v>
      </c>
      <c r="B66" s="1">
        <v>240</v>
      </c>
      <c r="C66" s="1" t="s">
        <v>142</v>
      </c>
      <c r="D66" s="9"/>
      <c r="E66" s="13"/>
      <c r="F66" s="1"/>
      <c r="G66" s="1"/>
      <c r="H66" s="1"/>
      <c r="I66" s="8" t="s">
        <v>174</v>
      </c>
      <c r="J66" s="1"/>
      <c r="K66" s="1"/>
      <c r="L66" s="1"/>
      <c r="M66" s="1"/>
      <c r="N66" s="1">
        <v>60</v>
      </c>
      <c r="O66" s="1" t="s">
        <v>175</v>
      </c>
    </row>
    <row r="67" ht="16.5" spans="1:15">
      <c r="A67" s="6">
        <v>111004</v>
      </c>
      <c r="B67" s="1">
        <v>240</v>
      </c>
      <c r="C67" s="1" t="s">
        <v>96</v>
      </c>
      <c r="D67" s="9"/>
      <c r="E67" s="13"/>
      <c r="F67" s="1"/>
      <c r="G67" s="1"/>
      <c r="H67" s="1"/>
      <c r="I67" s="8" t="s">
        <v>176</v>
      </c>
      <c r="J67" s="1"/>
      <c r="K67" s="1"/>
      <c r="L67" s="1"/>
      <c r="M67" s="1"/>
      <c r="N67" s="1">
        <v>61</v>
      </c>
      <c r="O67" s="1" t="s">
        <v>177</v>
      </c>
    </row>
    <row r="68" ht="16.5" spans="1:15">
      <c r="A68" s="6">
        <v>111005</v>
      </c>
      <c r="B68" s="1">
        <v>240</v>
      </c>
      <c r="C68" s="1" t="s">
        <v>178</v>
      </c>
      <c r="D68" s="9"/>
      <c r="E68" s="13"/>
      <c r="F68" s="1"/>
      <c r="G68" s="1"/>
      <c r="H68" s="1"/>
      <c r="I68" s="8" t="s">
        <v>179</v>
      </c>
      <c r="J68" s="1"/>
      <c r="K68" s="1"/>
      <c r="L68" s="1"/>
      <c r="M68" s="1"/>
      <c r="N68" s="1">
        <v>62</v>
      </c>
      <c r="O68" s="1" t="s">
        <v>180</v>
      </c>
    </row>
    <row r="69" ht="16.5" spans="1:15">
      <c r="A69" s="6">
        <v>111006</v>
      </c>
      <c r="B69" s="1">
        <v>360</v>
      </c>
      <c r="C69" s="1" t="s">
        <v>181</v>
      </c>
      <c r="D69" s="9"/>
      <c r="E69" s="13"/>
      <c r="F69" s="1"/>
      <c r="G69" s="1"/>
      <c r="H69" s="1"/>
      <c r="I69" s="8" t="s">
        <v>182</v>
      </c>
      <c r="J69" s="1"/>
      <c r="K69" s="1"/>
      <c r="L69" s="1"/>
      <c r="M69" s="1"/>
      <c r="N69" s="1">
        <v>63</v>
      </c>
      <c r="O69" s="1" t="s">
        <v>183</v>
      </c>
    </row>
    <row r="70" ht="16.5" spans="1:15">
      <c r="A70" s="6">
        <v>111007</v>
      </c>
      <c r="B70" s="1">
        <v>360</v>
      </c>
      <c r="C70" s="1" t="s">
        <v>147</v>
      </c>
      <c r="D70" s="9"/>
      <c r="E70" s="13"/>
      <c r="F70" s="1"/>
      <c r="G70" s="1"/>
      <c r="H70" s="1"/>
      <c r="I70" s="8" t="s">
        <v>184</v>
      </c>
      <c r="J70" s="1"/>
      <c r="K70" s="1"/>
      <c r="L70" s="1"/>
      <c r="M70" s="1"/>
      <c r="N70" s="1">
        <v>64</v>
      </c>
      <c r="O70" s="1" t="s">
        <v>185</v>
      </c>
    </row>
    <row r="71" ht="16.5" spans="1:15">
      <c r="A71" s="6">
        <v>111008</v>
      </c>
      <c r="B71" s="1">
        <v>240</v>
      </c>
      <c r="C71" s="1" t="s">
        <v>142</v>
      </c>
      <c r="D71" s="9"/>
      <c r="E71" s="13"/>
      <c r="F71" s="1"/>
      <c r="G71" s="1"/>
      <c r="H71" s="1"/>
      <c r="I71" s="8" t="s">
        <v>186</v>
      </c>
      <c r="J71" s="1"/>
      <c r="K71" s="1"/>
      <c r="L71" s="1"/>
      <c r="M71" s="1"/>
      <c r="N71" s="1">
        <v>65</v>
      </c>
      <c r="O71" s="1" t="s">
        <v>187</v>
      </c>
    </row>
    <row r="72" ht="16.5" spans="1:15">
      <c r="A72" s="6">
        <v>111009</v>
      </c>
      <c r="B72" s="1">
        <v>480</v>
      </c>
      <c r="C72" s="1" t="s">
        <v>188</v>
      </c>
      <c r="D72" s="9"/>
      <c r="E72" s="13"/>
      <c r="F72" s="1"/>
      <c r="G72" s="1"/>
      <c r="H72" s="1"/>
      <c r="I72" s="8" t="s">
        <v>189</v>
      </c>
      <c r="J72" s="1"/>
      <c r="K72" s="1"/>
      <c r="L72" s="1"/>
      <c r="M72" s="1"/>
      <c r="N72" s="1">
        <v>66</v>
      </c>
      <c r="O72" s="1" t="s">
        <v>190</v>
      </c>
    </row>
    <row r="73" ht="16.5" spans="1:15">
      <c r="A73" s="6">
        <v>111010</v>
      </c>
      <c r="B73" s="1">
        <v>360</v>
      </c>
      <c r="C73" s="1" t="s">
        <v>147</v>
      </c>
      <c r="D73" s="9"/>
      <c r="E73" s="13"/>
      <c r="F73" s="1"/>
      <c r="G73" s="1"/>
      <c r="H73" s="1"/>
      <c r="I73" s="8" t="s">
        <v>191</v>
      </c>
      <c r="J73" s="1"/>
      <c r="K73" s="1"/>
      <c r="L73" s="1"/>
      <c r="M73" s="1"/>
      <c r="N73" s="1">
        <v>67</v>
      </c>
      <c r="O73" s="1" t="s">
        <v>192</v>
      </c>
    </row>
    <row r="74" ht="16.5" spans="1:15">
      <c r="A74" s="6">
        <v>111018</v>
      </c>
      <c r="B74" s="1">
        <v>240</v>
      </c>
      <c r="C74" s="1" t="s">
        <v>193</v>
      </c>
      <c r="D74" s="11"/>
      <c r="E74" s="13"/>
      <c r="F74" s="1"/>
      <c r="G74" s="1"/>
      <c r="H74" s="1"/>
      <c r="I74" s="8" t="s">
        <v>194</v>
      </c>
      <c r="J74" s="1"/>
      <c r="K74" s="1"/>
      <c r="L74" s="1"/>
      <c r="M74" s="1"/>
      <c r="N74" s="1">
        <v>68</v>
      </c>
      <c r="O74" s="1" t="s">
        <v>195</v>
      </c>
    </row>
    <row r="75" ht="16.5" spans="1:15">
      <c r="A75" s="6">
        <v>111015</v>
      </c>
      <c r="B75" s="1">
        <v>240</v>
      </c>
      <c r="C75" s="1" t="s">
        <v>196</v>
      </c>
      <c r="D75" s="11"/>
      <c r="E75" s="13"/>
      <c r="F75" s="1"/>
      <c r="G75" s="1"/>
      <c r="H75" s="1"/>
      <c r="I75" s="8" t="s">
        <v>197</v>
      </c>
      <c r="J75" s="1"/>
      <c r="K75" s="1"/>
      <c r="L75" s="1"/>
      <c r="M75" s="1"/>
      <c r="N75" s="1">
        <v>69</v>
      </c>
      <c r="O75" s="1" t="s">
        <v>198</v>
      </c>
    </row>
    <row r="76" ht="16.5" spans="1:15">
      <c r="A76" s="6">
        <v>111011</v>
      </c>
      <c r="B76" s="1">
        <v>360</v>
      </c>
      <c r="C76" s="1" t="s">
        <v>199</v>
      </c>
      <c r="D76" s="11"/>
      <c r="E76" s="13"/>
      <c r="F76" s="1"/>
      <c r="G76" s="1"/>
      <c r="H76" s="1"/>
      <c r="I76" s="8" t="s">
        <v>200</v>
      </c>
      <c r="J76" s="1"/>
      <c r="K76" s="1"/>
      <c r="L76" s="1"/>
      <c r="M76" s="1"/>
      <c r="N76" s="1">
        <v>70</v>
      </c>
      <c r="O76" s="1" t="s">
        <v>201</v>
      </c>
    </row>
    <row r="77" ht="16.5" spans="1:15">
      <c r="A77" s="6">
        <v>111013</v>
      </c>
      <c r="B77" s="1">
        <v>480</v>
      </c>
      <c r="C77" s="1" t="s">
        <v>202</v>
      </c>
      <c r="D77" s="11"/>
      <c r="E77" s="13"/>
      <c r="F77" s="1"/>
      <c r="G77" s="1"/>
      <c r="H77" s="1"/>
      <c r="I77" s="8" t="s">
        <v>203</v>
      </c>
      <c r="J77" s="1"/>
      <c r="K77" s="1"/>
      <c r="L77" s="1"/>
      <c r="M77" s="1"/>
      <c r="N77" s="1">
        <v>71</v>
      </c>
      <c r="O77" s="1" t="s">
        <v>204</v>
      </c>
    </row>
    <row r="78" ht="16.5" spans="1:15">
      <c r="A78" s="6">
        <v>111014</v>
      </c>
      <c r="B78" s="1">
        <v>240</v>
      </c>
      <c r="C78" s="1" t="s">
        <v>205</v>
      </c>
      <c r="D78" s="11"/>
      <c r="E78" s="13"/>
      <c r="F78" s="1"/>
      <c r="G78" s="1"/>
      <c r="H78" s="1"/>
      <c r="I78" s="8" t="s">
        <v>206</v>
      </c>
      <c r="J78" s="1"/>
      <c r="K78" s="1"/>
      <c r="L78" s="1"/>
      <c r="M78" s="1"/>
      <c r="N78" s="1">
        <v>72</v>
      </c>
      <c r="O78" s="1" t="s">
        <v>207</v>
      </c>
    </row>
    <row r="79" ht="16.5" spans="1:15">
      <c r="A79" s="6">
        <v>111012</v>
      </c>
      <c r="B79" s="1">
        <v>240</v>
      </c>
      <c r="C79" s="1" t="s">
        <v>193</v>
      </c>
      <c r="D79" s="11"/>
      <c r="E79" s="13"/>
      <c r="F79" s="1"/>
      <c r="G79" s="1"/>
      <c r="H79" s="1"/>
      <c r="I79" s="8" t="s">
        <v>208</v>
      </c>
      <c r="J79" s="1"/>
      <c r="K79" s="1"/>
      <c r="L79" s="1"/>
      <c r="M79" s="1"/>
      <c r="N79" s="1">
        <v>73</v>
      </c>
      <c r="O79" s="1" t="s">
        <v>209</v>
      </c>
    </row>
    <row r="80" ht="16.5" spans="1:15">
      <c r="A80" s="6">
        <v>113037</v>
      </c>
      <c r="B80" s="1">
        <v>360</v>
      </c>
      <c r="C80" s="1" t="s">
        <v>10</v>
      </c>
      <c r="D80" s="11"/>
      <c r="E80" s="13"/>
      <c r="F80" s="1"/>
      <c r="G80" s="1"/>
      <c r="H80" s="1"/>
      <c r="I80" s="8" t="s">
        <v>210</v>
      </c>
      <c r="J80" s="1"/>
      <c r="K80" s="1"/>
      <c r="L80" s="1"/>
      <c r="M80" s="1"/>
      <c r="N80" s="1">
        <v>74</v>
      </c>
      <c r="O80" s="1" t="s">
        <v>211</v>
      </c>
    </row>
    <row r="81" ht="16.5" spans="1:15">
      <c r="A81" s="6">
        <v>113038</v>
      </c>
      <c r="B81" s="1">
        <v>360</v>
      </c>
      <c r="C81" s="1" t="s">
        <v>212</v>
      </c>
      <c r="D81" s="11"/>
      <c r="E81" s="13"/>
      <c r="F81" s="1"/>
      <c r="G81" s="1"/>
      <c r="H81" s="1"/>
      <c r="I81" s="8" t="s">
        <v>213</v>
      </c>
      <c r="J81" s="1"/>
      <c r="K81" s="1"/>
      <c r="L81" s="1"/>
      <c r="M81" s="1"/>
      <c r="N81" s="1">
        <v>75</v>
      </c>
      <c r="O81" s="1" t="s">
        <v>214</v>
      </c>
    </row>
    <row r="82" ht="16.5" spans="1:15">
      <c r="A82" s="6">
        <v>113032</v>
      </c>
      <c r="B82" s="1">
        <v>360</v>
      </c>
      <c r="C82" s="1" t="s">
        <v>215</v>
      </c>
      <c r="D82" s="11"/>
      <c r="E82" s="13"/>
      <c r="F82" s="1"/>
      <c r="G82" s="1"/>
      <c r="H82" s="1"/>
      <c r="I82" s="8" t="s">
        <v>216</v>
      </c>
      <c r="J82" s="1"/>
      <c r="K82" s="1"/>
      <c r="L82" s="1"/>
      <c r="M82" s="1"/>
      <c r="N82" s="1">
        <v>76</v>
      </c>
      <c r="O82" s="1" t="s">
        <v>217</v>
      </c>
    </row>
    <row r="83" ht="16.5" spans="1:15">
      <c r="A83" s="6">
        <v>113033</v>
      </c>
      <c r="B83" s="1">
        <v>240</v>
      </c>
      <c r="C83" s="1" t="s">
        <v>96</v>
      </c>
      <c r="D83" s="11"/>
      <c r="E83" s="13"/>
      <c r="F83" s="1"/>
      <c r="G83" s="1"/>
      <c r="H83" s="1"/>
      <c r="I83" s="8" t="s">
        <v>218</v>
      </c>
      <c r="J83" s="1"/>
      <c r="K83" s="1"/>
      <c r="L83" s="1"/>
      <c r="M83" s="1"/>
      <c r="N83" s="1">
        <v>77</v>
      </c>
      <c r="O83" s="1" t="s">
        <v>219</v>
      </c>
    </row>
    <row r="84" ht="16.5" spans="1:15">
      <c r="A84" s="6">
        <v>113034</v>
      </c>
      <c r="B84" s="1">
        <v>240</v>
      </c>
      <c r="C84" s="1" t="s">
        <v>28</v>
      </c>
      <c r="D84" s="11"/>
      <c r="E84" s="13"/>
      <c r="F84" s="1"/>
      <c r="G84" s="1"/>
      <c r="H84" s="1"/>
      <c r="I84" s="8" t="s">
        <v>220</v>
      </c>
      <c r="J84" s="1"/>
      <c r="K84" s="1"/>
      <c r="L84" s="1"/>
      <c r="M84" s="1"/>
      <c r="N84" s="1">
        <v>78</v>
      </c>
      <c r="O84" s="1" t="s">
        <v>221</v>
      </c>
    </row>
    <row r="85" ht="16.5" spans="1:15">
      <c r="A85" s="6">
        <v>113035</v>
      </c>
      <c r="B85" s="1">
        <v>480</v>
      </c>
      <c r="C85" s="1" t="s">
        <v>222</v>
      </c>
      <c r="D85" s="11"/>
      <c r="E85" s="13"/>
      <c r="F85" s="1"/>
      <c r="G85" s="1"/>
      <c r="H85" s="1"/>
      <c r="I85" s="8" t="s">
        <v>223</v>
      </c>
      <c r="J85" s="1"/>
      <c r="K85" s="1"/>
      <c r="L85" s="1"/>
      <c r="M85" s="1"/>
      <c r="N85" s="1">
        <v>79</v>
      </c>
      <c r="O85" s="1" t="s">
        <v>224</v>
      </c>
    </row>
    <row r="86" ht="16.5" spans="1:15">
      <c r="A86" s="6">
        <v>113036</v>
      </c>
      <c r="B86" s="1">
        <v>240</v>
      </c>
      <c r="C86" s="1" t="s">
        <v>114</v>
      </c>
      <c r="D86" s="11"/>
      <c r="E86" s="13"/>
      <c r="F86" s="1"/>
      <c r="G86" s="1"/>
      <c r="H86" s="1"/>
      <c r="I86" s="8" t="s">
        <v>225</v>
      </c>
      <c r="J86" s="1"/>
      <c r="K86" s="1"/>
      <c r="L86" s="1"/>
      <c r="M86" s="1"/>
      <c r="N86" s="1">
        <v>80</v>
      </c>
      <c r="O86" s="1" t="s">
        <v>226</v>
      </c>
    </row>
    <row r="87" ht="16.5" spans="1:15">
      <c r="A87" s="6">
        <v>113039</v>
      </c>
      <c r="B87" s="1">
        <v>240</v>
      </c>
      <c r="C87" s="1" t="s">
        <v>227</v>
      </c>
      <c r="D87" s="11"/>
      <c r="E87" s="13"/>
      <c r="F87" s="1"/>
      <c r="G87" s="1"/>
      <c r="H87" s="1"/>
      <c r="I87" s="8" t="s">
        <v>228</v>
      </c>
      <c r="J87" s="1"/>
      <c r="K87" s="1"/>
      <c r="L87" s="1"/>
      <c r="M87" s="1"/>
      <c r="N87" s="1">
        <v>81</v>
      </c>
      <c r="O87" s="1" t="s">
        <v>229</v>
      </c>
    </row>
    <row r="88" ht="16.5" spans="1:15">
      <c r="A88" s="6">
        <v>113043</v>
      </c>
      <c r="B88" s="1">
        <v>360</v>
      </c>
      <c r="C88" s="1" t="s">
        <v>53</v>
      </c>
      <c r="D88" s="11"/>
      <c r="E88" s="13"/>
      <c r="F88" s="1"/>
      <c r="G88" s="1"/>
      <c r="H88" s="1"/>
      <c r="I88" s="8" t="s">
        <v>230</v>
      </c>
      <c r="J88" s="1"/>
      <c r="K88" s="1"/>
      <c r="L88" s="1"/>
      <c r="M88" s="1"/>
      <c r="N88" s="1">
        <v>82</v>
      </c>
      <c r="O88" s="1" t="s">
        <v>231</v>
      </c>
    </row>
    <row r="89" ht="16.5" spans="1:15">
      <c r="A89" s="6">
        <v>112029</v>
      </c>
      <c r="B89" s="1">
        <v>240</v>
      </c>
      <c r="C89" s="1" t="s">
        <v>232</v>
      </c>
      <c r="D89" s="11"/>
      <c r="E89" s="13"/>
      <c r="F89" s="1"/>
      <c r="G89" s="1"/>
      <c r="H89" s="1"/>
      <c r="I89" s="9" t="s">
        <v>233</v>
      </c>
      <c r="J89" s="1"/>
      <c r="K89" s="1"/>
      <c r="L89" s="1"/>
      <c r="M89" s="1"/>
      <c r="N89" s="1">
        <v>83</v>
      </c>
      <c r="O89" s="1" t="s">
        <v>234</v>
      </c>
    </row>
    <row r="90" spans="1:15">
      <c r="A90" s="6">
        <v>113040</v>
      </c>
      <c r="B90" s="1">
        <v>480</v>
      </c>
      <c r="C90" s="1" t="s">
        <v>235</v>
      </c>
      <c r="D90" s="1"/>
      <c r="E90" s="1"/>
      <c r="F90" s="1"/>
      <c r="G90" s="1"/>
      <c r="H90" s="1"/>
      <c r="I90" s="1" t="s">
        <v>236</v>
      </c>
      <c r="J90" s="1"/>
      <c r="K90" s="1"/>
      <c r="L90" s="1"/>
      <c r="M90" s="1"/>
      <c r="N90" s="1">
        <v>84</v>
      </c>
      <c r="O90" s="1" t="s">
        <v>237</v>
      </c>
    </row>
    <row r="91" spans="1:15">
      <c r="A91" s="6">
        <v>113042</v>
      </c>
      <c r="B91" s="1">
        <v>360</v>
      </c>
      <c r="C91" s="1" t="s">
        <v>16</v>
      </c>
      <c r="D91" s="1"/>
      <c r="E91" s="1"/>
      <c r="F91" s="1"/>
      <c r="G91" s="1"/>
      <c r="H91" s="1"/>
      <c r="I91" s="1" t="s">
        <v>238</v>
      </c>
      <c r="J91" s="1"/>
      <c r="K91" s="1"/>
      <c r="L91" s="1"/>
      <c r="M91" s="1"/>
      <c r="N91" s="1">
        <v>85</v>
      </c>
      <c r="O91" s="1" t="s">
        <v>239</v>
      </c>
    </row>
    <row r="92" spans="1:15">
      <c r="A92" s="6">
        <v>113044</v>
      </c>
      <c r="B92" s="1">
        <v>480</v>
      </c>
      <c r="C92" s="1" t="s">
        <v>240</v>
      </c>
      <c r="D92" s="1"/>
      <c r="E92" s="1"/>
      <c r="F92" s="1"/>
      <c r="G92" s="1"/>
      <c r="H92" s="1"/>
      <c r="I92" s="1" t="s">
        <v>241</v>
      </c>
      <c r="J92" s="1"/>
      <c r="K92" s="1"/>
      <c r="L92" s="1"/>
      <c r="M92" s="1"/>
      <c r="N92" s="1">
        <v>86</v>
      </c>
      <c r="O92" s="1" t="s">
        <v>242</v>
      </c>
    </row>
    <row r="93" spans="1:15">
      <c r="A93" s="6">
        <v>113045</v>
      </c>
      <c r="B93" s="1">
        <v>240</v>
      </c>
      <c r="C93" s="1" t="s">
        <v>59</v>
      </c>
      <c r="D93" s="1"/>
      <c r="E93" s="1"/>
      <c r="F93" s="1"/>
      <c r="G93" s="1"/>
      <c r="H93" s="1"/>
      <c r="I93" s="1" t="s">
        <v>243</v>
      </c>
      <c r="J93" s="1"/>
      <c r="K93" s="1"/>
      <c r="L93" s="1"/>
      <c r="M93" s="1"/>
      <c r="N93" s="1">
        <v>87</v>
      </c>
      <c r="O93" s="1" t="s">
        <v>244</v>
      </c>
    </row>
    <row r="94" spans="1:15">
      <c r="A94" s="6">
        <v>113046</v>
      </c>
      <c r="B94" s="1">
        <v>360</v>
      </c>
      <c r="C94" s="1" t="s">
        <v>245</v>
      </c>
      <c r="D94" s="1"/>
      <c r="E94" s="1"/>
      <c r="F94" s="1"/>
      <c r="G94" s="1"/>
      <c r="H94" s="1"/>
      <c r="I94" s="1" t="s">
        <v>246</v>
      </c>
      <c r="J94" s="1"/>
      <c r="K94" s="1"/>
      <c r="L94" s="1"/>
      <c r="M94" s="1"/>
      <c r="N94" s="1">
        <v>88</v>
      </c>
      <c r="O94" s="1" t="s">
        <v>247</v>
      </c>
    </row>
    <row r="95" spans="1:15">
      <c r="A95" s="6">
        <v>113041</v>
      </c>
      <c r="B95" s="1">
        <v>240</v>
      </c>
      <c r="C95" s="1" t="s">
        <v>108</v>
      </c>
      <c r="D95" s="7"/>
      <c r="E95" s="1"/>
      <c r="F95" s="1"/>
      <c r="G95" s="1"/>
      <c r="H95" s="1"/>
      <c r="I95" s="1" t="s">
        <v>248</v>
      </c>
      <c r="J95" s="1"/>
      <c r="K95" s="1"/>
      <c r="L95" s="1"/>
      <c r="M95" s="1"/>
      <c r="N95" s="1">
        <v>89</v>
      </c>
      <c r="O95" s="1" t="s">
        <v>249</v>
      </c>
    </row>
    <row r="96" spans="1:15">
      <c r="A96" s="6">
        <v>113047</v>
      </c>
      <c r="B96" s="1">
        <v>480</v>
      </c>
      <c r="C96" s="1" t="s">
        <v>250</v>
      </c>
      <c r="D96" s="1"/>
      <c r="E96" s="1"/>
      <c r="F96" s="1"/>
      <c r="G96" s="1"/>
      <c r="H96" s="1"/>
      <c r="I96" s="1" t="s">
        <v>251</v>
      </c>
      <c r="J96" s="1"/>
      <c r="K96" s="1"/>
      <c r="L96" s="1"/>
      <c r="M96" s="1"/>
      <c r="N96" s="1">
        <v>90</v>
      </c>
      <c r="O96" s="1" t="s">
        <v>252</v>
      </c>
    </row>
    <row r="97" spans="1:15">
      <c r="A97" s="6">
        <v>113049</v>
      </c>
      <c r="B97" s="1">
        <v>360</v>
      </c>
      <c r="C97" s="1" t="s">
        <v>16</v>
      </c>
      <c r="D97" s="1"/>
      <c r="E97" s="1"/>
      <c r="F97" s="1"/>
      <c r="G97" s="1"/>
      <c r="H97" s="1"/>
      <c r="I97" s="1" t="s">
        <v>253</v>
      </c>
      <c r="J97" s="1"/>
      <c r="K97" s="1"/>
      <c r="L97" s="1"/>
      <c r="M97" s="1"/>
      <c r="N97" s="1">
        <v>91</v>
      </c>
      <c r="O97" s="6" t="s">
        <v>254</v>
      </c>
    </row>
    <row r="98" spans="1:15">
      <c r="A98" s="6">
        <v>113050</v>
      </c>
      <c r="B98" s="1">
        <v>360</v>
      </c>
      <c r="C98" s="1" t="s">
        <v>10</v>
      </c>
      <c r="D98" s="1"/>
      <c r="E98" s="1"/>
      <c r="F98" s="1"/>
      <c r="G98" s="1"/>
      <c r="H98" s="1"/>
      <c r="I98" s="1" t="s">
        <v>255</v>
      </c>
      <c r="J98" s="1"/>
      <c r="K98" s="1"/>
      <c r="L98" s="1"/>
      <c r="M98" s="1"/>
      <c r="N98" s="1">
        <v>92</v>
      </c>
      <c r="O98" s="6" t="s">
        <v>256</v>
      </c>
    </row>
    <row r="99" spans="1:15">
      <c r="A99" s="1">
        <v>113051</v>
      </c>
      <c r="B99" s="1">
        <v>360</v>
      </c>
      <c r="C99" s="1" t="s">
        <v>50</v>
      </c>
      <c r="D99" s="1"/>
      <c r="E99" s="1"/>
      <c r="F99" s="1"/>
      <c r="G99" s="1"/>
      <c r="H99" s="1"/>
      <c r="I99" s="1" t="s">
        <v>257</v>
      </c>
      <c r="J99" s="1"/>
      <c r="K99" s="1"/>
      <c r="L99" s="1"/>
      <c r="M99" s="1"/>
      <c r="N99" s="1">
        <v>93</v>
      </c>
      <c r="O99" s="1" t="s">
        <v>116</v>
      </c>
    </row>
    <row r="100" spans="1:15">
      <c r="A100" s="1">
        <v>113052</v>
      </c>
      <c r="B100" s="1">
        <v>480</v>
      </c>
      <c r="C100" s="1" t="s">
        <v>258</v>
      </c>
      <c r="D100" s="1"/>
      <c r="E100" s="1"/>
      <c r="F100" s="1"/>
      <c r="G100" s="1"/>
      <c r="H100" s="1"/>
      <c r="I100" s="1" t="s">
        <v>259</v>
      </c>
      <c r="J100" s="1"/>
      <c r="K100" s="1"/>
      <c r="L100" s="1"/>
      <c r="M100" s="1"/>
      <c r="N100" s="1">
        <v>94</v>
      </c>
      <c r="O100" s="1" t="s">
        <v>15</v>
      </c>
    </row>
    <row r="101" spans="1:15">
      <c r="A101" s="1">
        <v>113053</v>
      </c>
      <c r="B101" s="1">
        <v>480</v>
      </c>
      <c r="C101" s="1" t="s">
        <v>260</v>
      </c>
      <c r="D101" s="1"/>
      <c r="E101" s="1"/>
      <c r="F101" s="1"/>
      <c r="G101" s="1"/>
      <c r="H101" s="1"/>
      <c r="I101" s="1" t="s">
        <v>261</v>
      </c>
      <c r="J101" s="1"/>
      <c r="K101" s="1"/>
      <c r="L101" s="1"/>
      <c r="M101" s="1"/>
      <c r="N101" s="1">
        <v>95</v>
      </c>
      <c r="O101" s="1" t="s">
        <v>262</v>
      </c>
    </row>
    <row r="102" spans="1:15">
      <c r="A102" s="1">
        <v>113054</v>
      </c>
      <c r="B102" s="1">
        <v>360</v>
      </c>
      <c r="C102" s="1" t="s">
        <v>263</v>
      </c>
      <c r="D102" s="1"/>
      <c r="E102" s="1"/>
      <c r="F102" s="1"/>
      <c r="G102" s="1"/>
      <c r="H102" s="1"/>
      <c r="I102" s="1" t="s">
        <v>264</v>
      </c>
      <c r="J102" s="1"/>
      <c r="K102" s="1"/>
      <c r="L102" s="1"/>
      <c r="M102" s="1"/>
      <c r="N102" s="1">
        <v>96</v>
      </c>
      <c r="O102" s="1" t="s">
        <v>113</v>
      </c>
    </row>
    <row r="103" spans="1:15">
      <c r="A103" s="1">
        <v>113055</v>
      </c>
      <c r="B103" s="1">
        <v>360</v>
      </c>
      <c r="C103" s="1" t="s">
        <v>265</v>
      </c>
      <c r="D103" s="1"/>
      <c r="E103" s="1"/>
      <c r="F103" s="1"/>
      <c r="G103" s="1"/>
      <c r="H103" s="1"/>
      <c r="I103" s="1" t="s">
        <v>266</v>
      </c>
      <c r="J103" s="1"/>
      <c r="K103" s="1"/>
      <c r="L103" s="1"/>
      <c r="M103" s="1"/>
      <c r="N103" s="1">
        <v>97</v>
      </c>
      <c r="O103" s="1" t="s">
        <v>267</v>
      </c>
    </row>
    <row r="104" spans="1:15">
      <c r="A104" s="1">
        <v>113056</v>
      </c>
      <c r="B104" s="1">
        <v>360</v>
      </c>
      <c r="C104" s="1" t="s">
        <v>268</v>
      </c>
      <c r="D104" s="1"/>
      <c r="E104" s="1"/>
      <c r="F104" s="1"/>
      <c r="G104" s="1"/>
      <c r="H104" s="1"/>
      <c r="I104" s="1" t="s">
        <v>269</v>
      </c>
      <c r="J104" s="1"/>
      <c r="K104" s="1"/>
      <c r="L104" s="1"/>
      <c r="M104" s="1"/>
      <c r="N104" s="1">
        <v>98</v>
      </c>
      <c r="O104" s="1" t="s">
        <v>270</v>
      </c>
    </row>
    <row r="105" spans="1:15">
      <c r="A105" s="1">
        <v>113057</v>
      </c>
      <c r="B105" s="1">
        <v>360</v>
      </c>
      <c r="C105" s="1" t="s">
        <v>271</v>
      </c>
      <c r="D105" s="1"/>
      <c r="E105" s="1"/>
      <c r="F105" s="1"/>
      <c r="G105" s="1"/>
      <c r="H105" s="1"/>
      <c r="I105" s="1" t="s">
        <v>272</v>
      </c>
      <c r="J105" s="1"/>
      <c r="K105" s="1"/>
      <c r="L105" s="1"/>
      <c r="M105" s="1"/>
      <c r="N105" s="1">
        <v>99</v>
      </c>
      <c r="O105" s="1" t="s">
        <v>273</v>
      </c>
    </row>
    <row r="106" spans="1:15">
      <c r="A106" s="1">
        <v>113058</v>
      </c>
      <c r="B106" s="1">
        <v>480</v>
      </c>
      <c r="C106" s="1" t="s">
        <v>85</v>
      </c>
      <c r="D106" s="1"/>
      <c r="E106" s="1"/>
      <c r="F106" s="1"/>
      <c r="G106" s="1"/>
      <c r="H106" s="1"/>
      <c r="I106" s="1" t="s">
        <v>274</v>
      </c>
      <c r="J106" s="1"/>
      <c r="K106" s="1"/>
      <c r="L106" s="1"/>
      <c r="M106" s="1"/>
      <c r="N106" s="1">
        <v>100</v>
      </c>
      <c r="O106" s="1" t="s">
        <v>35</v>
      </c>
    </row>
    <row r="107" spans="1:15">
      <c r="A107" s="1">
        <v>113059</v>
      </c>
      <c r="B107" s="1">
        <v>480</v>
      </c>
      <c r="C107" s="1" t="s">
        <v>265</v>
      </c>
      <c r="D107" s="1"/>
      <c r="E107" s="1"/>
      <c r="F107" s="1"/>
      <c r="G107" s="1"/>
      <c r="H107" s="1"/>
      <c r="I107" s="1" t="s">
        <v>275</v>
      </c>
      <c r="J107" s="1"/>
      <c r="K107" s="1"/>
      <c r="L107" s="1"/>
      <c r="M107" s="1"/>
      <c r="N107" s="1">
        <v>101</v>
      </c>
      <c r="O107" s="1" t="s">
        <v>276</v>
      </c>
    </row>
    <row r="108" spans="1:15">
      <c r="A108" s="1">
        <v>113060</v>
      </c>
      <c r="B108" s="1">
        <v>360</v>
      </c>
      <c r="C108" s="1" t="s">
        <v>56</v>
      </c>
      <c r="D108" s="1"/>
      <c r="E108" s="1"/>
      <c r="F108" s="1"/>
      <c r="G108" s="1"/>
      <c r="H108" s="1"/>
      <c r="I108" s="1" t="s">
        <v>277</v>
      </c>
      <c r="J108" s="1"/>
      <c r="K108" s="1"/>
      <c r="L108" s="1"/>
      <c r="M108" s="1"/>
      <c r="N108" s="1">
        <v>102</v>
      </c>
      <c r="O108" s="1" t="s">
        <v>77</v>
      </c>
    </row>
    <row r="109" spans="1:15">
      <c r="A109" s="1">
        <v>113061</v>
      </c>
      <c r="B109" s="1">
        <v>240</v>
      </c>
      <c r="C109" s="1" t="s">
        <v>278</v>
      </c>
      <c r="D109" s="1"/>
      <c r="E109" s="1"/>
      <c r="F109" s="1"/>
      <c r="G109" s="1"/>
      <c r="H109" s="1"/>
      <c r="I109" s="1" t="s">
        <v>279</v>
      </c>
      <c r="J109" s="1"/>
      <c r="K109" s="1"/>
      <c r="L109" s="1"/>
      <c r="M109" s="1"/>
      <c r="N109" s="1">
        <v>103</v>
      </c>
      <c r="O109" s="1" t="s">
        <v>280</v>
      </c>
    </row>
    <row r="110" spans="1:15">
      <c r="A110" s="1">
        <v>113062</v>
      </c>
      <c r="B110" s="1">
        <v>480</v>
      </c>
      <c r="C110" s="1" t="s">
        <v>16</v>
      </c>
      <c r="D110" s="1"/>
      <c r="E110" s="1"/>
      <c r="F110" s="1"/>
      <c r="G110" s="1"/>
      <c r="H110" s="1"/>
      <c r="I110" s="1" t="s">
        <v>281</v>
      </c>
      <c r="J110" s="1"/>
      <c r="K110" s="1"/>
      <c r="L110" s="1"/>
      <c r="M110" s="1"/>
      <c r="N110" s="1">
        <v>104</v>
      </c>
      <c r="O110" s="1" t="s">
        <v>282</v>
      </c>
    </row>
    <row r="111" spans="1:15">
      <c r="A111" s="1">
        <v>113063</v>
      </c>
      <c r="B111" s="1">
        <v>360</v>
      </c>
      <c r="C111" s="1" t="s">
        <v>283</v>
      </c>
      <c r="D111" s="1"/>
      <c r="E111" s="1"/>
      <c r="F111" s="1"/>
      <c r="G111" s="1"/>
      <c r="H111" s="1"/>
      <c r="I111" s="1" t="s">
        <v>284</v>
      </c>
      <c r="J111" s="1"/>
      <c r="K111" s="1"/>
      <c r="L111" s="1"/>
      <c r="M111" s="1"/>
      <c r="N111" s="1">
        <v>105</v>
      </c>
      <c r="O111" s="1" t="s">
        <v>285</v>
      </c>
    </row>
    <row r="112" spans="1:15">
      <c r="A112" s="1">
        <v>113064</v>
      </c>
      <c r="B112" s="1">
        <v>480</v>
      </c>
      <c r="C112" s="1" t="s">
        <v>265</v>
      </c>
      <c r="D112" s="1"/>
      <c r="E112" s="1"/>
      <c r="F112" s="1"/>
      <c r="G112" s="1"/>
      <c r="H112" s="1"/>
      <c r="I112" s="1" t="s">
        <v>286</v>
      </c>
      <c r="J112" s="1"/>
      <c r="K112" s="1"/>
      <c r="L112" s="1"/>
      <c r="M112" s="1"/>
      <c r="N112" s="1">
        <v>106</v>
      </c>
      <c r="O112" s="1" t="s">
        <v>267</v>
      </c>
    </row>
    <row r="113" spans="1:15">
      <c r="A113" s="1">
        <v>113065</v>
      </c>
      <c r="B113" s="1">
        <v>240</v>
      </c>
      <c r="C113" s="1" t="s">
        <v>287</v>
      </c>
      <c r="D113" s="1"/>
      <c r="E113" s="1"/>
      <c r="F113" s="1"/>
      <c r="G113" s="1"/>
      <c r="H113" s="1"/>
      <c r="I113" s="1" t="s">
        <v>288</v>
      </c>
      <c r="J113" s="1"/>
      <c r="K113" s="1"/>
      <c r="L113" s="1"/>
      <c r="M113" s="1"/>
      <c r="N113" s="1">
        <v>107</v>
      </c>
      <c r="O113" s="1" t="s">
        <v>289</v>
      </c>
    </row>
    <row r="114" spans="1:15">
      <c r="A114" s="1">
        <v>113066</v>
      </c>
      <c r="B114" s="1">
        <v>480</v>
      </c>
      <c r="C114" s="1" t="s">
        <v>290</v>
      </c>
      <c r="D114" s="1"/>
      <c r="E114" s="1"/>
      <c r="F114" s="1"/>
      <c r="G114" s="1"/>
      <c r="H114" s="1"/>
      <c r="I114" s="1" t="s">
        <v>291</v>
      </c>
      <c r="J114" s="1"/>
      <c r="K114" s="1"/>
      <c r="L114" s="1"/>
      <c r="M114" s="1"/>
      <c r="N114" s="1">
        <v>108</v>
      </c>
      <c r="O114" s="1" t="s">
        <v>292</v>
      </c>
    </row>
    <row r="115" spans="1:15">
      <c r="A115" s="1">
        <v>113067</v>
      </c>
      <c r="B115" s="1">
        <v>480</v>
      </c>
      <c r="C115" s="1" t="s">
        <v>293</v>
      </c>
      <c r="D115" s="1"/>
      <c r="E115" s="1"/>
      <c r="F115" s="1"/>
      <c r="G115" s="1"/>
      <c r="H115" s="1"/>
      <c r="I115" s="1" t="s">
        <v>294</v>
      </c>
      <c r="J115" s="1"/>
      <c r="K115" s="1"/>
      <c r="L115" s="1"/>
      <c r="M115" s="1"/>
      <c r="N115" s="1">
        <v>109</v>
      </c>
      <c r="O115" s="1" t="s">
        <v>295</v>
      </c>
    </row>
    <row r="116" spans="1:15">
      <c r="A116" s="1">
        <v>113068</v>
      </c>
      <c r="B116" s="1">
        <v>480</v>
      </c>
      <c r="C116" s="1" t="s">
        <v>296</v>
      </c>
      <c r="D116" s="1"/>
      <c r="E116" s="1"/>
      <c r="F116" s="1"/>
      <c r="G116" s="1"/>
      <c r="H116" s="1"/>
      <c r="I116" s="1" t="s">
        <v>297</v>
      </c>
      <c r="J116" s="1"/>
      <c r="K116" s="1"/>
      <c r="L116" s="1"/>
      <c r="M116" s="1"/>
      <c r="N116" s="1">
        <v>111</v>
      </c>
      <c r="O116" s="1" t="s">
        <v>298</v>
      </c>
    </row>
    <row r="117" spans="1:15">
      <c r="A117" s="1">
        <v>113069</v>
      </c>
      <c r="B117" s="1">
        <v>480</v>
      </c>
      <c r="C117" s="1" t="s">
        <v>299</v>
      </c>
      <c r="D117" s="1"/>
      <c r="E117" s="1"/>
      <c r="F117" s="1"/>
      <c r="G117" s="1"/>
      <c r="H117" s="1"/>
      <c r="I117" s="1" t="s">
        <v>300</v>
      </c>
      <c r="J117" s="1"/>
      <c r="K117" s="1"/>
      <c r="L117" s="1"/>
      <c r="M117" s="1"/>
      <c r="N117" s="1">
        <v>110</v>
      </c>
      <c r="O117" s="1" t="s">
        <v>301</v>
      </c>
    </row>
    <row r="118" spans="1:15">
      <c r="A118" s="1">
        <v>113070</v>
      </c>
      <c r="B118" s="1">
        <v>480</v>
      </c>
      <c r="C118" s="1" t="s">
        <v>302</v>
      </c>
      <c r="D118" s="1"/>
      <c r="E118" s="1"/>
      <c r="F118" s="1"/>
      <c r="G118" s="1"/>
      <c r="H118" s="1"/>
      <c r="I118" s="1" t="s">
        <v>303</v>
      </c>
      <c r="J118" s="1"/>
      <c r="K118" s="1"/>
      <c r="L118" s="1"/>
      <c r="M118" s="1"/>
      <c r="N118" s="1">
        <v>112</v>
      </c>
      <c r="O118" s="1" t="s">
        <v>304</v>
      </c>
    </row>
    <row r="119" spans="1:15">
      <c r="A119" s="1">
        <v>113071</v>
      </c>
      <c r="B119" s="1">
        <v>480</v>
      </c>
      <c r="C119" s="1" t="s">
        <v>305</v>
      </c>
      <c r="D119" s="1"/>
      <c r="E119" s="1"/>
      <c r="F119" s="1"/>
      <c r="G119" s="1"/>
      <c r="H119" s="1"/>
      <c r="I119" s="1" t="s">
        <v>306</v>
      </c>
      <c r="J119" s="1"/>
      <c r="K119" s="1"/>
      <c r="L119" s="1"/>
      <c r="M119" s="1"/>
      <c r="N119" s="1">
        <v>113</v>
      </c>
      <c r="O119" s="1" t="s">
        <v>307</v>
      </c>
    </row>
    <row r="120" spans="1:15">
      <c r="A120" s="1">
        <v>113072</v>
      </c>
      <c r="B120" s="1">
        <v>480</v>
      </c>
      <c r="C120" s="1" t="s">
        <v>308</v>
      </c>
      <c r="D120" s="1"/>
      <c r="E120" s="1"/>
      <c r="F120" s="1"/>
      <c r="G120" s="1"/>
      <c r="H120" s="1"/>
      <c r="I120" s="1" t="s">
        <v>309</v>
      </c>
      <c r="J120" s="1"/>
      <c r="K120" s="1"/>
      <c r="L120" s="1"/>
      <c r="M120" s="1"/>
      <c r="N120" s="1">
        <v>114</v>
      </c>
      <c r="O120" s="1" t="s">
        <v>310</v>
      </c>
    </row>
    <row r="121" spans="1:15">
      <c r="A121" s="1">
        <v>113073</v>
      </c>
      <c r="B121" s="1">
        <v>480</v>
      </c>
      <c r="C121" s="1" t="s">
        <v>311</v>
      </c>
      <c r="D121" s="1"/>
      <c r="E121" s="1"/>
      <c r="F121" s="1"/>
      <c r="G121" s="1"/>
      <c r="H121" s="1"/>
      <c r="I121" s="1" t="s">
        <v>312</v>
      </c>
      <c r="J121" s="1"/>
      <c r="K121" s="1"/>
      <c r="L121" s="1"/>
      <c r="M121" s="1"/>
      <c r="N121" s="1">
        <v>115</v>
      </c>
      <c r="O121" s="1" t="s">
        <v>313</v>
      </c>
    </row>
    <row r="122" spans="1:15">
      <c r="A122" s="1">
        <v>113076</v>
      </c>
      <c r="B122" s="1">
        <v>480</v>
      </c>
      <c r="C122" s="1" t="s">
        <v>314</v>
      </c>
      <c r="D122" s="1"/>
      <c r="E122" s="1"/>
      <c r="F122" s="1"/>
      <c r="G122" s="1"/>
      <c r="H122" s="1"/>
      <c r="I122" s="1" t="s">
        <v>315</v>
      </c>
      <c r="J122" s="1"/>
      <c r="K122" s="1"/>
      <c r="L122" s="1"/>
      <c r="M122" s="1"/>
      <c r="N122" s="1">
        <v>116</v>
      </c>
      <c r="O122" s="1" t="s">
        <v>316</v>
      </c>
    </row>
    <row r="123" spans="1:15">
      <c r="A123" s="1">
        <v>113077</v>
      </c>
      <c r="B123" s="1">
        <v>480</v>
      </c>
      <c r="C123" s="1" t="s">
        <v>317</v>
      </c>
      <c r="D123" s="1"/>
      <c r="E123" s="1"/>
      <c r="F123" s="1"/>
      <c r="G123" s="1"/>
      <c r="H123" s="1"/>
      <c r="I123" s="1" t="s">
        <v>318</v>
      </c>
      <c r="J123" s="1"/>
      <c r="K123" s="1"/>
      <c r="L123" s="1"/>
      <c r="M123" s="1"/>
      <c r="N123" s="1">
        <v>117</v>
      </c>
      <c r="O123" s="1" t="s">
        <v>319</v>
      </c>
    </row>
    <row r="124" spans="1:15">
      <c r="A124" s="1">
        <v>113078</v>
      </c>
      <c r="B124" s="1">
        <v>480</v>
      </c>
      <c r="C124" s="1" t="s">
        <v>320</v>
      </c>
      <c r="D124" s="1"/>
      <c r="E124" s="1"/>
      <c r="F124" s="1"/>
      <c r="G124" s="1"/>
      <c r="H124" s="1"/>
      <c r="I124" s="1" t="s">
        <v>321</v>
      </c>
      <c r="J124" s="1"/>
      <c r="K124" s="1"/>
      <c r="L124" s="1"/>
      <c r="M124" s="1"/>
      <c r="N124" s="1">
        <v>118</v>
      </c>
      <c r="O124" s="1" t="s">
        <v>322</v>
      </c>
    </row>
    <row r="125" spans="1:15">
      <c r="A125" s="1">
        <v>113079</v>
      </c>
      <c r="B125" s="1">
        <v>480</v>
      </c>
      <c r="C125" s="1" t="s">
        <v>82</v>
      </c>
      <c r="D125" s="1"/>
      <c r="E125" s="1"/>
      <c r="F125" s="1"/>
      <c r="G125" s="1"/>
      <c r="H125" s="1"/>
      <c r="I125" s="1" t="s">
        <v>323</v>
      </c>
      <c r="J125" s="1"/>
      <c r="K125" s="1"/>
      <c r="L125" s="1"/>
      <c r="M125" s="1"/>
      <c r="N125" s="1">
        <v>119</v>
      </c>
      <c r="O125" s="1" t="s">
        <v>324</v>
      </c>
    </row>
    <row r="126" spans="1:15">
      <c r="A126" s="1">
        <v>113080</v>
      </c>
      <c r="B126" s="1">
        <v>480</v>
      </c>
      <c r="C126" s="1" t="s">
        <v>325</v>
      </c>
      <c r="D126" s="1"/>
      <c r="E126" s="1"/>
      <c r="F126" s="1"/>
      <c r="G126" s="1"/>
      <c r="H126" s="1"/>
      <c r="I126" s="1" t="s">
        <v>326</v>
      </c>
      <c r="J126" s="1"/>
      <c r="K126" s="1"/>
      <c r="L126" s="1"/>
      <c r="M126" s="1"/>
      <c r="N126" s="1">
        <v>120</v>
      </c>
      <c r="O126" s="1" t="s">
        <v>327</v>
      </c>
    </row>
    <row r="127" spans="1:15">
      <c r="A127" s="1">
        <v>113081</v>
      </c>
      <c r="B127" s="1">
        <v>480</v>
      </c>
      <c r="C127" s="1" t="s">
        <v>328</v>
      </c>
      <c r="D127" s="1"/>
      <c r="E127" s="1"/>
      <c r="F127" s="1"/>
      <c r="G127" s="1"/>
      <c r="H127" s="1"/>
      <c r="I127" s="1" t="s">
        <v>329</v>
      </c>
      <c r="J127" s="1"/>
      <c r="K127" s="1"/>
      <c r="L127" s="1"/>
      <c r="M127" s="1"/>
      <c r="N127" s="1">
        <v>121</v>
      </c>
      <c r="O127" s="1" t="s">
        <v>319</v>
      </c>
    </row>
    <row r="128" spans="1:15">
      <c r="A128" s="1">
        <v>113082</v>
      </c>
      <c r="B128" s="1">
        <v>480</v>
      </c>
      <c r="C128" s="1" t="s">
        <v>330</v>
      </c>
      <c r="D128" s="1"/>
      <c r="E128" s="1"/>
      <c r="F128" s="1"/>
      <c r="G128" s="1"/>
      <c r="H128" s="1"/>
      <c r="I128" s="1" t="s">
        <v>331</v>
      </c>
      <c r="J128" s="1"/>
      <c r="K128" s="1"/>
      <c r="L128" s="1"/>
      <c r="M128" s="1"/>
      <c r="N128" s="1">
        <v>122</v>
      </c>
      <c r="O128" s="1" t="s">
        <v>319</v>
      </c>
    </row>
    <row r="129" spans="1:15">
      <c r="A129" s="1">
        <v>113083</v>
      </c>
      <c r="B129" s="1">
        <v>480</v>
      </c>
      <c r="C129" s="1" t="s">
        <v>332</v>
      </c>
      <c r="D129" s="1"/>
      <c r="E129" s="1"/>
      <c r="F129" s="1"/>
      <c r="G129" s="1"/>
      <c r="H129" s="1"/>
      <c r="I129" s="1" t="s">
        <v>333</v>
      </c>
      <c r="J129" s="1"/>
      <c r="K129" s="1"/>
      <c r="L129" s="1"/>
      <c r="M129" s="1"/>
      <c r="N129" s="1">
        <v>123</v>
      </c>
      <c r="O129" s="1" t="s">
        <v>334</v>
      </c>
    </row>
    <row r="130" spans="1:15">
      <c r="A130" s="1">
        <v>113084</v>
      </c>
      <c r="B130" s="1">
        <v>480</v>
      </c>
      <c r="C130" s="1" t="s">
        <v>335</v>
      </c>
      <c r="D130" s="1"/>
      <c r="E130" s="1"/>
      <c r="F130" s="1"/>
      <c r="G130" s="1"/>
      <c r="H130" s="1"/>
      <c r="I130" s="1" t="s">
        <v>336</v>
      </c>
      <c r="J130" s="1"/>
      <c r="K130" s="1"/>
      <c r="L130" s="1"/>
      <c r="M130" s="1"/>
      <c r="N130" s="1">
        <v>124</v>
      </c>
      <c r="O130" s="1" t="s">
        <v>316</v>
      </c>
    </row>
    <row r="131" spans="1:15">
      <c r="A131" s="1">
        <v>113085</v>
      </c>
      <c r="B131" s="1">
        <v>480</v>
      </c>
      <c r="C131" s="1" t="s">
        <v>337</v>
      </c>
      <c r="D131" s="1"/>
      <c r="E131" s="1"/>
      <c r="F131" s="1"/>
      <c r="G131" s="1"/>
      <c r="H131" s="1"/>
      <c r="I131" s="1" t="s">
        <v>338</v>
      </c>
      <c r="J131" s="1"/>
      <c r="K131" s="1"/>
      <c r="L131" s="1"/>
      <c r="M131" s="1"/>
      <c r="N131" s="1">
        <v>125</v>
      </c>
      <c r="O131" s="1" t="s">
        <v>339</v>
      </c>
    </row>
    <row r="132" s="12" customFormat="1" spans="1:15">
      <c r="A132" s="12">
        <v>113086</v>
      </c>
      <c r="B132" s="12">
        <v>480</v>
      </c>
      <c r="C132" s="12" t="s">
        <v>340</v>
      </c>
      <c r="I132" s="12" t="s">
        <v>341</v>
      </c>
      <c r="N132" s="12">
        <v>126</v>
      </c>
      <c r="O132" s="12" t="s">
        <v>342</v>
      </c>
    </row>
    <row r="133" spans="1:15">
      <c r="A133" s="1">
        <v>113087</v>
      </c>
      <c r="B133" s="1">
        <v>480</v>
      </c>
      <c r="C133" s="1" t="s">
        <v>340</v>
      </c>
      <c r="D133" s="1"/>
      <c r="E133" s="1"/>
      <c r="F133" s="1"/>
      <c r="G133" s="1"/>
      <c r="H133" s="1"/>
      <c r="I133" s="1" t="s">
        <v>343</v>
      </c>
      <c r="J133" s="1"/>
      <c r="K133" s="1"/>
      <c r="L133" s="1"/>
      <c r="M133" s="1"/>
      <c r="N133" s="1">
        <v>127</v>
      </c>
      <c r="O133" s="1" t="s">
        <v>342</v>
      </c>
    </row>
    <row r="134" spans="1:15">
      <c r="A134" s="1">
        <v>113088</v>
      </c>
      <c r="B134" s="1">
        <v>480</v>
      </c>
      <c r="C134" s="1" t="s">
        <v>344</v>
      </c>
      <c r="D134" s="1"/>
      <c r="E134" s="1"/>
      <c r="F134" s="1"/>
      <c r="G134" s="1"/>
      <c r="H134" s="1"/>
      <c r="I134" s="1" t="s">
        <v>345</v>
      </c>
      <c r="J134" s="1"/>
      <c r="K134" s="1"/>
      <c r="L134" s="1"/>
      <c r="M134" s="1"/>
      <c r="N134" s="1">
        <v>128</v>
      </c>
      <c r="O134" s="1" t="s">
        <v>346</v>
      </c>
    </row>
    <row r="135" spans="1:15">
      <c r="A135" s="1">
        <v>113089</v>
      </c>
      <c r="B135" s="1">
        <v>480</v>
      </c>
      <c r="C135" s="1" t="s">
        <v>347</v>
      </c>
      <c r="D135" s="1"/>
      <c r="E135" s="1"/>
      <c r="F135" s="1"/>
      <c r="G135" s="1"/>
      <c r="H135" s="1"/>
      <c r="I135" s="1" t="s">
        <v>348</v>
      </c>
      <c r="J135" s="1"/>
      <c r="K135" s="1"/>
      <c r="L135" s="1"/>
      <c r="M135" s="1"/>
      <c r="N135" s="1">
        <v>129</v>
      </c>
      <c r="O135" s="1" t="s">
        <v>349</v>
      </c>
    </row>
    <row r="136" spans="1:15">
      <c r="A136" s="1">
        <v>113090</v>
      </c>
      <c r="B136" s="1">
        <v>480</v>
      </c>
      <c r="C136" s="1" t="s">
        <v>350</v>
      </c>
      <c r="D136" s="1"/>
      <c r="E136" s="1"/>
      <c r="F136" s="1"/>
      <c r="G136" s="1"/>
      <c r="H136" s="1"/>
      <c r="I136" s="1" t="s">
        <v>351</v>
      </c>
      <c r="J136" s="1"/>
      <c r="K136" s="1"/>
      <c r="L136" s="1"/>
      <c r="M136" s="1"/>
      <c r="N136" s="1">
        <v>130</v>
      </c>
      <c r="O136" s="1" t="s">
        <v>352</v>
      </c>
    </row>
    <row r="137" spans="1:15">
      <c r="A137" s="1">
        <v>113091</v>
      </c>
      <c r="B137" s="1">
        <v>480</v>
      </c>
      <c r="C137" s="1" t="s">
        <v>353</v>
      </c>
      <c r="D137" s="1"/>
      <c r="E137" s="1"/>
      <c r="F137" s="1"/>
      <c r="G137" s="1"/>
      <c r="H137" s="1"/>
      <c r="I137" s="1" t="s">
        <v>354</v>
      </c>
      <c r="J137" s="1"/>
      <c r="K137" s="1"/>
      <c r="L137" s="1"/>
      <c r="M137" s="1"/>
      <c r="N137" s="1">
        <v>131</v>
      </c>
      <c r="O137" s="1" t="s">
        <v>355</v>
      </c>
    </row>
    <row r="138" spans="1:15">
      <c r="A138" s="1">
        <v>113092</v>
      </c>
      <c r="B138" s="1">
        <v>480</v>
      </c>
      <c r="C138" s="1" t="s">
        <v>356</v>
      </c>
      <c r="I138" s="1" t="s">
        <v>357</v>
      </c>
      <c r="N138" s="1">
        <v>132</v>
      </c>
      <c r="O138" s="1" t="s">
        <v>358</v>
      </c>
    </row>
    <row r="139" spans="1:15">
      <c r="A139" s="1">
        <v>113093</v>
      </c>
      <c r="B139" s="1">
        <v>480</v>
      </c>
      <c r="C139" s="1" t="s">
        <v>359</v>
      </c>
      <c r="D139" s="1"/>
      <c r="E139" s="1"/>
      <c r="F139" s="1"/>
      <c r="G139" s="1"/>
      <c r="H139" s="1"/>
      <c r="I139" s="1" t="s">
        <v>360</v>
      </c>
      <c r="J139" s="1"/>
      <c r="K139" s="1"/>
      <c r="L139" s="1"/>
      <c r="M139" s="1"/>
      <c r="N139" s="1">
        <v>133</v>
      </c>
      <c r="O139" s="1" t="s">
        <v>361</v>
      </c>
    </row>
    <row r="140" spans="1:15">
      <c r="A140" s="1">
        <v>113094</v>
      </c>
      <c r="B140" s="1">
        <v>480</v>
      </c>
      <c r="C140" s="1" t="s">
        <v>335</v>
      </c>
      <c r="D140" s="1"/>
      <c r="E140" s="1"/>
      <c r="F140" s="1"/>
      <c r="G140" s="1"/>
      <c r="H140" s="1"/>
      <c r="I140" s="1" t="s">
        <v>362</v>
      </c>
      <c r="J140" s="1"/>
      <c r="K140" s="1"/>
      <c r="L140" s="1"/>
      <c r="M140" s="1"/>
      <c r="N140" s="12">
        <v>134</v>
      </c>
      <c r="O140" s="1" t="s">
        <v>316</v>
      </c>
    </row>
    <row r="141" spans="1:15">
      <c r="A141" s="1">
        <v>113095</v>
      </c>
      <c r="B141" s="1">
        <v>480</v>
      </c>
      <c r="C141" s="1" t="s">
        <v>283</v>
      </c>
      <c r="D141" s="1"/>
      <c r="E141" s="1"/>
      <c r="F141" s="1"/>
      <c r="G141" s="1"/>
      <c r="H141" s="1"/>
      <c r="I141" s="1" t="s">
        <v>363</v>
      </c>
      <c r="J141" s="1"/>
      <c r="K141" s="1"/>
      <c r="L141" s="1"/>
      <c r="M141" s="1"/>
      <c r="N141" s="1">
        <v>135</v>
      </c>
      <c r="O141" s="1" t="s">
        <v>285</v>
      </c>
    </row>
    <row r="142" spans="1:15">
      <c r="A142" s="1">
        <v>113096</v>
      </c>
      <c r="B142" s="1">
        <v>480</v>
      </c>
      <c r="C142" s="1" t="s">
        <v>314</v>
      </c>
      <c r="D142" s="1"/>
      <c r="E142" s="1"/>
      <c r="F142" s="1"/>
      <c r="G142" s="1"/>
      <c r="H142" s="1"/>
      <c r="I142" s="1" t="s">
        <v>364</v>
      </c>
      <c r="J142" s="1"/>
      <c r="K142" s="1"/>
      <c r="L142" s="1"/>
      <c r="M142" s="1"/>
      <c r="N142" s="1">
        <v>136</v>
      </c>
      <c r="O142" s="1" t="s">
        <v>316</v>
      </c>
    </row>
    <row r="143" spans="1:15">
      <c r="A143" s="1">
        <v>113097</v>
      </c>
      <c r="B143" s="1">
        <v>480</v>
      </c>
      <c r="C143" s="1" t="s">
        <v>320</v>
      </c>
      <c r="D143" s="1"/>
      <c r="E143" s="1"/>
      <c r="F143" s="1"/>
      <c r="G143" s="1"/>
      <c r="H143" s="1"/>
      <c r="I143" s="1" t="s">
        <v>365</v>
      </c>
      <c r="J143" s="1"/>
      <c r="K143" s="1"/>
      <c r="L143" s="1"/>
      <c r="M143" s="1"/>
      <c r="N143" s="1">
        <v>137</v>
      </c>
      <c r="O143" s="1" t="s">
        <v>322</v>
      </c>
    </row>
    <row r="144" spans="1:15">
      <c r="A144" s="1">
        <v>113098</v>
      </c>
      <c r="B144" s="1">
        <v>480</v>
      </c>
      <c r="C144" s="1" t="s">
        <v>340</v>
      </c>
      <c r="D144" s="1"/>
      <c r="E144" s="1"/>
      <c r="F144" s="1"/>
      <c r="G144" s="1"/>
      <c r="H144" s="1"/>
      <c r="I144" s="1" t="s">
        <v>366</v>
      </c>
      <c r="J144" s="1"/>
      <c r="K144" s="1"/>
      <c r="L144" s="1"/>
      <c r="M144" s="1"/>
      <c r="N144" s="1">
        <v>138</v>
      </c>
      <c r="O144" s="1" t="s">
        <v>316</v>
      </c>
    </row>
    <row r="145" spans="1:15">
      <c r="A145" s="1">
        <v>113099</v>
      </c>
      <c r="B145" s="1">
        <v>480</v>
      </c>
      <c r="C145" s="1" t="s">
        <v>356</v>
      </c>
      <c r="D145" s="1"/>
      <c r="E145" s="1"/>
      <c r="F145" s="1"/>
      <c r="G145" s="1"/>
      <c r="H145" s="1"/>
      <c r="I145" s="1" t="s">
        <v>367</v>
      </c>
      <c r="J145" s="1"/>
      <c r="K145" s="1"/>
      <c r="L145" s="1"/>
      <c r="M145" s="1"/>
      <c r="N145" s="1">
        <v>139</v>
      </c>
      <c r="O145" s="1" t="s">
        <v>358</v>
      </c>
    </row>
    <row r="146" spans="1:15">
      <c r="A146" s="1">
        <v>113100</v>
      </c>
      <c r="B146" s="1">
        <v>480</v>
      </c>
      <c r="C146" s="1" t="s">
        <v>368</v>
      </c>
      <c r="D146" s="1"/>
      <c r="E146" s="1"/>
      <c r="F146" s="1"/>
      <c r="G146" s="1"/>
      <c r="H146" s="1"/>
      <c r="I146" s="1" t="s">
        <v>369</v>
      </c>
      <c r="J146" s="1"/>
      <c r="K146" s="1"/>
      <c r="L146" s="1"/>
      <c r="M146" s="1"/>
      <c r="N146" s="1">
        <v>140</v>
      </c>
      <c r="O146" s="1" t="s">
        <v>370</v>
      </c>
    </row>
    <row r="147" spans="1:15">
      <c r="A147" s="1">
        <v>113101</v>
      </c>
      <c r="B147" s="1">
        <v>480</v>
      </c>
      <c r="C147" s="1" t="s">
        <v>328</v>
      </c>
      <c r="D147" s="1"/>
      <c r="E147" s="1"/>
      <c r="F147" s="1"/>
      <c r="G147" s="1"/>
      <c r="H147" s="1"/>
      <c r="I147" s="1" t="s">
        <v>371</v>
      </c>
      <c r="J147" s="1"/>
      <c r="K147" s="1"/>
      <c r="L147" s="1"/>
      <c r="M147" s="1"/>
      <c r="N147" s="1">
        <v>141</v>
      </c>
      <c r="O147" s="1" t="s">
        <v>319</v>
      </c>
    </row>
    <row r="148" spans="1:15">
      <c r="A148" s="1">
        <v>113102</v>
      </c>
      <c r="B148" s="1">
        <v>480</v>
      </c>
      <c r="C148" s="1" t="s">
        <v>353</v>
      </c>
      <c r="D148" s="1"/>
      <c r="E148" s="1"/>
      <c r="F148" s="1"/>
      <c r="G148" s="1"/>
      <c r="H148" s="1"/>
      <c r="I148" s="1" t="s">
        <v>372</v>
      </c>
      <c r="J148" s="1"/>
      <c r="K148" s="1"/>
      <c r="L148" s="1"/>
      <c r="M148" s="1"/>
      <c r="N148" s="12">
        <v>142</v>
      </c>
      <c r="O148" s="1" t="s">
        <v>355</v>
      </c>
    </row>
    <row r="149" spans="1:15">
      <c r="A149" s="1">
        <v>113103</v>
      </c>
      <c r="B149" s="1">
        <v>480</v>
      </c>
      <c r="C149" s="1" t="s">
        <v>311</v>
      </c>
      <c r="D149" s="1"/>
      <c r="E149" s="1"/>
      <c r="F149" s="1"/>
      <c r="G149" s="1"/>
      <c r="H149" s="1"/>
      <c r="I149" s="1" t="s">
        <v>373</v>
      </c>
      <c r="J149" s="1"/>
      <c r="K149" s="1"/>
      <c r="L149" s="1"/>
      <c r="M149" s="1"/>
      <c r="N149" s="1">
        <v>143</v>
      </c>
      <c r="O149" s="1" t="s">
        <v>313</v>
      </c>
    </row>
    <row r="150" spans="1:15">
      <c r="A150" s="1">
        <v>113104</v>
      </c>
      <c r="B150" s="1">
        <v>480</v>
      </c>
      <c r="C150" s="1" t="s">
        <v>317</v>
      </c>
      <c r="D150" s="1"/>
      <c r="E150" s="1"/>
      <c r="F150" s="1"/>
      <c r="G150" s="1"/>
      <c r="H150" s="1"/>
      <c r="I150" s="1" t="s">
        <v>374</v>
      </c>
      <c r="J150" s="1"/>
      <c r="K150" s="1"/>
      <c r="L150" s="1"/>
      <c r="M150" s="1"/>
      <c r="N150" s="1">
        <v>144</v>
      </c>
      <c r="O150" s="1" t="s">
        <v>319</v>
      </c>
    </row>
    <row r="151" spans="1:15">
      <c r="A151" s="1">
        <v>113105</v>
      </c>
      <c r="B151" s="1">
        <v>480</v>
      </c>
      <c r="C151" s="12" t="s">
        <v>340</v>
      </c>
      <c r="D151" s="1"/>
      <c r="E151" s="1"/>
      <c r="F151" s="1"/>
      <c r="G151" s="1"/>
      <c r="H151" s="1"/>
      <c r="I151" s="1" t="s">
        <v>375</v>
      </c>
      <c r="J151" s="1"/>
      <c r="K151" s="1"/>
      <c r="L151" s="1"/>
      <c r="M151" s="1"/>
      <c r="N151" s="1">
        <v>145</v>
      </c>
      <c r="O151" s="12" t="s">
        <v>342</v>
      </c>
    </row>
    <row r="152" spans="1:15">
      <c r="A152" s="1">
        <v>113106</v>
      </c>
      <c r="B152" s="1">
        <v>480</v>
      </c>
      <c r="C152" s="1" t="s">
        <v>350</v>
      </c>
      <c r="D152" s="1"/>
      <c r="E152" s="1"/>
      <c r="F152" s="1"/>
      <c r="G152" s="1"/>
      <c r="H152" s="1"/>
      <c r="I152" s="1" t="s">
        <v>376</v>
      </c>
      <c r="J152" s="1"/>
      <c r="K152" s="1"/>
      <c r="L152" s="1"/>
      <c r="M152" s="1"/>
      <c r="N152" s="1">
        <v>146</v>
      </c>
      <c r="O152" s="1" t="s">
        <v>352</v>
      </c>
    </row>
    <row r="153" spans="1:15">
      <c r="A153" s="1">
        <v>113107</v>
      </c>
      <c r="B153" s="1">
        <v>480</v>
      </c>
      <c r="C153" s="1" t="s">
        <v>340</v>
      </c>
      <c r="D153" s="1"/>
      <c r="E153" s="1"/>
      <c r="F153" s="1"/>
      <c r="G153" s="1"/>
      <c r="H153" s="1"/>
      <c r="I153" s="1" t="s">
        <v>377</v>
      </c>
      <c r="J153" s="1"/>
      <c r="K153" s="1"/>
      <c r="L153" s="1"/>
      <c r="M153" s="1"/>
      <c r="N153" s="1">
        <v>138</v>
      </c>
      <c r="O153" s="1" t="s">
        <v>316</v>
      </c>
    </row>
    <row r="154" spans="1:15">
      <c r="A154" s="1">
        <v>113108</v>
      </c>
      <c r="B154" s="1">
        <v>480</v>
      </c>
      <c r="C154" s="1" t="s">
        <v>340</v>
      </c>
      <c r="D154" s="1"/>
      <c r="E154" s="1"/>
      <c r="F154" s="1"/>
      <c r="G154" s="1"/>
      <c r="H154" s="1"/>
      <c r="I154" s="1" t="s">
        <v>378</v>
      </c>
      <c r="J154" s="1"/>
      <c r="K154" s="1"/>
      <c r="L154" s="1"/>
      <c r="M154" s="1"/>
      <c r="N154" s="1">
        <v>138</v>
      </c>
      <c r="O154" s="1" t="s">
        <v>316</v>
      </c>
    </row>
    <row r="155" spans="1:15">
      <c r="A155" s="1">
        <v>113109</v>
      </c>
      <c r="B155" s="1">
        <v>480</v>
      </c>
      <c r="C155" s="1" t="s">
        <v>353</v>
      </c>
      <c r="D155" s="1"/>
      <c r="E155" s="1"/>
      <c r="F155" s="1"/>
      <c r="G155" s="1"/>
      <c r="H155" s="1"/>
      <c r="I155" s="1" t="s">
        <v>379</v>
      </c>
      <c r="J155" s="1"/>
      <c r="K155" s="1"/>
      <c r="L155" s="1"/>
      <c r="M155" s="1"/>
      <c r="N155" s="1">
        <v>138</v>
      </c>
      <c r="O155" s="1" t="s">
        <v>355</v>
      </c>
    </row>
    <row r="156" spans="1:15">
      <c r="A156" s="1">
        <v>113110</v>
      </c>
      <c r="B156" s="1">
        <v>480</v>
      </c>
      <c r="C156" s="1" t="s">
        <v>347</v>
      </c>
      <c r="D156" s="1"/>
      <c r="E156" s="1"/>
      <c r="F156" s="1"/>
      <c r="G156" s="1"/>
      <c r="H156" s="1"/>
      <c r="I156" s="1" t="s">
        <v>380</v>
      </c>
      <c r="J156" s="1"/>
      <c r="K156" s="1"/>
      <c r="L156" s="1"/>
      <c r="M156" s="1"/>
      <c r="N156" s="1">
        <v>129</v>
      </c>
      <c r="O156" s="1" t="s">
        <v>349</v>
      </c>
    </row>
    <row r="157" spans="1:15">
      <c r="A157" s="1">
        <v>113111</v>
      </c>
      <c r="B157" s="1">
        <v>480</v>
      </c>
      <c r="C157" s="1" t="s">
        <v>353</v>
      </c>
      <c r="D157" s="1"/>
      <c r="E157" s="1"/>
      <c r="F157" s="1"/>
      <c r="G157" s="1"/>
      <c r="H157" s="1"/>
      <c r="I157" s="1" t="s">
        <v>381</v>
      </c>
      <c r="J157" s="1"/>
      <c r="K157" s="1"/>
      <c r="L157" s="1"/>
      <c r="M157" s="1"/>
      <c r="N157" s="1">
        <v>138</v>
      </c>
      <c r="O157" s="1" t="s">
        <v>355</v>
      </c>
    </row>
    <row r="158" spans="1:15">
      <c r="A158" s="1">
        <v>113112</v>
      </c>
      <c r="B158" s="1">
        <v>480</v>
      </c>
      <c r="C158" s="1" t="s">
        <v>353</v>
      </c>
      <c r="D158" s="1"/>
      <c r="E158" s="1"/>
      <c r="F158" s="1"/>
      <c r="G158" s="1"/>
      <c r="H158" s="1"/>
      <c r="I158" s="1" t="s">
        <v>382</v>
      </c>
      <c r="J158" s="1"/>
      <c r="K158" s="1"/>
      <c r="L158" s="1"/>
      <c r="M158" s="1"/>
      <c r="N158" s="1">
        <v>138</v>
      </c>
      <c r="O158" s="1" t="s">
        <v>355</v>
      </c>
    </row>
    <row r="159" spans="1:15">
      <c r="A159" s="1">
        <v>113113</v>
      </c>
      <c r="B159" s="1">
        <v>480</v>
      </c>
      <c r="C159" s="1" t="s">
        <v>340</v>
      </c>
      <c r="D159" s="1"/>
      <c r="E159" s="1"/>
      <c r="F159" s="1"/>
      <c r="G159" s="1"/>
      <c r="H159" s="1"/>
      <c r="I159" s="1" t="s">
        <v>383</v>
      </c>
      <c r="J159" s="1"/>
      <c r="K159" s="1"/>
      <c r="L159" s="1"/>
      <c r="M159" s="1"/>
      <c r="N159" s="1">
        <v>138</v>
      </c>
      <c r="O159" s="1" t="s">
        <v>316</v>
      </c>
    </row>
    <row r="160" spans="1:15">
      <c r="A160" s="1">
        <v>113114</v>
      </c>
      <c r="B160" s="1">
        <v>480</v>
      </c>
      <c r="C160" s="1" t="s">
        <v>293</v>
      </c>
      <c r="D160" s="1"/>
      <c r="E160" s="1"/>
      <c r="F160" s="1"/>
      <c r="G160" s="1"/>
      <c r="H160" s="1"/>
      <c r="I160" s="1" t="s">
        <v>384</v>
      </c>
      <c r="J160" s="1"/>
      <c r="K160" s="1"/>
      <c r="L160" s="1"/>
      <c r="M160" s="1"/>
      <c r="N160" s="1">
        <v>109</v>
      </c>
      <c r="O160" s="1" t="s">
        <v>385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23" sqref="I23"/>
    </sheetView>
  </sheetViews>
  <sheetFormatPr defaultColWidth="9" defaultRowHeight="14.25"/>
  <sheetData/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8"/>
  <sheetViews>
    <sheetView topLeftCell="A106" workbookViewId="0">
      <selection activeCell="J141" sqref="J141"/>
    </sheetView>
  </sheetViews>
  <sheetFormatPr defaultColWidth="9" defaultRowHeight="14.25"/>
  <cols>
    <col min="1" max="1" width="8.5" customWidth="1"/>
    <col min="2" max="2" width="10.5" customWidth="1"/>
    <col min="3" max="6" width="17.25" customWidth="1"/>
    <col min="7" max="7" width="2.5" customWidth="1"/>
    <col min="8" max="8" width="13.875" customWidth="1"/>
    <col min="9" max="9" width="4.5" customWidth="1"/>
    <col min="10" max="10" width="69.375" customWidth="1"/>
    <col min="16" max="16" width="47.625" customWidth="1"/>
  </cols>
  <sheetData>
    <row r="1" spans="1:10">
      <c r="A1" s="1">
        <v>7</v>
      </c>
      <c r="B1" s="1">
        <v>1</v>
      </c>
      <c r="C1" s="1">
        <v>9999</v>
      </c>
      <c r="D1" s="1"/>
      <c r="E1" s="1"/>
      <c r="F1" s="1"/>
      <c r="G1" s="1">
        <v>3</v>
      </c>
      <c r="H1" s="1"/>
      <c r="I1" s="1"/>
      <c r="J1" s="1"/>
    </row>
    <row r="2" spans="1:10">
      <c r="A2" s="1" t="s">
        <v>0</v>
      </c>
      <c r="B2" s="1" t="s">
        <v>1</v>
      </c>
      <c r="C2" s="1" t="s">
        <v>2</v>
      </c>
      <c r="D2" s="1"/>
      <c r="E2" s="1"/>
      <c r="F2" s="1"/>
      <c r="G2" s="1"/>
      <c r="H2" s="1"/>
      <c r="I2" s="1"/>
      <c r="J2" s="1"/>
    </row>
    <row r="3" spans="1:10">
      <c r="A3" s="1" t="s">
        <v>3</v>
      </c>
      <c r="B3" s="1" t="s">
        <v>4</v>
      </c>
      <c r="C3" s="1" t="s">
        <v>5</v>
      </c>
      <c r="D3" s="1"/>
      <c r="E3" s="1"/>
      <c r="F3" s="1"/>
      <c r="G3" s="1"/>
      <c r="H3" s="1"/>
      <c r="I3" s="1"/>
      <c r="J3" s="1"/>
    </row>
    <row r="4" spans="1:10">
      <c r="A4" s="1" t="s">
        <v>6</v>
      </c>
      <c r="B4" s="1" t="s">
        <v>6</v>
      </c>
      <c r="C4" s="1" t="s">
        <v>7</v>
      </c>
      <c r="D4" s="1"/>
      <c r="E4" s="1"/>
      <c r="F4" s="1"/>
      <c r="G4" s="1"/>
      <c r="H4" s="1"/>
      <c r="I4" s="1"/>
      <c r="J4" s="1"/>
    </row>
    <row r="5" spans="1:10">
      <c r="A5" s="1" t="s">
        <v>8</v>
      </c>
      <c r="B5" s="1" t="s">
        <v>9</v>
      </c>
      <c r="C5" s="1" t="s">
        <v>9</v>
      </c>
      <c r="D5" s="1"/>
      <c r="E5" s="1"/>
      <c r="F5" s="1"/>
      <c r="G5" s="1"/>
      <c r="H5" s="1"/>
      <c r="I5" s="1"/>
      <c r="J5" s="1"/>
    </row>
    <row r="6" spans="1:16">
      <c r="A6" s="1" t="s">
        <v>3</v>
      </c>
      <c r="B6" s="1" t="s">
        <v>4</v>
      </c>
      <c r="C6" s="1" t="s">
        <v>5</v>
      </c>
      <c r="D6" s="1"/>
      <c r="E6" s="1"/>
      <c r="F6" s="1"/>
      <c r="G6" s="1"/>
      <c r="H6" s="1"/>
      <c r="I6" s="1"/>
      <c r="J6" s="1"/>
      <c r="L6" t="s">
        <v>386</v>
      </c>
      <c r="O6" t="s">
        <v>387</v>
      </c>
      <c r="P6" t="s">
        <v>2</v>
      </c>
    </row>
    <row r="7" spans="1:16">
      <c r="A7" s="6">
        <v>112028</v>
      </c>
      <c r="B7" s="1">
        <v>480</v>
      </c>
      <c r="C7" s="1">
        <v>59</v>
      </c>
      <c r="D7" s="1"/>
      <c r="E7" s="1"/>
      <c r="F7" s="1"/>
      <c r="G7" s="7"/>
      <c r="H7" s="8" t="s">
        <v>11</v>
      </c>
      <c r="I7" s="1">
        <v>1</v>
      </c>
      <c r="J7" s="1" t="s">
        <v>12</v>
      </c>
      <c r="L7" s="1">
        <v>1</v>
      </c>
      <c r="O7">
        <f>COUNTIF(C$92:D$1048576,L7)</f>
        <v>2</v>
      </c>
      <c r="P7" t="str">
        <f>VLOOKUP(L7,Sheet4!A:E,5,FALSE)</f>
        <v>生产蓝钻时，工作进度提升20%</v>
      </c>
    </row>
    <row r="8" spans="1:16">
      <c r="A8" s="6">
        <v>113001</v>
      </c>
      <c r="B8" s="1">
        <v>360</v>
      </c>
      <c r="C8" s="1">
        <v>8</v>
      </c>
      <c r="D8" s="1"/>
      <c r="E8" s="1"/>
      <c r="F8" s="1"/>
      <c r="G8" s="7"/>
      <c r="H8" s="8" t="s">
        <v>14</v>
      </c>
      <c r="I8" s="1">
        <v>2</v>
      </c>
      <c r="J8" s="1" t="s">
        <v>15</v>
      </c>
      <c r="L8" s="1">
        <v>2</v>
      </c>
      <c r="O8">
        <f t="shared" ref="O8:O71" si="0">COUNTIF(C$92:D$1048576,L8)</f>
        <v>5</v>
      </c>
      <c r="P8" t="str">
        <f>VLOOKUP(L8,Sheet4!A:E,5,FALSE)</f>
        <v>生产蓝钻时，工作进度提升25%</v>
      </c>
    </row>
    <row r="9" spans="1:16">
      <c r="A9" s="6">
        <v>113002</v>
      </c>
      <c r="B9" s="1">
        <v>360</v>
      </c>
      <c r="C9" s="1">
        <v>66</v>
      </c>
      <c r="D9" s="1"/>
      <c r="E9" s="1"/>
      <c r="F9" s="1"/>
      <c r="G9" s="7"/>
      <c r="H9" s="8" t="s">
        <v>17</v>
      </c>
      <c r="I9" s="1">
        <v>3</v>
      </c>
      <c r="J9" s="1" t="s">
        <v>18</v>
      </c>
      <c r="L9" s="1">
        <v>3</v>
      </c>
      <c r="O9">
        <f t="shared" si="0"/>
        <v>1</v>
      </c>
      <c r="P9" t="str">
        <f>VLOOKUP(L9,Sheet4!A:E,5,FALSE)</f>
        <v>生产蓝钻时，工作进度提升30%</v>
      </c>
    </row>
    <row r="10" spans="1:16">
      <c r="A10" s="6">
        <v>113003</v>
      </c>
      <c r="B10" s="1">
        <v>360</v>
      </c>
      <c r="C10" s="1">
        <v>57</v>
      </c>
      <c r="D10" s="1">
        <v>65</v>
      </c>
      <c r="E10" s="1">
        <v>1</v>
      </c>
      <c r="F10" s="1">
        <v>6</v>
      </c>
      <c r="G10" s="7"/>
      <c r="H10" s="8" t="s">
        <v>20</v>
      </c>
      <c r="I10" s="1">
        <v>4</v>
      </c>
      <c r="J10" s="1" t="s">
        <v>21</v>
      </c>
      <c r="L10" s="1">
        <v>8</v>
      </c>
      <c r="O10">
        <f t="shared" si="0"/>
        <v>3</v>
      </c>
      <c r="P10" t="str">
        <f>VLOOKUP(L10,Sheet4!A:E,5,FALSE)</f>
        <v>生产宝石时，工作进度提升20%</v>
      </c>
    </row>
    <row r="11" spans="1:16">
      <c r="A11" s="6">
        <v>113004</v>
      </c>
      <c r="B11" s="1">
        <v>480</v>
      </c>
      <c r="C11" s="1">
        <v>37</v>
      </c>
      <c r="D11" s="1">
        <v>82</v>
      </c>
      <c r="E11" s="1">
        <v>1</v>
      </c>
      <c r="F11" s="1">
        <v>6</v>
      </c>
      <c r="G11" s="7"/>
      <c r="H11" s="8" t="s">
        <v>23</v>
      </c>
      <c r="I11" s="1">
        <v>5</v>
      </c>
      <c r="J11" s="1" t="s">
        <v>24</v>
      </c>
      <c r="L11" s="1">
        <v>9</v>
      </c>
      <c r="O11">
        <f t="shared" si="0"/>
        <v>3</v>
      </c>
      <c r="P11" t="str">
        <f>VLOOKUP(L11,Sheet4!A:E,5,FALSE)</f>
        <v>生产宝石时，工作进度提升25%</v>
      </c>
    </row>
    <row r="12" spans="1:16">
      <c r="A12" s="6">
        <v>113005</v>
      </c>
      <c r="B12" s="1">
        <v>360</v>
      </c>
      <c r="C12" s="1">
        <v>108</v>
      </c>
      <c r="D12" s="1"/>
      <c r="E12" s="1"/>
      <c r="F12" s="1"/>
      <c r="G12" s="7"/>
      <c r="H12" s="8" t="s">
        <v>26</v>
      </c>
      <c r="I12" s="1">
        <v>6</v>
      </c>
      <c r="J12" s="1" t="s">
        <v>27</v>
      </c>
      <c r="L12" s="1">
        <v>10</v>
      </c>
      <c r="O12">
        <f t="shared" si="0"/>
        <v>1</v>
      </c>
      <c r="P12" t="str">
        <f>VLOOKUP(L12,Sheet4!A:E,5,FALSE)</f>
        <v>生产宝石时，工作进度提升30%</v>
      </c>
    </row>
    <row r="13" spans="1:16">
      <c r="A13" s="6">
        <v>113006</v>
      </c>
      <c r="B13" s="1">
        <v>480</v>
      </c>
      <c r="C13" s="1">
        <v>30</v>
      </c>
      <c r="D13" s="1"/>
      <c r="E13" s="1"/>
      <c r="F13" s="1"/>
      <c r="G13" s="7"/>
      <c r="H13" s="8" t="s">
        <v>29</v>
      </c>
      <c r="I13" s="1">
        <v>7</v>
      </c>
      <c r="J13" s="1" t="s">
        <v>30</v>
      </c>
      <c r="L13" s="1">
        <v>15</v>
      </c>
      <c r="O13">
        <f t="shared" si="0"/>
        <v>1</v>
      </c>
      <c r="P13" t="str">
        <f>VLOOKUP(L13,Sheet4!A:E,5,FALSE)</f>
        <v>生产精炼石时，工作进度提升20%</v>
      </c>
    </row>
    <row r="14" spans="1:16">
      <c r="A14" s="6">
        <v>113007</v>
      </c>
      <c r="B14" s="1">
        <v>240</v>
      </c>
      <c r="C14" s="1">
        <v>8</v>
      </c>
      <c r="D14" s="1"/>
      <c r="E14" s="1"/>
      <c r="F14" s="1"/>
      <c r="G14" s="7"/>
      <c r="H14" s="8" t="s">
        <v>31</v>
      </c>
      <c r="I14" s="10">
        <v>8</v>
      </c>
      <c r="J14" s="10" t="s">
        <v>32</v>
      </c>
      <c r="L14" s="1">
        <v>17</v>
      </c>
      <c r="O14">
        <f t="shared" si="0"/>
        <v>3</v>
      </c>
      <c r="P14" t="str">
        <f>VLOOKUP(L14,Sheet4!A:E,5,FALSE)</f>
        <v>生产精炼石时，工作进度提升30%</v>
      </c>
    </row>
    <row r="15" spans="1:16">
      <c r="A15" s="6">
        <v>113008</v>
      </c>
      <c r="B15" s="1">
        <v>240</v>
      </c>
      <c r="C15" s="1">
        <v>2</v>
      </c>
      <c r="D15" s="1">
        <v>73</v>
      </c>
      <c r="E15" s="1">
        <v>0</v>
      </c>
      <c r="F15" s="1">
        <v>60</v>
      </c>
      <c r="G15" s="7"/>
      <c r="H15" s="8" t="s">
        <v>34</v>
      </c>
      <c r="I15" s="1">
        <v>9</v>
      </c>
      <c r="J15" s="1" t="s">
        <v>35</v>
      </c>
      <c r="L15" s="1">
        <v>22</v>
      </c>
      <c r="O15">
        <f t="shared" si="0"/>
        <v>3</v>
      </c>
      <c r="P15" t="str">
        <f>VLOOKUP(L15,Sheet4!A:E,5,FALSE)</f>
        <v>生产英雄之石时，工作进度提升20%</v>
      </c>
    </row>
    <row r="16" spans="1:16">
      <c r="A16" s="6">
        <v>113009</v>
      </c>
      <c r="B16" s="1">
        <v>360</v>
      </c>
      <c r="C16" s="1">
        <v>59</v>
      </c>
      <c r="D16" s="1"/>
      <c r="E16" s="1"/>
      <c r="F16" s="1"/>
      <c r="G16" s="7"/>
      <c r="H16" s="8" t="s">
        <v>36</v>
      </c>
      <c r="I16" s="1">
        <v>10</v>
      </c>
      <c r="J16" s="1" t="s">
        <v>37</v>
      </c>
      <c r="L16" s="1">
        <v>23</v>
      </c>
      <c r="O16">
        <f t="shared" si="0"/>
        <v>0</v>
      </c>
      <c r="P16" t="str">
        <f>VLOOKUP(L16,Sheet4!A:E,5,FALSE)</f>
        <v>生产英雄之石时，工作进度提升25%</v>
      </c>
    </row>
    <row r="17" spans="1:16">
      <c r="A17" s="6">
        <v>113010</v>
      </c>
      <c r="B17" s="1">
        <v>360</v>
      </c>
      <c r="C17" s="1">
        <v>17</v>
      </c>
      <c r="D17" s="1"/>
      <c r="E17" s="1"/>
      <c r="F17" s="1"/>
      <c r="G17" s="7"/>
      <c r="H17" s="8" t="s">
        <v>39</v>
      </c>
      <c r="I17" s="1">
        <v>11</v>
      </c>
      <c r="J17" s="1" t="s">
        <v>40</v>
      </c>
      <c r="L17" s="1">
        <v>24</v>
      </c>
      <c r="O17">
        <f t="shared" si="0"/>
        <v>4</v>
      </c>
      <c r="P17" t="str">
        <f>VLOOKUP(L17,Sheet4!A:E,5,FALSE)</f>
        <v>生产英雄之石时，工作进度提升30%</v>
      </c>
    </row>
    <row r="18" spans="1:16">
      <c r="A18" s="6">
        <v>113012</v>
      </c>
      <c r="B18" s="1">
        <v>480</v>
      </c>
      <c r="C18" s="1">
        <v>74</v>
      </c>
      <c r="D18" s="1">
        <v>83</v>
      </c>
      <c r="E18" s="1">
        <v>1</v>
      </c>
      <c r="F18" s="1">
        <v>7</v>
      </c>
      <c r="G18" s="7"/>
      <c r="H18" s="8" t="s">
        <v>42</v>
      </c>
      <c r="I18" s="1">
        <v>12</v>
      </c>
      <c r="J18" s="1" t="s">
        <v>43</v>
      </c>
      <c r="L18" s="1">
        <v>30</v>
      </c>
      <c r="O18">
        <f t="shared" si="0"/>
        <v>0</v>
      </c>
      <c r="P18" t="str">
        <f>VLOOKUP(L18,Sheet4!A:E,5,FALSE)</f>
        <v>生产古铜锭、锡铁锭、精金锭时，工作进度提升25%</v>
      </c>
    </row>
    <row r="19" spans="1:16">
      <c r="A19" s="6">
        <v>113013</v>
      </c>
      <c r="B19" s="1">
        <v>480</v>
      </c>
      <c r="C19" s="1">
        <v>109</v>
      </c>
      <c r="D19" s="1">
        <v>110</v>
      </c>
      <c r="E19" s="1">
        <v>1</v>
      </c>
      <c r="F19" s="1">
        <v>6</v>
      </c>
      <c r="G19" s="7"/>
      <c r="H19" s="8" t="s">
        <v>45</v>
      </c>
      <c r="I19" s="1">
        <v>13</v>
      </c>
      <c r="J19" s="1" t="s">
        <v>46</v>
      </c>
      <c r="L19" s="1">
        <v>31</v>
      </c>
      <c r="O19">
        <f t="shared" si="0"/>
        <v>1</v>
      </c>
      <c r="P19" t="str">
        <f>VLOOKUP(L19,Sheet4!A:E,5,FALSE)</f>
        <v>生产古铜锭、锡铁锭、精金锭时，工作进度提升30%</v>
      </c>
    </row>
    <row r="20" spans="1:16">
      <c r="A20" s="6">
        <v>113014</v>
      </c>
      <c r="B20" s="1">
        <v>240</v>
      </c>
      <c r="C20" s="1">
        <v>58</v>
      </c>
      <c r="D20" s="1">
        <v>78</v>
      </c>
      <c r="E20" s="1">
        <v>0</v>
      </c>
      <c r="F20" s="1">
        <v>80</v>
      </c>
      <c r="G20" s="7"/>
      <c r="H20" s="8" t="s">
        <v>48</v>
      </c>
      <c r="I20" s="1">
        <v>14</v>
      </c>
      <c r="J20" s="1" t="s">
        <v>49</v>
      </c>
      <c r="L20" s="1">
        <v>36</v>
      </c>
      <c r="O20">
        <f t="shared" si="0"/>
        <v>2</v>
      </c>
      <c r="P20" t="str">
        <f>VLOOKUP(L20,Sheet4!A:E,5,FALSE)</f>
        <v>在精炼厂工作时，工作进度提升20%</v>
      </c>
    </row>
    <row r="21" spans="1:16">
      <c r="A21" s="6">
        <v>113015</v>
      </c>
      <c r="B21" s="1">
        <v>360</v>
      </c>
      <c r="C21" s="1">
        <v>38</v>
      </c>
      <c r="D21" s="1"/>
      <c r="E21" s="1"/>
      <c r="F21" s="1"/>
      <c r="G21" s="7"/>
      <c r="H21" s="8" t="s">
        <v>51</v>
      </c>
      <c r="I21" s="10">
        <v>15</v>
      </c>
      <c r="J21" s="10" t="s">
        <v>52</v>
      </c>
      <c r="L21" s="1">
        <v>37</v>
      </c>
      <c r="O21">
        <f t="shared" si="0"/>
        <v>4</v>
      </c>
      <c r="P21" t="str">
        <f>VLOOKUP(L21,Sheet4!A:E,5,FALSE)</f>
        <v>在精炼厂工作时，工作进度提升25%</v>
      </c>
    </row>
    <row r="22" spans="1:16">
      <c r="A22" s="6">
        <v>113017</v>
      </c>
      <c r="B22" s="1">
        <v>360</v>
      </c>
      <c r="C22" s="1">
        <v>45</v>
      </c>
      <c r="D22" s="1"/>
      <c r="E22" s="1"/>
      <c r="F22" s="1"/>
      <c r="G22" s="7"/>
      <c r="H22" s="8" t="s">
        <v>54</v>
      </c>
      <c r="I22" s="10">
        <v>16</v>
      </c>
      <c r="J22" s="10" t="s">
        <v>55</v>
      </c>
      <c r="L22" s="1">
        <v>38</v>
      </c>
      <c r="O22">
        <f t="shared" si="0"/>
        <v>6</v>
      </c>
      <c r="P22" t="str">
        <f>VLOOKUP(L22,Sheet4!A:E,5,FALSE)</f>
        <v>在精炼厂工作时，工作进度提升30%</v>
      </c>
    </row>
    <row r="23" spans="1:16">
      <c r="A23" s="6">
        <v>113016</v>
      </c>
      <c r="B23" s="1">
        <v>240</v>
      </c>
      <c r="C23" s="1">
        <v>24</v>
      </c>
      <c r="D23" s="1"/>
      <c r="E23" s="1"/>
      <c r="F23" s="1"/>
      <c r="G23" s="7"/>
      <c r="H23" s="8" t="s">
        <v>57</v>
      </c>
      <c r="I23" s="10">
        <v>17</v>
      </c>
      <c r="J23" s="10" t="s">
        <v>58</v>
      </c>
      <c r="L23" s="1">
        <v>43</v>
      </c>
      <c r="O23">
        <f t="shared" si="0"/>
        <v>3</v>
      </c>
      <c r="P23" t="str">
        <f>VLOOKUP(L23,Sheet4!A:E,5,FALSE)</f>
        <v>生产经验书时，工作进度提升20%</v>
      </c>
    </row>
    <row r="24" spans="1:16">
      <c r="A24" s="6">
        <v>113018</v>
      </c>
      <c r="B24" s="1">
        <v>360</v>
      </c>
      <c r="C24" s="1">
        <v>37</v>
      </c>
      <c r="D24" s="1"/>
      <c r="E24" s="1"/>
      <c r="F24" s="1"/>
      <c r="G24" s="7"/>
      <c r="H24" s="8" t="s">
        <v>60</v>
      </c>
      <c r="I24" s="1">
        <v>18</v>
      </c>
      <c r="J24" s="1" t="s">
        <v>61</v>
      </c>
      <c r="L24" s="1">
        <v>45</v>
      </c>
      <c r="O24">
        <f t="shared" si="0"/>
        <v>5</v>
      </c>
      <c r="P24" t="str">
        <f>VLOOKUP(L24,Sheet4!A:E,5,FALSE)</f>
        <v>生产经验书时，工作进度提升30%</v>
      </c>
    </row>
    <row r="25" spans="1:16">
      <c r="A25" s="6">
        <v>113019</v>
      </c>
      <c r="B25" s="1">
        <v>480</v>
      </c>
      <c r="C25" s="1">
        <v>58</v>
      </c>
      <c r="D25" s="1">
        <v>75</v>
      </c>
      <c r="E25" s="1">
        <v>1</v>
      </c>
      <c r="F25" s="1">
        <v>6</v>
      </c>
      <c r="G25" s="7"/>
      <c r="H25" s="8" t="s">
        <v>63</v>
      </c>
      <c r="I25" s="10">
        <v>19</v>
      </c>
      <c r="J25" s="10" t="s">
        <v>64</v>
      </c>
      <c r="L25" s="1">
        <v>57</v>
      </c>
      <c r="O25">
        <f t="shared" si="0"/>
        <v>1</v>
      </c>
      <c r="P25" t="str">
        <f>VLOOKUP(L25,Sheet4!A:E,5,FALSE)</f>
        <v>在图书馆工作时，工作进度提升20%</v>
      </c>
    </row>
    <row r="26" spans="1:16">
      <c r="A26" s="6">
        <v>113020</v>
      </c>
      <c r="B26" s="1">
        <v>360</v>
      </c>
      <c r="C26" s="1">
        <v>3</v>
      </c>
      <c r="D26" s="1">
        <v>81</v>
      </c>
      <c r="E26" s="1">
        <v>1</v>
      </c>
      <c r="F26" s="1">
        <v>6</v>
      </c>
      <c r="G26" s="7"/>
      <c r="H26" s="8" t="s">
        <v>66</v>
      </c>
      <c r="I26" s="1">
        <v>20</v>
      </c>
      <c r="J26" s="1" t="s">
        <v>67</v>
      </c>
      <c r="L26" s="1">
        <v>58</v>
      </c>
      <c r="O26">
        <f t="shared" si="0"/>
        <v>1</v>
      </c>
      <c r="P26" t="str">
        <f>VLOOKUP(L26,Sheet4!A:E,5,FALSE)</f>
        <v>在图书馆工作时，工作进度提升25%</v>
      </c>
    </row>
    <row r="27" spans="1:16">
      <c r="A27" s="6">
        <v>113022</v>
      </c>
      <c r="B27" s="1">
        <v>360</v>
      </c>
      <c r="C27" s="1">
        <v>37</v>
      </c>
      <c r="D27" s="1">
        <v>79</v>
      </c>
      <c r="E27" s="1">
        <v>0</v>
      </c>
      <c r="F27" s="1">
        <v>80</v>
      </c>
      <c r="G27" s="7"/>
      <c r="H27" s="8" t="s">
        <v>69</v>
      </c>
      <c r="I27" s="1">
        <v>21</v>
      </c>
      <c r="J27" s="1" t="s">
        <v>70</v>
      </c>
      <c r="L27" s="1">
        <v>59</v>
      </c>
      <c r="O27">
        <f t="shared" si="0"/>
        <v>3</v>
      </c>
      <c r="P27" t="str">
        <f>VLOOKUP(L27,Sheet4!A:E,5,FALSE)</f>
        <v>在图书馆工作时，工作进度提升30%</v>
      </c>
    </row>
    <row r="28" spans="1:16">
      <c r="A28" s="6">
        <v>113021</v>
      </c>
      <c r="B28" s="1">
        <v>480</v>
      </c>
      <c r="C28" s="1">
        <v>59</v>
      </c>
      <c r="D28" s="1"/>
      <c r="E28" s="1"/>
      <c r="F28" s="1"/>
      <c r="G28" s="7"/>
      <c r="H28" s="8" t="s">
        <v>71</v>
      </c>
      <c r="I28" s="10">
        <v>22</v>
      </c>
      <c r="J28" s="10" t="s">
        <v>72</v>
      </c>
      <c r="L28" s="1">
        <v>59</v>
      </c>
      <c r="M28" s="1">
        <v>0</v>
      </c>
      <c r="N28" s="1">
        <v>80</v>
      </c>
      <c r="O28">
        <f t="shared" si="0"/>
        <v>3</v>
      </c>
      <c r="P28" t="str">
        <f>VLOOKUP(L28,Sheet4!A:E,5,FALSE)</f>
        <v>在图书馆工作时，工作进度提升30%</v>
      </c>
    </row>
    <row r="29" spans="1:16">
      <c r="A29" s="6">
        <v>113023</v>
      </c>
      <c r="B29" s="1">
        <v>480</v>
      </c>
      <c r="C29" s="1">
        <v>31</v>
      </c>
      <c r="D29" s="1"/>
      <c r="E29" s="1"/>
      <c r="F29" s="1"/>
      <c r="G29" s="7"/>
      <c r="H29" s="8" t="s">
        <v>74</v>
      </c>
      <c r="I29" s="10">
        <v>23</v>
      </c>
      <c r="J29" s="10" t="s">
        <v>75</v>
      </c>
      <c r="L29" s="1">
        <v>64</v>
      </c>
      <c r="O29">
        <f t="shared" si="0"/>
        <v>2</v>
      </c>
      <c r="P29" t="str">
        <f>VLOOKUP(L29,Sheet4!A:E,5,FALSE)</f>
        <v>生产附魂卷时，工作进度提升20%</v>
      </c>
    </row>
    <row r="30" spans="1:16">
      <c r="A30" s="6">
        <v>113024</v>
      </c>
      <c r="B30" s="1">
        <v>480</v>
      </c>
      <c r="C30" s="1">
        <v>66</v>
      </c>
      <c r="D30" s="1"/>
      <c r="E30" s="1"/>
      <c r="F30" s="1"/>
      <c r="G30" s="7"/>
      <c r="H30" s="8" t="s">
        <v>76</v>
      </c>
      <c r="I30" s="1">
        <v>24</v>
      </c>
      <c r="J30" s="1" t="s">
        <v>77</v>
      </c>
      <c r="L30" s="1">
        <v>65</v>
      </c>
      <c r="O30">
        <f t="shared" si="0"/>
        <v>2</v>
      </c>
      <c r="P30" t="str">
        <f>VLOOKUP(L30,Sheet4!A:E,5,FALSE)</f>
        <v>生产附魂卷时，工作进度提升25%</v>
      </c>
    </row>
    <row r="31" spans="1:16">
      <c r="A31" s="6">
        <v>113026</v>
      </c>
      <c r="B31" s="1">
        <v>360</v>
      </c>
      <c r="C31" s="1">
        <v>17</v>
      </c>
      <c r="D31" s="1"/>
      <c r="E31" s="1"/>
      <c r="F31" s="1"/>
      <c r="G31" s="7"/>
      <c r="H31" s="8" t="s">
        <v>78</v>
      </c>
      <c r="I31" s="1">
        <v>25</v>
      </c>
      <c r="J31" s="1" t="s">
        <v>79</v>
      </c>
      <c r="L31" s="1">
        <v>65</v>
      </c>
      <c r="M31" s="1">
        <v>1</v>
      </c>
      <c r="N31" s="1">
        <v>6</v>
      </c>
      <c r="O31">
        <f t="shared" si="0"/>
        <v>2</v>
      </c>
      <c r="P31" t="str">
        <f>VLOOKUP(L31,Sheet4!A:E,5,FALSE)</f>
        <v>生产附魂卷时，工作进度提升25%</v>
      </c>
    </row>
    <row r="32" spans="1:16">
      <c r="A32" s="6">
        <v>113025</v>
      </c>
      <c r="B32" s="1">
        <v>360</v>
      </c>
      <c r="C32" s="1">
        <v>38</v>
      </c>
      <c r="D32" s="1"/>
      <c r="E32" s="1"/>
      <c r="F32" s="1"/>
      <c r="G32" s="7"/>
      <c r="H32" s="8" t="s">
        <v>80</v>
      </c>
      <c r="I32" s="10">
        <v>26</v>
      </c>
      <c r="J32" s="10" t="s">
        <v>81</v>
      </c>
      <c r="L32" s="1">
        <v>66</v>
      </c>
      <c r="O32">
        <f t="shared" si="0"/>
        <v>8</v>
      </c>
      <c r="P32" t="str">
        <f>VLOOKUP(L32,Sheet4!A:E,5,FALSE)</f>
        <v>生产附魂卷时，工作进度提升30%</v>
      </c>
    </row>
    <row r="33" spans="1:16">
      <c r="A33" s="6">
        <v>113027</v>
      </c>
      <c r="B33" s="1">
        <v>360</v>
      </c>
      <c r="C33" s="1">
        <v>83</v>
      </c>
      <c r="D33" s="1"/>
      <c r="E33" s="1"/>
      <c r="F33" s="1"/>
      <c r="G33" s="7"/>
      <c r="H33" s="8" t="s">
        <v>83</v>
      </c>
      <c r="I33" s="1">
        <v>27</v>
      </c>
      <c r="J33" s="1" t="s">
        <v>84</v>
      </c>
      <c r="L33" s="1">
        <v>73</v>
      </c>
      <c r="M33" s="1">
        <v>0</v>
      </c>
      <c r="N33" s="1">
        <v>60</v>
      </c>
      <c r="O33">
        <f t="shared" si="0"/>
        <v>0</v>
      </c>
      <c r="P33" t="str">
        <f>VLOOKUP(L33,Sheet4!A:E,5,FALSE)</f>
        <v>入住宿舍，体力恢复速度提升12%</v>
      </c>
    </row>
    <row r="34" spans="1:16">
      <c r="A34" s="6">
        <v>113028</v>
      </c>
      <c r="B34" s="1">
        <v>240</v>
      </c>
      <c r="C34" s="1">
        <v>9</v>
      </c>
      <c r="D34" s="1"/>
      <c r="E34" s="1"/>
      <c r="F34" s="1"/>
      <c r="G34" s="7"/>
      <c r="H34" s="8" t="s">
        <v>86</v>
      </c>
      <c r="I34" s="1">
        <v>28</v>
      </c>
      <c r="J34" s="1" t="s">
        <v>87</v>
      </c>
      <c r="L34" s="1">
        <v>73</v>
      </c>
      <c r="M34" s="1">
        <v>0</v>
      </c>
      <c r="N34" s="1">
        <v>50</v>
      </c>
      <c r="O34">
        <f t="shared" si="0"/>
        <v>0</v>
      </c>
      <c r="P34" t="str">
        <f>VLOOKUP(L34,Sheet4!A:E,5,FALSE)</f>
        <v>入住宿舍，体力恢复速度提升12%</v>
      </c>
    </row>
    <row r="35" spans="1:16">
      <c r="A35" s="6">
        <v>113030</v>
      </c>
      <c r="B35" s="1">
        <v>480</v>
      </c>
      <c r="C35" s="1">
        <v>1</v>
      </c>
      <c r="D35" s="1"/>
      <c r="E35" s="1"/>
      <c r="F35" s="1"/>
      <c r="G35" s="7"/>
      <c r="H35" s="8" t="s">
        <v>89</v>
      </c>
      <c r="I35" s="10">
        <v>29</v>
      </c>
      <c r="J35" s="10" t="s">
        <v>90</v>
      </c>
      <c r="L35" s="1">
        <v>74</v>
      </c>
      <c r="O35">
        <f t="shared" si="0"/>
        <v>0</v>
      </c>
      <c r="P35" t="str">
        <f>VLOOKUP(L35,Sheet4!A:E,5,FALSE)</f>
        <v>入住宿舍，体力恢复速度提升16%</v>
      </c>
    </row>
    <row r="36" spans="1:16">
      <c r="A36" s="6">
        <v>113029</v>
      </c>
      <c r="B36" s="1">
        <v>240</v>
      </c>
      <c r="C36" s="1">
        <v>9</v>
      </c>
      <c r="D36" s="1"/>
      <c r="E36" s="1"/>
      <c r="F36" s="1"/>
      <c r="G36" s="7"/>
      <c r="H36" s="8" t="s">
        <v>91</v>
      </c>
      <c r="I36" s="1">
        <v>30</v>
      </c>
      <c r="J36" s="1" t="s">
        <v>92</v>
      </c>
      <c r="L36" s="1">
        <v>75</v>
      </c>
      <c r="M36" s="1">
        <v>1</v>
      </c>
      <c r="N36" s="1">
        <v>6</v>
      </c>
      <c r="O36">
        <f t="shared" si="0"/>
        <v>1</v>
      </c>
      <c r="P36" t="str">
        <f>VLOOKUP(L36,Sheet4!A:E,5,FALSE)</f>
        <v>在宿舍时，加快宿舍内角色体力恢复速度15%</v>
      </c>
    </row>
    <row r="37" spans="1:16">
      <c r="A37" s="6">
        <v>113031</v>
      </c>
      <c r="B37" s="1">
        <v>360</v>
      </c>
      <c r="C37" s="1">
        <v>65</v>
      </c>
      <c r="D37" s="1"/>
      <c r="E37" s="1"/>
      <c r="F37" s="1"/>
      <c r="G37" s="7"/>
      <c r="H37" s="8" t="s">
        <v>94</v>
      </c>
      <c r="I37" s="10">
        <v>31</v>
      </c>
      <c r="J37" s="10" t="s">
        <v>95</v>
      </c>
      <c r="L37" s="1">
        <v>75</v>
      </c>
      <c r="M37" s="1">
        <v>0</v>
      </c>
      <c r="N37" s="1">
        <v>80</v>
      </c>
      <c r="O37">
        <f t="shared" si="0"/>
        <v>1</v>
      </c>
      <c r="P37" t="str">
        <f>VLOOKUP(L37,Sheet4!A:E,5,FALSE)</f>
        <v>在宿舍时，加快宿舍内角色体力恢复速度15%</v>
      </c>
    </row>
    <row r="38" spans="1:16">
      <c r="A38" s="6">
        <v>112001</v>
      </c>
      <c r="B38" s="1">
        <v>360</v>
      </c>
      <c r="C38" s="1">
        <v>43</v>
      </c>
      <c r="D38" s="1"/>
      <c r="E38" s="1"/>
      <c r="F38" s="1"/>
      <c r="G38" s="7"/>
      <c r="H38" s="8" t="s">
        <v>97</v>
      </c>
      <c r="I38" s="1">
        <v>32</v>
      </c>
      <c r="J38" s="1" t="s">
        <v>98</v>
      </c>
      <c r="L38" s="1">
        <v>76</v>
      </c>
      <c r="M38" s="1">
        <v>0</v>
      </c>
      <c r="N38" s="1">
        <v>80</v>
      </c>
      <c r="O38">
        <f t="shared" si="0"/>
        <v>0</v>
      </c>
      <c r="P38" t="str">
        <f>VLOOKUP(L38,Sheet4!A:E,5,FALSE)</f>
        <v>在宿舍时，加快宿舍内角色体力恢复速度20%</v>
      </c>
    </row>
    <row r="39" spans="1:16">
      <c r="A39" s="6">
        <v>112002</v>
      </c>
      <c r="B39" s="1">
        <v>360</v>
      </c>
      <c r="C39" s="1">
        <v>111</v>
      </c>
      <c r="D39" s="1"/>
      <c r="E39" s="1"/>
      <c r="F39" s="1"/>
      <c r="G39" s="7"/>
      <c r="H39" s="8" t="s">
        <v>100</v>
      </c>
      <c r="I39" s="1">
        <v>33</v>
      </c>
      <c r="J39" s="1" t="s">
        <v>101</v>
      </c>
      <c r="L39" s="1">
        <v>77</v>
      </c>
      <c r="O39">
        <f t="shared" si="0"/>
        <v>2</v>
      </c>
      <c r="P39" t="str">
        <f>VLOOKUP(L39,Sheet4!A:E,5,FALSE)</f>
        <v>生产时，体力消耗减少10%</v>
      </c>
    </row>
    <row r="40" spans="1:16">
      <c r="A40" s="6">
        <v>112008</v>
      </c>
      <c r="B40" s="1">
        <v>480</v>
      </c>
      <c r="C40" s="1">
        <v>36</v>
      </c>
      <c r="D40" s="1"/>
      <c r="E40" s="1"/>
      <c r="F40" s="1"/>
      <c r="G40" s="7"/>
      <c r="H40" s="8" t="s">
        <v>103</v>
      </c>
      <c r="I40" s="10">
        <v>34</v>
      </c>
      <c r="J40" s="10" t="s">
        <v>104</v>
      </c>
      <c r="L40" s="1">
        <v>77</v>
      </c>
      <c r="M40" s="1">
        <v>0</v>
      </c>
      <c r="N40" s="1">
        <v>50</v>
      </c>
      <c r="O40">
        <f t="shared" si="0"/>
        <v>2</v>
      </c>
      <c r="P40" t="str">
        <f>VLOOKUP(L40,Sheet4!A:E,5,FALSE)</f>
        <v>生产时，体力消耗减少10%</v>
      </c>
    </row>
    <row r="41" spans="1:16">
      <c r="A41" s="6">
        <v>112003</v>
      </c>
      <c r="B41" s="1">
        <v>240</v>
      </c>
      <c r="C41" s="1">
        <v>112</v>
      </c>
      <c r="D41" s="1"/>
      <c r="E41" s="1"/>
      <c r="F41" s="1"/>
      <c r="G41" s="7"/>
      <c r="H41" s="8" t="s">
        <v>106</v>
      </c>
      <c r="I41" s="10">
        <v>35</v>
      </c>
      <c r="J41" s="10" t="s">
        <v>107</v>
      </c>
      <c r="L41" s="1">
        <v>78</v>
      </c>
      <c r="M41" s="1">
        <v>0</v>
      </c>
      <c r="N41" s="1">
        <v>80</v>
      </c>
      <c r="O41">
        <f t="shared" si="0"/>
        <v>0</v>
      </c>
      <c r="P41" t="str">
        <f>VLOOKUP(L41,Sheet4!A:E,5,FALSE)</f>
        <v>生产时，体力消耗减少15%</v>
      </c>
    </row>
    <row r="42" spans="1:16">
      <c r="A42" s="6">
        <v>112005</v>
      </c>
      <c r="B42" s="1">
        <v>240</v>
      </c>
      <c r="C42" s="1">
        <v>57</v>
      </c>
      <c r="D42" s="1"/>
      <c r="E42" s="1"/>
      <c r="F42" s="1"/>
      <c r="G42" s="7"/>
      <c r="H42" s="8" t="s">
        <v>109</v>
      </c>
      <c r="I42" s="1">
        <v>36</v>
      </c>
      <c r="J42" s="1" t="s">
        <v>110</v>
      </c>
      <c r="L42" s="1">
        <v>79</v>
      </c>
      <c r="M42" s="1">
        <v>0</v>
      </c>
      <c r="N42" s="1">
        <v>80</v>
      </c>
      <c r="O42">
        <f t="shared" si="0"/>
        <v>3</v>
      </c>
      <c r="P42" t="str">
        <f>VLOOKUP(L42,Sheet4!A:E,5,FALSE)</f>
        <v>生产时，体力消耗减少20%</v>
      </c>
    </row>
    <row r="43" spans="1:16">
      <c r="A43" s="6">
        <v>112004</v>
      </c>
      <c r="B43" s="1">
        <v>360</v>
      </c>
      <c r="C43" s="1">
        <v>113</v>
      </c>
      <c r="D43" s="1"/>
      <c r="E43" s="1"/>
      <c r="F43" s="1"/>
      <c r="G43" s="7"/>
      <c r="H43" s="8" t="s">
        <v>112</v>
      </c>
      <c r="I43" s="1">
        <v>37</v>
      </c>
      <c r="J43" s="1" t="s">
        <v>113</v>
      </c>
      <c r="L43" s="1">
        <v>79</v>
      </c>
      <c r="M43" s="1">
        <v>0</v>
      </c>
      <c r="N43" s="1">
        <v>1</v>
      </c>
      <c r="O43">
        <f t="shared" si="0"/>
        <v>3</v>
      </c>
      <c r="P43" t="str">
        <f>VLOOKUP(L43,Sheet4!A:E,5,FALSE)</f>
        <v>生产时，体力消耗减少20%</v>
      </c>
    </row>
    <row r="44" spans="1:16">
      <c r="A44" s="6">
        <v>112009</v>
      </c>
      <c r="B44" s="1">
        <v>240</v>
      </c>
      <c r="C44" s="1">
        <v>64</v>
      </c>
      <c r="D44" s="1"/>
      <c r="E44" s="1"/>
      <c r="F44" s="1"/>
      <c r="G44" s="7"/>
      <c r="H44" s="8" t="s">
        <v>115</v>
      </c>
      <c r="I44" s="1">
        <v>38</v>
      </c>
      <c r="J44" s="1" t="s">
        <v>116</v>
      </c>
      <c r="L44" s="1">
        <v>80</v>
      </c>
      <c r="M44" s="1">
        <v>1</v>
      </c>
      <c r="N44" s="1">
        <v>5</v>
      </c>
      <c r="O44">
        <f t="shared" si="0"/>
        <v>0</v>
      </c>
      <c r="P44" t="str">
        <f>VLOOKUP(L44,Sheet4!A:E,5,FALSE)</f>
        <v>生产精华时，生产效率提升5%</v>
      </c>
    </row>
    <row r="45" spans="1:16">
      <c r="A45" s="6">
        <v>112006</v>
      </c>
      <c r="B45" s="1">
        <v>240</v>
      </c>
      <c r="C45" s="1">
        <v>57</v>
      </c>
      <c r="D45" s="1">
        <v>73</v>
      </c>
      <c r="E45" s="1">
        <v>0</v>
      </c>
      <c r="F45" s="1">
        <v>50</v>
      </c>
      <c r="G45" s="7"/>
      <c r="H45" s="8" t="s">
        <v>118</v>
      </c>
      <c r="I45" s="1">
        <v>39</v>
      </c>
      <c r="J45" s="1" t="s">
        <v>119</v>
      </c>
      <c r="L45" s="1">
        <v>81</v>
      </c>
      <c r="M45" s="1">
        <v>1</v>
      </c>
      <c r="N45" s="1">
        <v>6</v>
      </c>
      <c r="O45">
        <f t="shared" si="0"/>
        <v>0</v>
      </c>
      <c r="P45" t="str">
        <f>VLOOKUP(L45,Sheet4!A:E,5,FALSE)</f>
        <v>生产精华时，生产效率提升10%</v>
      </c>
    </row>
    <row r="46" spans="1:16">
      <c r="A46" s="6">
        <v>112007</v>
      </c>
      <c r="B46" s="1">
        <v>240</v>
      </c>
      <c r="C46" s="1">
        <v>114</v>
      </c>
      <c r="D46" s="1"/>
      <c r="E46" s="1"/>
      <c r="F46" s="1"/>
      <c r="G46" s="9"/>
      <c r="H46" s="8" t="s">
        <v>121</v>
      </c>
      <c r="I46" s="1">
        <v>40</v>
      </c>
      <c r="J46" s="1" t="s">
        <v>122</v>
      </c>
      <c r="L46" s="1">
        <v>81</v>
      </c>
      <c r="M46" s="1">
        <v>1</v>
      </c>
      <c r="N46" s="1">
        <v>5</v>
      </c>
      <c r="O46">
        <f t="shared" si="0"/>
        <v>0</v>
      </c>
      <c r="P46" t="str">
        <f>VLOOKUP(L46,Sheet4!A:E,5,FALSE)</f>
        <v>生产精华时，生产效率提升10%</v>
      </c>
    </row>
    <row r="47" spans="1:16">
      <c r="A47" s="6">
        <v>112010</v>
      </c>
      <c r="B47" s="1">
        <v>360</v>
      </c>
      <c r="C47" s="1">
        <v>1</v>
      </c>
      <c r="D47" s="1">
        <v>81</v>
      </c>
      <c r="E47" s="1">
        <v>1</v>
      </c>
      <c r="F47" s="1">
        <v>5</v>
      </c>
      <c r="G47" s="9"/>
      <c r="H47" s="8" t="s">
        <v>124</v>
      </c>
      <c r="I47" s="1">
        <v>41</v>
      </c>
      <c r="J47" s="1" t="s">
        <v>125</v>
      </c>
      <c r="L47" s="1">
        <v>82</v>
      </c>
      <c r="M47" s="1">
        <v>1</v>
      </c>
      <c r="N47" s="1">
        <v>6</v>
      </c>
      <c r="O47">
        <f t="shared" si="0"/>
        <v>0</v>
      </c>
      <c r="P47" t="str">
        <f>VLOOKUP(L47,Sheet4!A:E,5,FALSE)</f>
        <v>生产精华时，生产效率提升15%</v>
      </c>
    </row>
    <row r="48" spans="1:16">
      <c r="A48" s="6">
        <v>112011</v>
      </c>
      <c r="B48" s="1">
        <v>360</v>
      </c>
      <c r="C48" s="1">
        <v>115</v>
      </c>
      <c r="D48" s="1"/>
      <c r="E48" s="1"/>
      <c r="F48" s="1"/>
      <c r="G48" s="9"/>
      <c r="H48" s="8" t="s">
        <v>127</v>
      </c>
      <c r="I48" s="10">
        <v>42</v>
      </c>
      <c r="J48" s="10" t="s">
        <v>128</v>
      </c>
      <c r="L48" s="1">
        <v>83</v>
      </c>
      <c r="O48">
        <f t="shared" si="0"/>
        <v>3</v>
      </c>
      <c r="P48" t="str">
        <f>VLOOKUP(L48,Sheet4!A:E,5,FALSE)</f>
        <v>生产精华时，生产效率提升20%</v>
      </c>
    </row>
    <row r="49" spans="1:16">
      <c r="A49" s="6">
        <v>112012</v>
      </c>
      <c r="B49" s="1">
        <v>240</v>
      </c>
      <c r="C49" s="1">
        <v>43</v>
      </c>
      <c r="D49" s="1"/>
      <c r="E49" s="1"/>
      <c r="F49" s="1"/>
      <c r="G49" s="9"/>
      <c r="H49" s="8" t="s">
        <v>129</v>
      </c>
      <c r="I49" s="10">
        <v>43</v>
      </c>
      <c r="J49" s="10" t="s">
        <v>130</v>
      </c>
      <c r="L49" s="1">
        <v>83</v>
      </c>
      <c r="M49" s="1">
        <v>1</v>
      </c>
      <c r="N49" s="1">
        <v>7</v>
      </c>
      <c r="O49">
        <f t="shared" si="0"/>
        <v>3</v>
      </c>
      <c r="P49" t="str">
        <f>VLOOKUP(L49,Sheet4!A:E,5,FALSE)</f>
        <v>生产精华时，生产效率提升20%</v>
      </c>
    </row>
    <row r="50" spans="1:16">
      <c r="A50" s="6">
        <v>112013</v>
      </c>
      <c r="B50" s="1">
        <v>360</v>
      </c>
      <c r="C50" s="1">
        <v>113</v>
      </c>
      <c r="D50" s="1"/>
      <c r="E50" s="1"/>
      <c r="F50" s="1"/>
      <c r="G50" s="9"/>
      <c r="H50" s="8" t="s">
        <v>131</v>
      </c>
      <c r="I50" s="10">
        <v>44</v>
      </c>
      <c r="J50" s="10" t="s">
        <v>132</v>
      </c>
      <c r="L50" s="1">
        <v>85</v>
      </c>
      <c r="O50">
        <f t="shared" si="0"/>
        <v>0</v>
      </c>
      <c r="P50" t="str">
        <f>VLOOKUP(L50,Sheet4!A:E,5,FALSE)</f>
        <v>在图书馆工作时，工作进度提升15%</v>
      </c>
    </row>
    <row r="51" spans="1:16">
      <c r="A51" s="6">
        <v>112014</v>
      </c>
      <c r="B51" s="1">
        <v>360</v>
      </c>
      <c r="C51" s="1">
        <v>116</v>
      </c>
      <c r="D51" s="1"/>
      <c r="E51" s="1"/>
      <c r="F51" s="1"/>
      <c r="G51" s="9"/>
      <c r="H51" s="8" t="s">
        <v>134</v>
      </c>
      <c r="I51" s="1">
        <v>45</v>
      </c>
      <c r="J51" s="1" t="s">
        <v>135</v>
      </c>
      <c r="L51" s="1">
        <v>108</v>
      </c>
      <c r="O51">
        <f t="shared" si="0"/>
        <v>0</v>
      </c>
      <c r="P51" t="str">
        <f>VLOOKUP(L51,Sheet4!A:E,5,FALSE)</f>
        <v>生产附魂卷时，工作进度提升22%</v>
      </c>
    </row>
    <row r="52" spans="1:16">
      <c r="A52" s="6">
        <v>112015</v>
      </c>
      <c r="B52" s="1">
        <v>240</v>
      </c>
      <c r="C52" s="1">
        <v>85</v>
      </c>
      <c r="D52" s="1"/>
      <c r="E52" s="1"/>
      <c r="F52" s="1"/>
      <c r="G52" s="9"/>
      <c r="H52" s="8" t="s">
        <v>137</v>
      </c>
      <c r="I52" s="1">
        <v>46</v>
      </c>
      <c r="J52" s="1" t="s">
        <v>138</v>
      </c>
      <c r="L52" s="1">
        <v>109</v>
      </c>
      <c r="O52">
        <f t="shared" si="0"/>
        <v>2</v>
      </c>
      <c r="P52" t="str">
        <f>VLOOKUP(L52,Sheet4!A:E,5,FALSE)</f>
        <v>生产蓝钻时，工作进度提升15%</v>
      </c>
    </row>
    <row r="53" spans="1:16">
      <c r="A53" s="6">
        <v>112016</v>
      </c>
      <c r="B53" s="1">
        <v>480</v>
      </c>
      <c r="C53" s="1">
        <v>109</v>
      </c>
      <c r="D53" s="1">
        <v>80</v>
      </c>
      <c r="E53" s="1">
        <v>1</v>
      </c>
      <c r="F53" s="1">
        <v>5</v>
      </c>
      <c r="G53" s="9"/>
      <c r="H53" s="8" t="s">
        <v>140</v>
      </c>
      <c r="I53" s="1">
        <v>47</v>
      </c>
      <c r="J53" s="1" t="s">
        <v>141</v>
      </c>
      <c r="L53" s="1">
        <v>110</v>
      </c>
      <c r="O53">
        <f t="shared" si="0"/>
        <v>0</v>
      </c>
      <c r="P53" t="str">
        <f>VLOOKUP(L53,Sheet4!A:E,5,FALSE)</f>
        <v>生产宝石时，工作进度提升10%</v>
      </c>
    </row>
    <row r="54" spans="1:16">
      <c r="A54" s="6">
        <v>112017</v>
      </c>
      <c r="B54" s="1">
        <v>360</v>
      </c>
      <c r="C54" s="1">
        <v>117</v>
      </c>
      <c r="D54" s="1"/>
      <c r="E54" s="1"/>
      <c r="F54" s="1"/>
      <c r="G54" s="9"/>
      <c r="H54" s="8" t="s">
        <v>143</v>
      </c>
      <c r="I54" s="10">
        <v>48</v>
      </c>
      <c r="J54" s="10" t="s">
        <v>144</v>
      </c>
      <c r="L54" s="1">
        <v>110</v>
      </c>
      <c r="M54" s="1">
        <v>1</v>
      </c>
      <c r="N54" s="1">
        <v>6</v>
      </c>
      <c r="O54">
        <f t="shared" si="0"/>
        <v>0</v>
      </c>
      <c r="P54" t="str">
        <f>VLOOKUP(L54,Sheet4!A:E,5,FALSE)</f>
        <v>生产宝石时，工作进度提升10%</v>
      </c>
    </row>
    <row r="55" spans="1:16">
      <c r="A55" s="6">
        <v>112019</v>
      </c>
      <c r="B55" s="1">
        <v>360</v>
      </c>
      <c r="C55" s="1">
        <v>57</v>
      </c>
      <c r="D55" s="1"/>
      <c r="E55" s="1"/>
      <c r="F55" s="1"/>
      <c r="G55" s="9"/>
      <c r="H55" s="8" t="s">
        <v>145</v>
      </c>
      <c r="I55" s="1">
        <v>49</v>
      </c>
      <c r="J55" s="1" t="s">
        <v>146</v>
      </c>
      <c r="L55" s="1">
        <v>111</v>
      </c>
      <c r="O55">
        <f t="shared" si="0"/>
        <v>0</v>
      </c>
      <c r="P55" t="str">
        <f>VLOOKUP(L55,Sheet4!A:E,5,FALSE)</f>
        <v>生产古铜锭、锡铁锭、精金锭时，工作进度提升10%</v>
      </c>
    </row>
    <row r="56" spans="1:16">
      <c r="A56" s="6">
        <v>112020</v>
      </c>
      <c r="B56" s="1">
        <v>240</v>
      </c>
      <c r="C56" s="1">
        <v>118</v>
      </c>
      <c r="D56" s="1"/>
      <c r="E56" s="1"/>
      <c r="F56" s="1"/>
      <c r="G56" s="9"/>
      <c r="H56" s="8" t="s">
        <v>148</v>
      </c>
      <c r="I56" s="10">
        <v>50</v>
      </c>
      <c r="J56" s="10" t="s">
        <v>149</v>
      </c>
      <c r="L56" s="1">
        <v>112</v>
      </c>
      <c r="O56">
        <f t="shared" si="0"/>
        <v>0</v>
      </c>
      <c r="P56" t="str">
        <f>VLOOKUP(L56,Sheet4!A:E,5,FALSE)</f>
        <v>生产宝石时，工作进度提升18%</v>
      </c>
    </row>
    <row r="57" spans="1:16">
      <c r="A57" s="6">
        <v>112021</v>
      </c>
      <c r="B57" s="1">
        <v>360</v>
      </c>
      <c r="C57" s="1">
        <v>15</v>
      </c>
      <c r="D57" s="1"/>
      <c r="E57" s="1"/>
      <c r="F57" s="1"/>
      <c r="G57" s="9"/>
      <c r="H57" s="8" t="s">
        <v>151</v>
      </c>
      <c r="I57" s="1">
        <v>51</v>
      </c>
      <c r="J57" s="1" t="s">
        <v>152</v>
      </c>
      <c r="L57" s="1">
        <v>113</v>
      </c>
      <c r="O57">
        <f t="shared" si="0"/>
        <v>0</v>
      </c>
      <c r="P57" t="str">
        <f>VLOOKUP(L57,Sheet4!A:E,5,FALSE)</f>
        <v>在精炼厂工作时，工作进度提升15%</v>
      </c>
    </row>
    <row r="58" spans="1:16">
      <c r="A58" s="6">
        <v>113011</v>
      </c>
      <c r="B58" s="1">
        <v>480</v>
      </c>
      <c r="C58" s="1">
        <v>22</v>
      </c>
      <c r="D58" s="1"/>
      <c r="E58" s="1"/>
      <c r="F58" s="1"/>
      <c r="G58" s="9"/>
      <c r="H58" s="8" t="s">
        <v>154</v>
      </c>
      <c r="I58" s="10">
        <v>52</v>
      </c>
      <c r="J58" s="10" t="s">
        <v>155</v>
      </c>
      <c r="L58" s="1">
        <v>114</v>
      </c>
      <c r="O58">
        <f t="shared" si="0"/>
        <v>0</v>
      </c>
      <c r="P58" t="str">
        <f>VLOOKUP(L58,Sheet4!A:E,5,FALSE)</f>
        <v>生产宝石时，工作进度提升16%</v>
      </c>
    </row>
    <row r="59" spans="1:16">
      <c r="A59" s="6">
        <v>112023</v>
      </c>
      <c r="B59" s="1">
        <v>240</v>
      </c>
      <c r="C59" s="1">
        <v>116</v>
      </c>
      <c r="D59" s="1"/>
      <c r="E59" s="1"/>
      <c r="F59" s="1"/>
      <c r="G59" s="9"/>
      <c r="H59" s="8" t="s">
        <v>156</v>
      </c>
      <c r="I59" s="1">
        <v>53</v>
      </c>
      <c r="J59" s="1" t="s">
        <v>157</v>
      </c>
      <c r="L59" s="1">
        <v>115</v>
      </c>
      <c r="O59">
        <f t="shared" si="0"/>
        <v>0</v>
      </c>
      <c r="P59" t="str">
        <f>VLOOKUP(L59,Sheet4!A:E,5,FALSE)</f>
        <v>生产附魂卷时，工作进度提升18%</v>
      </c>
    </row>
    <row r="60" spans="1:16">
      <c r="A60" s="6">
        <v>112024</v>
      </c>
      <c r="B60" s="1">
        <v>240</v>
      </c>
      <c r="C60" s="1">
        <v>119</v>
      </c>
      <c r="D60" s="1">
        <v>77</v>
      </c>
      <c r="E60" s="1">
        <v>0</v>
      </c>
      <c r="F60" s="1">
        <v>50</v>
      </c>
      <c r="G60" s="9"/>
      <c r="H60" s="8" t="s">
        <v>159</v>
      </c>
      <c r="I60" s="1">
        <v>54</v>
      </c>
      <c r="J60" s="1" t="s">
        <v>160</v>
      </c>
      <c r="L60" s="1">
        <v>116</v>
      </c>
      <c r="O60">
        <f t="shared" si="0"/>
        <v>0</v>
      </c>
      <c r="P60" t="str">
        <f>VLOOKUP(L60,Sheet4!A:E,5,FALSE)</f>
        <v>生产附魂卷时，工作进度提升15%</v>
      </c>
    </row>
    <row r="61" spans="1:16">
      <c r="A61" s="6">
        <v>112025</v>
      </c>
      <c r="B61" s="1">
        <v>240</v>
      </c>
      <c r="C61" s="1">
        <v>120</v>
      </c>
      <c r="D61" s="1"/>
      <c r="E61" s="1"/>
      <c r="F61" s="1"/>
      <c r="G61" s="9"/>
      <c r="H61" s="8" t="s">
        <v>162</v>
      </c>
      <c r="I61" s="10">
        <v>55</v>
      </c>
      <c r="J61" s="10" t="s">
        <v>163</v>
      </c>
      <c r="L61" s="1">
        <v>117</v>
      </c>
      <c r="O61">
        <f t="shared" si="0"/>
        <v>0</v>
      </c>
      <c r="P61" t="str">
        <f>VLOOKUP(L61,Sheet4!A:E,5,FALSE)</f>
        <v>在精炼厂工作时，工作进度提升10%</v>
      </c>
    </row>
    <row r="62" spans="1:16">
      <c r="A62" s="6">
        <v>112026</v>
      </c>
      <c r="B62" s="1">
        <v>480</v>
      </c>
      <c r="C62" s="1">
        <v>109</v>
      </c>
      <c r="D62" s="1">
        <v>82</v>
      </c>
      <c r="E62" s="1">
        <v>1</v>
      </c>
      <c r="F62" s="1">
        <v>6</v>
      </c>
      <c r="G62" s="9"/>
      <c r="H62" s="8" t="s">
        <v>165</v>
      </c>
      <c r="I62" s="1">
        <v>56</v>
      </c>
      <c r="J62" s="1" t="s">
        <v>166</v>
      </c>
      <c r="L62" s="1">
        <v>118</v>
      </c>
      <c r="O62">
        <f t="shared" si="0"/>
        <v>0</v>
      </c>
      <c r="P62" t="str">
        <f>VLOOKUP(L62,Sheet4!A:E,5,FALSE)</f>
        <v>在图书馆工作时，工作进度提升10%</v>
      </c>
    </row>
    <row r="63" spans="1:16">
      <c r="A63" s="6">
        <v>112027</v>
      </c>
      <c r="B63" s="1">
        <v>360</v>
      </c>
      <c r="C63" s="1">
        <v>121</v>
      </c>
      <c r="D63" s="1"/>
      <c r="E63" s="1"/>
      <c r="F63" s="1"/>
      <c r="G63" s="9"/>
      <c r="H63" s="8" t="s">
        <v>168</v>
      </c>
      <c r="I63" s="1">
        <v>57</v>
      </c>
      <c r="J63" s="1" t="s">
        <v>169</v>
      </c>
      <c r="L63" s="1">
        <v>119</v>
      </c>
      <c r="O63">
        <f t="shared" si="0"/>
        <v>0</v>
      </c>
      <c r="P63" t="str">
        <f>VLOOKUP(L63,Sheet4!A:E,5,FALSE)</f>
        <v>在图书馆工作时，工作进度提升12%</v>
      </c>
    </row>
    <row r="64" spans="1:16">
      <c r="A64" s="6">
        <v>111001</v>
      </c>
      <c r="B64" s="1">
        <v>360</v>
      </c>
      <c r="C64" s="1">
        <v>116</v>
      </c>
      <c r="D64" s="1"/>
      <c r="E64" s="1"/>
      <c r="F64" s="1"/>
      <c r="G64" s="9"/>
      <c r="H64" s="8" t="s">
        <v>170</v>
      </c>
      <c r="I64" s="1">
        <v>58</v>
      </c>
      <c r="J64" s="1" t="s">
        <v>171</v>
      </c>
      <c r="L64" s="1">
        <v>120</v>
      </c>
      <c r="O64">
        <f t="shared" si="0"/>
        <v>1</v>
      </c>
      <c r="P64" t="str">
        <f>VLOOKUP(L64,Sheet4!A:E,5,FALSE)</f>
        <v>生产宝石时，工作进度提升15%</v>
      </c>
    </row>
    <row r="65" spans="1:16">
      <c r="A65" s="6">
        <v>111002</v>
      </c>
      <c r="B65" s="1">
        <v>240</v>
      </c>
      <c r="C65" s="1">
        <v>117</v>
      </c>
      <c r="D65" s="1"/>
      <c r="E65" s="1"/>
      <c r="F65" s="1"/>
      <c r="G65" s="9"/>
      <c r="H65" s="8" t="s">
        <v>172</v>
      </c>
      <c r="I65" s="1">
        <v>59</v>
      </c>
      <c r="J65" s="1" t="s">
        <v>173</v>
      </c>
      <c r="L65" s="1">
        <v>121</v>
      </c>
      <c r="O65">
        <f t="shared" si="0"/>
        <v>0</v>
      </c>
      <c r="P65" t="str">
        <f>VLOOKUP(L65,Sheet4!A:E,5,FALSE)</f>
        <v>生产附魂卷时，工作进度提升12%</v>
      </c>
    </row>
    <row r="66" spans="1:16">
      <c r="A66" s="6">
        <v>111003</v>
      </c>
      <c r="B66" s="1">
        <v>240</v>
      </c>
      <c r="C66" s="1">
        <v>117</v>
      </c>
      <c r="D66" s="1"/>
      <c r="E66" s="1"/>
      <c r="F66" s="1"/>
      <c r="G66" s="9"/>
      <c r="H66" s="8" t="s">
        <v>174</v>
      </c>
      <c r="I66" s="1">
        <v>60</v>
      </c>
      <c r="J66" s="1" t="s">
        <v>175</v>
      </c>
      <c r="L66" s="1">
        <v>124</v>
      </c>
      <c r="O66">
        <f t="shared" si="0"/>
        <v>0</v>
      </c>
      <c r="P66" t="str">
        <f>VLOOKUP(L66,Sheet4!A:E,5,FALSE)</f>
        <v>生产蓝钻时，工作进度提升10%</v>
      </c>
    </row>
    <row r="67" spans="1:16">
      <c r="A67" s="6">
        <v>111004</v>
      </c>
      <c r="B67" s="1">
        <v>240</v>
      </c>
      <c r="C67" s="1">
        <v>43</v>
      </c>
      <c r="D67" s="1"/>
      <c r="E67" s="1"/>
      <c r="F67" s="1"/>
      <c r="G67" s="9"/>
      <c r="H67" s="8" t="s">
        <v>176</v>
      </c>
      <c r="I67" s="1">
        <v>61</v>
      </c>
      <c r="J67" s="1" t="s">
        <v>177</v>
      </c>
      <c r="L67" s="1">
        <v>125</v>
      </c>
      <c r="O67">
        <f t="shared" si="0"/>
        <v>0</v>
      </c>
      <c r="P67" t="str">
        <f>VLOOKUP(L67,Sheet4!A:E,5,FALSE)</f>
        <v>生产附魂卷时，工作进度提升10%</v>
      </c>
    </row>
    <row r="68" spans="1:16">
      <c r="A68" s="6">
        <v>111005</v>
      </c>
      <c r="B68" s="1">
        <v>240</v>
      </c>
      <c r="C68" s="1">
        <v>132</v>
      </c>
      <c r="D68" s="1"/>
      <c r="E68" s="1"/>
      <c r="F68" s="1"/>
      <c r="G68" s="9"/>
      <c r="H68" s="8" t="s">
        <v>179</v>
      </c>
      <c r="I68" s="1">
        <v>62</v>
      </c>
      <c r="J68" s="1" t="s">
        <v>180</v>
      </c>
      <c r="L68" s="1">
        <v>126</v>
      </c>
      <c r="O68">
        <f t="shared" si="0"/>
        <v>0</v>
      </c>
      <c r="P68" t="str">
        <f>VLOOKUP(L68,Sheet4!A:E,5,FALSE)</f>
        <v>生产附魂卷时，工作进度提升23%</v>
      </c>
    </row>
    <row r="69" spans="1:16">
      <c r="A69" s="6">
        <v>111006</v>
      </c>
      <c r="B69" s="1">
        <v>360</v>
      </c>
      <c r="C69" s="1">
        <v>110</v>
      </c>
      <c r="D69" s="1"/>
      <c r="E69" s="1"/>
      <c r="F69" s="1"/>
      <c r="G69" s="9"/>
      <c r="H69" s="8" t="s">
        <v>182</v>
      </c>
      <c r="I69" s="1">
        <v>63</v>
      </c>
      <c r="J69" s="1" t="s">
        <v>183</v>
      </c>
      <c r="L69" s="1">
        <v>130</v>
      </c>
      <c r="M69" s="1">
        <v>1</v>
      </c>
      <c r="N69" s="1">
        <v>6</v>
      </c>
      <c r="O69">
        <f t="shared" si="0"/>
        <v>3</v>
      </c>
      <c r="P69" t="str">
        <f>VLOOKUP(L69,Sheet4!A:E,5,FALSE)</f>
        <v>入住宿舍，体力恢复速度提升20%</v>
      </c>
    </row>
    <row r="70" spans="1:16">
      <c r="A70" s="6">
        <v>111007</v>
      </c>
      <c r="B70" s="1">
        <v>360</v>
      </c>
      <c r="C70" s="1">
        <v>118</v>
      </c>
      <c r="D70" s="1"/>
      <c r="E70" s="1"/>
      <c r="F70" s="1"/>
      <c r="G70" s="9"/>
      <c r="H70" s="8" t="s">
        <v>184</v>
      </c>
      <c r="I70" s="1">
        <v>64</v>
      </c>
      <c r="J70" s="1" t="s">
        <v>185</v>
      </c>
      <c r="L70" s="1">
        <v>130</v>
      </c>
      <c r="M70" s="1">
        <v>0</v>
      </c>
      <c r="N70" s="1">
        <v>1</v>
      </c>
      <c r="O70">
        <f t="shared" si="0"/>
        <v>3</v>
      </c>
      <c r="P70" t="str">
        <f>VLOOKUP(L70,Sheet4!A:E,5,FALSE)</f>
        <v>入住宿舍，体力恢复速度提升20%</v>
      </c>
    </row>
    <row r="71" spans="1:16">
      <c r="A71" s="6">
        <v>111008</v>
      </c>
      <c r="B71" s="1">
        <v>240</v>
      </c>
      <c r="C71" s="1">
        <v>117</v>
      </c>
      <c r="D71" s="1"/>
      <c r="E71" s="1"/>
      <c r="F71" s="1"/>
      <c r="G71" s="9"/>
      <c r="H71" s="8" t="s">
        <v>186</v>
      </c>
      <c r="I71" s="1">
        <v>65</v>
      </c>
      <c r="J71" s="1" t="s">
        <v>187</v>
      </c>
      <c r="L71" s="1">
        <v>131</v>
      </c>
      <c r="M71" s="1">
        <v>0</v>
      </c>
      <c r="N71" s="1">
        <v>80</v>
      </c>
      <c r="O71">
        <f t="shared" si="0"/>
        <v>2</v>
      </c>
      <c r="P71" t="str">
        <f>VLOOKUP(L71,Sheet4!A:E,5,FALSE)</f>
        <v>生产时，体力消耗减少5%</v>
      </c>
    </row>
    <row r="72" spans="1:16">
      <c r="A72" s="6">
        <v>111009</v>
      </c>
      <c r="B72" s="1">
        <v>480</v>
      </c>
      <c r="C72" s="1">
        <v>133</v>
      </c>
      <c r="D72" s="1"/>
      <c r="E72" s="1"/>
      <c r="F72" s="1"/>
      <c r="G72" s="9"/>
      <c r="H72" s="8" t="s">
        <v>189</v>
      </c>
      <c r="I72" s="1">
        <v>66</v>
      </c>
      <c r="J72" s="1" t="s">
        <v>190</v>
      </c>
      <c r="L72" s="1">
        <v>131</v>
      </c>
      <c r="M72" s="1">
        <v>0</v>
      </c>
      <c r="N72" s="1">
        <v>1</v>
      </c>
      <c r="O72">
        <f t="shared" ref="O72:O79" si="1">COUNTIF(C$92:D$1048576,L72)</f>
        <v>2</v>
      </c>
      <c r="P72" t="str">
        <f>VLOOKUP(L72,Sheet4!A:E,5,FALSE)</f>
        <v>生产时，体力消耗减少5%</v>
      </c>
    </row>
    <row r="73" spans="1:16">
      <c r="A73" s="6">
        <v>111010</v>
      </c>
      <c r="B73" s="1">
        <v>360</v>
      </c>
      <c r="C73" s="1">
        <v>118</v>
      </c>
      <c r="D73" s="1"/>
      <c r="E73" s="1"/>
      <c r="F73" s="1"/>
      <c r="G73" s="9"/>
      <c r="H73" s="8" t="s">
        <v>191</v>
      </c>
      <c r="I73" s="1">
        <v>67</v>
      </c>
      <c r="J73" s="1" t="s">
        <v>192</v>
      </c>
      <c r="L73" s="1">
        <v>132</v>
      </c>
      <c r="O73">
        <f t="shared" si="1"/>
        <v>0</v>
      </c>
      <c r="P73" t="str">
        <f>VLOOKUP(L73,Sheet4!A:E,5,FALSE)</f>
        <v>生产英雄之石时，工作进度提升10%</v>
      </c>
    </row>
    <row r="74" spans="1:16">
      <c r="A74" s="6">
        <v>111018</v>
      </c>
      <c r="B74" s="1">
        <v>240</v>
      </c>
      <c r="C74" s="1">
        <v>125</v>
      </c>
      <c r="D74" s="1"/>
      <c r="E74" s="1"/>
      <c r="F74" s="1"/>
      <c r="G74" s="11"/>
      <c r="H74" s="8" t="s">
        <v>194</v>
      </c>
      <c r="I74" s="1">
        <v>68</v>
      </c>
      <c r="J74" s="1" t="s">
        <v>195</v>
      </c>
      <c r="L74" s="1">
        <v>133</v>
      </c>
      <c r="O74">
        <f t="shared" si="1"/>
        <v>0</v>
      </c>
      <c r="P74" t="str">
        <f>VLOOKUP(L74,Sheet4!A:E,5,FALSE)</f>
        <v>在图书馆工作时，工作进度提升5%</v>
      </c>
    </row>
    <row r="75" spans="1:16">
      <c r="A75" s="6">
        <v>111015</v>
      </c>
      <c r="B75" s="1">
        <v>240</v>
      </c>
      <c r="C75" s="1">
        <v>124</v>
      </c>
      <c r="D75" s="1"/>
      <c r="E75" s="1"/>
      <c r="F75" s="1"/>
      <c r="G75" s="11"/>
      <c r="H75" s="8" t="s">
        <v>197</v>
      </c>
      <c r="I75" s="1">
        <v>69</v>
      </c>
      <c r="J75" s="1" t="s">
        <v>198</v>
      </c>
      <c r="L75" s="1">
        <v>134</v>
      </c>
      <c r="O75">
        <f t="shared" si="1"/>
        <v>0</v>
      </c>
      <c r="P75" t="str">
        <f>VLOOKUP(L75,Sheet4!A:E,5,FALSE)</f>
        <v>生产蓝钻时，工作进度提升5%</v>
      </c>
    </row>
    <row r="76" spans="1:16">
      <c r="A76" s="6">
        <v>111011</v>
      </c>
      <c r="B76" s="1">
        <v>360</v>
      </c>
      <c r="C76" s="1">
        <v>134</v>
      </c>
      <c r="D76" s="1"/>
      <c r="E76" s="1"/>
      <c r="F76" s="1"/>
      <c r="G76" s="11"/>
      <c r="H76" s="8" t="s">
        <v>200</v>
      </c>
      <c r="I76" s="1">
        <v>70</v>
      </c>
      <c r="J76" s="1" t="s">
        <v>201</v>
      </c>
      <c r="L76" s="1">
        <v>135</v>
      </c>
      <c r="O76">
        <f t="shared" si="1"/>
        <v>0</v>
      </c>
      <c r="P76" t="str">
        <f>VLOOKUP(L76,Sheet4!A:E,5,FALSE)</f>
        <v>生产附魂卷时，工作进度提升5%</v>
      </c>
    </row>
    <row r="77" spans="1:16">
      <c r="A77" s="6">
        <v>111013</v>
      </c>
      <c r="B77" s="1">
        <v>480</v>
      </c>
      <c r="C77" s="1">
        <v>135</v>
      </c>
      <c r="D77" s="1"/>
      <c r="E77" s="1"/>
      <c r="F77" s="1"/>
      <c r="G77" s="11"/>
      <c r="H77" s="8" t="s">
        <v>203</v>
      </c>
      <c r="I77" s="1">
        <v>71</v>
      </c>
      <c r="J77" s="1" t="s">
        <v>204</v>
      </c>
      <c r="L77" s="1">
        <v>136</v>
      </c>
      <c r="O77">
        <f t="shared" si="1"/>
        <v>0</v>
      </c>
      <c r="P77" t="str">
        <f>VLOOKUP(L77,Sheet4!A:E,5,FALSE)</f>
        <v>生产宝石时，工作进度提升5%</v>
      </c>
    </row>
    <row r="78" spans="1:16">
      <c r="A78" s="6">
        <v>111014</v>
      </c>
      <c r="B78" s="1">
        <v>240</v>
      </c>
      <c r="C78" s="1">
        <v>136</v>
      </c>
      <c r="D78" s="1"/>
      <c r="E78" s="1"/>
      <c r="F78" s="1"/>
      <c r="G78" s="11"/>
      <c r="H78" s="8" t="s">
        <v>206</v>
      </c>
      <c r="I78" s="1">
        <v>72</v>
      </c>
      <c r="J78" s="1" t="s">
        <v>207</v>
      </c>
      <c r="L78" s="1">
        <v>137</v>
      </c>
      <c r="M78" s="1"/>
      <c r="N78" s="1"/>
      <c r="O78">
        <f t="shared" si="1"/>
        <v>1</v>
      </c>
      <c r="P78" t="str">
        <f>VLOOKUP(L78,Sheet4!A:E,5,FALSE)</f>
        <v>在宿舍时，加快宿舍内角色体力恢复速度10%</v>
      </c>
    </row>
    <row r="79" spans="1:16">
      <c r="A79" s="6">
        <v>111012</v>
      </c>
      <c r="B79" s="1">
        <v>240</v>
      </c>
      <c r="C79" s="1">
        <v>125</v>
      </c>
      <c r="D79" s="1"/>
      <c r="E79" s="1"/>
      <c r="F79" s="1"/>
      <c r="G79" s="11"/>
      <c r="H79" s="8" t="s">
        <v>208</v>
      </c>
      <c r="I79" s="1">
        <v>73</v>
      </c>
      <c r="J79" s="1" t="s">
        <v>209</v>
      </c>
      <c r="L79" s="1">
        <v>138</v>
      </c>
      <c r="M79" s="1"/>
      <c r="N79" s="1"/>
      <c r="O79">
        <f t="shared" si="1"/>
        <v>2</v>
      </c>
      <c r="P79" t="str">
        <f>VLOOKUP(L79,Sheet4!A:E,5,FALSE)</f>
        <v>生产精华时，生产效率提升30%</v>
      </c>
    </row>
    <row r="80" spans="1:14">
      <c r="A80" s="6">
        <v>113037</v>
      </c>
      <c r="B80" s="1">
        <v>360</v>
      </c>
      <c r="C80" s="1">
        <v>59</v>
      </c>
      <c r="D80" s="1"/>
      <c r="E80" s="1"/>
      <c r="F80" s="1"/>
      <c r="G80" s="11"/>
      <c r="H80" s="8" t="s">
        <v>210</v>
      </c>
      <c r="I80" s="1">
        <v>74</v>
      </c>
      <c r="J80" s="1" t="s">
        <v>211</v>
      </c>
      <c r="L80" s="1"/>
      <c r="M80" s="1"/>
      <c r="N80" s="1"/>
    </row>
    <row r="81" spans="1:14">
      <c r="A81" s="6">
        <v>113038</v>
      </c>
      <c r="B81" s="1">
        <v>360</v>
      </c>
      <c r="C81" s="1">
        <v>57</v>
      </c>
      <c r="D81" s="1">
        <v>76</v>
      </c>
      <c r="E81" s="1">
        <v>0</v>
      </c>
      <c r="F81" s="1">
        <v>80</v>
      </c>
      <c r="G81" s="11"/>
      <c r="H81" s="8" t="s">
        <v>213</v>
      </c>
      <c r="I81" s="1">
        <v>75</v>
      </c>
      <c r="J81" s="1" t="s">
        <v>214</v>
      </c>
      <c r="L81" s="1"/>
      <c r="M81" s="1"/>
      <c r="N81" s="1"/>
    </row>
    <row r="82" spans="1:14">
      <c r="A82" s="6">
        <v>113032</v>
      </c>
      <c r="B82" s="1">
        <v>360</v>
      </c>
      <c r="C82" s="1">
        <v>126</v>
      </c>
      <c r="D82" s="1"/>
      <c r="E82" s="1"/>
      <c r="F82" s="1"/>
      <c r="G82" s="11"/>
      <c r="H82" s="8" t="s">
        <v>216</v>
      </c>
      <c r="I82" s="1">
        <v>76</v>
      </c>
      <c r="J82" s="1" t="s">
        <v>217</v>
      </c>
      <c r="L82" s="1"/>
      <c r="M82" s="1"/>
      <c r="N82" s="1"/>
    </row>
    <row r="83" spans="1:14">
      <c r="A83" s="6">
        <v>113033</v>
      </c>
      <c r="B83" s="1">
        <v>240</v>
      </c>
      <c r="C83" s="1">
        <v>43</v>
      </c>
      <c r="D83" s="1"/>
      <c r="E83" s="1"/>
      <c r="F83" s="1"/>
      <c r="G83" s="11"/>
      <c r="H83" s="8" t="s">
        <v>218</v>
      </c>
      <c r="I83" s="1">
        <v>77</v>
      </c>
      <c r="J83" s="1" t="s">
        <v>219</v>
      </c>
      <c r="L83" s="1"/>
      <c r="M83" s="1"/>
      <c r="N83" s="1"/>
    </row>
    <row r="84" spans="1:14">
      <c r="A84" s="6">
        <v>113034</v>
      </c>
      <c r="B84" s="1">
        <v>240</v>
      </c>
      <c r="C84" s="1">
        <v>30</v>
      </c>
      <c r="D84" s="1"/>
      <c r="E84" s="1"/>
      <c r="F84" s="1"/>
      <c r="G84" s="11"/>
      <c r="H84" s="8" t="s">
        <v>220</v>
      </c>
      <c r="I84" s="1">
        <v>78</v>
      </c>
      <c r="J84" s="1" t="s">
        <v>221</v>
      </c>
      <c r="L84" s="1"/>
      <c r="M84" s="1"/>
      <c r="N84" s="1"/>
    </row>
    <row r="85" spans="1:14">
      <c r="A85" s="6">
        <v>113035</v>
      </c>
      <c r="B85" s="1">
        <v>480</v>
      </c>
      <c r="C85" s="1">
        <v>23</v>
      </c>
      <c r="D85" s="1"/>
      <c r="E85" s="1"/>
      <c r="F85" s="1"/>
      <c r="G85" s="11"/>
      <c r="H85" s="8" t="s">
        <v>223</v>
      </c>
      <c r="I85" s="1">
        <v>79</v>
      </c>
      <c r="J85" s="1" t="s">
        <v>224</v>
      </c>
      <c r="L85" s="1"/>
      <c r="M85" s="1"/>
      <c r="N85" s="1"/>
    </row>
    <row r="86" spans="1:14">
      <c r="A86" s="6">
        <v>113036</v>
      </c>
      <c r="B86" s="1">
        <v>240</v>
      </c>
      <c r="C86" s="1">
        <v>64</v>
      </c>
      <c r="D86" s="1"/>
      <c r="E86" s="1"/>
      <c r="F86" s="1"/>
      <c r="G86" s="11"/>
      <c r="H86" s="8" t="s">
        <v>225</v>
      </c>
      <c r="I86" s="1">
        <v>80</v>
      </c>
      <c r="J86" s="1" t="s">
        <v>226</v>
      </c>
      <c r="L86" s="1"/>
      <c r="M86" s="1"/>
      <c r="N86" s="1"/>
    </row>
    <row r="87" spans="1:14">
      <c r="A87" s="6">
        <v>113039</v>
      </c>
      <c r="B87" s="1">
        <v>240</v>
      </c>
      <c r="C87" s="1">
        <v>59</v>
      </c>
      <c r="D87" s="1">
        <v>79</v>
      </c>
      <c r="E87" s="1">
        <v>0</v>
      </c>
      <c r="F87" s="1">
        <v>80</v>
      </c>
      <c r="G87" s="11"/>
      <c r="H87" s="8" t="s">
        <v>228</v>
      </c>
      <c r="I87" s="1">
        <v>81</v>
      </c>
      <c r="J87" s="1" t="s">
        <v>229</v>
      </c>
      <c r="L87" s="1"/>
      <c r="M87" s="1"/>
      <c r="N87" s="1"/>
    </row>
    <row r="88" spans="1:14">
      <c r="A88" s="6">
        <v>113043</v>
      </c>
      <c r="B88" s="1">
        <v>360</v>
      </c>
      <c r="C88" s="1">
        <v>45</v>
      </c>
      <c r="D88" s="1"/>
      <c r="E88" s="1"/>
      <c r="F88" s="1"/>
      <c r="G88" s="11"/>
      <c r="H88" s="8" t="s">
        <v>230</v>
      </c>
      <c r="I88" s="1">
        <v>82</v>
      </c>
      <c r="J88" s="1" t="s">
        <v>231</v>
      </c>
      <c r="L88" s="1"/>
      <c r="M88" s="1"/>
      <c r="N88" s="1"/>
    </row>
    <row r="89" spans="1:14">
      <c r="A89" s="6">
        <v>112029</v>
      </c>
      <c r="B89" s="1">
        <v>240</v>
      </c>
      <c r="C89" s="1">
        <v>58</v>
      </c>
      <c r="D89" s="1"/>
      <c r="E89" s="1"/>
      <c r="F89" s="1"/>
      <c r="G89" s="11"/>
      <c r="H89" s="9" t="s">
        <v>233</v>
      </c>
      <c r="I89" s="1">
        <v>83</v>
      </c>
      <c r="J89" s="1" t="s">
        <v>234</v>
      </c>
      <c r="L89" s="1"/>
      <c r="M89" s="1"/>
      <c r="N89" s="1"/>
    </row>
    <row r="90" spans="1:14">
      <c r="A90" s="6">
        <v>113040</v>
      </c>
      <c r="B90" s="1">
        <v>480</v>
      </c>
      <c r="C90" s="1">
        <v>31</v>
      </c>
      <c r="D90" s="1">
        <v>130</v>
      </c>
      <c r="E90" s="1">
        <v>1</v>
      </c>
      <c r="F90" s="1">
        <v>6</v>
      </c>
      <c r="G90" s="1"/>
      <c r="H90" s="1" t="s">
        <v>236</v>
      </c>
      <c r="I90" s="1">
        <v>84</v>
      </c>
      <c r="J90" s="1" t="s">
        <v>237</v>
      </c>
      <c r="L90" s="1"/>
      <c r="M90" s="1"/>
      <c r="N90" s="1"/>
    </row>
    <row r="91" spans="1:14">
      <c r="A91" s="6">
        <v>113042</v>
      </c>
      <c r="B91" s="1">
        <v>360</v>
      </c>
      <c r="C91" s="1">
        <v>66</v>
      </c>
      <c r="D91" s="1"/>
      <c r="E91" s="1"/>
      <c r="F91" s="1"/>
      <c r="G91" s="1"/>
      <c r="H91" s="1" t="s">
        <v>238</v>
      </c>
      <c r="I91" s="1">
        <v>85</v>
      </c>
      <c r="J91" s="1" t="s">
        <v>239</v>
      </c>
      <c r="L91" s="1"/>
      <c r="M91" s="1"/>
      <c r="N91" s="1"/>
    </row>
    <row r="92" spans="1:14">
      <c r="A92" s="6">
        <v>113044</v>
      </c>
      <c r="B92" s="1">
        <v>480</v>
      </c>
      <c r="C92" s="1">
        <v>65</v>
      </c>
      <c r="D92" s="1">
        <v>75</v>
      </c>
      <c r="E92" s="1">
        <v>0</v>
      </c>
      <c r="F92" s="1">
        <v>80</v>
      </c>
      <c r="G92" s="1"/>
      <c r="H92" s="1" t="s">
        <v>241</v>
      </c>
      <c r="I92" s="1">
        <v>86</v>
      </c>
      <c r="J92" s="1" t="s">
        <v>242</v>
      </c>
      <c r="L92" s="1"/>
      <c r="M92" s="1"/>
      <c r="N92" s="1"/>
    </row>
    <row r="93" spans="1:10">
      <c r="A93" s="6">
        <v>113045</v>
      </c>
      <c r="B93" s="1">
        <v>240</v>
      </c>
      <c r="C93" s="1">
        <v>37</v>
      </c>
      <c r="D93" s="1"/>
      <c r="E93" s="1"/>
      <c r="F93" s="1"/>
      <c r="G93" s="1"/>
      <c r="H93" s="1" t="s">
        <v>243</v>
      </c>
      <c r="I93" s="1">
        <v>87</v>
      </c>
      <c r="J93" s="1" t="s">
        <v>244</v>
      </c>
    </row>
    <row r="94" spans="1:14">
      <c r="A94" s="6">
        <v>113046</v>
      </c>
      <c r="B94" s="1">
        <v>360</v>
      </c>
      <c r="C94" s="1">
        <v>58</v>
      </c>
      <c r="D94" s="1">
        <v>131</v>
      </c>
      <c r="E94" s="1">
        <v>0</v>
      </c>
      <c r="F94" s="1">
        <v>80</v>
      </c>
      <c r="G94" s="1"/>
      <c r="H94" s="1" t="s">
        <v>246</v>
      </c>
      <c r="I94" s="1">
        <v>88</v>
      </c>
      <c r="J94" s="1" t="s">
        <v>247</v>
      </c>
      <c r="L94" s="1"/>
      <c r="M94" s="1"/>
      <c r="N94" s="1"/>
    </row>
    <row r="95" spans="1:10">
      <c r="A95" s="6">
        <v>113041</v>
      </c>
      <c r="B95" s="1">
        <v>240</v>
      </c>
      <c r="C95" s="1">
        <v>57</v>
      </c>
      <c r="D95" s="1"/>
      <c r="E95" s="1"/>
      <c r="F95" s="1"/>
      <c r="G95" s="7"/>
      <c r="H95" s="1" t="s">
        <v>248</v>
      </c>
      <c r="I95" s="1">
        <v>89</v>
      </c>
      <c r="J95" s="1" t="s">
        <v>249</v>
      </c>
    </row>
    <row r="96" spans="1:10">
      <c r="A96" s="6">
        <v>113047</v>
      </c>
      <c r="B96" s="1">
        <v>480</v>
      </c>
      <c r="C96" s="1">
        <v>37</v>
      </c>
      <c r="D96" s="1">
        <v>59</v>
      </c>
      <c r="E96" s="1">
        <v>0</v>
      </c>
      <c r="F96" s="1">
        <v>80</v>
      </c>
      <c r="G96" s="1"/>
      <c r="H96" s="1" t="s">
        <v>251</v>
      </c>
      <c r="I96" s="1">
        <v>90</v>
      </c>
      <c r="J96" s="1" t="s">
        <v>252</v>
      </c>
    </row>
    <row r="97" spans="1:10">
      <c r="A97" s="6">
        <v>113049</v>
      </c>
      <c r="B97" s="1">
        <v>360</v>
      </c>
      <c r="C97" s="1">
        <v>66</v>
      </c>
      <c r="D97" s="1"/>
      <c r="E97" s="1"/>
      <c r="F97" s="1"/>
      <c r="G97" s="1"/>
      <c r="H97" s="1" t="s">
        <v>253</v>
      </c>
      <c r="I97" s="1">
        <v>91</v>
      </c>
      <c r="J97" s="6" t="s">
        <v>254</v>
      </c>
    </row>
    <row r="98" spans="1:10">
      <c r="A98" s="6">
        <v>113050</v>
      </c>
      <c r="B98" s="1">
        <v>360</v>
      </c>
      <c r="C98" s="1">
        <v>59</v>
      </c>
      <c r="D98" s="1"/>
      <c r="E98" s="1"/>
      <c r="F98" s="1"/>
      <c r="G98" s="1"/>
      <c r="H98" s="1" t="s">
        <v>255</v>
      </c>
      <c r="I98" s="1">
        <v>92</v>
      </c>
      <c r="J98" s="6" t="s">
        <v>256</v>
      </c>
    </row>
    <row r="99" spans="1:10">
      <c r="A99" s="1">
        <v>113051</v>
      </c>
      <c r="B99" s="1">
        <v>360</v>
      </c>
      <c r="C99" s="1">
        <v>38</v>
      </c>
      <c r="D99" s="1"/>
      <c r="E99" s="1"/>
      <c r="F99" s="1"/>
      <c r="G99" s="1"/>
      <c r="H99" s="1" t="s">
        <v>257</v>
      </c>
      <c r="I99" s="1">
        <v>93</v>
      </c>
      <c r="J99" s="1" t="s">
        <v>116</v>
      </c>
    </row>
    <row r="100" spans="1:10">
      <c r="A100" s="1">
        <v>113052</v>
      </c>
      <c r="B100" s="1">
        <v>480</v>
      </c>
      <c r="C100" s="1">
        <v>2</v>
      </c>
      <c r="D100" s="1"/>
      <c r="E100" s="1"/>
      <c r="F100" s="1"/>
      <c r="G100" s="1"/>
      <c r="H100" s="1" t="s">
        <v>259</v>
      </c>
      <c r="I100" s="1">
        <v>94</v>
      </c>
      <c r="J100" s="1" t="s">
        <v>15</v>
      </c>
    </row>
    <row r="101" spans="1:10">
      <c r="A101" s="1">
        <v>113053</v>
      </c>
      <c r="B101" s="1">
        <v>480</v>
      </c>
      <c r="C101" s="1">
        <v>1</v>
      </c>
      <c r="D101" s="1">
        <v>120</v>
      </c>
      <c r="E101" s="1">
        <v>0</v>
      </c>
      <c r="F101" s="1">
        <v>1</v>
      </c>
      <c r="G101" s="1"/>
      <c r="H101" s="1" t="s">
        <v>261</v>
      </c>
      <c r="I101" s="1">
        <v>95</v>
      </c>
      <c r="J101" s="1" t="s">
        <v>262</v>
      </c>
    </row>
    <row r="102" spans="1:10">
      <c r="A102" s="1">
        <v>113054</v>
      </c>
      <c r="B102" s="1">
        <v>360</v>
      </c>
      <c r="C102" s="1">
        <v>37</v>
      </c>
      <c r="D102" s="1">
        <v>77</v>
      </c>
      <c r="E102" s="1">
        <v>0</v>
      </c>
      <c r="F102" s="1">
        <v>1</v>
      </c>
      <c r="G102" s="1"/>
      <c r="H102" s="1" t="s">
        <v>264</v>
      </c>
      <c r="I102" s="1">
        <v>96</v>
      </c>
      <c r="J102" s="1" t="s">
        <v>113</v>
      </c>
    </row>
    <row r="103" spans="1:10">
      <c r="A103" s="1">
        <v>113055</v>
      </c>
      <c r="B103" s="1">
        <v>360</v>
      </c>
      <c r="C103" s="1">
        <v>38</v>
      </c>
      <c r="D103" s="1">
        <v>79</v>
      </c>
      <c r="E103" s="1">
        <v>0</v>
      </c>
      <c r="F103" s="1">
        <v>1</v>
      </c>
      <c r="G103" s="1"/>
      <c r="H103" s="1" t="s">
        <v>266</v>
      </c>
      <c r="I103" s="1">
        <v>97</v>
      </c>
      <c r="J103" s="1" t="s">
        <v>267</v>
      </c>
    </row>
    <row r="104" spans="1:10">
      <c r="A104" s="1">
        <v>113056</v>
      </c>
      <c r="B104" s="1">
        <v>360</v>
      </c>
      <c r="C104" s="1">
        <v>17</v>
      </c>
      <c r="D104" s="1">
        <v>131</v>
      </c>
      <c r="E104" s="1">
        <v>0</v>
      </c>
      <c r="F104" s="1">
        <v>1</v>
      </c>
      <c r="G104" s="1"/>
      <c r="H104" s="1" t="s">
        <v>269</v>
      </c>
      <c r="I104" s="1">
        <v>98</v>
      </c>
      <c r="J104" s="1" t="s">
        <v>270</v>
      </c>
    </row>
    <row r="105" spans="1:10">
      <c r="A105" s="1">
        <v>113057</v>
      </c>
      <c r="B105" s="1">
        <v>360</v>
      </c>
      <c r="C105" s="1">
        <v>2</v>
      </c>
      <c r="D105" s="1">
        <v>137</v>
      </c>
      <c r="E105" s="1">
        <v>0</v>
      </c>
      <c r="F105" s="1">
        <v>1</v>
      </c>
      <c r="G105" s="1"/>
      <c r="H105" s="1" t="s">
        <v>272</v>
      </c>
      <c r="I105" s="1">
        <v>99</v>
      </c>
      <c r="J105" s="1" t="s">
        <v>273</v>
      </c>
    </row>
    <row r="106" spans="1:10">
      <c r="A106" s="1">
        <v>113058</v>
      </c>
      <c r="B106" s="1">
        <v>480</v>
      </c>
      <c r="C106" s="1">
        <v>9</v>
      </c>
      <c r="D106" s="1"/>
      <c r="E106" s="1"/>
      <c r="F106" s="1"/>
      <c r="G106" s="1"/>
      <c r="H106" s="1" t="s">
        <v>274</v>
      </c>
      <c r="I106" s="1">
        <v>100</v>
      </c>
      <c r="J106" s="1" t="s">
        <v>35</v>
      </c>
    </row>
    <row r="107" spans="1:10">
      <c r="A107" s="1">
        <v>113059</v>
      </c>
      <c r="B107" s="1">
        <v>480</v>
      </c>
      <c r="C107" s="1">
        <v>38</v>
      </c>
      <c r="D107" s="1">
        <v>79</v>
      </c>
      <c r="E107" s="1">
        <v>0</v>
      </c>
      <c r="F107" s="1">
        <v>1</v>
      </c>
      <c r="G107" s="1"/>
      <c r="H107" s="1" t="s">
        <v>275</v>
      </c>
      <c r="I107" s="1">
        <v>101</v>
      </c>
      <c r="J107" s="1" t="s">
        <v>276</v>
      </c>
    </row>
    <row r="108" spans="1:10">
      <c r="A108" s="1">
        <v>113060</v>
      </c>
      <c r="B108" s="1">
        <v>360</v>
      </c>
      <c r="C108" s="1">
        <v>24</v>
      </c>
      <c r="D108" s="1"/>
      <c r="E108" s="1"/>
      <c r="F108" s="1"/>
      <c r="G108" s="1"/>
      <c r="H108" s="1" t="s">
        <v>277</v>
      </c>
      <c r="I108" s="1">
        <v>102</v>
      </c>
      <c r="J108" s="1" t="s">
        <v>77</v>
      </c>
    </row>
    <row r="109" spans="1:10">
      <c r="A109" s="1">
        <v>113061</v>
      </c>
      <c r="B109" s="1">
        <v>240</v>
      </c>
      <c r="C109" s="1">
        <v>65</v>
      </c>
      <c r="D109" s="1">
        <v>130</v>
      </c>
      <c r="E109" s="1">
        <v>0</v>
      </c>
      <c r="F109" s="1">
        <v>1</v>
      </c>
      <c r="G109" s="1"/>
      <c r="H109" s="1" t="s">
        <v>279</v>
      </c>
      <c r="I109" s="1">
        <v>103</v>
      </c>
      <c r="J109" s="1" t="s">
        <v>280</v>
      </c>
    </row>
    <row r="110" spans="1:10">
      <c r="A110" s="1">
        <v>113062</v>
      </c>
      <c r="B110" s="1">
        <v>480</v>
      </c>
      <c r="C110" s="1">
        <v>66</v>
      </c>
      <c r="D110" s="1"/>
      <c r="E110" s="1"/>
      <c r="F110" s="1"/>
      <c r="G110" s="1"/>
      <c r="H110" s="1" t="s">
        <v>281</v>
      </c>
      <c r="I110" s="1">
        <v>104</v>
      </c>
      <c r="J110" s="1" t="s">
        <v>282</v>
      </c>
    </row>
    <row r="111" spans="1:10">
      <c r="A111" s="1">
        <v>113063</v>
      </c>
      <c r="B111" s="1">
        <v>360</v>
      </c>
      <c r="C111" s="1">
        <v>15</v>
      </c>
      <c r="D111" s="1">
        <v>43</v>
      </c>
      <c r="E111" s="1">
        <v>0</v>
      </c>
      <c r="F111" s="1">
        <v>1</v>
      </c>
      <c r="G111" s="1"/>
      <c r="H111" s="1" t="s">
        <v>284</v>
      </c>
      <c r="I111" s="1">
        <v>105</v>
      </c>
      <c r="J111" s="1" t="s">
        <v>285</v>
      </c>
    </row>
    <row r="112" spans="1:10">
      <c r="A112" s="1">
        <v>113064</v>
      </c>
      <c r="B112" s="1">
        <v>480</v>
      </c>
      <c r="C112" s="1">
        <v>38</v>
      </c>
      <c r="D112" s="1">
        <v>79</v>
      </c>
      <c r="E112" s="1">
        <v>0</v>
      </c>
      <c r="F112" s="1">
        <v>1</v>
      </c>
      <c r="G112" s="1"/>
      <c r="H112" s="1" t="s">
        <v>286</v>
      </c>
      <c r="I112" s="1">
        <v>106</v>
      </c>
      <c r="J112" s="1" t="s">
        <v>267</v>
      </c>
    </row>
    <row r="113" spans="1:10">
      <c r="A113" s="1">
        <v>113065</v>
      </c>
      <c r="B113" s="1">
        <v>240</v>
      </c>
      <c r="C113" s="1">
        <v>109</v>
      </c>
      <c r="D113" s="1">
        <v>8</v>
      </c>
      <c r="E113" s="1">
        <v>0</v>
      </c>
      <c r="F113" s="1">
        <v>1</v>
      </c>
      <c r="G113" s="1"/>
      <c r="H113" s="1" t="s">
        <v>288</v>
      </c>
      <c r="I113" s="1">
        <v>107</v>
      </c>
      <c r="J113" s="1" t="s">
        <v>289</v>
      </c>
    </row>
    <row r="114" spans="1:10">
      <c r="A114" s="1">
        <v>113066</v>
      </c>
      <c r="B114" s="1">
        <v>480</v>
      </c>
      <c r="C114" s="1">
        <v>2</v>
      </c>
      <c r="D114" s="1">
        <v>38</v>
      </c>
      <c r="E114" s="1">
        <v>0</v>
      </c>
      <c r="F114" s="1">
        <v>1</v>
      </c>
      <c r="G114" s="1"/>
      <c r="H114" s="1" t="s">
        <v>291</v>
      </c>
      <c r="I114" s="1">
        <v>108</v>
      </c>
      <c r="J114" s="1" t="s">
        <v>292</v>
      </c>
    </row>
    <row r="115" spans="1:10">
      <c r="A115" s="1">
        <v>113067</v>
      </c>
      <c r="B115" s="1">
        <v>480</v>
      </c>
      <c r="C115" s="1">
        <v>77</v>
      </c>
      <c r="D115" s="1">
        <v>83</v>
      </c>
      <c r="E115" s="1">
        <v>0</v>
      </c>
      <c r="F115" s="1">
        <v>1</v>
      </c>
      <c r="G115" s="1"/>
      <c r="H115" s="1" t="s">
        <v>294</v>
      </c>
      <c r="I115" s="1">
        <v>109</v>
      </c>
      <c r="J115" s="1" t="s">
        <v>295</v>
      </c>
    </row>
    <row r="116" spans="1:10">
      <c r="A116" s="1">
        <v>113068</v>
      </c>
      <c r="B116" s="1">
        <v>480</v>
      </c>
      <c r="C116" s="1">
        <v>37</v>
      </c>
      <c r="D116" s="1">
        <v>66</v>
      </c>
      <c r="E116" s="1">
        <v>0</v>
      </c>
      <c r="F116" s="1">
        <v>1</v>
      </c>
      <c r="G116" s="1"/>
      <c r="H116" s="1" t="s">
        <v>297</v>
      </c>
      <c r="I116" s="1">
        <v>111</v>
      </c>
      <c r="J116" s="1" t="s">
        <v>298</v>
      </c>
    </row>
    <row r="117" spans="1:10">
      <c r="A117" s="1">
        <v>113069</v>
      </c>
      <c r="B117" s="1">
        <v>480</v>
      </c>
      <c r="C117" s="1">
        <v>9</v>
      </c>
      <c r="D117" s="1">
        <v>45</v>
      </c>
      <c r="E117" s="1">
        <v>0</v>
      </c>
      <c r="F117" s="1">
        <v>1</v>
      </c>
      <c r="G117" s="1"/>
      <c r="H117" s="1" t="s">
        <v>300</v>
      </c>
      <c r="I117" s="1">
        <v>110</v>
      </c>
      <c r="J117" s="1" t="s">
        <v>301</v>
      </c>
    </row>
    <row r="118" spans="1:10">
      <c r="A118" s="1">
        <v>113070</v>
      </c>
      <c r="B118" s="1">
        <v>480</v>
      </c>
      <c r="C118" s="1">
        <v>45</v>
      </c>
      <c r="D118" s="1">
        <v>22</v>
      </c>
      <c r="E118" s="1">
        <v>0</v>
      </c>
      <c r="F118" s="1">
        <v>1</v>
      </c>
      <c r="G118" s="1"/>
      <c r="H118" s="1" t="s">
        <v>303</v>
      </c>
      <c r="I118" s="1">
        <v>112</v>
      </c>
      <c r="J118" s="1" t="s">
        <v>304</v>
      </c>
    </row>
    <row r="119" spans="1:10">
      <c r="A119" s="1">
        <v>113071</v>
      </c>
      <c r="B119" s="1">
        <v>480</v>
      </c>
      <c r="C119" s="1">
        <v>8</v>
      </c>
      <c r="D119" s="1">
        <v>36</v>
      </c>
      <c r="E119" s="1">
        <v>0</v>
      </c>
      <c r="F119" s="1">
        <v>1</v>
      </c>
      <c r="G119" s="1"/>
      <c r="H119" s="1" t="s">
        <v>306</v>
      </c>
      <c r="I119" s="1">
        <v>113</v>
      </c>
      <c r="J119" s="1" t="s">
        <v>307</v>
      </c>
    </row>
    <row r="120" spans="1:10">
      <c r="A120" s="1">
        <v>113072</v>
      </c>
      <c r="B120" s="1">
        <v>480</v>
      </c>
      <c r="C120" s="1">
        <v>109</v>
      </c>
      <c r="D120" s="1">
        <v>22</v>
      </c>
      <c r="E120" s="1">
        <v>0</v>
      </c>
      <c r="F120" s="1">
        <v>1</v>
      </c>
      <c r="G120" s="1"/>
      <c r="H120" s="1" t="s">
        <v>309</v>
      </c>
      <c r="I120" s="1">
        <v>114</v>
      </c>
      <c r="J120" s="1" t="s">
        <v>310</v>
      </c>
    </row>
    <row r="121" spans="1:10">
      <c r="A121" s="1">
        <v>113073</v>
      </c>
      <c r="B121" s="1">
        <v>480</v>
      </c>
      <c r="C121" s="1">
        <v>8</v>
      </c>
      <c r="D121" s="1">
        <v>45</v>
      </c>
      <c r="E121" s="1">
        <v>0</v>
      </c>
      <c r="F121" s="1">
        <v>1</v>
      </c>
      <c r="G121" s="1"/>
      <c r="H121" s="1" t="s">
        <v>312</v>
      </c>
      <c r="I121" s="1">
        <v>115</v>
      </c>
      <c r="J121" s="1" t="s">
        <v>313</v>
      </c>
    </row>
    <row r="122" spans="1:10">
      <c r="A122" s="1">
        <v>113076</v>
      </c>
      <c r="B122" s="1">
        <v>480</v>
      </c>
      <c r="C122" s="1">
        <v>24</v>
      </c>
      <c r="D122" s="1">
        <v>66</v>
      </c>
      <c r="E122" s="1">
        <v>0</v>
      </c>
      <c r="F122" s="1">
        <v>1</v>
      </c>
      <c r="G122" s="1"/>
      <c r="H122" s="1" t="s">
        <v>315</v>
      </c>
      <c r="I122" s="1">
        <v>116</v>
      </c>
      <c r="J122" s="1" t="s">
        <v>316</v>
      </c>
    </row>
    <row r="123" spans="1:10">
      <c r="A123" s="1">
        <v>113077</v>
      </c>
      <c r="B123" s="1">
        <v>480</v>
      </c>
      <c r="C123" s="1">
        <v>66</v>
      </c>
      <c r="D123" s="1">
        <v>138</v>
      </c>
      <c r="E123" s="1">
        <v>0</v>
      </c>
      <c r="F123" s="1">
        <v>1</v>
      </c>
      <c r="G123" s="1"/>
      <c r="H123" s="1" t="s">
        <v>318</v>
      </c>
      <c r="I123" s="1">
        <v>117</v>
      </c>
      <c r="J123" s="1" t="s">
        <v>319</v>
      </c>
    </row>
    <row r="124" spans="1:10">
      <c r="A124" s="1">
        <v>113078</v>
      </c>
      <c r="B124" s="1">
        <v>480</v>
      </c>
      <c r="C124" s="1">
        <v>22</v>
      </c>
      <c r="D124" s="1">
        <v>45</v>
      </c>
      <c r="E124" s="1">
        <v>0</v>
      </c>
      <c r="F124" s="1">
        <v>1</v>
      </c>
      <c r="G124" s="1"/>
      <c r="H124" s="1" t="s">
        <v>321</v>
      </c>
      <c r="I124" s="1">
        <v>118</v>
      </c>
      <c r="J124" s="1" t="s">
        <v>322</v>
      </c>
    </row>
    <row r="125" spans="1:10">
      <c r="A125" s="1">
        <v>113079</v>
      </c>
      <c r="B125" s="1">
        <v>480</v>
      </c>
      <c r="C125" s="1">
        <v>83</v>
      </c>
      <c r="D125" s="1"/>
      <c r="E125" s="1"/>
      <c r="F125" s="1"/>
      <c r="G125" s="1"/>
      <c r="H125" s="1" t="s">
        <v>323</v>
      </c>
      <c r="I125" s="1">
        <v>119</v>
      </c>
      <c r="J125" s="1" t="s">
        <v>324</v>
      </c>
    </row>
    <row r="126" spans="1:10">
      <c r="A126" s="1">
        <v>113080</v>
      </c>
      <c r="B126" s="1">
        <v>480</v>
      </c>
      <c r="C126" s="1">
        <v>38</v>
      </c>
      <c r="D126" s="1">
        <v>130</v>
      </c>
      <c r="E126" s="1">
        <v>0</v>
      </c>
      <c r="F126" s="1">
        <v>1</v>
      </c>
      <c r="G126" s="1"/>
      <c r="H126" s="1" t="s">
        <v>326</v>
      </c>
      <c r="I126" s="1">
        <v>120</v>
      </c>
      <c r="J126" s="1" t="s">
        <v>327</v>
      </c>
    </row>
    <row r="127" spans="1:10">
      <c r="A127" s="1">
        <v>113081</v>
      </c>
      <c r="B127" s="1">
        <v>480</v>
      </c>
      <c r="C127" s="1">
        <v>66</v>
      </c>
      <c r="D127" s="1">
        <v>83</v>
      </c>
      <c r="E127" s="1">
        <v>0</v>
      </c>
      <c r="F127" s="1">
        <v>1</v>
      </c>
      <c r="G127" s="1"/>
      <c r="H127" s="1" t="s">
        <v>329</v>
      </c>
      <c r="I127" s="1">
        <v>121</v>
      </c>
      <c r="J127" s="1" t="s">
        <v>319</v>
      </c>
    </row>
    <row r="128" spans="1:10">
      <c r="A128" s="1">
        <v>113082</v>
      </c>
      <c r="B128" s="1">
        <v>480</v>
      </c>
      <c r="C128" s="1">
        <v>17</v>
      </c>
      <c r="D128" s="1">
        <v>45</v>
      </c>
      <c r="E128" s="1">
        <v>0</v>
      </c>
      <c r="F128" s="1">
        <v>1</v>
      </c>
      <c r="G128" s="1"/>
      <c r="H128" s="1" t="s">
        <v>331</v>
      </c>
      <c r="I128" s="1">
        <v>122</v>
      </c>
      <c r="J128" s="1" t="s">
        <v>319</v>
      </c>
    </row>
    <row r="129" spans="1:10">
      <c r="A129" s="1">
        <v>113083</v>
      </c>
      <c r="B129" s="1">
        <v>480</v>
      </c>
      <c r="C129" s="1">
        <v>2</v>
      </c>
      <c r="D129" s="1">
        <v>59</v>
      </c>
      <c r="E129" s="1">
        <v>0</v>
      </c>
      <c r="F129" s="1">
        <v>1</v>
      </c>
      <c r="G129" s="1"/>
      <c r="H129" s="1" t="s">
        <v>333</v>
      </c>
      <c r="I129" s="1">
        <v>123</v>
      </c>
      <c r="J129" s="1" t="s">
        <v>334</v>
      </c>
    </row>
    <row r="130" spans="1:10">
      <c r="A130" s="1">
        <v>113084</v>
      </c>
      <c r="B130" s="1">
        <v>480</v>
      </c>
      <c r="C130" s="1">
        <v>24</v>
      </c>
      <c r="D130" s="1">
        <v>64</v>
      </c>
      <c r="E130" s="1">
        <v>0</v>
      </c>
      <c r="F130" s="1">
        <v>1</v>
      </c>
      <c r="G130" s="1"/>
      <c r="H130" s="1" t="s">
        <v>336</v>
      </c>
      <c r="I130" s="1">
        <v>124</v>
      </c>
      <c r="J130" s="1" t="s">
        <v>316</v>
      </c>
    </row>
    <row r="131" spans="1:10">
      <c r="A131" s="1">
        <v>113085</v>
      </c>
      <c r="B131" s="1">
        <v>480</v>
      </c>
      <c r="C131" s="1">
        <v>9</v>
      </c>
      <c r="D131" s="1">
        <v>24</v>
      </c>
      <c r="E131" s="1">
        <v>0</v>
      </c>
      <c r="F131" s="1">
        <v>1</v>
      </c>
      <c r="G131" s="1"/>
      <c r="H131" s="1" t="s">
        <v>338</v>
      </c>
      <c r="I131" s="1">
        <v>125</v>
      </c>
      <c r="J131" s="1" t="s">
        <v>339</v>
      </c>
    </row>
    <row r="132" spans="1:10">
      <c r="A132" s="1">
        <v>113086</v>
      </c>
      <c r="B132" s="1">
        <v>480</v>
      </c>
      <c r="C132" s="1">
        <v>2</v>
      </c>
      <c r="D132" s="1">
        <v>43</v>
      </c>
      <c r="E132" s="1">
        <v>0</v>
      </c>
      <c r="F132" s="1">
        <v>1</v>
      </c>
      <c r="G132" s="1"/>
      <c r="H132" s="1" t="s">
        <v>341</v>
      </c>
      <c r="I132" s="1">
        <v>126</v>
      </c>
      <c r="J132" s="1" t="s">
        <v>388</v>
      </c>
    </row>
    <row r="133" spans="1:10">
      <c r="A133" s="1">
        <v>113087</v>
      </c>
      <c r="B133" s="1">
        <v>480</v>
      </c>
      <c r="C133" s="1">
        <v>36</v>
      </c>
      <c r="D133" s="1">
        <v>66</v>
      </c>
      <c r="E133" s="1">
        <v>0</v>
      </c>
      <c r="F133" s="1">
        <v>1</v>
      </c>
      <c r="G133" s="1"/>
      <c r="H133" s="1" t="s">
        <v>343</v>
      </c>
      <c r="I133" s="1">
        <v>127</v>
      </c>
      <c r="J133" s="1" t="s">
        <v>342</v>
      </c>
    </row>
    <row r="134" spans="1:10">
      <c r="A134" s="1">
        <v>113088</v>
      </c>
      <c r="B134" s="1">
        <v>480</v>
      </c>
      <c r="C134" s="1">
        <v>10</v>
      </c>
      <c r="D134" s="1">
        <v>138</v>
      </c>
      <c r="E134" s="1">
        <v>0</v>
      </c>
      <c r="F134" s="1">
        <v>1</v>
      </c>
      <c r="G134" s="1"/>
      <c r="H134" s="1" t="s">
        <v>345</v>
      </c>
      <c r="I134" s="1">
        <v>128</v>
      </c>
      <c r="J134" s="1" t="s">
        <v>346</v>
      </c>
    </row>
    <row r="135" spans="1:10">
      <c r="A135" s="1">
        <v>113089</v>
      </c>
      <c r="B135" s="1">
        <v>480</v>
      </c>
      <c r="C135" s="1">
        <v>1</v>
      </c>
      <c r="D135" s="1">
        <v>17</v>
      </c>
      <c r="E135" s="1">
        <v>0</v>
      </c>
      <c r="F135" s="1">
        <v>1</v>
      </c>
      <c r="G135" s="1"/>
      <c r="H135" s="1" t="s">
        <v>348</v>
      </c>
      <c r="I135" s="1">
        <v>129</v>
      </c>
      <c r="J135" s="1" t="s">
        <v>349</v>
      </c>
    </row>
    <row r="136" spans="1:10">
      <c r="A136" s="1">
        <v>113090</v>
      </c>
      <c r="B136" s="1">
        <v>480</v>
      </c>
      <c r="C136" s="1">
        <v>3</v>
      </c>
      <c r="D136" s="1">
        <v>64</v>
      </c>
      <c r="E136" s="1">
        <v>0</v>
      </c>
      <c r="F136" s="1">
        <v>1</v>
      </c>
      <c r="G136" s="1"/>
      <c r="H136" s="1" t="s">
        <v>351</v>
      </c>
      <c r="I136" s="1">
        <v>130</v>
      </c>
      <c r="J136" s="1" t="s">
        <v>352</v>
      </c>
    </row>
    <row r="137" spans="1:10">
      <c r="A137" s="1">
        <v>113091</v>
      </c>
      <c r="B137" s="1">
        <v>480</v>
      </c>
      <c r="C137" s="1">
        <v>31</v>
      </c>
      <c r="D137" s="1">
        <v>43</v>
      </c>
      <c r="E137" s="1">
        <v>0</v>
      </c>
      <c r="F137" s="1">
        <v>1</v>
      </c>
      <c r="G137" s="1"/>
      <c r="H137" s="1" t="s">
        <v>354</v>
      </c>
      <c r="I137" s="1">
        <v>131</v>
      </c>
      <c r="J137" s="1" t="s">
        <v>355</v>
      </c>
    </row>
    <row r="138" spans="1:10">
      <c r="A138" s="1">
        <v>113092</v>
      </c>
      <c r="B138" s="1">
        <v>480</v>
      </c>
      <c r="C138" s="1">
        <v>66</v>
      </c>
      <c r="D138" s="1">
        <v>130</v>
      </c>
      <c r="F138" s="1">
        <v>1</v>
      </c>
      <c r="H138" s="1" t="s">
        <v>357</v>
      </c>
      <c r="I138" s="1">
        <v>132</v>
      </c>
      <c r="J138" s="1" t="s">
        <v>358</v>
      </c>
    </row>
  </sheetData>
  <sortState ref="L7:N92">
    <sortCondition ref="L7:L92"/>
  </sortState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4"/>
  <sheetViews>
    <sheetView topLeftCell="A118" workbookViewId="0">
      <selection activeCell="A1" sqref="A1:G144"/>
    </sheetView>
  </sheetViews>
  <sheetFormatPr defaultColWidth="9" defaultRowHeight="14.25" outlineLevelCol="6"/>
  <sheetData>
    <row r="1" spans="1:7">
      <c r="A1" s="1">
        <v>7</v>
      </c>
      <c r="B1" s="2">
        <v>1</v>
      </c>
      <c r="C1" s="1">
        <v>9999</v>
      </c>
      <c r="D1" s="1">
        <v>5</v>
      </c>
      <c r="E1" s="1"/>
      <c r="F1" s="1"/>
      <c r="G1" s="1"/>
    </row>
    <row r="2" spans="1:7">
      <c r="A2" s="1" t="s">
        <v>389</v>
      </c>
      <c r="B2" s="2" t="s">
        <v>390</v>
      </c>
      <c r="C2" s="1" t="s">
        <v>391</v>
      </c>
      <c r="D2" s="1" t="s">
        <v>392</v>
      </c>
      <c r="E2" s="1" t="s">
        <v>393</v>
      </c>
      <c r="F2" s="1"/>
      <c r="G2" s="1" t="s">
        <v>394</v>
      </c>
    </row>
    <row r="3" spans="1:7">
      <c r="A3" s="1" t="s">
        <v>395</v>
      </c>
      <c r="B3" s="2" t="s">
        <v>396</v>
      </c>
      <c r="C3" s="1" t="s">
        <v>397</v>
      </c>
      <c r="D3" s="1" t="s">
        <v>398</v>
      </c>
      <c r="E3" s="1" t="s">
        <v>399</v>
      </c>
      <c r="F3" s="1"/>
      <c r="G3" s="1"/>
    </row>
    <row r="4" spans="1:7">
      <c r="A4" s="1" t="s">
        <v>6</v>
      </c>
      <c r="B4" s="2" t="s">
        <v>7</v>
      </c>
      <c r="C4" s="1" t="s">
        <v>7</v>
      </c>
      <c r="D4" s="1" t="s">
        <v>7</v>
      </c>
      <c r="E4" s="1" t="s">
        <v>7</v>
      </c>
      <c r="F4" s="1"/>
      <c r="G4" s="1"/>
    </row>
    <row r="5" spans="1:7">
      <c r="A5" s="1" t="s">
        <v>8</v>
      </c>
      <c r="B5" s="2" t="s">
        <v>9</v>
      </c>
      <c r="C5" s="2" t="s">
        <v>9</v>
      </c>
      <c r="D5" s="1" t="s">
        <v>9</v>
      </c>
      <c r="E5" s="1" t="s">
        <v>9</v>
      </c>
      <c r="F5" s="1"/>
      <c r="G5" s="1"/>
    </row>
    <row r="6" spans="1:7">
      <c r="A6" s="1" t="s">
        <v>395</v>
      </c>
      <c r="B6" s="2" t="s">
        <v>396</v>
      </c>
      <c r="C6" s="2"/>
      <c r="D6" s="1"/>
      <c r="E6" s="1"/>
      <c r="F6" s="1"/>
      <c r="G6" s="1"/>
    </row>
    <row r="7" spans="1:7">
      <c r="A7" s="1">
        <v>1</v>
      </c>
      <c r="B7" s="2">
        <v>10101</v>
      </c>
      <c r="C7" s="2" t="s">
        <v>400</v>
      </c>
      <c r="D7" s="1" t="s">
        <v>401</v>
      </c>
      <c r="E7" s="1" t="s">
        <v>402</v>
      </c>
      <c r="F7" s="1"/>
      <c r="G7" s="1" t="s">
        <v>403</v>
      </c>
    </row>
    <row r="8" spans="1:7">
      <c r="A8" s="1">
        <v>2</v>
      </c>
      <c r="B8" s="2">
        <v>10102</v>
      </c>
      <c r="C8" s="2" t="s">
        <v>404</v>
      </c>
      <c r="D8" s="1" t="s">
        <v>405</v>
      </c>
      <c r="E8" s="1" t="s">
        <v>406</v>
      </c>
      <c r="F8" s="1"/>
      <c r="G8" s="1" t="s">
        <v>403</v>
      </c>
    </row>
    <row r="9" spans="1:7">
      <c r="A9" s="1">
        <v>3</v>
      </c>
      <c r="B9" s="2">
        <v>10103</v>
      </c>
      <c r="C9" s="2" t="s">
        <v>407</v>
      </c>
      <c r="D9" s="1" t="s">
        <v>405</v>
      </c>
      <c r="E9" s="1" t="s">
        <v>408</v>
      </c>
      <c r="F9" s="1"/>
      <c r="G9" s="1" t="s">
        <v>403</v>
      </c>
    </row>
    <row r="10" spans="1:7">
      <c r="A10" s="3">
        <v>4</v>
      </c>
      <c r="B10" s="4">
        <v>10104</v>
      </c>
      <c r="C10" s="4" t="s">
        <v>400</v>
      </c>
      <c r="D10" s="3" t="s">
        <v>401</v>
      </c>
      <c r="E10" s="3" t="s">
        <v>409</v>
      </c>
      <c r="F10" s="1"/>
      <c r="G10" s="1" t="s">
        <v>403</v>
      </c>
    </row>
    <row r="11" spans="1:7">
      <c r="A11" s="3">
        <v>5</v>
      </c>
      <c r="B11" s="4">
        <v>10105</v>
      </c>
      <c r="C11" s="4" t="s">
        <v>404</v>
      </c>
      <c r="D11" s="3" t="s">
        <v>405</v>
      </c>
      <c r="E11" s="3" t="s">
        <v>410</v>
      </c>
      <c r="F11" s="1"/>
      <c r="G11" s="1" t="s">
        <v>403</v>
      </c>
    </row>
    <row r="12" spans="1:7">
      <c r="A12" s="3">
        <v>6</v>
      </c>
      <c r="B12" s="4">
        <v>10106</v>
      </c>
      <c r="C12" s="4" t="s">
        <v>407</v>
      </c>
      <c r="D12" s="3" t="s">
        <v>405</v>
      </c>
      <c r="E12" s="3" t="s">
        <v>411</v>
      </c>
      <c r="F12" s="1"/>
      <c r="G12" s="1" t="s">
        <v>403</v>
      </c>
    </row>
    <row r="13" spans="1:7">
      <c r="A13" s="3">
        <v>7</v>
      </c>
      <c r="B13" s="4">
        <v>10107</v>
      </c>
      <c r="C13" s="4" t="s">
        <v>412</v>
      </c>
      <c r="D13" s="3" t="s">
        <v>405</v>
      </c>
      <c r="E13" s="3" t="s">
        <v>413</v>
      </c>
      <c r="F13" s="1"/>
      <c r="G13" s="1" t="s">
        <v>403</v>
      </c>
    </row>
    <row r="14" spans="1:7">
      <c r="A14" s="1">
        <v>8</v>
      </c>
      <c r="B14" s="2">
        <v>10201</v>
      </c>
      <c r="C14" s="2" t="s">
        <v>414</v>
      </c>
      <c r="D14" s="1" t="s">
        <v>415</v>
      </c>
      <c r="E14" s="1" t="s">
        <v>32</v>
      </c>
      <c r="F14" s="1"/>
      <c r="G14" s="1" t="s">
        <v>416</v>
      </c>
    </row>
    <row r="15" spans="1:7">
      <c r="A15" s="1">
        <v>9</v>
      </c>
      <c r="B15" s="2" t="s">
        <v>417</v>
      </c>
      <c r="C15" s="1" t="s">
        <v>418</v>
      </c>
      <c r="D15" s="1" t="s">
        <v>415</v>
      </c>
      <c r="E15" s="1" t="s">
        <v>35</v>
      </c>
      <c r="F15" s="1"/>
      <c r="G15" s="1" t="s">
        <v>416</v>
      </c>
    </row>
    <row r="16" spans="1:7">
      <c r="A16" s="3">
        <v>10</v>
      </c>
      <c r="B16" s="4" t="s">
        <v>419</v>
      </c>
      <c r="C16" s="3" t="s">
        <v>420</v>
      </c>
      <c r="D16" s="3" t="s">
        <v>421</v>
      </c>
      <c r="E16" s="3" t="s">
        <v>37</v>
      </c>
      <c r="F16" s="1"/>
      <c r="G16" s="1" t="s">
        <v>416</v>
      </c>
    </row>
    <row r="17" spans="1:7">
      <c r="A17" s="3">
        <v>11</v>
      </c>
      <c r="B17" s="4" t="s">
        <v>422</v>
      </c>
      <c r="C17" s="3" t="s">
        <v>423</v>
      </c>
      <c r="D17" s="3" t="s">
        <v>421</v>
      </c>
      <c r="E17" s="3" t="s">
        <v>40</v>
      </c>
      <c r="F17" s="1"/>
      <c r="G17" s="1" t="s">
        <v>416</v>
      </c>
    </row>
    <row r="18" spans="1:7">
      <c r="A18" s="3">
        <v>12</v>
      </c>
      <c r="B18" s="4" t="s">
        <v>424</v>
      </c>
      <c r="C18" s="4" t="s">
        <v>414</v>
      </c>
      <c r="D18" s="3" t="s">
        <v>415</v>
      </c>
      <c r="E18" s="3" t="s">
        <v>43</v>
      </c>
      <c r="F18" s="1"/>
      <c r="G18" s="1" t="s">
        <v>416</v>
      </c>
    </row>
    <row r="19" spans="1:7">
      <c r="A19" s="3">
        <v>13</v>
      </c>
      <c r="B19" s="4" t="s">
        <v>425</v>
      </c>
      <c r="C19" s="3" t="s">
        <v>418</v>
      </c>
      <c r="D19" s="3" t="s">
        <v>415</v>
      </c>
      <c r="E19" s="3" t="s">
        <v>46</v>
      </c>
      <c r="F19" s="1"/>
      <c r="G19" s="1" t="s">
        <v>416</v>
      </c>
    </row>
    <row r="20" spans="1:7">
      <c r="A20" s="3">
        <v>14</v>
      </c>
      <c r="B20" s="4" t="s">
        <v>426</v>
      </c>
      <c r="C20" s="3" t="s">
        <v>427</v>
      </c>
      <c r="D20" s="3" t="s">
        <v>415</v>
      </c>
      <c r="E20" s="3" t="s">
        <v>49</v>
      </c>
      <c r="F20" s="1"/>
      <c r="G20" s="1" t="s">
        <v>416</v>
      </c>
    </row>
    <row r="21" spans="1:7">
      <c r="A21" s="1">
        <v>15</v>
      </c>
      <c r="B21" s="2">
        <v>10301</v>
      </c>
      <c r="C21" s="1" t="s">
        <v>428</v>
      </c>
      <c r="D21" s="1" t="s">
        <v>429</v>
      </c>
      <c r="E21" s="1" t="s">
        <v>52</v>
      </c>
      <c r="F21" s="1"/>
      <c r="G21" s="1" t="s">
        <v>430</v>
      </c>
    </row>
    <row r="22" spans="1:7">
      <c r="A22" s="3">
        <v>16</v>
      </c>
      <c r="B22" s="4">
        <v>10302</v>
      </c>
      <c r="C22" s="3" t="s">
        <v>431</v>
      </c>
      <c r="D22" s="3" t="s">
        <v>429</v>
      </c>
      <c r="E22" s="3" t="s">
        <v>55</v>
      </c>
      <c r="F22" s="1"/>
      <c r="G22" s="1" t="s">
        <v>430</v>
      </c>
    </row>
    <row r="23" spans="1:7">
      <c r="A23" s="1">
        <v>17</v>
      </c>
      <c r="B23" s="2">
        <v>10303</v>
      </c>
      <c r="C23" s="1" t="s">
        <v>431</v>
      </c>
      <c r="D23" s="1" t="s">
        <v>429</v>
      </c>
      <c r="E23" s="1" t="s">
        <v>58</v>
      </c>
      <c r="F23" s="1"/>
      <c r="G23" s="1" t="s">
        <v>430</v>
      </c>
    </row>
    <row r="24" spans="1:7">
      <c r="A24" s="3">
        <v>18</v>
      </c>
      <c r="B24" s="4">
        <v>10304</v>
      </c>
      <c r="C24" s="3" t="s">
        <v>428</v>
      </c>
      <c r="D24" s="3" t="s">
        <v>429</v>
      </c>
      <c r="E24" s="3" t="s">
        <v>61</v>
      </c>
      <c r="F24" s="1"/>
      <c r="G24" s="1" t="s">
        <v>430</v>
      </c>
    </row>
    <row r="25" spans="1:7">
      <c r="A25" s="3">
        <v>19</v>
      </c>
      <c r="B25" s="4">
        <v>10305</v>
      </c>
      <c r="C25" s="3" t="s">
        <v>432</v>
      </c>
      <c r="D25" s="3" t="s">
        <v>429</v>
      </c>
      <c r="E25" s="3" t="s">
        <v>64</v>
      </c>
      <c r="F25" s="1"/>
      <c r="G25" s="1" t="s">
        <v>430</v>
      </c>
    </row>
    <row r="26" spans="1:7">
      <c r="A26" s="3">
        <v>20</v>
      </c>
      <c r="B26" s="4">
        <v>10306</v>
      </c>
      <c r="C26" s="3" t="s">
        <v>431</v>
      </c>
      <c r="D26" s="3" t="s">
        <v>429</v>
      </c>
      <c r="E26" s="3" t="s">
        <v>67</v>
      </c>
      <c r="F26" s="1"/>
      <c r="G26" s="1" t="s">
        <v>430</v>
      </c>
    </row>
    <row r="27" spans="1:7">
      <c r="A27" s="3">
        <v>21</v>
      </c>
      <c r="B27" s="4">
        <v>10307</v>
      </c>
      <c r="C27" s="3" t="s">
        <v>433</v>
      </c>
      <c r="D27" s="3" t="s">
        <v>429</v>
      </c>
      <c r="E27" s="3" t="s">
        <v>70</v>
      </c>
      <c r="F27" s="1"/>
      <c r="G27" s="1" t="s">
        <v>430</v>
      </c>
    </row>
    <row r="28" spans="1:7">
      <c r="A28" s="1">
        <v>22</v>
      </c>
      <c r="B28" s="2">
        <v>10701</v>
      </c>
      <c r="C28" s="1" t="s">
        <v>434</v>
      </c>
      <c r="D28" s="1" t="s">
        <v>435</v>
      </c>
      <c r="E28" s="1" t="s">
        <v>72</v>
      </c>
      <c r="F28" s="1"/>
      <c r="G28" s="1" t="s">
        <v>430</v>
      </c>
    </row>
    <row r="29" spans="1:7">
      <c r="A29" s="1">
        <v>23</v>
      </c>
      <c r="B29" s="2">
        <v>10702</v>
      </c>
      <c r="C29" s="1" t="s">
        <v>436</v>
      </c>
      <c r="D29" s="1" t="s">
        <v>435</v>
      </c>
      <c r="E29" s="1" t="s">
        <v>75</v>
      </c>
      <c r="F29" s="1"/>
      <c r="G29" s="1" t="s">
        <v>430</v>
      </c>
    </row>
    <row r="30" spans="1:7">
      <c r="A30" s="1">
        <v>24</v>
      </c>
      <c r="B30" s="2">
        <v>10703</v>
      </c>
      <c r="C30" s="1" t="s">
        <v>437</v>
      </c>
      <c r="D30" s="1" t="s">
        <v>435</v>
      </c>
      <c r="E30" s="1" t="s">
        <v>77</v>
      </c>
      <c r="F30" s="1"/>
      <c r="G30" s="1" t="s">
        <v>430</v>
      </c>
    </row>
    <row r="31" spans="1:7">
      <c r="A31" s="3">
        <v>25</v>
      </c>
      <c r="B31" s="4">
        <v>10704</v>
      </c>
      <c r="C31" s="3" t="s">
        <v>434</v>
      </c>
      <c r="D31" s="3" t="s">
        <v>435</v>
      </c>
      <c r="E31" s="3" t="s">
        <v>79</v>
      </c>
      <c r="F31" s="1"/>
      <c r="G31" s="1" t="s">
        <v>430</v>
      </c>
    </row>
    <row r="32" spans="1:7">
      <c r="A32" s="3">
        <v>26</v>
      </c>
      <c r="B32" s="4">
        <v>10705</v>
      </c>
      <c r="C32" s="3" t="s">
        <v>438</v>
      </c>
      <c r="D32" s="3" t="s">
        <v>435</v>
      </c>
      <c r="E32" s="3" t="s">
        <v>81</v>
      </c>
      <c r="F32" s="1"/>
      <c r="G32" s="1" t="s">
        <v>430</v>
      </c>
    </row>
    <row r="33" spans="1:7">
      <c r="A33" s="3">
        <v>27</v>
      </c>
      <c r="B33" s="4">
        <v>10706</v>
      </c>
      <c r="C33" s="3" t="s">
        <v>436</v>
      </c>
      <c r="D33" s="3" t="s">
        <v>435</v>
      </c>
      <c r="E33" s="3" t="s">
        <v>84</v>
      </c>
      <c r="F33" s="1"/>
      <c r="G33" s="1" t="s">
        <v>430</v>
      </c>
    </row>
    <row r="34" spans="1:7">
      <c r="A34" s="3">
        <v>28</v>
      </c>
      <c r="B34" s="4">
        <v>10707</v>
      </c>
      <c r="C34" s="3" t="s">
        <v>437</v>
      </c>
      <c r="D34" s="3" t="s">
        <v>435</v>
      </c>
      <c r="E34" s="3" t="s">
        <v>87</v>
      </c>
      <c r="F34" s="1"/>
      <c r="G34" s="1" t="s">
        <v>430</v>
      </c>
    </row>
    <row r="35" spans="1:7">
      <c r="A35" s="3">
        <v>29</v>
      </c>
      <c r="B35" s="4" t="s">
        <v>439</v>
      </c>
      <c r="C35" s="3" t="s">
        <v>440</v>
      </c>
      <c r="D35" s="3" t="s">
        <v>441</v>
      </c>
      <c r="E35" s="3" t="s">
        <v>90</v>
      </c>
      <c r="F35" s="1"/>
      <c r="G35" s="1" t="s">
        <v>430</v>
      </c>
    </row>
    <row r="36" spans="1:7">
      <c r="A36" s="1">
        <v>30</v>
      </c>
      <c r="B36" s="2" t="s">
        <v>442</v>
      </c>
      <c r="C36" s="1" t="s">
        <v>443</v>
      </c>
      <c r="D36" s="1" t="s">
        <v>441</v>
      </c>
      <c r="E36" s="1" t="s">
        <v>92</v>
      </c>
      <c r="F36" s="1"/>
      <c r="G36" s="1" t="s">
        <v>430</v>
      </c>
    </row>
    <row r="37" spans="1:7">
      <c r="A37" s="1">
        <v>31</v>
      </c>
      <c r="B37" s="2" t="s">
        <v>444</v>
      </c>
      <c r="C37" s="1" t="s">
        <v>445</v>
      </c>
      <c r="D37" s="1" t="s">
        <v>441</v>
      </c>
      <c r="E37" s="1" t="s">
        <v>95</v>
      </c>
      <c r="F37" s="1"/>
      <c r="G37" s="1" t="s">
        <v>430</v>
      </c>
    </row>
    <row r="38" spans="1:7">
      <c r="A38" s="3">
        <v>32</v>
      </c>
      <c r="B38" s="4" t="s">
        <v>446</v>
      </c>
      <c r="C38" s="3" t="s">
        <v>443</v>
      </c>
      <c r="D38" s="3" t="s">
        <v>441</v>
      </c>
      <c r="E38" s="3" t="s">
        <v>98</v>
      </c>
      <c r="F38" s="1"/>
      <c r="G38" s="1" t="s">
        <v>430</v>
      </c>
    </row>
    <row r="39" spans="1:7">
      <c r="A39" s="3">
        <v>33</v>
      </c>
      <c r="B39" s="4" t="s">
        <v>447</v>
      </c>
      <c r="C39" s="3" t="s">
        <v>445</v>
      </c>
      <c r="D39" s="3" t="s">
        <v>441</v>
      </c>
      <c r="E39" s="3" t="s">
        <v>101</v>
      </c>
      <c r="F39" s="1"/>
      <c r="G39" s="1" t="s">
        <v>430</v>
      </c>
    </row>
    <row r="40" spans="1:7">
      <c r="A40" s="3">
        <v>34</v>
      </c>
      <c r="B40" s="4" t="s">
        <v>448</v>
      </c>
      <c r="C40" s="3" t="s">
        <v>449</v>
      </c>
      <c r="D40" s="3" t="s">
        <v>441</v>
      </c>
      <c r="E40" s="3" t="s">
        <v>104</v>
      </c>
      <c r="F40" s="1"/>
      <c r="G40" s="1" t="s">
        <v>430</v>
      </c>
    </row>
    <row r="41" spans="1:7">
      <c r="A41" s="3">
        <v>35</v>
      </c>
      <c r="B41" s="4" t="s">
        <v>450</v>
      </c>
      <c r="C41" s="3" t="s">
        <v>451</v>
      </c>
      <c r="D41" s="3" t="s">
        <v>441</v>
      </c>
      <c r="E41" s="3" t="s">
        <v>107</v>
      </c>
      <c r="F41" s="1"/>
      <c r="G41" s="1" t="s">
        <v>430</v>
      </c>
    </row>
    <row r="42" spans="1:7">
      <c r="A42" s="1">
        <v>36</v>
      </c>
      <c r="B42" s="2" t="s">
        <v>452</v>
      </c>
      <c r="C42" s="1" t="s">
        <v>453</v>
      </c>
      <c r="D42" s="1" t="s">
        <v>454</v>
      </c>
      <c r="E42" s="1" t="s">
        <v>110</v>
      </c>
      <c r="F42" s="1"/>
      <c r="G42" s="1" t="s">
        <v>430</v>
      </c>
    </row>
    <row r="43" spans="1:7">
      <c r="A43" s="1">
        <v>37</v>
      </c>
      <c r="B43" s="2" t="s">
        <v>455</v>
      </c>
      <c r="C43" s="1" t="s">
        <v>456</v>
      </c>
      <c r="D43" s="1" t="s">
        <v>454</v>
      </c>
      <c r="E43" s="1" t="s">
        <v>113</v>
      </c>
      <c r="F43" s="1"/>
      <c r="G43" s="1" t="s">
        <v>430</v>
      </c>
    </row>
    <row r="44" spans="1:7">
      <c r="A44" s="1">
        <v>38</v>
      </c>
      <c r="B44" s="2" t="s">
        <v>457</v>
      </c>
      <c r="C44" s="1" t="s">
        <v>458</v>
      </c>
      <c r="D44" s="1" t="s">
        <v>454</v>
      </c>
      <c r="E44" s="1" t="s">
        <v>116</v>
      </c>
      <c r="F44" s="1"/>
      <c r="G44" s="1" t="s">
        <v>430</v>
      </c>
    </row>
    <row r="45" spans="1:7">
      <c r="A45" s="3">
        <v>39</v>
      </c>
      <c r="B45" s="4" t="s">
        <v>459</v>
      </c>
      <c r="C45" s="3" t="s">
        <v>456</v>
      </c>
      <c r="D45" s="3" t="s">
        <v>454</v>
      </c>
      <c r="E45" s="3" t="s">
        <v>119</v>
      </c>
      <c r="F45" s="1"/>
      <c r="G45" s="1" t="s">
        <v>430</v>
      </c>
    </row>
    <row r="46" spans="1:7">
      <c r="A46" s="3">
        <v>40</v>
      </c>
      <c r="B46" s="4" t="s">
        <v>460</v>
      </c>
      <c r="C46" s="3" t="s">
        <v>461</v>
      </c>
      <c r="D46" s="3" t="s">
        <v>462</v>
      </c>
      <c r="E46" s="3" t="s">
        <v>122</v>
      </c>
      <c r="F46" s="1"/>
      <c r="G46" s="1" t="s">
        <v>430</v>
      </c>
    </row>
    <row r="47" spans="1:7">
      <c r="A47" s="3">
        <v>41</v>
      </c>
      <c r="B47" s="4" t="s">
        <v>463</v>
      </c>
      <c r="C47" s="3" t="s">
        <v>464</v>
      </c>
      <c r="D47" s="3" t="s">
        <v>462</v>
      </c>
      <c r="E47" s="3" t="s">
        <v>125</v>
      </c>
      <c r="F47" s="1"/>
      <c r="G47" s="1" t="s">
        <v>430</v>
      </c>
    </row>
    <row r="48" spans="1:7">
      <c r="A48" s="3">
        <v>42</v>
      </c>
      <c r="B48" s="4" t="s">
        <v>465</v>
      </c>
      <c r="C48" s="3" t="s">
        <v>464</v>
      </c>
      <c r="D48" s="3" t="s">
        <v>462</v>
      </c>
      <c r="E48" s="3" t="s">
        <v>128</v>
      </c>
      <c r="F48" s="1"/>
      <c r="G48" s="1" t="s">
        <v>430</v>
      </c>
    </row>
    <row r="49" spans="1:7">
      <c r="A49" s="1">
        <v>43</v>
      </c>
      <c r="B49" s="2">
        <v>10801</v>
      </c>
      <c r="C49" s="1" t="s">
        <v>466</v>
      </c>
      <c r="D49" s="1" t="s">
        <v>467</v>
      </c>
      <c r="E49" s="1" t="s">
        <v>130</v>
      </c>
      <c r="F49" s="1"/>
      <c r="G49" s="1" t="s">
        <v>468</v>
      </c>
    </row>
    <row r="50" spans="1:7">
      <c r="A50" s="3">
        <v>44</v>
      </c>
      <c r="B50" s="4">
        <v>10802</v>
      </c>
      <c r="C50" s="3" t="s">
        <v>469</v>
      </c>
      <c r="D50" s="3" t="s">
        <v>470</v>
      </c>
      <c r="E50" s="3" t="s">
        <v>132</v>
      </c>
      <c r="F50" s="1"/>
      <c r="G50" s="1" t="s">
        <v>468</v>
      </c>
    </row>
    <row r="51" spans="1:7">
      <c r="A51" s="1">
        <v>45</v>
      </c>
      <c r="B51" s="2">
        <v>10803</v>
      </c>
      <c r="C51" s="1" t="s">
        <v>471</v>
      </c>
      <c r="D51" s="1" t="s">
        <v>467</v>
      </c>
      <c r="E51" s="1" t="s">
        <v>135</v>
      </c>
      <c r="F51" s="1"/>
      <c r="G51" s="1" t="s">
        <v>468</v>
      </c>
    </row>
    <row r="52" spans="1:7">
      <c r="A52" s="3">
        <v>46</v>
      </c>
      <c r="B52" s="4">
        <v>10804</v>
      </c>
      <c r="C52" s="3" t="s">
        <v>471</v>
      </c>
      <c r="D52" s="3" t="s">
        <v>467</v>
      </c>
      <c r="E52" s="3" t="s">
        <v>138</v>
      </c>
      <c r="F52" s="1"/>
      <c r="G52" s="1" t="s">
        <v>468</v>
      </c>
    </row>
    <row r="53" spans="1:7">
      <c r="A53" s="3">
        <v>47</v>
      </c>
      <c r="B53" s="4">
        <v>10805</v>
      </c>
      <c r="C53" s="3" t="s">
        <v>472</v>
      </c>
      <c r="D53" s="3" t="s">
        <v>473</v>
      </c>
      <c r="E53" s="3" t="s">
        <v>141</v>
      </c>
      <c r="F53" s="1"/>
      <c r="G53" s="1" t="s">
        <v>468</v>
      </c>
    </row>
    <row r="54" spans="1:7">
      <c r="A54" s="3">
        <v>48</v>
      </c>
      <c r="B54" s="4">
        <v>10806</v>
      </c>
      <c r="C54" s="3" t="s">
        <v>474</v>
      </c>
      <c r="D54" s="3" t="s">
        <v>473</v>
      </c>
      <c r="E54" s="3" t="s">
        <v>144</v>
      </c>
      <c r="F54" s="1"/>
      <c r="G54" s="1" t="s">
        <v>468</v>
      </c>
    </row>
    <row r="55" spans="1:7">
      <c r="A55" s="3">
        <v>49</v>
      </c>
      <c r="B55" s="4">
        <v>10807</v>
      </c>
      <c r="C55" s="3" t="s">
        <v>474</v>
      </c>
      <c r="D55" s="3" t="s">
        <v>473</v>
      </c>
      <c r="E55" s="3" t="s">
        <v>146</v>
      </c>
      <c r="F55" s="1"/>
      <c r="G55" s="1" t="s">
        <v>468</v>
      </c>
    </row>
    <row r="56" spans="1:7">
      <c r="A56" s="3">
        <v>50</v>
      </c>
      <c r="B56" s="4">
        <v>10901</v>
      </c>
      <c r="C56" s="3" t="s">
        <v>475</v>
      </c>
      <c r="D56" s="3" t="s">
        <v>476</v>
      </c>
      <c r="E56" s="3" t="s">
        <v>149</v>
      </c>
      <c r="F56" s="1"/>
      <c r="G56" s="1" t="s">
        <v>468</v>
      </c>
    </row>
    <row r="57" spans="1:7">
      <c r="A57" s="3">
        <v>51</v>
      </c>
      <c r="B57" s="4">
        <v>10902</v>
      </c>
      <c r="C57" s="3" t="s">
        <v>477</v>
      </c>
      <c r="D57" s="3" t="s">
        <v>478</v>
      </c>
      <c r="E57" s="3" t="s">
        <v>152</v>
      </c>
      <c r="F57" s="1"/>
      <c r="G57" s="1" t="s">
        <v>468</v>
      </c>
    </row>
    <row r="58" spans="1:7">
      <c r="A58" s="3">
        <v>52</v>
      </c>
      <c r="B58" s="4">
        <v>10903</v>
      </c>
      <c r="C58" s="3" t="s">
        <v>479</v>
      </c>
      <c r="D58" s="3" t="s">
        <v>476</v>
      </c>
      <c r="E58" s="3" t="s">
        <v>155</v>
      </c>
      <c r="F58" s="1"/>
      <c r="G58" s="1" t="s">
        <v>468</v>
      </c>
    </row>
    <row r="59" spans="1:7">
      <c r="A59" s="3">
        <v>53</v>
      </c>
      <c r="B59" s="4">
        <v>10904</v>
      </c>
      <c r="C59" s="3" t="s">
        <v>480</v>
      </c>
      <c r="D59" s="3" t="s">
        <v>478</v>
      </c>
      <c r="E59" s="3" t="s">
        <v>157</v>
      </c>
      <c r="F59" s="1"/>
      <c r="G59" s="1" t="s">
        <v>468</v>
      </c>
    </row>
    <row r="60" spans="1:7">
      <c r="A60" s="3">
        <v>54</v>
      </c>
      <c r="B60" s="4">
        <v>10905</v>
      </c>
      <c r="C60" s="3" t="s">
        <v>475</v>
      </c>
      <c r="D60" s="3" t="s">
        <v>476</v>
      </c>
      <c r="E60" s="3" t="s">
        <v>160</v>
      </c>
      <c r="F60" s="1"/>
      <c r="G60" s="1" t="s">
        <v>468</v>
      </c>
    </row>
    <row r="61" spans="1:7">
      <c r="A61" s="3">
        <v>55</v>
      </c>
      <c r="B61" s="4">
        <v>10906</v>
      </c>
      <c r="C61" s="3" t="s">
        <v>481</v>
      </c>
      <c r="D61" s="3" t="s">
        <v>478</v>
      </c>
      <c r="E61" s="3" t="s">
        <v>163</v>
      </c>
      <c r="F61" s="1"/>
      <c r="G61" s="1" t="s">
        <v>468</v>
      </c>
    </row>
    <row r="62" spans="1:7">
      <c r="A62" s="3">
        <v>56</v>
      </c>
      <c r="B62" s="4">
        <v>10907</v>
      </c>
      <c r="C62" s="3" t="s">
        <v>482</v>
      </c>
      <c r="D62" s="3" t="s">
        <v>476</v>
      </c>
      <c r="E62" s="3" t="s">
        <v>166</v>
      </c>
      <c r="F62" s="1"/>
      <c r="G62" s="1" t="s">
        <v>468</v>
      </c>
    </row>
    <row r="63" spans="1:7">
      <c r="A63" s="1">
        <v>57</v>
      </c>
      <c r="B63" s="2" t="s">
        <v>483</v>
      </c>
      <c r="C63" s="1" t="s">
        <v>484</v>
      </c>
      <c r="D63" s="1" t="s">
        <v>485</v>
      </c>
      <c r="E63" s="1" t="s">
        <v>169</v>
      </c>
      <c r="F63" s="1"/>
      <c r="G63" s="1" t="s">
        <v>468</v>
      </c>
    </row>
    <row r="64" spans="1:7">
      <c r="A64" s="1">
        <v>58</v>
      </c>
      <c r="B64" s="2" t="s">
        <v>486</v>
      </c>
      <c r="C64" s="1" t="s">
        <v>487</v>
      </c>
      <c r="D64" s="1" t="s">
        <v>488</v>
      </c>
      <c r="E64" s="1" t="s">
        <v>171</v>
      </c>
      <c r="F64" s="1"/>
      <c r="G64" s="1" t="s">
        <v>468</v>
      </c>
    </row>
    <row r="65" spans="1:7">
      <c r="A65" s="1">
        <v>59</v>
      </c>
      <c r="B65" s="2" t="s">
        <v>489</v>
      </c>
      <c r="C65" s="1" t="s">
        <v>490</v>
      </c>
      <c r="D65" s="1" t="s">
        <v>488</v>
      </c>
      <c r="E65" s="1" t="s">
        <v>173</v>
      </c>
      <c r="F65" s="1"/>
      <c r="G65" s="1" t="s">
        <v>468</v>
      </c>
    </row>
    <row r="66" spans="1:7">
      <c r="A66" s="3">
        <v>60</v>
      </c>
      <c r="B66" s="4" t="s">
        <v>491</v>
      </c>
      <c r="C66" s="3" t="s">
        <v>469</v>
      </c>
      <c r="D66" s="3" t="s">
        <v>470</v>
      </c>
      <c r="E66" s="3" t="s">
        <v>175</v>
      </c>
      <c r="F66" s="1"/>
      <c r="G66" s="1" t="s">
        <v>468</v>
      </c>
    </row>
    <row r="67" spans="1:7">
      <c r="A67" s="3">
        <v>61</v>
      </c>
      <c r="B67" s="4" t="s">
        <v>492</v>
      </c>
      <c r="C67" s="3" t="s">
        <v>493</v>
      </c>
      <c r="D67" s="3" t="s">
        <v>470</v>
      </c>
      <c r="E67" s="3" t="s">
        <v>177</v>
      </c>
      <c r="F67" s="1"/>
      <c r="G67" s="1" t="s">
        <v>468</v>
      </c>
    </row>
    <row r="68" spans="1:7">
      <c r="A68" s="3">
        <v>62</v>
      </c>
      <c r="B68" s="4" t="s">
        <v>494</v>
      </c>
      <c r="C68" s="3" t="s">
        <v>487</v>
      </c>
      <c r="D68" s="3" t="s">
        <v>488</v>
      </c>
      <c r="E68" s="3" t="s">
        <v>180</v>
      </c>
      <c r="F68" s="1"/>
      <c r="G68" s="1" t="s">
        <v>468</v>
      </c>
    </row>
    <row r="69" spans="1:7">
      <c r="A69" s="3">
        <v>63</v>
      </c>
      <c r="B69" s="4" t="s">
        <v>495</v>
      </c>
      <c r="C69" s="3" t="s">
        <v>490</v>
      </c>
      <c r="D69" s="3" t="s">
        <v>488</v>
      </c>
      <c r="E69" s="3" t="s">
        <v>183</v>
      </c>
      <c r="F69" s="1"/>
      <c r="G69" s="1" t="s">
        <v>468</v>
      </c>
    </row>
    <row r="70" spans="1:7">
      <c r="A70" s="1">
        <v>64</v>
      </c>
      <c r="B70" s="2">
        <v>11001</v>
      </c>
      <c r="C70" s="1" t="s">
        <v>496</v>
      </c>
      <c r="D70" s="1" t="s">
        <v>497</v>
      </c>
      <c r="E70" s="1" t="s">
        <v>185</v>
      </c>
      <c r="F70" s="1"/>
      <c r="G70" s="1" t="s">
        <v>498</v>
      </c>
    </row>
    <row r="71" spans="1:7">
      <c r="A71" s="1">
        <v>65</v>
      </c>
      <c r="B71" s="2">
        <v>11002</v>
      </c>
      <c r="C71" s="1" t="s">
        <v>499</v>
      </c>
      <c r="D71" s="1" t="s">
        <v>500</v>
      </c>
      <c r="E71" s="1" t="s">
        <v>187</v>
      </c>
      <c r="F71" s="1"/>
      <c r="G71" s="1" t="s">
        <v>498</v>
      </c>
    </row>
    <row r="72" spans="1:7">
      <c r="A72" s="1">
        <v>66</v>
      </c>
      <c r="B72" s="2">
        <v>11003</v>
      </c>
      <c r="C72" s="1" t="s">
        <v>501</v>
      </c>
      <c r="D72" s="1" t="s">
        <v>500</v>
      </c>
      <c r="E72" s="1" t="s">
        <v>190</v>
      </c>
      <c r="F72" s="1"/>
      <c r="G72" s="1" t="s">
        <v>498</v>
      </c>
    </row>
    <row r="73" spans="1:7">
      <c r="A73" s="3">
        <v>67</v>
      </c>
      <c r="B73" s="4">
        <v>11004</v>
      </c>
      <c r="C73" s="3" t="s">
        <v>502</v>
      </c>
      <c r="D73" s="3" t="s">
        <v>497</v>
      </c>
      <c r="E73" s="3" t="s">
        <v>192</v>
      </c>
      <c r="F73" s="1"/>
      <c r="G73" s="1" t="s">
        <v>498</v>
      </c>
    </row>
    <row r="74" spans="1:7">
      <c r="A74" s="3">
        <v>68</v>
      </c>
      <c r="B74" s="4">
        <v>11005</v>
      </c>
      <c r="C74" s="3" t="s">
        <v>503</v>
      </c>
      <c r="D74" s="3" t="s">
        <v>500</v>
      </c>
      <c r="E74" s="3" t="s">
        <v>195</v>
      </c>
      <c r="F74" s="1"/>
      <c r="G74" s="1" t="s">
        <v>498</v>
      </c>
    </row>
    <row r="75" spans="1:7">
      <c r="A75" s="3">
        <v>69</v>
      </c>
      <c r="B75" s="4">
        <v>11006</v>
      </c>
      <c r="C75" s="3" t="s">
        <v>504</v>
      </c>
      <c r="D75" s="3" t="s">
        <v>500</v>
      </c>
      <c r="E75" s="3" t="s">
        <v>198</v>
      </c>
      <c r="F75" s="1"/>
      <c r="G75" s="1" t="s">
        <v>498</v>
      </c>
    </row>
    <row r="76" spans="1:7">
      <c r="A76" s="3">
        <v>70</v>
      </c>
      <c r="B76" s="4">
        <v>11007</v>
      </c>
      <c r="C76" s="3" t="s">
        <v>499</v>
      </c>
      <c r="D76" s="3" t="s">
        <v>500</v>
      </c>
      <c r="E76" s="3" t="s">
        <v>201</v>
      </c>
      <c r="F76" s="1"/>
      <c r="G76" s="1" t="s">
        <v>498</v>
      </c>
    </row>
    <row r="77" spans="1:7">
      <c r="A77" s="3">
        <v>71</v>
      </c>
      <c r="B77" s="4">
        <v>11008</v>
      </c>
      <c r="C77" s="3" t="s">
        <v>505</v>
      </c>
      <c r="D77" s="3" t="s">
        <v>506</v>
      </c>
      <c r="E77" s="3" t="s">
        <v>204</v>
      </c>
      <c r="F77" s="1"/>
      <c r="G77" s="1" t="s">
        <v>498</v>
      </c>
    </row>
    <row r="78" spans="1:7">
      <c r="A78" s="3">
        <v>72</v>
      </c>
      <c r="B78" s="4">
        <v>11009</v>
      </c>
      <c r="C78" s="3" t="s">
        <v>507</v>
      </c>
      <c r="D78" s="3" t="s">
        <v>506</v>
      </c>
      <c r="E78" s="3" t="s">
        <v>207</v>
      </c>
      <c r="F78" s="1"/>
      <c r="G78" s="1" t="s">
        <v>498</v>
      </c>
    </row>
    <row r="79" spans="1:7">
      <c r="A79" s="1">
        <v>73</v>
      </c>
      <c r="B79" s="2">
        <v>40102</v>
      </c>
      <c r="C79" s="1" t="s">
        <v>508</v>
      </c>
      <c r="D79" s="1" t="s">
        <v>509</v>
      </c>
      <c r="E79" s="1" t="s">
        <v>209</v>
      </c>
      <c r="F79" s="1"/>
      <c r="G79" s="1"/>
    </row>
    <row r="80" spans="1:7">
      <c r="A80" s="1">
        <v>74</v>
      </c>
      <c r="B80" s="2">
        <v>40103</v>
      </c>
      <c r="C80" s="1" t="s">
        <v>510</v>
      </c>
      <c r="D80" s="1" t="s">
        <v>509</v>
      </c>
      <c r="E80" s="1" t="s">
        <v>211</v>
      </c>
      <c r="F80" s="1"/>
      <c r="G80" s="1"/>
    </row>
    <row r="81" spans="1:7">
      <c r="A81" s="1">
        <v>75</v>
      </c>
      <c r="B81" s="2">
        <v>40204</v>
      </c>
      <c r="C81" s="1" t="s">
        <v>511</v>
      </c>
      <c r="D81" s="1" t="s">
        <v>512</v>
      </c>
      <c r="E81" s="1" t="s">
        <v>214</v>
      </c>
      <c r="F81" s="1"/>
      <c r="G81" s="1"/>
    </row>
    <row r="82" spans="1:7">
      <c r="A82" s="1">
        <v>76</v>
      </c>
      <c r="B82" s="2">
        <v>40205</v>
      </c>
      <c r="C82" s="1" t="s">
        <v>513</v>
      </c>
      <c r="D82" s="1" t="s">
        <v>514</v>
      </c>
      <c r="E82" s="1" t="s">
        <v>217</v>
      </c>
      <c r="F82" s="1"/>
      <c r="G82" s="1"/>
    </row>
    <row r="83" spans="1:7">
      <c r="A83" s="1">
        <v>77</v>
      </c>
      <c r="B83" s="2">
        <v>20101</v>
      </c>
      <c r="C83" s="1" t="s">
        <v>515</v>
      </c>
      <c r="D83" s="1" t="s">
        <v>516</v>
      </c>
      <c r="E83" s="1" t="s">
        <v>219</v>
      </c>
      <c r="F83" s="1"/>
      <c r="G83" s="1"/>
    </row>
    <row r="84" spans="1:7">
      <c r="A84" s="1">
        <v>78</v>
      </c>
      <c r="B84" s="2">
        <v>20102</v>
      </c>
      <c r="C84" s="1" t="s">
        <v>517</v>
      </c>
      <c r="D84" s="1" t="s">
        <v>518</v>
      </c>
      <c r="E84" s="1" t="s">
        <v>221</v>
      </c>
      <c r="F84" s="1"/>
      <c r="G84" s="1"/>
    </row>
    <row r="85" spans="1:7">
      <c r="A85" s="1">
        <v>79</v>
      </c>
      <c r="B85" s="2">
        <v>20103</v>
      </c>
      <c r="C85" s="1" t="s">
        <v>519</v>
      </c>
      <c r="D85" s="1" t="s">
        <v>520</v>
      </c>
      <c r="E85" s="1" t="s">
        <v>224</v>
      </c>
      <c r="F85" s="1"/>
      <c r="G85" s="1"/>
    </row>
    <row r="86" spans="1:7">
      <c r="A86" s="1">
        <v>80</v>
      </c>
      <c r="B86" s="2">
        <v>60101</v>
      </c>
      <c r="C86" s="1" t="s">
        <v>521</v>
      </c>
      <c r="D86" s="1" t="s">
        <v>522</v>
      </c>
      <c r="E86" s="1" t="s">
        <v>226</v>
      </c>
      <c r="F86" s="1"/>
      <c r="G86" s="1" t="s">
        <v>523</v>
      </c>
    </row>
    <row r="87" spans="1:7">
      <c r="A87" s="1">
        <v>81</v>
      </c>
      <c r="B87" s="2">
        <v>60102</v>
      </c>
      <c r="C87" s="1" t="s">
        <v>524</v>
      </c>
      <c r="D87" s="1" t="s">
        <v>525</v>
      </c>
      <c r="E87" s="1" t="s">
        <v>229</v>
      </c>
      <c r="F87" s="1"/>
      <c r="G87" s="1" t="s">
        <v>523</v>
      </c>
    </row>
    <row r="88" spans="1:7">
      <c r="A88" s="1">
        <v>82</v>
      </c>
      <c r="B88" s="2">
        <v>60103</v>
      </c>
      <c r="C88" s="1" t="s">
        <v>526</v>
      </c>
      <c r="D88" s="1" t="s">
        <v>525</v>
      </c>
      <c r="E88" s="1" t="s">
        <v>231</v>
      </c>
      <c r="F88" s="1"/>
      <c r="G88" s="1" t="s">
        <v>523</v>
      </c>
    </row>
    <row r="89" spans="1:7">
      <c r="A89" s="1">
        <v>83</v>
      </c>
      <c r="B89" s="2">
        <v>60104</v>
      </c>
      <c r="C89" s="1" t="s">
        <v>527</v>
      </c>
      <c r="D89" s="1" t="s">
        <v>528</v>
      </c>
      <c r="E89" s="1" t="s">
        <v>234</v>
      </c>
      <c r="F89" s="1"/>
      <c r="G89" s="1" t="s">
        <v>523</v>
      </c>
    </row>
    <row r="90" spans="1:7">
      <c r="A90" s="3">
        <v>84</v>
      </c>
      <c r="B90" s="4">
        <v>60105</v>
      </c>
      <c r="C90" s="3" t="s">
        <v>529</v>
      </c>
      <c r="D90" s="3" t="s">
        <v>528</v>
      </c>
      <c r="E90" s="3" t="s">
        <v>237</v>
      </c>
      <c r="F90" s="1"/>
      <c r="G90" s="1" t="s">
        <v>523</v>
      </c>
    </row>
    <row r="91" spans="1:7">
      <c r="A91" s="1">
        <v>85</v>
      </c>
      <c r="B91" s="2" t="s">
        <v>530</v>
      </c>
      <c r="C91" s="1" t="s">
        <v>531</v>
      </c>
      <c r="D91" s="1" t="s">
        <v>485</v>
      </c>
      <c r="E91" s="1" t="s">
        <v>239</v>
      </c>
      <c r="F91" s="1"/>
      <c r="G91" s="1" t="s">
        <v>468</v>
      </c>
    </row>
    <row r="92" spans="1:7">
      <c r="A92" s="1">
        <v>86</v>
      </c>
      <c r="B92" s="2" t="s">
        <v>532</v>
      </c>
      <c r="C92" s="1" t="s">
        <v>533</v>
      </c>
      <c r="D92" s="1" t="s">
        <v>421</v>
      </c>
      <c r="E92" s="1" t="s">
        <v>534</v>
      </c>
      <c r="F92" s="1" t="s">
        <v>535</v>
      </c>
      <c r="G92" s="1" t="s">
        <v>416</v>
      </c>
    </row>
    <row r="93" spans="1:7">
      <c r="A93" s="1">
        <v>87</v>
      </c>
      <c r="B93" s="2">
        <v>70001</v>
      </c>
      <c r="C93" s="1" t="s">
        <v>536</v>
      </c>
      <c r="D93" s="1" t="s">
        <v>537</v>
      </c>
      <c r="E93" s="1" t="s">
        <v>538</v>
      </c>
      <c r="F93" s="1" t="s">
        <v>539</v>
      </c>
      <c r="G93" s="1"/>
    </row>
    <row r="94" spans="1:7">
      <c r="A94" s="1">
        <v>88</v>
      </c>
      <c r="B94" s="5">
        <v>40201</v>
      </c>
      <c r="C94" s="1" t="s">
        <v>540</v>
      </c>
      <c r="D94" s="1" t="s">
        <v>476</v>
      </c>
      <c r="E94" s="1" t="s">
        <v>541</v>
      </c>
      <c r="F94" s="1" t="s">
        <v>542</v>
      </c>
      <c r="G94" s="1"/>
    </row>
    <row r="95" spans="1:7">
      <c r="A95" s="1">
        <v>89</v>
      </c>
      <c r="B95" s="5">
        <v>40202</v>
      </c>
      <c r="C95" s="1" t="s">
        <v>543</v>
      </c>
      <c r="D95" s="1" t="s">
        <v>478</v>
      </c>
      <c r="E95" s="1" t="s">
        <v>544</v>
      </c>
      <c r="F95" s="1" t="s">
        <v>545</v>
      </c>
      <c r="G95" s="1"/>
    </row>
    <row r="96" spans="1:7">
      <c r="A96" s="1">
        <v>90</v>
      </c>
      <c r="B96" s="5">
        <v>40203</v>
      </c>
      <c r="C96" s="1" t="s">
        <v>546</v>
      </c>
      <c r="D96" s="1" t="s">
        <v>512</v>
      </c>
      <c r="E96" s="1" t="s">
        <v>547</v>
      </c>
      <c r="F96" s="1" t="s">
        <v>548</v>
      </c>
      <c r="G96" s="1"/>
    </row>
    <row r="97" spans="1:7">
      <c r="A97" s="1">
        <v>91</v>
      </c>
      <c r="B97" s="5">
        <v>20201</v>
      </c>
      <c r="C97" s="1" t="s">
        <v>549</v>
      </c>
      <c r="D97" s="1" t="s">
        <v>509</v>
      </c>
      <c r="E97" s="1" t="s">
        <v>550</v>
      </c>
      <c r="F97" s="6" t="s">
        <v>551</v>
      </c>
      <c r="G97" s="1"/>
    </row>
    <row r="98" spans="1:7">
      <c r="A98" s="1">
        <v>92</v>
      </c>
      <c r="B98" s="5">
        <v>20202</v>
      </c>
      <c r="C98" s="1" t="s">
        <v>552</v>
      </c>
      <c r="D98" s="1" t="s">
        <v>514</v>
      </c>
      <c r="E98" s="1" t="s">
        <v>553</v>
      </c>
      <c r="F98" s="6" t="s">
        <v>554</v>
      </c>
      <c r="G98" s="1"/>
    </row>
    <row r="99" spans="1:7">
      <c r="A99" s="1">
        <v>93</v>
      </c>
      <c r="B99" s="2" t="s">
        <v>555</v>
      </c>
      <c r="C99" s="1" t="s">
        <v>556</v>
      </c>
      <c r="D99" s="1" t="s">
        <v>557</v>
      </c>
      <c r="E99" s="1" t="s">
        <v>558</v>
      </c>
      <c r="F99" s="1" t="s">
        <v>559</v>
      </c>
      <c r="G99" s="1"/>
    </row>
    <row r="100" spans="1:7">
      <c r="A100" s="1">
        <v>94</v>
      </c>
      <c r="B100" s="2" t="s">
        <v>560</v>
      </c>
      <c r="C100" s="6" t="s">
        <v>561</v>
      </c>
      <c r="D100" s="1" t="s">
        <v>562</v>
      </c>
      <c r="E100" s="1" t="s">
        <v>563</v>
      </c>
      <c r="F100" s="6" t="s">
        <v>564</v>
      </c>
      <c r="G100" s="1"/>
    </row>
    <row r="101" spans="1:7">
      <c r="A101" s="1">
        <v>95</v>
      </c>
      <c r="B101" s="2" t="s">
        <v>565</v>
      </c>
      <c r="C101" s="6" t="s">
        <v>566</v>
      </c>
      <c r="D101" s="1" t="s">
        <v>567</v>
      </c>
      <c r="E101" s="1" t="s">
        <v>568</v>
      </c>
      <c r="F101" s="6" t="s">
        <v>569</v>
      </c>
      <c r="G101" s="1"/>
    </row>
    <row r="102" spans="1:7">
      <c r="A102" s="1">
        <v>96</v>
      </c>
      <c r="B102" s="2" t="s">
        <v>570</v>
      </c>
      <c r="C102" s="6" t="s">
        <v>571</v>
      </c>
      <c r="D102" s="1" t="s">
        <v>405</v>
      </c>
      <c r="E102" s="1" t="s">
        <v>572</v>
      </c>
      <c r="F102" s="6" t="s">
        <v>573</v>
      </c>
      <c r="G102" s="1" t="s">
        <v>403</v>
      </c>
    </row>
    <row r="103" spans="1:7">
      <c r="A103" s="1">
        <v>97</v>
      </c>
      <c r="B103" s="2" t="s">
        <v>574</v>
      </c>
      <c r="C103" s="6" t="s">
        <v>575</v>
      </c>
      <c r="D103" s="1" t="s">
        <v>518</v>
      </c>
      <c r="E103" s="1" t="s">
        <v>576</v>
      </c>
      <c r="F103" s="6" t="s">
        <v>577</v>
      </c>
      <c r="G103" s="1"/>
    </row>
    <row r="104" spans="1:7">
      <c r="A104" s="1">
        <v>98</v>
      </c>
      <c r="B104" s="2" t="s">
        <v>578</v>
      </c>
      <c r="C104" s="1" t="s">
        <v>579</v>
      </c>
      <c r="D104" s="1" t="s">
        <v>506</v>
      </c>
      <c r="E104" s="1" t="s">
        <v>580</v>
      </c>
      <c r="F104" s="1" t="s">
        <v>581</v>
      </c>
      <c r="G104" s="1" t="s">
        <v>498</v>
      </c>
    </row>
    <row r="105" spans="1:7">
      <c r="A105" s="1">
        <v>99</v>
      </c>
      <c r="B105" s="2" t="s">
        <v>582</v>
      </c>
      <c r="C105" s="1" t="s">
        <v>583</v>
      </c>
      <c r="D105" s="1" t="s">
        <v>525</v>
      </c>
      <c r="E105" s="1" t="s">
        <v>584</v>
      </c>
      <c r="F105" s="1" t="s">
        <v>585</v>
      </c>
      <c r="G105" s="1" t="s">
        <v>523</v>
      </c>
    </row>
    <row r="106" spans="1:7">
      <c r="A106" s="1">
        <v>100</v>
      </c>
      <c r="B106" s="2" t="s">
        <v>586</v>
      </c>
      <c r="C106" s="1" t="s">
        <v>587</v>
      </c>
      <c r="D106" s="1" t="s">
        <v>588</v>
      </c>
      <c r="E106" s="1" t="s">
        <v>589</v>
      </c>
      <c r="F106" s="1" t="s">
        <v>590</v>
      </c>
      <c r="G106" s="1"/>
    </row>
    <row r="107" spans="1:7">
      <c r="A107" s="1">
        <v>101</v>
      </c>
      <c r="B107" s="2" t="s">
        <v>591</v>
      </c>
      <c r="C107" s="1" t="s">
        <v>592</v>
      </c>
      <c r="D107" s="1" t="s">
        <v>421</v>
      </c>
      <c r="E107" s="1" t="s">
        <v>593</v>
      </c>
      <c r="F107" s="1" t="s">
        <v>594</v>
      </c>
      <c r="G107" s="1"/>
    </row>
    <row r="108" spans="1:7">
      <c r="A108" s="1">
        <v>102</v>
      </c>
      <c r="B108" s="2" t="s">
        <v>595</v>
      </c>
      <c r="C108" s="6" t="s">
        <v>596</v>
      </c>
      <c r="D108" s="1" t="s">
        <v>485</v>
      </c>
      <c r="E108" s="1" t="s">
        <v>597</v>
      </c>
      <c r="F108" s="6" t="s">
        <v>598</v>
      </c>
      <c r="G108" s="1" t="s">
        <v>468</v>
      </c>
    </row>
    <row r="109" spans="1:7">
      <c r="A109" s="1">
        <v>103</v>
      </c>
      <c r="B109" s="2"/>
      <c r="C109" s="1" t="s">
        <v>599</v>
      </c>
      <c r="D109" s="1" t="s">
        <v>600</v>
      </c>
      <c r="E109" s="1" t="s">
        <v>601</v>
      </c>
      <c r="F109" s="1"/>
      <c r="G109" s="1"/>
    </row>
    <row r="110" spans="1:7">
      <c r="A110" s="1">
        <v>104</v>
      </c>
      <c r="B110" s="2"/>
      <c r="C110" s="1" t="s">
        <v>602</v>
      </c>
      <c r="D110" s="1" t="s">
        <v>603</v>
      </c>
      <c r="E110" s="1" t="s">
        <v>604</v>
      </c>
      <c r="F110" s="1"/>
      <c r="G110" s="1"/>
    </row>
    <row r="111" spans="1:7">
      <c r="A111" s="1">
        <v>105</v>
      </c>
      <c r="B111" s="2"/>
      <c r="C111" s="1" t="s">
        <v>605</v>
      </c>
      <c r="D111" s="1" t="s">
        <v>606</v>
      </c>
      <c r="E111" s="1" t="s">
        <v>607</v>
      </c>
      <c r="F111" s="1"/>
      <c r="G111" s="1"/>
    </row>
    <row r="112" spans="1:7">
      <c r="A112" s="1">
        <v>106</v>
      </c>
      <c r="B112" s="2"/>
      <c r="C112" s="1" t="s">
        <v>608</v>
      </c>
      <c r="D112" s="1" t="s">
        <v>609</v>
      </c>
      <c r="E112" s="1" t="s">
        <v>610</v>
      </c>
      <c r="F112" s="1"/>
      <c r="G112" s="1"/>
    </row>
    <row r="113" spans="1:7">
      <c r="A113" s="1">
        <v>107</v>
      </c>
      <c r="B113" s="2"/>
      <c r="C113" s="1" t="s">
        <v>611</v>
      </c>
      <c r="D113" s="1" t="s">
        <v>612</v>
      </c>
      <c r="E113" s="1" t="s">
        <v>610</v>
      </c>
      <c r="F113" s="1"/>
      <c r="G113" s="1"/>
    </row>
    <row r="114" spans="1:7">
      <c r="A114" s="1">
        <v>108</v>
      </c>
      <c r="B114" s="2" t="s">
        <v>613</v>
      </c>
      <c r="C114" s="1" t="s">
        <v>503</v>
      </c>
      <c r="D114" s="1" t="s">
        <v>614</v>
      </c>
      <c r="E114" s="1" t="s">
        <v>615</v>
      </c>
      <c r="F114" s="1"/>
      <c r="G114" s="1" t="s">
        <v>498</v>
      </c>
    </row>
    <row r="115" spans="1:7">
      <c r="A115" s="1">
        <v>109</v>
      </c>
      <c r="B115" s="2" t="s">
        <v>616</v>
      </c>
      <c r="C115" s="2" t="s">
        <v>617</v>
      </c>
      <c r="D115" s="1" t="s">
        <v>401</v>
      </c>
      <c r="E115" s="1" t="s">
        <v>618</v>
      </c>
      <c r="F115" s="1"/>
      <c r="G115" s="1" t="s">
        <v>403</v>
      </c>
    </row>
    <row r="116" spans="1:7">
      <c r="A116" s="1">
        <v>110</v>
      </c>
      <c r="B116" s="2" t="s">
        <v>619</v>
      </c>
      <c r="C116" s="1" t="s">
        <v>620</v>
      </c>
      <c r="D116" s="1" t="s">
        <v>621</v>
      </c>
      <c r="E116" s="1" t="s">
        <v>622</v>
      </c>
      <c r="F116" s="1"/>
      <c r="G116" s="1" t="s">
        <v>416</v>
      </c>
    </row>
    <row r="117" spans="1:7">
      <c r="A117" s="1">
        <v>111</v>
      </c>
      <c r="B117" s="2" t="s">
        <v>623</v>
      </c>
      <c r="C117" s="1" t="s">
        <v>440</v>
      </c>
      <c r="D117" s="1" t="s">
        <v>441</v>
      </c>
      <c r="E117" s="1" t="s">
        <v>624</v>
      </c>
      <c r="F117" s="1"/>
      <c r="G117" s="1" t="s">
        <v>430</v>
      </c>
    </row>
    <row r="118" spans="1:7">
      <c r="A118" s="1">
        <v>112</v>
      </c>
      <c r="B118" s="2" t="s">
        <v>625</v>
      </c>
      <c r="C118" s="1" t="s">
        <v>626</v>
      </c>
      <c r="D118" s="1" t="s">
        <v>421</v>
      </c>
      <c r="E118" s="1" t="s">
        <v>627</v>
      </c>
      <c r="F118" s="1"/>
      <c r="G118" s="1" t="s">
        <v>416</v>
      </c>
    </row>
    <row r="119" spans="1:7">
      <c r="A119" s="1">
        <v>113</v>
      </c>
      <c r="B119" s="2" t="s">
        <v>628</v>
      </c>
      <c r="C119" s="1" t="s">
        <v>629</v>
      </c>
      <c r="D119" s="1" t="s">
        <v>630</v>
      </c>
      <c r="E119" s="1" t="s">
        <v>631</v>
      </c>
      <c r="F119" s="1"/>
      <c r="G119" s="1" t="s">
        <v>430</v>
      </c>
    </row>
    <row r="120" spans="1:7">
      <c r="A120" s="1">
        <v>114</v>
      </c>
      <c r="B120" s="2" t="s">
        <v>632</v>
      </c>
      <c r="C120" s="1" t="s">
        <v>423</v>
      </c>
      <c r="D120" s="1" t="s">
        <v>421</v>
      </c>
      <c r="E120" s="1" t="s">
        <v>633</v>
      </c>
      <c r="F120" s="1"/>
      <c r="G120" s="1" t="s">
        <v>416</v>
      </c>
    </row>
    <row r="121" spans="1:7">
      <c r="A121" s="1">
        <v>115</v>
      </c>
      <c r="B121" s="2" t="s">
        <v>634</v>
      </c>
      <c r="C121" s="1" t="s">
        <v>502</v>
      </c>
      <c r="D121" s="1" t="s">
        <v>497</v>
      </c>
      <c r="E121" s="1" t="s">
        <v>635</v>
      </c>
      <c r="F121" s="1"/>
      <c r="G121" s="1" t="s">
        <v>498</v>
      </c>
    </row>
    <row r="122" spans="1:7">
      <c r="A122" s="1">
        <v>116</v>
      </c>
      <c r="B122" s="2" t="s">
        <v>636</v>
      </c>
      <c r="C122" s="1" t="s">
        <v>637</v>
      </c>
      <c r="D122" s="1" t="s">
        <v>497</v>
      </c>
      <c r="E122" s="1" t="s">
        <v>638</v>
      </c>
      <c r="F122" s="1"/>
      <c r="G122" s="1" t="s">
        <v>498</v>
      </c>
    </row>
    <row r="123" spans="1:7">
      <c r="A123" s="1">
        <v>117</v>
      </c>
      <c r="B123" s="2" t="s">
        <v>639</v>
      </c>
      <c r="C123" s="1" t="s">
        <v>640</v>
      </c>
      <c r="D123" s="1" t="s">
        <v>630</v>
      </c>
      <c r="E123" s="1" t="s">
        <v>641</v>
      </c>
      <c r="F123" s="1"/>
      <c r="G123" s="1" t="s">
        <v>430</v>
      </c>
    </row>
    <row r="124" spans="1:7">
      <c r="A124" s="1">
        <v>118</v>
      </c>
      <c r="B124" s="2" t="s">
        <v>642</v>
      </c>
      <c r="C124" s="1" t="s">
        <v>469</v>
      </c>
      <c r="D124" s="1" t="s">
        <v>470</v>
      </c>
      <c r="E124" s="1" t="s">
        <v>643</v>
      </c>
      <c r="F124" s="1"/>
      <c r="G124" s="1" t="s">
        <v>468</v>
      </c>
    </row>
    <row r="125" spans="1:7">
      <c r="A125" s="1">
        <v>119</v>
      </c>
      <c r="B125" s="2" t="s">
        <v>644</v>
      </c>
      <c r="C125" s="1" t="s">
        <v>493</v>
      </c>
      <c r="D125" s="1" t="s">
        <v>470</v>
      </c>
      <c r="E125" s="1" t="s">
        <v>645</v>
      </c>
      <c r="F125" s="1"/>
      <c r="G125" s="1" t="s">
        <v>468</v>
      </c>
    </row>
    <row r="126" spans="1:7">
      <c r="A126" s="1">
        <v>120</v>
      </c>
      <c r="B126" s="2" t="s">
        <v>646</v>
      </c>
      <c r="C126" s="1" t="s">
        <v>420</v>
      </c>
      <c r="D126" s="1" t="s">
        <v>421</v>
      </c>
      <c r="E126" s="1" t="s">
        <v>647</v>
      </c>
      <c r="F126" s="1"/>
      <c r="G126" s="1" t="s">
        <v>416</v>
      </c>
    </row>
    <row r="127" spans="1:7">
      <c r="A127" s="1">
        <v>121</v>
      </c>
      <c r="B127" s="2" t="s">
        <v>648</v>
      </c>
      <c r="C127" s="1" t="s">
        <v>649</v>
      </c>
      <c r="D127" s="1" t="s">
        <v>614</v>
      </c>
      <c r="E127" s="1" t="s">
        <v>650</v>
      </c>
      <c r="F127" s="1"/>
      <c r="G127" s="1" t="s">
        <v>498</v>
      </c>
    </row>
    <row r="128" spans="1:7">
      <c r="A128" s="1">
        <v>122</v>
      </c>
      <c r="B128" s="2" t="s">
        <v>651</v>
      </c>
      <c r="C128" s="1" t="s">
        <v>652</v>
      </c>
      <c r="D128" s="1" t="s">
        <v>621</v>
      </c>
      <c r="E128" s="1" t="s">
        <v>653</v>
      </c>
      <c r="F128" s="1"/>
      <c r="G128" s="1" t="s">
        <v>416</v>
      </c>
    </row>
    <row r="129" spans="1:7">
      <c r="A129" s="3">
        <v>123</v>
      </c>
      <c r="B129" s="4" t="s">
        <v>654</v>
      </c>
      <c r="C129" s="3" t="s">
        <v>475</v>
      </c>
      <c r="D129" s="3" t="s">
        <v>476</v>
      </c>
      <c r="E129" s="3" t="s">
        <v>655</v>
      </c>
      <c r="F129" s="1"/>
      <c r="G129" s="1" t="s">
        <v>468</v>
      </c>
    </row>
    <row r="130" spans="1:7">
      <c r="A130" s="1">
        <v>124</v>
      </c>
      <c r="B130" s="2" t="s">
        <v>656</v>
      </c>
      <c r="C130" s="2" t="s">
        <v>657</v>
      </c>
      <c r="D130" s="1" t="s">
        <v>606</v>
      </c>
      <c r="E130" s="1" t="s">
        <v>658</v>
      </c>
      <c r="F130" s="1"/>
      <c r="G130" s="1" t="s">
        <v>403</v>
      </c>
    </row>
    <row r="131" spans="1:7">
      <c r="A131" s="1">
        <v>125</v>
      </c>
      <c r="B131" s="2" t="s">
        <v>659</v>
      </c>
      <c r="C131" s="1" t="s">
        <v>660</v>
      </c>
      <c r="D131" s="1" t="s">
        <v>614</v>
      </c>
      <c r="E131" s="1" t="s">
        <v>661</v>
      </c>
      <c r="F131" s="1"/>
      <c r="G131" s="1" t="s">
        <v>498</v>
      </c>
    </row>
    <row r="132" spans="1:7">
      <c r="A132" s="1">
        <v>126</v>
      </c>
      <c r="B132" s="2" t="s">
        <v>662</v>
      </c>
      <c r="C132" s="1" t="s">
        <v>504</v>
      </c>
      <c r="D132" s="1" t="s">
        <v>500</v>
      </c>
      <c r="E132" s="1" t="s">
        <v>663</v>
      </c>
      <c r="F132" s="1"/>
      <c r="G132" s="1" t="s">
        <v>498</v>
      </c>
    </row>
    <row r="133" spans="1:7">
      <c r="A133" s="1">
        <v>127</v>
      </c>
      <c r="B133" s="2"/>
      <c r="C133" s="1" t="s">
        <v>664</v>
      </c>
      <c r="D133" s="1" t="s">
        <v>603</v>
      </c>
      <c r="E133" s="1" t="s">
        <v>665</v>
      </c>
      <c r="F133" s="1" t="s">
        <v>666</v>
      </c>
      <c r="G133" s="1"/>
    </row>
    <row r="134" spans="1:7">
      <c r="A134" s="1">
        <v>128</v>
      </c>
      <c r="B134" s="2"/>
      <c r="C134" s="1" t="s">
        <v>667</v>
      </c>
      <c r="D134" s="1" t="s">
        <v>537</v>
      </c>
      <c r="E134" s="1" t="s">
        <v>668</v>
      </c>
      <c r="F134" s="1" t="s">
        <v>666</v>
      </c>
      <c r="G134" s="1"/>
    </row>
    <row r="135" spans="1:7">
      <c r="A135" s="1">
        <v>129</v>
      </c>
      <c r="B135" s="5">
        <v>20202</v>
      </c>
      <c r="C135" s="1" t="s">
        <v>669</v>
      </c>
      <c r="D135" s="1" t="s">
        <v>506</v>
      </c>
      <c r="E135" s="1" t="s">
        <v>553</v>
      </c>
      <c r="F135" s="1" t="s">
        <v>670</v>
      </c>
      <c r="G135" s="1"/>
    </row>
    <row r="136" spans="1:7">
      <c r="A136" s="1">
        <v>130</v>
      </c>
      <c r="B136" s="2" t="s">
        <v>671</v>
      </c>
      <c r="C136" s="1" t="s">
        <v>672</v>
      </c>
      <c r="D136" s="1" t="s">
        <v>509</v>
      </c>
      <c r="E136" s="1" t="s">
        <v>673</v>
      </c>
      <c r="F136" s="1"/>
      <c r="G136" s="1"/>
    </row>
    <row r="137" spans="1:7">
      <c r="A137" s="1">
        <v>131</v>
      </c>
      <c r="B137" s="2" t="s">
        <v>674</v>
      </c>
      <c r="C137" s="1" t="s">
        <v>675</v>
      </c>
      <c r="D137" s="1" t="s">
        <v>516</v>
      </c>
      <c r="E137" s="1" t="s">
        <v>676</v>
      </c>
      <c r="F137" s="1"/>
      <c r="G137" s="1"/>
    </row>
    <row r="138" spans="1:7">
      <c r="A138" s="1">
        <v>132</v>
      </c>
      <c r="B138" s="2" t="s">
        <v>677</v>
      </c>
      <c r="C138" s="1" t="s">
        <v>678</v>
      </c>
      <c r="D138" s="1" t="s">
        <v>435</v>
      </c>
      <c r="E138" s="1" t="s">
        <v>679</v>
      </c>
      <c r="F138" s="1"/>
      <c r="G138" s="1" t="s">
        <v>430</v>
      </c>
    </row>
    <row r="139" spans="1:7">
      <c r="A139" s="1">
        <v>133</v>
      </c>
      <c r="B139" s="2" t="s">
        <v>680</v>
      </c>
      <c r="C139" s="1" t="s">
        <v>681</v>
      </c>
      <c r="D139" s="1" t="s">
        <v>470</v>
      </c>
      <c r="E139" s="1" t="s">
        <v>682</v>
      </c>
      <c r="F139" s="1"/>
      <c r="G139" s="1" t="s">
        <v>468</v>
      </c>
    </row>
    <row r="140" spans="1:7">
      <c r="A140" s="1">
        <v>134</v>
      </c>
      <c r="B140" s="2" t="s">
        <v>683</v>
      </c>
      <c r="C140" s="2" t="s">
        <v>684</v>
      </c>
      <c r="D140" s="1" t="s">
        <v>606</v>
      </c>
      <c r="E140" s="1" t="s">
        <v>685</v>
      </c>
      <c r="F140" s="1"/>
      <c r="G140" s="1" t="s">
        <v>403</v>
      </c>
    </row>
    <row r="141" spans="1:7">
      <c r="A141" s="1">
        <v>135</v>
      </c>
      <c r="B141" s="2" t="s">
        <v>686</v>
      </c>
      <c r="C141" s="1" t="s">
        <v>687</v>
      </c>
      <c r="D141" s="1" t="s">
        <v>614</v>
      </c>
      <c r="E141" s="1" t="s">
        <v>688</v>
      </c>
      <c r="F141" s="1"/>
      <c r="G141" s="1" t="s">
        <v>498</v>
      </c>
    </row>
    <row r="142" spans="1:7">
      <c r="A142" s="1">
        <v>136</v>
      </c>
      <c r="B142" s="2" t="s">
        <v>689</v>
      </c>
      <c r="C142" s="1" t="s">
        <v>690</v>
      </c>
      <c r="D142" s="1" t="s">
        <v>621</v>
      </c>
      <c r="E142" s="1" t="s">
        <v>691</v>
      </c>
      <c r="F142" s="1"/>
      <c r="G142" s="1" t="s">
        <v>416</v>
      </c>
    </row>
    <row r="143" spans="1:7">
      <c r="A143" s="1">
        <v>137</v>
      </c>
      <c r="B143" s="2" t="s">
        <v>692</v>
      </c>
      <c r="C143" s="1" t="s">
        <v>693</v>
      </c>
      <c r="D143" s="1" t="s">
        <v>509</v>
      </c>
      <c r="E143" s="1" t="s">
        <v>694</v>
      </c>
      <c r="F143" s="1"/>
      <c r="G143" s="1" t="s">
        <v>272</v>
      </c>
    </row>
    <row r="144" spans="1:7">
      <c r="A144" s="1">
        <v>138</v>
      </c>
      <c r="B144" s="4" t="s">
        <v>695</v>
      </c>
      <c r="C144" s="3" t="s">
        <v>696</v>
      </c>
      <c r="D144" s="3" t="s">
        <v>528</v>
      </c>
      <c r="E144" s="3" t="s">
        <v>697</v>
      </c>
      <c r="F144" s="1"/>
      <c r="G144" s="1" t="s">
        <v>523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胡紫川</dc:creator>
  <cp:lastModifiedBy>wangyufei</cp:lastModifiedBy>
  <dcterms:created xsi:type="dcterms:W3CDTF">2015-06-05T18:19:00Z</dcterms:created>
  <dcterms:modified xsi:type="dcterms:W3CDTF">2026-02-04T09:16:34Z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F7DDEF5A8BE14FA9B115AA06344E0C72_12</vt:lpwstr>
  </property>
</Properties>
</file>